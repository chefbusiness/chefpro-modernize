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6" fontId="0" fillId="4" borderId="0" applyProtection="1" pivotButton="0" quotePrefix="0" xfId="0">
      <protection locked="0" hidden="0"/>
    </xf>
    <xf numFmtId="4" fontId="0" fillId="0" borderId="0" pivotButton="0" quotePrefix="0" xfId="0"/>
    <xf numFmtId="166" fontId="0" fillId="0" borderId="0" pivotButton="0" quotePrefix="0" xfId="0"/>
    <xf numFmtId="3" fontId="10" fillId="0" borderId="3" pivotButton="0" quotePrefix="0" xfId="0"/>
    <xf numFmtId="166" fontId="10" fillId="0" borderId="3" pivotButton="0" quotePrefix="0" xfId="0"/>
    <xf numFmtId="166" fontId="9" fillId="0" borderId="3" pivotButton="0" quotePrefix="0" xfId="0"/>
    <xf numFmtId="166" fontId="11" fillId="0" borderId="0" pivotButton="0" quotePrefix="0" xfId="0"/>
    <xf numFmtId="166" fontId="12" fillId="4" borderId="0" applyProtection="1" pivotButton="0" quotePrefix="0" xfId="0">
      <protection locked="0" hidden="0"/>
    </xf>
    <xf numFmtId="4" fontId="9" fillId="4" borderId="3" applyProtection="1" pivotButton="0" quotePrefix="0" xfId="0">
      <protection locked="0" hidden="0"/>
    </xf>
    <xf numFmtId="0" fontId="0" fillId="0" borderId="0" applyAlignment="1" pivotButton="0" quotePrefix="0" xfId="0">
      <alignment horizontal="left" vertical="top" wrapText="1"/>
    </xf>
    <xf numFmtId="166" fontId="9" fillId="4" borderId="3"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US dollars (or your own currency).</t>
        </is>
      </c>
    </row>
    <row r="3">
      <c r="A3" s="16" t="inlineStr">
        <is>
          <t>BUSINESS ACTIVITY</t>
        </is>
      </c>
    </row>
    <row r="4">
      <c r="A4" t="inlineStr">
        <is>
          <t>Events per year (year-1 average)</t>
        </is>
      </c>
      <c r="B4" s="18" t="n">
        <v>170</v>
      </c>
      <c r="C4" t="inlineStr">
        <is>
          <t>Average number of events you serve per year, counting every corporate booking, wedding, private party and festival or farmers market day. It is the main volume driver of the whole workbook: the P&amp;L, break-even and scenarios all read it, and years 2 and 3 grow in events. The example is a full-time owner-operator with an active corporate sales effort and two stations, not the average first year. Flashquotes shows about 15 bookings per operator per year on its own platform only, so do not read that as the events to expect. Compare this cell with the capacity row further down.</t>
        </is>
      </c>
    </row>
    <row r="5">
      <c r="A5" t="inlineStr">
        <is>
          <t>Average price per guest (excl. sales tax, baristas included)</t>
        </is>
      </c>
      <c r="B5" s="24" t="n">
        <v>12.6</v>
      </c>
      <c r="C5" t="inlineStr">
        <is>
          <t>EXCL. sales tax, with the baristas, travel and extras included and the voluntary gratuity left out: the blended price per guest across everything you sell (hosted corporate and wedding bookings, private parties, festival days), not the price of any one package. Price per guest incl. sales tax = this value × (1 + your sales tax rate). Operators quote by booking and by hour, with a base fee plus an hourly rate (see the benchmarks table on the "Instructions" tab). The Pricing Calculator quotes per guest, per service hour and per drink: to bring a quote here, divide the revenue you bill in a year by the guests you serve in that year.</t>
        </is>
      </c>
    </row>
    <row r="6">
      <c r="A6" t="inlineStr">
        <is>
          <t>Average guests per event</t>
        </is>
      </c>
      <c r="B6" s="18" t="n">
        <v>95</v>
      </c>
      <c r="C6" t="inlineStr">
        <is>
          <t>Average number of guests per event across your whole mix, from small private parties to weddings of well over a hundred guests. The typical Flashquotes booking is for 100 guests. At a festival or farmers market, every drink sold counts as one guest. Sales per event = guests × price per guest. One cell for the whole workbook: the P&amp;L, break-even and scenarios all read it, so they always agree.</t>
        </is>
      </c>
    </row>
    <row r="7">
      <c r="A7" t="inlineStr">
        <is>
          <t>Volume growth in year 2</t>
        </is>
      </c>
      <c r="B7" s="63" t="n">
        <v>0.1</v>
      </c>
      <c r="C7" t="inlineStr">
        <is>
          <t>Growth in events in year 2 over year 1 (enter 0.10 for 10%). Kept conservative on purpose: repeat corporate clients build up slowly, wedding bookings are made months ahead, and two stations and a small team of baristas limit how fast you can grow.</t>
        </is>
      </c>
    </row>
    <row r="8">
      <c r="A8" t="inlineStr">
        <is>
          <t>Volume growth in year 3</t>
        </is>
      </c>
      <c r="B8" s="63" t="n">
        <v>0.06</v>
      </c>
      <c r="C8" t="inlineStr">
        <is>
          <t>Growth in events in year 3 over year 2, kept conservative for the same reason: corporate repeat business and planner referrals build up slowly, and two stations and your baristas limit how many events you can serve.</t>
        </is>
      </c>
    </row>
    <row r="9">
      <c r="A9" t="inlineStr">
        <is>
          <t>Price per guest incl. sales tax (calculated)</t>
        </is>
      </c>
      <c r="B9" s="64">
        <f>IFERROR(IF($B$5="","",$B$5*(1+SUMPRODUCT('3-Year P&amp;L'!$E$10:$E$11,'3-Year P&amp;L'!$G$10:$G$11))),"")</f>
        <v>13.608</v>
      </c>
      <c r="C9" t="str">
        <f>IFERROR("Price per guest excl. sales tax plus the weighted sales tax of your sales lines ("&amp;TEXT(SUMPRODUCT('3-Year P&amp;L'!$E$10:$E$11,'3-Year P&amp;L'!$G$10:$G$11)*100,"0")&amp;"%), rounded. In the US the quote adds sales tax on top, and many states tax the whole catering invoice (coffee service, baristas, add-ons and travel); in the UK, VAT is included in the price.","")</f>
        <v>Price per guest excl. sales tax plus the weighted sales tax of your sales lines (8%), rounded. In the US the quote adds sales tax on top, and many states tax the whole catering invoice (coffee service, baristas, add-ons and travel); in the UK, VAT is included in the price.</v>
      </c>
    </row>
    <row r="10">
      <c r="A10" s="16" t="inlineStr">
        <is>
          <t>SALES MIX AND COST OF GOODS SOLD</t>
        </is>
      </c>
    </row>
    <row r="11">
      <c r="A11" t="inlineStr">
        <is>
          <t>COFFEE BAR PACKAGES share of sales (baristas, espresso drinks, batch &amp; cold brew, milks, syrups, cups)</t>
        </is>
      </c>
      <c r="B11" s="63" t="n">
        <v>0.85</v>
      </c>
      <c r="C11" t="inlineStr">
        <is>
          <t>Share of sales that comes from coffee bar packages: the espresso bar with baristas, batch brew and cold brew, milks, syrups and compostable cups. It is an INPUT: change it here and the P&amp;L, the cash flow and the sales tax collected recalculate on their own. The rest of your sales are add-ons.</t>
        </is>
      </c>
    </row>
    <row r="12">
      <c r="A12" t="inlineStr">
        <is>
          <t>ADD-ONS share of sales (extra hours, branded cups &amp; latte printing, pastries from a licensed bakery, travel fees)</t>
        </is>
      </c>
      <c r="B12" s="65">
        <f>IFERROR(IF(COUNT(B11)=0,"",1-B11),"")</f>
        <v>0.15000000000000002</v>
      </c>
      <c r="C12" t="inlineStr">
        <is>
          <t>Calculated as the remainder: coffee bar packages + add-ons = 100%. Add-ons are extra service hours, branded cups and latte printing, pastries from a licensed bakery and travel fees.</t>
        </is>
      </c>
    </row>
    <row r="13">
      <c r="A13" t="inlineStr">
        <is>
          <t>Cost of goods on COFFEE BAR PACKAGE sales (beans, milks incl. oat milk, syrups, cold brew)</t>
        </is>
      </c>
      <c r="B13" s="63" t="n">
        <v>0.12</v>
      </c>
      <c r="C13" t="inlineStr">
        <is>
          <t>Cost of goods sold on coffee bar package sales: coffee (18 g, or 0.63 oz, per double), milk and oat milk, syrups and cold brew, with a 10% allowance for waste (purging, dialing in, leftover milk). Kit estimate built from an all-in cost of $0.75-1.50 per drink (grindkit.app). The cost of one drink from the calculator is not copied here: this cell is the average of your whole mix, and package revenue also pays for the baristas, so the share is lower than the 20-30% that GrindKit reports on drink revenue. It is the most sensitive lever in the plan: test it at the top of the range before you trust the result.</t>
        </is>
      </c>
    </row>
    <row r="14">
      <c r="A14" t="inlineStr">
        <is>
          <t>Cost of goods on ADD-ON sales (pastries, branded cups, printing)</t>
        </is>
      </c>
      <c r="B14" s="63" t="n">
        <v>0.25</v>
      </c>
      <c r="C14" t="inlineStr">
        <is>
          <t>Cost of goods sold on add-ons: pastries bought from a licensed bakery, branded cups and printing ink. Extra hours and travel fees carry almost no cost of goods. Kit estimate.</t>
        </is>
      </c>
    </row>
    <row r="15">
      <c r="A15" t="inlineStr">
        <is>
          <t>Compostable cups, lids, sleeves &amp; napkins as % of sales</t>
        </is>
      </c>
      <c r="B15" s="63" t="n">
        <v>0.04</v>
      </c>
      <c r="C15" t="inlineStr">
        <is>
          <t>Compostable cups, lids, sleeves, wooden stirrers and napkins as a % of sales (about $0.30 per drink: Kit estimate). They are compostable because several cities require it (Seattle, as an example): check your local rules. The line scales with the number of drinks you serve. Fuel is NOT here: tow vehicle fuel has its own fixed line on the "3-Year P&amp;L" tab, and generator fuel is in utilities.</t>
        </is>
      </c>
    </row>
    <row r="16">
      <c r="A16" t="inlineStr">
        <is>
          <t>FESTIVALS &amp; FARMERS MARKETS share of sales (guest-pay pop-ups)</t>
        </is>
      </c>
      <c r="B16" s="63" t="n">
        <v>0.05</v>
      </c>
      <c r="C16" t="inlineStr">
        <is>
          <t>Share of your sales that comes from festivals and farmers markets where each guest pays for their own drink, often with a minimum sales guarantee from the organizer. This is a side channel, not a delivery or marketplace channel. Set it to 0 if you only work hosted events. The organizer keeps a fee (next row).</t>
        </is>
      </c>
    </row>
    <row r="17">
      <c r="A17" t="inlineStr">
        <is>
          <t>Organizer / vendor fee on those sales (booth fees converted to %)</t>
        </is>
      </c>
      <c r="B17" s="63" t="n">
        <v>0.15</v>
      </c>
      <c r="C17" t="inlineStr">
        <is>
          <t>Fee the organizer keeps on your festival and farmers market sales (Kit estimate). If you pay a flat booth fee instead, convert it into a percentage of what you expect to sell there. Not used while the festival share is 0%.</t>
        </is>
      </c>
    </row>
    <row r="18">
      <c r="A18" t="inlineStr">
        <is>
          <t>Card processing fee</t>
        </is>
      </c>
      <c r="B18" s="63" t="n">
        <v>0.03</v>
      </c>
      <c r="C18" t="inlineStr">
        <is>
          <t>Card and ACH fees on total sales. Hosts pay their retainer and balance by card, festival guests almost always pay by card, and some companies pay by ACH or check, which lowers the cost. The example is a blended rate: a percentage plus a per-transaction fee, which weighs more on small orders. Check your processor's statement and enter your effective rate (Kit estimate).</t>
        </is>
      </c>
    </row>
    <row r="19">
      <c r="A19" s="16" t="inlineStr">
        <is>
          <t>LABOR</t>
        </is>
      </c>
    </row>
    <row r="20">
      <c r="A20" t="inlineStr">
        <is>
          <t>Employer payroll taxes</t>
        </is>
      </c>
      <c r="B20" s="63" t="n">
        <v>0.1</v>
      </c>
      <c r="C20" t="inlineStr">
        <is>
          <t>FICA (Social Security 6.2% + Medicare 1.45%) + federal and state unemployment taxes (FUTA / SUTA). Workers' comp is in the insurance line. The example uses a lean 10% with no benefits; ask your payroll provider for your rate.</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COMMISSARY, CART STORAGE AND FIXED COSTS</t>
        </is>
      </c>
    </row>
    <row r="24">
      <c r="A24" t="inlineStr">
        <is>
          <t>Commissary, cart storage &amp; trailer parking, per month</t>
        </is>
      </c>
      <c r="B24" s="18" t="n">
        <v>700</v>
      </c>
      <c r="C24" t="inlineStr">
        <is>
          <t>Monthly cost of your commissary (a permitted shared kitchen), cart storage and trailer parking: one cell for everything you pay for the space. It covers filling potable water, dumping gray water, cold storage for the milk, dry storage and a place for the cart and the trailer. Carts typically pay $200-600 per month (cart-king.com) and shared kitchens charge roughly $15-45 per hour (The Food Corridor, 2023 Shared Kitchen Operator Survey). The deposit and the months before opening are calculated from it. Ask your health department in writing whether your county requires a commissary: many do, and some exempt self-contained units. Get quotes in your area before you sign.</t>
        </is>
      </c>
    </row>
    <row r="25">
      <c r="A25" t="inlineStr">
        <is>
          <t>Commissary deposit (months)</t>
        </is>
      </c>
      <c r="B25" s="18" t="n">
        <v>1</v>
      </c>
      <c r="C25" t="inlineStr">
        <is>
          <t>Months of deposit on the commissary agreement. Many shared kitchens ask for one month up front: far less than the deposit on a commercial lease. Negotiate it in the written agreement.</t>
        </is>
      </c>
    </row>
    <row r="26">
      <c r="A26" t="inlineStr">
        <is>
          <t>Monthly utilities (generator fuel, water and ice not covered by the commissary)</t>
        </is>
      </c>
      <c r="B26" s="18" t="n">
        <v>100</v>
      </c>
      <c r="C26" t="inlineStr">
        <is>
          <t>Generator fuel, water and ice that the commissary fee does not cover. The generator only runs at outdoor events, because most venues provide power, so this is a small fixed amount. Tow vehicle fuel is not here: it has its own fixed line on the "3-Year P&amp;L" tab. It is the one cell for this cost, so you change it in one place and the rest of the workbook follows.</t>
        </is>
      </c>
    </row>
    <row r="27">
      <c r="A27" t="inlineStr">
        <is>
          <t>Insurance (per year)</t>
        </is>
      </c>
      <c r="B27" s="18" t="n">
        <v>3800</v>
      </c>
      <c r="C27" t="inlineStr">
        <is>
          <t>General liability at $1M per occurrence and $2M aggregate with unlimited additional insureds, commercial auto that covers the trailer, workers' comp for your W-2 baristas and coverage for your equipment in transit. Venues ask for a certificate of insurance (COI) naming them as additional insured. There is no liquor liability line because this plan sells no alcohol. Insureon publishes averages for small businesses (see the benchmarks table on the "Instructions" tab); the example is a Kit estimate, so get quotes from an insurance agent. It is counted once, as an annual expense, not also in startup costs.</t>
        </is>
      </c>
    </row>
    <row r="28">
      <c r="A28" t="inlineStr">
        <is>
          <t>Miscellaneous and contingency as % of sales</t>
        </is>
      </c>
      <c r="B28" s="63" t="n">
        <v>0.03</v>
      </c>
      <c r="C28" t="inlineStr">
        <is>
          <t>Extra milk, ice, cables and parking at the venue: the unbudgeted costs of each event. It is a VARIABLE cost: it rises and falls with the number of events, so it cannot sit among the fixed costs or it would move the break-even without anyone noticing. Tow vehicle fuel is not here: it has its own fixed line on the "3-Year P&amp;L" tab.</t>
        </is>
      </c>
    </row>
    <row r="29">
      <c r="A29" s="16" t="inlineStr">
        <is>
          <t>FINANCING</t>
        </is>
      </c>
    </row>
    <row r="30">
      <c r="A30" t="inlineStr">
        <is>
          <t>Owner's equity contributed</t>
        </is>
      </c>
      <c r="B30" s="18" t="n">
        <v>30000</v>
      </c>
      <c r="C30" t="inlineStr">
        <is>
          <t>Your own money. Lenders usually expect an owner equity injection (often around 10% for SBA start-ups; many want 20-30%) on the total cash needed in this plan.</t>
        </is>
      </c>
    </row>
    <row r="31">
      <c r="A31" t="inlineStr">
        <is>
          <t>Loan requested</t>
        </is>
      </c>
      <c r="B31" s="18" t="n">
        <v>71000</v>
      </c>
      <c r="C31" t="inlineStr">
        <is>
          <t>Principal requested: bank or SBA 7(a). The example loan is above the $50,000 ceiling of the SBA Microloan, so it fits an SBA 7(a) loan or a bank loan (or a Microloan with more of your own money). If your loan is an SBA 7(a), this is the cell. It is the only loan that the amortization schedule, the P&amp;L interest and the DSCR use. The "Financing" tab checks that the sources of funds match the total cash needed on the "Startup Costs" tab (which includes working capital and the cart, portable bar, trailer and plan review contingency): copy the loan suggested there into this cell until the difference reaches zero. A lender will ask for your plan and projections.</t>
        </is>
      </c>
    </row>
    <row r="32">
      <c r="A32" t="inlineStr">
        <is>
          <t>Nominal annual interest rate (not APR)</t>
        </is>
      </c>
      <c r="B32" s="63" t="n">
        <v>0.1</v>
      </c>
      <c r="C32" t="inlineStr">
        <is>
          <t>Nominal annual rate (not APR). The example (10%) is the kit's assumption for an SBA 7(a) loan. A smaller loan secured by a cart, a trailer and espresso equipment often prices above a storefront loan: ask two lenders for quotes, and ask about SBA-guaranteed loans, before you set it.</t>
        </is>
      </c>
    </row>
    <row r="33">
      <c r="A33" t="inlineStr">
        <is>
          <t>Loan term (years)</t>
        </is>
      </c>
      <c r="B33" s="18" t="n">
        <v>7</v>
      </c>
      <c r="C33" t="inlineStr">
        <is>
          <t>Total years, interest-only period included. A cart, a portable bar, a trailer and espresso machines lose value faster than a storefront build-out, so the term is shorter. SBA 7(a) allows up to 10 years for equipment and working capital.</t>
        </is>
      </c>
    </row>
    <row r="34">
      <c r="A34" t="inlineStr">
        <is>
          <t>Interest-only period (years)</t>
        </is>
      </c>
      <c r="B34" s="18" t="n">
        <v>0</v>
      </c>
      <c r="C34" t="inlineStr">
        <is>
          <t>ZERO by default: repayment starts in year 1, so the year-1 DSCR already measures the full loan payment. If you negotiate an interest-only first year, enter it here and read the year-1 DSCR with care.</t>
        </is>
      </c>
    </row>
    <row r="35">
      <c r="A35" t="inlineStr">
        <is>
          <t>Working capital (months of fixed costs)</t>
        </is>
      </c>
      <c r="B35" s="18" t="n">
        <v>3</v>
      </c>
      <c r="C35" t="inlineStr">
        <is>
          <t>The minimum this workbook asks for (see "Instructions"): a cushion below 3 months does not cover a slow stretch, such as the summer dip in July and August or a corporate client who pays late.</t>
        </is>
      </c>
    </row>
    <row r="36">
      <c r="A36" s="16" t="inlineStr">
        <is>
          <t>TAXES</t>
        </is>
      </c>
    </row>
    <row r="37">
      <c r="A37" t="inlineStr">
        <is>
          <t>Effective income tax rate (years 1-2)</t>
        </is>
      </c>
      <c r="B37" s="63"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3"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3" t="n">
        <v>0.08</v>
      </c>
      <c r="C39" t="inlineStr">
        <is>
          <t>Example rate: state + local sales tax combined, applied to the whole invoice (coffee service, baristas, add-ons and travel). Hosted events are usually taxed as catering; at festivals and markets you collect it drink by drink and may need a permit where you sell. Rates and rules vary widely by state and city: look up yours. UK: 20% VAT applies to catering for events and functions (VAT Notice 709/1).</t>
        </is>
      </c>
    </row>
    <row r="40">
      <c r="A40" t="inlineStr">
        <is>
          <t>Sales tax rate on alcohol sold (licensed only)</t>
        </is>
      </c>
      <c r="B40" s="63" t="n">
        <v>0.08</v>
      </c>
      <c r="C40" t="inlineStr">
        <is>
          <t>Same example rate as above. Some states add separate liquor taxes: include them here if they apply to you. Alcohol served on site has its own rate in the sales tax breakdown block, further down. Utilities, equipment and services are handled in the cell below</t>
        </is>
      </c>
    </row>
    <row r="41">
      <c r="A41" t="inlineStr">
        <is>
          <t>Recoverable input tax on purchases and capex</t>
        </is>
      </c>
      <c r="B41" s="63"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the espresso cart, portable bar, trailer and fit-outs (years)</t>
        </is>
      </c>
      <c r="B44" s="18" t="n">
        <v>7</v>
      </c>
      <c r="C44" t="inlineStr">
        <is>
          <t>The espresso cart, the portable espresso bar, the enclosed trailer with its wrap and fit-out, and the plan review: the assets that travel to the event are depreciated together. Straight-line book depreciation; tax methods such as MACRS or Section 179 are separate, so confirm with your accountant.</t>
        </is>
      </c>
    </row>
    <row r="45">
      <c r="A45" t="inlineStr">
        <is>
          <t>Useful life of the espresso machines, grinders, brewing gear, POS and generator (years)</t>
        </is>
      </c>
      <c r="B45" s="18" t="n">
        <v>5</v>
      </c>
      <c r="C45" t="inlineStr">
        <is>
          <t>Espresso machines, grinders, generator and cords, batch brewer and cold brew system, smallwares, POS and software. Loading and unloading at every event wears them faster than a fixed bar, so a short life is prudent; burrs and gaskets are replaced sooner and go in maintenance. Straight-line book depreciation; MACRS or Section 179 are tax treatments: confirm with your accountant.</t>
        </is>
      </c>
    </row>
    <row r="47">
      <c r="A47" s="16" t="inlineStr">
        <is>
          <t>GROWTH AND COST INFLATION</t>
        </is>
      </c>
    </row>
    <row r="48">
      <c r="A48" t="inlineStr">
        <is>
          <t>Annual increase in fixed costs</t>
        </is>
      </c>
      <c r="B48" s="63" t="n">
        <v>0</v>
      </c>
      <c r="C48" t="inlineStr">
        <is>
          <t>SET TO ZERO: all three columns are in year-1 prices (real terms). Raise it if you want to project in nominal terms</t>
        </is>
      </c>
    </row>
    <row r="49">
      <c r="A49" s="16" t="inlineStr">
        <is>
          <t>RAMP-UP AND CAPACITY</t>
        </is>
      </c>
    </row>
    <row r="51">
      <c r="A51" t="inlineStr">
        <is>
          <t>Max events a year your stations and baristas can handle</t>
        </is>
      </c>
      <c r="B51" s="18" t="n">
        <v>350</v>
      </c>
      <c r="C51" t="inlineStr">
        <is>
          <t>INFORMATION ONLY: it does not enter any calculation in this workbook. It is your estimate of the most events a year your two stations and your baristas can handle. Weekdays have room because corporate events fill them; Saturdays in the wedding season are the bottleneck. Compare it with the events per year you plan and with the optimistic scenario: if the plan goes above it, you need a third station or more baristas. Volume itself is driven by the "Events per year" cell above.</t>
        </is>
      </c>
    </row>
    <row r="52">
      <c r="A52" t="inlineStr">
        <is>
          <t>Month-1 activity as a % of steady-state activity</t>
        </is>
      </c>
      <c r="B52" s="63" t="n">
        <v>0.45</v>
      </c>
      <c r="C52" t="inlineStr">
        <is>
          <t>A new coffee catering company does not book in month one what it books in month eight: corporate clients want to try you first, and the median booking is made about 41 days ahead (Flashquotes), with weddings earlier. Events per year above is the year-1 AVERAGE: the ramp only spreads year 1's sales across the months (slower start, stronger finish) and keeps the annual total. At 100% there is no ramp. Festivals and farmers markets are an add-on channel, never a daily street route (that is the Food Truck Kit).</t>
        </is>
      </c>
    </row>
    <row r="53">
      <c r="A53" t="inlineStr">
        <is>
          <t>Months to reach steady state</t>
        </is>
      </c>
      <c r="B53" s="18" t="n">
        <v>9</v>
      </c>
      <c r="C53" t="inlineStr">
        <is>
          <t>The ramp rises in a straight line from the percentage above to 100% over this number of months</t>
        </is>
      </c>
    </row>
    <row r="54">
      <c r="A54" t="inlineStr">
        <is>
          <t>Months of commissary rent BEFORE opening</t>
        </is>
      </c>
      <c r="B54" s="18" t="n">
        <v>1</v>
      </c>
      <c r="C54" t="inlineStr">
        <is>
          <t>Getting the commissary agreement, the plan review and the cart inspection done takes weeks, and you test both stations and hold a corporate open house before your first booking, so you pay commissary rent before you earn anything. It belongs in startup costs, not in the P&amp;L.</t>
        </is>
      </c>
    </row>
    <row r="55">
      <c r="A55" t="inlineStr">
        <is>
          <t>Contingency on the cart, portable bar, trailer, wrap and plan review lines (%)</t>
        </is>
      </c>
      <c r="B55" s="63" t="n">
        <v>0.1</v>
      </c>
      <c r="C55" t="inlineStr">
        <is>
          <t>Calculated by formula on the espresso cart, portable bar, trailer, trailer wrap and plan review lines: if you change the cart price, the contingency recalculates on its own. The note on that row of the "Startup Costs" tab lists exactly which lines are included.</t>
        </is>
      </c>
    </row>
    <row r="57">
      <c r="A57" s="16" t="inlineStr">
        <is>
          <t>RECEIPTS, PAYMENTS AND SALES TAX BREAKDOWN</t>
        </is>
      </c>
    </row>
    <row r="58">
      <c r="A58" t="inlineStr">
        <is>
          <t>Average collection days</t>
        </is>
      </c>
      <c r="B58" s="18" t="n">
        <v>14</v>
      </c>
      <c r="C58" t="inlineStr">
        <is>
          <t>Average days between the event and the money in your bank. Hosts usually pay a retainer of 30-50% when they book the date (grindkit.app) and the balance 14 days before the event, while companies often pay at 15-30 days, so the example sits in between. Raise it if your clients pay later. The workbook does not model deposits: they improve your real cash flow.</t>
        </is>
      </c>
    </row>
    <row r="59">
      <c r="A59" t="inlineStr">
        <is>
          <t>Average days to pay suppliers</t>
        </is>
      </c>
      <c r="B59" s="18" t="n">
        <v>7</v>
      </c>
      <c r="C59" t="inlineStr">
        <is>
          <t>What your suppliers finance for you. It is the first thing you lose if you fall behind on a payment</t>
        </is>
      </c>
    </row>
    <row r="60">
      <c r="A60" t="inlineStr">
        <is>
          <t>Month of extra pay period 1 (only if pay periods &gt; 12)</t>
        </is>
      </c>
      <c r="B60" s="18" t="n">
        <v>7</v>
      </c>
      <c r="C60" t="inlineStr">
        <is>
          <t>Month of the year (1-12) when the first extra pay period is paid out. Only used if pay periods &gt; 12</t>
        </is>
      </c>
    </row>
    <row r="61">
      <c r="A61" t="inlineStr">
        <is>
          <t>Month of extra pay period 2 (only if pay periods &gt; 12)</t>
        </is>
      </c>
      <c r="B61" s="18" t="n">
        <v>12</v>
      </c>
      <c r="C61" t="inlineStr">
        <is>
          <t>Month of the year (1-12) when the second extra pay period is paid out. Only used if pay periods &gt; 12</t>
        </is>
      </c>
    </row>
    <row r="62">
      <c r="A62" t="inlineStr">
        <is>
          <t>ALCOHOL as a share of add-on sales (0%: no liquor license; espresso martinis go to a licensed mobile bar)</t>
        </is>
      </c>
      <c r="B62" s="63" t="n">
        <v>0</v>
      </c>
      <c r="C62" t="inlineStr">
        <is>
          <t>ZERO by default: a coffee cart sells no alcohol. Espresso martinis belong to a licensed mobile bar (see the Mobile Bar Business Plan Kit). Selling alcohol requires a liquor license (and, in some states, an event-by-event permit): check your state before adding it. If you ever add it, carry liquor liability coverage.</t>
        </is>
      </c>
    </row>
    <row r="63">
      <c r="A63" t="inlineStr">
        <is>
          <t>Sales tax rate on alcohol served on site</t>
        </is>
      </c>
      <c r="B63" s="63" t="n">
        <v>0.08</v>
      </c>
      <c r="C63" t="inlineStr">
        <is>
          <t>Only used if you enter alcohol sales above, which is zero in this plan. Example rate: the same as the rest of the sales (state + local combined). Some states tax alcohol at a different rate or add liquor taxes: if you sell alcohol, enter the rate that applies.</t>
        </is>
      </c>
    </row>
    <row r="64">
      <c r="A64" s="16" t="inlineStr">
        <is>
          <t>CONTROL THRESHOLDS AND FLOORS</t>
        </is>
      </c>
    </row>
    <row r="65">
      <c r="A65" t="inlineStr">
        <is>
          <t>DSCR limit (minimum acceptable)</t>
        </is>
      </c>
      <c r="B65" s="24" t="n">
        <v>1.15</v>
      </c>
      <c r="C65" t="inlineStr">
        <is>
          <t>Below 1.0 the business does not generate enough to repay the loan. Lenders often write a minimum DSCR into the loan covenants: ask yours. Kit default: 1.15×</t>
        </is>
      </c>
    </row>
    <row r="66">
      <c r="A66" t="inlineStr">
        <is>
          <t>DSCR target (green)</t>
        </is>
      </c>
      <c r="B66" s="24" t="n">
        <v>1.25</v>
      </c>
      <c r="C66" t="inlineStr">
        <is>
          <t>What lenders commonly look for before approving a loan comfortably. Kit default: 1.25× (editable estimate)</t>
        </is>
      </c>
    </row>
    <row r="67">
      <c r="A67" t="inlineStr">
        <is>
          <t>Minimum cushion above break-even</t>
        </is>
      </c>
      <c r="B67" s="63" t="n">
        <v>0.15</v>
      </c>
      <c r="C67" t="inlineStr">
        <is>
          <t>Minimum cushion of the plan above break-even (plan ÷ break-even − 1). The drop you can absorb is 1 − break-even ÷ plan: a 15% cushion lets events fall by about 13% before costs stop being covered</t>
        </is>
      </c>
    </row>
    <row r="68">
      <c r="A68" t="inlineStr">
        <is>
          <t>State / local minimum wage, annual full-time</t>
        </is>
      </c>
      <c r="B68" s="18" t="n"/>
      <c r="C68" t="inlineStr">
        <is>
          <t>Enter the minimum wage of your state or city, annualized for a full-time job (hourly rate × 2,080 hours). The pay floor in the "Staffing" tab is the HIGHER of this cell and the federal minimum. With 0 or blank, the traffic light compares only against the federal floor. Check current rates at dol.gov.</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Value out of range" error="Enter a whole number from 1 to 365: guests per event or days."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BUSINESS PLAN: COFFEE CART &amp; COFFEE CATERING COMPANY</t>
        </is>
      </c>
    </row>
    <row r="2">
      <c r="A2" s="2" t="inlineStr">
        <is>
          <t>Estimated Startup Costs</t>
        </is>
      </c>
    </row>
    <row r="3">
      <c r="A3" s="3" t="inlineStr">
        <is>
          <t>US kit example (2026) — replace with your own quotes.</t>
        </is>
      </c>
    </row>
    <row r="5">
      <c r="A5" s="25" t="inlineStr">
        <is>
          <t>Item</t>
        </is>
      </c>
      <c r="B5" s="25" t="inlineStr">
        <is>
          <t>Amount</t>
        </is>
      </c>
      <c r="C5" s="25" t="inlineStr">
        <is>
          <t>% of startup costs</t>
        </is>
      </c>
      <c r="D5" s="25" t="inlineStr">
        <is>
          <t>Notes</t>
        </is>
      </c>
      <c r="E5" s="25" t="inlineStr">
        <is>
          <t>Taxable / recoverable tax?</t>
        </is>
      </c>
    </row>
    <row r="6">
      <c r="A6" s="25" t="inlineStr">
        <is>
          <t>STARTUP COSTS</t>
        </is>
      </c>
      <c r="B6" s="66">
        <f>IFERROR(IF(COUNT(B7:B23)=0,"",SUM(B7:B23)),"")</f>
        <v>71290.0</v>
      </c>
      <c r="C6" s="67">
        <f>IFERROR(B6/$B$26,"")</f>
        <v>0.7108371505889908</v>
      </c>
      <c r="D6" s="28" t="n"/>
      <c r="E6" s="28" t="n"/>
    </row>
    <row r="7">
      <c r="A7" s="28" t="inlineStr">
        <is>
          <t>Espresso cart (NSF, hand sink, fresh &amp; gray water tanks, pump &amp; filtration, undercounter fridge)</t>
        </is>
      </c>
      <c r="B7" s="49" t="n">
        <v>13400</v>
      </c>
      <c r="C7" s="68">
        <f>IFERROR(B7/$B$26,"")</f>
        <v>0.13361225722951994</v>
      </c>
      <c r="D7" s="28" t="inlineStr">
        <is>
          <t>Espresso cart with NSF certification, handwashing sink, potable and gray water tanks (your county sets the volume), pump and filter, and an under-counter refrigerator. Prices run from a few thousand dollars for a basic new cart to well above that for a custom build (see the benchmarks table on the "Instructions" tab). Ask your county for its plan review checklist BEFORE you buy the cart.</t>
        </is>
      </c>
      <c r="E7" s="31" t="inlineStr">
        <is>
          <t>Yes</t>
        </is>
      </c>
    </row>
    <row r="8">
      <c r="A8" s="28" t="inlineStr">
        <is>
          <t>Portable espresso bar for the second station (with undercounter fridge)</t>
        </is>
      </c>
      <c r="B8" s="49" t="n">
        <v>5400</v>
      </c>
      <c r="C8" s="68">
        <f>IFERROR(B8/$B$26,"")</f>
        <v>0.053843745450702064</v>
      </c>
      <c r="D8" s="28" t="inlineStr">
        <is>
          <t>Portable espresso bar for the second station and for indoor rooms, with an under-counter refrigerator (Kit estimate). It travels in the trailer with the cart.</t>
        </is>
      </c>
      <c r="E8" s="31" t="inlineStr">
        <is>
          <t>Yes</t>
        </is>
      </c>
    </row>
    <row r="9">
      <c r="A9" s="28" t="inlineStr">
        <is>
          <t>Espresso machines: 2-group volumetric (220V) + compact 2-group</t>
        </is>
      </c>
      <c r="B9" s="49" t="n">
        <v>15700</v>
      </c>
      <c r="C9" s="68">
        <f>IFERROR(B9/$B$26,"")</f>
        <v>0.15654570436593007</v>
      </c>
      <c r="D9" s="28" t="inlineStr">
        <is>
          <t>A 2-group volumetric machine at 220V / 3,400 W (about $8,500-9,000 in store prices; NEMA 6-20 plug, 15-17 A, dedicated circuit) plus a compact 2-group machine for the second station (about $7,200, 14 A). Store prices are a Kit estimate: ask for two quotes. A room without a 220V circuit needs a generator.</t>
        </is>
      </c>
      <c r="E9" s="31" t="inlineStr">
        <is>
          <t>Yes</t>
        </is>
      </c>
    </row>
    <row r="10">
      <c r="A10" s="28" t="inlineStr">
        <is>
          <t>Espresso grinders ×4 (house + decaf at each station)</t>
        </is>
      </c>
      <c r="B10" s="49" t="n">
        <v>4800</v>
      </c>
      <c r="C10" s="68">
        <f>IFERROR(B10/$B$26,"")</f>
        <v>0.04786110706729072</v>
      </c>
      <c r="D10" s="28" t="inlineStr">
        <is>
          <t>Four espresso grinders (house blend and decaf at each station), $300-3,000 each (cart-king.com). Burrs wear out sooner than the grinder: they go in the maintenance line of the "3-Year P&amp;L" tab.</t>
        </is>
      </c>
      <c r="E10" s="31" t="inlineStr">
        <is>
          <t>Yes</t>
        </is>
      </c>
    </row>
    <row r="11">
      <c r="A11" s="28" t="inlineStr">
        <is>
          <t>Enclosed cargo trailer (6×12 ft, ramp door)</t>
        </is>
      </c>
      <c r="B11" s="49" t="n">
        <v>6500</v>
      </c>
      <c r="C11" s="68">
        <f>IFERROR(B11/$B$26,"")</f>
        <v>0.06481191582028953</v>
      </c>
      <c r="D11" s="28" t="inlineStr">
        <is>
          <t>An enclosed cargo trailer, 6×12 ft with a ramp door, that carries the cart, the portable bar and the gear. Your own vehicle tows it ($0 in the example). If you do not have a tow vehicle, a used one runs about $18,000 and is not in the budget.</t>
        </is>
      </c>
      <c r="E11" s="31" t="inlineStr">
        <is>
          <t>Yes</t>
        </is>
      </c>
    </row>
    <row r="12">
      <c r="A12" s="28" t="inlineStr">
        <is>
          <t>Trailer wrap, hitch, tie-downs &amp; cart loading ramps</t>
        </is>
      </c>
      <c r="B12" s="49" t="n">
        <v>1500</v>
      </c>
      <c r="C12" s="68">
        <f>IFERROR(B12/$B$26,"")</f>
        <v>0.014956595958528352</v>
      </c>
      <c r="D12" s="28" t="inlineStr">
        <is>
          <t>Trailer wrap, hitch, tie-downs on E-track and ramps to roll the cart in and out. Check your vehicle's towing capacity and that your insurance covers the wrap and the hitch.</t>
        </is>
      </c>
      <c r="E12" s="31" t="inlineStr">
        <is>
          <t>Yes</t>
        </is>
      </c>
    </row>
    <row r="13">
      <c r="A13" s="28" t="inlineStr">
        <is>
          <t>LLC formation, contracts and legal</t>
        </is>
      </c>
      <c r="B13" s="49" t="n">
        <v>1500</v>
      </c>
      <c r="C13" s="68">
        <f>IFERROR(B13/$B$26,"")</f>
        <v>0.014956595958528352</v>
      </c>
      <c r="D13" s="28" t="inlineStr">
        <is>
          <t>State filing fees for the LLC (Secretary of State) plus an attorney's review of your standard contract (retainer, cancellation tiers, final guest count, service hours, outlet or generator, rain plan) or a filing service; a registered agent is also needed. Fees vary a lot by state. The "Taxable / recoverable tax?" column is set to No: it only matters if you enter a recoverable input tax rate (for example UK VAT).</t>
        </is>
      </c>
      <c r="E13" s="31" t="inlineStr">
        <is>
          <t>No</t>
        </is>
      </c>
    </row>
    <row r="14">
      <c r="A14" s="28" t="inlineStr">
        <is>
          <t>First-year permits and certifications (health permit, food handler cards, CFPM, fire / generator)</t>
        </is>
      </c>
      <c r="B14" s="49" t="n">
        <v>1400</v>
      </c>
      <c r="C14" s="68">
        <f>IFERROR(B14/$B$26,"")</f>
        <v>0.013959489561293129</v>
      </c>
      <c r="D14" s="28" t="inlineStr">
        <is>
          <t>Varies a lot by city, county and state: get the amounts for yours before you close the budget. Expect the health permit for the mobile food unit, food handler cards, a Certified Food Protection Manager (CFPM) certificate, the business license, the sales tax permit and, where required, a fire marshal permit for the generator.</t>
        </is>
      </c>
      <c r="E14" s="31" t="inlineStr">
        <is>
          <t>No</t>
        </is>
      </c>
    </row>
    <row r="15">
      <c r="A15" s="28" t="inlineStr">
        <is>
          <t>Mobile food unit plan review &amp; cart inspection</t>
        </is>
      </c>
      <c r="B15" s="49" t="n">
        <v>1100</v>
      </c>
      <c r="C15" s="68">
        <f>IFERROR(B15/$B$26,"")</f>
        <v>0.010968170369587457</v>
      </c>
      <c r="D15" s="28" t="inlineStr">
        <is>
          <t>Plan review of the mobile food unit and inspection of the cart. As an example, Snohomish County, WA charges $1,100 for the plan review (snohd.org); add any electrical approval your state asks for. Rules and fees vary by county, so ask the health department for its fee schedule. If nobody charges for it, enter 0.</t>
        </is>
      </c>
      <c r="E15" s="31" t="inlineStr">
        <is>
          <t>Yes</t>
        </is>
      </c>
    </row>
    <row r="16">
      <c r="A16" s="28" t="inlineStr">
        <is>
          <t>POS, card readers &amp; booking software</t>
        </is>
      </c>
      <c r="B16" s="49" t="n">
        <v>1000</v>
      </c>
      <c r="C16" s="68">
        <f>IFERROR(B16/$B$26,"")</f>
        <v>0.009971063972352234</v>
      </c>
      <c r="D16" s="28" t="inlineStr">
        <is>
          <t>POS with card readers (also for festivals), plus booking software for quotes, proposals and e-signatures.</t>
        </is>
      </c>
      <c r="E16" s="31" t="inlineStr">
        <is>
          <t>Yes</t>
        </is>
      </c>
    </row>
    <row r="17">
      <c r="A17" s="28" t="inlineStr">
        <is>
          <t>Batch brewer, airpots, cold brew system, smallwares &amp; commissary storage racks</t>
        </is>
      </c>
      <c r="B17" s="49" t="n">
        <v>3300</v>
      </c>
      <c r="C17" s="68">
        <f>IFERROR(B17/$B$26,"")</f>
        <v>0.03290451110876237</v>
      </c>
      <c r="D17" s="28" t="inlineStr">
        <is>
          <t>Batch brewer, airpots, a cold brew system, milk pitchers, scales, tampers, knock boxes, sanitizer buckets and storage racks for the commissary: the tools that get depreciated. Daily disposables are NOT depreciated: they go in the compostable cups line of the P&amp;L, at the % of sales set in the "0. Assumptions" tab.</t>
        </is>
      </c>
      <c r="E17" s="31" t="inlineStr">
        <is>
          <t>Yes</t>
        </is>
      </c>
    </row>
    <row r="18">
      <c r="A18" s="28" t="inlineStr">
        <is>
          <t>Opening inventory (beans, milks, syrups, compostable cups)</t>
        </is>
      </c>
      <c r="B18" s="49" t="n">
        <v>1500</v>
      </c>
      <c r="C18" s="68">
        <f>IFERROR(B18/$B$26,"")</f>
        <v>0.014956595958528352</v>
      </c>
      <c r="D18" s="28" t="inlineStr">
        <is>
          <t>Coffee for your tastings and first events, milks, syrups and compostable cups. With 0% recoverable input tax (the US default), any sales tax you pay on this purchase is treated as a cost.</t>
        </is>
      </c>
      <c r="E18" s="31" t="inlineStr">
        <is>
          <t>Yes</t>
        </is>
      </c>
    </row>
    <row r="19">
      <c r="A19" s="28" t="inlineStr">
        <is>
          <t>Website, photos, tastings &amp; launch (corporate open house, bridal show)</t>
        </is>
      </c>
      <c r="B19" s="49" t="n">
        <v>5000</v>
      </c>
      <c r="C19" s="68">
        <f>IFERROR(B19/$B$26,"")</f>
        <v>0.04985531986176117</v>
      </c>
      <c r="D19" s="28" t="inlineStr">
        <is>
          <t>Website, photos from real events, tastings, a corporate open house and your first bridal show, plus listings on The Knot, Zola and GigSalad.</t>
        </is>
      </c>
      <c r="E19" s="31" t="inlineStr">
        <is>
          <t>Yes</t>
        </is>
      </c>
    </row>
    <row r="20">
      <c r="A20" s="28" t="inlineStr">
        <is>
          <t>Power: inverter generator (5,500 W), cords &amp; power distribution</t>
        </is>
      </c>
      <c r="B20" s="49" t="n">
        <v>5000</v>
      </c>
      <c r="C20" s="68">
        <f>IFERROR(B20/$B$26,"")</f>
        <v>0.04985531986176117</v>
      </c>
      <c r="D20" s="28" t="inlineStr">
        <is>
          <t>A 5,500 W continuous inverter generator (quiet, for rooms without an outlet and for outdoor events), cords of the right gauge and a power strip with GFCI. Your fire marshal may ask for a minimum distance and a fire extinguisher: ask before you buy.</t>
        </is>
      </c>
      <c r="E20" s="31" t="inlineStr">
        <is>
          <t>Yes</t>
        </is>
      </c>
    </row>
    <row r="21">
      <c r="A21" s="28" t="inlineStr">
        <is>
          <t>Commissary deposit</t>
        </is>
      </c>
      <c r="B21" s="40">
        <f>IFERROR(IF('0. Assumptions'!$B$24="","",'0. Assumptions'!$B$24*'0. Assumptions'!$B$25),"")</f>
        <v>700.0</v>
      </c>
      <c r="C21" s="68">
        <f>IFERROR(B21/$B$26,"")</f>
        <v>0.006979744780646564</v>
      </c>
      <c r="D21" s="28" t="str">
        <f>IFERROR(""&amp;TEXT('0. Assumptions'!$B$25,"0")&amp;IF('0. Assumptions'!$B$25=1," month"," months")&amp;" of rent, from ""0. Assumptions"". Refundable when the commissary agreement ends: it is not depreciated and carries no tax","")</f>
        <v>1 month of rent, from "0. Assumptions". Refundable when the commissary agreement ends: it is not depreciated and carries no tax</v>
      </c>
      <c r="E21" s="28" t="inlineStr">
        <is>
          <t>No</t>
        </is>
      </c>
    </row>
    <row r="22">
      <c r="A22" s="28" t="inlineStr">
        <is>
          <t>Commissary rent before opening</t>
        </is>
      </c>
      <c r="B22" s="40">
        <f>IFERROR(IF('0. Assumptions'!$B$24="","",'0. Assumptions'!$B$24*'0. Assumptions'!$B$54),"")</f>
        <v>700.0</v>
      </c>
      <c r="C22" s="68">
        <f>IFERROR(B22/$B$26,"")</f>
        <v>0.006979744780646564</v>
      </c>
      <c r="D22" s="28" t="str">
        <f>IFERROR("Rent "&amp;IF('0. Assumptions'!$B$54=1,"for the month","for the "&amp;TEXT('0. Assumptions'!$B$54,"0")&amp;" months")&amp;" of plan review, test events and pre-sales before opening. It does not overlap the P&amp;L, which starts on opening day: its twelve months are twelve trading months","")</f>
        <v>Rent for the month of plan review, test events and pre-sales before opening. It does not overlap the P&amp;L, which starts on opening day: its twelve months are twelve trading months</v>
      </c>
      <c r="E22" s="28" t="inlineStr">
        <is>
          <t>Yes</t>
        </is>
      </c>
    </row>
    <row r="23">
      <c r="A23" s="28" t="inlineStr">
        <is>
          <t>Cart, bar, trailer and plan review contingency</t>
        </is>
      </c>
      <c r="B23" s="40">
        <f>IFERROR(IF(COUNT(B7,B8,B11,B12,B15)=0,"",ROUND((B7+B8+B11+B12+B15)*'0. Assumptions'!$B$55,0)),"")</f>
        <v>2790.0</v>
      </c>
      <c r="C23" s="68">
        <f>IFERROR(B23/$B$26,"")</f>
        <v>0.027819268482862734</v>
      </c>
      <c r="D23" s="28" t="str">
        <f>IFERROR("At "&amp;TEXT('0. Assumptions'!$B$55,"0%")&amp;" of the BUILD-OUT items of this block (espresso cart, portable espresso bar, enclosed cargo trailer, trailer wrap and hitch, and the mobile food unit plan review), not of the whole block: the other items are left out. No lender funds a build-out without a cushion: the percentage is in ""0. Assumptions""","")</f>
        <v>At 10% of the BUILD-OUT items of this block (espresso cart, portable espresso bar, enclosed cargo trailer, trailer wrap and hitch, and the mobile food unit plan review), not of the whole block: the other items are left out. No lender funds a build-out without a cushion: the percentage is in "0. Assumptions"</v>
      </c>
      <c r="E23" s="28" t="inlineStr">
        <is>
          <t>Yes</t>
        </is>
      </c>
    </row>
    <row r="24">
      <c r="A24" s="16" t="inlineStr">
        <is>
          <t>WORKING CAPITAL</t>
        </is>
      </c>
      <c r="B24" s="52">
        <f>IFERROR(IF(B25="","",B25),"")</f>
        <v>29000.2</v>
      </c>
      <c r="C24" s="69">
        <f>IFERROR(B24/$B$26,"")</f>
        <v>0.2891628494110093</v>
      </c>
    </row>
    <row r="25">
      <c r="A25" s="35" t="inlineStr">
        <is>
          <t>Operating cushion until break-even</t>
        </is>
      </c>
      <c r="B25" s="42">
        <f>IFERROR(IF('0. Assumptions'!$B$35*('3-Year P&amp;L'!$B$38-'3-Year P&amp;L'!$B$36)=0,"",'0. Assumptions'!$B$35*('3-Year P&amp;L'!$B$38-'3-Year P&amp;L'!$B$36)/12),"")</f>
        <v>29000.2</v>
      </c>
      <c r="C25" s="65">
        <f>IFERROR(B25/$B$26,"")</f>
        <v>0.2891628494110093</v>
      </c>
      <c r="D25"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5" s="35" t="inlineStr">
        <is>
          <t>No</t>
        </is>
      </c>
    </row>
    <row r="26">
      <c r="A26" s="16" t="inlineStr">
        <is>
          <t>TOTAL STARTUP COSTS (sum of the blocks)</t>
        </is>
      </c>
      <c r="B26" s="52">
        <f>IFERROR(B6+B24,"")</f>
        <v>100290.2</v>
      </c>
      <c r="D26" s="37" t="str">
        <f>IFERROR("The percentages in column C are read on this figure, which includes the working capital ("&amp;TEXT(C24,"0%")&amp;" of the total). To compare the breakdown with another plan, use the CAPEX row below.","")</f>
        <v>The percentages in column C are read on this figure, which includes the working capital (29% of the total). To compare the breakdown with another plan, use the CAPEX row below.</v>
      </c>
    </row>
    <row r="27">
      <c r="A27" s="16" t="inlineStr">
        <is>
          <t>CAPEX (startup costs excluding working capital)</t>
        </is>
      </c>
      <c r="B27" s="52">
        <f>IFERROR(B26-B24,"")</f>
        <v>71290.0</v>
      </c>
      <c r="D27" s="16" t="inlineStr">
        <is>
          <t>What you buy: the cart and the portable bar, the espresso machines and grinders, the trailer, power, launch and formation costs. The cash cushion is not an investment: it is working capital.</t>
        </is>
      </c>
    </row>
    <row r="28">
      <c r="A28" s="35" t="inlineStr">
        <is>
          <t>Recoverable input tax on capex</t>
        </is>
      </c>
      <c r="B28" s="42">
        <f>IFERROR(IF(B26="","",SUMIF($E$7:$E$23,"Yes",$B$7:$B$23)*'0. Assumptions'!$B$41),"")</f>
        <v>0.0</v>
      </c>
      <c r="D28"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row>
    <row r="29">
      <c r="A29" s="16" t="inlineStr">
        <is>
          <t>TOTAL CASH NEEDED AT LAUNCH</t>
        </is>
      </c>
      <c r="B29" s="52">
        <f>IFERROR(B26+B28,"")</f>
        <v>100290.2</v>
      </c>
      <c r="D29" s="16" t="inlineStr">
        <is>
          <t>This is the figure the Financing tab has to cover</t>
        </is>
      </c>
    </row>
    <row r="30">
      <c r="A30" s="16" t="inlineStr">
        <is>
          <t>DEPRECIATION BASES (not added to startup costs)</t>
        </is>
      </c>
    </row>
    <row r="31">
      <c r="A31" s="35" t="inlineStr">
        <is>
          <t>Espresso cart, portable bar, trailer, wrap and plan review (depreciated over the cart life)</t>
        </is>
      </c>
      <c r="B31" s="42">
        <f>IFERROR(IF(B7="","",B7+B8+B11+B12+B15+B23),"")</f>
        <v>30690.0</v>
      </c>
      <c r="D31" t="str">
        <f>IFERROR("Depreciated over "&amp;TEXT('0. Assumptions'!$B$44,"0")&amp;" years","")</f>
        <v>Depreciated over 7 years</v>
      </c>
    </row>
    <row r="32">
      <c r="A32" s="35" t="inlineStr">
        <is>
          <t>Machinery, furniture and equipment</t>
        </is>
      </c>
      <c r="B32" s="42">
        <f>IFERROR(IF(B9="","",B9+B10+B16+B17+B20),"")</f>
        <v>29800.0</v>
      </c>
      <c r="D32" t="str">
        <f>IFERROR("Depreciated over "&amp;TEXT('0. Assumptions'!$B$45,"0")&amp;" years","")</f>
        <v>Depreciated over 5 years</v>
      </c>
    </row>
    <row r="33">
      <c r="A33" s="16" t="inlineStr">
        <is>
          <t>Annual depreciation of fixed assets</t>
        </is>
      </c>
      <c r="B33" s="52">
        <f>IFERROR(B31/MAX(1,'0. Assumptions'!$B$44)+B32/MAX(1,'0. Assumptions'!$B$45),"")</f>
        <v>10344.285714285714</v>
      </c>
      <c r="D33" s="37" t="str">
        <f>IFERROR("Not depreciated, because they are not fixed assets: LLC formation and legal, first-year permits and certifications, opening inventory, website, photos and launch, the commissary deposit, pre-opening commissary rent and the working capital reserve. They add up to "&amp;TEXT(B26-B31-B32,"#,##0")&amp;" of the "&amp;TEXT(B26,"#,##0")&amp;" total investment.","")</f>
        <v>Not depreciated, because they are not fixed assets: LLC formation and legal, first-year permits and certifications, opening inventory, website, photos and launch, the commissary deposit, pre-opening commissary rent and the working capital reserve. They add up to 39800 of the 100290 total investment.</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PRO FORMA P&amp;L — 3 YEARS</t>
        </is>
      </c>
    </row>
    <row r="2">
      <c r="A2" s="3" t="inlineStr">
        <is>
          <t>Base case — coffee catering company with two espresso stations</t>
        </is>
      </c>
    </row>
    <row r="4">
      <c r="A4" s="39" t="inlineStr">
        <is>
          <t>Item</t>
        </is>
      </c>
      <c r="B4" s="39" t="inlineStr">
        <is>
          <t>Year 1</t>
        </is>
      </c>
      <c r="C4" s="39" t="inlineStr">
        <is>
          <t>Year 2</t>
        </is>
      </c>
      <c r="D4" s="39" t="inlineStr">
        <is>
          <t>Year 3</t>
        </is>
      </c>
      <c r="E4" s="39" t="inlineStr">
        <is>
          <t>% of sales (year 1)</t>
        </is>
      </c>
      <c r="F4" s="39" t="inlineStr">
        <is>
          <t>Notes</t>
        </is>
      </c>
      <c r="G4" s="39" t="inlineStr">
        <is>
          <t>Sales tax rate on the line (%)</t>
        </is>
      </c>
      <c r="H4" s="28" t="n"/>
    </row>
    <row r="5">
      <c r="A5" s="25" t="inlineStr">
        <is>
          <t>REVENUE</t>
        </is>
      </c>
      <c r="B5" s="28" t="n"/>
      <c r="C5" s="28" t="n"/>
      <c r="D5" s="28" t="n"/>
      <c r="E5" s="28" t="n"/>
      <c r="F5" s="28" t="n"/>
      <c r="G5" s="28" t="n"/>
      <c r="H5" s="28" t="n"/>
    </row>
    <row r="6">
      <c r="A6" s="28" t="inlineStr">
        <is>
          <t>Events per year (average)</t>
        </is>
      </c>
      <c r="B6" s="40">
        <f>IFERROR(IF('0. Assumptions'!$B$4="","",'0. Assumptions'!$B$4),"")</f>
        <v>170.0</v>
      </c>
      <c r="C6" s="40">
        <f>IFERROR(B6*(1+'0. Assumptions'!$B$7),"")</f>
        <v>187.00000000000003</v>
      </c>
      <c r="D6" s="40">
        <f>IFERROR(C6*(1+'0. Assumptions'!$B$8),"")</f>
        <v>198.22000000000003</v>
      </c>
      <c r="E6" s="28" t="n"/>
      <c r="F6" s="28" t="inlineStr">
        <is>
          <t>Growth for years 2 and 3 is set in "0. Assumptions"</t>
        </is>
      </c>
      <c r="G6" s="28" t="n"/>
      <c r="H6" s="28" t="n"/>
    </row>
    <row r="7">
      <c r="A7" s="28" t="inlineStr">
        <is>
          <t>Average price per guest (excl. sales tax)</t>
        </is>
      </c>
      <c r="B7" s="61">
        <f>IFERROR(IF('0. Assumptions'!$B$5="","",'0. Assumptions'!$B$5),"")</f>
        <v>12.6</v>
      </c>
      <c r="C7" s="61">
        <f>IFERROR(IF(B7="","",B7),"")</f>
        <v>12.6</v>
      </c>
      <c r="D7" s="61">
        <f>IFERROR(IF(C7="","",C7),"")</f>
        <v>12.6</v>
      </c>
      <c r="E7" s="28" t="n"/>
      <c r="F7" s="28" t="inlineStr">
        <is>
          <t>Held constant at year-1 prices: a price increase is a separate decision</t>
        </is>
      </c>
      <c r="G7" s="28" t="n"/>
      <c r="H7" s="28" t="n"/>
    </row>
    <row r="8">
      <c r="A8" s="28" t="inlineStr">
        <is>
          <t>Average guests per event</t>
        </is>
      </c>
      <c r="B8" s="40">
        <f>IFERROR(IF('0. Assumptions'!$B$6="","",'0. Assumptions'!$B$6),"")</f>
        <v>95.0</v>
      </c>
      <c r="C8" s="40">
        <f>IFERROR(IF(B8="","",B8),"")</f>
        <v>95.0</v>
      </c>
      <c r="D8" s="40">
        <f>IFERROR(IF(C8="","",C8),"")</f>
        <v>95.0</v>
      </c>
      <c r="E8" s="28" t="n"/>
      <c r="F8" s="28" t="n"/>
      <c r="G8" s="28" t="n"/>
      <c r="H8" s="28" t="n"/>
    </row>
    <row r="9">
      <c r="A9" s="25" t="inlineStr">
        <is>
          <t>TOTAL REVENUE (excl. sales tax)</t>
        </is>
      </c>
      <c r="B9" s="66">
        <f>IFERROR(IF(B6*B7*B8=0,"",B6*B7*B8),"")</f>
        <v>203490.0</v>
      </c>
      <c r="C9" s="66">
        <f>IFERROR(IF(C6*C7*C8=0,"",C6*C7*C8),"")</f>
        <v>223839.00000000003</v>
      </c>
      <c r="D9" s="66">
        <f>IFERROR(IF(D6*D7*D8=0,"",D6*D7*D8),"")</f>
        <v>237269.34000000003</v>
      </c>
      <c r="E9" s="67">
        <f>IFERROR(IF(B9="","",1),"")</f>
        <v>1.0</v>
      </c>
      <c r="F9" s="28" t="n"/>
      <c r="G9" s="28" t="n"/>
      <c r="H9" s="28" t="n"/>
    </row>
    <row r="10">
      <c r="A10" s="28" t="inlineStr">
        <is>
          <t>Coffee bar package sales (baristas, espresso drinks, batch &amp; cold brew, milks, syrups, cups)</t>
        </is>
      </c>
      <c r="B10" s="40">
        <f>IFERROR(IF(B9="","",B9*$E$10),"")</f>
        <v>172966.5</v>
      </c>
      <c r="C10" s="40">
        <f>IFERROR(IF(C9="","",C9*$E$10),"")</f>
        <v>190263.15000000002</v>
      </c>
      <c r="D10" s="40">
        <f>IFERROR(IF(D9="","",D9*$E$10),"")</f>
        <v>201678.939</v>
      </c>
      <c r="E10" s="68">
        <f>IFERROR(IF('0. Assumptions'!$B$11="","",'0. Assumptions'!$B$11),"")</f>
        <v>0.85</v>
      </c>
      <c r="F10" s="28" t="inlineStr">
        <is>
          <t>Sales of coffee bar packages: the espresso bar with baristas, batch brew and cold brew, milks, syrups and compostable cups, across corporate events, weddings, private parties and festival days. All of it carries cost of goods sold at the package rate.</t>
        </is>
      </c>
      <c r="G10" s="68">
        <f>IFERROR(IF(B9="","",'0. Assumptions'!$B$39),"")</f>
        <v>0.08</v>
      </c>
      <c r="H10" s="28" t="n"/>
    </row>
    <row r="11">
      <c r="A11" s="28" t="inlineStr">
        <is>
          <t>Add-on sales (extra hours, branded cups &amp; latte printing, pastries, travel fees)</t>
        </is>
      </c>
      <c r="B11" s="40">
        <f>IFERROR(IF(B9="","",B9*$E$11),"")</f>
        <v>30523.500000000004</v>
      </c>
      <c r="C11" s="40">
        <f>IFERROR(IF(C9="","",C9*$E$11),"")</f>
        <v>33575.850000000006</v>
      </c>
      <c r="D11" s="40">
        <f>IFERROR(IF(D9="","",D9*$E$11),"")</f>
        <v>35590.40100000001</v>
      </c>
      <c r="E11" s="68">
        <f>IFERROR(IF('0. Assumptions'!$B$12="","",'0. Assumptions'!$B$12),"")</f>
        <v>0.15000000000000002</v>
      </c>
      <c r="F11" s="28" t="inlineStr">
        <is>
          <t>Sales of add-ons: extra hours, branded cups and latte printing, pastries from a licensed bakery and travel fees. There is no alcohol revenue.</t>
        </is>
      </c>
      <c r="G11" s="68">
        <f>IFERROR(IF(B9="","",('0. Assumptions'!$B$62*((1-'0. Assumptions'!$B$16)*'0. Assumptions'!$B$63+'0. Assumptions'!$B$16*'0. Assumptions'!$B$40)+(1-'0. Assumptions'!$B$62)*'0. Assumptions'!$B$39)),"")</f>
        <v>0.08</v>
      </c>
      <c r="H11" s="28" t="n"/>
    </row>
    <row r="12">
      <c r="A12" s="25" t="inlineStr">
        <is>
          <t>VARIABLE COSTS</t>
        </is>
      </c>
      <c r="B12" s="28" t="n"/>
      <c r="C12" s="28" t="n"/>
      <c r="D12" s="28" t="n"/>
      <c r="E12" s="28" t="n"/>
      <c r="F12" s="28" t="n"/>
      <c r="G12" s="28" t="n"/>
      <c r="H12" s="28" t="n"/>
    </row>
    <row r="13">
      <c r="A13" s="28" t="inlineStr">
        <is>
          <t>Cost of goods — coffee bar packages (beans, milks, syrups, cold brew)</t>
        </is>
      </c>
      <c r="B13" s="40">
        <f>IFERROR(IF(B9="","",B9*'0. Assumptions'!$B$11*'0. Assumptions'!$B$13),"")</f>
        <v>20755.98</v>
      </c>
      <c r="C13" s="40">
        <f>IFERROR(IF(C9="","",C9*'0. Assumptions'!$B$11*'0. Assumptions'!$B$13),"")</f>
        <v>22831.578</v>
      </c>
      <c r="D13" s="40">
        <f>IFERROR(IF(D9="","",D9*'0. Assumptions'!$B$11*'0. Assumptions'!$B$13),"")</f>
        <v>24201.47268</v>
      </c>
      <c r="E13" s="68">
        <f>IFERROR(B13/$B$9,"")</f>
        <v>0.102</v>
      </c>
      <c r="F13" s="28" t="str">
        <f>IFERROR("At "&amp;TEXT('0. Assumptions'!$B$13,"0%")&amp;" of COFFEE BAR PACKAGE sales (beans, milks, syrups and cold brew, with waste), not of total sales: add-ons have their own line","")</f>
        <v>At 12% of COFFEE BAR PACKAGE sales (beans, milks, syrups and cold brew, with waste), not of total sales: add-ons have their own line</v>
      </c>
      <c r="G13" s="68">
        <f>IFERROR(IF(B9="","",'0. Assumptions'!$B$41),"")</f>
        <v>0.0</v>
      </c>
      <c r="H13" s="28" t="n"/>
    </row>
    <row r="14">
      <c r="A14" s="28" t="inlineStr">
        <is>
          <t>Cost of goods — add-ons</t>
        </is>
      </c>
      <c r="B14" s="40">
        <f>IFERROR(IF(B9="","",B9*'0. Assumptions'!$B$12*'0. Assumptions'!$B$14),"")</f>
        <v>7630.875000000001</v>
      </c>
      <c r="C14" s="40">
        <f>IFERROR(IF(C9="","",C9*'0. Assumptions'!$B$12*'0. Assumptions'!$B$14),"")</f>
        <v>8393.962500000001</v>
      </c>
      <c r="D14" s="40">
        <f>IFERROR(IF(D9="","",D9*'0. Assumptions'!$B$12*'0. Assumptions'!$B$14),"")</f>
        <v>8897.600250000003</v>
      </c>
      <c r="E14" s="68">
        <f>IFERROR(B14/$B$9,"")</f>
        <v>0.037500000000000006</v>
      </c>
      <c r="F14" s="28" t="str">
        <f>IFERROR("At "&amp;TEXT('0. Assumptions'!$B$14,"0%")&amp;" of ADD-ON sales","")</f>
        <v>At 25% of ADD-ON sales</v>
      </c>
      <c r="G14" s="68">
        <f>IFERROR(IF(B9="","",'0. Assumptions'!$B$41),"")</f>
        <v>0.0</v>
      </c>
      <c r="H14" s="28" t="n"/>
    </row>
    <row r="15">
      <c r="A15" s="28" t="inlineStr">
        <is>
          <t>Compostable cups, lids, sleeves &amp; napkins</t>
        </is>
      </c>
      <c r="B15" s="40">
        <f>IFERROR(IF(B9="","",B9*'0. Assumptions'!$B$15),"")</f>
        <v>8139.6</v>
      </c>
      <c r="C15" s="40">
        <f>IFERROR(IF(C9="","",C9*'0. Assumptions'!$B$15),"")</f>
        <v>8953.560000000001</v>
      </c>
      <c r="D15" s="40">
        <f>IFERROR(IF(D9="","",D9*'0. Assumptions'!$B$15),"")</f>
        <v>9490.7736</v>
      </c>
      <c r="E15" s="68">
        <f>IFERROR(B15/$B$9,"")</f>
        <v>0.04</v>
      </c>
      <c r="F15" s="28" t="n"/>
      <c r="G15" s="68">
        <f>IFERROR(IF(B9="","",'0. Assumptions'!$B$41),"")</f>
        <v>0.0</v>
      </c>
      <c r="H15" s="28" t="n"/>
    </row>
    <row r="16">
      <c r="A16" s="28" t="inlineStr">
        <is>
          <t>Festival &amp; market organizer fees</t>
        </is>
      </c>
      <c r="B16" s="40">
        <f>IFERROR(IF(B9="","",B9*'0. Assumptions'!$B$16*'0. Assumptions'!$B$17),"")</f>
        <v>1526.175</v>
      </c>
      <c r="C16" s="40">
        <f>IFERROR(IF(C9="","",C9*'0. Assumptions'!$B$16*'0. Assumptions'!$B$17),"")</f>
        <v>1678.7925000000002</v>
      </c>
      <c r="D16" s="40">
        <f>IFERROR(IF(D9="","",D9*'0. Assumptions'!$B$16*'0. Assumptions'!$B$17),"")</f>
        <v>1779.5200500000003</v>
      </c>
      <c r="E16" s="68">
        <f>IFERROR(B16/$B$9,"")</f>
        <v>0.0075</v>
      </c>
      <c r="F16" s="28" t="inlineStr">
        <is>
          <t>Applied to the sales of THAT CHANNEL. With 0% festival and farmers market sales in "0. Assumptions", this line is zero</t>
        </is>
      </c>
      <c r="G16" s="68">
        <f>IFERROR(IF(B9="","",'0. Assumptions'!$B$41),"")</f>
        <v>0.0</v>
      </c>
      <c r="H16" s="28" t="n"/>
    </row>
    <row r="17">
      <c r="A17" s="28" t="inlineStr">
        <is>
          <t>Card processing fees</t>
        </is>
      </c>
      <c r="B17" s="40">
        <f>IFERROR(IF(B9="","",B9*'0. Assumptions'!$B$18),"")</f>
        <v>6104.7</v>
      </c>
      <c r="C17" s="40">
        <f>IFERROR(IF(C9="","",C9*'0. Assumptions'!$B$18),"")</f>
        <v>6715.170000000001</v>
      </c>
      <c r="D17" s="40">
        <f>IFERROR(IF(D9="","",D9*'0. Assumptions'!$B$18),"")</f>
        <v>7118.0802</v>
      </c>
      <c r="E17" s="68">
        <f>IFERROR(B17/$B$9,"")</f>
        <v>0.03</v>
      </c>
      <c r="F17" s="28" t="inlineStr">
        <is>
          <t>Card processing fees are not subject to sales tax: no tax is recovered or deducted for them</t>
        </is>
      </c>
      <c r="G17" s="68" t="n">
        <v>0</v>
      </c>
      <c r="H17" s="28" t="n"/>
    </row>
    <row r="18">
      <c r="A18" s="28" t="inlineStr">
        <is>
          <t>Miscellaneous and contingency</t>
        </is>
      </c>
      <c r="B18" s="40">
        <f>IFERROR(IF(B9="","",B9*'0. Assumptions'!$B$28),"")</f>
        <v>6104.7</v>
      </c>
      <c r="C18" s="40">
        <f>IFERROR(IF(C9="","",C9*'0. Assumptions'!$B$28),"")</f>
        <v>6715.170000000001</v>
      </c>
      <c r="D18" s="40">
        <f>IFERROR(IF(D9="","",D9*'0. Assumptions'!$B$28),"")</f>
        <v>7118.0802</v>
      </c>
      <c r="E18" s="68">
        <f>IFERROR(B18/$B$9,"")</f>
        <v>0.03</v>
      </c>
      <c r="F18" s="28" t="str">
        <f>IFERROR("At "&amp;TEXT('0. Assumptions'!$B$28,"0%")&amp;" of sales: a cushion for unbudgeted event costs (extra milk, ice, cables, venue parking). It is a VARIABLE cost: it moves with the number of events, so it cannot sit in fixed costs (tow vehicle and trailer fuel, maintenance and registration are in row 27; generator fuel is in utilities)","")</f>
        <v>At 3% of sales: a cushion for unbudgeted event costs (extra milk, ice, cables, venue parking). It is a VARIABLE cost: it moves with the number of events, so it cannot sit in fixed costs (tow vehicle and trailer fuel, maintenance and registration are in row 27; generator fuel is in utilities)</v>
      </c>
      <c r="G18" s="68">
        <f>IFERROR(IF(B9="","",'0. Assumptions'!$B$41),"")</f>
        <v>0.0</v>
      </c>
      <c r="H18" s="28" t="n"/>
    </row>
    <row r="19">
      <c r="A19" s="25" t="inlineStr">
        <is>
          <t>TOTAL VARIABLE COSTS</t>
        </is>
      </c>
      <c r="B19" s="66">
        <f>IFERROR(IF(B9="","",SUM(B13:B18)),"")</f>
        <v>50262.03</v>
      </c>
      <c r="C19" s="66">
        <f>IFERROR(IF(C9="","",SUM(C13:C18)),"")</f>
        <v>55288.23300000001</v>
      </c>
      <c r="D19" s="66">
        <f>IFERROR(IF(D9="","",SUM(D13:D18)),"")</f>
        <v>58605.52698</v>
      </c>
      <c r="E19" s="67">
        <f>IFERROR(B19/$B$9,"")</f>
        <v>0.247</v>
      </c>
      <c r="F19" s="28" t="n"/>
      <c r="G19" s="28" t="n"/>
      <c r="H19" s="28" t="n"/>
    </row>
    <row r="20">
      <c r="A20" s="25" t="inlineStr">
        <is>
          <t>GROSS MARGIN</t>
        </is>
      </c>
      <c r="B20" s="66">
        <f>IFERROR(IF(B9="","",B9-B19),"")</f>
        <v>153227.97</v>
      </c>
      <c r="C20" s="66">
        <f>IFERROR(IF(C9="","",C9-C19),"")</f>
        <v>168550.76700000002</v>
      </c>
      <c r="D20" s="66">
        <f>IFERROR(IF(D9="","",D9-D19),"")</f>
        <v>178663.81302000003</v>
      </c>
      <c r="E20" s="67">
        <f>IFERROR(B20/$B$9,"")</f>
        <v>0.753</v>
      </c>
      <c r="F20" s="28" t="n"/>
      <c r="G20" s="28" t="n"/>
      <c r="H20" s="28" t="n"/>
    </row>
    <row r="21">
      <c r="A21" s="25" t="inlineStr">
        <is>
          <t>FIXED COSTS</t>
        </is>
      </c>
      <c r="B21" s="28" t="n"/>
      <c r="C21" s="28" t="n"/>
      <c r="D21" s="28" t="n"/>
      <c r="E21" s="28" t="n"/>
      <c r="F21" s="28" t="n"/>
      <c r="G21" s="28" t="n"/>
      <c r="H21" s="28" t="n"/>
    </row>
    <row r="22">
      <c r="A22" s="28" t="inlineStr">
        <is>
          <t>Commissary, cart storage &amp; trailer parking</t>
        </is>
      </c>
      <c r="B22" s="40">
        <f>IFERROR(IF(B9="","",'0. Assumptions'!$B$24*12),"")</f>
        <v>8400.0</v>
      </c>
      <c r="C22" s="40">
        <f>IFERROR(IF(C9="","",B22*(1+'0. Assumptions'!$B$48)),"")</f>
        <v>8400.0</v>
      </c>
      <c r="D22" s="40">
        <f>IFERROR(IF(D9="","",C22*(1+'0. Assumptions'!$B$48)),"")</f>
        <v>8400.0</v>
      </c>
      <c r="E22" s="68">
        <f>IFERROR(B22/$B$9,"")</f>
        <v>0.0412796697626419</v>
      </c>
      <c r="F22" s="28" t="inlineStr">
        <is>
          <t>The monthly amount is typed in "0. Assumptions"; here it is multiplied by twelve. It covers your commissary hours, cart storage and trailer parking, not storefront rent. The months before opening are on the "Startup Costs" tab and are NOT counted twice.</t>
        </is>
      </c>
      <c r="G22" s="68">
        <f>IFERROR(IF(B9="","",'0. Assumptions'!$B$41),"")</f>
        <v>0.0</v>
      </c>
      <c r="H22" s="28" t="n"/>
    </row>
    <row r="23">
      <c r="A23" s="28" t="inlineStr">
        <is>
          <t>Labor (wages + employer payroll taxes)</t>
        </is>
      </c>
      <c r="B23" s="40">
        <f>IFERROR(IF(B9="","",Staffing!$G$9),"")</f>
        <v>74500.8</v>
      </c>
      <c r="C23" s="40">
        <f>IFERROR(IF(C9="","",Staffing!$B$13),"")</f>
        <v>77500.8</v>
      </c>
      <c r="D23" s="40">
        <f>IFERROR(IF(D9="","",Staffing!$B$14),"")</f>
        <v>80500.8</v>
      </c>
      <c r="E23" s="68">
        <f>IFERROR(B23/$B$9,"")</f>
        <v>0.3661152882205514</v>
      </c>
      <c r="F23" s="28" t="inlineStr">
        <is>
          <t>Comes from the Staffing tab: it is the SAME number, not a separate estimate. Years 2 and 3 add the new hires declared on that tab, not a percentage of volume</t>
        </is>
      </c>
      <c r="G23" s="68" t="n">
        <v>0</v>
      </c>
      <c r="H23" s="28" t="n"/>
    </row>
    <row r="24">
      <c r="A24" s="28" t="inlineStr">
        <is>
          <t>Utilities (generator fuel, water and ice not covered by the commissary)</t>
        </is>
      </c>
      <c r="B24" s="40">
        <f>IFERROR(IF(B9="","",'0. Assumptions'!$B$26*12),"")</f>
        <v>1200.0</v>
      </c>
      <c r="C24" s="40">
        <f>IFERROR(IF(C9="","",B24*(1+'0. Assumptions'!$B$48)),"")</f>
        <v>1200.0</v>
      </c>
      <c r="D24" s="40">
        <f>IFERROR(IF(D9="","",C24*(1+'0. Assumptions'!$B$48)),"")</f>
        <v>1200.0</v>
      </c>
      <c r="E24" s="68">
        <f>IFERROR(B24/$B$9,"")</f>
        <v>0.005897095680377414</v>
      </c>
      <c r="F24" s="28" t="inlineStr">
        <is>
          <t>Generator fuel, water and ice that the commissary fee does not cover. Tow vehicle fuel is not here: it has its own fixed line on this tab.</t>
        </is>
      </c>
      <c r="G24" s="68">
        <f>IFERROR(IF(B9="","",'0. Assumptions'!$B$41),"")</f>
        <v>0.0</v>
      </c>
      <c r="H24" s="28" t="n"/>
    </row>
    <row r="25">
      <c r="A25" s="28" t="inlineStr">
        <is>
          <t>Insurance (general liability, commercial auto with the trailer, workers' comp, equipment)</t>
        </is>
      </c>
      <c r="B25" s="40">
        <f>IFERROR(IF(B9="","",'0. Assumptions'!$B$27),"")</f>
        <v>3800.0</v>
      </c>
      <c r="C25" s="40">
        <f>IFERROR(IF(C9="","",B25*(1+'0. Assumptions'!$B$48)),"")</f>
        <v>3800.0</v>
      </c>
      <c r="D25" s="40">
        <f>IFERROR(IF(D9="","",C25*(1+'0. Assumptions'!$B$48)),"")</f>
        <v>3800.0</v>
      </c>
      <c r="E25" s="68">
        <f>IFERROR(B25/$B$9,"")</f>
        <v>0.018674136321195144</v>
      </c>
      <c r="F25" s="28" t="inlineStr">
        <is>
          <t>Insurance premiums are not subject to sales tax: there is no recoverable tax on them</t>
        </is>
      </c>
      <c r="G25" s="68" t="n">
        <v>0</v>
      </c>
      <c r="H25" s="28" t="n"/>
    </row>
    <row r="26">
      <c r="A26" s="28" t="inlineStr">
        <is>
          <t>Annual permits and licenses (health permit renewal, temporary event and fire / generator permits)</t>
        </is>
      </c>
      <c r="B26" s="49" t="n">
        <v>1500</v>
      </c>
      <c r="C26" s="40">
        <f>IFERROR(IF(C9="","",B26*(1+'0. Assumptions'!$B$48)),"")</f>
        <v>1500.0</v>
      </c>
      <c r="D26" s="40">
        <f>IFERROR(IF(D9="","",C26*(1+'0. Assumptions'!$B$48)),"")</f>
        <v>1500.0</v>
      </c>
      <c r="E26" s="68">
        <f>IFERROR(B26/$B$9,"")</f>
        <v>0.007371369600471768</v>
      </c>
      <c r="F26" s="28" t="n"/>
      <c r="G26" s="68">
        <f>IFERROR(IF(B9="","",'0. Assumptions'!$B$41),"")</f>
        <v>0.0</v>
      </c>
      <c r="H26" s="28" t="n"/>
    </row>
    <row r="27">
      <c r="A27" s="28" t="inlineStr">
        <is>
          <t>Tow vehicle &amp; trailer fuel, maintenance and registration</t>
        </is>
      </c>
      <c r="B27" s="49" t="n">
        <v>3500</v>
      </c>
      <c r="C27" s="40">
        <f>IFERROR(IF(C9="","",B27*(1+'0. Assumptions'!$B$48)),"")</f>
        <v>3500.0</v>
      </c>
      <c r="D27" s="40">
        <f>IFERROR(IF(D9="","",C27*(1+'0. Assumptions'!$B$48)),"")</f>
        <v>3500.0</v>
      </c>
      <c r="E27" s="68">
        <f>IFERROR(B27/$B$9,"")</f>
        <v>0.01719986240110079</v>
      </c>
      <c r="F27" s="28" t="n"/>
      <c r="G27" s="68">
        <f>IFERROR(IF(B9="","",'0. Assumptions'!$B$41),"")</f>
        <v>0.0</v>
      </c>
      <c r="H27" s="28" t="n"/>
    </row>
    <row r="28">
      <c r="A28" s="28" t="inlineStr">
        <is>
          <t>Marketing and advertising</t>
        </is>
      </c>
      <c r="B28" s="49" t="n">
        <v>8000</v>
      </c>
      <c r="C28" s="40">
        <f>IFERROR(IF(C9="","",B28*(1+'0. Assumptions'!$B$48)),"")</f>
        <v>8000.0</v>
      </c>
      <c r="D28" s="40">
        <f>IFERROR(IF(D9="","",C28*(1+'0. Assumptions'!$B$48)),"")</f>
        <v>8000.0</v>
      </c>
      <c r="E28" s="68">
        <f>IFERROR(B28/$B$9,"")</f>
        <v>0.0393139712025161</v>
      </c>
      <c r="F28" s="28" t="n"/>
      <c r="G28" s="68">
        <f>IFERROR(IF(B9="","",'0. Assumptions'!$B$41),"")</f>
        <v>0.0</v>
      </c>
      <c r="H28" s="28" t="n"/>
    </row>
    <row r="29">
      <c r="A29" s="28" t="inlineStr">
        <is>
          <t>Accounting / bookkeeping</t>
        </is>
      </c>
      <c r="B29" s="49" t="n">
        <v>2400</v>
      </c>
      <c r="C29" s="40">
        <f>IFERROR(IF(C9="","",B29*(1+'0. Assumptions'!$B$48)),"")</f>
        <v>2400.0</v>
      </c>
      <c r="D29" s="40">
        <f>IFERROR(IF(D9="","",C29*(1+'0. Assumptions'!$B$48)),"")</f>
        <v>2400.0</v>
      </c>
      <c r="E29" s="68">
        <f>IFERROR(B29/$B$9,"")</f>
        <v>0.011794191360754828</v>
      </c>
      <c r="F29" s="28" t="n"/>
      <c r="G29" s="68">
        <f>IFERROR(IF(B9="","",'0. Assumptions'!$B$41),"")</f>
        <v>0.0</v>
      </c>
      <c r="H29" s="28" t="n"/>
    </row>
    <row r="30">
      <c r="A30" s="28" t="inlineStr">
        <is>
          <t>Software (quotes / booking / CRM, POS, e-signature, website)</t>
        </is>
      </c>
      <c r="B30" s="49" t="n">
        <v>1500</v>
      </c>
      <c r="C30" s="40">
        <f>IFERROR(IF(C9="","",B30*(1+'0. Assumptions'!$B$48)),"")</f>
        <v>1500.0</v>
      </c>
      <c r="D30" s="40">
        <f>IFERROR(IF(D9="","",C30*(1+'0. Assumptions'!$B$48)),"")</f>
        <v>1500.0</v>
      </c>
      <c r="E30" s="68">
        <f>IFERROR(B30/$B$9,"")</f>
        <v>0.007371369600471768</v>
      </c>
      <c r="F30" s="28" t="n"/>
      <c r="G30" s="68">
        <f>IFERROR(IF(B9="","",'0. Assumptions'!$B$41),"")</f>
        <v>0.0</v>
      </c>
      <c r="H30" s="28" t="n"/>
    </row>
    <row r="31">
      <c r="A31" s="28" t="inlineStr">
        <is>
          <t>Linens, signage, aprons and smallwares replacement</t>
        </is>
      </c>
      <c r="B31" s="49" t="n">
        <v>600</v>
      </c>
      <c r="C31" s="40">
        <f>IFERROR(IF(C9="","",B31*(1+'0. Assumptions'!$B$48)),"")</f>
        <v>600.0</v>
      </c>
      <c r="D31" s="40">
        <f>IFERROR(IF(D9="","",C31*(1+'0. Assumptions'!$B$48)),"")</f>
        <v>600.0</v>
      </c>
      <c r="E31" s="68">
        <f>IFERROR(B31/$B$9,"")</f>
        <v>0.002948547840188707</v>
      </c>
      <c r="F31" s="28" t="n"/>
      <c r="G31" s="68">
        <f>IFERROR(IF(B9="","",'0. Assumptions'!$B$41),"")</f>
        <v>0.0</v>
      </c>
      <c r="H31" s="28" t="n"/>
    </row>
    <row r="32">
      <c r="A32" s="28" t="inlineStr">
        <is>
          <t>Phone, internet &amp; card-reader data plans</t>
        </is>
      </c>
      <c r="B32" s="49" t="n">
        <v>900</v>
      </c>
      <c r="C32" s="40">
        <f>IFERROR(IF(C9="","",B32*(1+'0. Assumptions'!$B$48)),"")</f>
        <v>900.0</v>
      </c>
      <c r="D32" s="40">
        <f>IFERROR(IF(D9="","",C32*(1+'0. Assumptions'!$B$48)),"")</f>
        <v>900.0</v>
      </c>
      <c r="E32" s="68">
        <f>IFERROR(B32/$B$9,"")</f>
        <v>0.004422821760283061</v>
      </c>
      <c r="F32" s="28" t="inlineStr">
        <is>
          <t>Phone, internet and the data plans of your card readers and POS. Small, fixed and easy to forget.</t>
        </is>
      </c>
      <c r="G32" s="68">
        <f>IFERROR(IF(B9="","",'0. Assumptions'!$B$41),"")</f>
        <v>0.0</v>
      </c>
      <c r="H32" s="28" t="n"/>
    </row>
    <row r="33">
      <c r="A33" s="28" t="inlineStr">
        <is>
          <t>Espresso machine service, water filters &amp; grinder burrs</t>
        </is>
      </c>
      <c r="B33" s="49" t="n">
        <v>1800</v>
      </c>
      <c r="C33" s="40">
        <f>IFERROR(IF(C9="","",B33*(1+'0. Assumptions'!$B$48)),"")</f>
        <v>1800.0</v>
      </c>
      <c r="D33" s="40">
        <f>IFERROR(IF(D9="","",C33*(1+'0. Assumptions'!$B$48)),"")</f>
        <v>1800.0</v>
      </c>
      <c r="E33" s="68">
        <f>IFERROR(B33/$B$9,"")</f>
        <v>0.008845643520566122</v>
      </c>
      <c r="F33" s="28" t="inlineStr">
        <is>
          <t>Service for the espresso machines, water filters and grinder burrs. Gaskets and burrs wear out before the machine does.</t>
        </is>
      </c>
      <c r="G33" s="68">
        <f>IFERROR(IF(B9="","",'0. Assumptions'!$B$41),"")</f>
        <v>0.0</v>
      </c>
      <c r="H33" s="28" t="n"/>
    </row>
    <row r="34">
      <c r="A34" s="28" t="inlineStr">
        <is>
          <t>Food safety &amp; barista training (CFPM, food handler cards)</t>
        </is>
      </c>
      <c r="B34" s="49" t="n">
        <v>400</v>
      </c>
      <c r="C34" s="40">
        <f>IFERROR(IF(C9="","",B34*(1+'0. Assumptions'!$B$48)),"")</f>
        <v>400.0</v>
      </c>
      <c r="D34" s="40">
        <f>IFERROR(IF(D9="","",C34*(1+'0. Assumptions'!$B$48)),"")</f>
        <v>400.0</v>
      </c>
      <c r="E34" s="68">
        <f>IFERROR(B34/$B$9,"")</f>
        <v>0.0019656985601258048</v>
      </c>
      <c r="F34" s="28" t="inlineStr">
        <is>
          <t>Certified Food Protection Manager (CFPM) and food handler cards for you and your team, plus their renewals, and barista training. The required cards vary by state.</t>
        </is>
      </c>
      <c r="G34" s="68">
        <f>IFERROR(IF(B9="","",'0. Assumptions'!$B$41),"")</f>
        <v>0.0</v>
      </c>
      <c r="H34" s="28" t="n"/>
    </row>
    <row r="35">
      <c r="A35" s="28" t="inlineStr">
        <is>
          <t>Tastings for prospects (corporate open house, couples)</t>
        </is>
      </c>
      <c r="B35" s="49" t="n">
        <v>400</v>
      </c>
      <c r="C35" s="40">
        <f>IFERROR(IF(C9="","",B35*(1+'0. Assumptions'!$B$48)),"")</f>
        <v>400.0</v>
      </c>
      <c r="D35" s="40">
        <f>IFERROR(IF(D9="","",C35*(1+'0. Assumptions'!$B$48)),"")</f>
        <v>400.0</v>
      </c>
      <c r="E35" s="68">
        <f>IFERROR(B35/$B$9,"")</f>
        <v>0.0019656985601258048</v>
      </c>
      <c r="F35" s="28" t="inlineStr">
        <is>
          <t>Food cost and labor for the tastings you offer couples and companies (a bridal tasting or a corporate open house). Many operators charge a fee and credit it toward the booking: if you do, lower this line.</t>
        </is>
      </c>
      <c r="G35" s="68">
        <f>IFERROR(IF(B9="","",'0. Assumptions'!$B$41),"")</f>
        <v>0.0</v>
      </c>
      <c r="H35" s="28" t="n"/>
    </row>
    <row r="36">
      <c r="A36" s="28" t="inlineStr">
        <is>
          <t>Depreciation of fixed assets</t>
        </is>
      </c>
      <c r="B36" s="40">
        <f>IFERROR(IF(B9="","",'Startup Costs'!$B$33),"")</f>
        <v>10344.285714285714</v>
      </c>
      <c r="C36" s="40">
        <f>IFERROR(IF(C9="","",B36),"")</f>
        <v>10344.285714285714</v>
      </c>
      <c r="D36" s="40">
        <f>IFERROR(IF(D9="","",B36),"")</f>
        <v>10344.285714285714</v>
      </c>
      <c r="E36" s="68">
        <f>IFERROR(B36/$B$9,"")</f>
        <v>0.0508343688352534</v>
      </c>
      <c r="F36" s="28" t="inlineStr">
        <is>
          <t>Comes from the depreciation bases on the Startup Costs tab: real fixed assets only. It does NOT rise with inflation: it is a charge on the HISTORICAL cost of the assets</t>
        </is>
      </c>
      <c r="G36" s="68" t="n">
        <v>0</v>
      </c>
      <c r="H36" s="28" t="n"/>
    </row>
    <row r="37">
      <c r="A37" s="28" t="inlineStr">
        <is>
          <t>Interest expense (loan interest)</t>
        </is>
      </c>
      <c r="B37" s="40">
        <f>IFERROR(IF(B9="","",Financing!$B$44),"")</f>
        <v>7100.0</v>
      </c>
      <c r="C37" s="40">
        <f>IFERROR(IF(C9="","",Financing!$B$46),"")</f>
        <v>6351.6209521257715</v>
      </c>
      <c r="D37" s="40">
        <f>IFERROR(IF(D9="","",Financing!$B$48),"")</f>
        <v>5528.403999464121</v>
      </c>
      <c r="E37" s="68">
        <f>IFERROR(B37/$B$9,"")</f>
        <v>0.03489114944223303</v>
      </c>
      <c r="F37" s="28" t="inlineStr">
        <is>
          <t>Only INTEREST is an expense. Principal repaid appears on the cash flow tab</t>
        </is>
      </c>
      <c r="G37" s="68" t="n">
        <v>0</v>
      </c>
      <c r="H37" s="28" t="n"/>
    </row>
    <row r="38">
      <c r="A38" s="16" t="inlineStr">
        <is>
          <t>TOTAL FIXED COSTS</t>
        </is>
      </c>
      <c r="B38" s="52">
        <f>IFERROR(IF(B9="","",SUM(B22:B37)),"")</f>
        <v>126345.08571428571</v>
      </c>
      <c r="C38" s="52">
        <f>IFERROR(IF(C9="","",SUM(C22:C37)),"")</f>
        <v>128596.70666641148</v>
      </c>
      <c r="D38" s="52">
        <f>IFERROR(IF(D9="","",SUM(D22:D37)),"")</f>
        <v>130773.48971374983</v>
      </c>
      <c r="E38" s="69">
        <f>IFERROR(B38/$B$9,"")</f>
        <v>0.6208908826688571</v>
      </c>
    </row>
    <row r="39">
      <c r="A39" s="35" t="inlineStr">
        <is>
          <t>Recoverable input tax on variable costs</t>
        </is>
      </c>
      <c r="B39" s="42">
        <f>IFERROR(IF(B9="","",SUMPRODUCT(B13:B18,G13:G18)),"")</f>
        <v>0.0</v>
      </c>
      <c r="C39" s="42">
        <f>IFERROR(IF(C9="","",SUMPRODUCT(C13:C18,G13:G18)),"")</f>
        <v>0.0</v>
      </c>
      <c r="D39" s="42">
        <f>IFERROR(IF(D9="","",SUMPRODUCT(D13:D18,G13:G18)),"")</f>
        <v>0.0</v>
      </c>
      <c r="F39" s="35" t="inlineStr">
        <is>
          <t>Each line at ITS OWN rate, read from the column next to it. It is what the cash flow tab overpays to suppliers and later deducts (zero wherever no tax is recoverable)</t>
        </is>
      </c>
    </row>
    <row r="40">
      <c r="A40" s="35" t="inlineStr">
        <is>
          <t>Recoverable input tax on fixed costs</t>
        </is>
      </c>
      <c r="B40" s="42">
        <f>IFERROR(IF(B9="","",SUMPRODUCT(B22:B37,G22:G37)),"")</f>
        <v>0.0</v>
      </c>
      <c r="C40" s="42">
        <f>IFERROR(IF(C9="","",SUMPRODUCT(C22:C37,G22:G37)),"")</f>
        <v>0.0</v>
      </c>
      <c r="D40" s="42">
        <f>IFERROR(IF(D9="","",SUMPRODUCT(D22:D37,G22:G37)),"")</f>
        <v>0.0</v>
      </c>
    </row>
    <row r="41">
      <c r="A41" s="16" t="inlineStr">
        <is>
          <t>PRE-TAX INCOME (EBT)</t>
        </is>
      </c>
      <c r="B41" s="52">
        <f>IFERROR(IF(B9="","",B20-B38),"")</f>
        <v>26882.884285714288</v>
      </c>
      <c r="C41" s="52">
        <f>IFERROR(IF(C9="","",C20-C38),"")</f>
        <v>39954.06033358854</v>
      </c>
      <c r="D41" s="52">
        <f>IFERROR(IF(D9="","",D20-D38),"")</f>
        <v>47890.3233062502</v>
      </c>
      <c r="E41" s="69">
        <f>IFERROR(B41/$B$9,"")</f>
        <v>0.132109117331143</v>
      </c>
    </row>
    <row r="42">
      <c r="A42" s="35" t="inlineStr">
        <is>
          <t>Net operating losses carried forward (opening)</t>
        </is>
      </c>
      <c r="B42" s="42">
        <f>IFERROR(IF(B9="","",'0. Assumptions'!$B$42),"")</f>
        <v>0.0</v>
      </c>
      <c r="C42" s="42">
        <f>IFERROR(IF(C9="","",B47),"")</f>
        <v>0.0</v>
      </c>
      <c r="D42" s="42">
        <f>IFERROR(IF(D9="","",C47),"")</f>
        <v>0.0</v>
      </c>
      <c r="F42" s="35" t="inlineStr">
        <is>
          <t>Federal rules let a year's losses offset the profits of later years (the federal limit is 80% of taxable income; this model offsets 100% as a simplification)</t>
        </is>
      </c>
    </row>
    <row r="43">
      <c r="A43" s="35" t="inlineStr">
        <is>
          <t>Taxable income (after loss offset)</t>
        </is>
      </c>
      <c r="B43" s="42">
        <f>IFERROR(IF(B9="","",MAX(0,B41-B42)),"")</f>
        <v>26882.884285714288</v>
      </c>
      <c r="C43" s="42">
        <f>IFERROR(IF(C9="","",MAX(0,C41-C42)),"")</f>
        <v>39954.06033358854</v>
      </c>
      <c r="D43" s="42">
        <f>IFERROR(IF(D9="","",MAX(0,D41-D42)),"")</f>
        <v>47890.3233062502</v>
      </c>
    </row>
    <row r="44">
      <c r="A44" s="35" t="inlineStr">
        <is>
          <t>Years with positive taxable income (cumulative)</t>
        </is>
      </c>
      <c r="B44" s="42">
        <f>IFERROR(IF(B9="","",IF(B43&gt;0,1,0)),"")</f>
        <v>1.0</v>
      </c>
      <c r="C44" s="42">
        <f>IFERROR(IF(C9="","",B44+IF(C43&gt;0,1,0)),"")</f>
        <v>2.0</v>
      </c>
      <c r="D44" s="42">
        <f>IFERROR(IF(D9="","",C44+IF(D43&gt;0,1,0)),"")</f>
        <v>3.0</v>
      </c>
    </row>
    <row r="45">
      <c r="A45" s="35" t="inlineStr">
        <is>
          <t>Effective income tax rate applied</t>
        </is>
      </c>
      <c r="B45" s="65">
        <f>IFERROR(IF(B9="","",IF(B43&lt;=0,"",IF(B44&lt;=2,'0. Assumptions'!$B$37,'0. Assumptions'!$B$38))),"")</f>
        <v>0.25</v>
      </c>
      <c r="C45" s="65">
        <f>IFERROR(IF(C9="","",IF(C43&lt;=0,"",IF(C44&lt;=2,'0. Assumptions'!$B$37,'0. Assumptions'!$B$38))),"")</f>
        <v>0.25</v>
      </c>
      <c r="D45" s="65">
        <f>IFERROR(IF(D9="","",IF(D43&lt;=0,"",IF(D44&lt;=2,'0. Assumptions'!$B$37,'0. Assumptions'!$B$38))),"")</f>
        <v>0.25</v>
      </c>
      <c r="F45" s="35" t="inlineStr">
        <is>
          <t>The "years 1-2" rate applies to the first two years with positive taxable income, not to the first two calendar years of the business. The model approximates this by counting the first two profitable years</t>
        </is>
      </c>
    </row>
    <row r="46">
      <c r="A46" s="35" t="inlineStr">
        <is>
          <t>Income tax</t>
        </is>
      </c>
      <c r="B46" s="42">
        <f>IFERROR(IF(B9="","",IF(B45="",0,B43*B45)),"")</f>
        <v>6720.721071428572</v>
      </c>
      <c r="C46" s="42">
        <f>IFERROR(IF(C9="","",IF(C45="",0,C43*C45)),"")</f>
        <v>9988.515083397135</v>
      </c>
      <c r="D46" s="42">
        <f>IFERROR(IF(D9="","",IF(D45="",0,D43*D45)),"")</f>
        <v>11972.58082656255</v>
      </c>
    </row>
    <row r="47">
      <c r="A47" s="35" t="inlineStr">
        <is>
          <t>Net operating losses carried forward (closing)</t>
        </is>
      </c>
      <c r="B47" s="42">
        <f>IFERROR(IF(B9="","",MAX(0,B42-B41)),"")</f>
        <v>0.0</v>
      </c>
      <c r="C47" s="42">
        <f>IFERROR(IF(C9="","",MAX(0,C42-C41)),"")</f>
        <v>0.0</v>
      </c>
      <c r="D47" s="42">
        <f>IFERROR(IF(D9="","",MAX(0,D42-D41)),"")</f>
        <v>0.0</v>
      </c>
    </row>
    <row r="48">
      <c r="A48" s="16" t="inlineStr">
        <is>
          <t>NET INCOME</t>
        </is>
      </c>
      <c r="B48" s="52">
        <f>IFERROR(IF(B9="","",B41-B46),"")</f>
        <v>20162.163214285716</v>
      </c>
      <c r="C48" s="52">
        <f>IFERROR(IF(C9="","",C41-C46),"")</f>
        <v>29965.545250191404</v>
      </c>
      <c r="D48" s="52">
        <f>IFERROR(IF(D9="","",D41-D46),"")</f>
        <v>35917.742479687644</v>
      </c>
      <c r="E48" s="69">
        <f>IFERROR(B48/$B$9,"")</f>
        <v>0.09908183799835725</v>
      </c>
    </row>
    <row r="49">
      <c r="A49" s="16" t="inlineStr">
        <is>
          <t>KEY RATIOS</t>
        </is>
      </c>
    </row>
    <row r="50">
      <c r="A50" s="16" t="inlineStr">
        <is>
          <t>Ratio</t>
        </is>
      </c>
      <c r="B50" s="16" t="inlineStr">
        <is>
          <t>Year 1</t>
        </is>
      </c>
      <c r="C50" s="16" t="inlineStr">
        <is>
          <t>Year 2</t>
        </is>
      </c>
      <c r="D50" s="16" t="inlineStr">
        <is>
          <t>Year 3</t>
        </is>
      </c>
      <c r="E50" s="16" t="inlineStr">
        <is>
          <t>Threshold</t>
        </is>
      </c>
      <c r="F50" s="16" t="inlineStr">
        <is>
          <t>Comment</t>
        </is>
      </c>
    </row>
    <row r="51">
      <c r="A51" s="35" t="inlineStr">
        <is>
          <t>Gross margin / Sales</t>
        </is>
      </c>
      <c r="B51" s="65">
        <f>IFERROR(IF(B9="","",B20/B9),"")</f>
        <v>0.753</v>
      </c>
      <c r="C51" s="65">
        <f>IFERROR(IF(C9="","",C20/C9),"")</f>
        <v>0.753</v>
      </c>
      <c r="D51" s="65">
        <f>IFERROR(IF(D9="","",D20/D9),"")</f>
        <v>0.753</v>
      </c>
      <c r="E51" s="70" t="n">
        <v>0.72</v>
      </c>
      <c r="F51" s="35" t="inlineStr">
        <is>
          <t>Floor set by this workbook: kit benchmark (editable estimate). The workbook's gross margin also subtracts compostable cups, card fees, festival organizer fees and miscellaneous costs, so the floor sits below the margin you would see on cost of goods alone.</t>
        </is>
      </c>
    </row>
    <row r="52">
      <c r="A52" s="35" t="inlineStr">
        <is>
          <t>Cost of goods sold (coffee bar packages + add-ons)</t>
        </is>
      </c>
      <c r="B52" s="42">
        <f>IFERROR(IF(B9="","",B13+B14),"")</f>
        <v>28386.855</v>
      </c>
      <c r="C52" s="42">
        <f>IFERROR(IF(C9="","",C13+C14),"")</f>
        <v>31225.540500000003</v>
      </c>
      <c r="D52" s="42">
        <f>IFERROR(IF(D9="","",D13+D14),"")</f>
        <v>33099.07293</v>
      </c>
    </row>
    <row r="53">
      <c r="A53" s="35" t="inlineStr">
        <is>
          <t>Cost of goods sold / Sales</t>
        </is>
      </c>
      <c r="B53" s="65">
        <f>IFERROR(IF(B9="","",B52/B9),"")</f>
        <v>0.13949999999999999</v>
      </c>
      <c r="C53" s="65">
        <f>IFERROR(IF(C9="","",C52/C9),"")</f>
        <v>0.13949999999999999</v>
      </c>
      <c r="D53" s="65">
        <f>IFERROR(IF(D9="","",D52/D9),"")</f>
        <v>0.13949999999999999</v>
      </c>
      <c r="E53" s="70" t="n">
        <v>0.2</v>
      </c>
      <c r="F53" s="35" t="inlineStr">
        <is>
          <t>Ceiling for cost of goods (compostable cups have their own line): kit benchmark (editable estimate), based on the 20-30% cost of goods that GrindKit reports for drink revenue.</t>
        </is>
      </c>
    </row>
    <row r="54">
      <c r="A54" s="35" t="inlineStr">
        <is>
          <t>Labor cost / Sales</t>
        </is>
      </c>
      <c r="B54" s="65">
        <f>IFERROR(IF(B9="","",B23/B9),"")</f>
        <v>0.3661152882205514</v>
      </c>
      <c r="C54" s="65">
        <f>IFERROR(IF(C9="","",C23/C9),"")</f>
        <v>0.3462345703831772</v>
      </c>
      <c r="D54" s="65">
        <f>IFERROR(IF(D9="","",D23/D9),"")</f>
        <v>0.3392802458168426</v>
      </c>
      <c r="E54" s="70" t="n">
        <v>0.4</v>
      </c>
      <c r="F54" s="35" t="inlineStr">
        <is>
          <t>Ceiling: kit benchmark (editable estimate), set above what many pricing guides report because it includes the owner's own pay as lead barista and sales.</t>
        </is>
      </c>
    </row>
    <row r="55">
      <c r="A55" s="35" t="inlineStr">
        <is>
          <t>Commissary &amp; cart storage / Sales</t>
        </is>
      </c>
      <c r="B55" s="65">
        <f>IFERROR(IF(B9="","",B22/B9),"")</f>
        <v>0.0412796697626419</v>
      </c>
      <c r="C55" s="65">
        <f>IFERROR(IF(C9="","",C22/C9),"")</f>
        <v>0.03752697251149263</v>
      </c>
      <c r="D55" s="65">
        <f>IFERROR(IF(D9="","",D22/D9),"")</f>
        <v>0.035402804256125124</v>
      </c>
      <c r="E55" s="70" t="n">
        <v>0.06</v>
      </c>
      <c r="F55" s="35" t="inlineStr">
        <is>
          <t>There is no storefront rent in this workbook: 6% is a prudent ceiling for the commissary, cart storage and trailer parking, a kit benchmark (editable estimate). A business with its own fixed location carries a much higher occupancy cost.</t>
        </is>
      </c>
    </row>
    <row r="56">
      <c r="A56" s="35" t="inlineStr">
        <is>
          <t>Net income / Sales</t>
        </is>
      </c>
      <c r="B56" s="65">
        <f>IFERROR(IF(B9="","",B48/B9),"")</f>
        <v>0.09908183799835725</v>
      </c>
      <c r="C56" s="65">
        <f>IFERROR(IF(C9="","",C48/C9),"")</f>
        <v>0.13387097534474063</v>
      </c>
      <c r="D56" s="65">
        <f>IFERROR(IF(D9="","",D48/D9),"")</f>
        <v>0.15137961980122522</v>
      </c>
      <c r="E56" s="70" t="n">
        <v>0.05</v>
      </c>
      <c r="F56" s="35" t="inlineStr">
        <is>
          <t>Floor of 5%: a kit benchmark (editable estimate). A new business with a loan to repay starts lower than established operators.</t>
        </is>
      </c>
    </row>
    <row r="57">
      <c r="A57" s="35" t="inlineStr">
        <is>
          <t>Break-even reached</t>
        </is>
      </c>
      <c r="B57" t="str">
        <f>IFERROR(IF(B9="","",IF(B9&gt;='Break-Even'!$B$16,"Yes","No")),"")</f>
        <v>Yes</v>
      </c>
      <c r="C57" t="str">
        <f>IFERROR(IF(C9="","",IF(C9&gt;='Break-Even'!$C$16,"Yes","No")),"")</f>
        <v>Yes</v>
      </c>
      <c r="D57" t="str">
        <f>IFERROR(IF(D9="","",IF(D9&gt;='Break-Even'!$D$16,"Yes","No")),"")</f>
        <v>Yes</v>
      </c>
      <c r="F57" s="35" t="inlineStr">
        <is>
          <t>Compares each year's sales with that same year's threshold, which the Break-Even tab calculates with that year's fixed costs</t>
        </is>
      </c>
    </row>
    <row r="59" ht="165" customHeight="1">
      <c r="A59" s="17"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Yes">
      <formula>NOT(ISERROR(SEARCH("Yes",B57)))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nvalid amount" error="Enter a number greater than or equal to 0." type="decimal" operator="greaterThanOrEqual">
      <formula1>0</formula1>
    </dataValidation>
    <dataValidation sqref="E51 E53 E54 E55 E56"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Break-even — Coffee Cart</t>
        </is>
      </c>
    </row>
    <row r="4">
      <c r="A4" s="25" t="inlineStr">
        <is>
          <t>Variable</t>
        </is>
      </c>
      <c r="B4" s="25" t="inlineStr">
        <is>
          <t>Year 1</t>
        </is>
      </c>
      <c r="C4" s="25" t="inlineStr">
        <is>
          <t>Year 2</t>
        </is>
      </c>
      <c r="D4" s="25" t="inlineStr">
        <is>
          <t>Year 3</t>
        </is>
      </c>
      <c r="E4" s="25" t="inlineStr">
        <is>
          <t>Notes</t>
        </is>
      </c>
      <c r="F4" s="28" t="n"/>
    </row>
    <row r="5">
      <c r="A5" s="25" t="inlineStr">
        <is>
          <t>BASE DATA BY YEAR</t>
        </is>
      </c>
      <c r="B5" s="28" t="n"/>
      <c r="C5" s="28" t="n"/>
      <c r="D5" s="28" t="n"/>
      <c r="E5" s="28" t="n"/>
      <c r="F5" s="28" t="n"/>
    </row>
    <row r="6">
      <c r="A6" s="28" t="inlineStr">
        <is>
          <t>Annual fixed costs</t>
        </is>
      </c>
      <c r="B6" s="61">
        <f>IFERROR(IF('3-Year P&amp;L'!$B$9="","",'3-Year P&amp;L'!$B$38),"")</f>
        <v>126345.08571428571</v>
      </c>
      <c r="C6" s="61">
        <f>IFERROR(IF('3-Year P&amp;L'!$C$9="","",'3-Year P&amp;L'!$C$38),"")</f>
        <v>128596.70666641148</v>
      </c>
      <c r="D6" s="61">
        <f>IFERROR(IF('3-Year P&amp;L'!$D$9="","",'3-Year P&amp;L'!$D$38),"")</f>
        <v>130773.48971374983</v>
      </c>
      <c r="E6" s="28" t="inlineStr">
        <is>
          <t>The SAME fixed costs as the P&amp;L. Each year has its own, which is why the threshold cannot be a single one for all three years</t>
        </is>
      </c>
      <c r="F6" s="28" t="n"/>
    </row>
    <row r="7">
      <c r="A7" s="28" t="inlineStr">
        <is>
          <t>Monthly fixed costs</t>
        </is>
      </c>
      <c r="B7" s="61">
        <f>IFERROR(IF('3-Year P&amp;L'!$B$9="","",B6/12),"")</f>
        <v>10528.757142857143</v>
      </c>
      <c r="C7" s="61">
        <f>IFERROR(IF('3-Year P&amp;L'!$C$9="","",C6/12),"")</f>
        <v>10716.392222200957</v>
      </c>
      <c r="D7" s="61">
        <f>IFERROR(IF('3-Year P&amp;L'!$D$9="","",D6/12),"")</f>
        <v>10897.790809479153</v>
      </c>
      <c r="E7" s="28" t="n"/>
      <c r="F7" s="28" t="n"/>
    </row>
    <row r="8">
      <c r="A8" s="28" t="inlineStr">
        <is>
          <t>Average price per guest (excl. sales tax)</t>
        </is>
      </c>
      <c r="B8" s="61">
        <f>IFERROR(IF('3-Year P&amp;L'!$B$9="","",'3-Year P&amp;L'!$B$7),"")</f>
        <v>12.6</v>
      </c>
      <c r="C8" s="61">
        <f>IFERROR(IF('3-Year P&amp;L'!$C$9="","",'3-Year P&amp;L'!$C$7),"")</f>
        <v>12.6</v>
      </c>
      <c r="D8" s="61">
        <f>IFERROR(IF('3-Year P&amp;L'!$D$9="","",'3-Year P&amp;L'!$D$7),"")</f>
        <v>12.6</v>
      </c>
      <c r="E8" s="28" t="n"/>
      <c r="F8" s="28" t="n"/>
    </row>
    <row r="9">
      <c r="A9" s="28" t="inlineStr">
        <is>
          <t>Variable cost per guest</t>
        </is>
      </c>
      <c r="B9" s="61">
        <f>IFERROR(IF('3-Year P&amp;L'!$B$9="","",'3-Year P&amp;L'!$B$19/('3-Year P&amp;L'!$B$6*'3-Year P&amp;L'!$B$8)),"")</f>
        <v>3.1122</v>
      </c>
      <c r="C9" s="61">
        <f>IFERROR(IF('3-Year P&amp;L'!$C$9="","",'3-Year P&amp;L'!$C$19/('3-Year P&amp;L'!$C$6*'3-Year P&amp;L'!$C$8)),"")</f>
        <v>3.1121999999999996</v>
      </c>
      <c r="D9" s="61">
        <f>IFERROR(IF('3-Year P&amp;L'!$D$9="","",'3-Year P&amp;L'!$D$19/('3-Year P&amp;L'!$D$6*'3-Year P&amp;L'!$D$8)),"")</f>
        <v>3.1122</v>
      </c>
      <c r="E9" s="28" t="inlineStr">
        <is>
          <t>Comes from the P&amp;L total variable costs, not from a separate estimate. It includes miscellaneous and contingency, which is a percentage of sales</t>
        </is>
      </c>
      <c r="F9" s="28" t="n"/>
    </row>
    <row r="10">
      <c r="A10" s="28" t="inlineStr">
        <is>
          <t>Contribution margin per guest</t>
        </is>
      </c>
      <c r="B10" s="61">
        <f>IFERROR(IF('3-Year P&amp;L'!$B$9="","",B8-B9),"")</f>
        <v>9.4878</v>
      </c>
      <c r="C10" s="61">
        <f>IFERROR(IF('3-Year P&amp;L'!$C$9="","",C8-C9),"")</f>
        <v>9.4878</v>
      </c>
      <c r="D10" s="61">
        <f>IFERROR(IF('3-Year P&amp;L'!$D$9="","",D8-D9),"")</f>
        <v>9.4878</v>
      </c>
      <c r="E10" s="28" t="inlineStr">
        <is>
          <t>Price per guest minus variable cost per guest</t>
        </is>
      </c>
      <c r="F10" s="28" t="n"/>
    </row>
    <row r="11">
      <c r="A11" s="28" t="inlineStr">
        <is>
          <t>Average guests per event</t>
        </is>
      </c>
      <c r="B11" s="40">
        <f>IFERROR(IF('3-Year P&amp;L'!$B$9="","",'3-Year P&amp;L'!$B$8),"")</f>
        <v>95.0</v>
      </c>
      <c r="C11" s="40">
        <f>IFERROR(IF('3-Year P&amp;L'!$C$9="","",'3-Year P&amp;L'!$C$8),"")</f>
        <v>95.0</v>
      </c>
      <c r="D11" s="40">
        <f>IFERROR(IF('3-Year P&amp;L'!$D$9="","",'3-Year P&amp;L'!$D$8),"")</f>
        <v>95.0</v>
      </c>
      <c r="E11" s="28" t="inlineStr">
        <is>
          <t>The same calendar as the P&amp;L and the scenarios</t>
        </is>
      </c>
      <c r="F11" s="28" t="n"/>
    </row>
    <row r="12">
      <c r="A12" s="28" t="inlineStr">
        <is>
          <t>Principal repaid in the year</t>
        </is>
      </c>
      <c r="B12" s="61">
        <f>IFERROR(IF('3-Year P&amp;L'!$B$9="","",Financing!$B$45),"")</f>
        <v>7483.790478742285</v>
      </c>
      <c r="C12" s="61">
        <f>IFERROR(IF('3-Year P&amp;L'!$C$9="","",Financing!$B$47),"")</f>
        <v>8232.169526616513</v>
      </c>
      <c r="D12" s="61">
        <f>IFERROR(IF('3-Year P&amp;L'!$D$9="","",Financing!$B$49),"")</f>
        <v>9055.386479278164</v>
      </c>
      <c r="E12" s="28" t="inlineStr">
        <is>
          <t>Principal is NOT a P&amp;L expense, but it leaves the cash account. Without it, the published break-even threshold would sit below the real one</t>
        </is>
      </c>
      <c r="F12" s="28" t="n"/>
    </row>
    <row r="13">
      <c r="A13" s="25" t="inlineStr">
        <is>
          <t>ACCOUNTING BREAK-EVEN (includes depreciation)</t>
        </is>
      </c>
      <c r="B13" s="28" t="n"/>
      <c r="C13" s="28" t="n"/>
      <c r="D13" s="28" t="n"/>
      <c r="E13" s="28" t="n"/>
      <c r="F13" s="28" t="n"/>
    </row>
    <row r="14">
      <c r="A14" s="28" t="inlineStr">
        <is>
          <t>Guests needed per year</t>
        </is>
      </c>
      <c r="B14" s="40">
        <f>IFERROR(IF('3-Year P&amp;L'!$B$9="","",IF(B10&lt;=0,"",B6/B10)),"")</f>
        <v>13316.584004119575</v>
      </c>
      <c r="C14" s="40">
        <f>IFERROR(IF('3-Year P&amp;L'!$C$9="","",IF(C10&lt;=0,"",C6/C10)),"")</f>
        <v>13553.901501550568</v>
      </c>
      <c r="D14" s="40">
        <f>IFERROR(IF('3-Year P&amp;L'!$D$9="","",IF(D10&lt;=0,"",D6/D10)),"")</f>
        <v>13783.331195192757</v>
      </c>
      <c r="E14" s="28" t="n"/>
      <c r="F14" s="28" t="n"/>
    </row>
    <row r="15">
      <c r="A15" s="28" t="inlineStr">
        <is>
          <t>Events needed per year</t>
        </is>
      </c>
      <c r="B15" s="44">
        <f>IFERROR(IF('3-Year P&amp;L'!$B$9="","",B14/B11),"")</f>
        <v>140.17456846441658</v>
      </c>
      <c r="C15" s="44">
        <f>IFERROR(IF('3-Year P&amp;L'!$C$9="","",C14/C11),"")</f>
        <v>142.67264738474282</v>
      </c>
      <c r="D15" s="44">
        <f>IFERROR(IF('3-Year P&amp;L'!$D$9="","",D14/D11),"")</f>
        <v>145.0876967915027</v>
      </c>
      <c r="E15" s="28" t="n"/>
      <c r="F15" s="28" t="n"/>
    </row>
    <row r="16">
      <c r="A16" s="25" t="inlineStr">
        <is>
          <t>Revenue needed per year</t>
        </is>
      </c>
      <c r="B16" s="66">
        <f>IFERROR(IF('3-Year P&amp;L'!$B$9="","",B14*B8),"")</f>
        <v>167788.95845190666</v>
      </c>
      <c r="C16" s="66">
        <f>IFERROR(IF('3-Year P&amp;L'!$C$9="","",C14*C8),"")</f>
        <v>170779.15891953715</v>
      </c>
      <c r="D16" s="66">
        <f>IFERROR(IF('3-Year P&amp;L'!$D$9="","",D14*D8),"")</f>
        <v>173669.97305942874</v>
      </c>
      <c r="E16" s="28" t="n"/>
      <c r="F16" s="28" t="n"/>
    </row>
    <row r="17">
      <c r="A17" s="25" t="inlineStr">
        <is>
          <t>CASH BREAK-EVEN (loan payments in, depreciation out)</t>
        </is>
      </c>
      <c r="B17" s="28" t="n"/>
      <c r="C17" s="28" t="n"/>
      <c r="D17" s="28" t="n"/>
      <c r="E17" s="28" t="n"/>
      <c r="F17" s="28" t="n"/>
    </row>
    <row r="18">
      <c r="A18" s="28" t="inlineStr">
        <is>
          <t>Cash fixed costs + principal repaid for the year</t>
        </is>
      </c>
      <c r="B18" s="61">
        <f>IFERROR(IF('3-Year P&amp;L'!$B$9="","",B6-'3-Year P&amp;L'!$B$36+B12),"")</f>
        <v>123484.59047874229</v>
      </c>
      <c r="C18" s="61">
        <f>IFERROR(IF('3-Year P&amp;L'!$C$9="","",C6-'3-Year P&amp;L'!$C$36+C12),"")</f>
        <v>126484.59047874229</v>
      </c>
      <c r="D18" s="61">
        <f>IFERROR(IF('3-Year P&amp;L'!$D$9="","",D6-'3-Year P&amp;L'!$D$36+D12),"")</f>
        <v>129484.59047874229</v>
      </c>
      <c r="E18" s="28" t="inlineStr">
        <is>
          <t>The P&amp;L fixed costs without depreciation (which is not paid in cash) and WITH principal repaid (which is). This is the threshold that decides whether cash holds up</t>
        </is>
      </c>
      <c r="F18" s="28" t="n"/>
    </row>
    <row r="19">
      <c r="A19" s="28" t="inlineStr">
        <is>
          <t>Guests needed per year (cash)</t>
        </is>
      </c>
      <c r="B19" s="40">
        <f>IFERROR(IF('3-Year P&amp;L'!$B$9="","",IF(B10&lt;=0,"",B18/B10)),"")</f>
        <v>13015.092063359503</v>
      </c>
      <c r="C19" s="40">
        <f>IFERROR(IF('3-Year P&amp;L'!$C$9="","",IF(C10&lt;=0,"",C18/C10)),"")</f>
        <v>13331.287598678544</v>
      </c>
      <c r="D19" s="40">
        <f>IFERROR(IF('3-Year P&amp;L'!$D$9="","",IF(D10&lt;=0,"",D18/D10)),"")</f>
        <v>13647.483133997586</v>
      </c>
      <c r="E19" s="28" t="n"/>
      <c r="F19" s="28" t="n"/>
    </row>
    <row r="20">
      <c r="A20" s="25" t="inlineStr">
        <is>
          <t>Events needed per year (cash)</t>
        </is>
      </c>
      <c r="B20" s="45">
        <f>IFERROR(IF('3-Year P&amp;L'!$B$9="","",B19/B11),"")</f>
        <v>137.00096908799478</v>
      </c>
      <c r="C20" s="45">
        <f>IFERROR(IF('3-Year P&amp;L'!$C$9="","",C19/C11),"")</f>
        <v>140.32934314398466</v>
      </c>
      <c r="D20" s="45">
        <f>IFERROR(IF('3-Year P&amp;L'!$D$9="","",D19/D11),"")</f>
        <v>143.6577171999746</v>
      </c>
      <c r="E20" s="28" t="n"/>
      <c r="F20" s="28" t="n"/>
    </row>
    <row r="21">
      <c r="A21" s="28" t="inlineStr">
        <is>
          <t>Revenue needed per year (cash)</t>
        </is>
      </c>
      <c r="B21" s="40">
        <f>IFERROR(IF('3-Year P&amp;L'!$B$9="","",B19*B8),"")</f>
        <v>163990.15999832973</v>
      </c>
      <c r="C21" s="40">
        <f>IFERROR(IF('3-Year P&amp;L'!$C$9="","",C19*C8),"")</f>
        <v>167974.22374334963</v>
      </c>
      <c r="D21" s="40">
        <f>IFERROR(IF('3-Year P&amp;L'!$D$9="","",D19*D8),"")</f>
        <v>171958.2874883696</v>
      </c>
      <c r="E21" s="28" t="n"/>
      <c r="F21" s="28" t="n"/>
    </row>
    <row r="22">
      <c r="A22" s="25" t="inlineStr">
        <is>
          <t>COMPARISON WITH THE PLAN</t>
        </is>
      </c>
      <c r="B22" s="28" t="n"/>
      <c r="C22" s="28" t="n"/>
      <c r="D22" s="28" t="n"/>
      <c r="E22" s="28" t="n"/>
      <c r="F22" s="28" t="n"/>
    </row>
    <row r="23">
      <c r="A23" s="28" t="inlineStr">
        <is>
          <t>Events per year in the plan</t>
        </is>
      </c>
      <c r="B23" s="40">
        <f>IFERROR(IF('3-Year P&amp;L'!$B$9="","",'3-Year P&amp;L'!$B$6),"")</f>
        <v>170.0</v>
      </c>
      <c r="C23" s="40">
        <f>IFERROR(IF('3-Year P&amp;L'!$C$9="","",'3-Year P&amp;L'!$C$6),"")</f>
        <v>187.00000000000003</v>
      </c>
      <c r="D23" s="40">
        <f>IFERROR(IF('3-Year P&amp;L'!$D$9="","",'3-Year P&amp;L'!$D$6),"")</f>
        <v>198.22000000000003</v>
      </c>
      <c r="E23" s="28" t="n"/>
      <c r="F23" s="28" t="n"/>
    </row>
    <row r="24">
      <c r="A24" s="28" t="inlineStr">
        <is>
          <t>Cushion above CASH break-even (%)</t>
        </is>
      </c>
      <c r="B24" s="68">
        <f>IFERROR(IF('3-Year P&amp;L'!$B$9="","",B23/B20-1),"")</f>
        <v>0.24086713496756484</v>
      </c>
      <c r="C24" s="68">
        <f>IFERROR(IF('3-Year P&amp;L'!$C$9="","",C23/C20-1),"")</f>
        <v>0.33257945779828124</v>
      </c>
      <c r="D24" s="68">
        <f>IFERROR(IF('3-Year P&amp;L'!$D$9="","",D23/D20-1),"")</f>
        <v>0.3798075304515216</v>
      </c>
      <c r="E24" s="28" t="inlineStr">
        <is>
          <t>How far the plan sits above the cash break-even (plan ÷ break-even − 1); the drop you can absorb is 1 − break-even ÷ plan. The required minimum is set in the "0. Assumptions" tab</t>
        </is>
      </c>
      <c r="F24" s="28" t="n"/>
    </row>
    <row r="25">
      <c r="A25" s="25" t="inlineStr">
        <is>
          <t>INTERPRETATION</t>
        </is>
      </c>
      <c r="B25" s="28" t="n"/>
      <c r="C25" s="28" t="n"/>
      <c r="D25" s="28" t="n"/>
      <c r="E25" s="28" t="n"/>
      <c r="F25" s="28" t="n"/>
    </row>
    <row r="26" ht="46" customHeight="1">
      <c r="A26" s="28" t="str">
        <f>IFERROR("With the average price per guest excl. sales tax above, you need "&amp;TEXT(ROUNDUP(B15,0),"0")&amp;" events a year at your average of "&amp;TEXT(B11,"0")&amp;" guests per event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price per guest excl. sales tax above, you need 141 events a year at your average of 95 guests per event to avoid losing money (accounting break-even, depreciation included), and 138 for cash to hold (cash break-even: depreciation out, because it is not paid, and the year's loan payment in). The "Revenue needed per year" rows show the same figures in your currency.</v>
      </c>
      <c r="B26" s="28" t="n"/>
      <c r="C26" s="28" t="n"/>
      <c r="D26" s="28" t="n"/>
      <c r="E26" s="28" t="n"/>
      <c r="F26" s="28" t="n"/>
    </row>
    <row r="27">
      <c r="A27" s="28" t="n"/>
      <c r="B27" s="28" t="n"/>
      <c r="C27" s="28" t="n"/>
      <c r="D27" s="28" t="n"/>
      <c r="E27" s="28" t="n"/>
      <c r="F27" s="28" t="n"/>
    </row>
    <row r="28">
      <c r="A28" s="25" t="inlineStr">
        <is>
          <t>BREAK-EVEN SENSITIVITY</t>
        </is>
      </c>
      <c r="B28" s="28" t="n"/>
      <c r="C28" s="28" t="n"/>
      <c r="D28" s="28" t="n"/>
      <c r="E28" s="28" t="n"/>
      <c r="F28" s="28" t="n"/>
    </row>
    <row r="29" ht="75" customHeight="1">
      <c r="A29" s="46" t="inlineStr">
        <is>
          <t>Events per year needed to cover costs for each price per guest (columns, in steps around the plan's price) and each variable cost per guest (rows). Green cells are below the events per year the plan forecasts.</t>
        </is>
      </c>
      <c r="B29" s="28" t="n"/>
      <c r="C29" s="28" t="n"/>
      <c r="D29" s="28" t="n"/>
      <c r="E29" s="28" t="n"/>
      <c r="F29" s="28" t="n"/>
    </row>
    <row r="30">
      <c r="A30" s="28" t="n"/>
      <c r="B30" s="28" t="n"/>
      <c r="C30" s="28" t="n"/>
      <c r="D30" s="28" t="n"/>
      <c r="E30" s="28" t="n"/>
      <c r="F30" s="28" t="n"/>
    </row>
    <row r="31" ht="45" customHeight="1">
      <c r="A31" s="39" t="inlineStr">
        <is>
          <t>Events per year needed: price per guest excl. sales tax (columns) × variable cost per guest (rows)</t>
        </is>
      </c>
      <c r="B31" s="62">
        <f>IFERROR($B$8-1,"")</f>
        <v>11.6</v>
      </c>
      <c r="C31" s="62">
        <f>IFERROR(IF($B$8="","",$B$8),"")</f>
        <v>12.6</v>
      </c>
      <c r="D31" s="62">
        <f>IFERROR($B$8+1,"")</f>
        <v>13.6</v>
      </c>
      <c r="E31" s="62">
        <f>IFERROR($B$8+2,"")</f>
        <v>14.6</v>
      </c>
      <c r="F31" s="28" t="n"/>
    </row>
    <row r="32">
      <c r="A32" s="61">
        <f>IFERROR($B$9*0.85,"")</f>
        <v>2.6453699999999998</v>
      </c>
      <c r="B32" s="44">
        <f>IFERROR(IF($B$31-$A32&lt;=0,"",$B$6/($B$31-$A32)/$B$11),"")</f>
        <v>148.52073962594676</v>
      </c>
      <c r="C32" s="44">
        <f>IFERROR(IF($C$31-$A32&lt;=0,"",$B$6/($C$31-$A32)/$B$11),"")</f>
        <v>133.60097468983696</v>
      </c>
      <c r="D32" s="44">
        <f>IFERROR(IF($D$31-$A32&lt;=0,"",$B$6/($D$31-$A32)/$B$11),"")</f>
        <v>121.40512921720695</v>
      </c>
      <c r="E32" s="44">
        <f>IFERROR(IF($E$31-$A32&lt;=0,"",$B$6/($E$31-$A32)/$B$11),"")</f>
        <v>111.24963889946336</v>
      </c>
      <c r="F32" s="28" t="n"/>
    </row>
    <row r="33">
      <c r="A33" s="61">
        <f>IFERROR($B$9*0.925,"")</f>
        <v>2.878785</v>
      </c>
      <c r="B33" s="44">
        <f>IFERROR(IF($B$31-$A33&lt;=0,"",$B$6/($B$31-$A33)/$B$11),"")</f>
        <v>152.49575554285633</v>
      </c>
      <c r="C33" s="44">
        <f>IFERROR(IF($C$31-$A33&lt;=0,"",$B$6/($C$31-$A33)/$B$11),"")</f>
        <v>136.80885266673886</v>
      </c>
      <c r="D33" s="44">
        <f>IFERROR(IF($D$31-$A33&lt;=0,"",$B$6/($D$31-$A33)/$B$11),"")</f>
        <v>124.04827910611735</v>
      </c>
      <c r="E33" s="44">
        <f>IFERROR(IF($E$31-$A33&lt;=0,"",$B$6/($E$31-$A33)/$B$11),"")</f>
        <v>113.4650521022515</v>
      </c>
      <c r="F33" s="28" t="n"/>
    </row>
    <row r="34">
      <c r="A34" s="64">
        <f>IFERROR($B$9*1.0,"")</f>
        <v>3.1122</v>
      </c>
      <c r="B34" s="48">
        <f>IFERROR(IF($B$31-$A34&lt;=0,"",$B$6/($B$31-$A34)/$B$11),"")</f>
        <v>156.689397803517</v>
      </c>
      <c r="C34" s="48">
        <f>IFERROR(IF($C$31-$A34&lt;=0,"",$B$6/($C$31-$A34)/$B$11),"")</f>
        <v>140.17456846441658</v>
      </c>
      <c r="D34" s="48">
        <f>IFERROR(IF($D$31-$A34&lt;=0,"",$B$6/($D$31-$A34)/$B$11),"")</f>
        <v>126.80908013851253</v>
      </c>
      <c r="E34" s="48">
        <f>IFERROR(IF($E$31-$A34&lt;=0,"",$B$6/($E$31-$A34)/$B$11),"")</f>
        <v>115.77049310370059</v>
      </c>
    </row>
    <row r="35">
      <c r="A35" s="64">
        <f>IFERROR($B$9*1.075,"")</f>
        <v>3.345615</v>
      </c>
      <c r="B35" s="48">
        <f>IFERROR(IF($B$31-$A35&lt;=0,"",$B$6/($B$31-$A35)/$B$11),"")</f>
        <v>161.12021315660607</v>
      </c>
      <c r="C35" s="48">
        <f>IFERROR(IF($C$31-$A35&lt;=0,"",$B$6/($C$31-$A35)/$B$11),"")</f>
        <v>143.71006508554507</v>
      </c>
      <c r="D35" s="48">
        <f>IFERROR(IF($D$31-$A35&lt;=0,"",$B$6/($D$31-$A35)/$B$11),"")</f>
        <v>129.69556640175807</v>
      </c>
      <c r="E35" s="48">
        <f>IFERROR(IF($E$31-$A35&lt;=0,"",$B$6/($E$31-$A35)/$B$11),"")</f>
        <v>118.1715634107676</v>
      </c>
    </row>
    <row r="36">
      <c r="A36" s="64">
        <f>IFERROR($B$9*1.15,"")</f>
        <v>3.57903</v>
      </c>
      <c r="B36" s="48">
        <f>IFERROR(IF($B$31-$A36&lt;=0,"",$B$6/($B$31-$A36)/$B$11),"")</f>
        <v>165.8089072364928</v>
      </c>
      <c r="C36" s="48">
        <f>IFERROR(IF($C$31-$A36&lt;=0,"",$B$6/($C$31-$A36)/$B$11),"")</f>
        <v>147.4285216198138</v>
      </c>
      <c r="D36" s="48">
        <f>IFERROR(IF($D$31-$A36&lt;=0,"",$B$6/($D$31-$A36)/$B$11),"")</f>
        <v>132.71652052413006</v>
      </c>
      <c r="E36" s="48">
        <f>IFERROR(IF($E$31-$A36&lt;=0,"",$B$6/($E$31-$A36)/$B$11),"")</f>
        <v>120.67433907148751</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4">
      <c r="A4" s="25" t="inlineStr">
        <is>
          <t>Metric</t>
        </is>
      </c>
      <c r="B4" s="25" t="inlineStr">
        <is>
          <t>Pessimistic</t>
        </is>
      </c>
      <c r="C4" s="25" t="inlineStr">
        <is>
          <t>Base</t>
        </is>
      </c>
      <c r="D4" s="25" t="inlineStr">
        <is>
          <t>Optimistic</t>
        </is>
      </c>
      <c r="E4" s="25" t="inlineStr">
        <is>
          <t>Notes</t>
        </is>
      </c>
      <c r="F4" s="28" t="n"/>
    </row>
    <row r="5">
      <c r="A5" s="28" t="inlineStr">
        <is>
          <t>Events per year</t>
        </is>
      </c>
      <c r="B5" s="49" t="n">
        <v>128</v>
      </c>
      <c r="C5" s="40">
        <f>IFERROR(IF('3-Year P&amp;L'!$B$6="","",'3-Year P&amp;L'!$B$6),"")</f>
        <v>170.0</v>
      </c>
      <c r="D5" s="49" t="n">
        <v>212</v>
      </c>
      <c r="E5" s="28" t="n"/>
      <c r="F5" s="28" t="n"/>
    </row>
    <row r="6">
      <c r="A6" s="28" t="inlineStr">
        <is>
          <t>Average price per guest (excl. sales tax)</t>
        </is>
      </c>
      <c r="B6" s="71" t="n">
        <v>11.34</v>
      </c>
      <c r="C6" s="61">
        <f>IFERROR(IF('3-Year P&amp;L'!$B$7="","",'3-Year P&amp;L'!$B$7),"")</f>
        <v>12.6</v>
      </c>
      <c r="D6" s="71" t="n">
        <v>13.86</v>
      </c>
      <c r="E6" s="28" t="n"/>
      <c r="F6" s="28" t="n"/>
    </row>
    <row r="7">
      <c r="A7" s="28" t="inlineStr">
        <is>
          <t>Average guests per event</t>
        </is>
      </c>
      <c r="B7" s="49" t="n">
        <v>86</v>
      </c>
      <c r="C7" s="40">
        <f>IFERROR(IF('3-Year P&amp;L'!$B$8="","",'3-Year P&amp;L'!$B$8),"")</f>
        <v>95.0</v>
      </c>
      <c r="D7" s="49" t="n">
        <v>105</v>
      </c>
      <c r="E7" s="28" t="n"/>
      <c r="F7" s="28" t="n"/>
    </row>
    <row r="8">
      <c r="A8" s="25" t="inlineStr">
        <is>
          <t>ANNUAL REVENUE (excl. sales tax)</t>
        </is>
      </c>
      <c r="B8" s="66">
        <f>IFERROR(IF(B5*B6*B7=0,"",B5*B6*B7),"")</f>
        <v>124830.72</v>
      </c>
      <c r="C8" s="66">
        <f>IFERROR(IF(C5*C6*C7=0,"",C5*C6*C7),"")</f>
        <v>203490.0</v>
      </c>
      <c r="D8" s="66">
        <f>IFERROR(IF(D5*D6*D7=0,"",D5*D6*D7),"")</f>
        <v>308523.6</v>
      </c>
      <c r="E8" s="28" t="n"/>
      <c r="F8" s="28" t="n"/>
    </row>
    <row r="9">
      <c r="A9" s="28" t="inlineStr">
        <is>
          <t>Cost of goods — coffee bar packages (beans, milks, syrups, cold brew)</t>
        </is>
      </c>
      <c r="B9" s="40">
        <f>IFERROR(IF(B8="","",B8*'0. Assumptions'!$B$11*'0. Assumptions'!$B$13),"")</f>
        <v>12732.733439999998</v>
      </c>
      <c r="C9" s="40">
        <f>IFERROR(IF(C8="","",C8*'0. Assumptions'!$B$11*'0. Assumptions'!$B$13),"")</f>
        <v>20755.98</v>
      </c>
      <c r="D9" s="40">
        <f>IFERROR(IF(D8="","",D8*'0. Assumptions'!$B$11*'0. Assumptions'!$B$13),"")</f>
        <v>31469.407199999998</v>
      </c>
      <c r="E9" s="28" t="n"/>
      <c r="F9" s="28" t="n"/>
    </row>
    <row r="10">
      <c r="A10" s="28" t="inlineStr">
        <is>
          <t>Cost of goods — add-ons</t>
        </is>
      </c>
      <c r="B10" s="40">
        <f>IFERROR(IF(B8="","",B8*'0. Assumptions'!$B$12*'0. Assumptions'!$B$14),"")</f>
        <v>4681.152000000001</v>
      </c>
      <c r="C10" s="40">
        <f>IFERROR(IF(C8="","",C8*'0. Assumptions'!$B$12*'0. Assumptions'!$B$14),"")</f>
        <v>7630.875000000001</v>
      </c>
      <c r="D10" s="40">
        <f>IFERROR(IF(D8="","",D8*'0. Assumptions'!$B$12*'0. Assumptions'!$B$14),"")</f>
        <v>11569.635</v>
      </c>
      <c r="E10" s="28" t="n"/>
      <c r="F10" s="28" t="n"/>
    </row>
    <row r="11">
      <c r="A11" s="28" t="inlineStr">
        <is>
          <t>Compostable cups, lids, sleeves &amp; napkins</t>
        </is>
      </c>
      <c r="B11" s="40">
        <f>IFERROR(IF(B8="","",B8*'0. Assumptions'!$B$15),"")</f>
        <v>4993.2288</v>
      </c>
      <c r="C11" s="40">
        <f>IFERROR(IF(C8="","",C8*'0. Assumptions'!$B$15),"")</f>
        <v>8139.6</v>
      </c>
      <c r="D11" s="40">
        <f>IFERROR(IF(D8="","",D8*'0. Assumptions'!$B$15),"")</f>
        <v>12340.944</v>
      </c>
      <c r="E11" s="28" t="n"/>
      <c r="F11" s="28" t="n"/>
    </row>
    <row r="12">
      <c r="A12" s="28" t="inlineStr">
        <is>
          <t>Festival &amp; market organizer fees</t>
        </is>
      </c>
      <c r="B12" s="40">
        <f>IFERROR(IF(B8="","",B8*'0. Assumptions'!$B$16*'0. Assumptions'!$B$17),"")</f>
        <v>936.2303999999999</v>
      </c>
      <c r="C12" s="40">
        <f>IFERROR(IF(C8="","",C8*'0. Assumptions'!$B$16*'0. Assumptions'!$B$17),"")</f>
        <v>1526.175</v>
      </c>
      <c r="D12" s="40">
        <f>IFERROR(IF(D8="","",D8*'0. Assumptions'!$B$16*'0. Assumptions'!$B$17),"")</f>
        <v>2313.927</v>
      </c>
      <c r="E12" s="28" t="n"/>
      <c r="F12" s="28" t="n"/>
    </row>
    <row r="13">
      <c r="A13" s="28" t="inlineStr">
        <is>
          <t>Card processing fees</t>
        </is>
      </c>
      <c r="B13" s="40">
        <f>IFERROR(IF(B8="","",B8*'0. Assumptions'!$B$18),"")</f>
        <v>3744.9215999999997</v>
      </c>
      <c r="C13" s="40">
        <f>IFERROR(IF(C8="","",C8*'0. Assumptions'!$B$18),"")</f>
        <v>6104.7</v>
      </c>
      <c r="D13" s="40">
        <f>IFERROR(IF(D8="","",D8*'0. Assumptions'!$B$18),"")</f>
        <v>9255.707999999999</v>
      </c>
      <c r="E13" s="28" t="n"/>
      <c r="F13" s="28" t="n"/>
    </row>
    <row r="14">
      <c r="A14" s="28" t="inlineStr">
        <is>
          <t>Miscellaneous and contingency</t>
        </is>
      </c>
      <c r="B14" s="40">
        <f>IFERROR(IF(B8="","",B8*'0. Assumptions'!$B$28),"")</f>
        <v>3744.9215999999997</v>
      </c>
      <c r="C14" s="40">
        <f>IFERROR(IF(C8="","",C8*'0. Assumptions'!$B$28),"")</f>
        <v>6104.7</v>
      </c>
      <c r="D14" s="40">
        <f>IFERROR(IF(D8="","",D8*'0. Assumptions'!$B$28),"")</f>
        <v>9255.707999999999</v>
      </c>
      <c r="E14" s="28" t="n"/>
      <c r="F14" s="28" t="n"/>
    </row>
    <row r="15">
      <c r="A15" s="28" t="inlineStr">
        <is>
          <t>TOTAL VARIABLE COSTS</t>
        </is>
      </c>
      <c r="B15" s="40">
        <f>IFERROR(IF(B8="","",SUM(B9:B14)),"")</f>
        <v>30833.18784</v>
      </c>
      <c r="C15" s="40">
        <f>IFERROR(IF(C8="","",SUM(C9:C14)),"")</f>
        <v>50262.03</v>
      </c>
      <c r="D15" s="40">
        <f>IFERROR(IF(D8="","",SUM(D9:D14)),"")</f>
        <v>76205.3292</v>
      </c>
      <c r="E15" s="28" t="n"/>
      <c r="F15" s="28" t="n"/>
    </row>
    <row r="16">
      <c r="A16" s="35" t="inlineStr">
        <is>
          <t>GROSS MARGIN</t>
        </is>
      </c>
      <c r="B16" s="42">
        <f>IFERROR(IF(B8="","",B8-B15),"")</f>
        <v>93997.53216</v>
      </c>
      <c r="C16" s="42">
        <f>IFERROR(IF(C8="","",C8-C15),"")</f>
        <v>153227.97</v>
      </c>
      <c r="D16" s="42">
        <f>IFERROR(IF(D8="","",D8-D15),"")</f>
        <v>232318.2708</v>
      </c>
    </row>
    <row r="17">
      <c r="A17" s="35" t="inlineStr">
        <is>
          <t>FIXED COSTS (the P&amp;L's)</t>
        </is>
      </c>
      <c r="B17" s="42">
        <f>IFERROR(IF(B8="","",'3-Year P&amp;L'!$B$38),"")</f>
        <v>126345.08571428571</v>
      </c>
      <c r="C17" s="42">
        <f>IFERROR(IF(C8="","",'3-Year P&amp;L'!$B$38),"")</f>
        <v>126345.08571428571</v>
      </c>
      <c r="D17" s="42">
        <f>IFERROR(IF(D8="","",'3-Year P&amp;L'!$B$38),"")</f>
        <v>126345.08571428571</v>
      </c>
      <c r="E17" s="35" t="inlineStr">
        <is>
          <t>Fixed costs do not change with the scenario: that is why they are fixed</t>
        </is>
      </c>
    </row>
    <row r="18">
      <c r="A18" s="16" t="inlineStr">
        <is>
          <t>PRE-TAX INCOME (EBT)</t>
        </is>
      </c>
      <c r="B18" s="52">
        <f>IFERROR(IF(B8="","",B16-B17),"")</f>
        <v>-32347.55355428571</v>
      </c>
      <c r="C18" s="52">
        <f>IFERROR(IF(C8="","",C16-C17),"")</f>
        <v>26882.884285714288</v>
      </c>
      <c r="D18" s="52">
        <f>IFERROR(IF(D8="","",D16-D17),"")</f>
        <v>105973.18508571429</v>
      </c>
    </row>
    <row r="19">
      <c r="A19" s="35" t="inlineStr">
        <is>
          <t>Income tax</t>
        </is>
      </c>
      <c r="B19" s="42">
        <f>IFERROR(IF(B8="","",MAX(0,B18-'0. Assumptions'!$B$42)*'0. Assumptions'!$B$37),"")</f>
        <v>0.0</v>
      </c>
      <c r="C19" s="42">
        <f>IFERROR(IF(C8="","",MAX(0,C18-'0. Assumptions'!$B$42)*'0. Assumptions'!$B$37),"")</f>
        <v>6720.721071428572</v>
      </c>
      <c r="D19" s="42">
        <f>IFERROR(IF(D8="","",MAX(0,D18-'0. Assumptions'!$B$42)*'0. Assumptions'!$B$37),"")</f>
        <v>26493.29627142857</v>
      </c>
      <c r="E19" s="35" t="inlineStr">
        <is>
          <t>At the "years 1-2" effective income tax rate, offsetting prior net operating losses</t>
        </is>
      </c>
    </row>
    <row r="20">
      <c r="A20" s="16" t="inlineStr">
        <is>
          <t>NET INCOME</t>
        </is>
      </c>
      <c r="B20" s="52">
        <f>IFERROR(IF(B8="","",B18-B19),"")</f>
        <v>-32347.55355428571</v>
      </c>
      <c r="C20" s="52">
        <f>IFERROR(IF(C8="","",C18-C19),"")</f>
        <v>20162.163214285716</v>
      </c>
      <c r="D20" s="52">
        <f>IFERROR(IF(D8="","",D18-D19),"")</f>
        <v>79479.88881428572</v>
      </c>
    </row>
    <row r="21">
      <c r="A21" s="35" t="inlineStr">
        <is>
          <t>Events per year to break even</t>
        </is>
      </c>
      <c r="B21" s="48">
        <f>IFERROR(IF(B8="","",IF(B6-B15/(B5*B7)&lt;=0,"",B17/(B6-B15/(B5*B7))/B7)),"")</f>
        <v>172.04888894211336</v>
      </c>
      <c r="C21" s="48">
        <f>IFERROR(IF(C8="","",IF(C6-C15/(C5*C7)&lt;=0,"",C17/(C6-C15/(C5*C7))/C7)),"")</f>
        <v>140.17456846441658</v>
      </c>
      <c r="D21" s="48">
        <f>IFERROR(IF(D8="","",IF(D6-D15/(D5*D7)&lt;=0,"",D17/(D6-D15/(D5*D7))/D7)),"")</f>
        <v>115.2950996027669</v>
      </c>
    </row>
    <row r="22">
      <c r="A22" s="16" t="inlineStr">
        <is>
          <t>WHAT EACH SCENARIO DEMANDS</t>
        </is>
      </c>
    </row>
    <row r="23">
      <c r="A23" s="35" t="inlineStr">
        <is>
          <t>Labor cost / Sales</t>
        </is>
      </c>
      <c r="B23" s="65">
        <f>IFERROR(IF(B8="","",'3-Year P&amp;L'!$B$23/B8),"")</f>
        <v>0.5968146302448628</v>
      </c>
      <c r="C23" s="65">
        <f>IFERROR(IF(C8="","",'3-Year P&amp;L'!$B$23/C8),"")</f>
        <v>0.3661152882205514</v>
      </c>
      <c r="D23" s="65">
        <f>IFERROR(IF(D8="","",'3-Year P&amp;L'!$B$23/D8),"")</f>
        <v>0.24147520643477519</v>
      </c>
      <c r="E23" s="35" t="inlineStr">
        <is>
          <t>The SAME staffing in all three scenarios. In the pessimistic case your real event-staff cost falls with the number of events (you pay hours per event), so the real result would be somewhat better than shown. If labor cost still blows up, adjust it in the "Staffing" tab, not here</t>
        </is>
      </c>
    </row>
    <row r="24">
      <c r="A24" s="35" t="inlineStr">
        <is>
          <t>Guests per year per full-time equivalent</t>
        </is>
      </c>
      <c r="B24" s="42">
        <f>IFERROR(IF(B8="","",B5*B7/Staffing!$C$9),"")</f>
        <v>7148.051948051948</v>
      </c>
      <c r="C24" s="42">
        <f>IFERROR(IF(C8="","",C5*C7/Staffing!$C$9),"")</f>
        <v>10487.012987012988</v>
      </c>
      <c r="D24" s="42">
        <f>IFERROR(IF(D8="","",D5*D7/Staffing!$C$9),"")</f>
        <v>14454.545454545454</v>
      </c>
      <c r="E24" s="35" t="inlineStr">
        <is>
          <t>Guests each full-time equivalent in the "Staffing" table would have to serve in a year. In the optimistic scenario it tells you whether you need to hire</t>
        </is>
      </c>
    </row>
    <row r="25">
      <c r="A25" s="16" t="inlineStr">
        <is>
          <t>Year-1 closing cash balance (estimate, same method in all three scenarios)</t>
        </is>
      </c>
      <c r="B25" s="52">
        <f>IFERROR(IF(B8="","",'Startup Costs'!$B$25+B20+'3-Year P&amp;L'!$B$36-Financing!$B$45),"")</f>
        <v>-486.85831874228097</v>
      </c>
      <c r="C25" s="52">
        <f>IFERROR(IF(C8="","",'Startup Costs'!$B$25+C20+'3-Year P&amp;L'!$B$36-Financing!$B$45),"")</f>
        <v>52022.858449829146</v>
      </c>
      <c r="D25" s="52">
        <f>IFERROR(IF(D8="","",'Startup Costs'!$B$25+D20+'3-Year P&amp;L'!$B$36-Financing!$B$45),"")</f>
        <v>111340.58404982914</v>
      </c>
      <c r="E25" s="1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row>
    <row r="26">
      <c r="A26" s="35" t="inlineStr">
        <is>
          <t>Actual month-12 balance from the 12-Month Cash Flow tab (Base case only)</t>
        </is>
      </c>
      <c r="C26" s="42">
        <f>IFERROR(IF(C8="","",'12-Month Cash Flow'!$M$22),"")</f>
        <v>54257.1728050981</v>
      </c>
      <c r="E26" s="35"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row>
    <row r="28" ht="150" customHeight="1">
      <c r="A28" s="17" t="inlineStr">
        <is>
          <t>The "Base" column reads its three inputs (events per year, price per guest and guests per event) from the "0. Assumptions" tab, so it reproduces EXACTLY year 1 of the P&amp;L. The other two scenarios use the same cost rates: only events, price and guests change. FIXED COSTS are the same in all three, while variable costs follow the sales of each scenario.</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P&amp;L'!$E$54)</formula>
    </cfRule>
    <cfRule type="expression" priority="2" dxfId="0" stopIfTrue="1">
      <formula>AND(ISNUMBER(B23),B23&lt;='3-Year P&amp;L'!$E$54)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Value out of range" error="Enter a whole number from 1 to 365: guests per event or days."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t="str">
        <f>IFERROR("Payroll — "&amp;TEXT('0. Assumptions'!$B$21,"0")&amp;" pay periods + employer taxes "&amp;TEXT('0. Assumptions'!$B$20*100,"0")&amp;"%","")</f>
        <v>Payroll — 12 pay periods + employer taxes 10%</v>
      </c>
    </row>
    <row r="4" ht="45" customHeight="1">
      <c r="A4" s="39" t="inlineStr">
        <is>
          <t>Position</t>
        </is>
      </c>
      <c r="B4" s="39" t="inlineStr">
        <is>
          <t>People</t>
        </is>
      </c>
      <c r="C4" s="39" t="inlineStr">
        <is>
          <t>FTE</t>
        </is>
      </c>
      <c r="D4" s="39" t="inlineStr">
        <is>
          <t>Gross pay per month (total for the position)</t>
        </is>
      </c>
      <c r="E4" s="39" t="inlineStr">
        <is>
          <t>Employer payroll taxes (total for the position)</t>
        </is>
      </c>
      <c r="F4" s="39" t="inlineStr">
        <is>
          <t>Cost per month (total for the position)</t>
        </is>
      </c>
      <c r="G4" s="39" t="inlineStr">
        <is>
          <t>Cost per year</t>
        </is>
      </c>
      <c r="H4" s="39" t="inlineStr">
        <is>
          <t>Hours per week per person</t>
        </is>
      </c>
      <c r="I4" s="39" t="inlineStr">
        <is>
          <t>Hours per year for the position</t>
        </is>
      </c>
      <c r="J4" s="39" t="inlineStr">
        <is>
          <t>Notes</t>
        </is>
      </c>
    </row>
    <row r="5">
      <c r="A5" s="28" t="inlineStr">
        <is>
          <t>Owner / Lead Barista &amp; Sales</t>
        </is>
      </c>
      <c r="B5" s="49" t="n">
        <v>1</v>
      </c>
      <c r="C5" s="51" t="n">
        <v>1</v>
      </c>
      <c r="D5" s="71" t="n">
        <v>3813</v>
      </c>
      <c r="E5" s="61">
        <f>IFERROR(IF(D5="","",D5*'0. Assumptions'!$B$20),"")</f>
        <v>381.3</v>
      </c>
      <c r="F5" s="61">
        <f>IFERROR(IF(D5="","",D5+E5),"")</f>
        <v>4194.3</v>
      </c>
      <c r="G5" s="61">
        <f>IFERROR(IF(D5="","",F5*MAX(12,'0. Assumptions'!$B$21)),"")</f>
        <v>50331.600000000006</v>
      </c>
      <c r="H5" s="44">
        <f>IFERROR(IF(D5="","",C5*$B$16),"")</f>
        <v>40.0</v>
      </c>
      <c r="I5" s="40">
        <f>IFERROR(IF(D5="","",H5*B5*$B$17),"")</f>
        <v>2000.0</v>
      </c>
      <c r="J5" s="28" t="inlineStr">
        <is>
          <t>Sells to companies and couples, runs the tastings and works the espresso bar at the events. Covers the main shift at every event. The rest of the owner's pay comes from profit.</t>
        </is>
      </c>
    </row>
    <row r="6">
      <c r="A6" s="28" t="inlineStr">
        <is>
          <t>Lead barista (part-time W-2)</t>
        </is>
      </c>
      <c r="B6" s="49" t="n">
        <v>1</v>
      </c>
      <c r="C6" s="51" t="n">
        <v>0.3</v>
      </c>
      <c r="D6" s="71" t="n">
        <v>1040</v>
      </c>
      <c r="E6" s="61">
        <f>IFERROR(IF(D6="","",D6*'0. Assumptions'!$B$20),"")</f>
        <v>104.0</v>
      </c>
      <c r="F6" s="61">
        <f>IFERROR(IF(D6="","",D6+E6),"")</f>
        <v>1144.0</v>
      </c>
      <c r="G6" s="61">
        <f>IFERROR(IF(D6="","",F6*MAX(12,'0. Assumptions'!$B$21)),"")</f>
        <v>13728.0</v>
      </c>
      <c r="H6" s="44">
        <f>IFERROR(IF(D6="","",C6*$B$16),"")</f>
        <v>12.0</v>
      </c>
      <c r="I6" s="40">
        <f>IFERROR(IF(D6="","",H6*B6*$B$17),"")</f>
        <v>600.0</v>
      </c>
      <c r="J6" s="28" t="inlineStr">
        <is>
          <t>Lead barista, part-time W-2: runs the second station and the second event of the day. Paid at or above the pay floor in proportion to FTE, around the 90th percentile of occupation 35-3023 (BLS OEWS, May 2025: $20.51 per hour) because event baristas earn more ($20-35 per hour at grindkit.app).</t>
        </is>
      </c>
    </row>
    <row r="7">
      <c r="A7" s="28" t="inlineStr">
        <is>
          <t>Event baristas (hourly W-2)</t>
        </is>
      </c>
      <c r="B7" s="49" t="n">
        <v>2</v>
      </c>
      <c r="C7" s="51" t="n">
        <v>0.08</v>
      </c>
      <c r="D7" s="71" t="n">
        <v>527</v>
      </c>
      <c r="E7" s="61">
        <f>IFERROR(IF(D7="","",D7*'0. Assumptions'!$B$20),"")</f>
        <v>52.7</v>
      </c>
      <c r="F7" s="61">
        <f>IFERROR(IF(D7="","",D7+E7),"")</f>
        <v>579.7</v>
      </c>
      <c r="G7" s="61">
        <f>IFERROR(IF(D7="","",F7*MAX(12,'0. Assumptions'!$B$21)),"")</f>
        <v>6956.400000000001</v>
      </c>
      <c r="H7" s="44">
        <f>IFERROR(IF(D7="","",C7*$B$16),"")</f>
        <v>3.2</v>
      </c>
      <c r="I7" s="40">
        <f>IFERROR(IF(D7="","",H7*B7*$B$17),"")</f>
        <v>320.0</v>
      </c>
      <c r="J7" s="28" t="inlineStr">
        <is>
          <t>Event baristas hired per event and paid hourly as W-2 employees, with one barista for every 50-65 drinks an hour (Flashquotes). Their FTE is a fraction because they only work event hours. Treating them as 1099 contractors is a misclassification risk (FLSA; California AB5). Paid at or above the pay floor in proportion to FTE. Voluntary tips are theirs.</t>
        </is>
      </c>
    </row>
    <row r="8">
      <c r="A8" s="28" t="inlineStr">
        <is>
          <t>On-call barista / driver (hourly W-2, peak months)</t>
        </is>
      </c>
      <c r="B8" s="49" t="n">
        <v>1</v>
      </c>
      <c r="C8" s="51" t="n">
        <v>0.08</v>
      </c>
      <c r="D8" s="71" t="n">
        <v>264</v>
      </c>
      <c r="E8" s="61">
        <f>IFERROR(IF(D8="","",D8*'0. Assumptions'!$B$20),"")</f>
        <v>26.400000000000002</v>
      </c>
      <c r="F8" s="61">
        <f>IFERROR(IF(D8="","",D8+E8),"")</f>
        <v>290.4</v>
      </c>
      <c r="G8" s="61">
        <f>IFERROR(IF(D8="","",F8*MAX(12,'0. Assumptions'!$B$21)),"")</f>
        <v>3484.7999999999997</v>
      </c>
      <c r="H8" s="44">
        <f>IFERROR(IF(D8="","",C8*$B$16),"")</f>
        <v>3.2</v>
      </c>
      <c r="I8" s="40">
        <f>IFERROR(IF(D8="","",H8*B8*$B$17),"")</f>
        <v>160.0</v>
      </c>
      <c r="J8" s="28" t="inlineStr">
        <is>
          <t>On-call barista and driver, hourly W-2: reinforces the team in March-May and December, loads the trailer and tows it to the venue. Paid at or above the pay floor in proportion to FTE.</t>
        </is>
      </c>
    </row>
    <row r="9">
      <c r="A9" s="16" t="inlineStr">
        <is>
          <t>TOTAL STAFF</t>
        </is>
      </c>
      <c r="B9" s="52">
        <f>IFERROR(IF(COUNT(D5:D8)=0,"",SUM(B5:B8)),"")</f>
        <v>5.0</v>
      </c>
      <c r="C9" s="53">
        <f>IFERROR(IF(COUNT(D5:D8)=0,"",SUMPRODUCT(B5:B8,C5:C8)),"")</f>
        <v>1.54</v>
      </c>
      <c r="D9" s="53">
        <f>IFERROR(IF(COUNT(D5:D8)=0,"",SUM(D5:D8)),"")</f>
        <v>5644.0</v>
      </c>
      <c r="E9" s="53">
        <f>IFERROR(IF(COUNT(D5:D8)=0,"",SUM(E5:E8)),"")</f>
        <v>564.4</v>
      </c>
      <c r="F9" s="53">
        <f>IFERROR(IF(COUNT(D5:D8)=0,"",SUM(F5:F8)),"")</f>
        <v>6208.400000000001</v>
      </c>
      <c r="G9" s="53">
        <f>IFERROR(IF(COUNT(D5:D8)=0,"",SUM(G5:G8)),"")</f>
        <v>74500.8</v>
      </c>
      <c r="I9" s="52">
        <f>IFERROR(IF(COUNT(D5:D8)=0,"",SUM(I5:I8)),"")</f>
        <v>3080.0</v>
      </c>
    </row>
    <row r="10">
      <c r="A10" s="16" t="inlineStr">
        <is>
          <t>STAFF GROWTH (stepped cost)</t>
        </is>
      </c>
    </row>
    <row r="11">
      <c r="A11" s="35" t="inlineStr">
        <is>
          <t>Annual cost of year-2 hires</t>
        </is>
      </c>
      <c r="B11" s="56" t="n">
        <v>3000</v>
      </c>
      <c r="J11" s="35" t="inlineStr">
        <is>
          <t>FULL ANNUAL cost (gross pay + employer payroll taxes, over all pay periods) of whoever you hire that year. The P&amp;L adds it to the previous year's cost: staffing grows by people, not by a percentage</t>
        </is>
      </c>
    </row>
    <row r="12">
      <c r="A12" s="35" t="inlineStr">
        <is>
          <t>Annual cost of year-3 hires</t>
        </is>
      </c>
      <c r="B12" s="56" t="n">
        <v>3000</v>
      </c>
      <c r="J12" s="35" t="inlineStr">
        <is>
          <t>FULL ANNUAL cost (gross pay + employer payroll taxes, over all pay periods) of whoever you hire that year. The P&amp;L adds it to the previous year's cost: staffing grows by people, not by a percentage</t>
        </is>
      </c>
    </row>
    <row r="13">
      <c r="A13" s="35" t="inlineStr">
        <is>
          <t>Labor cost, year 2</t>
        </is>
      </c>
      <c r="B13" s="42">
        <f>IFERROR(IF(G9="","",G9*(1+'0. Assumptions'!$B$48)+B11),"")</f>
        <v>77500.8</v>
      </c>
    </row>
    <row r="14">
      <c r="A14" s="35" t="inlineStr">
        <is>
          <t>Labor cost, year 3</t>
        </is>
      </c>
      <c r="B14" s="42">
        <f>IFERROR(IF(B13="","",B13*(1+'0. Assumptions'!$B$48)+B12),"")</f>
        <v>80500.8</v>
      </c>
    </row>
    <row r="15">
      <c r="A15" s="16" t="inlineStr">
        <is>
          <t>COVERAGE OF EVENT HOURS</t>
        </is>
      </c>
    </row>
    <row r="16">
      <c r="A16" s="35" t="inlineStr">
        <is>
          <t>Full-time week (hours per week)</t>
        </is>
      </c>
      <c r="B16" s="56" t="n">
        <v>40</v>
      </c>
      <c r="J16" s="35" t="inlineStr">
        <is>
          <t>40 hours a week is the FLSA overtime threshold for non-exempt employees; some states add daily overtime rules. Change it if your own full-time week is different</t>
        </is>
      </c>
    </row>
    <row r="17">
      <c r="A17" s="35" t="inlineStr">
        <is>
          <t>Weeks worked per year per person</t>
        </is>
      </c>
      <c r="B17" s="56" t="n">
        <v>50</v>
      </c>
      <c r="J17" s="35" t="inlineStr">
        <is>
          <t>50 weeks: 52 minus about two weeks of vacation, holidays and average absences. There is no federal vacation requirement in the US: adjust it to your own policy</t>
        </is>
      </c>
    </row>
    <row r="18">
      <c r="A18" s="35" t="inlineStr">
        <is>
          <t>Hours per person per event (loading at the commissary, travel, setup, service, breakdown, cleaning)</t>
        </is>
      </c>
      <c r="B18" s="57" t="n">
        <v>7</v>
      </c>
      <c r="J18" s="35" t="inlineStr">
        <is>
          <t>Hours of work per person for one event: loading at the commissary, travel, about one hour of setup, 2-2.5 hours of service, and breakdown and cleanup. A 2-hour event takes 7-9 hours of shift (grindkit.app). Serving is only part of it. Hours × people × events per year sets the event staff cost.</t>
        </is>
      </c>
    </row>
    <row r="19">
      <c r="A19" s="35" t="inlineStr">
        <is>
          <t>Baristas per event (average)</t>
        </is>
      </c>
      <c r="B19" s="57" t="n">
        <v>1.6</v>
      </c>
      <c r="J19" s="35" t="inlineStr">
        <is>
          <t>Average number of baristas working each event: 1 at small parties and quiet festivals, 2 at weddings and large company events (Kit estimate from 50-65 drinks per barista per hour). Weighted by the mix in the Word plan, the average is about 1.6. Raise it if you staff more heavily: the staffing sizes itself.</t>
        </is>
      </c>
    </row>
    <row r="20">
      <c r="A20" s="35" t="inlineStr">
        <is>
          <t>Event hours to cover per year</t>
        </is>
      </c>
      <c r="B20" s="42">
        <f>IFERROR(IF(OR(B18="",B19="",'0. Assumptions'!$B$4=""),"",B18*B19*'0. Assumptions'!$B$4),"")</f>
        <v>1904.0000000000002</v>
      </c>
    </row>
    <row r="21">
      <c r="A21" s="35" t="inlineStr">
        <is>
          <t>Hours hired per year</t>
        </is>
      </c>
      <c r="B21" s="42">
        <f>IFERROR(IF(I9="","",I9),"")</f>
        <v>3080.0</v>
      </c>
    </row>
    <row r="22">
      <c r="A22" s="16" t="inlineStr">
        <is>
          <t>Coverage (hired / needed)</t>
        </is>
      </c>
      <c r="B22" s="69">
        <f>IFERROR(B21/B20,"")</f>
        <v>1.6176470588235292</v>
      </c>
      <c r="J22" s="16" t="inlineStr">
        <is>
          <t>Below 100% the staff cannot cover the hours the plan declares: either hire more or cut the hours</t>
        </is>
      </c>
    </row>
    <row r="24" ht="150" customHeight="1">
      <c r="A24" s="17" t="inlineStr">
        <is>
          <t>Columns D-G are TOTALS for the row. Event baristas are hourly W-2 employees with payroll taxes and workers' comp: paying them as 1099 contractors is a misclassification risk (FLSA; California AB5). One barista serves about 50-65 drinks an hour.</t>
        </is>
      </c>
    </row>
    <row r="25" ht="150" customHeight="1">
      <c r="A25" s="17"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Assumptions'!$B$21&lt;MAX('0. Assumptions'!$B$22,'0. Assumptions'!$B$68)*C5)</formula>
    </cfRule>
  </conditionalFormatting>
  <dataValidations count="4">
    <dataValidation sqref="B5 B6 B8 B11 B12 B16 B17 B18 D5 D6 D7 D8" showDropDown="0" showInputMessage="0" showErrorMessage="1" allowBlank="1" errorTitle="Invalid amount" error="Enter a number greater than or equal to 0." type="decimal" operator="greaterThanOrEqual">
      <formula1>0</formula1>
    </dataValidation>
    <dataValidation sqref="B19"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showDropDown="0" showInputMessage="0" showErrorMessage="1" allowBlank="1" errorTitle="Invalid percentage" error="Enter a percentage between 0 and 1 (0.35 = 35%)." type="decimal" operator="between">
      <formula1>0</formula1>
      <formula2>1</formula2>
    </dataValidation>
    <dataValidation sqref="B7"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HOW TO USE THIS WORKBOOK — Coffee Cart Financial Projections</t>
        </is>
      </c>
      <c r="B1" s="28" t="n"/>
      <c r="C1" s="28" t="n"/>
      <c r="D1" s="28" t="n"/>
      <c r="E1" s="28" t="n"/>
    </row>
    <row r="2">
      <c r="A2" s="28" t="n"/>
      <c r="B2" s="28" t="n"/>
      <c r="C2" s="28" t="n"/>
      <c r="D2" s="28" t="n"/>
      <c r="E2" s="28" t="n"/>
    </row>
    <row r="3">
      <c r="A3" s="39" t="inlineStr">
        <is>
          <t>HOW TO USE THIS WORKBOOK</t>
        </is>
      </c>
      <c r="B3" s="28" t="n"/>
      <c r="C3" s="28" t="n"/>
      <c r="D3" s="28" t="n"/>
      <c r="E3" s="28" t="n"/>
    </row>
    <row r="4" ht="30" customHeight="1">
      <c r="A4" s="46" t="inlineStr">
        <is>
          <t>This financial plan is a MODEL: you type only in the GREEN cells and everything else recalculates on its own.</t>
        </is>
      </c>
      <c r="B4" s="28" t="n"/>
      <c r="C4" s="28" t="n"/>
      <c r="D4" s="28" t="n"/>
      <c r="E4" s="28" t="n"/>
    </row>
    <row r="5" ht="59.75" customHeight="1">
      <c r="A5" s="46" t="inlineStr">
        <is>
          <t>1. "0. Assumptions" is the control sheet: events per year, price per guest excl. sales tax, guests per event, the mix of coffee bar packages and add-ons, cost of goods sold, commissary and cart storage, financing and taxes.</t>
        </is>
      </c>
      <c r="B5" s="28" t="n"/>
      <c r="C5" s="28" t="n"/>
      <c r="D5" s="28" t="n"/>
      <c r="E5" s="28" t="n"/>
    </row>
    <row r="6" ht="45" customHeight="1">
      <c r="A6" s="46" t="inlineStr">
        <is>
          <t>2. Startup cost items, fixed costs and staffing are typed in their own tab, also in green. No number is typed twice.</t>
        </is>
      </c>
      <c r="B6" s="28" t="n"/>
      <c r="C6" s="28" t="n"/>
      <c r="D6" s="28" t="n"/>
      <c r="E6" s="28" t="n"/>
    </row>
    <row r="7" ht="104.75" customHeight="1">
      <c r="A7" s="46"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8" t="n"/>
      <c r="C7" s="28" t="n"/>
      <c r="D7" s="28" t="n"/>
      <c r="E7" s="28" t="n"/>
    </row>
    <row r="8" ht="210" customHeight="1">
      <c r="A8" s="46" t="inlineStr">
        <is>
          <t>4. All figures are EXCL. SALES TAX. To turn a quoted price into a price excl. sales tax, divide it by 1 + your sales tax rate (with an 8% rate, divide by 1.08); if an item is taxed at a different rate in your state, use that rate. In many states the whole catering invoice is taxable, including staff and rentals; check yours. The rate of each sales line is in the "Sales tax rate on the line (%)" column of the P&amp;L, and from it come the receipts, the sales tax collected and the equivalent price per guest incl. sales tax. With the default 0% recoverable input tax, the sales tax you pay on purchases and startup costs is treated as a cost; in the UK, enter 20% if you are VAT-registered.</t>
        </is>
      </c>
      <c r="B8" s="28" t="n"/>
      <c r="C8" s="28" t="n"/>
      <c r="D8" s="28" t="n"/>
      <c r="E8" s="28" t="n"/>
    </row>
    <row r="9" ht="30" customHeight="1">
      <c r="A9" s="46" t="inlineStr">
        <is>
          <t>5. If you change the staffing, the P&amp;L reads it on its own: labor cost comes from the "Staffing" tab, not from a separate estimate.</t>
        </is>
      </c>
      <c r="B9" s="28" t="n"/>
      <c r="C9" s="28" t="n"/>
      <c r="D9" s="28" t="n"/>
      <c r="E9" s="28" t="n"/>
    </row>
    <row r="10" ht="45" customHeight="1">
      <c r="A10" s="46" t="inlineStr">
        <is>
          <t>6. The "12-Month Cash Flow" tab answers the question that decides a bank deal: in which month the cash runs out. The minimum balance of the year can never be in red.</t>
        </is>
      </c>
      <c r="B10" s="28" t="n"/>
      <c r="C10" s="28" t="n"/>
      <c r="D10" s="28" t="n"/>
      <c r="E10" s="28" t="n"/>
    </row>
    <row r="11" ht="45" customHeight="1">
      <c r="A11" s="46" t="inlineStr">
        <is>
          <t>7. The "Financing" tab matches what you need with what you put in and builds the amortization schedule of the loan. If the difference is red, the plan is not funded.</t>
        </is>
      </c>
      <c r="B11" s="28" t="n"/>
      <c r="C11" s="28" t="n"/>
      <c r="D11" s="28" t="n"/>
      <c r="E11" s="28" t="n"/>
    </row>
    <row r="12" ht="59.75" customHeight="1">
      <c r="A12" s="46" t="inlineStr">
        <is>
          <t>8. The Word business plan in this kit uses the same example figures as this workbook. The workbook is the one that recalculates on its own when you change a green cell: if you change one, update the matching figures in the Word document.</t>
        </is>
      </c>
      <c r="B12" s="28" t="n"/>
      <c r="C12" s="28" t="n"/>
      <c r="D12" s="28" t="n"/>
      <c r="E12" s="28" t="n"/>
    </row>
    <row r="13">
      <c r="A13" s="28" t="n"/>
      <c r="B13" s="28" t="n"/>
      <c r="C13" s="28" t="n"/>
      <c r="D13" s="28" t="n"/>
      <c r="E13" s="28" t="n"/>
    </row>
    <row r="14">
      <c r="A14" s="25" t="inlineStr">
        <is>
          <t>RATIOS AUDITED BY THIS WORKBOOK</t>
        </is>
      </c>
      <c r="B14" s="28" t="n"/>
      <c r="C14" s="28" t="n"/>
      <c r="D14" s="28" t="n"/>
      <c r="E14" s="28" t="n"/>
    </row>
    <row r="15" ht="30" customHeight="1">
      <c r="A15" s="46" t="inlineStr">
        <is>
          <t>Thresholds live in the "Threshold" column of the KEY RATIOS block of the P&amp;L: change them there and the traffic light changes with them.</t>
        </is>
      </c>
      <c r="B15" s="28" t="n"/>
      <c r="C15" s="28" t="n"/>
      <c r="D15" s="28" t="n"/>
      <c r="E15" s="28" t="n"/>
    </row>
    <row r="16">
      <c r="A16" s="28" t="n"/>
      <c r="B16" s="28" t="n"/>
      <c r="C16" s="28" t="n"/>
      <c r="D16" s="28" t="n"/>
      <c r="E16" s="28" t="n"/>
    </row>
    <row r="17">
      <c r="A17" s="25" t="inlineStr">
        <is>
          <t>Ratio</t>
        </is>
      </c>
      <c r="B17" s="25" t="inlineStr">
        <is>
          <t>Year 1 value</t>
        </is>
      </c>
      <c r="C17" s="25" t="inlineStr">
        <is>
          <t>Threshold</t>
        </is>
      </c>
      <c r="D17" s="25" t="inlineStr">
        <is>
          <t>Status</t>
        </is>
      </c>
      <c r="E17" s="28" t="n"/>
    </row>
    <row r="18">
      <c r="A18" s="28" t="inlineStr">
        <is>
          <t>Cost of goods sold / Sales</t>
        </is>
      </c>
      <c r="B18" s="68">
        <f>IFERROR(IF('3-Year P&amp;L'!$B$53="","",'3-Year P&amp;L'!$B$53),"")</f>
        <v>0.13949999999999999</v>
      </c>
      <c r="C18" s="68">
        <f>IFERROR(IF('3-Year P&amp;L'!$E$53="","",'3-Year P&amp;L'!$E$53),"")</f>
        <v>0.2</v>
      </c>
      <c r="D18" s="28" t="str">
        <f>IFERROR(IF(OR(B18="",C18=""),"",IF(B18&lt;=C18,"OK","REVIEW")),"")</f>
        <v>OK</v>
      </c>
      <c r="E18" s="28" t="n"/>
    </row>
    <row r="19">
      <c r="A19" t="inlineStr">
        <is>
          <t>Labor cost / Sales</t>
        </is>
      </c>
      <c r="B19" s="65">
        <f>IFERROR(IF('3-Year P&amp;L'!$B$54="","",'3-Year P&amp;L'!$B$54),"")</f>
        <v>0.3661152882205514</v>
      </c>
      <c r="C19" s="65">
        <f>IFERROR(IF('3-Year P&amp;L'!$E$54="","",'3-Year P&amp;L'!$E$54),"")</f>
        <v>0.4</v>
      </c>
      <c r="D19" t="str">
        <f>IFERROR(IF(OR(B19="",C19=""),"",IF(B19&lt;=C19,"OK","REVIEW")),"")</f>
        <v>OK</v>
      </c>
    </row>
    <row r="20">
      <c r="A20" t="inlineStr">
        <is>
          <t>Commissary &amp; cart storage / Sales</t>
        </is>
      </c>
      <c r="B20" s="65">
        <f>IFERROR(IF('3-Year P&amp;L'!$B$55="","",'3-Year P&amp;L'!$B$55),"")</f>
        <v>0.0412796697626419</v>
      </c>
      <c r="C20" s="65">
        <f>IFERROR(IF('3-Year P&amp;L'!$E$55="","",'3-Year P&amp;L'!$E$55),"")</f>
        <v>0.06</v>
      </c>
      <c r="D20" t="str">
        <f>IFERROR(IF(OR(B20="",C20=""),"",IF(B20&lt;=C20,"OK","REVIEW")),"")</f>
        <v>OK</v>
      </c>
    </row>
    <row r="21">
      <c r="A21" t="inlineStr">
        <is>
          <t>Net income / Sales</t>
        </is>
      </c>
      <c r="B21" s="65">
        <f>IFERROR(IF('3-Year P&amp;L'!$B$56="","",'3-Year P&amp;L'!$B$56),"")</f>
        <v>0.09908183799835725</v>
      </c>
      <c r="C21" s="65">
        <f>IFERROR(IF('3-Year P&amp;L'!$E$56="","",'3-Year P&amp;L'!$E$56),"")</f>
        <v>0.05</v>
      </c>
      <c r="D21" t="str">
        <f>IFERROR(IF(OR(B21="",C21=""),"",IF(B21&gt;=C21,"OK","REVIEW")),"")</f>
        <v>OK</v>
      </c>
    </row>
    <row r="22">
      <c r="A22" t="inlineStr">
        <is>
          <t>Gross margin / Sales</t>
        </is>
      </c>
      <c r="B22" s="65">
        <f>IFERROR(IF('3-Year P&amp;L'!$B$51="","",'3-Year P&amp;L'!$B$51),"")</f>
        <v>0.753</v>
      </c>
      <c r="C22" s="65">
        <f>IFERROR(IF('3-Year P&amp;L'!$E$51="","",'3-Year P&amp;L'!$E$51),"")</f>
        <v>0.72</v>
      </c>
      <c r="D22" t="str">
        <f>IFERROR(IF(OR(B22="",C22=""),"",IF(B22&gt;=C22,"OK","REVIEW")),"")</f>
        <v>OK</v>
      </c>
    </row>
    <row r="24">
      <c r="A24" s="16" t="inlineStr">
        <is>
          <t>THIS PLAN'S KEY FIGURES</t>
        </is>
      </c>
    </row>
    <row r="25">
      <c r="A25" t="inlineStr">
        <is>
          <t>Total startup costs (sum of the blocks)</t>
        </is>
      </c>
      <c r="B25" s="42">
        <f>IFERROR(IF('Startup Costs'!$B$26="","",'Startup Costs'!$B$26),"")</f>
        <v>100290.2</v>
      </c>
    </row>
    <row r="26">
      <c r="A26" t="inlineStr">
        <is>
          <t>Total cash needed at launch</t>
        </is>
      </c>
      <c r="B26" s="42">
        <f>IFERROR(IF('Startup Costs'!$B$29="","",'Startup Costs'!$B$29),"")</f>
        <v>100290.2</v>
      </c>
    </row>
    <row r="27">
      <c r="A27" t="inlineStr">
        <is>
          <t>Working capital funded</t>
        </is>
      </c>
      <c r="B27" s="42">
        <f>IFERROR(IF('Startup Costs'!$B$25="","",'Startup Costs'!$B$25),"")</f>
        <v>29000.2</v>
      </c>
    </row>
    <row r="28">
      <c r="A28" t="inlineStr">
        <is>
          <t>Forecast year-1 revenue</t>
        </is>
      </c>
      <c r="B28" s="42">
        <f>IFERROR(IF('3-Year P&amp;L'!$B$9="","",'3-Year P&amp;L'!$B$9),"")</f>
        <v>203490.0</v>
      </c>
    </row>
    <row r="29">
      <c r="A29" t="inlineStr">
        <is>
          <t>Year-1 net income</t>
        </is>
      </c>
      <c r="B29" s="42">
        <f>IFERROR(IF('3-Year P&amp;L'!$B$48="","",'3-Year P&amp;L'!$B$48),"")</f>
        <v>20162.163214285716</v>
      </c>
    </row>
    <row r="30">
      <c r="A30" t="inlineStr">
        <is>
          <t>Events per year for the ACCOUNTING break-even (depreciation included)</t>
        </is>
      </c>
      <c r="B30" s="48">
        <f>IFERROR(IF('Break-Even'!$B$15="","",'Break-Even'!$B$15),"")</f>
        <v>140.17456846441658</v>
      </c>
    </row>
    <row r="31">
      <c r="A31" t="inlineStr">
        <is>
          <t>Project payback (years), before debt</t>
        </is>
      </c>
      <c r="B31">
        <f>IFERROR(IF('12-Month Cash Flow'!$B$31="","",'12-Month Cash Flow'!$B$31),"")</f>
        <v>2.3</v>
      </c>
    </row>
    <row r="33">
      <c r="A33" s="16" t="inlineStr">
        <is>
          <t>WHY THIS MODEL IS BUILT THIS WAY</t>
        </is>
      </c>
    </row>
    <row r="34">
      <c r="A34" s="16" t="inlineStr">
        <is>
          <t>Item</t>
        </is>
      </c>
      <c r="B34" s="16" t="inlineStr">
        <is>
          <t>Common shortcut</t>
        </is>
      </c>
      <c r="C34" s="16" t="inlineStr">
        <is>
          <t>This workbook</t>
        </is>
      </c>
      <c r="D34" s="16" t="inlineStr">
        <is>
          <t>Why</t>
        </is>
      </c>
    </row>
    <row r="35" ht="60" customHeight="1">
      <c r="A35" s="58" t="inlineStr">
        <is>
          <t>Labor cost in the P&amp;L</t>
        </is>
      </c>
      <c r="B35" s="58" t="inlineStr">
        <is>
          <t>A typed-in number that does not match the Staffing tab</t>
        </is>
      </c>
      <c r="C35" s="58" t="inlineStr">
        <is>
          <t>Read directly from the Staffing tab</t>
        </is>
      </c>
      <c r="D35" s="17" t="inlineStr">
        <is>
          <t>If you change a salary, the whole plan recalculates, so the P&amp;L and the staffing table can never disagree.</t>
        </is>
      </c>
    </row>
    <row r="36" ht="75" customHeight="1">
      <c r="A36" s="58" t="inlineStr">
        <is>
          <t>Staffing</t>
        </is>
      </c>
      <c r="B36" s="58" t="inlineStr">
        <is>
          <t>One line called "staff", with no link to event hours or pay floors</t>
        </is>
      </c>
      <c r="C36" s="58" t="inlineStr">
        <is>
          <t>Positions with their FTE, sized to the hours your events need, with event staff paid per event</t>
        </is>
      </c>
      <c r="D36" s="17" t="inlineStr">
        <is>
          <t>A plan staffed for fewer hours than it sells does not work on its own numbers. This layout makes that gap visible before a lender does.</t>
        </is>
      </c>
    </row>
    <row r="37" ht="60" customHeight="1">
      <c r="A37" s="58" t="inlineStr">
        <is>
          <t>Events, guests and price</t>
        </is>
      </c>
      <c r="B37" s="58" t="inlineStr">
        <is>
          <t>Sales typed as one lump sum, with no link to bookings</t>
        </is>
      </c>
      <c r="C37" s="58" t="inlineStr">
        <is>
          <t>Revenue = events per year × guests per event × price per guest, one cell each for the whole workbook</t>
        </is>
      </c>
      <c r="D37" s="17" t="inlineStr">
        <is>
          <t>Break-even, scenarios and the P&amp;L read the same three cells, so they always agree, and you can see which lever moves the result: more events, bigger events or a higher price.</t>
        </is>
      </c>
    </row>
    <row r="38" ht="60" customHeight="1">
      <c r="A38" s="58" t="inlineStr">
        <is>
          <t>Price per guest</t>
        </is>
      </c>
      <c r="B38" s="58" t="inlineStr">
        <is>
          <t>A price with no statement of whether sales tax or service is included</t>
        </is>
      </c>
      <c r="C38" s="58" t="inlineStr">
        <is>
          <t>Declared EXCL. sales tax, with service included and the voluntary gratuity left out</t>
        </is>
      </c>
      <c r="D38" s="17" t="inlineStr">
        <is>
          <t>Declaring it changes no number: it just says what the number is. Price per guest incl. sales tax = price per guest × (1 + sales tax rate), and the workbook calculates it for you.</t>
        </is>
      </c>
    </row>
    <row r="39" ht="60" customHeight="1">
      <c r="A39" s="58" t="inlineStr">
        <is>
          <t>Commissary, cart storage and trailer parking</t>
        </is>
      </c>
      <c r="B39" s="58" t="inlineStr">
        <is>
          <t>Left out: the model shows no cost of space</t>
        </is>
      </c>
      <c r="C39" s="58" t="inlineStr">
        <is>
          <t>A monthly cost for the commissary, cart storage and trailer parking, plus a deposit and rent for the months before opening</t>
        </is>
      </c>
      <c r="D39" s="17" t="inlineStr">
        <is>
          <t>The coffee is brewed at the event, but the water, the milk and the cart need a permitted commissary to start from and come back to. Leaving it out makes the business look like it has no occupancy cost.</t>
        </is>
      </c>
    </row>
    <row r="40" ht="45" customHeight="1">
      <c r="A40" s="58" t="inlineStr">
        <is>
          <t>Working capital</t>
        </is>
      </c>
      <c r="B40" s="58" t="inlineStr">
        <is>
          <t>A round number labeled "3 months" that does not match the fixed costs</t>
        </is>
      </c>
      <c r="C40" s="58" t="inlineStr">
        <is>
          <t>Three months of cash fixed costs, calculated by formula</t>
        </is>
      </c>
      <c r="D40" s="17" t="inlineStr">
        <is>
          <t>A round number often covers far less than the label says. This cushion is what keeps you open through the summer dip, when July and August bookings fall well below the rest of the year.</t>
        </is>
      </c>
    </row>
    <row r="41" ht="60" customHeight="1">
      <c r="A41" s="58" t="inlineStr">
        <is>
          <t>Depreciation</t>
        </is>
      </c>
      <c r="B41" s="58" t="inlineStr">
        <is>
          <t>One useful life for everything, including items that are not fixed assets</t>
        </is>
      </c>
      <c r="C41" s="58" t="inlineStr">
        <is>
          <t>Two useful lives: the cart, portable bar, trailer and their fit-out on one, and the espresso machines, grinders, generator and other equipment on the other. The Startup Costs tab calculates the annual charge.</t>
        </is>
      </c>
      <c r="D41" s="17" t="inlineStr">
        <is>
          <t>The cart, bar and trailer wear out at a different speed than the machines, grinders and generator. Working capital, opening inventory and launch marketing are not fixed assets, so they are not depreciated.</t>
        </is>
      </c>
    </row>
    <row r="42" ht="30" customHeight="1">
      <c r="A42" s="58" t="inlineStr">
        <is>
          <t>Trailer and equipment insurance, and liability</t>
        </is>
      </c>
      <c r="B42" s="58" t="inlineStr">
        <is>
          <t>Counted twice: once in startup costs and again as an annual expense</t>
        </is>
      </c>
      <c r="C42" s="58" t="inlineStr">
        <is>
          <t>Counted once, as an annual expense</t>
        </is>
      </c>
      <c r="D42" s="17" t="inlineStr">
        <is>
          <t>Counting a premium in both places inflates the startup costs, the cash you need to raise and the loan you ask for.</t>
        </is>
      </c>
    </row>
    <row r="43" ht="45" customHeight="1">
      <c r="A43" s="58" t="inlineStr">
        <is>
          <t>Generator fuel</t>
        </is>
      </c>
      <c r="B43" s="58" t="inlineStr">
        <is>
          <t>A separate fuel line, on top of utilities</t>
        </is>
      </c>
      <c r="C43" s="58" t="inlineStr">
        <is>
          <t>Included in the utilities line, in one monthly cell</t>
        </is>
      </c>
      <c r="D43" s="17" t="inlineStr">
        <is>
          <t>Generator fuel, water and ice rise and fall with how many events are outdoors: here they live in one cell, and the rest of the workbook follows.</t>
        </is>
      </c>
    </row>
    <row r="44" ht="30" customHeight="1">
      <c r="A44" s="58" t="inlineStr">
        <is>
          <t>Startup contingency</t>
        </is>
      </c>
      <c r="B44" s="58" t="inlineStr">
        <is>
          <t>A lump sum typed by hand</t>
        </is>
      </c>
      <c r="C44" s="58" t="inlineStr">
        <is>
          <t>A percentage calculated on the cart, portable bar, trailer, wrap and plan review lines</t>
        </is>
      </c>
      <c r="D44" s="17" t="inlineStr">
        <is>
          <t>If you change the cart price, the contingency recalculates instead of staying at the old amount.</t>
        </is>
      </c>
    </row>
    <row r="45" ht="74.75" customHeight="1">
      <c r="A45" s="58" t="inlineStr">
        <is>
          <t>Income tax</t>
        </is>
      </c>
      <c r="B45" s="58" t="inlineStr">
        <is>
          <t>A flat rate every year, with no offset for losses</t>
        </is>
      </c>
      <c r="C45" s="58" t="inlineStr">
        <is>
          <t>One effective rate for years 1-2 and another from year 3, offsetting net operating losses carried forward</t>
        </is>
      </c>
      <c r="D45" s="17" t="inlineStr">
        <is>
          <t>A loss in one year reduces taxable profit in later years. The model offsets losses fully as a simplification (federal rules cap the offset at 80% of taxable income). If you operate as a pass-through (sole proprietorship or LLC), set the rate to 0 and budget your personal tax separately.</t>
        </is>
      </c>
    </row>
    <row r="46" ht="45" customHeight="1">
      <c r="A46" s="58" t="inlineStr">
        <is>
          <t>Loan payment</t>
        </is>
      </c>
      <c r="B46" s="58" t="inlineStr">
        <is>
          <t>The full payment deducted in the P&amp;L</t>
        </is>
      </c>
      <c r="C46" s="58" t="inlineStr">
        <is>
          <t>Only interest in the P&amp;L; principal repaid in the cash flow</t>
        </is>
      </c>
      <c r="D46" s="17" t="inlineStr">
        <is>
          <t>Putting the full payment above the line turns the P&amp;L into a cash flow, and a lender spots it immediately.</t>
        </is>
      </c>
    </row>
    <row r="47" ht="45" customHeight="1">
      <c r="A47" s="58" t="inlineStr">
        <is>
          <t>Financing plan</t>
        </is>
      </c>
      <c r="B47" s="58" t="inlineStr">
        <is>
          <t>None</t>
        </is>
      </c>
      <c r="C47" s="58" t="inlineStr">
        <is>
          <t>A dedicated tab: where the money comes from, what it pays for and the amortization schedule year by year</t>
        </is>
      </c>
      <c r="D47" s="17" t="inlineStr">
        <is>
          <t>It is the sheet a lender asks for next to the P&amp;L, and it warns you when the money you put in falls short of what you need.</t>
        </is>
      </c>
    </row>
    <row r="48" ht="30" customHeight="1">
      <c r="A48" s="58" t="inlineStr">
        <is>
          <t>Month-by-month cash flow</t>
        </is>
      </c>
      <c r="B48" s="58" t="inlineStr">
        <is>
          <t>None</t>
        </is>
      </c>
      <c r="C48" s="58" t="inlineStr">
        <is>
          <t>A 12-month tab: cash in, cash out, quarterly sales tax and the cumulative balance</t>
        </is>
      </c>
      <c r="D48" s="17" t="inlineStr">
        <is>
          <t>It answers the one question that decides a loan: in which month does the business run out of cash?</t>
        </is>
      </c>
    </row>
    <row r="49" ht="45" customHeight="1">
      <c r="A49" s="58" t="inlineStr">
        <is>
          <t>Miscellaneous event costs</t>
        </is>
      </c>
      <c r="B49" s="58" t="inlineStr">
        <is>
          <t>A miscellaneous line typed in among the fixed costs</t>
        </is>
      </c>
      <c r="C49" s="58" t="inlineStr">
        <is>
          <t>A percentage of sales, treated as a variable cost; tow vehicle fuel has its own fixed line</t>
        </is>
      </c>
      <c r="D49" s="17" t="inlineStr">
        <is>
          <t>Extra milk, ice, cables and venue parking rise and fall with the number of events: among the fixed costs they would distort the break-even.</t>
        </is>
      </c>
    </row>
    <row r="50" ht="30" customHeight="1">
      <c r="A50" s="58" t="inlineStr">
        <is>
          <t>Cost of goods on all sales</t>
        </is>
      </c>
      <c r="B50" s="58" t="inlineStr">
        <is>
          <t>Revenue with no cost of goods sold attached</t>
        </is>
      </c>
      <c r="C50" s="58" t="inlineStr">
        <is>
          <t>Every sale carries its cost of goods: coffee bar packages and add-ons each at their own rate</t>
        </is>
      </c>
      <c r="D50" s="17" t="inlineStr">
        <is>
          <t>A revenue line that pays for no ingredients shows a margin that does not exist.</t>
        </is>
      </c>
    </row>
    <row r="51" ht="45" customHeight="1">
      <c r="A51" s="58" t="inlineStr">
        <is>
          <t>Wages and minimum wage</t>
        </is>
      </c>
      <c r="B51" s="58" t="inlineStr">
        <is>
          <t>Wages never compared with any legal floor</t>
        </is>
      </c>
      <c r="C51" s="58" t="inlineStr">
        <is>
          <t>No row below the pay floor in proportion to its FTE, and a cell for your state or local minimum wage</t>
        </is>
      </c>
      <c r="D51" s="17" t="inlineStr">
        <is>
          <t>State and local minimums are often higher than the federal one: enter yours in "0. Assumptions" and the traffic light warns you when a wage falls short.</t>
        </is>
      </c>
    </row>
    <row r="53">
      <c r="A53" s="16" t="inlineStr">
        <is>
          <t>US COFFEE CART &amp; COFFEE CATERING BENCHMARKS (sourced) AND KIT ESTIMATES</t>
        </is>
      </c>
    </row>
    <row r="54">
      <c r="A54" s="16" t="inlineStr">
        <is>
          <t>Benchmark</t>
        </is>
      </c>
      <c r="B54" s="16" t="inlineStr">
        <is>
          <t>Value</t>
        </is>
      </c>
      <c r="C54" s="16" t="inlineStr">
        <is>
          <t>Source</t>
        </is>
      </c>
      <c r="D54" s="16" t="inlineStr">
        <is>
          <t>Note</t>
        </is>
      </c>
    </row>
    <row r="55" ht="60" customHeight="1">
      <c r="A55" t="inlineStr">
        <is>
          <t>Coffee cart price per booking</t>
        </is>
      </c>
      <c r="B55" t="inlineStr">
        <is>
          <t>Median $1,040; P25 $764; P75 $1,697</t>
        </is>
      </c>
      <c r="C55" t="inlineStr">
        <is>
          <t>flashquotes.com</t>
        </is>
      </c>
      <c r="D55" s="17" t="inlineStr">
        <is>
          <t>Typical event: 100 guests. P10 $612, P90 $3,000. Based on 25,860 bookings from 578 operators (April 2023 to April 2026). Your price depends on hours, guests and market.</t>
        </is>
      </c>
    </row>
    <row r="56" ht="45" customHeight="1">
      <c r="A56" t="inlineStr">
        <is>
          <t>Price per guest by event size</t>
        </is>
      </c>
      <c r="B56" t="inlineStr">
        <is>
          <t>Under 50 guests about $38; 50-99 about $18; 100-249 about $13; 250-499 about $11</t>
        </is>
      </c>
      <c r="C56" t="inlineStr">
        <is>
          <t>flashquotes.com; grindkit.app</t>
        </is>
      </c>
      <c r="D56" s="17" t="inlineStr">
        <is>
          <t>GrindKit calls $5-11 per guest at 100 guests healthy and anything under $5 a loss. Price per guest drops as events get bigger.</t>
        </is>
      </c>
    </row>
    <row r="57" ht="30" customHeight="1">
      <c r="A57" t="inlineStr">
        <is>
          <t>Drinks per guest</t>
        </is>
      </c>
      <c r="B57" t="inlineStr">
        <is>
          <t>Up to 2 hours 1.0; 2-4 hours 1.3-1.5; 4-6 hours 1.5-1.8; 6+ hours 2.0-2.5</t>
        </is>
      </c>
      <c r="C57" t="inlineStr">
        <is>
          <t>grindkit.app</t>
        </is>
      </c>
      <c r="D57" s="17" t="inlineStr">
        <is>
          <t>Add 20-30% for morning events. At a festival, count each drink sold as one guest.</t>
        </is>
      </c>
    </row>
    <row r="58" ht="45" customHeight="1">
      <c r="A58" t="inlineStr">
        <is>
          <t>Mobile food unit permit (one county)</t>
        </is>
      </c>
      <c r="B58" t="inlineStr">
        <is>
          <t>Plan review $1,100; annual permit $500, $745 or $1,025 by risk level</t>
        </is>
      </c>
      <c r="C58" t="inlineStr">
        <is>
          <t>snohd.org</t>
        </is>
      </c>
      <c r="D58" s="17" t="inlineStr">
        <is>
          <t>Snohomish County, WA, as an example: electrical approval comes first. Fees and rules differ by county, so ask yours before you buy a cart.</t>
        </is>
      </c>
    </row>
    <row r="59" ht="45" customHeight="1">
      <c r="A59" t="inlineStr">
        <is>
          <t>Drinks per hour</t>
        </is>
      </c>
      <c r="B59" t="inlineStr">
        <is>
          <t>1 cart with 1 barista 50-65; 2 carts with 2 baristas about 100</t>
        </is>
      </c>
      <c r="C59" t="inlineStr">
        <is>
          <t>flashquotes.com; coffeecartboys.com</t>
        </is>
      </c>
      <c r="D59" s="17" t="inlineStr">
        <is>
          <t>Flashquotes suggests 2-3 baristas for about 250 guests, and Coffee Cart Boys cites 50 cups per hour. The "Staffing" tab uses this pace to size your crew.</t>
        </is>
      </c>
    </row>
    <row r="60" ht="45" customHeight="1">
      <c r="A60" t="inlineStr">
        <is>
          <t>Cost per drink, all in</t>
        </is>
      </c>
      <c r="B60" t="inlineStr">
        <is>
          <t>$0.75-1.50</t>
        </is>
      </c>
      <c r="C60" t="inlineStr">
        <is>
          <t>grindkit.app</t>
        </is>
      </c>
      <c r="D60" s="17" t="inlineStr">
        <is>
          <t>Double shot $0.25-0.45, milk $0.20-0.40, oat milk $0.60-1.10, cup and lid $0.20-0.45. Cost of goods runs 20-30% of drink revenue.</t>
        </is>
      </c>
    </row>
    <row r="61" ht="45" customHeight="1">
      <c r="A61" t="inlineStr">
        <is>
          <t>Startup cost of a coffee cart</t>
        </is>
      </c>
      <c r="B61" t="inlineStr">
        <is>
          <t>$5,000-25,000 for a cart; a 2-group machine about $8,500</t>
        </is>
      </c>
      <c r="C61" t="inlineStr">
        <is>
          <t>cart-king.com; Kit estimate</t>
        </is>
      </c>
      <c r="D61" s="17" t="inlineStr">
        <is>
          <t>Cart-king.com lists a typical cart at $24,000 and a premium one at $49,000. The $5,000-25,000 range and the machine price (store price) are Kit estimates.</t>
        </is>
      </c>
    </row>
    <row r="62" ht="60" customHeight="1">
      <c r="A62" t="inlineStr">
        <is>
          <t>Coffee and milk prices</t>
        </is>
      </c>
      <c r="B62" t="inlineStr">
        <is>
          <t>Ground coffee $9.33 per lb; whole milk $4.11 per gal</t>
        </is>
      </c>
      <c r="C62" t="inlineStr">
        <is>
          <t>bls.gov</t>
        </is>
      </c>
      <c r="D62" s="17" t="inlineStr">
        <is>
          <t>National averages for September 2026 (series APU0000717311 and APU0000709112). Wholesale specialty coffee runs about $18 per lb (Kit estimate).</t>
        </is>
      </c>
    </row>
    <row r="63" ht="120" customHeight="1">
      <c r="A63" t="inlineStr">
        <is>
          <t>Price structure</t>
        </is>
      </c>
      <c r="B63" t="inlineStr">
        <is>
          <t>Base fee $300-500 plus $150-200 per service hour; travel fee $1.25 per mile round trip</t>
        </is>
      </c>
      <c r="C63" t="inlineStr">
        <is>
          <t>flashquotes.com; grindkit.app</t>
        </is>
      </c>
      <c r="D63" s="17" t="inlineStr">
        <is>
          <t>Operators ask for a retainer of 30-50% to hold the date and the balance 14 days before the event. The kit's contract applies the retainer to the price.</t>
        </is>
      </c>
    </row>
    <row r="64" ht="45" customHeight="1">
      <c r="A64" t="inlineStr">
        <is>
          <t>Hourly wage, occupation 35-3023</t>
        </is>
      </c>
      <c r="B64" t="inlineStr">
        <is>
          <t>Median $15.00; P75 $17.34; P90 $20.51 (BLS OEWS, May 2025)</t>
        </is>
      </c>
      <c r="C64" t="inlineStr">
        <is>
          <t>bls.gov; grindkit.app</t>
        </is>
      </c>
      <c r="D64" s="17" t="inlineStr">
        <is>
          <t>BLS has no occupation of its own for baristas: they sit inside 35-3023, Fast Food and Counter Workers. Event baristas earn more, $20-35 per hour at grindkit.app.</t>
        </is>
      </c>
    </row>
    <row r="65" ht="59.75" customHeight="1">
      <c r="A65" t="inlineStr">
        <is>
          <t>Shared kitchen rate</t>
        </is>
      </c>
      <c r="B65" t="inlineStr">
        <is>
          <t>$15-$45 per hour</t>
        </is>
      </c>
      <c r="C65" t="inlineStr">
        <is>
          <t>thefoodcorridor.com</t>
        </is>
      </c>
      <c r="D65" s="17" t="inlineStr">
        <is>
          <t>2023 Shared Kitchen Operator Survey; 42% of operators charge $20-$29 per hour. A cart pays mostly for storage and water access, $200-600 per month (cart-king.com), and not every kitchen lets you park a trailer on site.</t>
        </is>
      </c>
    </row>
    <row r="66" ht="45" customHeight="1">
      <c r="A66" t="inlineStr">
        <is>
          <t>Booking seasonality</t>
        </is>
      </c>
      <c r="B66" t="inlineStr">
        <is>
          <t>December 11.7%; March 11.2%; May 10.9%; July 3.8% (the lowest)</t>
        </is>
      </c>
      <c r="C66" t="inlineStr">
        <is>
          <t>flashquotes.com</t>
        </is>
      </c>
      <c r="D66" s="17" t="inlineStr">
        <is>
          <t>Share of coffee cart bookings by month on Flashquotes. For coffee carts, July books about a third of December: plan your cash for the summer dip.</t>
        </is>
      </c>
    </row>
    <row r="67" ht="59.75" customHeight="1">
      <c r="A67" t="inlineStr">
        <is>
          <t>Insurance</t>
        </is>
      </c>
      <c r="B67" t="inlineStr">
        <is>
          <t>$45 / $96 / $82 / $204 per month</t>
        </is>
      </c>
      <c r="C67" t="inlineStr">
        <is>
          <t>insureon.com</t>
        </is>
      </c>
      <c r="D67" s="17" t="inlineStr">
        <is>
          <t>Insureon averages for businesses under 5 employees: general liability, BOP, workers' comp and commercial auto. Your quotes will differ. Venues usually ask for unlimited additional insureds, and your commercial auto must cover the trailer.</t>
        </is>
      </c>
    </row>
    <row r="68" ht="45" customHeight="1">
      <c r="A68" t="inlineStr">
        <is>
          <t>Close rate and lead time</t>
        </is>
      </c>
      <c r="B68" t="inlineStr">
        <is>
          <t>20-30% of quotes become bookings; median 41 days' notice</t>
        </is>
      </c>
      <c r="C68" t="inlineStr">
        <is>
          <t>flashquotes.com</t>
        </is>
      </c>
      <c r="D68" s="17" t="inlineStr">
        <is>
          <t>A close rate above 30% suggests your prices are too low. The 41-day median is why the launch ramp in "0. Assumptions" starts slowly.</t>
        </is>
      </c>
    </row>
    <row r="70">
      <c r="A70" s="59" t="inlineStr">
        <is>
          <t>To edit a cell that is not green: Review → Unprotect Sheet (there is no password).</t>
        </is>
      </c>
    </row>
    <row r="71">
      <c r="A71" s="59" t="inlineStr">
        <is>
          <t>More templates and kits in the catalog at aichef.pro/en/digital-products</t>
        </is>
      </c>
    </row>
    <row r="72">
      <c r="A72" s="59" t="inlineStr">
        <is>
          <t>Designed by John Guerrero — chef and restaurant consultant since 2010, in the kitchen since age 17 · johnguerrero.es</t>
        </is>
      </c>
    </row>
    <row r="73">
      <c r="A73" s="59" t="inlineStr">
        <is>
          <t>Version 2.2 · October 2026 · aichef.pro/en/digital-products/coffee-cart-business-plan · info@aichef.pro</t>
        </is>
      </c>
    </row>
    <row r="74" ht="45" customHeight="1">
      <c r="A74" s="72"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CASH FLOW FORECAST — YEAR 1</t>
        </is>
      </c>
      <c r="B1" s="28" t="n"/>
      <c r="C1" s="28" t="n"/>
      <c r="D1" s="28" t="n"/>
      <c r="E1" s="28" t="n"/>
      <c r="F1" s="28" t="n"/>
      <c r="G1" s="28" t="n"/>
      <c r="H1" s="28" t="n"/>
      <c r="I1" s="28" t="n"/>
      <c r="J1" s="28" t="n"/>
      <c r="K1" s="28" t="n"/>
      <c r="L1" s="28" t="n"/>
      <c r="M1" s="28" t="n"/>
      <c r="N1" s="28" t="n"/>
      <c r="O1" s="28" t="n"/>
    </row>
    <row r="2" ht="59.75" customHeight="1">
      <c r="A2" s="46" t="inlineStr">
        <is>
          <t>The P&amp;L tells you whether the business makes money; this tab tells you whether you have cash left to get to the end of the month. It is the first one a lender looks at.</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Item</t>
        </is>
      </c>
      <c r="B4" s="25" t="inlineStr">
        <is>
          <t>Month 1</t>
        </is>
      </c>
      <c r="C4" s="25" t="inlineStr">
        <is>
          <t>Month 2</t>
        </is>
      </c>
      <c r="D4" s="25" t="inlineStr">
        <is>
          <t>Month 3</t>
        </is>
      </c>
      <c r="E4" s="25" t="inlineStr">
        <is>
          <t>Month 4</t>
        </is>
      </c>
      <c r="F4" s="25" t="inlineStr">
        <is>
          <t>Month 5</t>
        </is>
      </c>
      <c r="G4" s="25" t="inlineStr">
        <is>
          <t>Month 6</t>
        </is>
      </c>
      <c r="H4" s="25" t="inlineStr">
        <is>
          <t>Month 7</t>
        </is>
      </c>
      <c r="I4" s="25" t="inlineStr">
        <is>
          <t>Month 8</t>
        </is>
      </c>
      <c r="J4" s="25" t="inlineStr">
        <is>
          <t>Month 9</t>
        </is>
      </c>
      <c r="K4" s="25" t="inlineStr">
        <is>
          <t>Month 10</t>
        </is>
      </c>
      <c r="L4" s="25" t="inlineStr">
        <is>
          <t>Month 11</t>
        </is>
      </c>
      <c r="M4" s="25" t="inlineStr">
        <is>
          <t>Month 12</t>
        </is>
      </c>
      <c r="N4" s="25" t="inlineStr">
        <is>
          <t>Year</t>
        </is>
      </c>
      <c r="O4" s="28" t="n"/>
    </row>
    <row r="5">
      <c r="A5" s="28" t="inlineStr">
        <is>
          <t>Monthly seasonality (adds up to 100%)</t>
        </is>
      </c>
      <c r="B5" s="73" t="n">
        <v>0.111</v>
      </c>
      <c r="C5" s="73" t="n">
        <v>0.108</v>
      </c>
      <c r="D5" s="73" t="n">
        <v>0.109</v>
      </c>
      <c r="E5" s="73" t="n">
        <v>0.059</v>
      </c>
      <c r="F5" s="73" t="n">
        <v>0.038</v>
      </c>
      <c r="G5" s="73" t="n">
        <v>0.053</v>
      </c>
      <c r="H5" s="73" t="n">
        <v>0.073</v>
      </c>
      <c r="I5" s="73" t="n">
        <v>0.095</v>
      </c>
      <c r="J5" s="73" t="n">
        <v>0.079</v>
      </c>
      <c r="K5" s="73" t="n">
        <v>0.117</v>
      </c>
      <c r="L5" s="73" t="n">
        <v>0.07000000000000001</v>
      </c>
      <c r="M5" s="73" t="n">
        <v>0.08799999999999999</v>
      </c>
      <c r="N5" s="68">
        <f>IFERROR(IF('3-Year P&amp;L'!$B$9="","",SUM(B5:M5)),"")</f>
        <v>1.0</v>
      </c>
      <c r="O5" s="28" t="inlineStr">
        <is>
          <t>Share of the year's events per month (100% in total). Month 1 = opening month (March in the example); July is the slowest month for coffee carts. The retainer is not modeled: it improves real cash.</t>
        </is>
      </c>
    </row>
    <row r="6">
      <c r="A6" s="28" t="inlineStr">
        <is>
          <t>Launch ramp-up (% of steady-state activity)</t>
        </is>
      </c>
      <c r="B6" s="68">
        <f>IFERROR(IF('3-Year P&amp;L'!$B$9="","",MIN(1,'0. Assumptions'!$B$52+(1-'0. Assumptions'!$B$52)*0/MAX(1,'0. Assumptions'!$B$53-1))),"")</f>
        <v>0.45</v>
      </c>
      <c r="C6" s="68">
        <f>IFERROR(IF('3-Year P&amp;L'!$B$9="","",MIN(1,'0. Assumptions'!$B$52+(1-'0. Assumptions'!$B$52)*1/MAX(1,'0. Assumptions'!$B$53-1))),"")</f>
        <v>0.51875</v>
      </c>
      <c r="D6" s="68">
        <f>IFERROR(IF('3-Year P&amp;L'!$B$9="","",MIN(1,'0. Assumptions'!$B$52+(1-'0. Assumptions'!$B$52)*2/MAX(1,'0. Assumptions'!$B$53-1))),"")</f>
        <v>0.5875</v>
      </c>
      <c r="E6" s="68">
        <f>IFERROR(IF('3-Year P&amp;L'!$B$9="","",MIN(1,'0. Assumptions'!$B$52+(1-'0. Assumptions'!$B$52)*3/MAX(1,'0. Assumptions'!$B$53-1))),"")</f>
        <v>0.65625</v>
      </c>
      <c r="F6" s="68">
        <f>IFERROR(IF('3-Year P&amp;L'!$B$9="","",MIN(1,'0. Assumptions'!$B$52+(1-'0. Assumptions'!$B$52)*4/MAX(1,'0. Assumptions'!$B$53-1))),"")</f>
        <v>0.7250000000000001</v>
      </c>
      <c r="G6" s="68">
        <f>IFERROR(IF('3-Year P&amp;L'!$B$9="","",MIN(1,'0. Assumptions'!$B$52+(1-'0. Assumptions'!$B$52)*5/MAX(1,'0. Assumptions'!$B$53-1))),"")</f>
        <v>0.79375</v>
      </c>
      <c r="H6" s="68">
        <f>IFERROR(IF('3-Year P&amp;L'!$B$9="","",MIN(1,'0. Assumptions'!$B$52+(1-'0. Assumptions'!$B$52)*6/MAX(1,'0. Assumptions'!$B$53-1))),"")</f>
        <v>0.8625</v>
      </c>
      <c r="I6" s="68">
        <f>IFERROR(IF('3-Year P&amp;L'!$B$9="","",MIN(1,'0. Assumptions'!$B$52+(1-'0. Assumptions'!$B$52)*7/MAX(1,'0. Assumptions'!$B$53-1))),"")</f>
        <v>0.9312500000000001</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8" t="n"/>
      <c r="O6" s="28" t="inlineStr">
        <is>
          <t>Rises in a straight line from the month-1 percentage to 100% over the number of months you set in Assumptions. With month 1 at 100%, the ramp disappears</t>
        </is>
      </c>
    </row>
    <row r="7">
      <c r="A7" s="28" t="inlineStr">
        <is>
          <t>Split of activity by month (calculated)</t>
        </is>
      </c>
      <c r="B7" s="68">
        <f>IFERROR(IF('3-Year P&amp;L'!$B$9="","",B5*B6/SUMPRODUCT($B$5:$M$5,$B$6:$M$6)),"")</f>
        <v>0.06372951636697102</v>
      </c>
      <c r="C7" s="68">
        <f>IFERROR(IF('3-Year P&amp;L'!$B$9="","",C5*C6/SUMPRODUCT($B$5:$M$5,$B$6:$M$6)),"")</f>
        <v>0.07148040349268371</v>
      </c>
      <c r="D7" s="68">
        <f>IFERROR(IF('3-Year P&amp;L'!$B$9="","",D5*D6/SUMPRODUCT($B$5:$M$5,$B$6:$M$6)),"")</f>
        <v>0.08170328136836649</v>
      </c>
      <c r="E7" s="68">
        <f>IFERROR(IF('3-Year P&amp;L'!$B$9="","",E5*E6/SUMPRODUCT($B$5:$M$5,$B$6:$M$6)),"")</f>
        <v>0.04939994418085403</v>
      </c>
      <c r="F7" s="68">
        <f>IFERROR(IF('3-Year P&amp;L'!$B$9="","",F5*F6/SUMPRODUCT($B$5:$M$5,$B$6:$M$6)),"")</f>
        <v>0.03515011363183287</v>
      </c>
      <c r="G7" s="68">
        <f>IFERROR(IF('3-Year P&amp;L'!$B$9="","",G5*G6/SUMPRODUCT($B$5:$M$5,$B$6:$M$6)),"")</f>
        <v>0.05367409592918942</v>
      </c>
      <c r="H7" s="68">
        <f>IFERROR(IF('3-Year P&amp;L'!$B$9="","",H5*H6/SUMPRODUCT($B$5:$M$5,$B$6:$M$6)),"")</f>
        <v>0.08033172521031857</v>
      </c>
      <c r="I7" s="68">
        <f>IFERROR(IF('3-Year P&amp;L'!$B$9="","",I5*I6/SUMPRODUCT($B$5:$M$5,$B$6:$M$6)),"")</f>
        <v>0.11287428730911847</v>
      </c>
      <c r="J7" s="68">
        <f>IFERROR(IF('3-Year P&amp;L'!$B$9="","",J5*J6/SUMPRODUCT($B$5:$M$5,$B$6:$M$6)),"")</f>
        <v>0.10079342928910331</v>
      </c>
      <c r="K7" s="68">
        <f>IFERROR(IF('3-Year P&amp;L'!$B$9="","",K5*K6/SUMPRODUCT($B$5:$M$5,$B$6:$M$6)),"")</f>
        <v>0.14927634464335554</v>
      </c>
      <c r="L7" s="68">
        <f>IFERROR(IF('3-Year P&amp;L'!$B$9="","",L5*L6/SUMPRODUCT($B$5:$M$5,$B$6:$M$6)),"")</f>
        <v>0.08931063354730674</v>
      </c>
      <c r="M7" s="68">
        <f>IFERROR(IF('3-Year P&amp;L'!$B$9="","",M5*M6/SUMPRODUCT($B$5:$M$5,$B$6:$M$6)),"")</f>
        <v>0.11227622503089987</v>
      </c>
      <c r="N7" s="68">
        <f>IFERROR(IF('3-Year P&amp;L'!$B$9="","",SUM(B7:M7)),"")</f>
        <v>1.0</v>
      </c>
      <c r="O7" s="28" t="inlineStr">
        <is>
          <t>Seasonality × ramp-up, normalized to 100%: the YEAR brings in what the P&amp;L says, but split the way a business that has just opened would split it</t>
        </is>
      </c>
    </row>
    <row r="8">
      <c r="A8" s="25" t="inlineStr">
        <is>
          <t>CASH IN</t>
        </is>
      </c>
      <c r="B8" s="28" t="n"/>
      <c r="C8" s="28" t="n"/>
      <c r="D8" s="28" t="n"/>
      <c r="E8" s="28" t="n"/>
      <c r="F8" s="28" t="n"/>
      <c r="G8" s="28" t="n"/>
      <c r="H8" s="28" t="n"/>
      <c r="I8" s="28" t="n"/>
      <c r="J8" s="28" t="n"/>
      <c r="K8" s="28" t="n"/>
      <c r="L8" s="28" t="n"/>
      <c r="M8" s="28" t="n"/>
      <c r="N8" s="28" t="n"/>
      <c r="O8" s="28" t="n"/>
    </row>
    <row r="9">
      <c r="A9" s="28" t="inlineStr">
        <is>
          <t>Sales collected (incl. sales tax collected)</t>
        </is>
      </c>
      <c r="B9" s="40">
        <f>IFERROR(IF('3-Year P&amp;L'!$B$9="","",('3-Year P&amp;L'!$B$9+'3-Year P&amp;L'!$B$9*SUMPRODUCT('3-Year P&amp;L'!$E$10:$E$11,'3-Year P&amp;L'!$G$10:$G$11))*B7*(1-MIN(30,'0. Assumptions'!$B$58)/30)),"")</f>
        <v>7469.751908456602</v>
      </c>
      <c r="C9" s="40">
        <f>IFERROR(IF('3-Year P&amp;L'!$B$9="","",('3-Year P&amp;L'!$B$9+'3-Year P&amp;L'!$B$9*SUMPRODUCT('3-Year P&amp;L'!$E$10:$E$11,'3-Year P&amp;L'!$G$10:$G$11))*(C7*(1-MIN(30,'0. Assumptions'!$B$58)/30)+B7*MIN(30,'0. Assumptions'!$B$58)/30)),"")</f>
        <v>14914.268168573826</v>
      </c>
      <c r="D9" s="40">
        <f>IFERROR(IF('3-Year P&amp;L'!$B$9="","",('3-Year P&amp;L'!$B$9+'3-Year P&amp;L'!$B$9*SUMPRODUCT('3-Year P&amp;L'!$E$10:$E$11,'3-Year P&amp;L'!$G$10:$G$11))*(D7*(1-MIN(30,'0. Assumptions'!$B$58)/30)+C7*MIN(30,'0. Assumptions'!$B$58)/30)),"")</f>
        <v>16907.417060563774</v>
      </c>
      <c r="E9" s="40">
        <f>IFERROR(IF('3-Year P&amp;L'!$B$9="","",('3-Year P&amp;L'!$B$9+'3-Year P&amp;L'!$B$9*SUMPRODUCT('3-Year P&amp;L'!$E$10:$E$11,'3-Year P&amp;L'!$G$10:$G$11))*(E7*(1-MIN(30,'0. Assumptions'!$B$58)/30)+D7*MIN(30,'0. Assumptions'!$B$58)/30)),"")</f>
        <v>14169.58287915155</v>
      </c>
      <c r="F9" s="40">
        <f>IFERROR(IF('3-Year P&amp;L'!$B$9="","",('3-Year P&amp;L'!$B$9+'3-Year P&amp;L'!$B$9*SUMPRODUCT('3-Year P&amp;L'!$E$10:$E$11,'3-Year P&amp;L'!$G$10:$G$11))*(F7*(1-MIN(30,'0. Assumptions'!$B$58)/30)+E7*MIN(30,'0. Assumptions'!$B$58)/30)),"")</f>
        <v>9186.360154060842</v>
      </c>
      <c r="G9" s="40">
        <f>IFERROR(IF('3-Year P&amp;L'!$B$9="","",('3-Year P&amp;L'!$B$9+'3-Year P&amp;L'!$B$9*SUMPRODUCT('3-Year P&amp;L'!$E$10:$E$11,'3-Year P&amp;L'!$G$10:$G$11))*(G7*(1-MIN(30,'0. Assumptions'!$B$58)/30)+F7*MIN(30,'0. Assumptions'!$B$58)/30)),"")</f>
        <v>9896.112763605917</v>
      </c>
      <c r="H9" s="40">
        <f>IFERROR(IF('3-Year P&amp;L'!$B$9="","",('3-Year P&amp;L'!$B$9+'3-Year P&amp;L'!$B$9*SUMPRODUCT('3-Year P&amp;L'!$E$10:$E$11,'3-Year P&amp;L'!$G$10:$G$11))*(H7*(1-MIN(30,'0. Assumptions'!$B$58)/30)+G7*MIN(30,'0. Assumptions'!$B$58)/30)),"")</f>
        <v>14920.46024895339</v>
      </c>
      <c r="I9" s="40">
        <f>IFERROR(IF('3-Year P&amp;L'!$B$9="","",('3-Year P&amp;L'!$B$9+'3-Year P&amp;L'!$B$9*SUMPRODUCT('3-Year P&amp;L'!$E$10:$E$11,'3-Year P&amp;L'!$G$10:$G$11))*(I7*(1-MIN(30,'0. Assumptions'!$B$58)/30)+H7*MIN(30,'0. Assumptions'!$B$58)/30)),"")</f>
        <v>21468.760497906787</v>
      </c>
      <c r="J9" s="40">
        <f>IFERROR(IF('3-Year P&amp;L'!$B$9="","",('3-Year P&amp;L'!$B$9+'3-Year P&amp;L'!$B$9*SUMPRODUCT('3-Year P&amp;L'!$E$10:$E$11,'3-Year P&amp;L'!$G$10:$G$11))*(J7*(1-MIN(30,'0. Assumptions'!$B$58)/30)+I7*MIN(30,'0. Assumptions'!$B$58)/30)),"")</f>
        <v>23390.291554563217</v>
      </c>
      <c r="K9" s="40">
        <f>IFERROR(IF('3-Year P&amp;L'!$B$9="","",('3-Year P&amp;L'!$B$9+'3-Year P&amp;L'!$B$9*SUMPRODUCT('3-Year P&amp;L'!$E$10:$E$11,'3-Year P&amp;L'!$G$10:$G$11))*(K7*(1-MIN(30,'0. Assumptions'!$B$58)/30)+J7*MIN(30,'0. Assumptions'!$B$58)/30)),"")</f>
        <v>27833.985464694393</v>
      </c>
      <c r="L9" s="40">
        <f>IFERROR(IF('3-Year P&amp;L'!$B$9="","",('3-Year P&amp;L'!$B$9+'3-Year P&amp;L'!$B$9*SUMPRODUCT('3-Year P&amp;L'!$E$10:$E$11,'3-Year P&amp;L'!$G$10:$G$11))*(L7*(1-MIN(30,'0. Assumptions'!$B$58)/30)+K7*MIN(30,'0. Assumptions'!$B$58)/30)),"")</f>
        <v>25777.74745185599</v>
      </c>
      <c r="M9" s="40">
        <f>IFERROR(IF('3-Year P&amp;L'!$B$9="","",('3-Year P&amp;L'!$B$9+'3-Year P&amp;L'!$B$9*SUMPRODUCT('3-Year P&amp;L'!$E$10:$E$11,'3-Year P&amp;L'!$G$10:$G$11))*(M7*(1-MIN(30,'0. Assumptions'!$B$58)/30)+L7*MIN(30,'0. Assumptions'!$B$58)/30)),"")</f>
        <v>22319.528975718673</v>
      </c>
      <c r="N9" s="40">
        <f>IFERROR(IF('3-Year P&amp;L'!$B$9="","",SUM(B9:M9)),"")</f>
        <v>208254.26712810496</v>
      </c>
      <c r="O9" s="28" t="inlineStr">
        <is>
          <t>The month's sales plus the sales tax collected, adjusted by the average collection days from the Assumptions tab</t>
        </is>
      </c>
    </row>
    <row r="10">
      <c r="A10" s="25" t="inlineStr">
        <is>
          <t>CASH OUT</t>
        </is>
      </c>
      <c r="B10" s="28" t="n"/>
      <c r="C10" s="28" t="n"/>
      <c r="D10" s="28" t="n"/>
      <c r="E10" s="28" t="n"/>
      <c r="F10" s="28" t="n"/>
      <c r="G10" s="28" t="n"/>
      <c r="H10" s="28" t="n"/>
      <c r="I10" s="28" t="n"/>
      <c r="J10" s="28" t="n"/>
      <c r="K10" s="28" t="n"/>
      <c r="L10" s="28" t="n"/>
      <c r="M10" s="28" t="n"/>
      <c r="N10" s="28" t="n"/>
      <c r="O10" s="28" t="n"/>
    </row>
    <row r="11">
      <c r="A11" s="28" t="inlineStr">
        <is>
          <t>Purchases and variable costs (incl. sales tax)</t>
        </is>
      </c>
      <c r="B11" s="40">
        <f>IFERROR(IF('3-Year P&amp;L'!$B$9="","",-('3-Year P&amp;L'!$B$13*(1+'3-Year P&amp;L'!$G$13)+'3-Year P&amp;L'!$B$14*(1+'3-Year P&amp;L'!$G$14)+'3-Year P&amp;L'!$B$15*(1+'3-Year P&amp;L'!$G$15)+'3-Year P&amp;L'!$B$16*(1+'3-Year P&amp;L'!$G$16)+'3-Year P&amp;L'!$B$17*(1+'3-Year P&amp;L'!$G$17)+'3-Year P&amp;L'!$B$18*(1+'3-Year P&amp;L'!$G$18))*B7*(1-MIN(30,'0. Assumptions'!$B$59)/30)),"")</f>
        <v>-2455.767395367011</v>
      </c>
      <c r="C11" s="40">
        <f>IFERROR(IF('3-Year P&amp;L'!$B$9="","",-('3-Year P&amp;L'!$B$13*(1+'3-Year P&amp;L'!$G$13)+'3-Year P&amp;L'!$B$14*(1+'3-Year P&amp;L'!$G$14)+'3-Year P&amp;L'!$B$15*(1+'3-Year P&amp;L'!$G$15)+'3-Year P&amp;L'!$B$16*(1+'3-Year P&amp;L'!$G$16)+'3-Year P&amp;L'!$B$17*(1+'3-Year P&amp;L'!$G$17)+'3-Year P&amp;L'!$B$18*(1+'3-Year P&amp;L'!$G$18))*(C7*(1-MIN(30,'0. Assumptions'!$B$59)/30)+B7*MIN(30,'0. Assumptions'!$B$59)/30)),"")</f>
        <v>-3501.84927647223</v>
      </c>
      <c r="D11" s="40">
        <f>IFERROR(IF('3-Year P&amp;L'!$B$9="","",-('3-Year P&amp;L'!$B$13*(1+'3-Year P&amp;L'!$G$13)+'3-Year P&amp;L'!$B$14*(1+'3-Year P&amp;L'!$G$14)+'3-Year P&amp;L'!$B$15*(1+'3-Year P&amp;L'!$G$15)+'3-Year P&amp;L'!$B$16*(1+'3-Year P&amp;L'!$G$16)+'3-Year P&amp;L'!$B$17*(1+'3-Year P&amp;L'!$G$17)+'3-Year P&amp;L'!$B$18*(1+'3-Year P&amp;L'!$G$18))*(D7*(1-MIN(30,'0. Assumptions'!$B$59)/30)+C7*MIN(30,'0. Assumptions'!$B$59)/30)),"")</f>
        <v>-3986.6808405246998</v>
      </c>
      <c r="E11" s="40">
        <f>IFERROR(IF('3-Year P&amp;L'!$B$9="","",-('3-Year P&amp;L'!$B$13*(1+'3-Year P&amp;L'!$G$13)+'3-Year P&amp;L'!$B$14*(1+'3-Year P&amp;L'!$G$14)+'3-Year P&amp;L'!$B$15*(1+'3-Year P&amp;L'!$G$15)+'3-Year P&amp;L'!$B$16*(1+'3-Year P&amp;L'!$G$16)+'3-Year P&amp;L'!$B$17*(1+'3-Year P&amp;L'!$G$17)+'3-Year P&amp;L'!$B$18*(1+'3-Year P&amp;L'!$G$18))*(E7*(1-MIN(30,'0. Assumptions'!$B$59)/30)+D7*MIN(30,'0. Assumptions'!$B$59)/30)),"")</f>
        <v>-2861.7887804074794</v>
      </c>
      <c r="F11" s="40">
        <f>IFERROR(IF('3-Year P&amp;L'!$B$9="","",-('3-Year P&amp;L'!$B$13*(1+'3-Year P&amp;L'!$G$13)+'3-Year P&amp;L'!$B$14*(1+'3-Year P&amp;L'!$G$14)+'3-Year P&amp;L'!$B$15*(1+'3-Year P&amp;L'!$G$15)+'3-Year P&amp;L'!$B$16*(1+'3-Year P&amp;L'!$G$16)+'3-Year P&amp;L'!$B$17*(1+'3-Year P&amp;L'!$G$17)+'3-Year P&amp;L'!$B$18*(1+'3-Year P&amp;L'!$G$18))*(F7*(1-MIN(30,'0. Assumptions'!$B$59)/30)+E7*MIN(30,'0. Assumptions'!$B$59)/30)),"")</f>
        <v>-1933.8353283282167</v>
      </c>
      <c r="G11" s="40">
        <f>IFERROR(IF('3-Year P&amp;L'!$B$9="","",-('3-Year P&amp;L'!$B$13*(1+'3-Year P&amp;L'!$G$13)+'3-Year P&amp;L'!$B$14*(1+'3-Year P&amp;L'!$G$14)+'3-Year P&amp;L'!$B$15*(1+'3-Year P&amp;L'!$G$15)+'3-Year P&amp;L'!$B$16*(1+'3-Year P&amp;L'!$G$16)+'3-Year P&amp;L'!$B$17*(1+'3-Year P&amp;L'!$G$17)+'3-Year P&amp;L'!$B$18*(1+'3-Year P&amp;L'!$G$18))*(G7*(1-MIN(30,'0. Assumptions'!$B$59)/30)+F7*MIN(30,'0. Assumptions'!$B$59)/30)),"")</f>
        <v>-2480.5233305609822</v>
      </c>
      <c r="H11" s="40">
        <f>IFERROR(IF('3-Year P&amp;L'!$B$9="","",-('3-Year P&amp;L'!$B$13*(1+'3-Year P&amp;L'!$G$13)+'3-Year P&amp;L'!$B$14*(1+'3-Year P&amp;L'!$G$14)+'3-Year P&amp;L'!$B$15*(1+'3-Year P&amp;L'!$G$15)+'3-Year P&amp;L'!$B$16*(1+'3-Year P&amp;L'!$G$16)+'3-Year P&amp;L'!$B$17*(1+'3-Year P&amp;L'!$G$17)+'3-Year P&amp;L'!$B$18*(1+'3-Year P&amp;L'!$G$18))*(H7*(1-MIN(30,'0. Assumptions'!$B$59)/30)+G7*MIN(30,'0. Assumptions'!$B$59)/30)),"")</f>
        <v>-3725.000051186157</v>
      </c>
      <c r="I11" s="40">
        <f>IFERROR(IF('3-Year P&amp;L'!$B$9="","",-('3-Year P&amp;L'!$B$13*(1+'3-Year P&amp;L'!$G$13)+'3-Year P&amp;L'!$B$14*(1+'3-Year P&amp;L'!$G$14)+'3-Year P&amp;L'!$B$15*(1+'3-Year P&amp;L'!$G$15)+'3-Year P&amp;L'!$B$16*(1+'3-Year P&amp;L'!$G$16)+'3-Year P&amp;L'!$B$17*(1+'3-Year P&amp;L'!$G$17)+'3-Year P&amp;L'!$B$18*(1+'3-Year P&amp;L'!$G$18))*(I7*(1-MIN(30,'0. Assumptions'!$B$59)/30)+H7*MIN(30,'0. Assumptions'!$B$59)/30)),"")</f>
        <v>-5291.637927379291</v>
      </c>
      <c r="J11" s="40">
        <f>IFERROR(IF('3-Year P&amp;L'!$B$9="","",-('3-Year P&amp;L'!$B$13*(1+'3-Year P&amp;L'!$G$13)+'3-Year P&amp;L'!$B$14*(1+'3-Year P&amp;L'!$G$14)+'3-Year P&amp;L'!$B$15*(1+'3-Year P&amp;L'!$G$15)+'3-Year P&amp;L'!$B$16*(1+'3-Year P&amp;L'!$G$16)+'3-Year P&amp;L'!$B$17*(1+'3-Year P&amp;L'!$G$17)+'3-Year P&amp;L'!$B$18*(1+'3-Year P&amp;L'!$G$18))*(J7*(1-MIN(30,'0. Assumptions'!$B$59)/30)+I7*MIN(30,'0. Assumptions'!$B$59)/30)),"")</f>
        <v>-5207.764337984929</v>
      </c>
      <c r="K11" s="40">
        <f>IFERROR(IF('3-Year P&amp;L'!$B$9="","",-('3-Year P&amp;L'!$B$13*(1+'3-Year P&amp;L'!$G$13)+'3-Year P&amp;L'!$B$14*(1+'3-Year P&amp;L'!$G$14)+'3-Year P&amp;L'!$B$15*(1+'3-Year P&amp;L'!$G$15)+'3-Year P&amp;L'!$B$16*(1+'3-Year P&amp;L'!$G$16)+'3-Year P&amp;L'!$B$17*(1+'3-Year P&amp;L'!$G$17)+'3-Year P&amp;L'!$B$18*(1+'3-Year P&amp;L'!$G$18))*(K7*(1-MIN(30,'0. Assumptions'!$B$59)/30)+J7*MIN(30,'0. Assumptions'!$B$59)/30)),"")</f>
        <v>-6934.333838682668</v>
      </c>
      <c r="L11" s="40">
        <f>IFERROR(IF('3-Year P&amp;L'!$B$9="","",-('3-Year P&amp;L'!$B$13*(1+'3-Year P&amp;L'!$G$13)+'3-Year P&amp;L'!$B$14*(1+'3-Year P&amp;L'!$G$14)+'3-Year P&amp;L'!$B$15*(1+'3-Year P&amp;L'!$G$15)+'3-Year P&amp;L'!$B$16*(1+'3-Year P&amp;L'!$G$16)+'3-Year P&amp;L'!$B$17*(1+'3-Year P&amp;L'!$G$17)+'3-Year P&amp;L'!$B$18*(1+'3-Year P&amp;L'!$G$18))*(L7*(1-MIN(30,'0. Assumptions'!$B$59)/30)+K7*MIN(30,'0. Assumptions'!$B$59)/30)),"")</f>
        <v>-5192.200029025957</v>
      </c>
      <c r="M11" s="40">
        <f>IFERROR(IF('3-Year P&amp;L'!$B$9="","",-('3-Year P&amp;L'!$B$13*(1+'3-Year P&amp;L'!$G$13)+'3-Year P&amp;L'!$B$14*(1+'3-Year P&amp;L'!$G$14)+'3-Year P&amp;L'!$B$15*(1+'3-Year P&amp;L'!$G$15)+'3-Year P&amp;L'!$B$16*(1+'3-Year P&amp;L'!$G$16)+'3-Year P&amp;L'!$B$17*(1+'3-Year P&amp;L'!$G$17)+'3-Year P&amp;L'!$B$18*(1+'3-Year P&amp;L'!$G$18))*(M7*(1-MIN(30,'0. Assumptions'!$B$59)/30)+L7*MIN(30,'0. Assumptions'!$B$59)/30)),"")</f>
        <v>-5373.894966229415</v>
      </c>
      <c r="N11" s="40">
        <f>IFERROR(IF('3-Year P&amp;L'!$B$9="","",SUM(B11:M11)),"")</f>
        <v>-48945.276102149044</v>
      </c>
      <c r="O11" s="28" t="str">
        <f>IFERROR("Coffee, milk and add-on purchases, compostable cups,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Coffee, milk and add-on purchases, compostable cups, fees and contingencies, each at ITS tax rate (column G of the P&amp;L; 0 in the US, where the sales tax you pay is part of the cost) and with the supplier payment days from "0. Assumptions". With 7 payment days, the last purchases of the year are paid next year: the "Year" column of this row holds 11 months of purchases, not the year's cost.</v>
      </c>
    </row>
    <row r="12">
      <c r="A12" s="28" t="inlineStr">
        <is>
          <t>Operating fixed costs (incl. sales tax)</t>
        </is>
      </c>
      <c r="B12" s="40">
        <f>IFERROR(IF('3-Year P&amp;L'!$B$9="","",-('3-Year P&amp;L'!$B$38-'3-Year P&amp;L'!$B$23-'3-Year P&amp;L'!$B$36-'3-Year P&amp;L'!$B$37+'3-Year P&amp;L'!$B$40)/12),"")</f>
        <v>-2866.6666666666665</v>
      </c>
      <c r="C12" s="40">
        <f>IFERROR(IF('3-Year P&amp;L'!$B$9="","",-('3-Year P&amp;L'!$B$38-'3-Year P&amp;L'!$B$23-'3-Year P&amp;L'!$B$36-'3-Year P&amp;L'!$B$37+'3-Year P&amp;L'!$B$40)/12),"")</f>
        <v>-2866.6666666666665</v>
      </c>
      <c r="D12" s="40">
        <f>IFERROR(IF('3-Year P&amp;L'!$B$9="","",-('3-Year P&amp;L'!$B$38-'3-Year P&amp;L'!$B$23-'3-Year P&amp;L'!$B$36-'3-Year P&amp;L'!$B$37+'3-Year P&amp;L'!$B$40)/12),"")</f>
        <v>-2866.6666666666665</v>
      </c>
      <c r="E12" s="40">
        <f>IFERROR(IF('3-Year P&amp;L'!$B$9="","",-('3-Year P&amp;L'!$B$38-'3-Year P&amp;L'!$B$23-'3-Year P&amp;L'!$B$36-'3-Year P&amp;L'!$B$37+'3-Year P&amp;L'!$B$40)/12),"")</f>
        <v>-2866.6666666666665</v>
      </c>
      <c r="F12" s="40">
        <f>IFERROR(IF('3-Year P&amp;L'!$B$9="","",-('3-Year P&amp;L'!$B$38-'3-Year P&amp;L'!$B$23-'3-Year P&amp;L'!$B$36-'3-Year P&amp;L'!$B$37+'3-Year P&amp;L'!$B$40)/12),"")</f>
        <v>-2866.6666666666665</v>
      </c>
      <c r="G12" s="40">
        <f>IFERROR(IF('3-Year P&amp;L'!$B$9="","",-('3-Year P&amp;L'!$B$38-'3-Year P&amp;L'!$B$23-'3-Year P&amp;L'!$B$36-'3-Year P&amp;L'!$B$37+'3-Year P&amp;L'!$B$40)/12),"")</f>
        <v>-2866.6666666666665</v>
      </c>
      <c r="H12" s="40">
        <f>IFERROR(IF('3-Year P&amp;L'!$B$9="","",-('3-Year P&amp;L'!$B$38-'3-Year P&amp;L'!$B$23-'3-Year P&amp;L'!$B$36-'3-Year P&amp;L'!$B$37+'3-Year P&amp;L'!$B$40)/12),"")</f>
        <v>-2866.6666666666665</v>
      </c>
      <c r="I12" s="40">
        <f>IFERROR(IF('3-Year P&amp;L'!$B$9="","",-('3-Year P&amp;L'!$B$38-'3-Year P&amp;L'!$B$23-'3-Year P&amp;L'!$B$36-'3-Year P&amp;L'!$B$37+'3-Year P&amp;L'!$B$40)/12),"")</f>
        <v>-2866.6666666666665</v>
      </c>
      <c r="J12" s="40">
        <f>IFERROR(IF('3-Year P&amp;L'!$B$9="","",-('3-Year P&amp;L'!$B$38-'3-Year P&amp;L'!$B$23-'3-Year P&amp;L'!$B$36-'3-Year P&amp;L'!$B$37+'3-Year P&amp;L'!$B$40)/12),"")</f>
        <v>-2866.6666666666665</v>
      </c>
      <c r="K12" s="40">
        <f>IFERROR(IF('3-Year P&amp;L'!$B$9="","",-('3-Year P&amp;L'!$B$38-'3-Year P&amp;L'!$B$23-'3-Year P&amp;L'!$B$36-'3-Year P&amp;L'!$B$37+'3-Year P&amp;L'!$B$40)/12),"")</f>
        <v>-2866.6666666666665</v>
      </c>
      <c r="L12" s="40">
        <f>IFERROR(IF('3-Year P&amp;L'!$B$9="","",-('3-Year P&amp;L'!$B$38-'3-Year P&amp;L'!$B$23-'3-Year P&amp;L'!$B$36-'3-Year P&amp;L'!$B$37+'3-Year P&amp;L'!$B$40)/12),"")</f>
        <v>-2866.6666666666665</v>
      </c>
      <c r="M12" s="40">
        <f>IFERROR(IF('3-Year P&amp;L'!$B$9="","",-('3-Year P&amp;L'!$B$38-'3-Year P&amp;L'!$B$23-'3-Year P&amp;L'!$B$36-'3-Year P&amp;L'!$B$37+'3-Year P&amp;L'!$B$40)/12),"")</f>
        <v>-2866.6666666666665</v>
      </c>
      <c r="N12" s="40">
        <f>IFERROR(IF('3-Year P&amp;L'!$B$9="","",SUM(B12:M12)),"")</f>
        <v>-34400.0</v>
      </c>
      <c r="O12" s="28" t="inlineStr">
        <is>
          <t>The fixed costs that leave cash, each with its own tax rate: insurance carries none</t>
        </is>
      </c>
    </row>
    <row r="13">
      <c r="A13" s="28" t="inlineStr">
        <is>
          <t>Payroll and employer payroll taxes</t>
        </is>
      </c>
      <c r="B13" s="40">
        <f>IFERROR(IF('3-Year P&amp;L'!$B$9="","",-'3-Year P&amp;L'!$B$23/MAX(12,'0. Assumptions'!$B$21)*(1+IF(1='0. Assumptions'!$B$60,(MAX(12,'0. Assumptions'!$B$21)-12)/2,0)+IF(1='0. Assumptions'!$B$61,(MAX(12,'0. Assumptions'!$B$21)-12)/2,0))),"")</f>
        <v>-6208.400000000001</v>
      </c>
      <c r="C13" s="40">
        <f>IFERROR(IF('3-Year P&amp;L'!$B$9="","",-'3-Year P&amp;L'!$B$23/MAX(12,'0. Assumptions'!$B$21)*(1+IF(2='0. Assumptions'!$B$60,(MAX(12,'0. Assumptions'!$B$21)-12)/2,0)+IF(2='0. Assumptions'!$B$61,(MAX(12,'0. Assumptions'!$B$21)-12)/2,0))),"")</f>
        <v>-6208.400000000001</v>
      </c>
      <c r="D13" s="40">
        <f>IFERROR(IF('3-Year P&amp;L'!$B$9="","",-'3-Year P&amp;L'!$B$23/MAX(12,'0. Assumptions'!$B$21)*(1+IF(3='0. Assumptions'!$B$60,(MAX(12,'0. Assumptions'!$B$21)-12)/2,0)+IF(3='0. Assumptions'!$B$61,(MAX(12,'0. Assumptions'!$B$21)-12)/2,0))),"")</f>
        <v>-6208.400000000001</v>
      </c>
      <c r="E13" s="40">
        <f>IFERROR(IF('3-Year P&amp;L'!$B$9="","",-'3-Year P&amp;L'!$B$23/MAX(12,'0. Assumptions'!$B$21)*(1+IF(4='0. Assumptions'!$B$60,(MAX(12,'0. Assumptions'!$B$21)-12)/2,0)+IF(4='0. Assumptions'!$B$61,(MAX(12,'0. Assumptions'!$B$21)-12)/2,0))),"")</f>
        <v>-6208.400000000001</v>
      </c>
      <c r="F13" s="40">
        <f>IFERROR(IF('3-Year P&amp;L'!$B$9="","",-'3-Year P&amp;L'!$B$23/MAX(12,'0. Assumptions'!$B$21)*(1+IF(5='0. Assumptions'!$B$60,(MAX(12,'0. Assumptions'!$B$21)-12)/2,0)+IF(5='0. Assumptions'!$B$61,(MAX(12,'0. Assumptions'!$B$21)-12)/2,0))),"")</f>
        <v>-6208.400000000001</v>
      </c>
      <c r="G13" s="40">
        <f>IFERROR(IF('3-Year P&amp;L'!$B$9="","",-'3-Year P&amp;L'!$B$23/MAX(12,'0. Assumptions'!$B$21)*(1+IF(6='0. Assumptions'!$B$60,(MAX(12,'0. Assumptions'!$B$21)-12)/2,0)+IF(6='0. Assumptions'!$B$61,(MAX(12,'0. Assumptions'!$B$21)-12)/2,0))),"")</f>
        <v>-6208.400000000001</v>
      </c>
      <c r="H13" s="40">
        <f>IFERROR(IF('3-Year P&amp;L'!$B$9="","",-'3-Year P&amp;L'!$B$23/MAX(12,'0. Assumptions'!$B$21)*(1+IF(7='0. Assumptions'!$B$60,(MAX(12,'0. Assumptions'!$B$21)-12)/2,0)+IF(7='0. Assumptions'!$B$61,(MAX(12,'0. Assumptions'!$B$21)-12)/2,0))),"")</f>
        <v>-6208.400000000001</v>
      </c>
      <c r="I13" s="40">
        <f>IFERROR(IF('3-Year P&amp;L'!$B$9="","",-'3-Year P&amp;L'!$B$23/MAX(12,'0. Assumptions'!$B$21)*(1+IF(8='0. Assumptions'!$B$60,(MAX(12,'0. Assumptions'!$B$21)-12)/2,0)+IF(8='0. Assumptions'!$B$61,(MAX(12,'0. Assumptions'!$B$21)-12)/2,0))),"")</f>
        <v>-6208.400000000001</v>
      </c>
      <c r="J13" s="40">
        <f>IFERROR(IF('3-Year P&amp;L'!$B$9="","",-'3-Year P&amp;L'!$B$23/MAX(12,'0. Assumptions'!$B$21)*(1+IF(9='0. Assumptions'!$B$60,(MAX(12,'0. Assumptions'!$B$21)-12)/2,0)+IF(9='0. Assumptions'!$B$61,(MAX(12,'0. Assumptions'!$B$21)-12)/2,0))),"")</f>
        <v>-6208.400000000001</v>
      </c>
      <c r="K13" s="40">
        <f>IFERROR(IF('3-Year P&amp;L'!$B$9="","",-'3-Year P&amp;L'!$B$23/MAX(12,'0. Assumptions'!$B$21)*(1+IF(10='0. Assumptions'!$B$60,(MAX(12,'0. Assumptions'!$B$21)-12)/2,0)+IF(10='0. Assumptions'!$B$61,(MAX(12,'0. Assumptions'!$B$21)-12)/2,0))),"")</f>
        <v>-6208.400000000001</v>
      </c>
      <c r="L13" s="40">
        <f>IFERROR(IF('3-Year P&amp;L'!$B$9="","",-'3-Year P&amp;L'!$B$23/MAX(12,'0. Assumptions'!$B$21)*(1+IF(11='0. Assumptions'!$B$60,(MAX(12,'0. Assumptions'!$B$21)-12)/2,0)+IF(11='0. Assumptions'!$B$61,(MAX(12,'0. Assumptions'!$B$21)-12)/2,0))),"")</f>
        <v>-6208.400000000001</v>
      </c>
      <c r="M13" s="40">
        <f>IFERROR(IF('3-Year P&amp;L'!$B$9="","",-'3-Year P&amp;L'!$B$23/MAX(12,'0. Assumptions'!$B$21)*(1+IF(12='0. Assumptions'!$B$60,(MAX(12,'0. Assumptions'!$B$21)-12)/2,0)+IF(12='0. Assumptions'!$B$61,(MAX(12,'0. Assumptions'!$B$21)-12)/2,0))),"")</f>
        <v>-6208.400000000001</v>
      </c>
      <c r="N13" s="40">
        <f>IFERROR(IF('3-Year P&amp;L'!$B$9="","",SUM(B13:M13)),"")</f>
        <v>-74500.8</v>
      </c>
      <c r="O13" s="28" t="inlineStr">
        <is>
          <t>Twelve monthly installments plus extra pay periods in the months you set in Assumptions (only if pay periods &gt; 12). The total for the year is the same as the P&amp;L's</t>
        </is>
      </c>
    </row>
    <row r="14">
      <c r="A14" s="28" t="inlineStr">
        <is>
          <t>Loan interest</t>
        </is>
      </c>
      <c r="B14" s="40">
        <f>IFERROR(IF('3-Year P&amp;L'!$B$9="","",-Financing!$B$44/12),"")</f>
        <v>-591.6666666666666</v>
      </c>
      <c r="C14" s="40">
        <f>IFERROR(IF('3-Year P&amp;L'!$B$9="","",-Financing!$B$44/12),"")</f>
        <v>-591.6666666666666</v>
      </c>
      <c r="D14" s="40">
        <f>IFERROR(IF('3-Year P&amp;L'!$B$9="","",-Financing!$B$44/12),"")</f>
        <v>-591.6666666666666</v>
      </c>
      <c r="E14" s="40">
        <f>IFERROR(IF('3-Year P&amp;L'!$B$9="","",-Financing!$B$44/12),"")</f>
        <v>-591.6666666666666</v>
      </c>
      <c r="F14" s="40">
        <f>IFERROR(IF('3-Year P&amp;L'!$B$9="","",-Financing!$B$44/12),"")</f>
        <v>-591.6666666666666</v>
      </c>
      <c r="G14" s="40">
        <f>IFERROR(IF('3-Year P&amp;L'!$B$9="","",-Financing!$B$44/12),"")</f>
        <v>-591.6666666666666</v>
      </c>
      <c r="H14" s="40">
        <f>IFERROR(IF('3-Year P&amp;L'!$B$9="","",-Financing!$B$44/12),"")</f>
        <v>-591.6666666666666</v>
      </c>
      <c r="I14" s="40">
        <f>IFERROR(IF('3-Year P&amp;L'!$B$9="","",-Financing!$B$44/12),"")</f>
        <v>-591.6666666666666</v>
      </c>
      <c r="J14" s="40">
        <f>IFERROR(IF('3-Year P&amp;L'!$B$9="","",-Financing!$B$44/12),"")</f>
        <v>-591.6666666666666</v>
      </c>
      <c r="K14" s="40">
        <f>IFERROR(IF('3-Year P&amp;L'!$B$9="","",-Financing!$B$44/12),"")</f>
        <v>-591.6666666666666</v>
      </c>
      <c r="L14" s="40">
        <f>IFERROR(IF('3-Year P&amp;L'!$B$9="","",-Financing!$B$44/12),"")</f>
        <v>-591.6666666666666</v>
      </c>
      <c r="M14" s="40">
        <f>IFERROR(IF('3-Year P&amp;L'!$B$9="","",-Financing!$B$44/12),"")</f>
        <v>-591.6666666666666</v>
      </c>
      <c r="N14" s="40">
        <f>IFERROR(IF('3-Year P&amp;L'!$B$9="","",SUM(B14:M14)),"")</f>
        <v>-7100.0</v>
      </c>
      <c r="O14" s="28" t="n"/>
    </row>
    <row r="15">
      <c r="A15" s="28" t="inlineStr">
        <is>
          <t>Loan principal repaid</t>
        </is>
      </c>
      <c r="B15" s="40">
        <f>IFERROR(IF('3-Year P&amp;L'!$B$9="","",-Financing!$B$45/12),"")</f>
        <v>-623.6492065618571</v>
      </c>
      <c r="C15" s="40">
        <f>IFERROR(IF('3-Year P&amp;L'!$B$9="","",-Financing!$B$45/12),"")</f>
        <v>-623.6492065618571</v>
      </c>
      <c r="D15" s="40">
        <f>IFERROR(IF('3-Year P&amp;L'!$B$9="","",-Financing!$B$45/12),"")</f>
        <v>-623.6492065618571</v>
      </c>
      <c r="E15" s="40">
        <f>IFERROR(IF('3-Year P&amp;L'!$B$9="","",-Financing!$B$45/12),"")</f>
        <v>-623.6492065618571</v>
      </c>
      <c r="F15" s="40">
        <f>IFERROR(IF('3-Year P&amp;L'!$B$9="","",-Financing!$B$45/12),"")</f>
        <v>-623.6492065618571</v>
      </c>
      <c r="G15" s="40">
        <f>IFERROR(IF('3-Year P&amp;L'!$B$9="","",-Financing!$B$45/12),"")</f>
        <v>-623.6492065618571</v>
      </c>
      <c r="H15" s="40">
        <f>IFERROR(IF('3-Year P&amp;L'!$B$9="","",-Financing!$B$45/12),"")</f>
        <v>-623.6492065618571</v>
      </c>
      <c r="I15" s="40">
        <f>IFERROR(IF('3-Year P&amp;L'!$B$9="","",-Financing!$B$45/12),"")</f>
        <v>-623.6492065618571</v>
      </c>
      <c r="J15" s="40">
        <f>IFERROR(IF('3-Year P&amp;L'!$B$9="","",-Financing!$B$45/12),"")</f>
        <v>-623.6492065618571</v>
      </c>
      <c r="K15" s="40">
        <f>IFERROR(IF('3-Year P&amp;L'!$B$9="","",-Financing!$B$45/12),"")</f>
        <v>-623.6492065618571</v>
      </c>
      <c r="L15" s="40">
        <f>IFERROR(IF('3-Year P&amp;L'!$B$9="","",-Financing!$B$45/12),"")</f>
        <v>-623.6492065618571</v>
      </c>
      <c r="M15" s="40">
        <f>IFERROR(IF('3-Year P&amp;L'!$B$9="","",-Financing!$B$45/12),"")</f>
        <v>-623.6492065618571</v>
      </c>
      <c r="N15" s="40">
        <f>IFERROR(IF('3-Year P&amp;L'!$B$9="","",SUM(B15:M15)),"")</f>
        <v>-7483.790478742285</v>
      </c>
      <c r="O15" s="28" t="n"/>
    </row>
    <row r="16">
      <c r="A16" s="28" t="inlineStr">
        <is>
          <t>Sales tax collected (memo)</t>
        </is>
      </c>
      <c r="B16" s="40">
        <f>IFERROR(IF('3-Year P&amp;L'!$B$9="","",'3-Year P&amp;L'!$B$9*B7*SUMPRODUCT('3-Year P&amp;L'!$E$10:$E$11,'3-Year P&amp;L'!$G$10:$G$11)),"")</f>
        <v>1037.4655428411947</v>
      </c>
      <c r="C16" s="40">
        <f>IFERROR(IF('3-Year P&amp;L'!$B$9="","",'3-Year P&amp;L'!$B$9*C7*SUMPRODUCT('3-Year P&amp;L'!$E$10:$E$11,'3-Year P&amp;L'!$G$10:$G$11)),"")</f>
        <v>1163.6437845380967</v>
      </c>
      <c r="D16" s="40">
        <f>IFERROR(IF('3-Year P&amp;L'!$B$9="","",'3-Year P&amp;L'!$B$9*D7*SUMPRODUCT('3-Year P&amp;L'!$E$10:$E$11,'3-Year P&amp;L'!$G$10:$G$11)),"")</f>
        <v>1330.0640580519118</v>
      </c>
      <c r="E16" s="40">
        <f>IFERROR(IF('3-Year P&amp;L'!$B$9="","",'3-Year P&amp;L'!$B$9*E7*SUMPRODUCT('3-Year P&amp;L'!$E$10:$E$11,'3-Year P&amp;L'!$G$10:$G$11)),"")</f>
        <v>804.1915713089589</v>
      </c>
      <c r="F16" s="40">
        <f>IFERROR(IF('3-Year P&amp;L'!$B$9="","",'3-Year P&amp;L'!$B$9*F7*SUMPRODUCT('3-Year P&amp;L'!$E$10:$E$11,'3-Year P&amp;L'!$G$10:$G$11)),"")</f>
        <v>572.2157298353336</v>
      </c>
      <c r="G16" s="40">
        <f>IFERROR(IF('3-Year P&amp;L'!$B$9="","",'3-Year P&amp;L'!$B$9*G7*SUMPRODUCT('3-Year P&amp;L'!$E$10:$E$11,'3-Year P&amp;L'!$G$10:$G$11)),"")</f>
        <v>873.7713424504603</v>
      </c>
      <c r="H16" s="40">
        <f>IFERROR(IF('3-Year P&amp;L'!$B$9="","",'3-Year P&amp;L'!$B$9*H7*SUMPRODUCT('3-Year P&amp;L'!$E$10:$E$11,'3-Year P&amp;L'!$G$10:$G$11)),"")</f>
        <v>1307.7362210438182</v>
      </c>
      <c r="I16" s="40">
        <f>IFERROR(IF('3-Year P&amp;L'!$B$9="","",'3-Year P&amp;L'!$B$9*I7*SUMPRODUCT('3-Year P&amp;L'!$E$10:$E$11,'3-Year P&amp;L'!$G$10:$G$11)),"")</f>
        <v>1837.5030979626015</v>
      </c>
      <c r="J16" s="40">
        <f>IFERROR(IF('3-Year P&amp;L'!$B$9="","",'3-Year P&amp;L'!$B$9*J7*SUMPRODUCT('3-Year P&amp;L'!$E$10:$E$11,'3-Year P&amp;L'!$G$10:$G$11)),"")</f>
        <v>1640.8363940831707</v>
      </c>
      <c r="K16" s="40">
        <f>IFERROR(IF('3-Year P&amp;L'!$B$9="","",'3-Year P&amp;L'!$B$9*K7*SUMPRODUCT('3-Year P&amp;L'!$E$10:$E$11,'3-Year P&amp;L'!$G$10:$G$11)),"")</f>
        <v>2430.0994697181136</v>
      </c>
      <c r="L16" s="40">
        <f>IFERROR(IF('3-Year P&amp;L'!$B$9="","",'3-Year P&amp;L'!$B$9*L7*SUMPRODUCT('3-Year P&amp;L'!$E$10:$E$11,'3-Year P&amp;L'!$G$10:$G$11)),"")</f>
        <v>1453.9056656433158</v>
      </c>
      <c r="M16" s="40">
        <f>IFERROR(IF('3-Year P&amp;L'!$B$9="","",'3-Year P&amp;L'!$B$9*M7*SUMPRODUCT('3-Year P&amp;L'!$E$10:$E$11,'3-Year P&amp;L'!$G$10:$G$11)),"")</f>
        <v>1827.7671225230254</v>
      </c>
      <c r="N16" s="40">
        <f>IFERROR(IF('3-Year P&amp;L'!$B$9="","",SUM(B16:M16)),"")</f>
        <v>16279.200000000004</v>
      </c>
      <c r="O16" s="28" t="inlineStr">
        <is>
          <t>Each sales line at ITS OWN rate, read from the sales tax column of the P&amp;L (alcohol to go has its own rate cell in the Assumptions tab)</t>
        </is>
      </c>
    </row>
    <row r="17">
      <c r="A17" s="28" t="inlineStr">
        <is>
          <t>Recoverable input tax (memo)</t>
        </is>
      </c>
      <c r="B17" s="40">
        <f>IFERROR(IF('3-Year P&amp;L'!$B$9="","",'3-Year P&amp;L'!$B$39*B7+'3-Year P&amp;L'!$B$40/12),"")</f>
        <v>0.0</v>
      </c>
      <c r="C17" s="40">
        <f>IFERROR(IF('3-Year P&amp;L'!$B$9="","",'3-Year P&amp;L'!$B$39*C7+'3-Year P&amp;L'!$B$40/12),"")</f>
        <v>0.0</v>
      </c>
      <c r="D17" s="40">
        <f>IFERROR(IF('3-Year P&amp;L'!$B$9="","",'3-Year P&amp;L'!$B$39*D7+'3-Year P&amp;L'!$B$40/12),"")</f>
        <v>0.0</v>
      </c>
      <c r="E17" s="40">
        <f>IFERROR(IF('3-Year P&amp;L'!$B$9="","",'3-Year P&amp;L'!$B$39*E7+'3-Year P&amp;L'!$B$40/12),"")</f>
        <v>0.0</v>
      </c>
      <c r="F17" s="40">
        <f>IFERROR(IF('3-Year P&amp;L'!$B$9="","",'3-Year P&amp;L'!$B$39*F7+'3-Year P&amp;L'!$B$40/12),"")</f>
        <v>0.0</v>
      </c>
      <c r="G17" s="40">
        <f>IFERROR(IF('3-Year P&amp;L'!$B$9="","",'3-Year P&amp;L'!$B$39*G7+'3-Year P&amp;L'!$B$40/12),"")</f>
        <v>0.0</v>
      </c>
      <c r="H17" s="40">
        <f>IFERROR(IF('3-Year P&amp;L'!$B$9="","",'3-Year P&amp;L'!$B$39*H7+'3-Year P&amp;L'!$B$40/12),"")</f>
        <v>0.0</v>
      </c>
      <c r="I17" s="40">
        <f>IFERROR(IF('3-Year P&amp;L'!$B$9="","",'3-Year P&amp;L'!$B$39*I7+'3-Year P&amp;L'!$B$40/12),"")</f>
        <v>0.0</v>
      </c>
      <c r="J17" s="40">
        <f>IFERROR(IF('3-Year P&amp;L'!$B$9="","",'3-Year P&amp;L'!$B$39*J7+'3-Year P&amp;L'!$B$40/12),"")</f>
        <v>0.0</v>
      </c>
      <c r="K17" s="40">
        <f>IFERROR(IF('3-Year P&amp;L'!$B$9="","",'3-Year P&amp;L'!$B$39*K7+'3-Year P&amp;L'!$B$40/12),"")</f>
        <v>0.0</v>
      </c>
      <c r="L17" s="40">
        <f>IFERROR(IF('3-Year P&amp;L'!$B$9="","",'3-Year P&amp;L'!$B$39*L7+'3-Year P&amp;L'!$B$40/12),"")</f>
        <v>0.0</v>
      </c>
      <c r="M17" s="40">
        <f>IFERROR(IF('3-Year P&amp;L'!$B$9="","",'3-Year P&amp;L'!$B$39*M7+'3-Year P&amp;L'!$B$40/12),"")</f>
        <v>0.0</v>
      </c>
      <c r="N17" s="40">
        <f>IFERROR(IF('3-Year P&amp;L'!$B$9="","",SUM(B17:M17)),"")</f>
        <v>0.0</v>
      </c>
      <c r="O17" s="28" t="inlineStr">
        <is>
          <t>Each item at its own rate, read from the tax column of the P&amp;L: insurance and card processing fees carry none</t>
        </is>
      </c>
    </row>
    <row r="18">
      <c r="A18" s="28" t="inlineStr">
        <is>
          <t>Carried forward (capex input tax included)</t>
        </is>
      </c>
      <c r="B18" s="28" t="n"/>
      <c r="C18" s="28" t="n"/>
      <c r="D18" s="28" t="n"/>
      <c r="E18" s="40">
        <f>IFERROR(IF('3-Year P&amp;L'!$B$9="","",'Startup Costs'!$B$28),"")</f>
        <v>0.0</v>
      </c>
      <c r="F18" s="28" t="n"/>
      <c r="G18" s="28" t="n"/>
      <c r="H18" s="40">
        <f>IFERROR(IF('3-Year P&amp;L'!$B$9="","",MAX(0,-E19)),"")</f>
        <v>0.0</v>
      </c>
      <c r="I18" s="28" t="n"/>
      <c r="J18" s="28" t="n"/>
      <c r="K18" s="40">
        <f>IFERROR(IF('3-Year P&amp;L'!$B$9="","",MAX(0,-H19)),"")</f>
        <v>0.0</v>
      </c>
      <c r="L18" s="28" t="n"/>
      <c r="M18" s="28" t="n"/>
      <c r="N18" s="28" t="n"/>
      <c r="O18" s="28" t="inlineStr">
        <is>
          <t>Sales tax paid on STARTUP COSTS enters here: it is offset against the tax collected in later quarters until used up. With 0% recoverable input tax (the US default) this line stays at zero</t>
        </is>
      </c>
    </row>
    <row r="19">
      <c r="A19" s="28" t="inlineStr">
        <is>
          <t>Quarterly sales tax return</t>
        </is>
      </c>
      <c r="B19" s="28" t="n"/>
      <c r="C19" s="28" t="n"/>
      <c r="D19" s="28" t="n"/>
      <c r="E19" s="40">
        <f>IFERROR(IF('3-Year P&amp;L'!$B$9="","",SUM(B16:D16)-SUM(B17:D17)-E18),"")</f>
        <v>3531.1733854312033</v>
      </c>
      <c r="F19" s="28" t="n"/>
      <c r="G19" s="28" t="n"/>
      <c r="H19" s="40">
        <f>IFERROR(IF('3-Year P&amp;L'!$B$9="","",SUM(E16:G16)-SUM(E17:G17)-H18),"")</f>
        <v>2250.178643594753</v>
      </c>
      <c r="I19" s="28" t="n"/>
      <c r="J19" s="28" t="n"/>
      <c r="K19" s="40">
        <f>IFERROR(IF('3-Year P&amp;L'!$B$9="","",SUM(H16:J16)-SUM(H17:J17)-K18),"")</f>
        <v>4786.07571308959</v>
      </c>
      <c r="L19" s="28" t="n"/>
      <c r="M19" s="28" t="n"/>
      <c r="N19" s="28" t="n"/>
      <c r="O19" s="28"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8" t="inlineStr">
        <is>
          <t>Sales tax remitted (quarterly filer)</t>
        </is>
      </c>
      <c r="B20" s="28" t="n"/>
      <c r="C20" s="28" t="n"/>
      <c r="D20" s="28" t="n"/>
      <c r="E20" s="40">
        <f>IFERROR(IF('3-Year P&amp;L'!$B$9="","",IF(E19&lt;=0,"",-E19)),"")</f>
        <v>-3531.1733854312033</v>
      </c>
      <c r="F20" s="28" t="n"/>
      <c r="G20" s="28" t="n"/>
      <c r="H20" s="40">
        <f>IFERROR(IF('3-Year P&amp;L'!$B$9="","",IF(H19&lt;=0,"",-H19)),"")</f>
        <v>-2250.178643594753</v>
      </c>
      <c r="I20" s="28" t="n"/>
      <c r="J20" s="28" t="n"/>
      <c r="K20" s="40">
        <f>IFERROR(IF('3-Year P&amp;L'!$B$9="","",IF(K19&lt;=0,"",-K19)),"")</f>
        <v>-4786.07571308959</v>
      </c>
      <c r="L20" s="28" t="n"/>
      <c r="M20" s="28" t="n"/>
      <c r="N20" s="40">
        <f>IFERROR(IF('3-Year P&amp;L'!$B$9="","",SUM(B20:M20)),"")</f>
        <v>-10567.427742115546</v>
      </c>
      <c r="O20" s="28" t="inlineStr">
        <is>
          <t>Cash only leaves when the quarter's result is positive. Months without a settlement are left blank, not zero. The cell turns RED when the payment takes more cash than is left that month. The model settles in the month after each plan quarter (Months 4, 7 and 10: June, September and December with Month 1 in March; the fourth quarter is remitted in Month 13): if your state requires monthly filing, expect smaller payments every month instead</t>
        </is>
      </c>
    </row>
    <row r="21">
      <c r="A21" s="25" t="inlineStr">
        <is>
          <t>MONTHLY NET CASH FLOW</t>
        </is>
      </c>
      <c r="B21" s="66">
        <f>IFERROR(IF('3-Year P&amp;L'!$B$9="","",SUM(B9:B15)+IF(B20="",0,B20)),"")</f>
        <v>-5276.398026805599</v>
      </c>
      <c r="C21" s="66">
        <f>IFERROR(IF('3-Year P&amp;L'!$B$9="","",SUM(C9:C15)+IF(C20="",0,C20)),"")</f>
        <v>1122.0363522064054</v>
      </c>
      <c r="D21" s="66">
        <f>IFERROR(IF('3-Year P&amp;L'!$B$9="","",SUM(D9:D15)+IF(D20="",0,D20)),"")</f>
        <v>2630.353680143884</v>
      </c>
      <c r="E21" s="66">
        <f>IFERROR(IF('3-Year P&amp;L'!$B$9="","",SUM(E9:E15)+IF(E20="",0,E20)),"")</f>
        <v>-2513.761826582323</v>
      </c>
      <c r="F21" s="66">
        <f>IFERROR(IF('3-Year P&amp;L'!$B$9="","",SUM(F9:F15)+IF(F20="",0,F20)),"")</f>
        <v>-3037.8577141625665</v>
      </c>
      <c r="G21" s="66">
        <f>IFERROR(IF('3-Year P&amp;L'!$B$9="","",SUM(G9:G15)+IF(G20="",0,G20)),"")</f>
        <v>-2874.793106850255</v>
      </c>
      <c r="H21" s="66">
        <f>IFERROR(IF('3-Year P&amp;L'!$B$9="","",SUM(H9:H15)+IF(H20="",0,H20)),"")</f>
        <v>-1345.1009857227114</v>
      </c>
      <c r="I21" s="66">
        <f>IFERROR(IF('3-Year P&amp;L'!$B$9="","",SUM(I9:I15)+IF(I20="",0,I20)),"")</f>
        <v>5886.740030632305</v>
      </c>
      <c r="J21" s="66">
        <f>IFERROR(IF('3-Year P&amp;L'!$B$9="","",SUM(J9:J15)+IF(J20="",0,J20)),"")</f>
        <v>7892.1446766830995</v>
      </c>
      <c r="K21" s="66">
        <f>IFERROR(IF('3-Year P&amp;L'!$B$9="","",SUM(K9:K15)+IF(K20="",0,K20)),"")</f>
        <v>5823.193373026942</v>
      </c>
      <c r="L21" s="66">
        <f>IFERROR(IF('3-Year P&amp;L'!$B$9="","",SUM(L9:L15)+IF(L20="",0,L20)),"")</f>
        <v>10295.164882934841</v>
      </c>
      <c r="M21" s="66">
        <f>IFERROR(IF('3-Year P&amp;L'!$B$9="","",SUM(M9:M15)+IF(M20="",0,M20)),"")</f>
        <v>6655.251469594068</v>
      </c>
      <c r="N21" s="66">
        <f>IFERROR(IF('3-Year P&amp;L'!$B$9="","",SUM(B21:M21)),"")</f>
        <v>25256.972805098092</v>
      </c>
      <c r="O21" s="28" t="n"/>
    </row>
    <row r="22">
      <c r="A22" s="25" t="inlineStr">
        <is>
          <t>CUMULATIVE CASH BALANCE</t>
        </is>
      </c>
      <c r="B22" s="66">
        <f>IFERROR(IF('3-Year P&amp;L'!$B$9="","",'Startup Costs'!$B$25+B21),"")</f>
        <v>23723.8019731944</v>
      </c>
      <c r="C22" s="66">
        <f>IFERROR(IF('3-Year P&amp;L'!$B$9="","",B22+C21),"")</f>
        <v>24845.838325400808</v>
      </c>
      <c r="D22" s="66">
        <f>IFERROR(IF('3-Year P&amp;L'!$B$9="","",C22+D21),"")</f>
        <v>27476.19200554469</v>
      </c>
      <c r="E22" s="66">
        <f>IFERROR(IF('3-Year P&amp;L'!$B$9="","",D22+E21),"")</f>
        <v>24962.430178962368</v>
      </c>
      <c r="F22" s="66">
        <f>IFERROR(IF('3-Year P&amp;L'!$B$9="","",E22+F21),"")</f>
        <v>21924.5724647998</v>
      </c>
      <c r="G22" s="66">
        <f>IFERROR(IF('3-Year P&amp;L'!$B$9="","",F22+G21),"")</f>
        <v>19049.779357949545</v>
      </c>
      <c r="H22" s="66">
        <f>IFERROR(IF('3-Year P&amp;L'!$B$9="","",G22+H21),"")</f>
        <v>17704.678372226834</v>
      </c>
      <c r="I22" s="66">
        <f>IFERROR(IF('3-Year P&amp;L'!$B$9="","",H22+I21),"")</f>
        <v>23591.41840285914</v>
      </c>
      <c r="J22" s="66">
        <f>IFERROR(IF('3-Year P&amp;L'!$B$9="","",I22+J21),"")</f>
        <v>31483.56307954224</v>
      </c>
      <c r="K22" s="66">
        <f>IFERROR(IF('3-Year P&amp;L'!$B$9="","",J22+K21),"")</f>
        <v>37306.756452569185</v>
      </c>
      <c r="L22" s="66">
        <f>IFERROR(IF('3-Year P&amp;L'!$B$9="","",K22+L21),"")</f>
        <v>47601.92133550403</v>
      </c>
      <c r="M22" s="66">
        <f>IFERROR(IF('3-Year P&amp;L'!$B$9="","",L22+M21),"")</f>
        <v>54257.1728050981</v>
      </c>
      <c r="N22" s="28" t="n"/>
      <c r="O22" s="28" t="n"/>
    </row>
    <row r="23">
      <c r="A23" s="28" t="inlineStr">
        <is>
          <t>Minimum balance of the year</t>
        </is>
      </c>
      <c r="B23" s="40">
        <f>IFERROR(IF('3-Year P&amp;L'!$B$9="","",IF(COUNT(B22:M22)=0,"",MIN(B22:M22))),"")</f>
        <v>17704.678372226834</v>
      </c>
      <c r="C23" s="28" t="n"/>
      <c r="D23" s="28" t="inlineStr">
        <is>
          <t>If negative, raise working capital or the loan: you run out of cash</t>
        </is>
      </c>
      <c r="E23" s="28" t="n"/>
      <c r="F23" s="28" t="n"/>
      <c r="G23" s="28" t="n"/>
      <c r="H23" s="28" t="n"/>
      <c r="I23" s="28" t="n"/>
      <c r="J23" s="28" t="n"/>
      <c r="K23" s="28" t="n"/>
      <c r="L23" s="28" t="n"/>
      <c r="M23" s="28" t="n"/>
      <c r="N23" s="28" t="n"/>
      <c r="O23" s="28" t="n"/>
    </row>
    <row r="24">
      <c r="A24" s="28" t="inlineStr">
        <is>
          <t>Month when cash bottoms out</t>
        </is>
      </c>
      <c r="B24" s="40">
        <f>IFERROR(IF('3-Year P&amp;L'!$B$9="","",IF(COUNT(B22:M22)=0,"",MATCH(MIN(B22:M22),B22:M22,0))),"")</f>
        <v>7.0</v>
      </c>
      <c r="C24" s="28" t="n"/>
      <c r="D24" s="28" t="inlineStr">
        <is>
          <t>It answers the question that decides a bank deal: in which month the cash runs out</t>
        </is>
      </c>
      <c r="E24" s="28" t="n"/>
      <c r="F24" s="28" t="n"/>
      <c r="G24" s="28" t="n"/>
      <c r="H24" s="28" t="n"/>
      <c r="I24" s="28" t="n"/>
      <c r="J24" s="28" t="n"/>
      <c r="K24" s="28" t="n"/>
      <c r="L24" s="28" t="n"/>
      <c r="M24" s="28" t="n"/>
      <c r="N24" s="28" t="n"/>
      <c r="O24" s="28" t="n"/>
    </row>
    <row r="25">
      <c r="A25" s="25" t="inlineStr">
        <is>
          <t>RETURN ON INVESTMENT</t>
        </is>
      </c>
      <c r="B25" s="28" t="n"/>
      <c r="C25" s="28" t="n"/>
      <c r="D25" s="28" t="n"/>
      <c r="E25" s="28" t="n"/>
      <c r="F25" s="28" t="n"/>
      <c r="G25" s="28" t="n"/>
      <c r="H25" s="28" t="n"/>
      <c r="I25" s="28" t="n"/>
      <c r="J25" s="28" t="n"/>
      <c r="K25" s="28" t="n"/>
      <c r="L25" s="28" t="n"/>
      <c r="M25" s="28" t="n"/>
      <c r="N25" s="28" t="n"/>
      <c r="O25" s="28" t="n"/>
    </row>
    <row r="26">
      <c r="A26" s="28" t="inlineStr">
        <is>
          <t>Free cash flow before debt, year 1</t>
        </is>
      </c>
      <c r="B26" s="40">
        <f>IFERROR(IF('3-Year P&amp;L'!$B$9="","",'3-Year P&amp;L'!$B$48+'3-Year P&amp;L'!$B$36+Financing!$B$44),"")</f>
        <v>37606.44892857143</v>
      </c>
      <c r="C26" s="28" t="n"/>
      <c r="D26" s="28" t="inlineStr">
        <is>
          <t>Net income plus depreciation (which is not paid) plus that year's interest: principal is not subtracted because this flow is BEFORE debt. The SAME basis as years 2 and 3, so the payback compares like with like</t>
        </is>
      </c>
      <c r="E26" s="28" t="n"/>
      <c r="F26" s="28" t="n"/>
      <c r="G26" s="28" t="n"/>
      <c r="H26" s="28" t="n"/>
      <c r="I26" s="28" t="n"/>
      <c r="J26" s="28" t="n"/>
      <c r="K26" s="28" t="n"/>
      <c r="L26" s="28" t="n"/>
      <c r="M26" s="28" t="n"/>
      <c r="N26" s="28" t="n"/>
      <c r="O26" s="28" t="n"/>
    </row>
    <row r="27">
      <c r="A27" s="28" t="inlineStr">
        <is>
          <t>Free cash flow before debt, year 2</t>
        </is>
      </c>
      <c r="B27" s="40">
        <f>IFERROR(IF('3-Year P&amp;L'!$B$9="","",'3-Year P&amp;L'!$C$48+'3-Year P&amp;L'!$C$36+Financing!$B$46),"")</f>
        <v>46661.45191660289</v>
      </c>
      <c r="C27" s="28" t="n"/>
      <c r="D27" s="28" t="inlineStr">
        <is>
          <t>Net income plus depreciation (which is not paid) plus that year's interest: principal is not subtracted because this flow is BEFORE debt. Without a monthly table, it is an estimate</t>
        </is>
      </c>
      <c r="E27" s="28" t="n"/>
      <c r="F27" s="28" t="n"/>
      <c r="G27" s="28" t="n"/>
      <c r="H27" s="28" t="n"/>
      <c r="I27" s="28" t="n"/>
      <c r="J27" s="28" t="n"/>
      <c r="K27" s="28" t="n"/>
      <c r="L27" s="28" t="n"/>
      <c r="M27" s="28" t="n"/>
      <c r="N27" s="28" t="n"/>
      <c r="O27" s="28" t="n"/>
    </row>
    <row r="28">
      <c r="A28" s="28" t="inlineStr">
        <is>
          <t>Free cash flow before debt, year 3</t>
        </is>
      </c>
      <c r="B28" s="40">
        <f>IFERROR(IF('3-Year P&amp;L'!$B$9="","",'3-Year P&amp;L'!$D$48+'3-Year P&amp;L'!$D$36+Financing!$B$48),"")</f>
        <v>51790.432193437475</v>
      </c>
      <c r="C28" s="28" t="n"/>
      <c r="D28" s="28" t="inlineStr">
        <is>
          <t>Net income plus depreciation (which is not paid) plus that year's interest: principal is not subtracted because this flow is BEFORE debt. Without a monthly table, it is an estimate</t>
        </is>
      </c>
      <c r="E28" s="28" t="n"/>
      <c r="F28" s="28" t="n"/>
      <c r="G28" s="28" t="n"/>
      <c r="H28" s="28" t="n"/>
      <c r="I28" s="28" t="n"/>
      <c r="J28" s="28" t="n"/>
      <c r="K28" s="28" t="n"/>
      <c r="L28" s="28" t="n"/>
      <c r="M28" s="28" t="n"/>
      <c r="N28" s="28" t="n"/>
      <c r="O28" s="28" t="n"/>
    </row>
    <row r="29">
      <c r="A29" s="28" t="inlineStr">
        <is>
          <t>For reference: ACTUAL year-1 cash flow (monthly table, before debt)</t>
        </is>
      </c>
      <c r="B29" s="40">
        <f>IFERROR(IF('3-Year P&amp;L'!$B$9="","",N21+Financing!$B$44+Financing!$B$45),"")</f>
        <v>39840.76328384038</v>
      </c>
      <c r="C29" s="28" t="n"/>
      <c r="D29" s="28"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8" t="n"/>
      <c r="F29" s="28" t="n"/>
      <c r="G29" s="28" t="n"/>
      <c r="H29" s="28" t="n"/>
      <c r="I29" s="28" t="n"/>
      <c r="J29" s="28" t="n"/>
      <c r="K29" s="28" t="n"/>
      <c r="L29" s="28" t="n"/>
      <c r="M29" s="28" t="n"/>
      <c r="N29" s="28" t="n"/>
      <c r="O29" s="28" t="n"/>
    </row>
    <row r="30">
      <c r="A30" s="28" t="inlineStr">
        <is>
          <t>Investment to recover (net of recoverable input tax)</t>
        </is>
      </c>
      <c r="B30" s="40">
        <f>IFERROR(IF('3-Year P&amp;L'!$B$9="","",'Startup Costs'!$B$29-'Startup Costs'!$B$28),"")</f>
        <v>100290.2</v>
      </c>
      <c r="C30" s="28" t="n"/>
      <c r="D30" s="28"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8" t="n"/>
      <c r="F30" s="28" t="n"/>
      <c r="G30" s="28" t="n"/>
      <c r="H30" s="28" t="n"/>
      <c r="I30" s="28" t="n"/>
      <c r="J30" s="28" t="n"/>
      <c r="K30" s="28" t="n"/>
      <c r="L30" s="28" t="n"/>
      <c r="M30" s="28" t="n"/>
      <c r="N30" s="28" t="n"/>
      <c r="O30" s="28" t="n"/>
    </row>
    <row r="31">
      <c r="A31" s="25" t="inlineStr">
        <is>
          <t>Project payback (years), before debt</t>
        </is>
      </c>
      <c r="B31" s="25">
        <f>IFERROR(IF('3-Year P&amp;L'!$B$9="","",IF(B26&gt;=B30,ROUND(B30/B26,1),IF(B26+B27&gt;=B30,ROUND(1+(B30-B26)/B27,1),IF(B26+B27+B28&gt;=B30,ROUND(2+(B30-B26-B27)/B28,1),"Over 3 years")))),"")</f>
        <v>2.3</v>
      </c>
      <c r="C31" s="28" t="n"/>
      <c r="D31" s="25" t="inlineStr">
        <is>
          <t>Measures how long the business takes to repay the investment with what it generates BEFORE paying the lender, on the SAME cash flow basis in all three years. Whether you can afford the loan payment is shown by the DSCR in the Financing tab</t>
        </is>
      </c>
      <c r="E31" s="28" t="n"/>
      <c r="F31" s="28" t="n"/>
      <c r="G31" s="28" t="n"/>
      <c r="H31" s="28" t="n"/>
      <c r="I31" s="28" t="n"/>
      <c r="J31" s="28" t="n"/>
      <c r="K31" s="28" t="n"/>
      <c r="L31" s="28" t="n"/>
      <c r="M31" s="28" t="n"/>
      <c r="N31" s="28" t="n"/>
      <c r="O31" s="28" t="n"/>
    </row>
    <row r="32">
      <c r="A32" s="28" t="inlineStr">
        <is>
          <t>Payback on CAPEX, excluding working capital (years)</t>
        </is>
      </c>
      <c r="B32" s="28">
        <f>IFERROR(IF('3-Year P&amp;L'!$B$9="","",IF(B26&gt;='Startup Costs'!$B$27,ROUND('Startup Costs'!$B$27/B26,1),IF(B26+B27&gt;='Startup Costs'!$B$27,ROUND(1+('Startup Costs'!$B$27-B26)/B27,1),IF(B26+B27+B28&gt;='Startup Costs'!$B$27,ROUND(2+('Startup Costs'!$B$27-B26-B27)/B28,1),"Over 3 years")))),"")</f>
        <v>1.7</v>
      </c>
      <c r="C32" s="28" t="n"/>
      <c r="D32" s="28" t="inlineStr">
        <is>
          <t>The same calculation on what you BUY (the cart and the portable bar, machines and grinders, trailer, power, launch and formation costs), without working capital: that money is not spent, it is tied up and comes back when the business closes. For reference only: the payback that matters is the one above</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34.75" customHeight="1">
      <c r="A34" s="46" t="inlineStr">
        <is>
          <t>The fourth plan quarter's sales tax is settled in Month 13 (March of the following year with Month 1 in March), so it does not appear in this table. The model pays year-1 income tax in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FINANCING PLAN</t>
        </is>
      </c>
      <c r="B1" s="28" t="n"/>
      <c r="C1" s="28" t="n"/>
      <c r="D1" s="28" t="n"/>
      <c r="E1" s="28" t="n"/>
      <c r="F1" s="28" t="n"/>
      <c r="G1" s="28" t="n"/>
      <c r="H1" s="28" t="n"/>
    </row>
    <row r="2" ht="45" customHeight="1">
      <c r="A2" s="46" t="inlineStr">
        <is>
          <t>What you need, where it comes from and what it costs to repay. It is the sheet your lender asks for along with the P&amp;L.</t>
        </is>
      </c>
      <c r="B2" s="28" t="n"/>
      <c r="C2" s="28" t="n"/>
      <c r="D2" s="28" t="n"/>
      <c r="E2" s="28" t="n"/>
      <c r="F2" s="28" t="n"/>
      <c r="G2" s="28" t="n"/>
      <c r="H2" s="28" t="n"/>
    </row>
    <row r="3">
      <c r="A3" s="28" t="n"/>
      <c r="B3" s="28" t="n"/>
      <c r="C3" s="28" t="n"/>
      <c r="D3" s="28" t="n"/>
      <c r="E3" s="28" t="n"/>
      <c r="F3" s="28" t="n"/>
      <c r="G3" s="28" t="n"/>
      <c r="H3" s="28" t="n"/>
    </row>
    <row r="4">
      <c r="A4" s="25" t="inlineStr">
        <is>
          <t>Item</t>
        </is>
      </c>
      <c r="B4" s="25" t="inlineStr">
        <is>
          <t>Amount</t>
        </is>
      </c>
      <c r="C4" s="25" t="inlineStr">
        <is>
          <t>Notes</t>
        </is>
      </c>
      <c r="D4" s="28" t="n"/>
      <c r="E4" s="28" t="n"/>
      <c r="F4" s="28" t="n"/>
      <c r="G4" s="28" t="n"/>
      <c r="H4" s="28" t="n"/>
    </row>
    <row r="5">
      <c r="A5" s="25" t="inlineStr">
        <is>
          <t>SOURCES OF FUNDS</t>
        </is>
      </c>
      <c r="B5" s="28" t="n"/>
      <c r="C5" s="28" t="n"/>
      <c r="D5" s="28" t="n"/>
      <c r="E5" s="28" t="n"/>
      <c r="F5" s="28" t="n"/>
      <c r="G5" s="28" t="n"/>
      <c r="H5" s="28" t="n"/>
    </row>
    <row r="6">
      <c r="A6" s="28" t="inlineStr">
        <is>
          <t>Owner's equity (your own money)</t>
        </is>
      </c>
      <c r="B6" s="40">
        <f>IFERROR(IF('0. Assumptions'!$B$30="","",'0. Assumptions'!$B$30),"")</f>
        <v>30000.0</v>
      </c>
      <c r="C6" s="28" t="n"/>
      <c r="D6" s="28" t="n"/>
      <c r="E6" s="28" t="n"/>
      <c r="F6" s="28" t="n"/>
      <c r="G6" s="28" t="n"/>
      <c r="H6" s="28" t="n"/>
    </row>
    <row r="7">
      <c r="A7" s="28" t="inlineStr">
        <is>
          <t>Loan requested — bank or SBA 7(a) (amortized below)</t>
        </is>
      </c>
      <c r="B7" s="40">
        <f>IFERROR(IF('0. Assumptions'!$B$31="","",'0. Assumptions'!$B$31),"")</f>
        <v>71000.0</v>
      </c>
      <c r="C7" s="28" t="n"/>
      <c r="D7" s="28" t="n"/>
      <c r="E7" s="28" t="n"/>
      <c r="F7" s="28" t="n"/>
      <c r="G7" s="28" t="n"/>
      <c r="H7" s="28" t="n"/>
    </row>
    <row r="8">
      <c r="A8" s="28" t="inlineStr">
        <is>
          <t>Other loan (not in the schedule or the DSCR — enter your loan in row 7)</t>
        </is>
      </c>
      <c r="B8" s="49" t="n">
        <v>0</v>
      </c>
      <c r="C8" s="28" t="inlineStr">
        <is>
          <t>A source of funds only: NOT amortized, so it is not in the schedule, the P&amp;L interest or the DSCR. Enter your bank or SBA 7(a) loan in row 7 ("Loan requested" in "0. Assumptions"); use this row only for a second loan</t>
        </is>
      </c>
      <c r="D8" s="28" t="n"/>
      <c r="E8" s="28" t="n"/>
      <c r="F8" s="28" t="n"/>
      <c r="G8" s="28" t="n"/>
      <c r="H8" s="28" t="n"/>
    </row>
    <row r="9">
      <c r="A9" s="28" t="inlineStr">
        <is>
          <t>SBA Microloan (not in the schedule or the DSCR — enter your loan in row 7)</t>
        </is>
      </c>
      <c r="B9" s="49" t="n">
        <v>0</v>
      </c>
      <c r="C9" s="28" t="inlineStr">
        <is>
          <t>SBA Microloans go up to $50,000 through nonprofit intermediaries. Like row 8, a source of funds only: not in the schedule or the DSCR. If it is your only loan, enter it in row 7 instead</t>
        </is>
      </c>
      <c r="D9" s="28" t="n"/>
      <c r="E9" s="28" t="n"/>
      <c r="F9" s="28" t="n"/>
      <c r="G9" s="28" t="n"/>
      <c r="H9" s="28" t="n"/>
    </row>
    <row r="10">
      <c r="A10" s="28" t="inlineStr">
        <is>
          <t>Investors / partners (equity: dilutes, not repaid)</t>
        </is>
      </c>
      <c r="B10" s="49" t="n">
        <v>0</v>
      </c>
      <c r="C10" s="28" t="inlineStr">
        <is>
          <t>Equity: it dilutes your ownership and is not repaid</t>
        </is>
      </c>
      <c r="D10" s="28" t="n"/>
      <c r="E10" s="28" t="n"/>
      <c r="F10" s="28" t="n"/>
      <c r="G10" s="28" t="n"/>
      <c r="H10" s="28" t="n"/>
    </row>
    <row r="11">
      <c r="A11" s="28" t="inlineStr">
        <is>
          <t>Local grants (usually paid after you spend)</t>
        </is>
      </c>
      <c r="B11" s="49" t="n">
        <v>0</v>
      </c>
      <c r="C11" s="28" t="inlineStr">
        <is>
          <t>Usually paid AFTER you document the spending</t>
        </is>
      </c>
      <c r="D11" s="28" t="n"/>
      <c r="E11" s="28" t="n"/>
      <c r="F11" s="28" t="n"/>
      <c r="G11" s="28" t="n"/>
      <c r="H11" s="28" t="n"/>
    </row>
    <row r="12">
      <c r="A12" s="25" t="inlineStr">
        <is>
          <t>TOTAL SOURCES OF FUNDS</t>
        </is>
      </c>
      <c r="B12" s="66">
        <f>IFERROR(IF(COUNT(B6:B11)=0,"",SUM(B6:B11)),"")</f>
        <v>101000.0</v>
      </c>
      <c r="C12" s="28" t="n"/>
      <c r="D12" s="28" t="n"/>
      <c r="E12" s="28" t="n"/>
      <c r="F12" s="28" t="n"/>
      <c r="G12" s="28" t="n"/>
      <c r="H12" s="28" t="n"/>
    </row>
    <row r="13">
      <c r="A13" s="25" t="inlineStr">
        <is>
          <t>USES OF FUNDS</t>
        </is>
      </c>
      <c r="B13" s="28" t="n"/>
      <c r="C13" s="28" t="n"/>
      <c r="D13" s="28" t="n"/>
      <c r="E13" s="28" t="n"/>
      <c r="F13" s="28" t="n"/>
      <c r="G13" s="28" t="n"/>
      <c r="H13" s="28" t="n"/>
    </row>
    <row r="14">
      <c r="A14" s="28" t="inlineStr">
        <is>
          <t>Total cash needed at launch</t>
        </is>
      </c>
      <c r="B14" s="40">
        <f>IFERROR(IF('Startup Costs'!$B$29="","",'Startup Costs'!$B$29),"")</f>
        <v>100290.2</v>
      </c>
      <c r="C14" s="28" t="inlineStr">
        <is>
          <t>Startup costs plus any recoverable tax you have to advance (zero by default in the US)</t>
        </is>
      </c>
      <c r="D14" s="28" t="n"/>
      <c r="E14" s="28" t="n"/>
      <c r="F14" s="28" t="n"/>
      <c r="G14" s="28" t="n"/>
      <c r="H14" s="28" t="n"/>
    </row>
    <row r="15">
      <c r="A15" s="25" t="inlineStr">
        <is>
          <t>Difference (sources - uses)</t>
        </is>
      </c>
      <c r="B15" s="66">
        <f>IFERROR(B12-B14,"")</f>
        <v>709.8000000000029</v>
      </c>
      <c r="C15" s="25" t="inlineStr">
        <is>
          <t>In red (negative), the plan is NOT funded. Far above zero is not free either: you pay interest on money you do not use</t>
        </is>
      </c>
      <c r="D15" s="28" t="n"/>
      <c r="E15" s="28" t="n"/>
      <c r="F15" s="28" t="n"/>
      <c r="G15" s="28" t="n"/>
      <c r="H15" s="28" t="n"/>
    </row>
    <row r="16">
      <c r="A16" s="28" t="inlineStr">
        <is>
          <t>Difference as a % of uses</t>
        </is>
      </c>
      <c r="B16" s="68">
        <f>IFERROR(B15/B14,"")</f>
        <v>0.007077461207575645</v>
      </c>
      <c r="C16" s="28" t="inlineStr">
        <is>
          <t>Amber above the margin you set: it is debt you pay for without needing it</t>
        </is>
      </c>
      <c r="D16" s="28" t="n"/>
      <c r="E16" s="28" t="n"/>
      <c r="F16" s="28" t="n"/>
      <c r="G16" s="28" t="n"/>
      <c r="H16" s="28" t="n"/>
    </row>
    <row r="17">
      <c r="A17" s="28" t="inlineStr">
        <is>
          <t>Acceptable over-funding (%)</t>
        </is>
      </c>
      <c r="B17" s="73" t="n">
        <v>0.05</v>
      </c>
      <c r="C17" s="28" t="inlineStr">
        <is>
          <t>A small cushion over the need is healthy; 20% extra is interest thrown away</t>
        </is>
      </c>
      <c r="D17" s="28" t="n"/>
      <c r="E17" s="28" t="n"/>
      <c r="F17" s="28" t="n"/>
      <c r="G17" s="28" t="n"/>
      <c r="H17" s="28" t="n"/>
    </row>
    <row r="18">
      <c r="A18" s="28" t="inlineStr">
        <is>
          <t>Loan that would match sources to needs</t>
        </is>
      </c>
      <c r="B18" s="40">
        <f>IFERROR(MAX(0,B14-B12+B7),"")</f>
        <v>70290.2</v>
      </c>
      <c r="C18" s="28" t="inlineStr">
        <is>
          <t>Copy it into "Loan requested" in the "0. Assumptions" tab and the difference goes to zero. Rows 8-11 lower this figure, but only the row-7 loan is amortized and counted in the DSCR</t>
        </is>
      </c>
      <c r="D18" s="28" t="n"/>
      <c r="E18" s="28" t="n"/>
      <c r="F18" s="28" t="n"/>
      <c r="G18" s="28" t="n"/>
      <c r="H18" s="28" t="n"/>
    </row>
    <row r="19">
      <c r="A19" s="25" t="inlineStr">
        <is>
          <t>LOAN TERMS</t>
        </is>
      </c>
      <c r="B19" s="28" t="n"/>
      <c r="C19" s="28" t="n"/>
      <c r="D19" s="28" t="n"/>
      <c r="E19" s="28" t="n"/>
      <c r="F19" s="28" t="n"/>
      <c r="G19" s="28" t="n"/>
      <c r="H19" s="28" t="n"/>
    </row>
    <row r="20">
      <c r="A20" s="28" t="inlineStr">
        <is>
          <t>Principal amount</t>
        </is>
      </c>
      <c r="B20" s="40">
        <f>IFERROR(IF('0. Assumptions'!$B$31=0,"",'0. Assumptions'!$B$31),"")</f>
        <v>71000.0</v>
      </c>
      <c r="C20" s="28" t="n"/>
      <c r="D20" s="28" t="n"/>
      <c r="E20" s="28" t="n"/>
      <c r="F20" s="28" t="n"/>
      <c r="G20" s="28" t="n"/>
      <c r="H20" s="28" t="n"/>
    </row>
    <row r="21">
      <c r="A21" s="28" t="inlineStr">
        <is>
          <t>Nominal annual interest rate (not APR)</t>
        </is>
      </c>
      <c r="B21" s="68">
        <f>IFERROR(IF('0. Assumptions'!$B$32="","",'0. Assumptions'!$B$32),"")</f>
        <v>0.1</v>
      </c>
      <c r="C21" s="28" t="n"/>
      <c r="D21" s="28" t="n"/>
      <c r="E21" s="28" t="n"/>
      <c r="F21" s="28" t="n"/>
      <c r="G21" s="28" t="n"/>
      <c r="H21" s="28" t="n"/>
    </row>
    <row r="22">
      <c r="A22" s="28" t="inlineStr">
        <is>
          <t>Total term (years)</t>
        </is>
      </c>
      <c r="B22" s="40">
        <f>IFERROR(IF('0. Assumptions'!$B$33="","",'0. Assumptions'!$B$33),"")</f>
        <v>7.0</v>
      </c>
      <c r="C22" s="28" t="n"/>
      <c r="D22" s="28" t="n"/>
      <c r="E22" s="28" t="n"/>
      <c r="F22" s="28" t="n"/>
      <c r="G22" s="28" t="n"/>
      <c r="H22" s="28" t="n"/>
    </row>
    <row r="23">
      <c r="A23" s="28" t="inlineStr">
        <is>
          <t>Interest-only period applied (years)</t>
        </is>
      </c>
      <c r="B23" s="40">
        <f>IFERROR(IF(OR('0. Assumptions'!$B$34="",'0. Assumptions'!$B$33=""),"",IF('0. Assumptions'!$B$34&gt;='0. Assumptions'!$B$33,0,'0. Assumptions'!$B$34)),"")</f>
        <v>0.0</v>
      </c>
      <c r="C23" s="28" t="inlineStr">
        <is>
          <t>An interest-only period equal to or longer than the term does not exist: the sheet cancels it at the source</t>
        </is>
      </c>
      <c r="D23" s="28" t="n"/>
      <c r="E23" s="28" t="n"/>
      <c r="F23" s="28" t="n"/>
      <c r="G23" s="28" t="n"/>
      <c r="H23" s="28" t="n"/>
    </row>
    <row r="24">
      <c r="A24" s="25" t="inlineStr">
        <is>
          <t>Annual payment during repayment</t>
        </is>
      </c>
      <c r="B24" s="62">
        <f>IFERROR(IF(B22-B23&lt;=0,"",IF(B21=0,B20/(B22-B23),B20*B21/(1-(1+B21)^-(B22-B23)))),"")</f>
        <v>14583.790478742285</v>
      </c>
      <c r="C24" s="25" t="inlineStr">
        <is>
          <t>Standard amortizing loan with a level annual payment. At a 0% rate it is the principal divided by the repayment years: without that branch the schedule would shut down entirely</t>
        </is>
      </c>
      <c r="D24" s="28" t="n"/>
      <c r="E24" s="28" t="n"/>
      <c r="F24" s="28" t="n"/>
      <c r="G24" s="28" t="n"/>
      <c r="H24" s="28" t="n"/>
    </row>
    <row r="25">
      <c r="A25" s="25" t="inlineStr">
        <is>
          <t>AMORTIZATION SCHEDULE</t>
        </is>
      </c>
      <c r="B25" s="28" t="n"/>
      <c r="C25" s="28" t="n"/>
      <c r="D25" s="28" t="n"/>
      <c r="E25" s="28" t="n"/>
      <c r="F25" s="28" t="n"/>
      <c r="G25" s="28" t="n"/>
      <c r="H25" s="28" t="n"/>
    </row>
    <row r="26">
      <c r="A26" s="25" t="inlineStr">
        <is>
          <t>Year</t>
        </is>
      </c>
      <c r="B26" s="25" t="inlineStr">
        <is>
          <t>Opening balance</t>
        </is>
      </c>
      <c r="C26" s="25" t="inlineStr">
        <is>
          <t>Interest</t>
        </is>
      </c>
      <c r="D26" s="25" t="inlineStr">
        <is>
          <t>Principal repaid</t>
        </is>
      </c>
      <c r="E26" s="25" t="inlineStr">
        <is>
          <t>Total payment</t>
        </is>
      </c>
      <c r="F26" s="25" t="inlineStr">
        <is>
          <t>Closing balance</t>
        </is>
      </c>
      <c r="G26" s="25" t="inlineStr">
        <is>
          <t>Cash flow available for debt service (after tax; from year 4 on, year 3 held flat)</t>
        </is>
      </c>
      <c r="H26" s="25" t="inlineStr">
        <is>
          <t>DSCR for the year</t>
        </is>
      </c>
    </row>
    <row r="27">
      <c r="A27" s="40" t="n">
        <v>1</v>
      </c>
      <c r="B27" s="61">
        <f>IFERROR(IF(B20="","",B20),"")</f>
        <v>71000.0</v>
      </c>
      <c r="C27" s="61">
        <f>IFERROR(IF(OR(1&gt;B22,B27=""),"",B27*B21),"")</f>
        <v>7100.0</v>
      </c>
      <c r="D27" s="61">
        <f>IFERROR(IF(OR(1&gt;B22,B27=""),"",IF(1&lt;=B23,0,MIN(B27,B24-C27))),"")</f>
        <v>7483.790478742285</v>
      </c>
      <c r="E27" s="61">
        <f>IFERROR(IF(C27="","",C27+D27),"")</f>
        <v>14583.790478742285</v>
      </c>
      <c r="F27" s="61">
        <f>IFERROR(IF(D27="","",B27-D27),"")</f>
        <v>63516.20952125771</v>
      </c>
      <c r="G27" s="61">
        <f>IFERROR(IF(E27="","",'3-Year P&amp;L'!$B$41-'3-Year P&amp;L'!$B$46+'3-Year P&amp;L'!$B$36+'3-Year P&amp;L'!$B$37),"")</f>
        <v>37606.44892857143</v>
      </c>
      <c r="H27" s="61">
        <f>IFERROR(IF(OR(E27="",E27=0),"",G27/E27),"")</f>
        <v>2.5786470933868375</v>
      </c>
    </row>
    <row r="28">
      <c r="A28" s="40" t="n">
        <v>2</v>
      </c>
      <c r="B28" s="61">
        <f>IFERROR(IF(OR(2&gt;B22,F27=""),"",F27),"")</f>
        <v>63516.20952125771</v>
      </c>
      <c r="C28" s="61">
        <f>IFERROR(IF(OR(2&gt;B22,B28=""),"",B28*B21),"")</f>
        <v>6351.6209521257715</v>
      </c>
      <c r="D28" s="61">
        <f>IFERROR(IF(OR(2&gt;B22,B28=""),"",IF(2&lt;=B23,0,MIN(B28,B24-C28))),"")</f>
        <v>8232.169526616513</v>
      </c>
      <c r="E28" s="61">
        <f>IFERROR(IF(C28="","",C28+D28),"")</f>
        <v>14583.790478742285</v>
      </c>
      <c r="F28" s="61">
        <f>IFERROR(IF(D28="","",B28-D28),"")</f>
        <v>55284.0399946412</v>
      </c>
      <c r="G28" s="61">
        <f>IFERROR(IF(E28="","",'3-Year P&amp;L'!$C$41-'3-Year P&amp;L'!$C$46+'3-Year P&amp;L'!$C$36+'3-Year P&amp;L'!$C$37),"")</f>
        <v>46661.45191660289</v>
      </c>
      <c r="H28" s="61">
        <f>IFERROR(IF(OR(E28="",E28=0),"",G28/E28),"")</f>
        <v>3.1995421207276564</v>
      </c>
    </row>
    <row r="29">
      <c r="A29" s="40" t="n">
        <v>3</v>
      </c>
      <c r="B29" s="61">
        <f>IFERROR(IF(OR(3&gt;B22,F28=""),"",F28),"")</f>
        <v>55284.0399946412</v>
      </c>
      <c r="C29" s="61">
        <f>IFERROR(IF(OR(3&gt;B22,B29=""),"",B29*B21),"")</f>
        <v>5528.403999464121</v>
      </c>
      <c r="D29" s="61">
        <f>IFERROR(IF(OR(3&gt;B22,B29=""),"",IF(3&lt;=B23,0,MIN(B29,B24-C29))),"")</f>
        <v>9055.386479278164</v>
      </c>
      <c r="E29" s="61">
        <f>IFERROR(IF(C29="","",C29+D29),"")</f>
        <v>14583.790478742285</v>
      </c>
      <c r="F29" s="61">
        <f>IFERROR(IF(D29="","",B29-D29),"")</f>
        <v>46228.65351536304</v>
      </c>
      <c r="G29" s="61">
        <f>IFERROR(IF(E29="","",'3-Year P&amp;L'!$D$41-'3-Year P&amp;L'!$D$46+'3-Year P&amp;L'!$D$36+'3-Year P&amp;L'!$D$37),"")</f>
        <v>51790.432193437475</v>
      </c>
      <c r="H29" s="61">
        <f>IFERROR(IF(OR(E29="",E29=0),"",G29/E29),"")</f>
        <v>3.5512326009433943</v>
      </c>
    </row>
    <row r="30">
      <c r="A30" s="40" t="n">
        <v>4</v>
      </c>
      <c r="B30" s="61">
        <f>IFERROR(IF(OR(4&gt;B22,F29=""),"",F29),"")</f>
        <v>46228.65351536304</v>
      </c>
      <c r="C30" s="61">
        <f>IFERROR(IF(OR(4&gt;B22,B30=""),"",B30*B21),"")</f>
        <v>4622.865351536304</v>
      </c>
      <c r="D30" s="61">
        <f>IFERROR(IF(OR(4&gt;B22,B30=""),"",IF(4&lt;=B23,0,MIN(B30,B24-C30))),"")</f>
        <v>9960.925127205981</v>
      </c>
      <c r="E30" s="61">
        <f>IFERROR(IF(C30="","",C30+D30),"")</f>
        <v>14583.790478742285</v>
      </c>
      <c r="F30" s="61">
        <f>IFERROR(IF(D30="","",B30-D30),"")</f>
        <v>36267.72838815706</v>
      </c>
      <c r="G30" s="61">
        <f>IFERROR(IF(E30="","",'3-Year P&amp;L'!$D$41-'3-Year P&amp;L'!$D$46+'3-Year P&amp;L'!$D$36+'3-Year P&amp;L'!$D$37),"")</f>
        <v>51790.432193437475</v>
      </c>
      <c r="H30" s="61">
        <f>IFERROR(IF(OR(E30="",E30=0),"",G30/E30),"")</f>
        <v>3.5512326009433943</v>
      </c>
    </row>
    <row r="31">
      <c r="A31" s="40" t="n">
        <v>5</v>
      </c>
      <c r="B31" s="61">
        <f>IFERROR(IF(OR(5&gt;B22,F30=""),"",F30),"")</f>
        <v>36267.72838815706</v>
      </c>
      <c r="C31" s="61">
        <f>IFERROR(IF(OR(5&gt;B22,B31=""),"",B31*B21),"")</f>
        <v>3626.7728388157066</v>
      </c>
      <c r="D31" s="61">
        <f>IFERROR(IF(OR(5&gt;B22,B31=""),"",IF(5&lt;=B23,0,MIN(B31,B24-C31))),"")</f>
        <v>10957.017639926578</v>
      </c>
      <c r="E31" s="61">
        <f>IFERROR(IF(C31="","",C31+D31),"")</f>
        <v>14583.790478742285</v>
      </c>
      <c r="F31" s="61">
        <f>IFERROR(IF(D31="","",B31-D31),"")</f>
        <v>25310.710748230485</v>
      </c>
      <c r="G31" s="61">
        <f>IFERROR(IF(E31="","",'3-Year P&amp;L'!$D$41-'3-Year P&amp;L'!$D$46+'3-Year P&amp;L'!$D$36+'3-Year P&amp;L'!$D$37),"")</f>
        <v>51790.432193437475</v>
      </c>
      <c r="H31" s="61">
        <f>IFERROR(IF(OR(E31="",E31=0),"",G31/E31),"")</f>
        <v>3.5512326009433943</v>
      </c>
    </row>
    <row r="32">
      <c r="A32" s="40" t="n">
        <v>6</v>
      </c>
      <c r="B32" s="61">
        <f>IFERROR(IF(OR(6&gt;B22,F31=""),"",F31),"")</f>
        <v>25310.710748230485</v>
      </c>
      <c r="C32" s="61">
        <f>IFERROR(IF(OR(6&gt;B22,B32=""),"",B32*B21),"")</f>
        <v>2531.0710748230485</v>
      </c>
      <c r="D32" s="61">
        <f>IFERROR(IF(OR(6&gt;B22,B32=""),"",IF(6&lt;=B23,0,MIN(B32,B24-C32))),"")</f>
        <v>12052.719403919236</v>
      </c>
      <c r="E32" s="61">
        <f>IFERROR(IF(C32="","",C32+D32),"")</f>
        <v>14583.790478742285</v>
      </c>
      <c r="F32" s="61">
        <f>IFERROR(IF(D32="","",B32-D32),"")</f>
        <v>13257.99134431125</v>
      </c>
      <c r="G32" s="61">
        <f>IFERROR(IF(E32="","",'3-Year P&amp;L'!$D$41-'3-Year P&amp;L'!$D$46+'3-Year P&amp;L'!$D$36+'3-Year P&amp;L'!$D$37),"")</f>
        <v>51790.432193437475</v>
      </c>
      <c r="H32" s="61">
        <f>IFERROR(IF(OR(E32="",E32=0),"",G32/E32),"")</f>
        <v>3.5512326009433943</v>
      </c>
    </row>
    <row r="33">
      <c r="A33" s="40" t="n">
        <v>7</v>
      </c>
      <c r="B33" s="61">
        <f>IFERROR(IF(OR(7&gt;B22,F32=""),"",F32),"")</f>
        <v>13257.99134431125</v>
      </c>
      <c r="C33" s="61">
        <f>IFERROR(IF(OR(7&gt;B22,B33=""),"",B33*B21),"")</f>
        <v>1325.799134431125</v>
      </c>
      <c r="D33" s="61">
        <f>IFERROR(IF(OR(7&gt;B22,B33=""),"",IF(7&lt;=B23,0,MIN(B33,B24-C33))),"")</f>
        <v>13257.99134431116</v>
      </c>
      <c r="E33" s="61">
        <f>IFERROR(IF(C33="","",C33+D33),"")</f>
        <v>14583.790478742285</v>
      </c>
      <c r="F33" s="61">
        <f>IFERROR(IF(D33="","",B33-D33),"")</f>
        <v>8.913048077374697e-11</v>
      </c>
      <c r="G33" s="61">
        <f>IFERROR(IF(E33="","",'3-Year P&amp;L'!$D$41-'3-Year P&amp;L'!$D$46+'3-Year P&amp;L'!$D$36+'3-Year P&amp;L'!$D$37),"")</f>
        <v>51790.432193437475</v>
      </c>
      <c r="H33" s="61">
        <f>IFERROR(IF(OR(E33="",E33=0),"",G33/E33),"")</f>
        <v>3.5512326009433943</v>
      </c>
    </row>
    <row r="34">
      <c r="A34" s="40" t="n">
        <v>8</v>
      </c>
      <c r="B34" s="61">
        <f>IFERROR(IF(OR(8&gt;B22,F33=""),"",F33),"")</f>
        <v/>
      </c>
      <c r="C34" s="61">
        <f>IFERROR(IF(OR(8&gt;B22,B34=""),"",B34*B21),"")</f>
        <v/>
      </c>
      <c r="D34" s="61">
        <f>IFERROR(IF(OR(8&gt;B22,B34=""),"",IF(8&lt;=B23,0,MIN(B34,B24-C34))),"")</f>
        <v/>
      </c>
      <c r="E34" s="61">
        <f>IFERROR(IF(C34="","",C34+D34),"")</f>
        <v/>
      </c>
      <c r="F34" s="61">
        <f>IFERROR(IF(D34="","",B34-D34),"")</f>
        <v/>
      </c>
      <c r="G34" s="61">
        <f>IFERROR(IF(E34="","",'3-Year P&amp;L'!$D$41-'3-Year P&amp;L'!$D$46+'3-Year P&amp;L'!$D$36+'3-Year P&amp;L'!$D$37),"")</f>
        <v/>
      </c>
      <c r="H34" s="61">
        <f>IFERROR(IF(OR(E34="",E34=0),"",G34/E34),"")</f>
        <v/>
      </c>
    </row>
    <row r="35">
      <c r="A35" s="40" t="n">
        <v>9</v>
      </c>
      <c r="B35" s="61">
        <f>IFERROR(IF(OR(9&gt;B22,F34=""),"",F34),"")</f>
        <v/>
      </c>
      <c r="C35" s="61">
        <f>IFERROR(IF(OR(9&gt;B22,B35=""),"",B35*B21),"")</f>
        <v/>
      </c>
      <c r="D35" s="61">
        <f>IFERROR(IF(OR(9&gt;B22,B35=""),"",IF(9&lt;=B23,0,MIN(B35,B24-C35))),"")</f>
        <v/>
      </c>
      <c r="E35" s="61">
        <f>IFERROR(IF(C35="","",C35+D35),"")</f>
        <v/>
      </c>
      <c r="F35" s="61">
        <f>IFERROR(IF(D35="","",B35-D35),"")</f>
        <v/>
      </c>
      <c r="G35" s="61">
        <f>IFERROR(IF(E35="","",'3-Year P&amp;L'!$D$41-'3-Year P&amp;L'!$D$46+'3-Year P&amp;L'!$D$36+'3-Year P&amp;L'!$D$37),"")</f>
        <v/>
      </c>
      <c r="H35" s="61">
        <f>IFERROR(IF(OR(E35="",E35=0),"",G35/E35),"")</f>
        <v/>
      </c>
    </row>
    <row r="36">
      <c r="A36" s="40" t="n">
        <v>10</v>
      </c>
      <c r="B36" s="61">
        <f>IFERROR(IF(OR(10&gt;B22,F35=""),"",F35),"")</f>
        <v/>
      </c>
      <c r="C36" s="61">
        <f>IFERROR(IF(OR(10&gt;B22,B36=""),"",B36*B21),"")</f>
        <v/>
      </c>
      <c r="D36" s="61">
        <f>IFERROR(IF(OR(10&gt;B22,B36=""),"",IF(10&lt;=B23,0,MIN(B36,B24-C36))),"")</f>
        <v/>
      </c>
      <c r="E36" s="61">
        <f>IFERROR(IF(C36="","",C36+D36),"")</f>
        <v/>
      </c>
      <c r="F36" s="61">
        <f>IFERROR(IF(D36="","",B36-D36),"")</f>
        <v/>
      </c>
      <c r="G36" s="61">
        <f>IFERROR(IF(E36="","",'3-Year P&amp;L'!$D$41-'3-Year P&amp;L'!$D$46+'3-Year P&amp;L'!$D$36+'3-Year P&amp;L'!$D$37),"")</f>
        <v/>
      </c>
      <c r="H36" s="61">
        <f>IFERROR(IF(OR(E36="",E36=0),"",G36/E36),"")</f>
        <v/>
      </c>
    </row>
    <row r="37">
      <c r="A37" s="40" t="n">
        <v>11</v>
      </c>
      <c r="B37" s="61">
        <f>IFERROR(IF(OR(11&gt;B22,F36=""),"",F36),"")</f>
        <v/>
      </c>
      <c r="C37" s="61">
        <f>IFERROR(IF(OR(11&gt;B22,B37=""),"",B37*B21),"")</f>
        <v/>
      </c>
      <c r="D37" s="61">
        <f>IFERROR(IF(OR(11&gt;B22,B37=""),"",IF(11&lt;=B23,0,MIN(B37,B24-C37))),"")</f>
        <v/>
      </c>
      <c r="E37" s="61">
        <f>IFERROR(IF(C37="","",C37+D37),"")</f>
        <v/>
      </c>
      <c r="F37" s="61">
        <f>IFERROR(IF(D37="","",B37-D37),"")</f>
        <v/>
      </c>
      <c r="G37" s="61">
        <f>IFERROR(IF(E37="","",'3-Year P&amp;L'!$D$41-'3-Year P&amp;L'!$D$46+'3-Year P&amp;L'!$D$36+'3-Year P&amp;L'!$D$37),"")</f>
        <v/>
      </c>
      <c r="H37" s="61">
        <f>IFERROR(IF(OR(E37="",E37=0),"",G37/E37),"")</f>
        <v/>
      </c>
    </row>
    <row r="38">
      <c r="A38" s="40" t="n">
        <v>12</v>
      </c>
      <c r="B38" s="61">
        <f>IFERROR(IF(OR(12&gt;B22,F37=""),"",F37),"")</f>
        <v/>
      </c>
      <c r="C38" s="61">
        <f>IFERROR(IF(OR(12&gt;B22,B38=""),"",B38*B21),"")</f>
        <v/>
      </c>
      <c r="D38" s="61">
        <f>IFERROR(IF(OR(12&gt;B22,B38=""),"",IF(12&lt;=B23,0,MIN(B38,B24-C38))),"")</f>
        <v/>
      </c>
      <c r="E38" s="61">
        <f>IFERROR(IF(C38="","",C38+D38),"")</f>
        <v/>
      </c>
      <c r="F38" s="61">
        <f>IFERROR(IF(D38="","",B38-D38),"")</f>
        <v/>
      </c>
      <c r="G38" s="61">
        <f>IFERROR(IF(E38="","",'3-Year P&amp;L'!$D$41-'3-Year P&amp;L'!$D$46+'3-Year P&amp;L'!$D$36+'3-Year P&amp;L'!$D$37),"")</f>
        <v/>
      </c>
      <c r="H38" s="61">
        <f>IFERROR(IF(OR(E38="",E38=0),"",G38/E38),"")</f>
        <v/>
      </c>
    </row>
    <row r="39">
      <c r="A39" s="40" t="n">
        <v>13</v>
      </c>
      <c r="B39" s="61">
        <f>IFERROR(IF(OR(13&gt;B22,F38=""),"",F38),"")</f>
        <v/>
      </c>
      <c r="C39" s="61">
        <f>IFERROR(IF(OR(13&gt;B22,B39=""),"",B39*B21),"")</f>
        <v/>
      </c>
      <c r="D39" s="61">
        <f>IFERROR(IF(OR(13&gt;B22,B39=""),"",IF(13&lt;=B23,0,MIN(B39,B24-C39))),"")</f>
        <v/>
      </c>
      <c r="E39" s="61">
        <f>IFERROR(IF(C39="","",C39+D39),"")</f>
        <v/>
      </c>
      <c r="F39" s="61">
        <f>IFERROR(IF(D39="","",B39-D39),"")</f>
        <v/>
      </c>
      <c r="G39" s="61">
        <f>IFERROR(IF(E39="","",'3-Year P&amp;L'!$D$41-'3-Year P&amp;L'!$D$46+'3-Year P&amp;L'!$D$36+'3-Year P&amp;L'!$D$37),"")</f>
        <v/>
      </c>
      <c r="H39" s="61">
        <f>IFERROR(IF(OR(E39="",E39=0),"",G39/E39),"")</f>
        <v/>
      </c>
    </row>
    <row r="40">
      <c r="A40" s="40" t="n">
        <v>14</v>
      </c>
      <c r="B40" s="61">
        <f>IFERROR(IF(OR(14&gt;B22,F39=""),"",F39),"")</f>
        <v/>
      </c>
      <c r="C40" s="61">
        <f>IFERROR(IF(OR(14&gt;B22,B40=""),"",B40*B21),"")</f>
        <v/>
      </c>
      <c r="D40" s="61">
        <f>IFERROR(IF(OR(14&gt;B22,B40=""),"",IF(14&lt;=B23,0,MIN(B40,B24-C40))),"")</f>
        <v/>
      </c>
      <c r="E40" s="61">
        <f>IFERROR(IF(C40="","",C40+D40),"")</f>
        <v/>
      </c>
      <c r="F40" s="61">
        <f>IFERROR(IF(D40="","",B40-D40),"")</f>
        <v/>
      </c>
      <c r="G40" s="61">
        <f>IFERROR(IF(E40="","",'3-Year P&amp;L'!$D$41-'3-Year P&amp;L'!$D$46+'3-Year P&amp;L'!$D$36+'3-Year P&amp;L'!$D$37),"")</f>
        <v/>
      </c>
      <c r="H40" s="61">
        <f>IFERROR(IF(OR(E40="",E40=0),"",G40/E40),"")</f>
        <v/>
      </c>
    </row>
    <row r="41">
      <c r="A41" s="40" t="n">
        <v>15</v>
      </c>
      <c r="B41" s="61">
        <f>IFERROR(IF(OR(15&gt;B22,F40=""),"",F40),"")</f>
        <v/>
      </c>
      <c r="C41" s="61">
        <f>IFERROR(IF(OR(15&gt;B22,B41=""),"",B41*B21),"")</f>
        <v/>
      </c>
      <c r="D41" s="61">
        <f>IFERROR(IF(OR(15&gt;B22,B41=""),"",IF(15&lt;=B23,0,MIN(B41,B24-C41))),"")</f>
        <v/>
      </c>
      <c r="E41" s="61">
        <f>IFERROR(IF(C41="","",C41+D41),"")</f>
        <v/>
      </c>
      <c r="F41" s="61">
        <f>IFERROR(IF(D41="","",B41-D41),"")</f>
        <v/>
      </c>
      <c r="G41" s="61">
        <f>IFERROR(IF(E41="","",'3-Year P&amp;L'!$D$41-'3-Year P&amp;L'!$D$46+'3-Year P&amp;L'!$D$36+'3-Year P&amp;L'!$D$37),"")</f>
        <v/>
      </c>
      <c r="H41" s="61">
        <f>IFERROR(IF(OR(E41="",E41=0),"",G41/E41),"")</f>
        <v/>
      </c>
    </row>
    <row r="42">
      <c r="A42" s="28" t="inlineStr">
        <is>
          <t>Schedule closing tolerance</t>
        </is>
      </c>
      <c r="B42" s="71" t="n">
        <v>0.01</v>
      </c>
      <c r="C42" s="28" t="inlineStr">
        <is>
          <t>Rounding margin. Above it, the schedule does not close and there is principal left unpaid</t>
        </is>
      </c>
      <c r="D42" s="28" t="n"/>
      <c r="E42" s="28" t="n"/>
      <c r="F42" s="28" t="n"/>
      <c r="G42" s="28" t="n"/>
      <c r="H42" s="28" t="n"/>
    </row>
    <row r="43">
      <c r="A43" s="28" t="inlineStr">
        <is>
          <t>Balance outstanding at maturity</t>
        </is>
      </c>
      <c r="B43" s="61">
        <f>IFERROR(IF(B20="","",ROUND(B20-SUM(D27:D41),2)),"")</f>
        <v>0.0</v>
      </c>
      <c r="C43" s="28" t="inlineStr">
        <is>
          <t>Must be zero: the principal repaid in the schedule has to equal the amount borrowed. If it is positive, the term falls short</t>
        </is>
      </c>
      <c r="D43" s="28" t="n"/>
      <c r="E43" s="28" t="n"/>
      <c r="F43" s="28" t="n"/>
      <c r="G43" s="28" t="n"/>
      <c r="H43" s="28" t="n"/>
    </row>
    <row r="44">
      <c r="A44" s="28" t="inlineStr">
        <is>
          <t>Year-1 interest</t>
        </is>
      </c>
      <c r="B44" s="40">
        <f>IFERROR(IF(B20="","",IF(C27="",0,C27)),"")</f>
        <v>7100.0</v>
      </c>
      <c r="C44" s="28" t="n"/>
      <c r="D44" s="28" t="n"/>
      <c r="E44" s="28" t="n"/>
      <c r="F44" s="28" t="n"/>
      <c r="G44" s="28" t="n"/>
      <c r="H44" s="28" t="n"/>
    </row>
    <row r="45">
      <c r="A45" s="28" t="inlineStr">
        <is>
          <t>Year-1 principal repaid</t>
        </is>
      </c>
      <c r="B45" s="40">
        <f>IFERROR(IF(B20="","",IF(D27="",0,D27)),"")</f>
        <v>7483.790478742285</v>
      </c>
      <c r="C45" s="28" t="n"/>
      <c r="D45" s="28" t="n"/>
      <c r="E45" s="28" t="n"/>
      <c r="F45" s="28" t="n"/>
      <c r="G45" s="28" t="n"/>
      <c r="H45" s="28" t="n"/>
    </row>
    <row r="46">
      <c r="A46" s="28" t="inlineStr">
        <is>
          <t>Year-2 interest</t>
        </is>
      </c>
      <c r="B46" s="40">
        <f>IFERROR(IF(B20="","",IF(C28="",0,C28)),"")</f>
        <v>6351.6209521257715</v>
      </c>
      <c r="C46" s="28" t="n"/>
      <c r="D46" s="28" t="n"/>
      <c r="E46" s="28" t="n"/>
      <c r="F46" s="28" t="n"/>
      <c r="G46" s="28" t="n"/>
      <c r="H46" s="28" t="n"/>
    </row>
    <row r="47">
      <c r="A47" s="28" t="inlineStr">
        <is>
          <t>Year-2 principal repaid</t>
        </is>
      </c>
      <c r="B47" s="40">
        <f>IFERROR(IF(B20="","",IF(D28="",0,D28)),"")</f>
        <v>8232.169526616513</v>
      </c>
      <c r="C47" s="28" t="n"/>
      <c r="D47" s="28" t="n"/>
      <c r="E47" s="28" t="n"/>
      <c r="F47" s="28" t="n"/>
      <c r="G47" s="28" t="n"/>
      <c r="H47" s="28" t="n"/>
    </row>
    <row r="48">
      <c r="A48" s="28" t="inlineStr">
        <is>
          <t>Year-3 interest</t>
        </is>
      </c>
      <c r="B48" s="40">
        <f>IFERROR(IF(B20="","",IF(C29="",0,C29)),"")</f>
        <v>5528.403999464121</v>
      </c>
      <c r="C48" s="28" t="n"/>
      <c r="D48" s="28" t="n"/>
      <c r="E48" s="28" t="n"/>
      <c r="F48" s="28" t="n"/>
      <c r="G48" s="28" t="n"/>
      <c r="H48" s="28" t="n"/>
    </row>
    <row r="49">
      <c r="A49" s="28" t="inlineStr">
        <is>
          <t>Year-3 principal repaid</t>
        </is>
      </c>
      <c r="B49" s="40">
        <f>IFERROR(IF(B20="","",IF(D29="",0,D29)),"")</f>
        <v>9055.386479278164</v>
      </c>
      <c r="C49" s="28" t="n"/>
      <c r="D49" s="28" t="n"/>
      <c r="E49" s="28" t="n"/>
      <c r="F49" s="28" t="n"/>
      <c r="G49" s="28" t="n"/>
      <c r="H49" s="28" t="n"/>
    </row>
    <row r="50">
      <c r="A50" s="25" t="inlineStr">
        <is>
          <t>DEBT SERVICE COVERAGE RATIO (DSCR)</t>
        </is>
      </c>
      <c r="B50" s="28" t="n"/>
      <c r="C50" s="28" t="n"/>
      <c r="D50" s="28" t="n"/>
      <c r="E50" s="28" t="n"/>
      <c r="F50" s="28" t="n"/>
      <c r="G50" s="28" t="n"/>
      <c r="H50" s="28" t="n"/>
    </row>
    <row r="51">
      <c r="A51" s="28" t="inlineStr">
        <is>
          <t>Year-1 DSCR</t>
        </is>
      </c>
      <c r="B51" s="61">
        <f>IFERROR(('3-Year P&amp;L'!$B$41-'3-Year P&amp;L'!$B$46+'3-Year P&amp;L'!$B$36+B44)/(B44+B45),"")</f>
        <v>2.5786470933868375</v>
      </c>
      <c r="C51" s="28" t="inlineStr">
        <is>
          <t>An INTEREST-ONLY year, if there is one: with only interest in the denominator the ratio shoots up and does not measure the business</t>
        </is>
      </c>
      <c r="D51" s="28" t="n"/>
      <c r="E51" s="28" t="n"/>
      <c r="F51" s="28" t="n"/>
      <c r="G51" s="28" t="n"/>
      <c r="H51" s="28" t="n"/>
    </row>
    <row r="52">
      <c r="A52" s="28" t="inlineStr">
        <is>
          <t>Year-2 DSCR</t>
        </is>
      </c>
      <c r="B52" s="61">
        <f>IFERROR(('3-Year P&amp;L'!$C$41-'3-Year P&amp;L'!$C$46+'3-Year P&amp;L'!$C$36+B46)/(B46+B47),"")</f>
        <v>3.1995421207276564</v>
      </c>
      <c r="C52" s="28" t="n"/>
      <c r="D52" s="28" t="n"/>
      <c r="E52" s="28" t="n"/>
      <c r="F52" s="28" t="n"/>
      <c r="G52" s="28" t="n"/>
      <c r="H52" s="28" t="n"/>
    </row>
    <row r="53">
      <c r="A53" s="28" t="inlineStr">
        <is>
          <t>Year-3 DSCR</t>
        </is>
      </c>
      <c r="B53" s="61">
        <f>IFERROR(('3-Year P&amp;L'!$D$41-'3-Year P&amp;L'!$D$46+'3-Year P&amp;L'!$D$36+B48)/(B48+B49),"")</f>
        <v>3.5512326009433943</v>
      </c>
      <c r="C53" s="28" t="n"/>
      <c r="D53" s="28" t="n"/>
      <c r="E53" s="28" t="n"/>
      <c r="F53" s="28" t="n"/>
      <c r="G53" s="28" t="n"/>
      <c r="H53" s="28" t="n"/>
    </row>
    <row r="54">
      <c r="A54" s="25" t="inlineStr">
        <is>
          <t>Minimum DSCR across the whole schedule</t>
        </is>
      </c>
      <c r="B54" s="62">
        <f>IFERROR(IF(COUNT(H27:H41)=0,"",MIN(H27:H41)),"")</f>
        <v>2.5786470933868375</v>
      </c>
      <c r="C54" s="25"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8" t="n"/>
      <c r="E54" s="28" t="n"/>
      <c r="F54" s="28" t="n"/>
      <c r="G54" s="28" t="n"/>
      <c r="H54" s="28" t="n"/>
    </row>
    <row r="55">
      <c r="A55" s="28" t="n"/>
      <c r="B55" s="28" t="n"/>
      <c r="C55" s="28" t="n"/>
      <c r="D55" s="28" t="n"/>
      <c r="E55" s="28" t="n"/>
      <c r="F55" s="28" t="n"/>
      <c r="G55" s="28" t="n"/>
      <c r="H55" s="28" t="n"/>
    </row>
    <row r="56" ht="165" customHeight="1">
      <c r="A56" s="46"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Coffee Cart Financial Projections: 3-Year P&amp;L, Cash Flow &amp; Financing · Coffee Cart Business Plan Kit</dc:title>
  <dc:description xmlns:dc="http://purl.org/dc/elements/1.1/">aichef.pro/en/digital-products/coffee-cart-business-plan</dc:description>
  <dc:subject xmlns:dc="http://purl.org/dc/elements/1.1/">Coffee Cart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2026-10-28T19:05:56Z</dcterms:modified>
  <cp:lastModifiedBy>AI Chef Pro</cp:lastModifiedBy>
  <cp:category>AI Chef Pro · Digital products</cp:category>
  <cp:keywords>coffee cart business plan, coffee truck business plan, mobile coffee business plan, coffee trailer business plan, how to start a coffee cart business, coffee catering, AI Chef Pro</cp:keywords>
</cp:coreProperties>
</file>