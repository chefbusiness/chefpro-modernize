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170</v>
      </c>
      <c r="C4" t="inlineStr">
        <is>
          <t>Average number of events you serve per year, counting every corporate booking, wedding, private party and festival or farmers market day. It is the main volume driver of the whole workbook: the P&amp;L, break-even and scenarios all read it, and years 2 and 3 grow in events. The example is a full-time owner-operator with an active corporate sales effort and two stations, not the average first year. Flashquotes shows about 15 bookings per operator per year on its own platform only, so do not read that as the events to expect. Compare this cell with the capacity row further down.</t>
        </is>
      </c>
    </row>
    <row r="5">
      <c r="A5" t="inlineStr">
        <is>
          <t>Average price per guest (excl. sales tax, baristas included)</t>
        </is>
      </c>
      <c r="B5" s="24" t="n">
        <v>12.6</v>
      </c>
      <c r="C5" t="inlineStr">
        <is>
          <t>EXCL. sales tax, with the baristas, travel and extras included and the voluntary gratuity left out: the blended price per guest across everything you sell (hosted corporate and wedding bookings, private parties, festival days), not the price of any one package. Price per guest incl. sales tax = this value × (1 + your sales tax rate). Operators quote by booking and by hour, with a base fee plus an hourly rate (see the benchmarks table on the "Instructions" tab). The Pricing Calculator quotes per guest, per service hour and per drink: to bring a quote here, divide the revenue you bill in a year by the guests you serve in that year.</t>
        </is>
      </c>
    </row>
    <row r="6">
      <c r="A6" t="inlineStr">
        <is>
          <t>Average guests per event</t>
        </is>
      </c>
      <c r="B6" s="18" t="n">
        <v>95</v>
      </c>
      <c r="C6" t="inlineStr">
        <is>
          <t>Average number of guests per event across your whole mix, from small private parties to weddings of well over a hundred guests. The typical Flashquotes booking is for 100 guests. At a festival or farmers market, every drink sold counts as one guest.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0.10 for 10%). Kept conservative on purpose: repeat corporate clients build up slowly, wedding bookings are made months ahead, and two stations and a small team of baristas limit how fast you can grow.</t>
        </is>
      </c>
    </row>
    <row r="8">
      <c r="A8" t="inlineStr">
        <is>
          <t>Volume growth in year 3</t>
        </is>
      </c>
      <c r="B8" s="63" t="n">
        <v>0.06</v>
      </c>
      <c r="C8" t="inlineStr">
        <is>
          <t>Growth in events in year 3 over year 2, kept conservative for the same reason: corporate repeat business and planner referrals build up slowly, and two stations and your baristas limit how many events you can serve.</t>
        </is>
      </c>
    </row>
    <row r="9">
      <c r="A9" t="inlineStr">
        <is>
          <t>Price per guest incl. sales tax (calculated)</t>
        </is>
      </c>
      <c r="B9" s="64">
        <f>IFERROR(IF($B$5="","",$B$5*(1+SUMPRODUCT('3-Year P&amp;L'!$E$10:$E$11,'3-Year P&amp;L'!$G$10:$G$11))),"")</f>
        <v>13.608</v>
      </c>
      <c r="C9" t="str">
        <f>IFERROR("Price per guest excl. sales tax plus the weighted sales tax of your sales lines ("&amp;TEXT(SUMPRODUCT('3-Year P&amp;L'!$E$10:$E$11,'3-Year P&amp;L'!$G$10:$G$11)*100,"0")&amp;"%), rounded. In the US the quote adds sales tax on top, and many states tax the whole catering invoice (coffee service, baristas and add-ons; in some states, travel too); in the UK, VAT is included in the price.","")</f>
        <v>Price per guest excl. sales tax plus the weighted sales tax of your sales lines (8%), rounded. In the US the quote adds sales tax on top, and many states tax the whole catering invoice (coffee service, baristas and add-ons; in some states, travel too); in the UK, VAT is included in the price.</v>
      </c>
    </row>
    <row r="10">
      <c r="A10" s="16" t="inlineStr">
        <is>
          <t>SALES MIX AND COST OF GOODS SOLD</t>
        </is>
      </c>
    </row>
    <row r="11">
      <c r="A11" t="inlineStr">
        <is>
          <t>COFFEE BAR PACKAGES share of sales (baristas, espresso drinks, batch &amp; cold brew, milks, syrups, cups)</t>
        </is>
      </c>
      <c r="B11" s="63" t="n">
        <v>0.85</v>
      </c>
      <c r="C11" t="inlineStr">
        <is>
          <t>Share of sales that comes from coffee bar packages: the espresso bar with baristas, batch brew and cold brew, milks, syrups and compostable cups. It is an INPUT: change it here and the P&amp;L, the cash flow and the sales tax collected recalculate on their own. The rest of your sales are add-ons.</t>
        </is>
      </c>
    </row>
    <row r="12">
      <c r="A12" t="inlineStr">
        <is>
          <t>ADD-ONS share of sales (extra hours, branded cups &amp; latte printing, pastries from a licensed bakery, travel fees)</t>
        </is>
      </c>
      <c r="B12" s="65">
        <f>IFERROR(IF(COUNT(B11)=0,"",1-B11),"")</f>
        <v>0.15000000000000002</v>
      </c>
      <c r="C12" t="inlineStr">
        <is>
          <t>Calculated as the remainder: coffee bar packages + add-ons = 100%. Add-ons are extra service hours, branded cups and latte printing, pastries from a licensed bakery and travel fees.</t>
        </is>
      </c>
    </row>
    <row r="13">
      <c r="A13" t="inlineStr">
        <is>
          <t>Cost of goods on COFFEE BAR PACKAGE sales (beans, milks incl. oat milk, syrups, cold brew)</t>
        </is>
      </c>
      <c r="B13" s="63" t="n">
        <v>0.12</v>
      </c>
      <c r="C13" t="inlineStr">
        <is>
          <t>Cost of goods sold on coffee bar package sales: coffee (18 g, or 0.63 oz, per double), milk and oat milk, syrups and cold brew, with a 10% allowance for waste (purging, dialing in, leftover milk). Kit estimate built from an all-in cost of $0.75-1.50 per drink (grindkit.app). The cost of one drink from the calculator is not copied here: this cell is the average of your whole mix, and package revenue also pays for the baristas, so the share is lower than the 20-30% that GrindKit reports on drink revenue. It is the most sensitive lever in the plan: test it at the top of the range before you trust the result.</t>
        </is>
      </c>
    </row>
    <row r="14">
      <c r="A14" t="inlineStr">
        <is>
          <t>Cost of goods on ADD-ON sales (pastries, branded cups, printing)</t>
        </is>
      </c>
      <c r="B14" s="63" t="n">
        <v>0.25</v>
      </c>
      <c r="C14" t="inlineStr">
        <is>
          <t>Cost of goods sold on add-ons: pastries bought from a licensed bakery, branded cups and printing ink. Extra hours and travel fees carry almost no cost of goods. Kit estimate.</t>
        </is>
      </c>
    </row>
    <row r="15">
      <c r="A15" t="inlineStr">
        <is>
          <t>Compostable cups, lids, sleeves &amp; napkins as % of sales</t>
        </is>
      </c>
      <c r="B15" s="63" t="n">
        <v>0.04</v>
      </c>
      <c r="C15" t="inlineStr">
        <is>
          <t>Compostable cups, lids, sleeves, wooden stirrers and napkins as a % of sales (about $0.30 per drink: Kit estimate). They are compostable because several cities require it (Seattle, as an example): check your local rules. The line scales with the number of drinks you serve. Fuel is NOT here: tow vehicle fuel has its own fixed line on the "3-Year P&amp;L" tab, and generator fuel is in utilities.</t>
        </is>
      </c>
    </row>
    <row r="16">
      <c r="A16" t="inlineStr">
        <is>
          <t>FESTIVALS &amp; FARMERS MARKETS share of sales (guest-pay pop-ups)</t>
        </is>
      </c>
      <c r="B16" s="63" t="n">
        <v>0.05</v>
      </c>
      <c r="C16" t="inlineStr">
        <is>
          <t>Share of your sales that comes from festivals and farmers markets where each guest pays for their own drink, often with a minimum sales guarantee from the organizer. This is a side channel, not a delivery or marketplace channel. Set it to 0 if you only work hosted events. The organizer keeps a fee (next row).</t>
        </is>
      </c>
    </row>
    <row r="17">
      <c r="A17" t="inlineStr">
        <is>
          <t>Organizer / vendor fee on those sales (booth fees converted to %)</t>
        </is>
      </c>
      <c r="B17" s="63" t="n">
        <v>0.15</v>
      </c>
      <c r="C17" t="inlineStr">
        <is>
          <t>Fee the organizer keeps on your festival and farmers market sales (Kit estimate). If you pay a flat booth fee instead, convert it into a percentage of what you expect to sell there. Not used while the festival share is 0%.</t>
        </is>
      </c>
    </row>
    <row r="18">
      <c r="A18" t="inlineStr">
        <is>
          <t>Card processing fee</t>
        </is>
      </c>
      <c r="B18" s="63" t="n">
        <v>0.03</v>
      </c>
      <c r="C18" t="inlineStr">
        <is>
          <t>Card and ACH fees on total sales. Hosts pay their retainer and balance by card, festival guests almost always pay by card, and some companies pay by ACH or check, which lowers the cost. The example is a blended rate: a percentage plus a per-transaction fee, which weighs more on small orders.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CART STORAGE AND FIXED COSTS</t>
        </is>
      </c>
    </row>
    <row r="24">
      <c r="A24" t="inlineStr">
        <is>
          <t>Commissary, cart storage &amp; trailer parking, per month</t>
        </is>
      </c>
      <c r="B24" s="18" t="n">
        <v>700</v>
      </c>
      <c r="C24" t="inlineStr">
        <is>
          <t>Monthly cost of your commissary (a permitted shared kitchen), cart storage and trailer parking: one cell for everything you pay for the space. It covers filling potable water, dumping gray water, cold storage for the milk, dry storage and a place for the cart and the trailer. Carts typically pay $200-600 per month (cart-king.com) and shared kitchens charge roughly $15-45 per hour (The Food Corridor, 2023 Shared Kitchen Operator Survey). The deposit and the months before opening are calculated from it. Ask your health department in writing whether your county requires a commissary: many do, and some exempt self-contained units.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(generator fuel, water and ice not covered by the commissary)</t>
        </is>
      </c>
      <c r="B26" s="18" t="n">
        <v>100</v>
      </c>
      <c r="C26" t="inlineStr">
        <is>
          <t>Generator fuel, water and ice that the commissary fee does not cover. The generator only runs at outdoor events, because most venues provide power, so this is a small fixed amount. Tow vehicle fuel is not here: it has its own fixed line on the "3-Year P&amp;L" tab. It is the one cell for this cost, so you change it in one place and the rest of the workbook follows.</t>
        </is>
      </c>
    </row>
    <row r="27">
      <c r="A27" t="inlineStr">
        <is>
          <t>Insurance (per year)</t>
        </is>
      </c>
      <c r="B27" s="18" t="n">
        <v>3800</v>
      </c>
      <c r="C27" t="inlineStr">
        <is>
          <t>General liability at $1M per occurrence and $2M aggregate with unlimited additional insureds, commercial auto that covers the trailer, workers' comp for your W-2 baristas and coverage for your equipment in transit. Venues ask for a certificate of insurance (COI) naming them as additional insured. There is no liquor liability line because this plan sells no alcohol.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milk, ice, cables and parking at the venue: the unbudgeted costs of each event. It is a VARIABLE cost: it rises and falls with the number of events, so it cannot sit among the fixed costs or it would move the break-even without anyone noticing. Tow vehicle fuel is not here: it has its own fixed line on the "3-Year P&amp;L" tab.</t>
        </is>
      </c>
    </row>
    <row r="29">
      <c r="A29" s="16" t="inlineStr">
        <is>
          <t>FINANCING</t>
        </is>
      </c>
    </row>
    <row r="30">
      <c r="A30" t="inlineStr">
        <is>
          <t>Owner's equity contributed</t>
        </is>
      </c>
      <c r="B30" s="18" t="n">
        <v>30000</v>
      </c>
      <c r="C30" t="inlineStr">
        <is>
          <t>Your own money. Lenders usually expect an owner equity injection (often around 10% for SBA start-ups; many want 20-30%) on the total cash needed in this plan.</t>
        </is>
      </c>
    </row>
    <row r="31">
      <c r="A31" t="inlineStr">
        <is>
          <t>Loan requested</t>
        </is>
      </c>
      <c r="B31" s="18" t="n">
        <v>71000</v>
      </c>
      <c r="C31" t="inlineStr">
        <is>
          <t>Principal requested: bank or SBA 7(a). The example loan is above the $50,000 ceiling of the SBA Microloan, so it fits an SBA 7(a) loan or a bank loan (or a Microloan with more of your own money). If your loan is an SBA 7(a), this is the cell. It is the only loan that the amortization schedule, the P&amp;L interest and the DSCR use. The "Financing" tab checks that the sources of funds match the total cash needed on the "Startup Costs" tab (which includes working capital and the cart, portable bar, trailer and plan review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cart, a trailer and espresso equipment often prices above a storefront loan: ask two lenders for quotes, and ask about SBA-guaranteed loans, before you set it.</t>
        </is>
      </c>
    </row>
    <row r="33">
      <c r="A33" t="inlineStr">
        <is>
          <t>Loan term (years)</t>
        </is>
      </c>
      <c r="B33" s="18" t="n">
        <v>7</v>
      </c>
      <c r="C33" t="inlineStr">
        <is>
          <t>Total years, interest-only period included. A cart, a portable bar, a trailer and espresso machines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summer dip in July and August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or keep it as a reserve for your personal tax, as the Word plan does.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(coffee service, baristas and add-ons, and in some states the travel fee). Hosted events are usually taxed as catering; at festivals and markets you collect it drink by drink and may need a permit where you sell. Rates and rules vary widely by state and city: look up yours. UK: 20% VAT applies to catering for events and functions (VAT Notice 709/1).</t>
        </is>
      </c>
    </row>
    <row r="40">
      <c r="A40" t="inlineStr">
        <is>
          <t>Sales tax rate on alcohol (not used: no alcohol in this plan)</t>
        </is>
      </c>
      <c r="B40" s="63" t="n">
        <v>0.08</v>
      </c>
      <c r="C40" t="inlineStr">
        <is>
          <t>Not used: this plan sells no alcohol (row 62 is 0%). If you ever sell alcohol under a license, enter its rate here and add any state liquor taxes.</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espresso cart, portable bar, trailer and fit-outs (years)</t>
        </is>
      </c>
      <c r="B44" s="18" t="n">
        <v>7</v>
      </c>
      <c r="C44" t="inlineStr">
        <is>
          <t>The espresso cart, the portable espresso bar, the enclosed trailer with its wrap and fit-out, and the plan review: the assets that travel to the event are depreciated together. Straight-line book depreciation; tax methods such as MACRS or Section 179 are separate, so confirm with your accountant.</t>
        </is>
      </c>
    </row>
    <row r="45">
      <c r="A45" t="inlineStr">
        <is>
          <t>Useful life of the espresso machines, grinders, brewing gear, POS and generator (years)</t>
        </is>
      </c>
      <c r="B45" s="18" t="n">
        <v>5</v>
      </c>
      <c r="C45" t="inlineStr">
        <is>
          <t>Espresso machines, grinders, generator and cords, batch brewer and cold brew system, smallwares, POS and software. Loading and unloading at every event wears them faster than a fixed bar, so a short life is prudent; burrs and gaskets are replaced sooner and go in maintenance.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stations and baristas can handle</t>
        </is>
      </c>
      <c r="B51" s="18" t="n">
        <v>350</v>
      </c>
      <c r="C51" t="inlineStr">
        <is>
          <t>INFORMATION ONLY: it does not enter any calculation in this workbook. It is your estimate of the most events a year your two stations and your baristas can handle. Weekdays have room because corporate events fill them; Saturdays in the wedding season are the bottleneck. Compare it with the events per year you plan and with the optimistic scenario: if the plan goes above it, you need a third station or more baristas. Volume itself is driven by the "Events per year" cell above.</t>
        </is>
      </c>
    </row>
    <row r="52">
      <c r="A52" t="inlineStr">
        <is>
          <t>Month-1 activity as a % of steady-state activity</t>
        </is>
      </c>
      <c r="B52" s="63" t="n">
        <v>0.45</v>
      </c>
      <c r="C52" t="inlineStr">
        <is>
          <t>A new coffee catering company does not book in month one what it books in month eight: corporate clients want to try you first, and the median booking is made about 41 days ahead (Flashquotes), with weddings earlier. Events per year above is the year-1 AVERAGE: the ramp only spreads year 1's sales across the months (slower start, stronger finish) and keeps the annual total. At 100% there is no ramp. Festivals and farmers markets are an add-on channel, never a daily street route (that is the Food Truck Kit).</t>
        </is>
      </c>
    </row>
    <row r="53">
      <c r="A53" t="inlineStr">
        <is>
          <t>Months to reach steady state</t>
        </is>
      </c>
      <c r="B53" s="18" t="n">
        <v>9</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plan review and the cart inspection done takes weeks, and you test both stations and hold a corporate open house before your first booking, so you pay commissary rent before you earn anything. It belongs in startup costs, not in the P&amp;L.</t>
        </is>
      </c>
    </row>
    <row r="55">
      <c r="A55" t="inlineStr">
        <is>
          <t>Contingency on the cart, portable bar, trailer, wrap and plan review lines (%)</t>
        </is>
      </c>
      <c r="B55" s="63" t="n">
        <v>0.1</v>
      </c>
      <c r="C55" t="inlineStr">
        <is>
          <t>Calculated by formula on the espresso cart, portable bar, trailer, trailer wrap and plan review lines: if you change the cart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14</v>
      </c>
      <c r="C58" t="inlineStr">
        <is>
          <t>Average days between the event and the money in your bank. Hosts usually pay a retainer of 30-50% when they book the date (grindkit.app) and the balance 14 days before the event, while companies often pay at 15-30 days, so the example sits in between. Raise it if your clients pay later. The workbook does not model retainers: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espresso martinis go to a licensed mobile bar)</t>
        </is>
      </c>
      <c r="B62" s="63" t="n">
        <v>0</v>
      </c>
      <c r="C62" t="inlineStr">
        <is>
          <t>ZERO by default: a coffee cart sells no alcohol. Espresso martinis belong to a licensed mobile bar (see the Mobile Bar Business Plan Kit). Selling alcohol requires a liquor license (and, in some states, an event-by-event permit): check your state before adding it. If you ever add it, carry liquor liability coverage.</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COFFEE CART &amp; COFFEE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71290.0</v>
      </c>
      <c r="C6" s="67">
        <f>IFERROR(B6/$B$26,"")</f>
        <v>0.7108371505889908</v>
      </c>
      <c r="D6" s="28" t="n"/>
      <c r="E6" s="28" t="n"/>
    </row>
    <row r="7">
      <c r="A7" s="28" t="inlineStr">
        <is>
          <t>Espresso cart (NSF, hand sink, fresh &amp; gray water tanks, pump &amp; filtration, undercounter fridge)</t>
        </is>
      </c>
      <c r="B7" s="49" t="n">
        <v>13400</v>
      </c>
      <c r="C7" s="68">
        <f>IFERROR(B7/$B$26,"")</f>
        <v>0.13361225722951994</v>
      </c>
      <c r="D7" s="28" t="inlineStr">
        <is>
          <t>Espresso cart with NSF certification, handwashing sink, potable and gray water tanks (your county sets the volume), pump and filter, and an under-counter refrigerator. Prices run from a few thousand dollars for a basic new cart to well above that for a custom build (see the benchmarks table on the "Instructions" tab). Ask your county for its plan review checklist BEFORE you buy the cart.</t>
        </is>
      </c>
      <c r="E7" s="31" t="inlineStr">
        <is>
          <t>Yes</t>
        </is>
      </c>
    </row>
    <row r="8">
      <c r="A8" s="28" t="inlineStr">
        <is>
          <t>Portable espresso bar for the second station (with undercounter fridge)</t>
        </is>
      </c>
      <c r="B8" s="49" t="n">
        <v>5400</v>
      </c>
      <c r="C8" s="68">
        <f>IFERROR(B8/$B$26,"")</f>
        <v>0.053843745450702064</v>
      </c>
      <c r="D8" s="28" t="inlineStr">
        <is>
          <t>Portable espresso bar for the second station and for indoor rooms, with an under-counter refrigerator (Kit estimate). It travels in the trailer with the cart.</t>
        </is>
      </c>
      <c r="E8" s="31" t="inlineStr">
        <is>
          <t>Yes</t>
        </is>
      </c>
    </row>
    <row r="9">
      <c r="A9" s="28" t="inlineStr">
        <is>
          <t>Espresso machines: 2-group volumetric (220V) + compact 2-group</t>
        </is>
      </c>
      <c r="B9" s="49" t="n">
        <v>15700</v>
      </c>
      <c r="C9" s="68">
        <f>IFERROR(B9/$B$26,"")</f>
        <v>0.15654570436593007</v>
      </c>
      <c r="D9" s="28" t="inlineStr">
        <is>
          <t>A 2-group volumetric machine at 220V / 3,400 W (about $8,500-9,000 in store prices; NEMA 6-20 plug, 15-17 A, dedicated circuit) plus a compact 2-group machine for the second station (about $7,200, 14 A). Store prices are a Kit estimate: ask for two quotes. A room without a 220V circuit needs a generator.</t>
        </is>
      </c>
      <c r="E9" s="31" t="inlineStr">
        <is>
          <t>Yes</t>
        </is>
      </c>
    </row>
    <row r="10">
      <c r="A10" s="28" t="inlineStr">
        <is>
          <t>Espresso grinders ×4 (house + decaf at each station)</t>
        </is>
      </c>
      <c r="B10" s="49" t="n">
        <v>4800</v>
      </c>
      <c r="C10" s="68">
        <f>IFERROR(B10/$B$26,"")</f>
        <v>0.04786110706729072</v>
      </c>
      <c r="D10" s="28" t="inlineStr">
        <is>
          <t>Four espresso grinders (house blend and decaf at each station), $300-3,000 each (cart-king.com). Burrs wear out sooner than the grinder: they go in the maintenance line of the "3-Year P&amp;L" tab.</t>
        </is>
      </c>
      <c r="E10" s="31" t="inlineStr">
        <is>
          <t>Yes</t>
        </is>
      </c>
    </row>
    <row r="11">
      <c r="A11" s="28" t="inlineStr">
        <is>
          <t>Enclosed cargo trailer (6×12 ft, ramp door)</t>
        </is>
      </c>
      <c r="B11" s="49" t="n">
        <v>6500</v>
      </c>
      <c r="C11" s="68">
        <f>IFERROR(B11/$B$26,"")</f>
        <v>0.06481191582028953</v>
      </c>
      <c r="D11" s="28" t="inlineStr">
        <is>
          <t>An enclosed cargo trailer, 6×12 ft with a ramp door, that carries the cart, the portable bar and the gear. Your own vehicle tows it ($0 in the example). If you do not have a tow vehicle, a used one runs about $18,000 and is not in the budget.</t>
        </is>
      </c>
      <c r="E11" s="31" t="inlineStr">
        <is>
          <t>Yes</t>
        </is>
      </c>
    </row>
    <row r="12">
      <c r="A12" s="28" t="inlineStr">
        <is>
          <t>Trailer wrap, hitch, tie-downs &amp; cart loading ramps</t>
        </is>
      </c>
      <c r="B12" s="49" t="n">
        <v>1500</v>
      </c>
      <c r="C12" s="68">
        <f>IFERROR(B12/$B$26,"")</f>
        <v>0.014956595958528352</v>
      </c>
      <c r="D12" s="28" t="inlineStr">
        <is>
          <t>Trailer wrap, hitch, tie-downs on E-track and ramps to roll the cart in and out. Check your vehicle's towing capacity and that your insurance covers the wrap and the hitch.</t>
        </is>
      </c>
      <c r="E12" s="31" t="inlineStr">
        <is>
          <t>Yes</t>
        </is>
      </c>
    </row>
    <row r="13">
      <c r="A13" s="28" t="inlineStr">
        <is>
          <t>LLC formation, contracts and legal</t>
        </is>
      </c>
      <c r="B13" s="49" t="n">
        <v>1500</v>
      </c>
      <c r="C13" s="68">
        <f>IFERROR(B13/$B$26,"")</f>
        <v>0.014956595958528352</v>
      </c>
      <c r="D13" s="28" t="inlineStr">
        <is>
          <t>State filing fees for the LLC (Secretary of State) plus an attorney's review of your standard contract (retainer, cancellation tiers, final guest count, service hours, outlet or generator, rain plan)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(health permit, food handler cards, CFPM, fire / generator)</t>
        </is>
      </c>
      <c r="B14" s="49" t="n">
        <v>1400</v>
      </c>
      <c r="C14" s="68">
        <f>IFERROR(B14/$B$26,"")</f>
        <v>0.013959489561293129</v>
      </c>
      <c r="D14" s="28" t="inlineStr">
        <is>
          <t>Varies a lot by city, county and state: get the amounts for yours before you close the budget. Expect the health permit for the mobile food unit, food handler cards, a Certified Food Protection Manager (CFPM) certificate, the business license, the sales tax permit and, where required, a fire marshal permit for the generator.</t>
        </is>
      </c>
      <c r="E14" s="31" t="inlineStr">
        <is>
          <t>No</t>
        </is>
      </c>
    </row>
    <row r="15">
      <c r="A15" s="28" t="inlineStr">
        <is>
          <t>Mobile food unit plan review &amp; cart inspection</t>
        </is>
      </c>
      <c r="B15" s="49" t="n">
        <v>1100</v>
      </c>
      <c r="C15" s="68">
        <f>IFERROR(B15/$B$26,"")</f>
        <v>0.010968170369587457</v>
      </c>
      <c r="D15" s="28" t="inlineStr">
        <is>
          <t>Plan review of the mobile food unit and inspection of the cart. As an example, Snohomish County, WA charges $1,100 for the plan review (snohd.org); add any electrical approval your state asks for. Rules and fees vary by county, so ask the health department for its fee schedule. If nobody charges for it, enter 0.</t>
        </is>
      </c>
      <c r="E15" s="31" t="inlineStr">
        <is>
          <t>Yes</t>
        </is>
      </c>
    </row>
    <row r="16">
      <c r="A16" s="28" t="inlineStr">
        <is>
          <t>POS, card readers &amp; booking software</t>
        </is>
      </c>
      <c r="B16" s="49" t="n">
        <v>1000</v>
      </c>
      <c r="C16" s="68">
        <f>IFERROR(B16/$B$26,"")</f>
        <v>0.009971063972352234</v>
      </c>
      <c r="D16" s="28" t="inlineStr">
        <is>
          <t>POS with card readers (also for festivals), plus booking software for quotes, proposals and e-signatures.</t>
        </is>
      </c>
      <c r="E16" s="31" t="inlineStr">
        <is>
          <t>Yes</t>
        </is>
      </c>
    </row>
    <row r="17">
      <c r="A17" s="28" t="inlineStr">
        <is>
          <t>Batch brewer, airpots, cold brew system, smallwares &amp; commissary storage racks</t>
        </is>
      </c>
      <c r="B17" s="49" t="n">
        <v>3300</v>
      </c>
      <c r="C17" s="68">
        <f>IFERROR(B17/$B$26,"")</f>
        <v>0.03290451110876237</v>
      </c>
      <c r="D17" s="28" t="inlineStr">
        <is>
          <t>Batch brewer, airpots, a cold brew system, milk pitchers, scales, tampers, knock boxes, sanitizer buckets and storage racks for the commissary: the tools that get depreciated. Daily disposables are NOT depreciated: they go in the compostable cups line of the P&amp;L, at the % of sales set in the "0. Assumptions" tab.</t>
        </is>
      </c>
      <c r="E17" s="31" t="inlineStr">
        <is>
          <t>Yes</t>
        </is>
      </c>
    </row>
    <row r="18">
      <c r="A18" s="28" t="inlineStr">
        <is>
          <t>Opening inventory (beans, milks, syrups, compostable cups)</t>
        </is>
      </c>
      <c r="B18" s="49" t="n">
        <v>1500</v>
      </c>
      <c r="C18" s="68">
        <f>IFERROR(B18/$B$26,"")</f>
        <v>0.014956595958528352</v>
      </c>
      <c r="D18" s="28" t="inlineStr">
        <is>
          <t>Coffee for your tastings and first events, milks, syrups and compostable cups. With 0% recoverable input tax (the US default), any sales tax you pay on this purchase is treated as a cost.</t>
        </is>
      </c>
      <c r="E18" s="31" t="inlineStr">
        <is>
          <t>Yes</t>
        </is>
      </c>
    </row>
    <row r="19">
      <c r="A19" s="28" t="inlineStr">
        <is>
          <t>Website, photos, tastings &amp; launch (corporate open house, bridal show)</t>
        </is>
      </c>
      <c r="B19" s="49" t="n">
        <v>5000</v>
      </c>
      <c r="C19" s="68">
        <f>IFERROR(B19/$B$26,"")</f>
        <v>0.04985531986176117</v>
      </c>
      <c r="D19" s="28" t="inlineStr">
        <is>
          <t>Website, photos from real events, tastings, a corporate open house and your first bridal show, plus listings on The Knot, Zola and GigSalad.</t>
        </is>
      </c>
      <c r="E19" s="31" t="inlineStr">
        <is>
          <t>Yes</t>
        </is>
      </c>
    </row>
    <row r="20">
      <c r="A20" s="28" t="inlineStr">
        <is>
          <t>Power: inverter generator (5,500 W), cords &amp; power distribution</t>
        </is>
      </c>
      <c r="B20" s="49" t="n">
        <v>5000</v>
      </c>
      <c r="C20" s="68">
        <f>IFERROR(B20/$B$26,"")</f>
        <v>0.04985531986176117</v>
      </c>
      <c r="D20" s="28" t="inlineStr">
        <is>
          <t>A 5,500 W continuous inverter generator (quiet, for rooms without an outlet and for outdoor events), cords of the right gauge and a power strip with GFCI. Your fire marshal may ask for a minimum distance and a fire extinguisher: ask before you buy.</t>
        </is>
      </c>
      <c r="E20" s="31" t="inlineStr">
        <is>
          <t>Yes</t>
        </is>
      </c>
    </row>
    <row r="21">
      <c r="A21" s="28" t="inlineStr">
        <is>
          <t>Commissary deposit</t>
        </is>
      </c>
      <c r="B21" s="40">
        <f>IFERROR(IF('0. Assumptions'!$B$24="","",'0. Assumptions'!$B$24*'0. Assumptions'!$B$25),"")</f>
        <v>700.0</v>
      </c>
      <c r="C21" s="68">
        <f>IFERROR(B21/$B$26,"")</f>
        <v>0.006979744780646564</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700.0</v>
      </c>
      <c r="C22" s="68">
        <f>IFERROR(B22/$B$26,"")</f>
        <v>0.006979744780646564</v>
      </c>
      <c r="D22" s="28" t="str">
        <f>IFERROR("Rent "&amp;IF('0. Assumptions'!$B$54=1,"for the month","for the "&amp;TEXT('0. Assumptions'!$B$54,"0")&amp;" months")&amp;" of plan review, test events and pre-sales before opening. It does not overlap the P&amp;L, which starts on opening day: its twelve months are twelve trading months","")</f>
        <v>Rent for the month of plan review, test events and pre-sales before opening. It does not overlap the P&amp;L, which starts on opening day: its twelve months are twelve trading months</v>
      </c>
      <c r="E22" s="28" t="inlineStr">
        <is>
          <t>Yes</t>
        </is>
      </c>
    </row>
    <row r="23">
      <c r="A23" s="28" t="inlineStr">
        <is>
          <t>Cart, bar, trailer and plan review contingency</t>
        </is>
      </c>
      <c r="B23" s="40">
        <f>IFERROR(IF(COUNT(B7,B8,B11,B12,B15)=0,"",ROUND((B7+B8+B11+B12+B15)*'0. Assumptions'!$B$55,0)),"")</f>
        <v>2790.0</v>
      </c>
      <c r="C23" s="68">
        <f>IFERROR(B23/$B$26,"")</f>
        <v>0.027819268482862734</v>
      </c>
      <c r="D23" s="28" t="str">
        <f>IFERROR("At "&amp;TEXT('0. Assumptions'!$B$55,"0%")&amp;" of the BUILD-OUT items of this block (espresso cart, portable espresso bar, enclosed cargo trailer, trailer wrap and hitch, and the mobile food unit plan review), not of the whole block: the other items are left out. No lender funds a "&amp;"build-out without a cushion: the percentage is in ""0. Assumptions""","")</f>
        <v>At 10% of the BUILD-OUT items of this block (espresso cart, portable espresso bar, enclosed cargo trailer, trailer wrap and hitch, and the mobile food unit plan review), not of the whole block: the other items are left out. No lender funds a build-out without a cushion: the percentage is in "0. Assumptions"</v>
      </c>
      <c r="E23" s="28" t="inlineStr">
        <is>
          <t>Yes</t>
        </is>
      </c>
    </row>
    <row r="24">
      <c r="A24" s="16" t="inlineStr">
        <is>
          <t>WORKING CAPITAL</t>
        </is>
      </c>
      <c r="B24" s="52">
        <f>IFERROR(IF(B25="","",B25),"")</f>
        <v>29000.2</v>
      </c>
      <c r="C24" s="69">
        <f>IFERROR(B24/$B$26,"")</f>
        <v>0.2891628494110093</v>
      </c>
    </row>
    <row r="25">
      <c r="A25" s="35" t="inlineStr">
        <is>
          <t>Operating cushion until break-even</t>
        </is>
      </c>
      <c r="B25" s="42">
        <f>IFERROR(IF('0. Assumptions'!$B$35*('3-Year P&amp;L'!$B$38-'3-Year P&amp;L'!$B$36)=0,"",'0. Assumptions'!$B$35*('3-Year P&amp;L'!$B$38-'3-Year P&amp;L'!$B$36)/12),"")</f>
        <v>29000.2</v>
      </c>
      <c r="C25" s="65">
        <f>IFERROR(B25/$B$26,"")</f>
        <v>0.2891628494110093</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100290.2</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(29% of the total). To compare the breakdown with another plan, use the CAPEX row below.</v>
      </c>
    </row>
    <row r="27">
      <c r="A27" s="16" t="inlineStr">
        <is>
          <t>CAPEX (startup costs excluding working capital)</t>
        </is>
      </c>
      <c r="B27" s="52">
        <f>IFERROR(B26-B24,"")</f>
        <v>71290.0</v>
      </c>
      <c r="D27" s="16" t="inlineStr">
        <is>
          <t>What you buy: the cart and the portable bar, the espresso machines and grinders, the trailer, power,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100290.2</v>
      </c>
      <c r="D29" s="16" t="inlineStr">
        <is>
          <t>This is the figure the Financing tab has to cover</t>
        </is>
      </c>
    </row>
    <row r="30">
      <c r="A30" s="16" t="inlineStr">
        <is>
          <t>DEPRECIATION BASES (not added to startup costs)</t>
        </is>
      </c>
    </row>
    <row r="31">
      <c r="A31" s="35" t="inlineStr">
        <is>
          <t>Espresso cart, portable bar, trailer, wrap and plan review (depreciated over the cart life)</t>
        </is>
      </c>
      <c r="B31" s="42">
        <f>IFERROR(IF(B7="","",B7+B8+B11+B12+B15+B23),"")</f>
        <v>30690.0</v>
      </c>
      <c r="D31" t="str">
        <f>IFERROR("Depreciated over "&amp;TEXT('0. Assumptions'!$B$44,"0")&amp;" years","")</f>
        <v>Depreciated over 7 years</v>
      </c>
    </row>
    <row r="32">
      <c r="A32" s="35" t="inlineStr">
        <is>
          <t>Machinery, furniture and equipment</t>
        </is>
      </c>
      <c r="B32" s="42">
        <f>IFERROR(IF(B9="","",B9+B10+B16+B17+B20),"")</f>
        <v>29800.0</v>
      </c>
      <c r="D32" t="str">
        <f>IFERROR("Depreciated over "&amp;TEXT('0. Assumptions'!$B$45,"0")&amp;" years","")</f>
        <v>Depreciated over 5 years</v>
      </c>
    </row>
    <row r="33">
      <c r="A33" s="16" t="inlineStr">
        <is>
          <t>Annual depreciation of fixed assets</t>
        </is>
      </c>
      <c r="B33" s="52">
        <f>IFERROR(B31/MAX(1,'0. Assumptions'!$B$44)+B32/MAX(1,'0. Assumptions'!$B$45),"")</f>
        <v>10344.285714285714</v>
      </c>
      <c r="D33" s="37" t="str">
        <f>IFERROR("Not depreciated, because they are not fixed assets: LLC formation and legal, first-year permits and certifications, opening inventory, website, photos and launch, the commissary deposit, pre-opening commissary rent and the working capital "&amp;"reserve.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39800 of the 100290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coffee catering company with two espresso stations</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170.0</v>
      </c>
      <c r="C6" s="40">
        <f>IFERROR(B6*(1+'0. Assumptions'!$B$7),"")</f>
        <v>187.00000000000003</v>
      </c>
      <c r="D6" s="40">
        <f>IFERROR(C6*(1+'0. Assumptions'!$B$8),"")</f>
        <v>198.22000000000003</v>
      </c>
      <c r="E6" s="28" t="n"/>
      <c r="F6" s="28" t="inlineStr">
        <is>
          <t>Growth for years 2 and 3 is set in "0. Assumptions"</t>
        </is>
      </c>
      <c r="G6" s="28" t="n"/>
      <c r="H6" s="28" t="n"/>
    </row>
    <row r="7">
      <c r="A7" s="28" t="inlineStr">
        <is>
          <t>Average price per guest (excl. sales tax)</t>
        </is>
      </c>
      <c r="B7" s="61">
        <f>IFERROR(IF('0. Assumptions'!$B$5="","",'0. Assumptions'!$B$5),"")</f>
        <v>12.6</v>
      </c>
      <c r="C7" s="61">
        <f>IFERROR(IF(B7="","",B7),"")</f>
        <v>12.6</v>
      </c>
      <c r="D7" s="61">
        <f>IFERROR(IF(C7="","",C7),"")</f>
        <v>12.6</v>
      </c>
      <c r="E7" s="28" t="n"/>
      <c r="F7" s="28" t="inlineStr">
        <is>
          <t>Held constant at year-1 prices: a price increase is a separate decision</t>
        </is>
      </c>
      <c r="G7" s="28" t="n"/>
      <c r="H7" s="28" t="n"/>
    </row>
    <row r="8">
      <c r="A8" s="28" t="inlineStr">
        <is>
          <t>Average guests per event</t>
        </is>
      </c>
      <c r="B8" s="40">
        <f>IFERROR(IF('0. Assumptions'!$B$6="","",'0. Assumptions'!$B$6),"")</f>
        <v>95.0</v>
      </c>
      <c r="C8" s="40">
        <f>IFERROR(IF(B8="","",B8),"")</f>
        <v>95.0</v>
      </c>
      <c r="D8" s="40">
        <f>IFERROR(IF(C8="","",C8),"")</f>
        <v>95.0</v>
      </c>
      <c r="E8" s="28" t="n"/>
      <c r="F8" s="28" t="n"/>
      <c r="G8" s="28" t="n"/>
      <c r="H8" s="28" t="n"/>
    </row>
    <row r="9">
      <c r="A9" s="25" t="inlineStr">
        <is>
          <t>TOTAL REVENUE (excl. sales tax)</t>
        </is>
      </c>
      <c r="B9" s="66">
        <f>IFERROR(IF(B6*B7*B8=0,"",B6*B7*B8),"")</f>
        <v>203490.0</v>
      </c>
      <c r="C9" s="66">
        <f>IFERROR(IF(C6*C7*C8=0,"",C6*C7*C8),"")</f>
        <v>223839.00000000003</v>
      </c>
      <c r="D9" s="66">
        <f>IFERROR(IF(D6*D7*D8=0,"",D6*D7*D8),"")</f>
        <v>237269.34000000003</v>
      </c>
      <c r="E9" s="67">
        <f>IFERROR(IF(B9="","",1),"")</f>
        <v>1.0</v>
      </c>
      <c r="F9" s="28" t="n"/>
      <c r="G9" s="28" t="n"/>
      <c r="H9" s="28" t="n"/>
    </row>
    <row r="10">
      <c r="A10" s="28" t="inlineStr">
        <is>
          <t>Coffee bar package sales (baristas, espresso drinks, batch &amp; cold brew, milks, syrups, cups)</t>
        </is>
      </c>
      <c r="B10" s="40">
        <f>IFERROR(IF(B9="","",B9*$E$10),"")</f>
        <v>172966.5</v>
      </c>
      <c r="C10" s="40">
        <f>IFERROR(IF(C9="","",C9*$E$10),"")</f>
        <v>190263.15000000002</v>
      </c>
      <c r="D10" s="40">
        <f>IFERROR(IF(D9="","",D9*$E$10),"")</f>
        <v>201678.939</v>
      </c>
      <c r="E10" s="68">
        <f>IFERROR(IF('0. Assumptions'!$B$11="","",'0. Assumptions'!$B$11),"")</f>
        <v>0.85</v>
      </c>
      <c r="F10" s="28" t="inlineStr">
        <is>
          <t>Sales of coffee bar packages: the espresso bar with baristas, batch brew and cold brew, milks, syrups and compostable cups, across corporate events, weddings, private parties and festival days. All of it carries cost of goods sold at the package rate.</t>
        </is>
      </c>
      <c r="G10" s="68">
        <f>IFERROR(IF(B9="","",'0. Assumptions'!$B$39),"")</f>
        <v>0.08</v>
      </c>
      <c r="H10" s="28" t="n"/>
    </row>
    <row r="11">
      <c r="A11" s="28" t="inlineStr">
        <is>
          <t>Add-on sales (extra hours, branded cups &amp; latte printing, pastries, travel fees)</t>
        </is>
      </c>
      <c r="B11" s="40">
        <f>IFERROR(IF(B9="","",B9*$E$11),"")</f>
        <v>30523.500000000004</v>
      </c>
      <c r="C11" s="40">
        <f>IFERROR(IF(C9="","",C9*$E$11),"")</f>
        <v>33575.850000000006</v>
      </c>
      <c r="D11" s="40">
        <f>IFERROR(IF(D9="","",D9*$E$11),"")</f>
        <v>35590.40100000001</v>
      </c>
      <c r="E11" s="68">
        <f>IFERROR(IF('0. Assumptions'!$B$12="","",'0. Assumptions'!$B$12),"")</f>
        <v>0.15000000000000002</v>
      </c>
      <c r="F11" s="28" t="inlineStr">
        <is>
          <t>Sales of add-ons: extra hours, branded cups and latte printing, pastries from a licensed bakery and travel fees.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coffee bar packages (beans, milks, syrups, cold brew)</t>
        </is>
      </c>
      <c r="B13" s="40">
        <f>IFERROR(IF(B9="","",B9*'0. Assumptions'!$B$11*'0. Assumptions'!$B$13),"")</f>
        <v>20755.98</v>
      </c>
      <c r="C13" s="40">
        <f>IFERROR(IF(C9="","",C9*'0. Assumptions'!$B$11*'0. Assumptions'!$B$13),"")</f>
        <v>22831.578</v>
      </c>
      <c r="D13" s="40">
        <f>IFERROR(IF(D9="","",D9*'0. Assumptions'!$B$11*'0. Assumptions'!$B$13),"")</f>
        <v>24201.47268</v>
      </c>
      <c r="E13" s="68">
        <f>IFERROR(B13/$B$9,"")</f>
        <v>0.102</v>
      </c>
      <c r="F13" s="28" t="str">
        <f>IFERROR("At "&amp;TEXT('0. Assumptions'!$B$13,"0%")&amp;" of COFFEE BAR PACKAGE sales (beans, milks, syrups and cold brew, with waste), not of total sales: add-ons have their own line","")</f>
        <v>At 12% of COFFEE BAR PACKAGE sales (beans, milks, syrups and cold brew, with waste), not of total sales: add-ons have their own line</v>
      </c>
      <c r="G13" s="68">
        <f>IFERROR(IF(B9="","",'0. Assumptions'!$B$41),"")</f>
        <v>0.0</v>
      </c>
      <c r="H13" s="28" t="n"/>
    </row>
    <row r="14">
      <c r="A14" s="28" t="inlineStr">
        <is>
          <t>Cost of goods — add-ons</t>
        </is>
      </c>
      <c r="B14" s="40">
        <f>IFERROR(IF(B9="","",B9*'0. Assumptions'!$B$12*'0. Assumptions'!$B$14),"")</f>
        <v>7630.875000000001</v>
      </c>
      <c r="C14" s="40">
        <f>IFERROR(IF(C9="","",C9*'0. Assumptions'!$B$12*'0. Assumptions'!$B$14),"")</f>
        <v>8393.962500000001</v>
      </c>
      <c r="D14" s="40">
        <f>IFERROR(IF(D9="","",D9*'0. Assumptions'!$B$12*'0. Assumptions'!$B$14),"")</f>
        <v>8897.600250000003</v>
      </c>
      <c r="E14" s="68">
        <f>IFERROR(B14/$B$9,"")</f>
        <v>0.037500000000000006</v>
      </c>
      <c r="F14" s="28" t="str">
        <f>IFERROR("At "&amp;TEXT('0. Assumptions'!$B$14,"0%")&amp;" of ADD-ON sales","")</f>
        <v>At 25% of ADD-ON sales</v>
      </c>
      <c r="G14" s="68">
        <f>IFERROR(IF(B9="","",'0. Assumptions'!$B$41),"")</f>
        <v>0.0</v>
      </c>
      <c r="H14" s="28" t="n"/>
    </row>
    <row r="15">
      <c r="A15" s="28" t="inlineStr">
        <is>
          <t>Compostable cups, lids, sleeves &amp; napkins</t>
        </is>
      </c>
      <c r="B15" s="40">
        <f>IFERROR(IF(B9="","",B9*'0. Assumptions'!$B$15),"")</f>
        <v>8139.6</v>
      </c>
      <c r="C15" s="40">
        <f>IFERROR(IF(C9="","",C9*'0. Assumptions'!$B$15),"")</f>
        <v>8953.560000000001</v>
      </c>
      <c r="D15" s="40">
        <f>IFERROR(IF(D9="","",D9*'0. Assumptions'!$B$15),"")</f>
        <v>9490.7736</v>
      </c>
      <c r="E15" s="68">
        <f>IFERROR(B15/$B$9,"")</f>
        <v>0.04</v>
      </c>
      <c r="F15" s="28" t="n"/>
      <c r="G15" s="68">
        <f>IFERROR(IF(B9="","",'0. Assumptions'!$B$41),"")</f>
        <v>0.0</v>
      </c>
      <c r="H15" s="28" t="n"/>
    </row>
    <row r="16">
      <c r="A16" s="28" t="inlineStr">
        <is>
          <t>Festival &amp; market organizer fees</t>
        </is>
      </c>
      <c r="B16" s="40">
        <f>IFERROR(IF(B9="","",B9*'0. Assumptions'!$B$16*'0. Assumptions'!$B$17),"")</f>
        <v>1526.175</v>
      </c>
      <c r="C16" s="40">
        <f>IFERROR(IF(C9="","",C9*'0. Assumptions'!$B$16*'0. Assumptions'!$B$17),"")</f>
        <v>1678.7925000000002</v>
      </c>
      <c r="D16" s="40">
        <f>IFERROR(IF(D9="","",D9*'0. Assumptions'!$B$16*'0. Assumptions'!$B$17),"")</f>
        <v>1779.5200500000003</v>
      </c>
      <c r="E16" s="68">
        <f>IFERROR(B16/$B$9,"")</f>
        <v>0.0075</v>
      </c>
      <c r="F16" s="28" t="inlineStr">
        <is>
          <t>Applied to the sales of THAT CHANNEL. With 0% festival and farmers market sales in "0. Assumptions", this line is zero</t>
        </is>
      </c>
      <c r="G16" s="68">
        <f>IFERROR(IF(B9="","",'0. Assumptions'!$B$41),"")</f>
        <v>0.0</v>
      </c>
      <c r="H16" s="28" t="n"/>
    </row>
    <row r="17">
      <c r="A17" s="28" t="inlineStr">
        <is>
          <t>Card processing fees</t>
        </is>
      </c>
      <c r="B17" s="40">
        <f>IFERROR(IF(B9="","",B9*'0. Assumptions'!$B$18),"")</f>
        <v>6104.7</v>
      </c>
      <c r="C17" s="40">
        <f>IFERROR(IF(C9="","",C9*'0. Assumptions'!$B$18),"")</f>
        <v>6715.170000000001</v>
      </c>
      <c r="D17" s="40">
        <f>IFERROR(IF(D9="","",D9*'0. Assumptions'!$B$18),"")</f>
        <v>7118.0802</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6104.7</v>
      </c>
      <c r="C18" s="40">
        <f>IFERROR(IF(C9="","",C9*'0. Assumptions'!$B$28),"")</f>
        <v>6715.170000000001</v>
      </c>
      <c r="D18" s="40">
        <f>IFERROR(IF(D9="","",D9*'0. Assumptions'!$B$28),"")</f>
        <v>7118.0802</v>
      </c>
      <c r="E18" s="68">
        <f>IFERROR(B18/$B$9,"")</f>
        <v>0.03</v>
      </c>
      <c r="F18" s="28" t="str">
        <f>IFERROR("At "&amp;TEXT('0. Assumptions'!$B$28,"0%")&amp;" of sales: a cushion for unbudgeted event costs (extra milk, ice, cables, venue parking). It is a VARIABLE cost: it moves with the number of events, so it cannot sit in fixed costs (tow vehicle and trailer fuel, maintenance and "&amp;"registration are in row 27; generator fuel is in utilities)","")</f>
        <v>At 3% of sales: a cushion for unbudgeted event costs (extra milk, ice, cables, venue parking). It is a VARIABLE cost: it moves with the number of events, so it cannot sit in fixed costs (tow vehicle and trailer fuel, maintenance and registration are in row 27; generator fuel is in utilities)</v>
      </c>
      <c r="G18" s="68">
        <f>IFERROR(IF(B9="","",'0. Assumptions'!$B$41),"")</f>
        <v>0.0</v>
      </c>
      <c r="H18" s="28" t="n"/>
    </row>
    <row r="19">
      <c r="A19" s="25" t="inlineStr">
        <is>
          <t>TOTAL VARIABLE COSTS</t>
        </is>
      </c>
      <c r="B19" s="66">
        <f>IFERROR(IF(B9="","",SUM(B13:B18)),"")</f>
        <v>50262.03</v>
      </c>
      <c r="C19" s="66">
        <f>IFERROR(IF(C9="","",SUM(C13:C18)),"")</f>
        <v>55288.23300000001</v>
      </c>
      <c r="D19" s="66">
        <f>IFERROR(IF(D9="","",SUM(D13:D18)),"")</f>
        <v>58605.52698</v>
      </c>
      <c r="E19" s="67">
        <f>IFERROR(B19/$B$9,"")</f>
        <v>0.247</v>
      </c>
      <c r="F19" s="28" t="n"/>
      <c r="G19" s="28" t="n"/>
      <c r="H19" s="28" t="n"/>
    </row>
    <row r="20">
      <c r="A20" s="25" t="inlineStr">
        <is>
          <t>GROSS MARGIN</t>
        </is>
      </c>
      <c r="B20" s="66">
        <f>IFERROR(IF(B9="","",B9-B19),"")</f>
        <v>153227.97</v>
      </c>
      <c r="C20" s="66">
        <f>IFERROR(IF(C9="","",C9-C19),"")</f>
        <v>168550.76700000002</v>
      </c>
      <c r="D20" s="66">
        <f>IFERROR(IF(D9="","",D9-D19),"")</f>
        <v>178663.81302000003</v>
      </c>
      <c r="E20" s="67">
        <f>IFERROR(B20/$B$9,"")</f>
        <v>0.753</v>
      </c>
      <c r="F20" s="28" t="n"/>
      <c r="G20" s="28" t="n"/>
      <c r="H20" s="28" t="n"/>
    </row>
    <row r="21">
      <c r="A21" s="25" t="inlineStr">
        <is>
          <t>FIXED COSTS</t>
        </is>
      </c>
      <c r="B21" s="28" t="n"/>
      <c r="C21" s="28" t="n"/>
      <c r="D21" s="28" t="n"/>
      <c r="E21" s="28" t="n"/>
      <c r="F21" s="28" t="n"/>
      <c r="G21" s="28" t="n"/>
      <c r="H21" s="28" t="n"/>
    </row>
    <row r="22">
      <c r="A22" s="28" t="inlineStr">
        <is>
          <t>Commissary, cart storage &amp; trailer parking</t>
        </is>
      </c>
      <c r="B22" s="40">
        <f>IFERROR(IF(B9="","",'0. Assumptions'!$B$24*12),"")</f>
        <v>8400.0</v>
      </c>
      <c r="C22" s="40">
        <f>IFERROR(IF(C9="","",B22*(1+'0. Assumptions'!$B$48)),"")</f>
        <v>8400.0</v>
      </c>
      <c r="D22" s="40">
        <f>IFERROR(IF(D9="","",C22*(1+'0. Assumptions'!$B$48)),"")</f>
        <v>8400.0</v>
      </c>
      <c r="E22" s="68">
        <f>IFERROR(B22/$B$9,"")</f>
        <v>0.0412796697626419</v>
      </c>
      <c r="F22" s="28" t="inlineStr">
        <is>
          <t>The monthly amount is typed in "0. Assumptions"; here it is multiplied by twelve. It covers your commissary hours, cart storage and trailer parking,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74500.8</v>
      </c>
      <c r="C23" s="40">
        <f>IFERROR(IF(C9="","",Staffing!$B$13),"")</f>
        <v>77500.8</v>
      </c>
      <c r="D23" s="40">
        <f>IFERROR(IF(D9="","",Staffing!$B$14),"")</f>
        <v>80500.8</v>
      </c>
      <c r="E23" s="68">
        <f>IFERROR(B23/$B$9,"")</f>
        <v>0.3661152882205514</v>
      </c>
      <c r="F23" s="28" t="inlineStr">
        <is>
          <t>Comes from the Staffing tab: it is the SAME number, not a separate estimate. Years 2 and 3 add the new hires declared on that tab, not a percentage of volume</t>
        </is>
      </c>
      <c r="G23" s="68" t="n">
        <v>0</v>
      </c>
      <c r="H23" s="28" t="n"/>
    </row>
    <row r="24">
      <c r="A24" s="28" t="inlineStr">
        <is>
          <t>Utilities (generator fuel, water and ice not covered by the commissary)</t>
        </is>
      </c>
      <c r="B24" s="40">
        <f>IFERROR(IF(B9="","",'0. Assumptions'!$B$26*12),"")</f>
        <v>1200.0</v>
      </c>
      <c r="C24" s="40">
        <f>IFERROR(IF(C9="","",B24*(1+'0. Assumptions'!$B$48)),"")</f>
        <v>1200.0</v>
      </c>
      <c r="D24" s="40">
        <f>IFERROR(IF(D9="","",C24*(1+'0. Assumptions'!$B$48)),"")</f>
        <v>1200.0</v>
      </c>
      <c r="E24" s="68">
        <f>IFERROR(B24/$B$9,"")</f>
        <v>0.005897095680377414</v>
      </c>
      <c r="F24" s="28" t="inlineStr">
        <is>
          <t>Generator fuel, water and ice that the commissary fee does not cover. Tow vehicle fuel is not here: it has its own fixed line on this tab.</t>
        </is>
      </c>
      <c r="G24" s="68">
        <f>IFERROR(IF(B9="","",'0. Assumptions'!$B$41),"")</f>
        <v>0.0</v>
      </c>
      <c r="H24" s="28" t="n"/>
    </row>
    <row r="25">
      <c r="A25" s="28" t="inlineStr">
        <is>
          <t>Insurance (general liability, commercial auto with the trailer, workers' comp, equipment)</t>
        </is>
      </c>
      <c r="B25" s="40">
        <f>IFERROR(IF(B9="","",'0. Assumptions'!$B$27),"")</f>
        <v>3800.0</v>
      </c>
      <c r="C25" s="40">
        <f>IFERROR(IF(C9="","",B25*(1+'0. Assumptions'!$B$48)),"")</f>
        <v>3800.0</v>
      </c>
      <c r="D25" s="40">
        <f>IFERROR(IF(D9="","",C25*(1+'0. Assumptions'!$B$48)),"")</f>
        <v>3800.0</v>
      </c>
      <c r="E25" s="68">
        <f>IFERROR(B25/$B$9,"")</f>
        <v>0.018674136321195144</v>
      </c>
      <c r="F25" s="28" t="inlineStr">
        <is>
          <t>Insurance premiums are not subject to sales tax: there is no recoverable tax on them</t>
        </is>
      </c>
      <c r="G25" s="68" t="n">
        <v>0</v>
      </c>
      <c r="H25" s="28" t="n"/>
    </row>
    <row r="26">
      <c r="A26" s="28" t="inlineStr">
        <is>
          <t>Annual permits and licenses (health permit renewal, temporary event and fire / generator permits)</t>
        </is>
      </c>
      <c r="B26" s="49" t="n">
        <v>1500</v>
      </c>
      <c r="C26" s="40">
        <f>IFERROR(IF(C9="","",B26*(1+'0. Assumptions'!$B$48)),"")</f>
        <v>1500.0</v>
      </c>
      <c r="D26" s="40">
        <f>IFERROR(IF(D9="","",C26*(1+'0. Assumptions'!$B$48)),"")</f>
        <v>1500.0</v>
      </c>
      <c r="E26" s="68">
        <f>IFERROR(B26/$B$9,"")</f>
        <v>0.007371369600471768</v>
      </c>
      <c r="F26" s="28" t="n"/>
      <c r="G26" s="68">
        <f>IFERROR(IF(B9="","",'0. Assumptions'!$B$41),"")</f>
        <v>0.0</v>
      </c>
      <c r="H26" s="28" t="n"/>
    </row>
    <row r="27">
      <c r="A27" s="28" t="inlineStr">
        <is>
          <t>Tow vehicle &amp; trailer fuel, maintenance and registration</t>
        </is>
      </c>
      <c r="B27" s="49" t="n">
        <v>3500</v>
      </c>
      <c r="C27" s="40">
        <f>IFERROR(IF(C9="","",B27*(1+'0. Assumptions'!$B$48)),"")</f>
        <v>3500.0</v>
      </c>
      <c r="D27" s="40">
        <f>IFERROR(IF(D9="","",C27*(1+'0. Assumptions'!$B$48)),"")</f>
        <v>3500.0</v>
      </c>
      <c r="E27" s="68">
        <f>IFERROR(B27/$B$9,"")</f>
        <v>0.01719986240110079</v>
      </c>
      <c r="F27" s="28" t="n"/>
      <c r="G27" s="68">
        <f>IFERROR(IF(B9="","",'0. Assumptions'!$B$41),"")</f>
        <v>0.0</v>
      </c>
      <c r="H27" s="28" t="n"/>
    </row>
    <row r="28">
      <c r="A28" s="28" t="inlineStr">
        <is>
          <t>Marketing and advertising</t>
        </is>
      </c>
      <c r="B28" s="49" t="n">
        <v>8000</v>
      </c>
      <c r="C28" s="40">
        <f>IFERROR(IF(C9="","",B28*(1+'0. Assumptions'!$B$48)),"")</f>
        <v>8000.0</v>
      </c>
      <c r="D28" s="40">
        <f>IFERROR(IF(D9="","",C28*(1+'0. Assumptions'!$B$48)),"")</f>
        <v>8000.0</v>
      </c>
      <c r="E28" s="68">
        <f>IFERROR(B28/$B$9,"")</f>
        <v>0.0393139712025161</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0.011794191360754828</v>
      </c>
      <c r="F29" s="28" t="n"/>
      <c r="G29" s="68">
        <f>IFERROR(IF(B9="","",'0. Assumptions'!$B$41),"")</f>
        <v>0.0</v>
      </c>
      <c r="H29" s="28" t="n"/>
    </row>
    <row r="30">
      <c r="A30" s="28" t="inlineStr">
        <is>
          <t>Software (quotes / booking / CRM, POS, e-signature, website)</t>
        </is>
      </c>
      <c r="B30" s="49" t="n">
        <v>1500</v>
      </c>
      <c r="C30" s="40">
        <f>IFERROR(IF(C9="","",B30*(1+'0. Assumptions'!$B$48)),"")</f>
        <v>1500.0</v>
      </c>
      <c r="D30" s="40">
        <f>IFERROR(IF(D9="","",C30*(1+'0. Assumptions'!$B$48)),"")</f>
        <v>1500.0</v>
      </c>
      <c r="E30" s="68">
        <f>IFERROR(B30/$B$9,"")</f>
        <v>0.007371369600471768</v>
      </c>
      <c r="F30" s="28" t="n"/>
      <c r="G30" s="68">
        <f>IFERROR(IF(B9="","",'0. Assumptions'!$B$41),"")</f>
        <v>0.0</v>
      </c>
      <c r="H30" s="28" t="n"/>
    </row>
    <row r="31">
      <c r="A31" s="28" t="inlineStr">
        <is>
          <t>Linens, signage, aprons and smallwares replacement</t>
        </is>
      </c>
      <c r="B31" s="49" t="n">
        <v>600</v>
      </c>
      <c r="C31" s="40">
        <f>IFERROR(IF(C9="","",B31*(1+'0. Assumptions'!$B$48)),"")</f>
        <v>600.0</v>
      </c>
      <c r="D31" s="40">
        <f>IFERROR(IF(D9="","",C31*(1+'0. Assumptions'!$B$48)),"")</f>
        <v>600.0</v>
      </c>
      <c r="E31" s="68">
        <f>IFERROR(B31/$B$9,"")</f>
        <v>0.002948547840188707</v>
      </c>
      <c r="F31" s="28" t="n"/>
      <c r="G31" s="68">
        <f>IFERROR(IF(B9="","",'0. Assumptions'!$B$41),"")</f>
        <v>0.0</v>
      </c>
      <c r="H31" s="28" t="n"/>
    </row>
    <row r="32">
      <c r="A32" s="28" t="inlineStr">
        <is>
          <t>Phone, internet &amp; card-reader data plans</t>
        </is>
      </c>
      <c r="B32" s="49" t="n">
        <v>900</v>
      </c>
      <c r="C32" s="40">
        <f>IFERROR(IF(C9="","",B32*(1+'0. Assumptions'!$B$48)),"")</f>
        <v>900.0</v>
      </c>
      <c r="D32" s="40">
        <f>IFERROR(IF(D9="","",C32*(1+'0. Assumptions'!$B$48)),"")</f>
        <v>900.0</v>
      </c>
      <c r="E32" s="68">
        <f>IFERROR(B32/$B$9,"")</f>
        <v>0.004422821760283061</v>
      </c>
      <c r="F32" s="28" t="inlineStr">
        <is>
          <t>Phone, internet and the data plans of your card readers and POS. Small, fixed and easy to forget.</t>
        </is>
      </c>
      <c r="G32" s="68">
        <f>IFERROR(IF(B9="","",'0. Assumptions'!$B$41),"")</f>
        <v>0.0</v>
      </c>
      <c r="H32" s="28" t="n"/>
    </row>
    <row r="33">
      <c r="A33" s="28" t="inlineStr">
        <is>
          <t>Espresso machine service, water filters &amp; grinder burrs</t>
        </is>
      </c>
      <c r="B33" s="49" t="n">
        <v>1800</v>
      </c>
      <c r="C33" s="40">
        <f>IFERROR(IF(C9="","",B33*(1+'0. Assumptions'!$B$48)),"")</f>
        <v>1800.0</v>
      </c>
      <c r="D33" s="40">
        <f>IFERROR(IF(D9="","",C33*(1+'0. Assumptions'!$B$48)),"")</f>
        <v>1800.0</v>
      </c>
      <c r="E33" s="68">
        <f>IFERROR(B33/$B$9,"")</f>
        <v>0.008845643520566122</v>
      </c>
      <c r="F33" s="28" t="inlineStr">
        <is>
          <t>Service for the espresso machines, water filters and grinder burrs. Gaskets and burrs wear out before the machine does.</t>
        </is>
      </c>
      <c r="G33" s="68">
        <f>IFERROR(IF(B9="","",'0. Assumptions'!$B$41),"")</f>
        <v>0.0</v>
      </c>
      <c r="H33" s="28" t="n"/>
    </row>
    <row r="34">
      <c r="A34" s="28" t="inlineStr">
        <is>
          <t>Food safety &amp; barista training (CFPM, food handler cards)</t>
        </is>
      </c>
      <c r="B34" s="49" t="n">
        <v>400</v>
      </c>
      <c r="C34" s="40">
        <f>IFERROR(IF(C9="","",B34*(1+'0. Assumptions'!$B$48)),"")</f>
        <v>400.0</v>
      </c>
      <c r="D34" s="40">
        <f>IFERROR(IF(D9="","",C34*(1+'0. Assumptions'!$B$48)),"")</f>
        <v>400.0</v>
      </c>
      <c r="E34" s="68">
        <f>IFERROR(B34/$B$9,"")</f>
        <v>0.0019656985601258048</v>
      </c>
      <c r="F34" s="28" t="inlineStr">
        <is>
          <t>Certified Food Protection Manager (CFPM) and food handler cards for you and your team, plus their renewals, and barista training. The required cards vary by state.</t>
        </is>
      </c>
      <c r="G34" s="68">
        <f>IFERROR(IF(B9="","",'0. Assumptions'!$B$41),"")</f>
        <v>0.0</v>
      </c>
      <c r="H34" s="28" t="n"/>
    </row>
    <row r="35">
      <c r="A35" s="28" t="inlineStr">
        <is>
          <t>Tastings for prospects (corporate open house, couples)</t>
        </is>
      </c>
      <c r="B35" s="49" t="n">
        <v>400</v>
      </c>
      <c r="C35" s="40">
        <f>IFERROR(IF(C9="","",B35*(1+'0. Assumptions'!$B$48)),"")</f>
        <v>400.0</v>
      </c>
      <c r="D35" s="40">
        <f>IFERROR(IF(D9="","",C35*(1+'0. Assumptions'!$B$48)),"")</f>
        <v>400.0</v>
      </c>
      <c r="E35" s="68">
        <f>IFERROR(B35/$B$9,"")</f>
        <v>0.0019656985601258048</v>
      </c>
      <c r="F35" s="28" t="inlineStr">
        <is>
          <t>Food cost and labor for the tastings you offer couples and companies (a bridal tasting or a corporate open house). Many operators charge a fee and credit it toward the booking: if you do, lower this line.</t>
        </is>
      </c>
      <c r="G35" s="68">
        <f>IFERROR(IF(B9="","",'0. Assumptions'!$B$41),"")</f>
        <v>0.0</v>
      </c>
      <c r="H35" s="28" t="n"/>
    </row>
    <row r="36">
      <c r="A36" s="28" t="inlineStr">
        <is>
          <t>Depreciation of fixed assets</t>
        </is>
      </c>
      <c r="B36" s="40">
        <f>IFERROR(IF(B9="","",'Startup Costs'!$B$33),"")</f>
        <v>10344.285714285714</v>
      </c>
      <c r="C36" s="40">
        <f>IFERROR(IF(C9="","",B36),"")</f>
        <v>10344.285714285714</v>
      </c>
      <c r="D36" s="40">
        <f>IFERROR(IF(D9="","",B36),"")</f>
        <v>10344.285714285714</v>
      </c>
      <c r="E36" s="68">
        <f>IFERROR(B36/$B$9,"")</f>
        <v>0.0508343688352534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7100.0</v>
      </c>
      <c r="C37" s="40">
        <f>IFERROR(IF(C9="","",Financing!$B$46),"")</f>
        <v>6351.6209521257715</v>
      </c>
      <c r="D37" s="40">
        <f>IFERROR(IF(D9="","",Financing!$B$48),"")</f>
        <v>5528.403999464121</v>
      </c>
      <c r="E37" s="68">
        <f>IFERROR(B37/$B$9,"")</f>
        <v>0.03489114944223303</v>
      </c>
      <c r="F37" s="28" t="inlineStr">
        <is>
          <t>Only INTEREST is an expense. Principal repaid appears on the cash flow tab</t>
        </is>
      </c>
      <c r="G37" s="68" t="n">
        <v>0</v>
      </c>
      <c r="H37" s="28" t="n"/>
    </row>
    <row r="38">
      <c r="A38" s="16" t="inlineStr">
        <is>
          <t>TOTAL FIXED COSTS</t>
        </is>
      </c>
      <c r="B38" s="52">
        <f>IFERROR(IF(B9="","",SUM(B22:B37)),"")</f>
        <v>126345.08571428571</v>
      </c>
      <c r="C38" s="52">
        <f>IFERROR(IF(C9="","",SUM(C22:C37)),"")</f>
        <v>128596.70666641148</v>
      </c>
      <c r="D38" s="52">
        <f>IFERROR(IF(D9="","",SUM(D22:D37)),"")</f>
        <v>130773.48971374983</v>
      </c>
      <c r="E38" s="69">
        <f>IFERROR(B38/$B$9,"")</f>
        <v>0.6208908826688571</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26882.884285714288</v>
      </c>
      <c r="C41" s="52">
        <f>IFERROR(IF(C9="","",C20-C38),"")</f>
        <v>39954.06033358854</v>
      </c>
      <c r="D41" s="52">
        <f>IFERROR(IF(D9="","",D20-D38),"")</f>
        <v>47890.3233062502</v>
      </c>
      <c r="E41" s="69">
        <f>IFERROR(B41/$B$9,"")</f>
        <v>0.132109117331143</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26882.884285714288</v>
      </c>
      <c r="C43" s="42">
        <f>IFERROR(IF(C9="","",MAX(0,C41-C42)),"")</f>
        <v>39954.06033358854</v>
      </c>
      <c r="D43" s="42">
        <f>IFERROR(IF(D9="","",MAX(0,D41-D42)),"")</f>
        <v>47890.3233062502</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6720.721071428572</v>
      </c>
      <c r="C46" s="42">
        <f>IFERROR(IF(C9="","",IF(C45="",0,C43*C45)),"")</f>
        <v>9988.515083397135</v>
      </c>
      <c r="D46" s="42">
        <f>IFERROR(IF(D9="","",IF(D45="",0,D43*D45)),"")</f>
        <v>11972.58082656255</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20162.163214285716</v>
      </c>
      <c r="C48" s="52">
        <f>IFERROR(IF(C9="","",C41-C46),"")</f>
        <v>29965.545250191404</v>
      </c>
      <c r="D48" s="52">
        <f>IFERROR(IF(D9="","",D41-D46),"")</f>
        <v>35917.742479687644</v>
      </c>
      <c r="E48" s="69">
        <f>IFERROR(B48/$B$9,"")</f>
        <v>0.09908183799835725</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0.753</v>
      </c>
      <c r="C51" s="65">
        <f>IFERROR(IF(C9="","",C20/C9),"")</f>
        <v>0.753</v>
      </c>
      <c r="D51" s="65">
        <f>IFERROR(IF(D9="","",D20/D9),"")</f>
        <v>0.753</v>
      </c>
      <c r="E51" s="70" t="n">
        <v>0.72</v>
      </c>
      <c r="F51" s="35" t="inlineStr">
        <is>
          <t>Floor set by this workbook: kit benchmark (editable estimate). The workbook's gross margin also subtracts compostable cups, card fees, festival organizer fees and miscellaneous costs, so the floor sits below the margin you would see on cost of goods alone.</t>
        </is>
      </c>
    </row>
    <row r="52">
      <c r="A52" s="35" t="inlineStr">
        <is>
          <t>Cost of goods sold (coffee bar packages + add-ons)</t>
        </is>
      </c>
      <c r="B52" s="42">
        <f>IFERROR(IF(B9="","",B13+B14),"")</f>
        <v>28386.855</v>
      </c>
      <c r="C52" s="42">
        <f>IFERROR(IF(C9="","",C13+C14),"")</f>
        <v>31225.540500000003</v>
      </c>
      <c r="D52" s="42">
        <f>IFERROR(IF(D9="","",D13+D14),"")</f>
        <v>33099.07293</v>
      </c>
    </row>
    <row r="53">
      <c r="A53" s="35" t="inlineStr">
        <is>
          <t>Cost of goods sold / Sales</t>
        </is>
      </c>
      <c r="B53" s="65">
        <f>IFERROR(IF(B9="","",B52/B9),"")</f>
        <v>0.13949999999999999</v>
      </c>
      <c r="C53" s="65">
        <f>IFERROR(IF(C9="","",C52/C9),"")</f>
        <v>0.13949999999999999</v>
      </c>
      <c r="D53" s="65">
        <f>IFERROR(IF(D9="","",D52/D9),"")</f>
        <v>0.13949999999999999</v>
      </c>
      <c r="E53" s="70" t="n">
        <v>0.2</v>
      </c>
      <c r="F53" s="35" t="inlineStr">
        <is>
          <t>Ceiling for cost of goods (compostable cups have their own line): kit benchmark (editable estimate), based on the 20-30% cost of goods that GrindKit reports for drink revenue.</t>
        </is>
      </c>
    </row>
    <row r="54">
      <c r="A54" s="35" t="inlineStr">
        <is>
          <t>Labor cost / Sales</t>
        </is>
      </c>
      <c r="B54" s="65">
        <f>IFERROR(IF(B9="","",B23/B9),"")</f>
        <v>0.3661152882205514</v>
      </c>
      <c r="C54" s="65">
        <f>IFERROR(IF(C9="","",C23/C9),"")</f>
        <v>0.3462345703831772</v>
      </c>
      <c r="D54" s="65">
        <f>IFERROR(IF(D9="","",D23/D9),"")</f>
        <v>0.3392802458168426</v>
      </c>
      <c r="E54" s="70" t="n">
        <v>0.4</v>
      </c>
      <c r="F54" s="35" t="inlineStr">
        <is>
          <t>Ceiling: kit benchmark (editable estimate), set above what many pricing guides report because it includes the owner's own pay as lead barista and sales.</t>
        </is>
      </c>
    </row>
    <row r="55">
      <c r="A55" s="35" t="inlineStr">
        <is>
          <t>Commissary &amp; cart storage / Sales</t>
        </is>
      </c>
      <c r="B55" s="65">
        <f>IFERROR(IF(B9="","",B22/B9),"")</f>
        <v>0.0412796697626419</v>
      </c>
      <c r="C55" s="65">
        <f>IFERROR(IF(C9="","",C22/C9),"")</f>
        <v>0.03752697251149263</v>
      </c>
      <c r="D55" s="65">
        <f>IFERROR(IF(D9="","",D22/D9),"")</f>
        <v>0.035402804256125124</v>
      </c>
      <c r="E55" s="70" t="n">
        <v>0.06</v>
      </c>
      <c r="F55" s="35" t="inlineStr">
        <is>
          <t>There is no storefront rent in this workbook: 6% is a prudent ceiling for the commissary, cart storage and trailer parking, a kit benchmark (editable estimate). A business with its own fixed location carries a much higher occupancy cost.</t>
        </is>
      </c>
    </row>
    <row r="56">
      <c r="A56" s="35" t="inlineStr">
        <is>
          <t>Net income / Sales</t>
        </is>
      </c>
      <c r="B56" s="65">
        <f>IFERROR(IF(B9="","",B48/B9),"")</f>
        <v>0.09908183799835725</v>
      </c>
      <c r="C56" s="65">
        <f>IFERROR(IF(C9="","",C48/C9),"")</f>
        <v>0.13387097534474063</v>
      </c>
      <c r="D56" s="65">
        <f>IFERROR(IF(D9="","",D48/D9),"")</f>
        <v>0.15137961980122522</v>
      </c>
      <c r="E56" s="70" t="n">
        <v>0.05</v>
      </c>
      <c r="F56" s="35" t="inlineStr">
        <is>
          <t>Floor of 5%: a kit benchmark (editable estimate). A new business with a loan to repay starts lower than established operators.</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Coffee Cart</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126345.08571428571</v>
      </c>
      <c r="C6" s="61">
        <f>IFERROR(IF('3-Year P&amp;L'!$C$9="","",'3-Year P&amp;L'!$C$38),"")</f>
        <v>128596.70666641148</v>
      </c>
      <c r="D6" s="61">
        <f>IFERROR(IF('3-Year P&amp;L'!$D$9="","",'3-Year P&amp;L'!$D$38),"")</f>
        <v>130773.48971374983</v>
      </c>
      <c r="E6" s="28" t="inlineStr">
        <is>
          <t>The SAME fixed costs as the P&amp;L. Each year has its own, which is why the threshold cannot be a single one for all three years</t>
        </is>
      </c>
      <c r="F6" s="28" t="n"/>
    </row>
    <row r="7">
      <c r="A7" s="28" t="inlineStr">
        <is>
          <t>Monthly fixed costs</t>
        </is>
      </c>
      <c r="B7" s="61">
        <f>IFERROR(IF('3-Year P&amp;L'!$B$9="","",B6/12),"")</f>
        <v>10528.757142857143</v>
      </c>
      <c r="C7" s="61">
        <f>IFERROR(IF('3-Year P&amp;L'!$C$9="","",C6/12),"")</f>
        <v>10716.392222200957</v>
      </c>
      <c r="D7" s="61">
        <f>IFERROR(IF('3-Year P&amp;L'!$D$9="","",D6/12),"")</f>
        <v>10897.790809479153</v>
      </c>
      <c r="E7" s="28" t="n"/>
      <c r="F7" s="28" t="n"/>
    </row>
    <row r="8">
      <c r="A8" s="28" t="inlineStr">
        <is>
          <t>Average price per guest (excl. sales tax)</t>
        </is>
      </c>
      <c r="B8" s="61">
        <f>IFERROR(IF('3-Year P&amp;L'!$B$9="","",'3-Year P&amp;L'!$B$7),"")</f>
        <v>12.6</v>
      </c>
      <c r="C8" s="61">
        <f>IFERROR(IF('3-Year P&amp;L'!$C$9="","",'3-Year P&amp;L'!$C$7),"")</f>
        <v>12.6</v>
      </c>
      <c r="D8" s="61">
        <f>IFERROR(IF('3-Year P&amp;L'!$D$9="","",'3-Year P&amp;L'!$D$7),"")</f>
        <v>12.6</v>
      </c>
      <c r="E8" s="28" t="n"/>
      <c r="F8" s="28" t="n"/>
    </row>
    <row r="9">
      <c r="A9" s="28" t="inlineStr">
        <is>
          <t>Variable cost per guest</t>
        </is>
      </c>
      <c r="B9" s="61">
        <f>IFERROR(IF('3-Year P&amp;L'!$B$9="","",'3-Year P&amp;L'!$B$19/('3-Year P&amp;L'!$B$6*'3-Year P&amp;L'!$B$8)),"")</f>
        <v>3.1122</v>
      </c>
      <c r="C9" s="61">
        <f>IFERROR(IF('3-Year P&amp;L'!$C$9="","",'3-Year P&amp;L'!$C$19/('3-Year P&amp;L'!$C$6*'3-Year P&amp;L'!$C$8)),"")</f>
        <v>3.1121999999999996</v>
      </c>
      <c r="D9" s="61">
        <f>IFERROR(IF('3-Year P&amp;L'!$D$9="","",'3-Year P&amp;L'!$D$19/('3-Year P&amp;L'!$D$6*'3-Year P&amp;L'!$D$8)),"")</f>
        <v>3.1122</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9.4878</v>
      </c>
      <c r="C10" s="61">
        <f>IFERROR(IF('3-Year P&amp;L'!$C$9="","",C8-C9),"")</f>
        <v>9.4878</v>
      </c>
      <c r="D10" s="61">
        <f>IFERROR(IF('3-Year P&amp;L'!$D$9="","",D8-D9),"")</f>
        <v>9.4878</v>
      </c>
      <c r="E10" s="28" t="inlineStr">
        <is>
          <t>Price per guest minus variable cost per guest</t>
        </is>
      </c>
      <c r="F10" s="28" t="n"/>
    </row>
    <row r="11">
      <c r="A11" s="28" t="inlineStr">
        <is>
          <t>Average guests per event</t>
        </is>
      </c>
      <c r="B11" s="40">
        <f>IFERROR(IF('3-Year P&amp;L'!$B$9="","",'3-Year P&amp;L'!$B$8),"")</f>
        <v>95.0</v>
      </c>
      <c r="C11" s="40">
        <f>IFERROR(IF('3-Year P&amp;L'!$C$9="","",'3-Year P&amp;L'!$C$8),"")</f>
        <v>95.0</v>
      </c>
      <c r="D11" s="40">
        <f>IFERROR(IF('3-Year P&amp;L'!$D$9="","",'3-Year P&amp;L'!$D$8),"")</f>
        <v>95.0</v>
      </c>
      <c r="E11" s="28" t="inlineStr">
        <is>
          <t>The same calendar as the P&amp;L and the scenarios</t>
        </is>
      </c>
      <c r="F11" s="28" t="n"/>
    </row>
    <row r="12">
      <c r="A12" s="28" t="inlineStr">
        <is>
          <t>Principal repaid in the year</t>
        </is>
      </c>
      <c r="B12" s="61">
        <f>IFERROR(IF('3-Year P&amp;L'!$B$9="","",Financing!$B$45),"")</f>
        <v>7483.790478742285</v>
      </c>
      <c r="C12" s="61">
        <f>IFERROR(IF('3-Year P&amp;L'!$C$9="","",Financing!$B$47),"")</f>
        <v>8232.169526616513</v>
      </c>
      <c r="D12" s="61">
        <f>IFERROR(IF('3-Year P&amp;L'!$D$9="","",Financing!$B$49),"")</f>
        <v>9055.386479278164</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13316.584004119575</v>
      </c>
      <c r="C14" s="40">
        <f>IFERROR(IF('3-Year P&amp;L'!$C$9="","",IF(C10&lt;=0,"",C6/C10)),"")</f>
        <v>13553.901501550568</v>
      </c>
      <c r="D14" s="40">
        <f>IFERROR(IF('3-Year P&amp;L'!$D$9="","",IF(D10&lt;=0,"",D6/D10)),"")</f>
        <v>13783.331195192757</v>
      </c>
      <c r="E14" s="28" t="n"/>
      <c r="F14" s="28" t="n"/>
    </row>
    <row r="15">
      <c r="A15" s="28" t="inlineStr">
        <is>
          <t>Events needed per year</t>
        </is>
      </c>
      <c r="B15" s="44">
        <f>IFERROR(IF('3-Year P&amp;L'!$B$9="","",B14/B11),"")</f>
        <v>140.17456846441658</v>
      </c>
      <c r="C15" s="44">
        <f>IFERROR(IF('3-Year P&amp;L'!$C$9="","",C14/C11),"")</f>
        <v>142.67264738474282</v>
      </c>
      <c r="D15" s="44">
        <f>IFERROR(IF('3-Year P&amp;L'!$D$9="","",D14/D11),"")</f>
        <v>145.0876967915027</v>
      </c>
      <c r="E15" s="28" t="n"/>
      <c r="F15" s="28" t="n"/>
    </row>
    <row r="16">
      <c r="A16" s="25" t="inlineStr">
        <is>
          <t>Revenue needed per year</t>
        </is>
      </c>
      <c r="B16" s="66">
        <f>IFERROR(IF('3-Year P&amp;L'!$B$9="","",B14*B8),"")</f>
        <v>167788.95845190666</v>
      </c>
      <c r="C16" s="66">
        <f>IFERROR(IF('3-Year P&amp;L'!$C$9="","",C14*C8),"")</f>
        <v>170779.15891953715</v>
      </c>
      <c r="D16" s="66">
        <f>IFERROR(IF('3-Year P&amp;L'!$D$9="","",D14*D8),"")</f>
        <v>173669.97305942874</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123484.59047874229</v>
      </c>
      <c r="C18" s="61">
        <f>IFERROR(IF('3-Year P&amp;L'!$C$9="","",C6-'3-Year P&amp;L'!$C$36+C12),"")</f>
        <v>126484.59047874229</v>
      </c>
      <c r="D18" s="61">
        <f>IFERROR(IF('3-Year P&amp;L'!$D$9="","",D6-'3-Year P&amp;L'!$D$36+D12),"")</f>
        <v>129484.59047874229</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13015.092063359503</v>
      </c>
      <c r="C19" s="40">
        <f>IFERROR(IF('3-Year P&amp;L'!$C$9="","",IF(C10&lt;=0,"",C18/C10)),"")</f>
        <v>13331.287598678544</v>
      </c>
      <c r="D19" s="40">
        <f>IFERROR(IF('3-Year P&amp;L'!$D$9="","",IF(D10&lt;=0,"",D18/D10)),"")</f>
        <v>13647.483133997586</v>
      </c>
      <c r="E19" s="28" t="n"/>
      <c r="F19" s="28" t="n"/>
    </row>
    <row r="20">
      <c r="A20" s="25" t="inlineStr">
        <is>
          <t>Events needed per year (cash)</t>
        </is>
      </c>
      <c r="B20" s="45">
        <f>IFERROR(IF('3-Year P&amp;L'!$B$9="","",B19/B11),"")</f>
        <v>137.00096908799478</v>
      </c>
      <c r="C20" s="45">
        <f>IFERROR(IF('3-Year P&amp;L'!$C$9="","",C19/C11),"")</f>
        <v>140.32934314398466</v>
      </c>
      <c r="D20" s="45">
        <f>IFERROR(IF('3-Year P&amp;L'!$D$9="","",D19/D11),"")</f>
        <v>143.6577171999746</v>
      </c>
      <c r="E20" s="28" t="n"/>
      <c r="F20" s="28" t="n"/>
    </row>
    <row r="21">
      <c r="A21" s="28" t="inlineStr">
        <is>
          <t>Revenue needed per year (cash)</t>
        </is>
      </c>
      <c r="B21" s="40">
        <f>IFERROR(IF('3-Year P&amp;L'!$B$9="","",B19*B8),"")</f>
        <v>163990.15999832973</v>
      </c>
      <c r="C21" s="40">
        <f>IFERROR(IF('3-Year P&amp;L'!$C$9="","",C19*C8),"")</f>
        <v>167974.22374334963</v>
      </c>
      <c r="D21" s="40">
        <f>IFERROR(IF('3-Year P&amp;L'!$D$9="","",D19*D8),"")</f>
        <v>171958.2874883696</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170.0</v>
      </c>
      <c r="C23" s="40">
        <f>IFERROR(IF('3-Year P&amp;L'!$C$9="","",'3-Year P&amp;L'!$C$6),"")</f>
        <v>187.00000000000003</v>
      </c>
      <c r="D23" s="40">
        <f>IFERROR(IF('3-Year P&amp;L'!$D$9="","",'3-Year P&amp;L'!$D$6),"")</f>
        <v>198.22000000000003</v>
      </c>
      <c r="E23" s="28" t="n"/>
      <c r="F23" s="28" t="n"/>
    </row>
    <row r="24">
      <c r="A24" s="28" t="inlineStr">
        <is>
          <t>Cushion above CASH break-even (%)</t>
        </is>
      </c>
      <c r="B24" s="68">
        <f>IFERROR(IF('3-Year P&amp;L'!$B$9="","",B23/B20-1),"")</f>
        <v>0.24086713496756484</v>
      </c>
      <c r="C24" s="68">
        <f>IFERROR(IF('3-Year P&amp;L'!$C$9="","",C23/C20-1),"")</f>
        <v>0.33257945779828124</v>
      </c>
      <c r="D24" s="68">
        <f>IFERROR(IF('3-Year P&amp;L'!$D$9="","",D23/D20-1),"")</f>
        <v>0.3798075304515216</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141 events a year at your average of 95 guests per event to avoid losing money (accounting break-even, depreciation included), and 138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IFERROR($B$8-1,"")</f>
        <v>11.6</v>
      </c>
      <c r="C31" s="62">
        <f>IFERROR(IF($B$8="","",$B$8),"")</f>
        <v>12.6</v>
      </c>
      <c r="D31" s="62">
        <f>IFERROR($B$8+1,"")</f>
        <v>13.6</v>
      </c>
      <c r="E31" s="62">
        <f>IFERROR($B$8+2,"")</f>
        <v>14.6</v>
      </c>
      <c r="F31" s="28" t="n"/>
    </row>
    <row r="32">
      <c r="A32" s="61">
        <f>IFERROR($B$9*0.85,"")</f>
        <v>2.6453699999999998</v>
      </c>
      <c r="B32" s="44">
        <f>IFERROR(IF($B$31-$A32&lt;=0,"",$B$6/($B$31-$A32)/$B$11),"")</f>
        <v>148.52073962594676</v>
      </c>
      <c r="C32" s="44">
        <f>IFERROR(IF($C$31-$A32&lt;=0,"",$B$6/($C$31-$A32)/$B$11),"")</f>
        <v>133.60097468983696</v>
      </c>
      <c r="D32" s="44">
        <f>IFERROR(IF($D$31-$A32&lt;=0,"",$B$6/($D$31-$A32)/$B$11),"")</f>
        <v>121.40512921720695</v>
      </c>
      <c r="E32" s="44">
        <f>IFERROR(IF($E$31-$A32&lt;=0,"",$B$6/($E$31-$A32)/$B$11),"")</f>
        <v>111.24963889946336</v>
      </c>
      <c r="F32" s="28" t="n"/>
    </row>
    <row r="33">
      <c r="A33" s="61">
        <f>IFERROR($B$9*0.925,"")</f>
        <v>2.878785</v>
      </c>
      <c r="B33" s="44">
        <f>IFERROR(IF($B$31-$A33&lt;=0,"",$B$6/($B$31-$A33)/$B$11),"")</f>
        <v>152.49575554285633</v>
      </c>
      <c r="C33" s="44">
        <f>IFERROR(IF($C$31-$A33&lt;=0,"",$B$6/($C$31-$A33)/$B$11),"")</f>
        <v>136.80885266673886</v>
      </c>
      <c r="D33" s="44">
        <f>IFERROR(IF($D$31-$A33&lt;=0,"",$B$6/($D$31-$A33)/$B$11),"")</f>
        <v>124.04827910611735</v>
      </c>
      <c r="E33" s="44">
        <f>IFERROR(IF($E$31-$A33&lt;=0,"",$B$6/($E$31-$A33)/$B$11),"")</f>
        <v>113.4650521022515</v>
      </c>
      <c r="F33" s="28" t="n"/>
    </row>
    <row r="34">
      <c r="A34" s="64">
        <f>IFERROR($B$9*1.0,"")</f>
        <v>3.1122</v>
      </c>
      <c r="B34" s="48">
        <f>IFERROR(IF($B$31-$A34&lt;=0,"",$B$6/($B$31-$A34)/$B$11),"")</f>
        <v>156.689397803517</v>
      </c>
      <c r="C34" s="48">
        <f>IFERROR(IF($C$31-$A34&lt;=0,"",$B$6/($C$31-$A34)/$B$11),"")</f>
        <v>140.17456846441658</v>
      </c>
      <c r="D34" s="48">
        <f>IFERROR(IF($D$31-$A34&lt;=0,"",$B$6/($D$31-$A34)/$B$11),"")</f>
        <v>126.80908013851253</v>
      </c>
      <c r="E34" s="48">
        <f>IFERROR(IF($E$31-$A34&lt;=0,"",$B$6/($E$31-$A34)/$B$11),"")</f>
        <v>115.77049310370059</v>
      </c>
    </row>
    <row r="35">
      <c r="A35" s="64">
        <f>IFERROR($B$9*1.075,"")</f>
        <v>3.345615</v>
      </c>
      <c r="B35" s="48">
        <f>IFERROR(IF($B$31-$A35&lt;=0,"",$B$6/($B$31-$A35)/$B$11),"")</f>
        <v>161.12021315660607</v>
      </c>
      <c r="C35" s="48">
        <f>IFERROR(IF($C$31-$A35&lt;=0,"",$B$6/($C$31-$A35)/$B$11),"")</f>
        <v>143.71006508554507</v>
      </c>
      <c r="D35" s="48">
        <f>IFERROR(IF($D$31-$A35&lt;=0,"",$B$6/($D$31-$A35)/$B$11),"")</f>
        <v>129.69556640175807</v>
      </c>
      <c r="E35" s="48">
        <f>IFERROR(IF($E$31-$A35&lt;=0,"",$B$6/($E$31-$A35)/$B$11),"")</f>
        <v>118.1715634107676</v>
      </c>
    </row>
    <row r="36">
      <c r="A36" s="64">
        <f>IFERROR($B$9*1.15,"")</f>
        <v>3.57903</v>
      </c>
      <c r="B36" s="48">
        <f>IFERROR(IF($B$31-$A36&lt;=0,"",$B$6/($B$31-$A36)/$B$11),"")</f>
        <v>165.8089072364928</v>
      </c>
      <c r="C36" s="48">
        <f>IFERROR(IF($C$31-$A36&lt;=0,"",$B$6/($C$31-$A36)/$B$11),"")</f>
        <v>147.4285216198138</v>
      </c>
      <c r="D36" s="48">
        <f>IFERROR(IF($D$31-$A36&lt;=0,"",$B$6/($D$31-$A36)/$B$11),"")</f>
        <v>132.71652052413006</v>
      </c>
      <c r="E36" s="48">
        <f>IFERROR(IF($E$31-$A36&lt;=0,"",$B$6/($E$31-$A36)/$B$11),"")</f>
        <v>120.67433907148751</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128</v>
      </c>
      <c r="C5" s="40">
        <f>IFERROR(IF('3-Year P&amp;L'!$B$6="","",'3-Year P&amp;L'!$B$6),"")</f>
        <v>170.0</v>
      </c>
      <c r="D5" s="49" t="n">
        <v>212</v>
      </c>
      <c r="E5" s="28" t="n"/>
      <c r="F5" s="28" t="n"/>
    </row>
    <row r="6">
      <c r="A6" s="28" t="inlineStr">
        <is>
          <t>Average price per guest (excl. sales tax)</t>
        </is>
      </c>
      <c r="B6" s="71" t="n">
        <v>11.34</v>
      </c>
      <c r="C6" s="61">
        <f>IFERROR(IF('3-Year P&amp;L'!$B$7="","",'3-Year P&amp;L'!$B$7),"")</f>
        <v>12.6</v>
      </c>
      <c r="D6" s="71" t="n">
        <v>13.86</v>
      </c>
      <c r="E6" s="28" t="n"/>
      <c r="F6" s="28" t="n"/>
    </row>
    <row r="7">
      <c r="A7" s="28" t="inlineStr">
        <is>
          <t>Average guests per event</t>
        </is>
      </c>
      <c r="B7" s="49" t="n">
        <v>86</v>
      </c>
      <c r="C7" s="40">
        <f>IFERROR(IF('3-Year P&amp;L'!$B$8="","",'3-Year P&amp;L'!$B$8),"")</f>
        <v>95.0</v>
      </c>
      <c r="D7" s="49" t="n">
        <v>105</v>
      </c>
      <c r="E7" s="28" t="n"/>
      <c r="F7" s="28" t="n"/>
    </row>
    <row r="8">
      <c r="A8" s="25" t="inlineStr">
        <is>
          <t>ANNUAL REVENUE (excl. sales tax)</t>
        </is>
      </c>
      <c r="B8" s="66">
        <f>IFERROR(IF(B5*B6*B7=0,"",B5*B6*B7),"")</f>
        <v>124830.72</v>
      </c>
      <c r="C8" s="66">
        <f>IFERROR(IF(C5*C6*C7=0,"",C5*C6*C7),"")</f>
        <v>203490.0</v>
      </c>
      <c r="D8" s="66">
        <f>IFERROR(IF(D5*D6*D7=0,"",D5*D6*D7),"")</f>
        <v>308523.6</v>
      </c>
      <c r="E8" s="28" t="n"/>
      <c r="F8" s="28" t="n"/>
    </row>
    <row r="9">
      <c r="A9" s="28" t="inlineStr">
        <is>
          <t>Cost of goods — coffee bar packages (beans, milks, syrups, cold brew)</t>
        </is>
      </c>
      <c r="B9" s="40">
        <f>IFERROR(IF(B8="","",B8*'0. Assumptions'!$B$11*'0. Assumptions'!$B$13),"")</f>
        <v>12732.733439999998</v>
      </c>
      <c r="C9" s="40">
        <f>IFERROR(IF(C8="","",C8*'0. Assumptions'!$B$11*'0. Assumptions'!$B$13),"")</f>
        <v>20755.98</v>
      </c>
      <c r="D9" s="40">
        <f>IFERROR(IF(D8="","",D8*'0. Assumptions'!$B$11*'0. Assumptions'!$B$13),"")</f>
        <v>31469.407199999998</v>
      </c>
      <c r="E9" s="28" t="n"/>
      <c r="F9" s="28" t="n"/>
    </row>
    <row r="10">
      <c r="A10" s="28" t="inlineStr">
        <is>
          <t>Cost of goods — add-ons</t>
        </is>
      </c>
      <c r="B10" s="40">
        <f>IFERROR(IF(B8="","",B8*'0. Assumptions'!$B$12*'0. Assumptions'!$B$14),"")</f>
        <v>4681.152000000001</v>
      </c>
      <c r="C10" s="40">
        <f>IFERROR(IF(C8="","",C8*'0. Assumptions'!$B$12*'0. Assumptions'!$B$14),"")</f>
        <v>7630.875000000001</v>
      </c>
      <c r="D10" s="40">
        <f>IFERROR(IF(D8="","",D8*'0. Assumptions'!$B$12*'0. Assumptions'!$B$14),"")</f>
        <v>11569.635</v>
      </c>
      <c r="E10" s="28" t="n"/>
      <c r="F10" s="28" t="n"/>
    </row>
    <row r="11">
      <c r="A11" s="28" t="inlineStr">
        <is>
          <t>Compostable cups, lids, sleeves &amp; napkins</t>
        </is>
      </c>
      <c r="B11" s="40">
        <f>IFERROR(IF(B8="","",B8*'0. Assumptions'!$B$15),"")</f>
        <v>4993.2288</v>
      </c>
      <c r="C11" s="40">
        <f>IFERROR(IF(C8="","",C8*'0. Assumptions'!$B$15),"")</f>
        <v>8139.6</v>
      </c>
      <c r="D11" s="40">
        <f>IFERROR(IF(D8="","",D8*'0. Assumptions'!$B$15),"")</f>
        <v>12340.944</v>
      </c>
      <c r="E11" s="28" t="n"/>
      <c r="F11" s="28" t="n"/>
    </row>
    <row r="12">
      <c r="A12" s="28" t="inlineStr">
        <is>
          <t>Festival &amp; market organizer fees</t>
        </is>
      </c>
      <c r="B12" s="40">
        <f>IFERROR(IF(B8="","",B8*'0. Assumptions'!$B$16*'0. Assumptions'!$B$17),"")</f>
        <v>936.2303999999999</v>
      </c>
      <c r="C12" s="40">
        <f>IFERROR(IF(C8="","",C8*'0. Assumptions'!$B$16*'0. Assumptions'!$B$17),"")</f>
        <v>1526.175</v>
      </c>
      <c r="D12" s="40">
        <f>IFERROR(IF(D8="","",D8*'0. Assumptions'!$B$16*'0. Assumptions'!$B$17),"")</f>
        <v>2313.927</v>
      </c>
      <c r="E12" s="28" t="n"/>
      <c r="F12" s="28" t="n"/>
    </row>
    <row r="13">
      <c r="A13" s="28" t="inlineStr">
        <is>
          <t>Card processing fees</t>
        </is>
      </c>
      <c r="B13" s="40">
        <f>IFERROR(IF(B8="","",B8*'0. Assumptions'!$B$18),"")</f>
        <v>3744.9215999999997</v>
      </c>
      <c r="C13" s="40">
        <f>IFERROR(IF(C8="","",C8*'0. Assumptions'!$B$18),"")</f>
        <v>6104.7</v>
      </c>
      <c r="D13" s="40">
        <f>IFERROR(IF(D8="","",D8*'0. Assumptions'!$B$18),"")</f>
        <v>9255.707999999999</v>
      </c>
      <c r="E13" s="28" t="n"/>
      <c r="F13" s="28" t="n"/>
    </row>
    <row r="14">
      <c r="A14" s="28" t="inlineStr">
        <is>
          <t>Miscellaneous and contingency</t>
        </is>
      </c>
      <c r="B14" s="40">
        <f>IFERROR(IF(B8="","",B8*'0. Assumptions'!$B$28),"")</f>
        <v>3744.9215999999997</v>
      </c>
      <c r="C14" s="40">
        <f>IFERROR(IF(C8="","",C8*'0. Assumptions'!$B$28),"")</f>
        <v>6104.7</v>
      </c>
      <c r="D14" s="40">
        <f>IFERROR(IF(D8="","",D8*'0. Assumptions'!$B$28),"")</f>
        <v>9255.707999999999</v>
      </c>
      <c r="E14" s="28" t="n"/>
      <c r="F14" s="28" t="n"/>
    </row>
    <row r="15">
      <c r="A15" s="28" t="inlineStr">
        <is>
          <t>TOTAL VARIABLE COSTS</t>
        </is>
      </c>
      <c r="B15" s="40">
        <f>IFERROR(IF(B8="","",SUM(B9:B14)),"")</f>
        <v>30833.18784</v>
      </c>
      <c r="C15" s="40">
        <f>IFERROR(IF(C8="","",SUM(C9:C14)),"")</f>
        <v>50262.03</v>
      </c>
      <c r="D15" s="40">
        <f>IFERROR(IF(D8="","",SUM(D9:D14)),"")</f>
        <v>76205.3292</v>
      </c>
      <c r="E15" s="28" t="n"/>
      <c r="F15" s="28" t="n"/>
    </row>
    <row r="16">
      <c r="A16" s="35" t="inlineStr">
        <is>
          <t>GROSS MARGIN</t>
        </is>
      </c>
      <c r="B16" s="42">
        <f>IFERROR(IF(B8="","",B8-B15),"")</f>
        <v>93997.53216</v>
      </c>
      <c r="C16" s="42">
        <f>IFERROR(IF(C8="","",C8-C15),"")</f>
        <v>153227.97</v>
      </c>
      <c r="D16" s="42">
        <f>IFERROR(IF(D8="","",D8-D15),"")</f>
        <v>232318.2708</v>
      </c>
    </row>
    <row r="17">
      <c r="A17" s="35" t="inlineStr">
        <is>
          <t>FIXED COSTS (the P&amp;L's)</t>
        </is>
      </c>
      <c r="B17" s="42">
        <f>IFERROR(IF(B8="","",'3-Year P&amp;L'!$B$38),"")</f>
        <v>126345.08571428571</v>
      </c>
      <c r="C17" s="42">
        <f>IFERROR(IF(C8="","",'3-Year P&amp;L'!$B$38),"")</f>
        <v>126345.08571428571</v>
      </c>
      <c r="D17" s="42">
        <f>IFERROR(IF(D8="","",'3-Year P&amp;L'!$B$38),"")</f>
        <v>126345.08571428571</v>
      </c>
      <c r="E17" s="35" t="inlineStr">
        <is>
          <t>Fixed costs do not change with the scenario: that is why they are fixed</t>
        </is>
      </c>
    </row>
    <row r="18">
      <c r="A18" s="16" t="inlineStr">
        <is>
          <t>PRE-TAX INCOME (EBT)</t>
        </is>
      </c>
      <c r="B18" s="52">
        <f>IFERROR(IF(B8="","",B16-B17),"")</f>
        <v>-32347.55355428571</v>
      </c>
      <c r="C18" s="52">
        <f>IFERROR(IF(C8="","",C16-C17),"")</f>
        <v>26882.884285714288</v>
      </c>
      <c r="D18" s="52">
        <f>IFERROR(IF(D8="","",D16-D17),"")</f>
        <v>105973.18508571429</v>
      </c>
    </row>
    <row r="19">
      <c r="A19" s="35" t="inlineStr">
        <is>
          <t>Income tax</t>
        </is>
      </c>
      <c r="B19" s="42">
        <f>IFERROR(IF(B8="","",MAX(0,B18-'0. Assumptions'!$B$42)*'0. Assumptions'!$B$37),"")</f>
        <v>0.0</v>
      </c>
      <c r="C19" s="42">
        <f>IFERROR(IF(C8="","",MAX(0,C18-'0. Assumptions'!$B$42)*'0. Assumptions'!$B$37),"")</f>
        <v>6720.721071428572</v>
      </c>
      <c r="D19" s="42">
        <f>IFERROR(IF(D8="","",MAX(0,D18-'0. Assumptions'!$B$42)*'0. Assumptions'!$B$37),"")</f>
        <v>26493.29627142857</v>
      </c>
      <c r="E19" s="35" t="inlineStr">
        <is>
          <t>At the "years 1-2" effective income tax rate, offsetting prior net operating losses</t>
        </is>
      </c>
    </row>
    <row r="20">
      <c r="A20" s="16" t="inlineStr">
        <is>
          <t>NET INCOME</t>
        </is>
      </c>
      <c r="B20" s="52">
        <f>IFERROR(IF(B8="","",B18-B19),"")</f>
        <v>-32347.55355428571</v>
      </c>
      <c r="C20" s="52">
        <f>IFERROR(IF(C8="","",C18-C19),"")</f>
        <v>20162.163214285716</v>
      </c>
      <c r="D20" s="52">
        <f>IFERROR(IF(D8="","",D18-D19),"")</f>
        <v>79479.88881428572</v>
      </c>
    </row>
    <row r="21">
      <c r="A21" s="35" t="inlineStr">
        <is>
          <t>Events per year to break even</t>
        </is>
      </c>
      <c r="B21" s="48">
        <f>IFERROR(IF(B8="","",IF(B6-B15/(B5*B7)&lt;=0,"",B17/(B6-B15/(B5*B7))/B7)),"")</f>
        <v>172.04888894211336</v>
      </c>
      <c r="C21" s="48">
        <f>IFERROR(IF(C8="","",IF(C6-C15/(C5*C7)&lt;=0,"",C17/(C6-C15/(C5*C7))/C7)),"")</f>
        <v>140.17456846441658</v>
      </c>
      <c r="D21" s="48">
        <f>IFERROR(IF(D8="","",IF(D6-D15/(D5*D7)&lt;=0,"",D17/(D6-D15/(D5*D7))/D7)),"")</f>
        <v>115.2950996027669</v>
      </c>
    </row>
    <row r="22">
      <c r="A22" s="16" t="inlineStr">
        <is>
          <t>WHAT EACH SCENARIO DEMANDS</t>
        </is>
      </c>
    </row>
    <row r="23">
      <c r="A23" s="35" t="inlineStr">
        <is>
          <t>Labor cost / Sales</t>
        </is>
      </c>
      <c r="B23" s="65">
        <f>IFERROR(IF(B8="","",'3-Year P&amp;L'!$B$23/B8),"")</f>
        <v>0.5968146302448628</v>
      </c>
      <c r="C23" s="65">
        <f>IFERROR(IF(C8="","",'3-Year P&amp;L'!$B$23/C8),"")</f>
        <v>0.3661152882205514</v>
      </c>
      <c r="D23" s="65">
        <f>IFERROR(IF(D8="","",'3-Year P&amp;L'!$B$23/D8),"")</f>
        <v>0.24147520643477519</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7148.051948051948</v>
      </c>
      <c r="C24" s="42">
        <f>IFERROR(IF(C8="","",C5*C7/Staffing!$C$9),"")</f>
        <v>10487.012987012988</v>
      </c>
      <c r="D24" s="42">
        <f>IFERROR(IF(D8="","",D5*D7/Staffing!$C$9),"")</f>
        <v>14454.545454545454</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-486.85831874228097</v>
      </c>
      <c r="C25" s="52">
        <f>IFERROR(IF(C8="","",'Startup Costs'!$B$25+C20+'3-Year P&amp;L'!$B$36-Financing!$B$45),"")</f>
        <v>52022.858449829146</v>
      </c>
      <c r="D25" s="52">
        <f>IFERROR(IF(D8="","",'Startup Costs'!$B$25+D20+'3-Year P&amp;L'!$B$36-Financing!$B$45),"")</f>
        <v>111340.58404982914</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54257.1728050981</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Lead Barista &amp; Sales</t>
        </is>
      </c>
      <c r="B5" s="49" t="n">
        <v>1</v>
      </c>
      <c r="C5" s="51" t="n">
        <v>1</v>
      </c>
      <c r="D5" s="71" t="n">
        <v>3813</v>
      </c>
      <c r="E5" s="61">
        <f>IFERROR(IF(D5="","",D5*'0. Assumptions'!$B$20),"")</f>
        <v>381.3</v>
      </c>
      <c r="F5" s="61">
        <f>IFERROR(IF(D5="","",D5+E5),"")</f>
        <v>4194.3</v>
      </c>
      <c r="G5" s="61">
        <f>IFERROR(IF(D5="","",F5*MAX(12,'0. Assumptions'!$B$21)),"")</f>
        <v>50331.600000000006</v>
      </c>
      <c r="H5" s="44">
        <f>IFERROR(IF(D5="","",C5*$B$16),"")</f>
        <v>40.0</v>
      </c>
      <c r="I5" s="40">
        <f>IFERROR(IF(D5="","",H5*B5*$B$17),"")</f>
        <v>2000.0</v>
      </c>
      <c r="J5" s="28" t="inlineStr">
        <is>
          <t>Sells to companies and couples, runs the tastings and works the espresso bar at the events. Covers the main shift at every event. The rest of the owner's pay comes from profit.</t>
        </is>
      </c>
    </row>
    <row r="6">
      <c r="A6" s="28" t="inlineStr">
        <is>
          <t>Lead barista (part-time W-2)</t>
        </is>
      </c>
      <c r="B6" s="49" t="n">
        <v>1</v>
      </c>
      <c r="C6" s="51" t="n">
        <v>0.3</v>
      </c>
      <c r="D6" s="71" t="n">
        <v>1040</v>
      </c>
      <c r="E6" s="61">
        <f>IFERROR(IF(D6="","",D6*'0. Assumptions'!$B$20),"")</f>
        <v>104.0</v>
      </c>
      <c r="F6" s="61">
        <f>IFERROR(IF(D6="","",D6+E6),"")</f>
        <v>1144.0</v>
      </c>
      <c r="G6" s="61">
        <f>IFERROR(IF(D6="","",F6*MAX(12,'0. Assumptions'!$B$21)),"")</f>
        <v>13728.0</v>
      </c>
      <c r="H6" s="44">
        <f>IFERROR(IF(D6="","",C6*$B$16),"")</f>
        <v>12.0</v>
      </c>
      <c r="I6" s="40">
        <f>IFERROR(IF(D6="","",H6*B6*$B$17),"")</f>
        <v>600.0</v>
      </c>
      <c r="J6" s="28" t="inlineStr">
        <is>
          <t>Lead barista, part-time W-2: runs the second station and the second event of the day. Paid at or above the pay floor in proportion to FTE, around the 90th percentile of occupation 35-3023 (BLS OEWS, May 2025: $20.51 per hour) because event baristas earn more ($20-35 per hour at grindkit.app).</t>
        </is>
      </c>
    </row>
    <row r="7">
      <c r="A7" s="28" t="inlineStr">
        <is>
          <t>Event baristas (hourly W-2)</t>
        </is>
      </c>
      <c r="B7" s="49" t="n">
        <v>2</v>
      </c>
      <c r="C7" s="51" t="n">
        <v>0.08</v>
      </c>
      <c r="D7" s="71" t="n">
        <v>527</v>
      </c>
      <c r="E7" s="61">
        <f>IFERROR(IF(D7="","",D7*'0. Assumptions'!$B$20),"")</f>
        <v>52.7</v>
      </c>
      <c r="F7" s="61">
        <f>IFERROR(IF(D7="","",D7+E7),"")</f>
        <v>579.7</v>
      </c>
      <c r="G7" s="61">
        <f>IFERROR(IF(D7="","",F7*MAX(12,'0. Assumptions'!$B$21)),"")</f>
        <v>6956.400000000001</v>
      </c>
      <c r="H7" s="44">
        <f>IFERROR(IF(D7="","",C7*$B$16),"")</f>
        <v>3.2</v>
      </c>
      <c r="I7" s="40">
        <f>IFERROR(IF(D7="","",H7*B7*$B$17),"")</f>
        <v>320.0</v>
      </c>
      <c r="J7" s="28" t="inlineStr">
        <is>
          <t>Event baristas hired per event and paid hourly as W-2 employees, with one barista for every 50-65 drinks an hour (Flashquotes). Their FTE is a fraction because they only work event hours. Treating them as 1099 contractors is a misclassification risk (FLSA; California AB5). Paid at or above the pay floor in proportion to FTE. Voluntary tips are theirs.</t>
        </is>
      </c>
    </row>
    <row r="8">
      <c r="A8" s="28" t="inlineStr">
        <is>
          <t>On-call barista / driver (hourly W-2, peak months)</t>
        </is>
      </c>
      <c r="B8" s="49" t="n">
        <v>1</v>
      </c>
      <c r="C8" s="51" t="n">
        <v>0.08</v>
      </c>
      <c r="D8" s="71" t="n">
        <v>264</v>
      </c>
      <c r="E8" s="61">
        <f>IFERROR(IF(D8="","",D8*'0. Assumptions'!$B$20),"")</f>
        <v>26.400000000000002</v>
      </c>
      <c r="F8" s="61">
        <f>IFERROR(IF(D8="","",D8+E8),"")</f>
        <v>290.4</v>
      </c>
      <c r="G8" s="61">
        <f>IFERROR(IF(D8="","",F8*MAX(12,'0. Assumptions'!$B$21)),"")</f>
        <v>3484.7999999999997</v>
      </c>
      <c r="H8" s="44">
        <f>IFERROR(IF(D8="","",C8*$B$16),"")</f>
        <v>3.2</v>
      </c>
      <c r="I8" s="40">
        <f>IFERROR(IF(D8="","",H8*B8*$B$17),"")</f>
        <v>160.0</v>
      </c>
      <c r="J8" s="28" t="inlineStr">
        <is>
          <t>On-call barista and driver, hourly W-2: reinforces the team in March-May and December, loads the trailer and tows it to the venue. Paid at or above the pay floor in proportion to FTE.</t>
        </is>
      </c>
    </row>
    <row r="9">
      <c r="A9" s="16" t="inlineStr">
        <is>
          <t>TOTAL STAFF</t>
        </is>
      </c>
      <c r="B9" s="52">
        <f>IFERROR(IF(COUNT(D5:D8)=0,"",SUM(B5:B8)),"")</f>
        <v>5.0</v>
      </c>
      <c r="C9" s="53">
        <f>IFERROR(IF(COUNT(D5:D8)=0,"",SUMPRODUCT(B5:B8,C5:C8)),"")</f>
        <v>1.54</v>
      </c>
      <c r="D9" s="53">
        <f>IFERROR(IF(COUNT(D5:D8)=0,"",SUM(D5:D8)),"")</f>
        <v>5644.0</v>
      </c>
      <c r="E9" s="53">
        <f>IFERROR(IF(COUNT(D5:D8)=0,"",SUM(E5:E8)),"")</f>
        <v>564.4</v>
      </c>
      <c r="F9" s="53">
        <f>IFERROR(IF(COUNT(D5:D8)=0,"",SUM(F5:F8)),"")</f>
        <v>6208.400000000001</v>
      </c>
      <c r="G9" s="53">
        <f>IFERROR(IF(COUNT(D5:D8)=0,"",SUM(G5:G8)),"")</f>
        <v>74500.8</v>
      </c>
      <c r="I9" s="52">
        <f>IFERROR(IF(COUNT(D5:D8)=0,"",SUM(I5:I8)),"")</f>
        <v>3080.0</v>
      </c>
    </row>
    <row r="10">
      <c r="A10" s="16" t="inlineStr">
        <is>
          <t>STAFF GROWTH (stepped cost)</t>
        </is>
      </c>
    </row>
    <row r="11">
      <c r="A11" s="35" t="inlineStr">
        <is>
          <t>Annual cost of year-2 hires</t>
        </is>
      </c>
      <c r="B11" s="56" t="n">
        <v>3000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3000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77500.8</v>
      </c>
    </row>
    <row r="14">
      <c r="A14" s="35" t="inlineStr">
        <is>
          <t>Labor cost, year 3</t>
        </is>
      </c>
      <c r="B14" s="42">
        <f>IFERROR(IF(B13="","",B13*(1+'0. Assumptions'!$B$48)+B12),"")</f>
        <v>80500.8</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(loading at the commissary, travel, setup, service, breakdown, cleaning)</t>
        </is>
      </c>
      <c r="B18" s="57" t="n">
        <v>7</v>
      </c>
      <c r="J18" s="35" t="inlineStr">
        <is>
          <t>Hours of work per person for one event: loading at the commissary, travel, about one hour of setup, 2-2.5 hours of service, and breakdown and cleanup. A 2-hour event takes 7-9 hours of shift (grindkit.app). Serving is only part of it. Hours × people × events per year sets the event staff cost.</t>
        </is>
      </c>
    </row>
    <row r="19">
      <c r="A19" s="35" t="inlineStr">
        <is>
          <t>Baristas per event (average)</t>
        </is>
      </c>
      <c r="B19" s="57" t="n">
        <v>1.6</v>
      </c>
      <c r="J19" s="35" t="inlineStr">
        <is>
          <t>Average number of baristas working each event: 1 at small parties and quiet festivals, 2 at weddings and large company events (Kit estimate from 50-65 drinks per barista per hour). Weighted by the mix in the Word plan, the average is about 1.6. Raise it if you staff more heavily: the staffing sizes itself.</t>
        </is>
      </c>
    </row>
    <row r="20">
      <c r="A20" s="35" t="inlineStr">
        <is>
          <t>Event hours to cover per year</t>
        </is>
      </c>
      <c r="B20" s="42">
        <f>IFERROR(IF(OR(B18="",B19="",'0. Assumptions'!$B$4=""),"",B18*B19*'0. Assumptions'!$B$4),"")</f>
        <v>1904.0000000000002</v>
      </c>
    </row>
    <row r="21">
      <c r="A21" s="35" t="inlineStr">
        <is>
          <t>Hours hired per year</t>
        </is>
      </c>
      <c r="B21" s="42">
        <f>IFERROR(IF(I9="","",I9),"")</f>
        <v>3080.0</v>
      </c>
    </row>
    <row r="22">
      <c r="A22" s="16" t="inlineStr">
        <is>
          <t>Coverage (hired / needed)</t>
        </is>
      </c>
      <c r="B22" s="69">
        <f>IFERROR(B21/B20,"")</f>
        <v>1.6176470588235292</v>
      </c>
      <c r="J22" s="16" t="inlineStr">
        <is>
          <t>Below 100% the staff cannot cover the hours the plan declares: either hire more or cut the hours</t>
        </is>
      </c>
    </row>
    <row r="24" ht="150" customHeight="1">
      <c r="A24" s="17" t="inlineStr">
        <is>
          <t>Columns D-G are TOTALS for the row. Event baristas are hourly W-2 employees with payroll taxes and workers' comp: paying them as 1099 contractors is a misclassification risk (FLSA; California AB5). One barista serves about 50-65 drinks an hour.</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Coffee Cart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coffee bar packages and add-ons, cost of goods sold, commissary and cart storage,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0.13949999999999999</v>
      </c>
      <c r="C18" s="68">
        <f>IFERROR(IF('3-Year P&amp;L'!$E$53="","",'3-Year P&amp;L'!$E$53),"")</f>
        <v>0.2</v>
      </c>
      <c r="D18" s="28" t="str">
        <f>IFERROR(IF(OR(B18="",C18=""),"",IF(B18&lt;=C18,"OK","REVIEW")),"")</f>
        <v>OK</v>
      </c>
      <c r="E18" s="28" t="n"/>
    </row>
    <row r="19">
      <c r="A19" t="inlineStr">
        <is>
          <t>Labor cost / Sales</t>
        </is>
      </c>
      <c r="B19" s="65">
        <f>IFERROR(IF('3-Year P&amp;L'!$B$54="","",'3-Year P&amp;L'!$B$54),"")</f>
        <v>0.3661152882205514</v>
      </c>
      <c r="C19" s="65">
        <f>IFERROR(IF('3-Year P&amp;L'!$E$54="","",'3-Year P&amp;L'!$E$54),"")</f>
        <v>0.4</v>
      </c>
      <c r="D19" t="str">
        <f>IFERROR(IF(OR(B19="",C19=""),"",IF(B19&lt;=C19,"OK","REVIEW")),"")</f>
        <v>OK</v>
      </c>
    </row>
    <row r="20">
      <c r="A20" t="inlineStr">
        <is>
          <t>Commissary &amp; cart storage / Sales</t>
        </is>
      </c>
      <c r="B20" s="65">
        <f>IFERROR(IF('3-Year P&amp;L'!$B$55="","",'3-Year P&amp;L'!$B$55),"")</f>
        <v>0.0412796697626419</v>
      </c>
      <c r="C20" s="65">
        <f>IFERROR(IF('3-Year P&amp;L'!$E$55="","",'3-Year P&amp;L'!$E$55),"")</f>
        <v>0.06</v>
      </c>
      <c r="D20" t="str">
        <f>IFERROR(IF(OR(B20="",C20=""),"",IF(B20&lt;=C20,"OK","REVIEW")),"")</f>
        <v>OK</v>
      </c>
    </row>
    <row r="21">
      <c r="A21" t="inlineStr">
        <is>
          <t>Net income / Sales</t>
        </is>
      </c>
      <c r="B21" s="65">
        <f>IFERROR(IF('3-Year P&amp;L'!$B$56="","",'3-Year P&amp;L'!$B$56),"")</f>
        <v>0.09908183799835725</v>
      </c>
      <c r="C21" s="65">
        <f>IFERROR(IF('3-Year P&amp;L'!$E$56="","",'3-Year P&amp;L'!$E$56),"")</f>
        <v>0.05</v>
      </c>
      <c r="D21" t="str">
        <f>IFERROR(IF(OR(B21="",C21=""),"",IF(B21&gt;=C21,"OK","REVIEW")),"")</f>
        <v>OK</v>
      </c>
    </row>
    <row r="22">
      <c r="A22" t="inlineStr">
        <is>
          <t>Gross margin / Sales</t>
        </is>
      </c>
      <c r="B22" s="65">
        <f>IFERROR(IF('3-Year P&amp;L'!$B$51="","",'3-Year P&amp;L'!$B$51),"")</f>
        <v>0.753</v>
      </c>
      <c r="C22" s="65">
        <f>IFERROR(IF('3-Year P&amp;L'!$E$51="","",'3-Year P&amp;L'!$E$51),"")</f>
        <v>0.72</v>
      </c>
      <c r="D22" t="str">
        <f>IFERROR(IF(OR(B22="",C22=""),"",IF(B22&gt;=C22,"OK","REVIEW")),"")</f>
        <v>OK</v>
      </c>
    </row>
    <row r="24">
      <c r="A24" s="16" t="inlineStr">
        <is>
          <t>THIS PLAN'S KEY FIGURES</t>
        </is>
      </c>
    </row>
    <row r="25">
      <c r="A25" t="inlineStr">
        <is>
          <t>Total startup costs (sum of the blocks)</t>
        </is>
      </c>
      <c r="B25" s="42">
        <f>IFERROR(IF('Startup Costs'!$B$26="","",'Startup Costs'!$B$26),"")</f>
        <v>100290.2</v>
      </c>
    </row>
    <row r="26">
      <c r="A26" t="inlineStr">
        <is>
          <t>Total cash needed at launch</t>
        </is>
      </c>
      <c r="B26" s="42">
        <f>IFERROR(IF('Startup Costs'!$B$29="","",'Startup Costs'!$B$29),"")</f>
        <v>100290.2</v>
      </c>
    </row>
    <row r="27">
      <c r="A27" t="inlineStr">
        <is>
          <t>Working capital funded</t>
        </is>
      </c>
      <c r="B27" s="42">
        <f>IFERROR(IF('Startup Costs'!$B$25="","",'Startup Costs'!$B$25),"")</f>
        <v>29000.2</v>
      </c>
    </row>
    <row r="28">
      <c r="A28" t="inlineStr">
        <is>
          <t>Forecast year-1 revenue</t>
        </is>
      </c>
      <c r="B28" s="42">
        <f>IFERROR(IF('3-Year P&amp;L'!$B$9="","",'3-Year P&amp;L'!$B$9),"")</f>
        <v>203490.0</v>
      </c>
    </row>
    <row r="29">
      <c r="A29" t="inlineStr">
        <is>
          <t>Year-1 net income</t>
        </is>
      </c>
      <c r="B29" s="42">
        <f>IFERROR(IF('3-Year P&amp;L'!$B$48="","",'3-Year P&amp;L'!$B$48),"")</f>
        <v>20162.163214285716</v>
      </c>
    </row>
    <row r="30">
      <c r="A30" t="inlineStr">
        <is>
          <t>Events per year for the ACCOUNTING break-even (depreciation included)</t>
        </is>
      </c>
      <c r="B30" s="48">
        <f>IFERROR(IF('Break-Even'!$B$15="","",'Break-Even'!$B$15),"")</f>
        <v>140.17456846441658</v>
      </c>
    </row>
    <row r="31">
      <c r="A31" t="inlineStr">
        <is>
          <t>Project payback (years), before debt</t>
        </is>
      </c>
      <c r="B31">
        <f>IFERROR(IF('12-Month Cash Flow'!$B$31="","",'12-Month Cash Flow'!$B$31),"")</f>
        <v>2.3</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cart storage and trailer parking</t>
        </is>
      </c>
      <c r="B39" s="58" t="inlineStr">
        <is>
          <t>Left out: the model shows no cost of space</t>
        </is>
      </c>
      <c r="C39" s="58" t="inlineStr">
        <is>
          <t>A monthly cost for the commissary, cart storage and trailer parking, plus a deposit and rent for the months before opening</t>
        </is>
      </c>
      <c r="D39" s="17" t="inlineStr">
        <is>
          <t>The coffee is brewed at the event, but the water, the milk and the cart need a permitted commissary to start from and come back to.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the summer dip, when July and August bookings fall well below the rest of the year.</t>
        </is>
      </c>
    </row>
    <row r="41" ht="60" customHeight="1">
      <c r="A41" s="58" t="inlineStr">
        <is>
          <t>Depreciation</t>
        </is>
      </c>
      <c r="B41" s="58" t="inlineStr">
        <is>
          <t>One useful life for everything, including items that are not fixed assets</t>
        </is>
      </c>
      <c r="C41" s="58" t="inlineStr">
        <is>
          <t>Two useful lives: the cart, portable bar, trailer and their fit-out on one, and the espresso machines, grinders, generator and other equipment on the other. The Startup Costs tab calculates the annual charge.</t>
        </is>
      </c>
      <c r="D41" s="17" t="inlineStr">
        <is>
          <t>The cart, bar and trailer wear out at a different speed than the machines, grinders and generator. Working capital, opening inventory and launch marketing are not fixed assets, so they are not depreciated.</t>
        </is>
      </c>
    </row>
    <row r="42" ht="30" customHeight="1">
      <c r="A42" s="58" t="inlineStr">
        <is>
          <t>Trailer and equipment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Generator fuel</t>
        </is>
      </c>
      <c r="B43" s="58" t="inlineStr">
        <is>
          <t>A separate fuel line, on top of utilities</t>
        </is>
      </c>
      <c r="C43" s="58" t="inlineStr">
        <is>
          <t>Included in the utilities line, in one monthly cell</t>
        </is>
      </c>
      <c r="D43" s="17" t="inlineStr">
        <is>
          <t>Generator fuel, water and ice rise and fall with how many events are outdoors: here they live in one cell, and the rest of the workbook follows.</t>
        </is>
      </c>
    </row>
    <row r="44" ht="30" customHeight="1">
      <c r="A44" s="58" t="inlineStr">
        <is>
          <t>Startup contingency</t>
        </is>
      </c>
      <c r="B44" s="58" t="inlineStr">
        <is>
          <t>A lump sum typed by hand</t>
        </is>
      </c>
      <c r="C44" s="58" t="inlineStr">
        <is>
          <t>A percentage calculated on the cart, portable bar, trailer, wrap and plan review lines</t>
        </is>
      </c>
      <c r="D44" s="17" t="inlineStr">
        <is>
          <t>If you change the cart price, the contingency recalculates instead of staying at the old amount.</t>
        </is>
      </c>
    </row>
    <row r="45" ht="89.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 or keep it as a reserve for that tax, as the Word plan does.</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tow vehicle fuel has its own fixed line</t>
        </is>
      </c>
      <c r="D49" s="17" t="inlineStr">
        <is>
          <t>Extra milk, ice, cables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coffee bar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COFFEE CART &amp; COFFEE CATERING BENCHMARKS (sourced) AND KIT ESTIMATES</t>
        </is>
      </c>
    </row>
    <row r="54">
      <c r="A54" s="16" t="inlineStr">
        <is>
          <t>Benchmark</t>
        </is>
      </c>
      <c r="B54" s="16" t="inlineStr">
        <is>
          <t>Value</t>
        </is>
      </c>
      <c r="C54" s="16" t="inlineStr">
        <is>
          <t>Source</t>
        </is>
      </c>
      <c r="D54" s="16" t="inlineStr">
        <is>
          <t>Note</t>
        </is>
      </c>
    </row>
    <row r="55" ht="60" customHeight="1">
      <c r="A55" t="inlineStr">
        <is>
          <t>Coffee cart price per booking</t>
        </is>
      </c>
      <c r="B55" t="inlineStr">
        <is>
          <t>Median $1,040; P25 $764; P75 $1,697</t>
        </is>
      </c>
      <c r="C55" t="inlineStr">
        <is>
          <t>flashquotes.com</t>
        </is>
      </c>
      <c r="D55" s="17" t="inlineStr">
        <is>
          <t>Typical event: 100 guests. P10 $612, P90 $3,000. Based on 25,860 bookings from 578 operators (April 2023 to April 2026). Your price depends on hours, guests and market.</t>
        </is>
      </c>
    </row>
    <row r="56" ht="45" customHeight="1">
      <c r="A56" t="inlineStr">
        <is>
          <t>Price per guest by event size</t>
        </is>
      </c>
      <c r="B56" t="inlineStr">
        <is>
          <t>Under 50 guests about $38; 50-99 about $18; 100-249 about $13; 250-499 about $11</t>
        </is>
      </c>
      <c r="C56" t="inlineStr">
        <is>
          <t>flashquotes.com; grindkit.app</t>
        </is>
      </c>
      <c r="D56" s="17" t="inlineStr">
        <is>
          <t>GrindKit calls $5-11 per guest at 100 guests healthy and anything under $5 a loss. Price per guest drops as events get bigger.</t>
        </is>
      </c>
    </row>
    <row r="57" ht="30" customHeight="1">
      <c r="A57" t="inlineStr">
        <is>
          <t>Drinks per guest</t>
        </is>
      </c>
      <c r="B57" t="inlineStr">
        <is>
          <t>Up to 2 hours 1.0; 2-4 hours 1.3-1.5; 4-6 hours 1.5-1.8; 6+ hours 2.0-2.5</t>
        </is>
      </c>
      <c r="C57" t="inlineStr">
        <is>
          <t>grindkit.app</t>
        </is>
      </c>
      <c r="D57" s="17" t="inlineStr">
        <is>
          <t>Add 20-30% for morning events. At a festival, count each drink sold as one guest.</t>
        </is>
      </c>
    </row>
    <row r="58" ht="45" customHeight="1">
      <c r="A58" t="inlineStr">
        <is>
          <t>Mobile food unit permit (one county)</t>
        </is>
      </c>
      <c r="B58" t="inlineStr">
        <is>
          <t>Plan review $1,100; annual permit $500, $745 or $1,025 by risk level</t>
        </is>
      </c>
      <c r="C58" t="inlineStr">
        <is>
          <t>snohd.org</t>
        </is>
      </c>
      <c r="D58" s="17" t="inlineStr">
        <is>
          <t>Snohomish County, WA, as an example: electrical approval comes first. Fees and rules differ by county, so ask yours before you buy a cart.</t>
        </is>
      </c>
    </row>
    <row r="59" ht="45" customHeight="1">
      <c r="A59" t="inlineStr">
        <is>
          <t>Drinks per hour</t>
        </is>
      </c>
      <c r="B59" t="inlineStr">
        <is>
          <t>1 cart with 1 barista 50-65; 2 carts with 2 baristas about 100</t>
        </is>
      </c>
      <c r="C59" t="inlineStr">
        <is>
          <t>flashquotes.com; coffeecartboys.com</t>
        </is>
      </c>
      <c r="D59" s="17" t="inlineStr">
        <is>
          <t>Flashquotes suggests 2-3 baristas for about 250 guests, and Coffee Cart Boys cites 50 cups per hour. The "Staffing" tab uses this pace to size your crew.</t>
        </is>
      </c>
    </row>
    <row r="60" ht="45" customHeight="1">
      <c r="A60" t="inlineStr">
        <is>
          <t>Cost per drink, all in</t>
        </is>
      </c>
      <c r="B60" t="inlineStr">
        <is>
          <t>$0.75-1.50</t>
        </is>
      </c>
      <c r="C60" t="inlineStr">
        <is>
          <t>grindkit.app</t>
        </is>
      </c>
      <c r="D60" s="17" t="inlineStr">
        <is>
          <t>Double shot $0.25-0.45, milk $0.20-0.40, oat milk $0.60-1.10, cup and lid $0.20-0.45. Cost of goods runs 20-30% of drink revenue.</t>
        </is>
      </c>
    </row>
    <row r="61" ht="59.75" customHeight="1">
      <c r="A61" t="inlineStr">
        <is>
          <t>Startup cost of a coffee cart</t>
        </is>
      </c>
      <c r="B61" t="inlineStr">
        <is>
          <t>$4,000-25,000 for the cart; $16,600-49,000 all in ($24,000 typical); a 2-group machine about $8,500</t>
        </is>
      </c>
      <c r="C61" t="inlineStr">
        <is>
          <t>cart-king.com; Kit estimate (machine)</t>
        </is>
      </c>
      <c r="D61" s="17" t="inlineStr">
        <is>
          <t>Cart-king.com puts the cart itself at $4,000-25,000 (basic new to custom premium) and a complete single-cart setup at about $16,600-49,000, with $24,000 typical. The machine price is a store price (Kit estimate).</t>
        </is>
      </c>
    </row>
    <row r="62" ht="60" customHeight="1">
      <c r="A62" t="inlineStr">
        <is>
          <t>Coffee and milk prices</t>
        </is>
      </c>
      <c r="B62" t="inlineStr">
        <is>
          <t>Ground coffee $9.33 per lb; whole milk $4.11 per gal</t>
        </is>
      </c>
      <c r="C62" t="inlineStr">
        <is>
          <t>bls.gov</t>
        </is>
      </c>
      <c r="D62" s="17" t="inlineStr">
        <is>
          <t>National averages for September 2026 (series APU0000717311 and APU0000709112). Wholesale specialty coffee runs about $18 per lb (Kit estimate).</t>
        </is>
      </c>
    </row>
    <row r="63" ht="120" customHeight="1">
      <c r="A63" t="inlineStr">
        <is>
          <t>Price structure</t>
        </is>
      </c>
      <c r="B63" t="inlineStr">
        <is>
          <t>Base fee $300-500 plus $150-200 per service hour; travel fee $1.25 per mile round trip</t>
        </is>
      </c>
      <c r="C63" t="inlineStr">
        <is>
          <t>flashquotes.com; grindkit.app</t>
        </is>
      </c>
      <c r="D63" s="17" t="inlineStr">
        <is>
          <t>Operators ask for a retainer of 30-50% to hold the date and the balance 14 days before the event. The kit's contract applies the retainer to the price.</t>
        </is>
      </c>
    </row>
    <row r="64" ht="45" customHeight="1">
      <c r="A64" t="inlineStr">
        <is>
          <t>Hourly wage, occupation 35-3023</t>
        </is>
      </c>
      <c r="B64" t="inlineStr">
        <is>
          <t>Median $15.00; P75 $17.34; P90 $20.51 (BLS OEWS, May 2025)</t>
        </is>
      </c>
      <c r="C64" t="inlineStr">
        <is>
          <t>bls.gov; grindkit.app</t>
        </is>
      </c>
      <c r="D64" s="17" t="inlineStr">
        <is>
          <t>BLS has no occupation of its own for baristas: they sit inside 35-3023, Fast Food and Counter Workers. Event baristas earn more, $20-35 per hour at grindkit.app.</t>
        </is>
      </c>
    </row>
    <row r="65" ht="59.75" customHeight="1">
      <c r="A65" t="inlineStr">
        <is>
          <t>Shared kitchen rate</t>
        </is>
      </c>
      <c r="B65" t="inlineStr">
        <is>
          <t>$15-$45 per hour</t>
        </is>
      </c>
      <c r="C65" t="inlineStr">
        <is>
          <t>thefoodcorridor.com</t>
        </is>
      </c>
      <c r="D65" s="17" t="inlineStr">
        <is>
          <t>2023 Shared Kitchen Operator Survey; 42% of operators charge $20-$29 per hour. A cart pays mostly for storage and water access, $200-600 per month (cart-king.com), and not every kitchen lets you park a trailer on site.</t>
        </is>
      </c>
    </row>
    <row r="66" ht="45" customHeight="1">
      <c r="A66" t="inlineStr">
        <is>
          <t>Booking seasonality</t>
        </is>
      </c>
      <c r="B66" t="inlineStr">
        <is>
          <t>December 11.7%; March 11.2%; May 10.9%; July 3.8% (the lowest)</t>
        </is>
      </c>
      <c r="C66" t="inlineStr">
        <is>
          <t>flashquotes.com</t>
        </is>
      </c>
      <c r="D66" s="17" t="inlineStr">
        <is>
          <t>Share of coffee cart bookings by month on Flashquotes. For coffee carts, July books about a third of December: plan your cash for the summer dip.</t>
        </is>
      </c>
    </row>
    <row r="67" ht="74.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and the kit's example is a lean budget: get quotes. Venues usually ask for unlimited additional insureds, and your commercial auto must cover the trailer.</t>
        </is>
      </c>
    </row>
    <row r="68" ht="45" customHeight="1">
      <c r="A68" t="inlineStr">
        <is>
          <t>Close rate and lead time</t>
        </is>
      </c>
      <c r="B68" t="inlineStr">
        <is>
          <t>20-30% of quotes become bookings; median 41 days' notice</t>
        </is>
      </c>
      <c r="C68" t="inlineStr">
        <is>
          <t>flashquotes.com</t>
        </is>
      </c>
      <c r="D68" s="17" t="inlineStr">
        <is>
          <t>A close rate above 30% suggests your prices are too low. The 41-day median is why the launch ramp in "0. Assumptions" starts slowly.</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aichef.pro/en/digital-products/coffee-cart-business-plan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0.111</v>
      </c>
      <c r="C5" s="73" t="n">
        <v>0.108</v>
      </c>
      <c r="D5" s="73" t="n">
        <v>0.109</v>
      </c>
      <c r="E5" s="73" t="n">
        <v>0.059</v>
      </c>
      <c r="F5" s="73" t="n">
        <v>0.038</v>
      </c>
      <c r="G5" s="73" t="n">
        <v>0.053</v>
      </c>
      <c r="H5" s="73" t="n">
        <v>0.073</v>
      </c>
      <c r="I5" s="73" t="n">
        <v>0.095</v>
      </c>
      <c r="J5" s="73" t="n">
        <v>0.079</v>
      </c>
      <c r="K5" s="73" t="n">
        <v>0.117</v>
      </c>
      <c r="L5" s="73" t="n">
        <v>0.07000000000000001</v>
      </c>
      <c r="M5" s="73" t="n">
        <v>0.08799999999999999</v>
      </c>
      <c r="N5" s="68">
        <f>IFERROR(IF('3-Year P&amp;L'!$B$9="","",SUM(B5:M5)),"")</f>
        <v>1.0</v>
      </c>
      <c r="O5" s="28" t="inlineStr">
        <is>
          <t>Share of the year's events per month (100% in total). Month 1 = opening month (March in the example); July is the slowest month for coffee carts. The retainer is not modeled: it improves real cash.</t>
        </is>
      </c>
    </row>
    <row r="6">
      <c r="A6" s="28" t="inlineStr">
        <is>
          <t>Launch ramp-up (% of steady-state activity)</t>
        </is>
      </c>
      <c r="B6" s="68">
        <f>IFERROR(IF('3-Year P&amp;L'!$B$9="","",MIN(1,'0. Assumptions'!$B$52+(1-'0. Assumptions'!$B$52)*0/MAX(1,'0. Assumptions'!$B$53-1))),"")</f>
        <v>0.45</v>
      </c>
      <c r="C6" s="68">
        <f>IFERROR(IF('3-Year P&amp;L'!$B$9="","",MIN(1,'0. Assumptions'!$B$52+(1-'0. Assumptions'!$B$52)*1/MAX(1,'0. Assumptions'!$B$53-1))),"")</f>
        <v>0.51875</v>
      </c>
      <c r="D6" s="68">
        <f>IFERROR(IF('3-Year P&amp;L'!$B$9="","",MIN(1,'0. Assumptions'!$B$52+(1-'0. Assumptions'!$B$52)*2/MAX(1,'0. Assumptions'!$B$53-1))),"")</f>
        <v>0.5875</v>
      </c>
      <c r="E6" s="68">
        <f>IFERROR(IF('3-Year P&amp;L'!$B$9="","",MIN(1,'0. Assumptions'!$B$52+(1-'0. Assumptions'!$B$52)*3/MAX(1,'0. Assumptions'!$B$53-1))),"")</f>
        <v>0.65625</v>
      </c>
      <c r="F6" s="68">
        <f>IFERROR(IF('3-Year P&amp;L'!$B$9="","",MIN(1,'0. Assumptions'!$B$52+(1-'0. Assumptions'!$B$52)*4/MAX(1,'0. Assumptions'!$B$53-1))),"")</f>
        <v>0.7250000000000001</v>
      </c>
      <c r="G6" s="68">
        <f>IFERROR(IF('3-Year P&amp;L'!$B$9="","",MIN(1,'0. Assumptions'!$B$52+(1-'0. Assumptions'!$B$52)*5/MAX(1,'0. Assumptions'!$B$53-1))),"")</f>
        <v>0.79375</v>
      </c>
      <c r="H6" s="68">
        <f>IFERROR(IF('3-Year P&amp;L'!$B$9="","",MIN(1,'0. Assumptions'!$B$52+(1-'0. Assumptions'!$B$52)*6/MAX(1,'0. Assumptions'!$B$53-1))),"")</f>
        <v>0.8625</v>
      </c>
      <c r="I6" s="68">
        <f>IFERROR(IF('3-Year P&amp;L'!$B$9="","",MIN(1,'0. Assumptions'!$B$52+(1-'0. Assumptions'!$B$52)*7/MAX(1,'0. Assumptions'!$B$53-1))),"")</f>
        <v>0.9312500000000001</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0.06372951636697102</v>
      </c>
      <c r="C7" s="68">
        <f>IFERROR(IF('3-Year P&amp;L'!$B$9="","",C5*C6/SUMPRODUCT($B$5:$M$5,$B$6:$M$6)),"")</f>
        <v>0.07148040349268371</v>
      </c>
      <c r="D7" s="68">
        <f>IFERROR(IF('3-Year P&amp;L'!$B$9="","",D5*D6/SUMPRODUCT($B$5:$M$5,$B$6:$M$6)),"")</f>
        <v>0.08170328136836649</v>
      </c>
      <c r="E7" s="68">
        <f>IFERROR(IF('3-Year P&amp;L'!$B$9="","",E5*E6/SUMPRODUCT($B$5:$M$5,$B$6:$M$6)),"")</f>
        <v>0.04939994418085403</v>
      </c>
      <c r="F7" s="68">
        <f>IFERROR(IF('3-Year P&amp;L'!$B$9="","",F5*F6/SUMPRODUCT($B$5:$M$5,$B$6:$M$6)),"")</f>
        <v>0.03515011363183287</v>
      </c>
      <c r="G7" s="68">
        <f>IFERROR(IF('3-Year P&amp;L'!$B$9="","",G5*G6/SUMPRODUCT($B$5:$M$5,$B$6:$M$6)),"")</f>
        <v>0.05367409592918942</v>
      </c>
      <c r="H7" s="68">
        <f>IFERROR(IF('3-Year P&amp;L'!$B$9="","",H5*H6/SUMPRODUCT($B$5:$M$5,$B$6:$M$6)),"")</f>
        <v>0.08033172521031857</v>
      </c>
      <c r="I7" s="68">
        <f>IFERROR(IF('3-Year P&amp;L'!$B$9="","",I5*I6/SUMPRODUCT($B$5:$M$5,$B$6:$M$6)),"")</f>
        <v>0.11287428730911847</v>
      </c>
      <c r="J7" s="68">
        <f>IFERROR(IF('3-Year P&amp;L'!$B$9="","",J5*J6/SUMPRODUCT($B$5:$M$5,$B$6:$M$6)),"")</f>
        <v>0.10079342928910331</v>
      </c>
      <c r="K7" s="68">
        <f>IFERROR(IF('3-Year P&amp;L'!$B$9="","",K5*K6/SUMPRODUCT($B$5:$M$5,$B$6:$M$6)),"")</f>
        <v>0.14927634464335554</v>
      </c>
      <c r="L7" s="68">
        <f>IFERROR(IF('3-Year P&amp;L'!$B$9="","",L5*L6/SUMPRODUCT($B$5:$M$5,$B$6:$M$6)),"")</f>
        <v>0.08931063354730674</v>
      </c>
      <c r="M7" s="68">
        <f>IFERROR(IF('3-Year P&amp;L'!$B$9="","",M5*M6/SUMPRODUCT($B$5:$M$5,$B$6:$M$6)),"")</f>
        <v>0.11227622503089987</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7469.751908456602</v>
      </c>
      <c r="C9" s="40">
        <f>IFERROR(IF('3-Year P&amp;L'!$B$9="","",('3-Year P&amp;L'!$B$9+'3-Year P&amp;L'!$B$9*SUMPRODUCT('3-Year P&amp;L'!$E$10:$E$11,'3-Year P&amp;L'!$G$10:$G$11))*(C7*(1-MIN(30,'0. Assumptions'!$B$58)/30)+B7*MIN(30,'0. Assumptions'!$B$58)/30)),"")</f>
        <v>14914.268168573826</v>
      </c>
      <c r="D9" s="40">
        <f>IFERROR(IF('3-Year P&amp;L'!$B$9="","",('3-Year P&amp;L'!$B$9+'3-Year P&amp;L'!$B$9*SUMPRODUCT('3-Year P&amp;L'!$E$10:$E$11,'3-Year P&amp;L'!$G$10:$G$11))*(D7*(1-MIN(30,'0. Assumptions'!$B$58)/30)+C7*MIN(30,'0. Assumptions'!$B$58)/30)),"")</f>
        <v>16907.417060563774</v>
      </c>
      <c r="E9" s="40">
        <f>IFERROR(IF('3-Year P&amp;L'!$B$9="","",('3-Year P&amp;L'!$B$9+'3-Year P&amp;L'!$B$9*SUMPRODUCT('3-Year P&amp;L'!$E$10:$E$11,'3-Year P&amp;L'!$G$10:$G$11))*(E7*(1-MIN(30,'0. Assumptions'!$B$58)/30)+D7*MIN(30,'0. Assumptions'!$B$58)/30)),"")</f>
        <v>14169.58287915155</v>
      </c>
      <c r="F9" s="40">
        <f>IFERROR(IF('3-Year P&amp;L'!$B$9="","",('3-Year P&amp;L'!$B$9+'3-Year P&amp;L'!$B$9*SUMPRODUCT('3-Year P&amp;L'!$E$10:$E$11,'3-Year P&amp;L'!$G$10:$G$11))*(F7*(1-MIN(30,'0. Assumptions'!$B$58)/30)+E7*MIN(30,'0. Assumptions'!$B$58)/30)),"")</f>
        <v>9186.360154060842</v>
      </c>
      <c r="G9" s="40">
        <f>IFERROR(IF('3-Year P&amp;L'!$B$9="","",('3-Year P&amp;L'!$B$9+'3-Year P&amp;L'!$B$9*SUMPRODUCT('3-Year P&amp;L'!$E$10:$E$11,'3-Year P&amp;L'!$G$10:$G$11))*(G7*(1-MIN(30,'0. Assumptions'!$B$58)/30)+F7*MIN(30,'0. Assumptions'!$B$58)/30)),"")</f>
        <v>9896.112763605917</v>
      </c>
      <c r="H9" s="40">
        <f>IFERROR(IF('3-Year P&amp;L'!$B$9="","",('3-Year P&amp;L'!$B$9+'3-Year P&amp;L'!$B$9*SUMPRODUCT('3-Year P&amp;L'!$E$10:$E$11,'3-Year P&amp;L'!$G$10:$G$11))*(H7*(1-MIN(30,'0. Assumptions'!$B$58)/30)+G7*MIN(30,'0. Assumptions'!$B$58)/30)),"")</f>
        <v>14920.46024895339</v>
      </c>
      <c r="I9" s="40">
        <f>IFERROR(IF('3-Year P&amp;L'!$B$9="","",('3-Year P&amp;L'!$B$9+'3-Year P&amp;L'!$B$9*SUMPRODUCT('3-Year P&amp;L'!$E$10:$E$11,'3-Year P&amp;L'!$G$10:$G$11))*(I7*(1-MIN(30,'0. Assumptions'!$B$58)/30)+H7*MIN(30,'0. Assumptions'!$B$58)/30)),"")</f>
        <v>21468.760497906787</v>
      </c>
      <c r="J9" s="40">
        <f>IFERROR(IF('3-Year P&amp;L'!$B$9="","",('3-Year P&amp;L'!$B$9+'3-Year P&amp;L'!$B$9*SUMPRODUCT('3-Year P&amp;L'!$E$10:$E$11,'3-Year P&amp;L'!$G$10:$G$11))*(J7*(1-MIN(30,'0. Assumptions'!$B$58)/30)+I7*MIN(30,'0. Assumptions'!$B$58)/30)),"")</f>
        <v>23390.291554563217</v>
      </c>
      <c r="K9" s="40">
        <f>IFERROR(IF('3-Year P&amp;L'!$B$9="","",('3-Year P&amp;L'!$B$9+'3-Year P&amp;L'!$B$9*SUMPRODUCT('3-Year P&amp;L'!$E$10:$E$11,'3-Year P&amp;L'!$G$10:$G$11))*(K7*(1-MIN(30,'0. Assumptions'!$B$58)/30)+J7*MIN(30,'0. Assumptions'!$B$58)/30)),"")</f>
        <v>27833.985464694393</v>
      </c>
      <c r="L9" s="40">
        <f>IFERROR(IF('3-Year P&amp;L'!$B$9="","",('3-Year P&amp;L'!$B$9+'3-Year P&amp;L'!$B$9*SUMPRODUCT('3-Year P&amp;L'!$E$10:$E$11,'3-Year P&amp;L'!$G$10:$G$11))*(L7*(1-MIN(30,'0. Assumptions'!$B$58)/30)+K7*MIN(30,'0. Assumptions'!$B$58)/30)),"")</f>
        <v>25777.74745185599</v>
      </c>
      <c r="M9" s="40">
        <f>IFERROR(IF('3-Year P&amp;L'!$B$9="","",('3-Year P&amp;L'!$B$9+'3-Year P&amp;L'!$B$9*SUMPRODUCT('3-Year P&amp;L'!$E$10:$E$11,'3-Year P&amp;L'!$G$10:$G$11))*(M7*(1-MIN(30,'0. Assumptions'!$B$58)/30)+L7*MIN(30,'0. Assumptions'!$B$58)/30)),"")</f>
        <v>22319.528975718673</v>
      </c>
      <c r="N9" s="40">
        <f>IFERROR(IF('3-Year P&amp;L'!$B$9="","",SUM(B9:M9)),"")</f>
        <v>208254.26712810496</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-2455.767395367011</v>
      </c>
      <c r="C11" s="40">
        <f>IFERROR(IF('3-Year P&amp;L'!$B$9="","",-('3-Year P&amp;L'!$B$13*(1+'3-Year P&amp;L'!$G$13)+'3-Year P&amp;L'!$B$14*(1+'3-Year P&amp;L'!$G$14)+'3-Year P&amp;L'!$B$15*(1+'3-Year P&amp;L'!$G$15)+'3-Year P&amp;L'!$B$16*(1+'3-Year P&amp;L'!$G$16)+'3-Year P&amp;L'!$B$17*(1+'3-Year P&amp;L'!$G$17)+'3-Year P&amp;L'!$B$18*(1+'3-Year P&amp;L'!$G$18))*(C7*(1-MIN(30,'0. Assumptions'!$B$59)/30)+B7*MIN(30,'0. Assumptions'!$B$59)/30)),"")</f>
        <v>-3501.84927647223</v>
      </c>
      <c r="D11" s="40">
        <f>IFERROR(IF('3-Year P&amp;L'!$B$9="","",-('3-Year P&amp;L'!$B$13*(1+'3-Year P&amp;L'!$G$13)+'3-Year P&amp;L'!$B$14*(1+'3-Year P&amp;L'!$G$14)+'3-Year P&amp;L'!$B$15*(1+'3-Year P&amp;L'!$G$15)+'3-Year P&amp;L'!$B$16*(1+'3-Year P&amp;L'!$G$16)+'3-Year P&amp;L'!$B$17*(1+'3-Year P&amp;L'!$G$17)+'3-Year P&amp;L'!$B$18*(1+'3-Year P&amp;L'!$G$18))*(D7*(1-MIN(30,'0. Assumptions'!$B$59)/30)+C7*MIN(30,'0. Assumptions'!$B$59)/30)),"")</f>
        <v>-3986.6808405246998</v>
      </c>
      <c r="E11" s="40">
        <f>IFERROR(IF('3-Year P&amp;L'!$B$9="","",-('3-Year P&amp;L'!$B$13*(1+'3-Year P&amp;L'!$G$13)+'3-Year P&amp;L'!$B$14*(1+'3-Year P&amp;L'!$G$14)+'3-Year P&amp;L'!$B$15*(1+'3-Year P&amp;L'!$G$15)+'3-Year P&amp;L'!$B$16*(1+'3-Year P&amp;L'!$G$16)+'3-Year P&amp;L'!$B$17*(1+'3-Year P&amp;L'!$G$17)+'3-Year P&amp;L'!$B$18*(1+'3-Year P&amp;L'!$G$18))*(E7*(1-MIN(30,'0. Assumptions'!$B$59)/30)+D7*MIN(30,'0. Assumptions'!$B$59)/30)),"")</f>
        <v>-2861.7887804074794</v>
      </c>
      <c r="F11" s="40">
        <f>IFERROR(IF('3-Year P&amp;L'!$B$9="","",-('3-Year P&amp;L'!$B$13*(1+'3-Year P&amp;L'!$G$13)+'3-Year P&amp;L'!$B$14*(1+'3-Year P&amp;L'!$G$14)+'3-Year P&amp;L'!$B$15*(1+'3-Year P&amp;L'!$G$15)+'3-Year P&amp;L'!$B$16*(1+'3-Year P&amp;L'!$G$16)+'3-Year P&amp;L'!$B$17*(1+'3-Year P&amp;L'!$G$17)+'3-Year P&amp;L'!$B$18*(1+'3-Year P&amp;L'!$G$18))*(F7*(1-MIN(30,'0. Assumptions'!$B$59)/30)+E7*MIN(30,'0. Assumptions'!$B$59)/30)),"")</f>
        <v>-1933.8353283282167</v>
      </c>
      <c r="G11" s="40">
        <f>IFERROR(IF('3-Year P&amp;L'!$B$9="","",-('3-Year P&amp;L'!$B$13*(1+'3-Year P&amp;L'!$G$13)+'3-Year P&amp;L'!$B$14*(1+'3-Year P&amp;L'!$G$14)+'3-Year P&amp;L'!$B$15*(1+'3-Year P&amp;L'!$G$15)+'3-Year P&amp;L'!$B$16*(1+'3-Year P&amp;L'!$G$16)+'3-Year P&amp;L'!$B$17*(1+'3-Year P&amp;L'!$G$17)+'3-Year P&amp;L'!$B$18*(1+'3-Year P&amp;L'!$G$18))*(G7*(1-MIN(30,'0. Assumptions'!$B$59)/30)+F7*MIN(30,'0. Assumptions'!$B$59)/30)),"")</f>
        <v>-2480.5233305609822</v>
      </c>
      <c r="H11" s="40">
        <f>IFERROR(IF('3-Year P&amp;L'!$B$9="","",-('3-Year P&amp;L'!$B$13*(1+'3-Year P&amp;L'!$G$13)+'3-Year P&amp;L'!$B$14*(1+'3-Year P&amp;L'!$G$14)+'3-Year P&amp;L'!$B$15*(1+'3-Year P&amp;L'!$G$15)+'3-Year P&amp;L'!$B$16*(1+'3-Year P&amp;L'!$G$16)+'3-Year P&amp;L'!$B$17*(1+'3-Year P&amp;L'!$G$17)+'3-Year P&amp;L'!$B$18*(1+'3-Year P&amp;L'!$G$18))*(H7*(1-MIN(30,'0. Assumptions'!$B$59)/30)+G7*MIN(30,'0. Assumptions'!$B$59)/30)),"")</f>
        <v>-3725.000051186157</v>
      </c>
      <c r="I11" s="40">
        <f>IFERROR(IF('3-Year P&amp;L'!$B$9="","",-('3-Year P&amp;L'!$B$13*(1+'3-Year P&amp;L'!$G$13)+'3-Year P&amp;L'!$B$14*(1+'3-Year P&amp;L'!$G$14)+'3-Year P&amp;L'!$B$15*(1+'3-Year P&amp;L'!$G$15)+'3-Year P&amp;L'!$B$16*(1+'3-Year P&amp;L'!$G$16)+'3-Year P&amp;L'!$B$17*(1+'3-Year P&amp;L'!$G$17)+'3-Year P&amp;L'!$B$18*(1+'3-Year P&amp;L'!$G$18))*(I7*(1-MIN(30,'0. Assumptions'!$B$59)/30)+H7*MIN(30,'0. Assumptions'!$B$59)/30)),"")</f>
        <v>-5291.637927379291</v>
      </c>
      <c r="J11" s="40">
        <f>IFERROR(IF('3-Year P&amp;L'!$B$9="","",-('3-Year P&amp;L'!$B$13*(1+'3-Year P&amp;L'!$G$13)+'3-Year P&amp;L'!$B$14*(1+'3-Year P&amp;L'!$G$14)+'3-Year P&amp;L'!$B$15*(1+'3-Year P&amp;L'!$G$15)+'3-Year P&amp;L'!$B$16*(1+'3-Year P&amp;L'!$G$16)+'3-Year P&amp;L'!$B$17*(1+'3-Year P&amp;L'!$G$17)+'3-Year P&amp;L'!$B$18*(1+'3-Year P&amp;L'!$G$18))*(J7*(1-MIN(30,'0. Assumptions'!$B$59)/30)+I7*MIN(30,'0. Assumptions'!$B$59)/30)),"")</f>
        <v>-5207.764337984929</v>
      </c>
      <c r="K11" s="40">
        <f>IFERROR(IF('3-Year P&amp;L'!$B$9="","",-('3-Year P&amp;L'!$B$13*(1+'3-Year P&amp;L'!$G$13)+'3-Year P&amp;L'!$B$14*(1+'3-Year P&amp;L'!$G$14)+'3-Year P&amp;L'!$B$15*(1+'3-Year P&amp;L'!$G$15)+'3-Year P&amp;L'!$B$16*(1+'3-Year P&amp;L'!$G$16)+'3-Year P&amp;L'!$B$17*(1+'3-Year P&amp;L'!$G$17)+'3-Year P&amp;L'!$B$18*(1+'3-Year P&amp;L'!$G$18))*(K7*(1-MIN(30,'0. Assumptions'!$B$59)/30)+J7*MIN(30,'0. Assumptions'!$B$59)/30)),"")</f>
        <v>-6934.333838682668</v>
      </c>
      <c r="L11" s="40">
        <f>IFERROR(IF('3-Year P&amp;L'!$B$9="","",-('3-Year P&amp;L'!$B$13*(1+'3-Year P&amp;L'!$G$13)+'3-Year P&amp;L'!$B$14*(1+'3-Year P&amp;L'!$G$14)+'3-Year P&amp;L'!$B$15*(1+'3-Year P&amp;L'!$G$15)+'3-Year P&amp;L'!$B$16*(1+'3-Year P&amp;L'!$G$16)+'3-Year P&amp;L'!$B$17*(1+'3-Year P&amp;L'!$G$17)+'3-Year P&amp;L'!$B$18*(1+'3-Year P&amp;L'!$G$18))*(L7*(1-MIN(30,'0. Assumptions'!$B$59)/30)+K7*MIN(30,'0. Assumptions'!$B$59)/30)),"")</f>
        <v>-5192.200029025957</v>
      </c>
      <c r="M11" s="40">
        <f>IFERROR(IF('3-Year P&amp;L'!$B$9="","",-('3-Year P&amp;L'!$B$13*(1+'3-Year P&amp;L'!$G$13)+'3-Year P&amp;L'!$B$14*(1+'3-Year P&amp;L'!$G$14)+'3-Year P&amp;L'!$B$15*(1+'3-Year P&amp;L'!$G$15)+'3-Year P&amp;L'!$B$16*(1+'3-Year P&amp;L'!$G$16)+'3-Year P&amp;L'!$B$17*(1+'3-Year P&amp;L'!$G$17)+'3-Year P&amp;L'!$B$18*(1+'3-Year P&amp;L'!$G$18))*(M7*(1-MIN(30,'0. Assumptions'!$B$59)/30)+L7*MIN(30,'0. Assumptions'!$B$59)/30)),"")</f>
        <v>-5373.894966229415</v>
      </c>
      <c r="N11" s="40">
        <f>IFERROR(IF('3-Year P&amp;L'!$B$9="","",SUM(B11:M11)),"")</f>
        <v>-48945.276102149044</v>
      </c>
      <c r="O11" s="28" t="str">
        <f>IFERROR("Coffee, milk and add-on purchases, compostable cups,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Coffee, milk and add-on purchases, compostable cups,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-2866.6666666666665</v>
      </c>
      <c r="C12" s="40">
        <f>IFERROR(IF('3-Year P&amp;L'!$B$9="","",-('3-Year P&amp;L'!$B$38-'3-Year P&amp;L'!$B$23-'3-Year P&amp;L'!$B$36-'3-Year P&amp;L'!$B$37+'3-Year P&amp;L'!$B$40)/12),"")</f>
        <v>-2866.6666666666665</v>
      </c>
      <c r="D12" s="40">
        <f>IFERROR(IF('3-Year P&amp;L'!$B$9="","",-('3-Year P&amp;L'!$B$38-'3-Year P&amp;L'!$B$23-'3-Year P&amp;L'!$B$36-'3-Year P&amp;L'!$B$37+'3-Year P&amp;L'!$B$40)/12),"")</f>
        <v>-2866.6666666666665</v>
      </c>
      <c r="E12" s="40">
        <f>IFERROR(IF('3-Year P&amp;L'!$B$9="","",-('3-Year P&amp;L'!$B$38-'3-Year P&amp;L'!$B$23-'3-Year P&amp;L'!$B$36-'3-Year P&amp;L'!$B$37+'3-Year P&amp;L'!$B$40)/12),"")</f>
        <v>-2866.6666666666665</v>
      </c>
      <c r="F12" s="40">
        <f>IFERROR(IF('3-Year P&amp;L'!$B$9="","",-('3-Year P&amp;L'!$B$38-'3-Year P&amp;L'!$B$23-'3-Year P&amp;L'!$B$36-'3-Year P&amp;L'!$B$37+'3-Year P&amp;L'!$B$40)/12),"")</f>
        <v>-2866.6666666666665</v>
      </c>
      <c r="G12" s="40">
        <f>IFERROR(IF('3-Year P&amp;L'!$B$9="","",-('3-Year P&amp;L'!$B$38-'3-Year P&amp;L'!$B$23-'3-Year P&amp;L'!$B$36-'3-Year P&amp;L'!$B$37+'3-Year P&amp;L'!$B$40)/12),"")</f>
        <v>-2866.6666666666665</v>
      </c>
      <c r="H12" s="40">
        <f>IFERROR(IF('3-Year P&amp;L'!$B$9="","",-('3-Year P&amp;L'!$B$38-'3-Year P&amp;L'!$B$23-'3-Year P&amp;L'!$B$36-'3-Year P&amp;L'!$B$37+'3-Year P&amp;L'!$B$40)/12),"")</f>
        <v>-2866.6666666666665</v>
      </c>
      <c r="I12" s="40">
        <f>IFERROR(IF('3-Year P&amp;L'!$B$9="","",-('3-Year P&amp;L'!$B$38-'3-Year P&amp;L'!$B$23-'3-Year P&amp;L'!$B$36-'3-Year P&amp;L'!$B$37+'3-Year P&amp;L'!$B$40)/12),"")</f>
        <v>-2866.6666666666665</v>
      </c>
      <c r="J12" s="40">
        <f>IFERROR(IF('3-Year P&amp;L'!$B$9="","",-('3-Year P&amp;L'!$B$38-'3-Year P&amp;L'!$B$23-'3-Year P&amp;L'!$B$36-'3-Year P&amp;L'!$B$37+'3-Year P&amp;L'!$B$40)/12),"")</f>
        <v>-2866.6666666666665</v>
      </c>
      <c r="K12" s="40">
        <f>IFERROR(IF('3-Year P&amp;L'!$B$9="","",-('3-Year P&amp;L'!$B$38-'3-Year P&amp;L'!$B$23-'3-Year P&amp;L'!$B$36-'3-Year P&amp;L'!$B$37+'3-Year P&amp;L'!$B$40)/12),"")</f>
        <v>-2866.6666666666665</v>
      </c>
      <c r="L12" s="40">
        <f>IFERROR(IF('3-Year P&amp;L'!$B$9="","",-('3-Year P&amp;L'!$B$38-'3-Year P&amp;L'!$B$23-'3-Year P&amp;L'!$B$36-'3-Year P&amp;L'!$B$37+'3-Year P&amp;L'!$B$40)/12),"")</f>
        <v>-2866.6666666666665</v>
      </c>
      <c r="M12" s="40">
        <f>IFERROR(IF('3-Year P&amp;L'!$B$9="","",-('3-Year P&amp;L'!$B$38-'3-Year P&amp;L'!$B$23-'3-Year P&amp;L'!$B$36-'3-Year P&amp;L'!$B$37+'3-Year P&amp;L'!$B$40)/12),"")</f>
        <v>-2866.6666666666665</v>
      </c>
      <c r="N12" s="40">
        <f>IFERROR(IF('3-Year P&amp;L'!$B$9="","",SUM(B12:M12)),"")</f>
        <v>-34400.0</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-6208.400000000001</v>
      </c>
      <c r="C13" s="40">
        <f>IFERROR(IF('3-Year P&amp;L'!$B$9="","",-'3-Year P&amp;L'!$B$23/MAX(12,'0. Assumptions'!$B$21)*(1+IF(2='0. Assumptions'!$B$60,(MAX(12,'0. Assumptions'!$B$21)-12)/2,0)+IF(2='0. Assumptions'!$B$61,(MAX(12,'0. Assumptions'!$B$21)-12)/2,0))),"")</f>
        <v>-6208.400000000001</v>
      </c>
      <c r="D13" s="40">
        <f>IFERROR(IF('3-Year P&amp;L'!$B$9="","",-'3-Year P&amp;L'!$B$23/MAX(12,'0. Assumptions'!$B$21)*(1+IF(3='0. Assumptions'!$B$60,(MAX(12,'0. Assumptions'!$B$21)-12)/2,0)+IF(3='0. Assumptions'!$B$61,(MAX(12,'0. Assumptions'!$B$21)-12)/2,0))),"")</f>
        <v>-6208.400000000001</v>
      </c>
      <c r="E13" s="40">
        <f>IFERROR(IF('3-Year P&amp;L'!$B$9="","",-'3-Year P&amp;L'!$B$23/MAX(12,'0. Assumptions'!$B$21)*(1+IF(4='0. Assumptions'!$B$60,(MAX(12,'0. Assumptions'!$B$21)-12)/2,0)+IF(4='0. Assumptions'!$B$61,(MAX(12,'0. Assumptions'!$B$21)-12)/2,0))),"")</f>
        <v>-6208.400000000001</v>
      </c>
      <c r="F13" s="40">
        <f>IFERROR(IF('3-Year P&amp;L'!$B$9="","",-'3-Year P&amp;L'!$B$23/MAX(12,'0. Assumptions'!$B$21)*(1+IF(5='0. Assumptions'!$B$60,(MAX(12,'0. Assumptions'!$B$21)-12)/2,0)+IF(5='0. Assumptions'!$B$61,(MAX(12,'0. Assumptions'!$B$21)-12)/2,0))),"")</f>
        <v>-6208.400000000001</v>
      </c>
      <c r="G13" s="40">
        <f>IFERROR(IF('3-Year P&amp;L'!$B$9="","",-'3-Year P&amp;L'!$B$23/MAX(12,'0. Assumptions'!$B$21)*(1+IF(6='0. Assumptions'!$B$60,(MAX(12,'0. Assumptions'!$B$21)-12)/2,0)+IF(6='0. Assumptions'!$B$61,(MAX(12,'0. Assumptions'!$B$21)-12)/2,0))),"")</f>
        <v>-6208.400000000001</v>
      </c>
      <c r="H13" s="40">
        <f>IFERROR(IF('3-Year P&amp;L'!$B$9="","",-'3-Year P&amp;L'!$B$23/MAX(12,'0. Assumptions'!$B$21)*(1+IF(7='0. Assumptions'!$B$60,(MAX(12,'0. Assumptions'!$B$21)-12)/2,0)+IF(7='0. Assumptions'!$B$61,(MAX(12,'0. Assumptions'!$B$21)-12)/2,0))),"")</f>
        <v>-6208.400000000001</v>
      </c>
      <c r="I13" s="40">
        <f>IFERROR(IF('3-Year P&amp;L'!$B$9="","",-'3-Year P&amp;L'!$B$23/MAX(12,'0. Assumptions'!$B$21)*(1+IF(8='0. Assumptions'!$B$60,(MAX(12,'0. Assumptions'!$B$21)-12)/2,0)+IF(8='0. Assumptions'!$B$61,(MAX(12,'0. Assumptions'!$B$21)-12)/2,0))),"")</f>
        <v>-6208.400000000001</v>
      </c>
      <c r="J13" s="40">
        <f>IFERROR(IF('3-Year P&amp;L'!$B$9="","",-'3-Year P&amp;L'!$B$23/MAX(12,'0. Assumptions'!$B$21)*(1+IF(9='0. Assumptions'!$B$60,(MAX(12,'0. Assumptions'!$B$21)-12)/2,0)+IF(9='0. Assumptions'!$B$61,(MAX(12,'0. Assumptions'!$B$21)-12)/2,0))),"")</f>
        <v>-6208.400000000001</v>
      </c>
      <c r="K13" s="40">
        <f>IFERROR(IF('3-Year P&amp;L'!$B$9="","",-'3-Year P&amp;L'!$B$23/MAX(12,'0. Assumptions'!$B$21)*(1+IF(10='0. Assumptions'!$B$60,(MAX(12,'0. Assumptions'!$B$21)-12)/2,0)+IF(10='0. Assumptions'!$B$61,(MAX(12,'0. Assumptions'!$B$21)-12)/2,0))),"")</f>
        <v>-6208.400000000001</v>
      </c>
      <c r="L13" s="40">
        <f>IFERROR(IF('3-Year P&amp;L'!$B$9="","",-'3-Year P&amp;L'!$B$23/MAX(12,'0. Assumptions'!$B$21)*(1+IF(11='0. Assumptions'!$B$60,(MAX(12,'0. Assumptions'!$B$21)-12)/2,0)+IF(11='0. Assumptions'!$B$61,(MAX(12,'0. Assumptions'!$B$21)-12)/2,0))),"")</f>
        <v>-6208.400000000001</v>
      </c>
      <c r="M13" s="40">
        <f>IFERROR(IF('3-Year P&amp;L'!$B$9="","",-'3-Year P&amp;L'!$B$23/MAX(12,'0. Assumptions'!$B$21)*(1+IF(12='0. Assumptions'!$B$60,(MAX(12,'0. Assumptions'!$B$21)-12)/2,0)+IF(12='0. Assumptions'!$B$61,(MAX(12,'0. Assumptions'!$B$21)-12)/2,0))),"")</f>
        <v>-6208.400000000001</v>
      </c>
      <c r="N13" s="40">
        <f>IFERROR(IF('3-Year P&amp;L'!$B$9="","",SUM(B13:M13)),"")</f>
        <v>-74500.8</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-591.6666666666666</v>
      </c>
      <c r="C14" s="40">
        <f>IFERROR(IF('3-Year P&amp;L'!$B$9="","",-Financing!$B$44/12),"")</f>
        <v>-591.6666666666666</v>
      </c>
      <c r="D14" s="40">
        <f>IFERROR(IF('3-Year P&amp;L'!$B$9="","",-Financing!$B$44/12),"")</f>
        <v>-591.6666666666666</v>
      </c>
      <c r="E14" s="40">
        <f>IFERROR(IF('3-Year P&amp;L'!$B$9="","",-Financing!$B$44/12),"")</f>
        <v>-591.6666666666666</v>
      </c>
      <c r="F14" s="40">
        <f>IFERROR(IF('3-Year P&amp;L'!$B$9="","",-Financing!$B$44/12),"")</f>
        <v>-591.6666666666666</v>
      </c>
      <c r="G14" s="40">
        <f>IFERROR(IF('3-Year P&amp;L'!$B$9="","",-Financing!$B$44/12),"")</f>
        <v>-591.6666666666666</v>
      </c>
      <c r="H14" s="40">
        <f>IFERROR(IF('3-Year P&amp;L'!$B$9="","",-Financing!$B$44/12),"")</f>
        <v>-591.6666666666666</v>
      </c>
      <c r="I14" s="40">
        <f>IFERROR(IF('3-Year P&amp;L'!$B$9="","",-Financing!$B$44/12),"")</f>
        <v>-591.6666666666666</v>
      </c>
      <c r="J14" s="40">
        <f>IFERROR(IF('3-Year P&amp;L'!$B$9="","",-Financing!$B$44/12),"")</f>
        <v>-591.6666666666666</v>
      </c>
      <c r="K14" s="40">
        <f>IFERROR(IF('3-Year P&amp;L'!$B$9="","",-Financing!$B$44/12),"")</f>
        <v>-591.6666666666666</v>
      </c>
      <c r="L14" s="40">
        <f>IFERROR(IF('3-Year P&amp;L'!$B$9="","",-Financing!$B$44/12),"")</f>
        <v>-591.6666666666666</v>
      </c>
      <c r="M14" s="40">
        <f>IFERROR(IF('3-Year P&amp;L'!$B$9="","",-Financing!$B$44/12),"")</f>
        <v>-591.6666666666666</v>
      </c>
      <c r="N14" s="40">
        <f>IFERROR(IF('3-Year P&amp;L'!$B$9="","",SUM(B14:M14)),"")</f>
        <v>-7100.0</v>
      </c>
      <c r="O14" s="28" t="n"/>
    </row>
    <row r="15">
      <c r="A15" s="28" t="inlineStr">
        <is>
          <t>Loan principal repaid</t>
        </is>
      </c>
      <c r="B15" s="40">
        <f>IFERROR(IF('3-Year P&amp;L'!$B$9="","",-Financing!$B$45/12),"")</f>
        <v>-623.6492065618571</v>
      </c>
      <c r="C15" s="40">
        <f>IFERROR(IF('3-Year P&amp;L'!$B$9="","",-Financing!$B$45/12),"")</f>
        <v>-623.6492065618571</v>
      </c>
      <c r="D15" s="40">
        <f>IFERROR(IF('3-Year P&amp;L'!$B$9="","",-Financing!$B$45/12),"")</f>
        <v>-623.6492065618571</v>
      </c>
      <c r="E15" s="40">
        <f>IFERROR(IF('3-Year P&amp;L'!$B$9="","",-Financing!$B$45/12),"")</f>
        <v>-623.6492065618571</v>
      </c>
      <c r="F15" s="40">
        <f>IFERROR(IF('3-Year P&amp;L'!$B$9="","",-Financing!$B$45/12),"")</f>
        <v>-623.6492065618571</v>
      </c>
      <c r="G15" s="40">
        <f>IFERROR(IF('3-Year P&amp;L'!$B$9="","",-Financing!$B$45/12),"")</f>
        <v>-623.6492065618571</v>
      </c>
      <c r="H15" s="40">
        <f>IFERROR(IF('3-Year P&amp;L'!$B$9="","",-Financing!$B$45/12),"")</f>
        <v>-623.6492065618571</v>
      </c>
      <c r="I15" s="40">
        <f>IFERROR(IF('3-Year P&amp;L'!$B$9="","",-Financing!$B$45/12),"")</f>
        <v>-623.6492065618571</v>
      </c>
      <c r="J15" s="40">
        <f>IFERROR(IF('3-Year P&amp;L'!$B$9="","",-Financing!$B$45/12),"")</f>
        <v>-623.6492065618571</v>
      </c>
      <c r="K15" s="40">
        <f>IFERROR(IF('3-Year P&amp;L'!$B$9="","",-Financing!$B$45/12),"")</f>
        <v>-623.6492065618571</v>
      </c>
      <c r="L15" s="40">
        <f>IFERROR(IF('3-Year P&amp;L'!$B$9="","",-Financing!$B$45/12),"")</f>
        <v>-623.6492065618571</v>
      </c>
      <c r="M15" s="40">
        <f>IFERROR(IF('3-Year P&amp;L'!$B$9="","",-Financing!$B$45/12),"")</f>
        <v>-623.6492065618571</v>
      </c>
      <c r="N15" s="40">
        <f>IFERROR(IF('3-Year P&amp;L'!$B$9="","",SUM(B15:M15)),"")</f>
        <v>-7483.790478742285</v>
      </c>
      <c r="O15" s="28" t="n"/>
    </row>
    <row r="16">
      <c r="A16" s="28" t="inlineStr">
        <is>
          <t>Sales tax collected (memo)</t>
        </is>
      </c>
      <c r="B16" s="40">
        <f>IFERROR(IF('3-Year P&amp;L'!$B$9="","",'3-Year P&amp;L'!$B$9*B7*SUMPRODUCT('3-Year P&amp;L'!$E$10:$E$11,'3-Year P&amp;L'!$G$10:$G$11)),"")</f>
        <v>1037.4655428411947</v>
      </c>
      <c r="C16" s="40">
        <f>IFERROR(IF('3-Year P&amp;L'!$B$9="","",'3-Year P&amp;L'!$B$9*C7*SUMPRODUCT('3-Year P&amp;L'!$E$10:$E$11,'3-Year P&amp;L'!$G$10:$G$11)),"")</f>
        <v>1163.6437845380967</v>
      </c>
      <c r="D16" s="40">
        <f>IFERROR(IF('3-Year P&amp;L'!$B$9="","",'3-Year P&amp;L'!$B$9*D7*SUMPRODUCT('3-Year P&amp;L'!$E$10:$E$11,'3-Year P&amp;L'!$G$10:$G$11)),"")</f>
        <v>1330.0640580519118</v>
      </c>
      <c r="E16" s="40">
        <f>IFERROR(IF('3-Year P&amp;L'!$B$9="","",'3-Year P&amp;L'!$B$9*E7*SUMPRODUCT('3-Year P&amp;L'!$E$10:$E$11,'3-Year P&amp;L'!$G$10:$G$11)),"")</f>
        <v>804.1915713089589</v>
      </c>
      <c r="F16" s="40">
        <f>IFERROR(IF('3-Year P&amp;L'!$B$9="","",'3-Year P&amp;L'!$B$9*F7*SUMPRODUCT('3-Year P&amp;L'!$E$10:$E$11,'3-Year P&amp;L'!$G$10:$G$11)),"")</f>
        <v>572.2157298353336</v>
      </c>
      <c r="G16" s="40">
        <f>IFERROR(IF('3-Year P&amp;L'!$B$9="","",'3-Year P&amp;L'!$B$9*G7*SUMPRODUCT('3-Year P&amp;L'!$E$10:$E$11,'3-Year P&amp;L'!$G$10:$G$11)),"")</f>
        <v>873.7713424504603</v>
      </c>
      <c r="H16" s="40">
        <f>IFERROR(IF('3-Year P&amp;L'!$B$9="","",'3-Year P&amp;L'!$B$9*H7*SUMPRODUCT('3-Year P&amp;L'!$E$10:$E$11,'3-Year P&amp;L'!$G$10:$G$11)),"")</f>
        <v>1307.7362210438182</v>
      </c>
      <c r="I16" s="40">
        <f>IFERROR(IF('3-Year P&amp;L'!$B$9="","",'3-Year P&amp;L'!$B$9*I7*SUMPRODUCT('3-Year P&amp;L'!$E$10:$E$11,'3-Year P&amp;L'!$G$10:$G$11)),"")</f>
        <v>1837.5030979626015</v>
      </c>
      <c r="J16" s="40">
        <f>IFERROR(IF('3-Year P&amp;L'!$B$9="","",'3-Year P&amp;L'!$B$9*J7*SUMPRODUCT('3-Year P&amp;L'!$E$10:$E$11,'3-Year P&amp;L'!$G$10:$G$11)),"")</f>
        <v>1640.8363940831707</v>
      </c>
      <c r="K16" s="40">
        <f>IFERROR(IF('3-Year P&amp;L'!$B$9="","",'3-Year P&amp;L'!$B$9*K7*SUMPRODUCT('3-Year P&amp;L'!$E$10:$E$11,'3-Year P&amp;L'!$G$10:$G$11)),"")</f>
        <v>2430.0994697181136</v>
      </c>
      <c r="L16" s="40">
        <f>IFERROR(IF('3-Year P&amp;L'!$B$9="","",'3-Year P&amp;L'!$B$9*L7*SUMPRODUCT('3-Year P&amp;L'!$E$10:$E$11,'3-Year P&amp;L'!$G$10:$G$11)),"")</f>
        <v>1453.9056656433158</v>
      </c>
      <c r="M16" s="40">
        <f>IFERROR(IF('3-Year P&amp;L'!$B$9="","",'3-Year P&amp;L'!$B$9*M7*SUMPRODUCT('3-Year P&amp;L'!$E$10:$E$11,'3-Year P&amp;L'!$G$10:$G$11)),"")</f>
        <v>1827.7671225230254</v>
      </c>
      <c r="N16" s="40">
        <f>IFERROR(IF('3-Year P&amp;L'!$B$9="","",SUM(B16:M16)),"")</f>
        <v>16279.200000000004</v>
      </c>
      <c r="O16" s="28" t="inlineStr">
        <is>
          <t>Each sales line at ITS OWN rate, read from the sales tax column of the P&amp;L</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3531.1733854312033</v>
      </c>
      <c r="F19" s="28" t="n"/>
      <c r="G19" s="28" t="n"/>
      <c r="H19" s="40">
        <f>IFERROR(IF('3-Year P&amp;L'!$B$9="","",SUM(E16:G16)-SUM(E17:G17)-H18),"")</f>
        <v>2250.178643594753</v>
      </c>
      <c r="I19" s="28" t="n"/>
      <c r="J19" s="28" t="n"/>
      <c r="K19" s="40">
        <f>IFERROR(IF('3-Year P&amp;L'!$B$9="","",SUM(H16:J16)-SUM(H17:J17)-K18),"")</f>
        <v>4786.07571308959</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-3531.1733854312033</v>
      </c>
      <c r="F20" s="28" t="n"/>
      <c r="G20" s="28" t="n"/>
      <c r="H20" s="40">
        <f>IFERROR(IF('3-Year P&amp;L'!$B$9="","",IF(H19&lt;=0,"",-H19)),"")</f>
        <v>-2250.178643594753</v>
      </c>
      <c r="I20" s="28" t="n"/>
      <c r="J20" s="28" t="n"/>
      <c r="K20" s="40">
        <f>IFERROR(IF('3-Year P&amp;L'!$B$9="","",IF(K19&lt;=0,"",-K19)),"")</f>
        <v>-4786.07571308959</v>
      </c>
      <c r="L20" s="28" t="n"/>
      <c r="M20" s="28" t="n"/>
      <c r="N20" s="40">
        <f>IFERROR(IF('3-Year P&amp;L'!$B$9="","",SUM(B20:M20)),"")</f>
        <v>-10567.427742115546</v>
      </c>
      <c r="O20" s="28" t="inlineStr">
        <is>
          <t>Cash only leaves when the quarter's result is positive. Months without a settlement are left blank, not zero. The cell turns RED when the payment takes more cash than is left that month. The model settles in the month after each plan quarter (Months 4, 7 and 10: June, September and December with Month 1 in March; the fourth quarter is remitted in Month 13): if your state requires monthly filing, expect smaller payments every month instead</t>
        </is>
      </c>
    </row>
    <row r="21">
      <c r="A21" s="25" t="inlineStr">
        <is>
          <t>MONTHLY NET CASH FLOW</t>
        </is>
      </c>
      <c r="B21" s="66">
        <f>IFERROR(IF('3-Year P&amp;L'!$B$9="","",SUM(B9:B15)+IF(B20="",0,B20)),"")</f>
        <v>-5276.398026805599</v>
      </c>
      <c r="C21" s="66">
        <f>IFERROR(IF('3-Year P&amp;L'!$B$9="","",SUM(C9:C15)+IF(C20="",0,C20)),"")</f>
        <v>1122.0363522064054</v>
      </c>
      <c r="D21" s="66">
        <f>IFERROR(IF('3-Year P&amp;L'!$B$9="","",SUM(D9:D15)+IF(D20="",0,D20)),"")</f>
        <v>2630.353680143884</v>
      </c>
      <c r="E21" s="66">
        <f>IFERROR(IF('3-Year P&amp;L'!$B$9="","",SUM(E9:E15)+IF(E20="",0,E20)),"")</f>
        <v>-2513.761826582323</v>
      </c>
      <c r="F21" s="66">
        <f>IFERROR(IF('3-Year P&amp;L'!$B$9="","",SUM(F9:F15)+IF(F20="",0,F20)),"")</f>
        <v>-3037.8577141625665</v>
      </c>
      <c r="G21" s="66">
        <f>IFERROR(IF('3-Year P&amp;L'!$B$9="","",SUM(G9:G15)+IF(G20="",0,G20)),"")</f>
        <v>-2874.793106850255</v>
      </c>
      <c r="H21" s="66">
        <f>IFERROR(IF('3-Year P&amp;L'!$B$9="","",SUM(H9:H15)+IF(H20="",0,H20)),"")</f>
        <v>-1345.1009857227114</v>
      </c>
      <c r="I21" s="66">
        <f>IFERROR(IF('3-Year P&amp;L'!$B$9="","",SUM(I9:I15)+IF(I20="",0,I20)),"")</f>
        <v>5886.740030632305</v>
      </c>
      <c r="J21" s="66">
        <f>IFERROR(IF('3-Year P&amp;L'!$B$9="","",SUM(J9:J15)+IF(J20="",0,J20)),"")</f>
        <v>7892.1446766830995</v>
      </c>
      <c r="K21" s="66">
        <f>IFERROR(IF('3-Year P&amp;L'!$B$9="","",SUM(K9:K15)+IF(K20="",0,K20)),"")</f>
        <v>5823.193373026942</v>
      </c>
      <c r="L21" s="66">
        <f>IFERROR(IF('3-Year P&amp;L'!$B$9="","",SUM(L9:L15)+IF(L20="",0,L20)),"")</f>
        <v>10295.164882934841</v>
      </c>
      <c r="M21" s="66">
        <f>IFERROR(IF('3-Year P&amp;L'!$B$9="","",SUM(M9:M15)+IF(M20="",0,M20)),"")</f>
        <v>6655.251469594068</v>
      </c>
      <c r="N21" s="66">
        <f>IFERROR(IF('3-Year P&amp;L'!$B$9="","",SUM(B21:M21)),"")</f>
        <v>25256.972805098092</v>
      </c>
      <c r="O21" s="28" t="n"/>
    </row>
    <row r="22">
      <c r="A22" s="25" t="inlineStr">
        <is>
          <t>CUMULATIVE CASH BALANCE</t>
        </is>
      </c>
      <c r="B22" s="66">
        <f>IFERROR(IF('3-Year P&amp;L'!$B$9="","",'Startup Costs'!$B$25+B21),"")</f>
        <v>23723.8019731944</v>
      </c>
      <c r="C22" s="66">
        <f>IFERROR(IF('3-Year P&amp;L'!$B$9="","",B22+C21),"")</f>
        <v>24845.838325400808</v>
      </c>
      <c r="D22" s="66">
        <f>IFERROR(IF('3-Year P&amp;L'!$B$9="","",C22+D21),"")</f>
        <v>27476.19200554469</v>
      </c>
      <c r="E22" s="66">
        <f>IFERROR(IF('3-Year P&amp;L'!$B$9="","",D22+E21),"")</f>
        <v>24962.430178962368</v>
      </c>
      <c r="F22" s="66">
        <f>IFERROR(IF('3-Year P&amp;L'!$B$9="","",E22+F21),"")</f>
        <v>21924.5724647998</v>
      </c>
      <c r="G22" s="66">
        <f>IFERROR(IF('3-Year P&amp;L'!$B$9="","",F22+G21),"")</f>
        <v>19049.779357949545</v>
      </c>
      <c r="H22" s="66">
        <f>IFERROR(IF('3-Year P&amp;L'!$B$9="","",G22+H21),"")</f>
        <v>17704.678372226834</v>
      </c>
      <c r="I22" s="66">
        <f>IFERROR(IF('3-Year P&amp;L'!$B$9="","",H22+I21),"")</f>
        <v>23591.41840285914</v>
      </c>
      <c r="J22" s="66">
        <f>IFERROR(IF('3-Year P&amp;L'!$B$9="","",I22+J21),"")</f>
        <v>31483.56307954224</v>
      </c>
      <c r="K22" s="66">
        <f>IFERROR(IF('3-Year P&amp;L'!$B$9="","",J22+K21),"")</f>
        <v>37306.756452569185</v>
      </c>
      <c r="L22" s="66">
        <f>IFERROR(IF('3-Year P&amp;L'!$B$9="","",K22+L21),"")</f>
        <v>47601.92133550403</v>
      </c>
      <c r="M22" s="66">
        <f>IFERROR(IF('3-Year P&amp;L'!$B$9="","",L22+M21),"")</f>
        <v>54257.1728050981</v>
      </c>
      <c r="N22" s="28" t="n"/>
      <c r="O22" s="28" t="n"/>
    </row>
    <row r="23">
      <c r="A23" s="28" t="inlineStr">
        <is>
          <t>Minimum balance of the year</t>
        </is>
      </c>
      <c r="B23" s="40">
        <f>IFERROR(IF('3-Year P&amp;L'!$B$9="","",IF(COUNT(B22:M22)=0,"",MIN(B22:M22))),"")</f>
        <v>17704.678372226834</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7.0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37606.44892857143</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46661.45191660289</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51790.432193437475</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39840.76328384038</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100290.2</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2.3</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1.7</v>
      </c>
      <c r="C32" s="28" t="n"/>
      <c r="D32" s="28" t="inlineStr">
        <is>
          <t>The same calculation on what you BUY (the cart and the portable bar, machines and grinders, trailer, power,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The fourth plan quarter's sales tax is settled in Month 13 (March of the following year with Month 1 in March), so it does not appear in this table. The model pays year-1 income tax in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30000.0</v>
      </c>
      <c r="C6" s="28" t="n"/>
      <c r="D6" s="28" t="n"/>
      <c r="E6" s="28" t="n"/>
      <c r="F6" s="28" t="n"/>
      <c r="G6" s="28" t="n"/>
      <c r="H6" s="28" t="n"/>
    </row>
    <row r="7">
      <c r="A7" s="28" t="inlineStr">
        <is>
          <t>Loan requested — bank or SBA 7(a) (amortized below)</t>
        </is>
      </c>
      <c r="B7" s="40">
        <f>IFERROR(IF('0. Assumptions'!$B$31="","",'0. Assumptions'!$B$31),"")</f>
        <v>71000.0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101000.0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100290.2</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709.8000000000029</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0.007077461207575645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70290.2</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71000.0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14583.790478742285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71000.0</v>
      </c>
      <c r="C27" s="61">
        <f>IFERROR(IF(OR(1&gt;B22,B27=""),"",B27*B21),"")</f>
        <v>7100.0</v>
      </c>
      <c r="D27" s="61">
        <f>IFERROR(IF(OR(1&gt;B22,B27=""),"",IF(1&lt;=B23,0,MIN(B27,B24-C27))),"")</f>
        <v>7483.790478742285</v>
      </c>
      <c r="E27" s="61">
        <f>IFERROR(IF(C27="","",C27+D27),"")</f>
        <v>14583.790478742285</v>
      </c>
      <c r="F27" s="61">
        <f>IFERROR(IF(D27="","",B27-D27),"")</f>
        <v>63516.20952125771</v>
      </c>
      <c r="G27" s="61">
        <f>IFERROR(IF(E27="","",'3-Year P&amp;L'!$B$41-'3-Year P&amp;L'!$B$46+'3-Year P&amp;L'!$B$36+'3-Year P&amp;L'!$B$37),"")</f>
        <v>37606.44892857143</v>
      </c>
      <c r="H27" s="61">
        <f>IFERROR(IF(OR(E27="",E27=0),"",G27/E27),"")</f>
        <v>2.5786470933868375</v>
      </c>
    </row>
    <row r="28">
      <c r="A28" s="40" t="n">
        <v>2</v>
      </c>
      <c r="B28" s="61">
        <f>IFERROR(IF(OR(2&gt;B22,F27=""),"",F27),"")</f>
        <v>63516.20952125771</v>
      </c>
      <c r="C28" s="61">
        <f>IFERROR(IF(OR(2&gt;B22,B28=""),"",B28*B21),"")</f>
        <v>6351.6209521257715</v>
      </c>
      <c r="D28" s="61">
        <f>IFERROR(IF(OR(2&gt;B22,B28=""),"",IF(2&lt;=B23,0,MIN(B28,B24-C28))),"")</f>
        <v>8232.169526616513</v>
      </c>
      <c r="E28" s="61">
        <f>IFERROR(IF(C28="","",C28+D28),"")</f>
        <v>14583.790478742285</v>
      </c>
      <c r="F28" s="61">
        <f>IFERROR(IF(D28="","",B28-D28),"")</f>
        <v>55284.0399946412</v>
      </c>
      <c r="G28" s="61">
        <f>IFERROR(IF(E28="","",'3-Year P&amp;L'!$C$41-'3-Year P&amp;L'!$C$46+'3-Year P&amp;L'!$C$36+'3-Year P&amp;L'!$C$37),"")</f>
        <v>46661.45191660289</v>
      </c>
      <c r="H28" s="61">
        <f>IFERROR(IF(OR(E28="",E28=0),"",G28/E28),"")</f>
        <v>3.1995421207276564</v>
      </c>
    </row>
    <row r="29">
      <c r="A29" s="40" t="n">
        <v>3</v>
      </c>
      <c r="B29" s="61">
        <f>IFERROR(IF(OR(3&gt;B22,F28=""),"",F28),"")</f>
        <v>55284.0399946412</v>
      </c>
      <c r="C29" s="61">
        <f>IFERROR(IF(OR(3&gt;B22,B29=""),"",B29*B21),"")</f>
        <v>5528.403999464121</v>
      </c>
      <c r="D29" s="61">
        <f>IFERROR(IF(OR(3&gt;B22,B29=""),"",IF(3&lt;=B23,0,MIN(B29,B24-C29))),"")</f>
        <v>9055.386479278164</v>
      </c>
      <c r="E29" s="61">
        <f>IFERROR(IF(C29="","",C29+D29),"")</f>
        <v>14583.790478742285</v>
      </c>
      <c r="F29" s="61">
        <f>IFERROR(IF(D29="","",B29-D29),"")</f>
        <v>46228.65351536304</v>
      </c>
      <c r="G29" s="61">
        <f>IFERROR(IF(E29="","",'3-Year P&amp;L'!$D$41-'3-Year P&amp;L'!$D$46+'3-Year P&amp;L'!$D$36+'3-Year P&amp;L'!$D$37),"")</f>
        <v>51790.432193437475</v>
      </c>
      <c r="H29" s="61">
        <f>IFERROR(IF(OR(E29="",E29=0),"",G29/E29),"")</f>
        <v>3.5512326009433943</v>
      </c>
    </row>
    <row r="30">
      <c r="A30" s="40" t="n">
        <v>4</v>
      </c>
      <c r="B30" s="61">
        <f>IFERROR(IF(OR(4&gt;B22,F29=""),"",F29),"")</f>
        <v>46228.65351536304</v>
      </c>
      <c r="C30" s="61">
        <f>IFERROR(IF(OR(4&gt;B22,B30=""),"",B30*B21),"")</f>
        <v>4622.865351536304</v>
      </c>
      <c r="D30" s="61">
        <f>IFERROR(IF(OR(4&gt;B22,B30=""),"",IF(4&lt;=B23,0,MIN(B30,B24-C30))),"")</f>
        <v>9960.925127205981</v>
      </c>
      <c r="E30" s="61">
        <f>IFERROR(IF(C30="","",C30+D30),"")</f>
        <v>14583.790478742285</v>
      </c>
      <c r="F30" s="61">
        <f>IFERROR(IF(D30="","",B30-D30),"")</f>
        <v>36267.72838815706</v>
      </c>
      <c r="G30" s="61">
        <f>IFERROR(IF(E30="","",'3-Year P&amp;L'!$D$41-'3-Year P&amp;L'!$D$46+'3-Year P&amp;L'!$D$36+'3-Year P&amp;L'!$D$37),"")</f>
        <v>51790.432193437475</v>
      </c>
      <c r="H30" s="61">
        <f>IFERROR(IF(OR(E30="",E30=0),"",G30/E30),"")</f>
        <v>3.5512326009433943</v>
      </c>
    </row>
    <row r="31">
      <c r="A31" s="40" t="n">
        <v>5</v>
      </c>
      <c r="B31" s="61">
        <f>IFERROR(IF(OR(5&gt;B22,F30=""),"",F30),"")</f>
        <v>36267.72838815706</v>
      </c>
      <c r="C31" s="61">
        <f>IFERROR(IF(OR(5&gt;B22,B31=""),"",B31*B21),"")</f>
        <v>3626.7728388157066</v>
      </c>
      <c r="D31" s="61">
        <f>IFERROR(IF(OR(5&gt;B22,B31=""),"",IF(5&lt;=B23,0,MIN(B31,B24-C31))),"")</f>
        <v>10957.017639926578</v>
      </c>
      <c r="E31" s="61">
        <f>IFERROR(IF(C31="","",C31+D31),"")</f>
        <v>14583.790478742285</v>
      </c>
      <c r="F31" s="61">
        <f>IFERROR(IF(D31="","",B31-D31),"")</f>
        <v>25310.710748230485</v>
      </c>
      <c r="G31" s="61">
        <f>IFERROR(IF(E31="","",'3-Year P&amp;L'!$D$41-'3-Year P&amp;L'!$D$46+'3-Year P&amp;L'!$D$36+'3-Year P&amp;L'!$D$37),"")</f>
        <v>51790.432193437475</v>
      </c>
      <c r="H31" s="61">
        <f>IFERROR(IF(OR(E31="",E31=0),"",G31/E31),"")</f>
        <v>3.5512326009433943</v>
      </c>
    </row>
    <row r="32">
      <c r="A32" s="40" t="n">
        <v>6</v>
      </c>
      <c r="B32" s="61">
        <f>IFERROR(IF(OR(6&gt;B22,F31=""),"",F31),"")</f>
        <v>25310.710748230485</v>
      </c>
      <c r="C32" s="61">
        <f>IFERROR(IF(OR(6&gt;B22,B32=""),"",B32*B21),"")</f>
        <v>2531.0710748230485</v>
      </c>
      <c r="D32" s="61">
        <f>IFERROR(IF(OR(6&gt;B22,B32=""),"",IF(6&lt;=B23,0,MIN(B32,B24-C32))),"")</f>
        <v>12052.719403919236</v>
      </c>
      <c r="E32" s="61">
        <f>IFERROR(IF(C32="","",C32+D32),"")</f>
        <v>14583.790478742285</v>
      </c>
      <c r="F32" s="61">
        <f>IFERROR(IF(D32="","",B32-D32),"")</f>
        <v>13257.99134431125</v>
      </c>
      <c r="G32" s="61">
        <f>IFERROR(IF(E32="","",'3-Year P&amp;L'!$D$41-'3-Year P&amp;L'!$D$46+'3-Year P&amp;L'!$D$36+'3-Year P&amp;L'!$D$37),"")</f>
        <v>51790.432193437475</v>
      </c>
      <c r="H32" s="61">
        <f>IFERROR(IF(OR(E32="",E32=0),"",G32/E32),"")</f>
        <v>3.5512326009433943</v>
      </c>
    </row>
    <row r="33">
      <c r="A33" s="40" t="n">
        <v>7</v>
      </c>
      <c r="B33" s="61">
        <f>IFERROR(IF(OR(7&gt;B22,F32=""),"",F32),"")</f>
        <v>13257.99134431125</v>
      </c>
      <c r="C33" s="61">
        <f>IFERROR(IF(OR(7&gt;B22,B33=""),"",B33*B21),"")</f>
        <v>1325.799134431125</v>
      </c>
      <c r="D33" s="61">
        <f>IFERROR(IF(OR(7&gt;B22,B33=""),"",IF(7&lt;=B23,0,MIN(B33,B24-C33))),"")</f>
        <v>13257.99134431116</v>
      </c>
      <c r="E33" s="61">
        <f>IFERROR(IF(C33="","",C33+D33),"")</f>
        <v>14583.790478742285</v>
      </c>
      <c r="F33" s="61">
        <f>IFERROR(IF(D33="","",B33-D33),"")</f>
        <v>8.913048077374697e-11</v>
      </c>
      <c r="G33" s="61">
        <f>IFERROR(IF(E33="","",'3-Year P&amp;L'!$D$41-'3-Year P&amp;L'!$D$46+'3-Year P&amp;L'!$D$36+'3-Year P&amp;L'!$D$37),"")</f>
        <v>51790.432193437475</v>
      </c>
      <c r="H33" s="61">
        <f>IFERROR(IF(OR(E33="",E33=0),"",G33/E33),"")</f>
        <v>3.5512326009433943</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7100.0</v>
      </c>
      <c r="C44" s="28" t="n"/>
      <c r="D44" s="28" t="n"/>
      <c r="E44" s="28" t="n"/>
      <c r="F44" s="28" t="n"/>
      <c r="G44" s="28" t="n"/>
      <c r="H44" s="28" t="n"/>
    </row>
    <row r="45">
      <c r="A45" s="28" t="inlineStr">
        <is>
          <t>Year-1 principal repaid</t>
        </is>
      </c>
      <c r="B45" s="40">
        <f>IFERROR(IF(B20="","",IF(D27="",0,D27)),"")</f>
        <v>7483.790478742285</v>
      </c>
      <c r="C45" s="28" t="n"/>
      <c r="D45" s="28" t="n"/>
      <c r="E45" s="28" t="n"/>
      <c r="F45" s="28" t="n"/>
      <c r="G45" s="28" t="n"/>
      <c r="H45" s="28" t="n"/>
    </row>
    <row r="46">
      <c r="A46" s="28" t="inlineStr">
        <is>
          <t>Year-2 interest</t>
        </is>
      </c>
      <c r="B46" s="40">
        <f>IFERROR(IF(B20="","",IF(C28="",0,C28)),"")</f>
        <v>6351.6209521257715</v>
      </c>
      <c r="C46" s="28" t="n"/>
      <c r="D46" s="28" t="n"/>
      <c r="E46" s="28" t="n"/>
      <c r="F46" s="28" t="n"/>
      <c r="G46" s="28" t="n"/>
      <c r="H46" s="28" t="n"/>
    </row>
    <row r="47">
      <c r="A47" s="28" t="inlineStr">
        <is>
          <t>Year-2 principal repaid</t>
        </is>
      </c>
      <c r="B47" s="40">
        <f>IFERROR(IF(B20="","",IF(D28="",0,D28)),"")</f>
        <v>8232.169526616513</v>
      </c>
      <c r="C47" s="28" t="n"/>
      <c r="D47" s="28" t="n"/>
      <c r="E47" s="28" t="n"/>
      <c r="F47" s="28" t="n"/>
      <c r="G47" s="28" t="n"/>
      <c r="H47" s="28" t="n"/>
    </row>
    <row r="48">
      <c r="A48" s="28" t="inlineStr">
        <is>
          <t>Year-3 interest</t>
        </is>
      </c>
      <c r="B48" s="40">
        <f>IFERROR(IF(B20="","",IF(C29="",0,C29)),"")</f>
        <v>5528.403999464121</v>
      </c>
      <c r="C48" s="28" t="n"/>
      <c r="D48" s="28" t="n"/>
      <c r="E48" s="28" t="n"/>
      <c r="F48" s="28" t="n"/>
      <c r="G48" s="28" t="n"/>
      <c r="H48" s="28" t="n"/>
    </row>
    <row r="49">
      <c r="A49" s="28" t="inlineStr">
        <is>
          <t>Year-3 principal repaid</t>
        </is>
      </c>
      <c r="B49" s="40">
        <f>IFERROR(IF(B20="","",IF(D29="",0,D29)),"")</f>
        <v>9055.386479278164</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2.5786470933868375</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3.1995421207276564</v>
      </c>
      <c r="C52" s="28" t="n"/>
      <c r="D52" s="28" t="n"/>
      <c r="E52" s="28" t="n"/>
      <c r="F52" s="28" t="n"/>
      <c r="G52" s="28" t="n"/>
      <c r="H52" s="28" t="n"/>
    </row>
    <row r="53">
      <c r="A53" s="28" t="inlineStr">
        <is>
          <t>Year-3 DSCR</t>
        </is>
      </c>
      <c r="B53" s="61">
        <f>IFERROR(('3-Year P&amp;L'!$D$41-'3-Year P&amp;L'!$D$46+'3-Year P&amp;L'!$D$36+B48)/(B48+B49),"")</f>
        <v>3.5512326009433943</v>
      </c>
      <c r="C53" s="28" t="n"/>
      <c r="D53" s="28" t="n"/>
      <c r="E53" s="28" t="n"/>
      <c r="F53" s="28" t="n"/>
      <c r="G53" s="28" t="n"/>
      <c r="H53" s="28" t="n"/>
    </row>
    <row r="54">
      <c r="A54" s="25" t="inlineStr">
        <is>
          <t>Minimum DSCR across the whole schedule</t>
        </is>
      </c>
      <c r="B54" s="62">
        <f>IFERROR(IF(COUNT(H27:H41)=0,"",MIN(H27:H41)),"")</f>
        <v>2.5786470933868375</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Cart Financial Projections: 3-Year P&amp;L, Cash Flow &amp; Financing · Coffee Cart Business Plan Kit</dc:title>
  <dc:description xmlns:dc="http://purl.org/dc/elements/1.1/">aichef.pro/en/digital-products/coffee-cart-business-plan</dc:description>
  <dc:subject xmlns:dc="http://purl.org/dc/elements/1.1/">Coffee Cart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2026-10-28T19:32:18Z</dcterms:modified>
  <cp:lastModifiedBy>AI Chef Pro</cp:lastModifiedBy>
  <cp:category>AI Chef Pro · Digital products</cp:category>
  <cp:keywords>coffee cart business plan, coffee truck business plan, mobile coffee business plan, coffee trailer business plan, how to start a coffee cart business, coffee catering, AI Chef Pro</cp:keywords>
</cp:coreProperties>
</file>