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lantilla" sheetId="2" state="visible" r:id="rId2"/>
    <sheet xmlns:r="http://schemas.openxmlformats.org/officeDocument/2006/relationships" name="Vencimientos" sheetId="3" state="visible" r:id="rId3"/>
  </sheets>
  <definedNames>
    <definedName name="_xlnm.Print_Area" localSheetId="0">'Instrucciones'!$A$1:$B$31</definedName>
    <definedName name="_xlnm._FilterDatabase" localSheetId="1" hidden="1">'Plantilla'!$A$4:$V$34</definedName>
    <definedName name="_xlnm.Print_Titles" localSheetId="1">'Plantilla'!$4:$4,'Plantilla'!$A:$A</definedName>
    <definedName name="_xlnm.Print_Area" localSheetId="1">'Plantilla'!$A$1:$V$41</definedName>
    <definedName name="_xlnm.Print_Titles" localSheetId="2">'Vencimientos'!$6:$6,'Vencimientos'!$A:$A</definedName>
    <definedName name="_xlnm.Print_Area" localSheetId="2">'Vencimientos'!$A$1:$I$43</definedName>
  </definedNames>
  <calcPr calcId="124519" fullCalcOnLoad="1"/>
</workbook>
</file>

<file path=xl/styles.xml><?xml version="1.0" encoding="utf-8"?>
<styleSheet xmlns="http://schemas.openxmlformats.org/spreadsheetml/2006/main">
  <numFmts count="4">
    <numFmt numFmtId="164" formatCode="DD/MM/YYYY"/>
    <numFmt numFmtId="165" formatCode="€#,##0.00"/>
    <numFmt numFmtId="166" formatCode="dd/mm/yyyy"/>
    <numFmt numFmtId="167" formatCode="#,##0.00 €"/>
  </numFmts>
  <fonts count="20">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color rgb="00999999"/>
      <sz val="9"/>
    </font>
    <font>
      <name val="Calibri"/>
      <b val="1"/>
      <sz val="11"/>
    </font>
    <font>
      <name val="Calibri"/>
      <b val="1"/>
      <color rgb="001565C0"/>
      <sz val="11"/>
    </font>
    <font>
      <name val="Calibri"/>
      <b val="1"/>
      <color rgb="00FFD700"/>
      <sz val="12"/>
    </font>
    <font/>
    <font>
      <b val="1"/>
      <sz val="14"/>
    </font>
    <font>
      <color rgb="00666666"/>
      <sz val="9"/>
    </font>
    <font>
      <b val="1"/>
      <color rgb="00FFFFFF"/>
      <sz val="10"/>
    </font>
    <font>
      <i val="1"/>
      <sz val="9"/>
    </font>
    <font>
      <color rgb="00888888"/>
      <sz val="8"/>
    </font>
    <font>
      <b val="1"/>
      <sz val="11"/>
    </font>
    <font>
      <b val="1"/>
      <sz val="13"/>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left" vertical="center" wrapText="1"/>
    </xf>
    <xf numFmtId="0" fontId="7" fillId="3" borderId="1" applyAlignment="1" pivotButton="0" quotePrefix="0" xfId="0">
      <alignment horizontal="center" vertical="center" wrapText="1"/>
    </xf>
    <xf numFmtId="164" fontId="7" fillId="3" borderId="1" applyAlignment="1" pivotButton="0" quotePrefix="0" xfId="0">
      <alignment horizontal="center" vertical="center" wrapText="1"/>
    </xf>
    <xf numFmtId="165" fontId="7" fillId="3" borderId="1" applyAlignment="1" pivotButton="0" quotePrefix="0" xfId="0">
      <alignment horizontal="center" vertical="center" wrapText="1"/>
    </xf>
    <xf numFmtId="0" fontId="8" fillId="0" borderId="0" pivotButton="0" quotePrefix="0" xfId="0"/>
    <xf numFmtId="0" fontId="9" fillId="0" borderId="0" pivotButton="0" quotePrefix="0" xfId="0"/>
    <xf numFmtId="164" fontId="10" fillId="0" borderId="1" pivotButton="0" quotePrefix="0" xfId="0"/>
    <xf numFmtId="0" fontId="11" fillId="0" borderId="0" pivotButton="0" quotePrefix="0" xfId="0"/>
    <xf numFmtId="0" fontId="7" fillId="0" borderId="1" pivotButton="0" quotePrefix="0" xfId="0"/>
    <xf numFmtId="164" fontId="7" fillId="0" borderId="1" pivotButton="0" quotePrefix="0" xfId="0"/>
    <xf numFmtId="0" fontId="10"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3" borderId="1" pivotButton="0" quotePrefix="0" xfId="0"/>
    <xf numFmtId="164" fontId="7" fillId="3" borderId="1" pivotButton="0" quotePrefix="0" xfId="0"/>
    <xf numFmtId="0" fontId="19" fillId="0" borderId="0" applyAlignment="1" pivotButton="0" quotePrefix="0" xfId="0">
      <alignment vertical="top" wrapText="1"/>
    </xf>
    <xf numFmtId="0" fontId="12" fillId="0" borderId="0" applyAlignment="1" pivotButton="0" quotePrefix="0" xfId="0">
      <alignment vertical="top" wrapText="1"/>
    </xf>
    <xf numFmtId="0" fontId="0" fillId="0" borderId="0" applyAlignment="1" pivotButton="0" quotePrefix="0" xfId="0">
      <alignment vertical="top" wrapText="1"/>
    </xf>
    <xf numFmtId="0" fontId="13" fillId="0" borderId="0" pivotButton="0" quotePrefix="0" xfId="0"/>
    <xf numFmtId="0" fontId="14" fillId="0" borderId="0" pivotButton="0" quotePrefix="0" xfId="0"/>
    <xf numFmtId="0" fontId="12" fillId="0" borderId="0" pivotButton="0" quotePrefix="0" xfId="0"/>
    <xf numFmtId="0" fontId="15" fillId="4" borderId="1" applyAlignment="1" pivotButton="0" quotePrefix="0" xfId="0">
      <alignment horizontal="center" vertical="center" wrapText="1"/>
    </xf>
    <xf numFmtId="0" fontId="15" fillId="4" borderId="0" applyAlignment="1" pivotButton="0" quotePrefix="0" xfId="0">
      <alignment horizontal="center" vertical="center" wrapText="1"/>
    </xf>
    <xf numFmtId="0" fontId="12" fillId="5" borderId="1" applyProtection="1" pivotButton="0" quotePrefix="0" xfId="0">
      <protection locked="0" hidden="0"/>
    </xf>
    <xf numFmtId="49" fontId="12" fillId="5" borderId="1" applyProtection="1" pivotButton="0" quotePrefix="0" xfId="0">
      <protection locked="0" hidden="0"/>
    </xf>
    <xf numFmtId="166" fontId="12" fillId="5" borderId="1" applyProtection="1" pivotButton="0" quotePrefix="0" xfId="0">
      <protection locked="0" hidden="0"/>
    </xf>
    <xf numFmtId="2" fontId="12" fillId="5" borderId="1" applyProtection="1" pivotButton="0" quotePrefix="0" xfId="0">
      <protection locked="0" hidden="0"/>
    </xf>
    <xf numFmtId="167" fontId="0" fillId="5" borderId="0" applyProtection="1" pivotButton="0" quotePrefix="0" xfId="0">
      <protection locked="0" hidden="0"/>
    </xf>
    <xf numFmtId="49" fontId="0" fillId="5" borderId="0" applyProtection="1" pivotButton="0" quotePrefix="0" xfId="0">
      <protection locked="0" hidden="0"/>
    </xf>
    <xf numFmtId="0" fontId="0" fillId="5" borderId="0" applyProtection="1" pivotButton="0" quotePrefix="0" xfId="0">
      <protection locked="0" hidden="0"/>
    </xf>
    <xf numFmtId="0" fontId="0" fillId="0" borderId="0" applyAlignment="1" pivotButton="0" quotePrefix="0" xfId="0">
      <alignment vertical="center" wrapText="1"/>
    </xf>
    <xf numFmtId="0" fontId="16" fillId="0" borderId="0" applyAlignment="1" pivotButton="0" quotePrefix="0" xfId="0">
      <alignment vertical="top" wrapText="1"/>
    </xf>
    <xf numFmtId="0" fontId="17" fillId="0" borderId="0" applyAlignment="1" pivotButton="0" quotePrefix="0" xfId="0">
      <alignment horizontal="center"/>
    </xf>
    <xf numFmtId="0" fontId="18" fillId="0" borderId="0" pivotButton="0" quotePrefix="0" xfId="0"/>
    <xf numFmtId="166" fontId="12" fillId="0" borderId="1" pivotButton="0" quotePrefix="0" xfId="0"/>
    <xf numFmtId="1" fontId="12" fillId="0" borderId="0" applyAlignment="1" pivotButton="0" quotePrefix="0" xfId="0">
      <alignment horizontal="center" vertical="center"/>
    </xf>
    <xf numFmtId="1" fontId="12" fillId="5" borderId="0" applyProtection="1" pivotButton="0" quotePrefix="0" xfId="0">
      <protection locked="0" hidden="0"/>
    </xf>
    <xf numFmtId="0" fontId="12" fillId="0" borderId="1" pivotButton="0" quotePrefix="0" xfId="0"/>
    <xf numFmtId="0" fontId="12" fillId="0" borderId="1" applyAlignment="1" pivotButton="0" quotePrefix="0" xfId="0">
      <alignment horizontal="center" vertical="center"/>
    </xf>
    <xf numFmtId="166" fontId="0" fillId="0" borderId="0" pivotButton="0" quotePrefix="0" xfId="0"/>
    <xf numFmtId="0" fontId="0" fillId="0" borderId="0" applyAlignment="1" pivotButton="0" quotePrefix="0" xfId="0">
      <alignment horizontal="center" vertical="center"/>
    </xf>
    <xf numFmtId="166" fontId="12" fillId="0" borderId="0" pivotButton="0" quotePrefix="0" xfId="0"/>
    <xf numFmtId="0" fontId="12" fillId="0" borderId="0" applyAlignment="1" pivotButton="0" quotePrefix="0" xfId="0">
      <alignment horizontal="center" vertical="center"/>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31"/>
  <sheetViews>
    <sheetView workbookViewId="0">
      <selection activeCell="A1" sqref="A1"/>
    </sheetView>
  </sheetViews>
  <sheetFormatPr baseColWidth="8" defaultRowHeight="15"/>
  <cols>
    <col width="3" customWidth="1" min="1" max="1"/>
    <col width="80" customWidth="1" min="2" max="2"/>
  </cols>
  <sheetData>
    <row r="1"/>
    <row r="2">
      <c r="B2" s="21" t="inlineStr">
        <is>
          <t>07 · Directorio de Plantilla</t>
        </is>
      </c>
    </row>
    <row r="3"/>
    <row r="4">
      <c r="B4" s="22" t="inlineStr">
        <is>
          <t>Cómo usar esta plantilla:</t>
        </is>
      </c>
    </row>
    <row r="5">
      <c r="B5" s="22" t="inlineStr">
        <is>
          <t>▸ Registra a cada empleado en una fila de la hoja 'Plantilla'. Caben 30, los mismos que el cuadrante (01) y que el histórico de evaluaciones (06).</t>
        </is>
      </c>
    </row>
    <row r="6">
      <c r="B6" s="22" t="inlineStr">
        <is>
          <t>▸ Usa los filtros de Excel para buscar por puesto, convenio o modalidad de contrato.</t>
        </is>
      </c>
    </row>
    <row r="7">
      <c r="B7" s="22" t="inlineStr">
        <is>
          <t>▸ La hoja 'Vencimientos' no se escribe: lee las cuatro fechas de caducidad del directorio y las ordena por gravedad.</t>
        </is>
      </c>
    </row>
    <row r="8"/>
    <row r="9">
      <c r="B9" s="22" t="inlineStr">
        <is>
          <t>Datos incluidos:</t>
        </is>
      </c>
    </row>
    <row r="10">
      <c r="B10" s="22" t="inlineStr">
        <is>
          <t>▸ Identificación: nombre, DNI/NIE, fecha de nacimiento y NAF (número de afiliación a la Seguridad Social).</t>
        </is>
      </c>
    </row>
    <row r="11">
      <c r="B11" s="22" t="inlineStr">
        <is>
          <t>▸ Relación laboral: puesto, grupo profesional, convenio aplicable, modalidad de contrato, jornada, horas semanales, alta, fin de contrato y fin del periodo de prueba.</t>
        </is>
      </c>
    </row>
    <row r="12">
      <c r="B12" s="22" t="inlineStr">
        <is>
          <t>▸ Formación obligatoria: caducidad del carnet de manipulador de alimentos y de la formación en PRL.</t>
        </is>
      </c>
    </row>
    <row r="13">
      <c r="B13" s="22" t="inlineStr">
        <is>
          <t>▸ Contacto: teléfono, email y contacto de emergencia.</t>
        </is>
      </c>
    </row>
    <row r="14">
      <c r="B14" s="22" t="inlineStr">
        <is>
          <t>▸ Operativos: salario bruto anual, talla de uniforme y taquilla.</t>
        </is>
      </c>
    </row>
    <row r="15">
      <c r="B15" s="22" t="inlineStr">
        <is>
          <t>▸ NO se piden datos de salud: la columna de alergias e intolerancias del trabajador que traía la versión 1.1 se ha retirado (ver más abajo).</t>
        </is>
      </c>
    </row>
    <row r="16">
      <c r="B16" s="3" t="n"/>
    </row>
    <row r="17">
      <c r="B17" s="22" t="inlineStr">
        <is>
          <t>Protección de datos (RGPD):</t>
        </is>
      </c>
    </row>
    <row r="18">
      <c r="B18" s="22" t="inlineStr">
        <is>
          <t>▸ Base jurídica: el tratamiento de estos datos se ampara en la ejecución del contrato de trabajo (art. 6.1.b RGPD) y en el cumplimiento de obligaciones legales laborales, de Seguridad Social y fiscales (art. 6.1.c). No hace falta pedir consentimiento para ellos, y pedirlo sería confuso.</t>
        </is>
      </c>
    </row>
    <row r="19">
      <c r="B19" s="22" t="inlineStr">
        <is>
          <t>▸ Minimización (art. 5.1.c): sólo lo que necesitas para gestionar la relación laboral. Por eso este directorio ya no pide alergias ni intolerancias del trabajador: son datos de salud, categoría especial del art. 9 RGPD, y exigen una base jurídica distinta y reforzada. Si tu prevención de riesgos necesita alguna, la custodia el servicio de prevención, no la hoja de RRHH.</t>
        </is>
      </c>
    </row>
    <row r="20">
      <c r="B20" s="22" t="inlineStr">
        <is>
          <t>▸ Contacto de emergencia: es el dato de un TERCERO. Informa a esa persona de que la tienes registrada y para qué, y recoge el dato del empleado sólo con su conocimiento.</t>
        </is>
      </c>
    </row>
    <row r="21">
      <c r="B21" s="22" t="inlineStr">
        <is>
          <t>▸ Plazos de conservación: el registro diario de jornada se guarda 4 años (art. 34.9 ET) y la documentación de cotización y de alta, 4 años (art. 21 LISOS). Pasado el plazo y agotadas las posibles reclamaciones, se suprime.</t>
        </is>
      </c>
    </row>
    <row r="22">
      <c r="B22" s="22" t="inlineStr">
        <is>
          <t>▸ Derechos del trabajador: acceso, rectificación, supresión, limitación, portabilidad y oposición (arts. 15 a 22 RGPD). Ten previsto a quién se dirige la petición y en cuánto tiempo respondes (un mes).</t>
        </is>
      </c>
    </row>
    <row r="23">
      <c r="B23" s="22" t="inlineStr">
        <is>
          <t>▸ Cómo cifrar este libro: Archivo → Información → Proteger libro → Cifrar con contraseña. Guarda esa contraseña en tu gestor de contraseñas, no en el nombre del fichero.</t>
        </is>
      </c>
    </row>
    <row r="24">
      <c r="B24" s="22" t="inlineStr">
        <is>
          <t>▸ Acceso limitado a RRHH y dirección; nunca por email sin cifrar ni en carpetas compartidas del equipo.</t>
        </is>
      </c>
    </row>
    <row r="25"/>
    <row r="26">
      <c r="B26" s="22" t="inlineStr">
        <is>
          <t>Nota sobre la protección de las hojas:</t>
        </is>
      </c>
    </row>
    <row r="27">
      <c r="B27" s="22" t="inlineStr">
        <is>
          <t>▸ Las hojas van protegidas para que nadie borre una fórmula por error, pero SIN contraseña: son dos cosas distintas. Cifrar el libro (arriba) es lo que protege los datos personales.</t>
        </is>
      </c>
    </row>
    <row r="28"/>
    <row r="29">
      <c r="B29" s="23" t="inlineStr">
        <is>
          <t>Para editar una celda bloqueada: Revisar → Desproteger hoja (no tiene contraseña). Las celdas verdes ya son editables sin desproteger nada.</t>
        </is>
      </c>
    </row>
    <row r="30">
      <c r="B30" s="23" t="inlineStr">
        <is>
          <t>Diseñado por John Guerrero — chef y consultor gastronómico desde 2010, en cocina desde los 17 años · johnguerrero.es</t>
        </is>
      </c>
    </row>
    <row r="31">
      <c r="B31" s="23" t="inlineStr">
        <is>
          <t>Versión 2.0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00695C"/>
    <outlinePr summaryBelow="1" summaryRight="1"/>
    <pageSetUpPr fitToPage="1"/>
  </sheetPr>
  <dimension ref="A1:V4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20" customWidth="1" min="5" max="5"/>
    <col width="20" customWidth="1" min="6" max="6"/>
    <col width="12" customWidth="1" min="7" max="7"/>
    <col width="12" customWidth="1" min="8" max="8"/>
    <col width="26" customWidth="1" min="9" max="9"/>
    <col width="20" customWidth="1" min="10" max="10"/>
    <col width="13" customWidth="1" min="11" max="11"/>
    <col width="15" customWidth="1" min="12" max="12"/>
    <col width="15" customWidth="1" min="13" max="13"/>
    <col width="17" customWidth="1" min="14" max="14"/>
    <col width="15" customWidth="1" min="15" max="15"/>
    <col width="16" customWidth="1" min="16" max="16"/>
    <col width="14" customWidth="1" min="17" max="17"/>
    <col width="24" customWidth="1" min="18" max="18"/>
    <col width="24" customWidth="1" min="19" max="19"/>
    <col width="12" customWidth="1" min="20" max="20"/>
    <col width="10" customWidth="1" min="21" max="21"/>
    <col width="34" customWidth="1" min="22" max="22"/>
  </cols>
  <sheetData>
    <row r="1">
      <c r="A1" s="24" t="inlineStr">
        <is>
          <t>Directorio de Plantilla</t>
        </is>
      </c>
    </row>
    <row r="2">
      <c r="A2" s="25" t="inlineStr">
        <is>
          <t>AI Chef Pro · aichef.pro — Kit Gestión de Personal y Turnos</t>
        </is>
      </c>
    </row>
    <row r="3">
      <c r="A3" s="26" t="n"/>
      <c r="B3" s="26" t="n"/>
      <c r="C3" s="26" t="n"/>
      <c r="D3" s="26" t="n"/>
      <c r="E3" s="26" t="n"/>
      <c r="F3" s="26" t="n"/>
      <c r="G3" s="26" t="n"/>
      <c r="H3" s="26" t="n"/>
      <c r="I3" s="26" t="n"/>
      <c r="J3" s="26" t="n"/>
      <c r="K3" s="26" t="n"/>
      <c r="L3" s="26" t="n"/>
      <c r="M3" s="26" t="n"/>
      <c r="N3" s="26" t="n"/>
      <c r="O3" s="26" t="n"/>
    </row>
    <row r="4" ht="30" customHeight="1">
      <c r="A4" s="27" t="inlineStr">
        <is>
          <t>Nombre Completo</t>
        </is>
      </c>
      <c r="B4" s="27" t="inlineStr">
        <is>
          <t>DNI / NIE</t>
        </is>
      </c>
      <c r="C4" s="27" t="inlineStr">
        <is>
          <t>Fecha de Nacimiento</t>
        </is>
      </c>
      <c r="D4" s="27" t="inlineStr">
        <is>
          <t>Tipo Contrato</t>
        </is>
      </c>
      <c r="E4" s="27" t="inlineStr">
        <is>
          <t>Puesto</t>
        </is>
      </c>
      <c r="F4" s="27" t="inlineStr">
        <is>
          <t>Grupo Profesional (convenio)</t>
        </is>
      </c>
      <c r="G4" s="27" t="inlineStr">
        <is>
          <t>Jornada</t>
        </is>
      </c>
      <c r="H4" s="27" t="inlineStr">
        <is>
          <t>Horas Semanales</t>
        </is>
      </c>
      <c r="I4" s="27" t="inlineStr">
        <is>
          <t>Convenio Aplicable</t>
        </is>
      </c>
      <c r="J4" s="27" t="inlineStr">
        <is>
          <t>NAF / Nº Seguridad Social</t>
        </is>
      </c>
      <c r="K4" s="27" t="inlineStr">
        <is>
          <t>Fecha Alta</t>
        </is>
      </c>
      <c r="L4" s="27" t="inlineStr">
        <is>
          <t>Fecha Fin Contrato</t>
        </is>
      </c>
      <c r="M4" s="27" t="inlineStr">
        <is>
          <t>Fin Periodo de Prueba</t>
        </is>
      </c>
      <c r="N4" s="27" t="inlineStr">
        <is>
          <t>Caducidad Carnet Manipulador</t>
        </is>
      </c>
      <c r="O4" s="27" t="inlineStr">
        <is>
          <t>Caducidad PRL</t>
        </is>
      </c>
      <c r="P4" s="28" t="inlineStr">
        <is>
          <t>Salario Bruto Anual</t>
        </is>
      </c>
      <c r="Q4" s="28" t="inlineStr">
        <is>
          <t>Teléfono</t>
        </is>
      </c>
      <c r="R4" s="28" t="inlineStr">
        <is>
          <t>Email</t>
        </is>
      </c>
      <c r="S4" s="28" t="inlineStr">
        <is>
          <t>Contacto Emergencia</t>
        </is>
      </c>
      <c r="T4" s="28" t="inlineStr">
        <is>
          <t>Talla Uniforme</t>
        </is>
      </c>
      <c r="U4" s="28" t="inlineStr">
        <is>
          <t>Taquilla</t>
        </is>
      </c>
      <c r="V4" s="28" t="inlineStr">
        <is>
          <t>Aviso</t>
        </is>
      </c>
    </row>
    <row r="5">
      <c r="A5" s="29" t="n"/>
      <c r="B5" s="30" t="n"/>
      <c r="C5" s="31" t="n"/>
      <c r="D5" s="29" t="n"/>
      <c r="E5" s="29" t="n"/>
      <c r="F5" s="29" t="n"/>
      <c r="G5" s="29" t="n"/>
      <c r="H5" s="32" t="n"/>
      <c r="I5" s="29" t="n"/>
      <c r="J5" s="30" t="n"/>
      <c r="K5" s="31" t="n"/>
      <c r="L5" s="31" t="n"/>
      <c r="M5" s="31" t="n"/>
      <c r="N5" s="31" t="n"/>
      <c r="O5" s="31" t="n"/>
      <c r="P5" s="33" t="n"/>
      <c r="Q5" s="34" t="n"/>
      <c r="R5" s="35" t="n"/>
      <c r="S5" s="35" t="n"/>
      <c r="T5" s="35" t="n"/>
      <c r="U5" s="35" t="n"/>
      <c r="V5" s="36">
        <f>IF($C5="","",IF(DATE(YEAR($C5)+18,MONTH($C5),DAY($C5))&gt;TODAY(),"⚠ MENOR DE EDAD: sin nocturnidad ni horas extra (art. 6 ET)",""))</f>
        <v/>
      </c>
    </row>
    <row r="6">
      <c r="A6" s="29" t="n"/>
      <c r="B6" s="30" t="n"/>
      <c r="C6" s="31" t="n"/>
      <c r="D6" s="29" t="n"/>
      <c r="E6" s="29" t="n"/>
      <c r="F6" s="29" t="n"/>
      <c r="G6" s="29" t="n"/>
      <c r="H6" s="32" t="n"/>
      <c r="I6" s="29" t="n"/>
      <c r="J6" s="30" t="n"/>
      <c r="K6" s="31" t="n"/>
      <c r="L6" s="31" t="n"/>
      <c r="M6" s="31" t="n"/>
      <c r="N6" s="31" t="n"/>
      <c r="O6" s="31" t="n"/>
      <c r="P6" s="33" t="n"/>
      <c r="Q6" s="34" t="n"/>
      <c r="R6" s="35" t="n"/>
      <c r="S6" s="35" t="n"/>
      <c r="T6" s="35" t="n"/>
      <c r="U6" s="35" t="n"/>
      <c r="V6" s="36">
        <f>IF($C6="","",IF(DATE(YEAR($C6)+18,MONTH($C6),DAY($C6))&gt;TODAY(),"⚠ MENOR DE EDAD: sin nocturnidad ni horas extra (art. 6 ET)",""))</f>
        <v/>
      </c>
    </row>
    <row r="7">
      <c r="A7" s="29" t="n"/>
      <c r="B7" s="30" t="n"/>
      <c r="C7" s="31" t="n"/>
      <c r="D7" s="29" t="n"/>
      <c r="E7" s="29" t="n"/>
      <c r="F7" s="29" t="n"/>
      <c r="G7" s="29" t="n"/>
      <c r="H7" s="32" t="n"/>
      <c r="I7" s="29" t="n"/>
      <c r="J7" s="30" t="n"/>
      <c r="K7" s="31" t="n"/>
      <c r="L7" s="31" t="n"/>
      <c r="M7" s="31" t="n"/>
      <c r="N7" s="31" t="n"/>
      <c r="O7" s="31" t="n"/>
      <c r="P7" s="33" t="n"/>
      <c r="Q7" s="34" t="n"/>
      <c r="R7" s="35" t="n"/>
      <c r="S7" s="35" t="n"/>
      <c r="T7" s="35" t="n"/>
      <c r="U7" s="35" t="n"/>
      <c r="V7" s="36">
        <f>IF($C7="","",IF(DATE(YEAR($C7)+18,MONTH($C7),DAY($C7))&gt;TODAY(),"⚠ MENOR DE EDAD: sin nocturnidad ni horas extra (art. 6 ET)",""))</f>
        <v/>
      </c>
    </row>
    <row r="8">
      <c r="A8" s="29" t="n"/>
      <c r="B8" s="30" t="n"/>
      <c r="C8" s="31" t="n"/>
      <c r="D8" s="29" t="n"/>
      <c r="E8" s="29" t="n"/>
      <c r="F8" s="29" t="n"/>
      <c r="G8" s="29" t="n"/>
      <c r="H8" s="32" t="n"/>
      <c r="I8" s="29" t="n"/>
      <c r="J8" s="30" t="n"/>
      <c r="K8" s="31" t="n"/>
      <c r="L8" s="31" t="n"/>
      <c r="M8" s="31" t="n"/>
      <c r="N8" s="31" t="n"/>
      <c r="O8" s="31" t="n"/>
      <c r="P8" s="33" t="n"/>
      <c r="Q8" s="34" t="n"/>
      <c r="R8" s="35" t="n"/>
      <c r="S8" s="35" t="n"/>
      <c r="T8" s="35" t="n"/>
      <c r="U8" s="35" t="n"/>
      <c r="V8" s="36">
        <f>IF($C8="","",IF(DATE(YEAR($C8)+18,MONTH($C8),DAY($C8))&gt;TODAY(),"⚠ MENOR DE EDAD: sin nocturnidad ni horas extra (art. 6 ET)",""))</f>
        <v/>
      </c>
    </row>
    <row r="9">
      <c r="A9" s="29" t="n"/>
      <c r="B9" s="30" t="n"/>
      <c r="C9" s="31" t="n"/>
      <c r="D9" s="29" t="n"/>
      <c r="E9" s="29" t="n"/>
      <c r="F9" s="29" t="n"/>
      <c r="G9" s="29" t="n"/>
      <c r="H9" s="32" t="n"/>
      <c r="I9" s="29" t="n"/>
      <c r="J9" s="30" t="n"/>
      <c r="K9" s="31" t="n"/>
      <c r="L9" s="31" t="n"/>
      <c r="M9" s="31" t="n"/>
      <c r="N9" s="31" t="n"/>
      <c r="O9" s="31" t="n"/>
      <c r="P9" s="33" t="n"/>
      <c r="Q9" s="34" t="n"/>
      <c r="R9" s="35" t="n"/>
      <c r="S9" s="35" t="n"/>
      <c r="T9" s="35" t="n"/>
      <c r="U9" s="35" t="n"/>
      <c r="V9" s="36">
        <f>IF($C9="","",IF(DATE(YEAR($C9)+18,MONTH($C9),DAY($C9))&gt;TODAY(),"⚠ MENOR DE EDAD: sin nocturnidad ni horas extra (art. 6 ET)",""))</f>
        <v/>
      </c>
    </row>
    <row r="10">
      <c r="A10" s="29" t="n"/>
      <c r="B10" s="30" t="n"/>
      <c r="C10" s="31" t="n"/>
      <c r="D10" s="29" t="n"/>
      <c r="E10" s="29" t="n"/>
      <c r="F10" s="29" t="n"/>
      <c r="G10" s="29" t="n"/>
      <c r="H10" s="32" t="n"/>
      <c r="I10" s="29" t="n"/>
      <c r="J10" s="30" t="n"/>
      <c r="K10" s="31" t="n"/>
      <c r="L10" s="31" t="n"/>
      <c r="M10" s="31" t="n"/>
      <c r="N10" s="31" t="n"/>
      <c r="O10" s="31" t="n"/>
      <c r="P10" s="33" t="n"/>
      <c r="Q10" s="34" t="n"/>
      <c r="R10" s="35" t="n"/>
      <c r="S10" s="35" t="n"/>
      <c r="T10" s="35" t="n"/>
      <c r="U10" s="35" t="n"/>
      <c r="V10" s="36">
        <f>IF($C10="","",IF(DATE(YEAR($C10)+18,MONTH($C10),DAY($C10))&gt;TODAY(),"⚠ MENOR DE EDAD: sin nocturnidad ni horas extra (art. 6 ET)",""))</f>
        <v/>
      </c>
    </row>
    <row r="11">
      <c r="A11" s="29" t="n"/>
      <c r="B11" s="30" t="n"/>
      <c r="C11" s="31" t="n"/>
      <c r="D11" s="29" t="n"/>
      <c r="E11" s="29" t="n"/>
      <c r="F11" s="29" t="n"/>
      <c r="G11" s="29" t="n"/>
      <c r="H11" s="32" t="n"/>
      <c r="I11" s="29" t="n"/>
      <c r="J11" s="30" t="n"/>
      <c r="K11" s="31" t="n"/>
      <c r="L11" s="31" t="n"/>
      <c r="M11" s="31" t="n"/>
      <c r="N11" s="31" t="n"/>
      <c r="O11" s="31" t="n"/>
      <c r="P11" s="33" t="n"/>
      <c r="Q11" s="34" t="n"/>
      <c r="R11" s="35" t="n"/>
      <c r="S11" s="35" t="n"/>
      <c r="T11" s="35" t="n"/>
      <c r="U11" s="35" t="n"/>
      <c r="V11" s="36">
        <f>IF($C11="","",IF(DATE(YEAR($C11)+18,MONTH($C11),DAY($C11))&gt;TODAY(),"⚠ MENOR DE EDAD: sin nocturnidad ni horas extra (art. 6 ET)",""))</f>
        <v/>
      </c>
    </row>
    <row r="12">
      <c r="A12" s="29" t="n"/>
      <c r="B12" s="30" t="n"/>
      <c r="C12" s="31" t="n"/>
      <c r="D12" s="29" t="n"/>
      <c r="E12" s="29" t="n"/>
      <c r="F12" s="29" t="n"/>
      <c r="G12" s="29" t="n"/>
      <c r="H12" s="32" t="n"/>
      <c r="I12" s="29" t="n"/>
      <c r="J12" s="30" t="n"/>
      <c r="K12" s="31" t="n"/>
      <c r="L12" s="31" t="n"/>
      <c r="M12" s="31" t="n"/>
      <c r="N12" s="31" t="n"/>
      <c r="O12" s="31" t="n"/>
      <c r="P12" s="33" t="n"/>
      <c r="Q12" s="34" t="n"/>
      <c r="R12" s="35" t="n"/>
      <c r="S12" s="35" t="n"/>
      <c r="T12" s="35" t="n"/>
      <c r="U12" s="35" t="n"/>
      <c r="V12" s="36">
        <f>IF($C12="","",IF(DATE(YEAR($C12)+18,MONTH($C12),DAY($C12))&gt;TODAY(),"⚠ MENOR DE EDAD: sin nocturnidad ni horas extra (art. 6 ET)",""))</f>
        <v/>
      </c>
    </row>
    <row r="13">
      <c r="A13" s="29" t="n"/>
      <c r="B13" s="30" t="n"/>
      <c r="C13" s="31" t="n"/>
      <c r="D13" s="29" t="n"/>
      <c r="E13" s="29" t="n"/>
      <c r="F13" s="29" t="n"/>
      <c r="G13" s="29" t="n"/>
      <c r="H13" s="32" t="n"/>
      <c r="I13" s="29" t="n"/>
      <c r="J13" s="30" t="n"/>
      <c r="K13" s="31" t="n"/>
      <c r="L13" s="31" t="n"/>
      <c r="M13" s="31" t="n"/>
      <c r="N13" s="31" t="n"/>
      <c r="O13" s="31" t="n"/>
      <c r="P13" s="33" t="n"/>
      <c r="Q13" s="34" t="n"/>
      <c r="R13" s="35" t="n"/>
      <c r="S13" s="35" t="n"/>
      <c r="T13" s="35" t="n"/>
      <c r="U13" s="35" t="n"/>
      <c r="V13" s="36">
        <f>IF($C13="","",IF(DATE(YEAR($C13)+18,MONTH($C13),DAY($C13))&gt;TODAY(),"⚠ MENOR DE EDAD: sin nocturnidad ni horas extra (art. 6 ET)",""))</f>
        <v/>
      </c>
    </row>
    <row r="14">
      <c r="A14" s="29" t="n"/>
      <c r="B14" s="30" t="n"/>
      <c r="C14" s="31" t="n"/>
      <c r="D14" s="29" t="n"/>
      <c r="E14" s="29" t="n"/>
      <c r="F14" s="29" t="n"/>
      <c r="G14" s="29" t="n"/>
      <c r="H14" s="32" t="n"/>
      <c r="I14" s="29" t="n"/>
      <c r="J14" s="30" t="n"/>
      <c r="K14" s="31" t="n"/>
      <c r="L14" s="31" t="n"/>
      <c r="M14" s="31" t="n"/>
      <c r="N14" s="31" t="n"/>
      <c r="O14" s="31" t="n"/>
      <c r="P14" s="33" t="n"/>
      <c r="Q14" s="34" t="n"/>
      <c r="R14" s="35" t="n"/>
      <c r="S14" s="35" t="n"/>
      <c r="T14" s="35" t="n"/>
      <c r="U14" s="35" t="n"/>
      <c r="V14" s="36">
        <f>IF($C14="","",IF(DATE(YEAR($C14)+18,MONTH($C14),DAY($C14))&gt;TODAY(),"⚠ MENOR DE EDAD: sin nocturnidad ni horas extra (art. 6 ET)",""))</f>
        <v/>
      </c>
    </row>
    <row r="15">
      <c r="A15" s="29" t="n"/>
      <c r="B15" s="30" t="n"/>
      <c r="C15" s="31" t="n"/>
      <c r="D15" s="29" t="n"/>
      <c r="E15" s="29" t="n"/>
      <c r="F15" s="29" t="n"/>
      <c r="G15" s="29" t="n"/>
      <c r="H15" s="32" t="n"/>
      <c r="I15" s="29" t="n"/>
      <c r="J15" s="30" t="n"/>
      <c r="K15" s="31" t="n"/>
      <c r="L15" s="31" t="n"/>
      <c r="M15" s="31" t="n"/>
      <c r="N15" s="31" t="n"/>
      <c r="O15" s="31" t="n"/>
      <c r="P15" s="33" t="n"/>
      <c r="Q15" s="34" t="n"/>
      <c r="R15" s="35" t="n"/>
      <c r="S15" s="35" t="n"/>
      <c r="T15" s="35" t="n"/>
      <c r="U15" s="35" t="n"/>
      <c r="V15" s="36">
        <f>IF($C15="","",IF(DATE(YEAR($C15)+18,MONTH($C15),DAY($C15))&gt;TODAY(),"⚠ MENOR DE EDAD: sin nocturnidad ni horas extra (art. 6 ET)",""))</f>
        <v/>
      </c>
    </row>
    <row r="16">
      <c r="A16" s="29" t="n"/>
      <c r="B16" s="30" t="n"/>
      <c r="C16" s="31" t="n"/>
      <c r="D16" s="29" t="n"/>
      <c r="E16" s="29" t="n"/>
      <c r="F16" s="29" t="n"/>
      <c r="G16" s="29" t="n"/>
      <c r="H16" s="32" t="n"/>
      <c r="I16" s="29" t="n"/>
      <c r="J16" s="30" t="n"/>
      <c r="K16" s="31" t="n"/>
      <c r="L16" s="31" t="n"/>
      <c r="M16" s="31" t="n"/>
      <c r="N16" s="31" t="n"/>
      <c r="O16" s="31" t="n"/>
      <c r="P16" s="33" t="n"/>
      <c r="Q16" s="34" t="n"/>
      <c r="R16" s="35" t="n"/>
      <c r="S16" s="35" t="n"/>
      <c r="T16" s="35" t="n"/>
      <c r="U16" s="35" t="n"/>
      <c r="V16" s="36">
        <f>IF($C16="","",IF(DATE(YEAR($C16)+18,MONTH($C16),DAY($C16))&gt;TODAY(),"⚠ MENOR DE EDAD: sin nocturnidad ni horas extra (art. 6 ET)",""))</f>
        <v/>
      </c>
    </row>
    <row r="17">
      <c r="A17" s="29" t="n"/>
      <c r="B17" s="30" t="n"/>
      <c r="C17" s="31" t="n"/>
      <c r="D17" s="29" t="n"/>
      <c r="E17" s="29" t="n"/>
      <c r="F17" s="29" t="n"/>
      <c r="G17" s="29" t="n"/>
      <c r="H17" s="32" t="n"/>
      <c r="I17" s="29" t="n"/>
      <c r="J17" s="30" t="n"/>
      <c r="K17" s="31" t="n"/>
      <c r="L17" s="31" t="n"/>
      <c r="M17" s="31" t="n"/>
      <c r="N17" s="31" t="n"/>
      <c r="O17" s="31" t="n"/>
      <c r="P17" s="33" t="n"/>
      <c r="Q17" s="34" t="n"/>
      <c r="R17" s="35" t="n"/>
      <c r="S17" s="35" t="n"/>
      <c r="T17" s="35" t="n"/>
      <c r="U17" s="35" t="n"/>
      <c r="V17" s="36">
        <f>IF($C17="","",IF(DATE(YEAR($C17)+18,MONTH($C17),DAY($C17))&gt;TODAY(),"⚠ MENOR DE EDAD: sin nocturnidad ni horas extra (art. 6 ET)",""))</f>
        <v/>
      </c>
    </row>
    <row r="18">
      <c r="A18" s="29" t="n"/>
      <c r="B18" s="30" t="n"/>
      <c r="C18" s="31" t="n"/>
      <c r="D18" s="29" t="n"/>
      <c r="E18" s="29" t="n"/>
      <c r="F18" s="29" t="n"/>
      <c r="G18" s="29" t="n"/>
      <c r="H18" s="32" t="n"/>
      <c r="I18" s="29" t="n"/>
      <c r="J18" s="30" t="n"/>
      <c r="K18" s="31" t="n"/>
      <c r="L18" s="31" t="n"/>
      <c r="M18" s="31" t="n"/>
      <c r="N18" s="31" t="n"/>
      <c r="O18" s="31" t="n"/>
      <c r="P18" s="33" t="n"/>
      <c r="Q18" s="34" t="n"/>
      <c r="R18" s="35" t="n"/>
      <c r="S18" s="35" t="n"/>
      <c r="T18" s="35" t="n"/>
      <c r="U18" s="35" t="n"/>
      <c r="V18" s="36">
        <f>IF($C18="","",IF(DATE(YEAR($C18)+18,MONTH($C18),DAY($C18))&gt;TODAY(),"⚠ MENOR DE EDAD: sin nocturnidad ni horas extra (art. 6 ET)",""))</f>
        <v/>
      </c>
    </row>
    <row r="19">
      <c r="A19" s="29" t="n"/>
      <c r="B19" s="30" t="n"/>
      <c r="C19" s="31" t="n"/>
      <c r="D19" s="29" t="n"/>
      <c r="E19" s="29" t="n"/>
      <c r="F19" s="29" t="n"/>
      <c r="G19" s="29" t="n"/>
      <c r="H19" s="32" t="n"/>
      <c r="I19" s="29" t="n"/>
      <c r="J19" s="30" t="n"/>
      <c r="K19" s="31" t="n"/>
      <c r="L19" s="31" t="n"/>
      <c r="M19" s="31" t="n"/>
      <c r="N19" s="31" t="n"/>
      <c r="O19" s="31" t="n"/>
      <c r="P19" s="33" t="n"/>
      <c r="Q19" s="34" t="n"/>
      <c r="R19" s="35" t="n"/>
      <c r="S19" s="35" t="n"/>
      <c r="T19" s="35" t="n"/>
      <c r="U19" s="35" t="n"/>
      <c r="V19" s="36">
        <f>IF($C19="","",IF(DATE(YEAR($C19)+18,MONTH($C19),DAY($C19))&gt;TODAY(),"⚠ MENOR DE EDAD: sin nocturnidad ni horas extra (art. 6 ET)",""))</f>
        <v/>
      </c>
    </row>
    <row r="20">
      <c r="A20" s="29" t="n"/>
      <c r="B20" s="30" t="n"/>
      <c r="C20" s="31" t="n"/>
      <c r="D20" s="29" t="n"/>
      <c r="E20" s="29" t="n"/>
      <c r="F20" s="29" t="n"/>
      <c r="G20" s="29" t="n"/>
      <c r="H20" s="32" t="n"/>
      <c r="I20" s="29" t="n"/>
      <c r="J20" s="30" t="n"/>
      <c r="K20" s="31" t="n"/>
      <c r="L20" s="31" t="n"/>
      <c r="M20" s="31" t="n"/>
      <c r="N20" s="31" t="n"/>
      <c r="O20" s="31" t="n"/>
      <c r="P20" s="33" t="n"/>
      <c r="Q20" s="34" t="n"/>
      <c r="R20" s="35" t="n"/>
      <c r="S20" s="35" t="n"/>
      <c r="T20" s="35" t="n"/>
      <c r="U20" s="35" t="n"/>
      <c r="V20" s="36">
        <f>IF($C20="","",IF(DATE(YEAR($C20)+18,MONTH($C20),DAY($C20))&gt;TODAY(),"⚠ MENOR DE EDAD: sin nocturnidad ni horas extra (art. 6 ET)",""))</f>
        <v/>
      </c>
    </row>
    <row r="21">
      <c r="A21" s="29" t="n"/>
      <c r="B21" s="30" t="n"/>
      <c r="C21" s="31" t="n"/>
      <c r="D21" s="29" t="n"/>
      <c r="E21" s="29" t="n"/>
      <c r="F21" s="29" t="n"/>
      <c r="G21" s="29" t="n"/>
      <c r="H21" s="32" t="n"/>
      <c r="I21" s="29" t="n"/>
      <c r="J21" s="30" t="n"/>
      <c r="K21" s="31" t="n"/>
      <c r="L21" s="31" t="n"/>
      <c r="M21" s="31" t="n"/>
      <c r="N21" s="31" t="n"/>
      <c r="O21" s="31" t="n"/>
      <c r="P21" s="33" t="n"/>
      <c r="Q21" s="34" t="n"/>
      <c r="R21" s="35" t="n"/>
      <c r="S21" s="35" t="n"/>
      <c r="T21" s="35" t="n"/>
      <c r="U21" s="35" t="n"/>
      <c r="V21" s="36">
        <f>IF($C21="","",IF(DATE(YEAR($C21)+18,MONTH($C21),DAY($C21))&gt;TODAY(),"⚠ MENOR DE EDAD: sin nocturnidad ni horas extra (art. 6 ET)",""))</f>
        <v/>
      </c>
    </row>
    <row r="22">
      <c r="A22" s="29" t="n"/>
      <c r="B22" s="30" t="n"/>
      <c r="C22" s="31" t="n"/>
      <c r="D22" s="29" t="n"/>
      <c r="E22" s="29" t="n"/>
      <c r="F22" s="29" t="n"/>
      <c r="G22" s="29" t="n"/>
      <c r="H22" s="32" t="n"/>
      <c r="I22" s="29" t="n"/>
      <c r="J22" s="30" t="n"/>
      <c r="K22" s="31" t="n"/>
      <c r="L22" s="31" t="n"/>
      <c r="M22" s="31" t="n"/>
      <c r="N22" s="31" t="n"/>
      <c r="O22" s="31" t="n"/>
      <c r="P22" s="33" t="n"/>
      <c r="Q22" s="34" t="n"/>
      <c r="R22" s="35" t="n"/>
      <c r="S22" s="35" t="n"/>
      <c r="T22" s="35" t="n"/>
      <c r="U22" s="35" t="n"/>
      <c r="V22" s="36">
        <f>IF($C22="","",IF(DATE(YEAR($C22)+18,MONTH($C22),DAY($C22))&gt;TODAY(),"⚠ MENOR DE EDAD: sin nocturnidad ni horas extra (art. 6 ET)",""))</f>
        <v/>
      </c>
    </row>
    <row r="23">
      <c r="A23" s="29" t="n"/>
      <c r="B23" s="30" t="n"/>
      <c r="C23" s="31" t="n"/>
      <c r="D23" s="29" t="n"/>
      <c r="E23" s="29" t="n"/>
      <c r="F23" s="29" t="n"/>
      <c r="G23" s="29" t="n"/>
      <c r="H23" s="32" t="n"/>
      <c r="I23" s="29" t="n"/>
      <c r="J23" s="30" t="n"/>
      <c r="K23" s="31" t="n"/>
      <c r="L23" s="31" t="n"/>
      <c r="M23" s="31" t="n"/>
      <c r="N23" s="31" t="n"/>
      <c r="O23" s="31" t="n"/>
      <c r="P23" s="33" t="n"/>
      <c r="Q23" s="34" t="n"/>
      <c r="R23" s="35" t="n"/>
      <c r="S23" s="35" t="n"/>
      <c r="T23" s="35" t="n"/>
      <c r="U23" s="35" t="n"/>
      <c r="V23" s="36">
        <f>IF($C23="","",IF(DATE(YEAR($C23)+18,MONTH($C23),DAY($C23))&gt;TODAY(),"⚠ MENOR DE EDAD: sin nocturnidad ni horas extra (art. 6 ET)",""))</f>
        <v/>
      </c>
    </row>
    <row r="24">
      <c r="A24" s="29" t="n"/>
      <c r="B24" s="30" t="n"/>
      <c r="C24" s="31" t="n"/>
      <c r="D24" s="29" t="n"/>
      <c r="E24" s="29" t="n"/>
      <c r="F24" s="29" t="n"/>
      <c r="G24" s="29" t="n"/>
      <c r="H24" s="32" t="n"/>
      <c r="I24" s="29" t="n"/>
      <c r="J24" s="30" t="n"/>
      <c r="K24" s="31" t="n"/>
      <c r="L24" s="31" t="n"/>
      <c r="M24" s="31" t="n"/>
      <c r="N24" s="31" t="n"/>
      <c r="O24" s="31" t="n"/>
      <c r="P24" s="33" t="n"/>
      <c r="Q24" s="34" t="n"/>
      <c r="R24" s="35" t="n"/>
      <c r="S24" s="35" t="n"/>
      <c r="T24" s="35" t="n"/>
      <c r="U24" s="35" t="n"/>
      <c r="V24" s="36">
        <f>IF($C24="","",IF(DATE(YEAR($C24)+18,MONTH($C24),DAY($C24))&gt;TODAY(),"⚠ MENOR DE EDAD: sin nocturnidad ni horas extra (art. 6 ET)",""))</f>
        <v/>
      </c>
    </row>
    <row r="25">
      <c r="A25" s="29" t="n"/>
      <c r="B25" s="30" t="n"/>
      <c r="C25" s="31" t="n"/>
      <c r="D25" s="29" t="n"/>
      <c r="E25" s="29" t="n"/>
      <c r="F25" s="29" t="n"/>
      <c r="G25" s="29" t="n"/>
      <c r="H25" s="32" t="n"/>
      <c r="I25" s="29" t="n"/>
      <c r="J25" s="30" t="n"/>
      <c r="K25" s="31" t="n"/>
      <c r="L25" s="31" t="n"/>
      <c r="M25" s="31" t="n"/>
      <c r="N25" s="31" t="n"/>
      <c r="O25" s="31" t="n"/>
      <c r="P25" s="33" t="n"/>
      <c r="Q25" s="34" t="n"/>
      <c r="R25" s="35" t="n"/>
      <c r="S25" s="35" t="n"/>
      <c r="T25" s="35" t="n"/>
      <c r="U25" s="35" t="n"/>
      <c r="V25" s="36">
        <f>IF($C25="","",IF(DATE(YEAR($C25)+18,MONTH($C25),DAY($C25))&gt;TODAY(),"⚠ MENOR DE EDAD: sin nocturnidad ni horas extra (art. 6 ET)",""))</f>
        <v/>
      </c>
    </row>
    <row r="26">
      <c r="A26" s="29" t="n"/>
      <c r="B26" s="30" t="n"/>
      <c r="C26" s="31" t="n"/>
      <c r="D26" s="29" t="n"/>
      <c r="E26" s="29" t="n"/>
      <c r="F26" s="29" t="n"/>
      <c r="G26" s="29" t="n"/>
      <c r="H26" s="32" t="n"/>
      <c r="I26" s="29" t="n"/>
      <c r="J26" s="30" t="n"/>
      <c r="K26" s="31" t="n"/>
      <c r="L26" s="31" t="n"/>
      <c r="M26" s="31" t="n"/>
      <c r="N26" s="31" t="n"/>
      <c r="O26" s="31" t="n"/>
      <c r="P26" s="33" t="n"/>
      <c r="Q26" s="34" t="n"/>
      <c r="R26" s="35" t="n"/>
      <c r="S26" s="35" t="n"/>
      <c r="T26" s="35" t="n"/>
      <c r="U26" s="35" t="n"/>
      <c r="V26" s="36">
        <f>IF($C26="","",IF(DATE(YEAR($C26)+18,MONTH($C26),DAY($C26))&gt;TODAY(),"⚠ MENOR DE EDAD: sin nocturnidad ni horas extra (art. 6 ET)",""))</f>
        <v/>
      </c>
    </row>
    <row r="27">
      <c r="A27" s="29" t="n"/>
      <c r="B27" s="30" t="n"/>
      <c r="C27" s="31" t="n"/>
      <c r="D27" s="29" t="n"/>
      <c r="E27" s="29" t="n"/>
      <c r="F27" s="29" t="n"/>
      <c r="G27" s="29" t="n"/>
      <c r="H27" s="32" t="n"/>
      <c r="I27" s="29" t="n"/>
      <c r="J27" s="30" t="n"/>
      <c r="K27" s="31" t="n"/>
      <c r="L27" s="31" t="n"/>
      <c r="M27" s="31" t="n"/>
      <c r="N27" s="31" t="n"/>
      <c r="O27" s="31" t="n"/>
      <c r="P27" s="33" t="n"/>
      <c r="Q27" s="34" t="n"/>
      <c r="R27" s="35" t="n"/>
      <c r="S27" s="35" t="n"/>
      <c r="T27" s="35" t="n"/>
      <c r="U27" s="35" t="n"/>
      <c r="V27" s="36">
        <f>IF($C27="","",IF(DATE(YEAR($C27)+18,MONTH($C27),DAY($C27))&gt;TODAY(),"⚠ MENOR DE EDAD: sin nocturnidad ni horas extra (art. 6 ET)",""))</f>
        <v/>
      </c>
    </row>
    <row r="28">
      <c r="A28" s="29" t="n"/>
      <c r="B28" s="30" t="n"/>
      <c r="C28" s="31" t="n"/>
      <c r="D28" s="29" t="n"/>
      <c r="E28" s="29" t="n"/>
      <c r="F28" s="29" t="n"/>
      <c r="G28" s="29" t="n"/>
      <c r="H28" s="32" t="n"/>
      <c r="I28" s="29" t="n"/>
      <c r="J28" s="30" t="n"/>
      <c r="K28" s="31" t="n"/>
      <c r="L28" s="31" t="n"/>
      <c r="M28" s="31" t="n"/>
      <c r="N28" s="31" t="n"/>
      <c r="O28" s="31" t="n"/>
      <c r="P28" s="33" t="n"/>
      <c r="Q28" s="34" t="n"/>
      <c r="R28" s="35" t="n"/>
      <c r="S28" s="35" t="n"/>
      <c r="T28" s="35" t="n"/>
      <c r="U28" s="35" t="n"/>
      <c r="V28" s="36">
        <f>IF($C28="","",IF(DATE(YEAR($C28)+18,MONTH($C28),DAY($C28))&gt;TODAY(),"⚠ MENOR DE EDAD: sin nocturnidad ni horas extra (art. 6 ET)",""))</f>
        <v/>
      </c>
    </row>
    <row r="29">
      <c r="A29" s="29" t="n"/>
      <c r="B29" s="30" t="n"/>
      <c r="C29" s="31" t="n"/>
      <c r="D29" s="29" t="n"/>
      <c r="E29" s="29" t="n"/>
      <c r="F29" s="29" t="n"/>
      <c r="G29" s="29" t="n"/>
      <c r="H29" s="32" t="n"/>
      <c r="I29" s="29" t="n"/>
      <c r="J29" s="30" t="n"/>
      <c r="K29" s="31" t="n"/>
      <c r="L29" s="31" t="n"/>
      <c r="M29" s="31" t="n"/>
      <c r="N29" s="31" t="n"/>
      <c r="O29" s="31" t="n"/>
      <c r="P29" s="33" t="n"/>
      <c r="Q29" s="34" t="n"/>
      <c r="R29" s="35" t="n"/>
      <c r="S29" s="35" t="n"/>
      <c r="T29" s="35" t="n"/>
      <c r="U29" s="35" t="n"/>
      <c r="V29" s="36">
        <f>IF($C29="","",IF(DATE(YEAR($C29)+18,MONTH($C29),DAY($C29))&gt;TODAY(),"⚠ MENOR DE EDAD: sin nocturnidad ni horas extra (art. 6 ET)",""))</f>
        <v/>
      </c>
    </row>
    <row r="30">
      <c r="A30" s="29" t="n"/>
      <c r="B30" s="30" t="n"/>
      <c r="C30" s="31" t="n"/>
      <c r="D30" s="29" t="n"/>
      <c r="E30" s="29" t="n"/>
      <c r="F30" s="29" t="n"/>
      <c r="G30" s="29" t="n"/>
      <c r="H30" s="32" t="n"/>
      <c r="I30" s="29" t="n"/>
      <c r="J30" s="30" t="n"/>
      <c r="K30" s="31" t="n"/>
      <c r="L30" s="31" t="n"/>
      <c r="M30" s="31" t="n"/>
      <c r="N30" s="31" t="n"/>
      <c r="O30" s="31" t="n"/>
      <c r="P30" s="33" t="n"/>
      <c r="Q30" s="34" t="n"/>
      <c r="R30" s="35" t="n"/>
      <c r="S30" s="35" t="n"/>
      <c r="T30" s="35" t="n"/>
      <c r="U30" s="35" t="n"/>
      <c r="V30" s="36">
        <f>IF($C30="","",IF(DATE(YEAR($C30)+18,MONTH($C30),DAY($C30))&gt;TODAY(),"⚠ MENOR DE EDAD: sin nocturnidad ni horas extra (art. 6 ET)",""))</f>
        <v/>
      </c>
    </row>
    <row r="31">
      <c r="A31" s="29" t="n"/>
      <c r="B31" s="30" t="n"/>
      <c r="C31" s="31" t="n"/>
      <c r="D31" s="29" t="n"/>
      <c r="E31" s="29" t="n"/>
      <c r="F31" s="29" t="n"/>
      <c r="G31" s="29" t="n"/>
      <c r="H31" s="32" t="n"/>
      <c r="I31" s="29" t="n"/>
      <c r="J31" s="30" t="n"/>
      <c r="K31" s="31" t="n"/>
      <c r="L31" s="31" t="n"/>
      <c r="M31" s="31" t="n"/>
      <c r="N31" s="31" t="n"/>
      <c r="O31" s="31" t="n"/>
      <c r="P31" s="33" t="n"/>
      <c r="Q31" s="34" t="n"/>
      <c r="R31" s="35" t="n"/>
      <c r="S31" s="35" t="n"/>
      <c r="T31" s="35" t="n"/>
      <c r="U31" s="35" t="n"/>
      <c r="V31" s="36">
        <f>IF($C31="","",IF(DATE(YEAR($C31)+18,MONTH($C31),DAY($C31))&gt;TODAY(),"⚠ MENOR DE EDAD: sin nocturnidad ni horas extra (art. 6 ET)",""))</f>
        <v/>
      </c>
    </row>
    <row r="32">
      <c r="A32" s="29" t="n"/>
      <c r="B32" s="30" t="n"/>
      <c r="C32" s="31" t="n"/>
      <c r="D32" s="29" t="n"/>
      <c r="E32" s="29" t="n"/>
      <c r="F32" s="29" t="n"/>
      <c r="G32" s="29" t="n"/>
      <c r="H32" s="32" t="n"/>
      <c r="I32" s="29" t="n"/>
      <c r="J32" s="30" t="n"/>
      <c r="K32" s="31" t="n"/>
      <c r="L32" s="31" t="n"/>
      <c r="M32" s="31" t="n"/>
      <c r="N32" s="31" t="n"/>
      <c r="O32" s="31" t="n"/>
      <c r="P32" s="33" t="n"/>
      <c r="Q32" s="34" t="n"/>
      <c r="R32" s="35" t="n"/>
      <c r="S32" s="35" t="n"/>
      <c r="T32" s="35" t="n"/>
      <c r="U32" s="35" t="n"/>
      <c r="V32" s="36">
        <f>IF($C32="","",IF(DATE(YEAR($C32)+18,MONTH($C32),DAY($C32))&gt;TODAY(),"⚠ MENOR DE EDAD: sin nocturnidad ni horas extra (art. 6 ET)",""))</f>
        <v/>
      </c>
    </row>
    <row r="33">
      <c r="A33" s="29" t="n"/>
      <c r="B33" s="30" t="n"/>
      <c r="C33" s="31" t="n"/>
      <c r="D33" s="29" t="n"/>
      <c r="E33" s="29" t="n"/>
      <c r="F33" s="29" t="n"/>
      <c r="G33" s="29" t="n"/>
      <c r="H33" s="32" t="n"/>
      <c r="I33" s="29" t="n"/>
      <c r="J33" s="30" t="n"/>
      <c r="K33" s="31" t="n"/>
      <c r="L33" s="31" t="n"/>
      <c r="M33" s="31" t="n"/>
      <c r="N33" s="31" t="n"/>
      <c r="O33" s="31" t="n"/>
      <c r="P33" s="33" t="n"/>
      <c r="Q33" s="34" t="n"/>
      <c r="R33" s="35" t="n"/>
      <c r="S33" s="35" t="n"/>
      <c r="T33" s="35" t="n"/>
      <c r="U33" s="35" t="n"/>
      <c r="V33" s="36">
        <f>IF($C33="","",IF(DATE(YEAR($C33)+18,MONTH($C33),DAY($C33))&gt;TODAY(),"⚠ MENOR DE EDAD: sin nocturnidad ni horas extra (art. 6 ET)",""))</f>
        <v/>
      </c>
    </row>
    <row r="34">
      <c r="A34" s="29" t="n"/>
      <c r="B34" s="30" t="n"/>
      <c r="C34" s="31" t="n"/>
      <c r="D34" s="29" t="n"/>
      <c r="E34" s="29" t="n"/>
      <c r="F34" s="29" t="n"/>
      <c r="G34" s="29" t="n"/>
      <c r="H34" s="32" t="n"/>
      <c r="I34" s="29" t="n"/>
      <c r="J34" s="30" t="n"/>
      <c r="K34" s="31" t="n"/>
      <c r="L34" s="31" t="n"/>
      <c r="M34" s="31" t="n"/>
      <c r="N34" s="31" t="n"/>
      <c r="O34" s="31" t="n"/>
      <c r="P34" s="33" t="n"/>
      <c r="Q34" s="34" t="n"/>
      <c r="R34" s="35" t="n"/>
      <c r="S34" s="35" t="n"/>
      <c r="T34" s="35" t="n"/>
      <c r="U34" s="35" t="n"/>
      <c r="V34" s="36">
        <f>IF($C34="","",IF(DATE(YEAR($C34)+18,MONTH($C34),DAY($C34))&gt;TODAY(),"⚠ MENOR DE EDAD: sin nocturnidad ni horas extra (art. 6 ET)",""))</f>
        <v/>
      </c>
    </row>
    <row r="35">
      <c r="A35" s="26" t="n"/>
      <c r="B35" s="26" t="n"/>
      <c r="C35" s="26" t="n"/>
      <c r="D35" s="26" t="n"/>
      <c r="E35" s="26" t="n"/>
      <c r="F35" s="26" t="n"/>
      <c r="G35" s="26" t="n"/>
      <c r="H35" s="26" t="n"/>
      <c r="I35" s="26" t="n"/>
      <c r="J35" s="26" t="n"/>
      <c r="K35" s="26" t="n"/>
      <c r="L35" s="26" t="n"/>
      <c r="M35" s="26" t="n"/>
      <c r="N35" s="26" t="n"/>
      <c r="O35" s="26" t="n"/>
    </row>
    <row r="36" ht="30" customHeight="1">
      <c r="A36" s="37" t="inlineStr">
        <is>
          <t>▸ Esta hoja NO pide datos de salud. La versión 1.1 traía una columna con las alergias e intolerancias del trabajador y se ha retirado: son categoría especial del art. 9 RGPD y no se tratan al mismo nivel que la talla de camiseta. Lee la sección de protección de datos en 'Instrucciones'.</t>
        </is>
      </c>
    </row>
    <row r="37" ht="30" customHeight="1">
      <c r="A37" s="37" t="inlineStr">
        <is>
          <t>▸ «Fin periodo de prueba», «Caducidad carnet manipulador» y «Caducidad PRL» alimentan solas la hoja 'Vencimientos': escríbelas aquí y no las teclees dos veces.</t>
        </is>
      </c>
    </row>
    <row r="38" ht="30" customHeight="1">
      <c r="A38" s="37" t="inlineStr">
        <is>
          <t>▸ «Convenio aplicable» y «Grupo profesional» son los dos campos que pide primero una gestoría o una inspección; el NAF es el número de afiliación a la Seguridad Social del trabajador, no el de la empresa.</t>
        </is>
      </c>
    </row>
    <row r="39" ht="30" customHeight="1">
      <c r="A39" s="37" t="inlineStr">
        <is>
          <t>▸ La columna «Aviso» avisa de la minoría de edad en cuanto pongas la fecha de nacimiento (art. 6 ET: sin trabajo nocturno ni horas extraordinarias).</t>
        </is>
      </c>
    </row>
    <row r="40"/>
    <row r="41">
      <c r="A41" s="38"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autoFilter ref="A4:V34"/>
  <mergeCells count="7">
    <mergeCell ref="A37:V37"/>
    <mergeCell ref="A2:V2"/>
    <mergeCell ref="A38:V38"/>
    <mergeCell ref="A36:V36"/>
    <mergeCell ref="A1:V1"/>
    <mergeCell ref="A39:V39"/>
    <mergeCell ref="A41:V41"/>
  </mergeCells>
  <dataValidations count="2">
    <dataValidation sqref="D5:D34" showDropDown="0" showInputMessage="1" showErrorMessage="1" allowBlank="1" errorTitle="Tipo de contrato no válido" error="Elige un valor de la lista: las fórmulas de agregación buscan este texto exacto." promptTitle="kitgp-v2 · Tipo de contrato no válido" prompt="Modalidades vigentes tras el RDL 32/2021." type="list" errorStyle="stop">
      <formula1>"Indefinido,Temporal,Prácticas,Formación,Fijo-discontinuo"</formula1>
    </dataValidation>
    <dataValidation sqref="G5:G34" showDropDown="0" showInputMessage="1" showErrorMessage="1" allowBlank="1" errorTitle="Jornada no válida" error="Elige un valor de la lista: las fórmulas de agregación buscan este texto exacto." promptTitle="kitgp-v2 · Jornada no válida" prompt="Una jornada parcial no puede hacer horas extra (art. 12.4.c ET): sólo horas complementarias pactadas." type="list" errorStyle="stop">
      <formula1>"Completa,Parcial"</formula1>
    </dataValidation>
  </dataValidations>
  <pageMargins left="0.59" right="0.59" top="0.59" bottom="0.59" header="0.3" footer="0.3"/>
  <pageSetup orientation="landscape" paperSize="9" fitToHeight="0" fitToWidth="2"/>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004D40"/>
    <outlinePr summaryBelow="1" summaryRight="1"/>
    <pageSetUpPr fitToPage="1"/>
  </sheetPr>
  <dimension ref="A1:I43"/>
  <sheetViews>
    <sheetView workbookViewId="0">
      <pane ySplit="6" topLeftCell="A7" activePane="bottomLeft" state="frozen"/>
      <selection pane="bottomLeft" activeCell="A1" sqref="A1"/>
    </sheetView>
  </sheetViews>
  <sheetFormatPr baseColWidth="8" defaultRowHeight="15"/>
  <cols>
    <col width="26" customWidth="1" min="1" max="1"/>
    <col width="17" customWidth="1" min="2" max="2"/>
    <col width="20" customWidth="1" min="3" max="3"/>
    <col width="17" customWidth="1" min="4" max="4"/>
    <col width="20" customWidth="1" min="5" max="5"/>
    <col width="17" customWidth="1" min="6" max="6"/>
    <col width="20" customWidth="1" min="7" max="7"/>
    <col width="17" customWidth="1" min="8" max="8"/>
    <col width="20" customWidth="1" min="9" max="9"/>
  </cols>
  <sheetData>
    <row r="1">
      <c r="A1" s="24" t="inlineStr">
        <is>
          <t>Alertas de Vencimientos</t>
        </is>
      </c>
    </row>
    <row r="2">
      <c r="A2" s="25" t="inlineStr">
        <is>
          <t>AI Chef Pro · aichef.pro — Kit Gestión de Personal y Turnos</t>
        </is>
      </c>
    </row>
    <row r="3">
      <c r="A3" s="39" t="inlineStr">
        <is>
          <t>Fecha de hoy:</t>
        </is>
      </c>
      <c r="B3" s="40">
        <f>TODAY()</f>
        <v>46258.0</v>
      </c>
      <c r="C3" s="26" t="n"/>
      <c r="D3" s="39" t="inlineStr">
        <is>
          <t>Vencimientos ya VENCIDOS:</t>
        </is>
      </c>
      <c r="E3" s="41">
        <f>COUNTIF($C$7:$C$36,"❌*")+COUNTIF($E$7:$E$36,"❌*")+COUNTIF($G$7:$G$36,"❌*")+COUNTIF($I$7:$I$36,"❌*")</f>
        <v>0.0</v>
      </c>
    </row>
    <row r="4">
      <c r="A4" s="26" t="inlineStr">
        <is>
          <t>Aviso ROJO — faltan menos de (días):</t>
        </is>
      </c>
      <c r="B4" s="42" t="n">
        <v>30</v>
      </c>
      <c r="C4" s="26" t="n"/>
      <c r="D4" s="26" t="inlineStr">
        <is>
          <t>En ROJO (vencen pronto):</t>
        </is>
      </c>
      <c r="E4" s="41">
        <f>COUNTIF($C$7:$C$36,"🔴*")+COUNTIF($E$7:$E$36,"🔴*")+COUNTIF($G$7:$G$36,"🔴*")+COUNTIF($I$7:$I$36,"🔴*")</f>
        <v>0.0</v>
      </c>
    </row>
    <row r="5">
      <c r="A5" s="26" t="inlineStr">
        <is>
          <t>Aviso ÁMBAR — faltan menos de (días):</t>
        </is>
      </c>
      <c r="B5" s="42" t="n">
        <v>60</v>
      </c>
      <c r="C5" s="26" t="n"/>
      <c r="D5" s="26" t="inlineStr">
        <is>
          <t>En ÁMBAR (conviene mirarlo):</t>
        </is>
      </c>
      <c r="E5" s="41">
        <f>COUNTIF($C$7:$C$36,"🟡*")+COUNTIF($E$7:$E$36,"🟡*")+COUNTIF($G$7:$G$36,"🟡*")+COUNTIF($I$7:$I$36,"🟡*")</f>
        <v>0.0</v>
      </c>
    </row>
    <row r="6" ht="30" customHeight="1">
      <c r="A6" s="27" t="inlineStr">
        <is>
          <t>Empleado</t>
        </is>
      </c>
      <c r="B6" s="27" t="inlineStr">
        <is>
          <t>Fin de contrato</t>
        </is>
      </c>
      <c r="C6" s="27" t="inlineStr">
        <is>
          <t>Alerta</t>
        </is>
      </c>
      <c r="D6" s="27" t="inlineStr">
        <is>
          <t>Fin periodo de prueba</t>
        </is>
      </c>
      <c r="E6" s="27" t="inlineStr">
        <is>
          <t>Alerta</t>
        </is>
      </c>
      <c r="F6" s="28" t="inlineStr">
        <is>
          <t>Caducidad carnet de manipulador</t>
        </is>
      </c>
      <c r="G6" s="28" t="inlineStr">
        <is>
          <t>Alerta</t>
        </is>
      </c>
      <c r="H6" s="28" t="inlineStr">
        <is>
          <t>Caducidad de la formación PRL</t>
        </is>
      </c>
      <c r="I6" s="28" t="inlineStr">
        <is>
          <t>Alerta</t>
        </is>
      </c>
    </row>
    <row r="7">
      <c r="A7" s="43">
        <f>IF(Plantilla!$A5="","",Plantilla!$A5)</f>
        <v/>
      </c>
      <c r="B7" s="40">
        <f>IF(Plantilla!$L5="","",Plantilla!$L5)</f>
        <v/>
      </c>
      <c r="C7" s="44">
        <f>IF($B7="","",IF($B7-$B$3&lt;0,"❌ VENCIDO hace "&amp;TEXT($B$3-$B7,"0")&amp;" d",IF($B7-$B$3&lt;=$B$4,"🔴 "&amp;TEXT($B7-$B$3,"0")&amp;" d",IF($B7-$B$3&lt;=$B$5,"🟡 "&amp;TEXT($B7-$B$3,"0")&amp;" d","🟢 OK"))))</f>
        <v/>
      </c>
      <c r="D7" s="40">
        <f>IF(Plantilla!$M5="","",Plantilla!$M5)</f>
        <v/>
      </c>
      <c r="E7" s="44">
        <f>IF($D7="","",IF($D7-$B$3&lt;0,"❌ VENCIDO hace "&amp;TEXT($B$3-$D7,"0")&amp;" d",IF($D7-$B$3&lt;=$B$4,"🔴 "&amp;TEXT($D7-$B$3,"0")&amp;" d",IF($D7-$B$3&lt;=$B$5,"🟡 "&amp;TEXT($D7-$B$3,"0")&amp;" d","🟢 OK"))))</f>
        <v/>
      </c>
      <c r="F7" s="45">
        <f>IF(Plantilla!$N5="","",Plantilla!$N5)</f>
        <v/>
      </c>
      <c r="G7" s="46">
        <f>IF($F7="","",IF($F7-$B$3&lt;0,"❌ VENCIDO hace "&amp;TEXT($B$3-$F7,"0")&amp;" d",IF($F7-$B$3&lt;=$B$4,"🔴 "&amp;TEXT($F7-$B$3,"0")&amp;" d",IF($F7-$B$3&lt;=$B$5,"🟡 "&amp;TEXT($F7-$B$3,"0")&amp;" d","🟢 OK"))))</f>
        <v/>
      </c>
      <c r="H7" s="45">
        <f>IF(Plantilla!$O5="","",Plantilla!$O5)</f>
        <v/>
      </c>
      <c r="I7" s="46">
        <f>IF($H7="","",IF($H7-$B$3&lt;0,"❌ VENCIDO hace "&amp;TEXT($B$3-$H7,"0")&amp;" d",IF($H7-$B$3&lt;=$B$4,"🔴 "&amp;TEXT($H7-$B$3,"0")&amp;" d",IF($H7-$B$3&lt;=$B$5,"🟡 "&amp;TEXT($H7-$B$3,"0")&amp;" d","🟢 OK"))))</f>
        <v/>
      </c>
    </row>
    <row r="8">
      <c r="A8" s="43">
        <f>IF(Plantilla!$A6="","",Plantilla!$A6)</f>
        <v/>
      </c>
      <c r="B8" s="40">
        <f>IF(Plantilla!$L6="","",Plantilla!$L6)</f>
        <v/>
      </c>
      <c r="C8" s="44">
        <f>IF($B8="","",IF($B8-$B$3&lt;0,"❌ VENCIDO hace "&amp;TEXT($B$3-$B8,"0")&amp;" d",IF($B8-$B$3&lt;=$B$4,"🔴 "&amp;TEXT($B8-$B$3,"0")&amp;" d",IF($B8-$B$3&lt;=$B$5,"🟡 "&amp;TEXT($B8-$B$3,"0")&amp;" d","🟢 OK"))))</f>
        <v/>
      </c>
      <c r="D8" s="40">
        <f>IF(Plantilla!$M6="","",Plantilla!$M6)</f>
        <v/>
      </c>
      <c r="E8" s="44">
        <f>IF($D8="","",IF($D8-$B$3&lt;0,"❌ VENCIDO hace "&amp;TEXT($B$3-$D8,"0")&amp;" d",IF($D8-$B$3&lt;=$B$4,"🔴 "&amp;TEXT($D8-$B$3,"0")&amp;" d",IF($D8-$B$3&lt;=$B$5,"🟡 "&amp;TEXT($D8-$B$3,"0")&amp;" d","🟢 OK"))))</f>
        <v/>
      </c>
      <c r="F8" s="45">
        <f>IF(Plantilla!$N6="","",Plantilla!$N6)</f>
        <v/>
      </c>
      <c r="G8" s="46">
        <f>IF($F8="","",IF($F8-$B$3&lt;0,"❌ VENCIDO hace "&amp;TEXT($B$3-$F8,"0")&amp;" d",IF($F8-$B$3&lt;=$B$4,"🔴 "&amp;TEXT($F8-$B$3,"0")&amp;" d",IF($F8-$B$3&lt;=$B$5,"🟡 "&amp;TEXT($F8-$B$3,"0")&amp;" d","🟢 OK"))))</f>
        <v/>
      </c>
      <c r="H8" s="45">
        <f>IF(Plantilla!$O6="","",Plantilla!$O6)</f>
        <v/>
      </c>
      <c r="I8" s="46">
        <f>IF($H8="","",IF($H8-$B$3&lt;0,"❌ VENCIDO hace "&amp;TEXT($B$3-$H8,"0")&amp;" d",IF($H8-$B$3&lt;=$B$4,"🔴 "&amp;TEXT($H8-$B$3,"0")&amp;" d",IF($H8-$B$3&lt;=$B$5,"🟡 "&amp;TEXT($H8-$B$3,"0")&amp;" d","🟢 OK"))))</f>
        <v/>
      </c>
    </row>
    <row r="9">
      <c r="A9" s="43">
        <f>IF(Plantilla!$A7="","",Plantilla!$A7)</f>
        <v/>
      </c>
      <c r="B9" s="40">
        <f>IF(Plantilla!$L7="","",Plantilla!$L7)</f>
        <v/>
      </c>
      <c r="C9" s="44">
        <f>IF($B9="","",IF($B9-$B$3&lt;0,"❌ VENCIDO hace "&amp;TEXT($B$3-$B9,"0")&amp;" d",IF($B9-$B$3&lt;=$B$4,"🔴 "&amp;TEXT($B9-$B$3,"0")&amp;" d",IF($B9-$B$3&lt;=$B$5,"🟡 "&amp;TEXT($B9-$B$3,"0")&amp;" d","🟢 OK"))))</f>
        <v/>
      </c>
      <c r="D9" s="40">
        <f>IF(Plantilla!$M7="","",Plantilla!$M7)</f>
        <v/>
      </c>
      <c r="E9" s="44">
        <f>IF($D9="","",IF($D9-$B$3&lt;0,"❌ VENCIDO hace "&amp;TEXT($B$3-$D9,"0")&amp;" d",IF($D9-$B$3&lt;=$B$4,"🔴 "&amp;TEXT($D9-$B$3,"0")&amp;" d",IF($D9-$B$3&lt;=$B$5,"🟡 "&amp;TEXT($D9-$B$3,"0")&amp;" d","🟢 OK"))))</f>
        <v/>
      </c>
      <c r="F9" s="45">
        <f>IF(Plantilla!$N7="","",Plantilla!$N7)</f>
        <v/>
      </c>
      <c r="G9" s="46">
        <f>IF($F9="","",IF($F9-$B$3&lt;0,"❌ VENCIDO hace "&amp;TEXT($B$3-$F9,"0")&amp;" d",IF($F9-$B$3&lt;=$B$4,"🔴 "&amp;TEXT($F9-$B$3,"0")&amp;" d",IF($F9-$B$3&lt;=$B$5,"🟡 "&amp;TEXT($F9-$B$3,"0")&amp;" d","🟢 OK"))))</f>
        <v/>
      </c>
      <c r="H9" s="45">
        <f>IF(Plantilla!$O7="","",Plantilla!$O7)</f>
        <v/>
      </c>
      <c r="I9" s="46">
        <f>IF($H9="","",IF($H9-$B$3&lt;0,"❌ VENCIDO hace "&amp;TEXT($B$3-$H9,"0")&amp;" d",IF($H9-$B$3&lt;=$B$4,"🔴 "&amp;TEXT($H9-$B$3,"0")&amp;" d",IF($H9-$B$3&lt;=$B$5,"🟡 "&amp;TEXT($H9-$B$3,"0")&amp;" d","🟢 OK"))))</f>
        <v/>
      </c>
    </row>
    <row r="10">
      <c r="A10" s="43">
        <f>IF(Plantilla!$A8="","",Plantilla!$A8)</f>
        <v/>
      </c>
      <c r="B10" s="40">
        <f>IF(Plantilla!$L8="","",Plantilla!$L8)</f>
        <v/>
      </c>
      <c r="C10" s="44">
        <f>IF($B10="","",IF($B10-$B$3&lt;0,"❌ VENCIDO hace "&amp;TEXT($B$3-$B10,"0")&amp;" d",IF($B10-$B$3&lt;=$B$4,"🔴 "&amp;TEXT($B10-$B$3,"0")&amp;" d",IF($B10-$B$3&lt;=$B$5,"🟡 "&amp;TEXT($B10-$B$3,"0")&amp;" d","🟢 OK"))))</f>
        <v/>
      </c>
      <c r="D10" s="40">
        <f>IF(Plantilla!$M8="","",Plantilla!$M8)</f>
        <v/>
      </c>
      <c r="E10" s="44">
        <f>IF($D10="","",IF($D10-$B$3&lt;0,"❌ VENCIDO hace "&amp;TEXT($B$3-$D10,"0")&amp;" d",IF($D10-$B$3&lt;=$B$4,"🔴 "&amp;TEXT($D10-$B$3,"0")&amp;" d",IF($D10-$B$3&lt;=$B$5,"🟡 "&amp;TEXT($D10-$B$3,"0")&amp;" d","🟢 OK"))))</f>
        <v/>
      </c>
      <c r="F10" s="45">
        <f>IF(Plantilla!$N8="","",Plantilla!$N8)</f>
        <v/>
      </c>
      <c r="G10" s="46">
        <f>IF($F10="","",IF($F10-$B$3&lt;0,"❌ VENCIDO hace "&amp;TEXT($B$3-$F10,"0")&amp;" d",IF($F10-$B$3&lt;=$B$4,"🔴 "&amp;TEXT($F10-$B$3,"0")&amp;" d",IF($F10-$B$3&lt;=$B$5,"🟡 "&amp;TEXT($F10-$B$3,"0")&amp;" d","🟢 OK"))))</f>
        <v/>
      </c>
      <c r="H10" s="45">
        <f>IF(Plantilla!$O8="","",Plantilla!$O8)</f>
        <v/>
      </c>
      <c r="I10" s="46">
        <f>IF($H10="","",IF($H10-$B$3&lt;0,"❌ VENCIDO hace "&amp;TEXT($B$3-$H10,"0")&amp;" d",IF($H10-$B$3&lt;=$B$4,"🔴 "&amp;TEXT($H10-$B$3,"0")&amp;" d",IF($H10-$B$3&lt;=$B$5,"🟡 "&amp;TEXT($H10-$B$3,"0")&amp;" d","🟢 OK"))))</f>
        <v/>
      </c>
    </row>
    <row r="11">
      <c r="A11" s="43">
        <f>IF(Plantilla!$A9="","",Plantilla!$A9)</f>
        <v/>
      </c>
      <c r="B11" s="40">
        <f>IF(Plantilla!$L9="","",Plantilla!$L9)</f>
        <v/>
      </c>
      <c r="C11" s="44">
        <f>IF($B11="","",IF($B11-$B$3&lt;0,"❌ VENCIDO hace "&amp;TEXT($B$3-$B11,"0")&amp;" d",IF($B11-$B$3&lt;=$B$4,"🔴 "&amp;TEXT($B11-$B$3,"0")&amp;" d",IF($B11-$B$3&lt;=$B$5,"🟡 "&amp;TEXT($B11-$B$3,"0")&amp;" d","🟢 OK"))))</f>
        <v/>
      </c>
      <c r="D11" s="40">
        <f>IF(Plantilla!$M9="","",Plantilla!$M9)</f>
        <v/>
      </c>
      <c r="E11" s="44">
        <f>IF($D11="","",IF($D11-$B$3&lt;0,"❌ VENCIDO hace "&amp;TEXT($B$3-$D11,"0")&amp;" d",IF($D11-$B$3&lt;=$B$4,"🔴 "&amp;TEXT($D11-$B$3,"0")&amp;" d",IF($D11-$B$3&lt;=$B$5,"🟡 "&amp;TEXT($D11-$B$3,"0")&amp;" d","🟢 OK"))))</f>
        <v/>
      </c>
      <c r="F11" s="45">
        <f>IF(Plantilla!$N9="","",Plantilla!$N9)</f>
        <v/>
      </c>
      <c r="G11" s="46">
        <f>IF($F11="","",IF($F11-$B$3&lt;0,"❌ VENCIDO hace "&amp;TEXT($B$3-$F11,"0")&amp;" d",IF($F11-$B$3&lt;=$B$4,"🔴 "&amp;TEXT($F11-$B$3,"0")&amp;" d",IF($F11-$B$3&lt;=$B$5,"🟡 "&amp;TEXT($F11-$B$3,"0")&amp;" d","🟢 OK"))))</f>
        <v/>
      </c>
      <c r="H11" s="45">
        <f>IF(Plantilla!$O9="","",Plantilla!$O9)</f>
        <v/>
      </c>
      <c r="I11" s="46">
        <f>IF($H11="","",IF($H11-$B$3&lt;0,"❌ VENCIDO hace "&amp;TEXT($B$3-$H11,"0")&amp;" d",IF($H11-$B$3&lt;=$B$4,"🔴 "&amp;TEXT($H11-$B$3,"0")&amp;" d",IF($H11-$B$3&lt;=$B$5,"🟡 "&amp;TEXT($H11-$B$3,"0")&amp;" d","🟢 OK"))))</f>
        <v/>
      </c>
    </row>
    <row r="12">
      <c r="A12" s="43">
        <f>IF(Plantilla!$A10="","",Plantilla!$A10)</f>
        <v/>
      </c>
      <c r="B12" s="40">
        <f>IF(Plantilla!$L10="","",Plantilla!$L10)</f>
        <v/>
      </c>
      <c r="C12" s="44">
        <f>IF($B12="","",IF($B12-$B$3&lt;0,"❌ VENCIDO hace "&amp;TEXT($B$3-$B12,"0")&amp;" d",IF($B12-$B$3&lt;=$B$4,"🔴 "&amp;TEXT($B12-$B$3,"0")&amp;" d",IF($B12-$B$3&lt;=$B$5,"🟡 "&amp;TEXT($B12-$B$3,"0")&amp;" d","🟢 OK"))))</f>
        <v/>
      </c>
      <c r="D12" s="40">
        <f>IF(Plantilla!$M10="","",Plantilla!$M10)</f>
        <v/>
      </c>
      <c r="E12" s="44">
        <f>IF($D12="","",IF($D12-$B$3&lt;0,"❌ VENCIDO hace "&amp;TEXT($B$3-$D12,"0")&amp;" d",IF($D12-$B$3&lt;=$B$4,"🔴 "&amp;TEXT($D12-$B$3,"0")&amp;" d",IF($D12-$B$3&lt;=$B$5,"🟡 "&amp;TEXT($D12-$B$3,"0")&amp;" d","🟢 OK"))))</f>
        <v/>
      </c>
      <c r="F12" s="45">
        <f>IF(Plantilla!$N10="","",Plantilla!$N10)</f>
        <v/>
      </c>
      <c r="G12" s="46">
        <f>IF($F12="","",IF($F12-$B$3&lt;0,"❌ VENCIDO hace "&amp;TEXT($B$3-$F12,"0")&amp;" d",IF($F12-$B$3&lt;=$B$4,"🔴 "&amp;TEXT($F12-$B$3,"0")&amp;" d",IF($F12-$B$3&lt;=$B$5,"🟡 "&amp;TEXT($F12-$B$3,"0")&amp;" d","🟢 OK"))))</f>
        <v/>
      </c>
      <c r="H12" s="45">
        <f>IF(Plantilla!$O10="","",Plantilla!$O10)</f>
        <v/>
      </c>
      <c r="I12" s="46">
        <f>IF($H12="","",IF($H12-$B$3&lt;0,"❌ VENCIDO hace "&amp;TEXT($B$3-$H12,"0")&amp;" d",IF($H12-$B$3&lt;=$B$4,"🔴 "&amp;TEXT($H12-$B$3,"0")&amp;" d",IF($H12-$B$3&lt;=$B$5,"🟡 "&amp;TEXT($H12-$B$3,"0")&amp;" d","🟢 OK"))))</f>
        <v/>
      </c>
    </row>
    <row r="13">
      <c r="A13" s="43">
        <f>IF(Plantilla!$A11="","",Plantilla!$A11)</f>
        <v/>
      </c>
      <c r="B13" s="40">
        <f>IF(Plantilla!$L11="","",Plantilla!$L11)</f>
        <v/>
      </c>
      <c r="C13" s="44">
        <f>IF($B13="","",IF($B13-$B$3&lt;0,"❌ VENCIDO hace "&amp;TEXT($B$3-$B13,"0")&amp;" d",IF($B13-$B$3&lt;=$B$4,"🔴 "&amp;TEXT($B13-$B$3,"0")&amp;" d",IF($B13-$B$3&lt;=$B$5,"🟡 "&amp;TEXT($B13-$B$3,"0")&amp;" d","🟢 OK"))))</f>
        <v/>
      </c>
      <c r="D13" s="40">
        <f>IF(Plantilla!$M11="","",Plantilla!$M11)</f>
        <v/>
      </c>
      <c r="E13" s="44">
        <f>IF($D13="","",IF($D13-$B$3&lt;0,"❌ VENCIDO hace "&amp;TEXT($B$3-$D13,"0")&amp;" d",IF($D13-$B$3&lt;=$B$4,"🔴 "&amp;TEXT($D13-$B$3,"0")&amp;" d",IF($D13-$B$3&lt;=$B$5,"🟡 "&amp;TEXT($D13-$B$3,"0")&amp;" d","🟢 OK"))))</f>
        <v/>
      </c>
      <c r="F13" s="45">
        <f>IF(Plantilla!$N11="","",Plantilla!$N11)</f>
        <v/>
      </c>
      <c r="G13" s="46">
        <f>IF($F13="","",IF($F13-$B$3&lt;0,"❌ VENCIDO hace "&amp;TEXT($B$3-$F13,"0")&amp;" d",IF($F13-$B$3&lt;=$B$4,"🔴 "&amp;TEXT($F13-$B$3,"0")&amp;" d",IF($F13-$B$3&lt;=$B$5,"🟡 "&amp;TEXT($F13-$B$3,"0")&amp;" d","🟢 OK"))))</f>
        <v/>
      </c>
      <c r="H13" s="45">
        <f>IF(Plantilla!$O11="","",Plantilla!$O11)</f>
        <v/>
      </c>
      <c r="I13" s="46">
        <f>IF($H13="","",IF($H13-$B$3&lt;0,"❌ VENCIDO hace "&amp;TEXT($B$3-$H13,"0")&amp;" d",IF($H13-$B$3&lt;=$B$4,"🔴 "&amp;TEXT($H13-$B$3,"0")&amp;" d",IF($H13-$B$3&lt;=$B$5,"🟡 "&amp;TEXT($H13-$B$3,"0")&amp;" d","🟢 OK"))))</f>
        <v/>
      </c>
    </row>
    <row r="14">
      <c r="A14" s="43">
        <f>IF(Plantilla!$A12="","",Plantilla!$A12)</f>
        <v/>
      </c>
      <c r="B14" s="40">
        <f>IF(Plantilla!$L12="","",Plantilla!$L12)</f>
        <v/>
      </c>
      <c r="C14" s="44">
        <f>IF($B14="","",IF($B14-$B$3&lt;0,"❌ VENCIDO hace "&amp;TEXT($B$3-$B14,"0")&amp;" d",IF($B14-$B$3&lt;=$B$4,"🔴 "&amp;TEXT($B14-$B$3,"0")&amp;" d",IF($B14-$B$3&lt;=$B$5,"🟡 "&amp;TEXT($B14-$B$3,"0")&amp;" d","🟢 OK"))))</f>
        <v/>
      </c>
      <c r="D14" s="40">
        <f>IF(Plantilla!$M12="","",Plantilla!$M12)</f>
        <v/>
      </c>
      <c r="E14" s="44">
        <f>IF($D14="","",IF($D14-$B$3&lt;0,"❌ VENCIDO hace "&amp;TEXT($B$3-$D14,"0")&amp;" d",IF($D14-$B$3&lt;=$B$4,"🔴 "&amp;TEXT($D14-$B$3,"0")&amp;" d",IF($D14-$B$3&lt;=$B$5,"🟡 "&amp;TEXT($D14-$B$3,"0")&amp;" d","🟢 OK"))))</f>
        <v/>
      </c>
      <c r="F14" s="45">
        <f>IF(Plantilla!$N12="","",Plantilla!$N12)</f>
        <v/>
      </c>
      <c r="G14" s="46">
        <f>IF($F14="","",IF($F14-$B$3&lt;0,"❌ VENCIDO hace "&amp;TEXT($B$3-$F14,"0")&amp;" d",IF($F14-$B$3&lt;=$B$4,"🔴 "&amp;TEXT($F14-$B$3,"0")&amp;" d",IF($F14-$B$3&lt;=$B$5,"🟡 "&amp;TEXT($F14-$B$3,"0")&amp;" d","🟢 OK"))))</f>
        <v/>
      </c>
      <c r="H14" s="45">
        <f>IF(Plantilla!$O12="","",Plantilla!$O12)</f>
        <v/>
      </c>
      <c r="I14" s="46">
        <f>IF($H14="","",IF($H14-$B$3&lt;0,"❌ VENCIDO hace "&amp;TEXT($B$3-$H14,"0")&amp;" d",IF($H14-$B$3&lt;=$B$4,"🔴 "&amp;TEXT($H14-$B$3,"0")&amp;" d",IF($H14-$B$3&lt;=$B$5,"🟡 "&amp;TEXT($H14-$B$3,"0")&amp;" d","🟢 OK"))))</f>
        <v/>
      </c>
    </row>
    <row r="15">
      <c r="A15" s="43">
        <f>IF(Plantilla!$A13="","",Plantilla!$A13)</f>
        <v/>
      </c>
      <c r="B15" s="40">
        <f>IF(Plantilla!$L13="","",Plantilla!$L13)</f>
        <v/>
      </c>
      <c r="C15" s="44">
        <f>IF($B15="","",IF($B15-$B$3&lt;0,"❌ VENCIDO hace "&amp;TEXT($B$3-$B15,"0")&amp;" d",IF($B15-$B$3&lt;=$B$4,"🔴 "&amp;TEXT($B15-$B$3,"0")&amp;" d",IF($B15-$B$3&lt;=$B$5,"🟡 "&amp;TEXT($B15-$B$3,"0")&amp;" d","🟢 OK"))))</f>
        <v/>
      </c>
      <c r="D15" s="40">
        <f>IF(Plantilla!$M13="","",Plantilla!$M13)</f>
        <v/>
      </c>
      <c r="E15" s="44">
        <f>IF($D15="","",IF($D15-$B$3&lt;0,"❌ VENCIDO hace "&amp;TEXT($B$3-$D15,"0")&amp;" d",IF($D15-$B$3&lt;=$B$4,"🔴 "&amp;TEXT($D15-$B$3,"0")&amp;" d",IF($D15-$B$3&lt;=$B$5,"🟡 "&amp;TEXT($D15-$B$3,"0")&amp;" d","🟢 OK"))))</f>
        <v/>
      </c>
      <c r="F15" s="45">
        <f>IF(Plantilla!$N13="","",Plantilla!$N13)</f>
        <v/>
      </c>
      <c r="G15" s="46">
        <f>IF($F15="","",IF($F15-$B$3&lt;0,"❌ VENCIDO hace "&amp;TEXT($B$3-$F15,"0")&amp;" d",IF($F15-$B$3&lt;=$B$4,"🔴 "&amp;TEXT($F15-$B$3,"0")&amp;" d",IF($F15-$B$3&lt;=$B$5,"🟡 "&amp;TEXT($F15-$B$3,"0")&amp;" d","🟢 OK"))))</f>
        <v/>
      </c>
      <c r="H15" s="45">
        <f>IF(Plantilla!$O13="","",Plantilla!$O13)</f>
        <v/>
      </c>
      <c r="I15" s="46">
        <f>IF($H15="","",IF($H15-$B$3&lt;0,"❌ VENCIDO hace "&amp;TEXT($B$3-$H15,"0")&amp;" d",IF($H15-$B$3&lt;=$B$4,"🔴 "&amp;TEXT($H15-$B$3,"0")&amp;" d",IF($H15-$B$3&lt;=$B$5,"🟡 "&amp;TEXT($H15-$B$3,"0")&amp;" d","🟢 OK"))))</f>
        <v/>
      </c>
    </row>
    <row r="16">
      <c r="A16" s="43">
        <f>IF(Plantilla!$A14="","",Plantilla!$A14)</f>
        <v/>
      </c>
      <c r="B16" s="40">
        <f>IF(Plantilla!$L14="","",Plantilla!$L14)</f>
        <v/>
      </c>
      <c r="C16" s="44">
        <f>IF($B16="","",IF($B16-$B$3&lt;0,"❌ VENCIDO hace "&amp;TEXT($B$3-$B16,"0")&amp;" d",IF($B16-$B$3&lt;=$B$4,"🔴 "&amp;TEXT($B16-$B$3,"0")&amp;" d",IF($B16-$B$3&lt;=$B$5,"🟡 "&amp;TEXT($B16-$B$3,"0")&amp;" d","🟢 OK"))))</f>
        <v/>
      </c>
      <c r="D16" s="40">
        <f>IF(Plantilla!$M14="","",Plantilla!$M14)</f>
        <v/>
      </c>
      <c r="E16" s="44">
        <f>IF($D16="","",IF($D16-$B$3&lt;0,"❌ VENCIDO hace "&amp;TEXT($B$3-$D16,"0")&amp;" d",IF($D16-$B$3&lt;=$B$4,"🔴 "&amp;TEXT($D16-$B$3,"0")&amp;" d",IF($D16-$B$3&lt;=$B$5,"🟡 "&amp;TEXT($D16-$B$3,"0")&amp;" d","🟢 OK"))))</f>
        <v/>
      </c>
      <c r="F16" s="45">
        <f>IF(Plantilla!$N14="","",Plantilla!$N14)</f>
        <v/>
      </c>
      <c r="G16" s="46">
        <f>IF($F16="","",IF($F16-$B$3&lt;0,"❌ VENCIDO hace "&amp;TEXT($B$3-$F16,"0")&amp;" d",IF($F16-$B$3&lt;=$B$4,"🔴 "&amp;TEXT($F16-$B$3,"0")&amp;" d",IF($F16-$B$3&lt;=$B$5,"🟡 "&amp;TEXT($F16-$B$3,"0")&amp;" d","🟢 OK"))))</f>
        <v/>
      </c>
      <c r="H16" s="45">
        <f>IF(Plantilla!$O14="","",Plantilla!$O14)</f>
        <v/>
      </c>
      <c r="I16" s="46">
        <f>IF($H16="","",IF($H16-$B$3&lt;0,"❌ VENCIDO hace "&amp;TEXT($B$3-$H16,"0")&amp;" d",IF($H16-$B$3&lt;=$B$4,"🔴 "&amp;TEXT($H16-$B$3,"0")&amp;" d",IF($H16-$B$3&lt;=$B$5,"🟡 "&amp;TEXT($H16-$B$3,"0")&amp;" d","🟢 OK"))))</f>
        <v/>
      </c>
    </row>
    <row r="17">
      <c r="A17" s="43">
        <f>IF(Plantilla!$A15="","",Plantilla!$A15)</f>
        <v/>
      </c>
      <c r="B17" s="40">
        <f>IF(Plantilla!$L15="","",Plantilla!$L15)</f>
        <v/>
      </c>
      <c r="C17" s="44">
        <f>IF($B17="","",IF($B17-$B$3&lt;0,"❌ VENCIDO hace "&amp;TEXT($B$3-$B17,"0")&amp;" d",IF($B17-$B$3&lt;=$B$4,"🔴 "&amp;TEXT($B17-$B$3,"0")&amp;" d",IF($B17-$B$3&lt;=$B$5,"🟡 "&amp;TEXT($B17-$B$3,"0")&amp;" d","🟢 OK"))))</f>
        <v/>
      </c>
      <c r="D17" s="40">
        <f>IF(Plantilla!$M15="","",Plantilla!$M15)</f>
        <v/>
      </c>
      <c r="E17" s="44">
        <f>IF($D17="","",IF($D17-$B$3&lt;0,"❌ VENCIDO hace "&amp;TEXT($B$3-$D17,"0")&amp;" d",IF($D17-$B$3&lt;=$B$4,"🔴 "&amp;TEXT($D17-$B$3,"0")&amp;" d",IF($D17-$B$3&lt;=$B$5,"🟡 "&amp;TEXT($D17-$B$3,"0")&amp;" d","🟢 OK"))))</f>
        <v/>
      </c>
      <c r="F17" s="45">
        <f>IF(Plantilla!$N15="","",Plantilla!$N15)</f>
        <v/>
      </c>
      <c r="G17" s="46">
        <f>IF($F17="","",IF($F17-$B$3&lt;0,"❌ VENCIDO hace "&amp;TEXT($B$3-$F17,"0")&amp;" d",IF($F17-$B$3&lt;=$B$4,"🔴 "&amp;TEXT($F17-$B$3,"0")&amp;" d",IF($F17-$B$3&lt;=$B$5,"🟡 "&amp;TEXT($F17-$B$3,"0")&amp;" d","🟢 OK"))))</f>
        <v/>
      </c>
      <c r="H17" s="45">
        <f>IF(Plantilla!$O15="","",Plantilla!$O15)</f>
        <v/>
      </c>
      <c r="I17" s="46">
        <f>IF($H17="","",IF($H17-$B$3&lt;0,"❌ VENCIDO hace "&amp;TEXT($B$3-$H17,"0")&amp;" d",IF($H17-$B$3&lt;=$B$4,"🔴 "&amp;TEXT($H17-$B$3,"0")&amp;" d",IF($H17-$B$3&lt;=$B$5,"🟡 "&amp;TEXT($H17-$B$3,"0")&amp;" d","🟢 OK"))))</f>
        <v/>
      </c>
    </row>
    <row r="18">
      <c r="A18" s="43">
        <f>IF(Plantilla!$A16="","",Plantilla!$A16)</f>
        <v/>
      </c>
      <c r="B18" s="40">
        <f>IF(Plantilla!$L16="","",Plantilla!$L16)</f>
        <v/>
      </c>
      <c r="C18" s="44">
        <f>IF($B18="","",IF($B18-$B$3&lt;0,"❌ VENCIDO hace "&amp;TEXT($B$3-$B18,"0")&amp;" d",IF($B18-$B$3&lt;=$B$4,"🔴 "&amp;TEXT($B18-$B$3,"0")&amp;" d",IF($B18-$B$3&lt;=$B$5,"🟡 "&amp;TEXT($B18-$B$3,"0")&amp;" d","🟢 OK"))))</f>
        <v/>
      </c>
      <c r="D18" s="40">
        <f>IF(Plantilla!$M16="","",Plantilla!$M16)</f>
        <v/>
      </c>
      <c r="E18" s="44">
        <f>IF($D18="","",IF($D18-$B$3&lt;0,"❌ VENCIDO hace "&amp;TEXT($B$3-$D18,"0")&amp;" d",IF($D18-$B$3&lt;=$B$4,"🔴 "&amp;TEXT($D18-$B$3,"0")&amp;" d",IF($D18-$B$3&lt;=$B$5,"🟡 "&amp;TEXT($D18-$B$3,"0")&amp;" d","🟢 OK"))))</f>
        <v/>
      </c>
      <c r="F18" s="45">
        <f>IF(Plantilla!$N16="","",Plantilla!$N16)</f>
        <v/>
      </c>
      <c r="G18" s="46">
        <f>IF($F18="","",IF($F18-$B$3&lt;0,"❌ VENCIDO hace "&amp;TEXT($B$3-$F18,"0")&amp;" d",IF($F18-$B$3&lt;=$B$4,"🔴 "&amp;TEXT($F18-$B$3,"0")&amp;" d",IF($F18-$B$3&lt;=$B$5,"🟡 "&amp;TEXT($F18-$B$3,"0")&amp;" d","🟢 OK"))))</f>
        <v/>
      </c>
      <c r="H18" s="45">
        <f>IF(Plantilla!$O16="","",Plantilla!$O16)</f>
        <v/>
      </c>
      <c r="I18" s="46">
        <f>IF($H18="","",IF($H18-$B$3&lt;0,"❌ VENCIDO hace "&amp;TEXT($B$3-$H18,"0")&amp;" d",IF($H18-$B$3&lt;=$B$4,"🔴 "&amp;TEXT($H18-$B$3,"0")&amp;" d",IF($H18-$B$3&lt;=$B$5,"🟡 "&amp;TEXT($H18-$B$3,"0")&amp;" d","🟢 OK"))))</f>
        <v/>
      </c>
    </row>
    <row r="19">
      <c r="A19" s="43">
        <f>IF(Plantilla!$A17="","",Plantilla!$A17)</f>
        <v/>
      </c>
      <c r="B19" s="40">
        <f>IF(Plantilla!$L17="","",Plantilla!$L17)</f>
        <v/>
      </c>
      <c r="C19" s="44">
        <f>IF($B19="","",IF($B19-$B$3&lt;0,"❌ VENCIDO hace "&amp;TEXT($B$3-$B19,"0")&amp;" d",IF($B19-$B$3&lt;=$B$4,"🔴 "&amp;TEXT($B19-$B$3,"0")&amp;" d",IF($B19-$B$3&lt;=$B$5,"🟡 "&amp;TEXT($B19-$B$3,"0")&amp;" d","🟢 OK"))))</f>
        <v/>
      </c>
      <c r="D19" s="40">
        <f>IF(Plantilla!$M17="","",Plantilla!$M17)</f>
        <v/>
      </c>
      <c r="E19" s="44">
        <f>IF($D19="","",IF($D19-$B$3&lt;0,"❌ VENCIDO hace "&amp;TEXT($B$3-$D19,"0")&amp;" d",IF($D19-$B$3&lt;=$B$4,"🔴 "&amp;TEXT($D19-$B$3,"0")&amp;" d",IF($D19-$B$3&lt;=$B$5,"🟡 "&amp;TEXT($D19-$B$3,"0")&amp;" d","🟢 OK"))))</f>
        <v/>
      </c>
      <c r="F19" s="45">
        <f>IF(Plantilla!$N17="","",Plantilla!$N17)</f>
        <v/>
      </c>
      <c r="G19" s="46">
        <f>IF($F19="","",IF($F19-$B$3&lt;0,"❌ VENCIDO hace "&amp;TEXT($B$3-$F19,"0")&amp;" d",IF($F19-$B$3&lt;=$B$4,"🔴 "&amp;TEXT($F19-$B$3,"0")&amp;" d",IF($F19-$B$3&lt;=$B$5,"🟡 "&amp;TEXT($F19-$B$3,"0")&amp;" d","🟢 OK"))))</f>
        <v/>
      </c>
      <c r="H19" s="45">
        <f>IF(Plantilla!$O17="","",Plantilla!$O17)</f>
        <v/>
      </c>
      <c r="I19" s="46">
        <f>IF($H19="","",IF($H19-$B$3&lt;0,"❌ VENCIDO hace "&amp;TEXT($B$3-$H19,"0")&amp;" d",IF($H19-$B$3&lt;=$B$4,"🔴 "&amp;TEXT($H19-$B$3,"0")&amp;" d",IF($H19-$B$3&lt;=$B$5,"🟡 "&amp;TEXT($H19-$B$3,"0")&amp;" d","🟢 OK"))))</f>
        <v/>
      </c>
    </row>
    <row r="20">
      <c r="A20" s="43">
        <f>IF(Plantilla!$A18="","",Plantilla!$A18)</f>
        <v/>
      </c>
      <c r="B20" s="40">
        <f>IF(Plantilla!$L18="","",Plantilla!$L18)</f>
        <v/>
      </c>
      <c r="C20" s="44">
        <f>IF($B20="","",IF($B20-$B$3&lt;0,"❌ VENCIDO hace "&amp;TEXT($B$3-$B20,"0")&amp;" d",IF($B20-$B$3&lt;=$B$4,"🔴 "&amp;TEXT($B20-$B$3,"0")&amp;" d",IF($B20-$B$3&lt;=$B$5,"🟡 "&amp;TEXT($B20-$B$3,"0")&amp;" d","🟢 OK"))))</f>
        <v/>
      </c>
      <c r="D20" s="40">
        <f>IF(Plantilla!$M18="","",Plantilla!$M18)</f>
        <v/>
      </c>
      <c r="E20" s="44">
        <f>IF($D20="","",IF($D20-$B$3&lt;0,"❌ VENCIDO hace "&amp;TEXT($B$3-$D20,"0")&amp;" d",IF($D20-$B$3&lt;=$B$4,"🔴 "&amp;TEXT($D20-$B$3,"0")&amp;" d",IF($D20-$B$3&lt;=$B$5,"🟡 "&amp;TEXT($D20-$B$3,"0")&amp;" d","🟢 OK"))))</f>
        <v/>
      </c>
      <c r="F20" s="45">
        <f>IF(Plantilla!$N18="","",Plantilla!$N18)</f>
        <v/>
      </c>
      <c r="G20" s="46">
        <f>IF($F20="","",IF($F20-$B$3&lt;0,"❌ VENCIDO hace "&amp;TEXT($B$3-$F20,"0")&amp;" d",IF($F20-$B$3&lt;=$B$4,"🔴 "&amp;TEXT($F20-$B$3,"0")&amp;" d",IF($F20-$B$3&lt;=$B$5,"🟡 "&amp;TEXT($F20-$B$3,"0")&amp;" d","🟢 OK"))))</f>
        <v/>
      </c>
      <c r="H20" s="45">
        <f>IF(Plantilla!$O18="","",Plantilla!$O18)</f>
        <v/>
      </c>
      <c r="I20" s="46">
        <f>IF($H20="","",IF($H20-$B$3&lt;0,"❌ VENCIDO hace "&amp;TEXT($B$3-$H20,"0")&amp;" d",IF($H20-$B$3&lt;=$B$4,"🔴 "&amp;TEXT($H20-$B$3,"0")&amp;" d",IF($H20-$B$3&lt;=$B$5,"🟡 "&amp;TEXT($H20-$B$3,"0")&amp;" d","🟢 OK"))))</f>
        <v/>
      </c>
    </row>
    <row r="21">
      <c r="A21" s="43">
        <f>IF(Plantilla!$A19="","",Plantilla!$A19)</f>
        <v/>
      </c>
      <c r="B21" s="40">
        <f>IF(Plantilla!$L19="","",Plantilla!$L19)</f>
        <v/>
      </c>
      <c r="C21" s="44">
        <f>IF($B21="","",IF($B21-$B$3&lt;0,"❌ VENCIDO hace "&amp;TEXT($B$3-$B21,"0")&amp;" d",IF($B21-$B$3&lt;=$B$4,"🔴 "&amp;TEXT($B21-$B$3,"0")&amp;" d",IF($B21-$B$3&lt;=$B$5,"🟡 "&amp;TEXT($B21-$B$3,"0")&amp;" d","🟢 OK"))))</f>
        <v/>
      </c>
      <c r="D21" s="40">
        <f>IF(Plantilla!$M19="","",Plantilla!$M19)</f>
        <v/>
      </c>
      <c r="E21" s="44">
        <f>IF($D21="","",IF($D21-$B$3&lt;0,"❌ VENCIDO hace "&amp;TEXT($B$3-$D21,"0")&amp;" d",IF($D21-$B$3&lt;=$B$4,"🔴 "&amp;TEXT($D21-$B$3,"0")&amp;" d",IF($D21-$B$3&lt;=$B$5,"🟡 "&amp;TEXT($D21-$B$3,"0")&amp;" d","🟢 OK"))))</f>
        <v/>
      </c>
      <c r="F21" s="45">
        <f>IF(Plantilla!$N19="","",Plantilla!$N19)</f>
        <v/>
      </c>
      <c r="G21" s="46">
        <f>IF($F21="","",IF($F21-$B$3&lt;0,"❌ VENCIDO hace "&amp;TEXT($B$3-$F21,"0")&amp;" d",IF($F21-$B$3&lt;=$B$4,"🔴 "&amp;TEXT($F21-$B$3,"0")&amp;" d",IF($F21-$B$3&lt;=$B$5,"🟡 "&amp;TEXT($F21-$B$3,"0")&amp;" d","🟢 OK"))))</f>
        <v/>
      </c>
      <c r="H21" s="45">
        <f>IF(Plantilla!$O19="","",Plantilla!$O19)</f>
        <v/>
      </c>
      <c r="I21" s="46">
        <f>IF($H21="","",IF($H21-$B$3&lt;0,"❌ VENCIDO hace "&amp;TEXT($B$3-$H21,"0")&amp;" d",IF($H21-$B$3&lt;=$B$4,"🔴 "&amp;TEXT($H21-$B$3,"0")&amp;" d",IF($H21-$B$3&lt;=$B$5,"🟡 "&amp;TEXT($H21-$B$3,"0")&amp;" d","🟢 OK"))))</f>
        <v/>
      </c>
    </row>
    <row r="22">
      <c r="A22" s="26">
        <f>IF(Plantilla!$A20="","",Plantilla!$A20)</f>
        <v/>
      </c>
      <c r="B22" s="47">
        <f>IF(Plantilla!$L20="","",Plantilla!$L20)</f>
        <v/>
      </c>
      <c r="C22" s="48">
        <f>IF($B22="","",IF($B22-$B$3&lt;0,"❌ VENCIDO hace "&amp;TEXT($B$3-$B22,"0")&amp;" d",IF($B22-$B$3&lt;=$B$4,"🔴 "&amp;TEXT($B22-$B$3,"0")&amp;" d",IF($B22-$B$3&lt;=$B$5,"🟡 "&amp;TEXT($B22-$B$3,"0")&amp;" d","🟢 OK"))))</f>
        <v/>
      </c>
      <c r="D22" s="47">
        <f>IF(Plantilla!$M20="","",Plantilla!$M20)</f>
        <v/>
      </c>
      <c r="E22" s="48">
        <f>IF($D22="","",IF($D22-$B$3&lt;0,"❌ VENCIDO hace "&amp;TEXT($B$3-$D22,"0")&amp;" d",IF($D22-$B$3&lt;=$B$4,"🔴 "&amp;TEXT($D22-$B$3,"0")&amp;" d",IF($D22-$B$3&lt;=$B$5,"🟡 "&amp;TEXT($D22-$B$3,"0")&amp;" d","🟢 OK"))))</f>
        <v/>
      </c>
      <c r="F22" s="45">
        <f>IF(Plantilla!$N20="","",Plantilla!$N20)</f>
        <v/>
      </c>
      <c r="G22" s="46">
        <f>IF($F22="","",IF($F22-$B$3&lt;0,"❌ VENCIDO hace "&amp;TEXT($B$3-$F22,"0")&amp;" d",IF($F22-$B$3&lt;=$B$4,"🔴 "&amp;TEXT($F22-$B$3,"0")&amp;" d",IF($F22-$B$3&lt;=$B$5,"🟡 "&amp;TEXT($F22-$B$3,"0")&amp;" d","🟢 OK"))))</f>
        <v/>
      </c>
      <c r="H22" s="45">
        <f>IF(Plantilla!$O20="","",Plantilla!$O20)</f>
        <v/>
      </c>
      <c r="I22" s="46">
        <f>IF($H22="","",IF($H22-$B$3&lt;0,"❌ VENCIDO hace "&amp;TEXT($B$3-$H22,"0")&amp;" d",IF($H22-$B$3&lt;=$B$4,"🔴 "&amp;TEXT($H22-$B$3,"0")&amp;" d",IF($H22-$B$3&lt;=$B$5,"🟡 "&amp;TEXT($H22-$B$3,"0")&amp;" d","🟢 OK"))))</f>
        <v/>
      </c>
    </row>
    <row r="23">
      <c r="A23" s="26">
        <f>IF(Plantilla!$A21="","",Plantilla!$A21)</f>
        <v/>
      </c>
      <c r="B23" s="47">
        <f>IF(Plantilla!$L21="","",Plantilla!$L21)</f>
        <v/>
      </c>
      <c r="C23" s="48">
        <f>IF($B23="","",IF($B23-$B$3&lt;0,"❌ VENCIDO hace "&amp;TEXT($B$3-$B23,"0")&amp;" d",IF($B23-$B$3&lt;=$B$4,"🔴 "&amp;TEXT($B23-$B$3,"0")&amp;" d",IF($B23-$B$3&lt;=$B$5,"🟡 "&amp;TEXT($B23-$B$3,"0")&amp;" d","🟢 OK"))))</f>
        <v/>
      </c>
      <c r="D23" s="47">
        <f>IF(Plantilla!$M21="","",Plantilla!$M21)</f>
        <v/>
      </c>
      <c r="E23" s="48">
        <f>IF($D23="","",IF($D23-$B$3&lt;0,"❌ VENCIDO hace "&amp;TEXT($B$3-$D23,"0")&amp;" d",IF($D23-$B$3&lt;=$B$4,"🔴 "&amp;TEXT($D23-$B$3,"0")&amp;" d",IF($D23-$B$3&lt;=$B$5,"🟡 "&amp;TEXT($D23-$B$3,"0")&amp;" d","🟢 OK"))))</f>
        <v/>
      </c>
      <c r="F23" s="45">
        <f>IF(Plantilla!$N21="","",Plantilla!$N21)</f>
        <v/>
      </c>
      <c r="G23" s="46">
        <f>IF($F23="","",IF($F23-$B$3&lt;0,"❌ VENCIDO hace "&amp;TEXT($B$3-$F23,"0")&amp;" d",IF($F23-$B$3&lt;=$B$4,"🔴 "&amp;TEXT($F23-$B$3,"0")&amp;" d",IF($F23-$B$3&lt;=$B$5,"🟡 "&amp;TEXT($F23-$B$3,"0")&amp;" d","🟢 OK"))))</f>
        <v/>
      </c>
      <c r="H23" s="45">
        <f>IF(Plantilla!$O21="","",Plantilla!$O21)</f>
        <v/>
      </c>
      <c r="I23" s="46">
        <f>IF($H23="","",IF($H23-$B$3&lt;0,"❌ VENCIDO hace "&amp;TEXT($B$3-$H23,"0")&amp;" d",IF($H23-$B$3&lt;=$B$4,"🔴 "&amp;TEXT($H23-$B$3,"0")&amp;" d",IF($H23-$B$3&lt;=$B$5,"🟡 "&amp;TEXT($H23-$B$3,"0")&amp;" d","🟢 OK"))))</f>
        <v/>
      </c>
    </row>
    <row r="24">
      <c r="A24" s="26">
        <f>IF(Plantilla!$A22="","",Plantilla!$A22)</f>
        <v/>
      </c>
      <c r="B24" s="47">
        <f>IF(Plantilla!$L22="","",Plantilla!$L22)</f>
        <v/>
      </c>
      <c r="C24" s="48">
        <f>IF($B24="","",IF($B24-$B$3&lt;0,"❌ VENCIDO hace "&amp;TEXT($B$3-$B24,"0")&amp;" d",IF($B24-$B$3&lt;=$B$4,"🔴 "&amp;TEXT($B24-$B$3,"0")&amp;" d",IF($B24-$B$3&lt;=$B$5,"🟡 "&amp;TEXT($B24-$B$3,"0")&amp;" d","🟢 OK"))))</f>
        <v/>
      </c>
      <c r="D24" s="47">
        <f>IF(Plantilla!$M22="","",Plantilla!$M22)</f>
        <v/>
      </c>
      <c r="E24" s="48">
        <f>IF($D24="","",IF($D24-$B$3&lt;0,"❌ VENCIDO hace "&amp;TEXT($B$3-$D24,"0")&amp;" d",IF($D24-$B$3&lt;=$B$4,"🔴 "&amp;TEXT($D24-$B$3,"0")&amp;" d",IF($D24-$B$3&lt;=$B$5,"🟡 "&amp;TEXT($D24-$B$3,"0")&amp;" d","🟢 OK"))))</f>
        <v/>
      </c>
      <c r="F24" s="45">
        <f>IF(Plantilla!$N22="","",Plantilla!$N22)</f>
        <v/>
      </c>
      <c r="G24" s="46">
        <f>IF($F24="","",IF($F24-$B$3&lt;0,"❌ VENCIDO hace "&amp;TEXT($B$3-$F24,"0")&amp;" d",IF($F24-$B$3&lt;=$B$4,"🔴 "&amp;TEXT($F24-$B$3,"0")&amp;" d",IF($F24-$B$3&lt;=$B$5,"🟡 "&amp;TEXT($F24-$B$3,"0")&amp;" d","🟢 OK"))))</f>
        <v/>
      </c>
      <c r="H24" s="45">
        <f>IF(Plantilla!$O22="","",Plantilla!$O22)</f>
        <v/>
      </c>
      <c r="I24" s="46">
        <f>IF($H24="","",IF($H24-$B$3&lt;0,"❌ VENCIDO hace "&amp;TEXT($B$3-$H24,"0")&amp;" d",IF($H24-$B$3&lt;=$B$4,"🔴 "&amp;TEXT($H24-$B$3,"0")&amp;" d",IF($H24-$B$3&lt;=$B$5,"🟡 "&amp;TEXT($H24-$B$3,"0")&amp;" d","🟢 OK"))))</f>
        <v/>
      </c>
    </row>
    <row r="25">
      <c r="A25" s="43">
        <f>IF(Plantilla!$A23="","",Plantilla!$A23)</f>
        <v/>
      </c>
      <c r="B25" s="40">
        <f>IF(Plantilla!$L23="","",Plantilla!$L23)</f>
        <v/>
      </c>
      <c r="C25" s="44">
        <f>IF($B25="","",IF($B25-$B$3&lt;0,"❌ VENCIDO hace "&amp;TEXT($B$3-$B25,"0")&amp;" d",IF($B25-$B$3&lt;=$B$4,"🔴 "&amp;TEXT($B25-$B$3,"0")&amp;" d",IF($B25-$B$3&lt;=$B$5,"🟡 "&amp;TEXT($B25-$B$3,"0")&amp;" d","🟢 OK"))))</f>
        <v/>
      </c>
      <c r="D25" s="40">
        <f>IF(Plantilla!$M23="","",Plantilla!$M23)</f>
        <v/>
      </c>
      <c r="E25" s="44">
        <f>IF($D25="","",IF($D25-$B$3&lt;0,"❌ VENCIDO hace "&amp;TEXT($B$3-$D25,"0")&amp;" d",IF($D25-$B$3&lt;=$B$4,"🔴 "&amp;TEXT($D25-$B$3,"0")&amp;" d",IF($D25-$B$3&lt;=$B$5,"🟡 "&amp;TEXT($D25-$B$3,"0")&amp;" d","🟢 OK"))))</f>
        <v/>
      </c>
      <c r="F25" s="45">
        <f>IF(Plantilla!$N23="","",Plantilla!$N23)</f>
        <v/>
      </c>
      <c r="G25" s="46">
        <f>IF($F25="","",IF($F25-$B$3&lt;0,"❌ VENCIDO hace "&amp;TEXT($B$3-$F25,"0")&amp;" d",IF($F25-$B$3&lt;=$B$4,"🔴 "&amp;TEXT($F25-$B$3,"0")&amp;" d",IF($F25-$B$3&lt;=$B$5,"🟡 "&amp;TEXT($F25-$B$3,"0")&amp;" d","🟢 OK"))))</f>
        <v/>
      </c>
      <c r="H25" s="45">
        <f>IF(Plantilla!$O23="","",Plantilla!$O23)</f>
        <v/>
      </c>
      <c r="I25" s="46">
        <f>IF($H25="","",IF($H25-$B$3&lt;0,"❌ VENCIDO hace "&amp;TEXT($B$3-$H25,"0")&amp;" d",IF($H25-$B$3&lt;=$B$4,"🔴 "&amp;TEXT($H25-$B$3,"0")&amp;" d",IF($H25-$B$3&lt;=$B$5,"🟡 "&amp;TEXT($H25-$B$3,"0")&amp;" d","🟢 OK"))))</f>
        <v/>
      </c>
    </row>
    <row r="26">
      <c r="A26" s="43">
        <f>IF(Plantilla!$A24="","",Plantilla!$A24)</f>
        <v/>
      </c>
      <c r="B26" s="40">
        <f>IF(Plantilla!$L24="","",Plantilla!$L24)</f>
        <v/>
      </c>
      <c r="C26" s="44">
        <f>IF($B26="","",IF($B26-$B$3&lt;0,"❌ VENCIDO hace "&amp;TEXT($B$3-$B26,"0")&amp;" d",IF($B26-$B$3&lt;=$B$4,"🔴 "&amp;TEXT($B26-$B$3,"0")&amp;" d",IF($B26-$B$3&lt;=$B$5,"🟡 "&amp;TEXT($B26-$B$3,"0")&amp;" d","🟢 OK"))))</f>
        <v/>
      </c>
      <c r="D26" s="40">
        <f>IF(Plantilla!$M24="","",Plantilla!$M24)</f>
        <v/>
      </c>
      <c r="E26" s="44">
        <f>IF($D26="","",IF($D26-$B$3&lt;0,"❌ VENCIDO hace "&amp;TEXT($B$3-$D26,"0")&amp;" d",IF($D26-$B$3&lt;=$B$4,"🔴 "&amp;TEXT($D26-$B$3,"0")&amp;" d",IF($D26-$B$3&lt;=$B$5,"🟡 "&amp;TEXT($D26-$B$3,"0")&amp;" d","🟢 OK"))))</f>
        <v/>
      </c>
      <c r="F26" s="45">
        <f>IF(Plantilla!$N24="","",Plantilla!$N24)</f>
        <v/>
      </c>
      <c r="G26" s="46">
        <f>IF($F26="","",IF($F26-$B$3&lt;0,"❌ VENCIDO hace "&amp;TEXT($B$3-$F26,"0")&amp;" d",IF($F26-$B$3&lt;=$B$4,"🔴 "&amp;TEXT($F26-$B$3,"0")&amp;" d",IF($F26-$B$3&lt;=$B$5,"🟡 "&amp;TEXT($F26-$B$3,"0")&amp;" d","🟢 OK"))))</f>
        <v/>
      </c>
      <c r="H26" s="45">
        <f>IF(Plantilla!$O24="","",Plantilla!$O24)</f>
        <v/>
      </c>
      <c r="I26" s="46">
        <f>IF($H26="","",IF($H26-$B$3&lt;0,"❌ VENCIDO hace "&amp;TEXT($B$3-$H26,"0")&amp;" d",IF($H26-$B$3&lt;=$B$4,"🔴 "&amp;TEXT($H26-$B$3,"0")&amp;" d",IF($H26-$B$3&lt;=$B$5,"🟡 "&amp;TEXT($H26-$B$3,"0")&amp;" d","🟢 OK"))))</f>
        <v/>
      </c>
    </row>
    <row r="27">
      <c r="A27" s="43">
        <f>IF(Plantilla!$A25="","",Plantilla!$A25)</f>
        <v/>
      </c>
      <c r="B27" s="40">
        <f>IF(Plantilla!$L25="","",Plantilla!$L25)</f>
        <v/>
      </c>
      <c r="C27" s="44">
        <f>IF($B27="","",IF($B27-$B$3&lt;0,"❌ VENCIDO hace "&amp;TEXT($B$3-$B27,"0")&amp;" d",IF($B27-$B$3&lt;=$B$4,"🔴 "&amp;TEXT($B27-$B$3,"0")&amp;" d",IF($B27-$B$3&lt;=$B$5,"🟡 "&amp;TEXT($B27-$B$3,"0")&amp;" d","🟢 OK"))))</f>
        <v/>
      </c>
      <c r="D27" s="40">
        <f>IF(Plantilla!$M25="","",Plantilla!$M25)</f>
        <v/>
      </c>
      <c r="E27" s="44">
        <f>IF($D27="","",IF($D27-$B$3&lt;0,"❌ VENCIDO hace "&amp;TEXT($B$3-$D27,"0")&amp;" d",IF($D27-$B$3&lt;=$B$4,"🔴 "&amp;TEXT($D27-$B$3,"0")&amp;" d",IF($D27-$B$3&lt;=$B$5,"🟡 "&amp;TEXT($D27-$B$3,"0")&amp;" d","🟢 OK"))))</f>
        <v/>
      </c>
      <c r="F27" s="45">
        <f>IF(Plantilla!$N25="","",Plantilla!$N25)</f>
        <v/>
      </c>
      <c r="G27" s="46">
        <f>IF($F27="","",IF($F27-$B$3&lt;0,"❌ VENCIDO hace "&amp;TEXT($B$3-$F27,"0")&amp;" d",IF($F27-$B$3&lt;=$B$4,"🔴 "&amp;TEXT($F27-$B$3,"0")&amp;" d",IF($F27-$B$3&lt;=$B$5,"🟡 "&amp;TEXT($F27-$B$3,"0")&amp;" d","🟢 OK"))))</f>
        <v/>
      </c>
      <c r="H27" s="45">
        <f>IF(Plantilla!$O25="","",Plantilla!$O25)</f>
        <v/>
      </c>
      <c r="I27" s="46">
        <f>IF($H27="","",IF($H27-$B$3&lt;0,"❌ VENCIDO hace "&amp;TEXT($B$3-$H27,"0")&amp;" d",IF($H27-$B$3&lt;=$B$4,"🔴 "&amp;TEXT($H27-$B$3,"0")&amp;" d",IF($H27-$B$3&lt;=$B$5,"🟡 "&amp;TEXT($H27-$B$3,"0")&amp;" d","🟢 OK"))))</f>
        <v/>
      </c>
    </row>
    <row r="28">
      <c r="A28" s="43">
        <f>IF(Plantilla!$A26="","",Plantilla!$A26)</f>
        <v/>
      </c>
      <c r="B28" s="40">
        <f>IF(Plantilla!$L26="","",Plantilla!$L26)</f>
        <v/>
      </c>
      <c r="C28" s="44">
        <f>IF($B28="","",IF($B28-$B$3&lt;0,"❌ VENCIDO hace "&amp;TEXT($B$3-$B28,"0")&amp;" d",IF($B28-$B$3&lt;=$B$4,"🔴 "&amp;TEXT($B28-$B$3,"0")&amp;" d",IF($B28-$B$3&lt;=$B$5,"🟡 "&amp;TEXT($B28-$B$3,"0")&amp;" d","🟢 OK"))))</f>
        <v/>
      </c>
      <c r="D28" s="40">
        <f>IF(Plantilla!$M26="","",Plantilla!$M26)</f>
        <v/>
      </c>
      <c r="E28" s="44">
        <f>IF($D28="","",IF($D28-$B$3&lt;0,"❌ VENCIDO hace "&amp;TEXT($B$3-$D28,"0")&amp;" d",IF($D28-$B$3&lt;=$B$4,"🔴 "&amp;TEXT($D28-$B$3,"0")&amp;" d",IF($D28-$B$3&lt;=$B$5,"🟡 "&amp;TEXT($D28-$B$3,"0")&amp;" d","🟢 OK"))))</f>
        <v/>
      </c>
      <c r="F28" s="45">
        <f>IF(Plantilla!$N26="","",Plantilla!$N26)</f>
        <v/>
      </c>
      <c r="G28" s="46">
        <f>IF($F28="","",IF($F28-$B$3&lt;0,"❌ VENCIDO hace "&amp;TEXT($B$3-$F28,"0")&amp;" d",IF($F28-$B$3&lt;=$B$4,"🔴 "&amp;TEXT($F28-$B$3,"0")&amp;" d",IF($F28-$B$3&lt;=$B$5,"🟡 "&amp;TEXT($F28-$B$3,"0")&amp;" d","🟢 OK"))))</f>
        <v/>
      </c>
      <c r="H28" s="45">
        <f>IF(Plantilla!$O26="","",Plantilla!$O26)</f>
        <v/>
      </c>
      <c r="I28" s="46">
        <f>IF($H28="","",IF($H28-$B$3&lt;0,"❌ VENCIDO hace "&amp;TEXT($B$3-$H28,"0")&amp;" d",IF($H28-$B$3&lt;=$B$4,"🔴 "&amp;TEXT($H28-$B$3,"0")&amp;" d",IF($H28-$B$3&lt;=$B$5,"🟡 "&amp;TEXT($H28-$B$3,"0")&amp;" d","🟢 OK"))))</f>
        <v/>
      </c>
    </row>
    <row r="29">
      <c r="A29" s="43">
        <f>IF(Plantilla!$A27="","",Plantilla!$A27)</f>
        <v/>
      </c>
      <c r="B29" s="40">
        <f>IF(Plantilla!$L27="","",Plantilla!$L27)</f>
        <v/>
      </c>
      <c r="C29" s="44">
        <f>IF($B29="","",IF($B29-$B$3&lt;0,"❌ VENCIDO hace "&amp;TEXT($B$3-$B29,"0")&amp;" d",IF($B29-$B$3&lt;=$B$4,"🔴 "&amp;TEXT($B29-$B$3,"0")&amp;" d",IF($B29-$B$3&lt;=$B$5,"🟡 "&amp;TEXT($B29-$B$3,"0")&amp;" d","🟢 OK"))))</f>
        <v/>
      </c>
      <c r="D29" s="40">
        <f>IF(Plantilla!$M27="","",Plantilla!$M27)</f>
        <v/>
      </c>
      <c r="E29" s="44">
        <f>IF($D29="","",IF($D29-$B$3&lt;0,"❌ VENCIDO hace "&amp;TEXT($B$3-$D29,"0")&amp;" d",IF($D29-$B$3&lt;=$B$4,"🔴 "&amp;TEXT($D29-$B$3,"0")&amp;" d",IF($D29-$B$3&lt;=$B$5,"🟡 "&amp;TEXT($D29-$B$3,"0")&amp;" d","🟢 OK"))))</f>
        <v/>
      </c>
      <c r="F29" s="45">
        <f>IF(Plantilla!$N27="","",Plantilla!$N27)</f>
        <v/>
      </c>
      <c r="G29" s="46">
        <f>IF($F29="","",IF($F29-$B$3&lt;0,"❌ VENCIDO hace "&amp;TEXT($B$3-$F29,"0")&amp;" d",IF($F29-$B$3&lt;=$B$4,"🔴 "&amp;TEXT($F29-$B$3,"0")&amp;" d",IF($F29-$B$3&lt;=$B$5,"🟡 "&amp;TEXT($F29-$B$3,"0")&amp;" d","🟢 OK"))))</f>
        <v/>
      </c>
      <c r="H29" s="45">
        <f>IF(Plantilla!$O27="","",Plantilla!$O27)</f>
        <v/>
      </c>
      <c r="I29" s="46">
        <f>IF($H29="","",IF($H29-$B$3&lt;0,"❌ VENCIDO hace "&amp;TEXT($B$3-$H29,"0")&amp;" d",IF($H29-$B$3&lt;=$B$4,"🔴 "&amp;TEXT($H29-$B$3,"0")&amp;" d",IF($H29-$B$3&lt;=$B$5,"🟡 "&amp;TEXT($H29-$B$3,"0")&amp;" d","🟢 OK"))))</f>
        <v/>
      </c>
    </row>
    <row r="30">
      <c r="A30" s="43">
        <f>IF(Plantilla!$A28="","",Plantilla!$A28)</f>
        <v/>
      </c>
      <c r="B30" s="40">
        <f>IF(Plantilla!$L28="","",Plantilla!$L28)</f>
        <v/>
      </c>
      <c r="C30" s="44">
        <f>IF($B30="","",IF($B30-$B$3&lt;0,"❌ VENCIDO hace "&amp;TEXT($B$3-$B30,"0")&amp;" d",IF($B30-$B$3&lt;=$B$4,"🔴 "&amp;TEXT($B30-$B$3,"0")&amp;" d",IF($B30-$B$3&lt;=$B$5,"🟡 "&amp;TEXT($B30-$B$3,"0")&amp;" d","🟢 OK"))))</f>
        <v/>
      </c>
      <c r="D30" s="40">
        <f>IF(Plantilla!$M28="","",Plantilla!$M28)</f>
        <v/>
      </c>
      <c r="E30" s="44">
        <f>IF($D30="","",IF($D30-$B$3&lt;0,"❌ VENCIDO hace "&amp;TEXT($B$3-$D30,"0")&amp;" d",IF($D30-$B$3&lt;=$B$4,"🔴 "&amp;TEXT($D30-$B$3,"0")&amp;" d",IF($D30-$B$3&lt;=$B$5,"🟡 "&amp;TEXT($D30-$B$3,"0")&amp;" d","🟢 OK"))))</f>
        <v/>
      </c>
      <c r="F30" s="45">
        <f>IF(Plantilla!$N28="","",Plantilla!$N28)</f>
        <v/>
      </c>
      <c r="G30" s="46">
        <f>IF($F30="","",IF($F30-$B$3&lt;0,"❌ VENCIDO hace "&amp;TEXT($B$3-$F30,"0")&amp;" d",IF($F30-$B$3&lt;=$B$4,"🔴 "&amp;TEXT($F30-$B$3,"0")&amp;" d",IF($F30-$B$3&lt;=$B$5,"🟡 "&amp;TEXT($F30-$B$3,"0")&amp;" d","🟢 OK"))))</f>
        <v/>
      </c>
      <c r="H30" s="45">
        <f>IF(Plantilla!$O28="","",Plantilla!$O28)</f>
        <v/>
      </c>
      <c r="I30" s="46">
        <f>IF($H30="","",IF($H30-$B$3&lt;0,"❌ VENCIDO hace "&amp;TEXT($B$3-$H30,"0")&amp;" d",IF($H30-$B$3&lt;=$B$4,"🔴 "&amp;TEXT($H30-$B$3,"0")&amp;" d",IF($H30-$B$3&lt;=$B$5,"🟡 "&amp;TEXT($H30-$B$3,"0")&amp;" d","🟢 OK"))))</f>
        <v/>
      </c>
    </row>
    <row r="31">
      <c r="A31" s="43">
        <f>IF(Plantilla!$A29="","",Plantilla!$A29)</f>
        <v/>
      </c>
      <c r="B31" s="40">
        <f>IF(Plantilla!$L29="","",Plantilla!$L29)</f>
        <v/>
      </c>
      <c r="C31" s="44">
        <f>IF($B31="","",IF($B31-$B$3&lt;0,"❌ VENCIDO hace "&amp;TEXT($B$3-$B31,"0")&amp;" d",IF($B31-$B$3&lt;=$B$4,"🔴 "&amp;TEXT($B31-$B$3,"0")&amp;" d",IF($B31-$B$3&lt;=$B$5,"🟡 "&amp;TEXT($B31-$B$3,"0")&amp;" d","🟢 OK"))))</f>
        <v/>
      </c>
      <c r="D31" s="40">
        <f>IF(Plantilla!$M29="","",Plantilla!$M29)</f>
        <v/>
      </c>
      <c r="E31" s="44">
        <f>IF($D31="","",IF($D31-$B$3&lt;0,"❌ VENCIDO hace "&amp;TEXT($B$3-$D31,"0")&amp;" d",IF($D31-$B$3&lt;=$B$4,"🔴 "&amp;TEXT($D31-$B$3,"0")&amp;" d",IF($D31-$B$3&lt;=$B$5,"🟡 "&amp;TEXT($D31-$B$3,"0")&amp;" d","🟢 OK"))))</f>
        <v/>
      </c>
      <c r="F31" s="45">
        <f>IF(Plantilla!$N29="","",Plantilla!$N29)</f>
        <v/>
      </c>
      <c r="G31" s="46">
        <f>IF($F31="","",IF($F31-$B$3&lt;0,"❌ VENCIDO hace "&amp;TEXT($B$3-$F31,"0")&amp;" d",IF($F31-$B$3&lt;=$B$4,"🔴 "&amp;TEXT($F31-$B$3,"0")&amp;" d",IF($F31-$B$3&lt;=$B$5,"🟡 "&amp;TEXT($F31-$B$3,"0")&amp;" d","🟢 OK"))))</f>
        <v/>
      </c>
      <c r="H31" s="45">
        <f>IF(Plantilla!$O29="","",Plantilla!$O29)</f>
        <v/>
      </c>
      <c r="I31" s="46">
        <f>IF($H31="","",IF($H31-$B$3&lt;0,"❌ VENCIDO hace "&amp;TEXT($B$3-$H31,"0")&amp;" d",IF($H31-$B$3&lt;=$B$4,"🔴 "&amp;TEXT($H31-$B$3,"0")&amp;" d",IF($H31-$B$3&lt;=$B$5,"🟡 "&amp;TEXT($H31-$B$3,"0")&amp;" d","🟢 OK"))))</f>
        <v/>
      </c>
    </row>
    <row r="32">
      <c r="A32" s="43">
        <f>IF(Plantilla!$A30="","",Plantilla!$A30)</f>
        <v/>
      </c>
      <c r="B32" s="40">
        <f>IF(Plantilla!$L30="","",Plantilla!$L30)</f>
        <v/>
      </c>
      <c r="C32" s="44">
        <f>IF($B32="","",IF($B32-$B$3&lt;0,"❌ VENCIDO hace "&amp;TEXT($B$3-$B32,"0")&amp;" d",IF($B32-$B$3&lt;=$B$4,"🔴 "&amp;TEXT($B32-$B$3,"0")&amp;" d",IF($B32-$B$3&lt;=$B$5,"🟡 "&amp;TEXT($B32-$B$3,"0")&amp;" d","🟢 OK"))))</f>
        <v/>
      </c>
      <c r="D32" s="40">
        <f>IF(Plantilla!$M30="","",Plantilla!$M30)</f>
        <v/>
      </c>
      <c r="E32" s="44">
        <f>IF($D32="","",IF($D32-$B$3&lt;0,"❌ VENCIDO hace "&amp;TEXT($B$3-$D32,"0")&amp;" d",IF($D32-$B$3&lt;=$B$4,"🔴 "&amp;TEXT($D32-$B$3,"0")&amp;" d",IF($D32-$B$3&lt;=$B$5,"🟡 "&amp;TEXT($D32-$B$3,"0")&amp;" d","🟢 OK"))))</f>
        <v/>
      </c>
      <c r="F32" s="45">
        <f>IF(Plantilla!$N30="","",Plantilla!$N30)</f>
        <v/>
      </c>
      <c r="G32" s="46">
        <f>IF($F32="","",IF($F32-$B$3&lt;0,"❌ VENCIDO hace "&amp;TEXT($B$3-$F32,"0")&amp;" d",IF($F32-$B$3&lt;=$B$4,"🔴 "&amp;TEXT($F32-$B$3,"0")&amp;" d",IF($F32-$B$3&lt;=$B$5,"🟡 "&amp;TEXT($F32-$B$3,"0")&amp;" d","🟢 OK"))))</f>
        <v/>
      </c>
      <c r="H32" s="45">
        <f>IF(Plantilla!$O30="","",Plantilla!$O30)</f>
        <v/>
      </c>
      <c r="I32" s="46">
        <f>IF($H32="","",IF($H32-$B$3&lt;0,"❌ VENCIDO hace "&amp;TEXT($B$3-$H32,"0")&amp;" d",IF($H32-$B$3&lt;=$B$4,"🔴 "&amp;TEXT($H32-$B$3,"0")&amp;" d",IF($H32-$B$3&lt;=$B$5,"🟡 "&amp;TEXT($H32-$B$3,"0")&amp;" d","🟢 OK"))))</f>
        <v/>
      </c>
    </row>
    <row r="33">
      <c r="A33" s="43">
        <f>IF(Plantilla!$A31="","",Plantilla!$A31)</f>
        <v/>
      </c>
      <c r="B33" s="40">
        <f>IF(Plantilla!$L31="","",Plantilla!$L31)</f>
        <v/>
      </c>
      <c r="C33" s="44">
        <f>IF($B33="","",IF($B33-$B$3&lt;0,"❌ VENCIDO hace "&amp;TEXT($B$3-$B33,"0")&amp;" d",IF($B33-$B$3&lt;=$B$4,"🔴 "&amp;TEXT($B33-$B$3,"0")&amp;" d",IF($B33-$B$3&lt;=$B$5,"🟡 "&amp;TEXT($B33-$B$3,"0")&amp;" d","🟢 OK"))))</f>
        <v/>
      </c>
      <c r="D33" s="40">
        <f>IF(Plantilla!$M31="","",Plantilla!$M31)</f>
        <v/>
      </c>
      <c r="E33" s="44">
        <f>IF($D33="","",IF($D33-$B$3&lt;0,"❌ VENCIDO hace "&amp;TEXT($B$3-$D33,"0")&amp;" d",IF($D33-$B$3&lt;=$B$4,"🔴 "&amp;TEXT($D33-$B$3,"0")&amp;" d",IF($D33-$B$3&lt;=$B$5,"🟡 "&amp;TEXT($D33-$B$3,"0")&amp;" d","🟢 OK"))))</f>
        <v/>
      </c>
      <c r="F33" s="45">
        <f>IF(Plantilla!$N31="","",Plantilla!$N31)</f>
        <v/>
      </c>
      <c r="G33" s="46">
        <f>IF($F33="","",IF($F33-$B$3&lt;0,"❌ VENCIDO hace "&amp;TEXT($B$3-$F33,"0")&amp;" d",IF($F33-$B$3&lt;=$B$4,"🔴 "&amp;TEXT($F33-$B$3,"0")&amp;" d",IF($F33-$B$3&lt;=$B$5,"🟡 "&amp;TEXT($F33-$B$3,"0")&amp;" d","🟢 OK"))))</f>
        <v/>
      </c>
      <c r="H33" s="45">
        <f>IF(Plantilla!$O31="","",Plantilla!$O31)</f>
        <v/>
      </c>
      <c r="I33" s="46">
        <f>IF($H33="","",IF($H33-$B$3&lt;0,"❌ VENCIDO hace "&amp;TEXT($B$3-$H33,"0")&amp;" d",IF($H33-$B$3&lt;=$B$4,"🔴 "&amp;TEXT($H33-$B$3,"0")&amp;" d",IF($H33-$B$3&lt;=$B$5,"🟡 "&amp;TEXT($H33-$B$3,"0")&amp;" d","🟢 OK"))))</f>
        <v/>
      </c>
    </row>
    <row r="34">
      <c r="A34" s="43">
        <f>IF(Plantilla!$A32="","",Plantilla!$A32)</f>
        <v/>
      </c>
      <c r="B34" s="40">
        <f>IF(Plantilla!$L32="","",Plantilla!$L32)</f>
        <v/>
      </c>
      <c r="C34" s="44">
        <f>IF($B34="","",IF($B34-$B$3&lt;0,"❌ VENCIDO hace "&amp;TEXT($B$3-$B34,"0")&amp;" d",IF($B34-$B$3&lt;=$B$4,"🔴 "&amp;TEXT($B34-$B$3,"0")&amp;" d",IF($B34-$B$3&lt;=$B$5,"🟡 "&amp;TEXT($B34-$B$3,"0")&amp;" d","🟢 OK"))))</f>
        <v/>
      </c>
      <c r="D34" s="40">
        <f>IF(Plantilla!$M32="","",Plantilla!$M32)</f>
        <v/>
      </c>
      <c r="E34" s="44">
        <f>IF($D34="","",IF($D34-$B$3&lt;0,"❌ VENCIDO hace "&amp;TEXT($B$3-$D34,"0")&amp;" d",IF($D34-$B$3&lt;=$B$4,"🔴 "&amp;TEXT($D34-$B$3,"0")&amp;" d",IF($D34-$B$3&lt;=$B$5,"🟡 "&amp;TEXT($D34-$B$3,"0")&amp;" d","🟢 OK"))))</f>
        <v/>
      </c>
      <c r="F34" s="45">
        <f>IF(Plantilla!$N32="","",Plantilla!$N32)</f>
        <v/>
      </c>
      <c r="G34" s="46">
        <f>IF($F34="","",IF($F34-$B$3&lt;0,"❌ VENCIDO hace "&amp;TEXT($B$3-$F34,"0")&amp;" d",IF($F34-$B$3&lt;=$B$4,"🔴 "&amp;TEXT($F34-$B$3,"0")&amp;" d",IF($F34-$B$3&lt;=$B$5,"🟡 "&amp;TEXT($F34-$B$3,"0")&amp;" d","🟢 OK"))))</f>
        <v/>
      </c>
      <c r="H34" s="45">
        <f>IF(Plantilla!$O32="","",Plantilla!$O32)</f>
        <v/>
      </c>
      <c r="I34" s="46">
        <f>IF($H34="","",IF($H34-$B$3&lt;0,"❌ VENCIDO hace "&amp;TEXT($B$3-$H34,"0")&amp;" d",IF($H34-$B$3&lt;=$B$4,"🔴 "&amp;TEXT($H34-$B$3,"0")&amp;" d",IF($H34-$B$3&lt;=$B$5,"🟡 "&amp;TEXT($H34-$B$3,"0")&amp;" d","🟢 OK"))))</f>
        <v/>
      </c>
    </row>
    <row r="35">
      <c r="A35" s="43">
        <f>IF(Plantilla!$A33="","",Plantilla!$A33)</f>
        <v/>
      </c>
      <c r="B35" s="40">
        <f>IF(Plantilla!$L33="","",Plantilla!$L33)</f>
        <v/>
      </c>
      <c r="C35" s="44">
        <f>IF($B35="","",IF($B35-$B$3&lt;0,"❌ VENCIDO hace "&amp;TEXT($B$3-$B35,"0")&amp;" d",IF($B35-$B$3&lt;=$B$4,"🔴 "&amp;TEXT($B35-$B$3,"0")&amp;" d",IF($B35-$B$3&lt;=$B$5,"🟡 "&amp;TEXT($B35-$B$3,"0")&amp;" d","🟢 OK"))))</f>
        <v/>
      </c>
      <c r="D35" s="40">
        <f>IF(Plantilla!$M33="","",Plantilla!$M33)</f>
        <v/>
      </c>
      <c r="E35" s="44">
        <f>IF($D35="","",IF($D35-$B$3&lt;0,"❌ VENCIDO hace "&amp;TEXT($B$3-$D35,"0")&amp;" d",IF($D35-$B$3&lt;=$B$4,"🔴 "&amp;TEXT($D35-$B$3,"0")&amp;" d",IF($D35-$B$3&lt;=$B$5,"🟡 "&amp;TEXT($D35-$B$3,"0")&amp;" d","🟢 OK"))))</f>
        <v/>
      </c>
      <c r="F35" s="45">
        <f>IF(Plantilla!$N33="","",Plantilla!$N33)</f>
        <v/>
      </c>
      <c r="G35" s="46">
        <f>IF($F35="","",IF($F35-$B$3&lt;0,"❌ VENCIDO hace "&amp;TEXT($B$3-$F35,"0")&amp;" d",IF($F35-$B$3&lt;=$B$4,"🔴 "&amp;TEXT($F35-$B$3,"0")&amp;" d",IF($F35-$B$3&lt;=$B$5,"🟡 "&amp;TEXT($F35-$B$3,"0")&amp;" d","🟢 OK"))))</f>
        <v/>
      </c>
      <c r="H35" s="45">
        <f>IF(Plantilla!$O33="","",Plantilla!$O33)</f>
        <v/>
      </c>
      <c r="I35" s="46">
        <f>IF($H35="","",IF($H35-$B$3&lt;0,"❌ VENCIDO hace "&amp;TEXT($B$3-$H35,"0")&amp;" d",IF($H35-$B$3&lt;=$B$4,"🔴 "&amp;TEXT($H35-$B$3,"0")&amp;" d",IF($H35-$B$3&lt;=$B$5,"🟡 "&amp;TEXT($H35-$B$3,"0")&amp;" d","🟢 OK"))))</f>
        <v/>
      </c>
    </row>
    <row r="36">
      <c r="A36" s="26">
        <f>IF(Plantilla!$A34="","",Plantilla!$A34)</f>
        <v/>
      </c>
      <c r="B36" s="47">
        <f>IF(Plantilla!$L34="","",Plantilla!$L34)</f>
        <v/>
      </c>
      <c r="C36" s="48">
        <f>IF($B36="","",IF($B36-$B$3&lt;0,"❌ VENCIDO hace "&amp;TEXT($B$3-$B36,"0")&amp;" d",IF($B36-$B$3&lt;=$B$4,"🔴 "&amp;TEXT($B36-$B$3,"0")&amp;" d",IF($B36-$B$3&lt;=$B$5,"🟡 "&amp;TEXT($B36-$B$3,"0")&amp;" d","🟢 OK"))))</f>
        <v/>
      </c>
      <c r="D36" s="47">
        <f>IF(Plantilla!$M34="","",Plantilla!$M34)</f>
        <v/>
      </c>
      <c r="E36" s="48">
        <f>IF($D36="","",IF($D36-$B$3&lt;0,"❌ VENCIDO hace "&amp;TEXT($B$3-$D36,"0")&amp;" d",IF($D36-$B$3&lt;=$B$4,"🔴 "&amp;TEXT($D36-$B$3,"0")&amp;" d",IF($D36-$B$3&lt;=$B$5,"🟡 "&amp;TEXT($D36-$B$3,"0")&amp;" d","🟢 OK"))))</f>
        <v/>
      </c>
      <c r="F36" s="45">
        <f>IF(Plantilla!$N34="","",Plantilla!$N34)</f>
        <v/>
      </c>
      <c r="G36" s="46">
        <f>IF($F36="","",IF($F36-$B$3&lt;0,"❌ VENCIDO hace "&amp;TEXT($B$3-$F36,"0")&amp;" d",IF($F36-$B$3&lt;=$B$4,"🔴 "&amp;TEXT($F36-$B$3,"0")&amp;" d",IF($F36-$B$3&lt;=$B$5,"🟡 "&amp;TEXT($F36-$B$3,"0")&amp;" d","🟢 OK"))))</f>
        <v/>
      </c>
      <c r="H36" s="45">
        <f>IF(Plantilla!$O34="","",Plantilla!$O34)</f>
        <v/>
      </c>
      <c r="I36" s="46">
        <f>IF($H36="","",IF($H36-$B$3&lt;0,"❌ VENCIDO hace "&amp;TEXT($B$3-$H36,"0")&amp;" d",IF($H36-$B$3&lt;=$B$4,"🔴 "&amp;TEXT($H36-$B$3,"0")&amp;" d",IF($H36-$B$3&lt;=$B$5,"🟡 "&amp;TEXT($H36-$B$3,"0")&amp;" d","🟢 OK"))))</f>
        <v/>
      </c>
    </row>
    <row r="37">
      <c r="A37" s="26" t="n"/>
      <c r="B37" s="26" t="n"/>
      <c r="C37" s="26" t="n"/>
      <c r="D37" s="26" t="n"/>
      <c r="E37" s="26" t="n"/>
    </row>
    <row r="38" ht="30" customHeight="1">
      <c r="A38" s="37" t="inlineStr">
        <is>
          <t>▸ Esta hoja NO se escribe: las cuatro fechas salen de la hoja 'Plantilla' (columnas L, M, N y O) para las 30 filas del directorio. Si un empleado no aparece, es que le falta la fecha allí.</t>
        </is>
      </c>
    </row>
    <row r="39" ht="30" customHeight="1">
      <c r="A39" s="37" t="inlineStr">
        <is>
          <t>▸ Lo único editable son los dos umbrales de arriba (celdas verdes). Los tres contadores de la derecha cuentan las alertas de las cuatro columnas a la vez.</t>
        </is>
      </c>
    </row>
    <row r="40" ht="30" customHeight="1">
      <c r="A40" s="37" t="inlineStr">
        <is>
          <t>▸ El preaviso de fin de contrato temporal de más de un año son 15 días (art. 49.1.c ET); dejar vencer un temporal sin preaviso o encadenarlo puede convertirlo en indefinido.</t>
        </is>
      </c>
    </row>
    <row r="41" ht="30" customHeight="1">
      <c r="A41" s="37" t="inlineStr">
        <is>
          <t>▸ «Fecha de hoy» (B3) es =HOY() y Excel la recalcula cada vez que abres el fichero. En la VISTA PREVIA del móvil o de Google Drive, que no recalcula, verás la fecha en que descargaste el kit y los semáforos de ESE día: ábrelo en Excel o LibreOffice antes de fiarte de los avisos.</t>
        </is>
      </c>
    </row>
    <row r="42"/>
    <row r="43">
      <c r="A43" s="38"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7">
    <mergeCell ref="A2:I2"/>
    <mergeCell ref="A1:I1"/>
    <mergeCell ref="A39:I39"/>
    <mergeCell ref="A41:I41"/>
    <mergeCell ref="A38:I38"/>
    <mergeCell ref="A43:I43"/>
    <mergeCell ref="A40:I40"/>
  </mergeCells>
  <conditionalFormatting sqref="C7:C36">
    <cfRule type="containsText" priority="1" operator="containsText" dxfId="0" stopIfTrue="1" text="VENCIDO">
      <formula>NOT(ISERROR(SEARCH("VENCIDO",C7)))</formula>
    </cfRule>
    <cfRule type="containsText" priority="2" operator="containsText" dxfId="0" stopIfTrue="1" text="URGENTE">
      <formula>NOT(ISERROR(SEARCH("URGENTE",C7)))</formula>
    </cfRule>
    <cfRule type="containsText" priority="3" operator="containsText" dxfId="0" stopIfTrue="1" text="🔴">
      <formula>NOT(ISERROR(SEARCH("🔴",C7)))</formula>
    </cfRule>
    <cfRule type="containsText" priority="4" operator="containsText" dxfId="1" stopIfTrue="1" text="🟡">
      <formula>NOT(ISERROR(SEARCH("🟡",C7)))</formula>
    </cfRule>
    <cfRule type="containsText" priority="5" operator="containsText" dxfId="1" stopIfTrue="1" text="PRONTO">
      <formula>NOT(ISERROR(SEARCH("PRONTO",C7)))</formula>
    </cfRule>
    <cfRule type="containsText" priority="6" operator="containsText" dxfId="2" stopIfTrue="1" text="🟢">
      <formula>NOT(ISERROR(SEARCH("🟢",C7)))</formula>
    </cfRule>
    <cfRule type="containsText" priority="7" operator="containsText" dxfId="2" stopIfTrue="1" text="OK">
      <formula>NOT(ISERROR(SEARCH("OK",C7)))</formula>
    </cfRule>
  </conditionalFormatting>
  <conditionalFormatting sqref="E7:E36">
    <cfRule type="containsText" priority="8" operator="containsText" dxfId="0" stopIfTrue="1" text="VENCIDO">
      <formula>NOT(ISERROR(SEARCH("VENCIDO",E7)))</formula>
    </cfRule>
    <cfRule type="containsText" priority="9" operator="containsText" dxfId="0" stopIfTrue="1" text="URGENTE">
      <formula>NOT(ISERROR(SEARCH("URGENTE",E7)))</formula>
    </cfRule>
    <cfRule type="containsText" priority="10" operator="containsText" dxfId="0" stopIfTrue="1" text="🔴">
      <formula>NOT(ISERROR(SEARCH("🔴",E7)))</formula>
    </cfRule>
    <cfRule type="containsText" priority="11" operator="containsText" dxfId="1" stopIfTrue="1" text="🟡">
      <formula>NOT(ISERROR(SEARCH("🟡",E7)))</formula>
    </cfRule>
    <cfRule type="containsText" priority="12" operator="containsText" dxfId="1" stopIfTrue="1" text="PRONTO">
      <formula>NOT(ISERROR(SEARCH("PRONTO",E7)))</formula>
    </cfRule>
    <cfRule type="containsText" priority="13" operator="containsText" dxfId="2" stopIfTrue="1" text="🟢">
      <formula>NOT(ISERROR(SEARCH("🟢",E7)))</formula>
    </cfRule>
    <cfRule type="containsText" priority="14" operator="containsText" dxfId="2" stopIfTrue="1" text="OK">
      <formula>NOT(ISERROR(SEARCH("OK",E7)))</formula>
    </cfRule>
  </conditionalFormatting>
  <conditionalFormatting sqref="G7:G36">
    <cfRule type="containsText" priority="15" operator="containsText" dxfId="0" stopIfTrue="1" text="VENCIDO">
      <formula>NOT(ISERROR(SEARCH("VENCIDO",G7)))</formula>
    </cfRule>
    <cfRule type="containsText" priority="16" operator="containsText" dxfId="0" stopIfTrue="1" text="URGENTE">
      <formula>NOT(ISERROR(SEARCH("URGENTE",G7)))</formula>
    </cfRule>
    <cfRule type="containsText" priority="17" operator="containsText" dxfId="0" stopIfTrue="1" text="🔴">
      <formula>NOT(ISERROR(SEARCH("🔴",G7)))</formula>
    </cfRule>
    <cfRule type="containsText" priority="18" operator="containsText" dxfId="1" stopIfTrue="1" text="🟡">
      <formula>NOT(ISERROR(SEARCH("🟡",G7)))</formula>
    </cfRule>
    <cfRule type="containsText" priority="19" operator="containsText" dxfId="1" stopIfTrue="1" text="PRONTO">
      <formula>NOT(ISERROR(SEARCH("PRONTO",G7)))</formula>
    </cfRule>
    <cfRule type="containsText" priority="20" operator="containsText" dxfId="2" stopIfTrue="1" text="🟢">
      <formula>NOT(ISERROR(SEARCH("🟢",G7)))</formula>
    </cfRule>
    <cfRule type="containsText" priority="21" operator="containsText" dxfId="2" stopIfTrue="1" text="OK">
      <formula>NOT(ISERROR(SEARCH("OK",G7)))</formula>
    </cfRule>
  </conditionalFormatting>
  <conditionalFormatting sqref="I7:I36">
    <cfRule type="containsText" priority="22" operator="containsText" dxfId="0" stopIfTrue="1" text="VENCIDO">
      <formula>NOT(ISERROR(SEARCH("VENCIDO",I7)))</formula>
    </cfRule>
    <cfRule type="containsText" priority="23" operator="containsText" dxfId="0" stopIfTrue="1" text="URGENTE">
      <formula>NOT(ISERROR(SEARCH("URGENTE",I7)))</formula>
    </cfRule>
    <cfRule type="containsText" priority="24" operator="containsText" dxfId="0" stopIfTrue="1" text="🔴">
      <formula>NOT(ISERROR(SEARCH("🔴",I7)))</formula>
    </cfRule>
    <cfRule type="containsText" priority="25" operator="containsText" dxfId="1" stopIfTrue="1" text="🟡">
      <formula>NOT(ISERROR(SEARCH("🟡",I7)))</formula>
    </cfRule>
    <cfRule type="containsText" priority="26" operator="containsText" dxfId="1" stopIfTrue="1" text="PRONTO">
      <formula>NOT(ISERROR(SEARCH("PRONTO",I7)))</formula>
    </cfRule>
    <cfRule type="containsText" priority="27" operator="containsText" dxfId="2" stopIfTrue="1" text="🟢">
      <formula>NOT(ISERROR(SEARCH("🟢",I7)))</formula>
    </cfRule>
    <cfRule type="containsText" priority="28" operator="containsText" dxfId="2" stopIfTrue="1" text="OK">
      <formula>NOT(ISERROR(SEARCH("OK",I7)))</formula>
    </cfRule>
  </conditionalFormatting>
  <dataValidations count="3">
    <dataValidation sqref="B3" showDropDown="0" showInputMessage="1" showErrorMessage="0" allowBlank="0" promptTitle="kitgp-v2c · Se actualiza al abrir en Excel" prompt="Esta celda es =HOY(). Excel la recalcula al abrir el fichero. En la VISTA PREVIA del móvil o de Drive, que no recalcula, verás la fecha en que se descargó el kit y los semáforos de esa fecha: ábrelo en Excel o en LibreOffice antes de fiarte de los avisos."/>
    <dataValidation sqref="B4" showDropDown="0" showInputMessage="1" showErrorMessage="0" allowBlank="0" promptTitle="kitgp-v2c · Umbral del aviso rojo" prompt="A partir de aquí el vencimiento es urgente. Treinta días es lo razonable para un contrato temporal (el preaviso del art. 49.1.c ET son 15 días en los de más de un año) y de sobra para renovar un carnet de manipulador."/>
    <dataValidation sqref="B5" showDropDown="0" showInputMessage="1" showErrorMessage="0" allowBlank="0" promptTitle="kitgp-v2c · Umbral del aviso ámbar" prompt="La antelación con la que quieres enterarte. Súbelo si tu formación de PRL la imparte un tercero y tarda en darte fecha."/>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07 · Directorio de Plantilla · Kit Gestión de Personal y Turnos</dc:title>
  <dc:description xmlns:dc="http://purl.org/dc/elements/1.1/">aichef.pro/kit-gestion-personal</dc:description>
  <dc:subject xmlns:dc="http://purl.org/dc/elements/1.1/">Kit Gestión de Personal y Turnos · v2.0</dc:subject>
  <dcterms:created xmlns:dcterms="http://purl.org/dc/terms/" xmlns:xsi="http://www.w3.org/2001/XMLSchema-instance" xsi:type="dcterms:W3CDTF">2026-03-23T19:17:39Z</dcterms:created>
  <dcterms:modified xmlns:dcterms="http://purl.org/dc/terms/" xmlns:xsi="http://www.w3.org/2001/XMLSchema-instance" xsi:type="dcterms:W3CDTF">2026-08-24T04:12:39Z</dcterms:modified>
  <cp:lastModifiedBy>AI Chef Pro</cp:lastModifiedBy>
  <cp:category>AI Chef Pro · Productos digitales</cp:category>
  <cp:keywords>kit gestion personal, AI Chef Pro</cp:keywords>
</cp:coreProperties>
</file>