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óminas" sheetId="2" state="visible" r:id="rId2"/>
    <sheet xmlns:r="http://schemas.openxmlformats.org/officeDocument/2006/relationships" name="Ratio Coste Laboral" sheetId="3" state="visible" r:id="rId3"/>
    <sheet xmlns:r="http://schemas.openxmlformats.org/officeDocument/2006/relationships" name="Previsión por Servicio" sheetId="4" state="visible" r:id="rId4"/>
  </sheets>
  <definedNames>
    <definedName name="_xlnm.Print_Area" localSheetId="0">'Instrucciones'!$A$1:$B$36</definedName>
    <definedName name="_xlnm.Print_Titles" localSheetId="1">'Nóminas'!$4:$4</definedName>
    <definedName name="_xlnm.Print_Area" localSheetId="1">'Nóminas'!$A$1:$I$37</definedName>
    <definedName name="_xlnm.Print_Titles" localSheetId="2">'Ratio Coste Laboral'!$17:$17</definedName>
    <definedName name="_xlnm.Print_Area" localSheetId="2">'Ratio Coste Laboral'!$A$1:$E$32</definedName>
    <definedName name="_xlnm.Print_Area" localSheetId="3">'Previsión por Servicio'!$A$1:$E$26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.00"/>
    <numFmt numFmtId="165" formatCode="0.0%"/>
    <numFmt numFmtId="166" formatCode="0.0"/>
    <numFmt numFmtId="167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FFD700"/>
      <sz val="12"/>
    </font>
    <font>
      <b val="1"/>
    </font>
    <font>
      <b val="1"/>
      <color rgb="00FFFFFF"/>
      <sz val="10"/>
    </font>
    <font>
      <color rgb="00888888"/>
      <sz val="8"/>
    </font>
    <font>
      <i val="1"/>
      <sz val="9"/>
    </font>
    <font>
      <b val="1"/>
      <sz val="14"/>
    </font>
    <font>
      <b val="1"/>
      <sz val="11"/>
    </font>
    <font>
      <b val="1"/>
      <sz val="10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ECEFF1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164" fontId="7" fillId="3" borderId="1" pivotButton="0" quotePrefix="0" xfId="0"/>
    <xf numFmtId="164" fontId="8" fillId="0" borderId="1" pivotButton="0" quotePrefix="0" xfId="0"/>
    <xf numFmtId="0" fontId="9" fillId="0" borderId="1" pivotButton="0" quotePrefix="0" xfId="0"/>
    <xf numFmtId="0" fontId="10" fillId="0" borderId="0" pivotButton="0" quotePrefix="0" xfId="0"/>
    <xf numFmtId="4" fontId="0" fillId="3" borderId="1" pivotButton="0" quotePrefix="0" xfId="0"/>
    <xf numFmtId="4" fontId="8" fillId="0" borderId="1" pivotButton="0" quotePrefix="0" xfId="0"/>
    <xf numFmtId="0" fontId="11" fillId="0" borderId="0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4" borderId="0" applyProtection="1" pivotButton="0" quotePrefix="0" xfId="0">
      <protection locked="0" hidden="0"/>
    </xf>
    <xf numFmtId="0" fontId="12" fillId="0" borderId="0" pivotButton="0" quotePrefix="0" xfId="0"/>
    <xf numFmtId="166" fontId="0" fillId="4" borderId="0" applyProtection="1" pivotButton="0" quotePrefix="0" xfId="0">
      <protection locked="0" hidden="0"/>
    </xf>
    <xf numFmtId="0" fontId="13" fillId="5" borderId="1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center" vertical="center" wrapText="1"/>
    </xf>
    <xf numFmtId="0" fontId="7" fillId="4" borderId="1" applyProtection="1" pivotButton="0" quotePrefix="0" xfId="0">
      <protection locked="0" hidden="0"/>
    </xf>
    <xf numFmtId="167" fontId="7" fillId="4" borderId="1" applyProtection="1" pivotButton="0" quotePrefix="0" xfId="0">
      <protection locked="0" hidden="0"/>
    </xf>
    <xf numFmtId="1" fontId="8" fillId="4" borderId="1" applyProtection="1" pivotButton="0" quotePrefix="0" xfId="0">
      <protection locked="0" hidden="0"/>
    </xf>
    <xf numFmtId="167" fontId="8" fillId="0" borderId="1" pivotButton="0" quotePrefix="0" xfId="0"/>
    <xf numFmtId="167" fontId="7" fillId="0" borderId="1" pivotButton="0" quotePrefix="0" xfId="0"/>
    <xf numFmtId="167" fontId="0" fillId="0" borderId="0" pivotButton="0" quotePrefix="0" xfId="0"/>
    <xf numFmtId="2" fontId="0" fillId="4" borderId="0" applyProtection="1" pivotButton="0" quotePrefix="0" xfId="0">
      <protection locked="0" hidden="0"/>
    </xf>
    <xf numFmtId="0" fontId="12" fillId="6" borderId="1" pivotButton="0" quotePrefix="0" xfId="0"/>
    <xf numFmtId="167" fontId="8" fillId="6" borderId="1" pivotButton="0" quotePrefix="0" xfId="0"/>
    <xf numFmtId="164" fontId="8" fillId="6" borderId="1" pivotButton="0" quotePrefix="0" xfId="0"/>
    <xf numFmtId="167" fontId="0" fillId="6" borderId="0" pivotButton="0" quotePrefix="0" xfId="0"/>
    <xf numFmtId="2" fontId="0" fillId="6" borderId="0" pivotButton="0" quotePrefix="0" xfId="0"/>
    <xf numFmtId="0" fontId="14" fillId="0" borderId="0" applyAlignment="1" pivotButton="0" quotePrefix="0" xfId="0">
      <alignment horizontal="center"/>
    </xf>
    <xf numFmtId="0" fontId="0" fillId="4" borderId="0" applyProtection="1" pivotButton="0" quotePrefix="0" xfId="0">
      <protection locked="0" hidden="0"/>
    </xf>
    <xf numFmtId="167" fontId="0" fillId="4" borderId="1" applyProtection="1" pivotButton="0" quotePrefix="0" xfId="0">
      <protection locked="0" hidden="0"/>
    </xf>
    <xf numFmtId="167" fontId="8" fillId="4" borderId="1" applyProtection="1" pivotButton="0" quotePrefix="0" xfId="0">
      <protection locked="0" hidden="0"/>
    </xf>
    <xf numFmtId="0" fontId="12" fillId="0" borderId="1" pivotButton="0" quotePrefix="0" xfId="0"/>
    <xf numFmtId="167" fontId="12" fillId="0" borderId="1" pivotButton="0" quotePrefix="0" xfId="0"/>
    <xf numFmtId="165" fontId="0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6" borderId="0" pivotButton="0" quotePrefix="0" xfId="0"/>
    <xf numFmtId="0" fontId="0" fillId="6" borderId="0" pivotButton="0" quotePrefix="0" xfId="0"/>
    <xf numFmtId="1" fontId="7" fillId="4" borderId="1" applyProtection="1" pivotButton="0" quotePrefix="0" xfId="0">
      <protection locked="0" hidden="0"/>
    </xf>
    <xf numFmtId="1" fontId="7" fillId="0" borderId="1" pivotButton="0" quotePrefix="0" xfId="0"/>
    <xf numFmtId="0" fontId="15" fillId="0" borderId="0" pivotButton="0" quotePrefix="0" xfId="0"/>
    <xf numFmtId="1" fontId="0" fillId="4" borderId="0" applyProtection="1" pivotButton="0" quotePrefix="0" xfId="0">
      <protection locked="0" hidden="0"/>
    </xf>
    <xf numFmtId="1" fontId="8" fillId="4" borderId="1" applyAlignment="1" applyProtection="1" pivotButton="0" quotePrefix="0" xfId="0">
      <alignment horizontal="center" vertical="center" wrapText="1"/>
      <protection locked="0" hidden="0"/>
    </xf>
    <xf numFmtId="2" fontId="8" fillId="4" borderId="1" applyAlignment="1" applyProtection="1" pivotButton="0" quotePrefix="0" xfId="0">
      <alignment horizontal="center" vertical="center" wrapText="1"/>
      <protection locked="0" hidden="0"/>
    </xf>
    <xf numFmtId="167" fontId="0" fillId="4" borderId="0" applyProtection="1" pivotButton="0" quotePrefix="0" xfId="0">
      <protection locked="0" hidden="0"/>
    </xf>
    <xf numFmtId="165" fontId="8" fillId="4" borderId="1" applyProtection="1" pivotButton="0" quotePrefix="0" xfId="0">
      <protection locked="0" hidden="0"/>
    </xf>
    <xf numFmtId="0" fontId="18" fillId="6" borderId="0" applyAlignment="1" pivotButton="0" quotePrefix="0" xfId="0">
      <alignment horizontal="center"/>
    </xf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9" t="inlineStr">
        <is>
          <t>03 · Coste Laboral Mensual</t>
        </is>
      </c>
    </row>
    <row r="3"/>
    <row r="4">
      <c r="B4" s="20" t="inlineStr">
        <is>
          <t>Cómo usar esta plantilla:</t>
        </is>
      </c>
    </row>
    <row r="5">
      <c r="B5" s="21" t="inlineStr">
        <is>
          <t>▸ Vuelca los contratos en la hoja 'Nóminas': bruto mensual, número de pagas al año y horas contratadas por semana. Lo demás se calcula.</t>
        </is>
      </c>
    </row>
    <row r="6">
      <c r="B6" s="21" t="inlineStr">
        <is>
          <t>▸ El tipo de cotización empresarial vive en UNA celda verde (C2 de 'Nóminas'), no dentro de las fórmulas: ajústalo a tu CNAE, a tu tipo de contrato y a tu convenio. El 33 % por defecto es lo que ronda un indefinido general sumando contingencias comunes, desempleo, AT/EP, FOGASA, formación profesional y MEI.</t>
        </is>
      </c>
    </row>
    <row r="7">
      <c r="B7" s="21" t="inlineStr">
        <is>
          <t>▸ Las pagas extra se PRORRATEAN: catorce pagas de 1.500 € no cuestan 1.500 € al mes, cuestan 1.750 €. La columna «Bruto prorrateado/mes» es la que hay que mirar para presupuestar.</t>
        </is>
      </c>
    </row>
    <row r="8">
      <c r="B8" s="21" t="inlineStr">
        <is>
          <t>▸ La columna «Coste/hora» es el número que hay que llevar a la tarifa horaria del fichero 02: es coste real de empresa, no el bruto del convenio. Divide entre las SEMANAS EFECTIVAS (celda verde F2, 46,5 por defecto), no entre las 52 del calendario: las semanas de vacaciones y los festivos se pagan y no se trabajan, así que con 52 el coste por hora sale entre un 10 y un 13 % corto.</t>
        </is>
      </c>
    </row>
    <row r="9">
      <c r="B9" s="22" t="inlineStr">
        <is>
          <t>▸ En 'Ratio Coste Laboral', el coste del mes NO son sólo las nóminas: hay tres casillas verdes para las horas extra del mes (el total de la columna de coste del fichero 02), el personal externo o de ETT y otros costes de personal. Sin ellas el ratio sale por debajo del real y el semáforo aprueba de más.</t>
        </is>
      </c>
    </row>
    <row r="10">
      <c r="B10" s="20" t="inlineStr">
        <is>
          <t>▸ La hoja 'Ratio Coste Laboral' compara ese coste con tus ventas netas del mes y lo juzga con los umbrales de TU tipo de negocio, elegido en la celda verde B3.</t>
        </is>
      </c>
    </row>
    <row r="11">
      <c r="B11" s="21" t="inlineStr">
        <is>
          <t>▸ La hoja 'Previsión por Servicio' dimensiona el equipo al revés: de cubiertos por servicio a plantilla necesaria en jornadas completas.</t>
        </is>
      </c>
    </row>
    <row r="12">
      <c r="B12" s="3" t="n"/>
    </row>
    <row r="13">
      <c r="B13" s="21" t="inlineStr">
        <is>
          <t>Lo que cambia respecto de la versión 1.1:</t>
        </is>
      </c>
    </row>
    <row r="14">
      <c r="B14" s="21" t="inlineStr">
        <is>
          <t>▸ El semáforo ya no da «EXCELENTE» con la hoja en blanco: sin ventas Y sin coste no hay veredicto, y te dice cuál de los dos falta. Tampoco te felicita por un ratio absurdamente BAJO: por debajo del 60 % de tu objetivo avisa de que probablemente falten nóminas por volcar.</t>
        </is>
      </c>
    </row>
    <row r="15">
      <c r="B15" s="22" t="inlineStr">
        <is>
          <t>▸ Y ya no suspende a la alta cocina: un fine dining al 38 % está donde debe estar, y un fast casual al 38 % está en pérdidas. Los dos umbrales salen de la tabla de referencia de esa misma hoja, que ahora tiene los DIEZ tipos de negocio del BONUS-02 —hotel, pizzería, dark kitchen y heladería incluidos— con sus mismos umbrales: los dos ficheros no pueden dar veredictos distintos sobre el mismo ratio.</t>
        </is>
      </c>
    </row>
    <row r="16">
      <c r="B16" s="20" t="inlineStr">
        <is>
          <t>▸ La previsión de personal razona por SERVICIO. Ochenta cubiertos al día en dos servicios son cuarenta por servicio: dimensionar el turno con los ochenta duplicaba la plantilla.</t>
        </is>
      </c>
    </row>
    <row r="17">
      <c r="B17" s="3" t="n"/>
    </row>
    <row r="18">
      <c r="B18" s="21" t="inlineStr">
        <is>
          <t>Aviso: esto es una herramienta de gestión, no un cálculo de nómina. La cotización real depende de tu CNAE, del grupo de cotización, de las bonificaciones que te apliquen y del convenio. Contrástalo con tu gestoría antes de firmar nada.</t>
        </is>
      </c>
    </row>
    <row r="19">
      <c r="B19" s="3" t="n"/>
    </row>
    <row r="20"/>
    <row r="21">
      <c r="B21" s="3" t="n"/>
    </row>
    <row r="22"/>
    <row r="23"/>
    <row r="24"/>
    <row r="25"/>
    <row r="26"/>
    <row r="27"/>
    <row r="28"/>
    <row r="29"/>
    <row r="30"/>
    <row r="31"/>
    <row r="32"/>
    <row r="33"/>
    <row r="34">
      <c r="B34" s="22" t="inlineStr">
        <is>
          <t>Para editar una celda bloqueada: Revisar → Desproteger hoja (no tiene contraseña). Las celdas verdes ya son editables sin desproteger nada.</t>
        </is>
      </c>
    </row>
    <row r="35">
      <c r="B35" s="22" t="inlineStr">
        <is>
          <t>Diseñado por John Guerrero — chef y consultor gastronómico desde 2010, en cocina desde los 17 años · johnguerrero.es</t>
        </is>
      </c>
    </row>
    <row r="36">
      <c r="B36" s="22" t="inlineStr">
        <is>
          <t>Versión 2.0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I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4" customWidth="1" min="4" max="4"/>
    <col width="20" customWidth="1" min="5" max="5"/>
    <col width="20" customWidth="1" min="6" max="6"/>
    <col width="18" customWidth="1" min="7" max="7"/>
    <col width="20" customWidth="1" min="8" max="8"/>
    <col width="14" customWidth="1" min="9" max="9"/>
  </cols>
  <sheetData>
    <row r="1">
      <c r="A1" s="4" t="inlineStr">
        <is>
          <t>Nóminas — Mes: _______________</t>
        </is>
      </c>
    </row>
    <row r="2">
      <c r="A2" s="5" t="inlineStr">
        <is>
          <t>Tipo de SS a cargo de la empresa (%):</t>
        </is>
      </c>
      <c r="C2" s="23" t="n">
        <v>0.33</v>
      </c>
      <c r="D2" t="str">
        <f>"El coste total de cada empleado incluye un "&amp;TEXT($C$2,"0%")&amp;" de cotización empresarial sobre el bruto ya prorrateado"</f>
        <v>El coste total de cada empleado incluye un 33% de cotización empresarial sobre el bruto ya prorrateado</v>
      </c>
      <c r="E2" s="24" t="inlineStr">
        <is>
          <t>Semanas efectivas al año:</t>
        </is>
      </c>
      <c r="F2" s="25" t="n">
        <v>46.5</v>
      </c>
    </row>
    <row r="3">
      <c r="A3" t="inlineStr">
        <is>
          <t>AI Chef Pro · aichef.pro — Kit Gestión de Personal y Turnos</t>
        </is>
      </c>
    </row>
    <row r="4">
      <c r="A4" s="26" t="inlineStr">
        <is>
          <t>Empleado</t>
        </is>
      </c>
      <c r="B4" s="26" t="inlineStr">
        <is>
          <t>Puesto</t>
        </is>
      </c>
      <c r="C4" s="26" t="inlineStr">
        <is>
          <t>Salario Bruto Mes (€)</t>
        </is>
      </c>
      <c r="D4" s="26" t="inlineStr">
        <is>
          <t>Nº de pagas/año</t>
        </is>
      </c>
      <c r="E4" s="26" t="inlineStr">
        <is>
          <t>Bruto prorrateado/mes (€)</t>
        </is>
      </c>
      <c r="F4" s="26" t="inlineStr">
        <is>
          <t>Cotización SS empresa (€)</t>
        </is>
      </c>
      <c r="G4" s="27" t="inlineStr">
        <is>
          <t>Coste total/mes (€)</t>
        </is>
      </c>
      <c r="H4" s="27" t="inlineStr">
        <is>
          <t>Horas contratadas/semana</t>
        </is>
      </c>
      <c r="I4" s="27" t="inlineStr">
        <is>
          <t>Coste/hora (€)</t>
        </is>
      </c>
    </row>
    <row r="5">
      <c r="A5" s="28" t="n"/>
      <c r="B5" s="28" t="n"/>
      <c r="C5" s="29" t="n"/>
      <c r="D5" s="30" t="n">
        <v>14</v>
      </c>
      <c r="E5" s="31">
        <f>IF(OR($C5="",$D5=""),"",ROUND($C5*$D5/12,2))</f>
        <v/>
      </c>
      <c r="F5" s="32">
        <f>IF($E5="","",ROUND($E5*$C$2,2))</f>
        <v/>
      </c>
      <c r="G5" s="33">
        <f>IF($E5="","",ROUND($E5+$F5,2))</f>
        <v/>
      </c>
      <c r="H5" s="34" t="n"/>
      <c r="I5" s="33">
        <f>IFERROR(IF(OR($G5="",$H5="",$H5=0,$F$2="",$F$2=0),"",ROUND($G5/($H5*$F$2/12),2)),"")</f>
        <v/>
      </c>
    </row>
    <row r="6">
      <c r="A6" s="28" t="n"/>
      <c r="B6" s="28" t="n"/>
      <c r="C6" s="29" t="n"/>
      <c r="D6" s="30" t="n">
        <v>14</v>
      </c>
      <c r="E6" s="31">
        <f>IF(OR($C6="",$D6=""),"",ROUND($C6*$D6/12,2))</f>
        <v/>
      </c>
      <c r="F6" s="32">
        <f>IF($E6="","",ROUND($E6*$C$2,2))</f>
        <v/>
      </c>
      <c r="G6" s="33">
        <f>IF($E6="","",ROUND($E6+$F6,2))</f>
        <v/>
      </c>
      <c r="H6" s="34" t="n"/>
      <c r="I6" s="33">
        <f>IFERROR(IF(OR($G6="",$H6="",$H6=0,$F$2="",$F$2=0),"",ROUND($G6/($H6*$F$2/12),2)),"")</f>
        <v/>
      </c>
    </row>
    <row r="7">
      <c r="A7" s="28" t="n"/>
      <c r="B7" s="28" t="n"/>
      <c r="C7" s="29" t="n"/>
      <c r="D7" s="30" t="n">
        <v>14</v>
      </c>
      <c r="E7" s="31">
        <f>IF(OR($C7="",$D7=""),"",ROUND($C7*$D7/12,2))</f>
        <v/>
      </c>
      <c r="F7" s="32">
        <f>IF($E7="","",ROUND($E7*$C$2,2))</f>
        <v/>
      </c>
      <c r="G7" s="33">
        <f>IF($E7="","",ROUND($E7+$F7,2))</f>
        <v/>
      </c>
      <c r="H7" s="34" t="n"/>
      <c r="I7" s="33">
        <f>IFERROR(IF(OR($G7="",$H7="",$H7=0,$F$2="",$F$2=0),"",ROUND($G7/($H7*$F$2/12),2)),"")</f>
        <v/>
      </c>
    </row>
    <row r="8">
      <c r="A8" s="28" t="n"/>
      <c r="B8" s="28" t="n"/>
      <c r="C8" s="29" t="n"/>
      <c r="D8" s="30" t="n">
        <v>14</v>
      </c>
      <c r="E8" s="31">
        <f>IF(OR($C8="",$D8=""),"",ROUND($C8*$D8/12,2))</f>
        <v/>
      </c>
      <c r="F8" s="32">
        <f>IF($E8="","",ROUND($E8*$C$2,2))</f>
        <v/>
      </c>
      <c r="G8" s="33">
        <f>IF($E8="","",ROUND($E8+$F8,2))</f>
        <v/>
      </c>
      <c r="H8" s="34" t="n"/>
      <c r="I8" s="33">
        <f>IFERROR(IF(OR($G8="",$H8="",$H8=0,$F$2="",$F$2=0),"",ROUND($G8/($H8*$F$2/12),2)),"")</f>
        <v/>
      </c>
    </row>
    <row r="9">
      <c r="A9" s="28" t="n"/>
      <c r="B9" s="28" t="n"/>
      <c r="C9" s="29" t="n"/>
      <c r="D9" s="30" t="n">
        <v>14</v>
      </c>
      <c r="E9" s="31">
        <f>IF(OR($C9="",$D9=""),"",ROUND($C9*$D9/12,2))</f>
        <v/>
      </c>
      <c r="F9" s="32">
        <f>IF($E9="","",ROUND($E9*$C$2,2))</f>
        <v/>
      </c>
      <c r="G9" s="33">
        <f>IF($E9="","",ROUND($E9+$F9,2))</f>
        <v/>
      </c>
      <c r="H9" s="34" t="n"/>
      <c r="I9" s="33">
        <f>IFERROR(IF(OR($G9="",$H9="",$H9=0,$F$2="",$F$2=0),"",ROUND($G9/($H9*$F$2/12),2)),"")</f>
        <v/>
      </c>
    </row>
    <row r="10">
      <c r="A10" s="28" t="n"/>
      <c r="B10" s="28" t="n"/>
      <c r="C10" s="29" t="n"/>
      <c r="D10" s="30" t="n">
        <v>14</v>
      </c>
      <c r="E10" s="31">
        <f>IF(OR($C10="",$D10=""),"",ROUND($C10*$D10/12,2))</f>
        <v/>
      </c>
      <c r="F10" s="32">
        <f>IF($E10="","",ROUND($E10*$C$2,2))</f>
        <v/>
      </c>
      <c r="G10" s="33">
        <f>IF($E10="","",ROUND($E10+$F10,2))</f>
        <v/>
      </c>
      <c r="H10" s="34" t="n"/>
      <c r="I10" s="33">
        <f>IFERROR(IF(OR($G10="",$H10="",$H10=0,$F$2="",$F$2=0),"",ROUND($G10/($H10*$F$2/12),2)),"")</f>
        <v/>
      </c>
    </row>
    <row r="11">
      <c r="A11" s="28" t="n"/>
      <c r="B11" s="28" t="n"/>
      <c r="C11" s="29" t="n"/>
      <c r="D11" s="30" t="n">
        <v>14</v>
      </c>
      <c r="E11" s="31">
        <f>IF(OR($C11="",$D11=""),"",ROUND($C11*$D11/12,2))</f>
        <v/>
      </c>
      <c r="F11" s="32">
        <f>IF($E11="","",ROUND($E11*$C$2,2))</f>
        <v/>
      </c>
      <c r="G11" s="33">
        <f>IF($E11="","",ROUND($E11+$F11,2))</f>
        <v/>
      </c>
      <c r="H11" s="34" t="n"/>
      <c r="I11" s="33">
        <f>IFERROR(IF(OR($G11="",$H11="",$H11=0,$F$2="",$F$2=0),"",ROUND($G11/($H11*$F$2/12),2)),"")</f>
        <v/>
      </c>
    </row>
    <row r="12">
      <c r="A12" s="28" t="n"/>
      <c r="B12" s="28" t="n"/>
      <c r="C12" s="29" t="n"/>
      <c r="D12" s="30" t="n">
        <v>14</v>
      </c>
      <c r="E12" s="31">
        <f>IF(OR($C12="",$D12=""),"",ROUND($C12*$D12/12,2))</f>
        <v/>
      </c>
      <c r="F12" s="32">
        <f>IF($E12="","",ROUND($E12*$C$2,2))</f>
        <v/>
      </c>
      <c r="G12" s="33">
        <f>IF($E12="","",ROUND($E12+$F12,2))</f>
        <v/>
      </c>
      <c r="H12" s="34" t="n"/>
      <c r="I12" s="33">
        <f>IFERROR(IF(OR($G12="",$H12="",$H12=0,$F$2="",$F$2=0),"",ROUND($G12/($H12*$F$2/12),2)),"")</f>
        <v/>
      </c>
    </row>
    <row r="13">
      <c r="A13" s="28" t="n"/>
      <c r="B13" s="28" t="n"/>
      <c r="C13" s="29" t="n"/>
      <c r="D13" s="30" t="n">
        <v>14</v>
      </c>
      <c r="E13" s="31">
        <f>IF(OR($C13="",$D13=""),"",ROUND($C13*$D13/12,2))</f>
        <v/>
      </c>
      <c r="F13" s="32">
        <f>IF($E13="","",ROUND($E13*$C$2,2))</f>
        <v/>
      </c>
      <c r="G13" s="33">
        <f>IF($E13="","",ROUND($E13+$F13,2))</f>
        <v/>
      </c>
      <c r="H13" s="34" t="n"/>
      <c r="I13" s="33">
        <f>IFERROR(IF(OR($G13="",$H13="",$H13=0,$F$2="",$F$2=0),"",ROUND($G13/($H13*$F$2/12),2)),"")</f>
        <v/>
      </c>
    </row>
    <row r="14">
      <c r="A14" s="28" t="n"/>
      <c r="B14" s="28" t="n"/>
      <c r="C14" s="29" t="n"/>
      <c r="D14" s="30" t="n">
        <v>14</v>
      </c>
      <c r="E14" s="31">
        <f>IF(OR($C14="",$D14=""),"",ROUND($C14*$D14/12,2))</f>
        <v/>
      </c>
      <c r="F14" s="32">
        <f>IF($E14="","",ROUND($E14*$C$2,2))</f>
        <v/>
      </c>
      <c r="G14" s="33">
        <f>IF($E14="","",ROUND($E14+$F14,2))</f>
        <v/>
      </c>
      <c r="H14" s="34" t="n"/>
      <c r="I14" s="33">
        <f>IFERROR(IF(OR($G14="",$H14="",$H14=0,$F$2="",$F$2=0),"",ROUND($G14/($H14*$F$2/12),2)),"")</f>
        <v/>
      </c>
    </row>
    <row r="15">
      <c r="A15" s="28" t="n"/>
      <c r="B15" s="28" t="n"/>
      <c r="C15" s="29" t="n"/>
      <c r="D15" s="30" t="n">
        <v>14</v>
      </c>
      <c r="E15" s="31">
        <f>IF(OR($C15="",$D15=""),"",ROUND($C15*$D15/12,2))</f>
        <v/>
      </c>
      <c r="F15" s="32">
        <f>IF($E15="","",ROUND($E15*$C$2,2))</f>
        <v/>
      </c>
      <c r="G15" s="33">
        <f>IF($E15="","",ROUND($E15+$F15,2))</f>
        <v/>
      </c>
      <c r="H15" s="34" t="n"/>
      <c r="I15" s="33">
        <f>IFERROR(IF(OR($G15="",$H15="",$H15=0,$F$2="",$F$2=0),"",ROUND($G15/($H15*$F$2/12),2)),"")</f>
        <v/>
      </c>
    </row>
    <row r="16">
      <c r="A16" s="28" t="n"/>
      <c r="B16" s="28" t="n"/>
      <c r="C16" s="29" t="n"/>
      <c r="D16" s="30" t="n">
        <v>14</v>
      </c>
      <c r="E16" s="31">
        <f>IF(OR($C16="",$D16=""),"",ROUND($C16*$D16/12,2))</f>
        <v/>
      </c>
      <c r="F16" s="32">
        <f>IF($E16="","",ROUND($E16*$C$2,2))</f>
        <v/>
      </c>
      <c r="G16" s="33">
        <f>IF($E16="","",ROUND($E16+$F16,2))</f>
        <v/>
      </c>
      <c r="H16" s="34" t="n"/>
      <c r="I16" s="33">
        <f>IFERROR(IF(OR($G16="",$H16="",$H16=0,$F$2="",$F$2=0),"",ROUND($G16/($H16*$F$2/12),2)),"")</f>
        <v/>
      </c>
    </row>
    <row r="17">
      <c r="A17" s="28" t="n"/>
      <c r="B17" s="28" t="n"/>
      <c r="C17" s="29" t="n"/>
      <c r="D17" s="30" t="n">
        <v>14</v>
      </c>
      <c r="E17" s="31">
        <f>IF(OR($C17="",$D17=""),"",ROUND($C17*$D17/12,2))</f>
        <v/>
      </c>
      <c r="F17" s="32">
        <f>IF($E17="","",ROUND($E17*$C$2,2))</f>
        <v/>
      </c>
      <c r="G17" s="33">
        <f>IF($E17="","",ROUND($E17+$F17,2))</f>
        <v/>
      </c>
      <c r="H17" s="34" t="n"/>
      <c r="I17" s="33">
        <f>IFERROR(IF(OR($G17="",$H17="",$H17=0,$F$2="",$F$2=0),"",ROUND($G17/($H17*$F$2/12),2)),"")</f>
        <v/>
      </c>
    </row>
    <row r="18">
      <c r="A18" s="28" t="n"/>
      <c r="B18" s="28" t="n"/>
      <c r="C18" s="29" t="n"/>
      <c r="D18" s="30" t="n">
        <v>14</v>
      </c>
      <c r="E18" s="31">
        <f>IF(OR($C18="",$D18=""),"",ROUND($C18*$D18/12,2))</f>
        <v/>
      </c>
      <c r="F18" s="32">
        <f>IF($E18="","",ROUND($E18*$C$2,2))</f>
        <v/>
      </c>
      <c r="G18" s="33">
        <f>IF($E18="","",ROUND($E18+$F18,2))</f>
        <v/>
      </c>
      <c r="H18" s="34" t="n"/>
      <c r="I18" s="33">
        <f>IFERROR(IF(OR($G18="",$H18="",$H18=0,$F$2="",$F$2=0),"",ROUND($G18/($H18*$F$2/12),2)),"")</f>
        <v/>
      </c>
    </row>
    <row r="19">
      <c r="A19" s="28" t="n"/>
      <c r="B19" s="28" t="n"/>
      <c r="C19" s="29" t="n"/>
      <c r="D19" s="30" t="n">
        <v>14</v>
      </c>
      <c r="E19" s="31">
        <f>IF(OR($C19="",$D19=""),"",ROUND($C19*$D19/12,2))</f>
        <v/>
      </c>
      <c r="F19" s="32">
        <f>IF($E19="","",ROUND($E19*$C$2,2))</f>
        <v/>
      </c>
      <c r="G19" s="33">
        <f>IF($E19="","",ROUND($E19+$F19,2))</f>
        <v/>
      </c>
      <c r="H19" s="34" t="n"/>
      <c r="I19" s="33">
        <f>IFERROR(IF(OR($G19="",$H19="",$H19=0,$F$2="",$F$2=0),"",ROUND($G19/($H19*$F$2/12),2)),"")</f>
        <v/>
      </c>
    </row>
    <row r="20">
      <c r="A20" s="28" t="n"/>
      <c r="B20" s="28" t="n"/>
      <c r="C20" s="29" t="n"/>
      <c r="D20" s="30" t="n">
        <v>14</v>
      </c>
      <c r="E20" s="31">
        <f>IF(OR($C20="",$D20=""),"",ROUND($C20*$D20/12,2))</f>
        <v/>
      </c>
      <c r="F20" s="32">
        <f>IF($E20="","",ROUND($E20*$C$2,2))</f>
        <v/>
      </c>
      <c r="G20" s="33">
        <f>IF($E20="","",ROUND($E20+$F20,2))</f>
        <v/>
      </c>
      <c r="H20" s="34" t="n"/>
      <c r="I20" s="33">
        <f>IFERROR(IF(OR($G20="",$H20="",$H20=0,$F$2="",$F$2=0),"",ROUND($G20/($H20*$F$2/12),2)),"")</f>
        <v/>
      </c>
    </row>
    <row r="21">
      <c r="A21" s="28" t="n"/>
      <c r="B21" s="28" t="n"/>
      <c r="C21" s="29" t="n"/>
      <c r="D21" s="30" t="n">
        <v>14</v>
      </c>
      <c r="E21" s="31">
        <f>IF(OR($C21="",$D21=""),"",ROUND($C21*$D21/12,2))</f>
        <v/>
      </c>
      <c r="F21" s="32">
        <f>IF($E21="","",ROUND($E21*$C$2,2))</f>
        <v/>
      </c>
      <c r="G21" s="33">
        <f>IF($E21="","",ROUND($E21+$F21,2))</f>
        <v/>
      </c>
      <c r="H21" s="34" t="n"/>
      <c r="I21" s="33">
        <f>IFERROR(IF(OR($G21="",$H21="",$H21=0,$F$2="",$F$2=0),"",ROUND($G21/($H21*$F$2/12),2)),"")</f>
        <v/>
      </c>
    </row>
    <row r="22">
      <c r="A22" s="28" t="n"/>
      <c r="B22" s="28" t="n"/>
      <c r="C22" s="29" t="n"/>
      <c r="D22" s="30" t="n">
        <v>14</v>
      </c>
      <c r="E22" s="31">
        <f>IF(OR($C22="",$D22=""),"",ROUND($C22*$D22/12,2))</f>
        <v/>
      </c>
      <c r="F22" s="32">
        <f>IF($E22="","",ROUND($E22*$C$2,2))</f>
        <v/>
      </c>
      <c r="G22" s="33">
        <f>IF($E22="","",ROUND($E22+$F22,2))</f>
        <v/>
      </c>
      <c r="H22" s="34" t="n"/>
      <c r="I22" s="33">
        <f>IFERROR(IF(OR($G22="",$H22="",$H22=0,$F$2="",$F$2=0),"",ROUND($G22/($H22*$F$2/12),2)),"")</f>
        <v/>
      </c>
    </row>
    <row r="23">
      <c r="A23" s="28" t="n"/>
      <c r="B23" s="28" t="n"/>
      <c r="C23" s="29" t="n"/>
      <c r="D23" s="30" t="n">
        <v>14</v>
      </c>
      <c r="E23" s="31">
        <f>IF(OR($C23="",$D23=""),"",ROUND($C23*$D23/12,2))</f>
        <v/>
      </c>
      <c r="F23" s="32">
        <f>IF($E23="","",ROUND($E23*$C$2,2))</f>
        <v/>
      </c>
      <c r="G23" s="33">
        <f>IF($E23="","",ROUND($E23+$F23,2))</f>
        <v/>
      </c>
      <c r="H23" s="34" t="n"/>
      <c r="I23" s="33">
        <f>IFERROR(IF(OR($G23="",$H23="",$H23=0,$F$2="",$F$2=0),"",ROUND($G23/($H23*$F$2/12),2)),"")</f>
        <v/>
      </c>
    </row>
    <row r="24">
      <c r="A24" s="28" t="n"/>
      <c r="B24" s="28" t="n"/>
      <c r="C24" s="29" t="n"/>
      <c r="D24" s="30" t="n">
        <v>14</v>
      </c>
      <c r="E24" s="31">
        <f>IF(OR($C24="",$D24=""),"",ROUND($C24*$D24/12,2))</f>
        <v/>
      </c>
      <c r="F24" s="32">
        <f>IF($E24="","",ROUND($E24*$C$2,2))</f>
        <v/>
      </c>
      <c r="G24" s="33">
        <f>IF($E24="","",ROUND($E24+$F24,2))</f>
        <v/>
      </c>
      <c r="H24" s="34" t="n"/>
      <c r="I24" s="33">
        <f>IFERROR(IF(OR($G24="",$H24="",$H24=0,$F$2="",$F$2=0),"",ROUND($G24/($H24*$F$2/12),2)),"")</f>
        <v/>
      </c>
    </row>
    <row r="25">
      <c r="A25" s="28" t="n"/>
      <c r="B25" s="28" t="n"/>
      <c r="C25" s="29" t="n"/>
      <c r="D25" s="30" t="n">
        <v>14</v>
      </c>
      <c r="E25" s="31">
        <f>IF(OR($C25="",$D25=""),"",ROUND($C25*$D25/12,2))</f>
        <v/>
      </c>
      <c r="F25" s="32">
        <f>IF($E25="","",ROUND($E25*$C$2,2))</f>
        <v/>
      </c>
      <c r="G25" s="33">
        <f>IF($E25="","",ROUND($E25+$F25,2))</f>
        <v/>
      </c>
      <c r="H25" s="34" t="n"/>
      <c r="I25" s="33">
        <f>IFERROR(IF(OR($G25="",$H25="",$H25=0,$F$2="",$F$2=0),"",ROUND($G25/($H25*$F$2/12),2)),"")</f>
        <v/>
      </c>
    </row>
    <row r="26">
      <c r="A26" s="28" t="n"/>
      <c r="B26" s="28" t="n"/>
      <c r="C26" s="29" t="n"/>
      <c r="D26" s="30" t="n">
        <v>14</v>
      </c>
      <c r="E26" s="31">
        <f>IF(OR($C26="",$D26=""),"",ROUND($C26*$D26/12,2))</f>
        <v/>
      </c>
      <c r="F26" s="32">
        <f>IF($E26="","",ROUND($E26*$C$2,2))</f>
        <v/>
      </c>
      <c r="G26" s="33">
        <f>IF($E26="","",ROUND($E26+$F26,2))</f>
        <v/>
      </c>
      <c r="H26" s="34" t="n"/>
      <c r="I26" s="33">
        <f>IFERROR(IF(OR($G26="",$H26="",$H26=0,$F$2="",$F$2=0),"",ROUND($G26/($H26*$F$2/12),2)),"")</f>
        <v/>
      </c>
    </row>
    <row r="27">
      <c r="A27" s="28" t="n"/>
      <c r="B27" s="28" t="n"/>
      <c r="C27" s="29" t="n"/>
      <c r="D27" s="30" t="n">
        <v>14</v>
      </c>
      <c r="E27" s="31">
        <f>IF(OR($C27="",$D27=""),"",ROUND($C27*$D27/12,2))</f>
        <v/>
      </c>
      <c r="F27" s="32">
        <f>IF($E27="","",ROUND($E27*$C$2,2))</f>
        <v/>
      </c>
      <c r="G27" s="33">
        <f>IF($E27="","",ROUND($E27+$F27,2))</f>
        <v/>
      </c>
      <c r="H27" s="34" t="n"/>
      <c r="I27" s="33">
        <f>IFERROR(IF(OR($G27="",$H27="",$H27=0,$F$2="",$F$2=0),"",ROUND($G27/($H27*$F$2/12),2)),"")</f>
        <v/>
      </c>
    </row>
    <row r="28">
      <c r="A28" s="28" t="n"/>
      <c r="B28" s="28" t="n"/>
      <c r="C28" s="29" t="n"/>
      <c r="D28" s="30" t="n">
        <v>14</v>
      </c>
      <c r="E28" s="31">
        <f>IF(OR($C28="",$D28=""),"",ROUND($C28*$D28/12,2))</f>
        <v/>
      </c>
      <c r="F28" s="32">
        <f>IF($E28="","",ROUND($E28*$C$2,2))</f>
        <v/>
      </c>
      <c r="G28" s="33">
        <f>IF($E28="","",ROUND($E28+$F28,2))</f>
        <v/>
      </c>
      <c r="H28" s="34" t="n"/>
      <c r="I28" s="33">
        <f>IFERROR(IF(OR($G28="",$H28="",$H28=0,$F$2="",$F$2=0),"",ROUND($G28/($H28*$F$2/12),2)),"")</f>
        <v/>
      </c>
    </row>
    <row r="29">
      <c r="A29" s="28" t="n"/>
      <c r="B29" s="28" t="n"/>
      <c r="C29" s="29" t="n"/>
      <c r="D29" s="30" t="n">
        <v>14</v>
      </c>
      <c r="E29" s="31">
        <f>IF(OR($C29="",$D29=""),"",ROUND($C29*$D29/12,2))</f>
        <v/>
      </c>
      <c r="F29" s="32">
        <f>IF($E29="","",ROUND($E29*$C$2,2))</f>
        <v/>
      </c>
      <c r="G29" s="33">
        <f>IF($E29="","",ROUND($E29+$F29,2))</f>
        <v/>
      </c>
      <c r="H29" s="34" t="n"/>
      <c r="I29" s="33">
        <f>IFERROR(IF(OR($G29="",$H29="",$H29=0,$F$2="",$F$2=0),"",ROUND($G29/($H29*$F$2/12),2)),"")</f>
        <v/>
      </c>
    </row>
    <row r="30">
      <c r="A30" s="28" t="n"/>
      <c r="B30" s="28" t="n"/>
      <c r="C30" s="29" t="n"/>
      <c r="D30" s="30" t="n">
        <v>14</v>
      </c>
      <c r="E30" s="31">
        <f>IF(OR($C30="",$D30=""),"",ROUND($C30*$D30/12,2))</f>
        <v/>
      </c>
      <c r="F30" s="32">
        <f>IF($E30="","",ROUND($E30*$C$2,2))</f>
        <v/>
      </c>
      <c r="G30" s="33">
        <f>IF($E30="","",ROUND($E30+$F30,2))</f>
        <v/>
      </c>
      <c r="H30" s="34" t="n"/>
      <c r="I30" s="33">
        <f>IFERROR(IF(OR($G30="",$H30="",$H30=0,$F$2="",$F$2=0),"",ROUND($G30/($H30*$F$2/12),2)),"")</f>
        <v/>
      </c>
    </row>
    <row r="31">
      <c r="A31" s="28" t="n"/>
      <c r="B31" s="28" t="n"/>
      <c r="C31" s="29" t="n"/>
      <c r="D31" s="30" t="n">
        <v>14</v>
      </c>
      <c r="E31" s="31">
        <f>IF(OR($C31="",$D31=""),"",ROUND($C31*$D31/12,2))</f>
        <v/>
      </c>
      <c r="F31" s="32">
        <f>IF($E31="","",ROUND($E31*$C$2,2))</f>
        <v/>
      </c>
      <c r="G31" s="33">
        <f>IF($E31="","",ROUND($E31+$F31,2))</f>
        <v/>
      </c>
      <c r="H31" s="34" t="n"/>
      <c r="I31" s="33">
        <f>IFERROR(IF(OR($G31="",$H31="",$H31=0,$F$2="",$F$2=0),"",ROUND($G31/($H31*$F$2/12),2)),"")</f>
        <v/>
      </c>
    </row>
    <row r="32">
      <c r="A32" s="28" t="n"/>
      <c r="B32" s="28" t="n"/>
      <c r="C32" s="29" t="n"/>
      <c r="D32" s="30" t="n">
        <v>14</v>
      </c>
      <c r="E32" s="31">
        <f>IF(OR($C32="",$D32=""),"",ROUND($C32*$D32/12,2))</f>
        <v/>
      </c>
      <c r="F32" s="32">
        <f>IF($E32="","",ROUND($E32*$C$2,2))</f>
        <v/>
      </c>
      <c r="G32" s="33">
        <f>IF($E32="","",ROUND($E32+$F32,2))</f>
        <v/>
      </c>
      <c r="H32" s="34" t="n"/>
      <c r="I32" s="33">
        <f>IFERROR(IF(OR($G32="",$H32="",$H32=0,$F$2="",$F$2=0),"",ROUND($G32/($H32*$F$2/12),2)),"")</f>
        <v/>
      </c>
    </row>
    <row r="33">
      <c r="A33" s="28" t="n"/>
      <c r="B33" s="28" t="n"/>
      <c r="C33" s="29" t="n"/>
      <c r="D33" s="30" t="n">
        <v>14</v>
      </c>
      <c r="E33" s="31">
        <f>IF(OR($C33="",$D33=""),"",ROUND($C33*$D33/12,2))</f>
        <v/>
      </c>
      <c r="F33" s="32">
        <f>IF($E33="","",ROUND($E33*$C$2,2))</f>
        <v/>
      </c>
      <c r="G33" s="33">
        <f>IF($E33="","",ROUND($E33+$F33,2))</f>
        <v/>
      </c>
      <c r="H33" s="34" t="n"/>
      <c r="I33" s="33">
        <f>IFERROR(IF(OR($G33="",$H33="",$H33=0,$F$2="",$F$2=0),"",ROUND($G33/($H33*$F$2/12),2)),"")</f>
        <v/>
      </c>
    </row>
    <row r="34">
      <c r="A34" s="28" t="n"/>
      <c r="B34" s="28" t="n"/>
      <c r="C34" s="29" t="n"/>
      <c r="D34" s="30" t="n">
        <v>14</v>
      </c>
      <c r="E34" s="31">
        <f>IF(OR($C34="",$D34=""),"",ROUND($C34*$D34/12,2))</f>
        <v/>
      </c>
      <c r="F34" s="32">
        <f>IF($E34="","",ROUND($E34*$C$2,2))</f>
        <v/>
      </c>
      <c r="G34" s="33">
        <f>IF($E34="","",ROUND($E34+$F34,2))</f>
        <v/>
      </c>
      <c r="H34" s="34" t="n"/>
      <c r="I34" s="33">
        <f>IFERROR(IF(OR($G34="",$H34="",$H34=0,$F$2="",$F$2=0),"",ROUND($G34/($H34*$F$2/12),2)),"")</f>
        <v/>
      </c>
    </row>
    <row r="35">
      <c r="A35" s="35" t="inlineStr">
        <is>
          <t>TOTALES</t>
        </is>
      </c>
      <c r="C35" s="36">
        <f>SUM($C$5:$C$34)</f>
        <v>0.0</v>
      </c>
      <c r="D35" s="37" t="n"/>
      <c r="E35" s="36">
        <f>SUM($E$5:$E$34)</f>
        <v>0.0</v>
      </c>
      <c r="F35" s="38">
        <f>SUM($F$5:$F$34)</f>
        <v>0.0</v>
      </c>
      <c r="G35" s="38">
        <f>SUM($G$5:$G$34)</f>
        <v>0.0</v>
      </c>
      <c r="H35" s="39">
        <f>SUM($H$5:$H$34)</f>
        <v>0.0</v>
      </c>
      <c r="I35" s="38">
        <f>IFERROR(IF(OR($G$35="",$H$35=0,$F$2="",$F$2=0),"",ROUND($G$35/($H$35*$F$2/12),2)),"")</f>
        <v/>
      </c>
    </row>
    <row r="36"/>
    <row r="37">
      <c r="A37" s="40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37:I37"/>
    <mergeCell ref="A3:I3"/>
    <mergeCell ref="A1:I1"/>
  </mergeCells>
  <dataValidations count="3">
    <dataValidation sqref="C2" showDropDown="0" showInputMessage="1" showErrorMessage="0" allowBlank="0" promptTitle="kitgp-v2 · ss_empresa" prompt="Ajústalo a tu CNAE, contrato y convenio: un indefinido general ronda el 33-34 % sumando contingencias comunes, desempleo, AT/EP, FOGASA, FP y MEI."/>
    <dataValidation sqref="F2" showDropDown="0" showInputMessage="1" showErrorMessage="1" allowBlank="1" errorTitle="Semanas efectivas al año" error="Escribe un número mayor que cero." promptTitle="kitgp-v2b · Semanas efectivas al año" prompt="Las 52 del año MENOS las de vacaciones y festivos, que se pagan y no se trabajan: con 30 días naturales de vacaciones (art. 38 ET) y unos 14 festivos salen ~46,5. Es el divisor del «Coste/hora»: con 52 el coste por hora REALMENTE trabajada sale un 10-13 % corto, y ese número es el que se lleva a la tarifa del fichero 02." type="decimal" errorStyle="stop" operator="greaterThan">
      <formula1>0</formula1>
    </dataValidation>
    <dataValidation sqref="D5:D34" showDropDown="0" showInputMessage="1" showErrorMessage="1" allowBlank="1" errorTitle="Número de pagas no válido" error="12, 14 o 15. La columna E prorratea el bruto anual a doce meses." promptTitle="kitgp-v2b · Número de pagas no válido" prompt="Doce pagas = extras prorrateadas mes a mes. Catorce (lo habitual en hostelería) o quince = las extras se pagan aparte, pero el coste mensual REAL sigue siendo el prorrateado: es lo que calcula la columna E." type="list" errorStyle="stop">
      <formula1>"12,14,15"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E32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6" customWidth="1" min="3" max="3"/>
    <col width="16" customWidth="1" min="4" max="4"/>
    <col width="16" customWidth="1" min="5" max="5"/>
  </cols>
  <sheetData>
    <row r="1">
      <c r="A1" s="4" t="inlineStr">
        <is>
          <t>Ratio Coste Laboral vs Ventas</t>
        </is>
      </c>
    </row>
    <row r="2">
      <c r="A2" s="5" t="inlineStr">
        <is>
          <t>AI Chef Pro · aichef.pro — Kit Gestión de Personal y Turnos</t>
        </is>
      </c>
    </row>
    <row r="3">
      <c r="A3" t="inlineStr">
        <is>
          <t>Tipo de negocio:</t>
        </is>
      </c>
      <c r="B3" s="41" t="n"/>
    </row>
    <row r="4">
      <c r="A4" s="10" t="inlineStr">
        <is>
          <t>Ventas Netas del Mes (€):</t>
        </is>
      </c>
      <c r="B4" s="42" t="n"/>
    </row>
    <row r="5">
      <c r="A5" s="10" t="inlineStr">
        <is>
          <t>Nóminas del mes (€) — sale de la hoja «Nóminas»:</t>
        </is>
      </c>
      <c r="B5" s="31">
        <f>Nóminas!$G$35</f>
        <v>0.0</v>
      </c>
    </row>
    <row r="6">
      <c r="A6" s="10" t="inlineStr">
        <is>
          <t>Horas extra del mes (€):</t>
        </is>
      </c>
      <c r="B6" s="43" t="inlineStr"/>
    </row>
    <row r="7">
      <c r="A7" s="10" t="inlineStr">
        <is>
          <t>Personal externo / ETT (€):</t>
        </is>
      </c>
      <c r="B7" s="43" t="n"/>
    </row>
    <row r="8">
      <c r="A8" s="10" t="inlineStr">
        <is>
          <t>Otros costes de personal (€):</t>
        </is>
      </c>
      <c r="B8" s="43" t="inlineStr"/>
    </row>
    <row r="9">
      <c r="A9" s="44" t="inlineStr">
        <is>
          <t>COSTE LABORAL TOTAL DEL MES (€):</t>
        </is>
      </c>
      <c r="B9" s="45">
        <f>IF(COUNT($B$5:$B$8)=0,"",ROUND(SUM($B$5:$B$8),2))</f>
        <v>0.0</v>
      </c>
    </row>
    <row r="10"/>
    <row r="11">
      <c r="A11" s="24" t="inlineStr">
        <is>
          <t>RATIO COSTE LABORAL (%):</t>
        </is>
      </c>
      <c r="B11" s="46">
        <f>IFERROR(IF(OR($B$4="",$B$4&lt;=0,$B$9="",$B$9&lt;=0),"",ROUND($B$9/$B$4,4)),"")</f>
        <v/>
      </c>
      <c r="C11" t="inlineStr">
        <is>
          <t>Ratio objetivo de tu tipo:</t>
        </is>
      </c>
      <c r="D11" s="46">
        <f>IFERROR(VLOOKUP($B$3,$A$18:$E$27,4,FALSE),0.3)</f>
        <v>0.3</v>
      </c>
    </row>
    <row r="12">
      <c r="A12" s="14" t="n"/>
      <c r="C12" t="inlineStr">
        <is>
          <t>Máximo aceptable de tu tipo:</t>
        </is>
      </c>
      <c r="D12" s="46">
        <f>IFERROR(VLOOKUP($B$3,$A$18:$E$27,5,FALSE),0.35)</f>
        <v>0.35</v>
      </c>
    </row>
    <row r="13">
      <c r="A13" s="47" t="inlineStr">
        <is>
          <t>Semáforo:</t>
        </is>
      </c>
      <c r="B13" s="48" t="str">
        <f>IF(OR($B$4="",$B$4&lt;=0),"— introduce las VENTAS netas del mes (B4)",IF(OR($B$9="",$B$9&lt;=0),"— aún no hay coste: vuelca las nóminas en la hoja «Nóminas»",IF($B$11&lt;$D$11*0.6,"⚠ ratio implausible: revisa que estén TODAS las nóminas",IF($B$11&lt;$D$11,"🟢 EXCELENTE (por debajo de tu objetivo)",IF($B$11&lt;=$D$12,"🟡 VIGILAR (en el límite)","🔴 ACCIÓN CORRECTIVA")))))</f>
        <v>— introduce las VENTAS netas del mes (B4)</v>
      </c>
      <c r="C13" s="49" t="n"/>
      <c r="D13" s="49" t="n"/>
      <c r="E13" s="50" t="n"/>
    </row>
    <row r="14" ht="28" customHeight="1">
      <c r="A14" s="51" t="inlineStr">
        <is>
          <t>▸ Sin tipo de negocio elegido el semáforo cae al 30 % / 35 % genérico. Y por debajo del 60 % de tu objetivo no te felicita: un coste laboral así de bajo casi siempre significa que faltan nóminas por volcar, no que vayas sobrado.</t>
        </is>
      </c>
      <c r="B14" s="49" t="n"/>
      <c r="C14" s="49" t="n"/>
      <c r="D14" s="49" t="n"/>
      <c r="E14" s="50" t="n"/>
    </row>
    <row r="15">
      <c r="A15" s="15" t="n"/>
      <c r="B15" s="16" t="n"/>
      <c r="C15" s="16" t="n"/>
    </row>
    <row r="16">
      <c r="A16" s="44" t="inlineStr">
        <is>
          <t>Ratios de Referencia por Tipo</t>
        </is>
      </c>
      <c r="B16" s="16" t="n"/>
      <c r="C16" s="16" t="n"/>
    </row>
    <row r="17">
      <c r="A17" s="26" t="inlineStr">
        <is>
          <t>Tipo de Negocio</t>
        </is>
      </c>
      <c r="B17" s="26" t="inlineStr">
        <is>
          <t>Ratio Objetivo</t>
        </is>
      </c>
      <c r="C17" s="26" t="inlineStr">
        <is>
          <t>Rango Aceptable</t>
        </is>
      </c>
      <c r="D17" s="27" t="inlineStr">
        <is>
          <t>Objetivo % (núm.)</t>
        </is>
      </c>
      <c r="E17" s="27" t="inlineStr">
        <is>
          <t>Aceptable % (núm.)</t>
        </is>
      </c>
    </row>
    <row r="18">
      <c r="A18" s="15" t="inlineStr">
        <is>
          <t>Fast Casual / Comida Rápida</t>
        </is>
      </c>
      <c r="B18" s="16" t="inlineStr">
        <is>
          <t>25-28%</t>
        </is>
      </c>
      <c r="C18" s="16" t="inlineStr">
        <is>
          <t>22-30%</t>
        </is>
      </c>
      <c r="D18" s="46" t="n">
        <v>0.28</v>
      </c>
      <c r="E18" s="46" t="n">
        <v>0.3</v>
      </c>
    </row>
    <row r="19">
      <c r="A19" s="15" t="inlineStr">
        <is>
          <t>Restaurante Casual</t>
        </is>
      </c>
      <c r="B19" s="16" t="inlineStr">
        <is>
          <t>28-33%</t>
        </is>
      </c>
      <c r="C19" s="16" t="inlineStr">
        <is>
          <t>25-35%</t>
        </is>
      </c>
      <c r="D19" s="46" t="n">
        <v>0.33</v>
      </c>
      <c r="E19" s="46" t="n">
        <v>0.35</v>
      </c>
    </row>
    <row r="20">
      <c r="A20" t="inlineStr">
        <is>
          <t>Fine Dining / Alta Cocina</t>
        </is>
      </c>
      <c r="B20" t="inlineStr">
        <is>
          <t>35-40%</t>
        </is>
      </c>
      <c r="C20" t="inlineStr">
        <is>
          <t>33-42%</t>
        </is>
      </c>
      <c r="D20" s="46" t="n">
        <v>0.4</v>
      </c>
      <c r="E20" s="46" t="n">
        <v>0.42</v>
      </c>
    </row>
    <row r="21">
      <c r="A21" t="inlineStr">
        <is>
          <t>Catering / Eventos</t>
        </is>
      </c>
      <c r="B21" t="inlineStr">
        <is>
          <t>30-35%</t>
        </is>
      </c>
      <c r="C21" t="inlineStr">
        <is>
          <t>28-38%</t>
        </is>
      </c>
      <c r="D21" s="46" t="n">
        <v>0.35</v>
      </c>
      <c r="E21" s="46" t="n">
        <v>0.38</v>
      </c>
    </row>
    <row r="22">
      <c r="A22" s="11" t="inlineStr">
        <is>
          <t>Cafetería / Brunch</t>
        </is>
      </c>
      <c r="B22" t="inlineStr">
        <is>
          <t>28-32%</t>
        </is>
      </c>
      <c r="C22" t="inlineStr">
        <is>
          <t>25-35%</t>
        </is>
      </c>
      <c r="D22" s="46" t="n">
        <v>0.32</v>
      </c>
      <c r="E22" s="46" t="n">
        <v>0.35</v>
      </c>
    </row>
    <row r="23">
      <c r="A23" t="inlineStr">
        <is>
          <t>Bar / Cocktails</t>
        </is>
      </c>
      <c r="B23" t="inlineStr">
        <is>
          <t>25-30%</t>
        </is>
      </c>
      <c r="C23" t="inlineStr">
        <is>
          <t>22-33%</t>
        </is>
      </c>
      <c r="D23" s="46" t="n">
        <v>0.3</v>
      </c>
      <c r="E23" s="46" t="n">
        <v>0.33</v>
      </c>
    </row>
    <row r="24">
      <c r="A24" t="inlineStr">
        <is>
          <t>Pizzería</t>
        </is>
      </c>
      <c r="B24" t="inlineStr">
        <is>
          <t>26-30%</t>
        </is>
      </c>
      <c r="C24" t="inlineStr">
        <is>
          <t>24-32%</t>
        </is>
      </c>
      <c r="D24" s="46" t="n">
        <v>0.3</v>
      </c>
      <c r="E24" s="46" t="n">
        <v>0.32</v>
      </c>
    </row>
    <row r="25">
      <c r="A25" t="inlineStr">
        <is>
          <t>Dark Kitchen / Delivery</t>
        </is>
      </c>
      <c r="B25" t="inlineStr">
        <is>
          <t>22-28%</t>
        </is>
      </c>
      <c r="C25" t="inlineStr">
        <is>
          <t>20-30%</t>
        </is>
      </c>
      <c r="D25" s="46" t="n">
        <v>0.28</v>
      </c>
      <c r="E25" s="46" t="n">
        <v>0.3</v>
      </c>
    </row>
    <row r="26">
      <c r="A26" t="inlineStr">
        <is>
          <t>Hotel (restaurante)</t>
        </is>
      </c>
      <c r="B26" t="inlineStr">
        <is>
          <t>35-42%</t>
        </is>
      </c>
      <c r="C26" t="inlineStr">
        <is>
          <t>33-44%</t>
        </is>
      </c>
      <c r="D26" s="46" t="n">
        <v>0.42</v>
      </c>
      <c r="E26" s="46" t="n">
        <v>0.44</v>
      </c>
    </row>
    <row r="27">
      <c r="A27" t="inlineStr">
        <is>
          <t>Heladería / Obrador</t>
        </is>
      </c>
      <c r="B27" t="inlineStr">
        <is>
          <t>25-30%</t>
        </is>
      </c>
      <c r="C27" t="inlineStr">
        <is>
          <t>22-32%</t>
        </is>
      </c>
      <c r="D27" s="46" t="n">
        <v>0.3</v>
      </c>
      <c r="E27" s="46" t="n">
        <v>0.32</v>
      </c>
    </row>
    <row r="28" ht="28" customHeight="1">
      <c r="A28" s="52" t="inlineStr">
        <is>
          <t>▸ Las dos columnas numéricas son el extremo superior de los rangos de texto: es lo que lee el VLOOKUP del semáforo, para que la tabla y el veredicto no puedan contradecirse. Son los mismos diez tipos y los mismos umbrales que la hoja «Ratios por Tipo» del BONUS-02.</t>
        </is>
      </c>
    </row>
    <row r="29"/>
    <row r="30">
      <c r="A30" s="40" t="inlineStr">
        <is>
          <t>© 2026 AI Chef Pro · aichef.pro</t>
        </is>
      </c>
    </row>
    <row r="31"/>
    <row r="32"/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E1"/>
    <mergeCell ref="A28:E28"/>
    <mergeCell ref="A30:E30"/>
    <mergeCell ref="A14:E14"/>
    <mergeCell ref="B13:E13"/>
    <mergeCell ref="A2:E2"/>
  </mergeCells>
  <dataValidations count="4">
    <dataValidation sqref="B3" showDropDown="0" showInputMessage="1" showErrorMessage="1" allowBlank="1" errorTitle="Tipo de negocio no válido" error="Elige uno de los diez tipos de la tabla de referencia de abajo." promptTitle="kitgp-v2b · Tipo de negocio no válido" prompt="De aquí salen los dos umbrales del semáforo por VLOOKUP sobre la tabla de esta misma hoja. Son los mismos diez tipos y los mismos umbrales que la calculadora del BONUS-02: los dos ficheros no pueden dar veredictos distintos sobre el mismo ratio. Si lo dejas en blanco, el semáforo usa el 30 % / 35 % genérico." type="list" errorStyle="stop">
      <formula1>"Fast Casual / Comida Rápida,Restaurante Casual,Fine Dining / Alta Cocina,Catering / Eventos,Cafetería / Brunch,Bar / Cocktails,Pizzería,Dark Kitchen / Delivery,Hotel (restaurante),Heladería / Obrador"</formula1>
    </dataValidation>
    <dataValidation sqref="B6" showDropDown="0" showInputMessage="1" showErrorMessage="1" allowBlank="1" errorTitle="Horas extra del mes (€)" error="Escribe un número mayor que cero." promptTitle="kitgp-v2b · Horas extra del mes (€)" prompt="Cópialo de «Resumen Mensual»!G37 del fichero 02 (el total de la columna «Coste de las horas extra»). El kit lo calcula y hasta ahora no lo leía nadie, así que el ratio salía corto." type="decimal" errorStyle="stop" operator="greaterThan">
      <formula1>0</formula1>
    </dataValidation>
    <dataValidation sqref="B7" showDropDown="0" showInputMessage="1" showErrorMessage="1" allowBlank="1" errorTitle="Personal externo / ETT (€)" error="Escribe un número mayor que cero." promptTitle="kitgp-v2b · Personal externo / ETT (€)" prompt="Extras de fin de semana, ETT, personal de refuerzo del día pico (el que recomienda contratar el BONUS-02). Es coste laboral aunque no esté en tu nómina." type="decimal" errorStyle="stop" operator="greaterThan">
      <formula1>0</formula1>
    </dataValidation>
    <dataValidation sqref="B8" showDropDown="0" showInputMessage="1" showErrorMessage="1" allowBlank="1" errorTitle="Otros costes de personal (€)" error="Escribe un número mayor que cero." promptTitle="kitgp-v2b · Otros costes de personal (€)" prompt="Dietas, formación obligatoria, vestuario, transporte, comida de personal… lo que tu contabilidad impute a personal y no salga de las nóminas." type="decimal" errorStyle="stop" operator="greaterThan">
      <formula1>0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E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4" customWidth="1" min="3" max="3"/>
    <col width="14" customWidth="1" min="4" max="4"/>
    <col width="18" customWidth="1" min="5" max="5"/>
    <col width="4" customWidth="1" min="6" max="6"/>
  </cols>
  <sheetData>
    <row r="1">
      <c r="A1" s="53" t="inlineStr">
        <is>
          <t>Previsión de Personal por Servicio</t>
        </is>
      </c>
    </row>
    <row r="2">
      <c r="A2" s="5" t="inlineStr">
        <is>
          <t>AI Chef Pro · aichef.pro — Kit Gestión de Personal y Turnos</t>
        </is>
      </c>
    </row>
    <row r="3">
      <c r="A3" s="54" t="inlineStr">
        <is>
          <t>ENTRADAS — edita sólo las celdas verdes</t>
        </is>
      </c>
      <c r="B3" s="55" t="n"/>
      <c r="C3" s="55" t="n"/>
      <c r="D3" s="55" t="n"/>
      <c r="E3" s="55" t="n"/>
    </row>
    <row r="4">
      <c r="A4" s="10" t="inlineStr">
        <is>
          <t>Cubiertos previstos / día:</t>
        </is>
      </c>
      <c r="B4" s="56" t="n">
        <v>80</v>
      </c>
    </row>
    <row r="5">
      <c r="A5" s="10" t="inlineStr">
        <is>
          <t>Servicios al día (comida + cena):</t>
        </is>
      </c>
      <c r="B5" s="56" t="n">
        <v>2</v>
      </c>
    </row>
    <row r="6">
      <c r="A6" s="10" t="inlineStr">
        <is>
          <t>Cubiertos por SERVICIO:</t>
        </is>
      </c>
      <c r="B6" s="57">
        <f>IFERROR(IF(OR($B$4="",$B$5="",$B$5=0),"",ROUND($B$4/$B$5,0)),"")</f>
        <v>40.0</v>
      </c>
      <c r="C6" s="58" t="inlineStr">
        <is>
          <t>← es la cifra que dimensiona el turno, no los cubiertos del día</t>
        </is>
      </c>
    </row>
    <row r="7">
      <c r="A7" s="10" t="inlineStr">
        <is>
          <t>Cubiertos por cocinero y servicio:</t>
        </is>
      </c>
      <c r="B7" s="56" t="n">
        <v>25</v>
      </c>
    </row>
    <row r="8">
      <c r="A8" t="inlineStr">
        <is>
          <t>Cubiertos por camarero y servicio:</t>
        </is>
      </c>
      <c r="B8" s="59" t="n">
        <v>22</v>
      </c>
    </row>
    <row r="9">
      <c r="A9" s="14" t="inlineStr">
        <is>
          <t>Cubiertos por persona de barra y servicio:</t>
        </is>
      </c>
      <c r="B9" s="59" t="n">
        <v>80</v>
      </c>
    </row>
    <row r="10">
      <c r="A10" s="10" t="inlineStr">
        <is>
          <t>Horas efectivas por servicio:</t>
        </is>
      </c>
      <c r="B10" s="60" t="n">
        <v>4</v>
      </c>
    </row>
    <row r="11">
      <c r="A11" s="10" t="inlineStr">
        <is>
          <t>Días de apertura / semana:</t>
        </is>
      </c>
      <c r="B11" s="60" t="n">
        <v>6</v>
      </c>
    </row>
    <row r="12">
      <c r="A12" s="10" t="inlineStr">
        <is>
          <t>Jornada contratada (h/semana):</t>
        </is>
      </c>
      <c r="B12" s="60" t="n">
        <v>40</v>
      </c>
    </row>
    <row r="13">
      <c r="A13" s="10" t="inlineStr">
        <is>
          <t>Factor de cobertura (vacaciones, bajas y descansos):</t>
        </is>
      </c>
      <c r="B13" s="61" t="n">
        <v>1.15</v>
      </c>
    </row>
    <row r="14">
      <c r="A14" t="inlineStr">
        <is>
          <t>Salario medio bruto (€/mes):</t>
        </is>
      </c>
      <c r="B14" s="62" t="n">
        <v>1500</v>
      </c>
    </row>
    <row r="15">
      <c r="A15" s="18" t="inlineStr">
        <is>
          <t>Nº de pagas / año:</t>
        </is>
      </c>
      <c r="B15" s="56" t="n">
        <v>14</v>
      </c>
    </row>
    <row r="16">
      <c r="A16" s="18" t="inlineStr">
        <is>
          <t>Tipo de SS a cargo de la empresa (%):</t>
        </is>
      </c>
      <c r="B16" s="63" t="n">
        <v>0.33</v>
      </c>
    </row>
    <row r="17">
      <c r="A17" s="54" t="inlineStr">
        <is>
          <t>RESULTADO — de cubiertos a plantilla</t>
        </is>
      </c>
      <c r="B17" s="64" t="inlineStr">
        <is>
          <t>Cocina</t>
        </is>
      </c>
      <c r="C17" s="64" t="inlineStr">
        <is>
          <t>Sala</t>
        </is>
      </c>
      <c r="D17" s="64" t="inlineStr">
        <is>
          <t>Barra</t>
        </is>
      </c>
      <c r="E17" s="64" t="inlineStr">
        <is>
          <t>Total / servicio</t>
        </is>
      </c>
    </row>
    <row r="18">
      <c r="A18" t="inlineStr">
        <is>
          <t>Personal por SERVICIO:</t>
        </is>
      </c>
      <c r="B18" s="65">
        <f>IFERROR(IF(OR($B$6="",$B$7="",$B$7=0),0,CEILING($B$6/$B$7,1)),0)</f>
        <v>2.0</v>
      </c>
      <c r="C18" s="65">
        <f>IFERROR(IF(OR($B$6="",$B$8="",$B$8=0),0,CEILING($B$6/$B$8,1)),0)</f>
        <v>2.0</v>
      </c>
      <c r="D18" s="65">
        <f>IFERROR(IF(OR($B$6="",$B$9="",$B$9=0),0,CEILING($B$6/$B$9,1)),0)</f>
        <v>1.0</v>
      </c>
      <c r="E18" s="65">
        <f>IF($B$6="","",$B$18+$C$18+$D$18)</f>
        <v>5.0</v>
      </c>
    </row>
    <row r="19">
      <c r="A19" s="11" t="inlineStr">
        <is>
          <t>Presencias al día (personas × servicios):</t>
        </is>
      </c>
      <c r="B19" s="65">
        <f>IF(OR($E$18="",$B$5=""),"",$E$18*$B$5)</f>
        <v>10.0</v>
      </c>
    </row>
    <row r="20">
      <c r="A20" t="inlineStr">
        <is>
          <t>Horas de plantilla necesarias / semana:</t>
        </is>
      </c>
      <c r="B20" s="65">
        <f>IF(OR($B$19="",$B$10="",$B$11=""),"",$B$19*$B$10*$B$11)</f>
        <v>240.0</v>
      </c>
    </row>
    <row r="21">
      <c r="A21" s="24" t="inlineStr">
        <is>
          <t>Plantilla necesaria (FTE):</t>
        </is>
      </c>
      <c r="B21" s="65">
        <f>IFERROR(IF(OR($B$20="",$B$12="",$B$12=0),"",CEILING($B$20/$B$12*$B$13,1)),"")</f>
        <v>7.0</v>
      </c>
    </row>
    <row r="22">
      <c r="A22" s="24" t="inlineStr">
        <is>
          <t>Coste laboral estimado del equipo (€/mes):</t>
        </is>
      </c>
      <c r="B22" s="33">
        <f>IFERROR(IF(OR($B$21="",$B$14="",$B$15=""),"",ROUND($B$21*$B$14*$B$15/12*(1+$B$16),2)),"")</f>
        <v>16292.5</v>
      </c>
    </row>
    <row r="23"/>
    <row r="24" ht="28" customHeight="1">
      <c r="A24" s="52" t="inlineStr">
        <is>
          <t>▸ FTE = personas a jornada completa, no personas por turno: las 240 h/semana que salen por defecto son siete contratos de 40 h con el 15 % de cobertura de libranzas, vacaciones y bajas ya dentro.</t>
        </is>
      </c>
    </row>
    <row r="25" ht="28" customHeight="1">
      <c r="A25" s="52" t="inlineStr">
        <is>
          <t>▸ El coste es bruto de convenio × las pagas que elijas, prorrateado a doce meses y con la cotización empresarial encima. Para el coste REAL de tu equipo usa la hoja «Nóminas», que parte de tus contratos.</t>
        </is>
      </c>
    </row>
    <row r="26">
      <c r="A26" s="40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E1"/>
    <mergeCell ref="A25:E25"/>
    <mergeCell ref="A26:E26"/>
    <mergeCell ref="A24:E24"/>
    <mergeCell ref="A2:E2"/>
  </mergeCells>
  <dataValidations count="1">
    <dataValidation sqref="B5" showDropDown="0" showInputMessage="1" showErrorMessage="1" allowBlank="1" errorTitle="Servicios al día no válido" error="Elige 1, 2 o 3." promptTitle="kitgp-v2b · Servicios al día no válido" prompt="Uno (sólo comidas o sólo cenas), dos (comida y cena) o tres (desayuno, comida y cena). Es lo que reparte los cubiertos del día entre turnos: ochenta cubiertos en dos servicios son cuarenta por servicio, y el equipo se dimensiona con esos cuarenta." type="list" errorStyle="stop">
      <formula1>"1,2,3"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Coste Laboral Mensual · Kit Gestión de Personal y Turnos</dc:title>
  <dc:description xmlns:dc="http://purl.org/dc/elements/1.1/">aichef.pro/kit-gestion-personal</dc:description>
  <dc:subject xmlns:dc="http://purl.org/dc/elements/1.1/">Kit Gestión de Personal y Turnos · v2.0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2026-08-24T04:12:37Z</dcterms:modified>
  <cp:lastModifiedBy>AI Chef Pro</cp:lastModifiedBy>
  <cp:category>AI Chef Pro · Productos digitales</cp:category>
  <cp:keywords>kit gestion personal, AI Chef Pro</cp:keywords>
</cp:coreProperties>
</file>