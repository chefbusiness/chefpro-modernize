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Nóminas" sheetId="2" state="visible" r:id="rId2"/>
    <sheet xmlns:r="http://schemas.openxmlformats.org/officeDocument/2006/relationships" name="Ratio Coste Laboral" sheetId="3" state="visible" r:id="rId3"/>
    <sheet xmlns:r="http://schemas.openxmlformats.org/officeDocument/2006/relationships" name="Previsión por Servicio" sheetId="4" state="visible" r:id="rId4"/>
  </sheets>
  <definedNames>
    <definedName name="_xlnm.Print_Titles" localSheetId="1">'Nóminas'!$4:$4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565C0"/>
      <sz val="11"/>
    </font>
    <font>
      <name val="Calibri"/>
      <b val="1"/>
      <sz val="11"/>
    </font>
    <font>
      <name val="Calibri"/>
      <color rgb="00999999"/>
      <sz val="9"/>
    </font>
    <font>
      <name val="Calibri"/>
      <b val="1"/>
      <color rgb="00FFD700"/>
      <sz val="12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164" fontId="7" fillId="3" borderId="1" pivotButton="0" quotePrefix="0" xfId="0"/>
    <xf numFmtId="164" fontId="8" fillId="0" borderId="1" pivotButton="0" quotePrefix="0" xfId="0"/>
    <xf numFmtId="0" fontId="9" fillId="0" borderId="1" pivotButton="0" quotePrefix="0" xfId="0"/>
    <xf numFmtId="0" fontId="10" fillId="0" borderId="0" pivotButton="0" quotePrefix="0" xfId="0"/>
    <xf numFmtId="4" fontId="0" fillId="3" borderId="1" pivotButton="0" quotePrefix="0" xfId="0"/>
    <xf numFmtId="4" fontId="8" fillId="0" borderId="1" pivotButton="0" quotePrefix="0" xfId="0"/>
    <xf numFmtId="0" fontId="11" fillId="0" borderId="0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21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03 · Coste Laboral Mensual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Introduce los datos de nómina de cada empleado en la hoja 'Nóminas'.</t>
        </is>
      </c>
    </row>
    <row r="6">
      <c r="B6" s="3" t="inlineStr">
        <is>
          <t>▸ La Seguridad Social empresa (~30%) se calcula automáticamente.</t>
        </is>
      </c>
    </row>
    <row r="7">
      <c r="B7" s="3" t="inlineStr">
        <is>
          <t>▸ La hoja 'Ratio Coste Laboral' compara tu coste total con las ventas.</t>
        </is>
      </c>
    </row>
    <row r="8">
      <c r="B8" s="3" t="inlineStr">
        <is>
          <t>▸ La hoja 'Previsión por Servicio' te ayuda a planificar personal por turno.</t>
        </is>
      </c>
    </row>
    <row r="9"/>
    <row r="10">
      <c r="B10" s="2" t="inlineStr">
        <is>
          <t>Ratios de referencia por tipo de negocio:</t>
        </is>
      </c>
    </row>
    <row r="11">
      <c r="B11" s="3" t="inlineStr">
        <is>
          <t>▸ Fast casual / comida rápida: 25-28%</t>
        </is>
      </c>
    </row>
    <row r="12">
      <c r="B12" s="3" t="inlineStr">
        <is>
          <t>▸ Restaurante casual: 28-33%</t>
        </is>
      </c>
    </row>
    <row r="13">
      <c r="B13" s="3" t="inlineStr">
        <is>
          <t>▸ Fine dining / alta cocina: 35-40%</t>
        </is>
      </c>
    </row>
    <row r="14">
      <c r="B14" s="3" t="inlineStr">
        <is>
          <t>▸ Catering / eventos: 30-35%</t>
        </is>
      </c>
    </row>
    <row r="15"/>
    <row r="16">
      <c r="B16" s="2" t="inlineStr">
        <is>
          <t>Semáforo automático:</t>
        </is>
      </c>
    </row>
    <row r="17">
      <c r="B17" s="3" t="inlineStr">
        <is>
          <t>▸ 🟢 Verde: ratio &lt; 30% (excelente control)</t>
        </is>
      </c>
    </row>
    <row r="18">
      <c r="B18" s="3" t="inlineStr">
        <is>
          <t>▸ 🟡 Amarillo: 30-35% (vigilar)</t>
        </is>
      </c>
    </row>
    <row r="19">
      <c r="B19" s="3" t="inlineStr">
        <is>
          <t>▸ 🔴 Rojo: &gt; 35% (acción correctiva necesaria)</t>
        </is>
      </c>
    </row>
    <row r="20"/>
    <row r="21">
      <c r="B21" s="3" t="inlineStr">
        <is>
          <t>Versión 1.1 · agosto 2026 · aichef.pro/kit-gestion-personal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F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6" customWidth="1" min="4" max="4"/>
    <col width="18" customWidth="1" min="5" max="5"/>
    <col width="16" customWidth="1" min="6" max="6"/>
  </cols>
  <sheetData>
    <row r="1">
      <c r="A1" s="4" t="inlineStr">
        <is>
          <t>Nóminas — Mes: _______________</t>
        </is>
      </c>
    </row>
    <row r="2">
      <c r="A2" s="5" t="inlineStr">
        <is>
          <t>AI Chef Pro · aichef.pro — Kit Gestión de Personal y Turnos</t>
        </is>
      </c>
    </row>
    <row r="3"/>
    <row r="4">
      <c r="A4" s="6" t="inlineStr">
        <is>
          <t>Empleado</t>
        </is>
      </c>
      <c r="B4" s="6" t="inlineStr">
        <is>
          <t>Puesto</t>
        </is>
      </c>
      <c r="C4" s="6" t="inlineStr">
        <is>
          <t>Salario Bruto Mes</t>
        </is>
      </c>
      <c r="D4" s="6" t="inlineStr">
        <is>
          <t>SS Empresa (30%)</t>
        </is>
      </c>
      <c r="E4" s="6" t="inlineStr">
        <is>
          <t>Coste Total</t>
        </is>
      </c>
      <c r="F4" s="6" t="inlineStr">
        <is>
          <t>Horas Contratadas</t>
        </is>
      </c>
    </row>
    <row r="5">
      <c r="A5" s="7" t="n"/>
      <c r="B5" s="7" t="n"/>
      <c r="C5" s="8" t="n"/>
      <c r="D5" s="9">
        <f>IF(C5&lt;&gt;"",C5*0.30,"")</f>
        <v/>
      </c>
      <c r="E5" s="9">
        <f>IF(C5&lt;&gt;"",C5+D5,"")</f>
        <v/>
      </c>
      <c r="F5" s="7" t="n"/>
    </row>
    <row r="6">
      <c r="A6" s="7" t="n"/>
      <c r="B6" s="7" t="n"/>
      <c r="C6" s="8" t="n"/>
      <c r="D6" s="9">
        <f>IF(C6&lt;&gt;"",C6*0.30,"")</f>
        <v/>
      </c>
      <c r="E6" s="9">
        <f>IF(C6&lt;&gt;"",C6+D6,"")</f>
        <v/>
      </c>
      <c r="F6" s="7" t="n"/>
    </row>
    <row r="7">
      <c r="A7" s="7" t="n"/>
      <c r="B7" s="7" t="n"/>
      <c r="C7" s="8" t="n"/>
      <c r="D7" s="9">
        <f>IF(C7&lt;&gt;"",C7*0.30,"")</f>
        <v/>
      </c>
      <c r="E7" s="9">
        <f>IF(C7&lt;&gt;"",C7+D7,"")</f>
        <v/>
      </c>
      <c r="F7" s="7" t="n"/>
    </row>
    <row r="8">
      <c r="A8" s="7" t="n"/>
      <c r="B8" s="7" t="n"/>
      <c r="C8" s="8" t="n"/>
      <c r="D8" s="9">
        <f>IF(C8&lt;&gt;"",C8*0.30,"")</f>
        <v/>
      </c>
      <c r="E8" s="9">
        <f>IF(C8&lt;&gt;"",C8+D8,"")</f>
        <v/>
      </c>
      <c r="F8" s="7" t="n"/>
    </row>
    <row r="9">
      <c r="A9" s="7" t="n"/>
      <c r="B9" s="7" t="n"/>
      <c r="C9" s="8" t="n"/>
      <c r="D9" s="9">
        <f>IF(C9&lt;&gt;"",C9*0.30,"")</f>
        <v/>
      </c>
      <c r="E9" s="9">
        <f>IF(C9&lt;&gt;"",C9+D9,"")</f>
        <v/>
      </c>
      <c r="F9" s="7" t="n"/>
    </row>
    <row r="10">
      <c r="A10" s="7" t="n"/>
      <c r="B10" s="7" t="n"/>
      <c r="C10" s="8" t="n"/>
      <c r="D10" s="9">
        <f>IF(C10&lt;&gt;"",C10*0.30,"")</f>
        <v/>
      </c>
      <c r="E10" s="9">
        <f>IF(C10&lt;&gt;"",C10+D10,"")</f>
        <v/>
      </c>
      <c r="F10" s="7" t="n"/>
    </row>
    <row r="11">
      <c r="A11" s="7" t="n"/>
      <c r="B11" s="7" t="n"/>
      <c r="C11" s="8" t="n"/>
      <c r="D11" s="9">
        <f>IF(C11&lt;&gt;"",C11*0.30,"")</f>
        <v/>
      </c>
      <c r="E11" s="9">
        <f>IF(C11&lt;&gt;"",C11+D11,"")</f>
        <v/>
      </c>
      <c r="F11" s="7" t="n"/>
    </row>
    <row r="12">
      <c r="A12" s="7" t="n"/>
      <c r="B12" s="7" t="n"/>
      <c r="C12" s="8" t="n"/>
      <c r="D12" s="9">
        <f>IF(C12&lt;&gt;"",C12*0.30,"")</f>
        <v/>
      </c>
      <c r="E12" s="9">
        <f>IF(C12&lt;&gt;"",C12+D12,"")</f>
        <v/>
      </c>
      <c r="F12" s="7" t="n"/>
    </row>
    <row r="13">
      <c r="A13" s="7" t="n"/>
      <c r="B13" s="7" t="n"/>
      <c r="C13" s="8" t="n"/>
      <c r="D13" s="9">
        <f>IF(C13&lt;&gt;"",C13*0.30,"")</f>
        <v/>
      </c>
      <c r="E13" s="9">
        <f>IF(C13&lt;&gt;"",C13+D13,"")</f>
        <v/>
      </c>
      <c r="F13" s="7" t="n"/>
    </row>
    <row r="14">
      <c r="A14" s="7" t="n"/>
      <c r="B14" s="7" t="n"/>
      <c r="C14" s="8" t="n"/>
      <c r="D14" s="9">
        <f>IF(C14&lt;&gt;"",C14*0.30,"")</f>
        <v/>
      </c>
      <c r="E14" s="9">
        <f>IF(C14&lt;&gt;"",C14+D14,"")</f>
        <v/>
      </c>
      <c r="F14" s="7" t="n"/>
    </row>
    <row r="15">
      <c r="A15" s="7" t="n"/>
      <c r="B15" s="7" t="n"/>
      <c r="C15" s="8" t="n"/>
      <c r="D15" s="9">
        <f>IF(C15&lt;&gt;"",C15*0.30,"")</f>
        <v/>
      </c>
      <c r="E15" s="9">
        <f>IF(C15&lt;&gt;"",C15+D15,"")</f>
        <v/>
      </c>
      <c r="F15" s="7" t="n"/>
    </row>
    <row r="16">
      <c r="A16" s="7" t="n"/>
      <c r="B16" s="7" t="n"/>
      <c r="C16" s="8" t="n"/>
      <c r="D16" s="9">
        <f>IF(C16&lt;&gt;"",C16*0.30,"")</f>
        <v/>
      </c>
      <c r="E16" s="9">
        <f>IF(C16&lt;&gt;"",C16+D16,"")</f>
        <v/>
      </c>
      <c r="F16" s="7" t="n"/>
    </row>
    <row r="17">
      <c r="A17" s="7" t="n"/>
      <c r="B17" s="7" t="n"/>
      <c r="C17" s="8" t="n"/>
      <c r="D17" s="9">
        <f>IF(C17&lt;&gt;"",C17*0.30,"")</f>
        <v/>
      </c>
      <c r="E17" s="9">
        <f>IF(C17&lt;&gt;"",C17+D17,"")</f>
        <v/>
      </c>
      <c r="F17" s="7" t="n"/>
    </row>
    <row r="18">
      <c r="A18" s="7" t="n"/>
      <c r="B18" s="7" t="n"/>
      <c r="C18" s="8" t="n"/>
      <c r="D18" s="9">
        <f>IF(C18&lt;&gt;"",C18*0.30,"")</f>
        <v/>
      </c>
      <c r="E18" s="9">
        <f>IF(C18&lt;&gt;"",C18+D18,"")</f>
        <v/>
      </c>
      <c r="F18" s="7" t="n"/>
    </row>
    <row r="19">
      <c r="A19" s="7" t="n"/>
      <c r="B19" s="7" t="n"/>
      <c r="C19" s="8" t="n"/>
      <c r="D19" s="9">
        <f>IF(C19&lt;&gt;"",C19*0.30,"")</f>
        <v/>
      </c>
      <c r="E19" s="9">
        <f>IF(C19&lt;&gt;"",C19+D19,"")</f>
        <v/>
      </c>
      <c r="F19" s="7" t="n"/>
    </row>
    <row r="20">
      <c r="A20" s="7" t="n"/>
      <c r="B20" s="7" t="n"/>
      <c r="C20" s="8" t="n"/>
      <c r="D20" s="9">
        <f>IF(C20&lt;&gt;"",C20*0.30,"")</f>
        <v/>
      </c>
      <c r="E20" s="9">
        <f>IF(C20&lt;&gt;"",C20+D20,"")</f>
        <v/>
      </c>
      <c r="F20" s="7" t="n"/>
    </row>
    <row r="21">
      <c r="A21" s="7" t="n"/>
      <c r="B21" s="7" t="n"/>
      <c r="C21" s="8" t="n"/>
      <c r="D21" s="9">
        <f>IF(C21&lt;&gt;"",C21*0.30,"")</f>
        <v/>
      </c>
      <c r="E21" s="9">
        <f>IF(C21&lt;&gt;"",C21+D21,"")</f>
        <v/>
      </c>
      <c r="F21" s="7" t="n"/>
    </row>
    <row r="22">
      <c r="A22" s="7" t="n"/>
      <c r="B22" s="7" t="n"/>
      <c r="C22" s="8" t="n"/>
      <c r="D22" s="9">
        <f>IF(C22&lt;&gt;"",C22*0.30,"")</f>
        <v/>
      </c>
      <c r="E22" s="9">
        <f>IF(C22&lt;&gt;"",C22+D22,"")</f>
        <v/>
      </c>
      <c r="F22" s="7" t="n"/>
    </row>
    <row r="23">
      <c r="A23" s="7" t="n"/>
      <c r="B23" s="7" t="n"/>
      <c r="C23" s="8" t="n"/>
      <c r="D23" s="9">
        <f>IF(C23&lt;&gt;"",C23*0.30,"")</f>
        <v/>
      </c>
      <c r="E23" s="9">
        <f>IF(C23&lt;&gt;"",C23+D23,"")</f>
        <v/>
      </c>
      <c r="F23" s="7" t="n"/>
    </row>
    <row r="24">
      <c r="A24" s="7" t="n"/>
      <c r="B24" s="7" t="n"/>
      <c r="C24" s="8" t="n"/>
      <c r="D24" s="9">
        <f>IF(C24&lt;&gt;"",C24*0.30,"")</f>
        <v/>
      </c>
      <c r="E24" s="9">
        <f>IF(C24&lt;&gt;"",C24+D24,"")</f>
        <v/>
      </c>
      <c r="F24" s="7" t="n"/>
    </row>
    <row r="25">
      <c r="A25" s="10" t="inlineStr">
        <is>
          <t>TOTALES</t>
        </is>
      </c>
      <c r="C25" s="9">
        <f>SUM(C5:C24)</f>
        <v>0.0</v>
      </c>
      <c r="D25" s="9">
        <f>SUM(D5:D24)</f>
        <v>0.0</v>
      </c>
      <c r="E25" s="9">
        <f>SUM(E5:E24)</f>
        <v>0.0</v>
      </c>
    </row>
    <row r="26"/>
    <row r="27">
      <c r="A27" s="11" t="inlineStr">
        <is>
          <t>© 2026 AI Chef Pro · aichef.pro</t>
        </is>
      </c>
    </row>
  </sheetData>
  <mergeCells count="3">
    <mergeCell ref="A1:F1"/>
    <mergeCell ref="A2:F2"/>
    <mergeCell ref="A27:F27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B5E20"/>
    <outlinePr summaryBelow="1" summaryRight="1"/>
    <pageSetUpPr fitToPage="1"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</cols>
  <sheetData>
    <row r="1">
      <c r="A1" s="4" t="inlineStr">
        <is>
          <t>Ratio Coste Laboral vs Ventas</t>
        </is>
      </c>
    </row>
    <row r="2">
      <c r="A2" s="5" t="inlineStr">
        <is>
          <t>AI Chef Pro · aichef.pro — Kit Gestión de Personal y Turnos</t>
        </is>
      </c>
    </row>
    <row r="3"/>
    <row r="4">
      <c r="A4" s="10" t="inlineStr">
        <is>
          <t>Ventas Netas del Mes (€):</t>
        </is>
      </c>
      <c r="B4" s="12" t="n"/>
    </row>
    <row r="5">
      <c r="A5" s="10" t="inlineStr">
        <is>
          <t>Coste Laboral Total (€):</t>
        </is>
      </c>
      <c r="B5" s="13">
        <f>Nóminas!E25</f>
        <v>0.0</v>
      </c>
    </row>
    <row r="6">
      <c r="A6" s="10" t="inlineStr"/>
      <c r="B6" s="13" t="inlineStr"/>
    </row>
    <row r="7">
      <c r="A7" s="10" t="inlineStr">
        <is>
          <t>RATIO COSTE LABORAL (%):</t>
        </is>
      </c>
      <c r="B7" s="13">
        <f>IF(B4&gt;0,B5/B4*100,0)</f>
        <v>0.0</v>
      </c>
    </row>
    <row r="8">
      <c r="A8" s="10" t="inlineStr"/>
      <c r="B8" s="13" t="inlineStr"/>
    </row>
    <row r="9">
      <c r="A9" s="10" t="inlineStr">
        <is>
          <t>Semáforo:</t>
        </is>
      </c>
      <c r="B9" s="13" t="str">
        <f>IF(B7&lt;30,"🟢 EXCELENTE (&lt;30%)",IF(B7&lt;=35,"🟡 VIGILAR (30-35%)","🔴 ACCIÓN CORRECTIVA (&gt;35%)"))</f>
        <v>🟢 EXCELENTE (&lt;30%)</v>
      </c>
    </row>
    <row r="10"/>
    <row r="11"/>
    <row r="12">
      <c r="A12" s="14" t="inlineStr">
        <is>
          <t>Ratios de Referencia por Tipo</t>
        </is>
      </c>
    </row>
    <row r="13">
      <c r="A13" s="6" t="inlineStr">
        <is>
          <t>Tipo de Negocio</t>
        </is>
      </c>
      <c r="B13" s="6" t="inlineStr">
        <is>
          <t>Ratio Objetivo</t>
        </is>
      </c>
      <c r="C13" s="6" t="inlineStr">
        <is>
          <t>Rango Aceptable</t>
        </is>
      </c>
    </row>
    <row r="14">
      <c r="A14" s="15" t="inlineStr">
        <is>
          <t>Fast Casual / Comida Rápida</t>
        </is>
      </c>
      <c r="B14" s="16" t="inlineStr">
        <is>
          <t>25-28%</t>
        </is>
      </c>
      <c r="C14" s="16" t="inlineStr">
        <is>
          <t>22-30%</t>
        </is>
      </c>
    </row>
    <row r="15">
      <c r="A15" s="15" t="inlineStr">
        <is>
          <t>Restaurante Casual</t>
        </is>
      </c>
      <c r="B15" s="16" t="inlineStr">
        <is>
          <t>28-33%</t>
        </is>
      </c>
      <c r="C15" s="16" t="inlineStr">
        <is>
          <t>25-35%</t>
        </is>
      </c>
    </row>
    <row r="16">
      <c r="A16" s="15" t="inlineStr">
        <is>
          <t>Fine Dining / Alta Cocina</t>
        </is>
      </c>
      <c r="B16" s="16" t="inlineStr">
        <is>
          <t>35-40%</t>
        </is>
      </c>
      <c r="C16" s="16" t="inlineStr">
        <is>
          <t>33-42%</t>
        </is>
      </c>
    </row>
    <row r="17">
      <c r="A17" s="15" t="inlineStr">
        <is>
          <t>Catering / Eventos</t>
        </is>
      </c>
      <c r="B17" s="16" t="inlineStr">
        <is>
          <t>30-35%</t>
        </is>
      </c>
      <c r="C17" s="16" t="inlineStr">
        <is>
          <t>28-38%</t>
        </is>
      </c>
    </row>
    <row r="18">
      <c r="A18" s="15" t="inlineStr">
        <is>
          <t>Cafetería / Brunch</t>
        </is>
      </c>
      <c r="B18" s="16" t="inlineStr">
        <is>
          <t>28-32%</t>
        </is>
      </c>
      <c r="C18" s="16" t="inlineStr">
        <is>
          <t>25-35%</t>
        </is>
      </c>
    </row>
    <row r="19">
      <c r="A19" s="15" t="inlineStr">
        <is>
          <t>Bar / Cocktails</t>
        </is>
      </c>
      <c r="B19" s="16" t="inlineStr">
        <is>
          <t>25-30%</t>
        </is>
      </c>
      <c r="C19" s="16" t="inlineStr">
        <is>
          <t>22-33%</t>
        </is>
      </c>
    </row>
    <row r="20"/>
    <row r="21"/>
    <row r="22">
      <c r="A22" s="11" t="inlineStr">
        <is>
          <t>© 2026 AI Chef Pro · aichef.pro</t>
        </is>
      </c>
    </row>
  </sheetData>
  <mergeCells count="3">
    <mergeCell ref="A2:C2"/>
    <mergeCell ref="A22:C22"/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CAF50"/>
    <outlinePr summaryBelow="1" summaryRight="1"/>
    <pageSetUpPr fitToPage="1"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4" t="inlineStr">
        <is>
          <t>Previsión de Personal por Servicio</t>
        </is>
      </c>
    </row>
    <row r="2">
      <c r="A2" s="5" t="inlineStr">
        <is>
          <t>AI Chef Pro · aichef.pro — Kit Gestión de Personal y Turnos</t>
        </is>
      </c>
    </row>
    <row r="3"/>
    <row r="4">
      <c r="A4" s="10" t="inlineStr">
        <is>
          <t>Covers previstos / día:</t>
        </is>
      </c>
      <c r="B4" s="7" t="n">
        <v>80</v>
      </c>
    </row>
    <row r="5">
      <c r="A5" s="10" t="inlineStr">
        <is>
          <t>Ratio covers/cocinero:</t>
        </is>
      </c>
      <c r="B5" s="7" t="n">
        <v>20</v>
      </c>
    </row>
    <row r="6">
      <c r="A6" s="10" t="inlineStr">
        <is>
          <t>Ratio covers/camarero:</t>
        </is>
      </c>
      <c r="B6" s="7" t="n">
        <v>12</v>
      </c>
    </row>
    <row r="7">
      <c r="A7" s="10" t="inlineStr">
        <is>
          <t>Ratio covers/barman:</t>
        </is>
      </c>
      <c r="B7" s="7" t="n">
        <v>25</v>
      </c>
    </row>
    <row r="8"/>
    <row r="9">
      <c r="A9" s="14" t="inlineStr">
        <is>
          <t>PERSONAL NECESARIO POR TURNO</t>
        </is>
      </c>
    </row>
    <row r="10">
      <c r="A10" s="10" t="inlineStr">
        <is>
          <t>Cocineros necesarios:</t>
        </is>
      </c>
      <c r="B10" s="17">
        <f>CEILING(B4/B5,1)</f>
        <v>4.0</v>
      </c>
    </row>
    <row r="11">
      <c r="A11" s="10" t="inlineStr">
        <is>
          <t>Camareros necesarios:</t>
        </is>
      </c>
      <c r="B11" s="17">
        <f>CEILING(B4/B6,1)</f>
        <v>7.0</v>
      </c>
    </row>
    <row r="12">
      <c r="A12" s="10" t="inlineStr">
        <is>
          <t>Barmans necesarios:</t>
        </is>
      </c>
      <c r="B12" s="17">
        <f>CEILING(B4/B7,1)</f>
        <v>4.0</v>
      </c>
    </row>
    <row r="13">
      <c r="A13" s="10" t="inlineStr">
        <is>
          <t>TOTAL personal/turno:</t>
        </is>
      </c>
      <c r="B13" s="17">
        <f>B10+B11+B12</f>
        <v>15.0</v>
      </c>
    </row>
    <row r="14"/>
    <row r="15">
      <c r="A15" s="18" t="inlineStr">
        <is>
          <t>Salario medio mensual (€):</t>
        </is>
      </c>
      <c r="B15" s="7" t="n">
        <v>1800</v>
      </c>
    </row>
    <row r="16">
      <c r="A16" s="18" t="inlineStr">
        <is>
          <t>Coste laboral estimado/mes (€):</t>
        </is>
      </c>
      <c r="B16" s="9">
        <f>B13*B15*1.30</f>
        <v>35100.0</v>
      </c>
    </row>
    <row r="17"/>
    <row r="18"/>
    <row r="19">
      <c r="A19" s="11" t="inlineStr">
        <is>
          <t>© 2026 AI Chef Pro · aichef.pro</t>
        </is>
      </c>
    </row>
  </sheetData>
  <mergeCells count="3">
    <mergeCell ref="A1:D1"/>
    <mergeCell ref="A19:D19"/>
    <mergeCell ref="A2:D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03 · Coste Laboral Mensual · Kit Gestion de Personal y Turnos</dc:title>
  <dc:description xmlns:dc="http://purl.org/dc/elements/1.1/">aichef.pro/kit-gestion-personal</dc:description>
  <dc:subject xmlns:dc="http://purl.org/dc/elements/1.1/">Kit Gestion de Personal y Turnos · v1.1</dc:subject>
  <dcterms:created xmlns:dcterms="http://purl.org/dc/terms/" xmlns:xsi="http://www.w3.org/2001/XMLSchema-instance" xsi:type="dcterms:W3CDTF">2026-03-23T19:17:39Z</dcterms:created>
  <dcterms:modified xmlns:dcterms="http://purl.org/dc/terms/" xmlns:xsi="http://www.w3.org/2001/XMLSchema-instance" xsi:type="dcterms:W3CDTF">2026-08-22T09:21:13Z</dcterms:modified>
  <cp:lastModifiedBy>AI Chef Pro</cp:lastModifiedBy>
  <cp:category>AI Chef Pro · Productos digitales</cp:category>
  <cp:keywords>kit gestion personal, AI Chef Pro</cp:keywords>
</cp:coreProperties>
</file>