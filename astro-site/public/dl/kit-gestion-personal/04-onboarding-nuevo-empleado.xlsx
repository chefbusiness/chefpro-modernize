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hecklist Onboarding" sheetId="2" state="visible" r:id="rId2"/>
  </sheets>
  <definedNames>
    <definedName name="_xlnm.Print_Area" localSheetId="0">'Instrucciones'!$A$1:$B$36</definedName>
    <definedName name="_xlnm.Print_Titles" localSheetId="1">'Checklist Onboarding'!$6:$6,'Checklist Onboarding'!$A:$B</definedName>
    <definedName name="_xlnm.Print_Area" localSheetId="1">'Checklist Onboarding'!$A$1:$H$76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&quot;%&quot;"/>
    <numFmt numFmtId="166" formatCode="dd/mm/yyyy"/>
    <numFmt numFmtId="167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b val="1"/>
      <color rgb="001565C0"/>
      <sz val="11"/>
    </font>
    <font>
      <name val="Calibri"/>
      <color rgb="00999999"/>
      <sz val="9"/>
    </font>
    <font>
      <b val="1"/>
    </font>
    <font>
      <b val="1"/>
      <sz val="11"/>
    </font>
    <font>
      <b val="1"/>
      <sz val="13"/>
    </font>
  </fonts>
  <fills count="1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FFEBEE"/>
        <bgColor rgb="00FFEBEE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C8E6C9"/>
      </patternFill>
    </fill>
    <fill>
      <patternFill patternType="solid">
        <fgColor rgb="00F3E5F5"/>
      </patternFill>
    </fill>
    <fill>
      <patternFill patternType="solid">
        <fgColor rgb="00FFEBE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1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164" fontId="0" fillId="2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9" fillId="0" borderId="1" pivotButton="0" quotePrefix="0" xfId="0"/>
    <xf numFmtId="165" fontId="11" fillId="0" borderId="1" pivotButton="0" quotePrefix="0" xfId="0"/>
    <xf numFmtId="0" fontId="12" fillId="0" borderId="0" pivotButton="0" quotePrefix="0" xfId="0"/>
    <xf numFmtId="0" fontId="1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1" applyProtection="1" pivotButton="0" quotePrefix="0" xfId="0">
      <protection locked="0" hidden="0"/>
    </xf>
    <xf numFmtId="0" fontId="7" fillId="8" borderId="0" pivotButton="0" quotePrefix="0" xfId="0"/>
    <xf numFmtId="0" fontId="0" fillId="8" borderId="0" pivotButton="0" quotePrefix="0" xfId="0"/>
    <xf numFmtId="0" fontId="0" fillId="2" borderId="1" applyAlignment="1" applyProtection="1" pivotButton="0" quotePrefix="0" xfId="0">
      <alignment horizontal="center"/>
      <protection locked="0" hidden="0"/>
    </xf>
    <xf numFmtId="0" fontId="10" fillId="13" borderId="1" applyAlignment="1" applyProtection="1" pivotButton="0" quotePrefix="0" xfId="0">
      <alignment horizontal="center" vertical="center" wrapText="1"/>
      <protection locked="0" hidden="0"/>
    </xf>
    <xf numFmtId="0" fontId="0" fillId="13" borderId="1" applyAlignment="1" applyProtection="1" pivotButton="0" quotePrefix="0" xfId="0">
      <alignment horizontal="left" vertical="center" wrapText="1"/>
      <protection locked="0" hidden="0"/>
    </xf>
    <xf numFmtId="166" fontId="0" fillId="0" borderId="0" pivotButton="0" quotePrefix="0" xfId="0"/>
    <xf numFmtId="0" fontId="0" fillId="13" borderId="0" applyProtection="1" pivotButton="0" quotePrefix="0" xfId="0">
      <protection locked="0" hidden="0"/>
    </xf>
    <xf numFmtId="0" fontId="0" fillId="13" borderId="0" applyAlignment="1" applyProtection="1" pivotButton="0" quotePrefix="0" xfId="0">
      <alignment horizontal="center"/>
      <protection locked="0" hidden="0"/>
    </xf>
    <xf numFmtId="0" fontId="7" fillId="9" borderId="0" pivotButton="0" quotePrefix="0" xfId="0"/>
    <xf numFmtId="0" fontId="0" fillId="9" borderId="0" pivotButton="0" quotePrefix="0" xfId="0"/>
    <xf numFmtId="0" fontId="7" fillId="10" borderId="0" pivotButton="0" quotePrefix="0" xfId="0"/>
    <xf numFmtId="0" fontId="0" fillId="10" borderId="0" pivotButton="0" quotePrefix="0" xfId="0"/>
    <xf numFmtId="0" fontId="9" fillId="10" borderId="1" applyAlignment="1" pivotButton="0" quotePrefix="0" xfId="0">
      <alignment horizontal="center" vertical="center" wrapText="1"/>
    </xf>
    <xf numFmtId="0" fontId="7" fillId="11" borderId="0" pivotButton="0" quotePrefix="0" xfId="0"/>
    <xf numFmtId="0" fontId="0" fillId="11" borderId="0" pivotButton="0" quotePrefix="0" xfId="0"/>
    <xf numFmtId="0" fontId="7" fillId="12" borderId="0" pivotButton="0" quotePrefix="0" xfId="0"/>
    <xf numFmtId="0" fontId="0" fillId="12" borderId="0" pivotButton="0" quotePrefix="0" xfId="0"/>
    <xf numFmtId="0" fontId="14" fillId="0" borderId="0" pivotButton="0" quotePrefix="0" xfId="0"/>
    <xf numFmtId="0" fontId="13" fillId="0" borderId="0" pivotButton="0" quotePrefix="0" xfId="0"/>
    <xf numFmtId="1" fontId="11" fillId="0" borderId="1" pivotButton="0" quotePrefix="0" xfId="0"/>
    <xf numFmtId="1" fontId="0" fillId="0" borderId="0" pivotButton="0" quotePrefix="0" xfId="0"/>
    <xf numFmtId="1" fontId="9" fillId="0" borderId="1" pivotButton="0" quotePrefix="0" xfId="0"/>
    <xf numFmtId="167" fontId="11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36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24" t="inlineStr">
        <is>
          <t>04 · Onboarding Nuevo Empleado</t>
        </is>
      </c>
    </row>
    <row r="3"/>
    <row r="4">
      <c r="B4" s="25" t="inlineStr">
        <is>
          <t>Cómo usar esta plantilla:</t>
        </is>
      </c>
    </row>
    <row r="5">
      <c r="B5" s="26" t="inlineStr">
        <is>
          <t>▸ Duplica el fichero para cada incorporación y escribe arriba el nombre, el puesto y la fecha de alta.</t>
        </is>
      </c>
    </row>
    <row r="6">
      <c r="B6" s="26" t="inlineStr">
        <is>
          <t>▸ Marca cada tarea en la columna «Hecho»: ✓ hecha · ✗ pendiente · — no aplica a este puesto.</t>
        </is>
      </c>
    </row>
    <row r="7">
      <c r="B7" s="26" t="inlineStr">
        <is>
          <t>▸ La «—» es importante: saca la tarea del denominador. Un cocinero de partida que no necesita el acceso al TPV puede llegar al 100 % igual que un jefe de sala.</t>
        </is>
      </c>
    </row>
    <row r="8">
      <c r="B8" s="26" t="inlineStr">
        <is>
          <t>▸ Son DOS columnas: «Plazo» dice cuándo vence la tarea contando días desde el alta (Día -1 es ANTES de que empiece a trabajar) y «Fecha límite» te da el día real, calculado a partir de la fecha de alta que escribas arriba. Escribe esa fecha y la columna entera se rellena sola; así puedes ordenar el checklist por vencimiento.</t>
        </is>
      </c>
    </row>
    <row r="9">
      <c r="B9" s="27" t="inlineStr">
        <is>
          <t>▸ El resumen del final cuenta tramo a tramo, así que las cabeceras de sección ya no se cuelan como tareas hechas: un checklist en blanco marca 0 %.</t>
        </is>
      </c>
    </row>
    <row r="10">
      <c r="B10" s="2" t="n"/>
    </row>
    <row r="11">
      <c r="B11" s="26" t="inlineStr">
        <is>
          <t>Categorías (cada sección lleva su color):</t>
        </is>
      </c>
    </row>
    <row r="12">
      <c r="B12" s="26" t="inlineStr">
        <is>
          <t>▸ Azul = Documentación legal y administrativa</t>
        </is>
      </c>
    </row>
    <row r="13">
      <c r="B13" s="26" t="inlineStr">
        <is>
          <t>▸ Naranja = Formación obligatoria</t>
        </is>
      </c>
    </row>
    <row r="14">
      <c r="B14" s="26" t="inlineStr">
        <is>
          <t>▸ Verde = Equipamiento y accesos</t>
        </is>
      </c>
    </row>
    <row r="15">
      <c r="B15" s="26" t="inlineStr">
        <is>
          <t>▸ Morado = Formación operativa</t>
        </is>
      </c>
    </row>
    <row r="16">
      <c r="B16" s="27" t="inlineStr">
        <is>
          <t>▸ Rojo = Periodo de prueba y evaluación</t>
        </is>
      </c>
    </row>
    <row r="17">
      <c r="B17" s="3" t="n"/>
    </row>
    <row r="18">
      <c r="B18" s="27" t="inlineStr">
        <is>
          <t>Plazos que no dependen de ti:</t>
        </is>
      </c>
    </row>
    <row r="19">
      <c r="B19" s="27" t="inlineStr">
        <is>
          <t>▸ El alta en la Seguridad Social tiene que estar presentada ANTES del inicio de la jornada (art. 32.3 del RD 84/1996). No es papeleo del primer día: es requisito para que ese primer día sea legal.</t>
        </is>
      </c>
    </row>
    <row r="20">
      <c r="B20" s="27" t="inlineStr">
        <is>
          <t>▸ El contrato se comunica a Contrat@ (SEPE) dentro de los 10 días hábiles siguientes a su formalización, y la copia básica va a la representación legal de los trabajadores en 10 días.</t>
        </is>
      </c>
    </row>
    <row r="21">
      <c r="B21" s="27" t="inlineStr">
        <is>
          <t>▸ El modelo 145 lo firma la persona para que puedas calcular bien su retención de IRPF; sin él, la retención se aplica sin cargas familiares.</t>
        </is>
      </c>
    </row>
    <row r="22"/>
    <row r="23">
      <c r="B23" s="27" t="inlineStr">
        <is>
          <t>Aviso: los plazos son los del Estatuto de los Trabajadores y su normativa de desarrollo a agosto de 2026. Tu convenio puede exigir más trámites, nunca menos.</t>
        </is>
      </c>
    </row>
    <row r="24"/>
    <row r="25"/>
    <row r="26"/>
    <row r="27"/>
    <row r="28"/>
    <row r="29"/>
    <row r="30"/>
    <row r="31"/>
    <row r="32"/>
    <row r="33"/>
    <row r="34">
      <c r="B34" s="27" t="inlineStr">
        <is>
          <t>Para editar una celda bloqueada: Revisar → Desproteger hoja (no tiene contraseña). Las celdas verdes ya son editables sin desproteger nada.</t>
        </is>
      </c>
    </row>
    <row r="35">
      <c r="B35" s="27" t="inlineStr">
        <is>
          <t>Diseñado por John Guerrero — chef y consultor gastronómico desde 2010, en cocina desde los 17 años · johnguerrero.es</t>
        </is>
      </c>
    </row>
    <row r="36">
      <c r="B36" s="27" t="inlineStr">
        <is>
          <t>Versión 2.0 · agosto 2026 · aichef.pro/kit-gestion-personal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6F00"/>
    <outlinePr summaryBelow="1" summaryRight="1"/>
    <pageSetUpPr fitToPage="1"/>
  </sheetPr>
  <dimension ref="A1:H7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2" customWidth="1" min="3" max="3"/>
    <col width="18" customWidth="1" min="4" max="4"/>
    <col width="12" customWidth="1" min="5" max="5"/>
    <col width="10" customWidth="1" min="6" max="6"/>
    <col width="24" customWidth="1" min="7" max="7"/>
    <col width="14" customWidth="1" min="8" max="8"/>
  </cols>
  <sheetData>
    <row r="1">
      <c r="A1" s="4" t="inlineStr">
        <is>
          <t>Checklist Onboarding — Empleado: _______________</t>
        </is>
      </c>
    </row>
    <row r="2">
      <c r="A2" s="5" t="inlineStr">
        <is>
          <t>AI Chef Pro · aichef.pro — Kit Gestión de Personal y Turnos</t>
        </is>
      </c>
    </row>
    <row r="3">
      <c r="A3" s="6" t="inlineStr">
        <is>
          <t>Puesto:</t>
        </is>
      </c>
      <c r="B3" s="28" t="n"/>
      <c r="D3" s="6" t="inlineStr">
        <is>
          <t>Fecha alta:</t>
        </is>
      </c>
      <c r="E3" s="28" t="n"/>
    </row>
    <row r="4"/>
    <row r="5">
      <c r="A5" s="29" t="inlineStr">
        <is>
          <t>📋 DOCUMENTACIÓN LEGAL Y ADMINISTRATIVA</t>
        </is>
      </c>
      <c r="B5" s="30" t="n"/>
      <c r="C5" s="30" t="n"/>
      <c r="D5" s="30" t="n"/>
      <c r="E5" s="30" t="n"/>
      <c r="F5" s="30" t="n"/>
      <c r="G5" s="30" t="n"/>
      <c r="H5" s="30" t="n"/>
    </row>
    <row r="6">
      <c r="A6" s="9" t="inlineStr">
        <is>
          <t>#</t>
        </is>
      </c>
      <c r="B6" s="9" t="inlineStr">
        <is>
          <t>Tarea</t>
        </is>
      </c>
      <c r="C6" s="9" t="inlineStr">
        <is>
          <t>Categoría</t>
        </is>
      </c>
      <c r="D6" s="9" t="inlineStr">
        <is>
          <t>Responsable</t>
        </is>
      </c>
      <c r="E6" s="9" t="inlineStr">
        <is>
          <t>Plazo</t>
        </is>
      </c>
      <c r="F6" s="9" t="inlineStr">
        <is>
          <t>Hecho</t>
        </is>
      </c>
      <c r="G6" s="9" t="inlineStr">
        <is>
          <t>Notas</t>
        </is>
      </c>
      <c r="H6" t="inlineStr">
        <is>
          <t>Fecha límite</t>
        </is>
      </c>
    </row>
    <row r="7">
      <c r="A7" s="10" t="n">
        <v>1</v>
      </c>
      <c r="B7" s="11" t="inlineStr">
        <is>
          <t>Firma de contrato de trabajo</t>
        </is>
      </c>
      <c r="C7" s="12" t="inlineStr">
        <is>
          <t>DOCUMENTACIÓN LEGAL</t>
        </is>
      </c>
      <c r="D7" s="28" t="n"/>
      <c r="E7" s="31" t="inlineStr">
        <is>
          <t>Día -1</t>
        </is>
      </c>
      <c r="F7" s="32" t="n"/>
      <c r="G7" s="33" t="n"/>
      <c r="H7" s="34">
        <f>IF($E$3="","",$E$3+-1)</f>
        <v/>
      </c>
    </row>
    <row r="8">
      <c r="A8" s="10" t="n">
        <v>2</v>
      </c>
      <c r="B8" s="11" t="inlineStr">
        <is>
          <t>Copia DNI / NIE / Pasaporte</t>
        </is>
      </c>
      <c r="C8" s="12" t="inlineStr">
        <is>
          <t>DOCUMENTACIÓN LEGAL</t>
        </is>
      </c>
      <c r="D8" s="28" t="n"/>
      <c r="E8" s="31" t="inlineStr">
        <is>
          <t>Día -1</t>
        </is>
      </c>
      <c r="F8" s="32" t="n"/>
      <c r="G8" s="33" t="n"/>
      <c r="H8" s="34">
        <f>IF($E$3="","",$E$3+-1)</f>
        <v/>
      </c>
    </row>
    <row r="9">
      <c r="A9" s="10" t="n">
        <v>3</v>
      </c>
      <c r="B9" s="11" t="inlineStr">
        <is>
          <t>Datos cuenta bancaria para nómina</t>
        </is>
      </c>
      <c r="C9" s="12" t="inlineStr">
        <is>
          <t>DOCUMENTACIÓN LEGAL</t>
        </is>
      </c>
      <c r="D9" s="28" t="n"/>
      <c r="E9" s="31" t="inlineStr">
        <is>
          <t>Día -1</t>
        </is>
      </c>
      <c r="F9" s="32" t="n"/>
      <c r="G9" s="33" t="n"/>
      <c r="H9" s="34">
        <f>IF($E$3="","",$E$3+-1)</f>
        <v/>
      </c>
    </row>
    <row r="10">
      <c r="A10" s="10" t="n">
        <v>4</v>
      </c>
      <c r="B10" s="11" t="inlineStr">
        <is>
          <t>Alta en Seguridad Social (TA.2/S) — OBLIGATORIO ANTES del inicio de la jornada (art. 32.3 RD 84/1996)</t>
        </is>
      </c>
      <c r="C10" s="12" t="inlineStr">
        <is>
          <t>DOCUMENTACIÓN LEGAL</t>
        </is>
      </c>
      <c r="D10" s="28" t="n"/>
      <c r="E10" s="31" t="inlineStr">
        <is>
          <t>Día -1</t>
        </is>
      </c>
      <c r="F10" s="32" t="n"/>
      <c r="G10" s="33" t="n"/>
      <c r="H10" s="34">
        <f>IF($E$3="","",$E$3+-1)</f>
        <v/>
      </c>
    </row>
    <row r="11">
      <c r="A11" s="10" t="n">
        <v>5</v>
      </c>
      <c r="B11" s="11" t="inlineStr">
        <is>
          <t>Parte de alta PRL — reconocimiento médico programado</t>
        </is>
      </c>
      <c r="C11" s="12" t="inlineStr">
        <is>
          <t>DOCUMENTACIÓN LEGAL</t>
        </is>
      </c>
      <c r="D11" s="28" t="n"/>
      <c r="E11" s="31" t="inlineStr">
        <is>
          <t>Día 1</t>
        </is>
      </c>
      <c r="F11" s="32" t="n"/>
      <c r="G11" s="33" t="n"/>
      <c r="H11" s="34">
        <f>IF($E$3="","",$E$3+1)</f>
        <v/>
      </c>
    </row>
    <row r="12">
      <c r="A12" s="10" t="n">
        <v>6</v>
      </c>
      <c r="B12" s="11" t="inlineStr">
        <is>
          <t>Firma cláusula protección de datos (RGPD)</t>
        </is>
      </c>
      <c r="C12" s="12" t="inlineStr">
        <is>
          <t>DOCUMENTACIÓN LEGAL</t>
        </is>
      </c>
      <c r="D12" s="28" t="n"/>
      <c r="E12" s="31" t="inlineStr">
        <is>
          <t>Día 1</t>
        </is>
      </c>
      <c r="F12" s="32" t="n"/>
      <c r="G12" s="33" t="n"/>
      <c r="H12" s="34">
        <f>IF($E$3="","",$E$3+1)</f>
        <v/>
      </c>
    </row>
    <row r="13">
      <c r="A13" s="10" t="n">
        <v>7</v>
      </c>
      <c r="B13" s="11" t="inlineStr">
        <is>
          <t>Firma compromiso confidencialidad</t>
        </is>
      </c>
      <c r="C13" s="12" t="inlineStr">
        <is>
          <t>DOCUMENTACIÓN LEGAL</t>
        </is>
      </c>
      <c r="D13" s="28" t="n"/>
      <c r="E13" s="31" t="inlineStr">
        <is>
          <t>Día 1</t>
        </is>
      </c>
      <c r="F13" s="32" t="n"/>
      <c r="G13" s="33" t="n"/>
      <c r="H13" s="34">
        <f>IF($E$3="","",$E$3+1)</f>
        <v/>
      </c>
    </row>
    <row r="14">
      <c r="A14" s="10" t="n">
        <v>8</v>
      </c>
      <c r="B14" s="11" t="inlineStr">
        <is>
          <t>Entrega copia convenio colectivo aplicable</t>
        </is>
      </c>
      <c r="C14" s="12" t="inlineStr">
        <is>
          <t>DOCUMENTACIÓN LEGAL</t>
        </is>
      </c>
      <c r="D14" s="28" t="n"/>
      <c r="E14" s="31" t="inlineStr">
        <is>
          <t>Día 1</t>
        </is>
      </c>
      <c r="F14" s="32" t="n"/>
      <c r="G14" s="33" t="n"/>
      <c r="H14" s="34">
        <f>IF($E$3="","",$E$3+1)</f>
        <v/>
      </c>
    </row>
    <row r="15">
      <c r="A15" s="10" t="n">
        <v>9</v>
      </c>
      <c r="B15" s="11" t="inlineStr">
        <is>
          <t>Registro jornada — explicar sistema de fichaje</t>
        </is>
      </c>
      <c r="C15" s="12" t="inlineStr">
        <is>
          <t>DOCUMENTACIÓN LEGAL</t>
        </is>
      </c>
      <c r="D15" s="28" t="n"/>
      <c r="E15" s="31" t="inlineStr">
        <is>
          <t>Día 1</t>
        </is>
      </c>
      <c r="F15" s="32" t="n"/>
      <c r="G15" s="33" t="n"/>
      <c r="H15" s="34">
        <f>IF($E$3="","",$E$3+1)</f>
        <v/>
      </c>
    </row>
    <row r="16">
      <c r="A16" s="10" t="n">
        <v>10</v>
      </c>
      <c r="B16" s="11" t="inlineStr">
        <is>
          <t>Foto para ficha de personal</t>
        </is>
      </c>
      <c r="C16" s="12" t="inlineStr">
        <is>
          <t>DOCUMENTACIÓN LEGAL</t>
        </is>
      </c>
      <c r="D16" s="28" t="n"/>
      <c r="E16" s="31" t="inlineStr">
        <is>
          <t>Día 7</t>
        </is>
      </c>
      <c r="F16" s="32" t="n"/>
      <c r="G16" s="33" t="n"/>
      <c r="H16" s="34">
        <f>IF($E$3="","",$E$3+7)</f>
        <v/>
      </c>
    </row>
    <row r="17">
      <c r="A17" t="n">
        <v>11</v>
      </c>
      <c r="B17" t="inlineStr">
        <is>
          <t>Comunicación del contrato a Contrat@ (SEPE) — 10 días hábiles desde la firma</t>
        </is>
      </c>
      <c r="C17" t="inlineStr">
        <is>
          <t>DOCUMENTACIÓN LEGAL</t>
        </is>
      </c>
      <c r="D17" s="35" t="n"/>
      <c r="E17" s="36" t="inlineStr">
        <is>
          <t>Día 7</t>
        </is>
      </c>
      <c r="F17" s="35" t="n"/>
      <c r="G17" s="35" t="n"/>
      <c r="H17" s="34">
        <f>IF($E$3="","",$E$3+7)</f>
        <v/>
      </c>
    </row>
    <row r="18">
      <c r="A18" t="n">
        <v>12</v>
      </c>
      <c r="B18" t="inlineStr">
        <is>
          <t>Copia básica del contrato a la representación legal de los trabajadores (RLT) — 10 días</t>
        </is>
      </c>
      <c r="C18" t="inlineStr">
        <is>
          <t>DOCUMENTACIÓN LEGAL</t>
        </is>
      </c>
      <c r="D18" s="35" t="n"/>
      <c r="E18" s="36" t="inlineStr">
        <is>
          <t>Día 7</t>
        </is>
      </c>
      <c r="F18" s="35" t="n"/>
      <c r="G18" s="35" t="n"/>
      <c r="H18" s="34">
        <f>IF($E$3="","",$E$3+7)</f>
        <v/>
      </c>
    </row>
    <row r="19">
      <c r="A19" t="n">
        <v>13</v>
      </c>
      <c r="B19" t="inlineStr">
        <is>
          <t>Modelo 145 de IRPF firmado (situación personal y familiar para calcular la retención)</t>
        </is>
      </c>
      <c r="C19" t="inlineStr">
        <is>
          <t>DOCUMENTACIÓN LEGAL</t>
        </is>
      </c>
      <c r="D19" s="35" t="n"/>
      <c r="E19" s="36" t="inlineStr">
        <is>
          <t>Día 1</t>
        </is>
      </c>
      <c r="F19" s="35" t="n"/>
      <c r="G19" s="35" t="n"/>
      <c r="H19" s="34">
        <f>IF($E$3="","",$E$3+1)</f>
        <v/>
      </c>
    </row>
    <row r="20"/>
    <row r="21">
      <c r="A21" s="37" t="inlineStr">
        <is>
          <t>🎓 FORMACIÓN OBLIGATORIA</t>
        </is>
      </c>
      <c r="B21" s="38" t="n"/>
      <c r="C21" s="38" t="n"/>
      <c r="D21" s="38" t="n"/>
      <c r="E21" s="38" t="n"/>
      <c r="F21" s="38" t="n"/>
      <c r="G21" s="38" t="n"/>
      <c r="H21" s="38" t="n"/>
    </row>
    <row r="22">
      <c r="A22" s="9" t="inlineStr">
        <is>
          <t>#</t>
        </is>
      </c>
      <c r="B22" s="9" t="inlineStr">
        <is>
          <t>Tarea</t>
        </is>
      </c>
      <c r="C22" s="9" t="inlineStr">
        <is>
          <t>Categoría</t>
        </is>
      </c>
      <c r="D22" s="9" t="inlineStr">
        <is>
          <t>Responsable</t>
        </is>
      </c>
      <c r="E22" s="9" t="inlineStr">
        <is>
          <t>Plazo</t>
        </is>
      </c>
      <c r="F22" s="9" t="inlineStr">
        <is>
          <t>Hecho</t>
        </is>
      </c>
      <c r="G22" s="9" t="inlineStr">
        <is>
          <t>Notas</t>
        </is>
      </c>
      <c r="H22" t="inlineStr">
        <is>
          <t>Fecha límite</t>
        </is>
      </c>
    </row>
    <row r="23">
      <c r="A23" s="10" t="n">
        <v>1</v>
      </c>
      <c r="B23" s="11" t="inlineStr">
        <is>
          <t>Carnet manipulador de alimentos vigente</t>
        </is>
      </c>
      <c r="C23" s="16" t="inlineStr">
        <is>
          <t>FORMACIÓN OBLIGATORIA</t>
        </is>
      </c>
      <c r="D23" s="28" t="n"/>
      <c r="E23" s="31" t="inlineStr">
        <is>
          <t>Día 1</t>
        </is>
      </c>
      <c r="F23" s="32" t="n"/>
      <c r="G23" s="33" t="n"/>
      <c r="H23" s="34">
        <f>IF($E$3="","",$E$3+1)</f>
        <v/>
      </c>
    </row>
    <row r="24">
      <c r="A24" s="10" t="n">
        <v>2</v>
      </c>
      <c r="B24" s="11" t="inlineStr">
        <is>
          <t>Formación APPCC — protocolos del establecimiento</t>
        </is>
      </c>
      <c r="C24" s="16" t="inlineStr">
        <is>
          <t>FORMACIÓN OBLIGATORIA</t>
        </is>
      </c>
      <c r="D24" s="28" t="n"/>
      <c r="E24" s="31" t="inlineStr">
        <is>
          <t>Día 7</t>
        </is>
      </c>
      <c r="F24" s="32" t="n"/>
      <c r="G24" s="33" t="n"/>
      <c r="H24" s="34">
        <f>IF($E$3="","",$E$3+7)</f>
        <v/>
      </c>
    </row>
    <row r="25">
      <c r="A25" s="10" t="n">
        <v>3</v>
      </c>
      <c r="B25" s="11" t="inlineStr">
        <is>
          <t>Formación alérgenos — los 14 alérgenos de declaración obligatoria</t>
        </is>
      </c>
      <c r="C25" s="16" t="inlineStr">
        <is>
          <t>FORMACIÓN OBLIGATORIA</t>
        </is>
      </c>
      <c r="D25" s="28" t="n"/>
      <c r="E25" s="31" t="inlineStr">
        <is>
          <t>Día 7</t>
        </is>
      </c>
      <c r="F25" s="32" t="n"/>
      <c r="G25" s="33" t="n"/>
      <c r="H25" s="34">
        <f>IF($E$3="","",$E$3+7)</f>
        <v/>
      </c>
    </row>
    <row r="26">
      <c r="A26" s="10" t="n">
        <v>4</v>
      </c>
      <c r="B26" s="11" t="inlineStr">
        <is>
          <t>PRL específica del puesto — riesgos y medidas preventivas</t>
        </is>
      </c>
      <c r="C26" s="16" t="inlineStr">
        <is>
          <t>FORMACIÓN OBLIGATORIA</t>
        </is>
      </c>
      <c r="D26" s="28" t="n"/>
      <c r="E26" s="31" t="inlineStr">
        <is>
          <t>Día 1</t>
        </is>
      </c>
      <c r="F26" s="32" t="n"/>
      <c r="G26" s="33" t="n"/>
      <c r="H26" s="34">
        <f>IF($E$3="","",$E$3+1)</f>
        <v/>
      </c>
    </row>
    <row r="27">
      <c r="A27" s="10" t="n">
        <v>5</v>
      </c>
      <c r="B27" s="11" t="inlineStr">
        <is>
          <t>Plan de emergencia y evacuación — rutas y puntos de encuentro</t>
        </is>
      </c>
      <c r="C27" s="16" t="inlineStr">
        <is>
          <t>FORMACIÓN OBLIGATORIA</t>
        </is>
      </c>
      <c r="D27" s="28" t="n"/>
      <c r="E27" s="31" t="inlineStr">
        <is>
          <t>Día 7</t>
        </is>
      </c>
      <c r="F27" s="32" t="n"/>
      <c r="G27" s="33" t="n"/>
      <c r="H27" s="34">
        <f>IF($E$3="","",$E$3+7)</f>
        <v/>
      </c>
    </row>
    <row r="28">
      <c r="A28" s="10" t="n">
        <v>6</v>
      </c>
      <c r="B28" s="11" t="inlineStr">
        <is>
          <t>Protocolo acoso laboral — información y canal de denuncia</t>
        </is>
      </c>
      <c r="C28" s="16" t="inlineStr">
        <is>
          <t>FORMACIÓN OBLIGATORIA</t>
        </is>
      </c>
      <c r="D28" s="28" t="n"/>
      <c r="E28" s="31" t="inlineStr">
        <is>
          <t>Día 7</t>
        </is>
      </c>
      <c r="F28" s="32" t="n"/>
      <c r="G28" s="33" t="n"/>
      <c r="H28" s="34">
        <f>IF($E$3="","",$E$3+7)</f>
        <v/>
      </c>
    </row>
    <row r="29">
      <c r="A29" s="10" t="n">
        <v>7</v>
      </c>
      <c r="B29" s="11" t="inlineStr">
        <is>
          <t>Normativa de uniformidad e higiene personal</t>
        </is>
      </c>
      <c r="C29" s="16" t="inlineStr">
        <is>
          <t>FORMACIÓN OBLIGATORIA</t>
        </is>
      </c>
      <c r="D29" s="28" t="n"/>
      <c r="E29" s="31" t="inlineStr">
        <is>
          <t>Día 1</t>
        </is>
      </c>
      <c r="F29" s="32" t="n"/>
      <c r="G29" s="33" t="n"/>
      <c r="H29" s="34">
        <f>IF($E$3="","",$E$3+1)</f>
        <v/>
      </c>
    </row>
    <row r="30">
      <c r="A30" s="10" t="n">
        <v>8</v>
      </c>
      <c r="B30" s="11" t="inlineStr">
        <is>
          <t>Formación en igualdad (si aplica según plantilla)</t>
        </is>
      </c>
      <c r="C30" s="16" t="inlineStr">
        <is>
          <t>FORMACIÓN OBLIGATORIA</t>
        </is>
      </c>
      <c r="D30" s="28" t="n"/>
      <c r="E30" s="31" t="inlineStr">
        <is>
          <t>Día 30</t>
        </is>
      </c>
      <c r="F30" s="32" t="n"/>
      <c r="G30" s="33" t="n"/>
      <c r="H30" s="34">
        <f>IF($E$3="","",$E$3+30)</f>
        <v/>
      </c>
    </row>
    <row r="31"/>
    <row r="32">
      <c r="A32" s="39" t="inlineStr">
        <is>
          <t>👕 EQUIPAMIENTO Y ACCESOS</t>
        </is>
      </c>
      <c r="B32" s="40" t="n"/>
      <c r="C32" s="40" t="n"/>
      <c r="D32" s="40" t="n"/>
      <c r="E32" s="40" t="n"/>
      <c r="F32" s="40" t="n"/>
      <c r="G32" s="40" t="n"/>
      <c r="H32" s="40" t="n"/>
    </row>
    <row r="33">
      <c r="A33" s="9" t="inlineStr">
        <is>
          <t>#</t>
        </is>
      </c>
      <c r="B33" s="9" t="inlineStr">
        <is>
          <t>Tarea</t>
        </is>
      </c>
      <c r="C33" s="9" t="inlineStr">
        <is>
          <t>Categoría</t>
        </is>
      </c>
      <c r="D33" s="9" t="inlineStr">
        <is>
          <t>Responsable</t>
        </is>
      </c>
      <c r="E33" s="9" t="inlineStr">
        <is>
          <t>Plazo</t>
        </is>
      </c>
      <c r="F33" s="9" t="inlineStr">
        <is>
          <t>Hecho</t>
        </is>
      </c>
      <c r="G33" s="9" t="inlineStr">
        <is>
          <t>Notas</t>
        </is>
      </c>
      <c r="H33" t="inlineStr">
        <is>
          <t>Fecha límite</t>
        </is>
      </c>
    </row>
    <row r="34">
      <c r="A34" s="10" t="n">
        <v>1</v>
      </c>
      <c r="B34" s="11" t="inlineStr">
        <is>
          <t>Uniforme completo entregado (tallas verificadas)</t>
        </is>
      </c>
      <c r="C34" s="41" t="inlineStr">
        <is>
          <t>EQUIPAMIENTO Y ACCESOS</t>
        </is>
      </c>
      <c r="D34" s="28" t="n"/>
      <c r="E34" s="31" t="inlineStr">
        <is>
          <t>Día 1</t>
        </is>
      </c>
      <c r="F34" s="32" t="n"/>
      <c r="G34" s="33" t="n"/>
      <c r="H34" s="34">
        <f>IF($E$3="","",$E$3+1)</f>
        <v/>
      </c>
    </row>
    <row r="35">
      <c r="A35" s="10" t="n">
        <v>2</v>
      </c>
      <c r="B35" s="11" t="inlineStr">
        <is>
          <t>Calzado de seguridad antideslizante</t>
        </is>
      </c>
      <c r="C35" s="41" t="inlineStr">
        <is>
          <t>EQUIPAMIENTO Y ACCESOS</t>
        </is>
      </c>
      <c r="D35" s="28" t="n"/>
      <c r="E35" s="31" t="inlineStr">
        <is>
          <t>Día 1</t>
        </is>
      </c>
      <c r="F35" s="32" t="n"/>
      <c r="G35" s="33" t="n"/>
      <c r="H35" s="34">
        <f>IF($E$3="","",$E$3+1)</f>
        <v/>
      </c>
    </row>
    <row r="36">
      <c r="A36" s="10" t="n">
        <v>3</v>
      </c>
      <c r="B36" s="11" t="inlineStr">
        <is>
          <t>Taquilla asignada con llave/candado</t>
        </is>
      </c>
      <c r="C36" s="41" t="inlineStr">
        <is>
          <t>EQUIPAMIENTO Y ACCESOS</t>
        </is>
      </c>
      <c r="D36" s="28" t="n"/>
      <c r="E36" s="31" t="inlineStr">
        <is>
          <t>Día 1</t>
        </is>
      </c>
      <c r="F36" s="32" t="n"/>
      <c r="G36" s="33" t="n"/>
      <c r="H36" s="34">
        <f>IF($E$3="","",$E$3+1)</f>
        <v/>
      </c>
    </row>
    <row r="37">
      <c r="A37" s="10" t="n">
        <v>4</v>
      </c>
      <c r="B37" s="11" t="inlineStr">
        <is>
          <t>Llaves / tarjeta de acceso al local</t>
        </is>
      </c>
      <c r="C37" s="41" t="inlineStr">
        <is>
          <t>EQUIPAMIENTO Y ACCESOS</t>
        </is>
      </c>
      <c r="D37" s="28" t="n"/>
      <c r="E37" s="31" t="inlineStr">
        <is>
          <t>Día 1</t>
        </is>
      </c>
      <c r="F37" s="32" t="n"/>
      <c r="G37" s="33" t="n"/>
      <c r="H37" s="34">
        <f>IF($E$3="","",$E$3+1)</f>
        <v/>
      </c>
    </row>
    <row r="38">
      <c r="A38" s="10" t="n">
        <v>5</v>
      </c>
      <c r="B38" s="11" t="inlineStr">
        <is>
          <t>Código alarma comunicado</t>
        </is>
      </c>
      <c r="C38" s="41" t="inlineStr">
        <is>
          <t>EQUIPAMIENTO Y ACCESOS</t>
        </is>
      </c>
      <c r="D38" s="28" t="n"/>
      <c r="E38" s="31" t="inlineStr">
        <is>
          <t>Día 7</t>
        </is>
      </c>
      <c r="F38" s="32" t="n"/>
      <c r="G38" s="33" t="n"/>
      <c r="H38" s="34">
        <f>IF($E$3="","",$E$3+7)</f>
        <v/>
      </c>
    </row>
    <row r="39">
      <c r="A39" s="10" t="n">
        <v>6</v>
      </c>
      <c r="B39" s="11" t="inlineStr">
        <is>
          <t>Acceso sistema TPV / caja registradora</t>
        </is>
      </c>
      <c r="C39" s="41" t="inlineStr">
        <is>
          <t>EQUIPAMIENTO Y ACCESOS</t>
        </is>
      </c>
      <c r="D39" s="28" t="n"/>
      <c r="E39" s="31" t="inlineStr">
        <is>
          <t>Día 1</t>
        </is>
      </c>
      <c r="F39" s="32" t="n"/>
      <c r="G39" s="33" t="n"/>
      <c r="H39" s="34">
        <f>IF($E$3="","",$E$3+1)</f>
        <v/>
      </c>
    </row>
    <row r="40">
      <c r="A40" s="10" t="n">
        <v>7</v>
      </c>
      <c r="B40" s="11" t="inlineStr">
        <is>
          <t>Acceso herramientas digitales (email, app turnos, etc.)</t>
        </is>
      </c>
      <c r="C40" s="41" t="inlineStr">
        <is>
          <t>EQUIPAMIENTO Y ACCESOS</t>
        </is>
      </c>
      <c r="D40" s="28" t="n"/>
      <c r="E40" s="31" t="inlineStr">
        <is>
          <t>Día 1</t>
        </is>
      </c>
      <c r="F40" s="32" t="n"/>
      <c r="G40" s="33" t="n"/>
      <c r="H40" s="34">
        <f>IF($E$3="","",$E$3+1)</f>
        <v/>
      </c>
    </row>
    <row r="41">
      <c r="A41" s="10" t="n">
        <v>8</v>
      </c>
      <c r="B41" s="11" t="inlineStr">
        <is>
          <t>Placa identificativa / nombre</t>
        </is>
      </c>
      <c r="C41" s="41" t="inlineStr">
        <is>
          <t>EQUIPAMIENTO Y ACCESOS</t>
        </is>
      </c>
      <c r="D41" s="28" t="n"/>
      <c r="E41" s="31" t="inlineStr">
        <is>
          <t>Día 7</t>
        </is>
      </c>
      <c r="F41" s="32" t="n"/>
      <c r="G41" s="33" t="n"/>
      <c r="H41" s="34">
        <f>IF($E$3="","",$E$3+7)</f>
        <v/>
      </c>
    </row>
    <row r="42">
      <c r="A42" s="10" t="n">
        <v>9</v>
      </c>
      <c r="B42" s="11" t="inlineStr">
        <is>
          <t>EPI adicional si aplica (guantes, delantal térmico, etc.)</t>
        </is>
      </c>
      <c r="C42" s="41" t="inlineStr">
        <is>
          <t>EQUIPAMIENTO Y ACCESOS</t>
        </is>
      </c>
      <c r="D42" s="28" t="n"/>
      <c r="E42" s="31" t="inlineStr">
        <is>
          <t>Día 1</t>
        </is>
      </c>
      <c r="F42" s="32" t="n"/>
      <c r="G42" s="33" t="n"/>
      <c r="H42" s="34">
        <f>IF($E$3="","",$E$3+1)</f>
        <v/>
      </c>
    </row>
    <row r="43"/>
    <row r="44">
      <c r="A44" s="42" t="inlineStr">
        <is>
          <t>🏢 FORMACIÓN OPERATIVA</t>
        </is>
      </c>
      <c r="B44" s="43" t="n"/>
      <c r="C44" s="43" t="n"/>
      <c r="D44" s="43" t="n"/>
      <c r="E44" s="43" t="n"/>
      <c r="F44" s="43" t="n"/>
      <c r="G44" s="43" t="n"/>
      <c r="H44" s="43" t="n"/>
    </row>
    <row r="45">
      <c r="A45" s="9" t="inlineStr">
        <is>
          <t>#</t>
        </is>
      </c>
      <c r="B45" s="9" t="inlineStr">
        <is>
          <t>Tarea</t>
        </is>
      </c>
      <c r="C45" s="9" t="inlineStr">
        <is>
          <t>Categoría</t>
        </is>
      </c>
      <c r="D45" s="9" t="inlineStr">
        <is>
          <t>Responsable</t>
        </is>
      </c>
      <c r="E45" s="9" t="inlineStr">
        <is>
          <t>Plazo</t>
        </is>
      </c>
      <c r="F45" s="9" t="inlineStr">
        <is>
          <t>Hecho</t>
        </is>
      </c>
      <c r="G45" s="9" t="inlineStr">
        <is>
          <t>Notas</t>
        </is>
      </c>
      <c r="H45" t="inlineStr">
        <is>
          <t>Fecha límite</t>
        </is>
      </c>
    </row>
    <row r="46">
      <c r="A46" s="10" t="n">
        <v>1</v>
      </c>
      <c r="B46" s="11" t="inlineStr">
        <is>
          <t>Tour completo de instalaciones</t>
        </is>
      </c>
      <c r="C46" s="18" t="inlineStr">
        <is>
          <t>FORMACIÓN OPERATIVA</t>
        </is>
      </c>
      <c r="D46" s="28" t="n"/>
      <c r="E46" s="31" t="inlineStr">
        <is>
          <t>Día 1</t>
        </is>
      </c>
      <c r="F46" s="32" t="n"/>
      <c r="G46" s="33" t="n"/>
      <c r="H46" s="34">
        <f>IF($E$3="","",$E$3+1)</f>
        <v/>
      </c>
    </row>
    <row r="47">
      <c r="A47" s="10" t="n">
        <v>2</v>
      </c>
      <c r="B47" s="11" t="inlineStr">
        <is>
          <t>Presentación al equipo y responsables directos</t>
        </is>
      </c>
      <c r="C47" s="18" t="inlineStr">
        <is>
          <t>FORMACIÓN OPERATIVA</t>
        </is>
      </c>
      <c r="D47" s="28" t="n"/>
      <c r="E47" s="31" t="inlineStr">
        <is>
          <t>Día 1</t>
        </is>
      </c>
      <c r="F47" s="32" t="n"/>
      <c r="G47" s="33" t="n"/>
      <c r="H47" s="34">
        <f>IF($E$3="","",$E$3+1)</f>
        <v/>
      </c>
    </row>
    <row r="48">
      <c r="A48" s="10" t="n">
        <v>3</v>
      </c>
      <c r="B48" s="11" t="inlineStr">
        <is>
          <t>Manual del puesto entregado y explicado</t>
        </is>
      </c>
      <c r="C48" s="18" t="inlineStr">
        <is>
          <t>FORMACIÓN OPERATIVA</t>
        </is>
      </c>
      <c r="D48" s="28" t="n"/>
      <c r="E48" s="31" t="inlineStr">
        <is>
          <t>Día 1</t>
        </is>
      </c>
      <c r="F48" s="32" t="n"/>
      <c r="G48" s="33" t="n"/>
      <c r="H48" s="34">
        <f>IF($E$3="","",$E$3+1)</f>
        <v/>
      </c>
    </row>
    <row r="49">
      <c r="A49" s="10" t="n">
        <v>4</v>
      </c>
      <c r="B49" s="11" t="inlineStr">
        <is>
          <t>Protocolo de limpieza y desinfección</t>
        </is>
      </c>
      <c r="C49" s="18" t="inlineStr">
        <is>
          <t>FORMACIÓN OPERATIVA</t>
        </is>
      </c>
      <c r="D49" s="28" t="n"/>
      <c r="E49" s="31" t="inlineStr">
        <is>
          <t>Día 1</t>
        </is>
      </c>
      <c r="F49" s="32" t="n"/>
      <c r="G49" s="33" t="n"/>
      <c r="H49" s="34">
        <f>IF($E$3="","",$E$3+1)</f>
        <v/>
      </c>
    </row>
    <row r="50">
      <c r="A50" s="10" t="n">
        <v>5</v>
      </c>
      <c r="B50" s="11" t="inlineStr">
        <is>
          <t>Sistema de caja / TPV — práctica supervisada</t>
        </is>
      </c>
      <c r="C50" s="18" t="inlineStr">
        <is>
          <t>FORMACIÓN OPERATIVA</t>
        </is>
      </c>
      <c r="D50" s="28" t="n"/>
      <c r="E50" s="31" t="inlineStr">
        <is>
          <t>Día 7</t>
        </is>
      </c>
      <c r="F50" s="32" t="n"/>
      <c r="G50" s="33" t="n"/>
      <c r="H50" s="34">
        <f>IF($E$3="","",$E$3+7)</f>
        <v/>
      </c>
    </row>
    <row r="51">
      <c r="A51" s="10" t="n">
        <v>6</v>
      </c>
      <c r="B51" s="11" t="inlineStr">
        <is>
          <t>Carta / menú — estudio y degustación</t>
        </is>
      </c>
      <c r="C51" s="18" t="inlineStr">
        <is>
          <t>FORMACIÓN OPERATIVA</t>
        </is>
      </c>
      <c r="D51" s="28" t="n"/>
      <c r="E51" s="31" t="inlineStr">
        <is>
          <t>Día 7</t>
        </is>
      </c>
      <c r="F51" s="32" t="n"/>
      <c r="G51" s="33" t="n"/>
      <c r="H51" s="34">
        <f>IF($E$3="","",$E$3+7)</f>
        <v/>
      </c>
    </row>
    <row r="52">
      <c r="A52" s="10" t="n">
        <v>7</v>
      </c>
      <c r="B52" s="11" t="inlineStr">
        <is>
          <t>Protocolo de atención al cliente</t>
        </is>
      </c>
      <c r="C52" s="18" t="inlineStr">
        <is>
          <t>FORMACIÓN OPERATIVA</t>
        </is>
      </c>
      <c r="D52" s="28" t="n"/>
      <c r="E52" s="31" t="inlineStr">
        <is>
          <t>Día 7</t>
        </is>
      </c>
      <c r="F52" s="32" t="n"/>
      <c r="G52" s="33" t="n"/>
      <c r="H52" s="34">
        <f>IF($E$3="","",$E$3+7)</f>
        <v/>
      </c>
    </row>
    <row r="53">
      <c r="A53" s="10" t="n">
        <v>8</v>
      </c>
      <c r="B53" s="11" t="inlineStr">
        <is>
          <t>Sistema de reservas (si aplica)</t>
        </is>
      </c>
      <c r="C53" s="18" t="inlineStr">
        <is>
          <t>FORMACIÓN OPERATIVA</t>
        </is>
      </c>
      <c r="D53" s="28" t="n"/>
      <c r="E53" s="31" t="inlineStr">
        <is>
          <t>Día 7</t>
        </is>
      </c>
      <c r="F53" s="32" t="n"/>
      <c r="G53" s="33" t="n"/>
      <c r="H53" s="34">
        <f>IF($E$3="","",$E$3+7)</f>
        <v/>
      </c>
    </row>
    <row r="54">
      <c r="A54" s="10" t="n">
        <v>9</v>
      </c>
      <c r="B54" s="11" t="inlineStr">
        <is>
          <t>Protocolo de aperturas y cierres</t>
        </is>
      </c>
      <c r="C54" s="18" t="inlineStr">
        <is>
          <t>FORMACIÓN OPERATIVA</t>
        </is>
      </c>
      <c r="D54" s="28" t="n"/>
      <c r="E54" s="31" t="inlineStr">
        <is>
          <t>Día 7</t>
        </is>
      </c>
      <c r="F54" s="32" t="n"/>
      <c r="G54" s="33" t="n"/>
      <c r="H54" s="34">
        <f>IF($E$3="","",$E$3+7)</f>
        <v/>
      </c>
    </row>
    <row r="55">
      <c r="A55" s="10" t="n">
        <v>10</v>
      </c>
      <c r="B55" s="11" t="inlineStr">
        <is>
          <t>Gestión de residuos y reciclaje</t>
        </is>
      </c>
      <c r="C55" s="18" t="inlineStr">
        <is>
          <t>FORMACIÓN OPERATIVA</t>
        </is>
      </c>
      <c r="D55" s="28" t="n"/>
      <c r="E55" s="31" t="inlineStr">
        <is>
          <t>Día 7</t>
        </is>
      </c>
      <c r="F55" s="32" t="n"/>
      <c r="G55" s="33" t="n"/>
      <c r="H55" s="34">
        <f>IF($E$3="","",$E$3+7)</f>
        <v/>
      </c>
    </row>
    <row r="56">
      <c r="A56" s="10" t="n">
        <v>11</v>
      </c>
      <c r="B56" s="11" t="inlineStr">
        <is>
          <t>Sistema de pedidos a proveedores (si aplica)</t>
        </is>
      </c>
      <c r="C56" s="18" t="inlineStr">
        <is>
          <t>FORMACIÓN OPERATIVA</t>
        </is>
      </c>
      <c r="D56" s="28" t="n"/>
      <c r="E56" s="31" t="inlineStr">
        <is>
          <t>Día 30</t>
        </is>
      </c>
      <c r="F56" s="32" t="n"/>
      <c r="G56" s="33" t="n"/>
      <c r="H56" s="34">
        <f>IF($E$3="","",$E$3+30)</f>
        <v/>
      </c>
    </row>
    <row r="57">
      <c r="A57" s="10" t="n">
        <v>12</v>
      </c>
      <c r="B57" s="11" t="inlineStr">
        <is>
          <t>Protocolo de quejas y reclamaciones</t>
        </is>
      </c>
      <c r="C57" s="18" t="inlineStr">
        <is>
          <t>FORMACIÓN OPERATIVA</t>
        </is>
      </c>
      <c r="D57" s="28" t="n"/>
      <c r="E57" s="31" t="inlineStr">
        <is>
          <t>Día 30</t>
        </is>
      </c>
      <c r="F57" s="32" t="n"/>
      <c r="G57" s="33" t="n"/>
      <c r="H57" s="34">
        <f>IF($E$3="","",$E$3+30)</f>
        <v/>
      </c>
    </row>
    <row r="58"/>
    <row r="59">
      <c r="A59" s="44" t="inlineStr">
        <is>
          <t>📊 PERIODO DE PRUEBA Y EVALUACIÓN</t>
        </is>
      </c>
      <c r="B59" s="45" t="n"/>
      <c r="C59" s="45" t="n"/>
      <c r="D59" s="45" t="n"/>
      <c r="E59" s="45" t="n"/>
      <c r="F59" s="45" t="n"/>
      <c r="G59" s="45" t="n"/>
      <c r="H59" s="45" t="n"/>
    </row>
    <row r="60">
      <c r="A60" s="9" t="inlineStr">
        <is>
          <t>#</t>
        </is>
      </c>
      <c r="B60" s="9" t="inlineStr">
        <is>
          <t>Tarea</t>
        </is>
      </c>
      <c r="C60" s="9" t="inlineStr">
        <is>
          <t>Categoría</t>
        </is>
      </c>
      <c r="D60" s="9" t="inlineStr">
        <is>
          <t>Responsable</t>
        </is>
      </c>
      <c r="E60" s="9" t="inlineStr">
        <is>
          <t>Plazo</t>
        </is>
      </c>
      <c r="F60" s="9" t="inlineStr">
        <is>
          <t>Hecho</t>
        </is>
      </c>
      <c r="G60" s="9" t="inlineStr">
        <is>
          <t>Notas</t>
        </is>
      </c>
      <c r="H60" t="inlineStr">
        <is>
          <t>Fecha límite</t>
        </is>
      </c>
    </row>
    <row r="61">
      <c r="A61" s="10" t="n">
        <v>1</v>
      </c>
      <c r="B61" s="11" t="inlineStr">
        <is>
          <t>Objetivos semana 1 definidos y comunicados</t>
        </is>
      </c>
      <c r="C61" s="19" t="inlineStr">
        <is>
          <t>PERIODO DE PRUEBA</t>
        </is>
      </c>
      <c r="D61" s="28" t="n"/>
      <c r="E61" s="31" t="inlineStr">
        <is>
          <t>Día 1</t>
        </is>
      </c>
      <c r="F61" s="32" t="n"/>
      <c r="G61" s="33" t="n"/>
      <c r="H61" s="34">
        <f>IF($E$3="","",$E$3+1)</f>
        <v/>
      </c>
    </row>
    <row r="62">
      <c r="A62" s="10" t="n">
        <v>2</v>
      </c>
      <c r="B62" s="11" t="inlineStr">
        <is>
          <t>Objetivos semana 2 definidos y comunicados</t>
        </is>
      </c>
      <c r="C62" s="19" t="inlineStr">
        <is>
          <t>PERIODO DE PRUEBA</t>
        </is>
      </c>
      <c r="D62" s="28" t="n"/>
      <c r="E62" s="31" t="inlineStr">
        <is>
          <t>Día 7</t>
        </is>
      </c>
      <c r="F62" s="32" t="n"/>
      <c r="G62" s="33" t="n"/>
      <c r="H62" s="34">
        <f>IF($E$3="","",$E$3+7)</f>
        <v/>
      </c>
    </row>
    <row r="63">
      <c r="A63" s="10" t="n">
        <v>3</v>
      </c>
      <c r="B63" s="11" t="inlineStr">
        <is>
          <t>Objetivos semana 4 (primer mes) definidos</t>
        </is>
      </c>
      <c r="C63" s="19" t="inlineStr">
        <is>
          <t>PERIODO DE PRUEBA</t>
        </is>
      </c>
      <c r="D63" s="28" t="n"/>
      <c r="E63" s="31" t="inlineStr">
        <is>
          <t>Día 30</t>
        </is>
      </c>
      <c r="F63" s="32" t="n"/>
      <c r="G63" s="33" t="n"/>
      <c r="H63" s="34">
        <f>IF($E$3="","",$E$3+30)</f>
        <v/>
      </c>
    </row>
    <row r="64">
      <c r="A64" s="10" t="n">
        <v>4</v>
      </c>
      <c r="B64" s="11" t="inlineStr">
        <is>
          <t>Evaluación informal día 3 — primeras impresiones</t>
        </is>
      </c>
      <c r="C64" s="19" t="inlineStr">
        <is>
          <t>PERIODO DE PRUEBA</t>
        </is>
      </c>
      <c r="D64" s="28" t="n"/>
      <c r="E64" s="31" t="inlineStr">
        <is>
          <t>Día 3</t>
        </is>
      </c>
      <c r="F64" s="32" t="n"/>
      <c r="G64" s="33" t="n"/>
      <c r="H64" s="34">
        <f>IF($E$3="","",$E$3+3)</f>
        <v/>
      </c>
    </row>
    <row r="65">
      <c r="A65" s="10" t="n">
        <v>5</v>
      </c>
      <c r="B65" s="11" t="inlineStr">
        <is>
          <t>Evaluación formal día 15 — revisión intermedia</t>
        </is>
      </c>
      <c r="C65" s="19" t="inlineStr">
        <is>
          <t>PERIODO DE PRUEBA</t>
        </is>
      </c>
      <c r="D65" s="28" t="n"/>
      <c r="E65" s="31" t="inlineStr">
        <is>
          <t>Día 15</t>
        </is>
      </c>
      <c r="F65" s="32" t="n"/>
      <c r="G65" s="33" t="n"/>
      <c r="H65" s="34">
        <f>IF($E$3="","",$E$3+15)</f>
        <v/>
      </c>
    </row>
    <row r="66">
      <c r="A66" s="10" t="n">
        <v>6</v>
      </c>
      <c r="B66" s="11" t="inlineStr">
        <is>
          <t>Evaluación formal día 30 — decisión continuidad</t>
        </is>
      </c>
      <c r="C66" s="19" t="inlineStr">
        <is>
          <t>PERIODO DE PRUEBA</t>
        </is>
      </c>
      <c r="D66" s="28" t="n"/>
      <c r="E66" s="31" t="inlineStr">
        <is>
          <t>Día 30</t>
        </is>
      </c>
      <c r="F66" s="32" t="n"/>
      <c r="G66" s="33" t="n"/>
      <c r="H66" s="34">
        <f>IF($E$3="","",$E$3+30)</f>
        <v/>
      </c>
    </row>
    <row r="67">
      <c r="A67" s="10" t="n">
        <v>7</v>
      </c>
      <c r="B67" s="11" t="inlineStr">
        <is>
          <t>Feedback del equipo recogido</t>
        </is>
      </c>
      <c r="C67" s="19" t="inlineStr">
        <is>
          <t>PERIODO DE PRUEBA</t>
        </is>
      </c>
      <c r="D67" s="28" t="n"/>
      <c r="E67" s="31" t="inlineStr">
        <is>
          <t>Día 30</t>
        </is>
      </c>
      <c r="F67" s="32" t="n"/>
      <c r="G67" s="33" t="n"/>
      <c r="H67" s="34">
        <f>IF($E$3="","",$E$3+30)</f>
        <v/>
      </c>
    </row>
    <row r="68">
      <c r="A68" s="10" t="n">
        <v>8</v>
      </c>
      <c r="B68" s="11" t="inlineStr">
        <is>
          <t>Plan de desarrollo si se confirma en puesto</t>
        </is>
      </c>
      <c r="C68" s="19" t="inlineStr">
        <is>
          <t>PERIODO DE PRUEBA</t>
        </is>
      </c>
      <c r="D68" s="28" t="n"/>
      <c r="E68" s="31" t="inlineStr">
        <is>
          <t>Día 30</t>
        </is>
      </c>
      <c r="F68" s="32" t="n"/>
      <c r="G68" s="33" t="n"/>
      <c r="H68" s="34">
        <f>IF($E$3="","",$E$3+30)</f>
        <v/>
      </c>
    </row>
    <row r="69"/>
    <row r="70">
      <c r="A70" s="46" t="inlineStr">
        <is>
          <t>RESUMEN</t>
        </is>
      </c>
    </row>
    <row r="71">
      <c r="B71" s="47" t="inlineStr">
        <is>
          <t>Tareas completadas:</t>
        </is>
      </c>
      <c r="C71" s="48">
        <f>COUNTIF($F$7:$F$19,"✓")+COUNTIF($F$23:$F$30,"✓")+COUNTIF($F$34:$F$42,"✓")+COUNTIF($F$46:$F$57,"✓")+COUNTIF($F$61:$F$68,"✓")</f>
        <v>0.0</v>
      </c>
      <c r="D71" t="inlineStr">
        <is>
          <t>de</t>
        </is>
      </c>
      <c r="E71" s="49">
        <f>COUNTIF($B$7:$B$19,"?*")+COUNTIF($B$23:$B$30,"?*")+COUNTIF($B$34:$B$42,"?*")+COUNTIF($B$46:$B$57,"?*")+COUNTIF($B$61:$B$68,"?*")</f>
        <v>50.0</v>
      </c>
    </row>
    <row r="72">
      <c r="B72" s="47" t="inlineStr">
        <is>
          <t>Total tareas aplicables (sin las marcadas «—»):</t>
        </is>
      </c>
      <c r="C72" s="50">
        <f>$E$71-(COUNTIF($F$7:$F$19,"—")+COUNTIF($F$23:$F$30,"—")+COUNTIF($F$34:$F$42,"—")+COUNTIF($F$46:$F$57,"—")+COUNTIF($F$61:$F$68,"—"))</f>
        <v>50.0</v>
      </c>
    </row>
    <row r="73">
      <c r="B73" s="47" t="inlineStr">
        <is>
          <t>Progreso:</t>
        </is>
      </c>
      <c r="C73" s="51">
        <f>IF($C$72&gt;0,$C$71/$C$72,0)</f>
        <v>0.0</v>
      </c>
    </row>
    <row r="74"/>
    <row r="75">
      <c r="A75" s="23" t="inlineStr">
        <is>
          <t>Firma responsable: _________________  Fecha: ___/___/______</t>
        </is>
      </c>
    </row>
    <row r="76">
      <c r="A76" s="23" t="inlineStr">
        <is>
          <t>© 2026 AI Chef Pro · aichef.pro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9">
    <mergeCell ref="A44:G44"/>
    <mergeCell ref="A76:G76"/>
    <mergeCell ref="A1:G1"/>
    <mergeCell ref="A32:G32"/>
    <mergeCell ref="A21:G21"/>
    <mergeCell ref="A59:G59"/>
    <mergeCell ref="A5:G5"/>
    <mergeCell ref="A2:G2"/>
    <mergeCell ref="A75:G75"/>
  </mergeCells>
  <conditionalFormatting sqref="A7:H68">
    <cfRule type="expression" priority="1" dxfId="0">
      <formula>$F7="✓"</formula>
    </cfRule>
  </conditionalFormatting>
  <dataValidations count="1">
    <dataValidation sqref="F7:F19 F23:F30 F34:F42 F46:F57 F61:F68" showDropDown="0" showInputMessage="1" showErrorMessage="1" allowBlank="1" errorTitle="Marca no válida" error="✓ hecha · ✗ pendiente · — no aplica a este puesto." promptTitle="kitgp-v2b · Hecho" prompt="Marca «—» en lo que NO aplique a este puesto (un cocinero de partida no necesita el acceso al TPV): esas tareas salen del denominador y el progreso puede llegar al 100 %." type="list" errorStyle="stop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04 · Onboarding Nuevo Empleado · Kit Gestión de Personal y Turnos</dc:title>
  <dc:description xmlns:dc="http://purl.org/dc/elements/1.1/">aichef.pro/kit-gestion-personal</dc:description>
  <dc:subject xmlns:dc="http://purl.org/dc/elements/1.1/">Kit Gestión de Personal y Turnos · v2.0</dc:subject>
  <dcterms:created xmlns:dcterms="http://purl.org/dc/terms/" xmlns:xsi="http://www.w3.org/2001/XMLSchema-instance" xsi:type="dcterms:W3CDTF">2026-03-23T19:17:39Z</dcterms:created>
  <dcterms:modified xmlns:dcterms="http://purl.org/dc/terms/" xmlns:xsi="http://www.w3.org/2001/XMLSchema-instance" xsi:type="dcterms:W3CDTF">2026-08-24T04:12:37Z</dcterms:modified>
  <cp:lastModifiedBy>AI Chef Pro</cp:lastModifiedBy>
  <cp:category>AI Chef Pro · Productos digitales</cp:category>
  <cp:keywords>kit gestion personal, AI Chef Pro</cp:keywords>
</cp:coreProperties>
</file>