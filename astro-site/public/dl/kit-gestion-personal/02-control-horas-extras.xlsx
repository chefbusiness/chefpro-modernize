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Registro Horas" sheetId="2" state="visible" r:id="rId2"/>
    <sheet xmlns:r="http://schemas.openxmlformats.org/officeDocument/2006/relationships" name="Resumen Mensual" sheetId="3" state="visible" r:id="rId3"/>
  </sheets>
  <definedNames>
    <definedName name="_xlnm.Print_Area" localSheetId="0">'Instrucciones'!$A$1:$B$29</definedName>
    <definedName name="_xlnm.Print_Titles" localSheetId="1">'Registro Horas'!$4:$4</definedName>
    <definedName name="_xlnm.Print_Area" localSheetId="1">'Registro Horas'!$A$1:$J$306</definedName>
    <definedName name="_xlnm.Print_Titles" localSheetId="2">'Resumen Mensual'!$5:$5</definedName>
    <definedName name="_xlnm.Print_Area" localSheetId="2">'Resumen Mensual'!$A$1:$H$39</definedName>
  </definedNames>
  <calcPr calcId="124519" fullCalcOnLoad="1"/>
</workbook>
</file>

<file path=xl/styles.xml><?xml version="1.0" encoding="utf-8"?>
<styleSheet xmlns="http://schemas.openxmlformats.org/spreadsheetml/2006/main">
  <numFmts count="4">
    <numFmt numFmtId="164" formatCode="€#,##0.00"/>
    <numFmt numFmtId="165" formatCode="#,##0.00 €"/>
    <numFmt numFmtId="166" formatCode="dd/mm/yyyy"/>
    <numFmt numFmtId="167" formatCode="hh:mm"/>
  </numFmts>
  <fonts count="13">
    <font>
      <name val="Calibri"/>
      <family val="2"/>
      <color theme="1"/>
      <sz val="11"/>
      <scheme val="minor"/>
    </font>
    <font>
      <name val="Calibri"/>
      <b val="1"/>
      <color rgb="00FFD700"/>
      <sz val="18"/>
    </font>
    <font>
      <name val="Calibri"/>
      <b val="1"/>
      <color rgb="00333333"/>
      <sz val="12"/>
    </font>
    <font>
      <name val="Calibri"/>
      <color rgb="00555555"/>
      <sz val="11"/>
    </font>
    <font>
      <name val="Calibri"/>
      <b val="1"/>
      <color rgb="00FFD700"/>
      <sz val="16"/>
    </font>
    <font>
      <name val="Calibri"/>
      <i val="1"/>
      <color rgb="00888888"/>
      <sz val="11"/>
    </font>
    <font>
      <name val="Calibri"/>
      <b val="1"/>
      <color rgb="00FFFFFF"/>
      <sz val="11"/>
    </font>
    <font>
      <name val="Calibri"/>
      <sz val="11"/>
    </font>
    <font>
      <name val="Calibri"/>
      <b val="1"/>
      <color rgb="001565C0"/>
      <sz val="11"/>
    </font>
    <font>
      <name val="Calibri"/>
      <color rgb="00999999"/>
      <sz val="9"/>
    </font>
    <font>
      <name val="Calibri"/>
      <b val="1"/>
      <sz val="11"/>
    </font>
    <font>
      <b val="1"/>
      <color rgb="00FFFFFF"/>
      <sz val="10"/>
    </font>
    <font>
      <b val="1"/>
    </font>
  </fonts>
  <fills count="6">
    <fill>
      <patternFill/>
    </fill>
    <fill>
      <patternFill patternType="gray125"/>
    </fill>
    <fill>
      <patternFill patternType="solid">
        <fgColor rgb="002D2D2D"/>
        <bgColor rgb="002D2D2D"/>
      </patternFill>
    </fill>
    <fill>
      <patternFill patternType="solid">
        <fgColor rgb="00E8F5E9"/>
        <bgColor rgb="00E8F5E9"/>
      </patternFill>
    </fill>
    <fill>
      <patternFill patternType="solid">
        <fgColor rgb="002D2D2D"/>
      </patternFill>
    </fill>
    <fill>
      <patternFill patternType="solid">
        <f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horizontal="center" vertical="center" wrapText="1"/>
    </xf>
    <xf numFmtId="0" fontId="7" fillId="3" borderId="1" applyAlignment="1" pivotButton="0" quotePrefix="0" xfId="0">
      <alignment horizontal="center" vertical="center" wrapText="1"/>
    </xf>
    <xf numFmtId="2" fontId="8" fillId="0" borderId="1" applyAlignment="1" pivotButton="0" quotePrefix="0" xfId="0">
      <alignment horizontal="center" vertical="center" wrapText="1"/>
    </xf>
    <xf numFmtId="0" fontId="0" fillId="3" borderId="1" applyAlignment="1" pivotButton="0" quotePrefix="0" xfId="0">
      <alignment horizontal="center" vertical="center" wrapText="1"/>
    </xf>
    <xf numFmtId="0" fontId="9" fillId="0" borderId="0" pivotButton="0" quotePrefix="0" xfId="0"/>
    <xf numFmtId="0" fontId="10" fillId="0" borderId="0" pivotButton="0" quotePrefix="0" xfId="0"/>
    <xf numFmtId="0" fontId="7" fillId="3" borderId="1" pivotButton="0" quotePrefix="0" xfId="0"/>
    <xf numFmtId="0" fontId="7" fillId="0" borderId="1" applyAlignment="1" pivotButton="0" quotePrefix="0" xfId="0">
      <alignment horizontal="center" vertical="center" wrapText="1"/>
    </xf>
    <xf numFmtId="164" fontId="8" fillId="0" borderId="1" pivotButton="0" quotePrefix="0" xfId="0"/>
    <xf numFmtId="0" fontId="10" fillId="0" borderId="1" pivotButton="0" quotePrefix="0" xfId="0"/>
    <xf numFmtId="0" fontId="8" fillId="0" borderId="1"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11" fillId="4" borderId="1" applyAlignment="1" pivotButton="0" quotePrefix="0" xfId="0">
      <alignment horizontal="center" vertical="center" wrapText="1"/>
    </xf>
    <xf numFmtId="0" fontId="11" fillId="4" borderId="0" applyAlignment="1" pivotButton="0" quotePrefix="0" xfId="0">
      <alignment horizontal="center" vertical="center" wrapText="1"/>
    </xf>
    <xf numFmtId="0" fontId="7" fillId="3" borderId="1" applyAlignment="1" applyProtection="1" pivotButton="0" quotePrefix="0" xfId="0">
      <alignment horizontal="center" vertical="center" wrapText="1"/>
      <protection locked="0" hidden="0"/>
    </xf>
    <xf numFmtId="166" fontId="7" fillId="3" borderId="1" applyAlignment="1" applyProtection="1" pivotButton="0" quotePrefix="0" xfId="0">
      <alignment horizontal="center" vertical="center" wrapText="1"/>
      <protection locked="0" hidden="0"/>
    </xf>
    <xf numFmtId="167" fontId="7" fillId="3" borderId="1" applyAlignment="1" applyProtection="1" pivotButton="0" quotePrefix="0" xfId="0">
      <alignment horizontal="center" vertical="center" wrapText="1"/>
      <protection locked="0" hidden="0"/>
    </xf>
    <xf numFmtId="2" fontId="8" fillId="5" borderId="1" applyAlignment="1" applyProtection="1" pivotButton="0" quotePrefix="0" xfId="0">
      <alignment horizontal="center" vertical="center" wrapText="1"/>
      <protection locked="0" hidden="0"/>
    </xf>
    <xf numFmtId="2" fontId="7" fillId="3" borderId="1" applyAlignment="1" applyProtection="1" pivotButton="0" quotePrefix="0" xfId="0">
      <alignment horizontal="center" vertical="center" wrapText="1"/>
      <protection locked="0" hidden="0"/>
    </xf>
    <xf numFmtId="0" fontId="0" fillId="3" borderId="1" applyAlignment="1" applyProtection="1" pivotButton="0" quotePrefix="0" xfId="0">
      <alignment horizontal="center" vertical="center" wrapText="1"/>
      <protection locked="0" hidden="0"/>
    </xf>
    <xf numFmtId="0" fontId="0" fillId="0" borderId="0" applyAlignment="1" pivotButton="0" quotePrefix="0" xfId="0">
      <alignment vertical="center" wrapText="1"/>
    </xf>
    <xf numFmtId="0" fontId="12" fillId="0" borderId="0" applyAlignment="1" pivotButton="0" quotePrefix="0" xfId="0">
      <alignment vertical="center" wrapText="1"/>
    </xf>
    <xf numFmtId="165" fontId="7" fillId="5" borderId="1" applyProtection="1" pivotButton="0" quotePrefix="0" xfId="0">
      <protection locked="0" hidden="0"/>
    </xf>
    <xf numFmtId="2" fontId="0" fillId="5" borderId="0" applyProtection="1" pivotButton="0" quotePrefix="0" xfId="0">
      <protection locked="0" hidden="0"/>
    </xf>
    <xf numFmtId="1" fontId="0" fillId="5" borderId="0" applyProtection="1" pivotButton="0" quotePrefix="0" xfId="0">
      <protection locked="0" hidden="0"/>
    </xf>
    <xf numFmtId="0" fontId="7" fillId="3" borderId="1" applyProtection="1" pivotButton="0" quotePrefix="0" xfId="0">
      <protection locked="0" hidden="0"/>
    </xf>
    <xf numFmtId="2" fontId="7" fillId="0" borderId="1" pivotButton="0" quotePrefix="0" xfId="0"/>
    <xf numFmtId="2" fontId="7" fillId="0" borderId="1" applyAlignment="1" pivotButton="0" quotePrefix="0" xfId="0">
      <alignment horizontal="center" vertical="center" wrapText="1"/>
    </xf>
    <xf numFmtId="2" fontId="8" fillId="5" borderId="1" applyProtection="1" pivotButton="0" quotePrefix="0" xfId="0">
      <protection locked="0" hidden="0"/>
    </xf>
    <xf numFmtId="165" fontId="8" fillId="0" borderId="1" pivotButton="0" quotePrefix="0" xfId="0"/>
    <xf numFmtId="2" fontId="8" fillId="0" borderId="1" pivotButton="0" quotePrefix="0" xfId="0"/>
    <xf numFmtId="2" fontId="0" fillId="0" borderId="0" pivotButton="0" quotePrefix="0" xfId="0"/>
  </cellXfs>
  <cellStyles count="1">
    <cellStyle name="Normal" xfId="0" builtinId="0" hidden="0"/>
  </cellStyles>
  <dxfs count="3">
    <dxf>
      <font>
        <b val="1"/>
        <color rgb="009C0006"/>
      </font>
      <fill>
        <patternFill patternType="solid">
          <fgColor rgb="00FFC7CE"/>
          <bgColor rgb="00FFC7CE"/>
        </patternFill>
      </fill>
    </dxf>
    <dxf>
      <font>
        <b val="1"/>
        <color rgb="009C6500"/>
      </font>
      <fill>
        <patternFill patternType="solid">
          <fgColor rgb="00FFEB9C"/>
          <bgColor rgb="00FFEB9C"/>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A1:B29"/>
  <sheetViews>
    <sheetView workbookViewId="0">
      <selection activeCell="A1" sqref="A1"/>
    </sheetView>
  </sheetViews>
  <sheetFormatPr baseColWidth="8" defaultRowHeight="15"/>
  <cols>
    <col width="3" customWidth="1" min="1" max="1"/>
    <col width="80" customWidth="1" min="2" max="2"/>
  </cols>
  <sheetData>
    <row r="1"/>
    <row r="2">
      <c r="B2" s="1" t="inlineStr">
        <is>
          <t>02 · Control de Horas Extras</t>
        </is>
      </c>
    </row>
    <row r="3"/>
    <row r="4">
      <c r="B4" s="17" t="inlineStr">
        <is>
          <t>Cómo usar esta plantilla:</t>
        </is>
      </c>
    </row>
    <row r="5">
      <c r="B5" s="18" t="inlineStr">
        <is>
          <t>▸ Registra entrada, salida y PAUSA. La pausa es lo que hace registrable el turno partido: 10:00 → 23:00 con 4 h de pausa son 9 h trabajadas, no 13.</t>
        </is>
      </c>
    </row>
    <row r="6">
      <c r="B6" s="18" t="inlineStr">
        <is>
          <t>▸ El turno de NOCHE se registra igual: 23:00 → 07:00 son 8 h. La fórmula contempla el cruce de medianoche.</t>
        </is>
      </c>
    </row>
    <row r="7">
      <c r="B7" s="18" t="inlineStr">
        <is>
          <t>▸ El 'Resumen Mensual' agrega por empleado con SUMIF: no hay que transcribir nada a mano.</t>
        </is>
      </c>
    </row>
    <row r="8">
      <c r="B8" s="18" t="inlineStr">
        <is>
          <t>▸ Esta hoja trae 300 filas. Con 30 personas fichando a diario salen unos 780 registros al mes: usa una copia de la hoja por quincena, o selecciona la última fila y arrastra hacia abajo (las fórmulas se copian solas).</t>
        </is>
      </c>
    </row>
    <row r="9">
      <c r="B9" s="2" t="n"/>
    </row>
    <row r="10">
      <c r="B10" s="17" t="inlineStr">
        <is>
          <t>Lo que dice el Estatuto de los Trabajadores:</t>
        </is>
      </c>
    </row>
    <row r="11">
      <c r="B11" s="18" t="inlineStr">
        <is>
          <t>▸ Art. 35.2: máximo 80 horas extra al año por trabajador. NO computan en ese tope las compensadas con descanso dentro de los 4 meses siguientes ni las de fuerza mayor: por eso el registro pide el tipo y el resumen las descuenta.</t>
        </is>
      </c>
    </row>
    <row r="12">
      <c r="B12" s="18" t="inlineStr">
        <is>
          <t>▸ Art. 35.1: la hora extra no puede valer MENOS que la ordinaria. La cuantía exacta la fija tu convenio o tu contrato, y puede compensarse con descanso en vez de pagarse.</t>
        </is>
      </c>
    </row>
    <row r="13">
      <c r="B13" s="18" t="inlineStr">
        <is>
          <t>▸ Por eso el recargo es una celda verde (D3) y no un número dentro de la fórmula. El 1,25 que trae de fábrica es un punto de partida, no una cifra legal: sustitúyelo por el de tu convenio provincial de hostelería antes de usar la columna de coste.</t>
        </is>
      </c>
    </row>
    <row r="14">
      <c r="B14" s="18" t="inlineStr">
        <is>
          <t>▸ Las horas extra son voluntarias salvo pacto en convenio o contrato (art. 35.4 ET).</t>
        </is>
      </c>
    </row>
    <row r="15">
      <c r="B15" s="2" t="n"/>
    </row>
    <row r="16">
      <c r="B16" s="17" t="inlineStr">
        <is>
          <t>Columnas del registro:</t>
        </is>
      </c>
    </row>
    <row r="17">
      <c r="B17" s="18" t="inlineStr">
        <is>
          <t>▸ Horas trabajadas = salida − entrada − pausa. Escribe las horas en formato hh:mm (9:00, no 9): el desplegable rechaza un 9 suelto, que para Excel son nueve DÍAS y dejaba la jornada en 0,00 sin avisar.</t>
        </is>
      </c>
    </row>
    <row r="18">
      <c r="B18" s="18" t="inlineStr">
        <is>
          <t>▸ H. Contratadas = jornada CONTRATADA de ese día, precargada a 8. Si la borras, la hora extra se queda en blanco a propósito: sin saber lo contratado no hay forma de decir qué sobra.</t>
        </is>
      </c>
    </row>
    <row r="19">
      <c r="B19" s="18" t="inlineStr">
        <is>
          <t>▸ Tipo: Voluntaria · Obligatoria · Fuerza mayor · Compensada con descanso · Complementaria (contrato parcial). Las tres últimas no suman al tope de 80 h.</t>
        </is>
      </c>
    </row>
    <row r="20">
      <c r="B20" s="18" t="inlineStr">
        <is>
          <t>▸ Las COMPENSADAS CON DESCANSO no se pagan en dinero: se pagan con tiempo libre (art. 35.1 ET). Por eso la columna de coste las descuenta — si no, las estarías pagando dos veces. Las de FUERZA MAYOR sí se pagan: lo que pasa con ellas es que no computan en el tope anual.</t>
        </is>
      </c>
    </row>
    <row r="21">
      <c r="B21" s="18" t="inlineStr">
        <is>
          <t>▸ Si el contrato es a tiempo PARCIAL, sus horas de más NO son extraordinarias —al parcial le están prohibidas (art. 12.4.c ET)—, son COMPLEMENTARIAS: exigen pacto escrito, tienen su propio tope sobre la jornada pactada y se retribuyen COMO ORDINARIAS (art. 12.5 ET). Márcalas con ese tipo y el resumen las deja fuera del tope de 80 h y del recargo.</t>
        </is>
      </c>
    </row>
    <row r="22">
      <c r="B22" s="18" t="inlineStr">
        <is>
          <t>▸ «Saldo del mes (trabajadas − contratadas)» lleva SIGNO: la columna «Horas extra» del registro es exceso DIARIO y no ve los días por debajo de lo contratado. Si distribuyes la jornada de forma irregular, lo que se paga como extra sale de ESTE saldo al cierre del periodo de referencia que tengas pactado, no de la suma de los excesos día a día.</t>
        </is>
      </c>
    </row>
    <row r="23">
      <c r="B23" s="18" t="inlineStr">
        <is>
          <t>▸ La columna «Aviso» del registro avisa de las cuatro formas de perder una jornada en silencio: hora escrita sin los dos puntos (9 en vez de 9:00), entrada igual que salida, pausa mayor que la jornada y nombre que no está en el «Resumen Mensual» (el SUMIF busca el texto EXACTO: un espacio de más y esa persona sale a cero).</t>
        </is>
      </c>
    </row>
    <row r="24">
      <c r="B24" s="18" t="inlineStr">
        <is>
          <t>▸ En el 'Resumen Mensual', «H. extra acumuladas en el año» es verde y la llevas tú de mes en mes: suma el acumulado anterior y las computables de este mes. Es la que vigila el límite.</t>
        </is>
      </c>
    </row>
    <row r="25">
      <c r="B25" s="18" t="inlineStr">
        <is>
          <t>▸ Antes de usar la tarifa de B3, sácala de la columna «Coste/hora» del 03: es el coste real por hora, no el bruto del convenio.</t>
        </is>
      </c>
    </row>
    <row r="26"/>
    <row r="27">
      <c r="B27" s="17" t="inlineStr">
        <is>
          <t>Para editar una celda bloqueada: Revisar → Desproteger hoja (no tiene contraseña). Las celdas verdes ya son editables sin desproteger nada.</t>
        </is>
      </c>
    </row>
    <row r="28">
      <c r="B28" s="17" t="inlineStr">
        <is>
          <t>Diseñado por John Guerrero — chef y consultor gastronómico desde 2010, en cocina desde los 17 años · johnguerrero.es</t>
        </is>
      </c>
    </row>
    <row r="29">
      <c r="B29" s="17" t="inlineStr">
        <is>
          <t>Versión 2.0 · agosto 2026 · aichef.pro/kit-gestion-personal · info@aichef.pro</t>
        </is>
      </c>
    </row>
  </sheetData>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tabColor rgb="00E65100"/>
    <outlinePr summaryBelow="1" summaryRight="1"/>
    <pageSetUpPr fitToPage="1"/>
  </sheetPr>
  <dimension ref="A1:J306"/>
  <sheetViews>
    <sheetView workbookViewId="0">
      <pane ySplit="4" topLeftCell="A5"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2" customWidth="1" min="5" max="5"/>
    <col width="16" customWidth="1" min="6" max="6"/>
    <col width="14" customWidth="1" min="7" max="7"/>
    <col width="16" customWidth="1" min="8" max="8"/>
    <col width="26" customWidth="1" min="9" max="9"/>
    <col width="40" customWidth="1" min="10" max="10"/>
  </cols>
  <sheetData>
    <row r="1">
      <c r="A1" s="4" t="inlineStr">
        <is>
          <t>Registro de Horas — Mes: _______________</t>
        </is>
      </c>
    </row>
    <row r="2">
      <c r="A2" s="5" t="inlineStr">
        <is>
          <t>AI Chef Pro · aichef.pro — Kit Gestión de Personal y Turnos</t>
        </is>
      </c>
    </row>
    <row r="3"/>
    <row r="4" ht="30" customHeight="1">
      <c r="A4" s="19" t="inlineStr">
        <is>
          <t>Empleado</t>
        </is>
      </c>
      <c r="B4" s="19" t="inlineStr">
        <is>
          <t>Fecha</t>
        </is>
      </c>
      <c r="C4" s="19" t="inlineStr">
        <is>
          <t>Entrada</t>
        </is>
      </c>
      <c r="D4" s="19" t="inlineStr">
        <is>
          <t>Salida</t>
        </is>
      </c>
      <c r="E4" s="19" t="inlineStr">
        <is>
          <t>Pausa (h)</t>
        </is>
      </c>
      <c r="F4" s="19" t="inlineStr">
        <is>
          <t>Horas trabajadas</t>
        </is>
      </c>
      <c r="G4" s="19" t="inlineStr">
        <is>
          <t>H. contratadas</t>
        </is>
      </c>
      <c r="H4" s="19" t="inlineStr">
        <is>
          <t>Horas extra</t>
        </is>
      </c>
      <c r="I4" s="19" t="inlineStr">
        <is>
          <t>Tipo</t>
        </is>
      </c>
      <c r="J4" s="20" t="inlineStr">
        <is>
          <t>Aviso</t>
        </is>
      </c>
    </row>
    <row r="5">
      <c r="A5" s="21" t="n"/>
      <c r="B5" s="22" t="n"/>
      <c r="C5" s="23" t="n"/>
      <c r="D5" s="23" t="n"/>
      <c r="E5" s="24" t="n"/>
      <c r="F5" s="8">
        <f>IF(OR($C5="",$D5=""),"",IF(OR($C5&gt;=1,$D5&gt;=1,$C5=$D5,IF($E5="",0,$E5)&gt;MOD($D5-$C5,1)*24),"",ROUND(MOD($D5-$C5,1)*24-IF($E5="",0,$E5),2)))</f>
        <v/>
      </c>
      <c r="G5" s="25" t="n">
        <v>8</v>
      </c>
      <c r="H5" s="8">
        <f>IF(OR($F5="",$G5=""),"",MAX(0,$F5-$G5))</f>
        <v/>
      </c>
      <c r="I5" s="26" t="n"/>
      <c r="J5" s="27">
        <f>IF(AND($A5="",$C5="",$D5=""),"",IF(OR($C5&gt;=1,$D5&gt;=1),"⚠ escribe la hora con dos puntos: 9:00, no 9",IF(AND($C5&lt;&gt;"",$C5=$D5),"⚠ entrada y salida iguales: la jornada no suma",IF(AND($C5&lt;&gt;"",$D5&lt;&gt;"",IF($E5="",0,$E5)&gt;MOD($D5-$C5,1)*24),"⚠ la pausa es mayor que la jornada",IF(AND($A5&lt;&gt;"",COUNTIF('Resumen Mensual'!$A$6:$A$35,$A5&amp;"")=0),"⚠ ese nombre no está en el «Resumen Mensual»: sus horas no se agregan","")))))</f>
        <v/>
      </c>
    </row>
    <row r="6">
      <c r="A6" s="21" t="n"/>
      <c r="B6" s="22" t="n"/>
      <c r="C6" s="23" t="n"/>
      <c r="D6" s="23" t="n"/>
      <c r="E6" s="24" t="n"/>
      <c r="F6" s="8">
        <f>IF(OR($C6="",$D6=""),"",IF(OR($C6&gt;=1,$D6&gt;=1,$C6=$D6,IF($E6="",0,$E6)&gt;MOD($D6-$C6,1)*24),"",ROUND(MOD($D6-$C6,1)*24-IF($E6="",0,$E6),2)))</f>
        <v/>
      </c>
      <c r="G6" s="25" t="n">
        <v>8</v>
      </c>
      <c r="H6" s="8">
        <f>IF(OR($F6="",$G6=""),"",MAX(0,$F6-$G6))</f>
        <v/>
      </c>
      <c r="I6" s="26" t="n"/>
      <c r="J6" s="27">
        <f>IF(AND($A6="",$C6="",$D6=""),"",IF(OR($C6&gt;=1,$D6&gt;=1),"⚠ escribe la hora con dos puntos: 9:00, no 9",IF(AND($C6&lt;&gt;"",$C6=$D6),"⚠ entrada y salida iguales: la jornada no suma",IF(AND($C6&lt;&gt;"",$D6&lt;&gt;"",IF($E6="",0,$E6)&gt;MOD($D6-$C6,1)*24),"⚠ la pausa es mayor que la jornada",IF(AND($A6&lt;&gt;"",COUNTIF('Resumen Mensual'!$A$6:$A$35,$A6&amp;"")=0),"⚠ ese nombre no está en el «Resumen Mensual»: sus horas no se agregan","")))))</f>
        <v/>
      </c>
    </row>
    <row r="7">
      <c r="A7" s="21" t="n"/>
      <c r="B7" s="22" t="n"/>
      <c r="C7" s="23" t="n"/>
      <c r="D7" s="23" t="n"/>
      <c r="E7" s="24" t="n"/>
      <c r="F7" s="8">
        <f>IF(OR($C7="",$D7=""),"",IF(OR($C7&gt;=1,$D7&gt;=1,$C7=$D7,IF($E7="",0,$E7)&gt;MOD($D7-$C7,1)*24),"",ROUND(MOD($D7-$C7,1)*24-IF($E7="",0,$E7),2)))</f>
        <v/>
      </c>
      <c r="G7" s="25" t="n">
        <v>8</v>
      </c>
      <c r="H7" s="8">
        <f>IF(OR($F7="",$G7=""),"",MAX(0,$F7-$G7))</f>
        <v/>
      </c>
      <c r="I7" s="26" t="n"/>
      <c r="J7" s="27">
        <f>IF(AND($A7="",$C7="",$D7=""),"",IF(OR($C7&gt;=1,$D7&gt;=1),"⚠ escribe la hora con dos puntos: 9:00, no 9",IF(AND($C7&lt;&gt;"",$C7=$D7),"⚠ entrada y salida iguales: la jornada no suma",IF(AND($C7&lt;&gt;"",$D7&lt;&gt;"",IF($E7="",0,$E7)&gt;MOD($D7-$C7,1)*24),"⚠ la pausa es mayor que la jornada",IF(AND($A7&lt;&gt;"",COUNTIF('Resumen Mensual'!$A$6:$A$35,$A7&amp;"")=0),"⚠ ese nombre no está en el «Resumen Mensual»: sus horas no se agregan","")))))</f>
        <v/>
      </c>
    </row>
    <row r="8">
      <c r="A8" s="21" t="n"/>
      <c r="B8" s="22" t="n"/>
      <c r="C8" s="23" t="n"/>
      <c r="D8" s="23" t="n"/>
      <c r="E8" s="24" t="n"/>
      <c r="F8" s="8">
        <f>IF(OR($C8="",$D8=""),"",IF(OR($C8&gt;=1,$D8&gt;=1,$C8=$D8,IF($E8="",0,$E8)&gt;MOD($D8-$C8,1)*24),"",ROUND(MOD($D8-$C8,1)*24-IF($E8="",0,$E8),2)))</f>
        <v/>
      </c>
      <c r="G8" s="25" t="n">
        <v>8</v>
      </c>
      <c r="H8" s="8">
        <f>IF(OR($F8="",$G8=""),"",MAX(0,$F8-$G8))</f>
        <v/>
      </c>
      <c r="I8" s="26" t="n"/>
      <c r="J8" s="27">
        <f>IF(AND($A8="",$C8="",$D8=""),"",IF(OR($C8&gt;=1,$D8&gt;=1),"⚠ escribe la hora con dos puntos: 9:00, no 9",IF(AND($C8&lt;&gt;"",$C8=$D8),"⚠ entrada y salida iguales: la jornada no suma",IF(AND($C8&lt;&gt;"",$D8&lt;&gt;"",IF($E8="",0,$E8)&gt;MOD($D8-$C8,1)*24),"⚠ la pausa es mayor que la jornada",IF(AND($A8&lt;&gt;"",COUNTIF('Resumen Mensual'!$A$6:$A$35,$A8&amp;"")=0),"⚠ ese nombre no está en el «Resumen Mensual»: sus horas no se agregan","")))))</f>
        <v/>
      </c>
    </row>
    <row r="9">
      <c r="A9" s="21" t="n"/>
      <c r="B9" s="22" t="n"/>
      <c r="C9" s="23" t="n"/>
      <c r="D9" s="23" t="n"/>
      <c r="E9" s="24" t="n"/>
      <c r="F9" s="8">
        <f>IF(OR($C9="",$D9=""),"",IF(OR($C9&gt;=1,$D9&gt;=1,$C9=$D9,IF($E9="",0,$E9)&gt;MOD($D9-$C9,1)*24),"",ROUND(MOD($D9-$C9,1)*24-IF($E9="",0,$E9),2)))</f>
        <v/>
      </c>
      <c r="G9" s="25" t="n">
        <v>8</v>
      </c>
      <c r="H9" s="8">
        <f>IF(OR($F9="",$G9=""),"",MAX(0,$F9-$G9))</f>
        <v/>
      </c>
      <c r="I9" s="26" t="n"/>
      <c r="J9" s="27">
        <f>IF(AND($A9="",$C9="",$D9=""),"",IF(OR($C9&gt;=1,$D9&gt;=1),"⚠ escribe la hora con dos puntos: 9:00, no 9",IF(AND($C9&lt;&gt;"",$C9=$D9),"⚠ entrada y salida iguales: la jornada no suma",IF(AND($C9&lt;&gt;"",$D9&lt;&gt;"",IF($E9="",0,$E9)&gt;MOD($D9-$C9,1)*24),"⚠ la pausa es mayor que la jornada",IF(AND($A9&lt;&gt;"",COUNTIF('Resumen Mensual'!$A$6:$A$35,$A9&amp;"")=0),"⚠ ese nombre no está en el «Resumen Mensual»: sus horas no se agregan","")))))</f>
        <v/>
      </c>
    </row>
    <row r="10">
      <c r="A10" s="21" t="n"/>
      <c r="B10" s="22" t="n"/>
      <c r="C10" s="23" t="n"/>
      <c r="D10" s="23" t="n"/>
      <c r="E10" s="24" t="n"/>
      <c r="F10" s="8">
        <f>IF(OR($C10="",$D10=""),"",IF(OR($C10&gt;=1,$D10&gt;=1,$C10=$D10,IF($E10="",0,$E10)&gt;MOD($D10-$C10,1)*24),"",ROUND(MOD($D10-$C10,1)*24-IF($E10="",0,$E10),2)))</f>
        <v/>
      </c>
      <c r="G10" s="25" t="n">
        <v>8</v>
      </c>
      <c r="H10" s="8">
        <f>IF(OR($F10="",$G10=""),"",MAX(0,$F10-$G10))</f>
        <v/>
      </c>
      <c r="I10" s="26" t="n"/>
      <c r="J10" s="27">
        <f>IF(AND($A10="",$C10="",$D10=""),"",IF(OR($C10&gt;=1,$D10&gt;=1),"⚠ escribe la hora con dos puntos: 9:00, no 9",IF(AND($C10&lt;&gt;"",$C10=$D10),"⚠ entrada y salida iguales: la jornada no suma",IF(AND($C10&lt;&gt;"",$D10&lt;&gt;"",IF($E10="",0,$E10)&gt;MOD($D10-$C10,1)*24),"⚠ la pausa es mayor que la jornada",IF(AND($A10&lt;&gt;"",COUNTIF('Resumen Mensual'!$A$6:$A$35,$A10&amp;"")=0),"⚠ ese nombre no está en el «Resumen Mensual»: sus horas no se agregan","")))))</f>
        <v/>
      </c>
    </row>
    <row r="11">
      <c r="A11" s="21" t="n"/>
      <c r="B11" s="22" t="n"/>
      <c r="C11" s="23" t="n"/>
      <c r="D11" s="23" t="n"/>
      <c r="E11" s="24" t="n"/>
      <c r="F11" s="8">
        <f>IF(OR($C11="",$D11=""),"",IF(OR($C11&gt;=1,$D11&gt;=1,$C11=$D11,IF($E11="",0,$E11)&gt;MOD($D11-$C11,1)*24),"",ROUND(MOD($D11-$C11,1)*24-IF($E11="",0,$E11),2)))</f>
        <v/>
      </c>
      <c r="G11" s="25" t="n">
        <v>8</v>
      </c>
      <c r="H11" s="8">
        <f>IF(OR($F11="",$G11=""),"",MAX(0,$F11-$G11))</f>
        <v/>
      </c>
      <c r="I11" s="26" t="n"/>
      <c r="J11" s="27">
        <f>IF(AND($A11="",$C11="",$D11=""),"",IF(OR($C11&gt;=1,$D11&gt;=1),"⚠ escribe la hora con dos puntos: 9:00, no 9",IF(AND($C11&lt;&gt;"",$C11=$D11),"⚠ entrada y salida iguales: la jornada no suma",IF(AND($C11&lt;&gt;"",$D11&lt;&gt;"",IF($E11="",0,$E11)&gt;MOD($D11-$C11,1)*24),"⚠ la pausa es mayor que la jornada",IF(AND($A11&lt;&gt;"",COUNTIF('Resumen Mensual'!$A$6:$A$35,$A11&amp;"")=0),"⚠ ese nombre no está en el «Resumen Mensual»: sus horas no se agregan","")))))</f>
        <v/>
      </c>
    </row>
    <row r="12">
      <c r="A12" s="21" t="n"/>
      <c r="B12" s="22" t="n"/>
      <c r="C12" s="23" t="n"/>
      <c r="D12" s="23" t="n"/>
      <c r="E12" s="24" t="n"/>
      <c r="F12" s="8">
        <f>IF(OR($C12="",$D12=""),"",IF(OR($C12&gt;=1,$D12&gt;=1,$C12=$D12,IF($E12="",0,$E12)&gt;MOD($D12-$C12,1)*24),"",ROUND(MOD($D12-$C12,1)*24-IF($E12="",0,$E12),2)))</f>
        <v/>
      </c>
      <c r="G12" s="25" t="n">
        <v>8</v>
      </c>
      <c r="H12" s="8">
        <f>IF(OR($F12="",$G12=""),"",MAX(0,$F12-$G12))</f>
        <v/>
      </c>
      <c r="I12" s="26" t="n"/>
      <c r="J12" s="27">
        <f>IF(AND($A12="",$C12="",$D12=""),"",IF(OR($C12&gt;=1,$D12&gt;=1),"⚠ escribe la hora con dos puntos: 9:00, no 9",IF(AND($C12&lt;&gt;"",$C12=$D12),"⚠ entrada y salida iguales: la jornada no suma",IF(AND($C12&lt;&gt;"",$D12&lt;&gt;"",IF($E12="",0,$E12)&gt;MOD($D12-$C12,1)*24),"⚠ la pausa es mayor que la jornada",IF(AND($A12&lt;&gt;"",COUNTIF('Resumen Mensual'!$A$6:$A$35,$A12&amp;"")=0),"⚠ ese nombre no está en el «Resumen Mensual»: sus horas no se agregan","")))))</f>
        <v/>
      </c>
    </row>
    <row r="13">
      <c r="A13" s="21" t="n"/>
      <c r="B13" s="22" t="n"/>
      <c r="C13" s="23" t="n"/>
      <c r="D13" s="23" t="n"/>
      <c r="E13" s="24" t="n"/>
      <c r="F13" s="8">
        <f>IF(OR($C13="",$D13=""),"",IF(OR($C13&gt;=1,$D13&gt;=1,$C13=$D13,IF($E13="",0,$E13)&gt;MOD($D13-$C13,1)*24),"",ROUND(MOD($D13-$C13,1)*24-IF($E13="",0,$E13),2)))</f>
        <v/>
      </c>
      <c r="G13" s="25" t="n">
        <v>8</v>
      </c>
      <c r="H13" s="8">
        <f>IF(OR($F13="",$G13=""),"",MAX(0,$F13-$G13))</f>
        <v/>
      </c>
      <c r="I13" s="26" t="n"/>
      <c r="J13" s="27">
        <f>IF(AND($A13="",$C13="",$D13=""),"",IF(OR($C13&gt;=1,$D13&gt;=1),"⚠ escribe la hora con dos puntos: 9:00, no 9",IF(AND($C13&lt;&gt;"",$C13=$D13),"⚠ entrada y salida iguales: la jornada no suma",IF(AND($C13&lt;&gt;"",$D13&lt;&gt;"",IF($E13="",0,$E13)&gt;MOD($D13-$C13,1)*24),"⚠ la pausa es mayor que la jornada",IF(AND($A13&lt;&gt;"",COUNTIF('Resumen Mensual'!$A$6:$A$35,$A13&amp;"")=0),"⚠ ese nombre no está en el «Resumen Mensual»: sus horas no se agregan","")))))</f>
        <v/>
      </c>
    </row>
    <row r="14">
      <c r="A14" s="21" t="n"/>
      <c r="B14" s="22" t="n"/>
      <c r="C14" s="23" t="n"/>
      <c r="D14" s="23" t="n"/>
      <c r="E14" s="24" t="n"/>
      <c r="F14" s="8">
        <f>IF(OR($C14="",$D14=""),"",IF(OR($C14&gt;=1,$D14&gt;=1,$C14=$D14,IF($E14="",0,$E14)&gt;MOD($D14-$C14,1)*24),"",ROUND(MOD($D14-$C14,1)*24-IF($E14="",0,$E14),2)))</f>
        <v/>
      </c>
      <c r="G14" s="25" t="n">
        <v>8</v>
      </c>
      <c r="H14" s="8">
        <f>IF(OR($F14="",$G14=""),"",MAX(0,$F14-$G14))</f>
        <v/>
      </c>
      <c r="I14" s="26" t="n"/>
      <c r="J14" s="27">
        <f>IF(AND($A14="",$C14="",$D14=""),"",IF(OR($C14&gt;=1,$D14&gt;=1),"⚠ escribe la hora con dos puntos: 9:00, no 9",IF(AND($C14&lt;&gt;"",$C14=$D14),"⚠ entrada y salida iguales: la jornada no suma",IF(AND($C14&lt;&gt;"",$D14&lt;&gt;"",IF($E14="",0,$E14)&gt;MOD($D14-$C14,1)*24),"⚠ la pausa es mayor que la jornada",IF(AND($A14&lt;&gt;"",COUNTIF('Resumen Mensual'!$A$6:$A$35,$A14&amp;"")=0),"⚠ ese nombre no está en el «Resumen Mensual»: sus horas no se agregan","")))))</f>
        <v/>
      </c>
    </row>
    <row r="15">
      <c r="A15" s="21" t="n"/>
      <c r="B15" s="22" t="n"/>
      <c r="C15" s="23" t="n"/>
      <c r="D15" s="23" t="n"/>
      <c r="E15" s="24" t="n"/>
      <c r="F15" s="8">
        <f>IF(OR($C15="",$D15=""),"",IF(OR($C15&gt;=1,$D15&gt;=1,$C15=$D15,IF($E15="",0,$E15)&gt;MOD($D15-$C15,1)*24),"",ROUND(MOD($D15-$C15,1)*24-IF($E15="",0,$E15),2)))</f>
        <v/>
      </c>
      <c r="G15" s="25" t="n">
        <v>8</v>
      </c>
      <c r="H15" s="8">
        <f>IF(OR($F15="",$G15=""),"",MAX(0,$F15-$G15))</f>
        <v/>
      </c>
      <c r="I15" s="26" t="n"/>
      <c r="J15" s="27">
        <f>IF(AND($A15="",$C15="",$D15=""),"",IF(OR($C15&gt;=1,$D15&gt;=1),"⚠ escribe la hora con dos puntos: 9:00, no 9",IF(AND($C15&lt;&gt;"",$C15=$D15),"⚠ entrada y salida iguales: la jornada no suma",IF(AND($C15&lt;&gt;"",$D15&lt;&gt;"",IF($E15="",0,$E15)&gt;MOD($D15-$C15,1)*24),"⚠ la pausa es mayor que la jornada",IF(AND($A15&lt;&gt;"",COUNTIF('Resumen Mensual'!$A$6:$A$35,$A15&amp;"")=0),"⚠ ese nombre no está en el «Resumen Mensual»: sus horas no se agregan","")))))</f>
        <v/>
      </c>
    </row>
    <row r="16">
      <c r="A16" s="21" t="n"/>
      <c r="B16" s="22" t="n"/>
      <c r="C16" s="23" t="n"/>
      <c r="D16" s="23" t="n"/>
      <c r="E16" s="24" t="n"/>
      <c r="F16" s="8">
        <f>IF(OR($C16="",$D16=""),"",IF(OR($C16&gt;=1,$D16&gt;=1,$C16=$D16,IF($E16="",0,$E16)&gt;MOD($D16-$C16,1)*24),"",ROUND(MOD($D16-$C16,1)*24-IF($E16="",0,$E16),2)))</f>
        <v/>
      </c>
      <c r="G16" s="25" t="n">
        <v>8</v>
      </c>
      <c r="H16" s="8">
        <f>IF(OR($F16="",$G16=""),"",MAX(0,$F16-$G16))</f>
        <v/>
      </c>
      <c r="I16" s="26" t="n"/>
      <c r="J16" s="27">
        <f>IF(AND($A16="",$C16="",$D16=""),"",IF(OR($C16&gt;=1,$D16&gt;=1),"⚠ escribe la hora con dos puntos: 9:00, no 9",IF(AND($C16&lt;&gt;"",$C16=$D16),"⚠ entrada y salida iguales: la jornada no suma",IF(AND($C16&lt;&gt;"",$D16&lt;&gt;"",IF($E16="",0,$E16)&gt;MOD($D16-$C16,1)*24),"⚠ la pausa es mayor que la jornada",IF(AND($A16&lt;&gt;"",COUNTIF('Resumen Mensual'!$A$6:$A$35,$A16&amp;"")=0),"⚠ ese nombre no está en el «Resumen Mensual»: sus horas no se agregan","")))))</f>
        <v/>
      </c>
    </row>
    <row r="17">
      <c r="A17" s="21" t="n"/>
      <c r="B17" s="22" t="n"/>
      <c r="C17" s="23" t="n"/>
      <c r="D17" s="23" t="n"/>
      <c r="E17" s="24" t="n"/>
      <c r="F17" s="8">
        <f>IF(OR($C17="",$D17=""),"",IF(OR($C17&gt;=1,$D17&gt;=1,$C17=$D17,IF($E17="",0,$E17)&gt;MOD($D17-$C17,1)*24),"",ROUND(MOD($D17-$C17,1)*24-IF($E17="",0,$E17),2)))</f>
        <v/>
      </c>
      <c r="G17" s="25" t="n">
        <v>8</v>
      </c>
      <c r="H17" s="8">
        <f>IF(OR($F17="",$G17=""),"",MAX(0,$F17-$G17))</f>
        <v/>
      </c>
      <c r="I17" s="26" t="n"/>
      <c r="J17" s="27">
        <f>IF(AND($A17="",$C17="",$D17=""),"",IF(OR($C17&gt;=1,$D17&gt;=1),"⚠ escribe la hora con dos puntos: 9:00, no 9",IF(AND($C17&lt;&gt;"",$C17=$D17),"⚠ entrada y salida iguales: la jornada no suma",IF(AND($C17&lt;&gt;"",$D17&lt;&gt;"",IF($E17="",0,$E17)&gt;MOD($D17-$C17,1)*24),"⚠ la pausa es mayor que la jornada",IF(AND($A17&lt;&gt;"",COUNTIF('Resumen Mensual'!$A$6:$A$35,$A17&amp;"")=0),"⚠ ese nombre no está en el «Resumen Mensual»: sus horas no se agregan","")))))</f>
        <v/>
      </c>
    </row>
    <row r="18">
      <c r="A18" s="21" t="n"/>
      <c r="B18" s="22" t="n"/>
      <c r="C18" s="23" t="n"/>
      <c r="D18" s="23" t="n"/>
      <c r="E18" s="24" t="n"/>
      <c r="F18" s="8">
        <f>IF(OR($C18="",$D18=""),"",IF(OR($C18&gt;=1,$D18&gt;=1,$C18=$D18,IF($E18="",0,$E18)&gt;MOD($D18-$C18,1)*24),"",ROUND(MOD($D18-$C18,1)*24-IF($E18="",0,$E18),2)))</f>
        <v/>
      </c>
      <c r="G18" s="25" t="n">
        <v>8</v>
      </c>
      <c r="H18" s="8">
        <f>IF(OR($F18="",$G18=""),"",MAX(0,$F18-$G18))</f>
        <v/>
      </c>
      <c r="I18" s="26" t="n"/>
      <c r="J18" s="27">
        <f>IF(AND($A18="",$C18="",$D18=""),"",IF(OR($C18&gt;=1,$D18&gt;=1),"⚠ escribe la hora con dos puntos: 9:00, no 9",IF(AND($C18&lt;&gt;"",$C18=$D18),"⚠ entrada y salida iguales: la jornada no suma",IF(AND($C18&lt;&gt;"",$D18&lt;&gt;"",IF($E18="",0,$E18)&gt;MOD($D18-$C18,1)*24),"⚠ la pausa es mayor que la jornada",IF(AND($A18&lt;&gt;"",COUNTIF('Resumen Mensual'!$A$6:$A$35,$A18&amp;"")=0),"⚠ ese nombre no está en el «Resumen Mensual»: sus horas no se agregan","")))))</f>
        <v/>
      </c>
    </row>
    <row r="19">
      <c r="A19" s="21" t="n"/>
      <c r="B19" s="22" t="n"/>
      <c r="C19" s="23" t="n"/>
      <c r="D19" s="23" t="n"/>
      <c r="E19" s="24" t="n"/>
      <c r="F19" s="8">
        <f>IF(OR($C19="",$D19=""),"",IF(OR($C19&gt;=1,$D19&gt;=1,$C19=$D19,IF($E19="",0,$E19)&gt;MOD($D19-$C19,1)*24),"",ROUND(MOD($D19-$C19,1)*24-IF($E19="",0,$E19),2)))</f>
        <v/>
      </c>
      <c r="G19" s="25" t="n">
        <v>8</v>
      </c>
      <c r="H19" s="8">
        <f>IF(OR($F19="",$G19=""),"",MAX(0,$F19-$G19))</f>
        <v/>
      </c>
      <c r="I19" s="26" t="n"/>
      <c r="J19" s="27">
        <f>IF(AND($A19="",$C19="",$D19=""),"",IF(OR($C19&gt;=1,$D19&gt;=1),"⚠ escribe la hora con dos puntos: 9:00, no 9",IF(AND($C19&lt;&gt;"",$C19=$D19),"⚠ entrada y salida iguales: la jornada no suma",IF(AND($C19&lt;&gt;"",$D19&lt;&gt;"",IF($E19="",0,$E19)&gt;MOD($D19-$C19,1)*24),"⚠ la pausa es mayor que la jornada",IF(AND($A19&lt;&gt;"",COUNTIF('Resumen Mensual'!$A$6:$A$35,$A19&amp;"")=0),"⚠ ese nombre no está en el «Resumen Mensual»: sus horas no se agregan","")))))</f>
        <v/>
      </c>
    </row>
    <row r="20">
      <c r="A20" s="21" t="n"/>
      <c r="B20" s="22" t="n"/>
      <c r="C20" s="23" t="n"/>
      <c r="D20" s="23" t="n"/>
      <c r="E20" s="24" t="n"/>
      <c r="F20" s="8">
        <f>IF(OR($C20="",$D20=""),"",IF(OR($C20&gt;=1,$D20&gt;=1,$C20=$D20,IF($E20="",0,$E20)&gt;MOD($D20-$C20,1)*24),"",ROUND(MOD($D20-$C20,1)*24-IF($E20="",0,$E20),2)))</f>
        <v/>
      </c>
      <c r="G20" s="25" t="n">
        <v>8</v>
      </c>
      <c r="H20" s="8">
        <f>IF(OR($F20="",$G20=""),"",MAX(0,$F20-$G20))</f>
        <v/>
      </c>
      <c r="I20" s="26" t="n"/>
      <c r="J20" s="27">
        <f>IF(AND($A20="",$C20="",$D20=""),"",IF(OR($C20&gt;=1,$D20&gt;=1),"⚠ escribe la hora con dos puntos: 9:00, no 9",IF(AND($C20&lt;&gt;"",$C20=$D20),"⚠ entrada y salida iguales: la jornada no suma",IF(AND($C20&lt;&gt;"",$D20&lt;&gt;"",IF($E20="",0,$E20)&gt;MOD($D20-$C20,1)*24),"⚠ la pausa es mayor que la jornada",IF(AND($A20&lt;&gt;"",COUNTIF('Resumen Mensual'!$A$6:$A$35,$A20&amp;"")=0),"⚠ ese nombre no está en el «Resumen Mensual»: sus horas no se agregan","")))))</f>
        <v/>
      </c>
    </row>
    <row r="21">
      <c r="A21" s="21" t="n"/>
      <c r="B21" s="22" t="n"/>
      <c r="C21" s="23" t="n"/>
      <c r="D21" s="23" t="n"/>
      <c r="E21" s="24" t="n"/>
      <c r="F21" s="8">
        <f>IF(OR($C21="",$D21=""),"",IF(OR($C21&gt;=1,$D21&gt;=1,$C21=$D21,IF($E21="",0,$E21)&gt;MOD($D21-$C21,1)*24),"",ROUND(MOD($D21-$C21,1)*24-IF($E21="",0,$E21),2)))</f>
        <v/>
      </c>
      <c r="G21" s="25" t="n">
        <v>8</v>
      </c>
      <c r="H21" s="8">
        <f>IF(OR($F21="",$G21=""),"",MAX(0,$F21-$G21))</f>
        <v/>
      </c>
      <c r="I21" s="26" t="n"/>
      <c r="J21" s="27">
        <f>IF(AND($A21="",$C21="",$D21=""),"",IF(OR($C21&gt;=1,$D21&gt;=1),"⚠ escribe la hora con dos puntos: 9:00, no 9",IF(AND($C21&lt;&gt;"",$C21=$D21),"⚠ entrada y salida iguales: la jornada no suma",IF(AND($C21&lt;&gt;"",$D21&lt;&gt;"",IF($E21="",0,$E21)&gt;MOD($D21-$C21,1)*24),"⚠ la pausa es mayor que la jornada",IF(AND($A21&lt;&gt;"",COUNTIF('Resumen Mensual'!$A$6:$A$35,$A21&amp;"")=0),"⚠ ese nombre no está en el «Resumen Mensual»: sus horas no se agregan","")))))</f>
        <v/>
      </c>
    </row>
    <row r="22">
      <c r="A22" s="21" t="n"/>
      <c r="B22" s="22" t="n"/>
      <c r="C22" s="23" t="n"/>
      <c r="D22" s="23" t="n"/>
      <c r="E22" s="24" t="n"/>
      <c r="F22" s="8">
        <f>IF(OR($C22="",$D22=""),"",IF(OR($C22&gt;=1,$D22&gt;=1,$C22=$D22,IF($E22="",0,$E22)&gt;MOD($D22-$C22,1)*24),"",ROUND(MOD($D22-$C22,1)*24-IF($E22="",0,$E22),2)))</f>
        <v/>
      </c>
      <c r="G22" s="25" t="n">
        <v>8</v>
      </c>
      <c r="H22" s="8">
        <f>IF(OR($F22="",$G22=""),"",MAX(0,$F22-$G22))</f>
        <v/>
      </c>
      <c r="I22" s="26" t="n"/>
      <c r="J22" s="27">
        <f>IF(AND($A22="",$C22="",$D22=""),"",IF(OR($C22&gt;=1,$D22&gt;=1),"⚠ escribe la hora con dos puntos: 9:00, no 9",IF(AND($C22&lt;&gt;"",$C22=$D22),"⚠ entrada y salida iguales: la jornada no suma",IF(AND($C22&lt;&gt;"",$D22&lt;&gt;"",IF($E22="",0,$E22)&gt;MOD($D22-$C22,1)*24),"⚠ la pausa es mayor que la jornada",IF(AND($A22&lt;&gt;"",COUNTIF('Resumen Mensual'!$A$6:$A$35,$A22&amp;"")=0),"⚠ ese nombre no está en el «Resumen Mensual»: sus horas no se agregan","")))))</f>
        <v/>
      </c>
    </row>
    <row r="23">
      <c r="A23" s="21" t="n"/>
      <c r="B23" s="22" t="n"/>
      <c r="C23" s="23" t="n"/>
      <c r="D23" s="23" t="n"/>
      <c r="E23" s="24" t="n"/>
      <c r="F23" s="8">
        <f>IF(OR($C23="",$D23=""),"",IF(OR($C23&gt;=1,$D23&gt;=1,$C23=$D23,IF($E23="",0,$E23)&gt;MOD($D23-$C23,1)*24),"",ROUND(MOD($D23-$C23,1)*24-IF($E23="",0,$E23),2)))</f>
        <v/>
      </c>
      <c r="G23" s="25" t="n">
        <v>8</v>
      </c>
      <c r="H23" s="8">
        <f>IF(OR($F23="",$G23=""),"",MAX(0,$F23-$G23))</f>
        <v/>
      </c>
      <c r="I23" s="26" t="n"/>
      <c r="J23" s="27">
        <f>IF(AND($A23="",$C23="",$D23=""),"",IF(OR($C23&gt;=1,$D23&gt;=1),"⚠ escribe la hora con dos puntos: 9:00, no 9",IF(AND($C23&lt;&gt;"",$C23=$D23),"⚠ entrada y salida iguales: la jornada no suma",IF(AND($C23&lt;&gt;"",$D23&lt;&gt;"",IF($E23="",0,$E23)&gt;MOD($D23-$C23,1)*24),"⚠ la pausa es mayor que la jornada",IF(AND($A23&lt;&gt;"",COUNTIF('Resumen Mensual'!$A$6:$A$35,$A23&amp;"")=0),"⚠ ese nombre no está en el «Resumen Mensual»: sus horas no se agregan","")))))</f>
        <v/>
      </c>
    </row>
    <row r="24">
      <c r="A24" s="21" t="n"/>
      <c r="B24" s="22" t="n"/>
      <c r="C24" s="23" t="n"/>
      <c r="D24" s="23" t="n"/>
      <c r="E24" s="24" t="n"/>
      <c r="F24" s="8">
        <f>IF(OR($C24="",$D24=""),"",IF(OR($C24&gt;=1,$D24&gt;=1,$C24=$D24,IF($E24="",0,$E24)&gt;MOD($D24-$C24,1)*24),"",ROUND(MOD($D24-$C24,1)*24-IF($E24="",0,$E24),2)))</f>
        <v/>
      </c>
      <c r="G24" s="25" t="n">
        <v>8</v>
      </c>
      <c r="H24" s="8">
        <f>IF(OR($F24="",$G24=""),"",MAX(0,$F24-$G24))</f>
        <v/>
      </c>
      <c r="I24" s="26" t="n"/>
      <c r="J24" s="27">
        <f>IF(AND($A24="",$C24="",$D24=""),"",IF(OR($C24&gt;=1,$D24&gt;=1),"⚠ escribe la hora con dos puntos: 9:00, no 9",IF(AND($C24&lt;&gt;"",$C24=$D24),"⚠ entrada y salida iguales: la jornada no suma",IF(AND($C24&lt;&gt;"",$D24&lt;&gt;"",IF($E24="",0,$E24)&gt;MOD($D24-$C24,1)*24),"⚠ la pausa es mayor que la jornada",IF(AND($A24&lt;&gt;"",COUNTIF('Resumen Mensual'!$A$6:$A$35,$A24&amp;"")=0),"⚠ ese nombre no está en el «Resumen Mensual»: sus horas no se agregan","")))))</f>
        <v/>
      </c>
    </row>
    <row r="25">
      <c r="A25" s="21" t="n"/>
      <c r="B25" s="22" t="n"/>
      <c r="C25" s="23" t="n"/>
      <c r="D25" s="23" t="n"/>
      <c r="E25" s="24" t="n"/>
      <c r="F25" s="8">
        <f>IF(OR($C25="",$D25=""),"",IF(OR($C25&gt;=1,$D25&gt;=1,$C25=$D25,IF($E25="",0,$E25)&gt;MOD($D25-$C25,1)*24),"",ROUND(MOD($D25-$C25,1)*24-IF($E25="",0,$E25),2)))</f>
        <v/>
      </c>
      <c r="G25" s="25" t="n">
        <v>8</v>
      </c>
      <c r="H25" s="8">
        <f>IF(OR($F25="",$G25=""),"",MAX(0,$F25-$G25))</f>
        <v/>
      </c>
      <c r="I25" s="26" t="n"/>
      <c r="J25" s="27">
        <f>IF(AND($A25="",$C25="",$D25=""),"",IF(OR($C25&gt;=1,$D25&gt;=1),"⚠ escribe la hora con dos puntos: 9:00, no 9",IF(AND($C25&lt;&gt;"",$C25=$D25),"⚠ entrada y salida iguales: la jornada no suma",IF(AND($C25&lt;&gt;"",$D25&lt;&gt;"",IF($E25="",0,$E25)&gt;MOD($D25-$C25,1)*24),"⚠ la pausa es mayor que la jornada",IF(AND($A25&lt;&gt;"",COUNTIF('Resumen Mensual'!$A$6:$A$35,$A25&amp;"")=0),"⚠ ese nombre no está en el «Resumen Mensual»: sus horas no se agregan","")))))</f>
        <v/>
      </c>
    </row>
    <row r="26">
      <c r="A26" s="21" t="n"/>
      <c r="B26" s="22" t="n"/>
      <c r="C26" s="23" t="n"/>
      <c r="D26" s="23" t="n"/>
      <c r="E26" s="24" t="n"/>
      <c r="F26" s="8">
        <f>IF(OR($C26="",$D26=""),"",IF(OR($C26&gt;=1,$D26&gt;=1,$C26=$D26,IF($E26="",0,$E26)&gt;MOD($D26-$C26,1)*24),"",ROUND(MOD($D26-$C26,1)*24-IF($E26="",0,$E26),2)))</f>
        <v/>
      </c>
      <c r="G26" s="25" t="n">
        <v>8</v>
      </c>
      <c r="H26" s="8">
        <f>IF(OR($F26="",$G26=""),"",MAX(0,$F26-$G26))</f>
        <v/>
      </c>
      <c r="I26" s="26" t="n"/>
      <c r="J26" s="27">
        <f>IF(AND($A26="",$C26="",$D26=""),"",IF(OR($C26&gt;=1,$D26&gt;=1),"⚠ escribe la hora con dos puntos: 9:00, no 9",IF(AND($C26&lt;&gt;"",$C26=$D26),"⚠ entrada y salida iguales: la jornada no suma",IF(AND($C26&lt;&gt;"",$D26&lt;&gt;"",IF($E26="",0,$E26)&gt;MOD($D26-$C26,1)*24),"⚠ la pausa es mayor que la jornada",IF(AND($A26&lt;&gt;"",COUNTIF('Resumen Mensual'!$A$6:$A$35,$A26&amp;"")=0),"⚠ ese nombre no está en el «Resumen Mensual»: sus horas no se agregan","")))))</f>
        <v/>
      </c>
    </row>
    <row r="27">
      <c r="A27" s="21" t="n"/>
      <c r="B27" s="22" t="n"/>
      <c r="C27" s="23" t="n"/>
      <c r="D27" s="23" t="n"/>
      <c r="E27" s="24" t="n"/>
      <c r="F27" s="8">
        <f>IF(OR($C27="",$D27=""),"",IF(OR($C27&gt;=1,$D27&gt;=1,$C27=$D27,IF($E27="",0,$E27)&gt;MOD($D27-$C27,1)*24),"",ROUND(MOD($D27-$C27,1)*24-IF($E27="",0,$E27),2)))</f>
        <v/>
      </c>
      <c r="G27" s="25" t="n">
        <v>8</v>
      </c>
      <c r="H27" s="8">
        <f>IF(OR($F27="",$G27=""),"",MAX(0,$F27-$G27))</f>
        <v/>
      </c>
      <c r="I27" s="26" t="n"/>
      <c r="J27" s="27">
        <f>IF(AND($A27="",$C27="",$D27=""),"",IF(OR($C27&gt;=1,$D27&gt;=1),"⚠ escribe la hora con dos puntos: 9:00, no 9",IF(AND($C27&lt;&gt;"",$C27=$D27),"⚠ entrada y salida iguales: la jornada no suma",IF(AND($C27&lt;&gt;"",$D27&lt;&gt;"",IF($E27="",0,$E27)&gt;MOD($D27-$C27,1)*24),"⚠ la pausa es mayor que la jornada",IF(AND($A27&lt;&gt;"",COUNTIF('Resumen Mensual'!$A$6:$A$35,$A27&amp;"")=0),"⚠ ese nombre no está en el «Resumen Mensual»: sus horas no se agregan","")))))</f>
        <v/>
      </c>
    </row>
    <row r="28">
      <c r="A28" s="21" t="n"/>
      <c r="B28" s="22" t="n"/>
      <c r="C28" s="23" t="n"/>
      <c r="D28" s="23" t="n"/>
      <c r="E28" s="24" t="n"/>
      <c r="F28" s="8">
        <f>IF(OR($C28="",$D28=""),"",IF(OR($C28&gt;=1,$D28&gt;=1,$C28=$D28,IF($E28="",0,$E28)&gt;MOD($D28-$C28,1)*24),"",ROUND(MOD($D28-$C28,1)*24-IF($E28="",0,$E28),2)))</f>
        <v/>
      </c>
      <c r="G28" s="25" t="n">
        <v>8</v>
      </c>
      <c r="H28" s="8">
        <f>IF(OR($F28="",$G28=""),"",MAX(0,$F28-$G28))</f>
        <v/>
      </c>
      <c r="I28" s="26" t="n"/>
      <c r="J28" s="27">
        <f>IF(AND($A28="",$C28="",$D28=""),"",IF(OR($C28&gt;=1,$D28&gt;=1),"⚠ escribe la hora con dos puntos: 9:00, no 9",IF(AND($C28&lt;&gt;"",$C28=$D28),"⚠ entrada y salida iguales: la jornada no suma",IF(AND($C28&lt;&gt;"",$D28&lt;&gt;"",IF($E28="",0,$E28)&gt;MOD($D28-$C28,1)*24),"⚠ la pausa es mayor que la jornada",IF(AND($A28&lt;&gt;"",COUNTIF('Resumen Mensual'!$A$6:$A$35,$A28&amp;"")=0),"⚠ ese nombre no está en el «Resumen Mensual»: sus horas no se agregan","")))))</f>
        <v/>
      </c>
    </row>
    <row r="29">
      <c r="A29" s="21" t="n"/>
      <c r="B29" s="22" t="n"/>
      <c r="C29" s="23" t="n"/>
      <c r="D29" s="23" t="n"/>
      <c r="E29" s="24" t="n"/>
      <c r="F29" s="8">
        <f>IF(OR($C29="",$D29=""),"",IF(OR($C29&gt;=1,$D29&gt;=1,$C29=$D29,IF($E29="",0,$E29)&gt;MOD($D29-$C29,1)*24),"",ROUND(MOD($D29-$C29,1)*24-IF($E29="",0,$E29),2)))</f>
        <v/>
      </c>
      <c r="G29" s="25" t="n">
        <v>8</v>
      </c>
      <c r="H29" s="8">
        <f>IF(OR($F29="",$G29=""),"",MAX(0,$F29-$G29))</f>
        <v/>
      </c>
      <c r="I29" s="26" t="n"/>
      <c r="J29" s="27">
        <f>IF(AND($A29="",$C29="",$D29=""),"",IF(OR($C29&gt;=1,$D29&gt;=1),"⚠ escribe la hora con dos puntos: 9:00, no 9",IF(AND($C29&lt;&gt;"",$C29=$D29),"⚠ entrada y salida iguales: la jornada no suma",IF(AND($C29&lt;&gt;"",$D29&lt;&gt;"",IF($E29="",0,$E29)&gt;MOD($D29-$C29,1)*24),"⚠ la pausa es mayor que la jornada",IF(AND($A29&lt;&gt;"",COUNTIF('Resumen Mensual'!$A$6:$A$35,$A29&amp;"")=0),"⚠ ese nombre no está en el «Resumen Mensual»: sus horas no se agregan","")))))</f>
        <v/>
      </c>
    </row>
    <row r="30">
      <c r="A30" s="21" t="n"/>
      <c r="B30" s="22" t="n"/>
      <c r="C30" s="23" t="n"/>
      <c r="D30" s="23" t="n"/>
      <c r="E30" s="24" t="n"/>
      <c r="F30" s="8">
        <f>IF(OR($C30="",$D30=""),"",IF(OR($C30&gt;=1,$D30&gt;=1,$C30=$D30,IF($E30="",0,$E30)&gt;MOD($D30-$C30,1)*24),"",ROUND(MOD($D30-$C30,1)*24-IF($E30="",0,$E30),2)))</f>
        <v/>
      </c>
      <c r="G30" s="25" t="n">
        <v>8</v>
      </c>
      <c r="H30" s="8">
        <f>IF(OR($F30="",$G30=""),"",MAX(0,$F30-$G30))</f>
        <v/>
      </c>
      <c r="I30" s="26" t="n"/>
      <c r="J30" s="27">
        <f>IF(AND($A30="",$C30="",$D30=""),"",IF(OR($C30&gt;=1,$D30&gt;=1),"⚠ escribe la hora con dos puntos: 9:00, no 9",IF(AND($C30&lt;&gt;"",$C30=$D30),"⚠ entrada y salida iguales: la jornada no suma",IF(AND($C30&lt;&gt;"",$D30&lt;&gt;"",IF($E30="",0,$E30)&gt;MOD($D30-$C30,1)*24),"⚠ la pausa es mayor que la jornada",IF(AND($A30&lt;&gt;"",COUNTIF('Resumen Mensual'!$A$6:$A$35,$A30&amp;"")=0),"⚠ ese nombre no está en el «Resumen Mensual»: sus horas no se agregan","")))))</f>
        <v/>
      </c>
    </row>
    <row r="31">
      <c r="A31" s="21" t="n"/>
      <c r="B31" s="22" t="n"/>
      <c r="C31" s="23" t="n"/>
      <c r="D31" s="23" t="n"/>
      <c r="E31" s="24" t="n"/>
      <c r="F31" s="8">
        <f>IF(OR($C31="",$D31=""),"",IF(OR($C31&gt;=1,$D31&gt;=1,$C31=$D31,IF($E31="",0,$E31)&gt;MOD($D31-$C31,1)*24),"",ROUND(MOD($D31-$C31,1)*24-IF($E31="",0,$E31),2)))</f>
        <v/>
      </c>
      <c r="G31" s="25" t="n">
        <v>8</v>
      </c>
      <c r="H31" s="8">
        <f>IF(OR($F31="",$G31=""),"",MAX(0,$F31-$G31))</f>
        <v/>
      </c>
      <c r="I31" s="26" t="n"/>
      <c r="J31" s="27">
        <f>IF(AND($A31="",$C31="",$D31=""),"",IF(OR($C31&gt;=1,$D31&gt;=1),"⚠ escribe la hora con dos puntos: 9:00, no 9",IF(AND($C31&lt;&gt;"",$C31=$D31),"⚠ entrada y salida iguales: la jornada no suma",IF(AND($C31&lt;&gt;"",$D31&lt;&gt;"",IF($E31="",0,$E31)&gt;MOD($D31-$C31,1)*24),"⚠ la pausa es mayor que la jornada",IF(AND($A31&lt;&gt;"",COUNTIF('Resumen Mensual'!$A$6:$A$35,$A31&amp;"")=0),"⚠ ese nombre no está en el «Resumen Mensual»: sus horas no se agregan","")))))</f>
        <v/>
      </c>
    </row>
    <row r="32">
      <c r="A32" s="21" t="n"/>
      <c r="B32" s="22" t="n"/>
      <c r="C32" s="23" t="n"/>
      <c r="D32" s="23" t="n"/>
      <c r="E32" s="24" t="n"/>
      <c r="F32" s="8">
        <f>IF(OR($C32="",$D32=""),"",IF(OR($C32&gt;=1,$D32&gt;=1,$C32=$D32,IF($E32="",0,$E32)&gt;MOD($D32-$C32,1)*24),"",ROUND(MOD($D32-$C32,1)*24-IF($E32="",0,$E32),2)))</f>
        <v/>
      </c>
      <c r="G32" s="25" t="n">
        <v>8</v>
      </c>
      <c r="H32" s="8">
        <f>IF(OR($F32="",$G32=""),"",MAX(0,$F32-$G32))</f>
        <v/>
      </c>
      <c r="I32" s="26" t="n"/>
      <c r="J32" s="27">
        <f>IF(AND($A32="",$C32="",$D32=""),"",IF(OR($C32&gt;=1,$D32&gt;=1),"⚠ escribe la hora con dos puntos: 9:00, no 9",IF(AND($C32&lt;&gt;"",$C32=$D32),"⚠ entrada y salida iguales: la jornada no suma",IF(AND($C32&lt;&gt;"",$D32&lt;&gt;"",IF($E32="",0,$E32)&gt;MOD($D32-$C32,1)*24),"⚠ la pausa es mayor que la jornada",IF(AND($A32&lt;&gt;"",COUNTIF('Resumen Mensual'!$A$6:$A$35,$A32&amp;"")=0),"⚠ ese nombre no está en el «Resumen Mensual»: sus horas no se agregan","")))))</f>
        <v/>
      </c>
    </row>
    <row r="33">
      <c r="A33" s="21" t="n"/>
      <c r="B33" s="22" t="n"/>
      <c r="C33" s="23" t="n"/>
      <c r="D33" s="23" t="n"/>
      <c r="E33" s="24" t="n"/>
      <c r="F33" s="8">
        <f>IF(OR($C33="",$D33=""),"",IF(OR($C33&gt;=1,$D33&gt;=1,$C33=$D33,IF($E33="",0,$E33)&gt;MOD($D33-$C33,1)*24),"",ROUND(MOD($D33-$C33,1)*24-IF($E33="",0,$E33),2)))</f>
        <v/>
      </c>
      <c r="G33" s="25" t="n">
        <v>8</v>
      </c>
      <c r="H33" s="8">
        <f>IF(OR($F33="",$G33=""),"",MAX(0,$F33-$G33))</f>
        <v/>
      </c>
      <c r="I33" s="26" t="n"/>
      <c r="J33" s="27">
        <f>IF(AND($A33="",$C33="",$D33=""),"",IF(OR($C33&gt;=1,$D33&gt;=1),"⚠ escribe la hora con dos puntos: 9:00, no 9",IF(AND($C33&lt;&gt;"",$C33=$D33),"⚠ entrada y salida iguales: la jornada no suma",IF(AND($C33&lt;&gt;"",$D33&lt;&gt;"",IF($E33="",0,$E33)&gt;MOD($D33-$C33,1)*24),"⚠ la pausa es mayor que la jornada",IF(AND($A33&lt;&gt;"",COUNTIF('Resumen Mensual'!$A$6:$A$35,$A33&amp;"")=0),"⚠ ese nombre no está en el «Resumen Mensual»: sus horas no se agregan","")))))</f>
        <v/>
      </c>
    </row>
    <row r="34">
      <c r="A34" s="21" t="n"/>
      <c r="B34" s="22" t="n"/>
      <c r="C34" s="23" t="n"/>
      <c r="D34" s="23" t="n"/>
      <c r="E34" s="24" t="n"/>
      <c r="F34" s="8">
        <f>IF(OR($C34="",$D34=""),"",IF(OR($C34&gt;=1,$D34&gt;=1,$C34=$D34,IF($E34="",0,$E34)&gt;MOD($D34-$C34,1)*24),"",ROUND(MOD($D34-$C34,1)*24-IF($E34="",0,$E34),2)))</f>
        <v/>
      </c>
      <c r="G34" s="25" t="n">
        <v>8</v>
      </c>
      <c r="H34" s="8">
        <f>IF(OR($F34="",$G34=""),"",MAX(0,$F34-$G34))</f>
        <v/>
      </c>
      <c r="I34" s="26" t="n"/>
      <c r="J34" s="27">
        <f>IF(AND($A34="",$C34="",$D34=""),"",IF(OR($C34&gt;=1,$D34&gt;=1),"⚠ escribe la hora con dos puntos: 9:00, no 9",IF(AND($C34&lt;&gt;"",$C34=$D34),"⚠ entrada y salida iguales: la jornada no suma",IF(AND($C34&lt;&gt;"",$D34&lt;&gt;"",IF($E34="",0,$E34)&gt;MOD($D34-$C34,1)*24),"⚠ la pausa es mayor que la jornada",IF(AND($A34&lt;&gt;"",COUNTIF('Resumen Mensual'!$A$6:$A$35,$A34&amp;"")=0),"⚠ ese nombre no está en el «Resumen Mensual»: sus horas no se agregan","")))))</f>
        <v/>
      </c>
    </row>
    <row r="35">
      <c r="A35" s="21" t="n"/>
      <c r="B35" s="22" t="n"/>
      <c r="C35" s="23" t="n"/>
      <c r="D35" s="23" t="n"/>
      <c r="E35" s="24" t="n"/>
      <c r="F35" s="8">
        <f>IF(OR($C35="",$D35=""),"",IF(OR($C35&gt;=1,$D35&gt;=1,$C35=$D35,IF($E35="",0,$E35)&gt;MOD($D35-$C35,1)*24),"",ROUND(MOD($D35-$C35,1)*24-IF($E35="",0,$E35),2)))</f>
        <v/>
      </c>
      <c r="G35" s="25" t="n">
        <v>8</v>
      </c>
      <c r="H35" s="8">
        <f>IF(OR($F35="",$G35=""),"",MAX(0,$F35-$G35))</f>
        <v/>
      </c>
      <c r="I35" s="26" t="n"/>
      <c r="J35" s="27">
        <f>IF(AND($A35="",$C35="",$D35=""),"",IF(OR($C35&gt;=1,$D35&gt;=1),"⚠ escribe la hora con dos puntos: 9:00, no 9",IF(AND($C35&lt;&gt;"",$C35=$D35),"⚠ entrada y salida iguales: la jornada no suma",IF(AND($C35&lt;&gt;"",$D35&lt;&gt;"",IF($E35="",0,$E35)&gt;MOD($D35-$C35,1)*24),"⚠ la pausa es mayor que la jornada",IF(AND($A35&lt;&gt;"",COUNTIF('Resumen Mensual'!$A$6:$A$35,$A35&amp;"")=0),"⚠ ese nombre no está en el «Resumen Mensual»: sus horas no se agregan","")))))</f>
        <v/>
      </c>
    </row>
    <row r="36">
      <c r="A36" s="21" t="n"/>
      <c r="B36" s="22" t="n"/>
      <c r="C36" s="23" t="n"/>
      <c r="D36" s="23" t="n"/>
      <c r="E36" s="24" t="n"/>
      <c r="F36" s="8">
        <f>IF(OR($C36="",$D36=""),"",IF(OR($C36&gt;=1,$D36&gt;=1,$C36=$D36,IF($E36="",0,$E36)&gt;MOD($D36-$C36,1)*24),"",ROUND(MOD($D36-$C36,1)*24-IF($E36="",0,$E36),2)))</f>
        <v/>
      </c>
      <c r="G36" s="25" t="n">
        <v>8</v>
      </c>
      <c r="H36" s="8">
        <f>IF(OR($F36="",$G36=""),"",MAX(0,$F36-$G36))</f>
        <v/>
      </c>
      <c r="I36" s="26" t="n"/>
      <c r="J36" s="27">
        <f>IF(AND($A36="",$C36="",$D36=""),"",IF(OR($C36&gt;=1,$D36&gt;=1),"⚠ escribe la hora con dos puntos: 9:00, no 9",IF(AND($C36&lt;&gt;"",$C36=$D36),"⚠ entrada y salida iguales: la jornada no suma",IF(AND($C36&lt;&gt;"",$D36&lt;&gt;"",IF($E36="",0,$E36)&gt;MOD($D36-$C36,1)*24),"⚠ la pausa es mayor que la jornada",IF(AND($A36&lt;&gt;"",COUNTIF('Resumen Mensual'!$A$6:$A$35,$A36&amp;"")=0),"⚠ ese nombre no está en el «Resumen Mensual»: sus horas no se agregan","")))))</f>
        <v/>
      </c>
    </row>
    <row r="37">
      <c r="A37" s="21" t="n"/>
      <c r="B37" s="22" t="n"/>
      <c r="C37" s="23" t="n"/>
      <c r="D37" s="23" t="n"/>
      <c r="E37" s="24" t="n"/>
      <c r="F37" s="8">
        <f>IF(OR($C37="",$D37=""),"",IF(OR($C37&gt;=1,$D37&gt;=1,$C37=$D37,IF($E37="",0,$E37)&gt;MOD($D37-$C37,1)*24),"",ROUND(MOD($D37-$C37,1)*24-IF($E37="",0,$E37),2)))</f>
        <v/>
      </c>
      <c r="G37" s="25" t="n">
        <v>8</v>
      </c>
      <c r="H37" s="8">
        <f>IF(OR($F37="",$G37=""),"",MAX(0,$F37-$G37))</f>
        <v/>
      </c>
      <c r="I37" s="26" t="n"/>
      <c r="J37" s="27">
        <f>IF(AND($A37="",$C37="",$D37=""),"",IF(OR($C37&gt;=1,$D37&gt;=1),"⚠ escribe la hora con dos puntos: 9:00, no 9",IF(AND($C37&lt;&gt;"",$C37=$D37),"⚠ entrada y salida iguales: la jornada no suma",IF(AND($C37&lt;&gt;"",$D37&lt;&gt;"",IF($E37="",0,$E37)&gt;MOD($D37-$C37,1)*24),"⚠ la pausa es mayor que la jornada",IF(AND($A37&lt;&gt;"",COUNTIF('Resumen Mensual'!$A$6:$A$35,$A37&amp;"")=0),"⚠ ese nombre no está en el «Resumen Mensual»: sus horas no se agregan","")))))</f>
        <v/>
      </c>
    </row>
    <row r="38">
      <c r="A38" s="21" t="n"/>
      <c r="B38" s="22" t="n"/>
      <c r="C38" s="23" t="n"/>
      <c r="D38" s="23" t="n"/>
      <c r="E38" s="24" t="n"/>
      <c r="F38" s="8">
        <f>IF(OR($C38="",$D38=""),"",IF(OR($C38&gt;=1,$D38&gt;=1,$C38=$D38,IF($E38="",0,$E38)&gt;MOD($D38-$C38,1)*24),"",ROUND(MOD($D38-$C38,1)*24-IF($E38="",0,$E38),2)))</f>
        <v/>
      </c>
      <c r="G38" s="25" t="n">
        <v>8</v>
      </c>
      <c r="H38" s="8">
        <f>IF(OR($F38="",$G38=""),"",MAX(0,$F38-$G38))</f>
        <v/>
      </c>
      <c r="I38" s="26" t="n"/>
      <c r="J38" s="27">
        <f>IF(AND($A38="",$C38="",$D38=""),"",IF(OR($C38&gt;=1,$D38&gt;=1),"⚠ escribe la hora con dos puntos: 9:00, no 9",IF(AND($C38&lt;&gt;"",$C38=$D38),"⚠ entrada y salida iguales: la jornada no suma",IF(AND($C38&lt;&gt;"",$D38&lt;&gt;"",IF($E38="",0,$E38)&gt;MOD($D38-$C38,1)*24),"⚠ la pausa es mayor que la jornada",IF(AND($A38&lt;&gt;"",COUNTIF('Resumen Mensual'!$A$6:$A$35,$A38&amp;"")=0),"⚠ ese nombre no está en el «Resumen Mensual»: sus horas no se agregan","")))))</f>
        <v/>
      </c>
    </row>
    <row r="39">
      <c r="A39" s="21" t="n"/>
      <c r="B39" s="22" t="n"/>
      <c r="C39" s="23" t="n"/>
      <c r="D39" s="23" t="n"/>
      <c r="E39" s="24" t="n"/>
      <c r="F39" s="8">
        <f>IF(OR($C39="",$D39=""),"",IF(OR($C39&gt;=1,$D39&gt;=1,$C39=$D39,IF($E39="",0,$E39)&gt;MOD($D39-$C39,1)*24),"",ROUND(MOD($D39-$C39,1)*24-IF($E39="",0,$E39),2)))</f>
        <v/>
      </c>
      <c r="G39" s="25" t="n">
        <v>8</v>
      </c>
      <c r="H39" s="8">
        <f>IF(OR($F39="",$G39=""),"",MAX(0,$F39-$G39))</f>
        <v/>
      </c>
      <c r="I39" s="26" t="n"/>
      <c r="J39" s="27">
        <f>IF(AND($A39="",$C39="",$D39=""),"",IF(OR($C39&gt;=1,$D39&gt;=1),"⚠ escribe la hora con dos puntos: 9:00, no 9",IF(AND($C39&lt;&gt;"",$C39=$D39),"⚠ entrada y salida iguales: la jornada no suma",IF(AND($C39&lt;&gt;"",$D39&lt;&gt;"",IF($E39="",0,$E39)&gt;MOD($D39-$C39,1)*24),"⚠ la pausa es mayor que la jornada",IF(AND($A39&lt;&gt;"",COUNTIF('Resumen Mensual'!$A$6:$A$35,$A39&amp;"")=0),"⚠ ese nombre no está en el «Resumen Mensual»: sus horas no se agregan","")))))</f>
        <v/>
      </c>
    </row>
    <row r="40">
      <c r="A40" s="21" t="n"/>
      <c r="B40" s="22" t="n"/>
      <c r="C40" s="23" t="n"/>
      <c r="D40" s="23" t="n"/>
      <c r="E40" s="24" t="n"/>
      <c r="F40" s="8">
        <f>IF(OR($C40="",$D40=""),"",IF(OR($C40&gt;=1,$D40&gt;=1,$C40=$D40,IF($E40="",0,$E40)&gt;MOD($D40-$C40,1)*24),"",ROUND(MOD($D40-$C40,1)*24-IF($E40="",0,$E40),2)))</f>
        <v/>
      </c>
      <c r="G40" s="25" t="n">
        <v>8</v>
      </c>
      <c r="H40" s="8">
        <f>IF(OR($F40="",$G40=""),"",MAX(0,$F40-$G40))</f>
        <v/>
      </c>
      <c r="I40" s="26" t="n"/>
      <c r="J40" s="27">
        <f>IF(AND($A40="",$C40="",$D40=""),"",IF(OR($C40&gt;=1,$D40&gt;=1),"⚠ escribe la hora con dos puntos: 9:00, no 9",IF(AND($C40&lt;&gt;"",$C40=$D40),"⚠ entrada y salida iguales: la jornada no suma",IF(AND($C40&lt;&gt;"",$D40&lt;&gt;"",IF($E40="",0,$E40)&gt;MOD($D40-$C40,1)*24),"⚠ la pausa es mayor que la jornada",IF(AND($A40&lt;&gt;"",COUNTIF('Resumen Mensual'!$A$6:$A$35,$A40&amp;"")=0),"⚠ ese nombre no está en el «Resumen Mensual»: sus horas no se agregan","")))))</f>
        <v/>
      </c>
    </row>
    <row r="41">
      <c r="A41" s="21" t="n"/>
      <c r="B41" s="22" t="n"/>
      <c r="C41" s="23" t="n"/>
      <c r="D41" s="23" t="n"/>
      <c r="E41" s="24" t="n"/>
      <c r="F41" s="8">
        <f>IF(OR($C41="",$D41=""),"",IF(OR($C41&gt;=1,$D41&gt;=1,$C41=$D41,IF($E41="",0,$E41)&gt;MOD($D41-$C41,1)*24),"",ROUND(MOD($D41-$C41,1)*24-IF($E41="",0,$E41),2)))</f>
        <v/>
      </c>
      <c r="G41" s="25" t="n">
        <v>8</v>
      </c>
      <c r="H41" s="8">
        <f>IF(OR($F41="",$G41=""),"",MAX(0,$F41-$G41))</f>
        <v/>
      </c>
      <c r="I41" s="26" t="n"/>
      <c r="J41" s="27">
        <f>IF(AND($A41="",$C41="",$D41=""),"",IF(OR($C41&gt;=1,$D41&gt;=1),"⚠ escribe la hora con dos puntos: 9:00, no 9",IF(AND($C41&lt;&gt;"",$C41=$D41),"⚠ entrada y salida iguales: la jornada no suma",IF(AND($C41&lt;&gt;"",$D41&lt;&gt;"",IF($E41="",0,$E41)&gt;MOD($D41-$C41,1)*24),"⚠ la pausa es mayor que la jornada",IF(AND($A41&lt;&gt;"",COUNTIF('Resumen Mensual'!$A$6:$A$35,$A41&amp;"")=0),"⚠ ese nombre no está en el «Resumen Mensual»: sus horas no se agregan","")))))</f>
        <v/>
      </c>
    </row>
    <row r="42">
      <c r="A42" s="21" t="n"/>
      <c r="B42" s="22" t="n"/>
      <c r="C42" s="23" t="n"/>
      <c r="D42" s="23" t="n"/>
      <c r="E42" s="24" t="n"/>
      <c r="F42" s="8">
        <f>IF(OR($C42="",$D42=""),"",IF(OR($C42&gt;=1,$D42&gt;=1,$C42=$D42,IF($E42="",0,$E42)&gt;MOD($D42-$C42,1)*24),"",ROUND(MOD($D42-$C42,1)*24-IF($E42="",0,$E42),2)))</f>
        <v/>
      </c>
      <c r="G42" s="25" t="n">
        <v>8</v>
      </c>
      <c r="H42" s="8">
        <f>IF(OR($F42="",$G42=""),"",MAX(0,$F42-$G42))</f>
        <v/>
      </c>
      <c r="I42" s="26" t="n"/>
      <c r="J42" s="27">
        <f>IF(AND($A42="",$C42="",$D42=""),"",IF(OR($C42&gt;=1,$D42&gt;=1),"⚠ escribe la hora con dos puntos: 9:00, no 9",IF(AND($C42&lt;&gt;"",$C42=$D42),"⚠ entrada y salida iguales: la jornada no suma",IF(AND($C42&lt;&gt;"",$D42&lt;&gt;"",IF($E42="",0,$E42)&gt;MOD($D42-$C42,1)*24),"⚠ la pausa es mayor que la jornada",IF(AND($A42&lt;&gt;"",COUNTIF('Resumen Mensual'!$A$6:$A$35,$A42&amp;"")=0),"⚠ ese nombre no está en el «Resumen Mensual»: sus horas no se agregan","")))))</f>
        <v/>
      </c>
    </row>
    <row r="43">
      <c r="A43" s="21" t="n"/>
      <c r="B43" s="22" t="n"/>
      <c r="C43" s="23" t="n"/>
      <c r="D43" s="23" t="n"/>
      <c r="E43" s="24" t="n"/>
      <c r="F43" s="8">
        <f>IF(OR($C43="",$D43=""),"",IF(OR($C43&gt;=1,$D43&gt;=1,$C43=$D43,IF($E43="",0,$E43)&gt;MOD($D43-$C43,1)*24),"",ROUND(MOD($D43-$C43,1)*24-IF($E43="",0,$E43),2)))</f>
        <v/>
      </c>
      <c r="G43" s="25" t="n">
        <v>8</v>
      </c>
      <c r="H43" s="8">
        <f>IF(OR($F43="",$G43=""),"",MAX(0,$F43-$G43))</f>
        <v/>
      </c>
      <c r="I43" s="26" t="n"/>
      <c r="J43" s="27">
        <f>IF(AND($A43="",$C43="",$D43=""),"",IF(OR($C43&gt;=1,$D43&gt;=1),"⚠ escribe la hora con dos puntos: 9:00, no 9",IF(AND($C43&lt;&gt;"",$C43=$D43),"⚠ entrada y salida iguales: la jornada no suma",IF(AND($C43&lt;&gt;"",$D43&lt;&gt;"",IF($E43="",0,$E43)&gt;MOD($D43-$C43,1)*24),"⚠ la pausa es mayor que la jornada",IF(AND($A43&lt;&gt;"",COUNTIF('Resumen Mensual'!$A$6:$A$35,$A43&amp;"")=0),"⚠ ese nombre no está en el «Resumen Mensual»: sus horas no se agregan","")))))</f>
        <v/>
      </c>
    </row>
    <row r="44">
      <c r="A44" s="21" t="n"/>
      <c r="B44" s="22" t="n"/>
      <c r="C44" s="23" t="n"/>
      <c r="D44" s="23" t="n"/>
      <c r="E44" s="24" t="n"/>
      <c r="F44" s="8">
        <f>IF(OR($C44="",$D44=""),"",IF(OR($C44&gt;=1,$D44&gt;=1,$C44=$D44,IF($E44="",0,$E44)&gt;MOD($D44-$C44,1)*24),"",ROUND(MOD($D44-$C44,1)*24-IF($E44="",0,$E44),2)))</f>
        <v/>
      </c>
      <c r="G44" s="25" t="n">
        <v>8</v>
      </c>
      <c r="H44" s="8">
        <f>IF(OR($F44="",$G44=""),"",MAX(0,$F44-$G44))</f>
        <v/>
      </c>
      <c r="I44" s="26" t="n"/>
      <c r="J44" s="27">
        <f>IF(AND($A44="",$C44="",$D44=""),"",IF(OR($C44&gt;=1,$D44&gt;=1),"⚠ escribe la hora con dos puntos: 9:00, no 9",IF(AND($C44&lt;&gt;"",$C44=$D44),"⚠ entrada y salida iguales: la jornada no suma",IF(AND($C44&lt;&gt;"",$D44&lt;&gt;"",IF($E44="",0,$E44)&gt;MOD($D44-$C44,1)*24),"⚠ la pausa es mayor que la jornada",IF(AND($A44&lt;&gt;"",COUNTIF('Resumen Mensual'!$A$6:$A$35,$A44&amp;"")=0),"⚠ ese nombre no está en el «Resumen Mensual»: sus horas no se agregan","")))))</f>
        <v/>
      </c>
    </row>
    <row r="45">
      <c r="A45" s="21" t="n"/>
      <c r="B45" s="22" t="n"/>
      <c r="C45" s="23" t="n"/>
      <c r="D45" s="23" t="n"/>
      <c r="E45" s="24" t="n"/>
      <c r="F45" s="8">
        <f>IF(OR($C45="",$D45=""),"",IF(OR($C45&gt;=1,$D45&gt;=1,$C45=$D45,IF($E45="",0,$E45)&gt;MOD($D45-$C45,1)*24),"",ROUND(MOD($D45-$C45,1)*24-IF($E45="",0,$E45),2)))</f>
        <v/>
      </c>
      <c r="G45" s="25" t="n">
        <v>8</v>
      </c>
      <c r="H45" s="8">
        <f>IF(OR($F45="",$G45=""),"",MAX(0,$F45-$G45))</f>
        <v/>
      </c>
      <c r="I45" s="26" t="n"/>
      <c r="J45" s="27">
        <f>IF(AND($A45="",$C45="",$D45=""),"",IF(OR($C45&gt;=1,$D45&gt;=1),"⚠ escribe la hora con dos puntos: 9:00, no 9",IF(AND($C45&lt;&gt;"",$C45=$D45),"⚠ entrada y salida iguales: la jornada no suma",IF(AND($C45&lt;&gt;"",$D45&lt;&gt;"",IF($E45="",0,$E45)&gt;MOD($D45-$C45,1)*24),"⚠ la pausa es mayor que la jornada",IF(AND($A45&lt;&gt;"",COUNTIF('Resumen Mensual'!$A$6:$A$35,$A45&amp;"")=0),"⚠ ese nombre no está en el «Resumen Mensual»: sus horas no se agregan","")))))</f>
        <v/>
      </c>
    </row>
    <row r="46">
      <c r="A46" s="21" t="n"/>
      <c r="B46" s="22" t="n"/>
      <c r="C46" s="23" t="n"/>
      <c r="D46" s="23" t="n"/>
      <c r="E46" s="24" t="n"/>
      <c r="F46" s="8">
        <f>IF(OR($C46="",$D46=""),"",IF(OR($C46&gt;=1,$D46&gt;=1,$C46=$D46,IF($E46="",0,$E46)&gt;MOD($D46-$C46,1)*24),"",ROUND(MOD($D46-$C46,1)*24-IF($E46="",0,$E46),2)))</f>
        <v/>
      </c>
      <c r="G46" s="25" t="n">
        <v>8</v>
      </c>
      <c r="H46" s="8">
        <f>IF(OR($F46="",$G46=""),"",MAX(0,$F46-$G46))</f>
        <v/>
      </c>
      <c r="I46" s="26" t="n"/>
      <c r="J46" s="27">
        <f>IF(AND($A46="",$C46="",$D46=""),"",IF(OR($C46&gt;=1,$D46&gt;=1),"⚠ escribe la hora con dos puntos: 9:00, no 9",IF(AND($C46&lt;&gt;"",$C46=$D46),"⚠ entrada y salida iguales: la jornada no suma",IF(AND($C46&lt;&gt;"",$D46&lt;&gt;"",IF($E46="",0,$E46)&gt;MOD($D46-$C46,1)*24),"⚠ la pausa es mayor que la jornada",IF(AND($A46&lt;&gt;"",COUNTIF('Resumen Mensual'!$A$6:$A$35,$A46&amp;"")=0),"⚠ ese nombre no está en el «Resumen Mensual»: sus horas no se agregan","")))))</f>
        <v/>
      </c>
    </row>
    <row r="47">
      <c r="A47" s="21" t="n"/>
      <c r="B47" s="22" t="n"/>
      <c r="C47" s="23" t="n"/>
      <c r="D47" s="23" t="n"/>
      <c r="E47" s="24" t="n"/>
      <c r="F47" s="8">
        <f>IF(OR($C47="",$D47=""),"",IF(OR($C47&gt;=1,$D47&gt;=1,$C47=$D47,IF($E47="",0,$E47)&gt;MOD($D47-$C47,1)*24),"",ROUND(MOD($D47-$C47,1)*24-IF($E47="",0,$E47),2)))</f>
        <v/>
      </c>
      <c r="G47" s="25" t="n">
        <v>8</v>
      </c>
      <c r="H47" s="8">
        <f>IF(OR($F47="",$G47=""),"",MAX(0,$F47-$G47))</f>
        <v/>
      </c>
      <c r="I47" s="26" t="n"/>
      <c r="J47" s="27">
        <f>IF(AND($A47="",$C47="",$D47=""),"",IF(OR($C47&gt;=1,$D47&gt;=1),"⚠ escribe la hora con dos puntos: 9:00, no 9",IF(AND($C47&lt;&gt;"",$C47=$D47),"⚠ entrada y salida iguales: la jornada no suma",IF(AND($C47&lt;&gt;"",$D47&lt;&gt;"",IF($E47="",0,$E47)&gt;MOD($D47-$C47,1)*24),"⚠ la pausa es mayor que la jornada",IF(AND($A47&lt;&gt;"",COUNTIF('Resumen Mensual'!$A$6:$A$35,$A47&amp;"")=0),"⚠ ese nombre no está en el «Resumen Mensual»: sus horas no se agregan","")))))</f>
        <v/>
      </c>
    </row>
    <row r="48">
      <c r="A48" s="21" t="n"/>
      <c r="B48" s="22" t="n"/>
      <c r="C48" s="23" t="n"/>
      <c r="D48" s="23" t="n"/>
      <c r="E48" s="24" t="n"/>
      <c r="F48" s="8">
        <f>IF(OR($C48="",$D48=""),"",IF(OR($C48&gt;=1,$D48&gt;=1,$C48=$D48,IF($E48="",0,$E48)&gt;MOD($D48-$C48,1)*24),"",ROUND(MOD($D48-$C48,1)*24-IF($E48="",0,$E48),2)))</f>
        <v/>
      </c>
      <c r="G48" s="25" t="n">
        <v>8</v>
      </c>
      <c r="H48" s="8">
        <f>IF(OR($F48="",$G48=""),"",MAX(0,$F48-$G48))</f>
        <v/>
      </c>
      <c r="I48" s="26" t="n"/>
      <c r="J48" s="27">
        <f>IF(AND($A48="",$C48="",$D48=""),"",IF(OR($C48&gt;=1,$D48&gt;=1),"⚠ escribe la hora con dos puntos: 9:00, no 9",IF(AND($C48&lt;&gt;"",$C48=$D48),"⚠ entrada y salida iguales: la jornada no suma",IF(AND($C48&lt;&gt;"",$D48&lt;&gt;"",IF($E48="",0,$E48)&gt;MOD($D48-$C48,1)*24),"⚠ la pausa es mayor que la jornada",IF(AND($A48&lt;&gt;"",COUNTIF('Resumen Mensual'!$A$6:$A$35,$A48&amp;"")=0),"⚠ ese nombre no está en el «Resumen Mensual»: sus horas no se agregan","")))))</f>
        <v/>
      </c>
    </row>
    <row r="49">
      <c r="A49" s="21" t="n"/>
      <c r="B49" s="22" t="n"/>
      <c r="C49" s="23" t="n"/>
      <c r="D49" s="23" t="n"/>
      <c r="E49" s="24" t="n"/>
      <c r="F49" s="8">
        <f>IF(OR($C49="",$D49=""),"",IF(OR($C49&gt;=1,$D49&gt;=1,$C49=$D49,IF($E49="",0,$E49)&gt;MOD($D49-$C49,1)*24),"",ROUND(MOD($D49-$C49,1)*24-IF($E49="",0,$E49),2)))</f>
        <v/>
      </c>
      <c r="G49" s="25" t="n">
        <v>8</v>
      </c>
      <c r="H49" s="8">
        <f>IF(OR($F49="",$G49=""),"",MAX(0,$F49-$G49))</f>
        <v/>
      </c>
      <c r="I49" s="26" t="n"/>
      <c r="J49" s="27">
        <f>IF(AND($A49="",$C49="",$D49=""),"",IF(OR($C49&gt;=1,$D49&gt;=1),"⚠ escribe la hora con dos puntos: 9:00, no 9",IF(AND($C49&lt;&gt;"",$C49=$D49),"⚠ entrada y salida iguales: la jornada no suma",IF(AND($C49&lt;&gt;"",$D49&lt;&gt;"",IF($E49="",0,$E49)&gt;MOD($D49-$C49,1)*24),"⚠ la pausa es mayor que la jornada",IF(AND($A49&lt;&gt;"",COUNTIF('Resumen Mensual'!$A$6:$A$35,$A49&amp;"")=0),"⚠ ese nombre no está en el «Resumen Mensual»: sus horas no se agregan","")))))</f>
        <v/>
      </c>
    </row>
    <row r="50">
      <c r="A50" s="21" t="n"/>
      <c r="B50" s="22" t="n"/>
      <c r="C50" s="23" t="n"/>
      <c r="D50" s="23" t="n"/>
      <c r="E50" s="24" t="n"/>
      <c r="F50" s="8">
        <f>IF(OR($C50="",$D50=""),"",IF(OR($C50&gt;=1,$D50&gt;=1,$C50=$D50,IF($E50="",0,$E50)&gt;MOD($D50-$C50,1)*24),"",ROUND(MOD($D50-$C50,1)*24-IF($E50="",0,$E50),2)))</f>
        <v/>
      </c>
      <c r="G50" s="25" t="n">
        <v>8</v>
      </c>
      <c r="H50" s="8">
        <f>IF(OR($F50="",$G50=""),"",MAX(0,$F50-$G50))</f>
        <v/>
      </c>
      <c r="I50" s="26" t="n"/>
      <c r="J50" s="27">
        <f>IF(AND($A50="",$C50="",$D50=""),"",IF(OR($C50&gt;=1,$D50&gt;=1),"⚠ escribe la hora con dos puntos: 9:00, no 9",IF(AND($C50&lt;&gt;"",$C50=$D50),"⚠ entrada y salida iguales: la jornada no suma",IF(AND($C50&lt;&gt;"",$D50&lt;&gt;"",IF($E50="",0,$E50)&gt;MOD($D50-$C50,1)*24),"⚠ la pausa es mayor que la jornada",IF(AND($A50&lt;&gt;"",COUNTIF('Resumen Mensual'!$A$6:$A$35,$A50&amp;"")=0),"⚠ ese nombre no está en el «Resumen Mensual»: sus horas no se agregan","")))))</f>
        <v/>
      </c>
    </row>
    <row r="51">
      <c r="A51" s="21" t="n"/>
      <c r="B51" s="22" t="n"/>
      <c r="C51" s="23" t="n"/>
      <c r="D51" s="23" t="n"/>
      <c r="E51" s="24" t="n"/>
      <c r="F51" s="8">
        <f>IF(OR($C51="",$D51=""),"",IF(OR($C51&gt;=1,$D51&gt;=1,$C51=$D51,IF($E51="",0,$E51)&gt;MOD($D51-$C51,1)*24),"",ROUND(MOD($D51-$C51,1)*24-IF($E51="",0,$E51),2)))</f>
        <v/>
      </c>
      <c r="G51" s="25" t="n">
        <v>8</v>
      </c>
      <c r="H51" s="8">
        <f>IF(OR($F51="",$G51=""),"",MAX(0,$F51-$G51))</f>
        <v/>
      </c>
      <c r="I51" s="26" t="n"/>
      <c r="J51" s="27">
        <f>IF(AND($A51="",$C51="",$D51=""),"",IF(OR($C51&gt;=1,$D51&gt;=1),"⚠ escribe la hora con dos puntos: 9:00, no 9",IF(AND($C51&lt;&gt;"",$C51=$D51),"⚠ entrada y salida iguales: la jornada no suma",IF(AND($C51&lt;&gt;"",$D51&lt;&gt;"",IF($E51="",0,$E51)&gt;MOD($D51-$C51,1)*24),"⚠ la pausa es mayor que la jornada",IF(AND($A51&lt;&gt;"",COUNTIF('Resumen Mensual'!$A$6:$A$35,$A51&amp;"")=0),"⚠ ese nombre no está en el «Resumen Mensual»: sus horas no se agregan","")))))</f>
        <v/>
      </c>
    </row>
    <row r="52">
      <c r="A52" s="21" t="n"/>
      <c r="B52" s="22" t="n"/>
      <c r="C52" s="23" t="n"/>
      <c r="D52" s="23" t="n"/>
      <c r="E52" s="24" t="n"/>
      <c r="F52" s="8">
        <f>IF(OR($C52="",$D52=""),"",IF(OR($C52&gt;=1,$D52&gt;=1,$C52=$D52,IF($E52="",0,$E52)&gt;MOD($D52-$C52,1)*24),"",ROUND(MOD($D52-$C52,1)*24-IF($E52="",0,$E52),2)))</f>
        <v/>
      </c>
      <c r="G52" s="25" t="n">
        <v>8</v>
      </c>
      <c r="H52" s="8">
        <f>IF(OR($F52="",$G52=""),"",MAX(0,$F52-$G52))</f>
        <v/>
      </c>
      <c r="I52" s="26" t="n"/>
      <c r="J52" s="27">
        <f>IF(AND($A52="",$C52="",$D52=""),"",IF(OR($C52&gt;=1,$D52&gt;=1),"⚠ escribe la hora con dos puntos: 9:00, no 9",IF(AND($C52&lt;&gt;"",$C52=$D52),"⚠ entrada y salida iguales: la jornada no suma",IF(AND($C52&lt;&gt;"",$D52&lt;&gt;"",IF($E52="",0,$E52)&gt;MOD($D52-$C52,1)*24),"⚠ la pausa es mayor que la jornada",IF(AND($A52&lt;&gt;"",COUNTIF('Resumen Mensual'!$A$6:$A$35,$A52&amp;"")=0),"⚠ ese nombre no está en el «Resumen Mensual»: sus horas no se agregan","")))))</f>
        <v/>
      </c>
    </row>
    <row r="53">
      <c r="A53" s="21" t="n"/>
      <c r="B53" s="22" t="n"/>
      <c r="C53" s="23" t="n"/>
      <c r="D53" s="23" t="n"/>
      <c r="E53" s="24" t="n"/>
      <c r="F53" s="8">
        <f>IF(OR($C53="",$D53=""),"",IF(OR($C53&gt;=1,$D53&gt;=1,$C53=$D53,IF($E53="",0,$E53)&gt;MOD($D53-$C53,1)*24),"",ROUND(MOD($D53-$C53,1)*24-IF($E53="",0,$E53),2)))</f>
        <v/>
      </c>
      <c r="G53" s="25" t="n">
        <v>8</v>
      </c>
      <c r="H53" s="8">
        <f>IF(OR($F53="",$G53=""),"",MAX(0,$F53-$G53))</f>
        <v/>
      </c>
      <c r="I53" s="26" t="n"/>
      <c r="J53" s="27">
        <f>IF(AND($A53="",$C53="",$D53=""),"",IF(OR($C53&gt;=1,$D53&gt;=1),"⚠ escribe la hora con dos puntos: 9:00, no 9",IF(AND($C53&lt;&gt;"",$C53=$D53),"⚠ entrada y salida iguales: la jornada no suma",IF(AND($C53&lt;&gt;"",$D53&lt;&gt;"",IF($E53="",0,$E53)&gt;MOD($D53-$C53,1)*24),"⚠ la pausa es mayor que la jornada",IF(AND($A53&lt;&gt;"",COUNTIF('Resumen Mensual'!$A$6:$A$35,$A53&amp;"")=0),"⚠ ese nombre no está en el «Resumen Mensual»: sus horas no se agregan","")))))</f>
        <v/>
      </c>
    </row>
    <row r="54">
      <c r="A54" s="21" t="n"/>
      <c r="B54" s="22" t="n"/>
      <c r="C54" s="23" t="n"/>
      <c r="D54" s="23" t="n"/>
      <c r="E54" s="24" t="n"/>
      <c r="F54" s="8">
        <f>IF(OR($C54="",$D54=""),"",IF(OR($C54&gt;=1,$D54&gt;=1,$C54=$D54,IF($E54="",0,$E54)&gt;MOD($D54-$C54,1)*24),"",ROUND(MOD($D54-$C54,1)*24-IF($E54="",0,$E54),2)))</f>
        <v/>
      </c>
      <c r="G54" s="25" t="n">
        <v>8</v>
      </c>
      <c r="H54" s="8">
        <f>IF(OR($F54="",$G54=""),"",MAX(0,$F54-$G54))</f>
        <v/>
      </c>
      <c r="I54" s="26" t="n"/>
      <c r="J54" s="27">
        <f>IF(AND($A54="",$C54="",$D54=""),"",IF(OR($C54&gt;=1,$D54&gt;=1),"⚠ escribe la hora con dos puntos: 9:00, no 9",IF(AND($C54&lt;&gt;"",$C54=$D54),"⚠ entrada y salida iguales: la jornada no suma",IF(AND($C54&lt;&gt;"",$D54&lt;&gt;"",IF($E54="",0,$E54)&gt;MOD($D54-$C54,1)*24),"⚠ la pausa es mayor que la jornada",IF(AND($A54&lt;&gt;"",COUNTIF('Resumen Mensual'!$A$6:$A$35,$A54&amp;"")=0),"⚠ ese nombre no está en el «Resumen Mensual»: sus horas no se agregan","")))))</f>
        <v/>
      </c>
    </row>
    <row r="55">
      <c r="A55" s="21" t="n"/>
      <c r="B55" s="22" t="n"/>
      <c r="C55" s="23" t="n"/>
      <c r="D55" s="23" t="n"/>
      <c r="E55" s="24" t="n"/>
      <c r="F55" s="8">
        <f>IF(OR($C55="",$D55=""),"",IF(OR($C55&gt;=1,$D55&gt;=1,$C55=$D55,IF($E55="",0,$E55)&gt;MOD($D55-$C55,1)*24),"",ROUND(MOD($D55-$C55,1)*24-IF($E55="",0,$E55),2)))</f>
        <v/>
      </c>
      <c r="G55" s="25" t="n">
        <v>8</v>
      </c>
      <c r="H55" s="8">
        <f>IF(OR($F55="",$G55=""),"",MAX(0,$F55-$G55))</f>
        <v/>
      </c>
      <c r="I55" s="26" t="n"/>
      <c r="J55" s="27">
        <f>IF(AND($A55="",$C55="",$D55=""),"",IF(OR($C55&gt;=1,$D55&gt;=1),"⚠ escribe la hora con dos puntos: 9:00, no 9",IF(AND($C55&lt;&gt;"",$C55=$D55),"⚠ entrada y salida iguales: la jornada no suma",IF(AND($C55&lt;&gt;"",$D55&lt;&gt;"",IF($E55="",0,$E55)&gt;MOD($D55-$C55,1)*24),"⚠ la pausa es mayor que la jornada",IF(AND($A55&lt;&gt;"",COUNTIF('Resumen Mensual'!$A$6:$A$35,$A55&amp;"")=0),"⚠ ese nombre no está en el «Resumen Mensual»: sus horas no se agregan","")))))</f>
        <v/>
      </c>
    </row>
    <row r="56">
      <c r="A56" s="21" t="n"/>
      <c r="B56" s="22" t="n"/>
      <c r="C56" s="23" t="n"/>
      <c r="D56" s="23" t="n"/>
      <c r="E56" s="24" t="n"/>
      <c r="F56" s="8">
        <f>IF(OR($C56="",$D56=""),"",IF(OR($C56&gt;=1,$D56&gt;=1,$C56=$D56,IF($E56="",0,$E56)&gt;MOD($D56-$C56,1)*24),"",ROUND(MOD($D56-$C56,1)*24-IF($E56="",0,$E56),2)))</f>
        <v/>
      </c>
      <c r="G56" s="25" t="n">
        <v>8</v>
      </c>
      <c r="H56" s="8">
        <f>IF(OR($F56="",$G56=""),"",MAX(0,$F56-$G56))</f>
        <v/>
      </c>
      <c r="I56" s="26" t="n"/>
      <c r="J56" s="27">
        <f>IF(AND($A56="",$C56="",$D56=""),"",IF(OR($C56&gt;=1,$D56&gt;=1),"⚠ escribe la hora con dos puntos: 9:00, no 9",IF(AND($C56&lt;&gt;"",$C56=$D56),"⚠ entrada y salida iguales: la jornada no suma",IF(AND($C56&lt;&gt;"",$D56&lt;&gt;"",IF($E56="",0,$E56)&gt;MOD($D56-$C56,1)*24),"⚠ la pausa es mayor que la jornada",IF(AND($A56&lt;&gt;"",COUNTIF('Resumen Mensual'!$A$6:$A$35,$A56&amp;"")=0),"⚠ ese nombre no está en el «Resumen Mensual»: sus horas no se agregan","")))))</f>
        <v/>
      </c>
    </row>
    <row r="57">
      <c r="A57" s="21" t="n"/>
      <c r="B57" s="22" t="n"/>
      <c r="C57" s="23" t="n"/>
      <c r="D57" s="23" t="n"/>
      <c r="E57" s="24" t="n"/>
      <c r="F57" s="8">
        <f>IF(OR($C57="",$D57=""),"",IF(OR($C57&gt;=1,$D57&gt;=1,$C57=$D57,IF($E57="",0,$E57)&gt;MOD($D57-$C57,1)*24),"",ROUND(MOD($D57-$C57,1)*24-IF($E57="",0,$E57),2)))</f>
        <v/>
      </c>
      <c r="G57" s="25" t="n">
        <v>8</v>
      </c>
      <c r="H57" s="8">
        <f>IF(OR($F57="",$G57=""),"",MAX(0,$F57-$G57))</f>
        <v/>
      </c>
      <c r="I57" s="26" t="n"/>
      <c r="J57" s="27">
        <f>IF(AND($A57="",$C57="",$D57=""),"",IF(OR($C57&gt;=1,$D57&gt;=1),"⚠ escribe la hora con dos puntos: 9:00, no 9",IF(AND($C57&lt;&gt;"",$C57=$D57),"⚠ entrada y salida iguales: la jornada no suma",IF(AND($C57&lt;&gt;"",$D57&lt;&gt;"",IF($E57="",0,$E57)&gt;MOD($D57-$C57,1)*24),"⚠ la pausa es mayor que la jornada",IF(AND($A57&lt;&gt;"",COUNTIF('Resumen Mensual'!$A$6:$A$35,$A57&amp;"")=0),"⚠ ese nombre no está en el «Resumen Mensual»: sus horas no se agregan","")))))</f>
        <v/>
      </c>
    </row>
    <row r="58">
      <c r="A58" s="21" t="n"/>
      <c r="B58" s="22" t="n"/>
      <c r="C58" s="23" t="n"/>
      <c r="D58" s="23" t="n"/>
      <c r="E58" s="24" t="n"/>
      <c r="F58" s="8">
        <f>IF(OR($C58="",$D58=""),"",IF(OR($C58&gt;=1,$D58&gt;=1,$C58=$D58,IF($E58="",0,$E58)&gt;MOD($D58-$C58,1)*24),"",ROUND(MOD($D58-$C58,1)*24-IF($E58="",0,$E58),2)))</f>
        <v/>
      </c>
      <c r="G58" s="25" t="n">
        <v>8</v>
      </c>
      <c r="H58" s="8">
        <f>IF(OR($F58="",$G58=""),"",MAX(0,$F58-$G58))</f>
        <v/>
      </c>
      <c r="I58" s="26" t="n"/>
      <c r="J58" s="27">
        <f>IF(AND($A58="",$C58="",$D58=""),"",IF(OR($C58&gt;=1,$D58&gt;=1),"⚠ escribe la hora con dos puntos: 9:00, no 9",IF(AND($C58&lt;&gt;"",$C58=$D58),"⚠ entrada y salida iguales: la jornada no suma",IF(AND($C58&lt;&gt;"",$D58&lt;&gt;"",IF($E58="",0,$E58)&gt;MOD($D58-$C58,1)*24),"⚠ la pausa es mayor que la jornada",IF(AND($A58&lt;&gt;"",COUNTIF('Resumen Mensual'!$A$6:$A$35,$A58&amp;"")=0),"⚠ ese nombre no está en el «Resumen Mensual»: sus horas no se agregan","")))))</f>
        <v/>
      </c>
    </row>
    <row r="59">
      <c r="A59" s="21" t="n"/>
      <c r="B59" s="22" t="n"/>
      <c r="C59" s="23" t="n"/>
      <c r="D59" s="23" t="n"/>
      <c r="E59" s="24" t="n"/>
      <c r="F59" s="8">
        <f>IF(OR($C59="",$D59=""),"",IF(OR($C59&gt;=1,$D59&gt;=1,$C59=$D59,IF($E59="",0,$E59)&gt;MOD($D59-$C59,1)*24),"",ROUND(MOD($D59-$C59,1)*24-IF($E59="",0,$E59),2)))</f>
        <v/>
      </c>
      <c r="G59" s="25" t="n">
        <v>8</v>
      </c>
      <c r="H59" s="8">
        <f>IF(OR($F59="",$G59=""),"",MAX(0,$F59-$G59))</f>
        <v/>
      </c>
      <c r="I59" s="26" t="n"/>
      <c r="J59" s="27">
        <f>IF(AND($A59="",$C59="",$D59=""),"",IF(OR($C59&gt;=1,$D59&gt;=1),"⚠ escribe la hora con dos puntos: 9:00, no 9",IF(AND($C59&lt;&gt;"",$C59=$D59),"⚠ entrada y salida iguales: la jornada no suma",IF(AND($C59&lt;&gt;"",$D59&lt;&gt;"",IF($E59="",0,$E59)&gt;MOD($D59-$C59,1)*24),"⚠ la pausa es mayor que la jornada",IF(AND($A59&lt;&gt;"",COUNTIF('Resumen Mensual'!$A$6:$A$35,$A59&amp;"")=0),"⚠ ese nombre no está en el «Resumen Mensual»: sus horas no se agregan","")))))</f>
        <v/>
      </c>
    </row>
    <row r="60">
      <c r="A60" s="21" t="n"/>
      <c r="B60" s="22" t="n"/>
      <c r="C60" s="23" t="n"/>
      <c r="D60" s="23" t="n"/>
      <c r="E60" s="24" t="n"/>
      <c r="F60" s="8">
        <f>IF(OR($C60="",$D60=""),"",IF(OR($C60&gt;=1,$D60&gt;=1,$C60=$D60,IF($E60="",0,$E60)&gt;MOD($D60-$C60,1)*24),"",ROUND(MOD($D60-$C60,1)*24-IF($E60="",0,$E60),2)))</f>
        <v/>
      </c>
      <c r="G60" s="25" t="n">
        <v>8</v>
      </c>
      <c r="H60" s="8">
        <f>IF(OR($F60="",$G60=""),"",MAX(0,$F60-$G60))</f>
        <v/>
      </c>
      <c r="I60" s="26" t="n"/>
      <c r="J60" s="27">
        <f>IF(AND($A60="",$C60="",$D60=""),"",IF(OR($C60&gt;=1,$D60&gt;=1),"⚠ escribe la hora con dos puntos: 9:00, no 9",IF(AND($C60&lt;&gt;"",$C60=$D60),"⚠ entrada y salida iguales: la jornada no suma",IF(AND($C60&lt;&gt;"",$D60&lt;&gt;"",IF($E60="",0,$E60)&gt;MOD($D60-$C60,1)*24),"⚠ la pausa es mayor que la jornada",IF(AND($A60&lt;&gt;"",COUNTIF('Resumen Mensual'!$A$6:$A$35,$A60&amp;"")=0),"⚠ ese nombre no está en el «Resumen Mensual»: sus horas no se agregan","")))))</f>
        <v/>
      </c>
    </row>
    <row r="61">
      <c r="A61" s="21" t="n"/>
      <c r="B61" s="22" t="n"/>
      <c r="C61" s="23" t="n"/>
      <c r="D61" s="23" t="n"/>
      <c r="E61" s="24" t="n"/>
      <c r="F61" s="8">
        <f>IF(OR($C61="",$D61=""),"",IF(OR($C61&gt;=1,$D61&gt;=1,$C61=$D61,IF($E61="",0,$E61)&gt;MOD($D61-$C61,1)*24),"",ROUND(MOD($D61-$C61,1)*24-IF($E61="",0,$E61),2)))</f>
        <v/>
      </c>
      <c r="G61" s="25" t="n">
        <v>8</v>
      </c>
      <c r="H61" s="8">
        <f>IF(OR($F61="",$G61=""),"",MAX(0,$F61-$G61))</f>
        <v/>
      </c>
      <c r="I61" s="26" t="n"/>
      <c r="J61" s="27">
        <f>IF(AND($A61="",$C61="",$D61=""),"",IF(OR($C61&gt;=1,$D61&gt;=1),"⚠ escribe la hora con dos puntos: 9:00, no 9",IF(AND($C61&lt;&gt;"",$C61=$D61),"⚠ entrada y salida iguales: la jornada no suma",IF(AND($C61&lt;&gt;"",$D61&lt;&gt;"",IF($E61="",0,$E61)&gt;MOD($D61-$C61,1)*24),"⚠ la pausa es mayor que la jornada",IF(AND($A61&lt;&gt;"",COUNTIF('Resumen Mensual'!$A$6:$A$35,$A61&amp;"")=0),"⚠ ese nombre no está en el «Resumen Mensual»: sus horas no se agregan","")))))</f>
        <v/>
      </c>
    </row>
    <row r="62">
      <c r="A62" s="21" t="n"/>
      <c r="B62" s="22" t="n"/>
      <c r="C62" s="23" t="n"/>
      <c r="D62" s="23" t="n"/>
      <c r="E62" s="24" t="n"/>
      <c r="F62" s="8">
        <f>IF(OR($C62="",$D62=""),"",IF(OR($C62&gt;=1,$D62&gt;=1,$C62=$D62,IF($E62="",0,$E62)&gt;MOD($D62-$C62,1)*24),"",ROUND(MOD($D62-$C62,1)*24-IF($E62="",0,$E62),2)))</f>
        <v/>
      </c>
      <c r="G62" s="25" t="n">
        <v>8</v>
      </c>
      <c r="H62" s="8">
        <f>IF(OR($F62="",$G62=""),"",MAX(0,$F62-$G62))</f>
        <v/>
      </c>
      <c r="I62" s="26" t="n"/>
      <c r="J62" s="27">
        <f>IF(AND($A62="",$C62="",$D62=""),"",IF(OR($C62&gt;=1,$D62&gt;=1),"⚠ escribe la hora con dos puntos: 9:00, no 9",IF(AND($C62&lt;&gt;"",$C62=$D62),"⚠ entrada y salida iguales: la jornada no suma",IF(AND($C62&lt;&gt;"",$D62&lt;&gt;"",IF($E62="",0,$E62)&gt;MOD($D62-$C62,1)*24),"⚠ la pausa es mayor que la jornada",IF(AND($A62&lt;&gt;"",COUNTIF('Resumen Mensual'!$A$6:$A$35,$A62&amp;"")=0),"⚠ ese nombre no está en el «Resumen Mensual»: sus horas no se agregan","")))))</f>
        <v/>
      </c>
    </row>
    <row r="63">
      <c r="A63" s="21" t="n"/>
      <c r="B63" s="22" t="n"/>
      <c r="C63" s="23" t="n"/>
      <c r="D63" s="23" t="n"/>
      <c r="E63" s="24" t="n"/>
      <c r="F63" s="8">
        <f>IF(OR($C63="",$D63=""),"",IF(OR($C63&gt;=1,$D63&gt;=1,$C63=$D63,IF($E63="",0,$E63)&gt;MOD($D63-$C63,1)*24),"",ROUND(MOD($D63-$C63,1)*24-IF($E63="",0,$E63),2)))</f>
        <v/>
      </c>
      <c r="G63" s="25" t="n">
        <v>8</v>
      </c>
      <c r="H63" s="8">
        <f>IF(OR($F63="",$G63=""),"",MAX(0,$F63-$G63))</f>
        <v/>
      </c>
      <c r="I63" s="26" t="n"/>
      <c r="J63" s="27">
        <f>IF(AND($A63="",$C63="",$D63=""),"",IF(OR($C63&gt;=1,$D63&gt;=1),"⚠ escribe la hora con dos puntos: 9:00, no 9",IF(AND($C63&lt;&gt;"",$C63=$D63),"⚠ entrada y salida iguales: la jornada no suma",IF(AND($C63&lt;&gt;"",$D63&lt;&gt;"",IF($E63="",0,$E63)&gt;MOD($D63-$C63,1)*24),"⚠ la pausa es mayor que la jornada",IF(AND($A63&lt;&gt;"",COUNTIF('Resumen Mensual'!$A$6:$A$35,$A63&amp;"")=0),"⚠ ese nombre no está en el «Resumen Mensual»: sus horas no se agregan","")))))</f>
        <v/>
      </c>
    </row>
    <row r="64">
      <c r="A64" s="21" t="n"/>
      <c r="B64" s="22" t="n"/>
      <c r="C64" s="23" t="n"/>
      <c r="D64" s="23" t="n"/>
      <c r="E64" s="24" t="n"/>
      <c r="F64" s="8">
        <f>IF(OR($C64="",$D64=""),"",IF(OR($C64&gt;=1,$D64&gt;=1,$C64=$D64,IF($E64="",0,$E64)&gt;MOD($D64-$C64,1)*24),"",ROUND(MOD($D64-$C64,1)*24-IF($E64="",0,$E64),2)))</f>
        <v/>
      </c>
      <c r="G64" s="25" t="n">
        <v>8</v>
      </c>
      <c r="H64" s="8">
        <f>IF(OR($F64="",$G64=""),"",MAX(0,$F64-$G64))</f>
        <v/>
      </c>
      <c r="I64" s="26" t="n"/>
      <c r="J64" s="27">
        <f>IF(AND($A64="",$C64="",$D64=""),"",IF(OR($C64&gt;=1,$D64&gt;=1),"⚠ escribe la hora con dos puntos: 9:00, no 9",IF(AND($C64&lt;&gt;"",$C64=$D64),"⚠ entrada y salida iguales: la jornada no suma",IF(AND($C64&lt;&gt;"",$D64&lt;&gt;"",IF($E64="",0,$E64)&gt;MOD($D64-$C64,1)*24),"⚠ la pausa es mayor que la jornada",IF(AND($A64&lt;&gt;"",COUNTIF('Resumen Mensual'!$A$6:$A$35,$A64&amp;"")=0),"⚠ ese nombre no está en el «Resumen Mensual»: sus horas no se agregan","")))))</f>
        <v/>
      </c>
    </row>
    <row r="65">
      <c r="A65" s="21" t="n"/>
      <c r="B65" s="22" t="n"/>
      <c r="C65" s="23" t="n"/>
      <c r="D65" s="23" t="n"/>
      <c r="E65" s="24" t="n"/>
      <c r="F65" s="8">
        <f>IF(OR($C65="",$D65=""),"",IF(OR($C65&gt;=1,$D65&gt;=1,$C65=$D65,IF($E65="",0,$E65)&gt;MOD($D65-$C65,1)*24),"",ROUND(MOD($D65-$C65,1)*24-IF($E65="",0,$E65),2)))</f>
        <v/>
      </c>
      <c r="G65" s="25" t="n">
        <v>8</v>
      </c>
      <c r="H65" s="8">
        <f>IF(OR($F65="",$G65=""),"",MAX(0,$F65-$G65))</f>
        <v/>
      </c>
      <c r="I65" s="26" t="n"/>
      <c r="J65" s="27">
        <f>IF(AND($A65="",$C65="",$D65=""),"",IF(OR($C65&gt;=1,$D65&gt;=1),"⚠ escribe la hora con dos puntos: 9:00, no 9",IF(AND($C65&lt;&gt;"",$C65=$D65),"⚠ entrada y salida iguales: la jornada no suma",IF(AND($C65&lt;&gt;"",$D65&lt;&gt;"",IF($E65="",0,$E65)&gt;MOD($D65-$C65,1)*24),"⚠ la pausa es mayor que la jornada",IF(AND($A65&lt;&gt;"",COUNTIF('Resumen Mensual'!$A$6:$A$35,$A65&amp;"")=0),"⚠ ese nombre no está en el «Resumen Mensual»: sus horas no se agregan","")))))</f>
        <v/>
      </c>
    </row>
    <row r="66">
      <c r="A66" s="21" t="n"/>
      <c r="B66" s="22" t="n"/>
      <c r="C66" s="23" t="n"/>
      <c r="D66" s="23" t="n"/>
      <c r="E66" s="24" t="n"/>
      <c r="F66" s="8">
        <f>IF(OR($C66="",$D66=""),"",IF(OR($C66&gt;=1,$D66&gt;=1,$C66=$D66,IF($E66="",0,$E66)&gt;MOD($D66-$C66,1)*24),"",ROUND(MOD($D66-$C66,1)*24-IF($E66="",0,$E66),2)))</f>
        <v/>
      </c>
      <c r="G66" s="25" t="n">
        <v>8</v>
      </c>
      <c r="H66" s="8">
        <f>IF(OR($F66="",$G66=""),"",MAX(0,$F66-$G66))</f>
        <v/>
      </c>
      <c r="I66" s="26" t="n"/>
      <c r="J66" s="27">
        <f>IF(AND($A66="",$C66="",$D66=""),"",IF(OR($C66&gt;=1,$D66&gt;=1),"⚠ escribe la hora con dos puntos: 9:00, no 9",IF(AND($C66&lt;&gt;"",$C66=$D66),"⚠ entrada y salida iguales: la jornada no suma",IF(AND($C66&lt;&gt;"",$D66&lt;&gt;"",IF($E66="",0,$E66)&gt;MOD($D66-$C66,1)*24),"⚠ la pausa es mayor que la jornada",IF(AND($A66&lt;&gt;"",COUNTIF('Resumen Mensual'!$A$6:$A$35,$A66&amp;"")=0),"⚠ ese nombre no está en el «Resumen Mensual»: sus horas no se agregan","")))))</f>
        <v/>
      </c>
    </row>
    <row r="67">
      <c r="A67" s="21" t="n"/>
      <c r="B67" s="22" t="n"/>
      <c r="C67" s="23" t="n"/>
      <c r="D67" s="23" t="n"/>
      <c r="E67" s="24" t="n"/>
      <c r="F67" s="8">
        <f>IF(OR($C67="",$D67=""),"",IF(OR($C67&gt;=1,$D67&gt;=1,$C67=$D67,IF($E67="",0,$E67)&gt;MOD($D67-$C67,1)*24),"",ROUND(MOD($D67-$C67,1)*24-IF($E67="",0,$E67),2)))</f>
        <v/>
      </c>
      <c r="G67" s="25" t="n">
        <v>8</v>
      </c>
      <c r="H67" s="8">
        <f>IF(OR($F67="",$G67=""),"",MAX(0,$F67-$G67))</f>
        <v/>
      </c>
      <c r="I67" s="26" t="n"/>
      <c r="J67" s="27">
        <f>IF(AND($A67="",$C67="",$D67=""),"",IF(OR($C67&gt;=1,$D67&gt;=1),"⚠ escribe la hora con dos puntos: 9:00, no 9",IF(AND($C67&lt;&gt;"",$C67=$D67),"⚠ entrada y salida iguales: la jornada no suma",IF(AND($C67&lt;&gt;"",$D67&lt;&gt;"",IF($E67="",0,$E67)&gt;MOD($D67-$C67,1)*24),"⚠ la pausa es mayor que la jornada",IF(AND($A67&lt;&gt;"",COUNTIF('Resumen Mensual'!$A$6:$A$35,$A67&amp;"")=0),"⚠ ese nombre no está en el «Resumen Mensual»: sus horas no se agregan","")))))</f>
        <v/>
      </c>
    </row>
    <row r="68">
      <c r="A68" s="21" t="n"/>
      <c r="B68" s="22" t="n"/>
      <c r="C68" s="23" t="n"/>
      <c r="D68" s="23" t="n"/>
      <c r="E68" s="24" t="n"/>
      <c r="F68" s="8">
        <f>IF(OR($C68="",$D68=""),"",IF(OR($C68&gt;=1,$D68&gt;=1,$C68=$D68,IF($E68="",0,$E68)&gt;MOD($D68-$C68,1)*24),"",ROUND(MOD($D68-$C68,1)*24-IF($E68="",0,$E68),2)))</f>
        <v/>
      </c>
      <c r="G68" s="25" t="n">
        <v>8</v>
      </c>
      <c r="H68" s="8">
        <f>IF(OR($F68="",$G68=""),"",MAX(0,$F68-$G68))</f>
        <v/>
      </c>
      <c r="I68" s="26" t="n"/>
      <c r="J68" s="27">
        <f>IF(AND($A68="",$C68="",$D68=""),"",IF(OR($C68&gt;=1,$D68&gt;=1),"⚠ escribe la hora con dos puntos: 9:00, no 9",IF(AND($C68&lt;&gt;"",$C68=$D68),"⚠ entrada y salida iguales: la jornada no suma",IF(AND($C68&lt;&gt;"",$D68&lt;&gt;"",IF($E68="",0,$E68)&gt;MOD($D68-$C68,1)*24),"⚠ la pausa es mayor que la jornada",IF(AND($A68&lt;&gt;"",COUNTIF('Resumen Mensual'!$A$6:$A$35,$A68&amp;"")=0),"⚠ ese nombre no está en el «Resumen Mensual»: sus horas no se agregan","")))))</f>
        <v/>
      </c>
    </row>
    <row r="69">
      <c r="A69" s="21" t="n"/>
      <c r="B69" s="22" t="n"/>
      <c r="C69" s="23" t="n"/>
      <c r="D69" s="23" t="n"/>
      <c r="E69" s="24" t="n"/>
      <c r="F69" s="8">
        <f>IF(OR($C69="",$D69=""),"",IF(OR($C69&gt;=1,$D69&gt;=1,$C69=$D69,IF($E69="",0,$E69)&gt;MOD($D69-$C69,1)*24),"",ROUND(MOD($D69-$C69,1)*24-IF($E69="",0,$E69),2)))</f>
        <v/>
      </c>
      <c r="G69" s="25" t="n">
        <v>8</v>
      </c>
      <c r="H69" s="8">
        <f>IF(OR($F69="",$G69=""),"",MAX(0,$F69-$G69))</f>
        <v/>
      </c>
      <c r="I69" s="26" t="n"/>
      <c r="J69" s="27">
        <f>IF(AND($A69="",$C69="",$D69=""),"",IF(OR($C69&gt;=1,$D69&gt;=1),"⚠ escribe la hora con dos puntos: 9:00, no 9",IF(AND($C69&lt;&gt;"",$C69=$D69),"⚠ entrada y salida iguales: la jornada no suma",IF(AND($C69&lt;&gt;"",$D69&lt;&gt;"",IF($E69="",0,$E69)&gt;MOD($D69-$C69,1)*24),"⚠ la pausa es mayor que la jornada",IF(AND($A69&lt;&gt;"",COUNTIF('Resumen Mensual'!$A$6:$A$35,$A69&amp;"")=0),"⚠ ese nombre no está en el «Resumen Mensual»: sus horas no se agregan","")))))</f>
        <v/>
      </c>
    </row>
    <row r="70">
      <c r="A70" s="21" t="n"/>
      <c r="B70" s="22" t="n"/>
      <c r="C70" s="23" t="n"/>
      <c r="D70" s="23" t="n"/>
      <c r="E70" s="24" t="n"/>
      <c r="F70" s="8">
        <f>IF(OR($C70="",$D70=""),"",IF(OR($C70&gt;=1,$D70&gt;=1,$C70=$D70,IF($E70="",0,$E70)&gt;MOD($D70-$C70,1)*24),"",ROUND(MOD($D70-$C70,1)*24-IF($E70="",0,$E70),2)))</f>
        <v/>
      </c>
      <c r="G70" s="25" t="n">
        <v>8</v>
      </c>
      <c r="H70" s="8">
        <f>IF(OR($F70="",$G70=""),"",MAX(0,$F70-$G70))</f>
        <v/>
      </c>
      <c r="I70" s="26" t="n"/>
      <c r="J70" s="27">
        <f>IF(AND($A70="",$C70="",$D70=""),"",IF(OR($C70&gt;=1,$D70&gt;=1),"⚠ escribe la hora con dos puntos: 9:00, no 9",IF(AND($C70&lt;&gt;"",$C70=$D70),"⚠ entrada y salida iguales: la jornada no suma",IF(AND($C70&lt;&gt;"",$D70&lt;&gt;"",IF($E70="",0,$E70)&gt;MOD($D70-$C70,1)*24),"⚠ la pausa es mayor que la jornada",IF(AND($A70&lt;&gt;"",COUNTIF('Resumen Mensual'!$A$6:$A$35,$A70&amp;"")=0),"⚠ ese nombre no está en el «Resumen Mensual»: sus horas no se agregan","")))))</f>
        <v/>
      </c>
    </row>
    <row r="71">
      <c r="A71" s="21" t="n"/>
      <c r="B71" s="22" t="n"/>
      <c r="C71" s="23" t="n"/>
      <c r="D71" s="23" t="n"/>
      <c r="E71" s="24" t="n"/>
      <c r="F71" s="8">
        <f>IF(OR($C71="",$D71=""),"",IF(OR($C71&gt;=1,$D71&gt;=1,$C71=$D71,IF($E71="",0,$E71)&gt;MOD($D71-$C71,1)*24),"",ROUND(MOD($D71-$C71,1)*24-IF($E71="",0,$E71),2)))</f>
        <v/>
      </c>
      <c r="G71" s="25" t="n">
        <v>8</v>
      </c>
      <c r="H71" s="8">
        <f>IF(OR($F71="",$G71=""),"",MAX(0,$F71-$G71))</f>
        <v/>
      </c>
      <c r="I71" s="26" t="n"/>
      <c r="J71" s="27">
        <f>IF(AND($A71="",$C71="",$D71=""),"",IF(OR($C71&gt;=1,$D71&gt;=1),"⚠ escribe la hora con dos puntos: 9:00, no 9",IF(AND($C71&lt;&gt;"",$C71=$D71),"⚠ entrada y salida iguales: la jornada no suma",IF(AND($C71&lt;&gt;"",$D71&lt;&gt;"",IF($E71="",0,$E71)&gt;MOD($D71-$C71,1)*24),"⚠ la pausa es mayor que la jornada",IF(AND($A71&lt;&gt;"",COUNTIF('Resumen Mensual'!$A$6:$A$35,$A71&amp;"")=0),"⚠ ese nombre no está en el «Resumen Mensual»: sus horas no se agregan","")))))</f>
        <v/>
      </c>
    </row>
    <row r="72">
      <c r="A72" s="21" t="n"/>
      <c r="B72" s="22" t="n"/>
      <c r="C72" s="23" t="n"/>
      <c r="D72" s="23" t="n"/>
      <c r="E72" s="24" t="n"/>
      <c r="F72" s="8">
        <f>IF(OR($C72="",$D72=""),"",IF(OR($C72&gt;=1,$D72&gt;=1,$C72=$D72,IF($E72="",0,$E72)&gt;MOD($D72-$C72,1)*24),"",ROUND(MOD($D72-$C72,1)*24-IF($E72="",0,$E72),2)))</f>
        <v/>
      </c>
      <c r="G72" s="25" t="n">
        <v>8</v>
      </c>
      <c r="H72" s="8">
        <f>IF(OR($F72="",$G72=""),"",MAX(0,$F72-$G72))</f>
        <v/>
      </c>
      <c r="I72" s="26" t="n"/>
      <c r="J72" s="27">
        <f>IF(AND($A72="",$C72="",$D72=""),"",IF(OR($C72&gt;=1,$D72&gt;=1),"⚠ escribe la hora con dos puntos: 9:00, no 9",IF(AND($C72&lt;&gt;"",$C72=$D72),"⚠ entrada y salida iguales: la jornada no suma",IF(AND($C72&lt;&gt;"",$D72&lt;&gt;"",IF($E72="",0,$E72)&gt;MOD($D72-$C72,1)*24),"⚠ la pausa es mayor que la jornada",IF(AND($A72&lt;&gt;"",COUNTIF('Resumen Mensual'!$A$6:$A$35,$A72&amp;"")=0),"⚠ ese nombre no está en el «Resumen Mensual»: sus horas no se agregan","")))))</f>
        <v/>
      </c>
    </row>
    <row r="73">
      <c r="A73" s="21" t="n"/>
      <c r="B73" s="22" t="n"/>
      <c r="C73" s="23" t="n"/>
      <c r="D73" s="23" t="n"/>
      <c r="E73" s="24" t="n"/>
      <c r="F73" s="8">
        <f>IF(OR($C73="",$D73=""),"",IF(OR($C73&gt;=1,$D73&gt;=1,$C73=$D73,IF($E73="",0,$E73)&gt;MOD($D73-$C73,1)*24),"",ROUND(MOD($D73-$C73,1)*24-IF($E73="",0,$E73),2)))</f>
        <v/>
      </c>
      <c r="G73" s="25" t="n">
        <v>8</v>
      </c>
      <c r="H73" s="8">
        <f>IF(OR($F73="",$G73=""),"",MAX(0,$F73-$G73))</f>
        <v/>
      </c>
      <c r="I73" s="26" t="n"/>
      <c r="J73" s="27">
        <f>IF(AND($A73="",$C73="",$D73=""),"",IF(OR($C73&gt;=1,$D73&gt;=1),"⚠ escribe la hora con dos puntos: 9:00, no 9",IF(AND($C73&lt;&gt;"",$C73=$D73),"⚠ entrada y salida iguales: la jornada no suma",IF(AND($C73&lt;&gt;"",$D73&lt;&gt;"",IF($E73="",0,$E73)&gt;MOD($D73-$C73,1)*24),"⚠ la pausa es mayor que la jornada",IF(AND($A73&lt;&gt;"",COUNTIF('Resumen Mensual'!$A$6:$A$35,$A73&amp;"")=0),"⚠ ese nombre no está en el «Resumen Mensual»: sus horas no se agregan","")))))</f>
        <v/>
      </c>
    </row>
    <row r="74">
      <c r="A74" s="21" t="n"/>
      <c r="B74" s="22" t="n"/>
      <c r="C74" s="23" t="n"/>
      <c r="D74" s="23" t="n"/>
      <c r="E74" s="24" t="n"/>
      <c r="F74" s="8">
        <f>IF(OR($C74="",$D74=""),"",IF(OR($C74&gt;=1,$D74&gt;=1,$C74=$D74,IF($E74="",0,$E74)&gt;MOD($D74-$C74,1)*24),"",ROUND(MOD($D74-$C74,1)*24-IF($E74="",0,$E74),2)))</f>
        <v/>
      </c>
      <c r="G74" s="25" t="n">
        <v>8</v>
      </c>
      <c r="H74" s="8">
        <f>IF(OR($F74="",$G74=""),"",MAX(0,$F74-$G74))</f>
        <v/>
      </c>
      <c r="I74" s="26" t="n"/>
      <c r="J74" s="27">
        <f>IF(AND($A74="",$C74="",$D74=""),"",IF(OR($C74&gt;=1,$D74&gt;=1),"⚠ escribe la hora con dos puntos: 9:00, no 9",IF(AND($C74&lt;&gt;"",$C74=$D74),"⚠ entrada y salida iguales: la jornada no suma",IF(AND($C74&lt;&gt;"",$D74&lt;&gt;"",IF($E74="",0,$E74)&gt;MOD($D74-$C74,1)*24),"⚠ la pausa es mayor que la jornada",IF(AND($A74&lt;&gt;"",COUNTIF('Resumen Mensual'!$A$6:$A$35,$A74&amp;"")=0),"⚠ ese nombre no está en el «Resumen Mensual»: sus horas no se agregan","")))))</f>
        <v/>
      </c>
    </row>
    <row r="75">
      <c r="A75" s="21" t="n"/>
      <c r="B75" s="22" t="n"/>
      <c r="C75" s="23" t="n"/>
      <c r="D75" s="23" t="n"/>
      <c r="E75" s="24" t="n"/>
      <c r="F75" s="8">
        <f>IF(OR($C75="",$D75=""),"",IF(OR($C75&gt;=1,$D75&gt;=1,$C75=$D75,IF($E75="",0,$E75)&gt;MOD($D75-$C75,1)*24),"",ROUND(MOD($D75-$C75,1)*24-IF($E75="",0,$E75),2)))</f>
        <v/>
      </c>
      <c r="G75" s="25" t="n">
        <v>8</v>
      </c>
      <c r="H75" s="8">
        <f>IF(OR($F75="",$G75=""),"",MAX(0,$F75-$G75))</f>
        <v/>
      </c>
      <c r="I75" s="26" t="n"/>
      <c r="J75" s="27">
        <f>IF(AND($A75="",$C75="",$D75=""),"",IF(OR($C75&gt;=1,$D75&gt;=1),"⚠ escribe la hora con dos puntos: 9:00, no 9",IF(AND($C75&lt;&gt;"",$C75=$D75),"⚠ entrada y salida iguales: la jornada no suma",IF(AND($C75&lt;&gt;"",$D75&lt;&gt;"",IF($E75="",0,$E75)&gt;MOD($D75-$C75,1)*24),"⚠ la pausa es mayor que la jornada",IF(AND($A75&lt;&gt;"",COUNTIF('Resumen Mensual'!$A$6:$A$35,$A75&amp;"")=0),"⚠ ese nombre no está en el «Resumen Mensual»: sus horas no se agregan","")))))</f>
        <v/>
      </c>
    </row>
    <row r="76">
      <c r="A76" s="21" t="n"/>
      <c r="B76" s="22" t="n"/>
      <c r="C76" s="23" t="n"/>
      <c r="D76" s="23" t="n"/>
      <c r="E76" s="24" t="n"/>
      <c r="F76" s="8">
        <f>IF(OR($C76="",$D76=""),"",IF(OR($C76&gt;=1,$D76&gt;=1,$C76=$D76,IF($E76="",0,$E76)&gt;MOD($D76-$C76,1)*24),"",ROUND(MOD($D76-$C76,1)*24-IF($E76="",0,$E76),2)))</f>
        <v/>
      </c>
      <c r="G76" s="25" t="n">
        <v>8</v>
      </c>
      <c r="H76" s="8">
        <f>IF(OR($F76="",$G76=""),"",MAX(0,$F76-$G76))</f>
        <v/>
      </c>
      <c r="I76" s="26" t="n"/>
      <c r="J76" s="27">
        <f>IF(AND($A76="",$C76="",$D76=""),"",IF(OR($C76&gt;=1,$D76&gt;=1),"⚠ escribe la hora con dos puntos: 9:00, no 9",IF(AND($C76&lt;&gt;"",$C76=$D76),"⚠ entrada y salida iguales: la jornada no suma",IF(AND($C76&lt;&gt;"",$D76&lt;&gt;"",IF($E76="",0,$E76)&gt;MOD($D76-$C76,1)*24),"⚠ la pausa es mayor que la jornada",IF(AND($A76&lt;&gt;"",COUNTIF('Resumen Mensual'!$A$6:$A$35,$A76&amp;"")=0),"⚠ ese nombre no está en el «Resumen Mensual»: sus horas no se agregan","")))))</f>
        <v/>
      </c>
    </row>
    <row r="77">
      <c r="A77" s="21" t="n"/>
      <c r="B77" s="22" t="n"/>
      <c r="C77" s="23" t="n"/>
      <c r="D77" s="23" t="n"/>
      <c r="E77" s="24" t="n"/>
      <c r="F77" s="8">
        <f>IF(OR($C77="",$D77=""),"",IF(OR($C77&gt;=1,$D77&gt;=1,$C77=$D77,IF($E77="",0,$E77)&gt;MOD($D77-$C77,1)*24),"",ROUND(MOD($D77-$C77,1)*24-IF($E77="",0,$E77),2)))</f>
        <v/>
      </c>
      <c r="G77" s="25" t="n">
        <v>8</v>
      </c>
      <c r="H77" s="8">
        <f>IF(OR($F77="",$G77=""),"",MAX(0,$F77-$G77))</f>
        <v/>
      </c>
      <c r="I77" s="26" t="n"/>
      <c r="J77" s="27">
        <f>IF(AND($A77="",$C77="",$D77=""),"",IF(OR($C77&gt;=1,$D77&gt;=1),"⚠ escribe la hora con dos puntos: 9:00, no 9",IF(AND($C77&lt;&gt;"",$C77=$D77),"⚠ entrada y salida iguales: la jornada no suma",IF(AND($C77&lt;&gt;"",$D77&lt;&gt;"",IF($E77="",0,$E77)&gt;MOD($D77-$C77,1)*24),"⚠ la pausa es mayor que la jornada",IF(AND($A77&lt;&gt;"",COUNTIF('Resumen Mensual'!$A$6:$A$35,$A77&amp;"")=0),"⚠ ese nombre no está en el «Resumen Mensual»: sus horas no se agregan","")))))</f>
        <v/>
      </c>
    </row>
    <row r="78">
      <c r="A78" s="21" t="n"/>
      <c r="B78" s="22" t="n"/>
      <c r="C78" s="23" t="n"/>
      <c r="D78" s="23" t="n"/>
      <c r="E78" s="24" t="n"/>
      <c r="F78" s="8">
        <f>IF(OR($C78="",$D78=""),"",IF(OR($C78&gt;=1,$D78&gt;=1,$C78=$D78,IF($E78="",0,$E78)&gt;MOD($D78-$C78,1)*24),"",ROUND(MOD($D78-$C78,1)*24-IF($E78="",0,$E78),2)))</f>
        <v/>
      </c>
      <c r="G78" s="25" t="n">
        <v>8</v>
      </c>
      <c r="H78" s="8">
        <f>IF(OR($F78="",$G78=""),"",MAX(0,$F78-$G78))</f>
        <v/>
      </c>
      <c r="I78" s="26" t="n"/>
      <c r="J78" s="27">
        <f>IF(AND($A78="",$C78="",$D78=""),"",IF(OR($C78&gt;=1,$D78&gt;=1),"⚠ escribe la hora con dos puntos: 9:00, no 9",IF(AND($C78&lt;&gt;"",$C78=$D78),"⚠ entrada y salida iguales: la jornada no suma",IF(AND($C78&lt;&gt;"",$D78&lt;&gt;"",IF($E78="",0,$E78)&gt;MOD($D78-$C78,1)*24),"⚠ la pausa es mayor que la jornada",IF(AND($A78&lt;&gt;"",COUNTIF('Resumen Mensual'!$A$6:$A$35,$A78&amp;"")=0),"⚠ ese nombre no está en el «Resumen Mensual»: sus horas no se agregan","")))))</f>
        <v/>
      </c>
    </row>
    <row r="79">
      <c r="A79" s="21" t="n"/>
      <c r="B79" s="22" t="n"/>
      <c r="C79" s="23" t="n"/>
      <c r="D79" s="23" t="n"/>
      <c r="E79" s="24" t="n"/>
      <c r="F79" s="8">
        <f>IF(OR($C79="",$D79=""),"",IF(OR($C79&gt;=1,$D79&gt;=1,$C79=$D79,IF($E79="",0,$E79)&gt;MOD($D79-$C79,1)*24),"",ROUND(MOD($D79-$C79,1)*24-IF($E79="",0,$E79),2)))</f>
        <v/>
      </c>
      <c r="G79" s="25" t="n">
        <v>8</v>
      </c>
      <c r="H79" s="8">
        <f>IF(OR($F79="",$G79=""),"",MAX(0,$F79-$G79))</f>
        <v/>
      </c>
      <c r="I79" s="26" t="n"/>
      <c r="J79" s="27">
        <f>IF(AND($A79="",$C79="",$D79=""),"",IF(OR($C79&gt;=1,$D79&gt;=1),"⚠ escribe la hora con dos puntos: 9:00, no 9",IF(AND($C79&lt;&gt;"",$C79=$D79),"⚠ entrada y salida iguales: la jornada no suma",IF(AND($C79&lt;&gt;"",$D79&lt;&gt;"",IF($E79="",0,$E79)&gt;MOD($D79-$C79,1)*24),"⚠ la pausa es mayor que la jornada",IF(AND($A79&lt;&gt;"",COUNTIF('Resumen Mensual'!$A$6:$A$35,$A79&amp;"")=0),"⚠ ese nombre no está en el «Resumen Mensual»: sus horas no se agregan","")))))</f>
        <v/>
      </c>
    </row>
    <row r="80">
      <c r="A80" s="21" t="n"/>
      <c r="B80" s="22" t="n"/>
      <c r="C80" s="23" t="n"/>
      <c r="D80" s="23" t="n"/>
      <c r="E80" s="24" t="n"/>
      <c r="F80" s="8">
        <f>IF(OR($C80="",$D80=""),"",IF(OR($C80&gt;=1,$D80&gt;=1,$C80=$D80,IF($E80="",0,$E80)&gt;MOD($D80-$C80,1)*24),"",ROUND(MOD($D80-$C80,1)*24-IF($E80="",0,$E80),2)))</f>
        <v/>
      </c>
      <c r="G80" s="25" t="n">
        <v>8</v>
      </c>
      <c r="H80" s="8">
        <f>IF(OR($F80="",$G80=""),"",MAX(0,$F80-$G80))</f>
        <v/>
      </c>
      <c r="I80" s="26" t="n"/>
      <c r="J80" s="27">
        <f>IF(AND($A80="",$C80="",$D80=""),"",IF(OR($C80&gt;=1,$D80&gt;=1),"⚠ escribe la hora con dos puntos: 9:00, no 9",IF(AND($C80&lt;&gt;"",$C80=$D80),"⚠ entrada y salida iguales: la jornada no suma",IF(AND($C80&lt;&gt;"",$D80&lt;&gt;"",IF($E80="",0,$E80)&gt;MOD($D80-$C80,1)*24),"⚠ la pausa es mayor que la jornada",IF(AND($A80&lt;&gt;"",COUNTIF('Resumen Mensual'!$A$6:$A$35,$A80&amp;"")=0),"⚠ ese nombre no está en el «Resumen Mensual»: sus horas no se agregan","")))))</f>
        <v/>
      </c>
    </row>
    <row r="81">
      <c r="A81" s="21" t="n"/>
      <c r="B81" s="22" t="n"/>
      <c r="C81" s="23" t="n"/>
      <c r="D81" s="23" t="n"/>
      <c r="E81" s="24" t="n"/>
      <c r="F81" s="8">
        <f>IF(OR($C81="",$D81=""),"",IF(OR($C81&gt;=1,$D81&gt;=1,$C81=$D81,IF($E81="",0,$E81)&gt;MOD($D81-$C81,1)*24),"",ROUND(MOD($D81-$C81,1)*24-IF($E81="",0,$E81),2)))</f>
        <v/>
      </c>
      <c r="G81" s="25" t="n">
        <v>8</v>
      </c>
      <c r="H81" s="8">
        <f>IF(OR($F81="",$G81=""),"",MAX(0,$F81-$G81))</f>
        <v/>
      </c>
      <c r="I81" s="26" t="n"/>
      <c r="J81" s="27">
        <f>IF(AND($A81="",$C81="",$D81=""),"",IF(OR($C81&gt;=1,$D81&gt;=1),"⚠ escribe la hora con dos puntos: 9:00, no 9",IF(AND($C81&lt;&gt;"",$C81=$D81),"⚠ entrada y salida iguales: la jornada no suma",IF(AND($C81&lt;&gt;"",$D81&lt;&gt;"",IF($E81="",0,$E81)&gt;MOD($D81-$C81,1)*24),"⚠ la pausa es mayor que la jornada",IF(AND($A81&lt;&gt;"",COUNTIF('Resumen Mensual'!$A$6:$A$35,$A81&amp;"")=0),"⚠ ese nombre no está en el «Resumen Mensual»: sus horas no se agregan","")))))</f>
        <v/>
      </c>
    </row>
    <row r="82">
      <c r="A82" s="21" t="n"/>
      <c r="B82" s="22" t="n"/>
      <c r="C82" s="23" t="n"/>
      <c r="D82" s="23" t="n"/>
      <c r="E82" s="24" t="n"/>
      <c r="F82" s="8">
        <f>IF(OR($C82="",$D82=""),"",IF(OR($C82&gt;=1,$D82&gt;=1,$C82=$D82,IF($E82="",0,$E82)&gt;MOD($D82-$C82,1)*24),"",ROUND(MOD($D82-$C82,1)*24-IF($E82="",0,$E82),2)))</f>
        <v/>
      </c>
      <c r="G82" s="25" t="n">
        <v>8</v>
      </c>
      <c r="H82" s="8">
        <f>IF(OR($F82="",$G82=""),"",MAX(0,$F82-$G82))</f>
        <v/>
      </c>
      <c r="I82" s="26" t="n"/>
      <c r="J82" s="27">
        <f>IF(AND($A82="",$C82="",$D82=""),"",IF(OR($C82&gt;=1,$D82&gt;=1),"⚠ escribe la hora con dos puntos: 9:00, no 9",IF(AND($C82&lt;&gt;"",$C82=$D82),"⚠ entrada y salida iguales: la jornada no suma",IF(AND($C82&lt;&gt;"",$D82&lt;&gt;"",IF($E82="",0,$E82)&gt;MOD($D82-$C82,1)*24),"⚠ la pausa es mayor que la jornada",IF(AND($A82&lt;&gt;"",COUNTIF('Resumen Mensual'!$A$6:$A$35,$A82&amp;"")=0),"⚠ ese nombre no está en el «Resumen Mensual»: sus horas no se agregan","")))))</f>
        <v/>
      </c>
    </row>
    <row r="83">
      <c r="A83" s="21" t="n"/>
      <c r="B83" s="22" t="n"/>
      <c r="C83" s="23" t="n"/>
      <c r="D83" s="23" t="n"/>
      <c r="E83" s="24" t="n"/>
      <c r="F83" s="8">
        <f>IF(OR($C83="",$D83=""),"",IF(OR($C83&gt;=1,$D83&gt;=1,$C83=$D83,IF($E83="",0,$E83)&gt;MOD($D83-$C83,1)*24),"",ROUND(MOD($D83-$C83,1)*24-IF($E83="",0,$E83),2)))</f>
        <v/>
      </c>
      <c r="G83" s="25" t="n">
        <v>8</v>
      </c>
      <c r="H83" s="8">
        <f>IF(OR($F83="",$G83=""),"",MAX(0,$F83-$G83))</f>
        <v/>
      </c>
      <c r="I83" s="26" t="n"/>
      <c r="J83" s="27">
        <f>IF(AND($A83="",$C83="",$D83=""),"",IF(OR($C83&gt;=1,$D83&gt;=1),"⚠ escribe la hora con dos puntos: 9:00, no 9",IF(AND($C83&lt;&gt;"",$C83=$D83),"⚠ entrada y salida iguales: la jornada no suma",IF(AND($C83&lt;&gt;"",$D83&lt;&gt;"",IF($E83="",0,$E83)&gt;MOD($D83-$C83,1)*24),"⚠ la pausa es mayor que la jornada",IF(AND($A83&lt;&gt;"",COUNTIF('Resumen Mensual'!$A$6:$A$35,$A83&amp;"")=0),"⚠ ese nombre no está en el «Resumen Mensual»: sus horas no se agregan","")))))</f>
        <v/>
      </c>
    </row>
    <row r="84">
      <c r="A84" s="21" t="n"/>
      <c r="B84" s="22" t="n"/>
      <c r="C84" s="23" t="n"/>
      <c r="D84" s="23" t="n"/>
      <c r="E84" s="24" t="n"/>
      <c r="F84" s="8">
        <f>IF(OR($C84="",$D84=""),"",IF(OR($C84&gt;=1,$D84&gt;=1,$C84=$D84,IF($E84="",0,$E84)&gt;MOD($D84-$C84,1)*24),"",ROUND(MOD($D84-$C84,1)*24-IF($E84="",0,$E84),2)))</f>
        <v/>
      </c>
      <c r="G84" s="25" t="n">
        <v>8</v>
      </c>
      <c r="H84" s="8">
        <f>IF(OR($F84="",$G84=""),"",MAX(0,$F84-$G84))</f>
        <v/>
      </c>
      <c r="I84" s="26" t="n"/>
      <c r="J84" s="27">
        <f>IF(AND($A84="",$C84="",$D84=""),"",IF(OR($C84&gt;=1,$D84&gt;=1),"⚠ escribe la hora con dos puntos: 9:00, no 9",IF(AND($C84&lt;&gt;"",$C84=$D84),"⚠ entrada y salida iguales: la jornada no suma",IF(AND($C84&lt;&gt;"",$D84&lt;&gt;"",IF($E84="",0,$E84)&gt;MOD($D84-$C84,1)*24),"⚠ la pausa es mayor que la jornada",IF(AND($A84&lt;&gt;"",COUNTIF('Resumen Mensual'!$A$6:$A$35,$A84&amp;"")=0),"⚠ ese nombre no está en el «Resumen Mensual»: sus horas no se agregan","")))))</f>
        <v/>
      </c>
    </row>
    <row r="85">
      <c r="A85" s="21" t="n"/>
      <c r="B85" s="22" t="n"/>
      <c r="C85" s="23" t="n"/>
      <c r="D85" s="23" t="n"/>
      <c r="E85" s="24" t="n"/>
      <c r="F85" s="8">
        <f>IF(OR($C85="",$D85=""),"",IF(OR($C85&gt;=1,$D85&gt;=1,$C85=$D85,IF($E85="",0,$E85)&gt;MOD($D85-$C85,1)*24),"",ROUND(MOD($D85-$C85,1)*24-IF($E85="",0,$E85),2)))</f>
        <v/>
      </c>
      <c r="G85" s="25" t="n">
        <v>8</v>
      </c>
      <c r="H85" s="8">
        <f>IF(OR($F85="",$G85=""),"",MAX(0,$F85-$G85))</f>
        <v/>
      </c>
      <c r="I85" s="26" t="n"/>
      <c r="J85" s="27">
        <f>IF(AND($A85="",$C85="",$D85=""),"",IF(OR($C85&gt;=1,$D85&gt;=1),"⚠ escribe la hora con dos puntos: 9:00, no 9",IF(AND($C85&lt;&gt;"",$C85=$D85),"⚠ entrada y salida iguales: la jornada no suma",IF(AND($C85&lt;&gt;"",$D85&lt;&gt;"",IF($E85="",0,$E85)&gt;MOD($D85-$C85,1)*24),"⚠ la pausa es mayor que la jornada",IF(AND($A85&lt;&gt;"",COUNTIF('Resumen Mensual'!$A$6:$A$35,$A85&amp;"")=0),"⚠ ese nombre no está en el «Resumen Mensual»: sus horas no se agregan","")))))</f>
        <v/>
      </c>
    </row>
    <row r="86">
      <c r="A86" s="21" t="n"/>
      <c r="B86" s="22" t="n"/>
      <c r="C86" s="23" t="n"/>
      <c r="D86" s="23" t="n"/>
      <c r="E86" s="24" t="n"/>
      <c r="F86" s="8">
        <f>IF(OR($C86="",$D86=""),"",IF(OR($C86&gt;=1,$D86&gt;=1,$C86=$D86,IF($E86="",0,$E86)&gt;MOD($D86-$C86,1)*24),"",ROUND(MOD($D86-$C86,1)*24-IF($E86="",0,$E86),2)))</f>
        <v/>
      </c>
      <c r="G86" s="25" t="n">
        <v>8</v>
      </c>
      <c r="H86" s="8">
        <f>IF(OR($F86="",$G86=""),"",MAX(0,$F86-$G86))</f>
        <v/>
      </c>
      <c r="I86" s="26" t="n"/>
      <c r="J86" s="27">
        <f>IF(AND($A86="",$C86="",$D86=""),"",IF(OR($C86&gt;=1,$D86&gt;=1),"⚠ escribe la hora con dos puntos: 9:00, no 9",IF(AND($C86&lt;&gt;"",$C86=$D86),"⚠ entrada y salida iguales: la jornada no suma",IF(AND($C86&lt;&gt;"",$D86&lt;&gt;"",IF($E86="",0,$E86)&gt;MOD($D86-$C86,1)*24),"⚠ la pausa es mayor que la jornada",IF(AND($A86&lt;&gt;"",COUNTIF('Resumen Mensual'!$A$6:$A$35,$A86&amp;"")=0),"⚠ ese nombre no está en el «Resumen Mensual»: sus horas no se agregan","")))))</f>
        <v/>
      </c>
    </row>
    <row r="87">
      <c r="A87" s="21" t="n"/>
      <c r="B87" s="22" t="n"/>
      <c r="C87" s="23" t="n"/>
      <c r="D87" s="23" t="n"/>
      <c r="E87" s="24" t="n"/>
      <c r="F87" s="8">
        <f>IF(OR($C87="",$D87=""),"",IF(OR($C87&gt;=1,$D87&gt;=1,$C87=$D87,IF($E87="",0,$E87)&gt;MOD($D87-$C87,1)*24),"",ROUND(MOD($D87-$C87,1)*24-IF($E87="",0,$E87),2)))</f>
        <v/>
      </c>
      <c r="G87" s="25" t="n">
        <v>8</v>
      </c>
      <c r="H87" s="8">
        <f>IF(OR($F87="",$G87=""),"",MAX(0,$F87-$G87))</f>
        <v/>
      </c>
      <c r="I87" s="26" t="n"/>
      <c r="J87" s="27">
        <f>IF(AND($A87="",$C87="",$D87=""),"",IF(OR($C87&gt;=1,$D87&gt;=1),"⚠ escribe la hora con dos puntos: 9:00, no 9",IF(AND($C87&lt;&gt;"",$C87=$D87),"⚠ entrada y salida iguales: la jornada no suma",IF(AND($C87&lt;&gt;"",$D87&lt;&gt;"",IF($E87="",0,$E87)&gt;MOD($D87-$C87,1)*24),"⚠ la pausa es mayor que la jornada",IF(AND($A87&lt;&gt;"",COUNTIF('Resumen Mensual'!$A$6:$A$35,$A87&amp;"")=0),"⚠ ese nombre no está en el «Resumen Mensual»: sus horas no se agregan","")))))</f>
        <v/>
      </c>
    </row>
    <row r="88">
      <c r="A88" s="21" t="n"/>
      <c r="B88" s="22" t="n"/>
      <c r="C88" s="23" t="n"/>
      <c r="D88" s="23" t="n"/>
      <c r="E88" s="24" t="n"/>
      <c r="F88" s="8">
        <f>IF(OR($C88="",$D88=""),"",IF(OR($C88&gt;=1,$D88&gt;=1,$C88=$D88,IF($E88="",0,$E88)&gt;MOD($D88-$C88,1)*24),"",ROUND(MOD($D88-$C88,1)*24-IF($E88="",0,$E88),2)))</f>
        <v/>
      </c>
      <c r="G88" s="25" t="n">
        <v>8</v>
      </c>
      <c r="H88" s="8">
        <f>IF(OR($F88="",$G88=""),"",MAX(0,$F88-$G88))</f>
        <v/>
      </c>
      <c r="I88" s="26" t="n"/>
      <c r="J88" s="27">
        <f>IF(AND($A88="",$C88="",$D88=""),"",IF(OR($C88&gt;=1,$D88&gt;=1),"⚠ escribe la hora con dos puntos: 9:00, no 9",IF(AND($C88&lt;&gt;"",$C88=$D88),"⚠ entrada y salida iguales: la jornada no suma",IF(AND($C88&lt;&gt;"",$D88&lt;&gt;"",IF($E88="",0,$E88)&gt;MOD($D88-$C88,1)*24),"⚠ la pausa es mayor que la jornada",IF(AND($A88&lt;&gt;"",COUNTIF('Resumen Mensual'!$A$6:$A$35,$A88&amp;"")=0),"⚠ ese nombre no está en el «Resumen Mensual»: sus horas no se agregan","")))))</f>
        <v/>
      </c>
    </row>
    <row r="89">
      <c r="A89" s="21" t="n"/>
      <c r="B89" s="22" t="n"/>
      <c r="C89" s="23" t="n"/>
      <c r="D89" s="23" t="n"/>
      <c r="E89" s="24" t="n"/>
      <c r="F89" s="8">
        <f>IF(OR($C89="",$D89=""),"",IF(OR($C89&gt;=1,$D89&gt;=1,$C89=$D89,IF($E89="",0,$E89)&gt;MOD($D89-$C89,1)*24),"",ROUND(MOD($D89-$C89,1)*24-IF($E89="",0,$E89),2)))</f>
        <v/>
      </c>
      <c r="G89" s="25" t="n">
        <v>8</v>
      </c>
      <c r="H89" s="8">
        <f>IF(OR($F89="",$G89=""),"",MAX(0,$F89-$G89))</f>
        <v/>
      </c>
      <c r="I89" s="26" t="n"/>
      <c r="J89" s="27">
        <f>IF(AND($A89="",$C89="",$D89=""),"",IF(OR($C89&gt;=1,$D89&gt;=1),"⚠ escribe la hora con dos puntos: 9:00, no 9",IF(AND($C89&lt;&gt;"",$C89=$D89),"⚠ entrada y salida iguales: la jornada no suma",IF(AND($C89&lt;&gt;"",$D89&lt;&gt;"",IF($E89="",0,$E89)&gt;MOD($D89-$C89,1)*24),"⚠ la pausa es mayor que la jornada",IF(AND($A89&lt;&gt;"",COUNTIF('Resumen Mensual'!$A$6:$A$35,$A89&amp;"")=0),"⚠ ese nombre no está en el «Resumen Mensual»: sus horas no se agregan","")))))</f>
        <v/>
      </c>
    </row>
    <row r="90">
      <c r="A90" s="21" t="n"/>
      <c r="B90" s="22" t="n"/>
      <c r="C90" s="23" t="n"/>
      <c r="D90" s="23" t="n"/>
      <c r="E90" s="24" t="n"/>
      <c r="F90" s="8">
        <f>IF(OR($C90="",$D90=""),"",IF(OR($C90&gt;=1,$D90&gt;=1,$C90=$D90,IF($E90="",0,$E90)&gt;MOD($D90-$C90,1)*24),"",ROUND(MOD($D90-$C90,1)*24-IF($E90="",0,$E90),2)))</f>
        <v/>
      </c>
      <c r="G90" s="25" t="n">
        <v>8</v>
      </c>
      <c r="H90" s="8">
        <f>IF(OR($F90="",$G90=""),"",MAX(0,$F90-$G90))</f>
        <v/>
      </c>
      <c r="I90" s="26" t="n"/>
      <c r="J90" s="27">
        <f>IF(AND($A90="",$C90="",$D90=""),"",IF(OR($C90&gt;=1,$D90&gt;=1),"⚠ escribe la hora con dos puntos: 9:00, no 9",IF(AND($C90&lt;&gt;"",$C90=$D90),"⚠ entrada y salida iguales: la jornada no suma",IF(AND($C90&lt;&gt;"",$D90&lt;&gt;"",IF($E90="",0,$E90)&gt;MOD($D90-$C90,1)*24),"⚠ la pausa es mayor que la jornada",IF(AND($A90&lt;&gt;"",COUNTIF('Resumen Mensual'!$A$6:$A$35,$A90&amp;"")=0),"⚠ ese nombre no está en el «Resumen Mensual»: sus horas no se agregan","")))))</f>
        <v/>
      </c>
    </row>
    <row r="91">
      <c r="A91" s="21" t="n"/>
      <c r="B91" s="22" t="n"/>
      <c r="C91" s="23" t="n"/>
      <c r="D91" s="23" t="n"/>
      <c r="E91" s="24" t="n"/>
      <c r="F91" s="8">
        <f>IF(OR($C91="",$D91=""),"",IF(OR($C91&gt;=1,$D91&gt;=1,$C91=$D91,IF($E91="",0,$E91)&gt;MOD($D91-$C91,1)*24),"",ROUND(MOD($D91-$C91,1)*24-IF($E91="",0,$E91),2)))</f>
        <v/>
      </c>
      <c r="G91" s="25" t="n">
        <v>8</v>
      </c>
      <c r="H91" s="8">
        <f>IF(OR($F91="",$G91=""),"",MAX(0,$F91-$G91))</f>
        <v/>
      </c>
      <c r="I91" s="26" t="n"/>
      <c r="J91" s="27">
        <f>IF(AND($A91="",$C91="",$D91=""),"",IF(OR($C91&gt;=1,$D91&gt;=1),"⚠ escribe la hora con dos puntos: 9:00, no 9",IF(AND($C91&lt;&gt;"",$C91=$D91),"⚠ entrada y salida iguales: la jornada no suma",IF(AND($C91&lt;&gt;"",$D91&lt;&gt;"",IF($E91="",0,$E91)&gt;MOD($D91-$C91,1)*24),"⚠ la pausa es mayor que la jornada",IF(AND($A91&lt;&gt;"",COUNTIF('Resumen Mensual'!$A$6:$A$35,$A91&amp;"")=0),"⚠ ese nombre no está en el «Resumen Mensual»: sus horas no se agregan","")))))</f>
        <v/>
      </c>
    </row>
    <row r="92">
      <c r="A92" s="21" t="n"/>
      <c r="B92" s="22" t="n"/>
      <c r="C92" s="23" t="n"/>
      <c r="D92" s="23" t="n"/>
      <c r="E92" s="24" t="n"/>
      <c r="F92" s="8">
        <f>IF(OR($C92="",$D92=""),"",IF(OR($C92&gt;=1,$D92&gt;=1,$C92=$D92,IF($E92="",0,$E92)&gt;MOD($D92-$C92,1)*24),"",ROUND(MOD($D92-$C92,1)*24-IF($E92="",0,$E92),2)))</f>
        <v/>
      </c>
      <c r="G92" s="25" t="n">
        <v>8</v>
      </c>
      <c r="H92" s="8">
        <f>IF(OR($F92="",$G92=""),"",MAX(0,$F92-$G92))</f>
        <v/>
      </c>
      <c r="I92" s="26" t="n"/>
      <c r="J92" s="27">
        <f>IF(AND($A92="",$C92="",$D92=""),"",IF(OR($C92&gt;=1,$D92&gt;=1),"⚠ escribe la hora con dos puntos: 9:00, no 9",IF(AND($C92&lt;&gt;"",$C92=$D92),"⚠ entrada y salida iguales: la jornada no suma",IF(AND($C92&lt;&gt;"",$D92&lt;&gt;"",IF($E92="",0,$E92)&gt;MOD($D92-$C92,1)*24),"⚠ la pausa es mayor que la jornada",IF(AND($A92&lt;&gt;"",COUNTIF('Resumen Mensual'!$A$6:$A$35,$A92&amp;"")=0),"⚠ ese nombre no está en el «Resumen Mensual»: sus horas no se agregan","")))))</f>
        <v/>
      </c>
    </row>
    <row r="93">
      <c r="A93" s="21" t="n"/>
      <c r="B93" s="22" t="n"/>
      <c r="C93" s="23" t="n"/>
      <c r="D93" s="23" t="n"/>
      <c r="E93" s="24" t="n"/>
      <c r="F93" s="8">
        <f>IF(OR($C93="",$D93=""),"",IF(OR($C93&gt;=1,$D93&gt;=1,$C93=$D93,IF($E93="",0,$E93)&gt;MOD($D93-$C93,1)*24),"",ROUND(MOD($D93-$C93,1)*24-IF($E93="",0,$E93),2)))</f>
        <v/>
      </c>
      <c r="G93" s="25" t="n">
        <v>8</v>
      </c>
      <c r="H93" s="8">
        <f>IF(OR($F93="",$G93=""),"",MAX(0,$F93-$G93))</f>
        <v/>
      </c>
      <c r="I93" s="26" t="n"/>
      <c r="J93" s="27">
        <f>IF(AND($A93="",$C93="",$D93=""),"",IF(OR($C93&gt;=1,$D93&gt;=1),"⚠ escribe la hora con dos puntos: 9:00, no 9",IF(AND($C93&lt;&gt;"",$C93=$D93),"⚠ entrada y salida iguales: la jornada no suma",IF(AND($C93&lt;&gt;"",$D93&lt;&gt;"",IF($E93="",0,$E93)&gt;MOD($D93-$C93,1)*24),"⚠ la pausa es mayor que la jornada",IF(AND($A93&lt;&gt;"",COUNTIF('Resumen Mensual'!$A$6:$A$35,$A93&amp;"")=0),"⚠ ese nombre no está en el «Resumen Mensual»: sus horas no se agregan","")))))</f>
        <v/>
      </c>
    </row>
    <row r="94">
      <c r="A94" s="21" t="n"/>
      <c r="B94" s="22" t="n"/>
      <c r="C94" s="23" t="n"/>
      <c r="D94" s="23" t="n"/>
      <c r="E94" s="24" t="n"/>
      <c r="F94" s="8">
        <f>IF(OR($C94="",$D94=""),"",IF(OR($C94&gt;=1,$D94&gt;=1,$C94=$D94,IF($E94="",0,$E94)&gt;MOD($D94-$C94,1)*24),"",ROUND(MOD($D94-$C94,1)*24-IF($E94="",0,$E94),2)))</f>
        <v/>
      </c>
      <c r="G94" s="25" t="n">
        <v>8</v>
      </c>
      <c r="H94" s="8">
        <f>IF(OR($F94="",$G94=""),"",MAX(0,$F94-$G94))</f>
        <v/>
      </c>
      <c r="I94" s="26" t="n"/>
      <c r="J94" s="27">
        <f>IF(AND($A94="",$C94="",$D94=""),"",IF(OR($C94&gt;=1,$D94&gt;=1),"⚠ escribe la hora con dos puntos: 9:00, no 9",IF(AND($C94&lt;&gt;"",$C94=$D94),"⚠ entrada y salida iguales: la jornada no suma",IF(AND($C94&lt;&gt;"",$D94&lt;&gt;"",IF($E94="",0,$E94)&gt;MOD($D94-$C94,1)*24),"⚠ la pausa es mayor que la jornada",IF(AND($A94&lt;&gt;"",COUNTIF('Resumen Mensual'!$A$6:$A$35,$A94&amp;"")=0),"⚠ ese nombre no está en el «Resumen Mensual»: sus horas no se agregan","")))))</f>
        <v/>
      </c>
    </row>
    <row r="95">
      <c r="A95" s="21" t="n"/>
      <c r="B95" s="22" t="n"/>
      <c r="C95" s="23" t="n"/>
      <c r="D95" s="23" t="n"/>
      <c r="E95" s="24" t="n"/>
      <c r="F95" s="8">
        <f>IF(OR($C95="",$D95=""),"",IF(OR($C95&gt;=1,$D95&gt;=1,$C95=$D95,IF($E95="",0,$E95)&gt;MOD($D95-$C95,1)*24),"",ROUND(MOD($D95-$C95,1)*24-IF($E95="",0,$E95),2)))</f>
        <v/>
      </c>
      <c r="G95" s="25" t="n">
        <v>8</v>
      </c>
      <c r="H95" s="8">
        <f>IF(OR($F95="",$G95=""),"",MAX(0,$F95-$G95))</f>
        <v/>
      </c>
      <c r="I95" s="26" t="n"/>
      <c r="J95" s="27">
        <f>IF(AND($A95="",$C95="",$D95=""),"",IF(OR($C95&gt;=1,$D95&gt;=1),"⚠ escribe la hora con dos puntos: 9:00, no 9",IF(AND($C95&lt;&gt;"",$C95=$D95),"⚠ entrada y salida iguales: la jornada no suma",IF(AND($C95&lt;&gt;"",$D95&lt;&gt;"",IF($E95="",0,$E95)&gt;MOD($D95-$C95,1)*24),"⚠ la pausa es mayor que la jornada",IF(AND($A95&lt;&gt;"",COUNTIF('Resumen Mensual'!$A$6:$A$35,$A95&amp;"")=0),"⚠ ese nombre no está en el «Resumen Mensual»: sus horas no se agregan","")))))</f>
        <v/>
      </c>
    </row>
    <row r="96">
      <c r="A96" s="21" t="n"/>
      <c r="B96" s="22" t="n"/>
      <c r="C96" s="23" t="n"/>
      <c r="D96" s="23" t="n"/>
      <c r="E96" s="24" t="n"/>
      <c r="F96" s="8">
        <f>IF(OR($C96="",$D96=""),"",IF(OR($C96&gt;=1,$D96&gt;=1,$C96=$D96,IF($E96="",0,$E96)&gt;MOD($D96-$C96,1)*24),"",ROUND(MOD($D96-$C96,1)*24-IF($E96="",0,$E96),2)))</f>
        <v/>
      </c>
      <c r="G96" s="25" t="n">
        <v>8</v>
      </c>
      <c r="H96" s="8">
        <f>IF(OR($F96="",$G96=""),"",MAX(0,$F96-$G96))</f>
        <v/>
      </c>
      <c r="I96" s="26" t="n"/>
      <c r="J96" s="27">
        <f>IF(AND($A96="",$C96="",$D96=""),"",IF(OR($C96&gt;=1,$D96&gt;=1),"⚠ escribe la hora con dos puntos: 9:00, no 9",IF(AND($C96&lt;&gt;"",$C96=$D96),"⚠ entrada y salida iguales: la jornada no suma",IF(AND($C96&lt;&gt;"",$D96&lt;&gt;"",IF($E96="",0,$E96)&gt;MOD($D96-$C96,1)*24),"⚠ la pausa es mayor que la jornada",IF(AND($A96&lt;&gt;"",COUNTIF('Resumen Mensual'!$A$6:$A$35,$A96&amp;"")=0),"⚠ ese nombre no está en el «Resumen Mensual»: sus horas no se agregan","")))))</f>
        <v/>
      </c>
    </row>
    <row r="97">
      <c r="A97" s="21" t="n"/>
      <c r="B97" s="22" t="n"/>
      <c r="C97" s="23" t="n"/>
      <c r="D97" s="23" t="n"/>
      <c r="E97" s="24" t="n"/>
      <c r="F97" s="8">
        <f>IF(OR($C97="",$D97=""),"",IF(OR($C97&gt;=1,$D97&gt;=1,$C97=$D97,IF($E97="",0,$E97)&gt;MOD($D97-$C97,1)*24),"",ROUND(MOD($D97-$C97,1)*24-IF($E97="",0,$E97),2)))</f>
        <v/>
      </c>
      <c r="G97" s="25" t="n">
        <v>8</v>
      </c>
      <c r="H97" s="8">
        <f>IF(OR($F97="",$G97=""),"",MAX(0,$F97-$G97))</f>
        <v/>
      </c>
      <c r="I97" s="26" t="n"/>
      <c r="J97" s="27">
        <f>IF(AND($A97="",$C97="",$D97=""),"",IF(OR($C97&gt;=1,$D97&gt;=1),"⚠ escribe la hora con dos puntos: 9:00, no 9",IF(AND($C97&lt;&gt;"",$C97=$D97),"⚠ entrada y salida iguales: la jornada no suma",IF(AND($C97&lt;&gt;"",$D97&lt;&gt;"",IF($E97="",0,$E97)&gt;MOD($D97-$C97,1)*24),"⚠ la pausa es mayor que la jornada",IF(AND($A97&lt;&gt;"",COUNTIF('Resumen Mensual'!$A$6:$A$35,$A97&amp;"")=0),"⚠ ese nombre no está en el «Resumen Mensual»: sus horas no se agregan","")))))</f>
        <v/>
      </c>
    </row>
    <row r="98">
      <c r="A98" s="21" t="n"/>
      <c r="B98" s="22" t="n"/>
      <c r="C98" s="23" t="n"/>
      <c r="D98" s="23" t="n"/>
      <c r="E98" s="24" t="n"/>
      <c r="F98" s="8">
        <f>IF(OR($C98="",$D98=""),"",IF(OR($C98&gt;=1,$D98&gt;=1,$C98=$D98,IF($E98="",0,$E98)&gt;MOD($D98-$C98,1)*24),"",ROUND(MOD($D98-$C98,1)*24-IF($E98="",0,$E98),2)))</f>
        <v/>
      </c>
      <c r="G98" s="25" t="n">
        <v>8</v>
      </c>
      <c r="H98" s="8">
        <f>IF(OR($F98="",$G98=""),"",MAX(0,$F98-$G98))</f>
        <v/>
      </c>
      <c r="I98" s="26" t="n"/>
      <c r="J98" s="27">
        <f>IF(AND($A98="",$C98="",$D98=""),"",IF(OR($C98&gt;=1,$D98&gt;=1),"⚠ escribe la hora con dos puntos: 9:00, no 9",IF(AND($C98&lt;&gt;"",$C98=$D98),"⚠ entrada y salida iguales: la jornada no suma",IF(AND($C98&lt;&gt;"",$D98&lt;&gt;"",IF($E98="",0,$E98)&gt;MOD($D98-$C98,1)*24),"⚠ la pausa es mayor que la jornada",IF(AND($A98&lt;&gt;"",COUNTIF('Resumen Mensual'!$A$6:$A$35,$A98&amp;"")=0),"⚠ ese nombre no está en el «Resumen Mensual»: sus horas no se agregan","")))))</f>
        <v/>
      </c>
    </row>
    <row r="99">
      <c r="A99" s="21" t="n"/>
      <c r="B99" s="22" t="n"/>
      <c r="C99" s="23" t="n"/>
      <c r="D99" s="23" t="n"/>
      <c r="E99" s="24" t="n"/>
      <c r="F99" s="8">
        <f>IF(OR($C99="",$D99=""),"",IF(OR($C99&gt;=1,$D99&gt;=1,$C99=$D99,IF($E99="",0,$E99)&gt;MOD($D99-$C99,1)*24),"",ROUND(MOD($D99-$C99,1)*24-IF($E99="",0,$E99),2)))</f>
        <v/>
      </c>
      <c r="G99" s="25" t="n">
        <v>8</v>
      </c>
      <c r="H99" s="8">
        <f>IF(OR($F99="",$G99=""),"",MAX(0,$F99-$G99))</f>
        <v/>
      </c>
      <c r="I99" s="26" t="n"/>
      <c r="J99" s="27">
        <f>IF(AND($A99="",$C99="",$D99=""),"",IF(OR($C99&gt;=1,$D99&gt;=1),"⚠ escribe la hora con dos puntos: 9:00, no 9",IF(AND($C99&lt;&gt;"",$C99=$D99),"⚠ entrada y salida iguales: la jornada no suma",IF(AND($C99&lt;&gt;"",$D99&lt;&gt;"",IF($E99="",0,$E99)&gt;MOD($D99-$C99,1)*24),"⚠ la pausa es mayor que la jornada",IF(AND($A99&lt;&gt;"",COUNTIF('Resumen Mensual'!$A$6:$A$35,$A99&amp;"")=0),"⚠ ese nombre no está en el «Resumen Mensual»: sus horas no se agregan","")))))</f>
        <v/>
      </c>
    </row>
    <row r="100">
      <c r="A100" s="21" t="n"/>
      <c r="B100" s="22" t="n"/>
      <c r="C100" s="23" t="n"/>
      <c r="D100" s="23" t="n"/>
      <c r="E100" s="24" t="n"/>
      <c r="F100" s="8">
        <f>IF(OR($C100="",$D100=""),"",IF(OR($C100&gt;=1,$D100&gt;=1,$C100=$D100,IF($E100="",0,$E100)&gt;MOD($D100-$C100,1)*24),"",ROUND(MOD($D100-$C100,1)*24-IF($E100="",0,$E100),2)))</f>
        <v/>
      </c>
      <c r="G100" s="25" t="n">
        <v>8</v>
      </c>
      <c r="H100" s="8">
        <f>IF(OR($F100="",$G100=""),"",MAX(0,$F100-$G100))</f>
        <v/>
      </c>
      <c r="I100" s="26" t="n"/>
      <c r="J100" s="27">
        <f>IF(AND($A100="",$C100="",$D100=""),"",IF(OR($C100&gt;=1,$D100&gt;=1),"⚠ escribe la hora con dos puntos: 9:00, no 9",IF(AND($C100&lt;&gt;"",$C100=$D100),"⚠ entrada y salida iguales: la jornada no suma",IF(AND($C100&lt;&gt;"",$D100&lt;&gt;"",IF($E100="",0,$E100)&gt;MOD($D100-$C100,1)*24),"⚠ la pausa es mayor que la jornada",IF(AND($A100&lt;&gt;"",COUNTIF('Resumen Mensual'!$A$6:$A$35,$A100&amp;"")=0),"⚠ ese nombre no está en el «Resumen Mensual»: sus horas no se agregan","")))))</f>
        <v/>
      </c>
    </row>
    <row r="101">
      <c r="A101" s="21" t="n"/>
      <c r="B101" s="22" t="n"/>
      <c r="C101" s="23" t="n"/>
      <c r="D101" s="23" t="n"/>
      <c r="E101" s="24" t="n"/>
      <c r="F101" s="8">
        <f>IF(OR($C101="",$D101=""),"",IF(OR($C101&gt;=1,$D101&gt;=1,$C101=$D101,IF($E101="",0,$E101)&gt;MOD($D101-$C101,1)*24),"",ROUND(MOD($D101-$C101,1)*24-IF($E101="",0,$E101),2)))</f>
        <v/>
      </c>
      <c r="G101" s="25" t="n">
        <v>8</v>
      </c>
      <c r="H101" s="8">
        <f>IF(OR($F101="",$G101=""),"",MAX(0,$F101-$G101))</f>
        <v/>
      </c>
      <c r="I101" s="26" t="n"/>
      <c r="J101" s="27">
        <f>IF(AND($A101="",$C101="",$D101=""),"",IF(OR($C101&gt;=1,$D101&gt;=1),"⚠ escribe la hora con dos puntos: 9:00, no 9",IF(AND($C101&lt;&gt;"",$C101=$D101),"⚠ entrada y salida iguales: la jornada no suma",IF(AND($C101&lt;&gt;"",$D101&lt;&gt;"",IF($E101="",0,$E101)&gt;MOD($D101-$C101,1)*24),"⚠ la pausa es mayor que la jornada",IF(AND($A101&lt;&gt;"",COUNTIF('Resumen Mensual'!$A$6:$A$35,$A101&amp;"")=0),"⚠ ese nombre no está en el «Resumen Mensual»: sus horas no se agregan","")))))</f>
        <v/>
      </c>
    </row>
    <row r="102">
      <c r="A102" s="21" t="n"/>
      <c r="B102" s="22" t="n"/>
      <c r="C102" s="23" t="n"/>
      <c r="D102" s="23" t="n"/>
      <c r="E102" s="24" t="n"/>
      <c r="F102" s="8">
        <f>IF(OR($C102="",$D102=""),"",IF(OR($C102&gt;=1,$D102&gt;=1,$C102=$D102,IF($E102="",0,$E102)&gt;MOD($D102-$C102,1)*24),"",ROUND(MOD($D102-$C102,1)*24-IF($E102="",0,$E102),2)))</f>
        <v/>
      </c>
      <c r="G102" s="25" t="n">
        <v>8</v>
      </c>
      <c r="H102" s="8">
        <f>IF(OR($F102="",$G102=""),"",MAX(0,$F102-$G102))</f>
        <v/>
      </c>
      <c r="I102" s="26" t="n"/>
      <c r="J102" s="27">
        <f>IF(AND($A102="",$C102="",$D102=""),"",IF(OR($C102&gt;=1,$D102&gt;=1),"⚠ escribe la hora con dos puntos: 9:00, no 9",IF(AND($C102&lt;&gt;"",$C102=$D102),"⚠ entrada y salida iguales: la jornada no suma",IF(AND($C102&lt;&gt;"",$D102&lt;&gt;"",IF($E102="",0,$E102)&gt;MOD($D102-$C102,1)*24),"⚠ la pausa es mayor que la jornada",IF(AND($A102&lt;&gt;"",COUNTIF('Resumen Mensual'!$A$6:$A$35,$A102&amp;"")=0),"⚠ ese nombre no está en el «Resumen Mensual»: sus horas no se agregan","")))))</f>
        <v/>
      </c>
    </row>
    <row r="103">
      <c r="A103" s="21" t="n"/>
      <c r="B103" s="22" t="n"/>
      <c r="C103" s="23" t="n"/>
      <c r="D103" s="23" t="n"/>
      <c r="E103" s="24" t="n"/>
      <c r="F103" s="8">
        <f>IF(OR($C103="",$D103=""),"",IF(OR($C103&gt;=1,$D103&gt;=1,$C103=$D103,IF($E103="",0,$E103)&gt;MOD($D103-$C103,1)*24),"",ROUND(MOD($D103-$C103,1)*24-IF($E103="",0,$E103),2)))</f>
        <v/>
      </c>
      <c r="G103" s="25" t="n">
        <v>8</v>
      </c>
      <c r="H103" s="8">
        <f>IF(OR($F103="",$G103=""),"",MAX(0,$F103-$G103))</f>
        <v/>
      </c>
      <c r="I103" s="26" t="n"/>
      <c r="J103" s="27">
        <f>IF(AND($A103="",$C103="",$D103=""),"",IF(OR($C103&gt;=1,$D103&gt;=1),"⚠ escribe la hora con dos puntos: 9:00, no 9",IF(AND($C103&lt;&gt;"",$C103=$D103),"⚠ entrada y salida iguales: la jornada no suma",IF(AND($C103&lt;&gt;"",$D103&lt;&gt;"",IF($E103="",0,$E103)&gt;MOD($D103-$C103,1)*24),"⚠ la pausa es mayor que la jornada",IF(AND($A103&lt;&gt;"",COUNTIF('Resumen Mensual'!$A$6:$A$35,$A103&amp;"")=0),"⚠ ese nombre no está en el «Resumen Mensual»: sus horas no se agregan","")))))</f>
        <v/>
      </c>
    </row>
    <row r="104">
      <c r="A104" s="21" t="n"/>
      <c r="B104" s="22" t="n"/>
      <c r="C104" s="23" t="n"/>
      <c r="D104" s="23" t="n"/>
      <c r="E104" s="24" t="n"/>
      <c r="F104" s="8">
        <f>IF(OR($C104="",$D104=""),"",IF(OR($C104&gt;=1,$D104&gt;=1,$C104=$D104,IF($E104="",0,$E104)&gt;MOD($D104-$C104,1)*24),"",ROUND(MOD($D104-$C104,1)*24-IF($E104="",0,$E104),2)))</f>
        <v/>
      </c>
      <c r="G104" s="25" t="n">
        <v>8</v>
      </c>
      <c r="H104" s="8">
        <f>IF(OR($F104="",$G104=""),"",MAX(0,$F104-$G104))</f>
        <v/>
      </c>
      <c r="I104" s="26" t="n"/>
      <c r="J104" s="27">
        <f>IF(AND($A104="",$C104="",$D104=""),"",IF(OR($C104&gt;=1,$D104&gt;=1),"⚠ escribe la hora con dos puntos: 9:00, no 9",IF(AND($C104&lt;&gt;"",$C104=$D104),"⚠ entrada y salida iguales: la jornada no suma",IF(AND($C104&lt;&gt;"",$D104&lt;&gt;"",IF($E104="",0,$E104)&gt;MOD($D104-$C104,1)*24),"⚠ la pausa es mayor que la jornada",IF(AND($A104&lt;&gt;"",COUNTIF('Resumen Mensual'!$A$6:$A$35,$A104&amp;"")=0),"⚠ ese nombre no está en el «Resumen Mensual»: sus horas no se agregan","")))))</f>
        <v/>
      </c>
    </row>
    <row r="105">
      <c r="A105" s="21" t="n"/>
      <c r="B105" s="22" t="n"/>
      <c r="C105" s="23" t="n"/>
      <c r="D105" s="23" t="n"/>
      <c r="E105" s="24" t="n"/>
      <c r="F105" s="8">
        <f>IF(OR($C105="",$D105=""),"",IF(OR($C105&gt;=1,$D105&gt;=1,$C105=$D105,IF($E105="",0,$E105)&gt;MOD($D105-$C105,1)*24),"",ROUND(MOD($D105-$C105,1)*24-IF($E105="",0,$E105),2)))</f>
        <v/>
      </c>
      <c r="G105" s="25" t="n">
        <v>8</v>
      </c>
      <c r="H105" s="8">
        <f>IF(OR($F105="",$G105=""),"",MAX(0,$F105-$G105))</f>
        <v/>
      </c>
      <c r="I105" s="26" t="n"/>
      <c r="J105" s="27">
        <f>IF(AND($A105="",$C105="",$D105=""),"",IF(OR($C105&gt;=1,$D105&gt;=1),"⚠ escribe la hora con dos puntos: 9:00, no 9",IF(AND($C105&lt;&gt;"",$C105=$D105),"⚠ entrada y salida iguales: la jornada no suma",IF(AND($C105&lt;&gt;"",$D105&lt;&gt;"",IF($E105="",0,$E105)&gt;MOD($D105-$C105,1)*24),"⚠ la pausa es mayor que la jornada",IF(AND($A105&lt;&gt;"",COUNTIF('Resumen Mensual'!$A$6:$A$35,$A105&amp;"")=0),"⚠ ese nombre no está en el «Resumen Mensual»: sus horas no se agregan","")))))</f>
        <v/>
      </c>
    </row>
    <row r="106">
      <c r="A106" s="21" t="n"/>
      <c r="B106" s="22" t="n"/>
      <c r="C106" s="23" t="n"/>
      <c r="D106" s="23" t="n"/>
      <c r="E106" s="24" t="n"/>
      <c r="F106" s="8">
        <f>IF(OR($C106="",$D106=""),"",IF(OR($C106&gt;=1,$D106&gt;=1,$C106=$D106,IF($E106="",0,$E106)&gt;MOD($D106-$C106,1)*24),"",ROUND(MOD($D106-$C106,1)*24-IF($E106="",0,$E106),2)))</f>
        <v/>
      </c>
      <c r="G106" s="25" t="n">
        <v>8</v>
      </c>
      <c r="H106" s="8">
        <f>IF(OR($F106="",$G106=""),"",MAX(0,$F106-$G106))</f>
        <v/>
      </c>
      <c r="I106" s="26" t="n"/>
      <c r="J106" s="27">
        <f>IF(AND($A106="",$C106="",$D106=""),"",IF(OR($C106&gt;=1,$D106&gt;=1),"⚠ escribe la hora con dos puntos: 9:00, no 9",IF(AND($C106&lt;&gt;"",$C106=$D106),"⚠ entrada y salida iguales: la jornada no suma",IF(AND($C106&lt;&gt;"",$D106&lt;&gt;"",IF($E106="",0,$E106)&gt;MOD($D106-$C106,1)*24),"⚠ la pausa es mayor que la jornada",IF(AND($A106&lt;&gt;"",COUNTIF('Resumen Mensual'!$A$6:$A$35,$A106&amp;"")=0),"⚠ ese nombre no está en el «Resumen Mensual»: sus horas no se agregan","")))))</f>
        <v/>
      </c>
    </row>
    <row r="107">
      <c r="A107" s="21" t="n"/>
      <c r="B107" s="22" t="n"/>
      <c r="C107" s="23" t="n"/>
      <c r="D107" s="23" t="n"/>
      <c r="E107" s="24" t="n"/>
      <c r="F107" s="8">
        <f>IF(OR($C107="",$D107=""),"",IF(OR($C107&gt;=1,$D107&gt;=1,$C107=$D107,IF($E107="",0,$E107)&gt;MOD($D107-$C107,1)*24),"",ROUND(MOD($D107-$C107,1)*24-IF($E107="",0,$E107),2)))</f>
        <v/>
      </c>
      <c r="G107" s="25" t="n">
        <v>8</v>
      </c>
      <c r="H107" s="8">
        <f>IF(OR($F107="",$G107=""),"",MAX(0,$F107-$G107))</f>
        <v/>
      </c>
      <c r="I107" s="26" t="n"/>
      <c r="J107" s="27">
        <f>IF(AND($A107="",$C107="",$D107=""),"",IF(OR($C107&gt;=1,$D107&gt;=1),"⚠ escribe la hora con dos puntos: 9:00, no 9",IF(AND($C107&lt;&gt;"",$C107=$D107),"⚠ entrada y salida iguales: la jornada no suma",IF(AND($C107&lt;&gt;"",$D107&lt;&gt;"",IF($E107="",0,$E107)&gt;MOD($D107-$C107,1)*24),"⚠ la pausa es mayor que la jornada",IF(AND($A107&lt;&gt;"",COUNTIF('Resumen Mensual'!$A$6:$A$35,$A107&amp;"")=0),"⚠ ese nombre no está en el «Resumen Mensual»: sus horas no se agregan","")))))</f>
        <v/>
      </c>
    </row>
    <row r="108">
      <c r="A108" s="21" t="n"/>
      <c r="B108" s="22" t="n"/>
      <c r="C108" s="23" t="n"/>
      <c r="D108" s="23" t="n"/>
      <c r="E108" s="24" t="n"/>
      <c r="F108" s="8">
        <f>IF(OR($C108="",$D108=""),"",IF(OR($C108&gt;=1,$D108&gt;=1,$C108=$D108,IF($E108="",0,$E108)&gt;MOD($D108-$C108,1)*24),"",ROUND(MOD($D108-$C108,1)*24-IF($E108="",0,$E108),2)))</f>
        <v/>
      </c>
      <c r="G108" s="25" t="n">
        <v>8</v>
      </c>
      <c r="H108" s="8">
        <f>IF(OR($F108="",$G108=""),"",MAX(0,$F108-$G108))</f>
        <v/>
      </c>
      <c r="I108" s="26" t="n"/>
      <c r="J108" s="27">
        <f>IF(AND($A108="",$C108="",$D108=""),"",IF(OR($C108&gt;=1,$D108&gt;=1),"⚠ escribe la hora con dos puntos: 9:00, no 9",IF(AND($C108&lt;&gt;"",$C108=$D108),"⚠ entrada y salida iguales: la jornada no suma",IF(AND($C108&lt;&gt;"",$D108&lt;&gt;"",IF($E108="",0,$E108)&gt;MOD($D108-$C108,1)*24),"⚠ la pausa es mayor que la jornada",IF(AND($A108&lt;&gt;"",COUNTIF('Resumen Mensual'!$A$6:$A$35,$A108&amp;"")=0),"⚠ ese nombre no está en el «Resumen Mensual»: sus horas no se agregan","")))))</f>
        <v/>
      </c>
    </row>
    <row r="109">
      <c r="A109" s="21" t="n"/>
      <c r="B109" s="22" t="n"/>
      <c r="C109" s="23" t="n"/>
      <c r="D109" s="23" t="n"/>
      <c r="E109" s="24" t="n"/>
      <c r="F109" s="8">
        <f>IF(OR($C109="",$D109=""),"",IF(OR($C109&gt;=1,$D109&gt;=1,$C109=$D109,IF($E109="",0,$E109)&gt;MOD($D109-$C109,1)*24),"",ROUND(MOD($D109-$C109,1)*24-IF($E109="",0,$E109),2)))</f>
        <v/>
      </c>
      <c r="G109" s="25" t="n">
        <v>8</v>
      </c>
      <c r="H109" s="8">
        <f>IF(OR($F109="",$G109=""),"",MAX(0,$F109-$G109))</f>
        <v/>
      </c>
      <c r="I109" s="26" t="n"/>
      <c r="J109" s="27">
        <f>IF(AND($A109="",$C109="",$D109=""),"",IF(OR($C109&gt;=1,$D109&gt;=1),"⚠ escribe la hora con dos puntos: 9:00, no 9",IF(AND($C109&lt;&gt;"",$C109=$D109),"⚠ entrada y salida iguales: la jornada no suma",IF(AND($C109&lt;&gt;"",$D109&lt;&gt;"",IF($E109="",0,$E109)&gt;MOD($D109-$C109,1)*24),"⚠ la pausa es mayor que la jornada",IF(AND($A109&lt;&gt;"",COUNTIF('Resumen Mensual'!$A$6:$A$35,$A109&amp;"")=0),"⚠ ese nombre no está en el «Resumen Mensual»: sus horas no se agregan","")))))</f>
        <v/>
      </c>
    </row>
    <row r="110">
      <c r="A110" s="21" t="n"/>
      <c r="B110" s="22" t="n"/>
      <c r="C110" s="23" t="n"/>
      <c r="D110" s="23" t="n"/>
      <c r="E110" s="24" t="n"/>
      <c r="F110" s="8">
        <f>IF(OR($C110="",$D110=""),"",IF(OR($C110&gt;=1,$D110&gt;=1,$C110=$D110,IF($E110="",0,$E110)&gt;MOD($D110-$C110,1)*24),"",ROUND(MOD($D110-$C110,1)*24-IF($E110="",0,$E110),2)))</f>
        <v/>
      </c>
      <c r="G110" s="25" t="n">
        <v>8</v>
      </c>
      <c r="H110" s="8">
        <f>IF(OR($F110="",$G110=""),"",MAX(0,$F110-$G110))</f>
        <v/>
      </c>
      <c r="I110" s="26" t="n"/>
      <c r="J110" s="27">
        <f>IF(AND($A110="",$C110="",$D110=""),"",IF(OR($C110&gt;=1,$D110&gt;=1),"⚠ escribe la hora con dos puntos: 9:00, no 9",IF(AND($C110&lt;&gt;"",$C110=$D110),"⚠ entrada y salida iguales: la jornada no suma",IF(AND($C110&lt;&gt;"",$D110&lt;&gt;"",IF($E110="",0,$E110)&gt;MOD($D110-$C110,1)*24),"⚠ la pausa es mayor que la jornada",IF(AND($A110&lt;&gt;"",COUNTIF('Resumen Mensual'!$A$6:$A$35,$A110&amp;"")=0),"⚠ ese nombre no está en el «Resumen Mensual»: sus horas no se agregan","")))))</f>
        <v/>
      </c>
    </row>
    <row r="111">
      <c r="A111" s="21" t="n"/>
      <c r="B111" s="22" t="n"/>
      <c r="C111" s="23" t="n"/>
      <c r="D111" s="23" t="n"/>
      <c r="E111" s="24" t="n"/>
      <c r="F111" s="8">
        <f>IF(OR($C111="",$D111=""),"",IF(OR($C111&gt;=1,$D111&gt;=1,$C111=$D111,IF($E111="",0,$E111)&gt;MOD($D111-$C111,1)*24),"",ROUND(MOD($D111-$C111,1)*24-IF($E111="",0,$E111),2)))</f>
        <v/>
      </c>
      <c r="G111" s="25" t="n">
        <v>8</v>
      </c>
      <c r="H111" s="8">
        <f>IF(OR($F111="",$G111=""),"",MAX(0,$F111-$G111))</f>
        <v/>
      </c>
      <c r="I111" s="26" t="n"/>
      <c r="J111" s="27">
        <f>IF(AND($A111="",$C111="",$D111=""),"",IF(OR($C111&gt;=1,$D111&gt;=1),"⚠ escribe la hora con dos puntos: 9:00, no 9",IF(AND($C111&lt;&gt;"",$C111=$D111),"⚠ entrada y salida iguales: la jornada no suma",IF(AND($C111&lt;&gt;"",$D111&lt;&gt;"",IF($E111="",0,$E111)&gt;MOD($D111-$C111,1)*24),"⚠ la pausa es mayor que la jornada",IF(AND($A111&lt;&gt;"",COUNTIF('Resumen Mensual'!$A$6:$A$35,$A111&amp;"")=0),"⚠ ese nombre no está en el «Resumen Mensual»: sus horas no se agregan","")))))</f>
        <v/>
      </c>
    </row>
    <row r="112">
      <c r="A112" s="21" t="n"/>
      <c r="B112" s="22" t="n"/>
      <c r="C112" s="23" t="n"/>
      <c r="D112" s="23" t="n"/>
      <c r="E112" s="24" t="n"/>
      <c r="F112" s="8">
        <f>IF(OR($C112="",$D112=""),"",IF(OR($C112&gt;=1,$D112&gt;=1,$C112=$D112,IF($E112="",0,$E112)&gt;MOD($D112-$C112,1)*24),"",ROUND(MOD($D112-$C112,1)*24-IF($E112="",0,$E112),2)))</f>
        <v/>
      </c>
      <c r="G112" s="25" t="n">
        <v>8</v>
      </c>
      <c r="H112" s="8">
        <f>IF(OR($F112="",$G112=""),"",MAX(0,$F112-$G112))</f>
        <v/>
      </c>
      <c r="I112" s="26" t="n"/>
      <c r="J112" s="27">
        <f>IF(AND($A112="",$C112="",$D112=""),"",IF(OR($C112&gt;=1,$D112&gt;=1),"⚠ escribe la hora con dos puntos: 9:00, no 9",IF(AND($C112&lt;&gt;"",$C112=$D112),"⚠ entrada y salida iguales: la jornada no suma",IF(AND($C112&lt;&gt;"",$D112&lt;&gt;"",IF($E112="",0,$E112)&gt;MOD($D112-$C112,1)*24),"⚠ la pausa es mayor que la jornada",IF(AND($A112&lt;&gt;"",COUNTIF('Resumen Mensual'!$A$6:$A$35,$A112&amp;"")=0),"⚠ ese nombre no está en el «Resumen Mensual»: sus horas no se agregan","")))))</f>
        <v/>
      </c>
    </row>
    <row r="113">
      <c r="A113" s="21" t="n"/>
      <c r="B113" s="22" t="n"/>
      <c r="C113" s="23" t="n"/>
      <c r="D113" s="23" t="n"/>
      <c r="E113" s="24" t="n"/>
      <c r="F113" s="8">
        <f>IF(OR($C113="",$D113=""),"",IF(OR($C113&gt;=1,$D113&gt;=1,$C113=$D113,IF($E113="",0,$E113)&gt;MOD($D113-$C113,1)*24),"",ROUND(MOD($D113-$C113,1)*24-IF($E113="",0,$E113),2)))</f>
        <v/>
      </c>
      <c r="G113" s="25" t="n">
        <v>8</v>
      </c>
      <c r="H113" s="8">
        <f>IF(OR($F113="",$G113=""),"",MAX(0,$F113-$G113))</f>
        <v/>
      </c>
      <c r="I113" s="26" t="n"/>
      <c r="J113" s="27">
        <f>IF(AND($A113="",$C113="",$D113=""),"",IF(OR($C113&gt;=1,$D113&gt;=1),"⚠ escribe la hora con dos puntos: 9:00, no 9",IF(AND($C113&lt;&gt;"",$C113=$D113),"⚠ entrada y salida iguales: la jornada no suma",IF(AND($C113&lt;&gt;"",$D113&lt;&gt;"",IF($E113="",0,$E113)&gt;MOD($D113-$C113,1)*24),"⚠ la pausa es mayor que la jornada",IF(AND($A113&lt;&gt;"",COUNTIF('Resumen Mensual'!$A$6:$A$35,$A113&amp;"")=0),"⚠ ese nombre no está en el «Resumen Mensual»: sus horas no se agregan","")))))</f>
        <v/>
      </c>
    </row>
    <row r="114">
      <c r="A114" s="21" t="n"/>
      <c r="B114" s="22" t="n"/>
      <c r="C114" s="23" t="n"/>
      <c r="D114" s="23" t="n"/>
      <c r="E114" s="24" t="n"/>
      <c r="F114" s="8">
        <f>IF(OR($C114="",$D114=""),"",IF(OR($C114&gt;=1,$D114&gt;=1,$C114=$D114,IF($E114="",0,$E114)&gt;MOD($D114-$C114,1)*24),"",ROUND(MOD($D114-$C114,1)*24-IF($E114="",0,$E114),2)))</f>
        <v/>
      </c>
      <c r="G114" s="25" t="n">
        <v>8</v>
      </c>
      <c r="H114" s="8">
        <f>IF(OR($F114="",$G114=""),"",MAX(0,$F114-$G114))</f>
        <v/>
      </c>
      <c r="I114" s="26" t="n"/>
      <c r="J114" s="27">
        <f>IF(AND($A114="",$C114="",$D114=""),"",IF(OR($C114&gt;=1,$D114&gt;=1),"⚠ escribe la hora con dos puntos: 9:00, no 9",IF(AND($C114&lt;&gt;"",$C114=$D114),"⚠ entrada y salida iguales: la jornada no suma",IF(AND($C114&lt;&gt;"",$D114&lt;&gt;"",IF($E114="",0,$E114)&gt;MOD($D114-$C114,1)*24),"⚠ la pausa es mayor que la jornada",IF(AND($A114&lt;&gt;"",COUNTIF('Resumen Mensual'!$A$6:$A$35,$A114&amp;"")=0),"⚠ ese nombre no está en el «Resumen Mensual»: sus horas no se agregan","")))))</f>
        <v/>
      </c>
    </row>
    <row r="115">
      <c r="A115" s="21" t="n"/>
      <c r="B115" s="22" t="n"/>
      <c r="C115" s="23" t="n"/>
      <c r="D115" s="23" t="n"/>
      <c r="E115" s="24" t="n"/>
      <c r="F115" s="8">
        <f>IF(OR($C115="",$D115=""),"",IF(OR($C115&gt;=1,$D115&gt;=1,$C115=$D115,IF($E115="",0,$E115)&gt;MOD($D115-$C115,1)*24),"",ROUND(MOD($D115-$C115,1)*24-IF($E115="",0,$E115),2)))</f>
        <v/>
      </c>
      <c r="G115" s="25" t="n">
        <v>8</v>
      </c>
      <c r="H115" s="8">
        <f>IF(OR($F115="",$G115=""),"",MAX(0,$F115-$G115))</f>
        <v/>
      </c>
      <c r="I115" s="26" t="n"/>
      <c r="J115" s="27">
        <f>IF(AND($A115="",$C115="",$D115=""),"",IF(OR($C115&gt;=1,$D115&gt;=1),"⚠ escribe la hora con dos puntos: 9:00, no 9",IF(AND($C115&lt;&gt;"",$C115=$D115),"⚠ entrada y salida iguales: la jornada no suma",IF(AND($C115&lt;&gt;"",$D115&lt;&gt;"",IF($E115="",0,$E115)&gt;MOD($D115-$C115,1)*24),"⚠ la pausa es mayor que la jornada",IF(AND($A115&lt;&gt;"",COUNTIF('Resumen Mensual'!$A$6:$A$35,$A115&amp;"")=0),"⚠ ese nombre no está en el «Resumen Mensual»: sus horas no se agregan","")))))</f>
        <v/>
      </c>
    </row>
    <row r="116">
      <c r="A116" s="21" t="n"/>
      <c r="B116" s="22" t="n"/>
      <c r="C116" s="23" t="n"/>
      <c r="D116" s="23" t="n"/>
      <c r="E116" s="24" t="n"/>
      <c r="F116" s="8">
        <f>IF(OR($C116="",$D116=""),"",IF(OR($C116&gt;=1,$D116&gt;=1,$C116=$D116,IF($E116="",0,$E116)&gt;MOD($D116-$C116,1)*24),"",ROUND(MOD($D116-$C116,1)*24-IF($E116="",0,$E116),2)))</f>
        <v/>
      </c>
      <c r="G116" s="25" t="n">
        <v>8</v>
      </c>
      <c r="H116" s="8">
        <f>IF(OR($F116="",$G116=""),"",MAX(0,$F116-$G116))</f>
        <v/>
      </c>
      <c r="I116" s="26" t="n"/>
      <c r="J116" s="27">
        <f>IF(AND($A116="",$C116="",$D116=""),"",IF(OR($C116&gt;=1,$D116&gt;=1),"⚠ escribe la hora con dos puntos: 9:00, no 9",IF(AND($C116&lt;&gt;"",$C116=$D116),"⚠ entrada y salida iguales: la jornada no suma",IF(AND($C116&lt;&gt;"",$D116&lt;&gt;"",IF($E116="",0,$E116)&gt;MOD($D116-$C116,1)*24),"⚠ la pausa es mayor que la jornada",IF(AND($A116&lt;&gt;"",COUNTIF('Resumen Mensual'!$A$6:$A$35,$A116&amp;"")=0),"⚠ ese nombre no está en el «Resumen Mensual»: sus horas no se agregan","")))))</f>
        <v/>
      </c>
    </row>
    <row r="117">
      <c r="A117" s="21" t="n"/>
      <c r="B117" s="22" t="n"/>
      <c r="C117" s="23" t="n"/>
      <c r="D117" s="23" t="n"/>
      <c r="E117" s="24" t="n"/>
      <c r="F117" s="8">
        <f>IF(OR($C117="",$D117=""),"",IF(OR($C117&gt;=1,$D117&gt;=1,$C117=$D117,IF($E117="",0,$E117)&gt;MOD($D117-$C117,1)*24),"",ROUND(MOD($D117-$C117,1)*24-IF($E117="",0,$E117),2)))</f>
        <v/>
      </c>
      <c r="G117" s="25" t="n">
        <v>8</v>
      </c>
      <c r="H117" s="8">
        <f>IF(OR($F117="",$G117=""),"",MAX(0,$F117-$G117))</f>
        <v/>
      </c>
      <c r="I117" s="26" t="n"/>
      <c r="J117" s="27">
        <f>IF(AND($A117="",$C117="",$D117=""),"",IF(OR($C117&gt;=1,$D117&gt;=1),"⚠ escribe la hora con dos puntos: 9:00, no 9",IF(AND($C117&lt;&gt;"",$C117=$D117),"⚠ entrada y salida iguales: la jornada no suma",IF(AND($C117&lt;&gt;"",$D117&lt;&gt;"",IF($E117="",0,$E117)&gt;MOD($D117-$C117,1)*24),"⚠ la pausa es mayor que la jornada",IF(AND($A117&lt;&gt;"",COUNTIF('Resumen Mensual'!$A$6:$A$35,$A117&amp;"")=0),"⚠ ese nombre no está en el «Resumen Mensual»: sus horas no se agregan","")))))</f>
        <v/>
      </c>
    </row>
    <row r="118">
      <c r="A118" s="21" t="n"/>
      <c r="B118" s="22" t="n"/>
      <c r="C118" s="23" t="n"/>
      <c r="D118" s="23" t="n"/>
      <c r="E118" s="24" t="n"/>
      <c r="F118" s="8">
        <f>IF(OR($C118="",$D118=""),"",IF(OR($C118&gt;=1,$D118&gt;=1,$C118=$D118,IF($E118="",0,$E118)&gt;MOD($D118-$C118,1)*24),"",ROUND(MOD($D118-$C118,1)*24-IF($E118="",0,$E118),2)))</f>
        <v/>
      </c>
      <c r="G118" s="25" t="n">
        <v>8</v>
      </c>
      <c r="H118" s="8">
        <f>IF(OR($F118="",$G118=""),"",MAX(0,$F118-$G118))</f>
        <v/>
      </c>
      <c r="I118" s="26" t="n"/>
      <c r="J118" s="27">
        <f>IF(AND($A118="",$C118="",$D118=""),"",IF(OR($C118&gt;=1,$D118&gt;=1),"⚠ escribe la hora con dos puntos: 9:00, no 9",IF(AND($C118&lt;&gt;"",$C118=$D118),"⚠ entrada y salida iguales: la jornada no suma",IF(AND($C118&lt;&gt;"",$D118&lt;&gt;"",IF($E118="",0,$E118)&gt;MOD($D118-$C118,1)*24),"⚠ la pausa es mayor que la jornada",IF(AND($A118&lt;&gt;"",COUNTIF('Resumen Mensual'!$A$6:$A$35,$A118&amp;"")=0),"⚠ ese nombre no está en el «Resumen Mensual»: sus horas no se agregan","")))))</f>
        <v/>
      </c>
    </row>
    <row r="119">
      <c r="A119" s="21" t="n"/>
      <c r="B119" s="22" t="n"/>
      <c r="C119" s="23" t="n"/>
      <c r="D119" s="23" t="n"/>
      <c r="E119" s="24" t="n"/>
      <c r="F119" s="8">
        <f>IF(OR($C119="",$D119=""),"",IF(OR($C119&gt;=1,$D119&gt;=1,$C119=$D119,IF($E119="",0,$E119)&gt;MOD($D119-$C119,1)*24),"",ROUND(MOD($D119-$C119,1)*24-IF($E119="",0,$E119),2)))</f>
        <v/>
      </c>
      <c r="G119" s="25" t="n">
        <v>8</v>
      </c>
      <c r="H119" s="8">
        <f>IF(OR($F119="",$G119=""),"",MAX(0,$F119-$G119))</f>
        <v/>
      </c>
      <c r="I119" s="26" t="n"/>
      <c r="J119" s="27">
        <f>IF(AND($A119="",$C119="",$D119=""),"",IF(OR($C119&gt;=1,$D119&gt;=1),"⚠ escribe la hora con dos puntos: 9:00, no 9",IF(AND($C119&lt;&gt;"",$C119=$D119),"⚠ entrada y salida iguales: la jornada no suma",IF(AND($C119&lt;&gt;"",$D119&lt;&gt;"",IF($E119="",0,$E119)&gt;MOD($D119-$C119,1)*24),"⚠ la pausa es mayor que la jornada",IF(AND($A119&lt;&gt;"",COUNTIF('Resumen Mensual'!$A$6:$A$35,$A119&amp;"")=0),"⚠ ese nombre no está en el «Resumen Mensual»: sus horas no se agregan","")))))</f>
        <v/>
      </c>
    </row>
    <row r="120">
      <c r="A120" s="21" t="n"/>
      <c r="B120" s="22" t="n"/>
      <c r="C120" s="23" t="n"/>
      <c r="D120" s="23" t="n"/>
      <c r="E120" s="24" t="n"/>
      <c r="F120" s="8">
        <f>IF(OR($C120="",$D120=""),"",IF(OR($C120&gt;=1,$D120&gt;=1,$C120=$D120,IF($E120="",0,$E120)&gt;MOD($D120-$C120,1)*24),"",ROUND(MOD($D120-$C120,1)*24-IF($E120="",0,$E120),2)))</f>
        <v/>
      </c>
      <c r="G120" s="25" t="n">
        <v>8</v>
      </c>
      <c r="H120" s="8">
        <f>IF(OR($F120="",$G120=""),"",MAX(0,$F120-$G120))</f>
        <v/>
      </c>
      <c r="I120" s="26" t="n"/>
      <c r="J120" s="27">
        <f>IF(AND($A120="",$C120="",$D120=""),"",IF(OR($C120&gt;=1,$D120&gt;=1),"⚠ escribe la hora con dos puntos: 9:00, no 9",IF(AND($C120&lt;&gt;"",$C120=$D120),"⚠ entrada y salida iguales: la jornada no suma",IF(AND($C120&lt;&gt;"",$D120&lt;&gt;"",IF($E120="",0,$E120)&gt;MOD($D120-$C120,1)*24),"⚠ la pausa es mayor que la jornada",IF(AND($A120&lt;&gt;"",COUNTIF('Resumen Mensual'!$A$6:$A$35,$A120&amp;"")=0),"⚠ ese nombre no está en el «Resumen Mensual»: sus horas no se agregan","")))))</f>
        <v/>
      </c>
    </row>
    <row r="121">
      <c r="A121" s="21" t="n"/>
      <c r="B121" s="22" t="n"/>
      <c r="C121" s="23" t="n"/>
      <c r="D121" s="23" t="n"/>
      <c r="E121" s="24" t="n"/>
      <c r="F121" s="8">
        <f>IF(OR($C121="",$D121=""),"",IF(OR($C121&gt;=1,$D121&gt;=1,$C121=$D121,IF($E121="",0,$E121)&gt;MOD($D121-$C121,1)*24),"",ROUND(MOD($D121-$C121,1)*24-IF($E121="",0,$E121),2)))</f>
        <v/>
      </c>
      <c r="G121" s="25" t="n">
        <v>8</v>
      </c>
      <c r="H121" s="8">
        <f>IF(OR($F121="",$G121=""),"",MAX(0,$F121-$G121))</f>
        <v/>
      </c>
      <c r="I121" s="26" t="n"/>
      <c r="J121" s="27">
        <f>IF(AND($A121="",$C121="",$D121=""),"",IF(OR($C121&gt;=1,$D121&gt;=1),"⚠ escribe la hora con dos puntos: 9:00, no 9",IF(AND($C121&lt;&gt;"",$C121=$D121),"⚠ entrada y salida iguales: la jornada no suma",IF(AND($C121&lt;&gt;"",$D121&lt;&gt;"",IF($E121="",0,$E121)&gt;MOD($D121-$C121,1)*24),"⚠ la pausa es mayor que la jornada",IF(AND($A121&lt;&gt;"",COUNTIF('Resumen Mensual'!$A$6:$A$35,$A121&amp;"")=0),"⚠ ese nombre no está en el «Resumen Mensual»: sus horas no se agregan","")))))</f>
        <v/>
      </c>
    </row>
    <row r="122">
      <c r="A122" s="21" t="n"/>
      <c r="B122" s="22" t="n"/>
      <c r="C122" s="23" t="n"/>
      <c r="D122" s="23" t="n"/>
      <c r="E122" s="24" t="n"/>
      <c r="F122" s="8">
        <f>IF(OR($C122="",$D122=""),"",IF(OR($C122&gt;=1,$D122&gt;=1,$C122=$D122,IF($E122="",0,$E122)&gt;MOD($D122-$C122,1)*24),"",ROUND(MOD($D122-$C122,1)*24-IF($E122="",0,$E122),2)))</f>
        <v/>
      </c>
      <c r="G122" s="25" t="n">
        <v>8</v>
      </c>
      <c r="H122" s="8">
        <f>IF(OR($F122="",$G122=""),"",MAX(0,$F122-$G122))</f>
        <v/>
      </c>
      <c r="I122" s="26" t="n"/>
      <c r="J122" s="27">
        <f>IF(AND($A122="",$C122="",$D122=""),"",IF(OR($C122&gt;=1,$D122&gt;=1),"⚠ escribe la hora con dos puntos: 9:00, no 9",IF(AND($C122&lt;&gt;"",$C122=$D122),"⚠ entrada y salida iguales: la jornada no suma",IF(AND($C122&lt;&gt;"",$D122&lt;&gt;"",IF($E122="",0,$E122)&gt;MOD($D122-$C122,1)*24),"⚠ la pausa es mayor que la jornada",IF(AND($A122&lt;&gt;"",COUNTIF('Resumen Mensual'!$A$6:$A$35,$A122&amp;"")=0),"⚠ ese nombre no está en el «Resumen Mensual»: sus horas no se agregan","")))))</f>
        <v/>
      </c>
    </row>
    <row r="123">
      <c r="A123" s="21" t="n"/>
      <c r="B123" s="22" t="n"/>
      <c r="C123" s="23" t="n"/>
      <c r="D123" s="23" t="n"/>
      <c r="E123" s="24" t="n"/>
      <c r="F123" s="8">
        <f>IF(OR($C123="",$D123=""),"",IF(OR($C123&gt;=1,$D123&gt;=1,$C123=$D123,IF($E123="",0,$E123)&gt;MOD($D123-$C123,1)*24),"",ROUND(MOD($D123-$C123,1)*24-IF($E123="",0,$E123),2)))</f>
        <v/>
      </c>
      <c r="G123" s="25" t="n">
        <v>8</v>
      </c>
      <c r="H123" s="8">
        <f>IF(OR($F123="",$G123=""),"",MAX(0,$F123-$G123))</f>
        <v/>
      </c>
      <c r="I123" s="26" t="n"/>
      <c r="J123" s="27">
        <f>IF(AND($A123="",$C123="",$D123=""),"",IF(OR($C123&gt;=1,$D123&gt;=1),"⚠ escribe la hora con dos puntos: 9:00, no 9",IF(AND($C123&lt;&gt;"",$C123=$D123),"⚠ entrada y salida iguales: la jornada no suma",IF(AND($C123&lt;&gt;"",$D123&lt;&gt;"",IF($E123="",0,$E123)&gt;MOD($D123-$C123,1)*24),"⚠ la pausa es mayor que la jornada",IF(AND($A123&lt;&gt;"",COUNTIF('Resumen Mensual'!$A$6:$A$35,$A123&amp;"")=0),"⚠ ese nombre no está en el «Resumen Mensual»: sus horas no se agregan","")))))</f>
        <v/>
      </c>
    </row>
    <row r="124">
      <c r="A124" s="21" t="n"/>
      <c r="B124" s="22" t="n"/>
      <c r="C124" s="23" t="n"/>
      <c r="D124" s="23" t="n"/>
      <c r="E124" s="24" t="n"/>
      <c r="F124" s="8">
        <f>IF(OR($C124="",$D124=""),"",IF(OR($C124&gt;=1,$D124&gt;=1,$C124=$D124,IF($E124="",0,$E124)&gt;MOD($D124-$C124,1)*24),"",ROUND(MOD($D124-$C124,1)*24-IF($E124="",0,$E124),2)))</f>
        <v/>
      </c>
      <c r="G124" s="25" t="n">
        <v>8</v>
      </c>
      <c r="H124" s="8">
        <f>IF(OR($F124="",$G124=""),"",MAX(0,$F124-$G124))</f>
        <v/>
      </c>
      <c r="I124" s="26" t="n"/>
      <c r="J124" s="27">
        <f>IF(AND($A124="",$C124="",$D124=""),"",IF(OR($C124&gt;=1,$D124&gt;=1),"⚠ escribe la hora con dos puntos: 9:00, no 9",IF(AND($C124&lt;&gt;"",$C124=$D124),"⚠ entrada y salida iguales: la jornada no suma",IF(AND($C124&lt;&gt;"",$D124&lt;&gt;"",IF($E124="",0,$E124)&gt;MOD($D124-$C124,1)*24),"⚠ la pausa es mayor que la jornada",IF(AND($A124&lt;&gt;"",COUNTIF('Resumen Mensual'!$A$6:$A$35,$A124&amp;"")=0),"⚠ ese nombre no está en el «Resumen Mensual»: sus horas no se agregan","")))))</f>
        <v/>
      </c>
    </row>
    <row r="125">
      <c r="A125" s="21" t="n"/>
      <c r="B125" s="22" t="n"/>
      <c r="C125" s="23" t="n"/>
      <c r="D125" s="23" t="n"/>
      <c r="E125" s="24" t="n"/>
      <c r="F125" s="8">
        <f>IF(OR($C125="",$D125=""),"",IF(OR($C125&gt;=1,$D125&gt;=1,$C125=$D125,IF($E125="",0,$E125)&gt;MOD($D125-$C125,1)*24),"",ROUND(MOD($D125-$C125,1)*24-IF($E125="",0,$E125),2)))</f>
        <v/>
      </c>
      <c r="G125" s="25" t="n">
        <v>8</v>
      </c>
      <c r="H125" s="8">
        <f>IF(OR($F125="",$G125=""),"",MAX(0,$F125-$G125))</f>
        <v/>
      </c>
      <c r="I125" s="26" t="n"/>
      <c r="J125" s="27">
        <f>IF(AND($A125="",$C125="",$D125=""),"",IF(OR($C125&gt;=1,$D125&gt;=1),"⚠ escribe la hora con dos puntos: 9:00, no 9",IF(AND($C125&lt;&gt;"",$C125=$D125),"⚠ entrada y salida iguales: la jornada no suma",IF(AND($C125&lt;&gt;"",$D125&lt;&gt;"",IF($E125="",0,$E125)&gt;MOD($D125-$C125,1)*24),"⚠ la pausa es mayor que la jornada",IF(AND($A125&lt;&gt;"",COUNTIF('Resumen Mensual'!$A$6:$A$35,$A125&amp;"")=0),"⚠ ese nombre no está en el «Resumen Mensual»: sus horas no se agregan","")))))</f>
        <v/>
      </c>
    </row>
    <row r="126">
      <c r="A126" s="21" t="n"/>
      <c r="B126" s="22" t="n"/>
      <c r="C126" s="23" t="n"/>
      <c r="D126" s="23" t="n"/>
      <c r="E126" s="24" t="n"/>
      <c r="F126" s="8">
        <f>IF(OR($C126="",$D126=""),"",IF(OR($C126&gt;=1,$D126&gt;=1,$C126=$D126,IF($E126="",0,$E126)&gt;MOD($D126-$C126,1)*24),"",ROUND(MOD($D126-$C126,1)*24-IF($E126="",0,$E126),2)))</f>
        <v/>
      </c>
      <c r="G126" s="25" t="n">
        <v>8</v>
      </c>
      <c r="H126" s="8">
        <f>IF(OR($F126="",$G126=""),"",MAX(0,$F126-$G126))</f>
        <v/>
      </c>
      <c r="I126" s="26" t="n"/>
      <c r="J126" s="27">
        <f>IF(AND($A126="",$C126="",$D126=""),"",IF(OR($C126&gt;=1,$D126&gt;=1),"⚠ escribe la hora con dos puntos: 9:00, no 9",IF(AND($C126&lt;&gt;"",$C126=$D126),"⚠ entrada y salida iguales: la jornada no suma",IF(AND($C126&lt;&gt;"",$D126&lt;&gt;"",IF($E126="",0,$E126)&gt;MOD($D126-$C126,1)*24),"⚠ la pausa es mayor que la jornada",IF(AND($A126&lt;&gt;"",COUNTIF('Resumen Mensual'!$A$6:$A$35,$A126&amp;"")=0),"⚠ ese nombre no está en el «Resumen Mensual»: sus horas no se agregan","")))))</f>
        <v/>
      </c>
    </row>
    <row r="127">
      <c r="A127" s="21" t="n"/>
      <c r="B127" s="22" t="n"/>
      <c r="C127" s="23" t="n"/>
      <c r="D127" s="23" t="n"/>
      <c r="E127" s="24" t="n"/>
      <c r="F127" s="8">
        <f>IF(OR($C127="",$D127=""),"",IF(OR($C127&gt;=1,$D127&gt;=1,$C127=$D127,IF($E127="",0,$E127)&gt;MOD($D127-$C127,1)*24),"",ROUND(MOD($D127-$C127,1)*24-IF($E127="",0,$E127),2)))</f>
        <v/>
      </c>
      <c r="G127" s="25" t="n">
        <v>8</v>
      </c>
      <c r="H127" s="8">
        <f>IF(OR($F127="",$G127=""),"",MAX(0,$F127-$G127))</f>
        <v/>
      </c>
      <c r="I127" s="26" t="n"/>
      <c r="J127" s="27">
        <f>IF(AND($A127="",$C127="",$D127=""),"",IF(OR($C127&gt;=1,$D127&gt;=1),"⚠ escribe la hora con dos puntos: 9:00, no 9",IF(AND($C127&lt;&gt;"",$C127=$D127),"⚠ entrada y salida iguales: la jornada no suma",IF(AND($C127&lt;&gt;"",$D127&lt;&gt;"",IF($E127="",0,$E127)&gt;MOD($D127-$C127,1)*24),"⚠ la pausa es mayor que la jornada",IF(AND($A127&lt;&gt;"",COUNTIF('Resumen Mensual'!$A$6:$A$35,$A127&amp;"")=0),"⚠ ese nombre no está en el «Resumen Mensual»: sus horas no se agregan","")))))</f>
        <v/>
      </c>
    </row>
    <row r="128">
      <c r="A128" s="21" t="n"/>
      <c r="B128" s="22" t="n"/>
      <c r="C128" s="23" t="n"/>
      <c r="D128" s="23" t="n"/>
      <c r="E128" s="24" t="n"/>
      <c r="F128" s="8">
        <f>IF(OR($C128="",$D128=""),"",IF(OR($C128&gt;=1,$D128&gt;=1,$C128=$D128,IF($E128="",0,$E128)&gt;MOD($D128-$C128,1)*24),"",ROUND(MOD($D128-$C128,1)*24-IF($E128="",0,$E128),2)))</f>
        <v/>
      </c>
      <c r="G128" s="25" t="n">
        <v>8</v>
      </c>
      <c r="H128" s="8">
        <f>IF(OR($F128="",$G128=""),"",MAX(0,$F128-$G128))</f>
        <v/>
      </c>
      <c r="I128" s="26" t="n"/>
      <c r="J128" s="27">
        <f>IF(AND($A128="",$C128="",$D128=""),"",IF(OR($C128&gt;=1,$D128&gt;=1),"⚠ escribe la hora con dos puntos: 9:00, no 9",IF(AND($C128&lt;&gt;"",$C128=$D128),"⚠ entrada y salida iguales: la jornada no suma",IF(AND($C128&lt;&gt;"",$D128&lt;&gt;"",IF($E128="",0,$E128)&gt;MOD($D128-$C128,1)*24),"⚠ la pausa es mayor que la jornada",IF(AND($A128&lt;&gt;"",COUNTIF('Resumen Mensual'!$A$6:$A$35,$A128&amp;"")=0),"⚠ ese nombre no está en el «Resumen Mensual»: sus horas no se agregan","")))))</f>
        <v/>
      </c>
    </row>
    <row r="129">
      <c r="A129" s="21" t="n"/>
      <c r="B129" s="22" t="n"/>
      <c r="C129" s="23" t="n"/>
      <c r="D129" s="23" t="n"/>
      <c r="E129" s="24" t="n"/>
      <c r="F129" s="8">
        <f>IF(OR($C129="",$D129=""),"",IF(OR($C129&gt;=1,$D129&gt;=1,$C129=$D129,IF($E129="",0,$E129)&gt;MOD($D129-$C129,1)*24),"",ROUND(MOD($D129-$C129,1)*24-IF($E129="",0,$E129),2)))</f>
        <v/>
      </c>
      <c r="G129" s="25" t="n">
        <v>8</v>
      </c>
      <c r="H129" s="8">
        <f>IF(OR($F129="",$G129=""),"",MAX(0,$F129-$G129))</f>
        <v/>
      </c>
      <c r="I129" s="26" t="n"/>
      <c r="J129" s="27">
        <f>IF(AND($A129="",$C129="",$D129=""),"",IF(OR($C129&gt;=1,$D129&gt;=1),"⚠ escribe la hora con dos puntos: 9:00, no 9",IF(AND($C129&lt;&gt;"",$C129=$D129),"⚠ entrada y salida iguales: la jornada no suma",IF(AND($C129&lt;&gt;"",$D129&lt;&gt;"",IF($E129="",0,$E129)&gt;MOD($D129-$C129,1)*24),"⚠ la pausa es mayor que la jornada",IF(AND($A129&lt;&gt;"",COUNTIF('Resumen Mensual'!$A$6:$A$35,$A129&amp;"")=0),"⚠ ese nombre no está en el «Resumen Mensual»: sus horas no se agregan","")))))</f>
        <v/>
      </c>
    </row>
    <row r="130">
      <c r="A130" s="21" t="n"/>
      <c r="B130" s="22" t="n"/>
      <c r="C130" s="23" t="n"/>
      <c r="D130" s="23" t="n"/>
      <c r="E130" s="24" t="n"/>
      <c r="F130" s="8">
        <f>IF(OR($C130="",$D130=""),"",IF(OR($C130&gt;=1,$D130&gt;=1,$C130=$D130,IF($E130="",0,$E130)&gt;MOD($D130-$C130,1)*24),"",ROUND(MOD($D130-$C130,1)*24-IF($E130="",0,$E130),2)))</f>
        <v/>
      </c>
      <c r="G130" s="25" t="n">
        <v>8</v>
      </c>
      <c r="H130" s="8">
        <f>IF(OR($F130="",$G130=""),"",MAX(0,$F130-$G130))</f>
        <v/>
      </c>
      <c r="I130" s="26" t="n"/>
      <c r="J130" s="27">
        <f>IF(AND($A130="",$C130="",$D130=""),"",IF(OR($C130&gt;=1,$D130&gt;=1),"⚠ escribe la hora con dos puntos: 9:00, no 9",IF(AND($C130&lt;&gt;"",$C130=$D130),"⚠ entrada y salida iguales: la jornada no suma",IF(AND($C130&lt;&gt;"",$D130&lt;&gt;"",IF($E130="",0,$E130)&gt;MOD($D130-$C130,1)*24),"⚠ la pausa es mayor que la jornada",IF(AND($A130&lt;&gt;"",COUNTIF('Resumen Mensual'!$A$6:$A$35,$A130&amp;"")=0),"⚠ ese nombre no está en el «Resumen Mensual»: sus horas no se agregan","")))))</f>
        <v/>
      </c>
    </row>
    <row r="131">
      <c r="A131" s="21" t="n"/>
      <c r="B131" s="22" t="n"/>
      <c r="C131" s="23" t="n"/>
      <c r="D131" s="23" t="n"/>
      <c r="E131" s="24" t="n"/>
      <c r="F131" s="8">
        <f>IF(OR($C131="",$D131=""),"",IF(OR($C131&gt;=1,$D131&gt;=1,$C131=$D131,IF($E131="",0,$E131)&gt;MOD($D131-$C131,1)*24),"",ROUND(MOD($D131-$C131,1)*24-IF($E131="",0,$E131),2)))</f>
        <v/>
      </c>
      <c r="G131" s="25" t="n">
        <v>8</v>
      </c>
      <c r="H131" s="8">
        <f>IF(OR($F131="",$G131=""),"",MAX(0,$F131-$G131))</f>
        <v/>
      </c>
      <c r="I131" s="26" t="n"/>
      <c r="J131" s="27">
        <f>IF(AND($A131="",$C131="",$D131=""),"",IF(OR($C131&gt;=1,$D131&gt;=1),"⚠ escribe la hora con dos puntos: 9:00, no 9",IF(AND($C131&lt;&gt;"",$C131=$D131),"⚠ entrada y salida iguales: la jornada no suma",IF(AND($C131&lt;&gt;"",$D131&lt;&gt;"",IF($E131="",0,$E131)&gt;MOD($D131-$C131,1)*24),"⚠ la pausa es mayor que la jornada",IF(AND($A131&lt;&gt;"",COUNTIF('Resumen Mensual'!$A$6:$A$35,$A131&amp;"")=0),"⚠ ese nombre no está en el «Resumen Mensual»: sus horas no se agregan","")))))</f>
        <v/>
      </c>
    </row>
    <row r="132">
      <c r="A132" s="21" t="n"/>
      <c r="B132" s="22" t="n"/>
      <c r="C132" s="23" t="n"/>
      <c r="D132" s="23" t="n"/>
      <c r="E132" s="24" t="n"/>
      <c r="F132" s="8">
        <f>IF(OR($C132="",$D132=""),"",IF(OR($C132&gt;=1,$D132&gt;=1,$C132=$D132,IF($E132="",0,$E132)&gt;MOD($D132-$C132,1)*24),"",ROUND(MOD($D132-$C132,1)*24-IF($E132="",0,$E132),2)))</f>
        <v/>
      </c>
      <c r="G132" s="25" t="n">
        <v>8</v>
      </c>
      <c r="H132" s="8">
        <f>IF(OR($F132="",$G132=""),"",MAX(0,$F132-$G132))</f>
        <v/>
      </c>
      <c r="I132" s="26" t="n"/>
      <c r="J132" s="27">
        <f>IF(AND($A132="",$C132="",$D132=""),"",IF(OR($C132&gt;=1,$D132&gt;=1),"⚠ escribe la hora con dos puntos: 9:00, no 9",IF(AND($C132&lt;&gt;"",$C132=$D132),"⚠ entrada y salida iguales: la jornada no suma",IF(AND($C132&lt;&gt;"",$D132&lt;&gt;"",IF($E132="",0,$E132)&gt;MOD($D132-$C132,1)*24),"⚠ la pausa es mayor que la jornada",IF(AND($A132&lt;&gt;"",COUNTIF('Resumen Mensual'!$A$6:$A$35,$A132&amp;"")=0),"⚠ ese nombre no está en el «Resumen Mensual»: sus horas no se agregan","")))))</f>
        <v/>
      </c>
    </row>
    <row r="133">
      <c r="A133" s="21" t="n"/>
      <c r="B133" s="22" t="n"/>
      <c r="C133" s="23" t="n"/>
      <c r="D133" s="23" t="n"/>
      <c r="E133" s="24" t="n"/>
      <c r="F133" s="8">
        <f>IF(OR($C133="",$D133=""),"",IF(OR($C133&gt;=1,$D133&gt;=1,$C133=$D133,IF($E133="",0,$E133)&gt;MOD($D133-$C133,1)*24),"",ROUND(MOD($D133-$C133,1)*24-IF($E133="",0,$E133),2)))</f>
        <v/>
      </c>
      <c r="G133" s="25" t="n">
        <v>8</v>
      </c>
      <c r="H133" s="8">
        <f>IF(OR($F133="",$G133=""),"",MAX(0,$F133-$G133))</f>
        <v/>
      </c>
      <c r="I133" s="26" t="n"/>
      <c r="J133" s="27">
        <f>IF(AND($A133="",$C133="",$D133=""),"",IF(OR($C133&gt;=1,$D133&gt;=1),"⚠ escribe la hora con dos puntos: 9:00, no 9",IF(AND($C133&lt;&gt;"",$C133=$D133),"⚠ entrada y salida iguales: la jornada no suma",IF(AND($C133&lt;&gt;"",$D133&lt;&gt;"",IF($E133="",0,$E133)&gt;MOD($D133-$C133,1)*24),"⚠ la pausa es mayor que la jornada",IF(AND($A133&lt;&gt;"",COUNTIF('Resumen Mensual'!$A$6:$A$35,$A133&amp;"")=0),"⚠ ese nombre no está en el «Resumen Mensual»: sus horas no se agregan","")))))</f>
        <v/>
      </c>
    </row>
    <row r="134">
      <c r="A134" s="21" t="n"/>
      <c r="B134" s="22" t="n"/>
      <c r="C134" s="23" t="n"/>
      <c r="D134" s="23" t="n"/>
      <c r="E134" s="24" t="n"/>
      <c r="F134" s="8">
        <f>IF(OR($C134="",$D134=""),"",IF(OR($C134&gt;=1,$D134&gt;=1,$C134=$D134,IF($E134="",0,$E134)&gt;MOD($D134-$C134,1)*24),"",ROUND(MOD($D134-$C134,1)*24-IF($E134="",0,$E134),2)))</f>
        <v/>
      </c>
      <c r="G134" s="25" t="n">
        <v>8</v>
      </c>
      <c r="H134" s="8">
        <f>IF(OR($F134="",$G134=""),"",MAX(0,$F134-$G134))</f>
        <v/>
      </c>
      <c r="I134" s="26" t="n"/>
      <c r="J134" s="27">
        <f>IF(AND($A134="",$C134="",$D134=""),"",IF(OR($C134&gt;=1,$D134&gt;=1),"⚠ escribe la hora con dos puntos: 9:00, no 9",IF(AND($C134&lt;&gt;"",$C134=$D134),"⚠ entrada y salida iguales: la jornada no suma",IF(AND($C134&lt;&gt;"",$D134&lt;&gt;"",IF($E134="",0,$E134)&gt;MOD($D134-$C134,1)*24),"⚠ la pausa es mayor que la jornada",IF(AND($A134&lt;&gt;"",COUNTIF('Resumen Mensual'!$A$6:$A$35,$A134&amp;"")=0),"⚠ ese nombre no está en el «Resumen Mensual»: sus horas no se agregan","")))))</f>
        <v/>
      </c>
    </row>
    <row r="135">
      <c r="A135" s="21" t="n"/>
      <c r="B135" s="22" t="n"/>
      <c r="C135" s="23" t="n"/>
      <c r="D135" s="23" t="n"/>
      <c r="E135" s="24" t="n"/>
      <c r="F135" s="8">
        <f>IF(OR($C135="",$D135=""),"",IF(OR($C135&gt;=1,$D135&gt;=1,$C135=$D135,IF($E135="",0,$E135)&gt;MOD($D135-$C135,1)*24),"",ROUND(MOD($D135-$C135,1)*24-IF($E135="",0,$E135),2)))</f>
        <v/>
      </c>
      <c r="G135" s="25" t="n">
        <v>8</v>
      </c>
      <c r="H135" s="8">
        <f>IF(OR($F135="",$G135=""),"",MAX(0,$F135-$G135))</f>
        <v/>
      </c>
      <c r="I135" s="26" t="n"/>
      <c r="J135" s="27">
        <f>IF(AND($A135="",$C135="",$D135=""),"",IF(OR($C135&gt;=1,$D135&gt;=1),"⚠ escribe la hora con dos puntos: 9:00, no 9",IF(AND($C135&lt;&gt;"",$C135=$D135),"⚠ entrada y salida iguales: la jornada no suma",IF(AND($C135&lt;&gt;"",$D135&lt;&gt;"",IF($E135="",0,$E135)&gt;MOD($D135-$C135,1)*24),"⚠ la pausa es mayor que la jornada",IF(AND($A135&lt;&gt;"",COUNTIF('Resumen Mensual'!$A$6:$A$35,$A135&amp;"")=0),"⚠ ese nombre no está en el «Resumen Mensual»: sus horas no se agregan","")))))</f>
        <v/>
      </c>
    </row>
    <row r="136">
      <c r="A136" s="21" t="n"/>
      <c r="B136" s="22" t="n"/>
      <c r="C136" s="23" t="n"/>
      <c r="D136" s="23" t="n"/>
      <c r="E136" s="24" t="n"/>
      <c r="F136" s="8">
        <f>IF(OR($C136="",$D136=""),"",IF(OR($C136&gt;=1,$D136&gt;=1,$C136=$D136,IF($E136="",0,$E136)&gt;MOD($D136-$C136,1)*24),"",ROUND(MOD($D136-$C136,1)*24-IF($E136="",0,$E136),2)))</f>
        <v/>
      </c>
      <c r="G136" s="25" t="n">
        <v>8</v>
      </c>
      <c r="H136" s="8">
        <f>IF(OR($F136="",$G136=""),"",MAX(0,$F136-$G136))</f>
        <v/>
      </c>
      <c r="I136" s="26" t="n"/>
      <c r="J136" s="27">
        <f>IF(AND($A136="",$C136="",$D136=""),"",IF(OR($C136&gt;=1,$D136&gt;=1),"⚠ escribe la hora con dos puntos: 9:00, no 9",IF(AND($C136&lt;&gt;"",$C136=$D136),"⚠ entrada y salida iguales: la jornada no suma",IF(AND($C136&lt;&gt;"",$D136&lt;&gt;"",IF($E136="",0,$E136)&gt;MOD($D136-$C136,1)*24),"⚠ la pausa es mayor que la jornada",IF(AND($A136&lt;&gt;"",COUNTIF('Resumen Mensual'!$A$6:$A$35,$A136&amp;"")=0),"⚠ ese nombre no está en el «Resumen Mensual»: sus horas no se agregan","")))))</f>
        <v/>
      </c>
    </row>
    <row r="137">
      <c r="A137" s="21" t="n"/>
      <c r="B137" s="22" t="n"/>
      <c r="C137" s="23" t="n"/>
      <c r="D137" s="23" t="n"/>
      <c r="E137" s="24" t="n"/>
      <c r="F137" s="8">
        <f>IF(OR($C137="",$D137=""),"",IF(OR($C137&gt;=1,$D137&gt;=1,$C137=$D137,IF($E137="",0,$E137)&gt;MOD($D137-$C137,1)*24),"",ROUND(MOD($D137-$C137,1)*24-IF($E137="",0,$E137),2)))</f>
        <v/>
      </c>
      <c r="G137" s="25" t="n">
        <v>8</v>
      </c>
      <c r="H137" s="8">
        <f>IF(OR($F137="",$G137=""),"",MAX(0,$F137-$G137))</f>
        <v/>
      </c>
      <c r="I137" s="26" t="n"/>
      <c r="J137" s="27">
        <f>IF(AND($A137="",$C137="",$D137=""),"",IF(OR($C137&gt;=1,$D137&gt;=1),"⚠ escribe la hora con dos puntos: 9:00, no 9",IF(AND($C137&lt;&gt;"",$C137=$D137),"⚠ entrada y salida iguales: la jornada no suma",IF(AND($C137&lt;&gt;"",$D137&lt;&gt;"",IF($E137="",0,$E137)&gt;MOD($D137-$C137,1)*24),"⚠ la pausa es mayor que la jornada",IF(AND($A137&lt;&gt;"",COUNTIF('Resumen Mensual'!$A$6:$A$35,$A137&amp;"")=0),"⚠ ese nombre no está en el «Resumen Mensual»: sus horas no se agregan","")))))</f>
        <v/>
      </c>
    </row>
    <row r="138">
      <c r="A138" s="21" t="n"/>
      <c r="B138" s="22" t="n"/>
      <c r="C138" s="23" t="n"/>
      <c r="D138" s="23" t="n"/>
      <c r="E138" s="24" t="n"/>
      <c r="F138" s="8">
        <f>IF(OR($C138="",$D138=""),"",IF(OR($C138&gt;=1,$D138&gt;=1,$C138=$D138,IF($E138="",0,$E138)&gt;MOD($D138-$C138,1)*24),"",ROUND(MOD($D138-$C138,1)*24-IF($E138="",0,$E138),2)))</f>
        <v/>
      </c>
      <c r="G138" s="25" t="n">
        <v>8</v>
      </c>
      <c r="H138" s="8">
        <f>IF(OR($F138="",$G138=""),"",MAX(0,$F138-$G138))</f>
        <v/>
      </c>
      <c r="I138" s="26" t="n"/>
      <c r="J138" s="27">
        <f>IF(AND($A138="",$C138="",$D138=""),"",IF(OR($C138&gt;=1,$D138&gt;=1),"⚠ escribe la hora con dos puntos: 9:00, no 9",IF(AND($C138&lt;&gt;"",$C138=$D138),"⚠ entrada y salida iguales: la jornada no suma",IF(AND($C138&lt;&gt;"",$D138&lt;&gt;"",IF($E138="",0,$E138)&gt;MOD($D138-$C138,1)*24),"⚠ la pausa es mayor que la jornada",IF(AND($A138&lt;&gt;"",COUNTIF('Resumen Mensual'!$A$6:$A$35,$A138&amp;"")=0),"⚠ ese nombre no está en el «Resumen Mensual»: sus horas no se agregan","")))))</f>
        <v/>
      </c>
    </row>
    <row r="139">
      <c r="A139" s="21" t="n"/>
      <c r="B139" s="22" t="n"/>
      <c r="C139" s="23" t="n"/>
      <c r="D139" s="23" t="n"/>
      <c r="E139" s="24" t="n"/>
      <c r="F139" s="8">
        <f>IF(OR($C139="",$D139=""),"",IF(OR($C139&gt;=1,$D139&gt;=1,$C139=$D139,IF($E139="",0,$E139)&gt;MOD($D139-$C139,1)*24),"",ROUND(MOD($D139-$C139,1)*24-IF($E139="",0,$E139),2)))</f>
        <v/>
      </c>
      <c r="G139" s="25" t="n">
        <v>8</v>
      </c>
      <c r="H139" s="8">
        <f>IF(OR($F139="",$G139=""),"",MAX(0,$F139-$G139))</f>
        <v/>
      </c>
      <c r="I139" s="26" t="n"/>
      <c r="J139" s="27">
        <f>IF(AND($A139="",$C139="",$D139=""),"",IF(OR($C139&gt;=1,$D139&gt;=1),"⚠ escribe la hora con dos puntos: 9:00, no 9",IF(AND($C139&lt;&gt;"",$C139=$D139),"⚠ entrada y salida iguales: la jornada no suma",IF(AND($C139&lt;&gt;"",$D139&lt;&gt;"",IF($E139="",0,$E139)&gt;MOD($D139-$C139,1)*24),"⚠ la pausa es mayor que la jornada",IF(AND($A139&lt;&gt;"",COUNTIF('Resumen Mensual'!$A$6:$A$35,$A139&amp;"")=0),"⚠ ese nombre no está en el «Resumen Mensual»: sus horas no se agregan","")))))</f>
        <v/>
      </c>
    </row>
    <row r="140">
      <c r="A140" s="21" t="n"/>
      <c r="B140" s="22" t="n"/>
      <c r="C140" s="23" t="n"/>
      <c r="D140" s="23" t="n"/>
      <c r="E140" s="24" t="n"/>
      <c r="F140" s="8">
        <f>IF(OR($C140="",$D140=""),"",IF(OR($C140&gt;=1,$D140&gt;=1,$C140=$D140,IF($E140="",0,$E140)&gt;MOD($D140-$C140,1)*24),"",ROUND(MOD($D140-$C140,1)*24-IF($E140="",0,$E140),2)))</f>
        <v/>
      </c>
      <c r="G140" s="25" t="n">
        <v>8</v>
      </c>
      <c r="H140" s="8">
        <f>IF(OR($F140="",$G140=""),"",MAX(0,$F140-$G140))</f>
        <v/>
      </c>
      <c r="I140" s="26" t="n"/>
      <c r="J140" s="27">
        <f>IF(AND($A140="",$C140="",$D140=""),"",IF(OR($C140&gt;=1,$D140&gt;=1),"⚠ escribe la hora con dos puntos: 9:00, no 9",IF(AND($C140&lt;&gt;"",$C140=$D140),"⚠ entrada y salida iguales: la jornada no suma",IF(AND($C140&lt;&gt;"",$D140&lt;&gt;"",IF($E140="",0,$E140)&gt;MOD($D140-$C140,1)*24),"⚠ la pausa es mayor que la jornada",IF(AND($A140&lt;&gt;"",COUNTIF('Resumen Mensual'!$A$6:$A$35,$A140&amp;"")=0),"⚠ ese nombre no está en el «Resumen Mensual»: sus horas no se agregan","")))))</f>
        <v/>
      </c>
    </row>
    <row r="141">
      <c r="A141" s="21" t="n"/>
      <c r="B141" s="22" t="n"/>
      <c r="C141" s="23" t="n"/>
      <c r="D141" s="23" t="n"/>
      <c r="E141" s="24" t="n"/>
      <c r="F141" s="8">
        <f>IF(OR($C141="",$D141=""),"",IF(OR($C141&gt;=1,$D141&gt;=1,$C141=$D141,IF($E141="",0,$E141)&gt;MOD($D141-$C141,1)*24),"",ROUND(MOD($D141-$C141,1)*24-IF($E141="",0,$E141),2)))</f>
        <v/>
      </c>
      <c r="G141" s="25" t="n">
        <v>8</v>
      </c>
      <c r="H141" s="8">
        <f>IF(OR($F141="",$G141=""),"",MAX(0,$F141-$G141))</f>
        <v/>
      </c>
      <c r="I141" s="26" t="n"/>
      <c r="J141" s="27">
        <f>IF(AND($A141="",$C141="",$D141=""),"",IF(OR($C141&gt;=1,$D141&gt;=1),"⚠ escribe la hora con dos puntos: 9:00, no 9",IF(AND($C141&lt;&gt;"",$C141=$D141),"⚠ entrada y salida iguales: la jornada no suma",IF(AND($C141&lt;&gt;"",$D141&lt;&gt;"",IF($E141="",0,$E141)&gt;MOD($D141-$C141,1)*24),"⚠ la pausa es mayor que la jornada",IF(AND($A141&lt;&gt;"",COUNTIF('Resumen Mensual'!$A$6:$A$35,$A141&amp;"")=0),"⚠ ese nombre no está en el «Resumen Mensual»: sus horas no se agregan","")))))</f>
        <v/>
      </c>
    </row>
    <row r="142">
      <c r="A142" s="21" t="n"/>
      <c r="B142" s="22" t="n"/>
      <c r="C142" s="23" t="n"/>
      <c r="D142" s="23" t="n"/>
      <c r="E142" s="24" t="n"/>
      <c r="F142" s="8">
        <f>IF(OR($C142="",$D142=""),"",IF(OR($C142&gt;=1,$D142&gt;=1,$C142=$D142,IF($E142="",0,$E142)&gt;MOD($D142-$C142,1)*24),"",ROUND(MOD($D142-$C142,1)*24-IF($E142="",0,$E142),2)))</f>
        <v/>
      </c>
      <c r="G142" s="25" t="n">
        <v>8</v>
      </c>
      <c r="H142" s="8">
        <f>IF(OR($F142="",$G142=""),"",MAX(0,$F142-$G142))</f>
        <v/>
      </c>
      <c r="I142" s="26" t="n"/>
      <c r="J142" s="27">
        <f>IF(AND($A142="",$C142="",$D142=""),"",IF(OR($C142&gt;=1,$D142&gt;=1),"⚠ escribe la hora con dos puntos: 9:00, no 9",IF(AND($C142&lt;&gt;"",$C142=$D142),"⚠ entrada y salida iguales: la jornada no suma",IF(AND($C142&lt;&gt;"",$D142&lt;&gt;"",IF($E142="",0,$E142)&gt;MOD($D142-$C142,1)*24),"⚠ la pausa es mayor que la jornada",IF(AND($A142&lt;&gt;"",COUNTIF('Resumen Mensual'!$A$6:$A$35,$A142&amp;"")=0),"⚠ ese nombre no está en el «Resumen Mensual»: sus horas no se agregan","")))))</f>
        <v/>
      </c>
    </row>
    <row r="143">
      <c r="A143" s="21" t="n"/>
      <c r="B143" s="22" t="n"/>
      <c r="C143" s="23" t="n"/>
      <c r="D143" s="23" t="n"/>
      <c r="E143" s="24" t="n"/>
      <c r="F143" s="8">
        <f>IF(OR($C143="",$D143=""),"",IF(OR($C143&gt;=1,$D143&gt;=1,$C143=$D143,IF($E143="",0,$E143)&gt;MOD($D143-$C143,1)*24),"",ROUND(MOD($D143-$C143,1)*24-IF($E143="",0,$E143),2)))</f>
        <v/>
      </c>
      <c r="G143" s="25" t="n">
        <v>8</v>
      </c>
      <c r="H143" s="8">
        <f>IF(OR($F143="",$G143=""),"",MAX(0,$F143-$G143))</f>
        <v/>
      </c>
      <c r="I143" s="26" t="n"/>
      <c r="J143" s="27">
        <f>IF(AND($A143="",$C143="",$D143=""),"",IF(OR($C143&gt;=1,$D143&gt;=1),"⚠ escribe la hora con dos puntos: 9:00, no 9",IF(AND($C143&lt;&gt;"",$C143=$D143),"⚠ entrada y salida iguales: la jornada no suma",IF(AND($C143&lt;&gt;"",$D143&lt;&gt;"",IF($E143="",0,$E143)&gt;MOD($D143-$C143,1)*24),"⚠ la pausa es mayor que la jornada",IF(AND($A143&lt;&gt;"",COUNTIF('Resumen Mensual'!$A$6:$A$35,$A143&amp;"")=0),"⚠ ese nombre no está en el «Resumen Mensual»: sus horas no se agregan","")))))</f>
        <v/>
      </c>
    </row>
    <row r="144">
      <c r="A144" s="21" t="n"/>
      <c r="B144" s="22" t="n"/>
      <c r="C144" s="23" t="n"/>
      <c r="D144" s="23" t="n"/>
      <c r="E144" s="24" t="n"/>
      <c r="F144" s="8">
        <f>IF(OR($C144="",$D144=""),"",IF(OR($C144&gt;=1,$D144&gt;=1,$C144=$D144,IF($E144="",0,$E144)&gt;MOD($D144-$C144,1)*24),"",ROUND(MOD($D144-$C144,1)*24-IF($E144="",0,$E144),2)))</f>
        <v/>
      </c>
      <c r="G144" s="25" t="n">
        <v>8</v>
      </c>
      <c r="H144" s="8">
        <f>IF(OR($F144="",$G144=""),"",MAX(0,$F144-$G144))</f>
        <v/>
      </c>
      <c r="I144" s="26" t="n"/>
      <c r="J144" s="27">
        <f>IF(AND($A144="",$C144="",$D144=""),"",IF(OR($C144&gt;=1,$D144&gt;=1),"⚠ escribe la hora con dos puntos: 9:00, no 9",IF(AND($C144&lt;&gt;"",$C144=$D144),"⚠ entrada y salida iguales: la jornada no suma",IF(AND($C144&lt;&gt;"",$D144&lt;&gt;"",IF($E144="",0,$E144)&gt;MOD($D144-$C144,1)*24),"⚠ la pausa es mayor que la jornada",IF(AND($A144&lt;&gt;"",COUNTIF('Resumen Mensual'!$A$6:$A$35,$A144&amp;"")=0),"⚠ ese nombre no está en el «Resumen Mensual»: sus horas no se agregan","")))))</f>
        <v/>
      </c>
    </row>
    <row r="145">
      <c r="A145" s="21" t="n"/>
      <c r="B145" s="22" t="n"/>
      <c r="C145" s="23" t="n"/>
      <c r="D145" s="23" t="n"/>
      <c r="E145" s="24" t="n"/>
      <c r="F145" s="8">
        <f>IF(OR($C145="",$D145=""),"",IF(OR($C145&gt;=1,$D145&gt;=1,$C145=$D145,IF($E145="",0,$E145)&gt;MOD($D145-$C145,1)*24),"",ROUND(MOD($D145-$C145,1)*24-IF($E145="",0,$E145),2)))</f>
        <v/>
      </c>
      <c r="G145" s="25" t="n">
        <v>8</v>
      </c>
      <c r="H145" s="8">
        <f>IF(OR($F145="",$G145=""),"",MAX(0,$F145-$G145))</f>
        <v/>
      </c>
      <c r="I145" s="26" t="n"/>
      <c r="J145" s="27">
        <f>IF(AND($A145="",$C145="",$D145=""),"",IF(OR($C145&gt;=1,$D145&gt;=1),"⚠ escribe la hora con dos puntos: 9:00, no 9",IF(AND($C145&lt;&gt;"",$C145=$D145),"⚠ entrada y salida iguales: la jornada no suma",IF(AND($C145&lt;&gt;"",$D145&lt;&gt;"",IF($E145="",0,$E145)&gt;MOD($D145-$C145,1)*24),"⚠ la pausa es mayor que la jornada",IF(AND($A145&lt;&gt;"",COUNTIF('Resumen Mensual'!$A$6:$A$35,$A145&amp;"")=0),"⚠ ese nombre no está en el «Resumen Mensual»: sus horas no se agregan","")))))</f>
        <v/>
      </c>
    </row>
    <row r="146">
      <c r="A146" s="21" t="n"/>
      <c r="B146" s="22" t="n"/>
      <c r="C146" s="23" t="n"/>
      <c r="D146" s="23" t="n"/>
      <c r="E146" s="24" t="n"/>
      <c r="F146" s="8">
        <f>IF(OR($C146="",$D146=""),"",IF(OR($C146&gt;=1,$D146&gt;=1,$C146=$D146,IF($E146="",0,$E146)&gt;MOD($D146-$C146,1)*24),"",ROUND(MOD($D146-$C146,1)*24-IF($E146="",0,$E146),2)))</f>
        <v/>
      </c>
      <c r="G146" s="25" t="n">
        <v>8</v>
      </c>
      <c r="H146" s="8">
        <f>IF(OR($F146="",$G146=""),"",MAX(0,$F146-$G146))</f>
        <v/>
      </c>
      <c r="I146" s="26" t="n"/>
      <c r="J146" s="27">
        <f>IF(AND($A146="",$C146="",$D146=""),"",IF(OR($C146&gt;=1,$D146&gt;=1),"⚠ escribe la hora con dos puntos: 9:00, no 9",IF(AND($C146&lt;&gt;"",$C146=$D146),"⚠ entrada y salida iguales: la jornada no suma",IF(AND($C146&lt;&gt;"",$D146&lt;&gt;"",IF($E146="",0,$E146)&gt;MOD($D146-$C146,1)*24),"⚠ la pausa es mayor que la jornada",IF(AND($A146&lt;&gt;"",COUNTIF('Resumen Mensual'!$A$6:$A$35,$A146&amp;"")=0),"⚠ ese nombre no está en el «Resumen Mensual»: sus horas no se agregan","")))))</f>
        <v/>
      </c>
    </row>
    <row r="147">
      <c r="A147" s="21" t="n"/>
      <c r="B147" s="22" t="n"/>
      <c r="C147" s="23" t="n"/>
      <c r="D147" s="23" t="n"/>
      <c r="E147" s="24" t="n"/>
      <c r="F147" s="8">
        <f>IF(OR($C147="",$D147=""),"",IF(OR($C147&gt;=1,$D147&gt;=1,$C147=$D147,IF($E147="",0,$E147)&gt;MOD($D147-$C147,1)*24),"",ROUND(MOD($D147-$C147,1)*24-IF($E147="",0,$E147),2)))</f>
        <v/>
      </c>
      <c r="G147" s="25" t="n">
        <v>8</v>
      </c>
      <c r="H147" s="8">
        <f>IF(OR($F147="",$G147=""),"",MAX(0,$F147-$G147))</f>
        <v/>
      </c>
      <c r="I147" s="26" t="n"/>
      <c r="J147" s="27">
        <f>IF(AND($A147="",$C147="",$D147=""),"",IF(OR($C147&gt;=1,$D147&gt;=1),"⚠ escribe la hora con dos puntos: 9:00, no 9",IF(AND($C147&lt;&gt;"",$C147=$D147),"⚠ entrada y salida iguales: la jornada no suma",IF(AND($C147&lt;&gt;"",$D147&lt;&gt;"",IF($E147="",0,$E147)&gt;MOD($D147-$C147,1)*24),"⚠ la pausa es mayor que la jornada",IF(AND($A147&lt;&gt;"",COUNTIF('Resumen Mensual'!$A$6:$A$35,$A147&amp;"")=0),"⚠ ese nombre no está en el «Resumen Mensual»: sus horas no se agregan","")))))</f>
        <v/>
      </c>
    </row>
    <row r="148">
      <c r="A148" s="21" t="n"/>
      <c r="B148" s="22" t="n"/>
      <c r="C148" s="23" t="n"/>
      <c r="D148" s="23" t="n"/>
      <c r="E148" s="24" t="n"/>
      <c r="F148" s="8">
        <f>IF(OR($C148="",$D148=""),"",IF(OR($C148&gt;=1,$D148&gt;=1,$C148=$D148,IF($E148="",0,$E148)&gt;MOD($D148-$C148,1)*24),"",ROUND(MOD($D148-$C148,1)*24-IF($E148="",0,$E148),2)))</f>
        <v/>
      </c>
      <c r="G148" s="25" t="n">
        <v>8</v>
      </c>
      <c r="H148" s="8">
        <f>IF(OR($F148="",$G148=""),"",MAX(0,$F148-$G148))</f>
        <v/>
      </c>
      <c r="I148" s="26" t="n"/>
      <c r="J148" s="27">
        <f>IF(AND($A148="",$C148="",$D148=""),"",IF(OR($C148&gt;=1,$D148&gt;=1),"⚠ escribe la hora con dos puntos: 9:00, no 9",IF(AND($C148&lt;&gt;"",$C148=$D148),"⚠ entrada y salida iguales: la jornada no suma",IF(AND($C148&lt;&gt;"",$D148&lt;&gt;"",IF($E148="",0,$E148)&gt;MOD($D148-$C148,1)*24),"⚠ la pausa es mayor que la jornada",IF(AND($A148&lt;&gt;"",COUNTIF('Resumen Mensual'!$A$6:$A$35,$A148&amp;"")=0),"⚠ ese nombre no está en el «Resumen Mensual»: sus horas no se agregan","")))))</f>
        <v/>
      </c>
    </row>
    <row r="149">
      <c r="A149" s="21" t="n"/>
      <c r="B149" s="22" t="n"/>
      <c r="C149" s="23" t="n"/>
      <c r="D149" s="23" t="n"/>
      <c r="E149" s="24" t="n"/>
      <c r="F149" s="8">
        <f>IF(OR($C149="",$D149=""),"",IF(OR($C149&gt;=1,$D149&gt;=1,$C149=$D149,IF($E149="",0,$E149)&gt;MOD($D149-$C149,1)*24),"",ROUND(MOD($D149-$C149,1)*24-IF($E149="",0,$E149),2)))</f>
        <v/>
      </c>
      <c r="G149" s="25" t="n">
        <v>8</v>
      </c>
      <c r="H149" s="8">
        <f>IF(OR($F149="",$G149=""),"",MAX(0,$F149-$G149))</f>
        <v/>
      </c>
      <c r="I149" s="26" t="n"/>
      <c r="J149" s="27">
        <f>IF(AND($A149="",$C149="",$D149=""),"",IF(OR($C149&gt;=1,$D149&gt;=1),"⚠ escribe la hora con dos puntos: 9:00, no 9",IF(AND($C149&lt;&gt;"",$C149=$D149),"⚠ entrada y salida iguales: la jornada no suma",IF(AND($C149&lt;&gt;"",$D149&lt;&gt;"",IF($E149="",0,$E149)&gt;MOD($D149-$C149,1)*24),"⚠ la pausa es mayor que la jornada",IF(AND($A149&lt;&gt;"",COUNTIF('Resumen Mensual'!$A$6:$A$35,$A149&amp;"")=0),"⚠ ese nombre no está en el «Resumen Mensual»: sus horas no se agregan","")))))</f>
        <v/>
      </c>
    </row>
    <row r="150">
      <c r="A150" s="21" t="n"/>
      <c r="B150" s="22" t="n"/>
      <c r="C150" s="23" t="n"/>
      <c r="D150" s="23" t="n"/>
      <c r="E150" s="24" t="n"/>
      <c r="F150" s="8">
        <f>IF(OR($C150="",$D150=""),"",IF(OR($C150&gt;=1,$D150&gt;=1,$C150=$D150,IF($E150="",0,$E150)&gt;MOD($D150-$C150,1)*24),"",ROUND(MOD($D150-$C150,1)*24-IF($E150="",0,$E150),2)))</f>
        <v/>
      </c>
      <c r="G150" s="25" t="n">
        <v>8</v>
      </c>
      <c r="H150" s="8">
        <f>IF(OR($F150="",$G150=""),"",MAX(0,$F150-$G150))</f>
        <v/>
      </c>
      <c r="I150" s="26" t="n"/>
      <c r="J150" s="27">
        <f>IF(AND($A150="",$C150="",$D150=""),"",IF(OR($C150&gt;=1,$D150&gt;=1),"⚠ escribe la hora con dos puntos: 9:00, no 9",IF(AND($C150&lt;&gt;"",$C150=$D150),"⚠ entrada y salida iguales: la jornada no suma",IF(AND($C150&lt;&gt;"",$D150&lt;&gt;"",IF($E150="",0,$E150)&gt;MOD($D150-$C150,1)*24),"⚠ la pausa es mayor que la jornada",IF(AND($A150&lt;&gt;"",COUNTIF('Resumen Mensual'!$A$6:$A$35,$A150&amp;"")=0),"⚠ ese nombre no está en el «Resumen Mensual»: sus horas no se agregan","")))))</f>
        <v/>
      </c>
    </row>
    <row r="151">
      <c r="A151" s="21" t="n"/>
      <c r="B151" s="22" t="n"/>
      <c r="C151" s="23" t="n"/>
      <c r="D151" s="23" t="n"/>
      <c r="E151" s="24" t="n"/>
      <c r="F151" s="8">
        <f>IF(OR($C151="",$D151=""),"",IF(OR($C151&gt;=1,$D151&gt;=1,$C151=$D151,IF($E151="",0,$E151)&gt;MOD($D151-$C151,1)*24),"",ROUND(MOD($D151-$C151,1)*24-IF($E151="",0,$E151),2)))</f>
        <v/>
      </c>
      <c r="G151" s="25" t="n">
        <v>8</v>
      </c>
      <c r="H151" s="8">
        <f>IF(OR($F151="",$G151=""),"",MAX(0,$F151-$G151))</f>
        <v/>
      </c>
      <c r="I151" s="26" t="n"/>
      <c r="J151" s="27">
        <f>IF(AND($A151="",$C151="",$D151=""),"",IF(OR($C151&gt;=1,$D151&gt;=1),"⚠ escribe la hora con dos puntos: 9:00, no 9",IF(AND($C151&lt;&gt;"",$C151=$D151),"⚠ entrada y salida iguales: la jornada no suma",IF(AND($C151&lt;&gt;"",$D151&lt;&gt;"",IF($E151="",0,$E151)&gt;MOD($D151-$C151,1)*24),"⚠ la pausa es mayor que la jornada",IF(AND($A151&lt;&gt;"",COUNTIF('Resumen Mensual'!$A$6:$A$35,$A151&amp;"")=0),"⚠ ese nombre no está en el «Resumen Mensual»: sus horas no se agregan","")))))</f>
        <v/>
      </c>
    </row>
    <row r="152">
      <c r="A152" s="21" t="n"/>
      <c r="B152" s="22" t="n"/>
      <c r="C152" s="23" t="n"/>
      <c r="D152" s="23" t="n"/>
      <c r="E152" s="24" t="n"/>
      <c r="F152" s="8">
        <f>IF(OR($C152="",$D152=""),"",IF(OR($C152&gt;=1,$D152&gt;=1,$C152=$D152,IF($E152="",0,$E152)&gt;MOD($D152-$C152,1)*24),"",ROUND(MOD($D152-$C152,1)*24-IF($E152="",0,$E152),2)))</f>
        <v/>
      </c>
      <c r="G152" s="25" t="n">
        <v>8</v>
      </c>
      <c r="H152" s="8">
        <f>IF(OR($F152="",$G152=""),"",MAX(0,$F152-$G152))</f>
        <v/>
      </c>
      <c r="I152" s="26" t="n"/>
      <c r="J152" s="27">
        <f>IF(AND($A152="",$C152="",$D152=""),"",IF(OR($C152&gt;=1,$D152&gt;=1),"⚠ escribe la hora con dos puntos: 9:00, no 9",IF(AND($C152&lt;&gt;"",$C152=$D152),"⚠ entrada y salida iguales: la jornada no suma",IF(AND($C152&lt;&gt;"",$D152&lt;&gt;"",IF($E152="",0,$E152)&gt;MOD($D152-$C152,1)*24),"⚠ la pausa es mayor que la jornada",IF(AND($A152&lt;&gt;"",COUNTIF('Resumen Mensual'!$A$6:$A$35,$A152&amp;"")=0),"⚠ ese nombre no está en el «Resumen Mensual»: sus horas no se agregan","")))))</f>
        <v/>
      </c>
    </row>
    <row r="153">
      <c r="A153" s="21" t="n"/>
      <c r="B153" s="22" t="n"/>
      <c r="C153" s="23" t="n"/>
      <c r="D153" s="23" t="n"/>
      <c r="E153" s="24" t="n"/>
      <c r="F153" s="8">
        <f>IF(OR($C153="",$D153=""),"",IF(OR($C153&gt;=1,$D153&gt;=1,$C153=$D153,IF($E153="",0,$E153)&gt;MOD($D153-$C153,1)*24),"",ROUND(MOD($D153-$C153,1)*24-IF($E153="",0,$E153),2)))</f>
        <v/>
      </c>
      <c r="G153" s="25" t="n">
        <v>8</v>
      </c>
      <c r="H153" s="8">
        <f>IF(OR($F153="",$G153=""),"",MAX(0,$F153-$G153))</f>
        <v/>
      </c>
      <c r="I153" s="26" t="n"/>
      <c r="J153" s="27">
        <f>IF(AND($A153="",$C153="",$D153=""),"",IF(OR($C153&gt;=1,$D153&gt;=1),"⚠ escribe la hora con dos puntos: 9:00, no 9",IF(AND($C153&lt;&gt;"",$C153=$D153),"⚠ entrada y salida iguales: la jornada no suma",IF(AND($C153&lt;&gt;"",$D153&lt;&gt;"",IF($E153="",0,$E153)&gt;MOD($D153-$C153,1)*24),"⚠ la pausa es mayor que la jornada",IF(AND($A153&lt;&gt;"",COUNTIF('Resumen Mensual'!$A$6:$A$35,$A153&amp;"")=0),"⚠ ese nombre no está en el «Resumen Mensual»: sus horas no se agregan","")))))</f>
        <v/>
      </c>
    </row>
    <row r="154">
      <c r="A154" s="21" t="n"/>
      <c r="B154" s="22" t="n"/>
      <c r="C154" s="23" t="n"/>
      <c r="D154" s="23" t="n"/>
      <c r="E154" s="24" t="n"/>
      <c r="F154" s="8">
        <f>IF(OR($C154="",$D154=""),"",IF(OR($C154&gt;=1,$D154&gt;=1,$C154=$D154,IF($E154="",0,$E154)&gt;MOD($D154-$C154,1)*24),"",ROUND(MOD($D154-$C154,1)*24-IF($E154="",0,$E154),2)))</f>
        <v/>
      </c>
      <c r="G154" s="25" t="n">
        <v>8</v>
      </c>
      <c r="H154" s="8">
        <f>IF(OR($F154="",$G154=""),"",MAX(0,$F154-$G154))</f>
        <v/>
      </c>
      <c r="I154" s="26" t="n"/>
      <c r="J154" s="27">
        <f>IF(AND($A154="",$C154="",$D154=""),"",IF(OR($C154&gt;=1,$D154&gt;=1),"⚠ escribe la hora con dos puntos: 9:00, no 9",IF(AND($C154&lt;&gt;"",$C154=$D154),"⚠ entrada y salida iguales: la jornada no suma",IF(AND($C154&lt;&gt;"",$D154&lt;&gt;"",IF($E154="",0,$E154)&gt;MOD($D154-$C154,1)*24),"⚠ la pausa es mayor que la jornada",IF(AND($A154&lt;&gt;"",COUNTIF('Resumen Mensual'!$A$6:$A$35,$A154&amp;"")=0),"⚠ ese nombre no está en el «Resumen Mensual»: sus horas no se agregan","")))))</f>
        <v/>
      </c>
    </row>
    <row r="155">
      <c r="A155" s="21" t="n"/>
      <c r="B155" s="22" t="n"/>
      <c r="C155" s="23" t="n"/>
      <c r="D155" s="23" t="n"/>
      <c r="E155" s="24" t="n"/>
      <c r="F155" s="8">
        <f>IF(OR($C155="",$D155=""),"",IF(OR($C155&gt;=1,$D155&gt;=1,$C155=$D155,IF($E155="",0,$E155)&gt;MOD($D155-$C155,1)*24),"",ROUND(MOD($D155-$C155,1)*24-IF($E155="",0,$E155),2)))</f>
        <v/>
      </c>
      <c r="G155" s="25" t="n">
        <v>8</v>
      </c>
      <c r="H155" s="8">
        <f>IF(OR($F155="",$G155=""),"",MAX(0,$F155-$G155))</f>
        <v/>
      </c>
      <c r="I155" s="26" t="n"/>
      <c r="J155" s="27">
        <f>IF(AND($A155="",$C155="",$D155=""),"",IF(OR($C155&gt;=1,$D155&gt;=1),"⚠ escribe la hora con dos puntos: 9:00, no 9",IF(AND($C155&lt;&gt;"",$C155=$D155),"⚠ entrada y salida iguales: la jornada no suma",IF(AND($C155&lt;&gt;"",$D155&lt;&gt;"",IF($E155="",0,$E155)&gt;MOD($D155-$C155,1)*24),"⚠ la pausa es mayor que la jornada",IF(AND($A155&lt;&gt;"",COUNTIF('Resumen Mensual'!$A$6:$A$35,$A155&amp;"")=0),"⚠ ese nombre no está en el «Resumen Mensual»: sus horas no se agregan","")))))</f>
        <v/>
      </c>
    </row>
    <row r="156">
      <c r="A156" s="21" t="n"/>
      <c r="B156" s="22" t="n"/>
      <c r="C156" s="23" t="n"/>
      <c r="D156" s="23" t="n"/>
      <c r="E156" s="24" t="n"/>
      <c r="F156" s="8">
        <f>IF(OR($C156="",$D156=""),"",IF(OR($C156&gt;=1,$D156&gt;=1,$C156=$D156,IF($E156="",0,$E156)&gt;MOD($D156-$C156,1)*24),"",ROUND(MOD($D156-$C156,1)*24-IF($E156="",0,$E156),2)))</f>
        <v/>
      </c>
      <c r="G156" s="25" t="n">
        <v>8</v>
      </c>
      <c r="H156" s="8">
        <f>IF(OR($F156="",$G156=""),"",MAX(0,$F156-$G156))</f>
        <v/>
      </c>
      <c r="I156" s="26" t="n"/>
      <c r="J156" s="27">
        <f>IF(AND($A156="",$C156="",$D156=""),"",IF(OR($C156&gt;=1,$D156&gt;=1),"⚠ escribe la hora con dos puntos: 9:00, no 9",IF(AND($C156&lt;&gt;"",$C156=$D156),"⚠ entrada y salida iguales: la jornada no suma",IF(AND($C156&lt;&gt;"",$D156&lt;&gt;"",IF($E156="",0,$E156)&gt;MOD($D156-$C156,1)*24),"⚠ la pausa es mayor que la jornada",IF(AND($A156&lt;&gt;"",COUNTIF('Resumen Mensual'!$A$6:$A$35,$A156&amp;"")=0),"⚠ ese nombre no está en el «Resumen Mensual»: sus horas no se agregan","")))))</f>
        <v/>
      </c>
    </row>
    <row r="157">
      <c r="A157" s="21" t="n"/>
      <c r="B157" s="22" t="n"/>
      <c r="C157" s="23" t="n"/>
      <c r="D157" s="23" t="n"/>
      <c r="E157" s="24" t="n"/>
      <c r="F157" s="8">
        <f>IF(OR($C157="",$D157=""),"",IF(OR($C157&gt;=1,$D157&gt;=1,$C157=$D157,IF($E157="",0,$E157)&gt;MOD($D157-$C157,1)*24),"",ROUND(MOD($D157-$C157,1)*24-IF($E157="",0,$E157),2)))</f>
        <v/>
      </c>
      <c r="G157" s="25" t="n">
        <v>8</v>
      </c>
      <c r="H157" s="8">
        <f>IF(OR($F157="",$G157=""),"",MAX(0,$F157-$G157))</f>
        <v/>
      </c>
      <c r="I157" s="26" t="n"/>
      <c r="J157" s="27">
        <f>IF(AND($A157="",$C157="",$D157=""),"",IF(OR($C157&gt;=1,$D157&gt;=1),"⚠ escribe la hora con dos puntos: 9:00, no 9",IF(AND($C157&lt;&gt;"",$C157=$D157),"⚠ entrada y salida iguales: la jornada no suma",IF(AND($C157&lt;&gt;"",$D157&lt;&gt;"",IF($E157="",0,$E157)&gt;MOD($D157-$C157,1)*24),"⚠ la pausa es mayor que la jornada",IF(AND($A157&lt;&gt;"",COUNTIF('Resumen Mensual'!$A$6:$A$35,$A157&amp;"")=0),"⚠ ese nombre no está en el «Resumen Mensual»: sus horas no se agregan","")))))</f>
        <v/>
      </c>
    </row>
    <row r="158">
      <c r="A158" s="21" t="n"/>
      <c r="B158" s="22" t="n"/>
      <c r="C158" s="23" t="n"/>
      <c r="D158" s="23" t="n"/>
      <c r="E158" s="24" t="n"/>
      <c r="F158" s="8">
        <f>IF(OR($C158="",$D158=""),"",IF(OR($C158&gt;=1,$D158&gt;=1,$C158=$D158,IF($E158="",0,$E158)&gt;MOD($D158-$C158,1)*24),"",ROUND(MOD($D158-$C158,1)*24-IF($E158="",0,$E158),2)))</f>
        <v/>
      </c>
      <c r="G158" s="25" t="n">
        <v>8</v>
      </c>
      <c r="H158" s="8">
        <f>IF(OR($F158="",$G158=""),"",MAX(0,$F158-$G158))</f>
        <v/>
      </c>
      <c r="I158" s="26" t="n"/>
      <c r="J158" s="27">
        <f>IF(AND($A158="",$C158="",$D158=""),"",IF(OR($C158&gt;=1,$D158&gt;=1),"⚠ escribe la hora con dos puntos: 9:00, no 9",IF(AND($C158&lt;&gt;"",$C158=$D158),"⚠ entrada y salida iguales: la jornada no suma",IF(AND($C158&lt;&gt;"",$D158&lt;&gt;"",IF($E158="",0,$E158)&gt;MOD($D158-$C158,1)*24),"⚠ la pausa es mayor que la jornada",IF(AND($A158&lt;&gt;"",COUNTIF('Resumen Mensual'!$A$6:$A$35,$A158&amp;"")=0),"⚠ ese nombre no está en el «Resumen Mensual»: sus horas no se agregan","")))))</f>
        <v/>
      </c>
    </row>
    <row r="159">
      <c r="A159" s="21" t="n"/>
      <c r="B159" s="22" t="n"/>
      <c r="C159" s="23" t="n"/>
      <c r="D159" s="23" t="n"/>
      <c r="E159" s="24" t="n"/>
      <c r="F159" s="8">
        <f>IF(OR($C159="",$D159=""),"",IF(OR($C159&gt;=1,$D159&gt;=1,$C159=$D159,IF($E159="",0,$E159)&gt;MOD($D159-$C159,1)*24),"",ROUND(MOD($D159-$C159,1)*24-IF($E159="",0,$E159),2)))</f>
        <v/>
      </c>
      <c r="G159" s="25" t="n">
        <v>8</v>
      </c>
      <c r="H159" s="8">
        <f>IF(OR($F159="",$G159=""),"",MAX(0,$F159-$G159))</f>
        <v/>
      </c>
      <c r="I159" s="26" t="n"/>
      <c r="J159" s="27">
        <f>IF(AND($A159="",$C159="",$D159=""),"",IF(OR($C159&gt;=1,$D159&gt;=1),"⚠ escribe la hora con dos puntos: 9:00, no 9",IF(AND($C159&lt;&gt;"",$C159=$D159),"⚠ entrada y salida iguales: la jornada no suma",IF(AND($C159&lt;&gt;"",$D159&lt;&gt;"",IF($E159="",0,$E159)&gt;MOD($D159-$C159,1)*24),"⚠ la pausa es mayor que la jornada",IF(AND($A159&lt;&gt;"",COUNTIF('Resumen Mensual'!$A$6:$A$35,$A159&amp;"")=0),"⚠ ese nombre no está en el «Resumen Mensual»: sus horas no se agregan","")))))</f>
        <v/>
      </c>
    </row>
    <row r="160">
      <c r="A160" s="21" t="n"/>
      <c r="B160" s="22" t="n"/>
      <c r="C160" s="23" t="n"/>
      <c r="D160" s="23" t="n"/>
      <c r="E160" s="24" t="n"/>
      <c r="F160" s="8">
        <f>IF(OR($C160="",$D160=""),"",IF(OR($C160&gt;=1,$D160&gt;=1,$C160=$D160,IF($E160="",0,$E160)&gt;MOD($D160-$C160,1)*24),"",ROUND(MOD($D160-$C160,1)*24-IF($E160="",0,$E160),2)))</f>
        <v/>
      </c>
      <c r="G160" s="25" t="n">
        <v>8</v>
      </c>
      <c r="H160" s="8">
        <f>IF(OR($F160="",$G160=""),"",MAX(0,$F160-$G160))</f>
        <v/>
      </c>
      <c r="I160" s="26" t="n"/>
      <c r="J160" s="27">
        <f>IF(AND($A160="",$C160="",$D160=""),"",IF(OR($C160&gt;=1,$D160&gt;=1),"⚠ escribe la hora con dos puntos: 9:00, no 9",IF(AND($C160&lt;&gt;"",$C160=$D160),"⚠ entrada y salida iguales: la jornada no suma",IF(AND($C160&lt;&gt;"",$D160&lt;&gt;"",IF($E160="",0,$E160)&gt;MOD($D160-$C160,1)*24),"⚠ la pausa es mayor que la jornada",IF(AND($A160&lt;&gt;"",COUNTIF('Resumen Mensual'!$A$6:$A$35,$A160&amp;"")=0),"⚠ ese nombre no está en el «Resumen Mensual»: sus horas no se agregan","")))))</f>
        <v/>
      </c>
    </row>
    <row r="161">
      <c r="A161" s="21" t="n"/>
      <c r="B161" s="22" t="n"/>
      <c r="C161" s="23" t="n"/>
      <c r="D161" s="23" t="n"/>
      <c r="E161" s="24" t="n"/>
      <c r="F161" s="8">
        <f>IF(OR($C161="",$D161=""),"",IF(OR($C161&gt;=1,$D161&gt;=1,$C161=$D161,IF($E161="",0,$E161)&gt;MOD($D161-$C161,1)*24),"",ROUND(MOD($D161-$C161,1)*24-IF($E161="",0,$E161),2)))</f>
        <v/>
      </c>
      <c r="G161" s="25" t="n">
        <v>8</v>
      </c>
      <c r="H161" s="8">
        <f>IF(OR($F161="",$G161=""),"",MAX(0,$F161-$G161))</f>
        <v/>
      </c>
      <c r="I161" s="26" t="n"/>
      <c r="J161" s="27">
        <f>IF(AND($A161="",$C161="",$D161=""),"",IF(OR($C161&gt;=1,$D161&gt;=1),"⚠ escribe la hora con dos puntos: 9:00, no 9",IF(AND($C161&lt;&gt;"",$C161=$D161),"⚠ entrada y salida iguales: la jornada no suma",IF(AND($C161&lt;&gt;"",$D161&lt;&gt;"",IF($E161="",0,$E161)&gt;MOD($D161-$C161,1)*24),"⚠ la pausa es mayor que la jornada",IF(AND($A161&lt;&gt;"",COUNTIF('Resumen Mensual'!$A$6:$A$35,$A161&amp;"")=0),"⚠ ese nombre no está en el «Resumen Mensual»: sus horas no se agregan","")))))</f>
        <v/>
      </c>
    </row>
    <row r="162">
      <c r="A162" s="21" t="n"/>
      <c r="B162" s="22" t="n"/>
      <c r="C162" s="23" t="n"/>
      <c r="D162" s="23" t="n"/>
      <c r="E162" s="24" t="n"/>
      <c r="F162" s="8">
        <f>IF(OR($C162="",$D162=""),"",IF(OR($C162&gt;=1,$D162&gt;=1,$C162=$D162,IF($E162="",0,$E162)&gt;MOD($D162-$C162,1)*24),"",ROUND(MOD($D162-$C162,1)*24-IF($E162="",0,$E162),2)))</f>
        <v/>
      </c>
      <c r="G162" s="25" t="n">
        <v>8</v>
      </c>
      <c r="H162" s="8">
        <f>IF(OR($F162="",$G162=""),"",MAX(0,$F162-$G162))</f>
        <v/>
      </c>
      <c r="I162" s="26" t="n"/>
      <c r="J162" s="27">
        <f>IF(AND($A162="",$C162="",$D162=""),"",IF(OR($C162&gt;=1,$D162&gt;=1),"⚠ escribe la hora con dos puntos: 9:00, no 9",IF(AND($C162&lt;&gt;"",$C162=$D162),"⚠ entrada y salida iguales: la jornada no suma",IF(AND($C162&lt;&gt;"",$D162&lt;&gt;"",IF($E162="",0,$E162)&gt;MOD($D162-$C162,1)*24),"⚠ la pausa es mayor que la jornada",IF(AND($A162&lt;&gt;"",COUNTIF('Resumen Mensual'!$A$6:$A$35,$A162&amp;"")=0),"⚠ ese nombre no está en el «Resumen Mensual»: sus horas no se agregan","")))))</f>
        <v/>
      </c>
    </row>
    <row r="163">
      <c r="A163" s="21" t="n"/>
      <c r="B163" s="22" t="n"/>
      <c r="C163" s="23" t="n"/>
      <c r="D163" s="23" t="n"/>
      <c r="E163" s="24" t="n"/>
      <c r="F163" s="8">
        <f>IF(OR($C163="",$D163=""),"",IF(OR($C163&gt;=1,$D163&gt;=1,$C163=$D163,IF($E163="",0,$E163)&gt;MOD($D163-$C163,1)*24),"",ROUND(MOD($D163-$C163,1)*24-IF($E163="",0,$E163),2)))</f>
        <v/>
      </c>
      <c r="G163" s="25" t="n">
        <v>8</v>
      </c>
      <c r="H163" s="8">
        <f>IF(OR($F163="",$G163=""),"",MAX(0,$F163-$G163))</f>
        <v/>
      </c>
      <c r="I163" s="26" t="n"/>
      <c r="J163" s="27">
        <f>IF(AND($A163="",$C163="",$D163=""),"",IF(OR($C163&gt;=1,$D163&gt;=1),"⚠ escribe la hora con dos puntos: 9:00, no 9",IF(AND($C163&lt;&gt;"",$C163=$D163),"⚠ entrada y salida iguales: la jornada no suma",IF(AND($C163&lt;&gt;"",$D163&lt;&gt;"",IF($E163="",0,$E163)&gt;MOD($D163-$C163,1)*24),"⚠ la pausa es mayor que la jornada",IF(AND($A163&lt;&gt;"",COUNTIF('Resumen Mensual'!$A$6:$A$35,$A163&amp;"")=0),"⚠ ese nombre no está en el «Resumen Mensual»: sus horas no se agregan","")))))</f>
        <v/>
      </c>
    </row>
    <row r="164">
      <c r="A164" s="21" t="n"/>
      <c r="B164" s="22" t="n"/>
      <c r="C164" s="23" t="n"/>
      <c r="D164" s="23" t="n"/>
      <c r="E164" s="24" t="n"/>
      <c r="F164" s="8">
        <f>IF(OR($C164="",$D164=""),"",IF(OR($C164&gt;=1,$D164&gt;=1,$C164=$D164,IF($E164="",0,$E164)&gt;MOD($D164-$C164,1)*24),"",ROUND(MOD($D164-$C164,1)*24-IF($E164="",0,$E164),2)))</f>
        <v/>
      </c>
      <c r="G164" s="25" t="n">
        <v>8</v>
      </c>
      <c r="H164" s="8">
        <f>IF(OR($F164="",$G164=""),"",MAX(0,$F164-$G164))</f>
        <v/>
      </c>
      <c r="I164" s="26" t="n"/>
      <c r="J164" s="27">
        <f>IF(AND($A164="",$C164="",$D164=""),"",IF(OR($C164&gt;=1,$D164&gt;=1),"⚠ escribe la hora con dos puntos: 9:00, no 9",IF(AND($C164&lt;&gt;"",$C164=$D164),"⚠ entrada y salida iguales: la jornada no suma",IF(AND($C164&lt;&gt;"",$D164&lt;&gt;"",IF($E164="",0,$E164)&gt;MOD($D164-$C164,1)*24),"⚠ la pausa es mayor que la jornada",IF(AND($A164&lt;&gt;"",COUNTIF('Resumen Mensual'!$A$6:$A$35,$A164&amp;"")=0),"⚠ ese nombre no está en el «Resumen Mensual»: sus horas no se agregan","")))))</f>
        <v/>
      </c>
    </row>
    <row r="165">
      <c r="A165" s="21" t="n"/>
      <c r="B165" s="22" t="n"/>
      <c r="C165" s="23" t="n"/>
      <c r="D165" s="23" t="n"/>
      <c r="E165" s="24" t="n"/>
      <c r="F165" s="8">
        <f>IF(OR($C165="",$D165=""),"",IF(OR($C165&gt;=1,$D165&gt;=1,$C165=$D165,IF($E165="",0,$E165)&gt;MOD($D165-$C165,1)*24),"",ROUND(MOD($D165-$C165,1)*24-IF($E165="",0,$E165),2)))</f>
        <v/>
      </c>
      <c r="G165" s="25" t="n">
        <v>8</v>
      </c>
      <c r="H165" s="8">
        <f>IF(OR($F165="",$G165=""),"",MAX(0,$F165-$G165))</f>
        <v/>
      </c>
      <c r="I165" s="26" t="n"/>
      <c r="J165" s="27">
        <f>IF(AND($A165="",$C165="",$D165=""),"",IF(OR($C165&gt;=1,$D165&gt;=1),"⚠ escribe la hora con dos puntos: 9:00, no 9",IF(AND($C165&lt;&gt;"",$C165=$D165),"⚠ entrada y salida iguales: la jornada no suma",IF(AND($C165&lt;&gt;"",$D165&lt;&gt;"",IF($E165="",0,$E165)&gt;MOD($D165-$C165,1)*24),"⚠ la pausa es mayor que la jornada",IF(AND($A165&lt;&gt;"",COUNTIF('Resumen Mensual'!$A$6:$A$35,$A165&amp;"")=0),"⚠ ese nombre no está en el «Resumen Mensual»: sus horas no se agregan","")))))</f>
        <v/>
      </c>
    </row>
    <row r="166">
      <c r="A166" s="21" t="n"/>
      <c r="B166" s="22" t="n"/>
      <c r="C166" s="23" t="n"/>
      <c r="D166" s="23" t="n"/>
      <c r="E166" s="24" t="n"/>
      <c r="F166" s="8">
        <f>IF(OR($C166="",$D166=""),"",IF(OR($C166&gt;=1,$D166&gt;=1,$C166=$D166,IF($E166="",0,$E166)&gt;MOD($D166-$C166,1)*24),"",ROUND(MOD($D166-$C166,1)*24-IF($E166="",0,$E166),2)))</f>
        <v/>
      </c>
      <c r="G166" s="25" t="n">
        <v>8</v>
      </c>
      <c r="H166" s="8">
        <f>IF(OR($F166="",$G166=""),"",MAX(0,$F166-$G166))</f>
        <v/>
      </c>
      <c r="I166" s="26" t="n"/>
      <c r="J166" s="27">
        <f>IF(AND($A166="",$C166="",$D166=""),"",IF(OR($C166&gt;=1,$D166&gt;=1),"⚠ escribe la hora con dos puntos: 9:00, no 9",IF(AND($C166&lt;&gt;"",$C166=$D166),"⚠ entrada y salida iguales: la jornada no suma",IF(AND($C166&lt;&gt;"",$D166&lt;&gt;"",IF($E166="",0,$E166)&gt;MOD($D166-$C166,1)*24),"⚠ la pausa es mayor que la jornada",IF(AND($A166&lt;&gt;"",COUNTIF('Resumen Mensual'!$A$6:$A$35,$A166&amp;"")=0),"⚠ ese nombre no está en el «Resumen Mensual»: sus horas no se agregan","")))))</f>
        <v/>
      </c>
    </row>
    <row r="167">
      <c r="A167" s="21" t="n"/>
      <c r="B167" s="22" t="n"/>
      <c r="C167" s="23" t="n"/>
      <c r="D167" s="23" t="n"/>
      <c r="E167" s="24" t="n"/>
      <c r="F167" s="8">
        <f>IF(OR($C167="",$D167=""),"",IF(OR($C167&gt;=1,$D167&gt;=1,$C167=$D167,IF($E167="",0,$E167)&gt;MOD($D167-$C167,1)*24),"",ROUND(MOD($D167-$C167,1)*24-IF($E167="",0,$E167),2)))</f>
        <v/>
      </c>
      <c r="G167" s="25" t="n">
        <v>8</v>
      </c>
      <c r="H167" s="8">
        <f>IF(OR($F167="",$G167=""),"",MAX(0,$F167-$G167))</f>
        <v/>
      </c>
      <c r="I167" s="26" t="n"/>
      <c r="J167" s="27">
        <f>IF(AND($A167="",$C167="",$D167=""),"",IF(OR($C167&gt;=1,$D167&gt;=1),"⚠ escribe la hora con dos puntos: 9:00, no 9",IF(AND($C167&lt;&gt;"",$C167=$D167),"⚠ entrada y salida iguales: la jornada no suma",IF(AND($C167&lt;&gt;"",$D167&lt;&gt;"",IF($E167="",0,$E167)&gt;MOD($D167-$C167,1)*24),"⚠ la pausa es mayor que la jornada",IF(AND($A167&lt;&gt;"",COUNTIF('Resumen Mensual'!$A$6:$A$35,$A167&amp;"")=0),"⚠ ese nombre no está en el «Resumen Mensual»: sus horas no se agregan","")))))</f>
        <v/>
      </c>
    </row>
    <row r="168">
      <c r="A168" s="21" t="n"/>
      <c r="B168" s="22" t="n"/>
      <c r="C168" s="23" t="n"/>
      <c r="D168" s="23" t="n"/>
      <c r="E168" s="24" t="n"/>
      <c r="F168" s="8">
        <f>IF(OR($C168="",$D168=""),"",IF(OR($C168&gt;=1,$D168&gt;=1,$C168=$D168,IF($E168="",0,$E168)&gt;MOD($D168-$C168,1)*24),"",ROUND(MOD($D168-$C168,1)*24-IF($E168="",0,$E168),2)))</f>
        <v/>
      </c>
      <c r="G168" s="25" t="n">
        <v>8</v>
      </c>
      <c r="H168" s="8">
        <f>IF(OR($F168="",$G168=""),"",MAX(0,$F168-$G168))</f>
        <v/>
      </c>
      <c r="I168" s="26" t="n"/>
      <c r="J168" s="27">
        <f>IF(AND($A168="",$C168="",$D168=""),"",IF(OR($C168&gt;=1,$D168&gt;=1),"⚠ escribe la hora con dos puntos: 9:00, no 9",IF(AND($C168&lt;&gt;"",$C168=$D168),"⚠ entrada y salida iguales: la jornada no suma",IF(AND($C168&lt;&gt;"",$D168&lt;&gt;"",IF($E168="",0,$E168)&gt;MOD($D168-$C168,1)*24),"⚠ la pausa es mayor que la jornada",IF(AND($A168&lt;&gt;"",COUNTIF('Resumen Mensual'!$A$6:$A$35,$A168&amp;"")=0),"⚠ ese nombre no está en el «Resumen Mensual»: sus horas no se agregan","")))))</f>
        <v/>
      </c>
    </row>
    <row r="169">
      <c r="A169" s="21" t="n"/>
      <c r="B169" s="22" t="n"/>
      <c r="C169" s="23" t="n"/>
      <c r="D169" s="23" t="n"/>
      <c r="E169" s="24" t="n"/>
      <c r="F169" s="8">
        <f>IF(OR($C169="",$D169=""),"",IF(OR($C169&gt;=1,$D169&gt;=1,$C169=$D169,IF($E169="",0,$E169)&gt;MOD($D169-$C169,1)*24),"",ROUND(MOD($D169-$C169,1)*24-IF($E169="",0,$E169),2)))</f>
        <v/>
      </c>
      <c r="G169" s="25" t="n">
        <v>8</v>
      </c>
      <c r="H169" s="8">
        <f>IF(OR($F169="",$G169=""),"",MAX(0,$F169-$G169))</f>
        <v/>
      </c>
      <c r="I169" s="26" t="n"/>
      <c r="J169" s="27">
        <f>IF(AND($A169="",$C169="",$D169=""),"",IF(OR($C169&gt;=1,$D169&gt;=1),"⚠ escribe la hora con dos puntos: 9:00, no 9",IF(AND($C169&lt;&gt;"",$C169=$D169),"⚠ entrada y salida iguales: la jornada no suma",IF(AND($C169&lt;&gt;"",$D169&lt;&gt;"",IF($E169="",0,$E169)&gt;MOD($D169-$C169,1)*24),"⚠ la pausa es mayor que la jornada",IF(AND($A169&lt;&gt;"",COUNTIF('Resumen Mensual'!$A$6:$A$35,$A169&amp;"")=0),"⚠ ese nombre no está en el «Resumen Mensual»: sus horas no se agregan","")))))</f>
        <v/>
      </c>
    </row>
    <row r="170">
      <c r="A170" s="21" t="n"/>
      <c r="B170" s="22" t="n"/>
      <c r="C170" s="23" t="n"/>
      <c r="D170" s="23" t="n"/>
      <c r="E170" s="24" t="n"/>
      <c r="F170" s="8">
        <f>IF(OR($C170="",$D170=""),"",IF(OR($C170&gt;=1,$D170&gt;=1,$C170=$D170,IF($E170="",0,$E170)&gt;MOD($D170-$C170,1)*24),"",ROUND(MOD($D170-$C170,1)*24-IF($E170="",0,$E170),2)))</f>
        <v/>
      </c>
      <c r="G170" s="25" t="n">
        <v>8</v>
      </c>
      <c r="H170" s="8">
        <f>IF(OR($F170="",$G170=""),"",MAX(0,$F170-$G170))</f>
        <v/>
      </c>
      <c r="I170" s="26" t="n"/>
      <c r="J170" s="27">
        <f>IF(AND($A170="",$C170="",$D170=""),"",IF(OR($C170&gt;=1,$D170&gt;=1),"⚠ escribe la hora con dos puntos: 9:00, no 9",IF(AND($C170&lt;&gt;"",$C170=$D170),"⚠ entrada y salida iguales: la jornada no suma",IF(AND($C170&lt;&gt;"",$D170&lt;&gt;"",IF($E170="",0,$E170)&gt;MOD($D170-$C170,1)*24),"⚠ la pausa es mayor que la jornada",IF(AND($A170&lt;&gt;"",COUNTIF('Resumen Mensual'!$A$6:$A$35,$A170&amp;"")=0),"⚠ ese nombre no está en el «Resumen Mensual»: sus horas no se agregan","")))))</f>
        <v/>
      </c>
    </row>
    <row r="171">
      <c r="A171" s="21" t="n"/>
      <c r="B171" s="22" t="n"/>
      <c r="C171" s="23" t="n"/>
      <c r="D171" s="23" t="n"/>
      <c r="E171" s="24" t="n"/>
      <c r="F171" s="8">
        <f>IF(OR($C171="",$D171=""),"",IF(OR($C171&gt;=1,$D171&gt;=1,$C171=$D171,IF($E171="",0,$E171)&gt;MOD($D171-$C171,1)*24),"",ROUND(MOD($D171-$C171,1)*24-IF($E171="",0,$E171),2)))</f>
        <v/>
      </c>
      <c r="G171" s="25" t="n">
        <v>8</v>
      </c>
      <c r="H171" s="8">
        <f>IF(OR($F171="",$G171=""),"",MAX(0,$F171-$G171))</f>
        <v/>
      </c>
      <c r="I171" s="26" t="n"/>
      <c r="J171" s="27">
        <f>IF(AND($A171="",$C171="",$D171=""),"",IF(OR($C171&gt;=1,$D171&gt;=1),"⚠ escribe la hora con dos puntos: 9:00, no 9",IF(AND($C171&lt;&gt;"",$C171=$D171),"⚠ entrada y salida iguales: la jornada no suma",IF(AND($C171&lt;&gt;"",$D171&lt;&gt;"",IF($E171="",0,$E171)&gt;MOD($D171-$C171,1)*24),"⚠ la pausa es mayor que la jornada",IF(AND($A171&lt;&gt;"",COUNTIF('Resumen Mensual'!$A$6:$A$35,$A171&amp;"")=0),"⚠ ese nombre no está en el «Resumen Mensual»: sus horas no se agregan","")))))</f>
        <v/>
      </c>
    </row>
    <row r="172">
      <c r="A172" s="21" t="n"/>
      <c r="B172" s="22" t="n"/>
      <c r="C172" s="23" t="n"/>
      <c r="D172" s="23" t="n"/>
      <c r="E172" s="24" t="n"/>
      <c r="F172" s="8">
        <f>IF(OR($C172="",$D172=""),"",IF(OR($C172&gt;=1,$D172&gt;=1,$C172=$D172,IF($E172="",0,$E172)&gt;MOD($D172-$C172,1)*24),"",ROUND(MOD($D172-$C172,1)*24-IF($E172="",0,$E172),2)))</f>
        <v/>
      </c>
      <c r="G172" s="25" t="n">
        <v>8</v>
      </c>
      <c r="H172" s="8">
        <f>IF(OR($F172="",$G172=""),"",MAX(0,$F172-$G172))</f>
        <v/>
      </c>
      <c r="I172" s="26" t="n"/>
      <c r="J172" s="27">
        <f>IF(AND($A172="",$C172="",$D172=""),"",IF(OR($C172&gt;=1,$D172&gt;=1),"⚠ escribe la hora con dos puntos: 9:00, no 9",IF(AND($C172&lt;&gt;"",$C172=$D172),"⚠ entrada y salida iguales: la jornada no suma",IF(AND($C172&lt;&gt;"",$D172&lt;&gt;"",IF($E172="",0,$E172)&gt;MOD($D172-$C172,1)*24),"⚠ la pausa es mayor que la jornada",IF(AND($A172&lt;&gt;"",COUNTIF('Resumen Mensual'!$A$6:$A$35,$A172&amp;"")=0),"⚠ ese nombre no está en el «Resumen Mensual»: sus horas no se agregan","")))))</f>
        <v/>
      </c>
    </row>
    <row r="173">
      <c r="A173" s="21" t="n"/>
      <c r="B173" s="22" t="n"/>
      <c r="C173" s="23" t="n"/>
      <c r="D173" s="23" t="n"/>
      <c r="E173" s="24" t="n"/>
      <c r="F173" s="8">
        <f>IF(OR($C173="",$D173=""),"",IF(OR($C173&gt;=1,$D173&gt;=1,$C173=$D173,IF($E173="",0,$E173)&gt;MOD($D173-$C173,1)*24),"",ROUND(MOD($D173-$C173,1)*24-IF($E173="",0,$E173),2)))</f>
        <v/>
      </c>
      <c r="G173" s="25" t="n">
        <v>8</v>
      </c>
      <c r="H173" s="8">
        <f>IF(OR($F173="",$G173=""),"",MAX(0,$F173-$G173))</f>
        <v/>
      </c>
      <c r="I173" s="26" t="n"/>
      <c r="J173" s="27">
        <f>IF(AND($A173="",$C173="",$D173=""),"",IF(OR($C173&gt;=1,$D173&gt;=1),"⚠ escribe la hora con dos puntos: 9:00, no 9",IF(AND($C173&lt;&gt;"",$C173=$D173),"⚠ entrada y salida iguales: la jornada no suma",IF(AND($C173&lt;&gt;"",$D173&lt;&gt;"",IF($E173="",0,$E173)&gt;MOD($D173-$C173,1)*24),"⚠ la pausa es mayor que la jornada",IF(AND($A173&lt;&gt;"",COUNTIF('Resumen Mensual'!$A$6:$A$35,$A173&amp;"")=0),"⚠ ese nombre no está en el «Resumen Mensual»: sus horas no se agregan","")))))</f>
        <v/>
      </c>
    </row>
    <row r="174">
      <c r="A174" s="21" t="n"/>
      <c r="B174" s="22" t="n"/>
      <c r="C174" s="23" t="n"/>
      <c r="D174" s="23" t="n"/>
      <c r="E174" s="24" t="n"/>
      <c r="F174" s="8">
        <f>IF(OR($C174="",$D174=""),"",IF(OR($C174&gt;=1,$D174&gt;=1,$C174=$D174,IF($E174="",0,$E174)&gt;MOD($D174-$C174,1)*24),"",ROUND(MOD($D174-$C174,1)*24-IF($E174="",0,$E174),2)))</f>
        <v/>
      </c>
      <c r="G174" s="25" t="n">
        <v>8</v>
      </c>
      <c r="H174" s="8">
        <f>IF(OR($F174="",$G174=""),"",MAX(0,$F174-$G174))</f>
        <v/>
      </c>
      <c r="I174" s="26" t="n"/>
      <c r="J174" s="27">
        <f>IF(AND($A174="",$C174="",$D174=""),"",IF(OR($C174&gt;=1,$D174&gt;=1),"⚠ escribe la hora con dos puntos: 9:00, no 9",IF(AND($C174&lt;&gt;"",$C174=$D174),"⚠ entrada y salida iguales: la jornada no suma",IF(AND($C174&lt;&gt;"",$D174&lt;&gt;"",IF($E174="",0,$E174)&gt;MOD($D174-$C174,1)*24),"⚠ la pausa es mayor que la jornada",IF(AND($A174&lt;&gt;"",COUNTIF('Resumen Mensual'!$A$6:$A$35,$A174&amp;"")=0),"⚠ ese nombre no está en el «Resumen Mensual»: sus horas no se agregan","")))))</f>
        <v/>
      </c>
    </row>
    <row r="175">
      <c r="A175" s="21" t="n"/>
      <c r="B175" s="22" t="n"/>
      <c r="C175" s="23" t="n"/>
      <c r="D175" s="23" t="n"/>
      <c r="E175" s="24" t="n"/>
      <c r="F175" s="8">
        <f>IF(OR($C175="",$D175=""),"",IF(OR($C175&gt;=1,$D175&gt;=1,$C175=$D175,IF($E175="",0,$E175)&gt;MOD($D175-$C175,1)*24),"",ROUND(MOD($D175-$C175,1)*24-IF($E175="",0,$E175),2)))</f>
        <v/>
      </c>
      <c r="G175" s="25" t="n">
        <v>8</v>
      </c>
      <c r="H175" s="8">
        <f>IF(OR($F175="",$G175=""),"",MAX(0,$F175-$G175))</f>
        <v/>
      </c>
      <c r="I175" s="26" t="n"/>
      <c r="J175" s="27">
        <f>IF(AND($A175="",$C175="",$D175=""),"",IF(OR($C175&gt;=1,$D175&gt;=1),"⚠ escribe la hora con dos puntos: 9:00, no 9",IF(AND($C175&lt;&gt;"",$C175=$D175),"⚠ entrada y salida iguales: la jornada no suma",IF(AND($C175&lt;&gt;"",$D175&lt;&gt;"",IF($E175="",0,$E175)&gt;MOD($D175-$C175,1)*24),"⚠ la pausa es mayor que la jornada",IF(AND($A175&lt;&gt;"",COUNTIF('Resumen Mensual'!$A$6:$A$35,$A175&amp;"")=0),"⚠ ese nombre no está en el «Resumen Mensual»: sus horas no se agregan","")))))</f>
        <v/>
      </c>
    </row>
    <row r="176">
      <c r="A176" s="21" t="n"/>
      <c r="B176" s="22" t="n"/>
      <c r="C176" s="23" t="n"/>
      <c r="D176" s="23" t="n"/>
      <c r="E176" s="24" t="n"/>
      <c r="F176" s="8">
        <f>IF(OR($C176="",$D176=""),"",IF(OR($C176&gt;=1,$D176&gt;=1,$C176=$D176,IF($E176="",0,$E176)&gt;MOD($D176-$C176,1)*24),"",ROUND(MOD($D176-$C176,1)*24-IF($E176="",0,$E176),2)))</f>
        <v/>
      </c>
      <c r="G176" s="25" t="n">
        <v>8</v>
      </c>
      <c r="H176" s="8">
        <f>IF(OR($F176="",$G176=""),"",MAX(0,$F176-$G176))</f>
        <v/>
      </c>
      <c r="I176" s="26" t="n"/>
      <c r="J176" s="27">
        <f>IF(AND($A176="",$C176="",$D176=""),"",IF(OR($C176&gt;=1,$D176&gt;=1),"⚠ escribe la hora con dos puntos: 9:00, no 9",IF(AND($C176&lt;&gt;"",$C176=$D176),"⚠ entrada y salida iguales: la jornada no suma",IF(AND($C176&lt;&gt;"",$D176&lt;&gt;"",IF($E176="",0,$E176)&gt;MOD($D176-$C176,1)*24),"⚠ la pausa es mayor que la jornada",IF(AND($A176&lt;&gt;"",COUNTIF('Resumen Mensual'!$A$6:$A$35,$A176&amp;"")=0),"⚠ ese nombre no está en el «Resumen Mensual»: sus horas no se agregan","")))))</f>
        <v/>
      </c>
    </row>
    <row r="177">
      <c r="A177" s="21" t="n"/>
      <c r="B177" s="22" t="n"/>
      <c r="C177" s="23" t="n"/>
      <c r="D177" s="23" t="n"/>
      <c r="E177" s="24" t="n"/>
      <c r="F177" s="8">
        <f>IF(OR($C177="",$D177=""),"",IF(OR($C177&gt;=1,$D177&gt;=1,$C177=$D177,IF($E177="",0,$E177)&gt;MOD($D177-$C177,1)*24),"",ROUND(MOD($D177-$C177,1)*24-IF($E177="",0,$E177),2)))</f>
        <v/>
      </c>
      <c r="G177" s="25" t="n">
        <v>8</v>
      </c>
      <c r="H177" s="8">
        <f>IF(OR($F177="",$G177=""),"",MAX(0,$F177-$G177))</f>
        <v/>
      </c>
      <c r="I177" s="26" t="n"/>
      <c r="J177" s="27">
        <f>IF(AND($A177="",$C177="",$D177=""),"",IF(OR($C177&gt;=1,$D177&gt;=1),"⚠ escribe la hora con dos puntos: 9:00, no 9",IF(AND($C177&lt;&gt;"",$C177=$D177),"⚠ entrada y salida iguales: la jornada no suma",IF(AND($C177&lt;&gt;"",$D177&lt;&gt;"",IF($E177="",0,$E177)&gt;MOD($D177-$C177,1)*24),"⚠ la pausa es mayor que la jornada",IF(AND($A177&lt;&gt;"",COUNTIF('Resumen Mensual'!$A$6:$A$35,$A177&amp;"")=0),"⚠ ese nombre no está en el «Resumen Mensual»: sus horas no se agregan","")))))</f>
        <v/>
      </c>
    </row>
    <row r="178">
      <c r="A178" s="21" t="n"/>
      <c r="B178" s="22" t="n"/>
      <c r="C178" s="23" t="n"/>
      <c r="D178" s="23" t="n"/>
      <c r="E178" s="24" t="n"/>
      <c r="F178" s="8">
        <f>IF(OR($C178="",$D178=""),"",IF(OR($C178&gt;=1,$D178&gt;=1,$C178=$D178,IF($E178="",0,$E178)&gt;MOD($D178-$C178,1)*24),"",ROUND(MOD($D178-$C178,1)*24-IF($E178="",0,$E178),2)))</f>
        <v/>
      </c>
      <c r="G178" s="25" t="n">
        <v>8</v>
      </c>
      <c r="H178" s="8">
        <f>IF(OR($F178="",$G178=""),"",MAX(0,$F178-$G178))</f>
        <v/>
      </c>
      <c r="I178" s="26" t="n"/>
      <c r="J178" s="27">
        <f>IF(AND($A178="",$C178="",$D178=""),"",IF(OR($C178&gt;=1,$D178&gt;=1),"⚠ escribe la hora con dos puntos: 9:00, no 9",IF(AND($C178&lt;&gt;"",$C178=$D178),"⚠ entrada y salida iguales: la jornada no suma",IF(AND($C178&lt;&gt;"",$D178&lt;&gt;"",IF($E178="",0,$E178)&gt;MOD($D178-$C178,1)*24),"⚠ la pausa es mayor que la jornada",IF(AND($A178&lt;&gt;"",COUNTIF('Resumen Mensual'!$A$6:$A$35,$A178&amp;"")=0),"⚠ ese nombre no está en el «Resumen Mensual»: sus horas no se agregan","")))))</f>
        <v/>
      </c>
    </row>
    <row r="179">
      <c r="A179" s="21" t="n"/>
      <c r="B179" s="22" t="n"/>
      <c r="C179" s="23" t="n"/>
      <c r="D179" s="23" t="n"/>
      <c r="E179" s="24" t="n"/>
      <c r="F179" s="8">
        <f>IF(OR($C179="",$D179=""),"",IF(OR($C179&gt;=1,$D179&gt;=1,$C179=$D179,IF($E179="",0,$E179)&gt;MOD($D179-$C179,1)*24),"",ROUND(MOD($D179-$C179,1)*24-IF($E179="",0,$E179),2)))</f>
        <v/>
      </c>
      <c r="G179" s="25" t="n">
        <v>8</v>
      </c>
      <c r="H179" s="8">
        <f>IF(OR($F179="",$G179=""),"",MAX(0,$F179-$G179))</f>
        <v/>
      </c>
      <c r="I179" s="26" t="n"/>
      <c r="J179" s="27">
        <f>IF(AND($A179="",$C179="",$D179=""),"",IF(OR($C179&gt;=1,$D179&gt;=1),"⚠ escribe la hora con dos puntos: 9:00, no 9",IF(AND($C179&lt;&gt;"",$C179=$D179),"⚠ entrada y salida iguales: la jornada no suma",IF(AND($C179&lt;&gt;"",$D179&lt;&gt;"",IF($E179="",0,$E179)&gt;MOD($D179-$C179,1)*24),"⚠ la pausa es mayor que la jornada",IF(AND($A179&lt;&gt;"",COUNTIF('Resumen Mensual'!$A$6:$A$35,$A179&amp;"")=0),"⚠ ese nombre no está en el «Resumen Mensual»: sus horas no se agregan","")))))</f>
        <v/>
      </c>
    </row>
    <row r="180">
      <c r="A180" s="21" t="n"/>
      <c r="B180" s="22" t="n"/>
      <c r="C180" s="23" t="n"/>
      <c r="D180" s="23" t="n"/>
      <c r="E180" s="24" t="n"/>
      <c r="F180" s="8">
        <f>IF(OR($C180="",$D180=""),"",IF(OR($C180&gt;=1,$D180&gt;=1,$C180=$D180,IF($E180="",0,$E180)&gt;MOD($D180-$C180,1)*24),"",ROUND(MOD($D180-$C180,1)*24-IF($E180="",0,$E180),2)))</f>
        <v/>
      </c>
      <c r="G180" s="25" t="n">
        <v>8</v>
      </c>
      <c r="H180" s="8">
        <f>IF(OR($F180="",$G180=""),"",MAX(0,$F180-$G180))</f>
        <v/>
      </c>
      <c r="I180" s="26" t="n"/>
      <c r="J180" s="27">
        <f>IF(AND($A180="",$C180="",$D180=""),"",IF(OR($C180&gt;=1,$D180&gt;=1),"⚠ escribe la hora con dos puntos: 9:00, no 9",IF(AND($C180&lt;&gt;"",$C180=$D180),"⚠ entrada y salida iguales: la jornada no suma",IF(AND($C180&lt;&gt;"",$D180&lt;&gt;"",IF($E180="",0,$E180)&gt;MOD($D180-$C180,1)*24),"⚠ la pausa es mayor que la jornada",IF(AND($A180&lt;&gt;"",COUNTIF('Resumen Mensual'!$A$6:$A$35,$A180&amp;"")=0),"⚠ ese nombre no está en el «Resumen Mensual»: sus horas no se agregan","")))))</f>
        <v/>
      </c>
    </row>
    <row r="181">
      <c r="A181" s="21" t="n"/>
      <c r="B181" s="22" t="n"/>
      <c r="C181" s="23" t="n"/>
      <c r="D181" s="23" t="n"/>
      <c r="E181" s="24" t="n"/>
      <c r="F181" s="8">
        <f>IF(OR($C181="",$D181=""),"",IF(OR($C181&gt;=1,$D181&gt;=1,$C181=$D181,IF($E181="",0,$E181)&gt;MOD($D181-$C181,1)*24),"",ROUND(MOD($D181-$C181,1)*24-IF($E181="",0,$E181),2)))</f>
        <v/>
      </c>
      <c r="G181" s="25" t="n">
        <v>8</v>
      </c>
      <c r="H181" s="8">
        <f>IF(OR($F181="",$G181=""),"",MAX(0,$F181-$G181))</f>
        <v/>
      </c>
      <c r="I181" s="26" t="n"/>
      <c r="J181" s="27">
        <f>IF(AND($A181="",$C181="",$D181=""),"",IF(OR($C181&gt;=1,$D181&gt;=1),"⚠ escribe la hora con dos puntos: 9:00, no 9",IF(AND($C181&lt;&gt;"",$C181=$D181),"⚠ entrada y salida iguales: la jornada no suma",IF(AND($C181&lt;&gt;"",$D181&lt;&gt;"",IF($E181="",0,$E181)&gt;MOD($D181-$C181,1)*24),"⚠ la pausa es mayor que la jornada",IF(AND($A181&lt;&gt;"",COUNTIF('Resumen Mensual'!$A$6:$A$35,$A181&amp;"")=0),"⚠ ese nombre no está en el «Resumen Mensual»: sus horas no se agregan","")))))</f>
        <v/>
      </c>
    </row>
    <row r="182">
      <c r="A182" s="21" t="n"/>
      <c r="B182" s="22" t="n"/>
      <c r="C182" s="23" t="n"/>
      <c r="D182" s="23" t="n"/>
      <c r="E182" s="24" t="n"/>
      <c r="F182" s="8">
        <f>IF(OR($C182="",$D182=""),"",IF(OR($C182&gt;=1,$D182&gt;=1,$C182=$D182,IF($E182="",0,$E182)&gt;MOD($D182-$C182,1)*24),"",ROUND(MOD($D182-$C182,1)*24-IF($E182="",0,$E182),2)))</f>
        <v/>
      </c>
      <c r="G182" s="25" t="n">
        <v>8</v>
      </c>
      <c r="H182" s="8">
        <f>IF(OR($F182="",$G182=""),"",MAX(0,$F182-$G182))</f>
        <v/>
      </c>
      <c r="I182" s="26" t="n"/>
      <c r="J182" s="27">
        <f>IF(AND($A182="",$C182="",$D182=""),"",IF(OR($C182&gt;=1,$D182&gt;=1),"⚠ escribe la hora con dos puntos: 9:00, no 9",IF(AND($C182&lt;&gt;"",$C182=$D182),"⚠ entrada y salida iguales: la jornada no suma",IF(AND($C182&lt;&gt;"",$D182&lt;&gt;"",IF($E182="",0,$E182)&gt;MOD($D182-$C182,1)*24),"⚠ la pausa es mayor que la jornada",IF(AND($A182&lt;&gt;"",COUNTIF('Resumen Mensual'!$A$6:$A$35,$A182&amp;"")=0),"⚠ ese nombre no está en el «Resumen Mensual»: sus horas no se agregan","")))))</f>
        <v/>
      </c>
    </row>
    <row r="183">
      <c r="A183" s="21" t="n"/>
      <c r="B183" s="22" t="n"/>
      <c r="C183" s="23" t="n"/>
      <c r="D183" s="23" t="n"/>
      <c r="E183" s="24" t="n"/>
      <c r="F183" s="8">
        <f>IF(OR($C183="",$D183=""),"",IF(OR($C183&gt;=1,$D183&gt;=1,$C183=$D183,IF($E183="",0,$E183)&gt;MOD($D183-$C183,1)*24),"",ROUND(MOD($D183-$C183,1)*24-IF($E183="",0,$E183),2)))</f>
        <v/>
      </c>
      <c r="G183" s="25" t="n">
        <v>8</v>
      </c>
      <c r="H183" s="8">
        <f>IF(OR($F183="",$G183=""),"",MAX(0,$F183-$G183))</f>
        <v/>
      </c>
      <c r="I183" s="26" t="n"/>
      <c r="J183" s="27">
        <f>IF(AND($A183="",$C183="",$D183=""),"",IF(OR($C183&gt;=1,$D183&gt;=1),"⚠ escribe la hora con dos puntos: 9:00, no 9",IF(AND($C183&lt;&gt;"",$C183=$D183),"⚠ entrada y salida iguales: la jornada no suma",IF(AND($C183&lt;&gt;"",$D183&lt;&gt;"",IF($E183="",0,$E183)&gt;MOD($D183-$C183,1)*24),"⚠ la pausa es mayor que la jornada",IF(AND($A183&lt;&gt;"",COUNTIF('Resumen Mensual'!$A$6:$A$35,$A183&amp;"")=0),"⚠ ese nombre no está en el «Resumen Mensual»: sus horas no se agregan","")))))</f>
        <v/>
      </c>
    </row>
    <row r="184">
      <c r="A184" s="21" t="n"/>
      <c r="B184" s="22" t="n"/>
      <c r="C184" s="23" t="n"/>
      <c r="D184" s="23" t="n"/>
      <c r="E184" s="24" t="n"/>
      <c r="F184" s="8">
        <f>IF(OR($C184="",$D184=""),"",IF(OR($C184&gt;=1,$D184&gt;=1,$C184=$D184,IF($E184="",0,$E184)&gt;MOD($D184-$C184,1)*24),"",ROUND(MOD($D184-$C184,1)*24-IF($E184="",0,$E184),2)))</f>
        <v/>
      </c>
      <c r="G184" s="25" t="n">
        <v>8</v>
      </c>
      <c r="H184" s="8">
        <f>IF(OR($F184="",$G184=""),"",MAX(0,$F184-$G184))</f>
        <v/>
      </c>
      <c r="I184" s="26" t="n"/>
      <c r="J184" s="27">
        <f>IF(AND($A184="",$C184="",$D184=""),"",IF(OR($C184&gt;=1,$D184&gt;=1),"⚠ escribe la hora con dos puntos: 9:00, no 9",IF(AND($C184&lt;&gt;"",$C184=$D184),"⚠ entrada y salida iguales: la jornada no suma",IF(AND($C184&lt;&gt;"",$D184&lt;&gt;"",IF($E184="",0,$E184)&gt;MOD($D184-$C184,1)*24),"⚠ la pausa es mayor que la jornada",IF(AND($A184&lt;&gt;"",COUNTIF('Resumen Mensual'!$A$6:$A$35,$A184&amp;"")=0),"⚠ ese nombre no está en el «Resumen Mensual»: sus horas no se agregan","")))))</f>
        <v/>
      </c>
    </row>
    <row r="185">
      <c r="A185" s="21" t="n"/>
      <c r="B185" s="22" t="n"/>
      <c r="C185" s="23" t="n"/>
      <c r="D185" s="23" t="n"/>
      <c r="E185" s="24" t="n"/>
      <c r="F185" s="8">
        <f>IF(OR($C185="",$D185=""),"",IF(OR($C185&gt;=1,$D185&gt;=1,$C185=$D185,IF($E185="",0,$E185)&gt;MOD($D185-$C185,1)*24),"",ROUND(MOD($D185-$C185,1)*24-IF($E185="",0,$E185),2)))</f>
        <v/>
      </c>
      <c r="G185" s="25" t="n">
        <v>8</v>
      </c>
      <c r="H185" s="8">
        <f>IF(OR($F185="",$G185=""),"",MAX(0,$F185-$G185))</f>
        <v/>
      </c>
      <c r="I185" s="26" t="n"/>
      <c r="J185" s="27">
        <f>IF(AND($A185="",$C185="",$D185=""),"",IF(OR($C185&gt;=1,$D185&gt;=1),"⚠ escribe la hora con dos puntos: 9:00, no 9",IF(AND($C185&lt;&gt;"",$C185=$D185),"⚠ entrada y salida iguales: la jornada no suma",IF(AND($C185&lt;&gt;"",$D185&lt;&gt;"",IF($E185="",0,$E185)&gt;MOD($D185-$C185,1)*24),"⚠ la pausa es mayor que la jornada",IF(AND($A185&lt;&gt;"",COUNTIF('Resumen Mensual'!$A$6:$A$35,$A185&amp;"")=0),"⚠ ese nombre no está en el «Resumen Mensual»: sus horas no se agregan","")))))</f>
        <v/>
      </c>
    </row>
    <row r="186">
      <c r="A186" s="21" t="n"/>
      <c r="B186" s="22" t="n"/>
      <c r="C186" s="23" t="n"/>
      <c r="D186" s="23" t="n"/>
      <c r="E186" s="24" t="n"/>
      <c r="F186" s="8">
        <f>IF(OR($C186="",$D186=""),"",IF(OR($C186&gt;=1,$D186&gt;=1,$C186=$D186,IF($E186="",0,$E186)&gt;MOD($D186-$C186,1)*24),"",ROUND(MOD($D186-$C186,1)*24-IF($E186="",0,$E186),2)))</f>
        <v/>
      </c>
      <c r="G186" s="25" t="n">
        <v>8</v>
      </c>
      <c r="H186" s="8">
        <f>IF(OR($F186="",$G186=""),"",MAX(0,$F186-$G186))</f>
        <v/>
      </c>
      <c r="I186" s="26" t="n"/>
      <c r="J186" s="27">
        <f>IF(AND($A186="",$C186="",$D186=""),"",IF(OR($C186&gt;=1,$D186&gt;=1),"⚠ escribe la hora con dos puntos: 9:00, no 9",IF(AND($C186&lt;&gt;"",$C186=$D186),"⚠ entrada y salida iguales: la jornada no suma",IF(AND($C186&lt;&gt;"",$D186&lt;&gt;"",IF($E186="",0,$E186)&gt;MOD($D186-$C186,1)*24),"⚠ la pausa es mayor que la jornada",IF(AND($A186&lt;&gt;"",COUNTIF('Resumen Mensual'!$A$6:$A$35,$A186&amp;"")=0),"⚠ ese nombre no está en el «Resumen Mensual»: sus horas no se agregan","")))))</f>
        <v/>
      </c>
    </row>
    <row r="187">
      <c r="A187" s="21" t="n"/>
      <c r="B187" s="22" t="n"/>
      <c r="C187" s="23" t="n"/>
      <c r="D187" s="23" t="n"/>
      <c r="E187" s="24" t="n"/>
      <c r="F187" s="8">
        <f>IF(OR($C187="",$D187=""),"",IF(OR($C187&gt;=1,$D187&gt;=1,$C187=$D187,IF($E187="",0,$E187)&gt;MOD($D187-$C187,1)*24),"",ROUND(MOD($D187-$C187,1)*24-IF($E187="",0,$E187),2)))</f>
        <v/>
      </c>
      <c r="G187" s="25" t="n">
        <v>8</v>
      </c>
      <c r="H187" s="8">
        <f>IF(OR($F187="",$G187=""),"",MAX(0,$F187-$G187))</f>
        <v/>
      </c>
      <c r="I187" s="26" t="n"/>
      <c r="J187" s="27">
        <f>IF(AND($A187="",$C187="",$D187=""),"",IF(OR($C187&gt;=1,$D187&gt;=1),"⚠ escribe la hora con dos puntos: 9:00, no 9",IF(AND($C187&lt;&gt;"",$C187=$D187),"⚠ entrada y salida iguales: la jornada no suma",IF(AND($C187&lt;&gt;"",$D187&lt;&gt;"",IF($E187="",0,$E187)&gt;MOD($D187-$C187,1)*24),"⚠ la pausa es mayor que la jornada",IF(AND($A187&lt;&gt;"",COUNTIF('Resumen Mensual'!$A$6:$A$35,$A187&amp;"")=0),"⚠ ese nombre no está en el «Resumen Mensual»: sus horas no se agregan","")))))</f>
        <v/>
      </c>
    </row>
    <row r="188">
      <c r="A188" s="21" t="n"/>
      <c r="B188" s="22" t="n"/>
      <c r="C188" s="23" t="n"/>
      <c r="D188" s="23" t="n"/>
      <c r="E188" s="24" t="n"/>
      <c r="F188" s="8">
        <f>IF(OR($C188="",$D188=""),"",IF(OR($C188&gt;=1,$D188&gt;=1,$C188=$D188,IF($E188="",0,$E188)&gt;MOD($D188-$C188,1)*24),"",ROUND(MOD($D188-$C188,1)*24-IF($E188="",0,$E188),2)))</f>
        <v/>
      </c>
      <c r="G188" s="25" t="n">
        <v>8</v>
      </c>
      <c r="H188" s="8">
        <f>IF(OR($F188="",$G188=""),"",MAX(0,$F188-$G188))</f>
        <v/>
      </c>
      <c r="I188" s="26" t="n"/>
      <c r="J188" s="27">
        <f>IF(AND($A188="",$C188="",$D188=""),"",IF(OR($C188&gt;=1,$D188&gt;=1),"⚠ escribe la hora con dos puntos: 9:00, no 9",IF(AND($C188&lt;&gt;"",$C188=$D188),"⚠ entrada y salida iguales: la jornada no suma",IF(AND($C188&lt;&gt;"",$D188&lt;&gt;"",IF($E188="",0,$E188)&gt;MOD($D188-$C188,1)*24),"⚠ la pausa es mayor que la jornada",IF(AND($A188&lt;&gt;"",COUNTIF('Resumen Mensual'!$A$6:$A$35,$A188&amp;"")=0),"⚠ ese nombre no está en el «Resumen Mensual»: sus horas no se agregan","")))))</f>
        <v/>
      </c>
    </row>
    <row r="189">
      <c r="A189" s="21" t="n"/>
      <c r="B189" s="22" t="n"/>
      <c r="C189" s="23" t="n"/>
      <c r="D189" s="23" t="n"/>
      <c r="E189" s="24" t="n"/>
      <c r="F189" s="8">
        <f>IF(OR($C189="",$D189=""),"",IF(OR($C189&gt;=1,$D189&gt;=1,$C189=$D189,IF($E189="",0,$E189)&gt;MOD($D189-$C189,1)*24),"",ROUND(MOD($D189-$C189,1)*24-IF($E189="",0,$E189),2)))</f>
        <v/>
      </c>
      <c r="G189" s="25" t="n">
        <v>8</v>
      </c>
      <c r="H189" s="8">
        <f>IF(OR($F189="",$G189=""),"",MAX(0,$F189-$G189))</f>
        <v/>
      </c>
      <c r="I189" s="26" t="n"/>
      <c r="J189" s="27">
        <f>IF(AND($A189="",$C189="",$D189=""),"",IF(OR($C189&gt;=1,$D189&gt;=1),"⚠ escribe la hora con dos puntos: 9:00, no 9",IF(AND($C189&lt;&gt;"",$C189=$D189),"⚠ entrada y salida iguales: la jornada no suma",IF(AND($C189&lt;&gt;"",$D189&lt;&gt;"",IF($E189="",0,$E189)&gt;MOD($D189-$C189,1)*24),"⚠ la pausa es mayor que la jornada",IF(AND($A189&lt;&gt;"",COUNTIF('Resumen Mensual'!$A$6:$A$35,$A189&amp;"")=0),"⚠ ese nombre no está en el «Resumen Mensual»: sus horas no se agregan","")))))</f>
        <v/>
      </c>
    </row>
    <row r="190">
      <c r="A190" s="21" t="n"/>
      <c r="B190" s="22" t="n"/>
      <c r="C190" s="23" t="n"/>
      <c r="D190" s="23" t="n"/>
      <c r="E190" s="24" t="n"/>
      <c r="F190" s="8">
        <f>IF(OR($C190="",$D190=""),"",IF(OR($C190&gt;=1,$D190&gt;=1,$C190=$D190,IF($E190="",0,$E190)&gt;MOD($D190-$C190,1)*24),"",ROUND(MOD($D190-$C190,1)*24-IF($E190="",0,$E190),2)))</f>
        <v/>
      </c>
      <c r="G190" s="25" t="n">
        <v>8</v>
      </c>
      <c r="H190" s="8">
        <f>IF(OR($F190="",$G190=""),"",MAX(0,$F190-$G190))</f>
        <v/>
      </c>
      <c r="I190" s="26" t="n"/>
      <c r="J190" s="27">
        <f>IF(AND($A190="",$C190="",$D190=""),"",IF(OR($C190&gt;=1,$D190&gt;=1),"⚠ escribe la hora con dos puntos: 9:00, no 9",IF(AND($C190&lt;&gt;"",$C190=$D190),"⚠ entrada y salida iguales: la jornada no suma",IF(AND($C190&lt;&gt;"",$D190&lt;&gt;"",IF($E190="",0,$E190)&gt;MOD($D190-$C190,1)*24),"⚠ la pausa es mayor que la jornada",IF(AND($A190&lt;&gt;"",COUNTIF('Resumen Mensual'!$A$6:$A$35,$A190&amp;"")=0),"⚠ ese nombre no está en el «Resumen Mensual»: sus horas no se agregan","")))))</f>
        <v/>
      </c>
    </row>
    <row r="191">
      <c r="A191" s="21" t="n"/>
      <c r="B191" s="22" t="n"/>
      <c r="C191" s="23" t="n"/>
      <c r="D191" s="23" t="n"/>
      <c r="E191" s="24" t="n"/>
      <c r="F191" s="8">
        <f>IF(OR($C191="",$D191=""),"",IF(OR($C191&gt;=1,$D191&gt;=1,$C191=$D191,IF($E191="",0,$E191)&gt;MOD($D191-$C191,1)*24),"",ROUND(MOD($D191-$C191,1)*24-IF($E191="",0,$E191),2)))</f>
        <v/>
      </c>
      <c r="G191" s="25" t="n">
        <v>8</v>
      </c>
      <c r="H191" s="8">
        <f>IF(OR($F191="",$G191=""),"",MAX(0,$F191-$G191))</f>
        <v/>
      </c>
      <c r="I191" s="26" t="n"/>
      <c r="J191" s="27">
        <f>IF(AND($A191="",$C191="",$D191=""),"",IF(OR($C191&gt;=1,$D191&gt;=1),"⚠ escribe la hora con dos puntos: 9:00, no 9",IF(AND($C191&lt;&gt;"",$C191=$D191),"⚠ entrada y salida iguales: la jornada no suma",IF(AND($C191&lt;&gt;"",$D191&lt;&gt;"",IF($E191="",0,$E191)&gt;MOD($D191-$C191,1)*24),"⚠ la pausa es mayor que la jornada",IF(AND($A191&lt;&gt;"",COUNTIF('Resumen Mensual'!$A$6:$A$35,$A191&amp;"")=0),"⚠ ese nombre no está en el «Resumen Mensual»: sus horas no se agregan","")))))</f>
        <v/>
      </c>
    </row>
    <row r="192">
      <c r="A192" s="21" t="n"/>
      <c r="B192" s="22" t="n"/>
      <c r="C192" s="23" t="n"/>
      <c r="D192" s="23" t="n"/>
      <c r="E192" s="24" t="n"/>
      <c r="F192" s="8">
        <f>IF(OR($C192="",$D192=""),"",IF(OR($C192&gt;=1,$D192&gt;=1,$C192=$D192,IF($E192="",0,$E192)&gt;MOD($D192-$C192,1)*24),"",ROUND(MOD($D192-$C192,1)*24-IF($E192="",0,$E192),2)))</f>
        <v/>
      </c>
      <c r="G192" s="25" t="n">
        <v>8</v>
      </c>
      <c r="H192" s="8">
        <f>IF(OR($F192="",$G192=""),"",MAX(0,$F192-$G192))</f>
        <v/>
      </c>
      <c r="I192" s="26" t="n"/>
      <c r="J192" s="27">
        <f>IF(AND($A192="",$C192="",$D192=""),"",IF(OR($C192&gt;=1,$D192&gt;=1),"⚠ escribe la hora con dos puntos: 9:00, no 9",IF(AND($C192&lt;&gt;"",$C192=$D192),"⚠ entrada y salida iguales: la jornada no suma",IF(AND($C192&lt;&gt;"",$D192&lt;&gt;"",IF($E192="",0,$E192)&gt;MOD($D192-$C192,1)*24),"⚠ la pausa es mayor que la jornada",IF(AND($A192&lt;&gt;"",COUNTIF('Resumen Mensual'!$A$6:$A$35,$A192&amp;"")=0),"⚠ ese nombre no está en el «Resumen Mensual»: sus horas no se agregan","")))))</f>
        <v/>
      </c>
    </row>
    <row r="193">
      <c r="A193" s="21" t="n"/>
      <c r="B193" s="22" t="n"/>
      <c r="C193" s="23" t="n"/>
      <c r="D193" s="23" t="n"/>
      <c r="E193" s="24" t="n"/>
      <c r="F193" s="8">
        <f>IF(OR($C193="",$D193=""),"",IF(OR($C193&gt;=1,$D193&gt;=1,$C193=$D193,IF($E193="",0,$E193)&gt;MOD($D193-$C193,1)*24),"",ROUND(MOD($D193-$C193,1)*24-IF($E193="",0,$E193),2)))</f>
        <v/>
      </c>
      <c r="G193" s="25" t="n">
        <v>8</v>
      </c>
      <c r="H193" s="8">
        <f>IF(OR($F193="",$G193=""),"",MAX(0,$F193-$G193))</f>
        <v/>
      </c>
      <c r="I193" s="26" t="n"/>
      <c r="J193" s="27">
        <f>IF(AND($A193="",$C193="",$D193=""),"",IF(OR($C193&gt;=1,$D193&gt;=1),"⚠ escribe la hora con dos puntos: 9:00, no 9",IF(AND($C193&lt;&gt;"",$C193=$D193),"⚠ entrada y salida iguales: la jornada no suma",IF(AND($C193&lt;&gt;"",$D193&lt;&gt;"",IF($E193="",0,$E193)&gt;MOD($D193-$C193,1)*24),"⚠ la pausa es mayor que la jornada",IF(AND($A193&lt;&gt;"",COUNTIF('Resumen Mensual'!$A$6:$A$35,$A193&amp;"")=0),"⚠ ese nombre no está en el «Resumen Mensual»: sus horas no se agregan","")))))</f>
        <v/>
      </c>
    </row>
    <row r="194">
      <c r="A194" s="21" t="n"/>
      <c r="B194" s="22" t="n"/>
      <c r="C194" s="23" t="n"/>
      <c r="D194" s="23" t="n"/>
      <c r="E194" s="24" t="n"/>
      <c r="F194" s="8">
        <f>IF(OR($C194="",$D194=""),"",IF(OR($C194&gt;=1,$D194&gt;=1,$C194=$D194,IF($E194="",0,$E194)&gt;MOD($D194-$C194,1)*24),"",ROUND(MOD($D194-$C194,1)*24-IF($E194="",0,$E194),2)))</f>
        <v/>
      </c>
      <c r="G194" s="25" t="n">
        <v>8</v>
      </c>
      <c r="H194" s="8">
        <f>IF(OR($F194="",$G194=""),"",MAX(0,$F194-$G194))</f>
        <v/>
      </c>
      <c r="I194" s="26" t="n"/>
      <c r="J194" s="27">
        <f>IF(AND($A194="",$C194="",$D194=""),"",IF(OR($C194&gt;=1,$D194&gt;=1),"⚠ escribe la hora con dos puntos: 9:00, no 9",IF(AND($C194&lt;&gt;"",$C194=$D194),"⚠ entrada y salida iguales: la jornada no suma",IF(AND($C194&lt;&gt;"",$D194&lt;&gt;"",IF($E194="",0,$E194)&gt;MOD($D194-$C194,1)*24),"⚠ la pausa es mayor que la jornada",IF(AND($A194&lt;&gt;"",COUNTIF('Resumen Mensual'!$A$6:$A$35,$A194&amp;"")=0),"⚠ ese nombre no está en el «Resumen Mensual»: sus horas no se agregan","")))))</f>
        <v/>
      </c>
    </row>
    <row r="195">
      <c r="A195" s="21" t="n"/>
      <c r="B195" s="22" t="n"/>
      <c r="C195" s="23" t="n"/>
      <c r="D195" s="23" t="n"/>
      <c r="E195" s="24" t="n"/>
      <c r="F195" s="8">
        <f>IF(OR($C195="",$D195=""),"",IF(OR($C195&gt;=1,$D195&gt;=1,$C195=$D195,IF($E195="",0,$E195)&gt;MOD($D195-$C195,1)*24),"",ROUND(MOD($D195-$C195,1)*24-IF($E195="",0,$E195),2)))</f>
        <v/>
      </c>
      <c r="G195" s="25" t="n">
        <v>8</v>
      </c>
      <c r="H195" s="8">
        <f>IF(OR($F195="",$G195=""),"",MAX(0,$F195-$G195))</f>
        <v/>
      </c>
      <c r="I195" s="26" t="n"/>
      <c r="J195" s="27">
        <f>IF(AND($A195="",$C195="",$D195=""),"",IF(OR($C195&gt;=1,$D195&gt;=1),"⚠ escribe la hora con dos puntos: 9:00, no 9",IF(AND($C195&lt;&gt;"",$C195=$D195),"⚠ entrada y salida iguales: la jornada no suma",IF(AND($C195&lt;&gt;"",$D195&lt;&gt;"",IF($E195="",0,$E195)&gt;MOD($D195-$C195,1)*24),"⚠ la pausa es mayor que la jornada",IF(AND($A195&lt;&gt;"",COUNTIF('Resumen Mensual'!$A$6:$A$35,$A195&amp;"")=0),"⚠ ese nombre no está en el «Resumen Mensual»: sus horas no se agregan","")))))</f>
        <v/>
      </c>
    </row>
    <row r="196">
      <c r="A196" s="21" t="n"/>
      <c r="B196" s="22" t="n"/>
      <c r="C196" s="23" t="n"/>
      <c r="D196" s="23" t="n"/>
      <c r="E196" s="24" t="n"/>
      <c r="F196" s="8">
        <f>IF(OR($C196="",$D196=""),"",IF(OR($C196&gt;=1,$D196&gt;=1,$C196=$D196,IF($E196="",0,$E196)&gt;MOD($D196-$C196,1)*24),"",ROUND(MOD($D196-$C196,1)*24-IF($E196="",0,$E196),2)))</f>
        <v/>
      </c>
      <c r="G196" s="25" t="n">
        <v>8</v>
      </c>
      <c r="H196" s="8">
        <f>IF(OR($F196="",$G196=""),"",MAX(0,$F196-$G196))</f>
        <v/>
      </c>
      <c r="I196" s="26" t="n"/>
      <c r="J196" s="27">
        <f>IF(AND($A196="",$C196="",$D196=""),"",IF(OR($C196&gt;=1,$D196&gt;=1),"⚠ escribe la hora con dos puntos: 9:00, no 9",IF(AND($C196&lt;&gt;"",$C196=$D196),"⚠ entrada y salida iguales: la jornada no suma",IF(AND($C196&lt;&gt;"",$D196&lt;&gt;"",IF($E196="",0,$E196)&gt;MOD($D196-$C196,1)*24),"⚠ la pausa es mayor que la jornada",IF(AND($A196&lt;&gt;"",COUNTIF('Resumen Mensual'!$A$6:$A$35,$A196&amp;"")=0),"⚠ ese nombre no está en el «Resumen Mensual»: sus horas no se agregan","")))))</f>
        <v/>
      </c>
    </row>
    <row r="197">
      <c r="A197" s="21" t="n"/>
      <c r="B197" s="22" t="n"/>
      <c r="C197" s="23" t="n"/>
      <c r="D197" s="23" t="n"/>
      <c r="E197" s="24" t="n"/>
      <c r="F197" s="8">
        <f>IF(OR($C197="",$D197=""),"",IF(OR($C197&gt;=1,$D197&gt;=1,$C197=$D197,IF($E197="",0,$E197)&gt;MOD($D197-$C197,1)*24),"",ROUND(MOD($D197-$C197,1)*24-IF($E197="",0,$E197),2)))</f>
        <v/>
      </c>
      <c r="G197" s="25" t="n">
        <v>8</v>
      </c>
      <c r="H197" s="8">
        <f>IF(OR($F197="",$G197=""),"",MAX(0,$F197-$G197))</f>
        <v/>
      </c>
      <c r="I197" s="26" t="n"/>
      <c r="J197" s="27">
        <f>IF(AND($A197="",$C197="",$D197=""),"",IF(OR($C197&gt;=1,$D197&gt;=1),"⚠ escribe la hora con dos puntos: 9:00, no 9",IF(AND($C197&lt;&gt;"",$C197=$D197),"⚠ entrada y salida iguales: la jornada no suma",IF(AND($C197&lt;&gt;"",$D197&lt;&gt;"",IF($E197="",0,$E197)&gt;MOD($D197-$C197,1)*24),"⚠ la pausa es mayor que la jornada",IF(AND($A197&lt;&gt;"",COUNTIF('Resumen Mensual'!$A$6:$A$35,$A197&amp;"")=0),"⚠ ese nombre no está en el «Resumen Mensual»: sus horas no se agregan","")))))</f>
        <v/>
      </c>
    </row>
    <row r="198">
      <c r="A198" s="21" t="n"/>
      <c r="B198" s="22" t="n"/>
      <c r="C198" s="23" t="n"/>
      <c r="D198" s="23" t="n"/>
      <c r="E198" s="24" t="n"/>
      <c r="F198" s="8">
        <f>IF(OR($C198="",$D198=""),"",IF(OR($C198&gt;=1,$D198&gt;=1,$C198=$D198,IF($E198="",0,$E198)&gt;MOD($D198-$C198,1)*24),"",ROUND(MOD($D198-$C198,1)*24-IF($E198="",0,$E198),2)))</f>
        <v/>
      </c>
      <c r="G198" s="25" t="n">
        <v>8</v>
      </c>
      <c r="H198" s="8">
        <f>IF(OR($F198="",$G198=""),"",MAX(0,$F198-$G198))</f>
        <v/>
      </c>
      <c r="I198" s="26" t="n"/>
      <c r="J198" s="27">
        <f>IF(AND($A198="",$C198="",$D198=""),"",IF(OR($C198&gt;=1,$D198&gt;=1),"⚠ escribe la hora con dos puntos: 9:00, no 9",IF(AND($C198&lt;&gt;"",$C198=$D198),"⚠ entrada y salida iguales: la jornada no suma",IF(AND($C198&lt;&gt;"",$D198&lt;&gt;"",IF($E198="",0,$E198)&gt;MOD($D198-$C198,1)*24),"⚠ la pausa es mayor que la jornada",IF(AND($A198&lt;&gt;"",COUNTIF('Resumen Mensual'!$A$6:$A$35,$A198&amp;"")=0),"⚠ ese nombre no está en el «Resumen Mensual»: sus horas no se agregan","")))))</f>
        <v/>
      </c>
    </row>
    <row r="199">
      <c r="A199" s="21" t="n"/>
      <c r="B199" s="22" t="n"/>
      <c r="C199" s="23" t="n"/>
      <c r="D199" s="23" t="n"/>
      <c r="E199" s="24" t="n"/>
      <c r="F199" s="8">
        <f>IF(OR($C199="",$D199=""),"",IF(OR($C199&gt;=1,$D199&gt;=1,$C199=$D199,IF($E199="",0,$E199)&gt;MOD($D199-$C199,1)*24),"",ROUND(MOD($D199-$C199,1)*24-IF($E199="",0,$E199),2)))</f>
        <v/>
      </c>
      <c r="G199" s="25" t="n">
        <v>8</v>
      </c>
      <c r="H199" s="8">
        <f>IF(OR($F199="",$G199=""),"",MAX(0,$F199-$G199))</f>
        <v/>
      </c>
      <c r="I199" s="26" t="n"/>
      <c r="J199" s="27">
        <f>IF(AND($A199="",$C199="",$D199=""),"",IF(OR($C199&gt;=1,$D199&gt;=1),"⚠ escribe la hora con dos puntos: 9:00, no 9",IF(AND($C199&lt;&gt;"",$C199=$D199),"⚠ entrada y salida iguales: la jornada no suma",IF(AND($C199&lt;&gt;"",$D199&lt;&gt;"",IF($E199="",0,$E199)&gt;MOD($D199-$C199,1)*24),"⚠ la pausa es mayor que la jornada",IF(AND($A199&lt;&gt;"",COUNTIF('Resumen Mensual'!$A$6:$A$35,$A199&amp;"")=0),"⚠ ese nombre no está en el «Resumen Mensual»: sus horas no se agregan","")))))</f>
        <v/>
      </c>
    </row>
    <row r="200">
      <c r="A200" s="21" t="n"/>
      <c r="B200" s="22" t="n"/>
      <c r="C200" s="23" t="n"/>
      <c r="D200" s="23" t="n"/>
      <c r="E200" s="24" t="n"/>
      <c r="F200" s="8">
        <f>IF(OR($C200="",$D200=""),"",IF(OR($C200&gt;=1,$D200&gt;=1,$C200=$D200,IF($E200="",0,$E200)&gt;MOD($D200-$C200,1)*24),"",ROUND(MOD($D200-$C200,1)*24-IF($E200="",0,$E200),2)))</f>
        <v/>
      </c>
      <c r="G200" s="25" t="n">
        <v>8</v>
      </c>
      <c r="H200" s="8">
        <f>IF(OR($F200="",$G200=""),"",MAX(0,$F200-$G200))</f>
        <v/>
      </c>
      <c r="I200" s="26" t="n"/>
      <c r="J200" s="27">
        <f>IF(AND($A200="",$C200="",$D200=""),"",IF(OR($C200&gt;=1,$D200&gt;=1),"⚠ escribe la hora con dos puntos: 9:00, no 9",IF(AND($C200&lt;&gt;"",$C200=$D200),"⚠ entrada y salida iguales: la jornada no suma",IF(AND($C200&lt;&gt;"",$D200&lt;&gt;"",IF($E200="",0,$E200)&gt;MOD($D200-$C200,1)*24),"⚠ la pausa es mayor que la jornada",IF(AND($A200&lt;&gt;"",COUNTIF('Resumen Mensual'!$A$6:$A$35,$A200&amp;"")=0),"⚠ ese nombre no está en el «Resumen Mensual»: sus horas no se agregan","")))))</f>
        <v/>
      </c>
    </row>
    <row r="201">
      <c r="A201" s="21" t="n"/>
      <c r="B201" s="22" t="n"/>
      <c r="C201" s="23" t="n"/>
      <c r="D201" s="23" t="n"/>
      <c r="E201" s="24" t="n"/>
      <c r="F201" s="8">
        <f>IF(OR($C201="",$D201=""),"",IF(OR($C201&gt;=1,$D201&gt;=1,$C201=$D201,IF($E201="",0,$E201)&gt;MOD($D201-$C201,1)*24),"",ROUND(MOD($D201-$C201,1)*24-IF($E201="",0,$E201),2)))</f>
        <v/>
      </c>
      <c r="G201" s="25" t="n">
        <v>8</v>
      </c>
      <c r="H201" s="8">
        <f>IF(OR($F201="",$G201=""),"",MAX(0,$F201-$G201))</f>
        <v/>
      </c>
      <c r="I201" s="26" t="n"/>
      <c r="J201" s="27">
        <f>IF(AND($A201="",$C201="",$D201=""),"",IF(OR($C201&gt;=1,$D201&gt;=1),"⚠ escribe la hora con dos puntos: 9:00, no 9",IF(AND($C201&lt;&gt;"",$C201=$D201),"⚠ entrada y salida iguales: la jornada no suma",IF(AND($C201&lt;&gt;"",$D201&lt;&gt;"",IF($E201="",0,$E201)&gt;MOD($D201-$C201,1)*24),"⚠ la pausa es mayor que la jornada",IF(AND($A201&lt;&gt;"",COUNTIF('Resumen Mensual'!$A$6:$A$35,$A201&amp;"")=0),"⚠ ese nombre no está en el «Resumen Mensual»: sus horas no se agregan","")))))</f>
        <v/>
      </c>
    </row>
    <row r="202">
      <c r="A202" s="21" t="n"/>
      <c r="B202" s="22" t="n"/>
      <c r="C202" s="23" t="n"/>
      <c r="D202" s="23" t="n"/>
      <c r="E202" s="24" t="n"/>
      <c r="F202" s="8">
        <f>IF(OR($C202="",$D202=""),"",IF(OR($C202&gt;=1,$D202&gt;=1,$C202=$D202,IF($E202="",0,$E202)&gt;MOD($D202-$C202,1)*24),"",ROUND(MOD($D202-$C202,1)*24-IF($E202="",0,$E202),2)))</f>
        <v/>
      </c>
      <c r="G202" s="25" t="n">
        <v>8</v>
      </c>
      <c r="H202" s="8">
        <f>IF(OR($F202="",$G202=""),"",MAX(0,$F202-$G202))</f>
        <v/>
      </c>
      <c r="I202" s="26" t="n"/>
      <c r="J202" s="27">
        <f>IF(AND($A202="",$C202="",$D202=""),"",IF(OR($C202&gt;=1,$D202&gt;=1),"⚠ escribe la hora con dos puntos: 9:00, no 9",IF(AND($C202&lt;&gt;"",$C202=$D202),"⚠ entrada y salida iguales: la jornada no suma",IF(AND($C202&lt;&gt;"",$D202&lt;&gt;"",IF($E202="",0,$E202)&gt;MOD($D202-$C202,1)*24),"⚠ la pausa es mayor que la jornada",IF(AND($A202&lt;&gt;"",COUNTIF('Resumen Mensual'!$A$6:$A$35,$A202&amp;"")=0),"⚠ ese nombre no está en el «Resumen Mensual»: sus horas no se agregan","")))))</f>
        <v/>
      </c>
    </row>
    <row r="203">
      <c r="A203" s="21" t="n"/>
      <c r="B203" s="22" t="n"/>
      <c r="C203" s="23" t="n"/>
      <c r="D203" s="23" t="n"/>
      <c r="E203" s="24" t="n"/>
      <c r="F203" s="8">
        <f>IF(OR($C203="",$D203=""),"",IF(OR($C203&gt;=1,$D203&gt;=1,$C203=$D203,IF($E203="",0,$E203)&gt;MOD($D203-$C203,1)*24),"",ROUND(MOD($D203-$C203,1)*24-IF($E203="",0,$E203),2)))</f>
        <v/>
      </c>
      <c r="G203" s="25" t="n">
        <v>8</v>
      </c>
      <c r="H203" s="8">
        <f>IF(OR($F203="",$G203=""),"",MAX(0,$F203-$G203))</f>
        <v/>
      </c>
      <c r="I203" s="26" t="n"/>
      <c r="J203" s="27">
        <f>IF(AND($A203="",$C203="",$D203=""),"",IF(OR($C203&gt;=1,$D203&gt;=1),"⚠ escribe la hora con dos puntos: 9:00, no 9",IF(AND($C203&lt;&gt;"",$C203=$D203),"⚠ entrada y salida iguales: la jornada no suma",IF(AND($C203&lt;&gt;"",$D203&lt;&gt;"",IF($E203="",0,$E203)&gt;MOD($D203-$C203,1)*24),"⚠ la pausa es mayor que la jornada",IF(AND($A203&lt;&gt;"",COUNTIF('Resumen Mensual'!$A$6:$A$35,$A203&amp;"")=0),"⚠ ese nombre no está en el «Resumen Mensual»: sus horas no se agregan","")))))</f>
        <v/>
      </c>
    </row>
    <row r="204">
      <c r="A204" s="21" t="n"/>
      <c r="B204" s="22" t="n"/>
      <c r="C204" s="23" t="n"/>
      <c r="D204" s="23" t="n"/>
      <c r="E204" s="24" t="n"/>
      <c r="F204" s="8">
        <f>IF(OR($C204="",$D204=""),"",IF(OR($C204&gt;=1,$D204&gt;=1,$C204=$D204,IF($E204="",0,$E204)&gt;MOD($D204-$C204,1)*24),"",ROUND(MOD($D204-$C204,1)*24-IF($E204="",0,$E204),2)))</f>
        <v/>
      </c>
      <c r="G204" s="25" t="n">
        <v>8</v>
      </c>
      <c r="H204" s="8">
        <f>IF(OR($F204="",$G204=""),"",MAX(0,$F204-$G204))</f>
        <v/>
      </c>
      <c r="I204" s="26" t="n"/>
      <c r="J204" s="27">
        <f>IF(AND($A204="",$C204="",$D204=""),"",IF(OR($C204&gt;=1,$D204&gt;=1),"⚠ escribe la hora con dos puntos: 9:00, no 9",IF(AND($C204&lt;&gt;"",$C204=$D204),"⚠ entrada y salida iguales: la jornada no suma",IF(AND($C204&lt;&gt;"",$D204&lt;&gt;"",IF($E204="",0,$E204)&gt;MOD($D204-$C204,1)*24),"⚠ la pausa es mayor que la jornada",IF(AND($A204&lt;&gt;"",COUNTIF('Resumen Mensual'!$A$6:$A$35,$A204&amp;"")=0),"⚠ ese nombre no está en el «Resumen Mensual»: sus horas no se agregan","")))))</f>
        <v/>
      </c>
    </row>
    <row r="205">
      <c r="A205" s="21" t="n"/>
      <c r="B205" s="22" t="n"/>
      <c r="C205" s="23" t="n"/>
      <c r="D205" s="23" t="n"/>
      <c r="E205" s="24" t="n"/>
      <c r="F205" s="8">
        <f>IF(OR($C205="",$D205=""),"",IF(OR($C205&gt;=1,$D205&gt;=1,$C205=$D205,IF($E205="",0,$E205)&gt;MOD($D205-$C205,1)*24),"",ROUND(MOD($D205-$C205,1)*24-IF($E205="",0,$E205),2)))</f>
        <v/>
      </c>
      <c r="G205" s="25" t="n">
        <v>8</v>
      </c>
      <c r="H205" s="8">
        <f>IF(OR($F205="",$G205=""),"",MAX(0,$F205-$G205))</f>
        <v/>
      </c>
      <c r="I205" s="26" t="n"/>
      <c r="J205" s="27">
        <f>IF(AND($A205="",$C205="",$D205=""),"",IF(OR($C205&gt;=1,$D205&gt;=1),"⚠ escribe la hora con dos puntos: 9:00, no 9",IF(AND($C205&lt;&gt;"",$C205=$D205),"⚠ entrada y salida iguales: la jornada no suma",IF(AND($C205&lt;&gt;"",$D205&lt;&gt;"",IF($E205="",0,$E205)&gt;MOD($D205-$C205,1)*24),"⚠ la pausa es mayor que la jornada",IF(AND($A205&lt;&gt;"",COUNTIF('Resumen Mensual'!$A$6:$A$35,$A205&amp;"")=0),"⚠ ese nombre no está en el «Resumen Mensual»: sus horas no se agregan","")))))</f>
        <v/>
      </c>
    </row>
    <row r="206">
      <c r="A206" s="21" t="n"/>
      <c r="B206" s="22" t="n"/>
      <c r="C206" s="23" t="n"/>
      <c r="D206" s="23" t="n"/>
      <c r="E206" s="24" t="n"/>
      <c r="F206" s="8">
        <f>IF(OR($C206="",$D206=""),"",IF(OR($C206&gt;=1,$D206&gt;=1,$C206=$D206,IF($E206="",0,$E206)&gt;MOD($D206-$C206,1)*24),"",ROUND(MOD($D206-$C206,1)*24-IF($E206="",0,$E206),2)))</f>
        <v/>
      </c>
      <c r="G206" s="25" t="n">
        <v>8</v>
      </c>
      <c r="H206" s="8">
        <f>IF(OR($F206="",$G206=""),"",MAX(0,$F206-$G206))</f>
        <v/>
      </c>
      <c r="I206" s="26" t="n"/>
      <c r="J206" s="27">
        <f>IF(AND($A206="",$C206="",$D206=""),"",IF(OR($C206&gt;=1,$D206&gt;=1),"⚠ escribe la hora con dos puntos: 9:00, no 9",IF(AND($C206&lt;&gt;"",$C206=$D206),"⚠ entrada y salida iguales: la jornada no suma",IF(AND($C206&lt;&gt;"",$D206&lt;&gt;"",IF($E206="",0,$E206)&gt;MOD($D206-$C206,1)*24),"⚠ la pausa es mayor que la jornada",IF(AND($A206&lt;&gt;"",COUNTIF('Resumen Mensual'!$A$6:$A$35,$A206&amp;"")=0),"⚠ ese nombre no está en el «Resumen Mensual»: sus horas no se agregan","")))))</f>
        <v/>
      </c>
    </row>
    <row r="207">
      <c r="A207" s="21" t="n"/>
      <c r="B207" s="22" t="n"/>
      <c r="C207" s="23" t="n"/>
      <c r="D207" s="23" t="n"/>
      <c r="E207" s="24" t="n"/>
      <c r="F207" s="8">
        <f>IF(OR($C207="",$D207=""),"",IF(OR($C207&gt;=1,$D207&gt;=1,$C207=$D207,IF($E207="",0,$E207)&gt;MOD($D207-$C207,1)*24),"",ROUND(MOD($D207-$C207,1)*24-IF($E207="",0,$E207),2)))</f>
        <v/>
      </c>
      <c r="G207" s="25" t="n">
        <v>8</v>
      </c>
      <c r="H207" s="8">
        <f>IF(OR($F207="",$G207=""),"",MAX(0,$F207-$G207))</f>
        <v/>
      </c>
      <c r="I207" s="26" t="n"/>
      <c r="J207" s="27">
        <f>IF(AND($A207="",$C207="",$D207=""),"",IF(OR($C207&gt;=1,$D207&gt;=1),"⚠ escribe la hora con dos puntos: 9:00, no 9",IF(AND($C207&lt;&gt;"",$C207=$D207),"⚠ entrada y salida iguales: la jornada no suma",IF(AND($C207&lt;&gt;"",$D207&lt;&gt;"",IF($E207="",0,$E207)&gt;MOD($D207-$C207,1)*24),"⚠ la pausa es mayor que la jornada",IF(AND($A207&lt;&gt;"",COUNTIF('Resumen Mensual'!$A$6:$A$35,$A207&amp;"")=0),"⚠ ese nombre no está en el «Resumen Mensual»: sus horas no se agregan","")))))</f>
        <v/>
      </c>
    </row>
    <row r="208">
      <c r="A208" s="21" t="n"/>
      <c r="B208" s="22" t="n"/>
      <c r="C208" s="23" t="n"/>
      <c r="D208" s="23" t="n"/>
      <c r="E208" s="24" t="n"/>
      <c r="F208" s="8">
        <f>IF(OR($C208="",$D208=""),"",IF(OR($C208&gt;=1,$D208&gt;=1,$C208=$D208,IF($E208="",0,$E208)&gt;MOD($D208-$C208,1)*24),"",ROUND(MOD($D208-$C208,1)*24-IF($E208="",0,$E208),2)))</f>
        <v/>
      </c>
      <c r="G208" s="25" t="n">
        <v>8</v>
      </c>
      <c r="H208" s="8">
        <f>IF(OR($F208="",$G208=""),"",MAX(0,$F208-$G208))</f>
        <v/>
      </c>
      <c r="I208" s="26" t="n"/>
      <c r="J208" s="27">
        <f>IF(AND($A208="",$C208="",$D208=""),"",IF(OR($C208&gt;=1,$D208&gt;=1),"⚠ escribe la hora con dos puntos: 9:00, no 9",IF(AND($C208&lt;&gt;"",$C208=$D208),"⚠ entrada y salida iguales: la jornada no suma",IF(AND($C208&lt;&gt;"",$D208&lt;&gt;"",IF($E208="",0,$E208)&gt;MOD($D208-$C208,1)*24),"⚠ la pausa es mayor que la jornada",IF(AND($A208&lt;&gt;"",COUNTIF('Resumen Mensual'!$A$6:$A$35,$A208&amp;"")=0),"⚠ ese nombre no está en el «Resumen Mensual»: sus horas no se agregan","")))))</f>
        <v/>
      </c>
    </row>
    <row r="209">
      <c r="A209" s="21" t="n"/>
      <c r="B209" s="22" t="n"/>
      <c r="C209" s="23" t="n"/>
      <c r="D209" s="23" t="n"/>
      <c r="E209" s="24" t="n"/>
      <c r="F209" s="8">
        <f>IF(OR($C209="",$D209=""),"",IF(OR($C209&gt;=1,$D209&gt;=1,$C209=$D209,IF($E209="",0,$E209)&gt;MOD($D209-$C209,1)*24),"",ROUND(MOD($D209-$C209,1)*24-IF($E209="",0,$E209),2)))</f>
        <v/>
      </c>
      <c r="G209" s="25" t="n">
        <v>8</v>
      </c>
      <c r="H209" s="8">
        <f>IF(OR($F209="",$G209=""),"",MAX(0,$F209-$G209))</f>
        <v/>
      </c>
      <c r="I209" s="26" t="n"/>
      <c r="J209" s="27">
        <f>IF(AND($A209="",$C209="",$D209=""),"",IF(OR($C209&gt;=1,$D209&gt;=1),"⚠ escribe la hora con dos puntos: 9:00, no 9",IF(AND($C209&lt;&gt;"",$C209=$D209),"⚠ entrada y salida iguales: la jornada no suma",IF(AND($C209&lt;&gt;"",$D209&lt;&gt;"",IF($E209="",0,$E209)&gt;MOD($D209-$C209,1)*24),"⚠ la pausa es mayor que la jornada",IF(AND($A209&lt;&gt;"",COUNTIF('Resumen Mensual'!$A$6:$A$35,$A209&amp;"")=0),"⚠ ese nombre no está en el «Resumen Mensual»: sus horas no se agregan","")))))</f>
        <v/>
      </c>
    </row>
    <row r="210">
      <c r="A210" s="21" t="n"/>
      <c r="B210" s="22" t="n"/>
      <c r="C210" s="23" t="n"/>
      <c r="D210" s="23" t="n"/>
      <c r="E210" s="24" t="n"/>
      <c r="F210" s="8">
        <f>IF(OR($C210="",$D210=""),"",IF(OR($C210&gt;=1,$D210&gt;=1,$C210=$D210,IF($E210="",0,$E210)&gt;MOD($D210-$C210,1)*24),"",ROUND(MOD($D210-$C210,1)*24-IF($E210="",0,$E210),2)))</f>
        <v/>
      </c>
      <c r="G210" s="25" t="n">
        <v>8</v>
      </c>
      <c r="H210" s="8">
        <f>IF(OR($F210="",$G210=""),"",MAX(0,$F210-$G210))</f>
        <v/>
      </c>
      <c r="I210" s="26" t="n"/>
      <c r="J210" s="27">
        <f>IF(AND($A210="",$C210="",$D210=""),"",IF(OR($C210&gt;=1,$D210&gt;=1),"⚠ escribe la hora con dos puntos: 9:00, no 9",IF(AND($C210&lt;&gt;"",$C210=$D210),"⚠ entrada y salida iguales: la jornada no suma",IF(AND($C210&lt;&gt;"",$D210&lt;&gt;"",IF($E210="",0,$E210)&gt;MOD($D210-$C210,1)*24),"⚠ la pausa es mayor que la jornada",IF(AND($A210&lt;&gt;"",COUNTIF('Resumen Mensual'!$A$6:$A$35,$A210&amp;"")=0),"⚠ ese nombre no está en el «Resumen Mensual»: sus horas no se agregan","")))))</f>
        <v/>
      </c>
    </row>
    <row r="211">
      <c r="A211" s="21" t="n"/>
      <c r="B211" s="22" t="n"/>
      <c r="C211" s="23" t="n"/>
      <c r="D211" s="23" t="n"/>
      <c r="E211" s="24" t="n"/>
      <c r="F211" s="8">
        <f>IF(OR($C211="",$D211=""),"",IF(OR($C211&gt;=1,$D211&gt;=1,$C211=$D211,IF($E211="",0,$E211)&gt;MOD($D211-$C211,1)*24),"",ROUND(MOD($D211-$C211,1)*24-IF($E211="",0,$E211),2)))</f>
        <v/>
      </c>
      <c r="G211" s="25" t="n">
        <v>8</v>
      </c>
      <c r="H211" s="8">
        <f>IF(OR($F211="",$G211=""),"",MAX(0,$F211-$G211))</f>
        <v/>
      </c>
      <c r="I211" s="26" t="n"/>
      <c r="J211" s="27">
        <f>IF(AND($A211="",$C211="",$D211=""),"",IF(OR($C211&gt;=1,$D211&gt;=1),"⚠ escribe la hora con dos puntos: 9:00, no 9",IF(AND($C211&lt;&gt;"",$C211=$D211),"⚠ entrada y salida iguales: la jornada no suma",IF(AND($C211&lt;&gt;"",$D211&lt;&gt;"",IF($E211="",0,$E211)&gt;MOD($D211-$C211,1)*24),"⚠ la pausa es mayor que la jornada",IF(AND($A211&lt;&gt;"",COUNTIF('Resumen Mensual'!$A$6:$A$35,$A211&amp;"")=0),"⚠ ese nombre no está en el «Resumen Mensual»: sus horas no se agregan","")))))</f>
        <v/>
      </c>
    </row>
    <row r="212">
      <c r="A212" s="21" t="n"/>
      <c r="B212" s="22" t="n"/>
      <c r="C212" s="23" t="n"/>
      <c r="D212" s="23" t="n"/>
      <c r="E212" s="24" t="n"/>
      <c r="F212" s="8">
        <f>IF(OR($C212="",$D212=""),"",IF(OR($C212&gt;=1,$D212&gt;=1,$C212=$D212,IF($E212="",0,$E212)&gt;MOD($D212-$C212,1)*24),"",ROUND(MOD($D212-$C212,1)*24-IF($E212="",0,$E212),2)))</f>
        <v/>
      </c>
      <c r="G212" s="25" t="n">
        <v>8</v>
      </c>
      <c r="H212" s="8">
        <f>IF(OR($F212="",$G212=""),"",MAX(0,$F212-$G212))</f>
        <v/>
      </c>
      <c r="I212" s="26" t="n"/>
      <c r="J212" s="27">
        <f>IF(AND($A212="",$C212="",$D212=""),"",IF(OR($C212&gt;=1,$D212&gt;=1),"⚠ escribe la hora con dos puntos: 9:00, no 9",IF(AND($C212&lt;&gt;"",$C212=$D212),"⚠ entrada y salida iguales: la jornada no suma",IF(AND($C212&lt;&gt;"",$D212&lt;&gt;"",IF($E212="",0,$E212)&gt;MOD($D212-$C212,1)*24),"⚠ la pausa es mayor que la jornada",IF(AND($A212&lt;&gt;"",COUNTIF('Resumen Mensual'!$A$6:$A$35,$A212&amp;"")=0),"⚠ ese nombre no está en el «Resumen Mensual»: sus horas no se agregan","")))))</f>
        <v/>
      </c>
    </row>
    <row r="213">
      <c r="A213" s="21" t="n"/>
      <c r="B213" s="22" t="n"/>
      <c r="C213" s="23" t="n"/>
      <c r="D213" s="23" t="n"/>
      <c r="E213" s="24" t="n"/>
      <c r="F213" s="8">
        <f>IF(OR($C213="",$D213=""),"",IF(OR($C213&gt;=1,$D213&gt;=1,$C213=$D213,IF($E213="",0,$E213)&gt;MOD($D213-$C213,1)*24),"",ROUND(MOD($D213-$C213,1)*24-IF($E213="",0,$E213),2)))</f>
        <v/>
      </c>
      <c r="G213" s="25" t="n">
        <v>8</v>
      </c>
      <c r="H213" s="8">
        <f>IF(OR($F213="",$G213=""),"",MAX(0,$F213-$G213))</f>
        <v/>
      </c>
      <c r="I213" s="26" t="n"/>
      <c r="J213" s="27">
        <f>IF(AND($A213="",$C213="",$D213=""),"",IF(OR($C213&gt;=1,$D213&gt;=1),"⚠ escribe la hora con dos puntos: 9:00, no 9",IF(AND($C213&lt;&gt;"",$C213=$D213),"⚠ entrada y salida iguales: la jornada no suma",IF(AND($C213&lt;&gt;"",$D213&lt;&gt;"",IF($E213="",0,$E213)&gt;MOD($D213-$C213,1)*24),"⚠ la pausa es mayor que la jornada",IF(AND($A213&lt;&gt;"",COUNTIF('Resumen Mensual'!$A$6:$A$35,$A213&amp;"")=0),"⚠ ese nombre no está en el «Resumen Mensual»: sus horas no se agregan","")))))</f>
        <v/>
      </c>
    </row>
    <row r="214">
      <c r="A214" s="21" t="n"/>
      <c r="B214" s="22" t="n"/>
      <c r="C214" s="23" t="n"/>
      <c r="D214" s="23" t="n"/>
      <c r="E214" s="24" t="n"/>
      <c r="F214" s="8">
        <f>IF(OR($C214="",$D214=""),"",IF(OR($C214&gt;=1,$D214&gt;=1,$C214=$D214,IF($E214="",0,$E214)&gt;MOD($D214-$C214,1)*24),"",ROUND(MOD($D214-$C214,1)*24-IF($E214="",0,$E214),2)))</f>
        <v/>
      </c>
      <c r="G214" s="25" t="n">
        <v>8</v>
      </c>
      <c r="H214" s="8">
        <f>IF(OR($F214="",$G214=""),"",MAX(0,$F214-$G214))</f>
        <v/>
      </c>
      <c r="I214" s="26" t="n"/>
      <c r="J214" s="27">
        <f>IF(AND($A214="",$C214="",$D214=""),"",IF(OR($C214&gt;=1,$D214&gt;=1),"⚠ escribe la hora con dos puntos: 9:00, no 9",IF(AND($C214&lt;&gt;"",$C214=$D214),"⚠ entrada y salida iguales: la jornada no suma",IF(AND($C214&lt;&gt;"",$D214&lt;&gt;"",IF($E214="",0,$E214)&gt;MOD($D214-$C214,1)*24),"⚠ la pausa es mayor que la jornada",IF(AND($A214&lt;&gt;"",COUNTIF('Resumen Mensual'!$A$6:$A$35,$A214&amp;"")=0),"⚠ ese nombre no está en el «Resumen Mensual»: sus horas no se agregan","")))))</f>
        <v/>
      </c>
    </row>
    <row r="215">
      <c r="A215" s="21" t="n"/>
      <c r="B215" s="22" t="n"/>
      <c r="C215" s="23" t="n"/>
      <c r="D215" s="23" t="n"/>
      <c r="E215" s="24" t="n"/>
      <c r="F215" s="8">
        <f>IF(OR($C215="",$D215=""),"",IF(OR($C215&gt;=1,$D215&gt;=1,$C215=$D215,IF($E215="",0,$E215)&gt;MOD($D215-$C215,1)*24),"",ROUND(MOD($D215-$C215,1)*24-IF($E215="",0,$E215),2)))</f>
        <v/>
      </c>
      <c r="G215" s="25" t="n">
        <v>8</v>
      </c>
      <c r="H215" s="8">
        <f>IF(OR($F215="",$G215=""),"",MAX(0,$F215-$G215))</f>
        <v/>
      </c>
      <c r="I215" s="26" t="n"/>
      <c r="J215" s="27">
        <f>IF(AND($A215="",$C215="",$D215=""),"",IF(OR($C215&gt;=1,$D215&gt;=1),"⚠ escribe la hora con dos puntos: 9:00, no 9",IF(AND($C215&lt;&gt;"",$C215=$D215),"⚠ entrada y salida iguales: la jornada no suma",IF(AND($C215&lt;&gt;"",$D215&lt;&gt;"",IF($E215="",0,$E215)&gt;MOD($D215-$C215,1)*24),"⚠ la pausa es mayor que la jornada",IF(AND($A215&lt;&gt;"",COUNTIF('Resumen Mensual'!$A$6:$A$35,$A215&amp;"")=0),"⚠ ese nombre no está en el «Resumen Mensual»: sus horas no se agregan","")))))</f>
        <v/>
      </c>
    </row>
    <row r="216">
      <c r="A216" s="21" t="n"/>
      <c r="B216" s="22" t="n"/>
      <c r="C216" s="23" t="n"/>
      <c r="D216" s="23" t="n"/>
      <c r="E216" s="24" t="n"/>
      <c r="F216" s="8">
        <f>IF(OR($C216="",$D216=""),"",IF(OR($C216&gt;=1,$D216&gt;=1,$C216=$D216,IF($E216="",0,$E216)&gt;MOD($D216-$C216,1)*24),"",ROUND(MOD($D216-$C216,1)*24-IF($E216="",0,$E216),2)))</f>
        <v/>
      </c>
      <c r="G216" s="25" t="n">
        <v>8</v>
      </c>
      <c r="H216" s="8">
        <f>IF(OR($F216="",$G216=""),"",MAX(0,$F216-$G216))</f>
        <v/>
      </c>
      <c r="I216" s="26" t="n"/>
      <c r="J216" s="27">
        <f>IF(AND($A216="",$C216="",$D216=""),"",IF(OR($C216&gt;=1,$D216&gt;=1),"⚠ escribe la hora con dos puntos: 9:00, no 9",IF(AND($C216&lt;&gt;"",$C216=$D216),"⚠ entrada y salida iguales: la jornada no suma",IF(AND($C216&lt;&gt;"",$D216&lt;&gt;"",IF($E216="",0,$E216)&gt;MOD($D216-$C216,1)*24),"⚠ la pausa es mayor que la jornada",IF(AND($A216&lt;&gt;"",COUNTIF('Resumen Mensual'!$A$6:$A$35,$A216&amp;"")=0),"⚠ ese nombre no está en el «Resumen Mensual»: sus horas no se agregan","")))))</f>
        <v/>
      </c>
    </row>
    <row r="217">
      <c r="A217" s="21" t="n"/>
      <c r="B217" s="22" t="n"/>
      <c r="C217" s="23" t="n"/>
      <c r="D217" s="23" t="n"/>
      <c r="E217" s="24" t="n"/>
      <c r="F217" s="8">
        <f>IF(OR($C217="",$D217=""),"",IF(OR($C217&gt;=1,$D217&gt;=1,$C217=$D217,IF($E217="",0,$E217)&gt;MOD($D217-$C217,1)*24),"",ROUND(MOD($D217-$C217,1)*24-IF($E217="",0,$E217),2)))</f>
        <v/>
      </c>
      <c r="G217" s="25" t="n">
        <v>8</v>
      </c>
      <c r="H217" s="8">
        <f>IF(OR($F217="",$G217=""),"",MAX(0,$F217-$G217))</f>
        <v/>
      </c>
      <c r="I217" s="26" t="n"/>
      <c r="J217" s="27">
        <f>IF(AND($A217="",$C217="",$D217=""),"",IF(OR($C217&gt;=1,$D217&gt;=1),"⚠ escribe la hora con dos puntos: 9:00, no 9",IF(AND($C217&lt;&gt;"",$C217=$D217),"⚠ entrada y salida iguales: la jornada no suma",IF(AND($C217&lt;&gt;"",$D217&lt;&gt;"",IF($E217="",0,$E217)&gt;MOD($D217-$C217,1)*24),"⚠ la pausa es mayor que la jornada",IF(AND($A217&lt;&gt;"",COUNTIF('Resumen Mensual'!$A$6:$A$35,$A217&amp;"")=0),"⚠ ese nombre no está en el «Resumen Mensual»: sus horas no se agregan","")))))</f>
        <v/>
      </c>
    </row>
    <row r="218">
      <c r="A218" s="21" t="n"/>
      <c r="B218" s="22" t="n"/>
      <c r="C218" s="23" t="n"/>
      <c r="D218" s="23" t="n"/>
      <c r="E218" s="24" t="n"/>
      <c r="F218" s="8">
        <f>IF(OR($C218="",$D218=""),"",IF(OR($C218&gt;=1,$D218&gt;=1,$C218=$D218,IF($E218="",0,$E218)&gt;MOD($D218-$C218,1)*24),"",ROUND(MOD($D218-$C218,1)*24-IF($E218="",0,$E218),2)))</f>
        <v/>
      </c>
      <c r="G218" s="25" t="n">
        <v>8</v>
      </c>
      <c r="H218" s="8">
        <f>IF(OR($F218="",$G218=""),"",MAX(0,$F218-$G218))</f>
        <v/>
      </c>
      <c r="I218" s="26" t="n"/>
      <c r="J218" s="27">
        <f>IF(AND($A218="",$C218="",$D218=""),"",IF(OR($C218&gt;=1,$D218&gt;=1),"⚠ escribe la hora con dos puntos: 9:00, no 9",IF(AND($C218&lt;&gt;"",$C218=$D218),"⚠ entrada y salida iguales: la jornada no suma",IF(AND($C218&lt;&gt;"",$D218&lt;&gt;"",IF($E218="",0,$E218)&gt;MOD($D218-$C218,1)*24),"⚠ la pausa es mayor que la jornada",IF(AND($A218&lt;&gt;"",COUNTIF('Resumen Mensual'!$A$6:$A$35,$A218&amp;"")=0),"⚠ ese nombre no está en el «Resumen Mensual»: sus horas no se agregan","")))))</f>
        <v/>
      </c>
    </row>
    <row r="219">
      <c r="A219" s="21" t="n"/>
      <c r="B219" s="22" t="n"/>
      <c r="C219" s="23" t="n"/>
      <c r="D219" s="23" t="n"/>
      <c r="E219" s="24" t="n"/>
      <c r="F219" s="8">
        <f>IF(OR($C219="",$D219=""),"",IF(OR($C219&gt;=1,$D219&gt;=1,$C219=$D219,IF($E219="",0,$E219)&gt;MOD($D219-$C219,1)*24),"",ROUND(MOD($D219-$C219,1)*24-IF($E219="",0,$E219),2)))</f>
        <v/>
      </c>
      <c r="G219" s="25" t="n">
        <v>8</v>
      </c>
      <c r="H219" s="8">
        <f>IF(OR($F219="",$G219=""),"",MAX(0,$F219-$G219))</f>
        <v/>
      </c>
      <c r="I219" s="26" t="n"/>
      <c r="J219" s="27">
        <f>IF(AND($A219="",$C219="",$D219=""),"",IF(OR($C219&gt;=1,$D219&gt;=1),"⚠ escribe la hora con dos puntos: 9:00, no 9",IF(AND($C219&lt;&gt;"",$C219=$D219),"⚠ entrada y salida iguales: la jornada no suma",IF(AND($C219&lt;&gt;"",$D219&lt;&gt;"",IF($E219="",0,$E219)&gt;MOD($D219-$C219,1)*24),"⚠ la pausa es mayor que la jornada",IF(AND($A219&lt;&gt;"",COUNTIF('Resumen Mensual'!$A$6:$A$35,$A219&amp;"")=0),"⚠ ese nombre no está en el «Resumen Mensual»: sus horas no se agregan","")))))</f>
        <v/>
      </c>
    </row>
    <row r="220">
      <c r="A220" s="21" t="n"/>
      <c r="B220" s="22" t="n"/>
      <c r="C220" s="23" t="n"/>
      <c r="D220" s="23" t="n"/>
      <c r="E220" s="24" t="n"/>
      <c r="F220" s="8">
        <f>IF(OR($C220="",$D220=""),"",IF(OR($C220&gt;=1,$D220&gt;=1,$C220=$D220,IF($E220="",0,$E220)&gt;MOD($D220-$C220,1)*24),"",ROUND(MOD($D220-$C220,1)*24-IF($E220="",0,$E220),2)))</f>
        <v/>
      </c>
      <c r="G220" s="25" t="n">
        <v>8</v>
      </c>
      <c r="H220" s="8">
        <f>IF(OR($F220="",$G220=""),"",MAX(0,$F220-$G220))</f>
        <v/>
      </c>
      <c r="I220" s="26" t="n"/>
      <c r="J220" s="27">
        <f>IF(AND($A220="",$C220="",$D220=""),"",IF(OR($C220&gt;=1,$D220&gt;=1),"⚠ escribe la hora con dos puntos: 9:00, no 9",IF(AND($C220&lt;&gt;"",$C220=$D220),"⚠ entrada y salida iguales: la jornada no suma",IF(AND($C220&lt;&gt;"",$D220&lt;&gt;"",IF($E220="",0,$E220)&gt;MOD($D220-$C220,1)*24),"⚠ la pausa es mayor que la jornada",IF(AND($A220&lt;&gt;"",COUNTIF('Resumen Mensual'!$A$6:$A$35,$A220&amp;"")=0),"⚠ ese nombre no está en el «Resumen Mensual»: sus horas no se agregan","")))))</f>
        <v/>
      </c>
    </row>
    <row r="221">
      <c r="A221" s="21" t="n"/>
      <c r="B221" s="22" t="n"/>
      <c r="C221" s="23" t="n"/>
      <c r="D221" s="23" t="n"/>
      <c r="E221" s="24" t="n"/>
      <c r="F221" s="8">
        <f>IF(OR($C221="",$D221=""),"",IF(OR($C221&gt;=1,$D221&gt;=1,$C221=$D221,IF($E221="",0,$E221)&gt;MOD($D221-$C221,1)*24),"",ROUND(MOD($D221-$C221,1)*24-IF($E221="",0,$E221),2)))</f>
        <v/>
      </c>
      <c r="G221" s="25" t="n">
        <v>8</v>
      </c>
      <c r="H221" s="8">
        <f>IF(OR($F221="",$G221=""),"",MAX(0,$F221-$G221))</f>
        <v/>
      </c>
      <c r="I221" s="26" t="n"/>
      <c r="J221" s="27">
        <f>IF(AND($A221="",$C221="",$D221=""),"",IF(OR($C221&gt;=1,$D221&gt;=1),"⚠ escribe la hora con dos puntos: 9:00, no 9",IF(AND($C221&lt;&gt;"",$C221=$D221),"⚠ entrada y salida iguales: la jornada no suma",IF(AND($C221&lt;&gt;"",$D221&lt;&gt;"",IF($E221="",0,$E221)&gt;MOD($D221-$C221,1)*24),"⚠ la pausa es mayor que la jornada",IF(AND($A221&lt;&gt;"",COUNTIF('Resumen Mensual'!$A$6:$A$35,$A221&amp;"")=0),"⚠ ese nombre no está en el «Resumen Mensual»: sus horas no se agregan","")))))</f>
        <v/>
      </c>
    </row>
    <row r="222">
      <c r="A222" s="21" t="n"/>
      <c r="B222" s="22" t="n"/>
      <c r="C222" s="23" t="n"/>
      <c r="D222" s="23" t="n"/>
      <c r="E222" s="24" t="n"/>
      <c r="F222" s="8">
        <f>IF(OR($C222="",$D222=""),"",IF(OR($C222&gt;=1,$D222&gt;=1,$C222=$D222,IF($E222="",0,$E222)&gt;MOD($D222-$C222,1)*24),"",ROUND(MOD($D222-$C222,1)*24-IF($E222="",0,$E222),2)))</f>
        <v/>
      </c>
      <c r="G222" s="25" t="n">
        <v>8</v>
      </c>
      <c r="H222" s="8">
        <f>IF(OR($F222="",$G222=""),"",MAX(0,$F222-$G222))</f>
        <v/>
      </c>
      <c r="I222" s="26" t="n"/>
      <c r="J222" s="27">
        <f>IF(AND($A222="",$C222="",$D222=""),"",IF(OR($C222&gt;=1,$D222&gt;=1),"⚠ escribe la hora con dos puntos: 9:00, no 9",IF(AND($C222&lt;&gt;"",$C222=$D222),"⚠ entrada y salida iguales: la jornada no suma",IF(AND($C222&lt;&gt;"",$D222&lt;&gt;"",IF($E222="",0,$E222)&gt;MOD($D222-$C222,1)*24),"⚠ la pausa es mayor que la jornada",IF(AND($A222&lt;&gt;"",COUNTIF('Resumen Mensual'!$A$6:$A$35,$A222&amp;"")=0),"⚠ ese nombre no está en el «Resumen Mensual»: sus horas no se agregan","")))))</f>
        <v/>
      </c>
    </row>
    <row r="223">
      <c r="A223" s="21" t="n"/>
      <c r="B223" s="22" t="n"/>
      <c r="C223" s="23" t="n"/>
      <c r="D223" s="23" t="n"/>
      <c r="E223" s="24" t="n"/>
      <c r="F223" s="8">
        <f>IF(OR($C223="",$D223=""),"",IF(OR($C223&gt;=1,$D223&gt;=1,$C223=$D223,IF($E223="",0,$E223)&gt;MOD($D223-$C223,1)*24),"",ROUND(MOD($D223-$C223,1)*24-IF($E223="",0,$E223),2)))</f>
        <v/>
      </c>
      <c r="G223" s="25" t="n">
        <v>8</v>
      </c>
      <c r="H223" s="8">
        <f>IF(OR($F223="",$G223=""),"",MAX(0,$F223-$G223))</f>
        <v/>
      </c>
      <c r="I223" s="26" t="n"/>
      <c r="J223" s="27">
        <f>IF(AND($A223="",$C223="",$D223=""),"",IF(OR($C223&gt;=1,$D223&gt;=1),"⚠ escribe la hora con dos puntos: 9:00, no 9",IF(AND($C223&lt;&gt;"",$C223=$D223),"⚠ entrada y salida iguales: la jornada no suma",IF(AND($C223&lt;&gt;"",$D223&lt;&gt;"",IF($E223="",0,$E223)&gt;MOD($D223-$C223,1)*24),"⚠ la pausa es mayor que la jornada",IF(AND($A223&lt;&gt;"",COUNTIF('Resumen Mensual'!$A$6:$A$35,$A223&amp;"")=0),"⚠ ese nombre no está en el «Resumen Mensual»: sus horas no se agregan","")))))</f>
        <v/>
      </c>
    </row>
    <row r="224">
      <c r="A224" s="21" t="n"/>
      <c r="B224" s="22" t="n"/>
      <c r="C224" s="23" t="n"/>
      <c r="D224" s="23" t="n"/>
      <c r="E224" s="24" t="n"/>
      <c r="F224" s="8">
        <f>IF(OR($C224="",$D224=""),"",IF(OR($C224&gt;=1,$D224&gt;=1,$C224=$D224,IF($E224="",0,$E224)&gt;MOD($D224-$C224,1)*24),"",ROUND(MOD($D224-$C224,1)*24-IF($E224="",0,$E224),2)))</f>
        <v/>
      </c>
      <c r="G224" s="25" t="n">
        <v>8</v>
      </c>
      <c r="H224" s="8">
        <f>IF(OR($F224="",$G224=""),"",MAX(0,$F224-$G224))</f>
        <v/>
      </c>
      <c r="I224" s="26" t="n"/>
      <c r="J224" s="27">
        <f>IF(AND($A224="",$C224="",$D224=""),"",IF(OR($C224&gt;=1,$D224&gt;=1),"⚠ escribe la hora con dos puntos: 9:00, no 9",IF(AND($C224&lt;&gt;"",$C224=$D224),"⚠ entrada y salida iguales: la jornada no suma",IF(AND($C224&lt;&gt;"",$D224&lt;&gt;"",IF($E224="",0,$E224)&gt;MOD($D224-$C224,1)*24),"⚠ la pausa es mayor que la jornada",IF(AND($A224&lt;&gt;"",COUNTIF('Resumen Mensual'!$A$6:$A$35,$A224&amp;"")=0),"⚠ ese nombre no está en el «Resumen Mensual»: sus horas no se agregan","")))))</f>
        <v/>
      </c>
    </row>
    <row r="225">
      <c r="A225" s="21" t="n"/>
      <c r="B225" s="22" t="n"/>
      <c r="C225" s="23" t="n"/>
      <c r="D225" s="23" t="n"/>
      <c r="E225" s="24" t="n"/>
      <c r="F225" s="8">
        <f>IF(OR($C225="",$D225=""),"",IF(OR($C225&gt;=1,$D225&gt;=1,$C225=$D225,IF($E225="",0,$E225)&gt;MOD($D225-$C225,1)*24),"",ROUND(MOD($D225-$C225,1)*24-IF($E225="",0,$E225),2)))</f>
        <v/>
      </c>
      <c r="G225" s="25" t="n">
        <v>8</v>
      </c>
      <c r="H225" s="8">
        <f>IF(OR($F225="",$G225=""),"",MAX(0,$F225-$G225))</f>
        <v/>
      </c>
      <c r="I225" s="26" t="n"/>
      <c r="J225" s="27">
        <f>IF(AND($A225="",$C225="",$D225=""),"",IF(OR($C225&gt;=1,$D225&gt;=1),"⚠ escribe la hora con dos puntos: 9:00, no 9",IF(AND($C225&lt;&gt;"",$C225=$D225),"⚠ entrada y salida iguales: la jornada no suma",IF(AND($C225&lt;&gt;"",$D225&lt;&gt;"",IF($E225="",0,$E225)&gt;MOD($D225-$C225,1)*24),"⚠ la pausa es mayor que la jornada",IF(AND($A225&lt;&gt;"",COUNTIF('Resumen Mensual'!$A$6:$A$35,$A225&amp;"")=0),"⚠ ese nombre no está en el «Resumen Mensual»: sus horas no se agregan","")))))</f>
        <v/>
      </c>
    </row>
    <row r="226">
      <c r="A226" s="21" t="n"/>
      <c r="B226" s="22" t="n"/>
      <c r="C226" s="23" t="n"/>
      <c r="D226" s="23" t="n"/>
      <c r="E226" s="24" t="n"/>
      <c r="F226" s="8">
        <f>IF(OR($C226="",$D226=""),"",IF(OR($C226&gt;=1,$D226&gt;=1,$C226=$D226,IF($E226="",0,$E226)&gt;MOD($D226-$C226,1)*24),"",ROUND(MOD($D226-$C226,1)*24-IF($E226="",0,$E226),2)))</f>
        <v/>
      </c>
      <c r="G226" s="25" t="n">
        <v>8</v>
      </c>
      <c r="H226" s="8">
        <f>IF(OR($F226="",$G226=""),"",MAX(0,$F226-$G226))</f>
        <v/>
      </c>
      <c r="I226" s="26" t="n"/>
      <c r="J226" s="27">
        <f>IF(AND($A226="",$C226="",$D226=""),"",IF(OR($C226&gt;=1,$D226&gt;=1),"⚠ escribe la hora con dos puntos: 9:00, no 9",IF(AND($C226&lt;&gt;"",$C226=$D226),"⚠ entrada y salida iguales: la jornada no suma",IF(AND($C226&lt;&gt;"",$D226&lt;&gt;"",IF($E226="",0,$E226)&gt;MOD($D226-$C226,1)*24),"⚠ la pausa es mayor que la jornada",IF(AND($A226&lt;&gt;"",COUNTIF('Resumen Mensual'!$A$6:$A$35,$A226&amp;"")=0),"⚠ ese nombre no está en el «Resumen Mensual»: sus horas no se agregan","")))))</f>
        <v/>
      </c>
    </row>
    <row r="227">
      <c r="A227" s="21" t="n"/>
      <c r="B227" s="22" t="n"/>
      <c r="C227" s="23" t="n"/>
      <c r="D227" s="23" t="n"/>
      <c r="E227" s="24" t="n"/>
      <c r="F227" s="8">
        <f>IF(OR($C227="",$D227=""),"",IF(OR($C227&gt;=1,$D227&gt;=1,$C227=$D227,IF($E227="",0,$E227)&gt;MOD($D227-$C227,1)*24),"",ROUND(MOD($D227-$C227,1)*24-IF($E227="",0,$E227),2)))</f>
        <v/>
      </c>
      <c r="G227" s="25" t="n">
        <v>8</v>
      </c>
      <c r="H227" s="8">
        <f>IF(OR($F227="",$G227=""),"",MAX(0,$F227-$G227))</f>
        <v/>
      </c>
      <c r="I227" s="26" t="n"/>
      <c r="J227" s="27">
        <f>IF(AND($A227="",$C227="",$D227=""),"",IF(OR($C227&gt;=1,$D227&gt;=1),"⚠ escribe la hora con dos puntos: 9:00, no 9",IF(AND($C227&lt;&gt;"",$C227=$D227),"⚠ entrada y salida iguales: la jornada no suma",IF(AND($C227&lt;&gt;"",$D227&lt;&gt;"",IF($E227="",0,$E227)&gt;MOD($D227-$C227,1)*24),"⚠ la pausa es mayor que la jornada",IF(AND($A227&lt;&gt;"",COUNTIF('Resumen Mensual'!$A$6:$A$35,$A227&amp;"")=0),"⚠ ese nombre no está en el «Resumen Mensual»: sus horas no se agregan","")))))</f>
        <v/>
      </c>
    </row>
    <row r="228">
      <c r="A228" s="21" t="n"/>
      <c r="B228" s="22" t="n"/>
      <c r="C228" s="23" t="n"/>
      <c r="D228" s="23" t="n"/>
      <c r="E228" s="24" t="n"/>
      <c r="F228" s="8">
        <f>IF(OR($C228="",$D228=""),"",IF(OR($C228&gt;=1,$D228&gt;=1,$C228=$D228,IF($E228="",0,$E228)&gt;MOD($D228-$C228,1)*24),"",ROUND(MOD($D228-$C228,1)*24-IF($E228="",0,$E228),2)))</f>
        <v/>
      </c>
      <c r="G228" s="25" t="n">
        <v>8</v>
      </c>
      <c r="H228" s="8">
        <f>IF(OR($F228="",$G228=""),"",MAX(0,$F228-$G228))</f>
        <v/>
      </c>
      <c r="I228" s="26" t="n"/>
      <c r="J228" s="27">
        <f>IF(AND($A228="",$C228="",$D228=""),"",IF(OR($C228&gt;=1,$D228&gt;=1),"⚠ escribe la hora con dos puntos: 9:00, no 9",IF(AND($C228&lt;&gt;"",$C228=$D228),"⚠ entrada y salida iguales: la jornada no suma",IF(AND($C228&lt;&gt;"",$D228&lt;&gt;"",IF($E228="",0,$E228)&gt;MOD($D228-$C228,1)*24),"⚠ la pausa es mayor que la jornada",IF(AND($A228&lt;&gt;"",COUNTIF('Resumen Mensual'!$A$6:$A$35,$A228&amp;"")=0),"⚠ ese nombre no está en el «Resumen Mensual»: sus horas no se agregan","")))))</f>
        <v/>
      </c>
    </row>
    <row r="229">
      <c r="A229" s="21" t="n"/>
      <c r="B229" s="22" t="n"/>
      <c r="C229" s="23" t="n"/>
      <c r="D229" s="23" t="n"/>
      <c r="E229" s="24" t="n"/>
      <c r="F229" s="8">
        <f>IF(OR($C229="",$D229=""),"",IF(OR($C229&gt;=1,$D229&gt;=1,$C229=$D229,IF($E229="",0,$E229)&gt;MOD($D229-$C229,1)*24),"",ROUND(MOD($D229-$C229,1)*24-IF($E229="",0,$E229),2)))</f>
        <v/>
      </c>
      <c r="G229" s="25" t="n">
        <v>8</v>
      </c>
      <c r="H229" s="8">
        <f>IF(OR($F229="",$G229=""),"",MAX(0,$F229-$G229))</f>
        <v/>
      </c>
      <c r="I229" s="26" t="n"/>
      <c r="J229" s="27">
        <f>IF(AND($A229="",$C229="",$D229=""),"",IF(OR($C229&gt;=1,$D229&gt;=1),"⚠ escribe la hora con dos puntos: 9:00, no 9",IF(AND($C229&lt;&gt;"",$C229=$D229),"⚠ entrada y salida iguales: la jornada no suma",IF(AND($C229&lt;&gt;"",$D229&lt;&gt;"",IF($E229="",0,$E229)&gt;MOD($D229-$C229,1)*24),"⚠ la pausa es mayor que la jornada",IF(AND($A229&lt;&gt;"",COUNTIF('Resumen Mensual'!$A$6:$A$35,$A229&amp;"")=0),"⚠ ese nombre no está en el «Resumen Mensual»: sus horas no se agregan","")))))</f>
        <v/>
      </c>
    </row>
    <row r="230">
      <c r="A230" s="21" t="n"/>
      <c r="B230" s="22" t="n"/>
      <c r="C230" s="23" t="n"/>
      <c r="D230" s="23" t="n"/>
      <c r="E230" s="24" t="n"/>
      <c r="F230" s="8">
        <f>IF(OR($C230="",$D230=""),"",IF(OR($C230&gt;=1,$D230&gt;=1,$C230=$D230,IF($E230="",0,$E230)&gt;MOD($D230-$C230,1)*24),"",ROUND(MOD($D230-$C230,1)*24-IF($E230="",0,$E230),2)))</f>
        <v/>
      </c>
      <c r="G230" s="25" t="n">
        <v>8</v>
      </c>
      <c r="H230" s="8">
        <f>IF(OR($F230="",$G230=""),"",MAX(0,$F230-$G230))</f>
        <v/>
      </c>
      <c r="I230" s="26" t="n"/>
      <c r="J230" s="27">
        <f>IF(AND($A230="",$C230="",$D230=""),"",IF(OR($C230&gt;=1,$D230&gt;=1),"⚠ escribe la hora con dos puntos: 9:00, no 9",IF(AND($C230&lt;&gt;"",$C230=$D230),"⚠ entrada y salida iguales: la jornada no suma",IF(AND($C230&lt;&gt;"",$D230&lt;&gt;"",IF($E230="",0,$E230)&gt;MOD($D230-$C230,1)*24),"⚠ la pausa es mayor que la jornada",IF(AND($A230&lt;&gt;"",COUNTIF('Resumen Mensual'!$A$6:$A$35,$A230&amp;"")=0),"⚠ ese nombre no está en el «Resumen Mensual»: sus horas no se agregan","")))))</f>
        <v/>
      </c>
    </row>
    <row r="231">
      <c r="A231" s="21" t="n"/>
      <c r="B231" s="22" t="n"/>
      <c r="C231" s="23" t="n"/>
      <c r="D231" s="23" t="n"/>
      <c r="E231" s="24" t="n"/>
      <c r="F231" s="8">
        <f>IF(OR($C231="",$D231=""),"",IF(OR($C231&gt;=1,$D231&gt;=1,$C231=$D231,IF($E231="",0,$E231)&gt;MOD($D231-$C231,1)*24),"",ROUND(MOD($D231-$C231,1)*24-IF($E231="",0,$E231),2)))</f>
        <v/>
      </c>
      <c r="G231" s="25" t="n">
        <v>8</v>
      </c>
      <c r="H231" s="8">
        <f>IF(OR($F231="",$G231=""),"",MAX(0,$F231-$G231))</f>
        <v/>
      </c>
      <c r="I231" s="26" t="n"/>
      <c r="J231" s="27">
        <f>IF(AND($A231="",$C231="",$D231=""),"",IF(OR($C231&gt;=1,$D231&gt;=1),"⚠ escribe la hora con dos puntos: 9:00, no 9",IF(AND($C231&lt;&gt;"",$C231=$D231),"⚠ entrada y salida iguales: la jornada no suma",IF(AND($C231&lt;&gt;"",$D231&lt;&gt;"",IF($E231="",0,$E231)&gt;MOD($D231-$C231,1)*24),"⚠ la pausa es mayor que la jornada",IF(AND($A231&lt;&gt;"",COUNTIF('Resumen Mensual'!$A$6:$A$35,$A231&amp;"")=0),"⚠ ese nombre no está en el «Resumen Mensual»: sus horas no se agregan","")))))</f>
        <v/>
      </c>
    </row>
    <row r="232">
      <c r="A232" s="21" t="n"/>
      <c r="B232" s="22" t="n"/>
      <c r="C232" s="23" t="n"/>
      <c r="D232" s="23" t="n"/>
      <c r="E232" s="24" t="n"/>
      <c r="F232" s="8">
        <f>IF(OR($C232="",$D232=""),"",IF(OR($C232&gt;=1,$D232&gt;=1,$C232=$D232,IF($E232="",0,$E232)&gt;MOD($D232-$C232,1)*24),"",ROUND(MOD($D232-$C232,1)*24-IF($E232="",0,$E232),2)))</f>
        <v/>
      </c>
      <c r="G232" s="25" t="n">
        <v>8</v>
      </c>
      <c r="H232" s="8">
        <f>IF(OR($F232="",$G232=""),"",MAX(0,$F232-$G232))</f>
        <v/>
      </c>
      <c r="I232" s="26" t="n"/>
      <c r="J232" s="27">
        <f>IF(AND($A232="",$C232="",$D232=""),"",IF(OR($C232&gt;=1,$D232&gt;=1),"⚠ escribe la hora con dos puntos: 9:00, no 9",IF(AND($C232&lt;&gt;"",$C232=$D232),"⚠ entrada y salida iguales: la jornada no suma",IF(AND($C232&lt;&gt;"",$D232&lt;&gt;"",IF($E232="",0,$E232)&gt;MOD($D232-$C232,1)*24),"⚠ la pausa es mayor que la jornada",IF(AND($A232&lt;&gt;"",COUNTIF('Resumen Mensual'!$A$6:$A$35,$A232&amp;"")=0),"⚠ ese nombre no está en el «Resumen Mensual»: sus horas no se agregan","")))))</f>
        <v/>
      </c>
    </row>
    <row r="233">
      <c r="A233" s="21" t="n"/>
      <c r="B233" s="22" t="n"/>
      <c r="C233" s="23" t="n"/>
      <c r="D233" s="23" t="n"/>
      <c r="E233" s="24" t="n"/>
      <c r="F233" s="8">
        <f>IF(OR($C233="",$D233=""),"",IF(OR($C233&gt;=1,$D233&gt;=1,$C233=$D233,IF($E233="",0,$E233)&gt;MOD($D233-$C233,1)*24),"",ROUND(MOD($D233-$C233,1)*24-IF($E233="",0,$E233),2)))</f>
        <v/>
      </c>
      <c r="G233" s="25" t="n">
        <v>8</v>
      </c>
      <c r="H233" s="8">
        <f>IF(OR($F233="",$G233=""),"",MAX(0,$F233-$G233))</f>
        <v/>
      </c>
      <c r="I233" s="26" t="n"/>
      <c r="J233" s="27">
        <f>IF(AND($A233="",$C233="",$D233=""),"",IF(OR($C233&gt;=1,$D233&gt;=1),"⚠ escribe la hora con dos puntos: 9:00, no 9",IF(AND($C233&lt;&gt;"",$C233=$D233),"⚠ entrada y salida iguales: la jornada no suma",IF(AND($C233&lt;&gt;"",$D233&lt;&gt;"",IF($E233="",0,$E233)&gt;MOD($D233-$C233,1)*24),"⚠ la pausa es mayor que la jornada",IF(AND($A233&lt;&gt;"",COUNTIF('Resumen Mensual'!$A$6:$A$35,$A233&amp;"")=0),"⚠ ese nombre no está en el «Resumen Mensual»: sus horas no se agregan","")))))</f>
        <v/>
      </c>
    </row>
    <row r="234">
      <c r="A234" s="21" t="n"/>
      <c r="B234" s="22" t="n"/>
      <c r="C234" s="23" t="n"/>
      <c r="D234" s="23" t="n"/>
      <c r="E234" s="24" t="n"/>
      <c r="F234" s="8">
        <f>IF(OR($C234="",$D234=""),"",IF(OR($C234&gt;=1,$D234&gt;=1,$C234=$D234,IF($E234="",0,$E234)&gt;MOD($D234-$C234,1)*24),"",ROUND(MOD($D234-$C234,1)*24-IF($E234="",0,$E234),2)))</f>
        <v/>
      </c>
      <c r="G234" s="25" t="n">
        <v>8</v>
      </c>
      <c r="H234" s="8">
        <f>IF(OR($F234="",$G234=""),"",MAX(0,$F234-$G234))</f>
        <v/>
      </c>
      <c r="I234" s="26" t="n"/>
      <c r="J234" s="27">
        <f>IF(AND($A234="",$C234="",$D234=""),"",IF(OR($C234&gt;=1,$D234&gt;=1),"⚠ escribe la hora con dos puntos: 9:00, no 9",IF(AND($C234&lt;&gt;"",$C234=$D234),"⚠ entrada y salida iguales: la jornada no suma",IF(AND($C234&lt;&gt;"",$D234&lt;&gt;"",IF($E234="",0,$E234)&gt;MOD($D234-$C234,1)*24),"⚠ la pausa es mayor que la jornada",IF(AND($A234&lt;&gt;"",COUNTIF('Resumen Mensual'!$A$6:$A$35,$A234&amp;"")=0),"⚠ ese nombre no está en el «Resumen Mensual»: sus horas no se agregan","")))))</f>
        <v/>
      </c>
    </row>
    <row r="235">
      <c r="A235" s="21" t="n"/>
      <c r="B235" s="22" t="n"/>
      <c r="C235" s="23" t="n"/>
      <c r="D235" s="23" t="n"/>
      <c r="E235" s="24" t="n"/>
      <c r="F235" s="8">
        <f>IF(OR($C235="",$D235=""),"",IF(OR($C235&gt;=1,$D235&gt;=1,$C235=$D235,IF($E235="",0,$E235)&gt;MOD($D235-$C235,1)*24),"",ROUND(MOD($D235-$C235,1)*24-IF($E235="",0,$E235),2)))</f>
        <v/>
      </c>
      <c r="G235" s="25" t="n">
        <v>8</v>
      </c>
      <c r="H235" s="8">
        <f>IF(OR($F235="",$G235=""),"",MAX(0,$F235-$G235))</f>
        <v/>
      </c>
      <c r="I235" s="26" t="n"/>
      <c r="J235" s="27">
        <f>IF(AND($A235="",$C235="",$D235=""),"",IF(OR($C235&gt;=1,$D235&gt;=1),"⚠ escribe la hora con dos puntos: 9:00, no 9",IF(AND($C235&lt;&gt;"",$C235=$D235),"⚠ entrada y salida iguales: la jornada no suma",IF(AND($C235&lt;&gt;"",$D235&lt;&gt;"",IF($E235="",0,$E235)&gt;MOD($D235-$C235,1)*24),"⚠ la pausa es mayor que la jornada",IF(AND($A235&lt;&gt;"",COUNTIF('Resumen Mensual'!$A$6:$A$35,$A235&amp;"")=0),"⚠ ese nombre no está en el «Resumen Mensual»: sus horas no se agregan","")))))</f>
        <v/>
      </c>
    </row>
    <row r="236">
      <c r="A236" s="21" t="n"/>
      <c r="B236" s="22" t="n"/>
      <c r="C236" s="23" t="n"/>
      <c r="D236" s="23" t="n"/>
      <c r="E236" s="24" t="n"/>
      <c r="F236" s="8">
        <f>IF(OR($C236="",$D236=""),"",IF(OR($C236&gt;=1,$D236&gt;=1,$C236=$D236,IF($E236="",0,$E236)&gt;MOD($D236-$C236,1)*24),"",ROUND(MOD($D236-$C236,1)*24-IF($E236="",0,$E236),2)))</f>
        <v/>
      </c>
      <c r="G236" s="25" t="n">
        <v>8</v>
      </c>
      <c r="H236" s="8">
        <f>IF(OR($F236="",$G236=""),"",MAX(0,$F236-$G236))</f>
        <v/>
      </c>
      <c r="I236" s="26" t="n"/>
      <c r="J236" s="27">
        <f>IF(AND($A236="",$C236="",$D236=""),"",IF(OR($C236&gt;=1,$D236&gt;=1),"⚠ escribe la hora con dos puntos: 9:00, no 9",IF(AND($C236&lt;&gt;"",$C236=$D236),"⚠ entrada y salida iguales: la jornada no suma",IF(AND($C236&lt;&gt;"",$D236&lt;&gt;"",IF($E236="",0,$E236)&gt;MOD($D236-$C236,1)*24),"⚠ la pausa es mayor que la jornada",IF(AND($A236&lt;&gt;"",COUNTIF('Resumen Mensual'!$A$6:$A$35,$A236&amp;"")=0),"⚠ ese nombre no está en el «Resumen Mensual»: sus horas no se agregan","")))))</f>
        <v/>
      </c>
    </row>
    <row r="237">
      <c r="A237" s="21" t="n"/>
      <c r="B237" s="22" t="n"/>
      <c r="C237" s="23" t="n"/>
      <c r="D237" s="23" t="n"/>
      <c r="E237" s="24" t="n"/>
      <c r="F237" s="8">
        <f>IF(OR($C237="",$D237=""),"",IF(OR($C237&gt;=1,$D237&gt;=1,$C237=$D237,IF($E237="",0,$E237)&gt;MOD($D237-$C237,1)*24),"",ROUND(MOD($D237-$C237,1)*24-IF($E237="",0,$E237),2)))</f>
        <v/>
      </c>
      <c r="G237" s="25" t="n">
        <v>8</v>
      </c>
      <c r="H237" s="8">
        <f>IF(OR($F237="",$G237=""),"",MAX(0,$F237-$G237))</f>
        <v/>
      </c>
      <c r="I237" s="26" t="n"/>
      <c r="J237" s="27">
        <f>IF(AND($A237="",$C237="",$D237=""),"",IF(OR($C237&gt;=1,$D237&gt;=1),"⚠ escribe la hora con dos puntos: 9:00, no 9",IF(AND($C237&lt;&gt;"",$C237=$D237),"⚠ entrada y salida iguales: la jornada no suma",IF(AND($C237&lt;&gt;"",$D237&lt;&gt;"",IF($E237="",0,$E237)&gt;MOD($D237-$C237,1)*24),"⚠ la pausa es mayor que la jornada",IF(AND($A237&lt;&gt;"",COUNTIF('Resumen Mensual'!$A$6:$A$35,$A237&amp;"")=0),"⚠ ese nombre no está en el «Resumen Mensual»: sus horas no se agregan","")))))</f>
        <v/>
      </c>
    </row>
    <row r="238">
      <c r="A238" s="21" t="n"/>
      <c r="B238" s="22" t="n"/>
      <c r="C238" s="23" t="n"/>
      <c r="D238" s="23" t="n"/>
      <c r="E238" s="24" t="n"/>
      <c r="F238" s="8">
        <f>IF(OR($C238="",$D238=""),"",IF(OR($C238&gt;=1,$D238&gt;=1,$C238=$D238,IF($E238="",0,$E238)&gt;MOD($D238-$C238,1)*24),"",ROUND(MOD($D238-$C238,1)*24-IF($E238="",0,$E238),2)))</f>
        <v/>
      </c>
      <c r="G238" s="25" t="n">
        <v>8</v>
      </c>
      <c r="H238" s="8">
        <f>IF(OR($F238="",$G238=""),"",MAX(0,$F238-$G238))</f>
        <v/>
      </c>
      <c r="I238" s="26" t="n"/>
      <c r="J238" s="27">
        <f>IF(AND($A238="",$C238="",$D238=""),"",IF(OR($C238&gt;=1,$D238&gt;=1),"⚠ escribe la hora con dos puntos: 9:00, no 9",IF(AND($C238&lt;&gt;"",$C238=$D238),"⚠ entrada y salida iguales: la jornada no suma",IF(AND($C238&lt;&gt;"",$D238&lt;&gt;"",IF($E238="",0,$E238)&gt;MOD($D238-$C238,1)*24),"⚠ la pausa es mayor que la jornada",IF(AND($A238&lt;&gt;"",COUNTIF('Resumen Mensual'!$A$6:$A$35,$A238&amp;"")=0),"⚠ ese nombre no está en el «Resumen Mensual»: sus horas no se agregan","")))))</f>
        <v/>
      </c>
    </row>
    <row r="239">
      <c r="A239" s="21" t="n"/>
      <c r="B239" s="22" t="n"/>
      <c r="C239" s="23" t="n"/>
      <c r="D239" s="23" t="n"/>
      <c r="E239" s="24" t="n"/>
      <c r="F239" s="8">
        <f>IF(OR($C239="",$D239=""),"",IF(OR($C239&gt;=1,$D239&gt;=1,$C239=$D239,IF($E239="",0,$E239)&gt;MOD($D239-$C239,1)*24),"",ROUND(MOD($D239-$C239,1)*24-IF($E239="",0,$E239),2)))</f>
        <v/>
      </c>
      <c r="G239" s="25" t="n">
        <v>8</v>
      </c>
      <c r="H239" s="8">
        <f>IF(OR($F239="",$G239=""),"",MAX(0,$F239-$G239))</f>
        <v/>
      </c>
      <c r="I239" s="26" t="n"/>
      <c r="J239" s="27">
        <f>IF(AND($A239="",$C239="",$D239=""),"",IF(OR($C239&gt;=1,$D239&gt;=1),"⚠ escribe la hora con dos puntos: 9:00, no 9",IF(AND($C239&lt;&gt;"",$C239=$D239),"⚠ entrada y salida iguales: la jornada no suma",IF(AND($C239&lt;&gt;"",$D239&lt;&gt;"",IF($E239="",0,$E239)&gt;MOD($D239-$C239,1)*24),"⚠ la pausa es mayor que la jornada",IF(AND($A239&lt;&gt;"",COUNTIF('Resumen Mensual'!$A$6:$A$35,$A239&amp;"")=0),"⚠ ese nombre no está en el «Resumen Mensual»: sus horas no se agregan","")))))</f>
        <v/>
      </c>
    </row>
    <row r="240">
      <c r="A240" s="21" t="n"/>
      <c r="B240" s="22" t="n"/>
      <c r="C240" s="23" t="n"/>
      <c r="D240" s="23" t="n"/>
      <c r="E240" s="24" t="n"/>
      <c r="F240" s="8">
        <f>IF(OR($C240="",$D240=""),"",IF(OR($C240&gt;=1,$D240&gt;=1,$C240=$D240,IF($E240="",0,$E240)&gt;MOD($D240-$C240,1)*24),"",ROUND(MOD($D240-$C240,1)*24-IF($E240="",0,$E240),2)))</f>
        <v/>
      </c>
      <c r="G240" s="25" t="n">
        <v>8</v>
      </c>
      <c r="H240" s="8">
        <f>IF(OR($F240="",$G240=""),"",MAX(0,$F240-$G240))</f>
        <v/>
      </c>
      <c r="I240" s="26" t="n"/>
      <c r="J240" s="27">
        <f>IF(AND($A240="",$C240="",$D240=""),"",IF(OR($C240&gt;=1,$D240&gt;=1),"⚠ escribe la hora con dos puntos: 9:00, no 9",IF(AND($C240&lt;&gt;"",$C240=$D240),"⚠ entrada y salida iguales: la jornada no suma",IF(AND($C240&lt;&gt;"",$D240&lt;&gt;"",IF($E240="",0,$E240)&gt;MOD($D240-$C240,1)*24),"⚠ la pausa es mayor que la jornada",IF(AND($A240&lt;&gt;"",COUNTIF('Resumen Mensual'!$A$6:$A$35,$A240&amp;"")=0),"⚠ ese nombre no está en el «Resumen Mensual»: sus horas no se agregan","")))))</f>
        <v/>
      </c>
    </row>
    <row r="241">
      <c r="A241" s="21" t="n"/>
      <c r="B241" s="22" t="n"/>
      <c r="C241" s="23" t="n"/>
      <c r="D241" s="23" t="n"/>
      <c r="E241" s="24" t="n"/>
      <c r="F241" s="8">
        <f>IF(OR($C241="",$D241=""),"",IF(OR($C241&gt;=1,$D241&gt;=1,$C241=$D241,IF($E241="",0,$E241)&gt;MOD($D241-$C241,1)*24),"",ROUND(MOD($D241-$C241,1)*24-IF($E241="",0,$E241),2)))</f>
        <v/>
      </c>
      <c r="G241" s="25" t="n">
        <v>8</v>
      </c>
      <c r="H241" s="8">
        <f>IF(OR($F241="",$G241=""),"",MAX(0,$F241-$G241))</f>
        <v/>
      </c>
      <c r="I241" s="26" t="n"/>
      <c r="J241" s="27">
        <f>IF(AND($A241="",$C241="",$D241=""),"",IF(OR($C241&gt;=1,$D241&gt;=1),"⚠ escribe la hora con dos puntos: 9:00, no 9",IF(AND($C241&lt;&gt;"",$C241=$D241),"⚠ entrada y salida iguales: la jornada no suma",IF(AND($C241&lt;&gt;"",$D241&lt;&gt;"",IF($E241="",0,$E241)&gt;MOD($D241-$C241,1)*24),"⚠ la pausa es mayor que la jornada",IF(AND($A241&lt;&gt;"",COUNTIF('Resumen Mensual'!$A$6:$A$35,$A241&amp;"")=0),"⚠ ese nombre no está en el «Resumen Mensual»: sus horas no se agregan","")))))</f>
        <v/>
      </c>
    </row>
    <row r="242">
      <c r="A242" s="21" t="n"/>
      <c r="B242" s="22" t="n"/>
      <c r="C242" s="23" t="n"/>
      <c r="D242" s="23" t="n"/>
      <c r="E242" s="24" t="n"/>
      <c r="F242" s="8">
        <f>IF(OR($C242="",$D242=""),"",IF(OR($C242&gt;=1,$D242&gt;=1,$C242=$D242,IF($E242="",0,$E242)&gt;MOD($D242-$C242,1)*24),"",ROUND(MOD($D242-$C242,1)*24-IF($E242="",0,$E242),2)))</f>
        <v/>
      </c>
      <c r="G242" s="25" t="n">
        <v>8</v>
      </c>
      <c r="H242" s="8">
        <f>IF(OR($F242="",$G242=""),"",MAX(0,$F242-$G242))</f>
        <v/>
      </c>
      <c r="I242" s="26" t="n"/>
      <c r="J242" s="27">
        <f>IF(AND($A242="",$C242="",$D242=""),"",IF(OR($C242&gt;=1,$D242&gt;=1),"⚠ escribe la hora con dos puntos: 9:00, no 9",IF(AND($C242&lt;&gt;"",$C242=$D242),"⚠ entrada y salida iguales: la jornada no suma",IF(AND($C242&lt;&gt;"",$D242&lt;&gt;"",IF($E242="",0,$E242)&gt;MOD($D242-$C242,1)*24),"⚠ la pausa es mayor que la jornada",IF(AND($A242&lt;&gt;"",COUNTIF('Resumen Mensual'!$A$6:$A$35,$A242&amp;"")=0),"⚠ ese nombre no está en el «Resumen Mensual»: sus horas no se agregan","")))))</f>
        <v/>
      </c>
    </row>
    <row r="243">
      <c r="A243" s="21" t="n"/>
      <c r="B243" s="22" t="n"/>
      <c r="C243" s="23" t="n"/>
      <c r="D243" s="23" t="n"/>
      <c r="E243" s="24" t="n"/>
      <c r="F243" s="8">
        <f>IF(OR($C243="",$D243=""),"",IF(OR($C243&gt;=1,$D243&gt;=1,$C243=$D243,IF($E243="",0,$E243)&gt;MOD($D243-$C243,1)*24),"",ROUND(MOD($D243-$C243,1)*24-IF($E243="",0,$E243),2)))</f>
        <v/>
      </c>
      <c r="G243" s="25" t="n">
        <v>8</v>
      </c>
      <c r="H243" s="8">
        <f>IF(OR($F243="",$G243=""),"",MAX(0,$F243-$G243))</f>
        <v/>
      </c>
      <c r="I243" s="26" t="n"/>
      <c r="J243" s="27">
        <f>IF(AND($A243="",$C243="",$D243=""),"",IF(OR($C243&gt;=1,$D243&gt;=1),"⚠ escribe la hora con dos puntos: 9:00, no 9",IF(AND($C243&lt;&gt;"",$C243=$D243),"⚠ entrada y salida iguales: la jornada no suma",IF(AND($C243&lt;&gt;"",$D243&lt;&gt;"",IF($E243="",0,$E243)&gt;MOD($D243-$C243,1)*24),"⚠ la pausa es mayor que la jornada",IF(AND($A243&lt;&gt;"",COUNTIF('Resumen Mensual'!$A$6:$A$35,$A243&amp;"")=0),"⚠ ese nombre no está en el «Resumen Mensual»: sus horas no se agregan","")))))</f>
        <v/>
      </c>
    </row>
    <row r="244">
      <c r="A244" s="21" t="n"/>
      <c r="B244" s="22" t="n"/>
      <c r="C244" s="23" t="n"/>
      <c r="D244" s="23" t="n"/>
      <c r="E244" s="24" t="n"/>
      <c r="F244" s="8">
        <f>IF(OR($C244="",$D244=""),"",IF(OR($C244&gt;=1,$D244&gt;=1,$C244=$D244,IF($E244="",0,$E244)&gt;MOD($D244-$C244,1)*24),"",ROUND(MOD($D244-$C244,1)*24-IF($E244="",0,$E244),2)))</f>
        <v/>
      </c>
      <c r="G244" s="25" t="n">
        <v>8</v>
      </c>
      <c r="H244" s="8">
        <f>IF(OR($F244="",$G244=""),"",MAX(0,$F244-$G244))</f>
        <v/>
      </c>
      <c r="I244" s="26" t="n"/>
      <c r="J244" s="27">
        <f>IF(AND($A244="",$C244="",$D244=""),"",IF(OR($C244&gt;=1,$D244&gt;=1),"⚠ escribe la hora con dos puntos: 9:00, no 9",IF(AND($C244&lt;&gt;"",$C244=$D244),"⚠ entrada y salida iguales: la jornada no suma",IF(AND($C244&lt;&gt;"",$D244&lt;&gt;"",IF($E244="",0,$E244)&gt;MOD($D244-$C244,1)*24),"⚠ la pausa es mayor que la jornada",IF(AND($A244&lt;&gt;"",COUNTIF('Resumen Mensual'!$A$6:$A$35,$A244&amp;"")=0),"⚠ ese nombre no está en el «Resumen Mensual»: sus horas no se agregan","")))))</f>
        <v/>
      </c>
    </row>
    <row r="245">
      <c r="A245" s="21" t="n"/>
      <c r="B245" s="22" t="n"/>
      <c r="C245" s="23" t="n"/>
      <c r="D245" s="23" t="n"/>
      <c r="E245" s="24" t="n"/>
      <c r="F245" s="8">
        <f>IF(OR($C245="",$D245=""),"",IF(OR($C245&gt;=1,$D245&gt;=1,$C245=$D245,IF($E245="",0,$E245)&gt;MOD($D245-$C245,1)*24),"",ROUND(MOD($D245-$C245,1)*24-IF($E245="",0,$E245),2)))</f>
        <v/>
      </c>
      <c r="G245" s="25" t="n">
        <v>8</v>
      </c>
      <c r="H245" s="8">
        <f>IF(OR($F245="",$G245=""),"",MAX(0,$F245-$G245))</f>
        <v/>
      </c>
      <c r="I245" s="26" t="n"/>
      <c r="J245" s="27">
        <f>IF(AND($A245="",$C245="",$D245=""),"",IF(OR($C245&gt;=1,$D245&gt;=1),"⚠ escribe la hora con dos puntos: 9:00, no 9",IF(AND($C245&lt;&gt;"",$C245=$D245),"⚠ entrada y salida iguales: la jornada no suma",IF(AND($C245&lt;&gt;"",$D245&lt;&gt;"",IF($E245="",0,$E245)&gt;MOD($D245-$C245,1)*24),"⚠ la pausa es mayor que la jornada",IF(AND($A245&lt;&gt;"",COUNTIF('Resumen Mensual'!$A$6:$A$35,$A245&amp;"")=0),"⚠ ese nombre no está en el «Resumen Mensual»: sus horas no se agregan","")))))</f>
        <v/>
      </c>
    </row>
    <row r="246">
      <c r="A246" s="21" t="n"/>
      <c r="B246" s="22" t="n"/>
      <c r="C246" s="23" t="n"/>
      <c r="D246" s="23" t="n"/>
      <c r="E246" s="24" t="n"/>
      <c r="F246" s="8">
        <f>IF(OR($C246="",$D246=""),"",IF(OR($C246&gt;=1,$D246&gt;=1,$C246=$D246,IF($E246="",0,$E246)&gt;MOD($D246-$C246,1)*24),"",ROUND(MOD($D246-$C246,1)*24-IF($E246="",0,$E246),2)))</f>
        <v/>
      </c>
      <c r="G246" s="25" t="n">
        <v>8</v>
      </c>
      <c r="H246" s="8">
        <f>IF(OR($F246="",$G246=""),"",MAX(0,$F246-$G246))</f>
        <v/>
      </c>
      <c r="I246" s="26" t="n"/>
      <c r="J246" s="27">
        <f>IF(AND($A246="",$C246="",$D246=""),"",IF(OR($C246&gt;=1,$D246&gt;=1),"⚠ escribe la hora con dos puntos: 9:00, no 9",IF(AND($C246&lt;&gt;"",$C246=$D246),"⚠ entrada y salida iguales: la jornada no suma",IF(AND($C246&lt;&gt;"",$D246&lt;&gt;"",IF($E246="",0,$E246)&gt;MOD($D246-$C246,1)*24),"⚠ la pausa es mayor que la jornada",IF(AND($A246&lt;&gt;"",COUNTIF('Resumen Mensual'!$A$6:$A$35,$A246&amp;"")=0),"⚠ ese nombre no está en el «Resumen Mensual»: sus horas no se agregan","")))))</f>
        <v/>
      </c>
    </row>
    <row r="247">
      <c r="A247" s="21" t="n"/>
      <c r="B247" s="22" t="n"/>
      <c r="C247" s="23" t="n"/>
      <c r="D247" s="23" t="n"/>
      <c r="E247" s="24" t="n"/>
      <c r="F247" s="8">
        <f>IF(OR($C247="",$D247=""),"",IF(OR($C247&gt;=1,$D247&gt;=1,$C247=$D247,IF($E247="",0,$E247)&gt;MOD($D247-$C247,1)*24),"",ROUND(MOD($D247-$C247,1)*24-IF($E247="",0,$E247),2)))</f>
        <v/>
      </c>
      <c r="G247" s="25" t="n">
        <v>8</v>
      </c>
      <c r="H247" s="8">
        <f>IF(OR($F247="",$G247=""),"",MAX(0,$F247-$G247))</f>
        <v/>
      </c>
      <c r="I247" s="26" t="n"/>
      <c r="J247" s="27">
        <f>IF(AND($A247="",$C247="",$D247=""),"",IF(OR($C247&gt;=1,$D247&gt;=1),"⚠ escribe la hora con dos puntos: 9:00, no 9",IF(AND($C247&lt;&gt;"",$C247=$D247),"⚠ entrada y salida iguales: la jornada no suma",IF(AND($C247&lt;&gt;"",$D247&lt;&gt;"",IF($E247="",0,$E247)&gt;MOD($D247-$C247,1)*24),"⚠ la pausa es mayor que la jornada",IF(AND($A247&lt;&gt;"",COUNTIF('Resumen Mensual'!$A$6:$A$35,$A247&amp;"")=0),"⚠ ese nombre no está en el «Resumen Mensual»: sus horas no se agregan","")))))</f>
        <v/>
      </c>
    </row>
    <row r="248">
      <c r="A248" s="21" t="n"/>
      <c r="B248" s="22" t="n"/>
      <c r="C248" s="23" t="n"/>
      <c r="D248" s="23" t="n"/>
      <c r="E248" s="24" t="n"/>
      <c r="F248" s="8">
        <f>IF(OR($C248="",$D248=""),"",IF(OR($C248&gt;=1,$D248&gt;=1,$C248=$D248,IF($E248="",0,$E248)&gt;MOD($D248-$C248,1)*24),"",ROUND(MOD($D248-$C248,1)*24-IF($E248="",0,$E248),2)))</f>
        <v/>
      </c>
      <c r="G248" s="25" t="n">
        <v>8</v>
      </c>
      <c r="H248" s="8">
        <f>IF(OR($F248="",$G248=""),"",MAX(0,$F248-$G248))</f>
        <v/>
      </c>
      <c r="I248" s="26" t="n"/>
      <c r="J248" s="27">
        <f>IF(AND($A248="",$C248="",$D248=""),"",IF(OR($C248&gt;=1,$D248&gt;=1),"⚠ escribe la hora con dos puntos: 9:00, no 9",IF(AND($C248&lt;&gt;"",$C248=$D248),"⚠ entrada y salida iguales: la jornada no suma",IF(AND($C248&lt;&gt;"",$D248&lt;&gt;"",IF($E248="",0,$E248)&gt;MOD($D248-$C248,1)*24),"⚠ la pausa es mayor que la jornada",IF(AND($A248&lt;&gt;"",COUNTIF('Resumen Mensual'!$A$6:$A$35,$A248&amp;"")=0),"⚠ ese nombre no está en el «Resumen Mensual»: sus horas no se agregan","")))))</f>
        <v/>
      </c>
    </row>
    <row r="249">
      <c r="A249" s="21" t="n"/>
      <c r="B249" s="22" t="n"/>
      <c r="C249" s="23" t="n"/>
      <c r="D249" s="23" t="n"/>
      <c r="E249" s="24" t="n"/>
      <c r="F249" s="8">
        <f>IF(OR($C249="",$D249=""),"",IF(OR($C249&gt;=1,$D249&gt;=1,$C249=$D249,IF($E249="",0,$E249)&gt;MOD($D249-$C249,1)*24),"",ROUND(MOD($D249-$C249,1)*24-IF($E249="",0,$E249),2)))</f>
        <v/>
      </c>
      <c r="G249" s="25" t="n">
        <v>8</v>
      </c>
      <c r="H249" s="8">
        <f>IF(OR($F249="",$G249=""),"",MAX(0,$F249-$G249))</f>
        <v/>
      </c>
      <c r="I249" s="26" t="n"/>
      <c r="J249" s="27">
        <f>IF(AND($A249="",$C249="",$D249=""),"",IF(OR($C249&gt;=1,$D249&gt;=1),"⚠ escribe la hora con dos puntos: 9:00, no 9",IF(AND($C249&lt;&gt;"",$C249=$D249),"⚠ entrada y salida iguales: la jornada no suma",IF(AND($C249&lt;&gt;"",$D249&lt;&gt;"",IF($E249="",0,$E249)&gt;MOD($D249-$C249,1)*24),"⚠ la pausa es mayor que la jornada",IF(AND($A249&lt;&gt;"",COUNTIF('Resumen Mensual'!$A$6:$A$35,$A249&amp;"")=0),"⚠ ese nombre no está en el «Resumen Mensual»: sus horas no se agregan","")))))</f>
        <v/>
      </c>
    </row>
    <row r="250">
      <c r="A250" s="21" t="n"/>
      <c r="B250" s="22" t="n"/>
      <c r="C250" s="23" t="n"/>
      <c r="D250" s="23" t="n"/>
      <c r="E250" s="24" t="n"/>
      <c r="F250" s="8">
        <f>IF(OR($C250="",$D250=""),"",IF(OR($C250&gt;=1,$D250&gt;=1,$C250=$D250,IF($E250="",0,$E250)&gt;MOD($D250-$C250,1)*24),"",ROUND(MOD($D250-$C250,1)*24-IF($E250="",0,$E250),2)))</f>
        <v/>
      </c>
      <c r="G250" s="25" t="n">
        <v>8</v>
      </c>
      <c r="H250" s="8">
        <f>IF(OR($F250="",$G250=""),"",MAX(0,$F250-$G250))</f>
        <v/>
      </c>
      <c r="I250" s="26" t="n"/>
      <c r="J250" s="27">
        <f>IF(AND($A250="",$C250="",$D250=""),"",IF(OR($C250&gt;=1,$D250&gt;=1),"⚠ escribe la hora con dos puntos: 9:00, no 9",IF(AND($C250&lt;&gt;"",$C250=$D250),"⚠ entrada y salida iguales: la jornada no suma",IF(AND($C250&lt;&gt;"",$D250&lt;&gt;"",IF($E250="",0,$E250)&gt;MOD($D250-$C250,1)*24),"⚠ la pausa es mayor que la jornada",IF(AND($A250&lt;&gt;"",COUNTIF('Resumen Mensual'!$A$6:$A$35,$A250&amp;"")=0),"⚠ ese nombre no está en el «Resumen Mensual»: sus horas no se agregan","")))))</f>
        <v/>
      </c>
    </row>
    <row r="251">
      <c r="A251" s="21" t="n"/>
      <c r="B251" s="22" t="n"/>
      <c r="C251" s="23" t="n"/>
      <c r="D251" s="23" t="n"/>
      <c r="E251" s="24" t="n"/>
      <c r="F251" s="8">
        <f>IF(OR($C251="",$D251=""),"",IF(OR($C251&gt;=1,$D251&gt;=1,$C251=$D251,IF($E251="",0,$E251)&gt;MOD($D251-$C251,1)*24),"",ROUND(MOD($D251-$C251,1)*24-IF($E251="",0,$E251),2)))</f>
        <v/>
      </c>
      <c r="G251" s="25" t="n">
        <v>8</v>
      </c>
      <c r="H251" s="8">
        <f>IF(OR($F251="",$G251=""),"",MAX(0,$F251-$G251))</f>
        <v/>
      </c>
      <c r="I251" s="26" t="n"/>
      <c r="J251" s="27">
        <f>IF(AND($A251="",$C251="",$D251=""),"",IF(OR($C251&gt;=1,$D251&gt;=1),"⚠ escribe la hora con dos puntos: 9:00, no 9",IF(AND($C251&lt;&gt;"",$C251=$D251),"⚠ entrada y salida iguales: la jornada no suma",IF(AND($C251&lt;&gt;"",$D251&lt;&gt;"",IF($E251="",0,$E251)&gt;MOD($D251-$C251,1)*24),"⚠ la pausa es mayor que la jornada",IF(AND($A251&lt;&gt;"",COUNTIF('Resumen Mensual'!$A$6:$A$35,$A251&amp;"")=0),"⚠ ese nombre no está en el «Resumen Mensual»: sus horas no se agregan","")))))</f>
        <v/>
      </c>
    </row>
    <row r="252">
      <c r="A252" s="21" t="n"/>
      <c r="B252" s="22" t="n"/>
      <c r="C252" s="23" t="n"/>
      <c r="D252" s="23" t="n"/>
      <c r="E252" s="24" t="n"/>
      <c r="F252" s="8">
        <f>IF(OR($C252="",$D252=""),"",IF(OR($C252&gt;=1,$D252&gt;=1,$C252=$D252,IF($E252="",0,$E252)&gt;MOD($D252-$C252,1)*24),"",ROUND(MOD($D252-$C252,1)*24-IF($E252="",0,$E252),2)))</f>
        <v/>
      </c>
      <c r="G252" s="25" t="n">
        <v>8</v>
      </c>
      <c r="H252" s="8">
        <f>IF(OR($F252="",$G252=""),"",MAX(0,$F252-$G252))</f>
        <v/>
      </c>
      <c r="I252" s="26" t="n"/>
      <c r="J252" s="27">
        <f>IF(AND($A252="",$C252="",$D252=""),"",IF(OR($C252&gt;=1,$D252&gt;=1),"⚠ escribe la hora con dos puntos: 9:00, no 9",IF(AND($C252&lt;&gt;"",$C252=$D252),"⚠ entrada y salida iguales: la jornada no suma",IF(AND($C252&lt;&gt;"",$D252&lt;&gt;"",IF($E252="",0,$E252)&gt;MOD($D252-$C252,1)*24),"⚠ la pausa es mayor que la jornada",IF(AND($A252&lt;&gt;"",COUNTIF('Resumen Mensual'!$A$6:$A$35,$A252&amp;"")=0),"⚠ ese nombre no está en el «Resumen Mensual»: sus horas no se agregan","")))))</f>
        <v/>
      </c>
    </row>
    <row r="253">
      <c r="A253" s="21" t="n"/>
      <c r="B253" s="22" t="n"/>
      <c r="C253" s="23" t="n"/>
      <c r="D253" s="23" t="n"/>
      <c r="E253" s="24" t="n"/>
      <c r="F253" s="8">
        <f>IF(OR($C253="",$D253=""),"",IF(OR($C253&gt;=1,$D253&gt;=1,$C253=$D253,IF($E253="",0,$E253)&gt;MOD($D253-$C253,1)*24),"",ROUND(MOD($D253-$C253,1)*24-IF($E253="",0,$E253),2)))</f>
        <v/>
      </c>
      <c r="G253" s="25" t="n">
        <v>8</v>
      </c>
      <c r="H253" s="8">
        <f>IF(OR($F253="",$G253=""),"",MAX(0,$F253-$G253))</f>
        <v/>
      </c>
      <c r="I253" s="26" t="n"/>
      <c r="J253" s="27">
        <f>IF(AND($A253="",$C253="",$D253=""),"",IF(OR($C253&gt;=1,$D253&gt;=1),"⚠ escribe la hora con dos puntos: 9:00, no 9",IF(AND($C253&lt;&gt;"",$C253=$D253),"⚠ entrada y salida iguales: la jornada no suma",IF(AND($C253&lt;&gt;"",$D253&lt;&gt;"",IF($E253="",0,$E253)&gt;MOD($D253-$C253,1)*24),"⚠ la pausa es mayor que la jornada",IF(AND($A253&lt;&gt;"",COUNTIF('Resumen Mensual'!$A$6:$A$35,$A253&amp;"")=0),"⚠ ese nombre no está en el «Resumen Mensual»: sus horas no se agregan","")))))</f>
        <v/>
      </c>
    </row>
    <row r="254">
      <c r="A254" s="21" t="n"/>
      <c r="B254" s="22" t="n"/>
      <c r="C254" s="23" t="n"/>
      <c r="D254" s="23" t="n"/>
      <c r="E254" s="24" t="n"/>
      <c r="F254" s="8">
        <f>IF(OR($C254="",$D254=""),"",IF(OR($C254&gt;=1,$D254&gt;=1,$C254=$D254,IF($E254="",0,$E254)&gt;MOD($D254-$C254,1)*24),"",ROUND(MOD($D254-$C254,1)*24-IF($E254="",0,$E254),2)))</f>
        <v/>
      </c>
      <c r="G254" s="25" t="n">
        <v>8</v>
      </c>
      <c r="H254" s="8">
        <f>IF(OR($F254="",$G254=""),"",MAX(0,$F254-$G254))</f>
        <v/>
      </c>
      <c r="I254" s="26" t="n"/>
      <c r="J254" s="27">
        <f>IF(AND($A254="",$C254="",$D254=""),"",IF(OR($C254&gt;=1,$D254&gt;=1),"⚠ escribe la hora con dos puntos: 9:00, no 9",IF(AND($C254&lt;&gt;"",$C254=$D254),"⚠ entrada y salida iguales: la jornada no suma",IF(AND($C254&lt;&gt;"",$D254&lt;&gt;"",IF($E254="",0,$E254)&gt;MOD($D254-$C254,1)*24),"⚠ la pausa es mayor que la jornada",IF(AND($A254&lt;&gt;"",COUNTIF('Resumen Mensual'!$A$6:$A$35,$A254&amp;"")=0),"⚠ ese nombre no está en el «Resumen Mensual»: sus horas no se agregan","")))))</f>
        <v/>
      </c>
    </row>
    <row r="255">
      <c r="A255" s="21" t="n"/>
      <c r="B255" s="22" t="n"/>
      <c r="C255" s="23" t="n"/>
      <c r="D255" s="23" t="n"/>
      <c r="E255" s="24" t="n"/>
      <c r="F255" s="8">
        <f>IF(OR($C255="",$D255=""),"",IF(OR($C255&gt;=1,$D255&gt;=1,$C255=$D255,IF($E255="",0,$E255)&gt;MOD($D255-$C255,1)*24),"",ROUND(MOD($D255-$C255,1)*24-IF($E255="",0,$E255),2)))</f>
        <v/>
      </c>
      <c r="G255" s="25" t="n">
        <v>8</v>
      </c>
      <c r="H255" s="8">
        <f>IF(OR($F255="",$G255=""),"",MAX(0,$F255-$G255))</f>
        <v/>
      </c>
      <c r="I255" s="26" t="n"/>
      <c r="J255" s="27">
        <f>IF(AND($A255="",$C255="",$D255=""),"",IF(OR($C255&gt;=1,$D255&gt;=1),"⚠ escribe la hora con dos puntos: 9:00, no 9",IF(AND($C255&lt;&gt;"",$C255=$D255),"⚠ entrada y salida iguales: la jornada no suma",IF(AND($C255&lt;&gt;"",$D255&lt;&gt;"",IF($E255="",0,$E255)&gt;MOD($D255-$C255,1)*24),"⚠ la pausa es mayor que la jornada",IF(AND($A255&lt;&gt;"",COUNTIF('Resumen Mensual'!$A$6:$A$35,$A255&amp;"")=0),"⚠ ese nombre no está en el «Resumen Mensual»: sus horas no se agregan","")))))</f>
        <v/>
      </c>
    </row>
    <row r="256">
      <c r="A256" s="21" t="n"/>
      <c r="B256" s="22" t="n"/>
      <c r="C256" s="23" t="n"/>
      <c r="D256" s="23" t="n"/>
      <c r="E256" s="24" t="n"/>
      <c r="F256" s="8">
        <f>IF(OR($C256="",$D256=""),"",IF(OR($C256&gt;=1,$D256&gt;=1,$C256=$D256,IF($E256="",0,$E256)&gt;MOD($D256-$C256,1)*24),"",ROUND(MOD($D256-$C256,1)*24-IF($E256="",0,$E256),2)))</f>
        <v/>
      </c>
      <c r="G256" s="25" t="n">
        <v>8</v>
      </c>
      <c r="H256" s="8">
        <f>IF(OR($F256="",$G256=""),"",MAX(0,$F256-$G256))</f>
        <v/>
      </c>
      <c r="I256" s="26" t="n"/>
      <c r="J256" s="27">
        <f>IF(AND($A256="",$C256="",$D256=""),"",IF(OR($C256&gt;=1,$D256&gt;=1),"⚠ escribe la hora con dos puntos: 9:00, no 9",IF(AND($C256&lt;&gt;"",$C256=$D256),"⚠ entrada y salida iguales: la jornada no suma",IF(AND($C256&lt;&gt;"",$D256&lt;&gt;"",IF($E256="",0,$E256)&gt;MOD($D256-$C256,1)*24),"⚠ la pausa es mayor que la jornada",IF(AND($A256&lt;&gt;"",COUNTIF('Resumen Mensual'!$A$6:$A$35,$A256&amp;"")=0),"⚠ ese nombre no está en el «Resumen Mensual»: sus horas no se agregan","")))))</f>
        <v/>
      </c>
    </row>
    <row r="257">
      <c r="A257" s="21" t="n"/>
      <c r="B257" s="22" t="n"/>
      <c r="C257" s="23" t="n"/>
      <c r="D257" s="23" t="n"/>
      <c r="E257" s="24" t="n"/>
      <c r="F257" s="8">
        <f>IF(OR($C257="",$D257=""),"",IF(OR($C257&gt;=1,$D257&gt;=1,$C257=$D257,IF($E257="",0,$E257)&gt;MOD($D257-$C257,1)*24),"",ROUND(MOD($D257-$C257,1)*24-IF($E257="",0,$E257),2)))</f>
        <v/>
      </c>
      <c r="G257" s="25" t="n">
        <v>8</v>
      </c>
      <c r="H257" s="8">
        <f>IF(OR($F257="",$G257=""),"",MAX(0,$F257-$G257))</f>
        <v/>
      </c>
      <c r="I257" s="26" t="n"/>
      <c r="J257" s="27">
        <f>IF(AND($A257="",$C257="",$D257=""),"",IF(OR($C257&gt;=1,$D257&gt;=1),"⚠ escribe la hora con dos puntos: 9:00, no 9",IF(AND($C257&lt;&gt;"",$C257=$D257),"⚠ entrada y salida iguales: la jornada no suma",IF(AND($C257&lt;&gt;"",$D257&lt;&gt;"",IF($E257="",0,$E257)&gt;MOD($D257-$C257,1)*24),"⚠ la pausa es mayor que la jornada",IF(AND($A257&lt;&gt;"",COUNTIF('Resumen Mensual'!$A$6:$A$35,$A257&amp;"")=0),"⚠ ese nombre no está en el «Resumen Mensual»: sus horas no se agregan","")))))</f>
        <v/>
      </c>
    </row>
    <row r="258">
      <c r="A258" s="21" t="n"/>
      <c r="B258" s="22" t="n"/>
      <c r="C258" s="23" t="n"/>
      <c r="D258" s="23" t="n"/>
      <c r="E258" s="24" t="n"/>
      <c r="F258" s="8">
        <f>IF(OR($C258="",$D258=""),"",IF(OR($C258&gt;=1,$D258&gt;=1,$C258=$D258,IF($E258="",0,$E258)&gt;MOD($D258-$C258,1)*24),"",ROUND(MOD($D258-$C258,1)*24-IF($E258="",0,$E258),2)))</f>
        <v/>
      </c>
      <c r="G258" s="25" t="n">
        <v>8</v>
      </c>
      <c r="H258" s="8">
        <f>IF(OR($F258="",$G258=""),"",MAX(0,$F258-$G258))</f>
        <v/>
      </c>
      <c r="I258" s="26" t="n"/>
      <c r="J258" s="27">
        <f>IF(AND($A258="",$C258="",$D258=""),"",IF(OR($C258&gt;=1,$D258&gt;=1),"⚠ escribe la hora con dos puntos: 9:00, no 9",IF(AND($C258&lt;&gt;"",$C258=$D258),"⚠ entrada y salida iguales: la jornada no suma",IF(AND($C258&lt;&gt;"",$D258&lt;&gt;"",IF($E258="",0,$E258)&gt;MOD($D258-$C258,1)*24),"⚠ la pausa es mayor que la jornada",IF(AND($A258&lt;&gt;"",COUNTIF('Resumen Mensual'!$A$6:$A$35,$A258&amp;"")=0),"⚠ ese nombre no está en el «Resumen Mensual»: sus horas no se agregan","")))))</f>
        <v/>
      </c>
    </row>
    <row r="259">
      <c r="A259" s="21" t="n"/>
      <c r="B259" s="22" t="n"/>
      <c r="C259" s="23" t="n"/>
      <c r="D259" s="23" t="n"/>
      <c r="E259" s="24" t="n"/>
      <c r="F259" s="8">
        <f>IF(OR($C259="",$D259=""),"",IF(OR($C259&gt;=1,$D259&gt;=1,$C259=$D259,IF($E259="",0,$E259)&gt;MOD($D259-$C259,1)*24),"",ROUND(MOD($D259-$C259,1)*24-IF($E259="",0,$E259),2)))</f>
        <v/>
      </c>
      <c r="G259" s="25" t="n">
        <v>8</v>
      </c>
      <c r="H259" s="8">
        <f>IF(OR($F259="",$G259=""),"",MAX(0,$F259-$G259))</f>
        <v/>
      </c>
      <c r="I259" s="26" t="n"/>
      <c r="J259" s="27">
        <f>IF(AND($A259="",$C259="",$D259=""),"",IF(OR($C259&gt;=1,$D259&gt;=1),"⚠ escribe la hora con dos puntos: 9:00, no 9",IF(AND($C259&lt;&gt;"",$C259=$D259),"⚠ entrada y salida iguales: la jornada no suma",IF(AND($C259&lt;&gt;"",$D259&lt;&gt;"",IF($E259="",0,$E259)&gt;MOD($D259-$C259,1)*24),"⚠ la pausa es mayor que la jornada",IF(AND($A259&lt;&gt;"",COUNTIF('Resumen Mensual'!$A$6:$A$35,$A259&amp;"")=0),"⚠ ese nombre no está en el «Resumen Mensual»: sus horas no se agregan","")))))</f>
        <v/>
      </c>
    </row>
    <row r="260">
      <c r="A260" s="21" t="n"/>
      <c r="B260" s="22" t="n"/>
      <c r="C260" s="23" t="n"/>
      <c r="D260" s="23" t="n"/>
      <c r="E260" s="24" t="n"/>
      <c r="F260" s="8">
        <f>IF(OR($C260="",$D260=""),"",IF(OR($C260&gt;=1,$D260&gt;=1,$C260=$D260,IF($E260="",0,$E260)&gt;MOD($D260-$C260,1)*24),"",ROUND(MOD($D260-$C260,1)*24-IF($E260="",0,$E260),2)))</f>
        <v/>
      </c>
      <c r="G260" s="25" t="n">
        <v>8</v>
      </c>
      <c r="H260" s="8">
        <f>IF(OR($F260="",$G260=""),"",MAX(0,$F260-$G260))</f>
        <v/>
      </c>
      <c r="I260" s="26" t="n"/>
      <c r="J260" s="27">
        <f>IF(AND($A260="",$C260="",$D260=""),"",IF(OR($C260&gt;=1,$D260&gt;=1),"⚠ escribe la hora con dos puntos: 9:00, no 9",IF(AND($C260&lt;&gt;"",$C260=$D260),"⚠ entrada y salida iguales: la jornada no suma",IF(AND($C260&lt;&gt;"",$D260&lt;&gt;"",IF($E260="",0,$E260)&gt;MOD($D260-$C260,1)*24),"⚠ la pausa es mayor que la jornada",IF(AND($A260&lt;&gt;"",COUNTIF('Resumen Mensual'!$A$6:$A$35,$A260&amp;"")=0),"⚠ ese nombre no está en el «Resumen Mensual»: sus horas no se agregan","")))))</f>
        <v/>
      </c>
    </row>
    <row r="261">
      <c r="A261" s="21" t="n"/>
      <c r="B261" s="22" t="n"/>
      <c r="C261" s="23" t="n"/>
      <c r="D261" s="23" t="n"/>
      <c r="E261" s="24" t="n"/>
      <c r="F261" s="8">
        <f>IF(OR($C261="",$D261=""),"",IF(OR($C261&gt;=1,$D261&gt;=1,$C261=$D261,IF($E261="",0,$E261)&gt;MOD($D261-$C261,1)*24),"",ROUND(MOD($D261-$C261,1)*24-IF($E261="",0,$E261),2)))</f>
        <v/>
      </c>
      <c r="G261" s="25" t="n">
        <v>8</v>
      </c>
      <c r="H261" s="8">
        <f>IF(OR($F261="",$G261=""),"",MAX(0,$F261-$G261))</f>
        <v/>
      </c>
      <c r="I261" s="26" t="n"/>
      <c r="J261" s="27">
        <f>IF(AND($A261="",$C261="",$D261=""),"",IF(OR($C261&gt;=1,$D261&gt;=1),"⚠ escribe la hora con dos puntos: 9:00, no 9",IF(AND($C261&lt;&gt;"",$C261=$D261),"⚠ entrada y salida iguales: la jornada no suma",IF(AND($C261&lt;&gt;"",$D261&lt;&gt;"",IF($E261="",0,$E261)&gt;MOD($D261-$C261,1)*24),"⚠ la pausa es mayor que la jornada",IF(AND($A261&lt;&gt;"",COUNTIF('Resumen Mensual'!$A$6:$A$35,$A261&amp;"")=0),"⚠ ese nombre no está en el «Resumen Mensual»: sus horas no se agregan","")))))</f>
        <v/>
      </c>
    </row>
    <row r="262">
      <c r="A262" s="21" t="n"/>
      <c r="B262" s="22" t="n"/>
      <c r="C262" s="23" t="n"/>
      <c r="D262" s="23" t="n"/>
      <c r="E262" s="24" t="n"/>
      <c r="F262" s="8">
        <f>IF(OR($C262="",$D262=""),"",IF(OR($C262&gt;=1,$D262&gt;=1,$C262=$D262,IF($E262="",0,$E262)&gt;MOD($D262-$C262,1)*24),"",ROUND(MOD($D262-$C262,1)*24-IF($E262="",0,$E262),2)))</f>
        <v/>
      </c>
      <c r="G262" s="25" t="n">
        <v>8</v>
      </c>
      <c r="H262" s="8">
        <f>IF(OR($F262="",$G262=""),"",MAX(0,$F262-$G262))</f>
        <v/>
      </c>
      <c r="I262" s="26" t="n"/>
      <c r="J262" s="27">
        <f>IF(AND($A262="",$C262="",$D262=""),"",IF(OR($C262&gt;=1,$D262&gt;=1),"⚠ escribe la hora con dos puntos: 9:00, no 9",IF(AND($C262&lt;&gt;"",$C262=$D262),"⚠ entrada y salida iguales: la jornada no suma",IF(AND($C262&lt;&gt;"",$D262&lt;&gt;"",IF($E262="",0,$E262)&gt;MOD($D262-$C262,1)*24),"⚠ la pausa es mayor que la jornada",IF(AND($A262&lt;&gt;"",COUNTIF('Resumen Mensual'!$A$6:$A$35,$A262&amp;"")=0),"⚠ ese nombre no está en el «Resumen Mensual»: sus horas no se agregan","")))))</f>
        <v/>
      </c>
    </row>
    <row r="263">
      <c r="A263" s="21" t="n"/>
      <c r="B263" s="22" t="n"/>
      <c r="C263" s="23" t="n"/>
      <c r="D263" s="23" t="n"/>
      <c r="E263" s="24" t="n"/>
      <c r="F263" s="8">
        <f>IF(OR($C263="",$D263=""),"",IF(OR($C263&gt;=1,$D263&gt;=1,$C263=$D263,IF($E263="",0,$E263)&gt;MOD($D263-$C263,1)*24),"",ROUND(MOD($D263-$C263,1)*24-IF($E263="",0,$E263),2)))</f>
        <v/>
      </c>
      <c r="G263" s="25" t="n">
        <v>8</v>
      </c>
      <c r="H263" s="8">
        <f>IF(OR($F263="",$G263=""),"",MAX(0,$F263-$G263))</f>
        <v/>
      </c>
      <c r="I263" s="26" t="n"/>
      <c r="J263" s="27">
        <f>IF(AND($A263="",$C263="",$D263=""),"",IF(OR($C263&gt;=1,$D263&gt;=1),"⚠ escribe la hora con dos puntos: 9:00, no 9",IF(AND($C263&lt;&gt;"",$C263=$D263),"⚠ entrada y salida iguales: la jornada no suma",IF(AND($C263&lt;&gt;"",$D263&lt;&gt;"",IF($E263="",0,$E263)&gt;MOD($D263-$C263,1)*24),"⚠ la pausa es mayor que la jornada",IF(AND($A263&lt;&gt;"",COUNTIF('Resumen Mensual'!$A$6:$A$35,$A263&amp;"")=0),"⚠ ese nombre no está en el «Resumen Mensual»: sus horas no se agregan","")))))</f>
        <v/>
      </c>
    </row>
    <row r="264">
      <c r="A264" s="21" t="n"/>
      <c r="B264" s="22" t="n"/>
      <c r="C264" s="23" t="n"/>
      <c r="D264" s="23" t="n"/>
      <c r="E264" s="24" t="n"/>
      <c r="F264" s="8">
        <f>IF(OR($C264="",$D264=""),"",IF(OR($C264&gt;=1,$D264&gt;=1,$C264=$D264,IF($E264="",0,$E264)&gt;MOD($D264-$C264,1)*24),"",ROUND(MOD($D264-$C264,1)*24-IF($E264="",0,$E264),2)))</f>
        <v/>
      </c>
      <c r="G264" s="25" t="n">
        <v>8</v>
      </c>
      <c r="H264" s="8">
        <f>IF(OR($F264="",$G264=""),"",MAX(0,$F264-$G264))</f>
        <v/>
      </c>
      <c r="I264" s="26" t="n"/>
      <c r="J264" s="27">
        <f>IF(AND($A264="",$C264="",$D264=""),"",IF(OR($C264&gt;=1,$D264&gt;=1),"⚠ escribe la hora con dos puntos: 9:00, no 9",IF(AND($C264&lt;&gt;"",$C264=$D264),"⚠ entrada y salida iguales: la jornada no suma",IF(AND($C264&lt;&gt;"",$D264&lt;&gt;"",IF($E264="",0,$E264)&gt;MOD($D264-$C264,1)*24),"⚠ la pausa es mayor que la jornada",IF(AND($A264&lt;&gt;"",COUNTIF('Resumen Mensual'!$A$6:$A$35,$A264&amp;"")=0),"⚠ ese nombre no está en el «Resumen Mensual»: sus horas no se agregan","")))))</f>
        <v/>
      </c>
    </row>
    <row r="265">
      <c r="A265" s="21" t="n"/>
      <c r="B265" s="22" t="n"/>
      <c r="C265" s="23" t="n"/>
      <c r="D265" s="23" t="n"/>
      <c r="E265" s="24" t="n"/>
      <c r="F265" s="8">
        <f>IF(OR($C265="",$D265=""),"",IF(OR($C265&gt;=1,$D265&gt;=1,$C265=$D265,IF($E265="",0,$E265)&gt;MOD($D265-$C265,1)*24),"",ROUND(MOD($D265-$C265,1)*24-IF($E265="",0,$E265),2)))</f>
        <v/>
      </c>
      <c r="G265" s="25" t="n">
        <v>8</v>
      </c>
      <c r="H265" s="8">
        <f>IF(OR($F265="",$G265=""),"",MAX(0,$F265-$G265))</f>
        <v/>
      </c>
      <c r="I265" s="26" t="n"/>
      <c r="J265" s="27">
        <f>IF(AND($A265="",$C265="",$D265=""),"",IF(OR($C265&gt;=1,$D265&gt;=1),"⚠ escribe la hora con dos puntos: 9:00, no 9",IF(AND($C265&lt;&gt;"",$C265=$D265),"⚠ entrada y salida iguales: la jornada no suma",IF(AND($C265&lt;&gt;"",$D265&lt;&gt;"",IF($E265="",0,$E265)&gt;MOD($D265-$C265,1)*24),"⚠ la pausa es mayor que la jornada",IF(AND($A265&lt;&gt;"",COUNTIF('Resumen Mensual'!$A$6:$A$35,$A265&amp;"")=0),"⚠ ese nombre no está en el «Resumen Mensual»: sus horas no se agregan","")))))</f>
        <v/>
      </c>
    </row>
    <row r="266">
      <c r="A266" s="21" t="n"/>
      <c r="B266" s="22" t="n"/>
      <c r="C266" s="23" t="n"/>
      <c r="D266" s="23" t="n"/>
      <c r="E266" s="24" t="n"/>
      <c r="F266" s="8">
        <f>IF(OR($C266="",$D266=""),"",IF(OR($C266&gt;=1,$D266&gt;=1,$C266=$D266,IF($E266="",0,$E266)&gt;MOD($D266-$C266,1)*24),"",ROUND(MOD($D266-$C266,1)*24-IF($E266="",0,$E266),2)))</f>
        <v/>
      </c>
      <c r="G266" s="25" t="n">
        <v>8</v>
      </c>
      <c r="H266" s="8">
        <f>IF(OR($F266="",$G266=""),"",MAX(0,$F266-$G266))</f>
        <v/>
      </c>
      <c r="I266" s="26" t="n"/>
      <c r="J266" s="27">
        <f>IF(AND($A266="",$C266="",$D266=""),"",IF(OR($C266&gt;=1,$D266&gt;=1),"⚠ escribe la hora con dos puntos: 9:00, no 9",IF(AND($C266&lt;&gt;"",$C266=$D266),"⚠ entrada y salida iguales: la jornada no suma",IF(AND($C266&lt;&gt;"",$D266&lt;&gt;"",IF($E266="",0,$E266)&gt;MOD($D266-$C266,1)*24),"⚠ la pausa es mayor que la jornada",IF(AND($A266&lt;&gt;"",COUNTIF('Resumen Mensual'!$A$6:$A$35,$A266&amp;"")=0),"⚠ ese nombre no está en el «Resumen Mensual»: sus horas no se agregan","")))))</f>
        <v/>
      </c>
    </row>
    <row r="267">
      <c r="A267" s="21" t="n"/>
      <c r="B267" s="22" t="n"/>
      <c r="C267" s="23" t="n"/>
      <c r="D267" s="23" t="n"/>
      <c r="E267" s="24" t="n"/>
      <c r="F267" s="8">
        <f>IF(OR($C267="",$D267=""),"",IF(OR($C267&gt;=1,$D267&gt;=1,$C267=$D267,IF($E267="",0,$E267)&gt;MOD($D267-$C267,1)*24),"",ROUND(MOD($D267-$C267,1)*24-IF($E267="",0,$E267),2)))</f>
        <v/>
      </c>
      <c r="G267" s="25" t="n">
        <v>8</v>
      </c>
      <c r="H267" s="8">
        <f>IF(OR($F267="",$G267=""),"",MAX(0,$F267-$G267))</f>
        <v/>
      </c>
      <c r="I267" s="26" t="n"/>
      <c r="J267" s="27">
        <f>IF(AND($A267="",$C267="",$D267=""),"",IF(OR($C267&gt;=1,$D267&gt;=1),"⚠ escribe la hora con dos puntos: 9:00, no 9",IF(AND($C267&lt;&gt;"",$C267=$D267),"⚠ entrada y salida iguales: la jornada no suma",IF(AND($C267&lt;&gt;"",$D267&lt;&gt;"",IF($E267="",0,$E267)&gt;MOD($D267-$C267,1)*24),"⚠ la pausa es mayor que la jornada",IF(AND($A267&lt;&gt;"",COUNTIF('Resumen Mensual'!$A$6:$A$35,$A267&amp;"")=0),"⚠ ese nombre no está en el «Resumen Mensual»: sus horas no se agregan","")))))</f>
        <v/>
      </c>
    </row>
    <row r="268">
      <c r="A268" s="21" t="n"/>
      <c r="B268" s="22" t="n"/>
      <c r="C268" s="23" t="n"/>
      <c r="D268" s="23" t="n"/>
      <c r="E268" s="24" t="n"/>
      <c r="F268" s="8">
        <f>IF(OR($C268="",$D268=""),"",IF(OR($C268&gt;=1,$D268&gt;=1,$C268=$D268,IF($E268="",0,$E268)&gt;MOD($D268-$C268,1)*24),"",ROUND(MOD($D268-$C268,1)*24-IF($E268="",0,$E268),2)))</f>
        <v/>
      </c>
      <c r="G268" s="25" t="n">
        <v>8</v>
      </c>
      <c r="H268" s="8">
        <f>IF(OR($F268="",$G268=""),"",MAX(0,$F268-$G268))</f>
        <v/>
      </c>
      <c r="I268" s="26" t="n"/>
      <c r="J268" s="27">
        <f>IF(AND($A268="",$C268="",$D268=""),"",IF(OR($C268&gt;=1,$D268&gt;=1),"⚠ escribe la hora con dos puntos: 9:00, no 9",IF(AND($C268&lt;&gt;"",$C268=$D268),"⚠ entrada y salida iguales: la jornada no suma",IF(AND($C268&lt;&gt;"",$D268&lt;&gt;"",IF($E268="",0,$E268)&gt;MOD($D268-$C268,1)*24),"⚠ la pausa es mayor que la jornada",IF(AND($A268&lt;&gt;"",COUNTIF('Resumen Mensual'!$A$6:$A$35,$A268&amp;"")=0),"⚠ ese nombre no está en el «Resumen Mensual»: sus horas no se agregan","")))))</f>
        <v/>
      </c>
    </row>
    <row r="269">
      <c r="A269" s="21" t="n"/>
      <c r="B269" s="22" t="n"/>
      <c r="C269" s="23" t="n"/>
      <c r="D269" s="23" t="n"/>
      <c r="E269" s="24" t="n"/>
      <c r="F269" s="8">
        <f>IF(OR($C269="",$D269=""),"",IF(OR($C269&gt;=1,$D269&gt;=1,$C269=$D269,IF($E269="",0,$E269)&gt;MOD($D269-$C269,1)*24),"",ROUND(MOD($D269-$C269,1)*24-IF($E269="",0,$E269),2)))</f>
        <v/>
      </c>
      <c r="G269" s="25" t="n">
        <v>8</v>
      </c>
      <c r="H269" s="8">
        <f>IF(OR($F269="",$G269=""),"",MAX(0,$F269-$G269))</f>
        <v/>
      </c>
      <c r="I269" s="26" t="n"/>
      <c r="J269" s="27">
        <f>IF(AND($A269="",$C269="",$D269=""),"",IF(OR($C269&gt;=1,$D269&gt;=1),"⚠ escribe la hora con dos puntos: 9:00, no 9",IF(AND($C269&lt;&gt;"",$C269=$D269),"⚠ entrada y salida iguales: la jornada no suma",IF(AND($C269&lt;&gt;"",$D269&lt;&gt;"",IF($E269="",0,$E269)&gt;MOD($D269-$C269,1)*24),"⚠ la pausa es mayor que la jornada",IF(AND($A269&lt;&gt;"",COUNTIF('Resumen Mensual'!$A$6:$A$35,$A269&amp;"")=0),"⚠ ese nombre no está en el «Resumen Mensual»: sus horas no se agregan","")))))</f>
        <v/>
      </c>
    </row>
    <row r="270">
      <c r="A270" s="21" t="n"/>
      <c r="B270" s="22" t="n"/>
      <c r="C270" s="23" t="n"/>
      <c r="D270" s="23" t="n"/>
      <c r="E270" s="24" t="n"/>
      <c r="F270" s="8">
        <f>IF(OR($C270="",$D270=""),"",IF(OR($C270&gt;=1,$D270&gt;=1,$C270=$D270,IF($E270="",0,$E270)&gt;MOD($D270-$C270,1)*24),"",ROUND(MOD($D270-$C270,1)*24-IF($E270="",0,$E270),2)))</f>
        <v/>
      </c>
      <c r="G270" s="25" t="n">
        <v>8</v>
      </c>
      <c r="H270" s="8">
        <f>IF(OR($F270="",$G270=""),"",MAX(0,$F270-$G270))</f>
        <v/>
      </c>
      <c r="I270" s="26" t="n"/>
      <c r="J270" s="27">
        <f>IF(AND($A270="",$C270="",$D270=""),"",IF(OR($C270&gt;=1,$D270&gt;=1),"⚠ escribe la hora con dos puntos: 9:00, no 9",IF(AND($C270&lt;&gt;"",$C270=$D270),"⚠ entrada y salida iguales: la jornada no suma",IF(AND($C270&lt;&gt;"",$D270&lt;&gt;"",IF($E270="",0,$E270)&gt;MOD($D270-$C270,1)*24),"⚠ la pausa es mayor que la jornada",IF(AND($A270&lt;&gt;"",COUNTIF('Resumen Mensual'!$A$6:$A$35,$A270&amp;"")=0),"⚠ ese nombre no está en el «Resumen Mensual»: sus horas no se agregan","")))))</f>
        <v/>
      </c>
    </row>
    <row r="271">
      <c r="A271" s="21" t="n"/>
      <c r="B271" s="22" t="n"/>
      <c r="C271" s="23" t="n"/>
      <c r="D271" s="23" t="n"/>
      <c r="E271" s="24" t="n"/>
      <c r="F271" s="8">
        <f>IF(OR($C271="",$D271=""),"",IF(OR($C271&gt;=1,$D271&gt;=1,$C271=$D271,IF($E271="",0,$E271)&gt;MOD($D271-$C271,1)*24),"",ROUND(MOD($D271-$C271,1)*24-IF($E271="",0,$E271),2)))</f>
        <v/>
      </c>
      <c r="G271" s="25" t="n">
        <v>8</v>
      </c>
      <c r="H271" s="8">
        <f>IF(OR($F271="",$G271=""),"",MAX(0,$F271-$G271))</f>
        <v/>
      </c>
      <c r="I271" s="26" t="n"/>
      <c r="J271" s="27">
        <f>IF(AND($A271="",$C271="",$D271=""),"",IF(OR($C271&gt;=1,$D271&gt;=1),"⚠ escribe la hora con dos puntos: 9:00, no 9",IF(AND($C271&lt;&gt;"",$C271=$D271),"⚠ entrada y salida iguales: la jornada no suma",IF(AND($C271&lt;&gt;"",$D271&lt;&gt;"",IF($E271="",0,$E271)&gt;MOD($D271-$C271,1)*24),"⚠ la pausa es mayor que la jornada",IF(AND($A271&lt;&gt;"",COUNTIF('Resumen Mensual'!$A$6:$A$35,$A271&amp;"")=0),"⚠ ese nombre no está en el «Resumen Mensual»: sus horas no se agregan","")))))</f>
        <v/>
      </c>
    </row>
    <row r="272">
      <c r="A272" s="21" t="n"/>
      <c r="B272" s="22" t="n"/>
      <c r="C272" s="23" t="n"/>
      <c r="D272" s="23" t="n"/>
      <c r="E272" s="24" t="n"/>
      <c r="F272" s="8">
        <f>IF(OR($C272="",$D272=""),"",IF(OR($C272&gt;=1,$D272&gt;=1,$C272=$D272,IF($E272="",0,$E272)&gt;MOD($D272-$C272,1)*24),"",ROUND(MOD($D272-$C272,1)*24-IF($E272="",0,$E272),2)))</f>
        <v/>
      </c>
      <c r="G272" s="25" t="n">
        <v>8</v>
      </c>
      <c r="H272" s="8">
        <f>IF(OR($F272="",$G272=""),"",MAX(0,$F272-$G272))</f>
        <v/>
      </c>
      <c r="I272" s="26" t="n"/>
      <c r="J272" s="27">
        <f>IF(AND($A272="",$C272="",$D272=""),"",IF(OR($C272&gt;=1,$D272&gt;=1),"⚠ escribe la hora con dos puntos: 9:00, no 9",IF(AND($C272&lt;&gt;"",$C272=$D272),"⚠ entrada y salida iguales: la jornada no suma",IF(AND($C272&lt;&gt;"",$D272&lt;&gt;"",IF($E272="",0,$E272)&gt;MOD($D272-$C272,1)*24),"⚠ la pausa es mayor que la jornada",IF(AND($A272&lt;&gt;"",COUNTIF('Resumen Mensual'!$A$6:$A$35,$A272&amp;"")=0),"⚠ ese nombre no está en el «Resumen Mensual»: sus horas no se agregan","")))))</f>
        <v/>
      </c>
    </row>
    <row r="273">
      <c r="A273" s="21" t="n"/>
      <c r="B273" s="22" t="n"/>
      <c r="C273" s="23" t="n"/>
      <c r="D273" s="23" t="n"/>
      <c r="E273" s="24" t="n"/>
      <c r="F273" s="8">
        <f>IF(OR($C273="",$D273=""),"",IF(OR($C273&gt;=1,$D273&gt;=1,$C273=$D273,IF($E273="",0,$E273)&gt;MOD($D273-$C273,1)*24),"",ROUND(MOD($D273-$C273,1)*24-IF($E273="",0,$E273),2)))</f>
        <v/>
      </c>
      <c r="G273" s="25" t="n">
        <v>8</v>
      </c>
      <c r="H273" s="8">
        <f>IF(OR($F273="",$G273=""),"",MAX(0,$F273-$G273))</f>
        <v/>
      </c>
      <c r="I273" s="26" t="n"/>
      <c r="J273" s="27">
        <f>IF(AND($A273="",$C273="",$D273=""),"",IF(OR($C273&gt;=1,$D273&gt;=1),"⚠ escribe la hora con dos puntos: 9:00, no 9",IF(AND($C273&lt;&gt;"",$C273=$D273),"⚠ entrada y salida iguales: la jornada no suma",IF(AND($C273&lt;&gt;"",$D273&lt;&gt;"",IF($E273="",0,$E273)&gt;MOD($D273-$C273,1)*24),"⚠ la pausa es mayor que la jornada",IF(AND($A273&lt;&gt;"",COUNTIF('Resumen Mensual'!$A$6:$A$35,$A273&amp;"")=0),"⚠ ese nombre no está en el «Resumen Mensual»: sus horas no se agregan","")))))</f>
        <v/>
      </c>
    </row>
    <row r="274">
      <c r="A274" s="21" t="n"/>
      <c r="B274" s="22" t="n"/>
      <c r="C274" s="23" t="n"/>
      <c r="D274" s="23" t="n"/>
      <c r="E274" s="24" t="n"/>
      <c r="F274" s="8">
        <f>IF(OR($C274="",$D274=""),"",IF(OR($C274&gt;=1,$D274&gt;=1,$C274=$D274,IF($E274="",0,$E274)&gt;MOD($D274-$C274,1)*24),"",ROUND(MOD($D274-$C274,1)*24-IF($E274="",0,$E274),2)))</f>
        <v/>
      </c>
      <c r="G274" s="25" t="n">
        <v>8</v>
      </c>
      <c r="H274" s="8">
        <f>IF(OR($F274="",$G274=""),"",MAX(0,$F274-$G274))</f>
        <v/>
      </c>
      <c r="I274" s="26" t="n"/>
      <c r="J274" s="27">
        <f>IF(AND($A274="",$C274="",$D274=""),"",IF(OR($C274&gt;=1,$D274&gt;=1),"⚠ escribe la hora con dos puntos: 9:00, no 9",IF(AND($C274&lt;&gt;"",$C274=$D274),"⚠ entrada y salida iguales: la jornada no suma",IF(AND($C274&lt;&gt;"",$D274&lt;&gt;"",IF($E274="",0,$E274)&gt;MOD($D274-$C274,1)*24),"⚠ la pausa es mayor que la jornada",IF(AND($A274&lt;&gt;"",COUNTIF('Resumen Mensual'!$A$6:$A$35,$A274&amp;"")=0),"⚠ ese nombre no está en el «Resumen Mensual»: sus horas no se agregan","")))))</f>
        <v/>
      </c>
    </row>
    <row r="275">
      <c r="A275" s="21" t="n"/>
      <c r="B275" s="22" t="n"/>
      <c r="C275" s="23" t="n"/>
      <c r="D275" s="23" t="n"/>
      <c r="E275" s="24" t="n"/>
      <c r="F275" s="8">
        <f>IF(OR($C275="",$D275=""),"",IF(OR($C275&gt;=1,$D275&gt;=1,$C275=$D275,IF($E275="",0,$E275)&gt;MOD($D275-$C275,1)*24),"",ROUND(MOD($D275-$C275,1)*24-IF($E275="",0,$E275),2)))</f>
        <v/>
      </c>
      <c r="G275" s="25" t="n">
        <v>8</v>
      </c>
      <c r="H275" s="8">
        <f>IF(OR($F275="",$G275=""),"",MAX(0,$F275-$G275))</f>
        <v/>
      </c>
      <c r="I275" s="26" t="n"/>
      <c r="J275" s="27">
        <f>IF(AND($A275="",$C275="",$D275=""),"",IF(OR($C275&gt;=1,$D275&gt;=1),"⚠ escribe la hora con dos puntos: 9:00, no 9",IF(AND($C275&lt;&gt;"",$C275=$D275),"⚠ entrada y salida iguales: la jornada no suma",IF(AND($C275&lt;&gt;"",$D275&lt;&gt;"",IF($E275="",0,$E275)&gt;MOD($D275-$C275,1)*24),"⚠ la pausa es mayor que la jornada",IF(AND($A275&lt;&gt;"",COUNTIF('Resumen Mensual'!$A$6:$A$35,$A275&amp;"")=0),"⚠ ese nombre no está en el «Resumen Mensual»: sus horas no se agregan","")))))</f>
        <v/>
      </c>
    </row>
    <row r="276">
      <c r="A276" s="21" t="n"/>
      <c r="B276" s="22" t="n"/>
      <c r="C276" s="23" t="n"/>
      <c r="D276" s="23" t="n"/>
      <c r="E276" s="24" t="n"/>
      <c r="F276" s="8">
        <f>IF(OR($C276="",$D276=""),"",IF(OR($C276&gt;=1,$D276&gt;=1,$C276=$D276,IF($E276="",0,$E276)&gt;MOD($D276-$C276,1)*24),"",ROUND(MOD($D276-$C276,1)*24-IF($E276="",0,$E276),2)))</f>
        <v/>
      </c>
      <c r="G276" s="25" t="n">
        <v>8</v>
      </c>
      <c r="H276" s="8">
        <f>IF(OR($F276="",$G276=""),"",MAX(0,$F276-$G276))</f>
        <v/>
      </c>
      <c r="I276" s="26" t="n"/>
      <c r="J276" s="27">
        <f>IF(AND($A276="",$C276="",$D276=""),"",IF(OR($C276&gt;=1,$D276&gt;=1),"⚠ escribe la hora con dos puntos: 9:00, no 9",IF(AND($C276&lt;&gt;"",$C276=$D276),"⚠ entrada y salida iguales: la jornada no suma",IF(AND($C276&lt;&gt;"",$D276&lt;&gt;"",IF($E276="",0,$E276)&gt;MOD($D276-$C276,1)*24),"⚠ la pausa es mayor que la jornada",IF(AND($A276&lt;&gt;"",COUNTIF('Resumen Mensual'!$A$6:$A$35,$A276&amp;"")=0),"⚠ ese nombre no está en el «Resumen Mensual»: sus horas no se agregan","")))))</f>
        <v/>
      </c>
    </row>
    <row r="277">
      <c r="A277" s="21" t="n"/>
      <c r="B277" s="22" t="n"/>
      <c r="C277" s="23" t="n"/>
      <c r="D277" s="23" t="n"/>
      <c r="E277" s="24" t="n"/>
      <c r="F277" s="8">
        <f>IF(OR($C277="",$D277=""),"",IF(OR($C277&gt;=1,$D277&gt;=1,$C277=$D277,IF($E277="",0,$E277)&gt;MOD($D277-$C277,1)*24),"",ROUND(MOD($D277-$C277,1)*24-IF($E277="",0,$E277),2)))</f>
        <v/>
      </c>
      <c r="G277" s="25" t="n">
        <v>8</v>
      </c>
      <c r="H277" s="8">
        <f>IF(OR($F277="",$G277=""),"",MAX(0,$F277-$G277))</f>
        <v/>
      </c>
      <c r="I277" s="26" t="n"/>
      <c r="J277" s="27">
        <f>IF(AND($A277="",$C277="",$D277=""),"",IF(OR($C277&gt;=1,$D277&gt;=1),"⚠ escribe la hora con dos puntos: 9:00, no 9",IF(AND($C277&lt;&gt;"",$C277=$D277),"⚠ entrada y salida iguales: la jornada no suma",IF(AND($C277&lt;&gt;"",$D277&lt;&gt;"",IF($E277="",0,$E277)&gt;MOD($D277-$C277,1)*24),"⚠ la pausa es mayor que la jornada",IF(AND($A277&lt;&gt;"",COUNTIF('Resumen Mensual'!$A$6:$A$35,$A277&amp;"")=0),"⚠ ese nombre no está en el «Resumen Mensual»: sus horas no se agregan","")))))</f>
        <v/>
      </c>
    </row>
    <row r="278">
      <c r="A278" s="21" t="n"/>
      <c r="B278" s="22" t="n"/>
      <c r="C278" s="23" t="n"/>
      <c r="D278" s="23" t="n"/>
      <c r="E278" s="24" t="n"/>
      <c r="F278" s="8">
        <f>IF(OR($C278="",$D278=""),"",IF(OR($C278&gt;=1,$D278&gt;=1,$C278=$D278,IF($E278="",0,$E278)&gt;MOD($D278-$C278,1)*24),"",ROUND(MOD($D278-$C278,1)*24-IF($E278="",0,$E278),2)))</f>
        <v/>
      </c>
      <c r="G278" s="25" t="n">
        <v>8</v>
      </c>
      <c r="H278" s="8">
        <f>IF(OR($F278="",$G278=""),"",MAX(0,$F278-$G278))</f>
        <v/>
      </c>
      <c r="I278" s="26" t="n"/>
      <c r="J278" s="27">
        <f>IF(AND($A278="",$C278="",$D278=""),"",IF(OR($C278&gt;=1,$D278&gt;=1),"⚠ escribe la hora con dos puntos: 9:00, no 9",IF(AND($C278&lt;&gt;"",$C278=$D278),"⚠ entrada y salida iguales: la jornada no suma",IF(AND($C278&lt;&gt;"",$D278&lt;&gt;"",IF($E278="",0,$E278)&gt;MOD($D278-$C278,1)*24),"⚠ la pausa es mayor que la jornada",IF(AND($A278&lt;&gt;"",COUNTIF('Resumen Mensual'!$A$6:$A$35,$A278&amp;"")=0),"⚠ ese nombre no está en el «Resumen Mensual»: sus horas no se agregan","")))))</f>
        <v/>
      </c>
    </row>
    <row r="279">
      <c r="A279" s="21" t="n"/>
      <c r="B279" s="22" t="n"/>
      <c r="C279" s="23" t="n"/>
      <c r="D279" s="23" t="n"/>
      <c r="E279" s="24" t="n"/>
      <c r="F279" s="8">
        <f>IF(OR($C279="",$D279=""),"",IF(OR($C279&gt;=1,$D279&gt;=1,$C279=$D279,IF($E279="",0,$E279)&gt;MOD($D279-$C279,1)*24),"",ROUND(MOD($D279-$C279,1)*24-IF($E279="",0,$E279),2)))</f>
        <v/>
      </c>
      <c r="G279" s="25" t="n">
        <v>8</v>
      </c>
      <c r="H279" s="8">
        <f>IF(OR($F279="",$G279=""),"",MAX(0,$F279-$G279))</f>
        <v/>
      </c>
      <c r="I279" s="26" t="n"/>
      <c r="J279" s="27">
        <f>IF(AND($A279="",$C279="",$D279=""),"",IF(OR($C279&gt;=1,$D279&gt;=1),"⚠ escribe la hora con dos puntos: 9:00, no 9",IF(AND($C279&lt;&gt;"",$C279=$D279),"⚠ entrada y salida iguales: la jornada no suma",IF(AND($C279&lt;&gt;"",$D279&lt;&gt;"",IF($E279="",0,$E279)&gt;MOD($D279-$C279,1)*24),"⚠ la pausa es mayor que la jornada",IF(AND($A279&lt;&gt;"",COUNTIF('Resumen Mensual'!$A$6:$A$35,$A279&amp;"")=0),"⚠ ese nombre no está en el «Resumen Mensual»: sus horas no se agregan","")))))</f>
        <v/>
      </c>
    </row>
    <row r="280">
      <c r="A280" s="21" t="n"/>
      <c r="B280" s="22" t="n"/>
      <c r="C280" s="23" t="n"/>
      <c r="D280" s="23" t="n"/>
      <c r="E280" s="24" t="n"/>
      <c r="F280" s="8">
        <f>IF(OR($C280="",$D280=""),"",IF(OR($C280&gt;=1,$D280&gt;=1,$C280=$D280,IF($E280="",0,$E280)&gt;MOD($D280-$C280,1)*24),"",ROUND(MOD($D280-$C280,1)*24-IF($E280="",0,$E280),2)))</f>
        <v/>
      </c>
      <c r="G280" s="25" t="n">
        <v>8</v>
      </c>
      <c r="H280" s="8">
        <f>IF(OR($F280="",$G280=""),"",MAX(0,$F280-$G280))</f>
        <v/>
      </c>
      <c r="I280" s="26" t="n"/>
      <c r="J280" s="27">
        <f>IF(AND($A280="",$C280="",$D280=""),"",IF(OR($C280&gt;=1,$D280&gt;=1),"⚠ escribe la hora con dos puntos: 9:00, no 9",IF(AND($C280&lt;&gt;"",$C280=$D280),"⚠ entrada y salida iguales: la jornada no suma",IF(AND($C280&lt;&gt;"",$D280&lt;&gt;"",IF($E280="",0,$E280)&gt;MOD($D280-$C280,1)*24),"⚠ la pausa es mayor que la jornada",IF(AND($A280&lt;&gt;"",COUNTIF('Resumen Mensual'!$A$6:$A$35,$A280&amp;"")=0),"⚠ ese nombre no está en el «Resumen Mensual»: sus horas no se agregan","")))))</f>
        <v/>
      </c>
    </row>
    <row r="281">
      <c r="A281" s="21" t="n"/>
      <c r="B281" s="22" t="n"/>
      <c r="C281" s="23" t="n"/>
      <c r="D281" s="23" t="n"/>
      <c r="E281" s="24" t="n"/>
      <c r="F281" s="8">
        <f>IF(OR($C281="",$D281=""),"",IF(OR($C281&gt;=1,$D281&gt;=1,$C281=$D281,IF($E281="",0,$E281)&gt;MOD($D281-$C281,1)*24),"",ROUND(MOD($D281-$C281,1)*24-IF($E281="",0,$E281),2)))</f>
        <v/>
      </c>
      <c r="G281" s="25" t="n">
        <v>8</v>
      </c>
      <c r="H281" s="8">
        <f>IF(OR($F281="",$G281=""),"",MAX(0,$F281-$G281))</f>
        <v/>
      </c>
      <c r="I281" s="26" t="n"/>
      <c r="J281" s="27">
        <f>IF(AND($A281="",$C281="",$D281=""),"",IF(OR($C281&gt;=1,$D281&gt;=1),"⚠ escribe la hora con dos puntos: 9:00, no 9",IF(AND($C281&lt;&gt;"",$C281=$D281),"⚠ entrada y salida iguales: la jornada no suma",IF(AND($C281&lt;&gt;"",$D281&lt;&gt;"",IF($E281="",0,$E281)&gt;MOD($D281-$C281,1)*24),"⚠ la pausa es mayor que la jornada",IF(AND($A281&lt;&gt;"",COUNTIF('Resumen Mensual'!$A$6:$A$35,$A281&amp;"")=0),"⚠ ese nombre no está en el «Resumen Mensual»: sus horas no se agregan","")))))</f>
        <v/>
      </c>
    </row>
    <row r="282">
      <c r="A282" s="21" t="n"/>
      <c r="B282" s="22" t="n"/>
      <c r="C282" s="23" t="n"/>
      <c r="D282" s="23" t="n"/>
      <c r="E282" s="24" t="n"/>
      <c r="F282" s="8">
        <f>IF(OR($C282="",$D282=""),"",IF(OR($C282&gt;=1,$D282&gt;=1,$C282=$D282,IF($E282="",0,$E282)&gt;MOD($D282-$C282,1)*24),"",ROUND(MOD($D282-$C282,1)*24-IF($E282="",0,$E282),2)))</f>
        <v/>
      </c>
      <c r="G282" s="25" t="n">
        <v>8</v>
      </c>
      <c r="H282" s="8">
        <f>IF(OR($F282="",$G282=""),"",MAX(0,$F282-$G282))</f>
        <v/>
      </c>
      <c r="I282" s="26" t="n"/>
      <c r="J282" s="27">
        <f>IF(AND($A282="",$C282="",$D282=""),"",IF(OR($C282&gt;=1,$D282&gt;=1),"⚠ escribe la hora con dos puntos: 9:00, no 9",IF(AND($C282&lt;&gt;"",$C282=$D282),"⚠ entrada y salida iguales: la jornada no suma",IF(AND($C282&lt;&gt;"",$D282&lt;&gt;"",IF($E282="",0,$E282)&gt;MOD($D282-$C282,1)*24),"⚠ la pausa es mayor que la jornada",IF(AND($A282&lt;&gt;"",COUNTIF('Resumen Mensual'!$A$6:$A$35,$A282&amp;"")=0),"⚠ ese nombre no está en el «Resumen Mensual»: sus horas no se agregan","")))))</f>
        <v/>
      </c>
    </row>
    <row r="283">
      <c r="A283" s="21" t="n"/>
      <c r="B283" s="22" t="n"/>
      <c r="C283" s="23" t="n"/>
      <c r="D283" s="23" t="n"/>
      <c r="E283" s="24" t="n"/>
      <c r="F283" s="8">
        <f>IF(OR($C283="",$D283=""),"",IF(OR($C283&gt;=1,$D283&gt;=1,$C283=$D283,IF($E283="",0,$E283)&gt;MOD($D283-$C283,1)*24),"",ROUND(MOD($D283-$C283,1)*24-IF($E283="",0,$E283),2)))</f>
        <v/>
      </c>
      <c r="G283" s="25" t="n">
        <v>8</v>
      </c>
      <c r="H283" s="8">
        <f>IF(OR($F283="",$G283=""),"",MAX(0,$F283-$G283))</f>
        <v/>
      </c>
      <c r="I283" s="26" t="n"/>
      <c r="J283" s="27">
        <f>IF(AND($A283="",$C283="",$D283=""),"",IF(OR($C283&gt;=1,$D283&gt;=1),"⚠ escribe la hora con dos puntos: 9:00, no 9",IF(AND($C283&lt;&gt;"",$C283=$D283),"⚠ entrada y salida iguales: la jornada no suma",IF(AND($C283&lt;&gt;"",$D283&lt;&gt;"",IF($E283="",0,$E283)&gt;MOD($D283-$C283,1)*24),"⚠ la pausa es mayor que la jornada",IF(AND($A283&lt;&gt;"",COUNTIF('Resumen Mensual'!$A$6:$A$35,$A283&amp;"")=0),"⚠ ese nombre no está en el «Resumen Mensual»: sus horas no se agregan","")))))</f>
        <v/>
      </c>
    </row>
    <row r="284">
      <c r="A284" s="21" t="n"/>
      <c r="B284" s="22" t="n"/>
      <c r="C284" s="23" t="n"/>
      <c r="D284" s="23" t="n"/>
      <c r="E284" s="24" t="n"/>
      <c r="F284" s="8">
        <f>IF(OR($C284="",$D284=""),"",IF(OR($C284&gt;=1,$D284&gt;=1,$C284=$D284,IF($E284="",0,$E284)&gt;MOD($D284-$C284,1)*24),"",ROUND(MOD($D284-$C284,1)*24-IF($E284="",0,$E284),2)))</f>
        <v/>
      </c>
      <c r="G284" s="25" t="n">
        <v>8</v>
      </c>
      <c r="H284" s="8">
        <f>IF(OR($F284="",$G284=""),"",MAX(0,$F284-$G284))</f>
        <v/>
      </c>
      <c r="I284" s="26" t="n"/>
      <c r="J284" s="27">
        <f>IF(AND($A284="",$C284="",$D284=""),"",IF(OR($C284&gt;=1,$D284&gt;=1),"⚠ escribe la hora con dos puntos: 9:00, no 9",IF(AND($C284&lt;&gt;"",$C284=$D284),"⚠ entrada y salida iguales: la jornada no suma",IF(AND($C284&lt;&gt;"",$D284&lt;&gt;"",IF($E284="",0,$E284)&gt;MOD($D284-$C284,1)*24),"⚠ la pausa es mayor que la jornada",IF(AND($A284&lt;&gt;"",COUNTIF('Resumen Mensual'!$A$6:$A$35,$A284&amp;"")=0),"⚠ ese nombre no está en el «Resumen Mensual»: sus horas no se agregan","")))))</f>
        <v/>
      </c>
    </row>
    <row r="285">
      <c r="A285" s="21" t="n"/>
      <c r="B285" s="22" t="n"/>
      <c r="C285" s="23" t="n"/>
      <c r="D285" s="23" t="n"/>
      <c r="E285" s="24" t="n"/>
      <c r="F285" s="8">
        <f>IF(OR($C285="",$D285=""),"",IF(OR($C285&gt;=1,$D285&gt;=1,$C285=$D285,IF($E285="",0,$E285)&gt;MOD($D285-$C285,1)*24),"",ROUND(MOD($D285-$C285,1)*24-IF($E285="",0,$E285),2)))</f>
        <v/>
      </c>
      <c r="G285" s="25" t="n">
        <v>8</v>
      </c>
      <c r="H285" s="8">
        <f>IF(OR($F285="",$G285=""),"",MAX(0,$F285-$G285))</f>
        <v/>
      </c>
      <c r="I285" s="26" t="n"/>
      <c r="J285" s="27">
        <f>IF(AND($A285="",$C285="",$D285=""),"",IF(OR($C285&gt;=1,$D285&gt;=1),"⚠ escribe la hora con dos puntos: 9:00, no 9",IF(AND($C285&lt;&gt;"",$C285=$D285),"⚠ entrada y salida iguales: la jornada no suma",IF(AND($C285&lt;&gt;"",$D285&lt;&gt;"",IF($E285="",0,$E285)&gt;MOD($D285-$C285,1)*24),"⚠ la pausa es mayor que la jornada",IF(AND($A285&lt;&gt;"",COUNTIF('Resumen Mensual'!$A$6:$A$35,$A285&amp;"")=0),"⚠ ese nombre no está en el «Resumen Mensual»: sus horas no se agregan","")))))</f>
        <v/>
      </c>
    </row>
    <row r="286">
      <c r="A286" s="21" t="n"/>
      <c r="B286" s="22" t="n"/>
      <c r="C286" s="23" t="n"/>
      <c r="D286" s="23" t="n"/>
      <c r="E286" s="24" t="n"/>
      <c r="F286" s="8">
        <f>IF(OR($C286="",$D286=""),"",IF(OR($C286&gt;=1,$D286&gt;=1,$C286=$D286,IF($E286="",0,$E286)&gt;MOD($D286-$C286,1)*24),"",ROUND(MOD($D286-$C286,1)*24-IF($E286="",0,$E286),2)))</f>
        <v/>
      </c>
      <c r="G286" s="25" t="n">
        <v>8</v>
      </c>
      <c r="H286" s="8">
        <f>IF(OR($F286="",$G286=""),"",MAX(0,$F286-$G286))</f>
        <v/>
      </c>
      <c r="I286" s="26" t="n"/>
      <c r="J286" s="27">
        <f>IF(AND($A286="",$C286="",$D286=""),"",IF(OR($C286&gt;=1,$D286&gt;=1),"⚠ escribe la hora con dos puntos: 9:00, no 9",IF(AND($C286&lt;&gt;"",$C286=$D286),"⚠ entrada y salida iguales: la jornada no suma",IF(AND($C286&lt;&gt;"",$D286&lt;&gt;"",IF($E286="",0,$E286)&gt;MOD($D286-$C286,1)*24),"⚠ la pausa es mayor que la jornada",IF(AND($A286&lt;&gt;"",COUNTIF('Resumen Mensual'!$A$6:$A$35,$A286&amp;"")=0),"⚠ ese nombre no está en el «Resumen Mensual»: sus horas no se agregan","")))))</f>
        <v/>
      </c>
    </row>
    <row r="287">
      <c r="A287" s="21" t="n"/>
      <c r="B287" s="22" t="n"/>
      <c r="C287" s="23" t="n"/>
      <c r="D287" s="23" t="n"/>
      <c r="E287" s="24" t="n"/>
      <c r="F287" s="8">
        <f>IF(OR($C287="",$D287=""),"",IF(OR($C287&gt;=1,$D287&gt;=1,$C287=$D287,IF($E287="",0,$E287)&gt;MOD($D287-$C287,1)*24),"",ROUND(MOD($D287-$C287,1)*24-IF($E287="",0,$E287),2)))</f>
        <v/>
      </c>
      <c r="G287" s="25" t="n">
        <v>8</v>
      </c>
      <c r="H287" s="8">
        <f>IF(OR($F287="",$G287=""),"",MAX(0,$F287-$G287))</f>
        <v/>
      </c>
      <c r="I287" s="26" t="n"/>
      <c r="J287" s="27">
        <f>IF(AND($A287="",$C287="",$D287=""),"",IF(OR($C287&gt;=1,$D287&gt;=1),"⚠ escribe la hora con dos puntos: 9:00, no 9",IF(AND($C287&lt;&gt;"",$C287=$D287),"⚠ entrada y salida iguales: la jornada no suma",IF(AND($C287&lt;&gt;"",$D287&lt;&gt;"",IF($E287="",0,$E287)&gt;MOD($D287-$C287,1)*24),"⚠ la pausa es mayor que la jornada",IF(AND($A287&lt;&gt;"",COUNTIF('Resumen Mensual'!$A$6:$A$35,$A287&amp;"")=0),"⚠ ese nombre no está en el «Resumen Mensual»: sus horas no se agregan","")))))</f>
        <v/>
      </c>
    </row>
    <row r="288">
      <c r="A288" s="21" t="n"/>
      <c r="B288" s="22" t="n"/>
      <c r="C288" s="23" t="n"/>
      <c r="D288" s="23" t="n"/>
      <c r="E288" s="24" t="n"/>
      <c r="F288" s="8">
        <f>IF(OR($C288="",$D288=""),"",IF(OR($C288&gt;=1,$D288&gt;=1,$C288=$D288,IF($E288="",0,$E288)&gt;MOD($D288-$C288,1)*24),"",ROUND(MOD($D288-$C288,1)*24-IF($E288="",0,$E288),2)))</f>
        <v/>
      </c>
      <c r="G288" s="25" t="n">
        <v>8</v>
      </c>
      <c r="H288" s="8">
        <f>IF(OR($F288="",$G288=""),"",MAX(0,$F288-$G288))</f>
        <v/>
      </c>
      <c r="I288" s="26" t="n"/>
      <c r="J288" s="27">
        <f>IF(AND($A288="",$C288="",$D288=""),"",IF(OR($C288&gt;=1,$D288&gt;=1),"⚠ escribe la hora con dos puntos: 9:00, no 9",IF(AND($C288&lt;&gt;"",$C288=$D288),"⚠ entrada y salida iguales: la jornada no suma",IF(AND($C288&lt;&gt;"",$D288&lt;&gt;"",IF($E288="",0,$E288)&gt;MOD($D288-$C288,1)*24),"⚠ la pausa es mayor que la jornada",IF(AND($A288&lt;&gt;"",COUNTIF('Resumen Mensual'!$A$6:$A$35,$A288&amp;"")=0),"⚠ ese nombre no está en el «Resumen Mensual»: sus horas no se agregan","")))))</f>
        <v/>
      </c>
    </row>
    <row r="289">
      <c r="A289" s="21" t="n"/>
      <c r="B289" s="22" t="n"/>
      <c r="C289" s="23" t="n"/>
      <c r="D289" s="23" t="n"/>
      <c r="E289" s="24" t="n"/>
      <c r="F289" s="8">
        <f>IF(OR($C289="",$D289=""),"",IF(OR($C289&gt;=1,$D289&gt;=1,$C289=$D289,IF($E289="",0,$E289)&gt;MOD($D289-$C289,1)*24),"",ROUND(MOD($D289-$C289,1)*24-IF($E289="",0,$E289),2)))</f>
        <v/>
      </c>
      <c r="G289" s="25" t="n">
        <v>8</v>
      </c>
      <c r="H289" s="8">
        <f>IF(OR($F289="",$G289=""),"",MAX(0,$F289-$G289))</f>
        <v/>
      </c>
      <c r="I289" s="26" t="n"/>
      <c r="J289" s="27">
        <f>IF(AND($A289="",$C289="",$D289=""),"",IF(OR($C289&gt;=1,$D289&gt;=1),"⚠ escribe la hora con dos puntos: 9:00, no 9",IF(AND($C289&lt;&gt;"",$C289=$D289),"⚠ entrada y salida iguales: la jornada no suma",IF(AND($C289&lt;&gt;"",$D289&lt;&gt;"",IF($E289="",0,$E289)&gt;MOD($D289-$C289,1)*24),"⚠ la pausa es mayor que la jornada",IF(AND($A289&lt;&gt;"",COUNTIF('Resumen Mensual'!$A$6:$A$35,$A289&amp;"")=0),"⚠ ese nombre no está en el «Resumen Mensual»: sus horas no se agregan","")))))</f>
        <v/>
      </c>
    </row>
    <row r="290">
      <c r="A290" s="21" t="n"/>
      <c r="B290" s="22" t="n"/>
      <c r="C290" s="23" t="n"/>
      <c r="D290" s="23" t="n"/>
      <c r="E290" s="24" t="n"/>
      <c r="F290" s="8">
        <f>IF(OR($C290="",$D290=""),"",IF(OR($C290&gt;=1,$D290&gt;=1,$C290=$D290,IF($E290="",0,$E290)&gt;MOD($D290-$C290,1)*24),"",ROUND(MOD($D290-$C290,1)*24-IF($E290="",0,$E290),2)))</f>
        <v/>
      </c>
      <c r="G290" s="25" t="n">
        <v>8</v>
      </c>
      <c r="H290" s="8">
        <f>IF(OR($F290="",$G290=""),"",MAX(0,$F290-$G290))</f>
        <v/>
      </c>
      <c r="I290" s="26" t="n"/>
      <c r="J290" s="27">
        <f>IF(AND($A290="",$C290="",$D290=""),"",IF(OR($C290&gt;=1,$D290&gt;=1),"⚠ escribe la hora con dos puntos: 9:00, no 9",IF(AND($C290&lt;&gt;"",$C290=$D290),"⚠ entrada y salida iguales: la jornada no suma",IF(AND($C290&lt;&gt;"",$D290&lt;&gt;"",IF($E290="",0,$E290)&gt;MOD($D290-$C290,1)*24),"⚠ la pausa es mayor que la jornada",IF(AND($A290&lt;&gt;"",COUNTIF('Resumen Mensual'!$A$6:$A$35,$A290&amp;"")=0),"⚠ ese nombre no está en el «Resumen Mensual»: sus horas no se agregan","")))))</f>
        <v/>
      </c>
    </row>
    <row r="291">
      <c r="A291" s="21" t="n"/>
      <c r="B291" s="22" t="n"/>
      <c r="C291" s="23" t="n"/>
      <c r="D291" s="23" t="n"/>
      <c r="E291" s="24" t="n"/>
      <c r="F291" s="8">
        <f>IF(OR($C291="",$D291=""),"",IF(OR($C291&gt;=1,$D291&gt;=1,$C291=$D291,IF($E291="",0,$E291)&gt;MOD($D291-$C291,1)*24),"",ROUND(MOD($D291-$C291,1)*24-IF($E291="",0,$E291),2)))</f>
        <v/>
      </c>
      <c r="G291" s="25" t="n">
        <v>8</v>
      </c>
      <c r="H291" s="8">
        <f>IF(OR($F291="",$G291=""),"",MAX(0,$F291-$G291))</f>
        <v/>
      </c>
      <c r="I291" s="26" t="n"/>
      <c r="J291" s="27">
        <f>IF(AND($A291="",$C291="",$D291=""),"",IF(OR($C291&gt;=1,$D291&gt;=1),"⚠ escribe la hora con dos puntos: 9:00, no 9",IF(AND($C291&lt;&gt;"",$C291=$D291),"⚠ entrada y salida iguales: la jornada no suma",IF(AND($C291&lt;&gt;"",$D291&lt;&gt;"",IF($E291="",0,$E291)&gt;MOD($D291-$C291,1)*24),"⚠ la pausa es mayor que la jornada",IF(AND($A291&lt;&gt;"",COUNTIF('Resumen Mensual'!$A$6:$A$35,$A291&amp;"")=0),"⚠ ese nombre no está en el «Resumen Mensual»: sus horas no se agregan","")))))</f>
        <v/>
      </c>
    </row>
    <row r="292">
      <c r="A292" s="21" t="n"/>
      <c r="B292" s="22" t="n"/>
      <c r="C292" s="23" t="n"/>
      <c r="D292" s="23" t="n"/>
      <c r="E292" s="24" t="n"/>
      <c r="F292" s="8">
        <f>IF(OR($C292="",$D292=""),"",IF(OR($C292&gt;=1,$D292&gt;=1,$C292=$D292,IF($E292="",0,$E292)&gt;MOD($D292-$C292,1)*24),"",ROUND(MOD($D292-$C292,1)*24-IF($E292="",0,$E292),2)))</f>
        <v/>
      </c>
      <c r="G292" s="25" t="n">
        <v>8</v>
      </c>
      <c r="H292" s="8">
        <f>IF(OR($F292="",$G292=""),"",MAX(0,$F292-$G292))</f>
        <v/>
      </c>
      <c r="I292" s="26" t="n"/>
      <c r="J292" s="27">
        <f>IF(AND($A292="",$C292="",$D292=""),"",IF(OR($C292&gt;=1,$D292&gt;=1),"⚠ escribe la hora con dos puntos: 9:00, no 9",IF(AND($C292&lt;&gt;"",$C292=$D292),"⚠ entrada y salida iguales: la jornada no suma",IF(AND($C292&lt;&gt;"",$D292&lt;&gt;"",IF($E292="",0,$E292)&gt;MOD($D292-$C292,1)*24),"⚠ la pausa es mayor que la jornada",IF(AND($A292&lt;&gt;"",COUNTIF('Resumen Mensual'!$A$6:$A$35,$A292&amp;"")=0),"⚠ ese nombre no está en el «Resumen Mensual»: sus horas no se agregan","")))))</f>
        <v/>
      </c>
    </row>
    <row r="293">
      <c r="A293" s="21" t="n"/>
      <c r="B293" s="22" t="n"/>
      <c r="C293" s="23" t="n"/>
      <c r="D293" s="23" t="n"/>
      <c r="E293" s="24" t="n"/>
      <c r="F293" s="8">
        <f>IF(OR($C293="",$D293=""),"",IF(OR($C293&gt;=1,$D293&gt;=1,$C293=$D293,IF($E293="",0,$E293)&gt;MOD($D293-$C293,1)*24),"",ROUND(MOD($D293-$C293,1)*24-IF($E293="",0,$E293),2)))</f>
        <v/>
      </c>
      <c r="G293" s="25" t="n">
        <v>8</v>
      </c>
      <c r="H293" s="8">
        <f>IF(OR($F293="",$G293=""),"",MAX(0,$F293-$G293))</f>
        <v/>
      </c>
      <c r="I293" s="26" t="n"/>
      <c r="J293" s="27">
        <f>IF(AND($A293="",$C293="",$D293=""),"",IF(OR($C293&gt;=1,$D293&gt;=1),"⚠ escribe la hora con dos puntos: 9:00, no 9",IF(AND($C293&lt;&gt;"",$C293=$D293),"⚠ entrada y salida iguales: la jornada no suma",IF(AND($C293&lt;&gt;"",$D293&lt;&gt;"",IF($E293="",0,$E293)&gt;MOD($D293-$C293,1)*24),"⚠ la pausa es mayor que la jornada",IF(AND($A293&lt;&gt;"",COUNTIF('Resumen Mensual'!$A$6:$A$35,$A293&amp;"")=0),"⚠ ese nombre no está en el «Resumen Mensual»: sus horas no se agregan","")))))</f>
        <v/>
      </c>
    </row>
    <row r="294">
      <c r="A294" s="21" t="n"/>
      <c r="B294" s="22" t="n"/>
      <c r="C294" s="23" t="n"/>
      <c r="D294" s="23" t="n"/>
      <c r="E294" s="24" t="n"/>
      <c r="F294" s="8">
        <f>IF(OR($C294="",$D294=""),"",IF(OR($C294&gt;=1,$D294&gt;=1,$C294=$D294,IF($E294="",0,$E294)&gt;MOD($D294-$C294,1)*24),"",ROUND(MOD($D294-$C294,1)*24-IF($E294="",0,$E294),2)))</f>
        <v/>
      </c>
      <c r="G294" s="25" t="n">
        <v>8</v>
      </c>
      <c r="H294" s="8">
        <f>IF(OR($F294="",$G294=""),"",MAX(0,$F294-$G294))</f>
        <v/>
      </c>
      <c r="I294" s="26" t="n"/>
      <c r="J294" s="27">
        <f>IF(AND($A294="",$C294="",$D294=""),"",IF(OR($C294&gt;=1,$D294&gt;=1),"⚠ escribe la hora con dos puntos: 9:00, no 9",IF(AND($C294&lt;&gt;"",$C294=$D294),"⚠ entrada y salida iguales: la jornada no suma",IF(AND($C294&lt;&gt;"",$D294&lt;&gt;"",IF($E294="",0,$E294)&gt;MOD($D294-$C294,1)*24),"⚠ la pausa es mayor que la jornada",IF(AND($A294&lt;&gt;"",COUNTIF('Resumen Mensual'!$A$6:$A$35,$A294&amp;"")=0),"⚠ ese nombre no está en el «Resumen Mensual»: sus horas no se agregan","")))))</f>
        <v/>
      </c>
    </row>
    <row r="295">
      <c r="A295" s="21" t="n"/>
      <c r="B295" s="22" t="n"/>
      <c r="C295" s="23" t="n"/>
      <c r="D295" s="23" t="n"/>
      <c r="E295" s="24" t="n"/>
      <c r="F295" s="8">
        <f>IF(OR($C295="",$D295=""),"",IF(OR($C295&gt;=1,$D295&gt;=1,$C295=$D295,IF($E295="",0,$E295)&gt;MOD($D295-$C295,1)*24),"",ROUND(MOD($D295-$C295,1)*24-IF($E295="",0,$E295),2)))</f>
        <v/>
      </c>
      <c r="G295" s="25" t="n">
        <v>8</v>
      </c>
      <c r="H295" s="8">
        <f>IF(OR($F295="",$G295=""),"",MAX(0,$F295-$G295))</f>
        <v/>
      </c>
      <c r="I295" s="26" t="n"/>
      <c r="J295" s="27">
        <f>IF(AND($A295="",$C295="",$D295=""),"",IF(OR($C295&gt;=1,$D295&gt;=1),"⚠ escribe la hora con dos puntos: 9:00, no 9",IF(AND($C295&lt;&gt;"",$C295=$D295),"⚠ entrada y salida iguales: la jornada no suma",IF(AND($C295&lt;&gt;"",$D295&lt;&gt;"",IF($E295="",0,$E295)&gt;MOD($D295-$C295,1)*24),"⚠ la pausa es mayor que la jornada",IF(AND($A295&lt;&gt;"",COUNTIF('Resumen Mensual'!$A$6:$A$35,$A295&amp;"")=0),"⚠ ese nombre no está en el «Resumen Mensual»: sus horas no se agregan","")))))</f>
        <v/>
      </c>
    </row>
    <row r="296">
      <c r="A296" s="21" t="n"/>
      <c r="B296" s="22" t="n"/>
      <c r="C296" s="23" t="n"/>
      <c r="D296" s="23" t="n"/>
      <c r="E296" s="24" t="n"/>
      <c r="F296" s="8">
        <f>IF(OR($C296="",$D296=""),"",IF(OR($C296&gt;=1,$D296&gt;=1,$C296=$D296,IF($E296="",0,$E296)&gt;MOD($D296-$C296,1)*24),"",ROUND(MOD($D296-$C296,1)*24-IF($E296="",0,$E296),2)))</f>
        <v/>
      </c>
      <c r="G296" s="25" t="n">
        <v>8</v>
      </c>
      <c r="H296" s="8">
        <f>IF(OR($F296="",$G296=""),"",MAX(0,$F296-$G296))</f>
        <v/>
      </c>
      <c r="I296" s="26" t="n"/>
      <c r="J296" s="27">
        <f>IF(AND($A296="",$C296="",$D296=""),"",IF(OR($C296&gt;=1,$D296&gt;=1),"⚠ escribe la hora con dos puntos: 9:00, no 9",IF(AND($C296&lt;&gt;"",$C296=$D296),"⚠ entrada y salida iguales: la jornada no suma",IF(AND($C296&lt;&gt;"",$D296&lt;&gt;"",IF($E296="",0,$E296)&gt;MOD($D296-$C296,1)*24),"⚠ la pausa es mayor que la jornada",IF(AND($A296&lt;&gt;"",COUNTIF('Resumen Mensual'!$A$6:$A$35,$A296&amp;"")=0),"⚠ ese nombre no está en el «Resumen Mensual»: sus horas no se agregan","")))))</f>
        <v/>
      </c>
    </row>
    <row r="297">
      <c r="A297" s="21" t="n"/>
      <c r="B297" s="22" t="n"/>
      <c r="C297" s="23" t="n"/>
      <c r="D297" s="23" t="n"/>
      <c r="E297" s="24" t="n"/>
      <c r="F297" s="8">
        <f>IF(OR($C297="",$D297=""),"",IF(OR($C297&gt;=1,$D297&gt;=1,$C297=$D297,IF($E297="",0,$E297)&gt;MOD($D297-$C297,1)*24),"",ROUND(MOD($D297-$C297,1)*24-IF($E297="",0,$E297),2)))</f>
        <v/>
      </c>
      <c r="G297" s="25" t="n">
        <v>8</v>
      </c>
      <c r="H297" s="8">
        <f>IF(OR($F297="",$G297=""),"",MAX(0,$F297-$G297))</f>
        <v/>
      </c>
      <c r="I297" s="26" t="n"/>
      <c r="J297" s="27">
        <f>IF(AND($A297="",$C297="",$D297=""),"",IF(OR($C297&gt;=1,$D297&gt;=1),"⚠ escribe la hora con dos puntos: 9:00, no 9",IF(AND($C297&lt;&gt;"",$C297=$D297),"⚠ entrada y salida iguales: la jornada no suma",IF(AND($C297&lt;&gt;"",$D297&lt;&gt;"",IF($E297="",0,$E297)&gt;MOD($D297-$C297,1)*24),"⚠ la pausa es mayor que la jornada",IF(AND($A297&lt;&gt;"",COUNTIF('Resumen Mensual'!$A$6:$A$35,$A297&amp;"")=0),"⚠ ese nombre no está en el «Resumen Mensual»: sus horas no se agregan","")))))</f>
        <v/>
      </c>
    </row>
    <row r="298">
      <c r="A298" s="21" t="n"/>
      <c r="B298" s="22" t="n"/>
      <c r="C298" s="23" t="n"/>
      <c r="D298" s="23" t="n"/>
      <c r="E298" s="24" t="n"/>
      <c r="F298" s="8">
        <f>IF(OR($C298="",$D298=""),"",IF(OR($C298&gt;=1,$D298&gt;=1,$C298=$D298,IF($E298="",0,$E298)&gt;MOD($D298-$C298,1)*24),"",ROUND(MOD($D298-$C298,1)*24-IF($E298="",0,$E298),2)))</f>
        <v/>
      </c>
      <c r="G298" s="25" t="n">
        <v>8</v>
      </c>
      <c r="H298" s="8">
        <f>IF(OR($F298="",$G298=""),"",MAX(0,$F298-$G298))</f>
        <v/>
      </c>
      <c r="I298" s="26" t="n"/>
      <c r="J298" s="27">
        <f>IF(AND($A298="",$C298="",$D298=""),"",IF(OR($C298&gt;=1,$D298&gt;=1),"⚠ escribe la hora con dos puntos: 9:00, no 9",IF(AND($C298&lt;&gt;"",$C298=$D298),"⚠ entrada y salida iguales: la jornada no suma",IF(AND($C298&lt;&gt;"",$D298&lt;&gt;"",IF($E298="",0,$E298)&gt;MOD($D298-$C298,1)*24),"⚠ la pausa es mayor que la jornada",IF(AND($A298&lt;&gt;"",COUNTIF('Resumen Mensual'!$A$6:$A$35,$A298&amp;"")=0),"⚠ ese nombre no está en el «Resumen Mensual»: sus horas no se agregan","")))))</f>
        <v/>
      </c>
    </row>
    <row r="299">
      <c r="A299" s="21" t="n"/>
      <c r="B299" s="22" t="n"/>
      <c r="C299" s="23" t="n"/>
      <c r="D299" s="23" t="n"/>
      <c r="E299" s="24" t="n"/>
      <c r="F299" s="8">
        <f>IF(OR($C299="",$D299=""),"",IF(OR($C299&gt;=1,$D299&gt;=1,$C299=$D299,IF($E299="",0,$E299)&gt;MOD($D299-$C299,1)*24),"",ROUND(MOD($D299-$C299,1)*24-IF($E299="",0,$E299),2)))</f>
        <v/>
      </c>
      <c r="G299" s="25" t="n">
        <v>8</v>
      </c>
      <c r="H299" s="8">
        <f>IF(OR($F299="",$G299=""),"",MAX(0,$F299-$G299))</f>
        <v/>
      </c>
      <c r="I299" s="26" t="n"/>
      <c r="J299" s="27">
        <f>IF(AND($A299="",$C299="",$D299=""),"",IF(OR($C299&gt;=1,$D299&gt;=1),"⚠ escribe la hora con dos puntos: 9:00, no 9",IF(AND($C299&lt;&gt;"",$C299=$D299),"⚠ entrada y salida iguales: la jornada no suma",IF(AND($C299&lt;&gt;"",$D299&lt;&gt;"",IF($E299="",0,$E299)&gt;MOD($D299-$C299,1)*24),"⚠ la pausa es mayor que la jornada",IF(AND($A299&lt;&gt;"",COUNTIF('Resumen Mensual'!$A$6:$A$35,$A299&amp;"")=0),"⚠ ese nombre no está en el «Resumen Mensual»: sus horas no se agregan","")))))</f>
        <v/>
      </c>
    </row>
    <row r="300">
      <c r="A300" s="21" t="n"/>
      <c r="B300" s="22" t="n"/>
      <c r="C300" s="23" t="n"/>
      <c r="D300" s="23" t="n"/>
      <c r="E300" s="24" t="n"/>
      <c r="F300" s="8">
        <f>IF(OR($C300="",$D300=""),"",IF(OR($C300&gt;=1,$D300&gt;=1,$C300=$D300,IF($E300="",0,$E300)&gt;MOD($D300-$C300,1)*24),"",ROUND(MOD($D300-$C300,1)*24-IF($E300="",0,$E300),2)))</f>
        <v/>
      </c>
      <c r="G300" s="25" t="n">
        <v>8</v>
      </c>
      <c r="H300" s="8">
        <f>IF(OR($F300="",$G300=""),"",MAX(0,$F300-$G300))</f>
        <v/>
      </c>
      <c r="I300" s="26" t="n"/>
      <c r="J300" s="27">
        <f>IF(AND($A300="",$C300="",$D300=""),"",IF(OR($C300&gt;=1,$D300&gt;=1),"⚠ escribe la hora con dos puntos: 9:00, no 9",IF(AND($C300&lt;&gt;"",$C300=$D300),"⚠ entrada y salida iguales: la jornada no suma",IF(AND($C300&lt;&gt;"",$D300&lt;&gt;"",IF($E300="",0,$E300)&gt;MOD($D300-$C300,1)*24),"⚠ la pausa es mayor que la jornada",IF(AND($A300&lt;&gt;"",COUNTIF('Resumen Mensual'!$A$6:$A$35,$A300&amp;"")=0),"⚠ ese nombre no está en el «Resumen Mensual»: sus horas no se agregan","")))))</f>
        <v/>
      </c>
    </row>
    <row r="301">
      <c r="A301" s="21" t="n"/>
      <c r="B301" s="22" t="n"/>
      <c r="C301" s="23" t="n"/>
      <c r="D301" s="23" t="n"/>
      <c r="E301" s="24" t="n"/>
      <c r="F301" s="8">
        <f>IF(OR($C301="",$D301=""),"",IF(OR($C301&gt;=1,$D301&gt;=1,$C301=$D301,IF($E301="",0,$E301)&gt;MOD($D301-$C301,1)*24),"",ROUND(MOD($D301-$C301,1)*24-IF($E301="",0,$E301),2)))</f>
        <v/>
      </c>
      <c r="G301" s="25" t="n">
        <v>8</v>
      </c>
      <c r="H301" s="8">
        <f>IF(OR($F301="",$G301=""),"",MAX(0,$F301-$G301))</f>
        <v/>
      </c>
      <c r="I301" s="26" t="n"/>
      <c r="J301" s="27">
        <f>IF(AND($A301="",$C301="",$D301=""),"",IF(OR($C301&gt;=1,$D301&gt;=1),"⚠ escribe la hora con dos puntos: 9:00, no 9",IF(AND($C301&lt;&gt;"",$C301=$D301),"⚠ entrada y salida iguales: la jornada no suma",IF(AND($C301&lt;&gt;"",$D301&lt;&gt;"",IF($E301="",0,$E301)&gt;MOD($D301-$C301,1)*24),"⚠ la pausa es mayor que la jornada",IF(AND($A301&lt;&gt;"",COUNTIF('Resumen Mensual'!$A$6:$A$35,$A301&amp;"")=0),"⚠ ese nombre no está en el «Resumen Mensual»: sus horas no se agregan","")))))</f>
        <v/>
      </c>
    </row>
    <row r="302">
      <c r="A302" s="21" t="n"/>
      <c r="B302" s="22" t="n"/>
      <c r="C302" s="23" t="n"/>
      <c r="D302" s="23" t="n"/>
      <c r="E302" s="24" t="n"/>
      <c r="F302" s="8">
        <f>IF(OR($C302="",$D302=""),"",IF(OR($C302&gt;=1,$D302&gt;=1,$C302=$D302,IF($E302="",0,$E302)&gt;MOD($D302-$C302,1)*24),"",ROUND(MOD($D302-$C302,1)*24-IF($E302="",0,$E302),2)))</f>
        <v/>
      </c>
      <c r="G302" s="25" t="n">
        <v>8</v>
      </c>
      <c r="H302" s="8">
        <f>IF(OR($F302="",$G302=""),"",MAX(0,$F302-$G302))</f>
        <v/>
      </c>
      <c r="I302" s="26" t="n"/>
      <c r="J302" s="27">
        <f>IF(AND($A302="",$C302="",$D302=""),"",IF(OR($C302&gt;=1,$D302&gt;=1),"⚠ escribe la hora con dos puntos: 9:00, no 9",IF(AND($C302&lt;&gt;"",$C302=$D302),"⚠ entrada y salida iguales: la jornada no suma",IF(AND($C302&lt;&gt;"",$D302&lt;&gt;"",IF($E302="",0,$E302)&gt;MOD($D302-$C302,1)*24),"⚠ la pausa es mayor que la jornada",IF(AND($A302&lt;&gt;"",COUNTIF('Resumen Mensual'!$A$6:$A$35,$A302&amp;"")=0),"⚠ ese nombre no está en el «Resumen Mensual»: sus horas no se agregan","")))))</f>
        <v/>
      </c>
    </row>
    <row r="303">
      <c r="A303" s="21" t="n"/>
      <c r="B303" s="22" t="n"/>
      <c r="C303" s="23" t="n"/>
      <c r="D303" s="23" t="n"/>
      <c r="E303" s="24" t="n"/>
      <c r="F303" s="8">
        <f>IF(OR($C303="",$D303=""),"",IF(OR($C303&gt;=1,$D303&gt;=1,$C303=$D303,IF($E303="",0,$E303)&gt;MOD($D303-$C303,1)*24),"",ROUND(MOD($D303-$C303,1)*24-IF($E303="",0,$E303),2)))</f>
        <v/>
      </c>
      <c r="G303" s="25" t="n">
        <v>8</v>
      </c>
      <c r="H303" s="8">
        <f>IF(OR($F303="",$G303=""),"",MAX(0,$F303-$G303))</f>
        <v/>
      </c>
      <c r="I303" s="26" t="n"/>
      <c r="J303" s="27">
        <f>IF(AND($A303="",$C303="",$D303=""),"",IF(OR($C303&gt;=1,$D303&gt;=1),"⚠ escribe la hora con dos puntos: 9:00, no 9",IF(AND($C303&lt;&gt;"",$C303=$D303),"⚠ entrada y salida iguales: la jornada no suma",IF(AND($C303&lt;&gt;"",$D303&lt;&gt;"",IF($E303="",0,$E303)&gt;MOD($D303-$C303,1)*24),"⚠ la pausa es mayor que la jornada",IF(AND($A303&lt;&gt;"",COUNTIF('Resumen Mensual'!$A$6:$A$35,$A303&amp;"")=0),"⚠ ese nombre no está en el «Resumen Mensual»: sus horas no se agregan","")))))</f>
        <v/>
      </c>
    </row>
    <row r="304">
      <c r="A304" s="21" t="n"/>
      <c r="B304" s="22" t="n"/>
      <c r="C304" s="23" t="n"/>
      <c r="D304" s="23" t="n"/>
      <c r="E304" s="24" t="n"/>
      <c r="F304" s="8">
        <f>IF(OR($C304="",$D304=""),"",IF(OR($C304&gt;=1,$D304&gt;=1,$C304=$D304,IF($E304="",0,$E304)&gt;MOD($D304-$C304,1)*24),"",ROUND(MOD($D304-$C304,1)*24-IF($E304="",0,$E304),2)))</f>
        <v/>
      </c>
      <c r="G304" s="25" t="n">
        <v>8</v>
      </c>
      <c r="H304" s="8">
        <f>IF(OR($F304="",$G304=""),"",MAX(0,$F304-$G304))</f>
        <v/>
      </c>
      <c r="I304" s="26" t="n"/>
      <c r="J304" s="27">
        <f>IF(AND($A304="",$C304="",$D304=""),"",IF(OR($C304&gt;=1,$D304&gt;=1),"⚠ escribe la hora con dos puntos: 9:00, no 9",IF(AND($C304&lt;&gt;"",$C304=$D304),"⚠ entrada y salida iguales: la jornada no suma",IF(AND($C304&lt;&gt;"",$D304&lt;&gt;"",IF($E304="",0,$E304)&gt;MOD($D304-$C304,1)*24),"⚠ la pausa es mayor que la jornada",IF(AND($A304&lt;&gt;"",COUNTIF('Resumen Mensual'!$A$6:$A$35,$A304&amp;"")=0),"⚠ ese nombre no está en el «Resumen Mensual»: sus horas no se agregan","")))))</f>
        <v/>
      </c>
    </row>
    <row r="305"/>
    <row r="306">
      <c r="A306" s="10" t="inlineStr">
        <is>
          <t>© 2026 AI Chef Pro · aichef.pro</t>
        </is>
      </c>
    </row>
  </sheetData>
  <sheetProtection selectLockedCells="0" selectUnlockedCells="0" sheet="1" objects="0" insertRows="1" insertHyperlinks="1" autoFilter="0" scenarios="0" formatColumns="0" deleteColumns="1" insertColumns="1" pivotTables="1" deleteRows="1" formatCells="1" formatRows="0" sort="0"/>
  <mergeCells count="3">
    <mergeCell ref="A306:I306"/>
    <mergeCell ref="A1:I1"/>
    <mergeCell ref="A2:I2"/>
  </mergeCells>
  <conditionalFormatting sqref="J5:J304">
    <cfRule type="containsText" priority="1" operator="containsText" dxfId="0" stopIfTrue="1" text="⛔">
      <formula>NOT(ISERROR(SEARCH("⛔",J5)))</formula>
    </cfRule>
    <cfRule type="containsText" priority="2" operator="containsText" dxfId="0" stopIfTrue="1" text="EXCESO">
      <formula>NOT(ISERROR(SEARCH("EXCESO",J5)))</formula>
    </cfRule>
    <cfRule type="containsText" priority="3" operator="containsText" dxfId="1" stopIfTrue="1" text="⚠">
      <formula>NOT(ISERROR(SEARCH("⚠",J5)))</formula>
    </cfRule>
    <cfRule type="containsText" priority="4" operator="containsText" dxfId="2" stopIfTrue="1" text="OK">
      <formula>NOT(ISERROR(SEARCH("OK",J5)))</formula>
    </cfRule>
  </conditionalFormatting>
  <dataValidations count="4">
    <dataValidation sqref="C5:D304" showDropDown="0" showInputMessage="1" showErrorMessage="1" allowBlank="1" errorTitle="Hora no válida" error="Escribe una hora entre 0:00 y 23:59, con dos puntos (9:00)." promptTitle="grupoA-v2 · Hora no válida" prompt="Escribe la hora con dos puntos: 9:00, no 9. Un 9 suelto es el NÚMERO nueve (nueve días), no las nueve de la mañana, y la columna «Horas trabajadas» se quedaría en 0,00 sin avisar." type="time" errorStyle="stop" operator="between">
      <formula1>0</formula1>
      <formula2>0.9993</formula2>
    </dataValidation>
    <dataValidation sqref="E5:E304" showDropDown="0" showInputMessage="1" showErrorMessage="1" allowBlank="1" errorTitle="Pausa no válida" error="Escribe un número de horas entre 0 y 8." promptTitle="grupoA-v2 · Pausa no válida" prompt="Pausa NO trabajada de ese día, en horas: 0,5 son treinta minutos. El turno partido de 10:00 a 23:00 lleva 4. Si la pausa sale mayor que la jornada, la columna «Horas trabajadas» se queda en blanco y la de «Aviso» te dice por qué." type="decimal" errorStyle="stop" operator="between">
      <formula1>0</formula1>
      <formula2>8</formula2>
    </dataValidation>
    <dataValidation sqref="G5:G304" showDropDown="0" showInputMessage="1" showErrorMessage="1" allowBlank="1" errorTitle="Jornada diaria no válida" error="Escribe un número de horas entre 1 y 12." promptTitle="grupoA-v2 · Jornada diaria no válida" prompt="Jornada CONTRATADA de ese día, en horas. Viene precargada a 8. Si la dejas vacía, la columna «Horas extra» se queda en blanco a propósito: sin saber lo contratado no se puede decir qué es extra." type="decimal" errorStyle="stop" operator="between">
      <formula1>1</formula1>
      <formula2>12</formula2>
    </dataValidation>
    <dataValidation sqref="I5:I304" showDropDown="0" showInputMessage="1" showErrorMessage="1" allowBlank="1" errorTitle="Tipo de hora extra no válido" error="Elige un valor de la lista: las fórmulas de agregación buscan este texto exacto." promptTitle="grupoA-v2 · Tipo de hora extra no válido" prompt="Art. 35.2 ET: las de FUERZA MAYOR y las COMPENSADAS CON DESCANSO dentro de los 4 meses siguientes NO computan en el tope de 80 h/año. El «Resumen Mensual» las descuenta buscando este texto exacto." type="list" errorStyle="stop">
      <formula1>"Voluntaria,Obligatoria,Fuerza mayor,Compensada con descanso,Complementaria (contrato parcial)"</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tabColor rgb="00BF360C"/>
    <outlinePr summaryBelow="1" summaryRight="1"/>
    <pageSetUpPr fitToPage="1"/>
  </sheetPr>
  <dimension ref="A1:H39"/>
  <sheetViews>
    <sheetView workbookViewId="0">
      <pane ySplit="5" topLeftCell="A6" activePane="bottomLeft" state="frozen"/>
      <selection pane="bottomLeft" activeCell="A1" sqref="A1"/>
    </sheetView>
  </sheetViews>
  <sheetFormatPr baseColWidth="8" defaultRowHeight="15"/>
  <cols>
    <col width="22" customWidth="1" min="1" max="1"/>
    <col width="16" customWidth="1" min="2" max="2"/>
    <col width="20" customWidth="1" min="3" max="3"/>
    <col width="16" customWidth="1" min="4" max="4"/>
    <col width="20" customWidth="1" min="5" max="5"/>
    <col width="18" customWidth="1" min="6" max="6"/>
    <col width="18" customWidth="1" min="7" max="7"/>
    <col width="26" customWidth="1" min="8" max="8"/>
  </cols>
  <sheetData>
    <row r="1">
      <c r="A1" s="4" t="inlineStr">
        <is>
          <t>Resumen Mensual de Horas Extras</t>
        </is>
      </c>
    </row>
    <row r="2">
      <c r="A2" s="5" t="inlineStr">
        <is>
          <t>AI Chef Pro · aichef.pro — Kit Gestión de Personal y Turnos</t>
        </is>
      </c>
    </row>
    <row r="3" ht="58" customHeight="1">
      <c r="A3" s="28" t="inlineStr">
        <is>
          <t>Tarifa de la hora ordinaria (€):</t>
        </is>
      </c>
      <c r="B3" s="29" t="n">
        <v>12</v>
      </c>
      <c r="C3" s="28" t="inlineStr">
        <is>
          <t>Recargo de la hora extra (× la ordinaria) — según tu convenio:</t>
        </is>
      </c>
      <c r="D3" s="30" t="n">
        <v>1.25</v>
      </c>
      <c r="E3" s="28" t="inlineStr">
        <is>
          <t>Límite anual de horas extra:</t>
        </is>
      </c>
      <c r="F3" s="31" t="n">
        <v>80</v>
      </c>
    </row>
    <row r="4"/>
    <row r="5" ht="30" customHeight="1">
      <c r="A5" s="19" t="inlineStr">
        <is>
          <t>Empleado</t>
        </is>
      </c>
      <c r="B5" s="19" t="inlineStr">
        <is>
          <t>Total H. Extra del mes</t>
        </is>
      </c>
      <c r="C5" s="19" t="inlineStr">
        <is>
          <t>H. extra no computables (art. 35.2 y 12.5)</t>
        </is>
      </c>
      <c r="D5" s="19" t="inlineStr">
        <is>
          <t>H. extra computables</t>
        </is>
      </c>
      <c r="E5" s="19" t="inlineStr">
        <is>
          <t>H. extra acumuladas en el año</t>
        </is>
      </c>
      <c r="F5" s="19" t="inlineStr">
        <is>
          <t>Estado frente al límite anual</t>
        </is>
      </c>
      <c r="G5" s="19" t="inlineStr">
        <is>
          <t>Coste de las horas extra (€)</t>
        </is>
      </c>
      <c r="H5" s="20" t="inlineStr">
        <is>
          <t>Saldo del mes (trabajadas − contratadas)</t>
        </is>
      </c>
    </row>
    <row r="6">
      <c r="A6" s="32" t="n"/>
      <c r="B6" s="33">
        <f>IF($A6="","",ROUND(SUMIF('Registro Horas'!$A$5:$A$304,$A6&amp;"",'Registro Horas'!$H$5:$H$304),2))</f>
        <v/>
      </c>
      <c r="C6" s="33">
        <f>IF($A6="","",ROUND(SUMIFS('Registro Horas'!$H$5:$H$304,'Registro Horas'!$A$5:$A$304,$A6&amp;"",'Registro Horas'!$I$5:$I$304,"Fuerza mayor")+SUMIFS('Registro Horas'!$H$5:$H$304,'Registro Horas'!$A$5:$A$304,$A6&amp;"",'Registro Horas'!$I$5:$I$304,"Compensada con descanso")+SUMIFS('Registro Horas'!$H$5:$H$304,'Registro Horas'!$A$5:$A$304,$A6&amp;"",'Registro Horas'!$I$5:$I$304,"Complementaria (contrato parcial)"),2))</f>
        <v/>
      </c>
      <c r="D6" s="34">
        <f>IF($A6="","",ROUND($B6-$C6,2))</f>
        <v/>
      </c>
      <c r="E6" s="35" t="n"/>
      <c r="F6" s="16">
        <f>IF($E6="","",IF($E6&gt;$F$3,"⛔ EXCEDE ("&amp;TEXT($E6-$F$3,"0")&amp;" h)",IF($E6&gt;$F$3*0.8,"⚠ cerca del límite","✓ dentro")))</f>
        <v/>
      </c>
      <c r="G6" s="36">
        <f>IF($B6="","",ROUND(($B6-SUMIFS('Registro Horas'!$H$5:$H$304,'Registro Horas'!$A$5:$A$304,$A6&amp;"",'Registro Horas'!$I$5:$I$304,"Compensada con descanso")-SUMIFS('Registro Horas'!$H$5:$H$304,'Registro Horas'!$A$5:$A$304,$A6&amp;"",'Registro Horas'!$I$5:$I$304,"Complementaria (contrato parcial)"))*$B$3*$D$3+SUMIFS('Registro Horas'!$H$5:$H$304,'Registro Horas'!$A$5:$A$304,$A6&amp;"",'Registro Horas'!$I$5:$I$304,"Complementaria (contrato parcial)")*$B$3,2))</f>
        <v/>
      </c>
      <c r="H6">
        <f>IF($A6="","",IF(COUNTIF('Registro Horas'!$A$5:$A$304,$A6&amp;"")=0,"",ROUND(SUMIF('Registro Horas'!$A$5:$A$304,$A6&amp;"",'Registro Horas'!$F$5:$F$304)-SUMIF('Registro Horas'!$A$5:$A$304,$A6&amp;"",'Registro Horas'!$G$5:$G$304),2)))</f>
        <v/>
      </c>
    </row>
    <row r="7">
      <c r="A7" s="32" t="n"/>
      <c r="B7" s="33">
        <f>IF($A7="","",ROUND(SUMIF('Registro Horas'!$A$5:$A$304,$A7&amp;"",'Registro Horas'!$H$5:$H$304),2))</f>
        <v/>
      </c>
      <c r="C7" s="33">
        <f>IF($A7="","",ROUND(SUMIFS('Registro Horas'!$H$5:$H$304,'Registro Horas'!$A$5:$A$304,$A7&amp;"",'Registro Horas'!$I$5:$I$304,"Fuerza mayor")+SUMIFS('Registro Horas'!$H$5:$H$304,'Registro Horas'!$A$5:$A$304,$A7&amp;"",'Registro Horas'!$I$5:$I$304,"Compensada con descanso")+SUMIFS('Registro Horas'!$H$5:$H$304,'Registro Horas'!$A$5:$A$304,$A7&amp;"",'Registro Horas'!$I$5:$I$304,"Complementaria (contrato parcial)"),2))</f>
        <v/>
      </c>
      <c r="D7" s="34">
        <f>IF($A7="","",ROUND($B7-$C7,2))</f>
        <v/>
      </c>
      <c r="E7" s="35" t="n"/>
      <c r="F7" s="16">
        <f>IF($E7="","",IF($E7&gt;$F$3,"⛔ EXCEDE ("&amp;TEXT($E7-$F$3,"0")&amp;" h)",IF($E7&gt;$F$3*0.8,"⚠ cerca del límite","✓ dentro")))</f>
        <v/>
      </c>
      <c r="G7" s="36">
        <f>IF($B7="","",ROUND(($B7-SUMIFS('Registro Horas'!$H$5:$H$304,'Registro Horas'!$A$5:$A$304,$A7&amp;"",'Registro Horas'!$I$5:$I$304,"Compensada con descanso")-SUMIFS('Registro Horas'!$H$5:$H$304,'Registro Horas'!$A$5:$A$304,$A7&amp;"",'Registro Horas'!$I$5:$I$304,"Complementaria (contrato parcial)"))*$B$3*$D$3+SUMIFS('Registro Horas'!$H$5:$H$304,'Registro Horas'!$A$5:$A$304,$A7&amp;"",'Registro Horas'!$I$5:$I$304,"Complementaria (contrato parcial)")*$B$3,2))</f>
        <v/>
      </c>
      <c r="H7">
        <f>IF($A7="","",IF(COUNTIF('Registro Horas'!$A$5:$A$304,$A7&amp;"")=0,"",ROUND(SUMIF('Registro Horas'!$A$5:$A$304,$A7&amp;"",'Registro Horas'!$F$5:$F$304)-SUMIF('Registro Horas'!$A$5:$A$304,$A7&amp;"",'Registro Horas'!$G$5:$G$304),2)))</f>
        <v/>
      </c>
    </row>
    <row r="8">
      <c r="A8" s="32" t="n"/>
      <c r="B8" s="33">
        <f>IF($A8="","",ROUND(SUMIF('Registro Horas'!$A$5:$A$304,$A8&amp;"",'Registro Horas'!$H$5:$H$304),2))</f>
        <v/>
      </c>
      <c r="C8" s="33">
        <f>IF($A8="","",ROUND(SUMIFS('Registro Horas'!$H$5:$H$304,'Registro Horas'!$A$5:$A$304,$A8&amp;"",'Registro Horas'!$I$5:$I$304,"Fuerza mayor")+SUMIFS('Registro Horas'!$H$5:$H$304,'Registro Horas'!$A$5:$A$304,$A8&amp;"",'Registro Horas'!$I$5:$I$304,"Compensada con descanso")+SUMIFS('Registro Horas'!$H$5:$H$304,'Registro Horas'!$A$5:$A$304,$A8&amp;"",'Registro Horas'!$I$5:$I$304,"Complementaria (contrato parcial)"),2))</f>
        <v/>
      </c>
      <c r="D8" s="34">
        <f>IF($A8="","",ROUND($B8-$C8,2))</f>
        <v/>
      </c>
      <c r="E8" s="35" t="n"/>
      <c r="F8" s="16">
        <f>IF($E8="","",IF($E8&gt;$F$3,"⛔ EXCEDE ("&amp;TEXT($E8-$F$3,"0")&amp;" h)",IF($E8&gt;$F$3*0.8,"⚠ cerca del límite","✓ dentro")))</f>
        <v/>
      </c>
      <c r="G8" s="36">
        <f>IF($B8="","",ROUND(($B8-SUMIFS('Registro Horas'!$H$5:$H$304,'Registro Horas'!$A$5:$A$304,$A8&amp;"",'Registro Horas'!$I$5:$I$304,"Compensada con descanso")-SUMIFS('Registro Horas'!$H$5:$H$304,'Registro Horas'!$A$5:$A$304,$A8&amp;"",'Registro Horas'!$I$5:$I$304,"Complementaria (contrato parcial)"))*$B$3*$D$3+SUMIFS('Registro Horas'!$H$5:$H$304,'Registro Horas'!$A$5:$A$304,$A8&amp;"",'Registro Horas'!$I$5:$I$304,"Complementaria (contrato parcial)")*$B$3,2))</f>
        <v/>
      </c>
      <c r="H8">
        <f>IF($A8="","",IF(COUNTIF('Registro Horas'!$A$5:$A$304,$A8&amp;"")=0,"",ROUND(SUMIF('Registro Horas'!$A$5:$A$304,$A8&amp;"",'Registro Horas'!$F$5:$F$304)-SUMIF('Registro Horas'!$A$5:$A$304,$A8&amp;"",'Registro Horas'!$G$5:$G$304),2)))</f>
        <v/>
      </c>
    </row>
    <row r="9">
      <c r="A9" s="32" t="n"/>
      <c r="B9" s="33">
        <f>IF($A9="","",ROUND(SUMIF('Registro Horas'!$A$5:$A$304,$A9&amp;"",'Registro Horas'!$H$5:$H$304),2))</f>
        <v/>
      </c>
      <c r="C9" s="33">
        <f>IF($A9="","",ROUND(SUMIFS('Registro Horas'!$H$5:$H$304,'Registro Horas'!$A$5:$A$304,$A9&amp;"",'Registro Horas'!$I$5:$I$304,"Fuerza mayor")+SUMIFS('Registro Horas'!$H$5:$H$304,'Registro Horas'!$A$5:$A$304,$A9&amp;"",'Registro Horas'!$I$5:$I$304,"Compensada con descanso")+SUMIFS('Registro Horas'!$H$5:$H$304,'Registro Horas'!$A$5:$A$304,$A9&amp;"",'Registro Horas'!$I$5:$I$304,"Complementaria (contrato parcial)"),2))</f>
        <v/>
      </c>
      <c r="D9" s="34">
        <f>IF($A9="","",ROUND($B9-$C9,2))</f>
        <v/>
      </c>
      <c r="E9" s="35" t="n"/>
      <c r="F9" s="16">
        <f>IF($E9="","",IF($E9&gt;$F$3,"⛔ EXCEDE ("&amp;TEXT($E9-$F$3,"0")&amp;" h)",IF($E9&gt;$F$3*0.8,"⚠ cerca del límite","✓ dentro")))</f>
        <v/>
      </c>
      <c r="G9" s="36">
        <f>IF($B9="","",ROUND(($B9-SUMIFS('Registro Horas'!$H$5:$H$304,'Registro Horas'!$A$5:$A$304,$A9&amp;"",'Registro Horas'!$I$5:$I$304,"Compensada con descanso")-SUMIFS('Registro Horas'!$H$5:$H$304,'Registro Horas'!$A$5:$A$304,$A9&amp;"",'Registro Horas'!$I$5:$I$304,"Complementaria (contrato parcial)"))*$B$3*$D$3+SUMIFS('Registro Horas'!$H$5:$H$304,'Registro Horas'!$A$5:$A$304,$A9&amp;"",'Registro Horas'!$I$5:$I$304,"Complementaria (contrato parcial)")*$B$3,2))</f>
        <v/>
      </c>
      <c r="H9">
        <f>IF($A9="","",IF(COUNTIF('Registro Horas'!$A$5:$A$304,$A9&amp;"")=0,"",ROUND(SUMIF('Registro Horas'!$A$5:$A$304,$A9&amp;"",'Registro Horas'!$F$5:$F$304)-SUMIF('Registro Horas'!$A$5:$A$304,$A9&amp;"",'Registro Horas'!$G$5:$G$304),2)))</f>
        <v/>
      </c>
    </row>
    <row r="10">
      <c r="A10" s="32" t="n"/>
      <c r="B10" s="33">
        <f>IF($A10="","",ROUND(SUMIF('Registro Horas'!$A$5:$A$304,$A10&amp;"",'Registro Horas'!$H$5:$H$304),2))</f>
        <v/>
      </c>
      <c r="C10" s="33">
        <f>IF($A10="","",ROUND(SUMIFS('Registro Horas'!$H$5:$H$304,'Registro Horas'!$A$5:$A$304,$A10&amp;"",'Registro Horas'!$I$5:$I$304,"Fuerza mayor")+SUMIFS('Registro Horas'!$H$5:$H$304,'Registro Horas'!$A$5:$A$304,$A10&amp;"",'Registro Horas'!$I$5:$I$304,"Compensada con descanso")+SUMIFS('Registro Horas'!$H$5:$H$304,'Registro Horas'!$A$5:$A$304,$A10&amp;"",'Registro Horas'!$I$5:$I$304,"Complementaria (contrato parcial)"),2))</f>
        <v/>
      </c>
      <c r="D10" s="34">
        <f>IF($A10="","",ROUND($B10-$C10,2))</f>
        <v/>
      </c>
      <c r="E10" s="35" t="n"/>
      <c r="F10" s="16">
        <f>IF($E10="","",IF($E10&gt;$F$3,"⛔ EXCEDE ("&amp;TEXT($E10-$F$3,"0")&amp;" h)",IF($E10&gt;$F$3*0.8,"⚠ cerca del límite","✓ dentro")))</f>
        <v/>
      </c>
      <c r="G10" s="36">
        <f>IF($B10="","",ROUND(($B10-SUMIFS('Registro Horas'!$H$5:$H$304,'Registro Horas'!$A$5:$A$304,$A10&amp;"",'Registro Horas'!$I$5:$I$304,"Compensada con descanso")-SUMIFS('Registro Horas'!$H$5:$H$304,'Registro Horas'!$A$5:$A$304,$A10&amp;"",'Registro Horas'!$I$5:$I$304,"Complementaria (contrato parcial)"))*$B$3*$D$3+SUMIFS('Registro Horas'!$H$5:$H$304,'Registro Horas'!$A$5:$A$304,$A10&amp;"",'Registro Horas'!$I$5:$I$304,"Complementaria (contrato parcial)")*$B$3,2))</f>
        <v/>
      </c>
      <c r="H10">
        <f>IF($A10="","",IF(COUNTIF('Registro Horas'!$A$5:$A$304,$A10&amp;"")=0,"",ROUND(SUMIF('Registro Horas'!$A$5:$A$304,$A10&amp;"",'Registro Horas'!$F$5:$F$304)-SUMIF('Registro Horas'!$A$5:$A$304,$A10&amp;"",'Registro Horas'!$G$5:$G$304),2)))</f>
        <v/>
      </c>
    </row>
    <row r="11">
      <c r="A11" s="32" t="n"/>
      <c r="B11" s="33">
        <f>IF($A11="","",ROUND(SUMIF('Registro Horas'!$A$5:$A$304,$A11&amp;"",'Registro Horas'!$H$5:$H$304),2))</f>
        <v/>
      </c>
      <c r="C11" s="33">
        <f>IF($A11="","",ROUND(SUMIFS('Registro Horas'!$H$5:$H$304,'Registro Horas'!$A$5:$A$304,$A11&amp;"",'Registro Horas'!$I$5:$I$304,"Fuerza mayor")+SUMIFS('Registro Horas'!$H$5:$H$304,'Registro Horas'!$A$5:$A$304,$A11&amp;"",'Registro Horas'!$I$5:$I$304,"Compensada con descanso")+SUMIFS('Registro Horas'!$H$5:$H$304,'Registro Horas'!$A$5:$A$304,$A11&amp;"",'Registro Horas'!$I$5:$I$304,"Complementaria (contrato parcial)"),2))</f>
        <v/>
      </c>
      <c r="D11" s="34">
        <f>IF($A11="","",ROUND($B11-$C11,2))</f>
        <v/>
      </c>
      <c r="E11" s="35" t="n"/>
      <c r="F11" s="16">
        <f>IF($E11="","",IF($E11&gt;$F$3,"⛔ EXCEDE ("&amp;TEXT($E11-$F$3,"0")&amp;" h)",IF($E11&gt;$F$3*0.8,"⚠ cerca del límite","✓ dentro")))</f>
        <v/>
      </c>
      <c r="G11" s="36">
        <f>IF($B11="","",ROUND(($B11-SUMIFS('Registro Horas'!$H$5:$H$304,'Registro Horas'!$A$5:$A$304,$A11&amp;"",'Registro Horas'!$I$5:$I$304,"Compensada con descanso")-SUMIFS('Registro Horas'!$H$5:$H$304,'Registro Horas'!$A$5:$A$304,$A11&amp;"",'Registro Horas'!$I$5:$I$304,"Complementaria (contrato parcial)"))*$B$3*$D$3+SUMIFS('Registro Horas'!$H$5:$H$304,'Registro Horas'!$A$5:$A$304,$A11&amp;"",'Registro Horas'!$I$5:$I$304,"Complementaria (contrato parcial)")*$B$3,2))</f>
        <v/>
      </c>
      <c r="H11">
        <f>IF($A11="","",IF(COUNTIF('Registro Horas'!$A$5:$A$304,$A11&amp;"")=0,"",ROUND(SUMIF('Registro Horas'!$A$5:$A$304,$A11&amp;"",'Registro Horas'!$F$5:$F$304)-SUMIF('Registro Horas'!$A$5:$A$304,$A11&amp;"",'Registro Horas'!$G$5:$G$304),2)))</f>
        <v/>
      </c>
    </row>
    <row r="12">
      <c r="A12" s="32" t="n"/>
      <c r="B12" s="33">
        <f>IF($A12="","",ROUND(SUMIF('Registro Horas'!$A$5:$A$304,$A12&amp;"",'Registro Horas'!$H$5:$H$304),2))</f>
        <v/>
      </c>
      <c r="C12" s="33">
        <f>IF($A12="","",ROUND(SUMIFS('Registro Horas'!$H$5:$H$304,'Registro Horas'!$A$5:$A$304,$A12&amp;"",'Registro Horas'!$I$5:$I$304,"Fuerza mayor")+SUMIFS('Registro Horas'!$H$5:$H$304,'Registro Horas'!$A$5:$A$304,$A12&amp;"",'Registro Horas'!$I$5:$I$304,"Compensada con descanso")+SUMIFS('Registro Horas'!$H$5:$H$304,'Registro Horas'!$A$5:$A$304,$A12&amp;"",'Registro Horas'!$I$5:$I$304,"Complementaria (contrato parcial)"),2))</f>
        <v/>
      </c>
      <c r="D12" s="34">
        <f>IF($A12="","",ROUND($B12-$C12,2))</f>
        <v/>
      </c>
      <c r="E12" s="35" t="n"/>
      <c r="F12" s="16">
        <f>IF($E12="","",IF($E12&gt;$F$3,"⛔ EXCEDE ("&amp;TEXT($E12-$F$3,"0")&amp;" h)",IF($E12&gt;$F$3*0.8,"⚠ cerca del límite","✓ dentro")))</f>
        <v/>
      </c>
      <c r="G12" s="36">
        <f>IF($B12="","",ROUND(($B12-SUMIFS('Registro Horas'!$H$5:$H$304,'Registro Horas'!$A$5:$A$304,$A12&amp;"",'Registro Horas'!$I$5:$I$304,"Compensada con descanso")-SUMIFS('Registro Horas'!$H$5:$H$304,'Registro Horas'!$A$5:$A$304,$A12&amp;"",'Registro Horas'!$I$5:$I$304,"Complementaria (contrato parcial)"))*$B$3*$D$3+SUMIFS('Registro Horas'!$H$5:$H$304,'Registro Horas'!$A$5:$A$304,$A12&amp;"",'Registro Horas'!$I$5:$I$304,"Complementaria (contrato parcial)")*$B$3,2))</f>
        <v/>
      </c>
      <c r="H12">
        <f>IF($A12="","",IF(COUNTIF('Registro Horas'!$A$5:$A$304,$A12&amp;"")=0,"",ROUND(SUMIF('Registro Horas'!$A$5:$A$304,$A12&amp;"",'Registro Horas'!$F$5:$F$304)-SUMIF('Registro Horas'!$A$5:$A$304,$A12&amp;"",'Registro Horas'!$G$5:$G$304),2)))</f>
        <v/>
      </c>
    </row>
    <row r="13">
      <c r="A13" s="32" t="n"/>
      <c r="B13" s="33">
        <f>IF($A13="","",ROUND(SUMIF('Registro Horas'!$A$5:$A$304,$A13&amp;"",'Registro Horas'!$H$5:$H$304),2))</f>
        <v/>
      </c>
      <c r="C13" s="33">
        <f>IF($A13="","",ROUND(SUMIFS('Registro Horas'!$H$5:$H$304,'Registro Horas'!$A$5:$A$304,$A13&amp;"",'Registro Horas'!$I$5:$I$304,"Fuerza mayor")+SUMIFS('Registro Horas'!$H$5:$H$304,'Registro Horas'!$A$5:$A$304,$A13&amp;"",'Registro Horas'!$I$5:$I$304,"Compensada con descanso")+SUMIFS('Registro Horas'!$H$5:$H$304,'Registro Horas'!$A$5:$A$304,$A13&amp;"",'Registro Horas'!$I$5:$I$304,"Complementaria (contrato parcial)"),2))</f>
        <v/>
      </c>
      <c r="D13" s="34">
        <f>IF($A13="","",ROUND($B13-$C13,2))</f>
        <v/>
      </c>
      <c r="E13" s="35" t="n"/>
      <c r="F13" s="16">
        <f>IF($E13="","",IF($E13&gt;$F$3,"⛔ EXCEDE ("&amp;TEXT($E13-$F$3,"0")&amp;" h)",IF($E13&gt;$F$3*0.8,"⚠ cerca del límite","✓ dentro")))</f>
        <v/>
      </c>
      <c r="G13" s="36">
        <f>IF($B13="","",ROUND(($B13-SUMIFS('Registro Horas'!$H$5:$H$304,'Registro Horas'!$A$5:$A$304,$A13&amp;"",'Registro Horas'!$I$5:$I$304,"Compensada con descanso")-SUMIFS('Registro Horas'!$H$5:$H$304,'Registro Horas'!$A$5:$A$304,$A13&amp;"",'Registro Horas'!$I$5:$I$304,"Complementaria (contrato parcial)"))*$B$3*$D$3+SUMIFS('Registro Horas'!$H$5:$H$304,'Registro Horas'!$A$5:$A$304,$A13&amp;"",'Registro Horas'!$I$5:$I$304,"Complementaria (contrato parcial)")*$B$3,2))</f>
        <v/>
      </c>
      <c r="H13">
        <f>IF($A13="","",IF(COUNTIF('Registro Horas'!$A$5:$A$304,$A13&amp;"")=0,"",ROUND(SUMIF('Registro Horas'!$A$5:$A$304,$A13&amp;"",'Registro Horas'!$F$5:$F$304)-SUMIF('Registro Horas'!$A$5:$A$304,$A13&amp;"",'Registro Horas'!$G$5:$G$304),2)))</f>
        <v/>
      </c>
    </row>
    <row r="14">
      <c r="A14" s="32" t="n"/>
      <c r="B14" s="33">
        <f>IF($A14="","",ROUND(SUMIF('Registro Horas'!$A$5:$A$304,$A14&amp;"",'Registro Horas'!$H$5:$H$304),2))</f>
        <v/>
      </c>
      <c r="C14" s="33">
        <f>IF($A14="","",ROUND(SUMIFS('Registro Horas'!$H$5:$H$304,'Registro Horas'!$A$5:$A$304,$A14&amp;"",'Registro Horas'!$I$5:$I$304,"Fuerza mayor")+SUMIFS('Registro Horas'!$H$5:$H$304,'Registro Horas'!$A$5:$A$304,$A14&amp;"",'Registro Horas'!$I$5:$I$304,"Compensada con descanso")+SUMIFS('Registro Horas'!$H$5:$H$304,'Registro Horas'!$A$5:$A$304,$A14&amp;"",'Registro Horas'!$I$5:$I$304,"Complementaria (contrato parcial)"),2))</f>
        <v/>
      </c>
      <c r="D14" s="34">
        <f>IF($A14="","",ROUND($B14-$C14,2))</f>
        <v/>
      </c>
      <c r="E14" s="35" t="n"/>
      <c r="F14" s="16">
        <f>IF($E14="","",IF($E14&gt;$F$3,"⛔ EXCEDE ("&amp;TEXT($E14-$F$3,"0")&amp;" h)",IF($E14&gt;$F$3*0.8,"⚠ cerca del límite","✓ dentro")))</f>
        <v/>
      </c>
      <c r="G14" s="36">
        <f>IF($B14="","",ROUND(($B14-SUMIFS('Registro Horas'!$H$5:$H$304,'Registro Horas'!$A$5:$A$304,$A14&amp;"",'Registro Horas'!$I$5:$I$304,"Compensada con descanso")-SUMIFS('Registro Horas'!$H$5:$H$304,'Registro Horas'!$A$5:$A$304,$A14&amp;"",'Registro Horas'!$I$5:$I$304,"Complementaria (contrato parcial)"))*$B$3*$D$3+SUMIFS('Registro Horas'!$H$5:$H$304,'Registro Horas'!$A$5:$A$304,$A14&amp;"",'Registro Horas'!$I$5:$I$304,"Complementaria (contrato parcial)")*$B$3,2))</f>
        <v/>
      </c>
      <c r="H14">
        <f>IF($A14="","",IF(COUNTIF('Registro Horas'!$A$5:$A$304,$A14&amp;"")=0,"",ROUND(SUMIF('Registro Horas'!$A$5:$A$304,$A14&amp;"",'Registro Horas'!$F$5:$F$304)-SUMIF('Registro Horas'!$A$5:$A$304,$A14&amp;"",'Registro Horas'!$G$5:$G$304),2)))</f>
        <v/>
      </c>
    </row>
    <row r="15">
      <c r="A15" s="32" t="n"/>
      <c r="B15" s="33">
        <f>IF($A15="","",ROUND(SUMIF('Registro Horas'!$A$5:$A$304,$A15&amp;"",'Registro Horas'!$H$5:$H$304),2))</f>
        <v/>
      </c>
      <c r="C15" s="33">
        <f>IF($A15="","",ROUND(SUMIFS('Registro Horas'!$H$5:$H$304,'Registro Horas'!$A$5:$A$304,$A15&amp;"",'Registro Horas'!$I$5:$I$304,"Fuerza mayor")+SUMIFS('Registro Horas'!$H$5:$H$304,'Registro Horas'!$A$5:$A$304,$A15&amp;"",'Registro Horas'!$I$5:$I$304,"Compensada con descanso")+SUMIFS('Registro Horas'!$H$5:$H$304,'Registro Horas'!$A$5:$A$304,$A15&amp;"",'Registro Horas'!$I$5:$I$304,"Complementaria (contrato parcial)"),2))</f>
        <v/>
      </c>
      <c r="D15" s="34">
        <f>IF($A15="","",ROUND($B15-$C15,2))</f>
        <v/>
      </c>
      <c r="E15" s="35" t="n"/>
      <c r="F15" s="16">
        <f>IF($E15="","",IF($E15&gt;$F$3,"⛔ EXCEDE ("&amp;TEXT($E15-$F$3,"0")&amp;" h)",IF($E15&gt;$F$3*0.8,"⚠ cerca del límite","✓ dentro")))</f>
        <v/>
      </c>
      <c r="G15" s="36">
        <f>IF($B15="","",ROUND(($B15-SUMIFS('Registro Horas'!$H$5:$H$304,'Registro Horas'!$A$5:$A$304,$A15&amp;"",'Registro Horas'!$I$5:$I$304,"Compensada con descanso")-SUMIFS('Registro Horas'!$H$5:$H$304,'Registro Horas'!$A$5:$A$304,$A15&amp;"",'Registro Horas'!$I$5:$I$304,"Complementaria (contrato parcial)"))*$B$3*$D$3+SUMIFS('Registro Horas'!$H$5:$H$304,'Registro Horas'!$A$5:$A$304,$A15&amp;"",'Registro Horas'!$I$5:$I$304,"Complementaria (contrato parcial)")*$B$3,2))</f>
        <v/>
      </c>
      <c r="H15">
        <f>IF($A15="","",IF(COUNTIF('Registro Horas'!$A$5:$A$304,$A15&amp;"")=0,"",ROUND(SUMIF('Registro Horas'!$A$5:$A$304,$A15&amp;"",'Registro Horas'!$F$5:$F$304)-SUMIF('Registro Horas'!$A$5:$A$304,$A15&amp;"",'Registro Horas'!$G$5:$G$304),2)))</f>
        <v/>
      </c>
    </row>
    <row r="16">
      <c r="A16" s="32" t="n"/>
      <c r="B16" s="33">
        <f>IF($A16="","",ROUND(SUMIF('Registro Horas'!$A$5:$A$304,$A16&amp;"",'Registro Horas'!$H$5:$H$304),2))</f>
        <v/>
      </c>
      <c r="C16" s="33">
        <f>IF($A16="","",ROUND(SUMIFS('Registro Horas'!$H$5:$H$304,'Registro Horas'!$A$5:$A$304,$A16&amp;"",'Registro Horas'!$I$5:$I$304,"Fuerza mayor")+SUMIFS('Registro Horas'!$H$5:$H$304,'Registro Horas'!$A$5:$A$304,$A16&amp;"",'Registro Horas'!$I$5:$I$304,"Compensada con descanso")+SUMIFS('Registro Horas'!$H$5:$H$304,'Registro Horas'!$A$5:$A$304,$A16&amp;"",'Registro Horas'!$I$5:$I$304,"Complementaria (contrato parcial)"),2))</f>
        <v/>
      </c>
      <c r="D16" s="34">
        <f>IF($A16="","",ROUND($B16-$C16,2))</f>
        <v/>
      </c>
      <c r="E16" s="35" t="n"/>
      <c r="F16" s="16">
        <f>IF($E16="","",IF($E16&gt;$F$3,"⛔ EXCEDE ("&amp;TEXT($E16-$F$3,"0")&amp;" h)",IF($E16&gt;$F$3*0.8,"⚠ cerca del límite","✓ dentro")))</f>
        <v/>
      </c>
      <c r="G16" s="36">
        <f>IF($B16="","",ROUND(($B16-SUMIFS('Registro Horas'!$H$5:$H$304,'Registro Horas'!$A$5:$A$304,$A16&amp;"",'Registro Horas'!$I$5:$I$304,"Compensada con descanso")-SUMIFS('Registro Horas'!$H$5:$H$304,'Registro Horas'!$A$5:$A$304,$A16&amp;"",'Registro Horas'!$I$5:$I$304,"Complementaria (contrato parcial)"))*$B$3*$D$3+SUMIFS('Registro Horas'!$H$5:$H$304,'Registro Horas'!$A$5:$A$304,$A16&amp;"",'Registro Horas'!$I$5:$I$304,"Complementaria (contrato parcial)")*$B$3,2))</f>
        <v/>
      </c>
      <c r="H16">
        <f>IF($A16="","",IF(COUNTIF('Registro Horas'!$A$5:$A$304,$A16&amp;"")=0,"",ROUND(SUMIF('Registro Horas'!$A$5:$A$304,$A16&amp;"",'Registro Horas'!$F$5:$F$304)-SUMIF('Registro Horas'!$A$5:$A$304,$A16&amp;"",'Registro Horas'!$G$5:$G$304),2)))</f>
        <v/>
      </c>
    </row>
    <row r="17">
      <c r="A17" s="32" t="n"/>
      <c r="B17" s="33">
        <f>IF($A17="","",ROUND(SUMIF('Registro Horas'!$A$5:$A$304,$A17&amp;"",'Registro Horas'!$H$5:$H$304),2))</f>
        <v/>
      </c>
      <c r="C17" s="33">
        <f>IF($A17="","",ROUND(SUMIFS('Registro Horas'!$H$5:$H$304,'Registro Horas'!$A$5:$A$304,$A17&amp;"",'Registro Horas'!$I$5:$I$304,"Fuerza mayor")+SUMIFS('Registro Horas'!$H$5:$H$304,'Registro Horas'!$A$5:$A$304,$A17&amp;"",'Registro Horas'!$I$5:$I$304,"Compensada con descanso")+SUMIFS('Registro Horas'!$H$5:$H$304,'Registro Horas'!$A$5:$A$304,$A17&amp;"",'Registro Horas'!$I$5:$I$304,"Complementaria (contrato parcial)"),2))</f>
        <v/>
      </c>
      <c r="D17" s="34">
        <f>IF($A17="","",ROUND($B17-$C17,2))</f>
        <v/>
      </c>
      <c r="E17" s="35" t="n"/>
      <c r="F17" s="16">
        <f>IF($E17="","",IF($E17&gt;$F$3,"⛔ EXCEDE ("&amp;TEXT($E17-$F$3,"0")&amp;" h)",IF($E17&gt;$F$3*0.8,"⚠ cerca del límite","✓ dentro")))</f>
        <v/>
      </c>
      <c r="G17" s="36">
        <f>IF($B17="","",ROUND(($B17-SUMIFS('Registro Horas'!$H$5:$H$304,'Registro Horas'!$A$5:$A$304,$A17&amp;"",'Registro Horas'!$I$5:$I$304,"Compensada con descanso")-SUMIFS('Registro Horas'!$H$5:$H$304,'Registro Horas'!$A$5:$A$304,$A17&amp;"",'Registro Horas'!$I$5:$I$304,"Complementaria (contrato parcial)"))*$B$3*$D$3+SUMIFS('Registro Horas'!$H$5:$H$304,'Registro Horas'!$A$5:$A$304,$A17&amp;"",'Registro Horas'!$I$5:$I$304,"Complementaria (contrato parcial)")*$B$3,2))</f>
        <v/>
      </c>
      <c r="H17">
        <f>IF($A17="","",IF(COUNTIF('Registro Horas'!$A$5:$A$304,$A17&amp;"")=0,"",ROUND(SUMIF('Registro Horas'!$A$5:$A$304,$A17&amp;"",'Registro Horas'!$F$5:$F$304)-SUMIF('Registro Horas'!$A$5:$A$304,$A17&amp;"",'Registro Horas'!$G$5:$G$304),2)))</f>
        <v/>
      </c>
    </row>
    <row r="18">
      <c r="A18" s="32" t="n"/>
      <c r="B18" s="33">
        <f>IF($A18="","",ROUND(SUMIF('Registro Horas'!$A$5:$A$304,$A18&amp;"",'Registro Horas'!$H$5:$H$304),2))</f>
        <v/>
      </c>
      <c r="C18" s="33">
        <f>IF($A18="","",ROUND(SUMIFS('Registro Horas'!$H$5:$H$304,'Registro Horas'!$A$5:$A$304,$A18&amp;"",'Registro Horas'!$I$5:$I$304,"Fuerza mayor")+SUMIFS('Registro Horas'!$H$5:$H$304,'Registro Horas'!$A$5:$A$304,$A18&amp;"",'Registro Horas'!$I$5:$I$304,"Compensada con descanso")+SUMIFS('Registro Horas'!$H$5:$H$304,'Registro Horas'!$A$5:$A$304,$A18&amp;"",'Registro Horas'!$I$5:$I$304,"Complementaria (contrato parcial)"),2))</f>
        <v/>
      </c>
      <c r="D18" s="34">
        <f>IF($A18="","",ROUND($B18-$C18,2))</f>
        <v/>
      </c>
      <c r="E18" s="35" t="n"/>
      <c r="F18" s="16">
        <f>IF($E18="","",IF($E18&gt;$F$3,"⛔ EXCEDE ("&amp;TEXT($E18-$F$3,"0")&amp;" h)",IF($E18&gt;$F$3*0.8,"⚠ cerca del límite","✓ dentro")))</f>
        <v/>
      </c>
      <c r="G18" s="36">
        <f>IF($B18="","",ROUND(($B18-SUMIFS('Registro Horas'!$H$5:$H$304,'Registro Horas'!$A$5:$A$304,$A18&amp;"",'Registro Horas'!$I$5:$I$304,"Compensada con descanso")-SUMIFS('Registro Horas'!$H$5:$H$304,'Registro Horas'!$A$5:$A$304,$A18&amp;"",'Registro Horas'!$I$5:$I$304,"Complementaria (contrato parcial)"))*$B$3*$D$3+SUMIFS('Registro Horas'!$H$5:$H$304,'Registro Horas'!$A$5:$A$304,$A18&amp;"",'Registro Horas'!$I$5:$I$304,"Complementaria (contrato parcial)")*$B$3,2))</f>
        <v/>
      </c>
      <c r="H18">
        <f>IF($A18="","",IF(COUNTIF('Registro Horas'!$A$5:$A$304,$A18&amp;"")=0,"",ROUND(SUMIF('Registro Horas'!$A$5:$A$304,$A18&amp;"",'Registro Horas'!$F$5:$F$304)-SUMIF('Registro Horas'!$A$5:$A$304,$A18&amp;"",'Registro Horas'!$G$5:$G$304),2)))</f>
        <v/>
      </c>
    </row>
    <row r="19">
      <c r="A19" s="32" t="n"/>
      <c r="B19" s="33">
        <f>IF($A19="","",ROUND(SUMIF('Registro Horas'!$A$5:$A$304,$A19&amp;"",'Registro Horas'!$H$5:$H$304),2))</f>
        <v/>
      </c>
      <c r="C19" s="33">
        <f>IF($A19="","",ROUND(SUMIFS('Registro Horas'!$H$5:$H$304,'Registro Horas'!$A$5:$A$304,$A19&amp;"",'Registro Horas'!$I$5:$I$304,"Fuerza mayor")+SUMIFS('Registro Horas'!$H$5:$H$304,'Registro Horas'!$A$5:$A$304,$A19&amp;"",'Registro Horas'!$I$5:$I$304,"Compensada con descanso")+SUMIFS('Registro Horas'!$H$5:$H$304,'Registro Horas'!$A$5:$A$304,$A19&amp;"",'Registro Horas'!$I$5:$I$304,"Complementaria (contrato parcial)"),2))</f>
        <v/>
      </c>
      <c r="D19" s="34">
        <f>IF($A19="","",ROUND($B19-$C19,2))</f>
        <v/>
      </c>
      <c r="E19" s="35" t="n"/>
      <c r="F19" s="16">
        <f>IF($E19="","",IF($E19&gt;$F$3,"⛔ EXCEDE ("&amp;TEXT($E19-$F$3,"0")&amp;" h)",IF($E19&gt;$F$3*0.8,"⚠ cerca del límite","✓ dentro")))</f>
        <v/>
      </c>
      <c r="G19" s="36">
        <f>IF($B19="","",ROUND(($B19-SUMIFS('Registro Horas'!$H$5:$H$304,'Registro Horas'!$A$5:$A$304,$A19&amp;"",'Registro Horas'!$I$5:$I$304,"Compensada con descanso")-SUMIFS('Registro Horas'!$H$5:$H$304,'Registro Horas'!$A$5:$A$304,$A19&amp;"",'Registro Horas'!$I$5:$I$304,"Complementaria (contrato parcial)"))*$B$3*$D$3+SUMIFS('Registro Horas'!$H$5:$H$304,'Registro Horas'!$A$5:$A$304,$A19&amp;"",'Registro Horas'!$I$5:$I$304,"Complementaria (contrato parcial)")*$B$3,2))</f>
        <v/>
      </c>
      <c r="H19">
        <f>IF($A19="","",IF(COUNTIF('Registro Horas'!$A$5:$A$304,$A19&amp;"")=0,"",ROUND(SUMIF('Registro Horas'!$A$5:$A$304,$A19&amp;"",'Registro Horas'!$F$5:$F$304)-SUMIF('Registro Horas'!$A$5:$A$304,$A19&amp;"",'Registro Horas'!$G$5:$G$304),2)))</f>
        <v/>
      </c>
    </row>
    <row r="20">
      <c r="A20" s="32" t="n"/>
      <c r="B20" s="33">
        <f>IF($A20="","",ROUND(SUMIF('Registro Horas'!$A$5:$A$304,$A20&amp;"",'Registro Horas'!$H$5:$H$304),2))</f>
        <v/>
      </c>
      <c r="C20" s="33">
        <f>IF($A20="","",ROUND(SUMIFS('Registro Horas'!$H$5:$H$304,'Registro Horas'!$A$5:$A$304,$A20&amp;"",'Registro Horas'!$I$5:$I$304,"Fuerza mayor")+SUMIFS('Registro Horas'!$H$5:$H$304,'Registro Horas'!$A$5:$A$304,$A20&amp;"",'Registro Horas'!$I$5:$I$304,"Compensada con descanso")+SUMIFS('Registro Horas'!$H$5:$H$304,'Registro Horas'!$A$5:$A$304,$A20&amp;"",'Registro Horas'!$I$5:$I$304,"Complementaria (contrato parcial)"),2))</f>
        <v/>
      </c>
      <c r="D20" s="34">
        <f>IF($A20="","",ROUND($B20-$C20,2))</f>
        <v/>
      </c>
      <c r="E20" s="35" t="n"/>
      <c r="F20" s="16">
        <f>IF($E20="","",IF($E20&gt;$F$3,"⛔ EXCEDE ("&amp;TEXT($E20-$F$3,"0")&amp;" h)",IF($E20&gt;$F$3*0.8,"⚠ cerca del límite","✓ dentro")))</f>
        <v/>
      </c>
      <c r="G20" s="36">
        <f>IF($B20="","",ROUND(($B20-SUMIFS('Registro Horas'!$H$5:$H$304,'Registro Horas'!$A$5:$A$304,$A20&amp;"",'Registro Horas'!$I$5:$I$304,"Compensada con descanso")-SUMIFS('Registro Horas'!$H$5:$H$304,'Registro Horas'!$A$5:$A$304,$A20&amp;"",'Registro Horas'!$I$5:$I$304,"Complementaria (contrato parcial)"))*$B$3*$D$3+SUMIFS('Registro Horas'!$H$5:$H$304,'Registro Horas'!$A$5:$A$304,$A20&amp;"",'Registro Horas'!$I$5:$I$304,"Complementaria (contrato parcial)")*$B$3,2))</f>
        <v/>
      </c>
      <c r="H20">
        <f>IF($A20="","",IF(COUNTIF('Registro Horas'!$A$5:$A$304,$A20&amp;"")=0,"",ROUND(SUMIF('Registro Horas'!$A$5:$A$304,$A20&amp;"",'Registro Horas'!$F$5:$F$304)-SUMIF('Registro Horas'!$A$5:$A$304,$A20&amp;"",'Registro Horas'!$G$5:$G$304),2)))</f>
        <v/>
      </c>
    </row>
    <row r="21">
      <c r="A21" s="32" t="n"/>
      <c r="B21" s="33">
        <f>IF($A21="","",ROUND(SUMIF('Registro Horas'!$A$5:$A$304,$A21&amp;"",'Registro Horas'!$H$5:$H$304),2))</f>
        <v/>
      </c>
      <c r="C21" s="33">
        <f>IF($A21="","",ROUND(SUMIFS('Registro Horas'!$H$5:$H$304,'Registro Horas'!$A$5:$A$304,$A21&amp;"",'Registro Horas'!$I$5:$I$304,"Fuerza mayor")+SUMIFS('Registro Horas'!$H$5:$H$304,'Registro Horas'!$A$5:$A$304,$A21&amp;"",'Registro Horas'!$I$5:$I$304,"Compensada con descanso")+SUMIFS('Registro Horas'!$H$5:$H$304,'Registro Horas'!$A$5:$A$304,$A21&amp;"",'Registro Horas'!$I$5:$I$304,"Complementaria (contrato parcial)"),2))</f>
        <v/>
      </c>
      <c r="D21" s="34">
        <f>IF($A21="","",ROUND($B21-$C21,2))</f>
        <v/>
      </c>
      <c r="E21" s="35" t="n"/>
      <c r="F21" s="16">
        <f>IF($E21="","",IF($E21&gt;$F$3,"⛔ EXCEDE ("&amp;TEXT($E21-$F$3,"0")&amp;" h)",IF($E21&gt;$F$3*0.8,"⚠ cerca del límite","✓ dentro")))</f>
        <v/>
      </c>
      <c r="G21" s="36">
        <f>IF($B21="","",ROUND(($B21-SUMIFS('Registro Horas'!$H$5:$H$304,'Registro Horas'!$A$5:$A$304,$A21&amp;"",'Registro Horas'!$I$5:$I$304,"Compensada con descanso")-SUMIFS('Registro Horas'!$H$5:$H$304,'Registro Horas'!$A$5:$A$304,$A21&amp;"",'Registro Horas'!$I$5:$I$304,"Complementaria (contrato parcial)"))*$B$3*$D$3+SUMIFS('Registro Horas'!$H$5:$H$304,'Registro Horas'!$A$5:$A$304,$A21&amp;"",'Registro Horas'!$I$5:$I$304,"Complementaria (contrato parcial)")*$B$3,2))</f>
        <v/>
      </c>
      <c r="H21">
        <f>IF($A21="","",IF(COUNTIF('Registro Horas'!$A$5:$A$304,$A21&amp;"")=0,"",ROUND(SUMIF('Registro Horas'!$A$5:$A$304,$A21&amp;"",'Registro Horas'!$F$5:$F$304)-SUMIF('Registro Horas'!$A$5:$A$304,$A21&amp;"",'Registro Horas'!$G$5:$G$304),2)))</f>
        <v/>
      </c>
    </row>
    <row r="22">
      <c r="A22" s="32" t="n"/>
      <c r="B22" s="33">
        <f>IF($A22="","",ROUND(SUMIF('Registro Horas'!$A$5:$A$304,$A22&amp;"",'Registro Horas'!$H$5:$H$304),2))</f>
        <v/>
      </c>
      <c r="C22" s="33">
        <f>IF($A22="","",ROUND(SUMIFS('Registro Horas'!$H$5:$H$304,'Registro Horas'!$A$5:$A$304,$A22&amp;"",'Registro Horas'!$I$5:$I$304,"Fuerza mayor")+SUMIFS('Registro Horas'!$H$5:$H$304,'Registro Horas'!$A$5:$A$304,$A22&amp;"",'Registro Horas'!$I$5:$I$304,"Compensada con descanso")+SUMIFS('Registro Horas'!$H$5:$H$304,'Registro Horas'!$A$5:$A$304,$A22&amp;"",'Registro Horas'!$I$5:$I$304,"Complementaria (contrato parcial)"),2))</f>
        <v/>
      </c>
      <c r="D22" s="34">
        <f>IF($A22="","",ROUND($B22-$C22,2))</f>
        <v/>
      </c>
      <c r="E22" s="35" t="n"/>
      <c r="F22" s="16">
        <f>IF($E22="","",IF($E22&gt;$F$3,"⛔ EXCEDE ("&amp;TEXT($E22-$F$3,"0")&amp;" h)",IF($E22&gt;$F$3*0.8,"⚠ cerca del límite","✓ dentro")))</f>
        <v/>
      </c>
      <c r="G22" s="36">
        <f>IF($B22="","",ROUND(($B22-SUMIFS('Registro Horas'!$H$5:$H$304,'Registro Horas'!$A$5:$A$304,$A22&amp;"",'Registro Horas'!$I$5:$I$304,"Compensada con descanso")-SUMIFS('Registro Horas'!$H$5:$H$304,'Registro Horas'!$A$5:$A$304,$A22&amp;"",'Registro Horas'!$I$5:$I$304,"Complementaria (contrato parcial)"))*$B$3*$D$3+SUMIFS('Registro Horas'!$H$5:$H$304,'Registro Horas'!$A$5:$A$304,$A22&amp;"",'Registro Horas'!$I$5:$I$304,"Complementaria (contrato parcial)")*$B$3,2))</f>
        <v/>
      </c>
      <c r="H22">
        <f>IF($A22="","",IF(COUNTIF('Registro Horas'!$A$5:$A$304,$A22&amp;"")=0,"",ROUND(SUMIF('Registro Horas'!$A$5:$A$304,$A22&amp;"",'Registro Horas'!$F$5:$F$304)-SUMIF('Registro Horas'!$A$5:$A$304,$A22&amp;"",'Registro Horas'!$G$5:$G$304),2)))</f>
        <v/>
      </c>
    </row>
    <row r="23">
      <c r="A23" s="32" t="n"/>
      <c r="B23" s="33">
        <f>IF($A23="","",ROUND(SUMIF('Registro Horas'!$A$5:$A$304,$A23&amp;"",'Registro Horas'!$H$5:$H$304),2))</f>
        <v/>
      </c>
      <c r="C23" s="33">
        <f>IF($A23="","",ROUND(SUMIFS('Registro Horas'!$H$5:$H$304,'Registro Horas'!$A$5:$A$304,$A23&amp;"",'Registro Horas'!$I$5:$I$304,"Fuerza mayor")+SUMIFS('Registro Horas'!$H$5:$H$304,'Registro Horas'!$A$5:$A$304,$A23&amp;"",'Registro Horas'!$I$5:$I$304,"Compensada con descanso")+SUMIFS('Registro Horas'!$H$5:$H$304,'Registro Horas'!$A$5:$A$304,$A23&amp;"",'Registro Horas'!$I$5:$I$304,"Complementaria (contrato parcial)"),2))</f>
        <v/>
      </c>
      <c r="D23" s="34">
        <f>IF($A23="","",ROUND($B23-$C23,2))</f>
        <v/>
      </c>
      <c r="E23" s="35" t="n"/>
      <c r="F23" s="16">
        <f>IF($E23="","",IF($E23&gt;$F$3,"⛔ EXCEDE ("&amp;TEXT($E23-$F$3,"0")&amp;" h)",IF($E23&gt;$F$3*0.8,"⚠ cerca del límite","✓ dentro")))</f>
        <v/>
      </c>
      <c r="G23" s="36">
        <f>IF($B23="","",ROUND(($B23-SUMIFS('Registro Horas'!$H$5:$H$304,'Registro Horas'!$A$5:$A$304,$A23&amp;"",'Registro Horas'!$I$5:$I$304,"Compensada con descanso")-SUMIFS('Registro Horas'!$H$5:$H$304,'Registro Horas'!$A$5:$A$304,$A23&amp;"",'Registro Horas'!$I$5:$I$304,"Complementaria (contrato parcial)"))*$B$3*$D$3+SUMIFS('Registro Horas'!$H$5:$H$304,'Registro Horas'!$A$5:$A$304,$A23&amp;"",'Registro Horas'!$I$5:$I$304,"Complementaria (contrato parcial)")*$B$3,2))</f>
        <v/>
      </c>
      <c r="H23">
        <f>IF($A23="","",IF(COUNTIF('Registro Horas'!$A$5:$A$304,$A23&amp;"")=0,"",ROUND(SUMIF('Registro Horas'!$A$5:$A$304,$A23&amp;"",'Registro Horas'!$F$5:$F$304)-SUMIF('Registro Horas'!$A$5:$A$304,$A23&amp;"",'Registro Horas'!$G$5:$G$304),2)))</f>
        <v/>
      </c>
    </row>
    <row r="24">
      <c r="A24" s="32" t="n"/>
      <c r="B24" s="33">
        <f>IF($A24="","",ROUND(SUMIF('Registro Horas'!$A$5:$A$304,$A24&amp;"",'Registro Horas'!$H$5:$H$304),2))</f>
        <v/>
      </c>
      <c r="C24" s="33">
        <f>IF($A24="","",ROUND(SUMIFS('Registro Horas'!$H$5:$H$304,'Registro Horas'!$A$5:$A$304,$A24&amp;"",'Registro Horas'!$I$5:$I$304,"Fuerza mayor")+SUMIFS('Registro Horas'!$H$5:$H$304,'Registro Horas'!$A$5:$A$304,$A24&amp;"",'Registro Horas'!$I$5:$I$304,"Compensada con descanso")+SUMIFS('Registro Horas'!$H$5:$H$304,'Registro Horas'!$A$5:$A$304,$A24&amp;"",'Registro Horas'!$I$5:$I$304,"Complementaria (contrato parcial)"),2))</f>
        <v/>
      </c>
      <c r="D24" s="34">
        <f>IF($A24="","",ROUND($B24-$C24,2))</f>
        <v/>
      </c>
      <c r="E24" s="35" t="n"/>
      <c r="F24" s="16">
        <f>IF($E24="","",IF($E24&gt;$F$3,"⛔ EXCEDE ("&amp;TEXT($E24-$F$3,"0")&amp;" h)",IF($E24&gt;$F$3*0.8,"⚠ cerca del límite","✓ dentro")))</f>
        <v/>
      </c>
      <c r="G24" s="36">
        <f>IF($B24="","",ROUND(($B24-SUMIFS('Registro Horas'!$H$5:$H$304,'Registro Horas'!$A$5:$A$304,$A24&amp;"",'Registro Horas'!$I$5:$I$304,"Compensada con descanso")-SUMIFS('Registro Horas'!$H$5:$H$304,'Registro Horas'!$A$5:$A$304,$A24&amp;"",'Registro Horas'!$I$5:$I$304,"Complementaria (contrato parcial)"))*$B$3*$D$3+SUMIFS('Registro Horas'!$H$5:$H$304,'Registro Horas'!$A$5:$A$304,$A24&amp;"",'Registro Horas'!$I$5:$I$304,"Complementaria (contrato parcial)")*$B$3,2))</f>
        <v/>
      </c>
      <c r="H24">
        <f>IF($A24="","",IF(COUNTIF('Registro Horas'!$A$5:$A$304,$A24&amp;"")=0,"",ROUND(SUMIF('Registro Horas'!$A$5:$A$304,$A24&amp;"",'Registro Horas'!$F$5:$F$304)-SUMIF('Registro Horas'!$A$5:$A$304,$A24&amp;"",'Registro Horas'!$G$5:$G$304),2)))</f>
        <v/>
      </c>
    </row>
    <row r="25">
      <c r="A25" s="32" t="n"/>
      <c r="B25" s="33">
        <f>IF($A25="","",ROUND(SUMIF('Registro Horas'!$A$5:$A$304,$A25&amp;"",'Registro Horas'!$H$5:$H$304),2))</f>
        <v/>
      </c>
      <c r="C25" s="33">
        <f>IF($A25="","",ROUND(SUMIFS('Registro Horas'!$H$5:$H$304,'Registro Horas'!$A$5:$A$304,$A25&amp;"",'Registro Horas'!$I$5:$I$304,"Fuerza mayor")+SUMIFS('Registro Horas'!$H$5:$H$304,'Registro Horas'!$A$5:$A$304,$A25&amp;"",'Registro Horas'!$I$5:$I$304,"Compensada con descanso")+SUMIFS('Registro Horas'!$H$5:$H$304,'Registro Horas'!$A$5:$A$304,$A25&amp;"",'Registro Horas'!$I$5:$I$304,"Complementaria (contrato parcial)"),2))</f>
        <v/>
      </c>
      <c r="D25" s="34">
        <f>IF($A25="","",ROUND($B25-$C25,2))</f>
        <v/>
      </c>
      <c r="E25" s="35" t="n"/>
      <c r="F25" s="16">
        <f>IF($E25="","",IF($E25&gt;$F$3,"⛔ EXCEDE ("&amp;TEXT($E25-$F$3,"0")&amp;" h)",IF($E25&gt;$F$3*0.8,"⚠ cerca del límite","✓ dentro")))</f>
        <v/>
      </c>
      <c r="G25" s="36">
        <f>IF($B25="","",ROUND(($B25-SUMIFS('Registro Horas'!$H$5:$H$304,'Registro Horas'!$A$5:$A$304,$A25&amp;"",'Registro Horas'!$I$5:$I$304,"Compensada con descanso")-SUMIFS('Registro Horas'!$H$5:$H$304,'Registro Horas'!$A$5:$A$304,$A25&amp;"",'Registro Horas'!$I$5:$I$304,"Complementaria (contrato parcial)"))*$B$3*$D$3+SUMIFS('Registro Horas'!$H$5:$H$304,'Registro Horas'!$A$5:$A$304,$A25&amp;"",'Registro Horas'!$I$5:$I$304,"Complementaria (contrato parcial)")*$B$3,2))</f>
        <v/>
      </c>
      <c r="H25">
        <f>IF($A25="","",IF(COUNTIF('Registro Horas'!$A$5:$A$304,$A25&amp;"")=0,"",ROUND(SUMIF('Registro Horas'!$A$5:$A$304,$A25&amp;"",'Registro Horas'!$F$5:$F$304)-SUMIF('Registro Horas'!$A$5:$A$304,$A25&amp;"",'Registro Horas'!$G$5:$G$304),2)))</f>
        <v/>
      </c>
    </row>
    <row r="26">
      <c r="A26" s="32" t="n"/>
      <c r="B26" s="33">
        <f>IF($A26="","",ROUND(SUMIF('Registro Horas'!$A$5:$A$304,$A26&amp;"",'Registro Horas'!$H$5:$H$304),2))</f>
        <v/>
      </c>
      <c r="C26" s="33">
        <f>IF($A26="","",ROUND(SUMIFS('Registro Horas'!$H$5:$H$304,'Registro Horas'!$A$5:$A$304,$A26&amp;"",'Registro Horas'!$I$5:$I$304,"Fuerza mayor")+SUMIFS('Registro Horas'!$H$5:$H$304,'Registro Horas'!$A$5:$A$304,$A26&amp;"",'Registro Horas'!$I$5:$I$304,"Compensada con descanso")+SUMIFS('Registro Horas'!$H$5:$H$304,'Registro Horas'!$A$5:$A$304,$A26&amp;"",'Registro Horas'!$I$5:$I$304,"Complementaria (contrato parcial)"),2))</f>
        <v/>
      </c>
      <c r="D26" s="34">
        <f>IF($A26="","",ROUND($B26-$C26,2))</f>
        <v/>
      </c>
      <c r="E26" s="35" t="n"/>
      <c r="F26" s="16">
        <f>IF($E26="","",IF($E26&gt;$F$3,"⛔ EXCEDE ("&amp;TEXT($E26-$F$3,"0")&amp;" h)",IF($E26&gt;$F$3*0.8,"⚠ cerca del límite","✓ dentro")))</f>
        <v/>
      </c>
      <c r="G26" s="36">
        <f>IF($B26="","",ROUND(($B26-SUMIFS('Registro Horas'!$H$5:$H$304,'Registro Horas'!$A$5:$A$304,$A26&amp;"",'Registro Horas'!$I$5:$I$304,"Compensada con descanso")-SUMIFS('Registro Horas'!$H$5:$H$304,'Registro Horas'!$A$5:$A$304,$A26&amp;"",'Registro Horas'!$I$5:$I$304,"Complementaria (contrato parcial)"))*$B$3*$D$3+SUMIFS('Registro Horas'!$H$5:$H$304,'Registro Horas'!$A$5:$A$304,$A26&amp;"",'Registro Horas'!$I$5:$I$304,"Complementaria (contrato parcial)")*$B$3,2))</f>
        <v/>
      </c>
      <c r="H26">
        <f>IF($A26="","",IF(COUNTIF('Registro Horas'!$A$5:$A$304,$A26&amp;"")=0,"",ROUND(SUMIF('Registro Horas'!$A$5:$A$304,$A26&amp;"",'Registro Horas'!$F$5:$F$304)-SUMIF('Registro Horas'!$A$5:$A$304,$A26&amp;"",'Registro Horas'!$G$5:$G$304),2)))</f>
        <v/>
      </c>
    </row>
    <row r="27">
      <c r="A27" s="32" t="n"/>
      <c r="B27" s="33">
        <f>IF($A27="","",ROUND(SUMIF('Registro Horas'!$A$5:$A$304,$A27&amp;"",'Registro Horas'!$H$5:$H$304),2))</f>
        <v/>
      </c>
      <c r="C27" s="33">
        <f>IF($A27="","",ROUND(SUMIFS('Registro Horas'!$H$5:$H$304,'Registro Horas'!$A$5:$A$304,$A27&amp;"",'Registro Horas'!$I$5:$I$304,"Fuerza mayor")+SUMIFS('Registro Horas'!$H$5:$H$304,'Registro Horas'!$A$5:$A$304,$A27&amp;"",'Registro Horas'!$I$5:$I$304,"Compensada con descanso")+SUMIFS('Registro Horas'!$H$5:$H$304,'Registro Horas'!$A$5:$A$304,$A27&amp;"",'Registro Horas'!$I$5:$I$304,"Complementaria (contrato parcial)"),2))</f>
        <v/>
      </c>
      <c r="D27" s="34">
        <f>IF($A27="","",ROUND($B27-$C27,2))</f>
        <v/>
      </c>
      <c r="E27" s="35" t="n"/>
      <c r="F27" s="16">
        <f>IF($E27="","",IF($E27&gt;$F$3,"⛔ EXCEDE ("&amp;TEXT($E27-$F$3,"0")&amp;" h)",IF($E27&gt;$F$3*0.8,"⚠ cerca del límite","✓ dentro")))</f>
        <v/>
      </c>
      <c r="G27" s="36">
        <f>IF($B27="","",ROUND(($B27-SUMIFS('Registro Horas'!$H$5:$H$304,'Registro Horas'!$A$5:$A$304,$A27&amp;"",'Registro Horas'!$I$5:$I$304,"Compensada con descanso")-SUMIFS('Registro Horas'!$H$5:$H$304,'Registro Horas'!$A$5:$A$304,$A27&amp;"",'Registro Horas'!$I$5:$I$304,"Complementaria (contrato parcial)"))*$B$3*$D$3+SUMIFS('Registro Horas'!$H$5:$H$304,'Registro Horas'!$A$5:$A$304,$A27&amp;"",'Registro Horas'!$I$5:$I$304,"Complementaria (contrato parcial)")*$B$3,2))</f>
        <v/>
      </c>
      <c r="H27">
        <f>IF($A27="","",IF(COUNTIF('Registro Horas'!$A$5:$A$304,$A27&amp;"")=0,"",ROUND(SUMIF('Registro Horas'!$A$5:$A$304,$A27&amp;"",'Registro Horas'!$F$5:$F$304)-SUMIF('Registro Horas'!$A$5:$A$304,$A27&amp;"",'Registro Horas'!$G$5:$G$304),2)))</f>
        <v/>
      </c>
    </row>
    <row r="28">
      <c r="A28" s="32" t="n"/>
      <c r="B28" s="33">
        <f>IF($A28="","",ROUND(SUMIF('Registro Horas'!$A$5:$A$304,$A28&amp;"",'Registro Horas'!$H$5:$H$304),2))</f>
        <v/>
      </c>
      <c r="C28" s="33">
        <f>IF($A28="","",ROUND(SUMIFS('Registro Horas'!$H$5:$H$304,'Registro Horas'!$A$5:$A$304,$A28&amp;"",'Registro Horas'!$I$5:$I$304,"Fuerza mayor")+SUMIFS('Registro Horas'!$H$5:$H$304,'Registro Horas'!$A$5:$A$304,$A28&amp;"",'Registro Horas'!$I$5:$I$304,"Compensada con descanso")+SUMIFS('Registro Horas'!$H$5:$H$304,'Registro Horas'!$A$5:$A$304,$A28&amp;"",'Registro Horas'!$I$5:$I$304,"Complementaria (contrato parcial)"),2))</f>
        <v/>
      </c>
      <c r="D28" s="34">
        <f>IF($A28="","",ROUND($B28-$C28,2))</f>
        <v/>
      </c>
      <c r="E28" s="35" t="n"/>
      <c r="F28" s="16">
        <f>IF($E28="","",IF($E28&gt;$F$3,"⛔ EXCEDE ("&amp;TEXT($E28-$F$3,"0")&amp;" h)",IF($E28&gt;$F$3*0.8,"⚠ cerca del límite","✓ dentro")))</f>
        <v/>
      </c>
      <c r="G28" s="36">
        <f>IF($B28="","",ROUND(($B28-SUMIFS('Registro Horas'!$H$5:$H$304,'Registro Horas'!$A$5:$A$304,$A28&amp;"",'Registro Horas'!$I$5:$I$304,"Compensada con descanso")-SUMIFS('Registro Horas'!$H$5:$H$304,'Registro Horas'!$A$5:$A$304,$A28&amp;"",'Registro Horas'!$I$5:$I$304,"Complementaria (contrato parcial)"))*$B$3*$D$3+SUMIFS('Registro Horas'!$H$5:$H$304,'Registro Horas'!$A$5:$A$304,$A28&amp;"",'Registro Horas'!$I$5:$I$304,"Complementaria (contrato parcial)")*$B$3,2))</f>
        <v/>
      </c>
      <c r="H28">
        <f>IF($A28="","",IF(COUNTIF('Registro Horas'!$A$5:$A$304,$A28&amp;"")=0,"",ROUND(SUMIF('Registro Horas'!$A$5:$A$304,$A28&amp;"",'Registro Horas'!$F$5:$F$304)-SUMIF('Registro Horas'!$A$5:$A$304,$A28&amp;"",'Registro Horas'!$G$5:$G$304),2)))</f>
        <v/>
      </c>
    </row>
    <row r="29">
      <c r="A29" s="32" t="n"/>
      <c r="B29" s="33">
        <f>IF($A29="","",ROUND(SUMIF('Registro Horas'!$A$5:$A$304,$A29&amp;"",'Registro Horas'!$H$5:$H$304),2))</f>
        <v/>
      </c>
      <c r="C29" s="33">
        <f>IF($A29="","",ROUND(SUMIFS('Registro Horas'!$H$5:$H$304,'Registro Horas'!$A$5:$A$304,$A29&amp;"",'Registro Horas'!$I$5:$I$304,"Fuerza mayor")+SUMIFS('Registro Horas'!$H$5:$H$304,'Registro Horas'!$A$5:$A$304,$A29&amp;"",'Registro Horas'!$I$5:$I$304,"Compensada con descanso")+SUMIFS('Registro Horas'!$H$5:$H$304,'Registro Horas'!$A$5:$A$304,$A29&amp;"",'Registro Horas'!$I$5:$I$304,"Complementaria (contrato parcial)"),2))</f>
        <v/>
      </c>
      <c r="D29" s="34">
        <f>IF($A29="","",ROUND($B29-$C29,2))</f>
        <v/>
      </c>
      <c r="E29" s="35" t="n"/>
      <c r="F29" s="16">
        <f>IF($E29="","",IF($E29&gt;$F$3,"⛔ EXCEDE ("&amp;TEXT($E29-$F$3,"0")&amp;" h)",IF($E29&gt;$F$3*0.8,"⚠ cerca del límite","✓ dentro")))</f>
        <v/>
      </c>
      <c r="G29" s="36">
        <f>IF($B29="","",ROUND(($B29-SUMIFS('Registro Horas'!$H$5:$H$304,'Registro Horas'!$A$5:$A$304,$A29&amp;"",'Registro Horas'!$I$5:$I$304,"Compensada con descanso")-SUMIFS('Registro Horas'!$H$5:$H$304,'Registro Horas'!$A$5:$A$304,$A29&amp;"",'Registro Horas'!$I$5:$I$304,"Complementaria (contrato parcial)"))*$B$3*$D$3+SUMIFS('Registro Horas'!$H$5:$H$304,'Registro Horas'!$A$5:$A$304,$A29&amp;"",'Registro Horas'!$I$5:$I$304,"Complementaria (contrato parcial)")*$B$3,2))</f>
        <v/>
      </c>
      <c r="H29">
        <f>IF($A29="","",IF(COUNTIF('Registro Horas'!$A$5:$A$304,$A29&amp;"")=0,"",ROUND(SUMIF('Registro Horas'!$A$5:$A$304,$A29&amp;"",'Registro Horas'!$F$5:$F$304)-SUMIF('Registro Horas'!$A$5:$A$304,$A29&amp;"",'Registro Horas'!$G$5:$G$304),2)))</f>
        <v/>
      </c>
    </row>
    <row r="30">
      <c r="A30" s="32" t="n"/>
      <c r="B30" s="33">
        <f>IF($A30="","",ROUND(SUMIF('Registro Horas'!$A$5:$A$304,$A30&amp;"",'Registro Horas'!$H$5:$H$304),2))</f>
        <v/>
      </c>
      <c r="C30" s="33">
        <f>IF($A30="","",ROUND(SUMIFS('Registro Horas'!$H$5:$H$304,'Registro Horas'!$A$5:$A$304,$A30&amp;"",'Registro Horas'!$I$5:$I$304,"Fuerza mayor")+SUMIFS('Registro Horas'!$H$5:$H$304,'Registro Horas'!$A$5:$A$304,$A30&amp;"",'Registro Horas'!$I$5:$I$304,"Compensada con descanso")+SUMIFS('Registro Horas'!$H$5:$H$304,'Registro Horas'!$A$5:$A$304,$A30&amp;"",'Registro Horas'!$I$5:$I$304,"Complementaria (contrato parcial)"),2))</f>
        <v/>
      </c>
      <c r="D30" s="34">
        <f>IF($A30="","",ROUND($B30-$C30,2))</f>
        <v/>
      </c>
      <c r="E30" s="35" t="n"/>
      <c r="F30" s="16">
        <f>IF($E30="","",IF($E30&gt;$F$3,"⛔ EXCEDE ("&amp;TEXT($E30-$F$3,"0")&amp;" h)",IF($E30&gt;$F$3*0.8,"⚠ cerca del límite","✓ dentro")))</f>
        <v/>
      </c>
      <c r="G30" s="36">
        <f>IF($B30="","",ROUND(($B30-SUMIFS('Registro Horas'!$H$5:$H$304,'Registro Horas'!$A$5:$A$304,$A30&amp;"",'Registro Horas'!$I$5:$I$304,"Compensada con descanso")-SUMIFS('Registro Horas'!$H$5:$H$304,'Registro Horas'!$A$5:$A$304,$A30&amp;"",'Registro Horas'!$I$5:$I$304,"Complementaria (contrato parcial)"))*$B$3*$D$3+SUMIFS('Registro Horas'!$H$5:$H$304,'Registro Horas'!$A$5:$A$304,$A30&amp;"",'Registro Horas'!$I$5:$I$304,"Complementaria (contrato parcial)")*$B$3,2))</f>
        <v/>
      </c>
      <c r="H30">
        <f>IF($A30="","",IF(COUNTIF('Registro Horas'!$A$5:$A$304,$A30&amp;"")=0,"",ROUND(SUMIF('Registro Horas'!$A$5:$A$304,$A30&amp;"",'Registro Horas'!$F$5:$F$304)-SUMIF('Registro Horas'!$A$5:$A$304,$A30&amp;"",'Registro Horas'!$G$5:$G$304),2)))</f>
        <v/>
      </c>
    </row>
    <row r="31">
      <c r="A31" s="32" t="n"/>
      <c r="B31" s="33">
        <f>IF($A31="","",ROUND(SUMIF('Registro Horas'!$A$5:$A$304,$A31&amp;"",'Registro Horas'!$H$5:$H$304),2))</f>
        <v/>
      </c>
      <c r="C31" s="33">
        <f>IF($A31="","",ROUND(SUMIFS('Registro Horas'!$H$5:$H$304,'Registro Horas'!$A$5:$A$304,$A31&amp;"",'Registro Horas'!$I$5:$I$304,"Fuerza mayor")+SUMIFS('Registro Horas'!$H$5:$H$304,'Registro Horas'!$A$5:$A$304,$A31&amp;"",'Registro Horas'!$I$5:$I$304,"Compensada con descanso")+SUMIFS('Registro Horas'!$H$5:$H$304,'Registro Horas'!$A$5:$A$304,$A31&amp;"",'Registro Horas'!$I$5:$I$304,"Complementaria (contrato parcial)"),2))</f>
        <v/>
      </c>
      <c r="D31" s="34">
        <f>IF($A31="","",ROUND($B31-$C31,2))</f>
        <v/>
      </c>
      <c r="E31" s="35" t="n"/>
      <c r="F31" s="16">
        <f>IF($E31="","",IF($E31&gt;$F$3,"⛔ EXCEDE ("&amp;TEXT($E31-$F$3,"0")&amp;" h)",IF($E31&gt;$F$3*0.8,"⚠ cerca del límite","✓ dentro")))</f>
        <v/>
      </c>
      <c r="G31" s="36">
        <f>IF($B31="","",ROUND(($B31-SUMIFS('Registro Horas'!$H$5:$H$304,'Registro Horas'!$A$5:$A$304,$A31&amp;"",'Registro Horas'!$I$5:$I$304,"Compensada con descanso")-SUMIFS('Registro Horas'!$H$5:$H$304,'Registro Horas'!$A$5:$A$304,$A31&amp;"",'Registro Horas'!$I$5:$I$304,"Complementaria (contrato parcial)"))*$B$3*$D$3+SUMIFS('Registro Horas'!$H$5:$H$304,'Registro Horas'!$A$5:$A$304,$A31&amp;"",'Registro Horas'!$I$5:$I$304,"Complementaria (contrato parcial)")*$B$3,2))</f>
        <v/>
      </c>
      <c r="H31">
        <f>IF($A31="","",IF(COUNTIF('Registro Horas'!$A$5:$A$304,$A31&amp;"")=0,"",ROUND(SUMIF('Registro Horas'!$A$5:$A$304,$A31&amp;"",'Registro Horas'!$F$5:$F$304)-SUMIF('Registro Horas'!$A$5:$A$304,$A31&amp;"",'Registro Horas'!$G$5:$G$304),2)))</f>
        <v/>
      </c>
    </row>
    <row r="32">
      <c r="A32" s="32" t="n"/>
      <c r="B32" s="33">
        <f>IF($A32="","",ROUND(SUMIF('Registro Horas'!$A$5:$A$304,$A32&amp;"",'Registro Horas'!$H$5:$H$304),2))</f>
        <v/>
      </c>
      <c r="C32" s="33">
        <f>IF($A32="","",ROUND(SUMIFS('Registro Horas'!$H$5:$H$304,'Registro Horas'!$A$5:$A$304,$A32&amp;"",'Registro Horas'!$I$5:$I$304,"Fuerza mayor")+SUMIFS('Registro Horas'!$H$5:$H$304,'Registro Horas'!$A$5:$A$304,$A32&amp;"",'Registro Horas'!$I$5:$I$304,"Compensada con descanso")+SUMIFS('Registro Horas'!$H$5:$H$304,'Registro Horas'!$A$5:$A$304,$A32&amp;"",'Registro Horas'!$I$5:$I$304,"Complementaria (contrato parcial)"),2))</f>
        <v/>
      </c>
      <c r="D32" s="34">
        <f>IF($A32="","",ROUND($B32-$C32,2))</f>
        <v/>
      </c>
      <c r="E32" s="35" t="n"/>
      <c r="F32" s="16">
        <f>IF($E32="","",IF($E32&gt;$F$3,"⛔ EXCEDE ("&amp;TEXT($E32-$F$3,"0")&amp;" h)",IF($E32&gt;$F$3*0.8,"⚠ cerca del límite","✓ dentro")))</f>
        <v/>
      </c>
      <c r="G32" s="36">
        <f>IF($B32="","",ROUND(($B32-SUMIFS('Registro Horas'!$H$5:$H$304,'Registro Horas'!$A$5:$A$304,$A32&amp;"",'Registro Horas'!$I$5:$I$304,"Compensada con descanso")-SUMIFS('Registro Horas'!$H$5:$H$304,'Registro Horas'!$A$5:$A$304,$A32&amp;"",'Registro Horas'!$I$5:$I$304,"Complementaria (contrato parcial)"))*$B$3*$D$3+SUMIFS('Registro Horas'!$H$5:$H$304,'Registro Horas'!$A$5:$A$304,$A32&amp;"",'Registro Horas'!$I$5:$I$304,"Complementaria (contrato parcial)")*$B$3,2))</f>
        <v/>
      </c>
      <c r="H32">
        <f>IF($A32="","",IF(COUNTIF('Registro Horas'!$A$5:$A$304,$A32&amp;"")=0,"",ROUND(SUMIF('Registro Horas'!$A$5:$A$304,$A32&amp;"",'Registro Horas'!$F$5:$F$304)-SUMIF('Registro Horas'!$A$5:$A$304,$A32&amp;"",'Registro Horas'!$G$5:$G$304),2)))</f>
        <v/>
      </c>
    </row>
    <row r="33">
      <c r="A33" s="32" t="n"/>
      <c r="B33" s="33">
        <f>IF($A33="","",ROUND(SUMIF('Registro Horas'!$A$5:$A$304,$A33&amp;"",'Registro Horas'!$H$5:$H$304),2))</f>
        <v/>
      </c>
      <c r="C33" s="33">
        <f>IF($A33="","",ROUND(SUMIFS('Registro Horas'!$H$5:$H$304,'Registro Horas'!$A$5:$A$304,$A33&amp;"",'Registro Horas'!$I$5:$I$304,"Fuerza mayor")+SUMIFS('Registro Horas'!$H$5:$H$304,'Registro Horas'!$A$5:$A$304,$A33&amp;"",'Registro Horas'!$I$5:$I$304,"Compensada con descanso")+SUMIFS('Registro Horas'!$H$5:$H$304,'Registro Horas'!$A$5:$A$304,$A33&amp;"",'Registro Horas'!$I$5:$I$304,"Complementaria (contrato parcial)"),2))</f>
        <v/>
      </c>
      <c r="D33" s="34">
        <f>IF($A33="","",ROUND($B33-$C33,2))</f>
        <v/>
      </c>
      <c r="E33" s="35" t="n"/>
      <c r="F33" s="16">
        <f>IF($E33="","",IF($E33&gt;$F$3,"⛔ EXCEDE ("&amp;TEXT($E33-$F$3,"0")&amp;" h)",IF($E33&gt;$F$3*0.8,"⚠ cerca del límite","✓ dentro")))</f>
        <v/>
      </c>
      <c r="G33" s="36">
        <f>IF($B33="","",ROUND(($B33-SUMIFS('Registro Horas'!$H$5:$H$304,'Registro Horas'!$A$5:$A$304,$A33&amp;"",'Registro Horas'!$I$5:$I$304,"Compensada con descanso")-SUMIFS('Registro Horas'!$H$5:$H$304,'Registro Horas'!$A$5:$A$304,$A33&amp;"",'Registro Horas'!$I$5:$I$304,"Complementaria (contrato parcial)"))*$B$3*$D$3+SUMIFS('Registro Horas'!$H$5:$H$304,'Registro Horas'!$A$5:$A$304,$A33&amp;"",'Registro Horas'!$I$5:$I$304,"Complementaria (contrato parcial)")*$B$3,2))</f>
        <v/>
      </c>
      <c r="H33">
        <f>IF($A33="","",IF(COUNTIF('Registro Horas'!$A$5:$A$304,$A33&amp;"")=0,"",ROUND(SUMIF('Registro Horas'!$A$5:$A$304,$A33&amp;"",'Registro Horas'!$F$5:$F$304)-SUMIF('Registro Horas'!$A$5:$A$304,$A33&amp;"",'Registro Horas'!$G$5:$G$304),2)))</f>
        <v/>
      </c>
    </row>
    <row r="34">
      <c r="A34" s="32" t="n"/>
      <c r="B34" s="33">
        <f>IF($A34="","",ROUND(SUMIF('Registro Horas'!$A$5:$A$304,$A34&amp;"",'Registro Horas'!$H$5:$H$304),2))</f>
        <v/>
      </c>
      <c r="C34" s="33">
        <f>IF($A34="","",ROUND(SUMIFS('Registro Horas'!$H$5:$H$304,'Registro Horas'!$A$5:$A$304,$A34&amp;"",'Registro Horas'!$I$5:$I$304,"Fuerza mayor")+SUMIFS('Registro Horas'!$H$5:$H$304,'Registro Horas'!$A$5:$A$304,$A34&amp;"",'Registro Horas'!$I$5:$I$304,"Compensada con descanso")+SUMIFS('Registro Horas'!$H$5:$H$304,'Registro Horas'!$A$5:$A$304,$A34&amp;"",'Registro Horas'!$I$5:$I$304,"Complementaria (contrato parcial)"),2))</f>
        <v/>
      </c>
      <c r="D34" s="34">
        <f>IF($A34="","",ROUND($B34-$C34,2))</f>
        <v/>
      </c>
      <c r="E34" s="35" t="n"/>
      <c r="F34" s="16">
        <f>IF($E34="","",IF($E34&gt;$F$3,"⛔ EXCEDE ("&amp;TEXT($E34-$F$3,"0")&amp;" h)",IF($E34&gt;$F$3*0.8,"⚠ cerca del límite","✓ dentro")))</f>
        <v/>
      </c>
      <c r="G34" s="36">
        <f>IF($B34="","",ROUND(($B34-SUMIFS('Registro Horas'!$H$5:$H$304,'Registro Horas'!$A$5:$A$304,$A34&amp;"",'Registro Horas'!$I$5:$I$304,"Compensada con descanso")-SUMIFS('Registro Horas'!$H$5:$H$304,'Registro Horas'!$A$5:$A$304,$A34&amp;"",'Registro Horas'!$I$5:$I$304,"Complementaria (contrato parcial)"))*$B$3*$D$3+SUMIFS('Registro Horas'!$H$5:$H$304,'Registro Horas'!$A$5:$A$304,$A34&amp;"",'Registro Horas'!$I$5:$I$304,"Complementaria (contrato parcial)")*$B$3,2))</f>
        <v/>
      </c>
      <c r="H34">
        <f>IF($A34="","",IF(COUNTIF('Registro Horas'!$A$5:$A$304,$A34&amp;"")=0,"",ROUND(SUMIF('Registro Horas'!$A$5:$A$304,$A34&amp;"",'Registro Horas'!$F$5:$F$304)-SUMIF('Registro Horas'!$A$5:$A$304,$A34&amp;"",'Registro Horas'!$G$5:$G$304),2)))</f>
        <v/>
      </c>
    </row>
    <row r="35">
      <c r="A35" s="32" t="n"/>
      <c r="B35" s="33">
        <f>IF($A35="","",ROUND(SUMIF('Registro Horas'!$A$5:$A$304,$A35&amp;"",'Registro Horas'!$H$5:$H$304),2))</f>
        <v/>
      </c>
      <c r="C35" s="33">
        <f>IF($A35="","",ROUND(SUMIFS('Registro Horas'!$H$5:$H$304,'Registro Horas'!$A$5:$A$304,$A35&amp;"",'Registro Horas'!$I$5:$I$304,"Fuerza mayor")+SUMIFS('Registro Horas'!$H$5:$H$304,'Registro Horas'!$A$5:$A$304,$A35&amp;"",'Registro Horas'!$I$5:$I$304,"Compensada con descanso")+SUMIFS('Registro Horas'!$H$5:$H$304,'Registro Horas'!$A$5:$A$304,$A35&amp;"",'Registro Horas'!$I$5:$I$304,"Complementaria (contrato parcial)"),2))</f>
        <v/>
      </c>
      <c r="D35" s="34">
        <f>IF($A35="","",ROUND($B35-$C35,2))</f>
        <v/>
      </c>
      <c r="E35" s="35" t="n"/>
      <c r="F35" s="16">
        <f>IF($E35="","",IF($E35&gt;$F$3,"⛔ EXCEDE ("&amp;TEXT($E35-$F$3,"0")&amp;" h)",IF($E35&gt;$F$3*0.8,"⚠ cerca del límite","✓ dentro")))</f>
        <v/>
      </c>
      <c r="G35" s="36">
        <f>IF($B35="","",ROUND(($B35-SUMIFS('Registro Horas'!$H$5:$H$304,'Registro Horas'!$A$5:$A$304,$A35&amp;"",'Registro Horas'!$I$5:$I$304,"Compensada con descanso")-SUMIFS('Registro Horas'!$H$5:$H$304,'Registro Horas'!$A$5:$A$304,$A35&amp;"",'Registro Horas'!$I$5:$I$304,"Complementaria (contrato parcial)"))*$B$3*$D$3+SUMIFS('Registro Horas'!$H$5:$H$304,'Registro Horas'!$A$5:$A$304,$A35&amp;"",'Registro Horas'!$I$5:$I$304,"Complementaria (contrato parcial)")*$B$3,2))</f>
        <v/>
      </c>
      <c r="H35">
        <f>IF($A35="","",IF(COUNTIF('Registro Horas'!$A$5:$A$304,$A35&amp;"")=0,"",ROUND(SUMIF('Registro Horas'!$A$5:$A$304,$A35&amp;"",'Registro Horas'!$F$5:$F$304)-SUMIF('Registro Horas'!$A$5:$A$304,$A35&amp;"",'Registro Horas'!$G$5:$G$304),2)))</f>
        <v/>
      </c>
    </row>
    <row r="36"/>
    <row r="37">
      <c r="A37" s="15" t="inlineStr">
        <is>
          <t>TOTALES</t>
        </is>
      </c>
      <c r="B37" s="37">
        <f>IF(COUNT(B6:B35)=0,"",ROUND(SUM(B6:B35),2))</f>
        <v/>
      </c>
      <c r="C37" s="38">
        <f>IF(COUNT(C6:C35)=0,"",ROUND(SUM(C6:C35),2))</f>
        <v/>
      </c>
      <c r="D37" s="38">
        <f>IF(COUNT(D6:D35)=0,"",ROUND(SUM(D6:D35),2))</f>
        <v/>
      </c>
      <c r="E37" s="14" t="n"/>
      <c r="F37" s="14" t="n"/>
      <c r="G37" s="36">
        <f>IF(COUNT(G6:G35)=0,"",ROUND(SUM(G6:G35),2))</f>
        <v/>
      </c>
      <c r="H37" s="38">
        <f>IF(COUNT(H6:H35)=0,"",ROUND(SUM(H6:H35),2))</f>
        <v/>
      </c>
    </row>
    <row r="38"/>
    <row r="39">
      <c r="A39" s="10" t="inlineStr">
        <is>
          <t>© 2026 AI Chef Pro · aichef.pro</t>
        </is>
      </c>
    </row>
  </sheetData>
  <sheetProtection selectLockedCells="0" selectUnlockedCells="0" sheet="1" objects="0" insertRows="1" insertHyperlinks="1" autoFilter="0" scenarios="0" formatColumns="0" deleteColumns="1" insertColumns="1" pivotTables="1" deleteRows="1" formatCells="1" formatRows="0" sort="0"/>
  <mergeCells count="3">
    <mergeCell ref="A39:G39"/>
    <mergeCell ref="A1:G1"/>
    <mergeCell ref="A2:G2"/>
  </mergeCells>
  <conditionalFormatting sqref="F6:F35">
    <cfRule type="containsText" priority="1" operator="containsText" dxfId="0" stopIfTrue="1" text="EXCEDE">
      <formula>NOT(ISERROR(SEARCH("EXCEDE",F6)))</formula>
    </cfRule>
    <cfRule type="containsText" priority="2" operator="containsText" dxfId="1" stopIfTrue="1" text="cerca del límite">
      <formula>NOT(ISERROR(SEARCH("cerca del límite",F6)))</formula>
    </cfRule>
    <cfRule type="containsText" priority="3" operator="containsText" dxfId="2" stopIfTrue="1" text="dentro">
      <formula>NOT(ISERROR(SEARCH("dentro",F6)))</formula>
    </cfRule>
    <cfRule type="containsText" priority="4" operator="containsText" dxfId="2" stopIfTrue="1" text="OK">
      <formula>NOT(ISERROR(SEARCH("OK",F6)))</formula>
    </cfRule>
  </conditionalFormatting>
  <dataValidations count="3">
    <dataValidation sqref="B3" showDropDown="0" showInputMessage="1" showErrorMessage="0" allowBlank="0" promptTitle="kitgp-v2 · tarifa_hora" prompt="Sácala de la columna «Coste/hora» del 03: es el coste real por hora, no el bruto del convenio."/>
    <dataValidation sqref="D3" showDropDown="0" showInputMessage="1" showErrorMessage="0" allowBlank="0" promptTitle="kitgp-v2 · recargo_extra" prompt="El art. 35.1 ET sólo exige que la hora extra no valga MENOS que la ordinaria; la cuantía la fija tu convenio o tu contrato, y puede compensarse con descanso en vez de pagarse."/>
    <dataValidation sqref="F3" showDropDown="0" showInputMessage="1" showErrorMessage="0" allowBlank="0" promptTitle="kitgp-v2 · limite_extra_anual" prompt="Art. 35.2 ET. NO computan en el tope las compensadas con descanso dentro de los 4 meses siguientes ni las de fuerza mayor."/>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02 · Control de Horas Extras · Kit Gestión de Personal y Turnos</dc:title>
  <dc:description xmlns:dc="http://purl.org/dc/elements/1.1/">aichef.pro/kit-gestion-personal</dc:description>
  <dc:subject xmlns:dc="http://purl.org/dc/elements/1.1/">Kit Gestión de Personal y Turnos · v2.0</dc:subject>
  <dcterms:created xmlns:dcterms="http://purl.org/dc/terms/" xmlns:xsi="http://www.w3.org/2001/XMLSchema-instance" xsi:type="dcterms:W3CDTF">2026-03-23T19:17:38Z</dcterms:created>
  <dcterms:modified xmlns:dcterms="http://purl.org/dc/terms/" xmlns:xsi="http://www.w3.org/2001/XMLSchema-instance" xsi:type="dcterms:W3CDTF">2026-08-24T04:12:37Z</dcterms:modified>
  <cp:lastModifiedBy>AI Chef Pro</cp:lastModifiedBy>
  <cp:category>AI Chef Pro · Productos digitales</cp:category>
  <cp:keywords>kit gestion personal, AI Chef Pro</cp:keywords>
</cp:coreProperties>
</file>