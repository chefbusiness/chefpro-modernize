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istro Horas" sheetId="2" state="visible" r:id="rId2"/>
    <sheet xmlns:r="http://schemas.openxmlformats.org/officeDocument/2006/relationships" name="Resumen Mensual" sheetId="3" state="visible" r:id="rId3"/>
  </sheets>
  <definedNames>
    <definedName name="_xlnm.Print_Titles" localSheetId="1">'Registro Horas'!$4:$4</definedName>
    <definedName name="_xlnm.Print_Titles" localSheetId="2">'Resumen Mensual'!$5:$5</definedName>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b val="1"/>
      <color rgb="001565C0"/>
      <sz val="11"/>
    </font>
    <font>
      <name val="Calibri"/>
      <color rgb="00999999"/>
      <sz val="9"/>
    </font>
    <font>
      <name val="Calibri"/>
      <b val="1"/>
      <sz val="11"/>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2" fontId="8"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9" fillId="0" borderId="0" pivotButton="0" quotePrefix="0" xfId="0"/>
    <xf numFmtId="0" fontId="10" fillId="0" borderId="0" pivotButton="0" quotePrefix="0" xfId="0"/>
    <xf numFmtId="0" fontId="7" fillId="3" borderId="1" pivotButton="0" quotePrefix="0" xfId="0"/>
    <xf numFmtId="0" fontId="7" fillId="0" borderId="1" applyAlignment="1" pivotButton="0" quotePrefix="0" xfId="0">
      <alignment horizontal="center" vertical="center" wrapText="1"/>
    </xf>
    <xf numFmtId="164" fontId="8" fillId="0" borderId="1" pivotButton="0" quotePrefix="0" xfId="0"/>
    <xf numFmtId="0" fontId="10"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0"/>
  <sheetViews>
    <sheetView workbookViewId="0">
      <selection activeCell="A1" sqref="A1"/>
    </sheetView>
  </sheetViews>
  <sheetFormatPr baseColWidth="8" defaultRowHeight="15"/>
  <cols>
    <col width="3" customWidth="1" min="1" max="1"/>
    <col width="80" customWidth="1" min="2" max="2"/>
  </cols>
  <sheetData>
    <row r="1"/>
    <row r="2">
      <c r="B2" s="1" t="inlineStr">
        <is>
          <t>02 · Control de Horas Extras</t>
        </is>
      </c>
    </row>
    <row r="3"/>
    <row r="4">
      <c r="B4" s="2" t="inlineStr">
        <is>
          <t>Cómo usar esta plantilla:</t>
        </is>
      </c>
    </row>
    <row r="5">
      <c r="B5" s="3" t="inlineStr">
        <is>
          <t>▸ Registra cada día las horas de entrada y salida de cada empleado.</t>
        </is>
      </c>
    </row>
    <row r="6">
      <c r="B6" s="3" t="inlineStr">
        <is>
          <t>▸ Las horas trabajadas y las horas extra se calculan automáticamente.</t>
        </is>
      </c>
    </row>
    <row r="7">
      <c r="B7" s="3" t="inlineStr">
        <is>
          <t>▸ El Resumen Mensual agrega por empleado el total de horas extra y su coste.</t>
        </is>
      </c>
    </row>
    <row r="8"/>
    <row r="9">
      <c r="B9" s="2" t="inlineStr">
        <is>
          <t>Legislación española (Estatuto de los Trabajadores):</t>
        </is>
      </c>
    </row>
    <row r="10">
      <c r="B10" s="3" t="inlineStr">
        <is>
          <t>▸ Máximo 80 horas extra al año por empleado.</t>
        </is>
      </c>
    </row>
    <row r="11">
      <c r="B11" s="3" t="inlineStr">
        <is>
          <t>▸ Las primeras 80h se pagan ×1.75 del salario/hora (o según convenio).</t>
        </is>
      </c>
    </row>
    <row r="12">
      <c r="B12" s="3" t="inlineStr">
        <is>
          <t>▸ Horas por encima de 80 anuales: ×2.0 (o compensación en descanso).</t>
        </is>
      </c>
    </row>
    <row r="13">
      <c r="B13" s="3" t="inlineStr">
        <is>
          <t>▸ Las horas extra son voluntarias salvo pacto en convenio o contrato.</t>
        </is>
      </c>
    </row>
    <row r="14"/>
    <row r="15">
      <c r="B15" s="2" t="inlineStr">
        <is>
          <t>Columnas del registro:</t>
        </is>
      </c>
    </row>
    <row r="16">
      <c r="B16" s="3" t="inlineStr">
        <is>
          <t>▸ Horas Contratadas = jornada diaria del empleado (ej: 8h).</t>
        </is>
      </c>
    </row>
    <row r="17">
      <c r="B17" s="3" t="inlineStr">
        <is>
          <t>▸ Horas Extra = max(0, horas trabajadas - horas contratadas).</t>
        </is>
      </c>
    </row>
    <row r="18">
      <c r="B18" s="3" t="inlineStr">
        <is>
          <t>▸ Tipo: Voluntaria / Obligatoria (fuerza mayor).</t>
        </is>
      </c>
    </row>
    <row r="19"/>
    <row r="20">
      <c r="B20" s="3" t="inlineStr">
        <is>
          <t>Versión 1.1 · agosto 2026 · aichef.pro/kit-gestion-personal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E65100"/>
    <outlinePr summaryBelow="1" summaryRight="1"/>
    <pageSetUpPr fitToPage="1"/>
  </sheetPr>
  <dimension ref="A1:H56"/>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6" customWidth="1" min="5" max="5"/>
    <col width="14" customWidth="1" min="6" max="6"/>
    <col width="16" customWidth="1" min="7" max="7"/>
    <col width="18" customWidth="1" min="8" max="8"/>
  </cols>
  <sheetData>
    <row r="1">
      <c r="A1" s="4" t="inlineStr">
        <is>
          <t>Registro de Horas — Mes: _______________</t>
        </is>
      </c>
    </row>
    <row r="2">
      <c r="A2" s="5" t="inlineStr">
        <is>
          <t>AI Chef Pro · aichef.pro — Kit Gestión de Personal y Turnos</t>
        </is>
      </c>
    </row>
    <row r="3"/>
    <row r="4">
      <c r="A4" s="6" t="inlineStr">
        <is>
          <t>Empleado</t>
        </is>
      </c>
      <c r="B4" s="6" t="inlineStr">
        <is>
          <t>Fecha</t>
        </is>
      </c>
      <c r="C4" s="6" t="inlineStr">
        <is>
          <t>Hora Entrada</t>
        </is>
      </c>
      <c r="D4" s="6" t="inlineStr">
        <is>
          <t>Hora Salida</t>
        </is>
      </c>
      <c r="E4" s="6" t="inlineStr">
        <is>
          <t>Horas Trabajadas</t>
        </is>
      </c>
      <c r="F4" s="6" t="inlineStr">
        <is>
          <t>H. Contratadas</t>
        </is>
      </c>
      <c r="G4" s="6" t="inlineStr">
        <is>
          <t>Horas Extra</t>
        </is>
      </c>
      <c r="H4" s="6" t="inlineStr">
        <is>
          <t>Tipo Extra</t>
        </is>
      </c>
    </row>
    <row r="5">
      <c r="A5" s="7" t="n"/>
      <c r="B5" s="7" t="n"/>
      <c r="C5" s="7" t="n"/>
      <c r="D5" s="7" t="n"/>
      <c r="E5" s="8">
        <f>IF(AND(C5&lt;&gt;"",D5&lt;&gt;""),(D5-C5)*24,"")</f>
        <v/>
      </c>
      <c r="F5" s="7" t="n"/>
      <c r="G5" s="8">
        <f>IF(E5&lt;&gt;"",MAX(0,E5-F5),"")</f>
        <v/>
      </c>
      <c r="H5" s="9" t="n"/>
    </row>
    <row r="6">
      <c r="A6" s="7" t="n"/>
      <c r="B6" s="7" t="n"/>
      <c r="C6" s="7" t="n"/>
      <c r="D6" s="7" t="n"/>
      <c r="E6" s="8">
        <f>IF(AND(C6&lt;&gt;"",D6&lt;&gt;""),(D6-C6)*24,"")</f>
        <v/>
      </c>
      <c r="F6" s="7" t="n"/>
      <c r="G6" s="8">
        <f>IF(E6&lt;&gt;"",MAX(0,E6-F6),"")</f>
        <v/>
      </c>
      <c r="H6" s="9" t="n"/>
    </row>
    <row r="7">
      <c r="A7" s="7" t="n"/>
      <c r="B7" s="7" t="n"/>
      <c r="C7" s="7" t="n"/>
      <c r="D7" s="7" t="n"/>
      <c r="E7" s="8">
        <f>IF(AND(C7&lt;&gt;"",D7&lt;&gt;""),(D7-C7)*24,"")</f>
        <v/>
      </c>
      <c r="F7" s="7" t="n"/>
      <c r="G7" s="8">
        <f>IF(E7&lt;&gt;"",MAX(0,E7-F7),"")</f>
        <v/>
      </c>
      <c r="H7" s="9" t="n"/>
    </row>
    <row r="8">
      <c r="A8" s="7" t="n"/>
      <c r="B8" s="7" t="n"/>
      <c r="C8" s="7" t="n"/>
      <c r="D8" s="7" t="n"/>
      <c r="E8" s="8">
        <f>IF(AND(C8&lt;&gt;"",D8&lt;&gt;""),(D8-C8)*24,"")</f>
        <v/>
      </c>
      <c r="F8" s="7" t="n"/>
      <c r="G8" s="8">
        <f>IF(E8&lt;&gt;"",MAX(0,E8-F8),"")</f>
        <v/>
      </c>
      <c r="H8" s="9" t="n"/>
    </row>
    <row r="9">
      <c r="A9" s="7" t="n"/>
      <c r="B9" s="7" t="n"/>
      <c r="C9" s="7" t="n"/>
      <c r="D9" s="7" t="n"/>
      <c r="E9" s="8">
        <f>IF(AND(C9&lt;&gt;"",D9&lt;&gt;""),(D9-C9)*24,"")</f>
        <v/>
      </c>
      <c r="F9" s="7" t="n"/>
      <c r="G9" s="8">
        <f>IF(E9&lt;&gt;"",MAX(0,E9-F9),"")</f>
        <v/>
      </c>
      <c r="H9" s="9" t="n"/>
    </row>
    <row r="10">
      <c r="A10" s="7" t="n"/>
      <c r="B10" s="7" t="n"/>
      <c r="C10" s="7" t="n"/>
      <c r="D10" s="7" t="n"/>
      <c r="E10" s="8">
        <f>IF(AND(C10&lt;&gt;"",D10&lt;&gt;""),(D10-C10)*24,"")</f>
        <v/>
      </c>
      <c r="F10" s="7" t="n"/>
      <c r="G10" s="8">
        <f>IF(E10&lt;&gt;"",MAX(0,E10-F10),"")</f>
        <v/>
      </c>
      <c r="H10" s="9" t="n"/>
    </row>
    <row r="11">
      <c r="A11" s="7" t="n"/>
      <c r="B11" s="7" t="n"/>
      <c r="C11" s="7" t="n"/>
      <c r="D11" s="7" t="n"/>
      <c r="E11" s="8">
        <f>IF(AND(C11&lt;&gt;"",D11&lt;&gt;""),(D11-C11)*24,"")</f>
        <v/>
      </c>
      <c r="F11" s="7" t="n"/>
      <c r="G11" s="8">
        <f>IF(E11&lt;&gt;"",MAX(0,E11-F11),"")</f>
        <v/>
      </c>
      <c r="H11" s="9" t="n"/>
    </row>
    <row r="12">
      <c r="A12" s="7" t="n"/>
      <c r="B12" s="7" t="n"/>
      <c r="C12" s="7" t="n"/>
      <c r="D12" s="7" t="n"/>
      <c r="E12" s="8">
        <f>IF(AND(C12&lt;&gt;"",D12&lt;&gt;""),(D12-C12)*24,"")</f>
        <v/>
      </c>
      <c r="F12" s="7" t="n"/>
      <c r="G12" s="8">
        <f>IF(E12&lt;&gt;"",MAX(0,E12-F12),"")</f>
        <v/>
      </c>
      <c r="H12" s="9" t="n"/>
    </row>
    <row r="13">
      <c r="A13" s="7" t="n"/>
      <c r="B13" s="7" t="n"/>
      <c r="C13" s="7" t="n"/>
      <c r="D13" s="7" t="n"/>
      <c r="E13" s="8">
        <f>IF(AND(C13&lt;&gt;"",D13&lt;&gt;""),(D13-C13)*24,"")</f>
        <v/>
      </c>
      <c r="F13" s="7" t="n"/>
      <c r="G13" s="8">
        <f>IF(E13&lt;&gt;"",MAX(0,E13-F13),"")</f>
        <v/>
      </c>
      <c r="H13" s="9" t="n"/>
    </row>
    <row r="14">
      <c r="A14" s="7" t="n"/>
      <c r="B14" s="7" t="n"/>
      <c r="C14" s="7" t="n"/>
      <c r="D14" s="7" t="n"/>
      <c r="E14" s="8">
        <f>IF(AND(C14&lt;&gt;"",D14&lt;&gt;""),(D14-C14)*24,"")</f>
        <v/>
      </c>
      <c r="F14" s="7" t="n"/>
      <c r="G14" s="8">
        <f>IF(E14&lt;&gt;"",MAX(0,E14-F14),"")</f>
        <v/>
      </c>
      <c r="H14" s="9" t="n"/>
    </row>
    <row r="15">
      <c r="A15" s="7" t="n"/>
      <c r="B15" s="7" t="n"/>
      <c r="C15" s="7" t="n"/>
      <c r="D15" s="7" t="n"/>
      <c r="E15" s="8">
        <f>IF(AND(C15&lt;&gt;"",D15&lt;&gt;""),(D15-C15)*24,"")</f>
        <v/>
      </c>
      <c r="F15" s="7" t="n"/>
      <c r="G15" s="8">
        <f>IF(E15&lt;&gt;"",MAX(0,E15-F15),"")</f>
        <v/>
      </c>
      <c r="H15" s="9" t="n"/>
    </row>
    <row r="16">
      <c r="A16" s="7" t="n"/>
      <c r="B16" s="7" t="n"/>
      <c r="C16" s="7" t="n"/>
      <c r="D16" s="7" t="n"/>
      <c r="E16" s="8">
        <f>IF(AND(C16&lt;&gt;"",D16&lt;&gt;""),(D16-C16)*24,"")</f>
        <v/>
      </c>
      <c r="F16" s="7" t="n"/>
      <c r="G16" s="8">
        <f>IF(E16&lt;&gt;"",MAX(0,E16-F16),"")</f>
        <v/>
      </c>
      <c r="H16" s="9" t="n"/>
    </row>
    <row r="17">
      <c r="A17" s="7" t="n"/>
      <c r="B17" s="7" t="n"/>
      <c r="C17" s="7" t="n"/>
      <c r="D17" s="7" t="n"/>
      <c r="E17" s="8">
        <f>IF(AND(C17&lt;&gt;"",D17&lt;&gt;""),(D17-C17)*24,"")</f>
        <v/>
      </c>
      <c r="F17" s="7" t="n"/>
      <c r="G17" s="8">
        <f>IF(E17&lt;&gt;"",MAX(0,E17-F17),"")</f>
        <v/>
      </c>
      <c r="H17" s="9" t="n"/>
    </row>
    <row r="18">
      <c r="A18" s="7" t="n"/>
      <c r="B18" s="7" t="n"/>
      <c r="C18" s="7" t="n"/>
      <c r="D18" s="7" t="n"/>
      <c r="E18" s="8">
        <f>IF(AND(C18&lt;&gt;"",D18&lt;&gt;""),(D18-C18)*24,"")</f>
        <v/>
      </c>
      <c r="F18" s="7" t="n"/>
      <c r="G18" s="8">
        <f>IF(E18&lt;&gt;"",MAX(0,E18-F18),"")</f>
        <v/>
      </c>
      <c r="H18" s="9" t="n"/>
    </row>
    <row r="19">
      <c r="A19" s="7" t="n"/>
      <c r="B19" s="7" t="n"/>
      <c r="C19" s="7" t="n"/>
      <c r="D19" s="7" t="n"/>
      <c r="E19" s="8">
        <f>IF(AND(C19&lt;&gt;"",D19&lt;&gt;""),(D19-C19)*24,"")</f>
        <v/>
      </c>
      <c r="F19" s="7" t="n"/>
      <c r="G19" s="8">
        <f>IF(E19&lt;&gt;"",MAX(0,E19-F19),"")</f>
        <v/>
      </c>
      <c r="H19" s="9" t="n"/>
    </row>
    <row r="20">
      <c r="A20" s="7" t="n"/>
      <c r="B20" s="7" t="n"/>
      <c r="C20" s="7" t="n"/>
      <c r="D20" s="7" t="n"/>
      <c r="E20" s="8">
        <f>IF(AND(C20&lt;&gt;"",D20&lt;&gt;""),(D20-C20)*24,"")</f>
        <v/>
      </c>
      <c r="F20" s="7" t="n"/>
      <c r="G20" s="8">
        <f>IF(E20&lt;&gt;"",MAX(0,E20-F20),"")</f>
        <v/>
      </c>
      <c r="H20" s="9" t="n"/>
    </row>
    <row r="21">
      <c r="A21" s="7" t="n"/>
      <c r="B21" s="7" t="n"/>
      <c r="C21" s="7" t="n"/>
      <c r="D21" s="7" t="n"/>
      <c r="E21" s="8">
        <f>IF(AND(C21&lt;&gt;"",D21&lt;&gt;""),(D21-C21)*24,"")</f>
        <v/>
      </c>
      <c r="F21" s="7" t="n"/>
      <c r="G21" s="8">
        <f>IF(E21&lt;&gt;"",MAX(0,E21-F21),"")</f>
        <v/>
      </c>
      <c r="H21" s="9" t="n"/>
    </row>
    <row r="22">
      <c r="A22" s="7" t="n"/>
      <c r="B22" s="7" t="n"/>
      <c r="C22" s="7" t="n"/>
      <c r="D22" s="7" t="n"/>
      <c r="E22" s="8">
        <f>IF(AND(C22&lt;&gt;"",D22&lt;&gt;""),(D22-C22)*24,"")</f>
        <v/>
      </c>
      <c r="F22" s="7" t="n"/>
      <c r="G22" s="8">
        <f>IF(E22&lt;&gt;"",MAX(0,E22-F22),"")</f>
        <v/>
      </c>
      <c r="H22" s="9" t="n"/>
    </row>
    <row r="23">
      <c r="A23" s="7" t="n"/>
      <c r="B23" s="7" t="n"/>
      <c r="C23" s="7" t="n"/>
      <c r="D23" s="7" t="n"/>
      <c r="E23" s="8">
        <f>IF(AND(C23&lt;&gt;"",D23&lt;&gt;""),(D23-C23)*24,"")</f>
        <v/>
      </c>
      <c r="F23" s="7" t="n"/>
      <c r="G23" s="8">
        <f>IF(E23&lt;&gt;"",MAX(0,E23-F23),"")</f>
        <v/>
      </c>
      <c r="H23" s="9" t="n"/>
    </row>
    <row r="24">
      <c r="A24" s="7" t="n"/>
      <c r="B24" s="7" t="n"/>
      <c r="C24" s="7" t="n"/>
      <c r="D24" s="7" t="n"/>
      <c r="E24" s="8">
        <f>IF(AND(C24&lt;&gt;"",D24&lt;&gt;""),(D24-C24)*24,"")</f>
        <v/>
      </c>
      <c r="F24" s="7" t="n"/>
      <c r="G24" s="8">
        <f>IF(E24&lt;&gt;"",MAX(0,E24-F24),"")</f>
        <v/>
      </c>
      <c r="H24" s="9" t="n"/>
    </row>
    <row r="25">
      <c r="A25" s="7" t="n"/>
      <c r="B25" s="7" t="n"/>
      <c r="C25" s="7" t="n"/>
      <c r="D25" s="7" t="n"/>
      <c r="E25" s="8">
        <f>IF(AND(C25&lt;&gt;"",D25&lt;&gt;""),(D25-C25)*24,"")</f>
        <v/>
      </c>
      <c r="F25" s="7" t="n"/>
      <c r="G25" s="8">
        <f>IF(E25&lt;&gt;"",MAX(0,E25-F25),"")</f>
        <v/>
      </c>
      <c r="H25" s="9" t="n"/>
    </row>
    <row r="26">
      <c r="A26" s="7" t="n"/>
      <c r="B26" s="7" t="n"/>
      <c r="C26" s="7" t="n"/>
      <c r="D26" s="7" t="n"/>
      <c r="E26" s="8">
        <f>IF(AND(C26&lt;&gt;"",D26&lt;&gt;""),(D26-C26)*24,"")</f>
        <v/>
      </c>
      <c r="F26" s="7" t="n"/>
      <c r="G26" s="8">
        <f>IF(E26&lt;&gt;"",MAX(0,E26-F26),"")</f>
        <v/>
      </c>
      <c r="H26" s="9" t="n"/>
    </row>
    <row r="27">
      <c r="A27" s="7" t="n"/>
      <c r="B27" s="7" t="n"/>
      <c r="C27" s="7" t="n"/>
      <c r="D27" s="7" t="n"/>
      <c r="E27" s="8">
        <f>IF(AND(C27&lt;&gt;"",D27&lt;&gt;""),(D27-C27)*24,"")</f>
        <v/>
      </c>
      <c r="F27" s="7" t="n"/>
      <c r="G27" s="8">
        <f>IF(E27&lt;&gt;"",MAX(0,E27-F27),"")</f>
        <v/>
      </c>
      <c r="H27" s="9" t="n"/>
    </row>
    <row r="28">
      <c r="A28" s="7" t="n"/>
      <c r="B28" s="7" t="n"/>
      <c r="C28" s="7" t="n"/>
      <c r="D28" s="7" t="n"/>
      <c r="E28" s="8">
        <f>IF(AND(C28&lt;&gt;"",D28&lt;&gt;""),(D28-C28)*24,"")</f>
        <v/>
      </c>
      <c r="F28" s="7" t="n"/>
      <c r="G28" s="8">
        <f>IF(E28&lt;&gt;"",MAX(0,E28-F28),"")</f>
        <v/>
      </c>
      <c r="H28" s="9" t="n"/>
    </row>
    <row r="29">
      <c r="A29" s="7" t="n"/>
      <c r="B29" s="7" t="n"/>
      <c r="C29" s="7" t="n"/>
      <c r="D29" s="7" t="n"/>
      <c r="E29" s="8">
        <f>IF(AND(C29&lt;&gt;"",D29&lt;&gt;""),(D29-C29)*24,"")</f>
        <v/>
      </c>
      <c r="F29" s="7" t="n"/>
      <c r="G29" s="8">
        <f>IF(E29&lt;&gt;"",MAX(0,E29-F29),"")</f>
        <v/>
      </c>
      <c r="H29" s="9" t="n"/>
    </row>
    <row r="30">
      <c r="A30" s="7" t="n"/>
      <c r="B30" s="7" t="n"/>
      <c r="C30" s="7" t="n"/>
      <c r="D30" s="7" t="n"/>
      <c r="E30" s="8">
        <f>IF(AND(C30&lt;&gt;"",D30&lt;&gt;""),(D30-C30)*24,"")</f>
        <v/>
      </c>
      <c r="F30" s="7" t="n"/>
      <c r="G30" s="8">
        <f>IF(E30&lt;&gt;"",MAX(0,E30-F30),"")</f>
        <v/>
      </c>
      <c r="H30" s="9" t="n"/>
    </row>
    <row r="31">
      <c r="A31" s="7" t="n"/>
      <c r="B31" s="7" t="n"/>
      <c r="C31" s="7" t="n"/>
      <c r="D31" s="7" t="n"/>
      <c r="E31" s="8">
        <f>IF(AND(C31&lt;&gt;"",D31&lt;&gt;""),(D31-C31)*24,"")</f>
        <v/>
      </c>
      <c r="F31" s="7" t="n"/>
      <c r="G31" s="8">
        <f>IF(E31&lt;&gt;"",MAX(0,E31-F31),"")</f>
        <v/>
      </c>
      <c r="H31" s="9" t="n"/>
    </row>
    <row r="32">
      <c r="A32" s="7" t="n"/>
      <c r="B32" s="7" t="n"/>
      <c r="C32" s="7" t="n"/>
      <c r="D32" s="7" t="n"/>
      <c r="E32" s="8">
        <f>IF(AND(C32&lt;&gt;"",D32&lt;&gt;""),(D32-C32)*24,"")</f>
        <v/>
      </c>
      <c r="F32" s="7" t="n"/>
      <c r="G32" s="8">
        <f>IF(E32&lt;&gt;"",MAX(0,E32-F32),"")</f>
        <v/>
      </c>
      <c r="H32" s="9" t="n"/>
    </row>
    <row r="33">
      <c r="A33" s="7" t="n"/>
      <c r="B33" s="7" t="n"/>
      <c r="C33" s="7" t="n"/>
      <c r="D33" s="7" t="n"/>
      <c r="E33" s="8">
        <f>IF(AND(C33&lt;&gt;"",D33&lt;&gt;""),(D33-C33)*24,"")</f>
        <v/>
      </c>
      <c r="F33" s="7" t="n"/>
      <c r="G33" s="8">
        <f>IF(E33&lt;&gt;"",MAX(0,E33-F33),"")</f>
        <v/>
      </c>
      <c r="H33" s="9" t="n"/>
    </row>
    <row r="34">
      <c r="A34" s="7" t="n"/>
      <c r="B34" s="7" t="n"/>
      <c r="C34" s="7" t="n"/>
      <c r="D34" s="7" t="n"/>
      <c r="E34" s="8">
        <f>IF(AND(C34&lt;&gt;"",D34&lt;&gt;""),(D34-C34)*24,"")</f>
        <v/>
      </c>
      <c r="F34" s="7" t="n"/>
      <c r="G34" s="8">
        <f>IF(E34&lt;&gt;"",MAX(0,E34-F34),"")</f>
        <v/>
      </c>
      <c r="H34" s="9" t="n"/>
    </row>
    <row r="35">
      <c r="A35" s="7" t="n"/>
      <c r="B35" s="7" t="n"/>
      <c r="C35" s="7" t="n"/>
      <c r="D35" s="7" t="n"/>
      <c r="E35" s="8">
        <f>IF(AND(C35&lt;&gt;"",D35&lt;&gt;""),(D35-C35)*24,"")</f>
        <v/>
      </c>
      <c r="F35" s="7" t="n"/>
      <c r="G35" s="8">
        <f>IF(E35&lt;&gt;"",MAX(0,E35-F35),"")</f>
        <v/>
      </c>
      <c r="H35" s="9" t="n"/>
    </row>
    <row r="36">
      <c r="A36" s="7" t="n"/>
      <c r="B36" s="7" t="n"/>
      <c r="C36" s="7" t="n"/>
      <c r="D36" s="7" t="n"/>
      <c r="E36" s="8">
        <f>IF(AND(C36&lt;&gt;"",D36&lt;&gt;""),(D36-C36)*24,"")</f>
        <v/>
      </c>
      <c r="F36" s="7" t="n"/>
      <c r="G36" s="8">
        <f>IF(E36&lt;&gt;"",MAX(0,E36-F36),"")</f>
        <v/>
      </c>
      <c r="H36" s="9" t="n"/>
    </row>
    <row r="37">
      <c r="A37" s="7" t="n"/>
      <c r="B37" s="7" t="n"/>
      <c r="C37" s="7" t="n"/>
      <c r="D37" s="7" t="n"/>
      <c r="E37" s="8">
        <f>IF(AND(C37&lt;&gt;"",D37&lt;&gt;""),(D37-C37)*24,"")</f>
        <v/>
      </c>
      <c r="F37" s="7" t="n"/>
      <c r="G37" s="8">
        <f>IF(E37&lt;&gt;"",MAX(0,E37-F37),"")</f>
        <v/>
      </c>
      <c r="H37" s="9" t="n"/>
    </row>
    <row r="38">
      <c r="A38" s="7" t="n"/>
      <c r="B38" s="7" t="n"/>
      <c r="C38" s="7" t="n"/>
      <c r="D38" s="7" t="n"/>
      <c r="E38" s="8">
        <f>IF(AND(C38&lt;&gt;"",D38&lt;&gt;""),(D38-C38)*24,"")</f>
        <v/>
      </c>
      <c r="F38" s="7" t="n"/>
      <c r="G38" s="8">
        <f>IF(E38&lt;&gt;"",MAX(0,E38-F38),"")</f>
        <v/>
      </c>
      <c r="H38" s="9" t="n"/>
    </row>
    <row r="39">
      <c r="A39" s="7" t="n"/>
      <c r="B39" s="7" t="n"/>
      <c r="C39" s="7" t="n"/>
      <c r="D39" s="7" t="n"/>
      <c r="E39" s="8">
        <f>IF(AND(C39&lt;&gt;"",D39&lt;&gt;""),(D39-C39)*24,"")</f>
        <v/>
      </c>
      <c r="F39" s="7" t="n"/>
      <c r="G39" s="8">
        <f>IF(E39&lt;&gt;"",MAX(0,E39-F39),"")</f>
        <v/>
      </c>
      <c r="H39" s="9" t="n"/>
    </row>
    <row r="40">
      <c r="A40" s="7" t="n"/>
      <c r="B40" s="7" t="n"/>
      <c r="C40" s="7" t="n"/>
      <c r="D40" s="7" t="n"/>
      <c r="E40" s="8">
        <f>IF(AND(C40&lt;&gt;"",D40&lt;&gt;""),(D40-C40)*24,"")</f>
        <v/>
      </c>
      <c r="F40" s="7" t="n"/>
      <c r="G40" s="8">
        <f>IF(E40&lt;&gt;"",MAX(0,E40-F40),"")</f>
        <v/>
      </c>
      <c r="H40" s="9" t="n"/>
    </row>
    <row r="41">
      <c r="A41" s="7" t="n"/>
      <c r="B41" s="7" t="n"/>
      <c r="C41" s="7" t="n"/>
      <c r="D41" s="7" t="n"/>
      <c r="E41" s="8">
        <f>IF(AND(C41&lt;&gt;"",D41&lt;&gt;""),(D41-C41)*24,"")</f>
        <v/>
      </c>
      <c r="F41" s="7" t="n"/>
      <c r="G41" s="8">
        <f>IF(E41&lt;&gt;"",MAX(0,E41-F41),"")</f>
        <v/>
      </c>
      <c r="H41" s="9" t="n"/>
    </row>
    <row r="42">
      <c r="A42" s="7" t="n"/>
      <c r="B42" s="7" t="n"/>
      <c r="C42" s="7" t="n"/>
      <c r="D42" s="7" t="n"/>
      <c r="E42" s="8">
        <f>IF(AND(C42&lt;&gt;"",D42&lt;&gt;""),(D42-C42)*24,"")</f>
        <v/>
      </c>
      <c r="F42" s="7" t="n"/>
      <c r="G42" s="8">
        <f>IF(E42&lt;&gt;"",MAX(0,E42-F42),"")</f>
        <v/>
      </c>
      <c r="H42" s="9" t="n"/>
    </row>
    <row r="43">
      <c r="A43" s="7" t="n"/>
      <c r="B43" s="7" t="n"/>
      <c r="C43" s="7" t="n"/>
      <c r="D43" s="7" t="n"/>
      <c r="E43" s="8">
        <f>IF(AND(C43&lt;&gt;"",D43&lt;&gt;""),(D43-C43)*24,"")</f>
        <v/>
      </c>
      <c r="F43" s="7" t="n"/>
      <c r="G43" s="8">
        <f>IF(E43&lt;&gt;"",MAX(0,E43-F43),"")</f>
        <v/>
      </c>
      <c r="H43" s="9" t="n"/>
    </row>
    <row r="44">
      <c r="A44" s="7" t="n"/>
      <c r="B44" s="7" t="n"/>
      <c r="C44" s="7" t="n"/>
      <c r="D44" s="7" t="n"/>
      <c r="E44" s="8">
        <f>IF(AND(C44&lt;&gt;"",D44&lt;&gt;""),(D44-C44)*24,"")</f>
        <v/>
      </c>
      <c r="F44" s="7" t="n"/>
      <c r="G44" s="8">
        <f>IF(E44&lt;&gt;"",MAX(0,E44-F44),"")</f>
        <v/>
      </c>
      <c r="H44" s="9" t="n"/>
    </row>
    <row r="45">
      <c r="A45" s="7" t="n"/>
      <c r="B45" s="7" t="n"/>
      <c r="C45" s="7" t="n"/>
      <c r="D45" s="7" t="n"/>
      <c r="E45" s="8">
        <f>IF(AND(C45&lt;&gt;"",D45&lt;&gt;""),(D45-C45)*24,"")</f>
        <v/>
      </c>
      <c r="F45" s="7" t="n"/>
      <c r="G45" s="8">
        <f>IF(E45&lt;&gt;"",MAX(0,E45-F45),"")</f>
        <v/>
      </c>
      <c r="H45" s="9" t="n"/>
    </row>
    <row r="46">
      <c r="A46" s="7" t="n"/>
      <c r="B46" s="7" t="n"/>
      <c r="C46" s="7" t="n"/>
      <c r="D46" s="7" t="n"/>
      <c r="E46" s="8">
        <f>IF(AND(C46&lt;&gt;"",D46&lt;&gt;""),(D46-C46)*24,"")</f>
        <v/>
      </c>
      <c r="F46" s="7" t="n"/>
      <c r="G46" s="8">
        <f>IF(E46&lt;&gt;"",MAX(0,E46-F46),"")</f>
        <v/>
      </c>
      <c r="H46" s="9" t="n"/>
    </row>
    <row r="47">
      <c r="A47" s="7" t="n"/>
      <c r="B47" s="7" t="n"/>
      <c r="C47" s="7" t="n"/>
      <c r="D47" s="7" t="n"/>
      <c r="E47" s="8">
        <f>IF(AND(C47&lt;&gt;"",D47&lt;&gt;""),(D47-C47)*24,"")</f>
        <v/>
      </c>
      <c r="F47" s="7" t="n"/>
      <c r="G47" s="8">
        <f>IF(E47&lt;&gt;"",MAX(0,E47-F47),"")</f>
        <v/>
      </c>
      <c r="H47" s="9" t="n"/>
    </row>
    <row r="48">
      <c r="A48" s="7" t="n"/>
      <c r="B48" s="7" t="n"/>
      <c r="C48" s="7" t="n"/>
      <c r="D48" s="7" t="n"/>
      <c r="E48" s="8">
        <f>IF(AND(C48&lt;&gt;"",D48&lt;&gt;""),(D48-C48)*24,"")</f>
        <v/>
      </c>
      <c r="F48" s="7" t="n"/>
      <c r="G48" s="8">
        <f>IF(E48&lt;&gt;"",MAX(0,E48-F48),"")</f>
        <v/>
      </c>
      <c r="H48" s="9" t="n"/>
    </row>
    <row r="49">
      <c r="A49" s="7" t="n"/>
      <c r="B49" s="7" t="n"/>
      <c r="C49" s="7" t="n"/>
      <c r="D49" s="7" t="n"/>
      <c r="E49" s="8">
        <f>IF(AND(C49&lt;&gt;"",D49&lt;&gt;""),(D49-C49)*24,"")</f>
        <v/>
      </c>
      <c r="F49" s="7" t="n"/>
      <c r="G49" s="8">
        <f>IF(E49&lt;&gt;"",MAX(0,E49-F49),"")</f>
        <v/>
      </c>
      <c r="H49" s="9" t="n"/>
    </row>
    <row r="50">
      <c r="A50" s="7" t="n"/>
      <c r="B50" s="7" t="n"/>
      <c r="C50" s="7" t="n"/>
      <c r="D50" s="7" t="n"/>
      <c r="E50" s="8">
        <f>IF(AND(C50&lt;&gt;"",D50&lt;&gt;""),(D50-C50)*24,"")</f>
        <v/>
      </c>
      <c r="F50" s="7" t="n"/>
      <c r="G50" s="8">
        <f>IF(E50&lt;&gt;"",MAX(0,E50-F50),"")</f>
        <v/>
      </c>
      <c r="H50" s="9" t="n"/>
    </row>
    <row r="51">
      <c r="A51" s="7" t="n"/>
      <c r="B51" s="7" t="n"/>
      <c r="C51" s="7" t="n"/>
      <c r="D51" s="7" t="n"/>
      <c r="E51" s="8">
        <f>IF(AND(C51&lt;&gt;"",D51&lt;&gt;""),(D51-C51)*24,"")</f>
        <v/>
      </c>
      <c r="F51" s="7" t="n"/>
      <c r="G51" s="8">
        <f>IF(E51&lt;&gt;"",MAX(0,E51-F51),"")</f>
        <v/>
      </c>
      <c r="H51" s="9" t="n"/>
    </row>
    <row r="52">
      <c r="A52" s="7" t="n"/>
      <c r="B52" s="7" t="n"/>
      <c r="C52" s="7" t="n"/>
      <c r="D52" s="7" t="n"/>
      <c r="E52" s="8">
        <f>IF(AND(C52&lt;&gt;"",D52&lt;&gt;""),(D52-C52)*24,"")</f>
        <v/>
      </c>
      <c r="F52" s="7" t="n"/>
      <c r="G52" s="8">
        <f>IF(E52&lt;&gt;"",MAX(0,E52-F52),"")</f>
        <v/>
      </c>
      <c r="H52" s="9" t="n"/>
    </row>
    <row r="53">
      <c r="A53" s="7" t="n"/>
      <c r="B53" s="7" t="n"/>
      <c r="C53" s="7" t="n"/>
      <c r="D53" s="7" t="n"/>
      <c r="E53" s="8">
        <f>IF(AND(C53&lt;&gt;"",D53&lt;&gt;""),(D53-C53)*24,"")</f>
        <v/>
      </c>
      <c r="F53" s="7" t="n"/>
      <c r="G53" s="8">
        <f>IF(E53&lt;&gt;"",MAX(0,E53-F53),"")</f>
        <v/>
      </c>
      <c r="H53" s="9" t="n"/>
    </row>
    <row r="54">
      <c r="A54" s="7" t="n"/>
      <c r="B54" s="7" t="n"/>
      <c r="C54" s="7" t="n"/>
      <c r="D54" s="7" t="n"/>
      <c r="E54" s="8">
        <f>IF(AND(C54&lt;&gt;"",D54&lt;&gt;""),(D54-C54)*24,"")</f>
        <v/>
      </c>
      <c r="F54" s="7" t="n"/>
      <c r="G54" s="8">
        <f>IF(E54&lt;&gt;"",MAX(0,E54-F54),"")</f>
        <v/>
      </c>
      <c r="H54" s="9" t="n"/>
    </row>
    <row r="55"/>
    <row r="56">
      <c r="A56" s="10" t="inlineStr">
        <is>
          <t>© 2026 AI Chef Pro · aichef.pro</t>
        </is>
      </c>
    </row>
  </sheetData>
  <mergeCells count="3">
    <mergeCell ref="A2:H2"/>
    <mergeCell ref="A1:H1"/>
    <mergeCell ref="A56:H56"/>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"Voluntaria,Obligatoria"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BF360C"/>
    <outlinePr summaryBelow="1" summaryRight="1"/>
    <pageSetUpPr fitToPage="1"/>
  </sheetPr>
  <dimension ref="A1:G24"/>
  <sheetViews>
    <sheetView workbookViewId="0">
      <pane ySplit="5" topLeftCell="A6"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18" customWidth="1" min="5" max="5"/>
    <col width="18" customWidth="1" min="6" max="6"/>
    <col width="18" customWidth="1" min="7" max="7"/>
  </cols>
  <sheetData>
    <row r="1">
      <c r="A1" s="4" t="inlineStr">
        <is>
          <t>Resumen Mensual de Horas Extras</t>
        </is>
      </c>
    </row>
    <row r="2">
      <c r="A2" s="5" t="inlineStr">
        <is>
          <t>AI Chef Pro · aichef.pro — Kit Gestión de Personal y Turnos</t>
        </is>
      </c>
    </row>
    <row r="3">
      <c r="A3" s="11" t="inlineStr">
        <is>
          <t>Tarifa hora base (€):</t>
        </is>
      </c>
      <c r="B3" s="12" t="n">
        <v>12</v>
      </c>
    </row>
    <row r="4"/>
    <row r="5">
      <c r="A5" s="6" t="inlineStr">
        <is>
          <t>Empleado</t>
        </is>
      </c>
      <c r="B5" s="6" t="inlineStr">
        <is>
          <t>Total H. Extra</t>
        </is>
      </c>
      <c r="C5" s="6" t="inlineStr">
        <is>
          <t>H. Acumuladas Año</t>
        </is>
      </c>
      <c r="D5" s="6" t="inlineStr">
        <is>
          <t>Dentro Límite (≤80h)</t>
        </is>
      </c>
      <c r="E5" s="6" t="inlineStr">
        <is>
          <t>Coste ×1.75</t>
        </is>
      </c>
      <c r="F5" s="6" t="inlineStr">
        <is>
          <t>Coste ×2.0</t>
        </is>
      </c>
      <c r="G5" s="6" t="inlineStr">
        <is>
          <t>Coste Total Extra</t>
        </is>
      </c>
    </row>
    <row r="6">
      <c r="A6" s="12" t="n"/>
      <c r="B6" s="12" t="n"/>
      <c r="C6" s="12" t="n"/>
      <c r="D6" s="13">
        <f>IF(C6="","",IF(C6&lt;=80,"✓ OK","⚠ EXCEDE"))</f>
        <v/>
      </c>
      <c r="E6" s="14">
        <f>IF(B6="","",MIN(B6,MAX(0,80-(C6-B6)))*$B$3*1.75)</f>
        <v/>
      </c>
      <c r="F6" s="14">
        <f>IF(B6="","",MAX(0,B6-MIN(B6,MAX(0,80-(C6-B6))))*$B$3*2)</f>
        <v/>
      </c>
      <c r="G6" s="14">
        <f>IF(B6="","",E6+F6)</f>
        <v/>
      </c>
    </row>
    <row r="7">
      <c r="A7" s="12" t="n"/>
      <c r="B7" s="12" t="n"/>
      <c r="C7" s="12" t="n"/>
      <c r="D7" s="13">
        <f>IF(C7="","",IF(C7&lt;=80,"✓ OK","⚠ EXCEDE"))</f>
        <v/>
      </c>
      <c r="E7" s="14">
        <f>IF(B7="","",MIN(B7,MAX(0,80-(C7-B7)))*$B$3*1.75)</f>
        <v/>
      </c>
      <c r="F7" s="14">
        <f>IF(B7="","",MAX(0,B7-MIN(B7,MAX(0,80-(C7-B7))))*$B$3*2)</f>
        <v/>
      </c>
      <c r="G7" s="14">
        <f>IF(B7="","",E7+F7)</f>
        <v/>
      </c>
    </row>
    <row r="8">
      <c r="A8" s="12" t="n"/>
      <c r="B8" s="12" t="n"/>
      <c r="C8" s="12" t="n"/>
      <c r="D8" s="13">
        <f>IF(C8="","",IF(C8&lt;=80,"✓ OK","⚠ EXCEDE"))</f>
        <v/>
      </c>
      <c r="E8" s="14">
        <f>IF(B8="","",MIN(B8,MAX(0,80-(C8-B8)))*$B$3*1.75)</f>
        <v/>
      </c>
      <c r="F8" s="14">
        <f>IF(B8="","",MAX(0,B8-MIN(B8,MAX(0,80-(C8-B8))))*$B$3*2)</f>
        <v/>
      </c>
      <c r="G8" s="14">
        <f>IF(B8="","",E8+F8)</f>
        <v/>
      </c>
    </row>
    <row r="9">
      <c r="A9" s="12" t="n"/>
      <c r="B9" s="12" t="n"/>
      <c r="C9" s="12" t="n"/>
      <c r="D9" s="13">
        <f>IF(C9="","",IF(C9&lt;=80,"✓ OK","⚠ EXCEDE"))</f>
        <v/>
      </c>
      <c r="E9" s="14">
        <f>IF(B9="","",MIN(B9,MAX(0,80-(C9-B9)))*$B$3*1.75)</f>
        <v/>
      </c>
      <c r="F9" s="14">
        <f>IF(B9="","",MAX(0,B9-MIN(B9,MAX(0,80-(C9-B9))))*$B$3*2)</f>
        <v/>
      </c>
      <c r="G9" s="14">
        <f>IF(B9="","",E9+F9)</f>
        <v/>
      </c>
    </row>
    <row r="10">
      <c r="A10" s="12" t="n"/>
      <c r="B10" s="12" t="n"/>
      <c r="C10" s="12" t="n"/>
      <c r="D10" s="13">
        <f>IF(C10="","",IF(C10&lt;=80,"✓ OK","⚠ EXCEDE"))</f>
        <v/>
      </c>
      <c r="E10" s="14">
        <f>IF(B10="","",MIN(B10,MAX(0,80-(C10-B10)))*$B$3*1.75)</f>
        <v/>
      </c>
      <c r="F10" s="14">
        <f>IF(B10="","",MAX(0,B10-MIN(B10,MAX(0,80-(C10-B10))))*$B$3*2)</f>
        <v/>
      </c>
      <c r="G10" s="14">
        <f>IF(B10="","",E10+F10)</f>
        <v/>
      </c>
    </row>
    <row r="11">
      <c r="A11" s="12" t="n"/>
      <c r="B11" s="12" t="n"/>
      <c r="C11" s="12" t="n"/>
      <c r="D11" s="13">
        <f>IF(C11="","",IF(C11&lt;=80,"✓ OK","⚠ EXCEDE"))</f>
        <v/>
      </c>
      <c r="E11" s="14">
        <f>IF(B11="","",MIN(B11,MAX(0,80-(C11-B11)))*$B$3*1.75)</f>
        <v/>
      </c>
      <c r="F11" s="14">
        <f>IF(B11="","",MAX(0,B11-MIN(B11,MAX(0,80-(C11-B11))))*$B$3*2)</f>
        <v/>
      </c>
      <c r="G11" s="14">
        <f>IF(B11="","",E11+F11)</f>
        <v/>
      </c>
    </row>
    <row r="12">
      <c r="A12" s="12" t="n"/>
      <c r="B12" s="12" t="n"/>
      <c r="C12" s="12" t="n"/>
      <c r="D12" s="13">
        <f>IF(C12="","",IF(C12&lt;=80,"✓ OK","⚠ EXCEDE"))</f>
        <v/>
      </c>
      <c r="E12" s="14">
        <f>IF(B12="","",MIN(B12,MAX(0,80-(C12-B12)))*$B$3*1.75)</f>
        <v/>
      </c>
      <c r="F12" s="14">
        <f>IF(B12="","",MAX(0,B12-MIN(B12,MAX(0,80-(C12-B12))))*$B$3*2)</f>
        <v/>
      </c>
      <c r="G12" s="14">
        <f>IF(B12="","",E12+F12)</f>
        <v/>
      </c>
    </row>
    <row r="13">
      <c r="A13" s="12" t="n"/>
      <c r="B13" s="12" t="n"/>
      <c r="C13" s="12" t="n"/>
      <c r="D13" s="13">
        <f>IF(C13="","",IF(C13&lt;=80,"✓ OK","⚠ EXCEDE"))</f>
        <v/>
      </c>
      <c r="E13" s="14">
        <f>IF(B13="","",MIN(B13,MAX(0,80-(C13-B13)))*$B$3*1.75)</f>
        <v/>
      </c>
      <c r="F13" s="14">
        <f>IF(B13="","",MAX(0,B13-MIN(B13,MAX(0,80-(C13-B13))))*$B$3*2)</f>
        <v/>
      </c>
      <c r="G13" s="14">
        <f>IF(B13="","",E13+F13)</f>
        <v/>
      </c>
    </row>
    <row r="14">
      <c r="A14" s="12" t="n"/>
      <c r="B14" s="12" t="n"/>
      <c r="C14" s="12" t="n"/>
      <c r="D14" s="13">
        <f>IF(C14="","",IF(C14&lt;=80,"✓ OK","⚠ EXCEDE"))</f>
        <v/>
      </c>
      <c r="E14" s="14">
        <f>IF(B14="","",MIN(B14,MAX(0,80-(C14-B14)))*$B$3*1.75)</f>
        <v/>
      </c>
      <c r="F14" s="14">
        <f>IF(B14="","",MAX(0,B14-MIN(B14,MAX(0,80-(C14-B14))))*$B$3*2)</f>
        <v/>
      </c>
      <c r="G14" s="14">
        <f>IF(B14="","",E14+F14)</f>
        <v/>
      </c>
    </row>
    <row r="15">
      <c r="A15" s="12" t="n"/>
      <c r="B15" s="12" t="n"/>
      <c r="C15" s="12" t="n"/>
      <c r="D15" s="13">
        <f>IF(C15="","",IF(C15&lt;=80,"✓ OK","⚠ EXCEDE"))</f>
        <v/>
      </c>
      <c r="E15" s="14">
        <f>IF(B15="","",MIN(B15,MAX(0,80-(C15-B15)))*$B$3*1.75)</f>
        <v/>
      </c>
      <c r="F15" s="14">
        <f>IF(B15="","",MAX(0,B15-MIN(B15,MAX(0,80-(C15-B15))))*$B$3*2)</f>
        <v/>
      </c>
      <c r="G15" s="14">
        <f>IF(B15="","",E15+F15)</f>
        <v/>
      </c>
    </row>
    <row r="16">
      <c r="A16" s="12" t="n"/>
      <c r="B16" s="12" t="n"/>
      <c r="C16" s="12" t="n"/>
      <c r="D16" s="13">
        <f>IF(C16="","",IF(C16&lt;=80,"✓ OK","⚠ EXCEDE"))</f>
        <v/>
      </c>
      <c r="E16" s="14">
        <f>IF(B16="","",MIN(B16,MAX(0,80-(C16-B16)))*$B$3*1.75)</f>
        <v/>
      </c>
      <c r="F16" s="14">
        <f>IF(B16="","",MAX(0,B16-MIN(B16,MAX(0,80-(C16-B16))))*$B$3*2)</f>
        <v/>
      </c>
      <c r="G16" s="14">
        <f>IF(B16="","",E16+F16)</f>
        <v/>
      </c>
    </row>
    <row r="17">
      <c r="A17" s="12" t="n"/>
      <c r="B17" s="12" t="n"/>
      <c r="C17" s="12" t="n"/>
      <c r="D17" s="13">
        <f>IF(C17="","",IF(C17&lt;=80,"✓ OK","⚠ EXCEDE"))</f>
        <v/>
      </c>
      <c r="E17" s="14">
        <f>IF(B17="","",MIN(B17,MAX(0,80-(C17-B17)))*$B$3*1.75)</f>
        <v/>
      </c>
      <c r="F17" s="14">
        <f>IF(B17="","",MAX(0,B17-MIN(B17,MAX(0,80-(C17-B17))))*$B$3*2)</f>
        <v/>
      </c>
      <c r="G17" s="14">
        <f>IF(B17="","",E17+F17)</f>
        <v/>
      </c>
    </row>
    <row r="18">
      <c r="A18" s="12" t="n"/>
      <c r="B18" s="12" t="n"/>
      <c r="C18" s="12" t="n"/>
      <c r="D18" s="13">
        <f>IF(C18="","",IF(C18&lt;=80,"✓ OK","⚠ EXCEDE"))</f>
        <v/>
      </c>
      <c r="E18" s="14">
        <f>IF(B18="","",MIN(B18,MAX(0,80-(C18-B18)))*$B$3*1.75)</f>
        <v/>
      </c>
      <c r="F18" s="14">
        <f>IF(B18="","",MAX(0,B18-MIN(B18,MAX(0,80-(C18-B18))))*$B$3*2)</f>
        <v/>
      </c>
      <c r="G18" s="14">
        <f>IF(B18="","",E18+F18)</f>
        <v/>
      </c>
    </row>
    <row r="19">
      <c r="A19" s="12" t="n"/>
      <c r="B19" s="12" t="n"/>
      <c r="C19" s="12" t="n"/>
      <c r="D19" s="13">
        <f>IF(C19="","",IF(C19&lt;=80,"✓ OK","⚠ EXCEDE"))</f>
        <v/>
      </c>
      <c r="E19" s="14">
        <f>IF(B19="","",MIN(B19,MAX(0,80-(C19-B19)))*$B$3*1.75)</f>
        <v/>
      </c>
      <c r="F19" s="14">
        <f>IF(B19="","",MAX(0,B19-MIN(B19,MAX(0,80-(C19-B19))))*$B$3*2)</f>
        <v/>
      </c>
      <c r="G19" s="14">
        <f>IF(B19="","",E19+F19)</f>
        <v/>
      </c>
    </row>
    <row r="20">
      <c r="A20" s="12" t="n"/>
      <c r="B20" s="12" t="n"/>
      <c r="C20" s="12" t="n"/>
      <c r="D20" s="13">
        <f>IF(C20="","",IF(C20&lt;=80,"✓ OK","⚠ EXCEDE"))</f>
        <v/>
      </c>
      <c r="E20" s="14">
        <f>IF(B20="","",MIN(B20,MAX(0,80-(C20-B20)))*$B$3*1.75)</f>
        <v/>
      </c>
      <c r="F20" s="14">
        <f>IF(B20="","",MAX(0,B20-MIN(B20,MAX(0,80-(C20-B20))))*$B$3*2)</f>
        <v/>
      </c>
      <c r="G20" s="14">
        <f>IF(B20="","",E20+F20)</f>
        <v/>
      </c>
    </row>
    <row r="21"/>
    <row r="22">
      <c r="A22" s="15" t="inlineStr">
        <is>
          <t>TOTALES</t>
        </is>
      </c>
      <c r="B22" s="16">
        <f>SUM(B6:B20)</f>
        <v>0.0</v>
      </c>
      <c r="E22" s="14">
        <f>SUM(E6:E20)</f>
        <v>0.0</v>
      </c>
      <c r="F22" s="14">
        <f>SUM(F6:F20)</f>
        <v>0.0</v>
      </c>
      <c r="G22" s="14">
        <f>SUM(G6:G20)</f>
        <v>0.0</v>
      </c>
    </row>
    <row r="23"/>
    <row r="24">
      <c r="A24" s="10" t="inlineStr">
        <is>
          <t>© 2026 AI Chef Pro · aichef.pro</t>
        </is>
      </c>
    </row>
  </sheetData>
  <mergeCells count="3">
    <mergeCell ref="A24:G24"/>
    <mergeCell ref="A1:G1"/>
    <mergeCell ref="A2:G2"/>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02 · Control de Horas Extras · Kit Gestion de Personal y Turnos</dc:title>
  <dc:description xmlns:dc="http://purl.org/dc/elements/1.1/">aichef.pro/kit-gestion-personal</dc:description>
  <dc:subject xmlns:dc="http://purl.org/dc/elements/1.1/">Kit Gestion de Personal y Turnos · v1.1</dc:subject>
  <dcterms:created xmlns:dcterms="http://purl.org/dc/terms/" xmlns:xsi="http://www.w3.org/2001/XMLSchema-instance" xsi:type="dcterms:W3CDTF">2026-03-23T19:17:38Z</dcterms:created>
  <dcterms:modified xmlns:dcterms="http://purl.org/dc/terms/" xmlns:xsi="http://www.w3.org/2001/XMLSchema-instance" xsi:type="dcterms:W3CDTF">2026-08-22T09:21:13Z</dcterms:modified>
  <cp:lastModifiedBy>AI Chef Pro</cp:lastModifiedBy>
  <cp:category>AI Chef Pro · Productos digitales</cp:category>
  <cp:keywords>kit gestion personal, AI Chef Pro</cp:keywords>
</cp:coreProperties>
</file>