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culadora" sheetId="2" state="visible" r:id="rId2"/>
    <sheet xmlns:r="http://schemas.openxmlformats.org/officeDocument/2006/relationships" name="Ratios por Tipo" sheetId="3" state="visible" r:id="rId3"/>
  </sheets>
  <definedNames>
    <definedName name="_xlnm.Print_Area" localSheetId="0">'Instrucciones'!$A$1:$B$27</definedName>
    <definedName name="_xlnm.Print_Area" localSheetId="1">'Calculadora'!$A$1:$E$55</definedName>
    <definedName name="_xlnm.Print_Titles" localSheetId="2">'Ratios por Tipo'!$4:$4</definedName>
    <definedName name="_xlnm.Print_Area" localSheetId="2">'Ratios por Tipo'!$A$1:$J$23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€#,##0.00"/>
    <numFmt numFmtId="165" formatCode="#,##0.00 €"/>
    <numFmt numFmtId="166" formatCode="0.0%"/>
  </numFmts>
  <fonts count="2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sz val="11"/>
    </font>
    <font>
      <name val="Calibri"/>
      <sz val="11"/>
    </font>
    <font>
      <name val="Calibri"/>
      <b val="1"/>
      <color rgb="001565C0"/>
      <sz val="11"/>
    </font>
    <font>
      <name val="Calibri"/>
      <color rgb="00999999"/>
      <sz val="9"/>
    </font>
    <font>
      <name val="Calibri"/>
      <b val="1"/>
      <color rgb="00FFFFFF"/>
      <sz val="11"/>
    </font>
    <font>
      <name val="Calibri"/>
      <color rgb="00555555"/>
      <sz val="10"/>
    </font>
    <font/>
    <font>
      <b val="1"/>
      <sz val="14"/>
    </font>
    <font>
      <color rgb="00666666"/>
      <sz val="9"/>
    </font>
    <font>
      <b val="1"/>
      <color rgb="00FFFFFF"/>
      <sz val="10"/>
    </font>
    <font>
      <i val="1"/>
      <sz val="9"/>
    </font>
    <font>
      <color rgb="00888888"/>
      <sz val="8"/>
    </font>
    <font>
      <b val="1"/>
      <sz val="11"/>
    </font>
    <font>
      <i val="1"/>
      <color rgb="00666666"/>
      <sz val="9"/>
    </font>
    <font>
      <b val="1"/>
      <sz val="10"/>
    </font>
    <font>
      <b val="1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2D2D2D"/>
      </patternFill>
    </fill>
    <fill>
      <patternFill patternType="solid">
        <fgColor rgb="00E8F5E9"/>
      </patternFill>
    </fill>
    <fill>
      <patternFill patternType="solid">
        <f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pivotButton="0" quotePrefix="0" xfId="0"/>
    <xf numFmtId="0" fontId="0" fillId="2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0" pivotButton="0" quotePrefix="0" xfId="0"/>
    <xf numFmtId="0" fontId="11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23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3" fillId="0" borderId="0" pivotButton="0" quotePrefix="0" xfId="0"/>
    <xf numFmtId="0" fontId="19" fillId="6" borderId="0" pivotButton="0" quotePrefix="0" xfId="0"/>
    <xf numFmtId="0" fontId="13" fillId="6" borderId="0" pivotButton="0" quotePrefix="0" xfId="0"/>
    <xf numFmtId="0" fontId="0" fillId="6" borderId="0" pivotButton="0" quotePrefix="0" xfId="0"/>
    <xf numFmtId="0" fontId="13" fillId="0" borderId="1" pivotButton="0" quotePrefix="0" xfId="0"/>
    <xf numFmtId="1" fontId="13" fillId="5" borderId="1" applyProtection="1" pivotButton="0" quotePrefix="0" xfId="0">
      <protection locked="0" hidden="0"/>
    </xf>
    <xf numFmtId="0" fontId="13" fillId="5" borderId="1" applyProtection="1" pivotButton="0" quotePrefix="0" xfId="0">
      <protection locked="0" hidden="0"/>
    </xf>
    <xf numFmtId="165" fontId="13" fillId="5" borderId="1" applyProtection="1" pivotButton="0" quotePrefix="0" xfId="0">
      <protection locked="0" hidden="0"/>
    </xf>
    <xf numFmtId="1" fontId="13" fillId="5" borderId="0" applyProtection="1" pivotButton="0" quotePrefix="0" xfId="0">
      <protection locked="0" hidden="0"/>
    </xf>
    <xf numFmtId="166" fontId="13" fillId="5" borderId="0" applyProtection="1" pivotButton="0" quotePrefix="0" xfId="0">
      <protection locked="0" hidden="0"/>
    </xf>
    <xf numFmtId="2" fontId="13" fillId="5" borderId="1" applyProtection="1" pivotButton="0" quotePrefix="0" xfId="0">
      <protection locked="0" hidden="0"/>
    </xf>
    <xf numFmtId="165" fontId="13" fillId="5" borderId="0" applyProtection="1" pivotButton="0" quotePrefix="0" xfId="0">
      <protection locked="0" hidden="0"/>
    </xf>
    <xf numFmtId="0" fontId="19" fillId="6" borderId="1" pivotButton="0" quotePrefix="0" xfId="0"/>
    <xf numFmtId="0" fontId="13" fillId="6" borderId="1" pivotButton="0" quotePrefix="0" xfId="0"/>
    <xf numFmtId="1" fontId="13" fillId="0" borderId="1" pivotButton="0" quotePrefix="0" xfId="0"/>
    <xf numFmtId="0" fontId="20" fillId="0" borderId="0" pivotButton="0" quotePrefix="0" xfId="0"/>
    <xf numFmtId="1" fontId="13" fillId="0" borderId="0" pivotButton="0" quotePrefix="0" xfId="0"/>
    <xf numFmtId="0" fontId="21" fillId="0" borderId="0" applyAlignment="1" pivotButton="0" quotePrefix="0" xfId="0">
      <alignment horizontal="center" vertical="center"/>
    </xf>
    <xf numFmtId="1" fontId="0" fillId="0" borderId="0" pivotButton="0" quotePrefix="0" xfId="0"/>
    <xf numFmtId="0" fontId="19" fillId="0" borderId="1" pivotButton="0" quotePrefix="0" xfId="0"/>
    <xf numFmtId="1" fontId="22" fillId="0" borderId="1" pivotButton="0" quotePrefix="0" xfId="0"/>
    <xf numFmtId="0" fontId="15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9" fillId="0" borderId="0" pivotButton="0" quotePrefix="0" xfId="0"/>
    <xf numFmtId="1" fontId="22" fillId="0" borderId="0" pivotButton="0" quotePrefix="0" xfId="0"/>
    <xf numFmtId="165" fontId="0" fillId="0" borderId="0" pivotButton="0" quotePrefix="0" xfId="0"/>
    <xf numFmtId="166" fontId="22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center"/>
    </xf>
    <xf numFmtId="1" fontId="0" fillId="5" borderId="0" applyProtection="1" pivotButton="0" quotePrefix="0" xfId="0">
      <protection locked="0" hidden="0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horizontal="center"/>
    </xf>
    <xf numFmtId="0" fontId="16" fillId="4" borderId="1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" fontId="13" fillId="5" borderId="1" applyAlignment="1" applyProtection="1" pivotButton="0" quotePrefix="0" xfId="0">
      <alignment horizontal="center" vertical="center"/>
      <protection locked="0" hidden="0"/>
    </xf>
    <xf numFmtId="1" fontId="0" fillId="5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6" fontId="0" fillId="5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8" t="inlineStr">
        <is>
          <t>BONUS · Calculadora de Plantilla Óptima</t>
        </is>
      </c>
    </row>
    <row r="3"/>
    <row r="4">
      <c r="B4" s="19" t="inlineStr">
        <is>
          <t>Cómo usar esta plantilla:</t>
        </is>
      </c>
    </row>
    <row r="5">
      <c r="B5" s="19" t="inlineStr">
        <is>
          <t>▸ Introduce los datos de tu negocio en las celdas verdes de la hoja 'Calculadora'. Todo lo demás son fórmulas.</t>
        </is>
      </c>
    </row>
    <row r="6">
      <c r="B6" s="19" t="inlineStr">
        <is>
          <t>▸ El tipo de negocio es un desplegable con los diez formatos de la hoja 'Ratios por Tipo': de él salen los tres ratios y los dos umbrales del semáforo.</t>
        </is>
      </c>
    </row>
    <row r="7">
      <c r="B7" s="19" t="inlineStr">
        <is>
          <t>▸ Compara el resultado con tu plantilla actual en el bloque del final para detectar sobre o infradimensionamiento.</t>
        </is>
      </c>
    </row>
    <row r="8">
      <c r="B8" s="3" t="n"/>
    </row>
    <row r="9">
      <c r="B9" s="19" t="inlineStr">
        <is>
          <t>La cadena de cálculo, en una línea:</t>
        </is>
      </c>
    </row>
    <row r="10">
      <c r="B10" s="19" t="inlineStr">
        <is>
          <t>▸ Cubiertos al día ÷ servicios = cubiertos por SERVICIO → ÷ ratio de cada puesto = personal por servicio → × servicios = presencias al día → × horas por servicio × días de apertura = horas a la semana → ÷ jornada × factor de cobertura = FTE.</t>
        </is>
      </c>
    </row>
    <row r="11">
      <c r="B11" s="19" t="inlineStr">
        <is>
          <t>▸ Con los datos de ejemplo (80 cubiertos, 2 servicios, casual): 40 cubiertos por servicio, 5 personas por servicio, 10 presencias al día, 240 h a la semana y 7 personas a jornada completa.</t>
        </is>
      </c>
    </row>
    <row r="12">
      <c r="B12" s="19" t="inlineStr">
        <is>
          <t>▸ FTE son contratos a jornada completa, no personas por turno. En sala, a la vez, hay 2.</t>
        </is>
      </c>
    </row>
    <row r="13">
      <c r="B13" s="3" t="n"/>
    </row>
    <row r="14">
      <c r="B14" s="19" t="inlineStr">
        <is>
          <t>Por qué hay que meter el ticket medio:</t>
        </is>
      </c>
    </row>
    <row r="15">
      <c r="B15" s="19" t="inlineStr">
        <is>
          <t>▸ Sin él, la calculadora puede decirte que contrates a diecinueve personas sin que nada avise de que se comen toda la caja. Con él, la hoja estima tus ventas y pone el ratio de coste laboral al lado del objetivo de tu tipo de negocio.</t>
        </is>
      </c>
    </row>
    <row r="16">
      <c r="B16" s="19" t="inlineStr">
        <is>
          <t>▸ Con los datos de ejemplo: 52.000 € de ventas al mes, 16.292,50 € de coste y un ratio del 31,3 %, dentro del 28-33 % de un casual.</t>
        </is>
      </c>
    </row>
    <row r="17">
      <c r="B17" s="3" t="n"/>
    </row>
    <row r="18">
      <c r="B18" s="19" t="inlineStr">
        <is>
          <t>El día pico:</t>
        </is>
      </c>
    </row>
    <row r="19">
      <c r="B19" s="19" t="inlineStr">
        <is>
          <t>▸ «Cubiertos del día PICO» es tu día fuerte (viernes o sábado, casi siempre). La hoja calcula el personal de ESE día y te da el refuerzo sobre un día normal: es lo que hay que reforzar ese día, no toda la semana, y no se suma a la plantilla fija.</t>
        </is>
      </c>
    </row>
    <row r="20">
      <c r="B20" s="3" t="n"/>
    </row>
    <row r="21">
      <c r="B21" s="19" t="inlineStr">
        <is>
          <t>Lo que esta hoja NO es:</t>
        </is>
      </c>
    </row>
    <row r="22">
      <c r="B22" s="19" t="inlineStr">
        <is>
          <t>▸ No es tu coste de nómina: parte de un salario medio y de un tipo de cotización únicos para todo el equipo. El coste real, contrato a contrato, sale de la hoja «Nóminas» del fichero 03 — que es otro libro, no una pestaña de éste.</t>
        </is>
      </c>
    </row>
    <row r="23">
      <c r="B23" s="19" t="inlineStr">
        <is>
          <t>▸ Los ratios son orientativos y editables: si tu carta es más laboriosa o tu servicio más exigente, baja el número de cubiertos por cocinero o por camarero en las celdas verdes de 'Ratios por Tipo' y la calculadora lo recoge sola.</t>
        </is>
      </c>
    </row>
    <row r="24"/>
    <row r="25">
      <c r="B25" s="20" t="inlineStr">
        <is>
          <t>Para editar una celda bloqueada: Revisar → Desproteger hoja (no tiene contraseña). Las celdas verdes ya son editables sin desproteger nada.</t>
        </is>
      </c>
    </row>
    <row r="26">
      <c r="B26" s="20" t="inlineStr">
        <is>
          <t>Diseñado por John Guerrero — chef y consultor gastronómico desde 2010, en cocina desde los 17 años · johnguerrero.es</t>
        </is>
      </c>
    </row>
    <row r="27">
      <c r="B27" s="20" t="inlineStr">
        <is>
          <t>Versión 2.0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E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26" customWidth="1" min="3" max="3"/>
    <col width="14" customWidth="1" min="4" max="4"/>
    <col width="18" customWidth="1" min="5" max="5"/>
  </cols>
  <sheetData>
    <row r="1">
      <c r="A1" s="21" t="inlineStr">
        <is>
          <t>Calculadora de Plantilla Óptima</t>
        </is>
      </c>
    </row>
    <row r="2">
      <c r="A2" s="22" t="inlineStr">
        <is>
          <t>AI Chef Pro · aichef.pro — Kit Gestión de Personal y Turnos</t>
        </is>
      </c>
    </row>
    <row r="3">
      <c r="A3" s="23" t="n"/>
      <c r="B3" s="23" t="n"/>
    </row>
    <row r="4">
      <c r="A4" s="24" t="inlineStr">
        <is>
          <t>DATOS DE TU NEGOCIO — edita sólo las celdas verdes</t>
        </is>
      </c>
      <c r="B4" s="25" t="n"/>
      <c r="C4" s="26" t="n"/>
      <c r="D4" s="26" t="n"/>
      <c r="E4" s="26" t="n"/>
    </row>
    <row r="5">
      <c r="A5" s="27" t="inlineStr">
        <is>
          <t>Cubiertos previstos / día:</t>
        </is>
      </c>
      <c r="B5" s="28" t="n">
        <v>80</v>
      </c>
    </row>
    <row r="6">
      <c r="A6" s="27" t="inlineStr">
        <is>
          <t>Servicios al día (comida + cena):</t>
        </is>
      </c>
      <c r="B6" s="28" t="n">
        <v>2</v>
      </c>
    </row>
    <row r="7">
      <c r="A7" s="27" t="inlineStr">
        <is>
          <t>Días de apertura / semana:</t>
        </is>
      </c>
      <c r="B7" s="28" t="n">
        <v>6</v>
      </c>
    </row>
    <row r="8">
      <c r="A8" s="27" t="inlineStr">
        <is>
          <t>Tipo de negocio:</t>
        </is>
      </c>
      <c r="B8" s="29" t="inlineStr">
        <is>
          <t>Restaurante Casual</t>
        </is>
      </c>
    </row>
    <row r="9">
      <c r="A9" s="27" t="inlineStr">
        <is>
          <t>Salario medio bruto (€/mes, en las pagas de abajo):</t>
        </is>
      </c>
      <c r="B9" s="30" t="n">
        <v>1500</v>
      </c>
    </row>
    <row r="10">
      <c r="A10" s="23" t="inlineStr">
        <is>
          <t>Nº de pagas / año:</t>
        </is>
      </c>
      <c r="B10" s="31" t="n">
        <v>14</v>
      </c>
    </row>
    <row r="11">
      <c r="A11" s="23" t="inlineStr">
        <is>
          <t>Tipo de SS a cargo de la empresa (%):</t>
        </is>
      </c>
      <c r="B11" s="32" t="n">
        <v>0.33</v>
      </c>
    </row>
    <row r="12">
      <c r="A12" s="27" t="inlineStr">
        <is>
          <t>Horas pagadas por presencia y servicio (el turno completo sale de multiplicarlas por los servicios):</t>
        </is>
      </c>
      <c r="B12" s="28" t="n">
        <v>4</v>
      </c>
    </row>
    <row r="13">
      <c r="A13" s="27" t="inlineStr">
        <is>
          <t>Jornada contratada (h/semana):</t>
        </is>
      </c>
      <c r="B13" s="28" t="n">
        <v>40</v>
      </c>
    </row>
    <row r="14">
      <c r="A14" s="27" t="inlineStr">
        <is>
          <t>Factor de cobertura (vacaciones, bajas y descansos):</t>
        </is>
      </c>
      <c r="B14" s="33" t="n">
        <v>1.15</v>
      </c>
    </row>
    <row r="15">
      <c r="A15" s="23" t="inlineStr">
        <is>
          <t>Ticket medio sin IVA (€):</t>
        </is>
      </c>
      <c r="B15" s="34" t="n">
        <v>25</v>
      </c>
    </row>
    <row r="16">
      <c r="A16" s="23" t="inlineStr">
        <is>
          <t>Cubiertos del día PICO:</t>
        </is>
      </c>
      <c r="B16" s="31" t="n">
        <v>120</v>
      </c>
    </row>
    <row r="17">
      <c r="A17" s="27" t="n"/>
      <c r="B17" s="27" t="n"/>
    </row>
    <row r="18">
      <c r="A18" s="35" t="inlineStr">
        <is>
          <t>RATIOS APLICADOS — salen de la hoja «Ratios por Tipo»</t>
        </is>
      </c>
      <c r="B18" s="36" t="n"/>
      <c r="C18" s="26" t="n"/>
      <c r="D18" s="26" t="n"/>
      <c r="E18" s="26" t="n"/>
    </row>
    <row r="19">
      <c r="A19" s="27" t="inlineStr">
        <is>
          <t>Cubiertos por cocinero y servicio:</t>
        </is>
      </c>
      <c r="B19" s="37">
        <f>IFERROR(VLOOKUP($B$8,'Ratios por Tipo'!$A$5:$J$14,5,FALSE),0)</f>
        <v>25.0</v>
      </c>
      <c r="C19" s="38" t="inlineStr">
        <is>
          <t>← 0 = ese formato no tiene ese puesto</t>
        </is>
      </c>
    </row>
    <row r="20">
      <c r="A20" s="27" t="inlineStr">
        <is>
          <t>Cubiertos por camarero y servicio:</t>
        </is>
      </c>
      <c r="B20" s="37">
        <f>IFERROR(VLOOKUP($B$8,'Ratios por Tipo'!$A$5:$J$14,6,FALSE),0)</f>
        <v>22.0</v>
      </c>
    </row>
    <row r="21">
      <c r="A21" s="27" t="inlineStr">
        <is>
          <t>Cubiertos por persona de barra y servicio:</t>
        </is>
      </c>
      <c r="B21" s="37">
        <f>IFERROR(VLOOKUP($B$8,'Ratios por Tipo'!$A$5:$J$14,7,FALSE),0)</f>
        <v>80.0</v>
      </c>
    </row>
    <row r="22">
      <c r="A22" s="27" t="n"/>
      <c r="B22" s="27" t="n"/>
    </row>
    <row r="23">
      <c r="A23" s="35" t="inlineStr">
        <is>
          <t>DE CUBIERTOS A PLANTILLA</t>
        </is>
      </c>
      <c r="B23" s="36" t="n"/>
      <c r="C23" s="26" t="n"/>
      <c r="D23" s="26" t="n"/>
      <c r="E23" s="26" t="n"/>
    </row>
    <row r="24">
      <c r="A24" s="23" t="inlineStr">
        <is>
          <t>Cubiertos por SERVICIO:</t>
        </is>
      </c>
      <c r="B24" s="39">
        <f>IFERROR(IF(OR($B$5="",$B$6="",$B$6=0),"",ROUND($B$5/$B$6,0)),"")</f>
        <v>40.0</v>
      </c>
      <c r="C24" s="38" t="inlineStr">
        <is>
          <t>← es la cifra que dimensiona el turno, no los del día</t>
        </is>
      </c>
    </row>
    <row r="25">
      <c r="A25" s="23" t="n"/>
      <c r="B25" s="40" t="inlineStr">
        <is>
          <t>Cocina</t>
        </is>
      </c>
      <c r="C25" s="40" t="inlineStr">
        <is>
          <t>Sala</t>
        </is>
      </c>
      <c r="D25" s="40" t="inlineStr">
        <is>
          <t>Barra</t>
        </is>
      </c>
      <c r="E25" s="40" t="inlineStr">
        <is>
          <t>Total / servicio</t>
        </is>
      </c>
    </row>
    <row r="26">
      <c r="A26" s="27" t="inlineStr">
        <is>
          <t>Personal por SERVICIO:</t>
        </is>
      </c>
      <c r="B26" s="37">
        <f>IFERROR(IF(OR($B$24="",$B$19="",$B$19=0),0,CEILING($B$24/$B$19,1)),0)</f>
        <v>2.0</v>
      </c>
      <c r="C26" s="41">
        <f>IFERROR(IF(OR($B$24="",$B$20="",$B$20=0),0,CEILING($B$24/$B$20,1)),0)</f>
        <v>2.0</v>
      </c>
      <c r="D26" s="41">
        <f>IFERROR(IF(OR($B$24="",$B$21="",$B$21=0),0,CEILING($B$24/$B$21,1)),0)</f>
        <v>1.0</v>
      </c>
      <c r="E26" s="41">
        <f>IF($B$24="","",$B$26+$C$26+$D$26)</f>
        <v>5.0</v>
      </c>
    </row>
    <row r="27">
      <c r="A27" s="27" t="inlineStr">
        <is>
          <t>Presencias al día (personas × servicios):</t>
        </is>
      </c>
      <c r="B27" s="37">
        <f>IF(OR($E$26="",$B$6=""),"",$E$26*$B$6)</f>
        <v>10.0</v>
      </c>
    </row>
    <row r="28">
      <c r="A28" s="27" t="inlineStr">
        <is>
          <t>Horas de plantilla necesarias / semana:</t>
        </is>
      </c>
      <c r="B28" s="37">
        <f>IF(OR($B$27="",$B$12="",$B$7=""),"",$B$27*$B$12*$B$7)</f>
        <v>240.0</v>
      </c>
    </row>
    <row r="29">
      <c r="A29" s="42" t="inlineStr">
        <is>
          <t>Plantilla necesaria (FTE):</t>
        </is>
      </c>
      <c r="B29" s="43">
        <f>IFERROR(IF(OR($B$28="",$B$13="",$B$13=0),"",CEILING($B$28/$B$13*$B$14,1)),"")</f>
        <v>7.0</v>
      </c>
    </row>
    <row r="30">
      <c r="A30" s="23" t="n"/>
      <c r="B30" s="23" t="n"/>
    </row>
    <row r="31">
      <c r="A31" s="24" t="inlineStr">
        <is>
          <t>REFUERZO EN DÍA PICO</t>
        </is>
      </c>
      <c r="B31" s="25" t="n"/>
      <c r="C31" s="26" t="n"/>
      <c r="D31" s="26" t="n"/>
      <c r="E31" s="26" t="n"/>
    </row>
    <row r="32">
      <c r="A32" s="27" t="inlineStr">
        <is>
          <t>Cubiertos por servicio en el día pico:</t>
        </is>
      </c>
      <c r="B32" s="37">
        <f>IFERROR(IF(OR($B$16="",$B$6="",$B$6=0),"",ROUND($B$16/$B$6,0)),"")</f>
        <v>60.0</v>
      </c>
    </row>
    <row r="33">
      <c r="A33" s="27" t="n"/>
      <c r="B33" s="44" t="inlineStr">
        <is>
          <t>Cocina</t>
        </is>
      </c>
      <c r="C33" s="45" t="inlineStr">
        <is>
          <t>Sala</t>
        </is>
      </c>
      <c r="D33" s="45" t="inlineStr">
        <is>
          <t>Barra</t>
        </is>
      </c>
      <c r="E33" s="45" t="inlineStr">
        <is>
          <t>Total / servicio</t>
        </is>
      </c>
    </row>
    <row r="34">
      <c r="A34" s="27" t="inlineStr">
        <is>
          <t>Personal por servicio ese día:</t>
        </is>
      </c>
      <c r="B34" s="37">
        <f>IFERROR(IF(OR($B$32="",$B$19="",$B$19=0),0,CEILING($B$32/$B$19,1)),0)</f>
        <v>3.0</v>
      </c>
      <c r="C34" s="41">
        <f>IFERROR(IF(OR($B$32="",$B$20="",$B$20=0),0,CEILING($B$32/$B$20,1)),0)</f>
        <v>3.0</v>
      </c>
      <c r="D34" s="41">
        <f>IFERROR(IF(OR($B$32="",$B$21="",$B$21=0),0,CEILING($B$32/$B$21,1)),0)</f>
        <v>1.0</v>
      </c>
      <c r="E34" s="41">
        <f>IF($B$32="","",$B$34+$C$34+$D$34)</f>
        <v>7.0</v>
      </c>
    </row>
    <row r="35">
      <c r="A35" s="46" t="inlineStr">
        <is>
          <t>REFUERZO sobre un día normal (personas por servicio):</t>
        </is>
      </c>
      <c r="B35" s="47">
        <f>IF(OR($E$34="",$E$26=""),"",MAX(0,$E$34-$E$26))</f>
        <v>2.0</v>
      </c>
      <c r="C35" s="38" t="inlineStr">
        <is>
          <t>← es un refuerzo de ESE día, no plantilla fija</t>
        </is>
      </c>
    </row>
    <row r="36">
      <c r="A36" s="23" t="n"/>
      <c r="B36" s="23" t="n"/>
    </row>
    <row r="37">
      <c r="A37" s="24" t="inlineStr">
        <is>
          <t>COSTE LABORAL Y CONTRASTE CON LAS VENTAS</t>
        </is>
      </c>
      <c r="B37" s="25" t="n"/>
      <c r="C37" s="26" t="n"/>
      <c r="D37" s="26" t="n"/>
      <c r="E37" s="26" t="n"/>
    </row>
    <row r="38">
      <c r="A38" t="inlineStr">
        <is>
          <t>Coste laboral estimado del equipo (€/mes):</t>
        </is>
      </c>
      <c r="B38" s="48">
        <f>IFERROR(IF(OR($B$29="",$B$9="",$B$10=""),"",ROUND($B$29*$B$9*$B$10/12*(1+$B$11),2)),"")</f>
        <v>16292.5</v>
      </c>
    </row>
    <row r="39">
      <c r="A39" t="inlineStr">
        <is>
          <t>Coste laboral estimado (€/año):</t>
        </is>
      </c>
      <c r="B39" s="48">
        <f>IF($B$38="","",ROUND($B$38*12,2))</f>
        <v>195510.0</v>
      </c>
      <c r="C39" s="38" t="inlineStr">
        <is>
          <t>← doce meses del coste mensual, que ya lleva dentro las pagas extra</t>
        </is>
      </c>
    </row>
    <row r="40">
      <c r="A40" t="inlineStr">
        <is>
          <t>Ventas estimadas del mes (€):</t>
        </is>
      </c>
      <c r="B40" s="48">
        <f>IFERROR(IF(OR($B$5="",$B$15="",$B$7=""),"",ROUND($B$5*$B$15*$B$7*52/12,2)),"")</f>
        <v>52000.0</v>
      </c>
    </row>
    <row r="41">
      <c r="A41" s="46" t="inlineStr">
        <is>
          <t>RATIO DE COSTE LABORAL:</t>
        </is>
      </c>
      <c r="B41" s="49">
        <f>IFERROR(IF(OR($B$38="",$B$40="",$B$40=0),"",ROUND($B$38/$B$40,4)),"")</f>
        <v>0.3133</v>
      </c>
      <c r="C41" t="inlineStr">
        <is>
          <t>Ratio objetivo de tu tipo:</t>
        </is>
      </c>
      <c r="D41" s="50">
        <f>IFERROR(VLOOKUP($B$8,'Ratios por Tipo'!$A$5:$J$14,9,FALSE),0.33)</f>
        <v>0.33</v>
      </c>
    </row>
    <row r="42">
      <c r="C42" t="inlineStr">
        <is>
          <t>Máximo aceptable de tu tipo:</t>
        </is>
      </c>
      <c r="D42" s="50">
        <f>IFERROR(VLOOKUP($B$8,'Ratios por Tipo'!$A$5:$J$14,10,FALSE),0.35)</f>
        <v>0.35</v>
      </c>
    </row>
    <row r="43">
      <c r="A43" s="46" t="inlineStr">
        <is>
          <t>Semáforo:</t>
        </is>
      </c>
      <c r="B43" s="51" t="str">
        <f>IF($B$41="","— introduce el ticket medio y elige tu tipo de negocio",IF($B$41&lt;$D$41,"🟢 EXCELENTE (por debajo de tu objetivo)",IF($B$41&lt;=$D$42,"🟡 VIGILAR (en el límite)","🔴 ACCIÓN CORRECTIVA")))</f>
        <v>🟢 EXCELENTE (por debajo de tu objetivo)</v>
      </c>
    </row>
    <row r="44"/>
    <row r="45">
      <c r="A45" s="24" t="inlineStr">
        <is>
          <t>COMPARATIVA CON TU PLANTILLA ACTUAL</t>
        </is>
      </c>
      <c r="B45" s="26" t="n"/>
      <c r="C45" s="26" t="n"/>
      <c r="D45" s="26" t="n"/>
      <c r="E45" s="26" t="n"/>
    </row>
    <row r="46">
      <c r="A46" t="inlineStr">
        <is>
          <t>Personal actual (personas a jornada completa):</t>
        </is>
      </c>
      <c r="B46" s="52" t="n"/>
    </row>
    <row r="47">
      <c r="A47" t="inlineStr">
        <is>
          <t>Diferencia:</t>
        </is>
      </c>
      <c r="B47" s="41">
        <f>IF(OR($B$46="",$B$29=""),"",$B$46-$B$29)</f>
        <v/>
      </c>
    </row>
    <row r="48">
      <c r="A48" t="inlineStr">
        <is>
          <t>Diagnóstico:</t>
        </is>
      </c>
      <c r="B48" s="51">
        <f>IF($B$47="","",IF($B$47&gt;1,"⚠ SOBREDIMENSIONADA (+"&amp;TEXT($B$47,"0")&amp;")",IF($B$47&lt;-1,"🔴 INFRADIMENSIONADA ("&amp;TEXT($B$47,"0")&amp;")","✓ DIMENSIONADA CORRECTAMENTE")))</f>
        <v/>
      </c>
    </row>
    <row r="49"/>
    <row r="50" ht="46" customHeight="1">
      <c r="A50" s="53" t="inlineStr">
        <is>
          <t>▸ FTE = personas a jornada completa, no personas por turno. Y una PRESENCIA no es una persona: es una persona en UN servicio. Con los datos de ejemplo son 5 personas por servicio y 2 servicios al día = 10 presencias, que son esas MISMAS 5 personas haciendo un turno de 8 h (4 h pagadas por servicio × 2): 5 × 8 h × 6 días = 240 h a la semana = siete contratos de 40 h con el 15 % de cobertura de libranzas, vacaciones y bajas ya dentro. Cuadra con la hoja 'Turnos' del 01 (M, T y N son de 8 h; el partido, 9).</t>
        </is>
      </c>
    </row>
    <row r="51" ht="42" customHeight="1">
      <c r="A51" s="53" t="inlineStr">
        <is>
          <t>▸ La hoja «Previsión por Servicio» del fichero 03 hace este mismo cálculo y con los valores de fábrica devuelve el mismo número. Si cambias aquí el TIPO DE NEGOCIO, esa hoja no se entera: sus tres ratios son constantes de Restaurante Casual. Copia entonces B19, B20 y B21 de esta calculadora a B7, B8 y B9 de «Previsión por Servicio» y volverán a coincidir.</t>
        </is>
      </c>
    </row>
    <row r="52" ht="30" customHeight="1">
      <c r="A52" s="53" t="inlineStr">
        <is>
          <t>▸ El refuerzo del día pico es personal EXTRA de ese día (horas complementarias, un fijo-discontinuo o un contrato por circunstancias de la producción), no plantilla fija: por eso no se suma al FTE.</t>
        </is>
      </c>
    </row>
    <row r="53" ht="30" customHeight="1">
      <c r="A53" s="53" t="inlineStr">
        <is>
          <t>▸ El coste es una estimación de convenio, no tu nómina: parte de un salario medio y de un tipo de cotización únicos para toda la plantilla. El coste real, contrato a contrato, sale de la hoja «Nóminas» del fichero 03.</t>
        </is>
      </c>
    </row>
    <row r="54"/>
    <row r="55">
      <c r="A55" s="54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A55:E55"/>
    <mergeCell ref="A51:E51"/>
    <mergeCell ref="A53:E53"/>
    <mergeCell ref="A1:E1"/>
    <mergeCell ref="A52:E52"/>
    <mergeCell ref="A50:E50"/>
    <mergeCell ref="B48:E48"/>
    <mergeCell ref="B43:E43"/>
    <mergeCell ref="A2:E2"/>
  </mergeCells>
  <conditionalFormatting sqref="B43">
    <cfRule type="containsText" priority="1" operator="containsText" dxfId="0" stopIfTrue="1" text="ACCIÓN CORRECTIVA">
      <formula>NOT(ISERROR(SEARCH("ACCIÓN CORRECTIVA",B43)))</formula>
    </cfRule>
    <cfRule type="containsText" priority="2" operator="containsText" dxfId="1" stopIfTrue="1" text="VIGILAR">
      <formula>NOT(ISERROR(SEARCH("VIGILAR",B43)))</formula>
    </cfRule>
    <cfRule type="containsText" priority="3" operator="containsText" dxfId="2" stopIfTrue="1" text="EXCELENTE">
      <formula>NOT(ISERROR(SEARCH("EXCELENTE",B43)))</formula>
    </cfRule>
  </conditionalFormatting>
  <conditionalFormatting sqref="B48">
    <cfRule type="containsText" priority="4" operator="containsText" dxfId="0" stopIfTrue="1" text="INFRADIMENSIONADA">
      <formula>NOT(ISERROR(SEARCH("INFRADIMENSIONADA",B48)))</formula>
    </cfRule>
    <cfRule type="containsText" priority="5" operator="containsText" dxfId="1" stopIfTrue="1" text="SOBREDIMENSIONADA">
      <formula>NOT(ISERROR(SEARCH("SOBREDIMENSIONADA",B48)))</formula>
    </cfRule>
    <cfRule type="containsText" priority="6" operator="containsText" dxfId="2" stopIfTrue="1" text="CORRECTAMENTE">
      <formula>NOT(ISERROR(SEARCH("CORRECTAMENTE",B48)))</formula>
    </cfRule>
  </conditionalFormatting>
  <dataValidations count="11">
    <dataValidation sqref="B7" showDropDown="0" showInputMessage="1" showErrorMessage="0" allowBlank="0" promptTitle="kitgp-v2c · Días de apertura / semana" prompt="Entra en el cálculo por las horas semanales: abrir 7 días en vez de 6 sube la plantilla necesaria, no sólo el turno. En la versión 1.1 esta celda no la leía ninguna fórmula."/>
    <dataValidation sqref="B9" showDropDown="0" showInputMessage="1" showErrorMessage="0" allowBlank="0" promptTitle="kitgp-v2c · Salario medio bruto (€/mes, en las pagas de abajo)" prompt="Es el BRUTO de convenio de una persona a jornada completa, no su coste: la cotización empresarial se suma aparte, dos filas más abajo. Para el coste real de TU equipo usa la hoja «Nóminas» del fichero 03."/>
    <dataValidation sqref="B11" showDropDown="0" showInputMessage="1" showErrorMessage="0" allowBlank="0" promptTitle="kitgp-v2c · Tipo de SS a cargo de la empresa (%)" prompt="Ajústalo a tu CNAE, contrato y convenio: un indefinido general ronda el 33-34 % sumando contingencias comunes, desempleo, AT/EP, FOGASA, FP y MEI."/>
    <dataValidation sqref="B12" showDropDown="0" showInputMessage="1" showErrorMessage="0" allowBlank="0" promptTitle="kitgp-v2c · Horas pagadas por presencia y servicio (el turno completo sale de multiplicarlas por los servicios)" prompt="Son las horas que le cuestas a la empresa CADA persona por CADA servicio que cubre, montaje y cierre incluidos. Con 2 servicios al día, 4 h por servicio son el turno de 8 h de la hoja «Turnos» del fichero 01. Súbelas si tu servicio es más largo o si montas y desmontas fuera del turno."/>
    <dataValidation sqref="B13" showDropDown="0" showInputMessage="1" showErrorMessage="0" allowBlank="0" promptTitle="kitgp-v2c · Jornada contratada (h/semana)" prompt="Es la de un contrato a tiempo completo. Los parciales llevan la suya en su fila: por eso la columna es verde y editable persona a persona."/>
    <dataValidation sqref="B14" showDropDown="0" showInputMessage="1" showErrorMessage="0" allowBlank="0" promptTitle="kitgp-v2c · Factor de cobertura (vacaciones, bajas y descansos)" prompt="Un 15 % adicional sobre el personal en sala para cubrir libranzas, vacaciones y bajas. En temporada alta súbelo a 1,20."/>
    <dataValidation sqref="B15" showDropDown="0" showInputMessage="1" showErrorMessage="0" allowBlank="0" promptTitle="kitgp-v2c · Ticket medio sin IVA (€)" prompt="Sólo sirve para contrastar el resultado con tus ventas: sin él la calculadora puede decirte que contrates a diecinueve personas sin que nada avise de que te comen el 100 % de la caja."/>
    <dataValidation sqref="B16" showDropDown="0" showInputMessage="1" showErrorMessage="0" allowBlank="0" promptTitle="kitgp-v2c · Cubiertos del día PICO" prompt="El día fuerte de tu semana (viernes o sábado, casi siempre). De aquí sale el refuerzo por servicio, que es lo que hay que reforzar ese día y no toda la semana."/>
    <dataValidation sqref="B6" showDropDown="0" showInputMessage="1" showErrorMessage="1" allowBlank="1" errorTitle="Servicios al día no válido" error="Elige 1, 2 o 3." promptTitle="kitgp-v2c · Servicios al día no válido" prompt="Uno (sólo comidas o sólo cenas), dos (comida y cena) o tres (desayuno, comida y cena). Es lo que reparte los cubiertos del día entre turnos, y el turno es lo que se dimensiona." type="list" errorStyle="stop">
      <formula1>"1,2,3"</formula1>
    </dataValidation>
    <dataValidation sqref="B8" showDropDown="0" showInputMessage="1" showErrorMessage="1" allowBlank="1" errorTitle="Tipo de negocio no válido" error="Elige uno de los diez tipos de la hoja «Ratios por Tipo»." promptTitle="kitgp-v2c · Tipo de negocio no válido" prompt="De aquí salen por VLOOKUP los tres ratios de la hoja «Ratios por Tipo» y los dos umbrales del semáforo del ratio de coste laboral. La versión 1.1 sólo admitía tres tipos y cualquier otro valor devolvía en silencio los ratios de comida rápida." type="list" errorStyle="stop">
      <formula1>"Restaurante Casual,Fine Dining / Alta Cocina,Fast Casual / Comida Rápida,Cafetería / Brunch,Bar / Cocktails,Pizzería,Dark Kitchen / Delivery,Hotel (restaurante),Catering / Eventos,Heladería / Obrador"</formula1>
    </dataValidation>
    <dataValidation sqref="B10" showDropDown="0" showInputMessage="1" showErrorMessage="1" allowBlank="1" errorTitle="Número de pagas no válido" error="Elige 12, 14 o 15." promptTitle="kitgp-v2c · Número de pagas no válido" prompt="Doce si tu convenio prorratea las extras en la nómina mensual, catorce si las paga en junio y en diciembre, quince en los convenios que añaden una de beneficios. El coste anual sale de ESTA celda: la versión 1.1 multiplicaba por 14 sin decirlo." type="list" errorStyle="stop">
      <formula1>"12,14,15"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BF360C"/>
    <outlinePr summaryBelow="1" summaryRight="1"/>
    <pageSetUpPr fitToPage="1"/>
  </sheetPr>
  <dimension ref="A1:J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</cols>
  <sheetData>
    <row r="1">
      <c r="A1" s="21" t="inlineStr">
        <is>
          <t>Ratios de Personal por Tipo de Negocio</t>
        </is>
      </c>
    </row>
    <row r="2">
      <c r="A2" s="22" t="inlineStr">
        <is>
          <t>AI Chef Pro · aichef.pro — Kit Gestión de Personal y Turnos</t>
        </is>
      </c>
    </row>
    <row r="3">
      <c r="A3" s="23" t="n"/>
      <c r="B3" s="23" t="n"/>
      <c r="C3" s="23" t="n"/>
      <c r="D3" s="23" t="n"/>
      <c r="E3" s="23" t="n"/>
    </row>
    <row r="4" ht="30" customHeight="1">
      <c r="A4" s="55" t="inlineStr">
        <is>
          <t>Tipo de Negocio</t>
        </is>
      </c>
      <c r="B4" s="55" t="inlineStr">
        <is>
          <t>Cubiertos/cocinero y servicio (rango)</t>
        </is>
      </c>
      <c r="C4" s="55" t="inlineStr">
        <is>
          <t>Cubiertos/camarero y servicio (rango)</t>
        </is>
      </c>
      <c r="D4" s="55" t="inlineStr">
        <is>
          <t>Cubiertos/barra y servicio (rango)</t>
        </is>
      </c>
      <c r="E4" s="55" t="inlineStr">
        <is>
          <t>Cocina: cubiertos (núm.)</t>
        </is>
      </c>
      <c r="F4" s="56" t="inlineStr">
        <is>
          <t>Sala: cubiertos (núm.)</t>
        </is>
      </c>
      <c r="G4" s="56" t="inlineStr">
        <is>
          <t>Barra: cubiertos (núm.)</t>
        </is>
      </c>
      <c r="H4" s="56" t="inlineStr">
        <is>
          <t>Ratio Coste Laboral</t>
        </is>
      </c>
      <c r="I4" s="56" t="inlineStr">
        <is>
          <t>Objetivo % (núm.)</t>
        </is>
      </c>
      <c r="J4" s="56" t="inlineStr">
        <is>
          <t>Aceptable % (núm.)</t>
        </is>
      </c>
    </row>
    <row r="5">
      <c r="A5" s="57" t="inlineStr">
        <is>
          <t>Restaurante Casual</t>
        </is>
      </c>
      <c r="B5" s="58" t="inlineStr">
        <is>
          <t>22-28</t>
        </is>
      </c>
      <c r="C5" s="58" t="inlineStr">
        <is>
          <t>20-25</t>
        </is>
      </c>
      <c r="D5" s="58" t="inlineStr">
        <is>
          <t>70-90</t>
        </is>
      </c>
      <c r="E5" s="59" t="n">
        <v>25</v>
      </c>
      <c r="F5" s="60" t="n">
        <v>22</v>
      </c>
      <c r="G5" s="60" t="n">
        <v>80</v>
      </c>
      <c r="H5" s="61" t="inlineStr">
        <is>
          <t>28-33%</t>
        </is>
      </c>
      <c r="I5" s="62" t="n">
        <v>0.33</v>
      </c>
      <c r="J5" s="62" t="n">
        <v>0.35</v>
      </c>
    </row>
    <row r="6">
      <c r="A6" s="57" t="inlineStr">
        <is>
          <t>Fine Dining / Alta Cocina</t>
        </is>
      </c>
      <c r="B6" s="58" t="inlineStr">
        <is>
          <t>10-14</t>
        </is>
      </c>
      <c r="C6" s="58" t="inlineStr">
        <is>
          <t>8-12</t>
        </is>
      </c>
      <c r="D6" s="58" t="inlineStr">
        <is>
          <t>35-45</t>
        </is>
      </c>
      <c r="E6" s="59" t="n">
        <v>12</v>
      </c>
      <c r="F6" s="60" t="n">
        <v>10</v>
      </c>
      <c r="G6" s="60" t="n">
        <v>40</v>
      </c>
      <c r="H6" s="61" t="inlineStr">
        <is>
          <t>35-40%</t>
        </is>
      </c>
      <c r="I6" s="62" t="n">
        <v>0.4</v>
      </c>
      <c r="J6" s="62" t="n">
        <v>0.42</v>
      </c>
    </row>
    <row r="7">
      <c r="A7" s="57" t="inlineStr">
        <is>
          <t>Fast Casual / Comida Rápida</t>
        </is>
      </c>
      <c r="B7" s="58" t="inlineStr">
        <is>
          <t>40-50</t>
        </is>
      </c>
      <c r="C7" s="58" t="inlineStr">
        <is>
          <t>35-45</t>
        </is>
      </c>
      <c r="D7" s="58" t="inlineStr">
        <is>
          <t>90-110</t>
        </is>
      </c>
      <c r="E7" s="59" t="n">
        <v>45</v>
      </c>
      <c r="F7" s="60" t="n">
        <v>40</v>
      </c>
      <c r="G7" s="60" t="n">
        <v>100</v>
      </c>
      <c r="H7" s="61" t="inlineStr">
        <is>
          <t>25-28%</t>
        </is>
      </c>
      <c r="I7" s="62" t="n">
        <v>0.28</v>
      </c>
      <c r="J7" s="62" t="n">
        <v>0.3</v>
      </c>
    </row>
    <row r="8">
      <c r="A8" s="57" t="inlineStr">
        <is>
          <t>Cafetería / Brunch</t>
        </is>
      </c>
      <c r="B8" s="58" t="inlineStr">
        <is>
          <t>30-40</t>
        </is>
      </c>
      <c r="C8" s="58" t="inlineStr">
        <is>
          <t>25-35</t>
        </is>
      </c>
      <c r="D8" s="58" t="inlineStr">
        <is>
          <t>50-70</t>
        </is>
      </c>
      <c r="E8" s="59" t="n">
        <v>35</v>
      </c>
      <c r="F8" s="60" t="n">
        <v>30</v>
      </c>
      <c r="G8" s="60" t="n">
        <v>60</v>
      </c>
      <c r="H8" s="61" t="inlineStr">
        <is>
          <t>28-32%</t>
        </is>
      </c>
      <c r="I8" s="62" t="n">
        <v>0.32</v>
      </c>
      <c r="J8" s="62" t="n">
        <v>0.35</v>
      </c>
    </row>
    <row r="9">
      <c r="A9" s="57" t="inlineStr">
        <is>
          <t>Bar / Cocktails</t>
        </is>
      </c>
      <c r="B9" s="58" t="inlineStr">
        <is>
          <t>—</t>
        </is>
      </c>
      <c r="C9" s="58" t="inlineStr">
        <is>
          <t>25-35</t>
        </is>
      </c>
      <c r="D9" s="58" t="inlineStr">
        <is>
          <t>30-40</t>
        </is>
      </c>
      <c r="E9" s="59" t="n">
        <v>0</v>
      </c>
      <c r="F9" s="60" t="n">
        <v>30</v>
      </c>
      <c r="G9" s="60" t="n">
        <v>35</v>
      </c>
      <c r="H9" s="61" t="inlineStr">
        <is>
          <t>25-30%</t>
        </is>
      </c>
      <c r="I9" s="62" t="n">
        <v>0.3</v>
      </c>
      <c r="J9" s="62" t="n">
        <v>0.33</v>
      </c>
    </row>
    <row r="10">
      <c r="A10" s="57" t="inlineStr">
        <is>
          <t>Pizzería</t>
        </is>
      </c>
      <c r="B10" s="58" t="inlineStr">
        <is>
          <t>26-34</t>
        </is>
      </c>
      <c r="C10" s="58" t="inlineStr">
        <is>
          <t>22-28</t>
        </is>
      </c>
      <c r="D10" s="58" t="inlineStr">
        <is>
          <t>80-100</t>
        </is>
      </c>
      <c r="E10" s="59" t="n">
        <v>30</v>
      </c>
      <c r="F10" s="60" t="n">
        <v>25</v>
      </c>
      <c r="G10" s="60" t="n">
        <v>90</v>
      </c>
      <c r="H10" s="61" t="inlineStr">
        <is>
          <t>26-30%</t>
        </is>
      </c>
      <c r="I10" s="62" t="n">
        <v>0.3</v>
      </c>
      <c r="J10" s="62" t="n">
        <v>0.32</v>
      </c>
    </row>
    <row r="11">
      <c r="A11" s="57" t="inlineStr">
        <is>
          <t>Dark Kitchen / Delivery</t>
        </is>
      </c>
      <c r="B11" s="58" t="inlineStr">
        <is>
          <t>35-45</t>
        </is>
      </c>
      <c r="C11" s="58" t="inlineStr">
        <is>
          <t>—</t>
        </is>
      </c>
      <c r="D11" s="58" t="inlineStr">
        <is>
          <t>—</t>
        </is>
      </c>
      <c r="E11" s="59" t="n">
        <v>40</v>
      </c>
      <c r="F11" s="60" t="n">
        <v>0</v>
      </c>
      <c r="G11" s="60" t="n">
        <v>0</v>
      </c>
      <c r="H11" s="61" t="inlineStr">
        <is>
          <t>22-28%</t>
        </is>
      </c>
      <c r="I11" s="62" t="n">
        <v>0.28</v>
      </c>
      <c r="J11" s="62" t="n">
        <v>0.3</v>
      </c>
    </row>
    <row r="12">
      <c r="A12" s="57" t="inlineStr">
        <is>
          <t>Hotel (restaurante)</t>
        </is>
      </c>
      <c r="B12" s="58" t="inlineStr">
        <is>
          <t>18-24</t>
        </is>
      </c>
      <c r="C12" s="58" t="inlineStr">
        <is>
          <t>12-18</t>
        </is>
      </c>
      <c r="D12" s="58" t="inlineStr">
        <is>
          <t>45-55</t>
        </is>
      </c>
      <c r="E12" s="59" t="n">
        <v>20</v>
      </c>
      <c r="F12" s="60" t="n">
        <v>15</v>
      </c>
      <c r="G12" s="60" t="n">
        <v>50</v>
      </c>
      <c r="H12" s="61" t="inlineStr">
        <is>
          <t>35-42%</t>
        </is>
      </c>
      <c r="I12" s="62" t="n">
        <v>0.42</v>
      </c>
      <c r="J12" s="62" t="n">
        <v>0.44</v>
      </c>
    </row>
    <row r="13">
      <c r="A13" s="57" t="inlineStr">
        <is>
          <t>Catering / Eventos</t>
        </is>
      </c>
      <c r="B13" s="58" t="inlineStr">
        <is>
          <t>20-25</t>
        </is>
      </c>
      <c r="C13" s="58" t="inlineStr">
        <is>
          <t>12-18</t>
        </is>
      </c>
      <c r="D13" s="58" t="inlineStr">
        <is>
          <t>50-70</t>
        </is>
      </c>
      <c r="E13" s="59" t="n">
        <v>22</v>
      </c>
      <c r="F13" s="60" t="n">
        <v>15</v>
      </c>
      <c r="G13" s="60" t="n">
        <v>60</v>
      </c>
      <c r="H13" s="61" t="inlineStr">
        <is>
          <t>30-35%</t>
        </is>
      </c>
      <c r="I13" s="62" t="n">
        <v>0.35</v>
      </c>
      <c r="J13" s="62" t="n">
        <v>0.38</v>
      </c>
    </row>
    <row r="14">
      <c r="A14" s="57" t="inlineStr">
        <is>
          <t>Heladería / Obrador</t>
        </is>
      </c>
      <c r="B14" s="58" t="inlineStr">
        <is>
          <t>35-45</t>
        </is>
      </c>
      <c r="C14" s="58" t="inlineStr">
        <is>
          <t>25-35</t>
        </is>
      </c>
      <c r="D14" s="58" t="inlineStr">
        <is>
          <t>—</t>
        </is>
      </c>
      <c r="E14" s="59" t="n">
        <v>40</v>
      </c>
      <c r="F14" s="60" t="n">
        <v>30</v>
      </c>
      <c r="G14" s="60" t="n">
        <v>0</v>
      </c>
      <c r="H14" s="61" t="inlineStr">
        <is>
          <t>25-30%</t>
        </is>
      </c>
      <c r="I14" s="62" t="n">
        <v>0.3</v>
      </c>
      <c r="J14" s="62" t="n">
        <v>0.32</v>
      </c>
    </row>
    <row r="15">
      <c r="A15" s="23" t="n"/>
      <c r="B15" s="23" t="n"/>
      <c r="C15" s="23" t="n"/>
      <c r="D15" s="23" t="n"/>
      <c r="E15" s="23" t="n"/>
    </row>
    <row r="16" ht="30" customHeight="1">
      <c r="A16" s="53" t="inlineStr">
        <is>
          <t>▸ Los tres números son CUBIERTOS POR EMPLEADO Y SERVICIO, no por día: 80 cubiertos al día en dos servicios son 40 por servicio, y es con esos 40 con los que se dimensiona el turno.</t>
        </is>
      </c>
    </row>
    <row r="17" ht="30" customHeight="1">
      <c r="A17" s="53" t="inlineStr">
        <is>
          <t>▸ Un 0 significa que ese formato no tiene ese puesto: una dark kitchen no monta sala y un bar de coctelería no lleva cocina de carta. La calculadora no pide personal donde el ratio es 0.</t>
        </is>
      </c>
    </row>
    <row r="18" ht="30" customHeight="1">
      <c r="A18" s="53" t="inlineStr">
        <is>
          <t>▸ Las columnas numéricas son las que lee la calculadora por VLOOKUP; los rangos de al lado son orientativos — ajústalos a tu carta, a tu servicio y a tu nivel de exigencia.</t>
        </is>
      </c>
    </row>
    <row r="19" ht="15" customHeight="1">
      <c r="A19" s="53" t="inlineStr">
        <is>
          <t>▸ En temporada alta baja el ratio (más personal por cubierto) o sube el factor de cobertura de la calculadora a 1,20.</t>
        </is>
      </c>
    </row>
    <row r="20" ht="30" customHeight="1">
      <c r="A20" s="53" t="inlineStr">
        <is>
          <t>▸ «Objetivo %» y «Aceptable %» son los mismos umbrales que usa el semáforo del fichero 03 para los seis tipos que están en los dos: los dos ficheros no pueden contradecirse sobre el mismo ratio.</t>
        </is>
      </c>
    </row>
    <row r="21" ht="30" customHeight="1">
      <c r="A21" s="53" t="inlineStr">
        <is>
          <t>▸ El ratio de coste laboral incluye la cotización empresarial, que en la calculadora es una celda verde (33 % por defecto), no un 30 % escondido en la fórmula.</t>
        </is>
      </c>
    </row>
    <row r="22">
      <c r="A22" s="23" t="n"/>
      <c r="B22" s="23" t="n"/>
      <c r="C22" s="23" t="n"/>
      <c r="D22" s="23" t="n"/>
      <c r="E22" s="23" t="n"/>
    </row>
    <row r="23">
      <c r="A23" s="54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A1:J1"/>
    <mergeCell ref="A23:J23"/>
    <mergeCell ref="A19:J19"/>
    <mergeCell ref="A21:J21"/>
    <mergeCell ref="A2:J2"/>
    <mergeCell ref="A18:J18"/>
    <mergeCell ref="A16:J16"/>
    <mergeCell ref="A20:J20"/>
    <mergeCell ref="A17:J17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· Calculadora de Plantilla Óptima · Kit Gestión de Personal y Turnos</dc:title>
  <dc:description xmlns:dc="http://purl.org/dc/elements/1.1/">aichef.pro/kit-gestion-personal</dc:description>
  <dc:subject xmlns:dc="http://purl.org/dc/elements/1.1/">Kit Gestión de Personal y Turnos · v2.0</dc:subject>
  <dcterms:created xmlns:dcterms="http://purl.org/dc/terms/" xmlns:xsi="http://www.w3.org/2001/XMLSchema-instance" xsi:type="dcterms:W3CDTF">2026-03-23T19:17:40Z</dcterms:created>
  <dcterms:modified xmlns:dcterms="http://purl.org/dc/terms/" xmlns:xsi="http://www.w3.org/2001/XMLSchema-instance" xsi:type="dcterms:W3CDTF">2026-08-24T04:12:39Z</dcterms:modified>
  <cp:lastModifiedBy>AI Chef Pro</cp:lastModifiedBy>
  <cp:category>AI Chef Pro · Productos digitales</cp:category>
  <cp:keywords>kit gestion personal, AI Chef Pro</cp:keywords>
</cp:coreProperties>
</file>