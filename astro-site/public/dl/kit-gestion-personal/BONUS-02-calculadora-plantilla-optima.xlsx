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Ratios por Tipo" sheetId="3" state="visible" r:id="rId3"/>
  </sheets>
  <definedNames>
    <definedName name="_xlnm.Print_Titles" localSheetId="2">'Ratios por Tipo'!$4:$4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sz val="11"/>
    </font>
    <font>
      <name val="Calibri"/>
      <sz val="11"/>
    </font>
    <font>
      <name val="Calibri"/>
      <b val="1"/>
      <color rgb="001565C0"/>
      <sz val="11"/>
    </font>
    <font>
      <name val="Calibri"/>
      <color rgb="00999999"/>
      <sz val="9"/>
    </font>
    <font>
      <name val="Calibri"/>
      <b val="1"/>
      <color rgb="00FFFFFF"/>
      <sz val="11"/>
    </font>
    <font>
      <name val="Calibri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Calculadora de Plantilla Óptima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Introduce los datos de tu negocio en las celdas verdes.</t>
        </is>
      </c>
    </row>
    <row r="6">
      <c r="B6" s="3" t="inlineStr">
        <is>
          <t>▸ Las fórmulas calculan el personal óptimo automáticamente.</t>
        </is>
      </c>
    </row>
    <row r="7">
      <c r="B7" s="3" t="inlineStr">
        <is>
          <t>▸ Compara con tu plantilla actual para detectar sobre/infra-dimensionamiento.</t>
        </is>
      </c>
    </row>
    <row r="8">
      <c r="B8" s="3" t="inlineStr">
        <is>
          <t>▸ Consulta los ratios de referencia en la hoja 'Ratios por Tipo'.</t>
        </is>
      </c>
    </row>
    <row r="9"/>
    <row r="10">
      <c r="B10" s="2" t="inlineStr">
        <is>
          <t>Cálculos incluidos:</t>
        </is>
      </c>
    </row>
    <row r="11">
      <c r="B11" s="3" t="inlineStr">
        <is>
          <t>▸ Cocineros, camareros y barmans necesarios por turno.</t>
        </is>
      </c>
    </row>
    <row r="12">
      <c r="B12" s="3" t="inlineStr">
        <is>
          <t>▸ Coste laboral estimado mensual.</t>
        </is>
      </c>
    </row>
    <row r="13">
      <c r="B13" s="3" t="inlineStr">
        <is>
          <t>▸ Comparativa automática con plantilla actual.</t>
        </is>
      </c>
    </row>
    <row r="14"/>
    <row r="15">
      <c r="B15" s="2" t="inlineStr">
        <is>
          <t>Ratios de referencia (covers por empleado):</t>
        </is>
      </c>
    </row>
    <row r="16">
      <c r="B16" s="3" t="inlineStr">
        <is>
          <t>▸ Casual: 1 cocinero/20 covers, 1 camarero/12 covers.</t>
        </is>
      </c>
    </row>
    <row r="17">
      <c r="B17" s="3" t="inlineStr">
        <is>
          <t>▸ Fine dining: 1 cocinero/8 covers, 1 camarero/6 covers.</t>
        </is>
      </c>
    </row>
    <row r="18">
      <c r="B18" s="3" t="inlineStr">
        <is>
          <t>▸ Fast casual: 1 cocinero/30 covers, 1 camarero/20 covers.</t>
        </is>
      </c>
    </row>
    <row r="19"/>
    <row r="20">
      <c r="B20" s="3" t="inlineStr">
        <is>
          <t>Versión 1.1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</cols>
  <sheetData>
    <row r="1">
      <c r="A1" s="4" t="inlineStr">
        <is>
          <t>Calculadora de Plantilla Óptima</t>
        </is>
      </c>
    </row>
    <row r="2">
      <c r="A2" s="5" t="inlineStr">
        <is>
          <t>AI Chef Pro · aichef.pro — Kit Gestión de Personal y Turnos</t>
        </is>
      </c>
    </row>
    <row r="3"/>
    <row r="4">
      <c r="A4" s="6" t="inlineStr">
        <is>
          <t>DATOS DE TU NEGOCIO</t>
        </is>
      </c>
    </row>
    <row r="5">
      <c r="A5" s="7" t="inlineStr">
        <is>
          <t>Covers / día promedio:</t>
        </is>
      </c>
      <c r="B5" s="8" t="n">
        <v>80</v>
      </c>
    </row>
    <row r="6">
      <c r="A6" s="7" t="inlineStr">
        <is>
          <t>Días apertura / semana:</t>
        </is>
      </c>
      <c r="B6" s="8" t="n">
        <v>6</v>
      </c>
    </row>
    <row r="7">
      <c r="A7" s="7" t="inlineStr">
        <is>
          <t>Servicios (1=almuerzo, 2=cena, 3=ambos):</t>
        </is>
      </c>
      <c r="B7" s="8" t="n">
        <v>3</v>
      </c>
    </row>
    <row r="8">
      <c r="A8" s="7" t="inlineStr">
        <is>
          <t>Tipo negocio (1=casual, 2=fine, 3=fast):</t>
        </is>
      </c>
      <c r="B8" s="8" t="n">
        <v>1</v>
      </c>
    </row>
    <row r="9">
      <c r="A9" s="7" t="inlineStr">
        <is>
          <t>Salario medio bruto mensual (€):</t>
        </is>
      </c>
      <c r="B9" s="8" t="n">
        <v>1800</v>
      </c>
    </row>
    <row r="10"/>
    <row r="11">
      <c r="A11" s="6" t="inlineStr">
        <is>
          <t>RATIOS APLICADOS (auto según tipo)</t>
        </is>
      </c>
    </row>
    <row r="12">
      <c r="A12" s="7" t="inlineStr">
        <is>
          <t>Covers / cocinero:</t>
        </is>
      </c>
      <c r="B12" s="9">
        <f>IF(B8=1,20,IF(B8=2,8,30))</f>
        <v>20.0</v>
      </c>
    </row>
    <row r="13">
      <c r="A13" s="7" t="inlineStr">
        <is>
          <t>Covers / camarero:</t>
        </is>
      </c>
      <c r="B13" s="9">
        <f>IF(B8=1,12,IF(B8=2,6,20))</f>
        <v>12.0</v>
      </c>
    </row>
    <row r="14">
      <c r="A14" s="7" t="inlineStr">
        <is>
          <t>Covers / barman:</t>
        </is>
      </c>
      <c r="B14" s="9">
        <f>IF(B8=1,25,IF(B8=2,15,35))</f>
        <v>25.0</v>
      </c>
    </row>
    <row r="15"/>
    <row r="16">
      <c r="A16" s="6" t="inlineStr">
        <is>
          <t>PERSONAL NECESARIO POR TURNO</t>
        </is>
      </c>
    </row>
    <row r="17">
      <c r="A17" s="7" t="inlineStr">
        <is>
          <t>Covers por servicio:</t>
        </is>
      </c>
      <c r="B17" s="9">
        <f>IF(B7=3,CEILING(B5/2,1),B5)</f>
        <v>40.0</v>
      </c>
    </row>
    <row r="18">
      <c r="A18" s="7" t="inlineStr">
        <is>
          <t>Cocineros necesarios / turno:</t>
        </is>
      </c>
      <c r="B18" s="9">
        <f>CEILING(B17/B12,1)</f>
        <v>2.0</v>
      </c>
    </row>
    <row r="19">
      <c r="A19" s="7" t="inlineStr">
        <is>
          <t>Camareros necesarios / turno:</t>
        </is>
      </c>
      <c r="B19" s="9">
        <f>CEILING(B17/B13,1)</f>
        <v>4.0</v>
      </c>
    </row>
    <row r="20">
      <c r="A20" s="7" t="inlineStr">
        <is>
          <t>Barmans necesarios / turno:</t>
        </is>
      </c>
      <c r="B20" s="9">
        <f>CEILING(B17/B14,1)</f>
        <v>2.0</v>
      </c>
    </row>
    <row r="21">
      <c r="A21" s="7" t="inlineStr">
        <is>
          <t>TOTAL personal / turno:</t>
        </is>
      </c>
      <c r="B21" s="9">
        <f>B18+B19+B20</f>
        <v>8.0</v>
      </c>
    </row>
    <row r="22">
      <c r="A22" s="7" t="inlineStr">
        <is>
          <t>Turnos al día:</t>
        </is>
      </c>
      <c r="B22" s="9">
        <f>IF(B7=3,2,1)</f>
        <v>2.0</v>
      </c>
    </row>
    <row r="23">
      <c r="A23" s="7" t="inlineStr">
        <is>
          <t>Personal total necesario (con rotación):</t>
        </is>
      </c>
      <c r="B23" s="9">
        <f>CEILING(B21*B22*1.15,1)</f>
        <v>19.0</v>
      </c>
    </row>
    <row r="24"/>
    <row r="25">
      <c r="A25" s="6" t="inlineStr">
        <is>
          <t>COSTE LABORAL ESTIMADO</t>
        </is>
      </c>
    </row>
    <row r="26">
      <c r="A26" s="7" t="inlineStr">
        <is>
          <t>Coste mensual bruto plantilla (€):</t>
        </is>
      </c>
      <c r="B26" s="10">
        <f>B23*B9</f>
        <v>34200.0</v>
      </c>
    </row>
    <row r="27">
      <c r="A27" s="7" t="inlineStr">
        <is>
          <t>Seguridad Social empresa (30%):</t>
        </is>
      </c>
      <c r="B27" s="10">
        <f>B26*0.30</f>
        <v>10260.0</v>
      </c>
    </row>
    <row r="28">
      <c r="A28" s="7" t="inlineStr">
        <is>
          <t>COSTE LABORAL TOTAL MENSUAL (€):</t>
        </is>
      </c>
      <c r="B28" s="10">
        <f>B26+B27</f>
        <v>44460.0</v>
      </c>
    </row>
    <row r="29">
      <c r="A29" s="7" t="inlineStr">
        <is>
          <t>Coste laboral anual estimado (€):</t>
        </is>
      </c>
      <c r="B29" s="10">
        <f>B28*14</f>
        <v>622440.0</v>
      </c>
    </row>
    <row r="30"/>
    <row r="31">
      <c r="A31" s="6" t="inlineStr">
        <is>
          <t>COMPARATIVA CON PLANTILLA ACTUAL</t>
        </is>
      </c>
    </row>
    <row r="32">
      <c r="A32" s="7" t="inlineStr">
        <is>
          <t>Personal actual:</t>
        </is>
      </c>
      <c r="B32" s="11" t="n"/>
    </row>
    <row r="33">
      <c r="A33" s="7" t="inlineStr">
        <is>
          <t>Diferencia:</t>
        </is>
      </c>
      <c r="B33" s="9">
        <f>IF(B32&lt;&gt;"",B32-B23,"")</f>
        <v/>
      </c>
    </row>
    <row r="34">
      <c r="A34" s="7" t="inlineStr">
        <is>
          <t>Diagnóstico:</t>
        </is>
      </c>
      <c r="B34" s="12">
        <f>IF(B33="","",IF(B33&gt;1,"⚠ SOBREDIMENSIONADA (+"&amp;B33&amp;")",IF(B33&lt;-1,"🔴 INFRADIMENSIONADA ("&amp;B33&amp;")","✓ DIMENSIONADA CORRECTAMENTE")))</f>
        <v/>
      </c>
    </row>
    <row r="35"/>
    <row r="36"/>
    <row r="37">
      <c r="A37" s="13" t="inlineStr">
        <is>
          <t>© 2026 AI Chef Pro · aichef.pro</t>
        </is>
      </c>
    </row>
  </sheetData>
  <mergeCells count="3">
    <mergeCell ref="A1:D1"/>
    <mergeCell ref="A37:D37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F360C"/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4" t="inlineStr">
        <is>
          <t>Ratios de Personal por Tipo de Negocio</t>
        </is>
      </c>
    </row>
    <row r="2">
      <c r="A2" s="5" t="inlineStr">
        <is>
          <t>AI Chef Pro · aichef.pro — Kit Gestión de Personal y Turnos</t>
        </is>
      </c>
    </row>
    <row r="3"/>
    <row r="4">
      <c r="A4" s="14" t="inlineStr">
        <is>
          <t>Tipo de Negocio</t>
        </is>
      </c>
      <c r="B4" s="14" t="inlineStr">
        <is>
          <t>Covers/Cocinero</t>
        </is>
      </c>
      <c r="C4" s="14" t="inlineStr">
        <is>
          <t>Covers/Camarero</t>
        </is>
      </c>
      <c r="D4" s="14" t="inlineStr">
        <is>
          <t>Covers/Barman</t>
        </is>
      </c>
      <c r="E4" s="14" t="inlineStr">
        <is>
          <t>Ratio Coste Laboral</t>
        </is>
      </c>
    </row>
    <row r="5">
      <c r="A5" s="15" t="inlineStr">
        <is>
          <t>Restaurante Casual</t>
        </is>
      </c>
      <c r="B5" s="16" t="inlineStr">
        <is>
          <t>18-22</t>
        </is>
      </c>
      <c r="C5" s="16" t="inlineStr">
        <is>
          <t>10-14</t>
        </is>
      </c>
      <c r="D5" s="16" t="inlineStr">
        <is>
          <t>20-30</t>
        </is>
      </c>
      <c r="E5" s="16" t="inlineStr">
        <is>
          <t>28-33%</t>
        </is>
      </c>
    </row>
    <row r="6">
      <c r="A6" s="15" t="inlineStr">
        <is>
          <t>Fine Dining / Alta Cocina</t>
        </is>
      </c>
      <c r="B6" s="16" t="inlineStr">
        <is>
          <t>6-10</t>
        </is>
      </c>
      <c r="C6" s="16" t="inlineStr">
        <is>
          <t>4-8</t>
        </is>
      </c>
      <c r="D6" s="16" t="inlineStr">
        <is>
          <t>12-18</t>
        </is>
      </c>
      <c r="E6" s="16" t="inlineStr">
        <is>
          <t>35-40%</t>
        </is>
      </c>
    </row>
    <row r="7">
      <c r="A7" s="15" t="inlineStr">
        <is>
          <t>Fast Casual / Comida Rápida</t>
        </is>
      </c>
      <c r="B7" s="16" t="inlineStr">
        <is>
          <t>25-35</t>
        </is>
      </c>
      <c r="C7" s="16" t="inlineStr">
        <is>
          <t>18-25</t>
        </is>
      </c>
      <c r="D7" s="16" t="inlineStr">
        <is>
          <t>30-40</t>
        </is>
      </c>
      <c r="E7" s="16" t="inlineStr">
        <is>
          <t>25-28%</t>
        </is>
      </c>
    </row>
    <row r="8">
      <c r="A8" s="15" t="inlineStr">
        <is>
          <t>Cafetería / Brunch</t>
        </is>
      </c>
      <c r="B8" s="16" t="inlineStr">
        <is>
          <t>15-20</t>
        </is>
      </c>
      <c r="C8" s="16" t="inlineStr">
        <is>
          <t>10-15</t>
        </is>
      </c>
      <c r="D8" s="16" t="inlineStr">
        <is>
          <t>20-25</t>
        </is>
      </c>
      <c r="E8" s="16" t="inlineStr">
        <is>
          <t>28-32%</t>
        </is>
      </c>
    </row>
    <row r="9">
      <c r="A9" s="15" t="inlineStr">
        <is>
          <t>Bar / Cocktails</t>
        </is>
      </c>
      <c r="B9" s="16" t="inlineStr">
        <is>
          <t>—</t>
        </is>
      </c>
      <c r="C9" s="16" t="inlineStr">
        <is>
          <t>15-20</t>
        </is>
      </c>
      <c r="D9" s="16" t="inlineStr">
        <is>
          <t>10-15</t>
        </is>
      </c>
      <c r="E9" s="16" t="inlineStr">
        <is>
          <t>25-30%</t>
        </is>
      </c>
    </row>
    <row r="10">
      <c r="A10" s="15" t="inlineStr">
        <is>
          <t>Pizzería</t>
        </is>
      </c>
      <c r="B10" s="16" t="inlineStr">
        <is>
          <t>20-25</t>
        </is>
      </c>
      <c r="C10" s="16" t="inlineStr">
        <is>
          <t>12-16</t>
        </is>
      </c>
      <c r="D10" s="16" t="inlineStr">
        <is>
          <t>25-30</t>
        </is>
      </c>
      <c r="E10" s="16" t="inlineStr">
        <is>
          <t>26-30%</t>
        </is>
      </c>
    </row>
    <row r="11">
      <c r="A11" s="15" t="inlineStr">
        <is>
          <t>Dark Kitchen / Delivery</t>
        </is>
      </c>
      <c r="B11" s="16" t="inlineStr">
        <is>
          <t>25-35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22-28%</t>
        </is>
      </c>
    </row>
    <row r="12">
      <c r="A12" s="15" t="inlineStr">
        <is>
          <t>Hotel (restaurante)</t>
        </is>
      </c>
      <c r="B12" s="16" t="inlineStr">
        <is>
          <t>12-18</t>
        </is>
      </c>
      <c r="C12" s="16" t="inlineStr">
        <is>
          <t>8-12</t>
        </is>
      </c>
      <c r="D12" s="16" t="inlineStr">
        <is>
          <t>15-20</t>
        </is>
      </c>
      <c r="E12" s="16" t="inlineStr">
        <is>
          <t>35-42%</t>
        </is>
      </c>
    </row>
    <row r="13">
      <c r="A13" s="15" t="inlineStr">
        <is>
          <t>Catering / Eventos</t>
        </is>
      </c>
      <c r="B13" s="16" t="inlineStr">
        <is>
          <t>15-20</t>
        </is>
      </c>
      <c r="C13" s="16" t="inlineStr">
        <is>
          <t>8-12</t>
        </is>
      </c>
      <c r="D13" s="16" t="inlineStr">
        <is>
          <t>20-25</t>
        </is>
      </c>
      <c r="E13" s="16" t="inlineStr">
        <is>
          <t>30-35%</t>
        </is>
      </c>
    </row>
    <row r="14">
      <c r="A14" s="15" t="inlineStr">
        <is>
          <t>Heladería / Obrador</t>
        </is>
      </c>
      <c r="B14" s="16" t="inlineStr">
        <is>
          <t>20-30</t>
        </is>
      </c>
      <c r="C14" s="16" t="inlineStr">
        <is>
          <t>15-20</t>
        </is>
      </c>
      <c r="D14" s="16" t="inlineStr">
        <is>
          <t>—</t>
        </is>
      </c>
      <c r="E14" s="16" t="inlineStr">
        <is>
          <t>25-30%</t>
        </is>
      </c>
    </row>
    <row r="15"/>
    <row r="16">
      <c r="A16" s="6" t="inlineStr">
        <is>
          <t>NOTAS:</t>
        </is>
      </c>
    </row>
    <row r="17">
      <c r="A17" s="17" t="inlineStr">
        <is>
          <t>▸ Los ratios son orientativos — ajustar según carta, servicio y nivel de exigencia.</t>
        </is>
      </c>
    </row>
    <row r="18">
      <c r="A18" s="17" t="inlineStr">
        <is>
          <t>▸ En temporada alta, reducir el ratio (más personal por cover).</t>
        </is>
      </c>
    </row>
    <row r="19">
      <c r="A19" s="17" t="inlineStr">
        <is>
          <t>▸ Considerar 15% adicional para cubrir vacaciones, bajas y descansos.</t>
        </is>
      </c>
    </row>
    <row r="20">
      <c r="A20" s="17" t="inlineStr">
        <is>
          <t>▸ El ratio coste laboral incluye SS empresa (~30% sobre bruto).</t>
        </is>
      </c>
    </row>
    <row r="21"/>
    <row r="22"/>
    <row r="23">
      <c r="A23" s="13" t="inlineStr">
        <is>
          <t>© 2026 AI Chef Pro · aichef.pro</t>
        </is>
      </c>
    </row>
  </sheetData>
  <mergeCells count="3">
    <mergeCell ref="A23:E23"/>
    <mergeCell ref="A1:E1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Calculadora de Plantilla Óptima · Kit Gestion de Personal y Turnos</dc:title>
  <dc:description xmlns:dc="http://purl.org/dc/elements/1.1/">aichef.pro/kit-gestion-personal</dc:description>
  <dc:subject xmlns:dc="http://purl.org/dc/elements/1.1/">Kit Gestion de Personal y Turnos · v1.1</dc:subject>
  <dcterms:created xmlns:dcterms="http://purl.org/dc/terms/" xmlns:xsi="http://www.w3.org/2001/XMLSchema-instance" xsi:type="dcterms:W3CDTF">2026-03-23T19:17:40Z</dcterms:created>
  <dcterms:modified xmlns:dcterms="http://purl.org/dc/terms/" xmlns:xsi="http://www.w3.org/2001/XMLSchema-instance" xsi:type="dcterms:W3CDTF">2026-08-22T09:21:13Z</dcterms:modified>
  <cp:lastModifiedBy>AI Chef Pro</cp:lastModifiedBy>
  <cp:category>AI Chef Pro · Productos digitales</cp:category>
  <cp:keywords>kit gestion personal, AI Chef Pro</cp:keywords>
</cp:coreProperties>
</file>