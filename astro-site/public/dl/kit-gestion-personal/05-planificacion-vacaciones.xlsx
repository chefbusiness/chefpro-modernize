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  <sheet xmlns:r="http://schemas.openxmlformats.org/officeDocument/2006/relationships" name="Solicitudes" sheetId="3" state="visible" r:id="rId3"/>
    <sheet xmlns:r="http://schemas.openxmlformats.org/officeDocument/2006/relationships" name="Saldo Vacaciones" sheetId="4" state="visible" r:id="rId4"/>
    <sheet xmlns:r="http://schemas.openxmlformats.org/officeDocument/2006/relationships" name="Cobertura" sheetId="5" state="visible" r:id="rId5"/>
  </sheets>
  <definedNames>
    <definedName name="_xlnm.Print_Area" localSheetId="0">'Instrucciones'!$A$1:$B$36</definedName>
    <definedName name="_xlnm.Print_Titles" localSheetId="1">'Calendario Anual'!$4:$5,'Calendario Anual'!$A:$A</definedName>
    <definedName name="_xlnm.Print_Area" localSheetId="1">'Calendario Anual'!$A$1:$BC$42</definedName>
    <definedName name="_xlnm.Print_Titles" localSheetId="2">'Solicitudes'!$4:$4</definedName>
    <definedName name="_xlnm.Print_Area" localSheetId="2">'Solicitudes'!$A$1:$H$158</definedName>
    <definedName name="_xlnm.Print_Area" localSheetId="3">'Saldo Vacaciones'!$A$1:$I$39</definedName>
    <definedName name="_xlnm.Print_Titles" localSheetId="4">'Cobertura'!$5:$5</definedName>
    <definedName name="_xlnm.Print_Area" localSheetId="4">'Cobertura'!$A$1:$G$52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yyyy-mm-dd h:mm:ss"/>
    <numFmt numFmtId="166" formatCode="dd/mm"/>
    <numFmt numFmtId="167" formatCode="dd/mm/yyyy"/>
    <numFmt numFmtId="168" formatCode="0.0"/>
  </numFmts>
  <fonts count="2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65C0"/>
      <sz val="11"/>
    </font>
    <font>
      <name val="Calibri"/>
      <color rgb="00999999"/>
      <sz val="9"/>
    </font>
    <font>
      <name val="Calibri"/>
      <b val="1"/>
      <color rgb="00FFD700"/>
      <sz val="12"/>
    </font>
    <font>
      <b val="1"/>
      <sz val="14"/>
    </font>
    <font>
      <b val="1"/>
      <sz val="9"/>
    </font>
    <font>
      <b val="1"/>
      <color rgb="00FFFFFF"/>
      <sz val="8"/>
    </font>
    <font>
      <sz val="8"/>
    </font>
    <font>
      <sz val="7"/>
    </font>
    <font>
      <color rgb="00888888"/>
      <sz val="8"/>
    </font>
    <font>
      <b val="1"/>
    </font>
    <font>
      <i val="1"/>
      <color rgb="00666666"/>
      <sz val="9"/>
    </font>
    <font>
      <i val="1"/>
      <sz val="9"/>
    </font>
    <font>
      <b val="1"/>
      <color rgb="00FFFFFF"/>
      <sz val="10"/>
    </font>
    <font>
      <b val="1"/>
      <sz val="11"/>
    </font>
    <font>
      <b val="1"/>
      <sz val="13"/>
    </font>
  </fonts>
  <fills count="15">
    <fill>
      <patternFill/>
    </fill>
    <fill>
      <patternFill patternType="gray125"/>
    </fill>
    <fill>
      <patternFill patternType="solid">
        <fgColor rgb="0090CAF9"/>
        <bgColor rgb="0090CAF9"/>
      </patternFill>
    </fill>
    <fill>
      <patternFill patternType="solid">
        <fgColor rgb="00EF9A9A"/>
        <bgColor rgb="00EF9A9A"/>
      </patternFill>
    </fill>
    <fill>
      <patternFill patternType="solid">
        <fgColor rgb="00A5D6A7"/>
        <bgColor rgb="00A5D6A7"/>
      </patternFill>
    </fill>
    <fill>
      <patternFill patternType="solid">
        <fgColor rgb="00FFCC80"/>
        <bgColor rgb="00FFCC80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BBDEFB"/>
      </patternFill>
    </fill>
    <fill>
      <patternFill patternType="solid">
        <fgColor rgb="00FFC7CE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164" fontId="8" fillId="7" borderId="1" pivotButton="0" quotePrefix="0" xfId="0"/>
    <xf numFmtId="0" fontId="11" fillId="0" borderId="0" pivotButton="0" quotePrefix="0" xfId="0"/>
    <xf numFmtId="0" fontId="8" fillId="0" borderId="1" pivotButton="0" quotePrefix="0" xfId="0"/>
    <xf numFmtId="0" fontId="2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3" fillId="11" borderId="0" applyAlignment="1" pivotButton="0" quotePrefix="0" xfId="0">
      <alignment horizontal="center"/>
    </xf>
    <xf numFmtId="0" fontId="13" fillId="12" borderId="0" applyAlignment="1" pivotButton="0" quotePrefix="0" xfId="0">
      <alignment horizontal="center"/>
    </xf>
    <xf numFmtId="0" fontId="13" fillId="13" borderId="0" applyAlignment="1" pivotButton="0" quotePrefix="0" xfId="0">
      <alignment horizontal="center"/>
    </xf>
    <xf numFmtId="0" fontId="13" fillId="14" borderId="0" applyAlignment="1" pivotButton="0" quotePrefix="0" xfId="0">
      <alignment horizontal="center"/>
    </xf>
    <xf numFmtId="0" fontId="14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right"/>
    </xf>
    <xf numFmtId="166" fontId="15" fillId="9" borderId="0" applyAlignment="1" applyProtection="1" pivotButton="0" quotePrefix="0" xfId="0">
      <alignment horizontal="center"/>
      <protection locked="0" hidden="0"/>
    </xf>
    <xf numFmtId="166" fontId="15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wrapText="1"/>
    </xf>
    <xf numFmtId="0" fontId="0" fillId="9" borderId="0" applyProtection="1" pivotButton="0" quotePrefix="0" xfId="0">
      <protection locked="0" hidden="0"/>
    </xf>
    <xf numFmtId="0" fontId="15" fillId="9" borderId="0" applyAlignment="1" applyProtection="1" pivotButton="0" quotePrefix="0" xfId="0">
      <alignment horizontal="center"/>
      <protection locked="0" hidden="0"/>
    </xf>
    <xf numFmtId="1" fontId="0" fillId="0" borderId="0" pivotButton="0" quotePrefix="0" xfId="0"/>
    <xf numFmtId="0" fontId="16" fillId="9" borderId="0" applyAlignment="1" applyProtection="1" pivotButton="0" quotePrefix="0" xfId="0">
      <alignment horizontal="center" textRotation="90"/>
      <protection locked="0" hidden="0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21" fillId="8" borderId="1" applyAlignment="1" pivotButton="0" quotePrefix="0" xfId="0">
      <alignment horizontal="center" vertical="center" wrapText="1"/>
    </xf>
    <xf numFmtId="0" fontId="21" fillId="8" borderId="0" applyAlignment="1" pivotButton="0" quotePrefix="0" xfId="0">
      <alignment horizontal="center" vertical="center" wrapText="1"/>
    </xf>
    <xf numFmtId="0" fontId="8" fillId="9" borderId="1" applyProtection="1" pivotButton="0" quotePrefix="0" xfId="0">
      <protection locked="0" hidden="0"/>
    </xf>
    <xf numFmtId="167" fontId="8" fillId="9" borderId="1" applyProtection="1" pivotButton="0" quotePrefix="0" xfId="0">
      <protection locked="0" hidden="0"/>
    </xf>
    <xf numFmtId="1" fontId="9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0" fontId="0" fillId="9" borderId="1" applyAlignment="1" applyProtection="1" pivotButton="0" quotePrefix="0" xfId="0">
      <alignment horizontal="center" vertical="center" wrapText="1"/>
      <protection locked="0" hidden="0"/>
    </xf>
    <xf numFmtId="167" fontId="0" fillId="9" borderId="0" applyProtection="1" pivotButton="0" quotePrefix="0" xfId="0">
      <protection locked="0" hidden="0"/>
    </xf>
    <xf numFmtId="168" fontId="0" fillId="0" borderId="0" pivotButton="0" quotePrefix="0" xfId="0"/>
    <xf numFmtId="0" fontId="10" fillId="9" borderId="0" applyProtection="1" pivotButton="0" quotePrefix="0" xfId="0">
      <protection locked="0" hidden="0"/>
    </xf>
    <xf numFmtId="0" fontId="20" fillId="0" borderId="0" applyAlignment="1" pivotButton="0" quotePrefix="0" xfId="0">
      <alignment vertical="top" wrapText="1"/>
    </xf>
    <xf numFmtId="1" fontId="0" fillId="9" borderId="0" applyProtection="1" pivotButton="0" quotePrefix="0" xfId="0">
      <protection locked="0" hidden="0"/>
    </xf>
    <xf numFmtId="0" fontId="18" fillId="0" borderId="0" pivotButton="0" quotePrefix="0" xfId="0"/>
    <xf numFmtId="167" fontId="0" fillId="0" borderId="0" pivotButton="0" quotePrefix="0" xfId="0"/>
    <xf numFmtId="0" fontId="19" fillId="0" borderId="0" pivotButton="0" quotePrefix="0" xfId="0"/>
    <xf numFmtId="0" fontId="22" fillId="10" borderId="0" pivotButton="0" quotePrefix="0" xfId="0"/>
    <xf numFmtId="0" fontId="0" fillId="10" borderId="0" pivotButton="0" quotePrefix="0" xfId="0"/>
    <xf numFmtId="1" fontId="0" fillId="0" borderId="1" applyAlignment="1" pivotButton="0" quotePrefix="0" xfId="0">
      <alignment horizontal="center" vertical="center" wrapText="1"/>
    </xf>
    <xf numFmtId="1" fontId="0" fillId="7" borderId="1" applyAlignment="1" applyProtection="1" pivotButton="0" quotePrefix="0" xfId="0">
      <alignment horizontal="center" vertical="center" wrapText="1"/>
      <protection locked="0" hidden="0"/>
    </xf>
    <xf numFmtId="0" fontId="8" fillId="7" borderId="1" applyProtection="1" pivotButton="0" quotePrefix="0" xfId="0">
      <protection locked="0" hidden="0"/>
    </xf>
  </cellXfs>
  <cellStyles count="1">
    <cellStyle name="Normal" xfId="0" builtinId="0" hidden="0"/>
  </cellStyles>
  <dxfs count="6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424242"/>
      </font>
      <fill>
        <patternFill patternType="solid">
          <fgColor rgb="00F5F5F5"/>
          <b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8" t="inlineStr">
        <is>
          <t>05 · Planificación de Vacaciones Anual</t>
        </is>
      </c>
    </row>
    <row r="3"/>
    <row r="4">
      <c r="B4" s="19" t="inlineStr">
        <is>
          <t>Cómo usar esta plantilla:</t>
        </is>
      </c>
    </row>
    <row r="5">
      <c r="B5" s="20" t="inlineStr">
        <is>
          <t>▸ Escribe los nombres una sola vez, en la columna A del 'Calendario Anual'. El resto de hojas los leen de ahí.</t>
        </is>
      </c>
    </row>
    <row r="6">
      <c r="B6" s="20" t="inlineStr">
        <is>
          <t>▸ La rejilla es de SEMANAS, no de meses: la fila 4 numera las 53 semanas del año y la fila 5 enseña el lunes de cada una. Cambia el lunes de la semana 1 (celda verde B5) y las 52 restantes se recalculan solas — y con ellas el año del título y las dos fechas del ejercicio de 'Saldo Vacaciones'. El fichero viene preparado para el año 2027: si estás planificando otro, cambia esa celda y el libro entero se mueve.</t>
        </is>
      </c>
    </row>
    <row r="7">
      <c r="B7" s="20" t="inlineStr">
        <is>
          <t>▸ Códigos de ausencia: V=Vacaciones · B=Baja · F=Festivo · PE=Permiso (el permiso es PE, no P: en el cuadrante P es Partido).</t>
        </is>
      </c>
    </row>
    <row r="8">
      <c r="B8" s="20" t="inlineStr">
        <is>
          <t>▸ Registra cada petición en 'Solicitudes' con sus fechas de inicio y fin. Los días se cuentan SOLOS y avisan si las fechas están al revés. Esa hoja se indexa por PETICIÓN, no por persona: caben 150 solicitudes, unas cinco por empleado, porque nadie coge los 30 días del tirón.</t>
        </is>
      </c>
    </row>
    <row r="9">
      <c r="B9" s="21" t="inlineStr">
        <is>
          <t>▸ El saldo real vive en 'Saldo Vacaciones': derecho del año, disfrutados, pendientes y lo que le queda a cada persona. Descuenta también las solicitudes pendientes, para que no apruebes dos veces los mismos días. Y sólo cuenta las de ESTE ejercicio, así que el mismo libro sirve varios años sin que las vacaciones de dos años descuenten del mismo derecho.</t>
        </is>
      </c>
    </row>
    <row r="10">
      <c r="B10" s="19" t="inlineStr">
        <is>
          <t>▸ Rellena también la «Fecha de baja / fin de contrato» de quien no llegue a fin de año: el derecho se prorratea por los DOS extremos, y ese número es el que va al finiquito. Un temporal de enero a junio genera 15 días, no 30.</t>
        </is>
      </c>
    </row>
    <row r="11">
      <c r="B11" s="20" t="inlineStr">
        <is>
          <t>▸ En 'Cobertura' fijas el personal mínimo por turno, el máximo de ausencias que aguantas a la vez y el máximo propio de la temporada alta. Con eso, la fila «Cobertura» del calendario avisa semana a semana: primero mira si te pasas del máximo y la temporada alta agrava el aviso, no lo sustituye.</t>
        </is>
      </c>
    </row>
    <row r="12">
      <c r="B12" s="20" t="inlineStr">
        <is>
          <t>▸ La fila de ausencias del calendario es la MAYOR de dos cuentas: lo que hayas marcado a mano en la rejilla (V, B y PE — el permiso retribuido también hay que cubrirlo) y lo que sale solo de las solicitudes APROBADAS. Trabajes con la rejilla o con las solicitudes, la cobertura se entera.</t>
        </is>
      </c>
    </row>
    <row r="13">
      <c r="B13" s="3" t="n"/>
    </row>
    <row r="14">
      <c r="B14" s="20" t="inlineStr">
        <is>
          <t>Por qué el calendario ya no cuenta meses:</t>
        </is>
      </c>
    </row>
    <row r="15">
      <c r="B15" s="21" t="inlineStr">
        <is>
          <t>▸ En la versión 1.1 había una casilla por MES, así que quien disfrutaba agosto entero figuraba con 1 día usado y 29 restantes. Ahora la columna «Días Usados» suma los DÍAS de las solicitudes aprobadas de esa persona: la rejilla sirve para VER el año de un vistazo y las solicitudes son la fuente del cómputo.</t>
        </is>
      </c>
    </row>
    <row r="16">
      <c r="B16" s="2" t="n"/>
    </row>
    <row r="17">
      <c r="B17" s="20" t="inlineStr">
        <is>
          <t>Legislación española:</t>
        </is>
      </c>
    </row>
    <row r="18">
      <c r="B18" s="21" t="inlineStr">
        <is>
          <t>▸ 30 días naturales de vacaciones al año (art. 38 ET). El número está en UNA celda verde ('Saldo Vacaciones', B2): si tu convenio habla de 22 días laborables, escribe 22 y cuenta sólo días de trabajo en las solicitudes.</t>
        </is>
      </c>
    </row>
    <row r="19">
      <c r="B19" s="20" t="inlineStr">
        <is>
          <t>▸ El calendario de vacaciones se fija de común acuerdo y se conoce con al menos dos meses de antelación a su disfrute (art. 38.3 ET).</t>
        </is>
      </c>
    </row>
    <row r="20">
      <c r="B20" s="21" t="inlineStr">
        <is>
          <t>▸ Las vacaciones no se sustituyen por dinero salvo al liquidar el contrato.</t>
        </is>
      </c>
    </row>
    <row r="21"/>
    <row r="22">
      <c r="B22" s="21" t="inlineStr">
        <is>
          <t>Aviso: tu convenio de hostelería manda sobre los mínimos del Estatuto y puede mejorar cualquiera de estos números.</t>
        </is>
      </c>
    </row>
    <row r="23"/>
    <row r="24"/>
    <row r="25"/>
    <row r="26"/>
    <row r="27"/>
    <row r="28"/>
    <row r="29"/>
    <row r="30"/>
    <row r="31"/>
    <row r="32"/>
    <row r="33"/>
    <row r="34">
      <c r="B34" s="21" t="inlineStr">
        <is>
          <t>Para editar una celda bloqueada: Revisar → Desproteger hoja (no tiene contraseña). Las celdas verdes ya son editables sin desproteger nada.</t>
        </is>
      </c>
    </row>
    <row r="35">
      <c r="B35" s="21" t="inlineStr">
        <is>
          <t>Diseñado por John Guerrero — chef y consultor gastronómico desde 2010, en cocina desde los 17 años · johnguerrero.es</t>
        </is>
      </c>
    </row>
    <row r="36">
      <c r="B36" s="21" t="inlineStr">
        <is>
          <t>Versión 2.0 · agosto 2026 · aichef.pro/kit-gestion-personal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C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.4" customWidth="1" min="2" max="2"/>
    <col width="2.4" customWidth="1" min="3" max="3"/>
    <col width="2.4" customWidth="1" min="4" max="4"/>
    <col width="2.4" customWidth="1" min="5" max="5"/>
    <col width="2.4" customWidth="1" min="6" max="6"/>
    <col width="2.4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  <col width="2.4" customWidth="1" min="41" max="41"/>
    <col width="2.4" customWidth="1" min="42" max="42"/>
    <col width="2.4" customWidth="1" min="43" max="43"/>
    <col width="2.4" customWidth="1" min="44" max="44"/>
    <col width="2.4" customWidth="1" min="45" max="45"/>
    <col width="2.4" customWidth="1" min="46" max="46"/>
    <col width="2.4" customWidth="1" min="47" max="47"/>
    <col width="2.4" customWidth="1" min="48" max="48"/>
    <col width="2.4" customWidth="1" min="49" max="49"/>
    <col width="2.4" customWidth="1" min="50" max="50"/>
    <col width="2.4" customWidth="1" min="51" max="51"/>
    <col width="2.4" customWidth="1" min="52" max="52"/>
    <col width="2.4" customWidth="1" min="53" max="53"/>
    <col width="2.4" customWidth="1" min="54" max="54"/>
    <col width="11" customWidth="1" min="55" max="55"/>
  </cols>
  <sheetData>
    <row r="1">
      <c r="A1" s="22" t="str">
        <f>"Calendario de Vacaciones — Año "&amp;TEXT(YEAR($B$5),"0")</f>
        <v>Calendario de Vacaciones — Año 2027</v>
      </c>
    </row>
    <row r="2">
      <c r="A2" t="inlineStr">
        <is>
          <t>AI Chef Pro · aichef.pro — Kit Gestión de Personal y Turnos</t>
        </is>
      </c>
    </row>
    <row r="3">
      <c r="A3" s="23" t="inlineStr">
        <is>
          <t>Códigos:</t>
        </is>
      </c>
      <c r="B3" s="24" t="inlineStr">
        <is>
          <t>V=Vacaciones</t>
        </is>
      </c>
      <c r="C3" s="25" t="inlineStr">
        <is>
          <t>B=Baja</t>
        </is>
      </c>
      <c r="D3" s="26" t="inlineStr">
        <is>
          <t>F=Festivo</t>
        </is>
      </c>
      <c r="E3" s="27" t="inlineStr">
        <is>
          <t>PE=Permiso</t>
        </is>
      </c>
    </row>
    <row r="4">
      <c r="A4" s="23" t="inlineStr">
        <is>
          <t>Semana nº</t>
        </is>
      </c>
      <c r="B4" s="28" t="n">
        <v>1</v>
      </c>
      <c r="C4" s="28" t="n">
        <v>2</v>
      </c>
      <c r="D4" s="28" t="n">
        <v>3</v>
      </c>
      <c r="E4" s="28" t="n">
        <v>4</v>
      </c>
      <c r="F4" s="28" t="n">
        <v>5</v>
      </c>
      <c r="G4" s="28" t="n">
        <v>6</v>
      </c>
      <c r="H4" s="28" t="n">
        <v>7</v>
      </c>
      <c r="I4" s="28" t="n">
        <v>8</v>
      </c>
      <c r="J4" s="28" t="n">
        <v>9</v>
      </c>
      <c r="K4" s="28" t="n">
        <v>10</v>
      </c>
      <c r="L4" s="28" t="n">
        <v>11</v>
      </c>
      <c r="M4" s="28" t="n">
        <v>12</v>
      </c>
      <c r="N4" s="28" t="n">
        <v>13</v>
      </c>
      <c r="O4" s="28" t="n">
        <v>14</v>
      </c>
      <c r="P4" s="28" t="n">
        <v>15</v>
      </c>
      <c r="Q4" s="28" t="n">
        <v>16</v>
      </c>
      <c r="R4" s="28" t="n">
        <v>17</v>
      </c>
      <c r="S4" s="28" t="n">
        <v>18</v>
      </c>
      <c r="T4" s="28" t="n">
        <v>19</v>
      </c>
      <c r="U4" s="28" t="n">
        <v>20</v>
      </c>
      <c r="V4" s="28" t="n">
        <v>21</v>
      </c>
      <c r="W4" s="28" t="n">
        <v>22</v>
      </c>
      <c r="X4" s="28" t="n">
        <v>23</v>
      </c>
      <c r="Y4" s="28" t="n">
        <v>24</v>
      </c>
      <c r="Z4" s="28" t="n">
        <v>25</v>
      </c>
      <c r="AA4" s="28" t="n">
        <v>26</v>
      </c>
      <c r="AB4" s="28" t="n">
        <v>27</v>
      </c>
      <c r="AC4" s="28" t="n">
        <v>28</v>
      </c>
      <c r="AD4" s="28" t="n">
        <v>29</v>
      </c>
      <c r="AE4" s="28" t="n">
        <v>30</v>
      </c>
      <c r="AF4" s="28" t="n">
        <v>31</v>
      </c>
      <c r="AG4" s="28" t="n">
        <v>32</v>
      </c>
      <c r="AH4" s="28" t="n">
        <v>33</v>
      </c>
      <c r="AI4" s="28" t="n">
        <v>34</v>
      </c>
      <c r="AJ4" s="28" t="n">
        <v>35</v>
      </c>
      <c r="AK4" s="28" t="n">
        <v>36</v>
      </c>
      <c r="AL4" s="28" t="n">
        <v>37</v>
      </c>
      <c r="AM4" s="28" t="n">
        <v>38</v>
      </c>
      <c r="AN4" s="28" t="n">
        <v>39</v>
      </c>
      <c r="AO4" s="28" t="n">
        <v>40</v>
      </c>
      <c r="AP4" s="28" t="n">
        <v>41</v>
      </c>
      <c r="AQ4" s="28" t="n">
        <v>42</v>
      </c>
      <c r="AR4" s="28" t="n">
        <v>43</v>
      </c>
      <c r="AS4" s="28" t="n">
        <v>44</v>
      </c>
      <c r="AT4" s="28" t="n">
        <v>45</v>
      </c>
      <c r="AU4" s="28" t="n">
        <v>46</v>
      </c>
      <c r="AV4" s="28" t="n">
        <v>47</v>
      </c>
      <c r="AW4" s="28" t="n">
        <v>48</v>
      </c>
      <c r="AX4" s="28" t="n">
        <v>49</v>
      </c>
      <c r="AY4" s="28" t="n">
        <v>50</v>
      </c>
      <c r="AZ4" s="28" t="n">
        <v>51</v>
      </c>
      <c r="BA4" s="28" t="n">
        <v>52</v>
      </c>
      <c r="BB4" s="28" t="n">
        <v>53</v>
      </c>
    </row>
    <row r="5">
      <c r="A5" s="29" t="inlineStr">
        <is>
          <t>Lunes de la semana 1 →</t>
        </is>
      </c>
      <c r="B5" s="30" t="n">
        <v>46391</v>
      </c>
      <c r="C5" s="31">
        <f>B5+7</f>
        <v>46398.0</v>
      </c>
      <c r="D5" s="31">
        <f>C5+7</f>
        <v>46405.0</v>
      </c>
      <c r="E5" s="31">
        <f>D5+7</f>
        <v>46412.0</v>
      </c>
      <c r="F5" s="31">
        <f>E5+7</f>
        <v>46419.0</v>
      </c>
      <c r="G5" s="31">
        <f>F5+7</f>
        <v>46426.0</v>
      </c>
      <c r="H5" s="31">
        <f>G5+7</f>
        <v>46433.0</v>
      </c>
      <c r="I5" s="31">
        <f>H5+7</f>
        <v>46440.0</v>
      </c>
      <c r="J5" s="31">
        <f>I5+7</f>
        <v>46447.0</v>
      </c>
      <c r="K5" s="31">
        <f>J5+7</f>
        <v>46454.0</v>
      </c>
      <c r="L5" s="31">
        <f>K5+7</f>
        <v>46461.0</v>
      </c>
      <c r="M5" s="31">
        <f>L5+7</f>
        <v>46468.0</v>
      </c>
      <c r="N5" s="31">
        <f>M5+7</f>
        <v>46475.0</v>
      </c>
      <c r="O5" s="31">
        <f>N5+7</f>
        <v>46482.0</v>
      </c>
      <c r="P5" s="31">
        <f>O5+7</f>
        <v>46489.0</v>
      </c>
      <c r="Q5" s="31">
        <f>P5+7</f>
        <v>46496.0</v>
      </c>
      <c r="R5" s="31">
        <f>Q5+7</f>
        <v>46503.0</v>
      </c>
      <c r="S5" s="31">
        <f>R5+7</f>
        <v>46510.0</v>
      </c>
      <c r="T5" s="31">
        <f>S5+7</f>
        <v>46517.0</v>
      </c>
      <c r="U5" s="31">
        <f>T5+7</f>
        <v>46524.0</v>
      </c>
      <c r="V5" s="31">
        <f>U5+7</f>
        <v>46531.0</v>
      </c>
      <c r="W5" s="31">
        <f>V5+7</f>
        <v>46538.0</v>
      </c>
      <c r="X5" s="31">
        <f>W5+7</f>
        <v>46545.0</v>
      </c>
      <c r="Y5" s="31">
        <f>X5+7</f>
        <v>46552.0</v>
      </c>
      <c r="Z5" s="31">
        <f>Y5+7</f>
        <v>46559.0</v>
      </c>
      <c r="AA5" s="31">
        <f>Z5+7</f>
        <v>46566.0</v>
      </c>
      <c r="AB5" s="31">
        <f>AA5+7</f>
        <v>46573.0</v>
      </c>
      <c r="AC5" s="31">
        <f>AB5+7</f>
        <v>46580.0</v>
      </c>
      <c r="AD5" s="31">
        <f>AC5+7</f>
        <v>46587.0</v>
      </c>
      <c r="AE5" s="31">
        <f>AD5+7</f>
        <v>46594.0</v>
      </c>
      <c r="AF5" s="31">
        <f>AE5+7</f>
        <v>46601.0</v>
      </c>
      <c r="AG5" s="31">
        <f>AF5+7</f>
        <v>46608.0</v>
      </c>
      <c r="AH5" s="31">
        <f>AG5+7</f>
        <v>46615.0</v>
      </c>
      <c r="AI5" s="31">
        <f>AH5+7</f>
        <v>46622.0</v>
      </c>
      <c r="AJ5" s="31">
        <f>AI5+7</f>
        <v>46629.0</v>
      </c>
      <c r="AK5" s="31">
        <f>AJ5+7</f>
        <v>46636.0</v>
      </c>
      <c r="AL5" s="31">
        <f>AK5+7</f>
        <v>46643.0</v>
      </c>
      <c r="AM5" s="31">
        <f>AL5+7</f>
        <v>46650.0</v>
      </c>
      <c r="AN5" s="31">
        <f>AM5+7</f>
        <v>46657.0</v>
      </c>
      <c r="AO5" s="31">
        <f>AN5+7</f>
        <v>46664.0</v>
      </c>
      <c r="AP5" s="31">
        <f>AO5+7</f>
        <v>46671.0</v>
      </c>
      <c r="AQ5" s="31">
        <f>AP5+7</f>
        <v>46678.0</v>
      </c>
      <c r="AR5" s="31">
        <f>AQ5+7</f>
        <v>46685.0</v>
      </c>
      <c r="AS5" s="31">
        <f>AR5+7</f>
        <v>46692.0</v>
      </c>
      <c r="AT5" s="31">
        <f>AS5+7</f>
        <v>46699.0</v>
      </c>
      <c r="AU5" s="31">
        <f>AT5+7</f>
        <v>46706.0</v>
      </c>
      <c r="AV5" s="31">
        <f>AU5+7</f>
        <v>46713.0</v>
      </c>
      <c r="AW5" s="31">
        <f>AV5+7</f>
        <v>46720.0</v>
      </c>
      <c r="AX5" s="31">
        <f>AW5+7</f>
        <v>46727.0</v>
      </c>
      <c r="AY5" s="31">
        <f>AX5+7</f>
        <v>46734.0</v>
      </c>
      <c r="AZ5" s="31">
        <f>AY5+7</f>
        <v>46741.0</v>
      </c>
      <c r="BA5" s="31">
        <f>AZ5+7</f>
        <v>46748.0</v>
      </c>
      <c r="BB5" s="31">
        <f>BA5+7</f>
        <v>46755.0</v>
      </c>
      <c r="BC5" s="32" t="inlineStr">
        <is>
          <t>Días Usados</t>
        </is>
      </c>
    </row>
    <row r="6">
      <c r="A6" s="33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4" t="n"/>
      <c r="AF6" s="34" t="n"/>
      <c r="AG6" s="34" t="n"/>
      <c r="AH6" s="34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n"/>
      <c r="AV6" s="34" t="n"/>
      <c r="AW6" s="34" t="n"/>
      <c r="AX6" s="34" t="n"/>
      <c r="AY6" s="34" t="n"/>
      <c r="AZ6" s="34" t="n"/>
      <c r="BA6" s="34" t="n"/>
      <c r="BB6" s="34" t="n"/>
      <c r="BC6" s="35">
        <f>IF($A6="","",SUMIFS(Solicitudes!$D$5:$D$154,Solicitudes!$A$5:$A$154,$A6&amp;"",Solicitudes!$G$5:$G$154,"Aprobado",Solicitudes!$B$5:$B$154,"&gt;="&amp;'Saldo Vacaciones'!$E$2,Solicitudes!$B$5:$B$154,"&lt;="&amp;'Saldo Vacaciones'!$G$2))</f>
        <v/>
      </c>
    </row>
    <row r="7">
      <c r="A7" s="33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  <c r="AE7" s="34" t="n"/>
      <c r="AF7" s="34" t="n"/>
      <c r="AG7" s="34" t="n"/>
      <c r="AH7" s="34" t="n"/>
      <c r="AI7" s="34" t="n"/>
      <c r="AJ7" s="34" t="n"/>
      <c r="AK7" s="34" t="n"/>
      <c r="AL7" s="34" t="n"/>
      <c r="AM7" s="34" t="n"/>
      <c r="AN7" s="34" t="n"/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4" t="n"/>
      <c r="BA7" s="34" t="n"/>
      <c r="BB7" s="34" t="n"/>
      <c r="BC7" s="35">
        <f>IF($A7="","",SUMIFS(Solicitudes!$D$5:$D$154,Solicitudes!$A$5:$A$154,$A7&amp;"",Solicitudes!$G$5:$G$154,"Aprobado",Solicitudes!$B$5:$B$154,"&gt;="&amp;'Saldo Vacaciones'!$E$2,Solicitudes!$B$5:$B$154,"&lt;="&amp;'Saldo Vacaciones'!$G$2))</f>
        <v/>
      </c>
    </row>
    <row r="8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  <c r="AE8" s="34" t="n"/>
      <c r="AF8" s="34" t="n"/>
      <c r="AG8" s="34" t="n"/>
      <c r="AH8" s="34" t="n"/>
      <c r="AI8" s="34" t="n"/>
      <c r="AJ8" s="34" t="n"/>
      <c r="AK8" s="34" t="n"/>
      <c r="AL8" s="34" t="n"/>
      <c r="AM8" s="34" t="n"/>
      <c r="AN8" s="34" t="n"/>
      <c r="AO8" s="34" t="n"/>
      <c r="AP8" s="34" t="n"/>
      <c r="AQ8" s="34" t="n"/>
      <c r="AR8" s="34" t="n"/>
      <c r="AS8" s="34" t="n"/>
      <c r="AT8" s="34" t="n"/>
      <c r="AU8" s="34" t="n"/>
      <c r="AV8" s="34" t="n"/>
      <c r="AW8" s="34" t="n"/>
      <c r="AX8" s="34" t="n"/>
      <c r="AY8" s="34" t="n"/>
      <c r="AZ8" s="34" t="n"/>
      <c r="BA8" s="34" t="n"/>
      <c r="BB8" s="34" t="n"/>
      <c r="BC8" s="35">
        <f>IF($A8="","",SUMIFS(Solicitudes!$D$5:$D$154,Solicitudes!$A$5:$A$154,$A8&amp;"",Solicitudes!$G$5:$G$154,"Aprobado",Solicitudes!$B$5:$B$154,"&gt;="&amp;'Saldo Vacaciones'!$E$2,Solicitudes!$B$5:$B$154,"&lt;="&amp;'Saldo Vacaciones'!$G$2))</f>
        <v/>
      </c>
    </row>
    <row r="9">
      <c r="A9" s="33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4" t="n"/>
      <c r="BB9" s="34" t="n"/>
      <c r="BC9" s="35">
        <f>IF($A9="","",SUMIFS(Solicitudes!$D$5:$D$154,Solicitudes!$A$5:$A$154,$A9&amp;"",Solicitudes!$G$5:$G$154,"Aprobado",Solicitudes!$B$5:$B$154,"&gt;="&amp;'Saldo Vacaciones'!$E$2,Solicitudes!$B$5:$B$154,"&lt;="&amp;'Saldo Vacaciones'!$G$2))</f>
        <v/>
      </c>
    </row>
    <row r="10">
      <c r="A10" s="33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  <c r="AE10" s="34" t="n"/>
      <c r="AF10" s="34" t="n"/>
      <c r="AG10" s="34" t="n"/>
      <c r="AH10" s="34" t="n"/>
      <c r="AI10" s="34" t="n"/>
      <c r="AJ10" s="34" t="n"/>
      <c r="AK10" s="34" t="n"/>
      <c r="AL10" s="34" t="n"/>
      <c r="AM10" s="34" t="n"/>
      <c r="AN10" s="34" t="n"/>
      <c r="AO10" s="34" t="n"/>
      <c r="AP10" s="34" t="n"/>
      <c r="AQ10" s="34" t="n"/>
      <c r="AR10" s="34" t="n"/>
      <c r="AS10" s="34" t="n"/>
      <c r="AT10" s="34" t="n"/>
      <c r="AU10" s="34" t="n"/>
      <c r="AV10" s="34" t="n"/>
      <c r="AW10" s="34" t="n"/>
      <c r="AX10" s="34" t="n"/>
      <c r="AY10" s="34" t="n"/>
      <c r="AZ10" s="34" t="n"/>
      <c r="BA10" s="34" t="n"/>
      <c r="BB10" s="34" t="n"/>
      <c r="BC10" s="35">
        <f>IF($A10="","",SUMIFS(Solicitudes!$D$5:$D$154,Solicitudes!$A$5:$A$154,$A10&amp;"",Solicitudes!$G$5:$G$154,"Aprobado",Solicitudes!$B$5:$B$154,"&gt;="&amp;'Saldo Vacaciones'!$E$2,Solicitudes!$B$5:$B$154,"&lt;="&amp;'Saldo Vacaciones'!$G$2))</f>
        <v/>
      </c>
    </row>
    <row r="11">
      <c r="A11" s="33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4" t="n"/>
      <c r="BB11" s="34" t="n"/>
      <c r="BC11" s="35">
        <f>IF($A11="","",SUMIFS(Solicitudes!$D$5:$D$154,Solicitudes!$A$5:$A$154,$A11&amp;"",Solicitudes!$G$5:$G$154,"Aprobado",Solicitudes!$B$5:$B$154,"&gt;="&amp;'Saldo Vacaciones'!$E$2,Solicitudes!$B$5:$B$154,"&lt;="&amp;'Saldo Vacaciones'!$G$2))</f>
        <v/>
      </c>
    </row>
    <row r="12">
      <c r="A12" s="33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  <c r="BB12" s="34" t="n"/>
      <c r="BC12" s="35">
        <f>IF($A12="","",SUMIFS(Solicitudes!$D$5:$D$154,Solicitudes!$A$5:$A$154,$A12&amp;"",Solicitudes!$G$5:$G$154,"Aprobado",Solicitudes!$B$5:$B$154,"&gt;="&amp;'Saldo Vacaciones'!$E$2,Solicitudes!$B$5:$B$154,"&lt;="&amp;'Saldo Vacaciones'!$G$2))</f>
        <v/>
      </c>
    </row>
    <row r="13">
      <c r="A13" s="33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  <c r="BB13" s="34" t="n"/>
      <c r="BC13" s="35">
        <f>IF($A13="","",SUMIFS(Solicitudes!$D$5:$D$154,Solicitudes!$A$5:$A$154,$A13&amp;"",Solicitudes!$G$5:$G$154,"Aprobado",Solicitudes!$B$5:$B$154,"&gt;="&amp;'Saldo Vacaciones'!$E$2,Solicitudes!$B$5:$B$154,"&lt;="&amp;'Saldo Vacaciones'!$G$2))</f>
        <v/>
      </c>
    </row>
    <row r="14">
      <c r="A14" s="33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  <c r="BB14" s="34" t="n"/>
      <c r="BC14" s="35">
        <f>IF($A14="","",SUMIFS(Solicitudes!$D$5:$D$154,Solicitudes!$A$5:$A$154,$A14&amp;"",Solicitudes!$G$5:$G$154,"Aprobado",Solicitudes!$B$5:$B$154,"&gt;="&amp;'Saldo Vacaciones'!$E$2,Solicitudes!$B$5:$B$154,"&lt;="&amp;'Saldo Vacaciones'!$G$2))</f>
        <v/>
      </c>
    </row>
    <row r="15">
      <c r="A15" s="33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  <c r="BB15" s="34" t="n"/>
      <c r="BC15" s="35">
        <f>IF($A15="","",SUMIFS(Solicitudes!$D$5:$D$154,Solicitudes!$A$5:$A$154,$A15&amp;"",Solicitudes!$G$5:$G$154,"Aprobado",Solicitudes!$B$5:$B$154,"&gt;="&amp;'Saldo Vacaciones'!$E$2,Solicitudes!$B$5:$B$154,"&lt;="&amp;'Saldo Vacaciones'!$G$2))</f>
        <v/>
      </c>
    </row>
    <row r="16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  <c r="BB16" s="34" t="n"/>
      <c r="BC16" s="35">
        <f>IF($A16="","",SUMIFS(Solicitudes!$D$5:$D$154,Solicitudes!$A$5:$A$154,$A16&amp;"",Solicitudes!$G$5:$G$154,"Aprobado",Solicitudes!$B$5:$B$154,"&gt;="&amp;'Saldo Vacaciones'!$E$2,Solicitudes!$B$5:$B$154,"&lt;="&amp;'Saldo Vacaciones'!$G$2))</f>
        <v/>
      </c>
    </row>
    <row r="17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  <c r="BB17" s="34" t="n"/>
      <c r="BC17" s="35">
        <f>IF($A17="","",SUMIFS(Solicitudes!$D$5:$D$154,Solicitudes!$A$5:$A$154,$A17&amp;"",Solicitudes!$G$5:$G$154,"Aprobado",Solicitudes!$B$5:$B$154,"&gt;="&amp;'Saldo Vacaciones'!$E$2,Solicitudes!$B$5:$B$154,"&lt;="&amp;'Saldo Vacaciones'!$G$2))</f>
        <v/>
      </c>
    </row>
    <row r="18">
      <c r="A18" s="33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  <c r="BB18" s="34" t="n"/>
      <c r="BC18" s="35">
        <f>IF($A18="","",SUMIFS(Solicitudes!$D$5:$D$154,Solicitudes!$A$5:$A$154,$A18&amp;"",Solicitudes!$G$5:$G$154,"Aprobado",Solicitudes!$B$5:$B$154,"&gt;="&amp;'Saldo Vacaciones'!$E$2,Solicitudes!$B$5:$B$154,"&lt;="&amp;'Saldo Vacaciones'!$G$2))</f>
        <v/>
      </c>
    </row>
    <row r="19">
      <c r="A19" s="33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  <c r="BB19" s="34" t="n"/>
      <c r="BC19" s="35">
        <f>IF($A19="","",SUMIFS(Solicitudes!$D$5:$D$154,Solicitudes!$A$5:$A$154,$A19&amp;"",Solicitudes!$G$5:$G$154,"Aprobado",Solicitudes!$B$5:$B$154,"&gt;="&amp;'Saldo Vacaciones'!$E$2,Solicitudes!$B$5:$B$154,"&lt;="&amp;'Saldo Vacaciones'!$G$2))</f>
        <v/>
      </c>
    </row>
    <row r="20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5">
        <f>IF($A20="","",SUMIFS(Solicitudes!$D$5:$D$154,Solicitudes!$A$5:$A$154,$A20&amp;"",Solicitudes!$G$5:$G$154,"Aprobado",Solicitudes!$B$5:$B$154,"&gt;="&amp;'Saldo Vacaciones'!$E$2,Solicitudes!$B$5:$B$154,"&lt;="&amp;'Saldo Vacaciones'!$G$2))</f>
        <v/>
      </c>
    </row>
    <row r="21">
      <c r="A21" s="33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  <c r="BB21" s="34" t="n"/>
      <c r="BC21" s="35">
        <f>IF($A21="","",SUMIFS(Solicitudes!$D$5:$D$154,Solicitudes!$A$5:$A$154,$A21&amp;"",Solicitudes!$G$5:$G$154,"Aprobado",Solicitudes!$B$5:$B$154,"&gt;="&amp;'Saldo Vacaciones'!$E$2,Solicitudes!$B$5:$B$154,"&lt;="&amp;'Saldo Vacaciones'!$G$2))</f>
        <v/>
      </c>
    </row>
    <row r="22">
      <c r="A22" s="33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  <c r="BB22" s="34" t="n"/>
      <c r="BC22" s="35">
        <f>IF($A22="","",SUMIFS(Solicitudes!$D$5:$D$154,Solicitudes!$A$5:$A$154,$A22&amp;"",Solicitudes!$G$5:$G$154,"Aprobado",Solicitudes!$B$5:$B$154,"&gt;="&amp;'Saldo Vacaciones'!$E$2,Solicitudes!$B$5:$B$154,"&lt;="&amp;'Saldo Vacaciones'!$G$2))</f>
        <v/>
      </c>
    </row>
    <row r="23">
      <c r="A23" s="33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  <c r="BB23" s="34" t="n"/>
      <c r="BC23" s="35">
        <f>IF($A23="","",SUMIFS(Solicitudes!$D$5:$D$154,Solicitudes!$A$5:$A$154,$A23&amp;"",Solicitudes!$G$5:$G$154,"Aprobado",Solicitudes!$B$5:$B$154,"&gt;="&amp;'Saldo Vacaciones'!$E$2,Solicitudes!$B$5:$B$154,"&lt;="&amp;'Saldo Vacaciones'!$G$2))</f>
        <v/>
      </c>
    </row>
    <row r="24">
      <c r="A24" s="33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  <c r="BB24" s="34" t="n"/>
      <c r="BC24" s="35">
        <f>IF($A24="","",SUMIFS(Solicitudes!$D$5:$D$154,Solicitudes!$A$5:$A$154,$A24&amp;"",Solicitudes!$G$5:$G$154,"Aprobado",Solicitudes!$B$5:$B$154,"&gt;="&amp;'Saldo Vacaciones'!$E$2,Solicitudes!$B$5:$B$154,"&lt;="&amp;'Saldo Vacaciones'!$G$2))</f>
        <v/>
      </c>
    </row>
    <row r="25">
      <c r="A25" s="33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  <c r="BB25" s="34" t="n"/>
      <c r="BC25" s="35">
        <f>IF($A25="","",SUMIFS(Solicitudes!$D$5:$D$154,Solicitudes!$A$5:$A$154,$A25&amp;"",Solicitudes!$G$5:$G$154,"Aprobado",Solicitudes!$B$5:$B$154,"&gt;="&amp;'Saldo Vacaciones'!$E$2,Solicitudes!$B$5:$B$154,"&lt;="&amp;'Saldo Vacaciones'!$G$2))</f>
        <v/>
      </c>
    </row>
    <row r="26">
      <c r="A26" s="33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  <c r="BB26" s="34" t="n"/>
      <c r="BC26" s="35">
        <f>IF($A26="","",SUMIFS(Solicitudes!$D$5:$D$154,Solicitudes!$A$5:$A$154,$A26&amp;"",Solicitudes!$G$5:$G$154,"Aprobado",Solicitudes!$B$5:$B$154,"&gt;="&amp;'Saldo Vacaciones'!$E$2,Solicitudes!$B$5:$B$154,"&lt;="&amp;'Saldo Vacaciones'!$G$2))</f>
        <v/>
      </c>
    </row>
    <row r="27">
      <c r="A27" s="33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  <c r="BB27" s="34" t="n"/>
      <c r="BC27" s="35">
        <f>IF($A27="","",SUMIFS(Solicitudes!$D$5:$D$154,Solicitudes!$A$5:$A$154,$A27&amp;"",Solicitudes!$G$5:$G$154,"Aprobado",Solicitudes!$B$5:$B$154,"&gt;="&amp;'Saldo Vacaciones'!$E$2,Solicitudes!$B$5:$B$154,"&lt;="&amp;'Saldo Vacaciones'!$G$2))</f>
        <v/>
      </c>
    </row>
    <row r="28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5">
        <f>IF($A28="","",SUMIFS(Solicitudes!$D$5:$D$154,Solicitudes!$A$5:$A$154,$A28&amp;"",Solicitudes!$G$5:$G$154,"Aprobado",Solicitudes!$B$5:$B$154,"&gt;="&amp;'Saldo Vacaciones'!$E$2,Solicitudes!$B$5:$B$154,"&lt;="&amp;'Saldo Vacaciones'!$G$2))</f>
        <v/>
      </c>
    </row>
    <row r="29">
      <c r="A29" s="33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  <c r="BB29" s="34" t="n"/>
      <c r="BC29" s="35">
        <f>IF($A29="","",SUMIFS(Solicitudes!$D$5:$D$154,Solicitudes!$A$5:$A$154,$A29&amp;"",Solicitudes!$G$5:$G$154,"Aprobado",Solicitudes!$B$5:$B$154,"&gt;="&amp;'Saldo Vacaciones'!$E$2,Solicitudes!$B$5:$B$154,"&lt;="&amp;'Saldo Vacaciones'!$G$2))</f>
        <v/>
      </c>
    </row>
    <row r="30">
      <c r="A30" s="33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  <c r="BB30" s="34" t="n"/>
      <c r="BC30" s="35">
        <f>IF($A30="","",SUMIFS(Solicitudes!$D$5:$D$154,Solicitudes!$A$5:$A$154,$A30&amp;"",Solicitudes!$G$5:$G$154,"Aprobado",Solicitudes!$B$5:$B$154,"&gt;="&amp;'Saldo Vacaciones'!$E$2,Solicitudes!$B$5:$B$154,"&lt;="&amp;'Saldo Vacaciones'!$G$2))</f>
        <v/>
      </c>
    </row>
    <row r="3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5">
        <f>IF($A31="","",SUMIFS(Solicitudes!$D$5:$D$154,Solicitudes!$A$5:$A$154,$A31&amp;"",Solicitudes!$G$5:$G$154,"Aprobado",Solicitudes!$B$5:$B$154,"&gt;="&amp;'Saldo Vacaciones'!$E$2,Solicitudes!$B$5:$B$154,"&lt;="&amp;'Saldo Vacaciones'!$G$2))</f>
        <v/>
      </c>
    </row>
    <row r="32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5">
        <f>IF($A32="","",SUMIFS(Solicitudes!$D$5:$D$154,Solicitudes!$A$5:$A$154,$A32&amp;"",Solicitudes!$G$5:$G$154,"Aprobado",Solicitudes!$B$5:$B$154,"&gt;="&amp;'Saldo Vacaciones'!$E$2,Solicitudes!$B$5:$B$154,"&lt;="&amp;'Saldo Vacaciones'!$G$2))</f>
        <v/>
      </c>
    </row>
    <row r="33">
      <c r="A33" s="33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  <c r="BB33" s="34" t="n"/>
      <c r="BC33" s="35">
        <f>IF($A33="","",SUMIFS(Solicitudes!$D$5:$D$154,Solicitudes!$A$5:$A$154,$A33&amp;"",Solicitudes!$G$5:$G$154,"Aprobado",Solicitudes!$B$5:$B$154,"&gt;="&amp;'Saldo Vacaciones'!$E$2,Solicitudes!$B$5:$B$154,"&lt;="&amp;'Saldo Vacaciones'!$G$2))</f>
        <v/>
      </c>
    </row>
    <row r="34">
      <c r="A34" s="33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  <c r="BB34" s="34" t="n"/>
      <c r="BC34" s="35">
        <f>IF($A34="","",SUMIFS(Solicitudes!$D$5:$D$154,Solicitudes!$A$5:$A$154,$A34&amp;"",Solicitudes!$G$5:$G$154,"Aprobado",Solicitudes!$B$5:$B$154,"&gt;="&amp;'Saldo Vacaciones'!$E$2,Solicitudes!$B$5:$B$154,"&lt;="&amp;'Saldo Vacaciones'!$G$2))</f>
        <v/>
      </c>
    </row>
    <row r="35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  <c r="BB35" s="34" t="n"/>
      <c r="BC35" s="35">
        <f>IF($A35="","",SUMIFS(Solicitudes!$D$5:$D$154,Solicitudes!$A$5:$A$154,$A35&amp;"",Solicitudes!$G$5:$G$154,"Aprobado",Solicitudes!$B$5:$B$154,"&gt;="&amp;'Saldo Vacaciones'!$E$2,Solicitudes!$B$5:$B$154,"&lt;="&amp;'Saldo Vacaciones'!$G$2))</f>
        <v/>
      </c>
    </row>
    <row r="36" ht="42" customHeight="1">
      <c r="A36" s="23" t="inlineStr">
        <is>
          <t>Temporada (Alta / Normal)</t>
        </is>
      </c>
      <c r="B36" s="36" t="inlineStr">
        <is>
          <t>Normal</t>
        </is>
      </c>
      <c r="C36" s="36" t="inlineStr">
        <is>
          <t>Normal</t>
        </is>
      </c>
      <c r="D36" s="36" t="inlineStr">
        <is>
          <t>Normal</t>
        </is>
      </c>
      <c r="E36" s="36" t="inlineStr">
        <is>
          <t>Normal</t>
        </is>
      </c>
      <c r="F36" s="36" t="inlineStr">
        <is>
          <t>Normal</t>
        </is>
      </c>
      <c r="G36" s="36" t="inlineStr">
        <is>
          <t>Normal</t>
        </is>
      </c>
      <c r="H36" s="36" t="inlineStr">
        <is>
          <t>Normal</t>
        </is>
      </c>
      <c r="I36" s="36" t="inlineStr">
        <is>
          <t>Normal</t>
        </is>
      </c>
      <c r="J36" s="36" t="inlineStr">
        <is>
          <t>Normal</t>
        </is>
      </c>
      <c r="K36" s="36" t="inlineStr">
        <is>
          <t>Normal</t>
        </is>
      </c>
      <c r="L36" s="36" t="inlineStr">
        <is>
          <t>Normal</t>
        </is>
      </c>
      <c r="M36" s="36" t="inlineStr">
        <is>
          <t>Normal</t>
        </is>
      </c>
      <c r="N36" s="36" t="inlineStr">
        <is>
          <t>Normal</t>
        </is>
      </c>
      <c r="O36" s="36" t="inlineStr">
        <is>
          <t>Normal</t>
        </is>
      </c>
      <c r="P36" s="36" t="inlineStr">
        <is>
          <t>Normal</t>
        </is>
      </c>
      <c r="Q36" s="36" t="inlineStr">
        <is>
          <t>Normal</t>
        </is>
      </c>
      <c r="R36" s="36" t="inlineStr">
        <is>
          <t>Normal</t>
        </is>
      </c>
      <c r="S36" s="36" t="inlineStr">
        <is>
          <t>Normal</t>
        </is>
      </c>
      <c r="T36" s="36" t="inlineStr">
        <is>
          <t>Normal</t>
        </is>
      </c>
      <c r="U36" s="36" t="inlineStr">
        <is>
          <t>Normal</t>
        </is>
      </c>
      <c r="V36" s="36" t="inlineStr">
        <is>
          <t>Normal</t>
        </is>
      </c>
      <c r="W36" s="36" t="inlineStr">
        <is>
          <t>Normal</t>
        </is>
      </c>
      <c r="X36" s="36" t="inlineStr">
        <is>
          <t>Normal</t>
        </is>
      </c>
      <c r="Y36" s="36" t="inlineStr">
        <is>
          <t>Normal</t>
        </is>
      </c>
      <c r="Z36" s="36" t="inlineStr">
        <is>
          <t>Normal</t>
        </is>
      </c>
      <c r="AA36" s="36" t="inlineStr">
        <is>
          <t>Normal</t>
        </is>
      </c>
      <c r="AB36" s="36" t="inlineStr">
        <is>
          <t>Alta</t>
        </is>
      </c>
      <c r="AC36" s="36" t="inlineStr">
        <is>
          <t>Alta</t>
        </is>
      </c>
      <c r="AD36" s="36" t="inlineStr">
        <is>
          <t>Alta</t>
        </is>
      </c>
      <c r="AE36" s="36" t="inlineStr">
        <is>
          <t>Alta</t>
        </is>
      </c>
      <c r="AF36" s="36" t="inlineStr">
        <is>
          <t>Alta</t>
        </is>
      </c>
      <c r="AG36" s="36" t="inlineStr">
        <is>
          <t>Alta</t>
        </is>
      </c>
      <c r="AH36" s="36" t="inlineStr">
        <is>
          <t>Alta</t>
        </is>
      </c>
      <c r="AI36" s="36" t="inlineStr">
        <is>
          <t>Alta</t>
        </is>
      </c>
      <c r="AJ36" s="36" t="inlineStr">
        <is>
          <t>Alta</t>
        </is>
      </c>
      <c r="AK36" s="36" t="inlineStr">
        <is>
          <t>Normal</t>
        </is>
      </c>
      <c r="AL36" s="36" t="inlineStr">
        <is>
          <t>Normal</t>
        </is>
      </c>
      <c r="AM36" s="36" t="inlineStr">
        <is>
          <t>Normal</t>
        </is>
      </c>
      <c r="AN36" s="36" t="inlineStr">
        <is>
          <t>Normal</t>
        </is>
      </c>
      <c r="AO36" s="36" t="inlineStr">
        <is>
          <t>Normal</t>
        </is>
      </c>
      <c r="AP36" s="36" t="inlineStr">
        <is>
          <t>Normal</t>
        </is>
      </c>
      <c r="AQ36" s="36" t="inlineStr">
        <is>
          <t>Normal</t>
        </is>
      </c>
      <c r="AR36" s="36" t="inlineStr">
        <is>
          <t>Normal</t>
        </is>
      </c>
      <c r="AS36" s="36" t="inlineStr">
        <is>
          <t>Normal</t>
        </is>
      </c>
      <c r="AT36" s="36" t="inlineStr">
        <is>
          <t>Normal</t>
        </is>
      </c>
      <c r="AU36" s="36" t="inlineStr">
        <is>
          <t>Normal</t>
        </is>
      </c>
      <c r="AV36" s="36" t="inlineStr">
        <is>
          <t>Normal</t>
        </is>
      </c>
      <c r="AW36" s="36" t="inlineStr">
        <is>
          <t>Normal</t>
        </is>
      </c>
      <c r="AX36" s="36" t="inlineStr">
        <is>
          <t>Normal</t>
        </is>
      </c>
      <c r="AY36" s="36" t="inlineStr">
        <is>
          <t>Normal</t>
        </is>
      </c>
      <c r="AZ36" s="36" t="inlineStr">
        <is>
          <t>Alta</t>
        </is>
      </c>
      <c r="BA36" s="36" t="inlineStr">
        <is>
          <t>Alta</t>
        </is>
      </c>
      <c r="BB36" s="36" t="inlineStr">
        <is>
          <t>Normal</t>
        </is>
      </c>
    </row>
    <row r="37">
      <c r="A37" s="23" t="inlineStr">
        <is>
          <t>Ausencias marcadas en la rejilla (V, B, PE)</t>
        </is>
      </c>
      <c r="B37" s="37">
        <f>COUNTIF(B$6:B$35,"V")+COUNTIF(B$6:B$35,"B")+COUNTIF(B$6:B$35,"PE")</f>
        <v>0.0</v>
      </c>
      <c r="C37" s="37">
        <f>COUNTIF(C$6:C$35,"V")+COUNTIF(C$6:C$35,"B")+COUNTIF(C$6:C$35,"PE")</f>
        <v>0.0</v>
      </c>
      <c r="D37" s="37">
        <f>COUNTIF(D$6:D$35,"V")+COUNTIF(D$6:D$35,"B")+COUNTIF(D$6:D$35,"PE")</f>
        <v>0.0</v>
      </c>
      <c r="E37" s="37">
        <f>COUNTIF(E$6:E$35,"V")+COUNTIF(E$6:E$35,"B")+COUNTIF(E$6:E$35,"PE")</f>
        <v>0.0</v>
      </c>
      <c r="F37" s="37">
        <f>COUNTIF(F$6:F$35,"V")+COUNTIF(F$6:F$35,"B")+COUNTIF(F$6:F$35,"PE")</f>
        <v>0.0</v>
      </c>
      <c r="G37" s="37">
        <f>COUNTIF(G$6:G$35,"V")+COUNTIF(G$6:G$35,"B")+COUNTIF(G$6:G$35,"PE")</f>
        <v>0.0</v>
      </c>
      <c r="H37" s="37">
        <f>COUNTIF(H$6:H$35,"V")+COUNTIF(H$6:H$35,"B")+COUNTIF(H$6:H$35,"PE")</f>
        <v>0.0</v>
      </c>
      <c r="I37" s="37">
        <f>COUNTIF(I$6:I$35,"V")+COUNTIF(I$6:I$35,"B")+COUNTIF(I$6:I$35,"PE")</f>
        <v>0.0</v>
      </c>
      <c r="J37" s="37">
        <f>COUNTIF(J$6:J$35,"V")+COUNTIF(J$6:J$35,"B")+COUNTIF(J$6:J$35,"PE")</f>
        <v>0.0</v>
      </c>
      <c r="K37" s="37">
        <f>COUNTIF(K$6:K$35,"V")+COUNTIF(K$6:K$35,"B")+COUNTIF(K$6:K$35,"PE")</f>
        <v>0.0</v>
      </c>
      <c r="L37" s="37">
        <f>COUNTIF(L$6:L$35,"V")+COUNTIF(L$6:L$35,"B")+COUNTIF(L$6:L$35,"PE")</f>
        <v>0.0</v>
      </c>
      <c r="M37" s="37">
        <f>COUNTIF(M$6:M$35,"V")+COUNTIF(M$6:M$35,"B")+COUNTIF(M$6:M$35,"PE")</f>
        <v>0.0</v>
      </c>
      <c r="N37" s="37">
        <f>COUNTIF(N$6:N$35,"V")+COUNTIF(N$6:N$35,"B")+COUNTIF(N$6:N$35,"PE")</f>
        <v>0.0</v>
      </c>
      <c r="O37" s="37">
        <f>COUNTIF(O$6:O$35,"V")+COUNTIF(O$6:O$35,"B")+COUNTIF(O$6:O$35,"PE")</f>
        <v>0.0</v>
      </c>
      <c r="P37" s="37">
        <f>COUNTIF(P$6:P$35,"V")+COUNTIF(P$6:P$35,"B")+COUNTIF(P$6:P$35,"PE")</f>
        <v>0.0</v>
      </c>
      <c r="Q37" s="37">
        <f>COUNTIF(Q$6:Q$35,"V")+COUNTIF(Q$6:Q$35,"B")+COUNTIF(Q$6:Q$35,"PE")</f>
        <v>0.0</v>
      </c>
      <c r="R37" s="37">
        <f>COUNTIF(R$6:R$35,"V")+COUNTIF(R$6:R$35,"B")+COUNTIF(R$6:R$35,"PE")</f>
        <v>0.0</v>
      </c>
      <c r="S37" s="37">
        <f>COUNTIF(S$6:S$35,"V")+COUNTIF(S$6:S$35,"B")+COUNTIF(S$6:S$35,"PE")</f>
        <v>0.0</v>
      </c>
      <c r="T37" s="37">
        <f>COUNTIF(T$6:T$35,"V")+COUNTIF(T$6:T$35,"B")+COUNTIF(T$6:T$35,"PE")</f>
        <v>0.0</v>
      </c>
      <c r="U37" s="37">
        <f>COUNTIF(U$6:U$35,"V")+COUNTIF(U$6:U$35,"B")+COUNTIF(U$6:U$35,"PE")</f>
        <v>0.0</v>
      </c>
      <c r="V37" s="37">
        <f>COUNTIF(V$6:V$35,"V")+COUNTIF(V$6:V$35,"B")+COUNTIF(V$6:V$35,"PE")</f>
        <v>0.0</v>
      </c>
      <c r="W37" s="37">
        <f>COUNTIF(W$6:W$35,"V")+COUNTIF(W$6:W$35,"B")+COUNTIF(W$6:W$35,"PE")</f>
        <v>0.0</v>
      </c>
      <c r="X37" s="37">
        <f>COUNTIF(X$6:X$35,"V")+COUNTIF(X$6:X$35,"B")+COUNTIF(X$6:X$35,"PE")</f>
        <v>0.0</v>
      </c>
      <c r="Y37" s="37">
        <f>COUNTIF(Y$6:Y$35,"V")+COUNTIF(Y$6:Y$35,"B")+COUNTIF(Y$6:Y$35,"PE")</f>
        <v>0.0</v>
      </c>
      <c r="Z37" s="37">
        <f>COUNTIF(Z$6:Z$35,"V")+COUNTIF(Z$6:Z$35,"B")+COUNTIF(Z$6:Z$35,"PE")</f>
        <v>0.0</v>
      </c>
      <c r="AA37" s="37">
        <f>COUNTIF(AA$6:AA$35,"V")+COUNTIF(AA$6:AA$35,"B")+COUNTIF(AA$6:AA$35,"PE")</f>
        <v>0.0</v>
      </c>
      <c r="AB37" s="37">
        <f>COUNTIF(AB$6:AB$35,"V")+COUNTIF(AB$6:AB$35,"B")+COUNTIF(AB$6:AB$35,"PE")</f>
        <v>0.0</v>
      </c>
      <c r="AC37" s="37">
        <f>COUNTIF(AC$6:AC$35,"V")+COUNTIF(AC$6:AC$35,"B")+COUNTIF(AC$6:AC$35,"PE")</f>
        <v>0.0</v>
      </c>
      <c r="AD37" s="37">
        <f>COUNTIF(AD$6:AD$35,"V")+COUNTIF(AD$6:AD$35,"B")+COUNTIF(AD$6:AD$35,"PE")</f>
        <v>0.0</v>
      </c>
      <c r="AE37" s="37">
        <f>COUNTIF(AE$6:AE$35,"V")+COUNTIF(AE$6:AE$35,"B")+COUNTIF(AE$6:AE$35,"PE")</f>
        <v>0.0</v>
      </c>
      <c r="AF37" s="37">
        <f>COUNTIF(AF$6:AF$35,"V")+COUNTIF(AF$6:AF$35,"B")+COUNTIF(AF$6:AF$35,"PE")</f>
        <v>0.0</v>
      </c>
      <c r="AG37" s="37">
        <f>COUNTIF(AG$6:AG$35,"V")+COUNTIF(AG$6:AG$35,"B")+COUNTIF(AG$6:AG$35,"PE")</f>
        <v>0.0</v>
      </c>
      <c r="AH37" s="37">
        <f>COUNTIF(AH$6:AH$35,"V")+COUNTIF(AH$6:AH$35,"B")+COUNTIF(AH$6:AH$35,"PE")</f>
        <v>0.0</v>
      </c>
      <c r="AI37" s="37">
        <f>COUNTIF(AI$6:AI$35,"V")+COUNTIF(AI$6:AI$35,"B")+COUNTIF(AI$6:AI$35,"PE")</f>
        <v>0.0</v>
      </c>
      <c r="AJ37" s="37">
        <f>COUNTIF(AJ$6:AJ$35,"V")+COUNTIF(AJ$6:AJ$35,"B")+COUNTIF(AJ$6:AJ$35,"PE")</f>
        <v>0.0</v>
      </c>
      <c r="AK37" s="37">
        <f>COUNTIF(AK$6:AK$35,"V")+COUNTIF(AK$6:AK$35,"B")+COUNTIF(AK$6:AK$35,"PE")</f>
        <v>0.0</v>
      </c>
      <c r="AL37" s="37">
        <f>COUNTIF(AL$6:AL$35,"V")+COUNTIF(AL$6:AL$35,"B")+COUNTIF(AL$6:AL$35,"PE")</f>
        <v>0.0</v>
      </c>
      <c r="AM37" s="37">
        <f>COUNTIF(AM$6:AM$35,"V")+COUNTIF(AM$6:AM$35,"B")+COUNTIF(AM$6:AM$35,"PE")</f>
        <v>0.0</v>
      </c>
      <c r="AN37" s="37">
        <f>COUNTIF(AN$6:AN$35,"V")+COUNTIF(AN$6:AN$35,"B")+COUNTIF(AN$6:AN$35,"PE")</f>
        <v>0.0</v>
      </c>
      <c r="AO37" s="37">
        <f>COUNTIF(AO$6:AO$35,"V")+COUNTIF(AO$6:AO$35,"B")+COUNTIF(AO$6:AO$35,"PE")</f>
        <v>0.0</v>
      </c>
      <c r="AP37" s="37">
        <f>COUNTIF(AP$6:AP$35,"V")+COUNTIF(AP$6:AP$35,"B")+COUNTIF(AP$6:AP$35,"PE")</f>
        <v>0.0</v>
      </c>
      <c r="AQ37" s="37">
        <f>COUNTIF(AQ$6:AQ$35,"V")+COUNTIF(AQ$6:AQ$35,"B")+COUNTIF(AQ$6:AQ$35,"PE")</f>
        <v>0.0</v>
      </c>
      <c r="AR37" s="37">
        <f>COUNTIF(AR$6:AR$35,"V")+COUNTIF(AR$6:AR$35,"B")+COUNTIF(AR$6:AR$35,"PE")</f>
        <v>0.0</v>
      </c>
      <c r="AS37" s="37">
        <f>COUNTIF(AS$6:AS$35,"V")+COUNTIF(AS$6:AS$35,"B")+COUNTIF(AS$6:AS$35,"PE")</f>
        <v>0.0</v>
      </c>
      <c r="AT37" s="37">
        <f>COUNTIF(AT$6:AT$35,"V")+COUNTIF(AT$6:AT$35,"B")+COUNTIF(AT$6:AT$35,"PE")</f>
        <v>0.0</v>
      </c>
      <c r="AU37" s="37">
        <f>COUNTIF(AU$6:AU$35,"V")+COUNTIF(AU$6:AU$35,"B")+COUNTIF(AU$6:AU$35,"PE")</f>
        <v>0.0</v>
      </c>
      <c r="AV37" s="37">
        <f>COUNTIF(AV$6:AV$35,"V")+COUNTIF(AV$6:AV$35,"B")+COUNTIF(AV$6:AV$35,"PE")</f>
        <v>0.0</v>
      </c>
      <c r="AW37" s="37">
        <f>COUNTIF(AW$6:AW$35,"V")+COUNTIF(AW$6:AW$35,"B")+COUNTIF(AW$6:AW$35,"PE")</f>
        <v>0.0</v>
      </c>
      <c r="AX37" s="37">
        <f>COUNTIF(AX$6:AX$35,"V")+COUNTIF(AX$6:AX$35,"B")+COUNTIF(AX$6:AX$35,"PE")</f>
        <v>0.0</v>
      </c>
      <c r="AY37" s="37">
        <f>COUNTIF(AY$6:AY$35,"V")+COUNTIF(AY$6:AY$35,"B")+COUNTIF(AY$6:AY$35,"PE")</f>
        <v>0.0</v>
      </c>
      <c r="AZ37" s="37">
        <f>COUNTIF(AZ$6:AZ$35,"V")+COUNTIF(AZ$6:AZ$35,"B")+COUNTIF(AZ$6:AZ$35,"PE")</f>
        <v>0.0</v>
      </c>
      <c r="BA37" s="37">
        <f>COUNTIF(BA$6:BA$35,"V")+COUNTIF(BA$6:BA$35,"B")+COUNTIF(BA$6:BA$35,"PE")</f>
        <v>0.0</v>
      </c>
      <c r="BB37" s="37">
        <f>COUNTIF(BB$6:BB$35,"V")+COUNTIF(BB$6:BB$35,"B")+COUNTIF(BB$6:BB$35,"PE")</f>
        <v>0.0</v>
      </c>
    </row>
    <row r="38">
      <c r="A38" s="23" t="inlineStr">
        <is>
          <t>Ausencias por solicitudes APROBADAS</t>
        </is>
      </c>
      <c r="B38" s="37">
        <f>SUMPRODUCT((Solicitudes!$A$5:$A$154&lt;&gt;"")*(Solicitudes!$G$5:$G$154="Aprobado")*(Solicitudes!$B$5:$B$154&lt;=B$5+6)*(Solicitudes!$C$5:$C$154&gt;=B$5))</f>
        <v>0.0</v>
      </c>
      <c r="C38" s="37">
        <f>SUMPRODUCT((Solicitudes!$A$5:$A$154&lt;&gt;"")*(Solicitudes!$G$5:$G$154="Aprobado")*(Solicitudes!$B$5:$B$154&lt;=C$5+6)*(Solicitudes!$C$5:$C$154&gt;=C$5))</f>
        <v>0.0</v>
      </c>
      <c r="D38" s="37">
        <f>SUMPRODUCT((Solicitudes!$A$5:$A$154&lt;&gt;"")*(Solicitudes!$G$5:$G$154="Aprobado")*(Solicitudes!$B$5:$B$154&lt;=D$5+6)*(Solicitudes!$C$5:$C$154&gt;=D$5))</f>
        <v>0.0</v>
      </c>
      <c r="E38" s="37">
        <f>SUMPRODUCT((Solicitudes!$A$5:$A$154&lt;&gt;"")*(Solicitudes!$G$5:$G$154="Aprobado")*(Solicitudes!$B$5:$B$154&lt;=E$5+6)*(Solicitudes!$C$5:$C$154&gt;=E$5))</f>
        <v>0.0</v>
      </c>
      <c r="F38" s="37">
        <f>SUMPRODUCT((Solicitudes!$A$5:$A$154&lt;&gt;"")*(Solicitudes!$G$5:$G$154="Aprobado")*(Solicitudes!$B$5:$B$154&lt;=F$5+6)*(Solicitudes!$C$5:$C$154&gt;=F$5))</f>
        <v>0.0</v>
      </c>
      <c r="G38" s="37">
        <f>SUMPRODUCT((Solicitudes!$A$5:$A$154&lt;&gt;"")*(Solicitudes!$G$5:$G$154="Aprobado")*(Solicitudes!$B$5:$B$154&lt;=G$5+6)*(Solicitudes!$C$5:$C$154&gt;=G$5))</f>
        <v>0.0</v>
      </c>
      <c r="H38" s="37">
        <f>SUMPRODUCT((Solicitudes!$A$5:$A$154&lt;&gt;"")*(Solicitudes!$G$5:$G$154="Aprobado")*(Solicitudes!$B$5:$B$154&lt;=H$5+6)*(Solicitudes!$C$5:$C$154&gt;=H$5))</f>
        <v>0.0</v>
      </c>
      <c r="I38" s="37">
        <f>SUMPRODUCT((Solicitudes!$A$5:$A$154&lt;&gt;"")*(Solicitudes!$G$5:$G$154="Aprobado")*(Solicitudes!$B$5:$B$154&lt;=I$5+6)*(Solicitudes!$C$5:$C$154&gt;=I$5))</f>
        <v>0.0</v>
      </c>
      <c r="J38" s="37">
        <f>SUMPRODUCT((Solicitudes!$A$5:$A$154&lt;&gt;"")*(Solicitudes!$G$5:$G$154="Aprobado")*(Solicitudes!$B$5:$B$154&lt;=J$5+6)*(Solicitudes!$C$5:$C$154&gt;=J$5))</f>
        <v>0.0</v>
      </c>
      <c r="K38" s="37">
        <f>SUMPRODUCT((Solicitudes!$A$5:$A$154&lt;&gt;"")*(Solicitudes!$G$5:$G$154="Aprobado")*(Solicitudes!$B$5:$B$154&lt;=K$5+6)*(Solicitudes!$C$5:$C$154&gt;=K$5))</f>
        <v>0.0</v>
      </c>
      <c r="L38" s="37">
        <f>SUMPRODUCT((Solicitudes!$A$5:$A$154&lt;&gt;"")*(Solicitudes!$G$5:$G$154="Aprobado")*(Solicitudes!$B$5:$B$154&lt;=L$5+6)*(Solicitudes!$C$5:$C$154&gt;=L$5))</f>
        <v>0.0</v>
      </c>
      <c r="M38" s="37">
        <f>SUMPRODUCT((Solicitudes!$A$5:$A$154&lt;&gt;"")*(Solicitudes!$G$5:$G$154="Aprobado")*(Solicitudes!$B$5:$B$154&lt;=M$5+6)*(Solicitudes!$C$5:$C$154&gt;=M$5))</f>
        <v>0.0</v>
      </c>
      <c r="N38" s="37">
        <f>SUMPRODUCT((Solicitudes!$A$5:$A$154&lt;&gt;"")*(Solicitudes!$G$5:$G$154="Aprobado")*(Solicitudes!$B$5:$B$154&lt;=N$5+6)*(Solicitudes!$C$5:$C$154&gt;=N$5))</f>
        <v>0.0</v>
      </c>
      <c r="O38" s="37">
        <f>SUMPRODUCT((Solicitudes!$A$5:$A$154&lt;&gt;"")*(Solicitudes!$G$5:$G$154="Aprobado")*(Solicitudes!$B$5:$B$154&lt;=O$5+6)*(Solicitudes!$C$5:$C$154&gt;=O$5))</f>
        <v>0.0</v>
      </c>
      <c r="P38" s="37">
        <f>SUMPRODUCT((Solicitudes!$A$5:$A$154&lt;&gt;"")*(Solicitudes!$G$5:$G$154="Aprobado")*(Solicitudes!$B$5:$B$154&lt;=P$5+6)*(Solicitudes!$C$5:$C$154&gt;=P$5))</f>
        <v>0.0</v>
      </c>
      <c r="Q38" s="37">
        <f>SUMPRODUCT((Solicitudes!$A$5:$A$154&lt;&gt;"")*(Solicitudes!$G$5:$G$154="Aprobado")*(Solicitudes!$B$5:$B$154&lt;=Q$5+6)*(Solicitudes!$C$5:$C$154&gt;=Q$5))</f>
        <v>0.0</v>
      </c>
      <c r="R38" s="37">
        <f>SUMPRODUCT((Solicitudes!$A$5:$A$154&lt;&gt;"")*(Solicitudes!$G$5:$G$154="Aprobado")*(Solicitudes!$B$5:$B$154&lt;=R$5+6)*(Solicitudes!$C$5:$C$154&gt;=R$5))</f>
        <v>0.0</v>
      </c>
      <c r="S38" s="37">
        <f>SUMPRODUCT((Solicitudes!$A$5:$A$154&lt;&gt;"")*(Solicitudes!$G$5:$G$154="Aprobado")*(Solicitudes!$B$5:$B$154&lt;=S$5+6)*(Solicitudes!$C$5:$C$154&gt;=S$5))</f>
        <v>0.0</v>
      </c>
      <c r="T38" s="37">
        <f>SUMPRODUCT((Solicitudes!$A$5:$A$154&lt;&gt;"")*(Solicitudes!$G$5:$G$154="Aprobado")*(Solicitudes!$B$5:$B$154&lt;=T$5+6)*(Solicitudes!$C$5:$C$154&gt;=T$5))</f>
        <v>0.0</v>
      </c>
      <c r="U38" s="37">
        <f>SUMPRODUCT((Solicitudes!$A$5:$A$154&lt;&gt;"")*(Solicitudes!$G$5:$G$154="Aprobado")*(Solicitudes!$B$5:$B$154&lt;=U$5+6)*(Solicitudes!$C$5:$C$154&gt;=U$5))</f>
        <v>0.0</v>
      </c>
      <c r="V38" s="37">
        <f>SUMPRODUCT((Solicitudes!$A$5:$A$154&lt;&gt;"")*(Solicitudes!$G$5:$G$154="Aprobado")*(Solicitudes!$B$5:$B$154&lt;=V$5+6)*(Solicitudes!$C$5:$C$154&gt;=V$5))</f>
        <v>0.0</v>
      </c>
      <c r="W38" s="37">
        <f>SUMPRODUCT((Solicitudes!$A$5:$A$154&lt;&gt;"")*(Solicitudes!$G$5:$G$154="Aprobado")*(Solicitudes!$B$5:$B$154&lt;=W$5+6)*(Solicitudes!$C$5:$C$154&gt;=W$5))</f>
        <v>0.0</v>
      </c>
      <c r="X38" s="37">
        <f>SUMPRODUCT((Solicitudes!$A$5:$A$154&lt;&gt;"")*(Solicitudes!$G$5:$G$154="Aprobado")*(Solicitudes!$B$5:$B$154&lt;=X$5+6)*(Solicitudes!$C$5:$C$154&gt;=X$5))</f>
        <v>0.0</v>
      </c>
      <c r="Y38" s="37">
        <f>SUMPRODUCT((Solicitudes!$A$5:$A$154&lt;&gt;"")*(Solicitudes!$G$5:$G$154="Aprobado")*(Solicitudes!$B$5:$B$154&lt;=Y$5+6)*(Solicitudes!$C$5:$C$154&gt;=Y$5))</f>
        <v>0.0</v>
      </c>
      <c r="Z38" s="37">
        <f>SUMPRODUCT((Solicitudes!$A$5:$A$154&lt;&gt;"")*(Solicitudes!$G$5:$G$154="Aprobado")*(Solicitudes!$B$5:$B$154&lt;=Z$5+6)*(Solicitudes!$C$5:$C$154&gt;=Z$5))</f>
        <v>0.0</v>
      </c>
      <c r="AA38" s="37">
        <f>SUMPRODUCT((Solicitudes!$A$5:$A$154&lt;&gt;"")*(Solicitudes!$G$5:$G$154="Aprobado")*(Solicitudes!$B$5:$B$154&lt;=AA$5+6)*(Solicitudes!$C$5:$C$154&gt;=AA$5))</f>
        <v>0.0</v>
      </c>
      <c r="AB38" s="37">
        <f>SUMPRODUCT((Solicitudes!$A$5:$A$154&lt;&gt;"")*(Solicitudes!$G$5:$G$154="Aprobado")*(Solicitudes!$B$5:$B$154&lt;=AB$5+6)*(Solicitudes!$C$5:$C$154&gt;=AB$5))</f>
        <v>0.0</v>
      </c>
      <c r="AC38" s="37">
        <f>SUMPRODUCT((Solicitudes!$A$5:$A$154&lt;&gt;"")*(Solicitudes!$G$5:$G$154="Aprobado")*(Solicitudes!$B$5:$B$154&lt;=AC$5+6)*(Solicitudes!$C$5:$C$154&gt;=AC$5))</f>
        <v>0.0</v>
      </c>
      <c r="AD38" s="37">
        <f>SUMPRODUCT((Solicitudes!$A$5:$A$154&lt;&gt;"")*(Solicitudes!$G$5:$G$154="Aprobado")*(Solicitudes!$B$5:$B$154&lt;=AD$5+6)*(Solicitudes!$C$5:$C$154&gt;=AD$5))</f>
        <v>0.0</v>
      </c>
      <c r="AE38" s="37">
        <f>SUMPRODUCT((Solicitudes!$A$5:$A$154&lt;&gt;"")*(Solicitudes!$G$5:$G$154="Aprobado")*(Solicitudes!$B$5:$B$154&lt;=AE$5+6)*(Solicitudes!$C$5:$C$154&gt;=AE$5))</f>
        <v>0.0</v>
      </c>
      <c r="AF38" s="37">
        <f>SUMPRODUCT((Solicitudes!$A$5:$A$154&lt;&gt;"")*(Solicitudes!$G$5:$G$154="Aprobado")*(Solicitudes!$B$5:$B$154&lt;=AF$5+6)*(Solicitudes!$C$5:$C$154&gt;=AF$5))</f>
        <v>0.0</v>
      </c>
      <c r="AG38" s="37">
        <f>SUMPRODUCT((Solicitudes!$A$5:$A$154&lt;&gt;"")*(Solicitudes!$G$5:$G$154="Aprobado")*(Solicitudes!$B$5:$B$154&lt;=AG$5+6)*(Solicitudes!$C$5:$C$154&gt;=AG$5))</f>
        <v>0.0</v>
      </c>
      <c r="AH38" s="37">
        <f>SUMPRODUCT((Solicitudes!$A$5:$A$154&lt;&gt;"")*(Solicitudes!$G$5:$G$154="Aprobado")*(Solicitudes!$B$5:$B$154&lt;=AH$5+6)*(Solicitudes!$C$5:$C$154&gt;=AH$5))</f>
        <v>0.0</v>
      </c>
      <c r="AI38" s="37">
        <f>SUMPRODUCT((Solicitudes!$A$5:$A$154&lt;&gt;"")*(Solicitudes!$G$5:$G$154="Aprobado")*(Solicitudes!$B$5:$B$154&lt;=AI$5+6)*(Solicitudes!$C$5:$C$154&gt;=AI$5))</f>
        <v>0.0</v>
      </c>
      <c r="AJ38" s="37">
        <f>SUMPRODUCT((Solicitudes!$A$5:$A$154&lt;&gt;"")*(Solicitudes!$G$5:$G$154="Aprobado")*(Solicitudes!$B$5:$B$154&lt;=AJ$5+6)*(Solicitudes!$C$5:$C$154&gt;=AJ$5))</f>
        <v>0.0</v>
      </c>
      <c r="AK38" s="37">
        <f>SUMPRODUCT((Solicitudes!$A$5:$A$154&lt;&gt;"")*(Solicitudes!$G$5:$G$154="Aprobado")*(Solicitudes!$B$5:$B$154&lt;=AK$5+6)*(Solicitudes!$C$5:$C$154&gt;=AK$5))</f>
        <v>0.0</v>
      </c>
      <c r="AL38" s="37">
        <f>SUMPRODUCT((Solicitudes!$A$5:$A$154&lt;&gt;"")*(Solicitudes!$G$5:$G$154="Aprobado")*(Solicitudes!$B$5:$B$154&lt;=AL$5+6)*(Solicitudes!$C$5:$C$154&gt;=AL$5))</f>
        <v>0.0</v>
      </c>
      <c r="AM38" s="37">
        <f>SUMPRODUCT((Solicitudes!$A$5:$A$154&lt;&gt;"")*(Solicitudes!$G$5:$G$154="Aprobado")*(Solicitudes!$B$5:$B$154&lt;=AM$5+6)*(Solicitudes!$C$5:$C$154&gt;=AM$5))</f>
        <v>0.0</v>
      </c>
      <c r="AN38" s="37">
        <f>SUMPRODUCT((Solicitudes!$A$5:$A$154&lt;&gt;"")*(Solicitudes!$G$5:$G$154="Aprobado")*(Solicitudes!$B$5:$B$154&lt;=AN$5+6)*(Solicitudes!$C$5:$C$154&gt;=AN$5))</f>
        <v>0.0</v>
      </c>
      <c r="AO38" s="37">
        <f>SUMPRODUCT((Solicitudes!$A$5:$A$154&lt;&gt;"")*(Solicitudes!$G$5:$G$154="Aprobado")*(Solicitudes!$B$5:$B$154&lt;=AO$5+6)*(Solicitudes!$C$5:$C$154&gt;=AO$5))</f>
        <v>0.0</v>
      </c>
      <c r="AP38" s="37">
        <f>SUMPRODUCT((Solicitudes!$A$5:$A$154&lt;&gt;"")*(Solicitudes!$G$5:$G$154="Aprobado")*(Solicitudes!$B$5:$B$154&lt;=AP$5+6)*(Solicitudes!$C$5:$C$154&gt;=AP$5))</f>
        <v>0.0</v>
      </c>
      <c r="AQ38" s="37">
        <f>SUMPRODUCT((Solicitudes!$A$5:$A$154&lt;&gt;"")*(Solicitudes!$G$5:$G$154="Aprobado")*(Solicitudes!$B$5:$B$154&lt;=AQ$5+6)*(Solicitudes!$C$5:$C$154&gt;=AQ$5))</f>
        <v>0.0</v>
      </c>
      <c r="AR38" s="37">
        <f>SUMPRODUCT((Solicitudes!$A$5:$A$154&lt;&gt;"")*(Solicitudes!$G$5:$G$154="Aprobado")*(Solicitudes!$B$5:$B$154&lt;=AR$5+6)*(Solicitudes!$C$5:$C$154&gt;=AR$5))</f>
        <v>0.0</v>
      </c>
      <c r="AS38" s="37">
        <f>SUMPRODUCT((Solicitudes!$A$5:$A$154&lt;&gt;"")*(Solicitudes!$G$5:$G$154="Aprobado")*(Solicitudes!$B$5:$B$154&lt;=AS$5+6)*(Solicitudes!$C$5:$C$154&gt;=AS$5))</f>
        <v>0.0</v>
      </c>
      <c r="AT38" s="37">
        <f>SUMPRODUCT((Solicitudes!$A$5:$A$154&lt;&gt;"")*(Solicitudes!$G$5:$G$154="Aprobado")*(Solicitudes!$B$5:$B$154&lt;=AT$5+6)*(Solicitudes!$C$5:$C$154&gt;=AT$5))</f>
        <v>0.0</v>
      </c>
      <c r="AU38" s="37">
        <f>SUMPRODUCT((Solicitudes!$A$5:$A$154&lt;&gt;"")*(Solicitudes!$G$5:$G$154="Aprobado")*(Solicitudes!$B$5:$B$154&lt;=AU$5+6)*(Solicitudes!$C$5:$C$154&gt;=AU$5))</f>
        <v>0.0</v>
      </c>
      <c r="AV38" s="37">
        <f>SUMPRODUCT((Solicitudes!$A$5:$A$154&lt;&gt;"")*(Solicitudes!$G$5:$G$154="Aprobado")*(Solicitudes!$B$5:$B$154&lt;=AV$5+6)*(Solicitudes!$C$5:$C$154&gt;=AV$5))</f>
        <v>0.0</v>
      </c>
      <c r="AW38" s="37">
        <f>SUMPRODUCT((Solicitudes!$A$5:$A$154&lt;&gt;"")*(Solicitudes!$G$5:$G$154="Aprobado")*(Solicitudes!$B$5:$B$154&lt;=AW$5+6)*(Solicitudes!$C$5:$C$154&gt;=AW$5))</f>
        <v>0.0</v>
      </c>
      <c r="AX38" s="37">
        <f>SUMPRODUCT((Solicitudes!$A$5:$A$154&lt;&gt;"")*(Solicitudes!$G$5:$G$154="Aprobado")*(Solicitudes!$B$5:$B$154&lt;=AX$5+6)*(Solicitudes!$C$5:$C$154&gt;=AX$5))</f>
        <v>0.0</v>
      </c>
      <c r="AY38" s="37">
        <f>SUMPRODUCT((Solicitudes!$A$5:$A$154&lt;&gt;"")*(Solicitudes!$G$5:$G$154="Aprobado")*(Solicitudes!$B$5:$B$154&lt;=AY$5+6)*(Solicitudes!$C$5:$C$154&gt;=AY$5))</f>
        <v>0.0</v>
      </c>
      <c r="AZ38" s="37">
        <f>SUMPRODUCT((Solicitudes!$A$5:$A$154&lt;&gt;"")*(Solicitudes!$G$5:$G$154="Aprobado")*(Solicitudes!$B$5:$B$154&lt;=AZ$5+6)*(Solicitudes!$C$5:$C$154&gt;=AZ$5))</f>
        <v>0.0</v>
      </c>
      <c r="BA38" s="37">
        <f>SUMPRODUCT((Solicitudes!$A$5:$A$154&lt;&gt;"")*(Solicitudes!$G$5:$G$154="Aprobado")*(Solicitudes!$B$5:$B$154&lt;=BA$5+6)*(Solicitudes!$C$5:$C$154&gt;=BA$5))</f>
        <v>0.0</v>
      </c>
      <c r="BB38" s="37">
        <f>SUMPRODUCT((Solicitudes!$A$5:$A$154&lt;&gt;"")*(Solicitudes!$G$5:$G$154="Aprobado")*(Solicitudes!$B$5:$B$154&lt;=BB$5+6)*(Solicitudes!$C$5:$C$154&gt;=BB$5))</f>
        <v>0.0</v>
      </c>
    </row>
    <row r="39">
      <c r="A39" s="23" t="inlineStr">
        <is>
          <t>Ausencias en la semana (la mayor de las dos)</t>
        </is>
      </c>
      <c r="B39" s="37">
        <f>IF(B$37&gt;B$38,B$37,B$38)</f>
        <v>0.0</v>
      </c>
      <c r="C39" s="37">
        <f>IF(C$37&gt;C$38,C$37,C$38)</f>
        <v>0.0</v>
      </c>
      <c r="D39" s="37">
        <f>IF(D$37&gt;D$38,D$37,D$38)</f>
        <v>0.0</v>
      </c>
      <c r="E39" s="37">
        <f>IF(E$37&gt;E$38,E$37,E$38)</f>
        <v>0.0</v>
      </c>
      <c r="F39" s="37">
        <f>IF(F$37&gt;F$38,F$37,F$38)</f>
        <v>0.0</v>
      </c>
      <c r="G39" s="37">
        <f>IF(G$37&gt;G$38,G$37,G$38)</f>
        <v>0.0</v>
      </c>
      <c r="H39" s="37">
        <f>IF(H$37&gt;H$38,H$37,H$38)</f>
        <v>0.0</v>
      </c>
      <c r="I39" s="37">
        <f>IF(I$37&gt;I$38,I$37,I$38)</f>
        <v>0.0</v>
      </c>
      <c r="J39" s="37">
        <f>IF(J$37&gt;J$38,J$37,J$38)</f>
        <v>0.0</v>
      </c>
      <c r="K39" s="37">
        <f>IF(K$37&gt;K$38,K$37,K$38)</f>
        <v>0.0</v>
      </c>
      <c r="L39" s="37">
        <f>IF(L$37&gt;L$38,L$37,L$38)</f>
        <v>0.0</v>
      </c>
      <c r="M39" s="37">
        <f>IF(M$37&gt;M$38,M$37,M$38)</f>
        <v>0.0</v>
      </c>
      <c r="N39" s="37">
        <f>IF(N$37&gt;N$38,N$37,N$38)</f>
        <v>0.0</v>
      </c>
      <c r="O39" s="37">
        <f>IF(O$37&gt;O$38,O$37,O$38)</f>
        <v>0.0</v>
      </c>
      <c r="P39" s="37">
        <f>IF(P$37&gt;P$38,P$37,P$38)</f>
        <v>0.0</v>
      </c>
      <c r="Q39" s="37">
        <f>IF(Q$37&gt;Q$38,Q$37,Q$38)</f>
        <v>0.0</v>
      </c>
      <c r="R39" s="37">
        <f>IF(R$37&gt;R$38,R$37,R$38)</f>
        <v>0.0</v>
      </c>
      <c r="S39" s="37">
        <f>IF(S$37&gt;S$38,S$37,S$38)</f>
        <v>0.0</v>
      </c>
      <c r="T39" s="37">
        <f>IF(T$37&gt;T$38,T$37,T$38)</f>
        <v>0.0</v>
      </c>
      <c r="U39" s="37">
        <f>IF(U$37&gt;U$38,U$37,U$38)</f>
        <v>0.0</v>
      </c>
      <c r="V39" s="37">
        <f>IF(V$37&gt;V$38,V$37,V$38)</f>
        <v>0.0</v>
      </c>
      <c r="W39" s="37">
        <f>IF(W$37&gt;W$38,W$37,W$38)</f>
        <v>0.0</v>
      </c>
      <c r="X39" s="37">
        <f>IF(X$37&gt;X$38,X$37,X$38)</f>
        <v>0.0</v>
      </c>
      <c r="Y39" s="37">
        <f>IF(Y$37&gt;Y$38,Y$37,Y$38)</f>
        <v>0.0</v>
      </c>
      <c r="Z39" s="37">
        <f>IF(Z$37&gt;Z$38,Z$37,Z$38)</f>
        <v>0.0</v>
      </c>
      <c r="AA39" s="37">
        <f>IF(AA$37&gt;AA$38,AA$37,AA$38)</f>
        <v>0.0</v>
      </c>
      <c r="AB39" s="37">
        <f>IF(AB$37&gt;AB$38,AB$37,AB$38)</f>
        <v>0.0</v>
      </c>
      <c r="AC39" s="37">
        <f>IF(AC$37&gt;AC$38,AC$37,AC$38)</f>
        <v>0.0</v>
      </c>
      <c r="AD39" s="37">
        <f>IF(AD$37&gt;AD$38,AD$37,AD$38)</f>
        <v>0.0</v>
      </c>
      <c r="AE39" s="37">
        <f>IF(AE$37&gt;AE$38,AE$37,AE$38)</f>
        <v>0.0</v>
      </c>
      <c r="AF39" s="37">
        <f>IF(AF$37&gt;AF$38,AF$37,AF$38)</f>
        <v>0.0</v>
      </c>
      <c r="AG39" s="37">
        <f>IF(AG$37&gt;AG$38,AG$37,AG$38)</f>
        <v>0.0</v>
      </c>
      <c r="AH39" s="37">
        <f>IF(AH$37&gt;AH$38,AH$37,AH$38)</f>
        <v>0.0</v>
      </c>
      <c r="AI39" s="37">
        <f>IF(AI$37&gt;AI$38,AI$37,AI$38)</f>
        <v>0.0</v>
      </c>
      <c r="AJ39" s="37">
        <f>IF(AJ$37&gt;AJ$38,AJ$37,AJ$38)</f>
        <v>0.0</v>
      </c>
      <c r="AK39" s="37">
        <f>IF(AK$37&gt;AK$38,AK$37,AK$38)</f>
        <v>0.0</v>
      </c>
      <c r="AL39" s="37">
        <f>IF(AL$37&gt;AL$38,AL$37,AL$38)</f>
        <v>0.0</v>
      </c>
      <c r="AM39" s="37">
        <f>IF(AM$37&gt;AM$38,AM$37,AM$38)</f>
        <v>0.0</v>
      </c>
      <c r="AN39" s="37">
        <f>IF(AN$37&gt;AN$38,AN$37,AN$38)</f>
        <v>0.0</v>
      </c>
      <c r="AO39" s="37">
        <f>IF(AO$37&gt;AO$38,AO$37,AO$38)</f>
        <v>0.0</v>
      </c>
      <c r="AP39" s="37">
        <f>IF(AP$37&gt;AP$38,AP$37,AP$38)</f>
        <v>0.0</v>
      </c>
      <c r="AQ39" s="37">
        <f>IF(AQ$37&gt;AQ$38,AQ$37,AQ$38)</f>
        <v>0.0</v>
      </c>
      <c r="AR39" s="37">
        <f>IF(AR$37&gt;AR$38,AR$37,AR$38)</f>
        <v>0.0</v>
      </c>
      <c r="AS39" s="37">
        <f>IF(AS$37&gt;AS$38,AS$37,AS$38)</f>
        <v>0.0</v>
      </c>
      <c r="AT39" s="37">
        <f>IF(AT$37&gt;AT$38,AT$37,AT$38)</f>
        <v>0.0</v>
      </c>
      <c r="AU39" s="37">
        <f>IF(AU$37&gt;AU$38,AU$37,AU$38)</f>
        <v>0.0</v>
      </c>
      <c r="AV39" s="37">
        <f>IF(AV$37&gt;AV$38,AV$37,AV$38)</f>
        <v>0.0</v>
      </c>
      <c r="AW39" s="37">
        <f>IF(AW$37&gt;AW$38,AW$37,AW$38)</f>
        <v>0.0</v>
      </c>
      <c r="AX39" s="37">
        <f>IF(AX$37&gt;AX$38,AX$37,AX$38)</f>
        <v>0.0</v>
      </c>
      <c r="AY39" s="37">
        <f>IF(AY$37&gt;AY$38,AY$37,AY$38)</f>
        <v>0.0</v>
      </c>
      <c r="AZ39" s="37">
        <f>IF(AZ$37&gt;AZ$38,AZ$37,AZ$38)</f>
        <v>0.0</v>
      </c>
      <c r="BA39" s="37">
        <f>IF(BA$37&gt;BA$38,BA$37,BA$38)</f>
        <v>0.0</v>
      </c>
      <c r="BB39" s="37">
        <f>IF(BB$37&gt;BB$38,BB$37,BB$38)</f>
        <v>0.0</v>
      </c>
    </row>
    <row r="40">
      <c r="A40" s="23" t="inlineStr">
        <is>
          <t>Cobertura (alerta)</t>
        </is>
      </c>
      <c r="B40" s="38">
        <f>IF(B$39=0,"",IF(B$39&gt;Cobertura!$B$3,IF(B$36="Alta","⛔ EXCESO en TEMP. ALTA","⚠ EXCESO"),IF(AND(B$36="Alta",B$39&gt;Cobertura!$D$3),"⛔ TEMP. ALTA","")))</f>
        <v/>
      </c>
      <c r="C40" s="38">
        <f>IF(C$39=0,"",IF(C$39&gt;Cobertura!$B$3,IF(C$36="Alta","⛔ EXCESO en TEMP. ALTA","⚠ EXCESO"),IF(AND(C$36="Alta",C$39&gt;Cobertura!$D$3),"⛔ TEMP. ALTA","")))</f>
        <v/>
      </c>
      <c r="D40" s="38">
        <f>IF(D$39=0,"",IF(D$39&gt;Cobertura!$B$3,IF(D$36="Alta","⛔ EXCESO en TEMP. ALTA","⚠ EXCESO"),IF(AND(D$36="Alta",D$39&gt;Cobertura!$D$3),"⛔ TEMP. ALTA","")))</f>
        <v/>
      </c>
      <c r="E40" s="38">
        <f>IF(E$39=0,"",IF(E$39&gt;Cobertura!$B$3,IF(E$36="Alta","⛔ EXCESO en TEMP. ALTA","⚠ EXCESO"),IF(AND(E$36="Alta",E$39&gt;Cobertura!$D$3),"⛔ TEMP. ALTA","")))</f>
        <v/>
      </c>
      <c r="F40" s="38">
        <f>IF(F$39=0,"",IF(F$39&gt;Cobertura!$B$3,IF(F$36="Alta","⛔ EXCESO en TEMP. ALTA","⚠ EXCESO"),IF(AND(F$36="Alta",F$39&gt;Cobertura!$D$3),"⛔ TEMP. ALTA","")))</f>
        <v/>
      </c>
      <c r="G40" s="38">
        <f>IF(G$39=0,"",IF(G$39&gt;Cobertura!$B$3,IF(G$36="Alta","⛔ EXCESO en TEMP. ALTA","⚠ EXCESO"),IF(AND(G$36="Alta",G$39&gt;Cobertura!$D$3),"⛔ TEMP. ALTA","")))</f>
        <v/>
      </c>
      <c r="H40" s="38">
        <f>IF(H$39=0,"",IF(H$39&gt;Cobertura!$B$3,IF(H$36="Alta","⛔ EXCESO en TEMP. ALTA","⚠ EXCESO"),IF(AND(H$36="Alta",H$39&gt;Cobertura!$D$3),"⛔ TEMP. ALTA","")))</f>
        <v/>
      </c>
      <c r="I40" s="38">
        <f>IF(I$39=0,"",IF(I$39&gt;Cobertura!$B$3,IF(I$36="Alta","⛔ EXCESO en TEMP. ALTA","⚠ EXCESO"),IF(AND(I$36="Alta",I$39&gt;Cobertura!$D$3),"⛔ TEMP. ALTA","")))</f>
        <v/>
      </c>
      <c r="J40" s="38">
        <f>IF(J$39=0,"",IF(J$39&gt;Cobertura!$B$3,IF(J$36="Alta","⛔ EXCESO en TEMP. ALTA","⚠ EXCESO"),IF(AND(J$36="Alta",J$39&gt;Cobertura!$D$3),"⛔ TEMP. ALTA","")))</f>
        <v/>
      </c>
      <c r="K40" s="38">
        <f>IF(K$39=0,"",IF(K$39&gt;Cobertura!$B$3,IF(K$36="Alta","⛔ EXCESO en TEMP. ALTA","⚠ EXCESO"),IF(AND(K$36="Alta",K$39&gt;Cobertura!$D$3),"⛔ TEMP. ALTA","")))</f>
        <v/>
      </c>
      <c r="L40" s="38">
        <f>IF(L$39=0,"",IF(L$39&gt;Cobertura!$B$3,IF(L$36="Alta","⛔ EXCESO en TEMP. ALTA","⚠ EXCESO"),IF(AND(L$36="Alta",L$39&gt;Cobertura!$D$3),"⛔ TEMP. ALTA","")))</f>
        <v/>
      </c>
      <c r="M40" s="38">
        <f>IF(M$39=0,"",IF(M$39&gt;Cobertura!$B$3,IF(M$36="Alta","⛔ EXCESO en TEMP. ALTA","⚠ EXCESO"),IF(AND(M$36="Alta",M$39&gt;Cobertura!$D$3),"⛔ TEMP. ALTA","")))</f>
        <v/>
      </c>
      <c r="N40" s="38">
        <f>IF(N$39=0,"",IF(N$39&gt;Cobertura!$B$3,IF(N$36="Alta","⛔ EXCESO en TEMP. ALTA","⚠ EXCESO"),IF(AND(N$36="Alta",N$39&gt;Cobertura!$D$3),"⛔ TEMP. ALTA","")))</f>
        <v/>
      </c>
      <c r="O40" s="38">
        <f>IF(O$39=0,"",IF(O$39&gt;Cobertura!$B$3,IF(O$36="Alta","⛔ EXCESO en TEMP. ALTA","⚠ EXCESO"),IF(AND(O$36="Alta",O$39&gt;Cobertura!$D$3),"⛔ TEMP. ALTA","")))</f>
        <v/>
      </c>
      <c r="P40" s="38">
        <f>IF(P$39=0,"",IF(P$39&gt;Cobertura!$B$3,IF(P$36="Alta","⛔ EXCESO en TEMP. ALTA","⚠ EXCESO"),IF(AND(P$36="Alta",P$39&gt;Cobertura!$D$3),"⛔ TEMP. ALTA","")))</f>
        <v/>
      </c>
      <c r="Q40" s="38">
        <f>IF(Q$39=0,"",IF(Q$39&gt;Cobertura!$B$3,IF(Q$36="Alta","⛔ EXCESO en TEMP. ALTA","⚠ EXCESO"),IF(AND(Q$36="Alta",Q$39&gt;Cobertura!$D$3),"⛔ TEMP. ALTA","")))</f>
        <v/>
      </c>
      <c r="R40" s="38">
        <f>IF(R$39=0,"",IF(R$39&gt;Cobertura!$B$3,IF(R$36="Alta","⛔ EXCESO en TEMP. ALTA","⚠ EXCESO"),IF(AND(R$36="Alta",R$39&gt;Cobertura!$D$3),"⛔ TEMP. ALTA","")))</f>
        <v/>
      </c>
      <c r="S40" s="38">
        <f>IF(S$39=0,"",IF(S$39&gt;Cobertura!$B$3,IF(S$36="Alta","⛔ EXCESO en TEMP. ALTA","⚠ EXCESO"),IF(AND(S$36="Alta",S$39&gt;Cobertura!$D$3),"⛔ TEMP. ALTA","")))</f>
        <v/>
      </c>
      <c r="T40" s="38">
        <f>IF(T$39=0,"",IF(T$39&gt;Cobertura!$B$3,IF(T$36="Alta","⛔ EXCESO en TEMP. ALTA","⚠ EXCESO"),IF(AND(T$36="Alta",T$39&gt;Cobertura!$D$3),"⛔ TEMP. ALTA","")))</f>
        <v/>
      </c>
      <c r="U40" s="38">
        <f>IF(U$39=0,"",IF(U$39&gt;Cobertura!$B$3,IF(U$36="Alta","⛔ EXCESO en TEMP. ALTA","⚠ EXCESO"),IF(AND(U$36="Alta",U$39&gt;Cobertura!$D$3),"⛔ TEMP. ALTA","")))</f>
        <v/>
      </c>
      <c r="V40" s="38">
        <f>IF(V$39=0,"",IF(V$39&gt;Cobertura!$B$3,IF(V$36="Alta","⛔ EXCESO en TEMP. ALTA","⚠ EXCESO"),IF(AND(V$36="Alta",V$39&gt;Cobertura!$D$3),"⛔ TEMP. ALTA","")))</f>
        <v/>
      </c>
      <c r="W40" s="38">
        <f>IF(W$39=0,"",IF(W$39&gt;Cobertura!$B$3,IF(W$36="Alta","⛔ EXCESO en TEMP. ALTA","⚠ EXCESO"),IF(AND(W$36="Alta",W$39&gt;Cobertura!$D$3),"⛔ TEMP. ALTA","")))</f>
        <v/>
      </c>
      <c r="X40" s="38">
        <f>IF(X$39=0,"",IF(X$39&gt;Cobertura!$B$3,IF(X$36="Alta","⛔ EXCESO en TEMP. ALTA","⚠ EXCESO"),IF(AND(X$36="Alta",X$39&gt;Cobertura!$D$3),"⛔ TEMP. ALTA","")))</f>
        <v/>
      </c>
      <c r="Y40" s="38">
        <f>IF(Y$39=0,"",IF(Y$39&gt;Cobertura!$B$3,IF(Y$36="Alta","⛔ EXCESO en TEMP. ALTA","⚠ EXCESO"),IF(AND(Y$36="Alta",Y$39&gt;Cobertura!$D$3),"⛔ TEMP. ALTA","")))</f>
        <v/>
      </c>
      <c r="Z40" s="38">
        <f>IF(Z$39=0,"",IF(Z$39&gt;Cobertura!$B$3,IF(Z$36="Alta","⛔ EXCESO en TEMP. ALTA","⚠ EXCESO"),IF(AND(Z$36="Alta",Z$39&gt;Cobertura!$D$3),"⛔ TEMP. ALTA","")))</f>
        <v/>
      </c>
      <c r="AA40" s="38">
        <f>IF(AA$39=0,"",IF(AA$39&gt;Cobertura!$B$3,IF(AA$36="Alta","⛔ EXCESO en TEMP. ALTA","⚠ EXCESO"),IF(AND(AA$36="Alta",AA$39&gt;Cobertura!$D$3),"⛔ TEMP. ALTA","")))</f>
        <v/>
      </c>
      <c r="AB40" s="38">
        <f>IF(AB$39=0,"",IF(AB$39&gt;Cobertura!$B$3,IF(AB$36="Alta","⛔ EXCESO en TEMP. ALTA","⚠ EXCESO"),IF(AND(AB$36="Alta",AB$39&gt;Cobertura!$D$3),"⛔ TEMP. ALTA","")))</f>
        <v/>
      </c>
      <c r="AC40" s="38">
        <f>IF(AC$39=0,"",IF(AC$39&gt;Cobertura!$B$3,IF(AC$36="Alta","⛔ EXCESO en TEMP. ALTA","⚠ EXCESO"),IF(AND(AC$36="Alta",AC$39&gt;Cobertura!$D$3),"⛔ TEMP. ALTA","")))</f>
        <v/>
      </c>
      <c r="AD40" s="38">
        <f>IF(AD$39=0,"",IF(AD$39&gt;Cobertura!$B$3,IF(AD$36="Alta","⛔ EXCESO en TEMP. ALTA","⚠ EXCESO"),IF(AND(AD$36="Alta",AD$39&gt;Cobertura!$D$3),"⛔ TEMP. ALTA","")))</f>
        <v/>
      </c>
      <c r="AE40" s="38">
        <f>IF(AE$39=0,"",IF(AE$39&gt;Cobertura!$B$3,IF(AE$36="Alta","⛔ EXCESO en TEMP. ALTA","⚠ EXCESO"),IF(AND(AE$36="Alta",AE$39&gt;Cobertura!$D$3),"⛔ TEMP. ALTA","")))</f>
        <v/>
      </c>
      <c r="AF40" s="38">
        <f>IF(AF$39=0,"",IF(AF$39&gt;Cobertura!$B$3,IF(AF$36="Alta","⛔ EXCESO en TEMP. ALTA","⚠ EXCESO"),IF(AND(AF$36="Alta",AF$39&gt;Cobertura!$D$3),"⛔ TEMP. ALTA","")))</f>
        <v/>
      </c>
      <c r="AG40" s="38">
        <f>IF(AG$39=0,"",IF(AG$39&gt;Cobertura!$B$3,IF(AG$36="Alta","⛔ EXCESO en TEMP. ALTA","⚠ EXCESO"),IF(AND(AG$36="Alta",AG$39&gt;Cobertura!$D$3),"⛔ TEMP. ALTA","")))</f>
        <v/>
      </c>
      <c r="AH40" s="38">
        <f>IF(AH$39=0,"",IF(AH$39&gt;Cobertura!$B$3,IF(AH$36="Alta","⛔ EXCESO en TEMP. ALTA","⚠ EXCESO"),IF(AND(AH$36="Alta",AH$39&gt;Cobertura!$D$3),"⛔ TEMP. ALTA","")))</f>
        <v/>
      </c>
      <c r="AI40" s="38">
        <f>IF(AI$39=0,"",IF(AI$39&gt;Cobertura!$B$3,IF(AI$36="Alta","⛔ EXCESO en TEMP. ALTA","⚠ EXCESO"),IF(AND(AI$36="Alta",AI$39&gt;Cobertura!$D$3),"⛔ TEMP. ALTA","")))</f>
        <v/>
      </c>
      <c r="AJ40" s="38">
        <f>IF(AJ$39=0,"",IF(AJ$39&gt;Cobertura!$B$3,IF(AJ$36="Alta","⛔ EXCESO en TEMP. ALTA","⚠ EXCESO"),IF(AND(AJ$36="Alta",AJ$39&gt;Cobertura!$D$3),"⛔ TEMP. ALTA","")))</f>
        <v/>
      </c>
      <c r="AK40" s="38">
        <f>IF(AK$39=0,"",IF(AK$39&gt;Cobertura!$B$3,IF(AK$36="Alta","⛔ EXCESO en TEMP. ALTA","⚠ EXCESO"),IF(AND(AK$36="Alta",AK$39&gt;Cobertura!$D$3),"⛔ TEMP. ALTA","")))</f>
        <v/>
      </c>
      <c r="AL40" s="38">
        <f>IF(AL$39=0,"",IF(AL$39&gt;Cobertura!$B$3,IF(AL$36="Alta","⛔ EXCESO en TEMP. ALTA","⚠ EXCESO"),IF(AND(AL$36="Alta",AL$39&gt;Cobertura!$D$3),"⛔ TEMP. ALTA","")))</f>
        <v/>
      </c>
      <c r="AM40" s="38">
        <f>IF(AM$39=0,"",IF(AM$39&gt;Cobertura!$B$3,IF(AM$36="Alta","⛔ EXCESO en TEMP. ALTA","⚠ EXCESO"),IF(AND(AM$36="Alta",AM$39&gt;Cobertura!$D$3),"⛔ TEMP. ALTA","")))</f>
        <v/>
      </c>
      <c r="AN40" s="38">
        <f>IF(AN$39=0,"",IF(AN$39&gt;Cobertura!$B$3,IF(AN$36="Alta","⛔ EXCESO en TEMP. ALTA","⚠ EXCESO"),IF(AND(AN$36="Alta",AN$39&gt;Cobertura!$D$3),"⛔ TEMP. ALTA","")))</f>
        <v/>
      </c>
      <c r="AO40" s="38">
        <f>IF(AO$39=0,"",IF(AO$39&gt;Cobertura!$B$3,IF(AO$36="Alta","⛔ EXCESO en TEMP. ALTA","⚠ EXCESO"),IF(AND(AO$36="Alta",AO$39&gt;Cobertura!$D$3),"⛔ TEMP. ALTA","")))</f>
        <v/>
      </c>
      <c r="AP40" s="38">
        <f>IF(AP$39=0,"",IF(AP$39&gt;Cobertura!$B$3,IF(AP$36="Alta","⛔ EXCESO en TEMP. ALTA","⚠ EXCESO"),IF(AND(AP$36="Alta",AP$39&gt;Cobertura!$D$3),"⛔ TEMP. ALTA","")))</f>
        <v/>
      </c>
      <c r="AQ40" s="38">
        <f>IF(AQ$39=0,"",IF(AQ$39&gt;Cobertura!$B$3,IF(AQ$36="Alta","⛔ EXCESO en TEMP. ALTA","⚠ EXCESO"),IF(AND(AQ$36="Alta",AQ$39&gt;Cobertura!$D$3),"⛔ TEMP. ALTA","")))</f>
        <v/>
      </c>
      <c r="AR40" s="38">
        <f>IF(AR$39=0,"",IF(AR$39&gt;Cobertura!$B$3,IF(AR$36="Alta","⛔ EXCESO en TEMP. ALTA","⚠ EXCESO"),IF(AND(AR$36="Alta",AR$39&gt;Cobertura!$D$3),"⛔ TEMP. ALTA","")))</f>
        <v/>
      </c>
      <c r="AS40" s="38">
        <f>IF(AS$39=0,"",IF(AS$39&gt;Cobertura!$B$3,IF(AS$36="Alta","⛔ EXCESO en TEMP. ALTA","⚠ EXCESO"),IF(AND(AS$36="Alta",AS$39&gt;Cobertura!$D$3),"⛔ TEMP. ALTA","")))</f>
        <v/>
      </c>
      <c r="AT40" s="38">
        <f>IF(AT$39=0,"",IF(AT$39&gt;Cobertura!$B$3,IF(AT$36="Alta","⛔ EXCESO en TEMP. ALTA","⚠ EXCESO"),IF(AND(AT$36="Alta",AT$39&gt;Cobertura!$D$3),"⛔ TEMP. ALTA","")))</f>
        <v/>
      </c>
      <c r="AU40" s="38">
        <f>IF(AU$39=0,"",IF(AU$39&gt;Cobertura!$B$3,IF(AU$36="Alta","⛔ EXCESO en TEMP. ALTA","⚠ EXCESO"),IF(AND(AU$36="Alta",AU$39&gt;Cobertura!$D$3),"⛔ TEMP. ALTA","")))</f>
        <v/>
      </c>
      <c r="AV40" s="38">
        <f>IF(AV$39=0,"",IF(AV$39&gt;Cobertura!$B$3,IF(AV$36="Alta","⛔ EXCESO en TEMP. ALTA","⚠ EXCESO"),IF(AND(AV$36="Alta",AV$39&gt;Cobertura!$D$3),"⛔ TEMP. ALTA","")))</f>
        <v/>
      </c>
      <c r="AW40" s="38">
        <f>IF(AW$39=0,"",IF(AW$39&gt;Cobertura!$B$3,IF(AW$36="Alta","⛔ EXCESO en TEMP. ALTA","⚠ EXCESO"),IF(AND(AW$36="Alta",AW$39&gt;Cobertura!$D$3),"⛔ TEMP. ALTA","")))</f>
        <v/>
      </c>
      <c r="AX40" s="38">
        <f>IF(AX$39=0,"",IF(AX$39&gt;Cobertura!$B$3,IF(AX$36="Alta","⛔ EXCESO en TEMP. ALTA","⚠ EXCESO"),IF(AND(AX$36="Alta",AX$39&gt;Cobertura!$D$3),"⛔ TEMP. ALTA","")))</f>
        <v/>
      </c>
      <c r="AY40" s="38">
        <f>IF(AY$39=0,"",IF(AY$39&gt;Cobertura!$B$3,IF(AY$36="Alta","⛔ EXCESO en TEMP. ALTA","⚠ EXCESO"),IF(AND(AY$36="Alta",AY$39&gt;Cobertura!$D$3),"⛔ TEMP. ALTA","")))</f>
        <v/>
      </c>
      <c r="AZ40" s="38">
        <f>IF(AZ$39=0,"",IF(AZ$39&gt;Cobertura!$B$3,IF(AZ$36="Alta","⛔ EXCESO en TEMP. ALTA","⚠ EXCESO"),IF(AND(AZ$36="Alta",AZ$39&gt;Cobertura!$D$3),"⛔ TEMP. ALTA","")))</f>
        <v/>
      </c>
      <c r="BA40" s="38">
        <f>IF(BA$39=0,"",IF(BA$39&gt;Cobertura!$B$3,IF(BA$36="Alta","⛔ EXCESO en TEMP. ALTA","⚠ EXCESO"),IF(AND(BA$36="Alta",BA$39&gt;Cobertura!$D$3),"⛔ TEMP. ALTA","")))</f>
        <v/>
      </c>
      <c r="BB40" s="38">
        <f>IF(BB$39=0,"",IF(BB$39&gt;Cobertura!$B$3,IF(BB$36="Alta","⛔ EXCESO en TEMP. ALTA","⚠ EXCESO"),IF(AND(BB$36="Alta",BB$39&gt;Cobertura!$D$3),"⛔ TEMP. ALTA","")))</f>
        <v/>
      </c>
    </row>
    <row r="41"/>
    <row r="42">
      <c r="A42" s="39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42:BC42"/>
    <mergeCell ref="A1:BC1"/>
    <mergeCell ref="A2:BC2"/>
  </mergeCells>
  <conditionalFormatting sqref="B40:BB40">
    <cfRule type="containsText" priority="1" operator="containsText" dxfId="0" stopIfTrue="1" text="TEMP. ALTA">
      <formula>NOT(ISERROR(SEARCH("TEMP. ALTA",B40)))</formula>
    </cfRule>
    <cfRule type="containsText" priority="2" operator="containsText" dxfId="1" stopIfTrue="1" text="EXCESO">
      <formula>NOT(ISERROR(SEARCH("EXCESO",B40)))</formula>
    </cfRule>
  </conditionalFormatting>
  <conditionalFormatting sqref="B6:BB35">
    <cfRule type="containsText" priority="3" operator="containsText" dxfId="2" stopIfTrue="1" text="PE">
      <formula>NOT(ISERROR(SEARCH("PE",B6)))</formula>
    </cfRule>
    <cfRule type="containsText" priority="4" operator="containsText" dxfId="3" stopIfTrue="1" text="V">
      <formula>NOT(ISERROR(SEARCH("V",B6)))</formula>
    </cfRule>
    <cfRule type="containsText" priority="5" operator="containsText" dxfId="0" stopIfTrue="1" text="B">
      <formula>NOT(ISERROR(SEARCH("B",B6)))</formula>
    </cfRule>
    <cfRule type="containsText" priority="6" operator="containsText" dxfId="4" stopIfTrue="1" text="F">
      <formula>NOT(ISERROR(SEARCH("F",B6)))</formula>
    </cfRule>
    <cfRule type="expression" priority="7" dxfId="5" stopIfTrue="0">
      <formula>ISODD(MONTH(B$5))</formula>
    </cfRule>
  </conditionalFormatting>
  <dataValidations count="3">
    <dataValidation sqref="B5" showDropDown="0" showInputMessage="1" showErrorMessage="1" allowBlank="1" errorTitle="Fecha no válida" error="Escribe una fecha posterior al año 2000 (el lunes con el que quieres empezar el año)." promptTitle="Ancla · Fecha no válida" prompt="Lunes de la SEMANA 1 — cámbialo cada año y las 52 fechas restantes se recalculan solas (cada una es la anterior + 7). De aquí salen también el año del título, la fecha de cierre del saldo y la banda gris que separa los meses." type="custom" errorStyle="stop">
      <formula1>B5&gt;36526</formula1>
    </dataValidation>
    <dataValidation sqref="B36:BB36" showDropDown="0" showInputMessage="1" showErrorMessage="1" allowBlank="1" errorTitle="Temporada no válida" error="Sólo se admite Alta o Normal." promptTitle="Temporada · Temporada no válida" prompt="Escribe «Alta» en tus semanas de máxima demanda. Una ausencia en una semana de temporada alta salta en rojo aunque no supere el máximo de ausencias simultáneas." type="custom" errorStyle="stop">
      <formula1>OR(B36="Alta",B36="Normal")</formula1>
    </dataValidation>
    <dataValidation sqref="B6:BB35" showDropDown="0" showInputMessage="1" showErrorMessage="1" allowBlank="1" errorTitle="Código de ausencia no válido" error="Usa V, B, F o PE. El permiso es PE: la P está ocupada por el turno Partido en el cuadrante del 01." promptTitle="kitgp-v2 · Código de ausencia no válido" prompt="Códigos de ausencia: V=Vacaciones · B=Baja · F=Festivo · PE=Permiso (el permiso es PE, no P: en el cuadrante P es Partido)." type="list" errorStyle="stop">
      <formula1>"V,B,F,PE,"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D47A1"/>
    <outlinePr summaryBelow="1" summaryRight="1"/>
    <pageSetUpPr fitToPage="1"/>
  </sheetPr>
  <dimension ref="A1:H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  <col width="30" customWidth="1" min="8" max="8"/>
  </cols>
  <sheetData>
    <row r="1">
      <c r="A1" s="4" t="inlineStr">
        <is>
          <t>Solicitudes de Vacaciones</t>
        </is>
      </c>
    </row>
    <row r="2">
      <c r="A2" s="5" t="inlineStr">
        <is>
          <t>AI Chef Pro · aichef.pro — Kit Gestión de Personal y Turnos</t>
        </is>
      </c>
    </row>
    <row r="3"/>
    <row r="4">
      <c r="A4" s="40" t="inlineStr">
        <is>
          <t>Empleado</t>
        </is>
      </c>
      <c r="B4" s="40" t="inlineStr">
        <is>
          <t>Fecha Inicio</t>
        </is>
      </c>
      <c r="C4" s="40" t="inlineStr">
        <is>
          <t>Fecha Fin</t>
        </is>
      </c>
      <c r="D4" s="40" t="inlineStr">
        <is>
          <t>Días solicitados</t>
        </is>
      </c>
      <c r="E4" s="40" t="inlineStr">
        <is>
          <t>Ya disfrutados</t>
        </is>
      </c>
      <c r="F4" s="40" t="inlineStr">
        <is>
          <t>Le quedan</t>
        </is>
      </c>
      <c r="G4" s="40" t="inlineStr">
        <is>
          <t>Estado</t>
        </is>
      </c>
      <c r="H4" s="41" t="inlineStr">
        <is>
          <t>Aviso</t>
        </is>
      </c>
    </row>
    <row r="5">
      <c r="A5" s="42" t="n"/>
      <c r="B5" s="43" t="n"/>
      <c r="C5" s="43" t="n"/>
      <c r="D5" s="44">
        <f>IF(OR($B5="",$C5=""),"",IF($C5&lt;$B5,"⚠ fechas invertidas",$C5-$B5+1))</f>
        <v/>
      </c>
      <c r="E5" s="45">
        <f>IFERROR(IF($A5="","",INDEX('Saldo Vacaciones'!$F$5:$F$34,MATCH($A5,'Saldo Vacaciones'!$A$5:$A$34,0))),"")</f>
        <v/>
      </c>
      <c r="F5" s="46">
        <f>IFERROR(IF($A5="","",INDEX('Saldo Vacaciones'!$H$5:$H$34,MATCH($A5,'Saldo Vacaciones'!$A$5:$A$34,0))),"")</f>
        <v/>
      </c>
      <c r="G5" s="47" t="n"/>
      <c r="H5">
        <f>IF($A5="","",IF(COUNTIF('Calendario Anual'!$A$6:$A$35,$A5&amp;"")=0,"⚠ ese nombre no está en el calendario",""))</f>
        <v/>
      </c>
    </row>
    <row r="6">
      <c r="A6" s="42" t="n"/>
      <c r="B6" s="43" t="n"/>
      <c r="C6" s="43" t="n"/>
      <c r="D6" s="44">
        <f>IF(OR($B6="",$C6=""),"",IF($C6&lt;$B6,"⚠ fechas invertidas",$C6-$B6+1))</f>
        <v/>
      </c>
      <c r="E6" s="45">
        <f>IFERROR(IF($A6="","",INDEX('Saldo Vacaciones'!$F$5:$F$34,MATCH($A6,'Saldo Vacaciones'!$A$5:$A$34,0))),"")</f>
        <v/>
      </c>
      <c r="F6" s="46">
        <f>IFERROR(IF($A6="","",INDEX('Saldo Vacaciones'!$H$5:$H$34,MATCH($A6,'Saldo Vacaciones'!$A$5:$A$34,0))),"")</f>
        <v/>
      </c>
      <c r="G6" s="47" t="n"/>
      <c r="H6">
        <f>IF($A6="","",IF(COUNTIF('Calendario Anual'!$A$6:$A$35,$A6&amp;"")=0,"⚠ ese nombre no está en el calendario",""))</f>
        <v/>
      </c>
    </row>
    <row r="7">
      <c r="A7" s="42" t="n"/>
      <c r="B7" s="43" t="n"/>
      <c r="C7" s="43" t="n"/>
      <c r="D7" s="44">
        <f>IF(OR($B7="",$C7=""),"",IF($C7&lt;$B7,"⚠ fechas invertidas",$C7-$B7+1))</f>
        <v/>
      </c>
      <c r="E7" s="45">
        <f>IFERROR(IF($A7="","",INDEX('Saldo Vacaciones'!$F$5:$F$34,MATCH($A7,'Saldo Vacaciones'!$A$5:$A$34,0))),"")</f>
        <v/>
      </c>
      <c r="F7" s="46">
        <f>IFERROR(IF($A7="","",INDEX('Saldo Vacaciones'!$H$5:$H$34,MATCH($A7,'Saldo Vacaciones'!$A$5:$A$34,0))),"")</f>
        <v/>
      </c>
      <c r="G7" s="47" t="n"/>
      <c r="H7">
        <f>IF($A7="","",IF(COUNTIF('Calendario Anual'!$A$6:$A$35,$A7&amp;"")=0,"⚠ ese nombre no está en el calendario",""))</f>
        <v/>
      </c>
    </row>
    <row r="8">
      <c r="A8" s="42" t="n"/>
      <c r="B8" s="43" t="n"/>
      <c r="C8" s="43" t="n"/>
      <c r="D8" s="44">
        <f>IF(OR($B8="",$C8=""),"",IF($C8&lt;$B8,"⚠ fechas invertidas",$C8-$B8+1))</f>
        <v/>
      </c>
      <c r="E8" s="45">
        <f>IFERROR(IF($A8="","",INDEX('Saldo Vacaciones'!$F$5:$F$34,MATCH($A8,'Saldo Vacaciones'!$A$5:$A$34,0))),"")</f>
        <v/>
      </c>
      <c r="F8" s="46">
        <f>IFERROR(IF($A8="","",INDEX('Saldo Vacaciones'!$H$5:$H$34,MATCH($A8,'Saldo Vacaciones'!$A$5:$A$34,0))),"")</f>
        <v/>
      </c>
      <c r="G8" s="47" t="n"/>
      <c r="H8">
        <f>IF($A8="","",IF(COUNTIF('Calendario Anual'!$A$6:$A$35,$A8&amp;"")=0,"⚠ ese nombre no está en el calendario",""))</f>
        <v/>
      </c>
    </row>
    <row r="9">
      <c r="A9" s="42" t="n"/>
      <c r="B9" s="43" t="n"/>
      <c r="C9" s="43" t="n"/>
      <c r="D9" s="44">
        <f>IF(OR($B9="",$C9=""),"",IF($C9&lt;$B9,"⚠ fechas invertidas",$C9-$B9+1))</f>
        <v/>
      </c>
      <c r="E9" s="45">
        <f>IFERROR(IF($A9="","",INDEX('Saldo Vacaciones'!$F$5:$F$34,MATCH($A9,'Saldo Vacaciones'!$A$5:$A$34,0))),"")</f>
        <v/>
      </c>
      <c r="F9" s="46">
        <f>IFERROR(IF($A9="","",INDEX('Saldo Vacaciones'!$H$5:$H$34,MATCH($A9,'Saldo Vacaciones'!$A$5:$A$34,0))),"")</f>
        <v/>
      </c>
      <c r="G9" s="47" t="n"/>
      <c r="H9">
        <f>IF($A9="","",IF(COUNTIF('Calendario Anual'!$A$6:$A$35,$A9&amp;"")=0,"⚠ ese nombre no está en el calendario",""))</f>
        <v/>
      </c>
    </row>
    <row r="10">
      <c r="A10" s="42" t="n"/>
      <c r="B10" s="43" t="n"/>
      <c r="C10" s="43" t="n"/>
      <c r="D10" s="44">
        <f>IF(OR($B10="",$C10=""),"",IF($C10&lt;$B10,"⚠ fechas invertidas",$C10-$B10+1))</f>
        <v/>
      </c>
      <c r="E10" s="45">
        <f>IFERROR(IF($A10="","",INDEX('Saldo Vacaciones'!$F$5:$F$34,MATCH($A10,'Saldo Vacaciones'!$A$5:$A$34,0))),"")</f>
        <v/>
      </c>
      <c r="F10" s="46">
        <f>IFERROR(IF($A10="","",INDEX('Saldo Vacaciones'!$H$5:$H$34,MATCH($A10,'Saldo Vacaciones'!$A$5:$A$34,0))),"")</f>
        <v/>
      </c>
      <c r="G10" s="47" t="n"/>
      <c r="H10">
        <f>IF($A10="","",IF(COUNTIF('Calendario Anual'!$A$6:$A$35,$A10&amp;"")=0,"⚠ ese nombre no está en el calendario",""))</f>
        <v/>
      </c>
    </row>
    <row r="11">
      <c r="A11" s="42" t="n"/>
      <c r="B11" s="43" t="n"/>
      <c r="C11" s="43" t="n"/>
      <c r="D11" s="44">
        <f>IF(OR($B11="",$C11=""),"",IF($C11&lt;$B11,"⚠ fechas invertidas",$C11-$B11+1))</f>
        <v/>
      </c>
      <c r="E11" s="45">
        <f>IFERROR(IF($A11="","",INDEX('Saldo Vacaciones'!$F$5:$F$34,MATCH($A11,'Saldo Vacaciones'!$A$5:$A$34,0))),"")</f>
        <v/>
      </c>
      <c r="F11" s="46">
        <f>IFERROR(IF($A11="","",INDEX('Saldo Vacaciones'!$H$5:$H$34,MATCH($A11,'Saldo Vacaciones'!$A$5:$A$34,0))),"")</f>
        <v/>
      </c>
      <c r="G11" s="47" t="n"/>
      <c r="H11">
        <f>IF($A11="","",IF(COUNTIF('Calendario Anual'!$A$6:$A$35,$A11&amp;"")=0,"⚠ ese nombre no está en el calendario",""))</f>
        <v/>
      </c>
    </row>
    <row r="12">
      <c r="A12" s="42" t="n"/>
      <c r="B12" s="43" t="n"/>
      <c r="C12" s="43" t="n"/>
      <c r="D12" s="44">
        <f>IF(OR($B12="",$C12=""),"",IF($C12&lt;$B12,"⚠ fechas invertidas",$C12-$B12+1))</f>
        <v/>
      </c>
      <c r="E12" s="45">
        <f>IFERROR(IF($A12="","",INDEX('Saldo Vacaciones'!$F$5:$F$34,MATCH($A12,'Saldo Vacaciones'!$A$5:$A$34,0))),"")</f>
        <v/>
      </c>
      <c r="F12" s="46">
        <f>IFERROR(IF($A12="","",INDEX('Saldo Vacaciones'!$H$5:$H$34,MATCH($A12,'Saldo Vacaciones'!$A$5:$A$34,0))),"")</f>
        <v/>
      </c>
      <c r="G12" s="47" t="n"/>
      <c r="H12">
        <f>IF($A12="","",IF(COUNTIF('Calendario Anual'!$A$6:$A$35,$A12&amp;"")=0,"⚠ ese nombre no está en el calendario",""))</f>
        <v/>
      </c>
    </row>
    <row r="13">
      <c r="A13" s="42" t="n"/>
      <c r="B13" s="43" t="n"/>
      <c r="C13" s="43" t="n"/>
      <c r="D13" s="44">
        <f>IF(OR($B13="",$C13=""),"",IF($C13&lt;$B13,"⚠ fechas invertidas",$C13-$B13+1))</f>
        <v/>
      </c>
      <c r="E13" s="45">
        <f>IFERROR(IF($A13="","",INDEX('Saldo Vacaciones'!$F$5:$F$34,MATCH($A13,'Saldo Vacaciones'!$A$5:$A$34,0))),"")</f>
        <v/>
      </c>
      <c r="F13" s="46">
        <f>IFERROR(IF($A13="","",INDEX('Saldo Vacaciones'!$H$5:$H$34,MATCH($A13,'Saldo Vacaciones'!$A$5:$A$34,0))),"")</f>
        <v/>
      </c>
      <c r="G13" s="47" t="n"/>
      <c r="H13">
        <f>IF($A13="","",IF(COUNTIF('Calendario Anual'!$A$6:$A$35,$A13&amp;"")=0,"⚠ ese nombre no está en el calendario",""))</f>
        <v/>
      </c>
    </row>
    <row r="14">
      <c r="A14" s="42" t="n"/>
      <c r="B14" s="43" t="n"/>
      <c r="C14" s="43" t="n"/>
      <c r="D14" s="44">
        <f>IF(OR($B14="",$C14=""),"",IF($C14&lt;$B14,"⚠ fechas invertidas",$C14-$B14+1))</f>
        <v/>
      </c>
      <c r="E14" s="45">
        <f>IFERROR(IF($A14="","",INDEX('Saldo Vacaciones'!$F$5:$F$34,MATCH($A14,'Saldo Vacaciones'!$A$5:$A$34,0))),"")</f>
        <v/>
      </c>
      <c r="F14" s="46">
        <f>IFERROR(IF($A14="","",INDEX('Saldo Vacaciones'!$H$5:$H$34,MATCH($A14,'Saldo Vacaciones'!$A$5:$A$34,0))),"")</f>
        <v/>
      </c>
      <c r="G14" s="47" t="n"/>
      <c r="H14">
        <f>IF($A14="","",IF(COUNTIF('Calendario Anual'!$A$6:$A$35,$A14&amp;"")=0,"⚠ ese nombre no está en el calendario",""))</f>
        <v/>
      </c>
    </row>
    <row r="15">
      <c r="A15" s="42" t="n"/>
      <c r="B15" s="43" t="n"/>
      <c r="C15" s="43" t="n"/>
      <c r="D15" s="44">
        <f>IF(OR($B15="",$C15=""),"",IF($C15&lt;$B15,"⚠ fechas invertidas",$C15-$B15+1))</f>
        <v/>
      </c>
      <c r="E15" s="45">
        <f>IFERROR(IF($A15="","",INDEX('Saldo Vacaciones'!$F$5:$F$34,MATCH($A15,'Saldo Vacaciones'!$A$5:$A$34,0))),"")</f>
        <v/>
      </c>
      <c r="F15" s="46">
        <f>IFERROR(IF($A15="","",INDEX('Saldo Vacaciones'!$H$5:$H$34,MATCH($A15,'Saldo Vacaciones'!$A$5:$A$34,0))),"")</f>
        <v/>
      </c>
      <c r="G15" s="47" t="n"/>
      <c r="H15">
        <f>IF($A15="","",IF(COUNTIF('Calendario Anual'!$A$6:$A$35,$A15&amp;"")=0,"⚠ ese nombre no está en el calendario",""))</f>
        <v/>
      </c>
    </row>
    <row r="16">
      <c r="A16" s="42" t="n"/>
      <c r="B16" s="43" t="n"/>
      <c r="C16" s="43" t="n"/>
      <c r="D16" s="44">
        <f>IF(OR($B16="",$C16=""),"",IF($C16&lt;$B16,"⚠ fechas invertidas",$C16-$B16+1))</f>
        <v/>
      </c>
      <c r="E16" s="45">
        <f>IFERROR(IF($A16="","",INDEX('Saldo Vacaciones'!$F$5:$F$34,MATCH($A16,'Saldo Vacaciones'!$A$5:$A$34,0))),"")</f>
        <v/>
      </c>
      <c r="F16" s="46">
        <f>IFERROR(IF($A16="","",INDEX('Saldo Vacaciones'!$H$5:$H$34,MATCH($A16,'Saldo Vacaciones'!$A$5:$A$34,0))),"")</f>
        <v/>
      </c>
      <c r="G16" s="47" t="n"/>
      <c r="H16">
        <f>IF($A16="","",IF(COUNTIF('Calendario Anual'!$A$6:$A$35,$A16&amp;"")=0,"⚠ ese nombre no está en el calendario",""))</f>
        <v/>
      </c>
    </row>
    <row r="17">
      <c r="A17" s="42" t="n"/>
      <c r="B17" s="43" t="n"/>
      <c r="C17" s="43" t="n"/>
      <c r="D17" s="44">
        <f>IF(OR($B17="",$C17=""),"",IF($C17&lt;$B17,"⚠ fechas invertidas",$C17-$B17+1))</f>
        <v/>
      </c>
      <c r="E17" s="45">
        <f>IFERROR(IF($A17="","",INDEX('Saldo Vacaciones'!$F$5:$F$34,MATCH($A17,'Saldo Vacaciones'!$A$5:$A$34,0))),"")</f>
        <v/>
      </c>
      <c r="F17" s="46">
        <f>IFERROR(IF($A17="","",INDEX('Saldo Vacaciones'!$H$5:$H$34,MATCH($A17,'Saldo Vacaciones'!$A$5:$A$34,0))),"")</f>
        <v/>
      </c>
      <c r="G17" s="47" t="n"/>
      <c r="H17">
        <f>IF($A17="","",IF(COUNTIF('Calendario Anual'!$A$6:$A$35,$A17&amp;"")=0,"⚠ ese nombre no está en el calendario",""))</f>
        <v/>
      </c>
    </row>
    <row r="18">
      <c r="A18" s="42" t="n"/>
      <c r="B18" s="43" t="n"/>
      <c r="C18" s="43" t="n"/>
      <c r="D18" s="44">
        <f>IF(OR($B18="",$C18=""),"",IF($C18&lt;$B18,"⚠ fechas invertidas",$C18-$B18+1))</f>
        <v/>
      </c>
      <c r="E18" s="45">
        <f>IFERROR(IF($A18="","",INDEX('Saldo Vacaciones'!$F$5:$F$34,MATCH($A18,'Saldo Vacaciones'!$A$5:$A$34,0))),"")</f>
        <v/>
      </c>
      <c r="F18" s="46">
        <f>IFERROR(IF($A18="","",INDEX('Saldo Vacaciones'!$H$5:$H$34,MATCH($A18,'Saldo Vacaciones'!$A$5:$A$34,0))),"")</f>
        <v/>
      </c>
      <c r="G18" s="47" t="n"/>
      <c r="H18">
        <f>IF($A18="","",IF(COUNTIF('Calendario Anual'!$A$6:$A$35,$A18&amp;"")=0,"⚠ ese nombre no está en el calendario",""))</f>
        <v/>
      </c>
    </row>
    <row r="19">
      <c r="A19" s="42" t="n"/>
      <c r="B19" s="43" t="n"/>
      <c r="C19" s="43" t="n"/>
      <c r="D19" s="44">
        <f>IF(OR($B19="",$C19=""),"",IF($C19&lt;$B19,"⚠ fechas invertidas",$C19-$B19+1))</f>
        <v/>
      </c>
      <c r="E19" s="45">
        <f>IFERROR(IF($A19="","",INDEX('Saldo Vacaciones'!$F$5:$F$34,MATCH($A19,'Saldo Vacaciones'!$A$5:$A$34,0))),"")</f>
        <v/>
      </c>
      <c r="F19" s="46">
        <f>IFERROR(IF($A19="","",INDEX('Saldo Vacaciones'!$H$5:$H$34,MATCH($A19,'Saldo Vacaciones'!$A$5:$A$34,0))),"")</f>
        <v/>
      </c>
      <c r="G19" s="47" t="n"/>
      <c r="H19">
        <f>IF($A19="","",IF(COUNTIF('Calendario Anual'!$A$6:$A$35,$A19&amp;"")=0,"⚠ ese nombre no está en el calendario",""))</f>
        <v/>
      </c>
    </row>
    <row r="20">
      <c r="A20" s="42" t="n"/>
      <c r="B20" s="43" t="n"/>
      <c r="C20" s="43" t="n"/>
      <c r="D20" s="44">
        <f>IF(OR($B20="",$C20=""),"",IF($C20&lt;$B20,"⚠ fechas invertidas",$C20-$B20+1))</f>
        <v/>
      </c>
      <c r="E20" s="45">
        <f>IFERROR(IF($A20="","",INDEX('Saldo Vacaciones'!$F$5:$F$34,MATCH($A20,'Saldo Vacaciones'!$A$5:$A$34,0))),"")</f>
        <v/>
      </c>
      <c r="F20" s="46">
        <f>IFERROR(IF($A20="","",INDEX('Saldo Vacaciones'!$H$5:$H$34,MATCH($A20,'Saldo Vacaciones'!$A$5:$A$34,0))),"")</f>
        <v/>
      </c>
      <c r="G20" s="47" t="n"/>
      <c r="H20">
        <f>IF($A20="","",IF(COUNTIF('Calendario Anual'!$A$6:$A$35,$A20&amp;"")=0,"⚠ ese nombre no está en el calendario",""))</f>
        <v/>
      </c>
    </row>
    <row r="21">
      <c r="A21" s="42" t="n"/>
      <c r="B21" s="43" t="n"/>
      <c r="C21" s="43" t="n"/>
      <c r="D21" s="44">
        <f>IF(OR($B21="",$C21=""),"",IF($C21&lt;$B21,"⚠ fechas invertidas",$C21-$B21+1))</f>
        <v/>
      </c>
      <c r="E21" s="45">
        <f>IFERROR(IF($A21="","",INDEX('Saldo Vacaciones'!$F$5:$F$34,MATCH($A21,'Saldo Vacaciones'!$A$5:$A$34,0))),"")</f>
        <v/>
      </c>
      <c r="F21" s="46">
        <f>IFERROR(IF($A21="","",INDEX('Saldo Vacaciones'!$H$5:$H$34,MATCH($A21,'Saldo Vacaciones'!$A$5:$A$34,0))),"")</f>
        <v/>
      </c>
      <c r="G21" s="47" t="n"/>
      <c r="H21">
        <f>IF($A21="","",IF(COUNTIF('Calendario Anual'!$A$6:$A$35,$A21&amp;"")=0,"⚠ ese nombre no está en el calendario",""))</f>
        <v/>
      </c>
    </row>
    <row r="22">
      <c r="A22" s="42" t="n"/>
      <c r="B22" s="43" t="n"/>
      <c r="C22" s="43" t="n"/>
      <c r="D22" s="44">
        <f>IF(OR($B22="",$C22=""),"",IF($C22&lt;$B22,"⚠ fechas invertidas",$C22-$B22+1))</f>
        <v/>
      </c>
      <c r="E22" s="45">
        <f>IFERROR(IF($A22="","",INDEX('Saldo Vacaciones'!$F$5:$F$34,MATCH($A22,'Saldo Vacaciones'!$A$5:$A$34,0))),"")</f>
        <v/>
      </c>
      <c r="F22" s="46">
        <f>IFERROR(IF($A22="","",INDEX('Saldo Vacaciones'!$H$5:$H$34,MATCH($A22,'Saldo Vacaciones'!$A$5:$A$34,0))),"")</f>
        <v/>
      </c>
      <c r="G22" s="47" t="n"/>
      <c r="H22">
        <f>IF($A22="","",IF(COUNTIF('Calendario Anual'!$A$6:$A$35,$A22&amp;"")=0,"⚠ ese nombre no está en el calendario",""))</f>
        <v/>
      </c>
    </row>
    <row r="23">
      <c r="A23" s="42" t="n"/>
      <c r="B23" s="43" t="n"/>
      <c r="C23" s="43" t="n"/>
      <c r="D23" s="44">
        <f>IF(OR($B23="",$C23=""),"",IF($C23&lt;$B23,"⚠ fechas invertidas",$C23-$B23+1))</f>
        <v/>
      </c>
      <c r="E23" s="45">
        <f>IFERROR(IF($A23="","",INDEX('Saldo Vacaciones'!$F$5:$F$34,MATCH($A23,'Saldo Vacaciones'!$A$5:$A$34,0))),"")</f>
        <v/>
      </c>
      <c r="F23" s="46">
        <f>IFERROR(IF($A23="","",INDEX('Saldo Vacaciones'!$H$5:$H$34,MATCH($A23,'Saldo Vacaciones'!$A$5:$A$34,0))),"")</f>
        <v/>
      </c>
      <c r="G23" s="47" t="n"/>
      <c r="H23">
        <f>IF($A23="","",IF(COUNTIF('Calendario Anual'!$A$6:$A$35,$A23&amp;"")=0,"⚠ ese nombre no está en el calendario",""))</f>
        <v/>
      </c>
    </row>
    <row r="24">
      <c r="A24" s="42" t="n"/>
      <c r="B24" s="43" t="n"/>
      <c r="C24" s="43" t="n"/>
      <c r="D24" s="44">
        <f>IF(OR($B24="",$C24=""),"",IF($C24&lt;$B24,"⚠ fechas invertidas",$C24-$B24+1))</f>
        <v/>
      </c>
      <c r="E24" s="45">
        <f>IFERROR(IF($A24="","",INDEX('Saldo Vacaciones'!$F$5:$F$34,MATCH($A24,'Saldo Vacaciones'!$A$5:$A$34,0))),"")</f>
        <v/>
      </c>
      <c r="F24" s="46">
        <f>IFERROR(IF($A24="","",INDEX('Saldo Vacaciones'!$H$5:$H$34,MATCH($A24,'Saldo Vacaciones'!$A$5:$A$34,0))),"")</f>
        <v/>
      </c>
      <c r="G24" s="47" t="n"/>
      <c r="H24">
        <f>IF($A24="","",IF(COUNTIF('Calendario Anual'!$A$6:$A$35,$A24&amp;"")=0,"⚠ ese nombre no está en el calendario",""))</f>
        <v/>
      </c>
    </row>
    <row r="25">
      <c r="A25" s="42" t="n"/>
      <c r="B25" s="43" t="n"/>
      <c r="C25" s="43" t="n"/>
      <c r="D25" s="44">
        <f>IF(OR($B25="",$C25=""),"",IF($C25&lt;$B25,"⚠ fechas invertidas",$C25-$B25+1))</f>
        <v/>
      </c>
      <c r="E25" s="45">
        <f>IFERROR(IF($A25="","",INDEX('Saldo Vacaciones'!$F$5:$F$34,MATCH($A25,'Saldo Vacaciones'!$A$5:$A$34,0))),"")</f>
        <v/>
      </c>
      <c r="F25" s="46">
        <f>IFERROR(IF($A25="","",INDEX('Saldo Vacaciones'!$H$5:$H$34,MATCH($A25,'Saldo Vacaciones'!$A$5:$A$34,0))),"")</f>
        <v/>
      </c>
      <c r="G25" s="47" t="n"/>
      <c r="H25">
        <f>IF($A25="","",IF(COUNTIF('Calendario Anual'!$A$6:$A$35,$A25&amp;"")=0,"⚠ ese nombre no está en el calendario",""))</f>
        <v/>
      </c>
    </row>
    <row r="26">
      <c r="A26" s="42" t="n"/>
      <c r="B26" s="43" t="n"/>
      <c r="C26" s="43" t="n"/>
      <c r="D26" s="44">
        <f>IF(OR($B26="",$C26=""),"",IF($C26&lt;$B26,"⚠ fechas invertidas",$C26-$B26+1))</f>
        <v/>
      </c>
      <c r="E26" s="45">
        <f>IFERROR(IF($A26="","",INDEX('Saldo Vacaciones'!$F$5:$F$34,MATCH($A26,'Saldo Vacaciones'!$A$5:$A$34,0))),"")</f>
        <v/>
      </c>
      <c r="F26" s="46">
        <f>IFERROR(IF($A26="","",INDEX('Saldo Vacaciones'!$H$5:$H$34,MATCH($A26,'Saldo Vacaciones'!$A$5:$A$34,0))),"")</f>
        <v/>
      </c>
      <c r="G26" s="47" t="n"/>
      <c r="H26">
        <f>IF($A26="","",IF(COUNTIF('Calendario Anual'!$A$6:$A$35,$A26&amp;"")=0,"⚠ ese nombre no está en el calendario",""))</f>
        <v/>
      </c>
    </row>
    <row r="27">
      <c r="A27" s="42" t="n"/>
      <c r="B27" s="43" t="n"/>
      <c r="C27" s="43" t="n"/>
      <c r="D27" s="44">
        <f>IF(OR($B27="",$C27=""),"",IF($C27&lt;$B27,"⚠ fechas invertidas",$C27-$B27+1))</f>
        <v/>
      </c>
      <c r="E27" s="45">
        <f>IFERROR(IF($A27="","",INDEX('Saldo Vacaciones'!$F$5:$F$34,MATCH($A27,'Saldo Vacaciones'!$A$5:$A$34,0))),"")</f>
        <v/>
      </c>
      <c r="F27" s="46">
        <f>IFERROR(IF($A27="","",INDEX('Saldo Vacaciones'!$H$5:$H$34,MATCH($A27,'Saldo Vacaciones'!$A$5:$A$34,0))),"")</f>
        <v/>
      </c>
      <c r="G27" s="47" t="n"/>
      <c r="H27">
        <f>IF($A27="","",IF(COUNTIF('Calendario Anual'!$A$6:$A$35,$A27&amp;"")=0,"⚠ ese nombre no está en el calendario",""))</f>
        <v/>
      </c>
    </row>
    <row r="28">
      <c r="A28" s="42" t="n"/>
      <c r="B28" s="43" t="n"/>
      <c r="C28" s="43" t="n"/>
      <c r="D28" s="44">
        <f>IF(OR($B28="",$C28=""),"",IF($C28&lt;$B28,"⚠ fechas invertidas",$C28-$B28+1))</f>
        <v/>
      </c>
      <c r="E28" s="45">
        <f>IFERROR(IF($A28="","",INDEX('Saldo Vacaciones'!$F$5:$F$34,MATCH($A28,'Saldo Vacaciones'!$A$5:$A$34,0))),"")</f>
        <v/>
      </c>
      <c r="F28" s="46">
        <f>IFERROR(IF($A28="","",INDEX('Saldo Vacaciones'!$H$5:$H$34,MATCH($A28,'Saldo Vacaciones'!$A$5:$A$34,0))),"")</f>
        <v/>
      </c>
      <c r="G28" s="47" t="n"/>
      <c r="H28">
        <f>IF($A28="","",IF(COUNTIF('Calendario Anual'!$A$6:$A$35,$A28&amp;"")=0,"⚠ ese nombre no está en el calendario",""))</f>
        <v/>
      </c>
    </row>
    <row r="29">
      <c r="A29" s="42" t="n"/>
      <c r="B29" s="43" t="n"/>
      <c r="C29" s="43" t="n"/>
      <c r="D29" s="44">
        <f>IF(OR($B29="",$C29=""),"",IF($C29&lt;$B29,"⚠ fechas invertidas",$C29-$B29+1))</f>
        <v/>
      </c>
      <c r="E29" s="45">
        <f>IFERROR(IF($A29="","",INDEX('Saldo Vacaciones'!$F$5:$F$34,MATCH($A29,'Saldo Vacaciones'!$A$5:$A$34,0))),"")</f>
        <v/>
      </c>
      <c r="F29" s="46">
        <f>IFERROR(IF($A29="","",INDEX('Saldo Vacaciones'!$H$5:$H$34,MATCH($A29,'Saldo Vacaciones'!$A$5:$A$34,0))),"")</f>
        <v/>
      </c>
      <c r="G29" s="47" t="n"/>
      <c r="H29">
        <f>IF($A29="","",IF(COUNTIF('Calendario Anual'!$A$6:$A$35,$A29&amp;"")=0,"⚠ ese nombre no está en el calendario",""))</f>
        <v/>
      </c>
    </row>
    <row r="30">
      <c r="A30" s="42" t="n"/>
      <c r="B30" s="43" t="n"/>
      <c r="C30" s="43" t="n"/>
      <c r="D30" s="44">
        <f>IF(OR($B30="",$C30=""),"",IF($C30&lt;$B30,"⚠ fechas invertidas",$C30-$B30+1))</f>
        <v/>
      </c>
      <c r="E30" s="45">
        <f>IFERROR(IF($A30="","",INDEX('Saldo Vacaciones'!$F$5:$F$34,MATCH($A30,'Saldo Vacaciones'!$A$5:$A$34,0))),"")</f>
        <v/>
      </c>
      <c r="F30" s="46">
        <f>IFERROR(IF($A30="","",INDEX('Saldo Vacaciones'!$H$5:$H$34,MATCH($A30,'Saldo Vacaciones'!$A$5:$A$34,0))),"")</f>
        <v/>
      </c>
      <c r="G30" s="47" t="n"/>
      <c r="H30">
        <f>IF($A30="","",IF(COUNTIF('Calendario Anual'!$A$6:$A$35,$A30&amp;"")=0,"⚠ ese nombre no está en el calendario",""))</f>
        <v/>
      </c>
    </row>
    <row r="31">
      <c r="A31" s="42" t="n"/>
      <c r="B31" s="43" t="n"/>
      <c r="C31" s="43" t="n"/>
      <c r="D31" s="44">
        <f>IF(OR($B31="",$C31=""),"",IF($C31&lt;$B31,"⚠ fechas invertidas",$C31-$B31+1))</f>
        <v/>
      </c>
      <c r="E31" s="45">
        <f>IFERROR(IF($A31="","",INDEX('Saldo Vacaciones'!$F$5:$F$34,MATCH($A31,'Saldo Vacaciones'!$A$5:$A$34,0))),"")</f>
        <v/>
      </c>
      <c r="F31" s="46">
        <f>IFERROR(IF($A31="","",INDEX('Saldo Vacaciones'!$H$5:$H$34,MATCH($A31,'Saldo Vacaciones'!$A$5:$A$34,0))),"")</f>
        <v/>
      </c>
      <c r="G31" s="47" t="n"/>
      <c r="H31">
        <f>IF($A31="","",IF(COUNTIF('Calendario Anual'!$A$6:$A$35,$A31&amp;"")=0,"⚠ ese nombre no está en el calendario",""))</f>
        <v/>
      </c>
    </row>
    <row r="32">
      <c r="A32" s="42" t="n"/>
      <c r="B32" s="43" t="n"/>
      <c r="C32" s="43" t="n"/>
      <c r="D32" s="44">
        <f>IF(OR($B32="",$C32=""),"",IF($C32&lt;$B32,"⚠ fechas invertidas",$C32-$B32+1))</f>
        <v/>
      </c>
      <c r="E32" s="45">
        <f>IFERROR(IF($A32="","",INDEX('Saldo Vacaciones'!$F$5:$F$34,MATCH($A32,'Saldo Vacaciones'!$A$5:$A$34,0))),"")</f>
        <v/>
      </c>
      <c r="F32" s="46">
        <f>IFERROR(IF($A32="","",INDEX('Saldo Vacaciones'!$H$5:$H$34,MATCH($A32,'Saldo Vacaciones'!$A$5:$A$34,0))),"")</f>
        <v/>
      </c>
      <c r="G32" s="47" t="n"/>
      <c r="H32">
        <f>IF($A32="","",IF(COUNTIF('Calendario Anual'!$A$6:$A$35,$A32&amp;"")=0,"⚠ ese nombre no está en el calendario",""))</f>
        <v/>
      </c>
    </row>
    <row r="33">
      <c r="A33" s="42" t="n"/>
      <c r="B33" s="43" t="n"/>
      <c r="C33" s="43" t="n"/>
      <c r="D33" s="44">
        <f>IF(OR($B33="",$C33=""),"",IF($C33&lt;$B33,"⚠ fechas invertidas",$C33-$B33+1))</f>
        <v/>
      </c>
      <c r="E33" s="45">
        <f>IFERROR(IF($A33="","",INDEX('Saldo Vacaciones'!$F$5:$F$34,MATCH($A33,'Saldo Vacaciones'!$A$5:$A$34,0))),"")</f>
        <v/>
      </c>
      <c r="F33" s="46">
        <f>IFERROR(IF($A33="","",INDEX('Saldo Vacaciones'!$H$5:$H$34,MATCH($A33,'Saldo Vacaciones'!$A$5:$A$34,0))),"")</f>
        <v/>
      </c>
      <c r="G33" s="47" t="n"/>
      <c r="H33">
        <f>IF($A33="","",IF(COUNTIF('Calendario Anual'!$A$6:$A$35,$A33&amp;"")=0,"⚠ ese nombre no está en el calendario",""))</f>
        <v/>
      </c>
    </row>
    <row r="34">
      <c r="A34" s="42" t="n"/>
      <c r="B34" s="43" t="n"/>
      <c r="C34" s="43" t="n"/>
      <c r="D34" s="44">
        <f>IF(OR($B34="",$C34=""),"",IF($C34&lt;$B34,"⚠ fechas invertidas",$C34-$B34+1))</f>
        <v/>
      </c>
      <c r="E34" s="45">
        <f>IFERROR(IF($A34="","",INDEX('Saldo Vacaciones'!$F$5:$F$34,MATCH($A34,'Saldo Vacaciones'!$A$5:$A$34,0))),"")</f>
        <v/>
      </c>
      <c r="F34" s="46">
        <f>IFERROR(IF($A34="","",INDEX('Saldo Vacaciones'!$H$5:$H$34,MATCH($A34,'Saldo Vacaciones'!$A$5:$A$34,0))),"")</f>
        <v/>
      </c>
      <c r="G34" s="47" t="n"/>
      <c r="H34">
        <f>IF($A34="","",IF(COUNTIF('Calendario Anual'!$A$6:$A$35,$A34&amp;"")=0,"⚠ ese nombre no está en el calendario",""))</f>
        <v/>
      </c>
    </row>
    <row r="35">
      <c r="A35" s="33" t="n"/>
      <c r="B35" s="48" t="n"/>
      <c r="C35" s="48" t="n"/>
      <c r="D35" s="35">
        <f>IF(OR($B35="",$C35=""),"",IF($C35&lt;$B35,"⚠ fechas invertidas",$C35-$B35+1))</f>
        <v/>
      </c>
      <c r="E35" s="49">
        <f>IFERROR(IF($A35="","",INDEX('Saldo Vacaciones'!$F$5:$F$34,MATCH($A35,'Saldo Vacaciones'!$A$5:$A$34,0))),"")</f>
        <v/>
      </c>
      <c r="F35" s="49">
        <f>IFERROR(IF($A35="","",INDEX('Saldo Vacaciones'!$H$5:$H$34,MATCH($A35,'Saldo Vacaciones'!$A$5:$A$34,0))),"")</f>
        <v/>
      </c>
      <c r="G35" s="33" t="n"/>
      <c r="H35">
        <f>IF($A35="","",IF(COUNTIF('Calendario Anual'!$A$6:$A$35,$A35&amp;"")=0,"⚠ ese nombre no está en el calendario",""))</f>
        <v/>
      </c>
    </row>
    <row r="36">
      <c r="A36" s="50" t="n"/>
      <c r="B36" s="48" t="n"/>
      <c r="C36" s="48" t="n"/>
      <c r="D36" s="35">
        <f>IF(OR($B36="",$C36=""),"",IF($C36&lt;$B36,"⚠ fechas invertidas",$C36-$B36+1))</f>
        <v/>
      </c>
      <c r="E36" s="49">
        <f>IFERROR(IF($A36="","",INDEX('Saldo Vacaciones'!$F$5:$F$34,MATCH($A36,'Saldo Vacaciones'!$A$5:$A$34,0))),"")</f>
        <v/>
      </c>
      <c r="F36" s="49">
        <f>IFERROR(IF($A36="","",INDEX('Saldo Vacaciones'!$H$5:$H$34,MATCH($A36,'Saldo Vacaciones'!$A$5:$A$34,0))),"")</f>
        <v/>
      </c>
      <c r="G36" s="33" t="n"/>
      <c r="H36">
        <f>IF($A36="","",IF(COUNTIF('Calendario Anual'!$A$6:$A$35,$A36&amp;"")=0,"⚠ ese nombre no está en el calendario",""))</f>
        <v/>
      </c>
    </row>
    <row r="37">
      <c r="A37" s="33" t="n"/>
      <c r="B37" s="48" t="n"/>
      <c r="C37" s="48" t="n"/>
      <c r="D37" s="35">
        <f>IF(OR($B37="",$C37=""),"",IF($C37&lt;$B37,"⚠ fechas invertidas",$C37-$B37+1))</f>
        <v/>
      </c>
      <c r="E37" s="49">
        <f>IFERROR(IF($A37="","",INDEX('Saldo Vacaciones'!$F$5:$F$34,MATCH($A37,'Saldo Vacaciones'!$A$5:$A$34,0))),"")</f>
        <v/>
      </c>
      <c r="F37" s="49">
        <f>IFERROR(IF($A37="","",INDEX('Saldo Vacaciones'!$H$5:$H$34,MATCH($A37,'Saldo Vacaciones'!$A$5:$A$34,0))),"")</f>
        <v/>
      </c>
      <c r="G37" s="33" t="n"/>
      <c r="H37">
        <f>IF($A37="","",IF(COUNTIF('Calendario Anual'!$A$6:$A$35,$A37&amp;"")=0,"⚠ ese nombre no está en el calendario",""))</f>
        <v/>
      </c>
    </row>
    <row r="38">
      <c r="A38" s="33" t="n"/>
      <c r="B38" s="48" t="n"/>
      <c r="C38" s="48" t="n"/>
      <c r="D38" s="35">
        <f>IF(OR($B38="",$C38=""),"",IF($C38&lt;$B38,"⚠ fechas invertidas",$C38-$B38+1))</f>
        <v/>
      </c>
      <c r="E38" s="49">
        <f>IFERROR(IF($A38="","",INDEX('Saldo Vacaciones'!$F$5:$F$34,MATCH($A38,'Saldo Vacaciones'!$A$5:$A$34,0))),"")</f>
        <v/>
      </c>
      <c r="F38" s="49">
        <f>IFERROR(IF($A38="","",INDEX('Saldo Vacaciones'!$H$5:$H$34,MATCH($A38,'Saldo Vacaciones'!$A$5:$A$34,0))),"")</f>
        <v/>
      </c>
      <c r="G38" s="33" t="n"/>
      <c r="H38">
        <f>IF($A38="","",IF(COUNTIF('Calendario Anual'!$A$6:$A$35,$A38&amp;"")=0,"⚠ ese nombre no está en el calendario",""))</f>
        <v/>
      </c>
    </row>
    <row r="39">
      <c r="A39" s="33" t="n"/>
      <c r="B39" s="48" t="n"/>
      <c r="C39" s="48" t="n"/>
      <c r="D39" s="35">
        <f>IF(OR($B39="",$C39=""),"",IF($C39&lt;$B39,"⚠ fechas invertidas",$C39-$B39+1))</f>
        <v/>
      </c>
      <c r="E39" s="49">
        <f>IFERROR(IF($A39="","",INDEX('Saldo Vacaciones'!$F$5:$F$34,MATCH($A39,'Saldo Vacaciones'!$A$5:$A$34,0))),"")</f>
        <v/>
      </c>
      <c r="F39" s="49">
        <f>IFERROR(IF($A39="","",INDEX('Saldo Vacaciones'!$H$5:$H$34,MATCH($A39,'Saldo Vacaciones'!$A$5:$A$34,0))),"")</f>
        <v/>
      </c>
      <c r="G39" s="33" t="n"/>
      <c r="H39">
        <f>IF($A39="","",IF(COUNTIF('Calendario Anual'!$A$6:$A$35,$A39&amp;"")=0,"⚠ ese nombre no está en el calendario",""))</f>
        <v/>
      </c>
    </row>
    <row r="40">
      <c r="A40" s="33" t="n"/>
      <c r="B40" s="48" t="n"/>
      <c r="C40" s="48" t="n"/>
      <c r="D40" s="35">
        <f>IF(OR($B40="",$C40=""),"",IF($C40&lt;$B40,"⚠ fechas invertidas",$C40-$B40+1))</f>
        <v/>
      </c>
      <c r="E40" s="49">
        <f>IFERROR(IF($A40="","",INDEX('Saldo Vacaciones'!$F$5:$F$34,MATCH($A40,'Saldo Vacaciones'!$A$5:$A$34,0))),"")</f>
        <v/>
      </c>
      <c r="F40" s="49">
        <f>IFERROR(IF($A40="","",INDEX('Saldo Vacaciones'!$H$5:$H$34,MATCH($A40,'Saldo Vacaciones'!$A$5:$A$34,0))),"")</f>
        <v/>
      </c>
      <c r="G40" s="33" t="n"/>
      <c r="H40">
        <f>IF($A40="","",IF(COUNTIF('Calendario Anual'!$A$6:$A$35,$A40&amp;"")=0,"⚠ ese nombre no está en el calendario",""))</f>
        <v/>
      </c>
    </row>
    <row r="41">
      <c r="A41" s="33" t="n"/>
      <c r="B41" s="48" t="n"/>
      <c r="C41" s="48" t="n"/>
      <c r="D41" s="35">
        <f>IF(OR($B41="",$C41=""),"",IF($C41&lt;$B41,"⚠ fechas invertidas",$C41-$B41+1))</f>
        <v/>
      </c>
      <c r="E41" s="49">
        <f>IFERROR(IF($A41="","",INDEX('Saldo Vacaciones'!$F$5:$F$34,MATCH($A41,'Saldo Vacaciones'!$A$5:$A$34,0))),"")</f>
        <v/>
      </c>
      <c r="F41" s="49">
        <f>IFERROR(IF($A41="","",INDEX('Saldo Vacaciones'!$H$5:$H$34,MATCH($A41,'Saldo Vacaciones'!$A$5:$A$34,0))),"")</f>
        <v/>
      </c>
      <c r="G41" s="33" t="n"/>
      <c r="H41">
        <f>IF($A41="","",IF(COUNTIF('Calendario Anual'!$A$6:$A$35,$A41&amp;"")=0,"⚠ ese nombre no está en el calendario",""))</f>
        <v/>
      </c>
    </row>
    <row r="42">
      <c r="A42" s="33" t="n"/>
      <c r="B42" s="48" t="n"/>
      <c r="C42" s="48" t="n"/>
      <c r="D42" s="35">
        <f>IF(OR($B42="",$C42=""),"",IF($C42&lt;$B42,"⚠ fechas invertidas",$C42-$B42+1))</f>
        <v/>
      </c>
      <c r="E42" s="49">
        <f>IFERROR(IF($A42="","",INDEX('Saldo Vacaciones'!$F$5:$F$34,MATCH($A42,'Saldo Vacaciones'!$A$5:$A$34,0))),"")</f>
        <v/>
      </c>
      <c r="F42" s="49">
        <f>IFERROR(IF($A42="","",INDEX('Saldo Vacaciones'!$H$5:$H$34,MATCH($A42,'Saldo Vacaciones'!$A$5:$A$34,0))),"")</f>
        <v/>
      </c>
      <c r="G42" s="33" t="n"/>
      <c r="H42">
        <f>IF($A42="","",IF(COUNTIF('Calendario Anual'!$A$6:$A$35,$A42&amp;"")=0,"⚠ ese nombre no está en el calendario",""))</f>
        <v/>
      </c>
    </row>
    <row r="43">
      <c r="A43" s="33" t="n"/>
      <c r="B43" s="48" t="n"/>
      <c r="C43" s="48" t="n"/>
      <c r="D43" s="35">
        <f>IF(OR($B43="",$C43=""),"",IF($C43&lt;$B43,"⚠ fechas invertidas",$C43-$B43+1))</f>
        <v/>
      </c>
      <c r="E43" s="49">
        <f>IFERROR(IF($A43="","",INDEX('Saldo Vacaciones'!$F$5:$F$34,MATCH($A43,'Saldo Vacaciones'!$A$5:$A$34,0))),"")</f>
        <v/>
      </c>
      <c r="F43" s="49">
        <f>IFERROR(IF($A43="","",INDEX('Saldo Vacaciones'!$H$5:$H$34,MATCH($A43,'Saldo Vacaciones'!$A$5:$A$34,0))),"")</f>
        <v/>
      </c>
      <c r="G43" s="33" t="n"/>
      <c r="H43">
        <f>IF($A43="","",IF(COUNTIF('Calendario Anual'!$A$6:$A$35,$A43&amp;"")=0,"⚠ ese nombre no está en el calendario",""))</f>
        <v/>
      </c>
    </row>
    <row r="44">
      <c r="A44" s="33" t="n"/>
      <c r="B44" s="48" t="n"/>
      <c r="C44" s="48" t="n"/>
      <c r="D44" s="35">
        <f>IF(OR($B44="",$C44=""),"",IF($C44&lt;$B44,"⚠ fechas invertidas",$C44-$B44+1))</f>
        <v/>
      </c>
      <c r="E44" s="49">
        <f>IFERROR(IF($A44="","",INDEX('Saldo Vacaciones'!$F$5:$F$34,MATCH($A44,'Saldo Vacaciones'!$A$5:$A$34,0))),"")</f>
        <v/>
      </c>
      <c r="F44" s="49">
        <f>IFERROR(IF($A44="","",INDEX('Saldo Vacaciones'!$H$5:$H$34,MATCH($A44,'Saldo Vacaciones'!$A$5:$A$34,0))),"")</f>
        <v/>
      </c>
      <c r="G44" s="33" t="n"/>
      <c r="H44">
        <f>IF($A44="","",IF(COUNTIF('Calendario Anual'!$A$6:$A$35,$A44&amp;"")=0,"⚠ ese nombre no está en el calendario",""))</f>
        <v/>
      </c>
    </row>
    <row r="45">
      <c r="A45" s="33" t="n"/>
      <c r="B45" s="48" t="n"/>
      <c r="C45" s="48" t="n"/>
      <c r="D45" s="35">
        <f>IF(OR($B45="",$C45=""),"",IF($C45&lt;$B45,"⚠ fechas invertidas",$C45-$B45+1))</f>
        <v/>
      </c>
      <c r="E45" s="49">
        <f>IFERROR(IF($A45="","",INDEX('Saldo Vacaciones'!$F$5:$F$34,MATCH($A45,'Saldo Vacaciones'!$A$5:$A$34,0))),"")</f>
        <v/>
      </c>
      <c r="F45" s="49">
        <f>IFERROR(IF($A45="","",INDEX('Saldo Vacaciones'!$H$5:$H$34,MATCH($A45,'Saldo Vacaciones'!$A$5:$A$34,0))),"")</f>
        <v/>
      </c>
      <c r="G45" s="33" t="n"/>
      <c r="H45">
        <f>IF($A45="","",IF(COUNTIF('Calendario Anual'!$A$6:$A$35,$A45&amp;"")=0,"⚠ ese nombre no está en el calendario",""))</f>
        <v/>
      </c>
    </row>
    <row r="46">
      <c r="A46" s="33" t="n"/>
      <c r="B46" s="48" t="n"/>
      <c r="C46" s="48" t="n"/>
      <c r="D46" s="35">
        <f>IF(OR($B46="",$C46=""),"",IF($C46&lt;$B46,"⚠ fechas invertidas",$C46-$B46+1))</f>
        <v/>
      </c>
      <c r="E46" s="49">
        <f>IFERROR(IF($A46="","",INDEX('Saldo Vacaciones'!$F$5:$F$34,MATCH($A46,'Saldo Vacaciones'!$A$5:$A$34,0))),"")</f>
        <v/>
      </c>
      <c r="F46" s="49">
        <f>IFERROR(IF($A46="","",INDEX('Saldo Vacaciones'!$H$5:$H$34,MATCH($A46,'Saldo Vacaciones'!$A$5:$A$34,0))),"")</f>
        <v/>
      </c>
      <c r="G46" s="33" t="n"/>
      <c r="H46">
        <f>IF($A46="","",IF(COUNTIF('Calendario Anual'!$A$6:$A$35,$A46&amp;"")=0,"⚠ ese nombre no está en el calendario",""))</f>
        <v/>
      </c>
    </row>
    <row r="47">
      <c r="A47" s="33" t="n"/>
      <c r="B47" s="48" t="n"/>
      <c r="C47" s="48" t="n"/>
      <c r="D47" s="35">
        <f>IF(OR($B47="",$C47=""),"",IF($C47&lt;$B47,"⚠ fechas invertidas",$C47-$B47+1))</f>
        <v/>
      </c>
      <c r="E47" s="49">
        <f>IFERROR(IF($A47="","",INDEX('Saldo Vacaciones'!$F$5:$F$34,MATCH($A47,'Saldo Vacaciones'!$A$5:$A$34,0))),"")</f>
        <v/>
      </c>
      <c r="F47" s="49">
        <f>IFERROR(IF($A47="","",INDEX('Saldo Vacaciones'!$H$5:$H$34,MATCH($A47,'Saldo Vacaciones'!$A$5:$A$34,0))),"")</f>
        <v/>
      </c>
      <c r="G47" s="33" t="n"/>
      <c r="H47">
        <f>IF($A47="","",IF(COUNTIF('Calendario Anual'!$A$6:$A$35,$A47&amp;"")=0,"⚠ ese nombre no está en el calendario",""))</f>
        <v/>
      </c>
    </row>
    <row r="48">
      <c r="A48" s="33" t="n"/>
      <c r="B48" s="48" t="n"/>
      <c r="C48" s="48" t="n"/>
      <c r="D48" s="35">
        <f>IF(OR($B48="",$C48=""),"",IF($C48&lt;$B48,"⚠ fechas invertidas",$C48-$B48+1))</f>
        <v/>
      </c>
      <c r="E48" s="49">
        <f>IFERROR(IF($A48="","",INDEX('Saldo Vacaciones'!$F$5:$F$34,MATCH($A48,'Saldo Vacaciones'!$A$5:$A$34,0))),"")</f>
        <v/>
      </c>
      <c r="F48" s="49">
        <f>IFERROR(IF($A48="","",INDEX('Saldo Vacaciones'!$H$5:$H$34,MATCH($A48,'Saldo Vacaciones'!$A$5:$A$34,0))),"")</f>
        <v/>
      </c>
      <c r="G48" s="33" t="n"/>
      <c r="H48">
        <f>IF($A48="","",IF(COUNTIF('Calendario Anual'!$A$6:$A$35,$A48&amp;"")=0,"⚠ ese nombre no está en el calendario",""))</f>
        <v/>
      </c>
    </row>
    <row r="49">
      <c r="A49" s="33" t="n"/>
      <c r="B49" s="48" t="n"/>
      <c r="C49" s="48" t="n"/>
      <c r="D49" s="35">
        <f>IF(OR($B49="",$C49=""),"",IF($C49&lt;$B49,"⚠ fechas invertidas",$C49-$B49+1))</f>
        <v/>
      </c>
      <c r="E49" s="49">
        <f>IFERROR(IF($A49="","",INDEX('Saldo Vacaciones'!$F$5:$F$34,MATCH($A49,'Saldo Vacaciones'!$A$5:$A$34,0))),"")</f>
        <v/>
      </c>
      <c r="F49" s="49">
        <f>IFERROR(IF($A49="","",INDEX('Saldo Vacaciones'!$H$5:$H$34,MATCH($A49,'Saldo Vacaciones'!$A$5:$A$34,0))),"")</f>
        <v/>
      </c>
      <c r="G49" s="33" t="n"/>
      <c r="H49">
        <f>IF($A49="","",IF(COUNTIF('Calendario Anual'!$A$6:$A$35,$A49&amp;"")=0,"⚠ ese nombre no está en el calendario",""))</f>
        <v/>
      </c>
    </row>
    <row r="50">
      <c r="A50" s="33" t="n"/>
      <c r="B50" s="48" t="n"/>
      <c r="C50" s="48" t="n"/>
      <c r="D50" s="35">
        <f>IF(OR($B50="",$C50=""),"",IF($C50&lt;$B50,"⚠ fechas invertidas",$C50-$B50+1))</f>
        <v/>
      </c>
      <c r="E50" s="49">
        <f>IFERROR(IF($A50="","",INDEX('Saldo Vacaciones'!$F$5:$F$34,MATCH($A50,'Saldo Vacaciones'!$A$5:$A$34,0))),"")</f>
        <v/>
      </c>
      <c r="F50" s="49">
        <f>IFERROR(IF($A50="","",INDEX('Saldo Vacaciones'!$H$5:$H$34,MATCH($A50,'Saldo Vacaciones'!$A$5:$A$34,0))),"")</f>
        <v/>
      </c>
      <c r="G50" s="33" t="n"/>
      <c r="H50">
        <f>IF($A50="","",IF(COUNTIF('Calendario Anual'!$A$6:$A$35,$A50&amp;"")=0,"⚠ ese nombre no está en el calendario",""))</f>
        <v/>
      </c>
    </row>
    <row r="51">
      <c r="A51" s="33" t="n"/>
      <c r="B51" s="48" t="n"/>
      <c r="C51" s="48" t="n"/>
      <c r="D51" s="35">
        <f>IF(OR($B51="",$C51=""),"",IF($C51&lt;$B51,"⚠ fechas invertidas",$C51-$B51+1))</f>
        <v/>
      </c>
      <c r="E51" s="49">
        <f>IFERROR(IF($A51="","",INDEX('Saldo Vacaciones'!$F$5:$F$34,MATCH($A51,'Saldo Vacaciones'!$A$5:$A$34,0))),"")</f>
        <v/>
      </c>
      <c r="F51" s="49">
        <f>IFERROR(IF($A51="","",INDEX('Saldo Vacaciones'!$H$5:$H$34,MATCH($A51,'Saldo Vacaciones'!$A$5:$A$34,0))),"")</f>
        <v/>
      </c>
      <c r="G51" s="33" t="n"/>
      <c r="H51">
        <f>IF($A51="","",IF(COUNTIF('Calendario Anual'!$A$6:$A$35,$A51&amp;"")=0,"⚠ ese nombre no está en el calendario",""))</f>
        <v/>
      </c>
    </row>
    <row r="52">
      <c r="A52" s="33" t="n"/>
      <c r="B52" s="48" t="n"/>
      <c r="C52" s="48" t="n"/>
      <c r="D52" s="35">
        <f>IF(OR($B52="",$C52=""),"",IF($C52&lt;$B52,"⚠ fechas invertidas",$C52-$B52+1))</f>
        <v/>
      </c>
      <c r="E52" s="49">
        <f>IFERROR(IF($A52="","",INDEX('Saldo Vacaciones'!$F$5:$F$34,MATCH($A52,'Saldo Vacaciones'!$A$5:$A$34,0))),"")</f>
        <v/>
      </c>
      <c r="F52" s="49">
        <f>IFERROR(IF($A52="","",INDEX('Saldo Vacaciones'!$H$5:$H$34,MATCH($A52,'Saldo Vacaciones'!$A$5:$A$34,0))),"")</f>
        <v/>
      </c>
      <c r="G52" s="33" t="n"/>
      <c r="H52">
        <f>IF($A52="","",IF(COUNTIF('Calendario Anual'!$A$6:$A$35,$A52&amp;"")=0,"⚠ ese nombre no está en el calendario",""))</f>
        <v/>
      </c>
    </row>
    <row r="53">
      <c r="A53" s="33" t="n"/>
      <c r="B53" s="48" t="n"/>
      <c r="C53" s="48" t="n"/>
      <c r="D53" s="35">
        <f>IF(OR($B53="",$C53=""),"",IF($C53&lt;$B53,"⚠ fechas invertidas",$C53-$B53+1))</f>
        <v/>
      </c>
      <c r="E53" s="49">
        <f>IFERROR(IF($A53="","",INDEX('Saldo Vacaciones'!$F$5:$F$34,MATCH($A53,'Saldo Vacaciones'!$A$5:$A$34,0))),"")</f>
        <v/>
      </c>
      <c r="F53" s="49">
        <f>IFERROR(IF($A53="","",INDEX('Saldo Vacaciones'!$H$5:$H$34,MATCH($A53,'Saldo Vacaciones'!$A$5:$A$34,0))),"")</f>
        <v/>
      </c>
      <c r="G53" s="33" t="n"/>
      <c r="H53">
        <f>IF($A53="","",IF(COUNTIF('Calendario Anual'!$A$6:$A$35,$A53&amp;"")=0,"⚠ ese nombre no está en el calendario",""))</f>
        <v/>
      </c>
    </row>
    <row r="54">
      <c r="A54" s="33" t="n"/>
      <c r="B54" s="48" t="n"/>
      <c r="C54" s="48" t="n"/>
      <c r="D54" s="35">
        <f>IF(OR($B54="",$C54=""),"",IF($C54&lt;$B54,"⚠ fechas invertidas",$C54-$B54+1))</f>
        <v/>
      </c>
      <c r="E54" s="49">
        <f>IFERROR(IF($A54="","",INDEX('Saldo Vacaciones'!$F$5:$F$34,MATCH($A54,'Saldo Vacaciones'!$A$5:$A$34,0))),"")</f>
        <v/>
      </c>
      <c r="F54" s="49">
        <f>IFERROR(IF($A54="","",INDEX('Saldo Vacaciones'!$H$5:$H$34,MATCH($A54,'Saldo Vacaciones'!$A$5:$A$34,0))),"")</f>
        <v/>
      </c>
      <c r="G54" s="33" t="n"/>
      <c r="H54">
        <f>IF($A54="","",IF(COUNTIF('Calendario Anual'!$A$6:$A$35,$A54&amp;"")=0,"⚠ ese nombre no está en el calendario",""))</f>
        <v/>
      </c>
    </row>
    <row r="55">
      <c r="A55" s="33" t="n"/>
      <c r="B55" s="48" t="n"/>
      <c r="C55" s="48" t="n"/>
      <c r="D55" s="35">
        <f>IF(OR($B55="",$C55=""),"",IF($C55&lt;$B55,"⚠ fechas invertidas",$C55-$B55+1))</f>
        <v/>
      </c>
      <c r="E55" s="49">
        <f>IFERROR(IF($A55="","",INDEX('Saldo Vacaciones'!$F$5:$F$34,MATCH($A55,'Saldo Vacaciones'!$A$5:$A$34,0))),"")</f>
        <v/>
      </c>
      <c r="F55" s="49">
        <f>IFERROR(IF($A55="","",INDEX('Saldo Vacaciones'!$H$5:$H$34,MATCH($A55,'Saldo Vacaciones'!$A$5:$A$34,0))),"")</f>
        <v/>
      </c>
      <c r="G55" s="33" t="n"/>
      <c r="H55">
        <f>IF($A55="","",IF(COUNTIF('Calendario Anual'!$A$6:$A$35,$A55&amp;"")=0,"⚠ ese nombre no está en el calendario",""))</f>
        <v/>
      </c>
    </row>
    <row r="56">
      <c r="A56" s="33" t="n"/>
      <c r="B56" s="48" t="n"/>
      <c r="C56" s="48" t="n"/>
      <c r="D56" s="35">
        <f>IF(OR($B56="",$C56=""),"",IF($C56&lt;$B56,"⚠ fechas invertidas",$C56-$B56+1))</f>
        <v/>
      </c>
      <c r="E56" s="49">
        <f>IFERROR(IF($A56="","",INDEX('Saldo Vacaciones'!$F$5:$F$34,MATCH($A56,'Saldo Vacaciones'!$A$5:$A$34,0))),"")</f>
        <v/>
      </c>
      <c r="F56" s="49">
        <f>IFERROR(IF($A56="","",INDEX('Saldo Vacaciones'!$H$5:$H$34,MATCH($A56,'Saldo Vacaciones'!$A$5:$A$34,0))),"")</f>
        <v/>
      </c>
      <c r="G56" s="33" t="n"/>
      <c r="H56">
        <f>IF($A56="","",IF(COUNTIF('Calendario Anual'!$A$6:$A$35,$A56&amp;"")=0,"⚠ ese nombre no está en el calendario",""))</f>
        <v/>
      </c>
    </row>
    <row r="57">
      <c r="A57" s="33" t="n"/>
      <c r="B57" s="48" t="n"/>
      <c r="C57" s="48" t="n"/>
      <c r="D57" s="35">
        <f>IF(OR($B57="",$C57=""),"",IF($C57&lt;$B57,"⚠ fechas invertidas",$C57-$B57+1))</f>
        <v/>
      </c>
      <c r="E57" s="49">
        <f>IFERROR(IF($A57="","",INDEX('Saldo Vacaciones'!$F$5:$F$34,MATCH($A57,'Saldo Vacaciones'!$A$5:$A$34,0))),"")</f>
        <v/>
      </c>
      <c r="F57" s="49">
        <f>IFERROR(IF($A57="","",INDEX('Saldo Vacaciones'!$H$5:$H$34,MATCH($A57,'Saldo Vacaciones'!$A$5:$A$34,0))),"")</f>
        <v/>
      </c>
      <c r="G57" s="33" t="n"/>
      <c r="H57">
        <f>IF($A57="","",IF(COUNTIF('Calendario Anual'!$A$6:$A$35,$A57&amp;"")=0,"⚠ ese nombre no está en el calendario",""))</f>
        <v/>
      </c>
    </row>
    <row r="58">
      <c r="A58" s="33" t="n"/>
      <c r="B58" s="48" t="n"/>
      <c r="C58" s="48" t="n"/>
      <c r="D58" s="35">
        <f>IF(OR($B58="",$C58=""),"",IF($C58&lt;$B58,"⚠ fechas invertidas",$C58-$B58+1))</f>
        <v/>
      </c>
      <c r="E58" s="49">
        <f>IFERROR(IF($A58="","",INDEX('Saldo Vacaciones'!$F$5:$F$34,MATCH($A58,'Saldo Vacaciones'!$A$5:$A$34,0))),"")</f>
        <v/>
      </c>
      <c r="F58" s="49">
        <f>IFERROR(IF($A58="","",INDEX('Saldo Vacaciones'!$H$5:$H$34,MATCH($A58,'Saldo Vacaciones'!$A$5:$A$34,0))),"")</f>
        <v/>
      </c>
      <c r="G58" s="33" t="n"/>
      <c r="H58">
        <f>IF($A58="","",IF(COUNTIF('Calendario Anual'!$A$6:$A$35,$A58&amp;"")=0,"⚠ ese nombre no está en el calendario",""))</f>
        <v/>
      </c>
    </row>
    <row r="59">
      <c r="A59" s="33" t="n"/>
      <c r="B59" s="48" t="n"/>
      <c r="C59" s="48" t="n"/>
      <c r="D59" s="35">
        <f>IF(OR($B59="",$C59=""),"",IF($C59&lt;$B59,"⚠ fechas invertidas",$C59-$B59+1))</f>
        <v/>
      </c>
      <c r="E59" s="49">
        <f>IFERROR(IF($A59="","",INDEX('Saldo Vacaciones'!$F$5:$F$34,MATCH($A59,'Saldo Vacaciones'!$A$5:$A$34,0))),"")</f>
        <v/>
      </c>
      <c r="F59" s="49">
        <f>IFERROR(IF($A59="","",INDEX('Saldo Vacaciones'!$H$5:$H$34,MATCH($A59,'Saldo Vacaciones'!$A$5:$A$34,0))),"")</f>
        <v/>
      </c>
      <c r="G59" s="33" t="n"/>
      <c r="H59">
        <f>IF($A59="","",IF(COUNTIF('Calendario Anual'!$A$6:$A$35,$A59&amp;"")=0,"⚠ ese nombre no está en el calendario",""))</f>
        <v/>
      </c>
    </row>
    <row r="60">
      <c r="A60" s="33" t="n"/>
      <c r="B60" s="48" t="n"/>
      <c r="C60" s="48" t="n"/>
      <c r="D60" s="35">
        <f>IF(OR($B60="",$C60=""),"",IF($C60&lt;$B60,"⚠ fechas invertidas",$C60-$B60+1))</f>
        <v/>
      </c>
      <c r="E60" s="49">
        <f>IFERROR(IF($A60="","",INDEX('Saldo Vacaciones'!$F$5:$F$34,MATCH($A60,'Saldo Vacaciones'!$A$5:$A$34,0))),"")</f>
        <v/>
      </c>
      <c r="F60" s="49">
        <f>IFERROR(IF($A60="","",INDEX('Saldo Vacaciones'!$H$5:$H$34,MATCH($A60,'Saldo Vacaciones'!$A$5:$A$34,0))),"")</f>
        <v/>
      </c>
      <c r="G60" s="33" t="n"/>
      <c r="H60">
        <f>IF($A60="","",IF(COUNTIF('Calendario Anual'!$A$6:$A$35,$A60&amp;"")=0,"⚠ ese nombre no está en el calendario",""))</f>
        <v/>
      </c>
    </row>
    <row r="61">
      <c r="A61" s="33" t="n"/>
      <c r="B61" s="48" t="n"/>
      <c r="C61" s="48" t="n"/>
      <c r="D61" s="35">
        <f>IF(OR($B61="",$C61=""),"",IF($C61&lt;$B61,"⚠ fechas invertidas",$C61-$B61+1))</f>
        <v/>
      </c>
      <c r="E61" s="49">
        <f>IFERROR(IF($A61="","",INDEX('Saldo Vacaciones'!$F$5:$F$34,MATCH($A61,'Saldo Vacaciones'!$A$5:$A$34,0))),"")</f>
        <v/>
      </c>
      <c r="F61" s="49">
        <f>IFERROR(IF($A61="","",INDEX('Saldo Vacaciones'!$H$5:$H$34,MATCH($A61,'Saldo Vacaciones'!$A$5:$A$34,0))),"")</f>
        <v/>
      </c>
      <c r="G61" s="33" t="n"/>
      <c r="H61">
        <f>IF($A61="","",IF(COUNTIF('Calendario Anual'!$A$6:$A$35,$A61&amp;"")=0,"⚠ ese nombre no está en el calendario",""))</f>
        <v/>
      </c>
    </row>
    <row r="62">
      <c r="A62" s="33" t="n"/>
      <c r="B62" s="48" t="n"/>
      <c r="C62" s="48" t="n"/>
      <c r="D62" s="35">
        <f>IF(OR($B62="",$C62=""),"",IF($C62&lt;$B62,"⚠ fechas invertidas",$C62-$B62+1))</f>
        <v/>
      </c>
      <c r="E62" s="49">
        <f>IFERROR(IF($A62="","",INDEX('Saldo Vacaciones'!$F$5:$F$34,MATCH($A62,'Saldo Vacaciones'!$A$5:$A$34,0))),"")</f>
        <v/>
      </c>
      <c r="F62" s="49">
        <f>IFERROR(IF($A62="","",INDEX('Saldo Vacaciones'!$H$5:$H$34,MATCH($A62,'Saldo Vacaciones'!$A$5:$A$34,0))),"")</f>
        <v/>
      </c>
      <c r="G62" s="33" t="n"/>
      <c r="H62">
        <f>IF($A62="","",IF(COUNTIF('Calendario Anual'!$A$6:$A$35,$A62&amp;"")=0,"⚠ ese nombre no está en el calendario",""))</f>
        <v/>
      </c>
    </row>
    <row r="63">
      <c r="A63" s="33" t="n"/>
      <c r="B63" s="48" t="n"/>
      <c r="C63" s="48" t="n"/>
      <c r="D63" s="35">
        <f>IF(OR($B63="",$C63=""),"",IF($C63&lt;$B63,"⚠ fechas invertidas",$C63-$B63+1))</f>
        <v/>
      </c>
      <c r="E63" s="49">
        <f>IFERROR(IF($A63="","",INDEX('Saldo Vacaciones'!$F$5:$F$34,MATCH($A63,'Saldo Vacaciones'!$A$5:$A$34,0))),"")</f>
        <v/>
      </c>
      <c r="F63" s="49">
        <f>IFERROR(IF($A63="","",INDEX('Saldo Vacaciones'!$H$5:$H$34,MATCH($A63,'Saldo Vacaciones'!$A$5:$A$34,0))),"")</f>
        <v/>
      </c>
      <c r="G63" s="33" t="n"/>
      <c r="H63">
        <f>IF($A63="","",IF(COUNTIF('Calendario Anual'!$A$6:$A$35,$A63&amp;"")=0,"⚠ ese nombre no está en el calendario",""))</f>
        <v/>
      </c>
    </row>
    <row r="64">
      <c r="A64" s="33" t="n"/>
      <c r="B64" s="48" t="n"/>
      <c r="C64" s="48" t="n"/>
      <c r="D64" s="35">
        <f>IF(OR($B64="",$C64=""),"",IF($C64&lt;$B64,"⚠ fechas invertidas",$C64-$B64+1))</f>
        <v/>
      </c>
      <c r="E64" s="49">
        <f>IFERROR(IF($A64="","",INDEX('Saldo Vacaciones'!$F$5:$F$34,MATCH($A64,'Saldo Vacaciones'!$A$5:$A$34,0))),"")</f>
        <v/>
      </c>
      <c r="F64" s="49">
        <f>IFERROR(IF($A64="","",INDEX('Saldo Vacaciones'!$H$5:$H$34,MATCH($A64,'Saldo Vacaciones'!$A$5:$A$34,0))),"")</f>
        <v/>
      </c>
      <c r="G64" s="33" t="n"/>
      <c r="H64">
        <f>IF($A64="","",IF(COUNTIF('Calendario Anual'!$A$6:$A$35,$A64&amp;"")=0,"⚠ ese nombre no está en el calendario",""))</f>
        <v/>
      </c>
    </row>
    <row r="65">
      <c r="A65" s="33" t="n"/>
      <c r="B65" s="48" t="n"/>
      <c r="C65" s="48" t="n"/>
      <c r="D65" s="35">
        <f>IF(OR($B65="",$C65=""),"",IF($C65&lt;$B65,"⚠ fechas invertidas",$C65-$B65+1))</f>
        <v/>
      </c>
      <c r="E65" s="49">
        <f>IFERROR(IF($A65="","",INDEX('Saldo Vacaciones'!$F$5:$F$34,MATCH($A65,'Saldo Vacaciones'!$A$5:$A$34,0))),"")</f>
        <v/>
      </c>
      <c r="F65" s="49">
        <f>IFERROR(IF($A65="","",INDEX('Saldo Vacaciones'!$H$5:$H$34,MATCH($A65,'Saldo Vacaciones'!$A$5:$A$34,0))),"")</f>
        <v/>
      </c>
      <c r="G65" s="33" t="n"/>
      <c r="H65">
        <f>IF($A65="","",IF(COUNTIF('Calendario Anual'!$A$6:$A$35,$A65&amp;"")=0,"⚠ ese nombre no está en el calendario",""))</f>
        <v/>
      </c>
    </row>
    <row r="66">
      <c r="A66" s="33" t="n"/>
      <c r="B66" s="48" t="n"/>
      <c r="C66" s="48" t="n"/>
      <c r="D66" s="35">
        <f>IF(OR($B66="",$C66=""),"",IF($C66&lt;$B66,"⚠ fechas invertidas",$C66-$B66+1))</f>
        <v/>
      </c>
      <c r="E66" s="49">
        <f>IFERROR(IF($A66="","",INDEX('Saldo Vacaciones'!$F$5:$F$34,MATCH($A66,'Saldo Vacaciones'!$A$5:$A$34,0))),"")</f>
        <v/>
      </c>
      <c r="F66" s="49">
        <f>IFERROR(IF($A66="","",INDEX('Saldo Vacaciones'!$H$5:$H$34,MATCH($A66,'Saldo Vacaciones'!$A$5:$A$34,0))),"")</f>
        <v/>
      </c>
      <c r="G66" s="33" t="n"/>
      <c r="H66">
        <f>IF($A66="","",IF(COUNTIF('Calendario Anual'!$A$6:$A$35,$A66&amp;"")=0,"⚠ ese nombre no está en el calendario",""))</f>
        <v/>
      </c>
    </row>
    <row r="67">
      <c r="A67" s="33" t="n"/>
      <c r="B67" s="48" t="n"/>
      <c r="C67" s="48" t="n"/>
      <c r="D67" s="35">
        <f>IF(OR($B67="",$C67=""),"",IF($C67&lt;$B67,"⚠ fechas invertidas",$C67-$B67+1))</f>
        <v/>
      </c>
      <c r="E67" s="49">
        <f>IFERROR(IF($A67="","",INDEX('Saldo Vacaciones'!$F$5:$F$34,MATCH($A67,'Saldo Vacaciones'!$A$5:$A$34,0))),"")</f>
        <v/>
      </c>
      <c r="F67" s="49">
        <f>IFERROR(IF($A67="","",INDEX('Saldo Vacaciones'!$H$5:$H$34,MATCH($A67,'Saldo Vacaciones'!$A$5:$A$34,0))),"")</f>
        <v/>
      </c>
      <c r="G67" s="33" t="n"/>
      <c r="H67">
        <f>IF($A67="","",IF(COUNTIF('Calendario Anual'!$A$6:$A$35,$A67&amp;"")=0,"⚠ ese nombre no está en el calendario",""))</f>
        <v/>
      </c>
    </row>
    <row r="68">
      <c r="A68" s="33" t="n"/>
      <c r="B68" s="48" t="n"/>
      <c r="C68" s="48" t="n"/>
      <c r="D68" s="35">
        <f>IF(OR($B68="",$C68=""),"",IF($C68&lt;$B68,"⚠ fechas invertidas",$C68-$B68+1))</f>
        <v/>
      </c>
      <c r="E68" s="49">
        <f>IFERROR(IF($A68="","",INDEX('Saldo Vacaciones'!$F$5:$F$34,MATCH($A68,'Saldo Vacaciones'!$A$5:$A$34,0))),"")</f>
        <v/>
      </c>
      <c r="F68" s="49">
        <f>IFERROR(IF($A68="","",INDEX('Saldo Vacaciones'!$H$5:$H$34,MATCH($A68,'Saldo Vacaciones'!$A$5:$A$34,0))),"")</f>
        <v/>
      </c>
      <c r="G68" s="33" t="n"/>
      <c r="H68">
        <f>IF($A68="","",IF(COUNTIF('Calendario Anual'!$A$6:$A$35,$A68&amp;"")=0,"⚠ ese nombre no está en el calendario",""))</f>
        <v/>
      </c>
    </row>
    <row r="69">
      <c r="A69" s="33" t="n"/>
      <c r="B69" s="48" t="n"/>
      <c r="C69" s="48" t="n"/>
      <c r="D69" s="35">
        <f>IF(OR($B69="",$C69=""),"",IF($C69&lt;$B69,"⚠ fechas invertidas",$C69-$B69+1))</f>
        <v/>
      </c>
      <c r="E69" s="49">
        <f>IFERROR(IF($A69="","",INDEX('Saldo Vacaciones'!$F$5:$F$34,MATCH($A69,'Saldo Vacaciones'!$A$5:$A$34,0))),"")</f>
        <v/>
      </c>
      <c r="F69" s="49">
        <f>IFERROR(IF($A69="","",INDEX('Saldo Vacaciones'!$H$5:$H$34,MATCH($A69,'Saldo Vacaciones'!$A$5:$A$34,0))),"")</f>
        <v/>
      </c>
      <c r="G69" s="33" t="n"/>
      <c r="H69">
        <f>IF($A69="","",IF(COUNTIF('Calendario Anual'!$A$6:$A$35,$A69&amp;"")=0,"⚠ ese nombre no está en el calendario",""))</f>
        <v/>
      </c>
    </row>
    <row r="70">
      <c r="A70" s="33" t="n"/>
      <c r="B70" s="48" t="n"/>
      <c r="C70" s="48" t="n"/>
      <c r="D70" s="35">
        <f>IF(OR($B70="",$C70=""),"",IF($C70&lt;$B70,"⚠ fechas invertidas",$C70-$B70+1))</f>
        <v/>
      </c>
      <c r="E70" s="49">
        <f>IFERROR(IF($A70="","",INDEX('Saldo Vacaciones'!$F$5:$F$34,MATCH($A70,'Saldo Vacaciones'!$A$5:$A$34,0))),"")</f>
        <v/>
      </c>
      <c r="F70" s="49">
        <f>IFERROR(IF($A70="","",INDEX('Saldo Vacaciones'!$H$5:$H$34,MATCH($A70,'Saldo Vacaciones'!$A$5:$A$34,0))),"")</f>
        <v/>
      </c>
      <c r="G70" s="33" t="n"/>
      <c r="H70">
        <f>IF($A70="","",IF(COUNTIF('Calendario Anual'!$A$6:$A$35,$A70&amp;"")=0,"⚠ ese nombre no está en el calendario",""))</f>
        <v/>
      </c>
    </row>
    <row r="71">
      <c r="A71" s="33" t="n"/>
      <c r="B71" s="48" t="n"/>
      <c r="C71" s="48" t="n"/>
      <c r="D71" s="35">
        <f>IF(OR($B71="",$C71=""),"",IF($C71&lt;$B71,"⚠ fechas invertidas",$C71-$B71+1))</f>
        <v/>
      </c>
      <c r="E71" s="49">
        <f>IFERROR(IF($A71="","",INDEX('Saldo Vacaciones'!$F$5:$F$34,MATCH($A71,'Saldo Vacaciones'!$A$5:$A$34,0))),"")</f>
        <v/>
      </c>
      <c r="F71" s="49">
        <f>IFERROR(IF($A71="","",INDEX('Saldo Vacaciones'!$H$5:$H$34,MATCH($A71,'Saldo Vacaciones'!$A$5:$A$34,0))),"")</f>
        <v/>
      </c>
      <c r="G71" s="33" t="n"/>
      <c r="H71">
        <f>IF($A71="","",IF(COUNTIF('Calendario Anual'!$A$6:$A$35,$A71&amp;"")=0,"⚠ ese nombre no está en el calendario",""))</f>
        <v/>
      </c>
    </row>
    <row r="72">
      <c r="A72" s="33" t="n"/>
      <c r="B72" s="48" t="n"/>
      <c r="C72" s="48" t="n"/>
      <c r="D72" s="35">
        <f>IF(OR($B72="",$C72=""),"",IF($C72&lt;$B72,"⚠ fechas invertidas",$C72-$B72+1))</f>
        <v/>
      </c>
      <c r="E72" s="49">
        <f>IFERROR(IF($A72="","",INDEX('Saldo Vacaciones'!$F$5:$F$34,MATCH($A72,'Saldo Vacaciones'!$A$5:$A$34,0))),"")</f>
        <v/>
      </c>
      <c r="F72" s="49">
        <f>IFERROR(IF($A72="","",INDEX('Saldo Vacaciones'!$H$5:$H$34,MATCH($A72,'Saldo Vacaciones'!$A$5:$A$34,0))),"")</f>
        <v/>
      </c>
      <c r="G72" s="33" t="n"/>
      <c r="H72">
        <f>IF($A72="","",IF(COUNTIF('Calendario Anual'!$A$6:$A$35,$A72&amp;"")=0,"⚠ ese nombre no está en el calendario",""))</f>
        <v/>
      </c>
    </row>
    <row r="73">
      <c r="A73" s="33" t="n"/>
      <c r="B73" s="48" t="n"/>
      <c r="C73" s="48" t="n"/>
      <c r="D73" s="35">
        <f>IF(OR($B73="",$C73=""),"",IF($C73&lt;$B73,"⚠ fechas invertidas",$C73-$B73+1))</f>
        <v/>
      </c>
      <c r="E73" s="49">
        <f>IFERROR(IF($A73="","",INDEX('Saldo Vacaciones'!$F$5:$F$34,MATCH($A73,'Saldo Vacaciones'!$A$5:$A$34,0))),"")</f>
        <v/>
      </c>
      <c r="F73" s="49">
        <f>IFERROR(IF($A73="","",INDEX('Saldo Vacaciones'!$H$5:$H$34,MATCH($A73,'Saldo Vacaciones'!$A$5:$A$34,0))),"")</f>
        <v/>
      </c>
      <c r="G73" s="33" t="n"/>
      <c r="H73">
        <f>IF($A73="","",IF(COUNTIF('Calendario Anual'!$A$6:$A$35,$A73&amp;"")=0,"⚠ ese nombre no está en el calendario",""))</f>
        <v/>
      </c>
    </row>
    <row r="74">
      <c r="A74" s="33" t="n"/>
      <c r="B74" s="48" t="n"/>
      <c r="C74" s="48" t="n"/>
      <c r="D74" s="35">
        <f>IF(OR($B74="",$C74=""),"",IF($C74&lt;$B74,"⚠ fechas invertidas",$C74-$B74+1))</f>
        <v/>
      </c>
      <c r="E74" s="49">
        <f>IFERROR(IF($A74="","",INDEX('Saldo Vacaciones'!$F$5:$F$34,MATCH($A74,'Saldo Vacaciones'!$A$5:$A$34,0))),"")</f>
        <v/>
      </c>
      <c r="F74" s="49">
        <f>IFERROR(IF($A74="","",INDEX('Saldo Vacaciones'!$H$5:$H$34,MATCH($A74,'Saldo Vacaciones'!$A$5:$A$34,0))),"")</f>
        <v/>
      </c>
      <c r="G74" s="33" t="n"/>
      <c r="H74">
        <f>IF($A74="","",IF(COUNTIF('Calendario Anual'!$A$6:$A$35,$A74&amp;"")=0,"⚠ ese nombre no está en el calendario",""))</f>
        <v/>
      </c>
    </row>
    <row r="75">
      <c r="A75" s="33" t="n"/>
      <c r="B75" s="48" t="n"/>
      <c r="C75" s="48" t="n"/>
      <c r="D75" s="35">
        <f>IF(OR($B75="",$C75=""),"",IF($C75&lt;$B75,"⚠ fechas invertidas",$C75-$B75+1))</f>
        <v/>
      </c>
      <c r="E75" s="49">
        <f>IFERROR(IF($A75="","",INDEX('Saldo Vacaciones'!$F$5:$F$34,MATCH($A75,'Saldo Vacaciones'!$A$5:$A$34,0))),"")</f>
        <v/>
      </c>
      <c r="F75" s="49">
        <f>IFERROR(IF($A75="","",INDEX('Saldo Vacaciones'!$H$5:$H$34,MATCH($A75,'Saldo Vacaciones'!$A$5:$A$34,0))),"")</f>
        <v/>
      </c>
      <c r="G75" s="33" t="n"/>
      <c r="H75">
        <f>IF($A75="","",IF(COUNTIF('Calendario Anual'!$A$6:$A$35,$A75&amp;"")=0,"⚠ ese nombre no está en el calendario",""))</f>
        <v/>
      </c>
    </row>
    <row r="76">
      <c r="A76" s="33" t="n"/>
      <c r="B76" s="48" t="n"/>
      <c r="C76" s="48" t="n"/>
      <c r="D76" s="35">
        <f>IF(OR($B76="",$C76=""),"",IF($C76&lt;$B76,"⚠ fechas invertidas",$C76-$B76+1))</f>
        <v/>
      </c>
      <c r="E76" s="49">
        <f>IFERROR(IF($A76="","",INDEX('Saldo Vacaciones'!$F$5:$F$34,MATCH($A76,'Saldo Vacaciones'!$A$5:$A$34,0))),"")</f>
        <v/>
      </c>
      <c r="F76" s="49">
        <f>IFERROR(IF($A76="","",INDEX('Saldo Vacaciones'!$H$5:$H$34,MATCH($A76,'Saldo Vacaciones'!$A$5:$A$34,0))),"")</f>
        <v/>
      </c>
      <c r="G76" s="33" t="n"/>
      <c r="H76">
        <f>IF($A76="","",IF(COUNTIF('Calendario Anual'!$A$6:$A$35,$A76&amp;"")=0,"⚠ ese nombre no está en el calendario",""))</f>
        <v/>
      </c>
    </row>
    <row r="77">
      <c r="A77" s="33" t="n"/>
      <c r="B77" s="48" t="n"/>
      <c r="C77" s="48" t="n"/>
      <c r="D77" s="35">
        <f>IF(OR($B77="",$C77=""),"",IF($C77&lt;$B77,"⚠ fechas invertidas",$C77-$B77+1))</f>
        <v/>
      </c>
      <c r="E77" s="49">
        <f>IFERROR(IF($A77="","",INDEX('Saldo Vacaciones'!$F$5:$F$34,MATCH($A77,'Saldo Vacaciones'!$A$5:$A$34,0))),"")</f>
        <v/>
      </c>
      <c r="F77" s="49">
        <f>IFERROR(IF($A77="","",INDEX('Saldo Vacaciones'!$H$5:$H$34,MATCH($A77,'Saldo Vacaciones'!$A$5:$A$34,0))),"")</f>
        <v/>
      </c>
      <c r="G77" s="33" t="n"/>
      <c r="H77">
        <f>IF($A77="","",IF(COUNTIF('Calendario Anual'!$A$6:$A$35,$A77&amp;"")=0,"⚠ ese nombre no está en el calendario",""))</f>
        <v/>
      </c>
    </row>
    <row r="78">
      <c r="A78" s="33" t="n"/>
      <c r="B78" s="48" t="n"/>
      <c r="C78" s="48" t="n"/>
      <c r="D78" s="35">
        <f>IF(OR($B78="",$C78=""),"",IF($C78&lt;$B78,"⚠ fechas invertidas",$C78-$B78+1))</f>
        <v/>
      </c>
      <c r="E78" s="49">
        <f>IFERROR(IF($A78="","",INDEX('Saldo Vacaciones'!$F$5:$F$34,MATCH($A78,'Saldo Vacaciones'!$A$5:$A$34,0))),"")</f>
        <v/>
      </c>
      <c r="F78" s="49">
        <f>IFERROR(IF($A78="","",INDEX('Saldo Vacaciones'!$H$5:$H$34,MATCH($A78,'Saldo Vacaciones'!$A$5:$A$34,0))),"")</f>
        <v/>
      </c>
      <c r="G78" s="33" t="n"/>
      <c r="H78">
        <f>IF($A78="","",IF(COUNTIF('Calendario Anual'!$A$6:$A$35,$A78&amp;"")=0,"⚠ ese nombre no está en el calendario",""))</f>
        <v/>
      </c>
    </row>
    <row r="79">
      <c r="A79" s="33" t="n"/>
      <c r="B79" s="48" t="n"/>
      <c r="C79" s="48" t="n"/>
      <c r="D79" s="35">
        <f>IF(OR($B79="",$C79=""),"",IF($C79&lt;$B79,"⚠ fechas invertidas",$C79-$B79+1))</f>
        <v/>
      </c>
      <c r="E79" s="49">
        <f>IFERROR(IF($A79="","",INDEX('Saldo Vacaciones'!$F$5:$F$34,MATCH($A79,'Saldo Vacaciones'!$A$5:$A$34,0))),"")</f>
        <v/>
      </c>
      <c r="F79" s="49">
        <f>IFERROR(IF($A79="","",INDEX('Saldo Vacaciones'!$H$5:$H$34,MATCH($A79,'Saldo Vacaciones'!$A$5:$A$34,0))),"")</f>
        <v/>
      </c>
      <c r="G79" s="33" t="n"/>
      <c r="H79">
        <f>IF($A79="","",IF(COUNTIF('Calendario Anual'!$A$6:$A$35,$A79&amp;"")=0,"⚠ ese nombre no está en el calendario",""))</f>
        <v/>
      </c>
    </row>
    <row r="80">
      <c r="A80" s="33" t="n"/>
      <c r="B80" s="48" t="n"/>
      <c r="C80" s="48" t="n"/>
      <c r="D80" s="35">
        <f>IF(OR($B80="",$C80=""),"",IF($C80&lt;$B80,"⚠ fechas invertidas",$C80-$B80+1))</f>
        <v/>
      </c>
      <c r="E80" s="49">
        <f>IFERROR(IF($A80="","",INDEX('Saldo Vacaciones'!$F$5:$F$34,MATCH($A80,'Saldo Vacaciones'!$A$5:$A$34,0))),"")</f>
        <v/>
      </c>
      <c r="F80" s="49">
        <f>IFERROR(IF($A80="","",INDEX('Saldo Vacaciones'!$H$5:$H$34,MATCH($A80,'Saldo Vacaciones'!$A$5:$A$34,0))),"")</f>
        <v/>
      </c>
      <c r="G80" s="33" t="n"/>
      <c r="H80">
        <f>IF($A80="","",IF(COUNTIF('Calendario Anual'!$A$6:$A$35,$A80&amp;"")=0,"⚠ ese nombre no está en el calendario",""))</f>
        <v/>
      </c>
    </row>
    <row r="81">
      <c r="A81" s="33" t="n"/>
      <c r="B81" s="48" t="n"/>
      <c r="C81" s="48" t="n"/>
      <c r="D81" s="35">
        <f>IF(OR($B81="",$C81=""),"",IF($C81&lt;$B81,"⚠ fechas invertidas",$C81-$B81+1))</f>
        <v/>
      </c>
      <c r="E81" s="49">
        <f>IFERROR(IF($A81="","",INDEX('Saldo Vacaciones'!$F$5:$F$34,MATCH($A81,'Saldo Vacaciones'!$A$5:$A$34,0))),"")</f>
        <v/>
      </c>
      <c r="F81" s="49">
        <f>IFERROR(IF($A81="","",INDEX('Saldo Vacaciones'!$H$5:$H$34,MATCH($A81,'Saldo Vacaciones'!$A$5:$A$34,0))),"")</f>
        <v/>
      </c>
      <c r="G81" s="33" t="n"/>
      <c r="H81">
        <f>IF($A81="","",IF(COUNTIF('Calendario Anual'!$A$6:$A$35,$A81&amp;"")=0,"⚠ ese nombre no está en el calendario",""))</f>
        <v/>
      </c>
    </row>
    <row r="82">
      <c r="A82" s="33" t="n"/>
      <c r="B82" s="48" t="n"/>
      <c r="C82" s="48" t="n"/>
      <c r="D82" s="35">
        <f>IF(OR($B82="",$C82=""),"",IF($C82&lt;$B82,"⚠ fechas invertidas",$C82-$B82+1))</f>
        <v/>
      </c>
      <c r="E82" s="49">
        <f>IFERROR(IF($A82="","",INDEX('Saldo Vacaciones'!$F$5:$F$34,MATCH($A82,'Saldo Vacaciones'!$A$5:$A$34,0))),"")</f>
        <v/>
      </c>
      <c r="F82" s="49">
        <f>IFERROR(IF($A82="","",INDEX('Saldo Vacaciones'!$H$5:$H$34,MATCH($A82,'Saldo Vacaciones'!$A$5:$A$34,0))),"")</f>
        <v/>
      </c>
      <c r="G82" s="33" t="n"/>
      <c r="H82">
        <f>IF($A82="","",IF(COUNTIF('Calendario Anual'!$A$6:$A$35,$A82&amp;"")=0,"⚠ ese nombre no está en el calendario",""))</f>
        <v/>
      </c>
    </row>
    <row r="83">
      <c r="A83" s="33" t="n"/>
      <c r="B83" s="48" t="n"/>
      <c r="C83" s="48" t="n"/>
      <c r="D83" s="35">
        <f>IF(OR($B83="",$C83=""),"",IF($C83&lt;$B83,"⚠ fechas invertidas",$C83-$B83+1))</f>
        <v/>
      </c>
      <c r="E83" s="49">
        <f>IFERROR(IF($A83="","",INDEX('Saldo Vacaciones'!$F$5:$F$34,MATCH($A83,'Saldo Vacaciones'!$A$5:$A$34,0))),"")</f>
        <v/>
      </c>
      <c r="F83" s="49">
        <f>IFERROR(IF($A83="","",INDEX('Saldo Vacaciones'!$H$5:$H$34,MATCH($A83,'Saldo Vacaciones'!$A$5:$A$34,0))),"")</f>
        <v/>
      </c>
      <c r="G83" s="33" t="n"/>
      <c r="H83">
        <f>IF($A83="","",IF(COUNTIF('Calendario Anual'!$A$6:$A$35,$A83&amp;"")=0,"⚠ ese nombre no está en el calendario",""))</f>
        <v/>
      </c>
    </row>
    <row r="84">
      <c r="A84" s="33" t="n"/>
      <c r="B84" s="48" t="n"/>
      <c r="C84" s="48" t="n"/>
      <c r="D84" s="35">
        <f>IF(OR($B84="",$C84=""),"",IF($C84&lt;$B84,"⚠ fechas invertidas",$C84-$B84+1))</f>
        <v/>
      </c>
      <c r="E84" s="49">
        <f>IFERROR(IF($A84="","",INDEX('Saldo Vacaciones'!$F$5:$F$34,MATCH($A84,'Saldo Vacaciones'!$A$5:$A$34,0))),"")</f>
        <v/>
      </c>
      <c r="F84" s="49">
        <f>IFERROR(IF($A84="","",INDEX('Saldo Vacaciones'!$H$5:$H$34,MATCH($A84,'Saldo Vacaciones'!$A$5:$A$34,0))),"")</f>
        <v/>
      </c>
      <c r="G84" s="33" t="n"/>
      <c r="H84">
        <f>IF($A84="","",IF(COUNTIF('Calendario Anual'!$A$6:$A$35,$A84&amp;"")=0,"⚠ ese nombre no está en el calendario",""))</f>
        <v/>
      </c>
    </row>
    <row r="85">
      <c r="A85" s="33" t="n"/>
      <c r="B85" s="48" t="n"/>
      <c r="C85" s="48" t="n"/>
      <c r="D85" s="35">
        <f>IF(OR($B85="",$C85=""),"",IF($C85&lt;$B85,"⚠ fechas invertidas",$C85-$B85+1))</f>
        <v/>
      </c>
      <c r="E85" s="49">
        <f>IFERROR(IF($A85="","",INDEX('Saldo Vacaciones'!$F$5:$F$34,MATCH($A85,'Saldo Vacaciones'!$A$5:$A$34,0))),"")</f>
        <v/>
      </c>
      <c r="F85" s="49">
        <f>IFERROR(IF($A85="","",INDEX('Saldo Vacaciones'!$H$5:$H$34,MATCH($A85,'Saldo Vacaciones'!$A$5:$A$34,0))),"")</f>
        <v/>
      </c>
      <c r="G85" s="33" t="n"/>
      <c r="H85">
        <f>IF($A85="","",IF(COUNTIF('Calendario Anual'!$A$6:$A$35,$A85&amp;"")=0,"⚠ ese nombre no está en el calendario",""))</f>
        <v/>
      </c>
    </row>
    <row r="86">
      <c r="A86" s="33" t="n"/>
      <c r="B86" s="48" t="n"/>
      <c r="C86" s="48" t="n"/>
      <c r="D86" s="35">
        <f>IF(OR($B86="",$C86=""),"",IF($C86&lt;$B86,"⚠ fechas invertidas",$C86-$B86+1))</f>
        <v/>
      </c>
      <c r="E86" s="49">
        <f>IFERROR(IF($A86="","",INDEX('Saldo Vacaciones'!$F$5:$F$34,MATCH($A86,'Saldo Vacaciones'!$A$5:$A$34,0))),"")</f>
        <v/>
      </c>
      <c r="F86" s="49">
        <f>IFERROR(IF($A86="","",INDEX('Saldo Vacaciones'!$H$5:$H$34,MATCH($A86,'Saldo Vacaciones'!$A$5:$A$34,0))),"")</f>
        <v/>
      </c>
      <c r="G86" s="33" t="n"/>
      <c r="H86">
        <f>IF($A86="","",IF(COUNTIF('Calendario Anual'!$A$6:$A$35,$A86&amp;"")=0,"⚠ ese nombre no está en el calendario",""))</f>
        <v/>
      </c>
    </row>
    <row r="87">
      <c r="A87" s="33" t="n"/>
      <c r="B87" s="48" t="n"/>
      <c r="C87" s="48" t="n"/>
      <c r="D87" s="35">
        <f>IF(OR($B87="",$C87=""),"",IF($C87&lt;$B87,"⚠ fechas invertidas",$C87-$B87+1))</f>
        <v/>
      </c>
      <c r="E87" s="49">
        <f>IFERROR(IF($A87="","",INDEX('Saldo Vacaciones'!$F$5:$F$34,MATCH($A87,'Saldo Vacaciones'!$A$5:$A$34,0))),"")</f>
        <v/>
      </c>
      <c r="F87" s="49">
        <f>IFERROR(IF($A87="","",INDEX('Saldo Vacaciones'!$H$5:$H$34,MATCH($A87,'Saldo Vacaciones'!$A$5:$A$34,0))),"")</f>
        <v/>
      </c>
      <c r="G87" s="33" t="n"/>
      <c r="H87">
        <f>IF($A87="","",IF(COUNTIF('Calendario Anual'!$A$6:$A$35,$A87&amp;"")=0,"⚠ ese nombre no está en el calendario",""))</f>
        <v/>
      </c>
    </row>
    <row r="88">
      <c r="A88" s="33" t="n"/>
      <c r="B88" s="48" t="n"/>
      <c r="C88" s="48" t="n"/>
      <c r="D88" s="35">
        <f>IF(OR($B88="",$C88=""),"",IF($C88&lt;$B88,"⚠ fechas invertidas",$C88-$B88+1))</f>
        <v/>
      </c>
      <c r="E88" s="49">
        <f>IFERROR(IF($A88="","",INDEX('Saldo Vacaciones'!$F$5:$F$34,MATCH($A88,'Saldo Vacaciones'!$A$5:$A$34,0))),"")</f>
        <v/>
      </c>
      <c r="F88" s="49">
        <f>IFERROR(IF($A88="","",INDEX('Saldo Vacaciones'!$H$5:$H$34,MATCH($A88,'Saldo Vacaciones'!$A$5:$A$34,0))),"")</f>
        <v/>
      </c>
      <c r="G88" s="33" t="n"/>
      <c r="H88">
        <f>IF($A88="","",IF(COUNTIF('Calendario Anual'!$A$6:$A$35,$A88&amp;"")=0,"⚠ ese nombre no está en el calendario",""))</f>
        <v/>
      </c>
    </row>
    <row r="89">
      <c r="A89" s="33" t="n"/>
      <c r="B89" s="48" t="n"/>
      <c r="C89" s="48" t="n"/>
      <c r="D89" s="35">
        <f>IF(OR($B89="",$C89=""),"",IF($C89&lt;$B89,"⚠ fechas invertidas",$C89-$B89+1))</f>
        <v/>
      </c>
      <c r="E89" s="49">
        <f>IFERROR(IF($A89="","",INDEX('Saldo Vacaciones'!$F$5:$F$34,MATCH($A89,'Saldo Vacaciones'!$A$5:$A$34,0))),"")</f>
        <v/>
      </c>
      <c r="F89" s="49">
        <f>IFERROR(IF($A89="","",INDEX('Saldo Vacaciones'!$H$5:$H$34,MATCH($A89,'Saldo Vacaciones'!$A$5:$A$34,0))),"")</f>
        <v/>
      </c>
      <c r="G89" s="33" t="n"/>
      <c r="H89">
        <f>IF($A89="","",IF(COUNTIF('Calendario Anual'!$A$6:$A$35,$A89&amp;"")=0,"⚠ ese nombre no está en el calendario",""))</f>
        <v/>
      </c>
    </row>
    <row r="90">
      <c r="A90" s="33" t="n"/>
      <c r="B90" s="48" t="n"/>
      <c r="C90" s="48" t="n"/>
      <c r="D90" s="35">
        <f>IF(OR($B90="",$C90=""),"",IF($C90&lt;$B90,"⚠ fechas invertidas",$C90-$B90+1))</f>
        <v/>
      </c>
      <c r="E90" s="49">
        <f>IFERROR(IF($A90="","",INDEX('Saldo Vacaciones'!$F$5:$F$34,MATCH($A90,'Saldo Vacaciones'!$A$5:$A$34,0))),"")</f>
        <v/>
      </c>
      <c r="F90" s="49">
        <f>IFERROR(IF($A90="","",INDEX('Saldo Vacaciones'!$H$5:$H$34,MATCH($A90,'Saldo Vacaciones'!$A$5:$A$34,0))),"")</f>
        <v/>
      </c>
      <c r="G90" s="33" t="n"/>
      <c r="H90">
        <f>IF($A90="","",IF(COUNTIF('Calendario Anual'!$A$6:$A$35,$A90&amp;"")=0,"⚠ ese nombre no está en el calendario",""))</f>
        <v/>
      </c>
    </row>
    <row r="91">
      <c r="A91" s="33" t="n"/>
      <c r="B91" s="48" t="n"/>
      <c r="C91" s="48" t="n"/>
      <c r="D91" s="35">
        <f>IF(OR($B91="",$C91=""),"",IF($C91&lt;$B91,"⚠ fechas invertidas",$C91-$B91+1))</f>
        <v/>
      </c>
      <c r="E91" s="49">
        <f>IFERROR(IF($A91="","",INDEX('Saldo Vacaciones'!$F$5:$F$34,MATCH($A91,'Saldo Vacaciones'!$A$5:$A$34,0))),"")</f>
        <v/>
      </c>
      <c r="F91" s="49">
        <f>IFERROR(IF($A91="","",INDEX('Saldo Vacaciones'!$H$5:$H$34,MATCH($A91,'Saldo Vacaciones'!$A$5:$A$34,0))),"")</f>
        <v/>
      </c>
      <c r="G91" s="33" t="n"/>
      <c r="H91">
        <f>IF($A91="","",IF(COUNTIF('Calendario Anual'!$A$6:$A$35,$A91&amp;"")=0,"⚠ ese nombre no está en el calendario",""))</f>
        <v/>
      </c>
    </row>
    <row r="92">
      <c r="A92" s="33" t="n"/>
      <c r="B92" s="48" t="n"/>
      <c r="C92" s="48" t="n"/>
      <c r="D92" s="35">
        <f>IF(OR($B92="",$C92=""),"",IF($C92&lt;$B92,"⚠ fechas invertidas",$C92-$B92+1))</f>
        <v/>
      </c>
      <c r="E92" s="49">
        <f>IFERROR(IF($A92="","",INDEX('Saldo Vacaciones'!$F$5:$F$34,MATCH($A92,'Saldo Vacaciones'!$A$5:$A$34,0))),"")</f>
        <v/>
      </c>
      <c r="F92" s="49">
        <f>IFERROR(IF($A92="","",INDEX('Saldo Vacaciones'!$H$5:$H$34,MATCH($A92,'Saldo Vacaciones'!$A$5:$A$34,0))),"")</f>
        <v/>
      </c>
      <c r="G92" s="33" t="n"/>
      <c r="H92">
        <f>IF($A92="","",IF(COUNTIF('Calendario Anual'!$A$6:$A$35,$A92&amp;"")=0,"⚠ ese nombre no está en el calendario",""))</f>
        <v/>
      </c>
    </row>
    <row r="93">
      <c r="A93" s="33" t="n"/>
      <c r="B93" s="48" t="n"/>
      <c r="C93" s="48" t="n"/>
      <c r="D93" s="35">
        <f>IF(OR($B93="",$C93=""),"",IF($C93&lt;$B93,"⚠ fechas invertidas",$C93-$B93+1))</f>
        <v/>
      </c>
      <c r="E93" s="49">
        <f>IFERROR(IF($A93="","",INDEX('Saldo Vacaciones'!$F$5:$F$34,MATCH($A93,'Saldo Vacaciones'!$A$5:$A$34,0))),"")</f>
        <v/>
      </c>
      <c r="F93" s="49">
        <f>IFERROR(IF($A93="","",INDEX('Saldo Vacaciones'!$H$5:$H$34,MATCH($A93,'Saldo Vacaciones'!$A$5:$A$34,0))),"")</f>
        <v/>
      </c>
      <c r="G93" s="33" t="n"/>
      <c r="H93">
        <f>IF($A93="","",IF(COUNTIF('Calendario Anual'!$A$6:$A$35,$A93&amp;"")=0,"⚠ ese nombre no está en el calendario",""))</f>
        <v/>
      </c>
    </row>
    <row r="94">
      <c r="A94" s="33" t="n"/>
      <c r="B94" s="48" t="n"/>
      <c r="C94" s="48" t="n"/>
      <c r="D94" s="35">
        <f>IF(OR($B94="",$C94=""),"",IF($C94&lt;$B94,"⚠ fechas invertidas",$C94-$B94+1))</f>
        <v/>
      </c>
      <c r="E94" s="49">
        <f>IFERROR(IF($A94="","",INDEX('Saldo Vacaciones'!$F$5:$F$34,MATCH($A94,'Saldo Vacaciones'!$A$5:$A$34,0))),"")</f>
        <v/>
      </c>
      <c r="F94" s="49">
        <f>IFERROR(IF($A94="","",INDEX('Saldo Vacaciones'!$H$5:$H$34,MATCH($A94,'Saldo Vacaciones'!$A$5:$A$34,0))),"")</f>
        <v/>
      </c>
      <c r="G94" s="33" t="n"/>
      <c r="H94">
        <f>IF($A94="","",IF(COUNTIF('Calendario Anual'!$A$6:$A$35,$A94&amp;"")=0,"⚠ ese nombre no está en el calendario",""))</f>
        <v/>
      </c>
    </row>
    <row r="95">
      <c r="A95" s="33" t="n"/>
      <c r="B95" s="48" t="n"/>
      <c r="C95" s="48" t="n"/>
      <c r="D95" s="35">
        <f>IF(OR($B95="",$C95=""),"",IF($C95&lt;$B95,"⚠ fechas invertidas",$C95-$B95+1))</f>
        <v/>
      </c>
      <c r="E95" s="49">
        <f>IFERROR(IF($A95="","",INDEX('Saldo Vacaciones'!$F$5:$F$34,MATCH($A95,'Saldo Vacaciones'!$A$5:$A$34,0))),"")</f>
        <v/>
      </c>
      <c r="F95" s="49">
        <f>IFERROR(IF($A95="","",INDEX('Saldo Vacaciones'!$H$5:$H$34,MATCH($A95,'Saldo Vacaciones'!$A$5:$A$34,0))),"")</f>
        <v/>
      </c>
      <c r="G95" s="33" t="n"/>
      <c r="H95">
        <f>IF($A95="","",IF(COUNTIF('Calendario Anual'!$A$6:$A$35,$A95&amp;"")=0,"⚠ ese nombre no está en el calendario",""))</f>
        <v/>
      </c>
    </row>
    <row r="96">
      <c r="A96" s="33" t="n"/>
      <c r="B96" s="48" t="n"/>
      <c r="C96" s="48" t="n"/>
      <c r="D96" s="35">
        <f>IF(OR($B96="",$C96=""),"",IF($C96&lt;$B96,"⚠ fechas invertidas",$C96-$B96+1))</f>
        <v/>
      </c>
      <c r="E96" s="49">
        <f>IFERROR(IF($A96="","",INDEX('Saldo Vacaciones'!$F$5:$F$34,MATCH($A96,'Saldo Vacaciones'!$A$5:$A$34,0))),"")</f>
        <v/>
      </c>
      <c r="F96" s="49">
        <f>IFERROR(IF($A96="","",INDEX('Saldo Vacaciones'!$H$5:$H$34,MATCH($A96,'Saldo Vacaciones'!$A$5:$A$34,0))),"")</f>
        <v/>
      </c>
      <c r="G96" s="33" t="n"/>
      <c r="H96">
        <f>IF($A96="","",IF(COUNTIF('Calendario Anual'!$A$6:$A$35,$A96&amp;"")=0,"⚠ ese nombre no está en el calendario",""))</f>
        <v/>
      </c>
    </row>
    <row r="97">
      <c r="A97" s="33" t="n"/>
      <c r="B97" s="48" t="n"/>
      <c r="C97" s="48" t="n"/>
      <c r="D97" s="35">
        <f>IF(OR($B97="",$C97=""),"",IF($C97&lt;$B97,"⚠ fechas invertidas",$C97-$B97+1))</f>
        <v/>
      </c>
      <c r="E97" s="49">
        <f>IFERROR(IF($A97="","",INDEX('Saldo Vacaciones'!$F$5:$F$34,MATCH($A97,'Saldo Vacaciones'!$A$5:$A$34,0))),"")</f>
        <v/>
      </c>
      <c r="F97" s="49">
        <f>IFERROR(IF($A97="","",INDEX('Saldo Vacaciones'!$H$5:$H$34,MATCH($A97,'Saldo Vacaciones'!$A$5:$A$34,0))),"")</f>
        <v/>
      </c>
      <c r="G97" s="33" t="n"/>
      <c r="H97">
        <f>IF($A97="","",IF(COUNTIF('Calendario Anual'!$A$6:$A$35,$A97&amp;"")=0,"⚠ ese nombre no está en el calendario",""))</f>
        <v/>
      </c>
    </row>
    <row r="98">
      <c r="A98" s="33" t="n"/>
      <c r="B98" s="48" t="n"/>
      <c r="C98" s="48" t="n"/>
      <c r="D98" s="35">
        <f>IF(OR($B98="",$C98=""),"",IF($C98&lt;$B98,"⚠ fechas invertidas",$C98-$B98+1))</f>
        <v/>
      </c>
      <c r="E98" s="49">
        <f>IFERROR(IF($A98="","",INDEX('Saldo Vacaciones'!$F$5:$F$34,MATCH($A98,'Saldo Vacaciones'!$A$5:$A$34,0))),"")</f>
        <v/>
      </c>
      <c r="F98" s="49">
        <f>IFERROR(IF($A98="","",INDEX('Saldo Vacaciones'!$H$5:$H$34,MATCH($A98,'Saldo Vacaciones'!$A$5:$A$34,0))),"")</f>
        <v/>
      </c>
      <c r="G98" s="33" t="n"/>
      <c r="H98">
        <f>IF($A98="","",IF(COUNTIF('Calendario Anual'!$A$6:$A$35,$A98&amp;"")=0,"⚠ ese nombre no está en el calendario",""))</f>
        <v/>
      </c>
    </row>
    <row r="99">
      <c r="A99" s="33" t="n"/>
      <c r="B99" s="48" t="n"/>
      <c r="C99" s="48" t="n"/>
      <c r="D99" s="35">
        <f>IF(OR($B99="",$C99=""),"",IF($C99&lt;$B99,"⚠ fechas invertidas",$C99-$B99+1))</f>
        <v/>
      </c>
      <c r="E99" s="49">
        <f>IFERROR(IF($A99="","",INDEX('Saldo Vacaciones'!$F$5:$F$34,MATCH($A99,'Saldo Vacaciones'!$A$5:$A$34,0))),"")</f>
        <v/>
      </c>
      <c r="F99" s="49">
        <f>IFERROR(IF($A99="","",INDEX('Saldo Vacaciones'!$H$5:$H$34,MATCH($A99,'Saldo Vacaciones'!$A$5:$A$34,0))),"")</f>
        <v/>
      </c>
      <c r="G99" s="33" t="n"/>
      <c r="H99">
        <f>IF($A99="","",IF(COUNTIF('Calendario Anual'!$A$6:$A$35,$A99&amp;"")=0,"⚠ ese nombre no está en el calendario",""))</f>
        <v/>
      </c>
    </row>
    <row r="100">
      <c r="A100" s="33" t="n"/>
      <c r="B100" s="48" t="n"/>
      <c r="C100" s="48" t="n"/>
      <c r="D100" s="35">
        <f>IF(OR($B100="",$C100=""),"",IF($C100&lt;$B100,"⚠ fechas invertidas",$C100-$B100+1))</f>
        <v/>
      </c>
      <c r="E100" s="49">
        <f>IFERROR(IF($A100="","",INDEX('Saldo Vacaciones'!$F$5:$F$34,MATCH($A100,'Saldo Vacaciones'!$A$5:$A$34,0))),"")</f>
        <v/>
      </c>
      <c r="F100" s="49">
        <f>IFERROR(IF($A100="","",INDEX('Saldo Vacaciones'!$H$5:$H$34,MATCH($A100,'Saldo Vacaciones'!$A$5:$A$34,0))),"")</f>
        <v/>
      </c>
      <c r="G100" s="33" t="n"/>
      <c r="H100">
        <f>IF($A100="","",IF(COUNTIF('Calendario Anual'!$A$6:$A$35,$A100&amp;"")=0,"⚠ ese nombre no está en el calendario",""))</f>
        <v/>
      </c>
    </row>
    <row r="101">
      <c r="A101" s="33" t="n"/>
      <c r="B101" s="48" t="n"/>
      <c r="C101" s="48" t="n"/>
      <c r="D101" s="35">
        <f>IF(OR($B101="",$C101=""),"",IF($C101&lt;$B101,"⚠ fechas invertidas",$C101-$B101+1))</f>
        <v/>
      </c>
      <c r="E101" s="49">
        <f>IFERROR(IF($A101="","",INDEX('Saldo Vacaciones'!$F$5:$F$34,MATCH($A101,'Saldo Vacaciones'!$A$5:$A$34,0))),"")</f>
        <v/>
      </c>
      <c r="F101" s="49">
        <f>IFERROR(IF($A101="","",INDEX('Saldo Vacaciones'!$H$5:$H$34,MATCH($A101,'Saldo Vacaciones'!$A$5:$A$34,0))),"")</f>
        <v/>
      </c>
      <c r="G101" s="33" t="n"/>
      <c r="H101">
        <f>IF($A101="","",IF(COUNTIF('Calendario Anual'!$A$6:$A$35,$A101&amp;"")=0,"⚠ ese nombre no está en el calendario",""))</f>
        <v/>
      </c>
    </row>
    <row r="102">
      <c r="A102" s="33" t="n"/>
      <c r="B102" s="48" t="n"/>
      <c r="C102" s="48" t="n"/>
      <c r="D102" s="35">
        <f>IF(OR($B102="",$C102=""),"",IF($C102&lt;$B102,"⚠ fechas invertidas",$C102-$B102+1))</f>
        <v/>
      </c>
      <c r="E102" s="49">
        <f>IFERROR(IF($A102="","",INDEX('Saldo Vacaciones'!$F$5:$F$34,MATCH($A102,'Saldo Vacaciones'!$A$5:$A$34,0))),"")</f>
        <v/>
      </c>
      <c r="F102" s="49">
        <f>IFERROR(IF($A102="","",INDEX('Saldo Vacaciones'!$H$5:$H$34,MATCH($A102,'Saldo Vacaciones'!$A$5:$A$34,0))),"")</f>
        <v/>
      </c>
      <c r="G102" s="33" t="n"/>
      <c r="H102">
        <f>IF($A102="","",IF(COUNTIF('Calendario Anual'!$A$6:$A$35,$A102&amp;"")=0,"⚠ ese nombre no está en el calendario",""))</f>
        <v/>
      </c>
    </row>
    <row r="103">
      <c r="A103" s="33" t="n"/>
      <c r="B103" s="48" t="n"/>
      <c r="C103" s="48" t="n"/>
      <c r="D103" s="35">
        <f>IF(OR($B103="",$C103=""),"",IF($C103&lt;$B103,"⚠ fechas invertidas",$C103-$B103+1))</f>
        <v/>
      </c>
      <c r="E103" s="49">
        <f>IFERROR(IF($A103="","",INDEX('Saldo Vacaciones'!$F$5:$F$34,MATCH($A103,'Saldo Vacaciones'!$A$5:$A$34,0))),"")</f>
        <v/>
      </c>
      <c r="F103" s="49">
        <f>IFERROR(IF($A103="","",INDEX('Saldo Vacaciones'!$H$5:$H$34,MATCH($A103,'Saldo Vacaciones'!$A$5:$A$34,0))),"")</f>
        <v/>
      </c>
      <c r="G103" s="33" t="n"/>
      <c r="H103">
        <f>IF($A103="","",IF(COUNTIF('Calendario Anual'!$A$6:$A$35,$A103&amp;"")=0,"⚠ ese nombre no está en el calendario",""))</f>
        <v/>
      </c>
    </row>
    <row r="104">
      <c r="A104" s="33" t="n"/>
      <c r="B104" s="48" t="n"/>
      <c r="C104" s="48" t="n"/>
      <c r="D104" s="35">
        <f>IF(OR($B104="",$C104=""),"",IF($C104&lt;$B104,"⚠ fechas invertidas",$C104-$B104+1))</f>
        <v/>
      </c>
      <c r="E104" s="49">
        <f>IFERROR(IF($A104="","",INDEX('Saldo Vacaciones'!$F$5:$F$34,MATCH($A104,'Saldo Vacaciones'!$A$5:$A$34,0))),"")</f>
        <v/>
      </c>
      <c r="F104" s="49">
        <f>IFERROR(IF($A104="","",INDEX('Saldo Vacaciones'!$H$5:$H$34,MATCH($A104,'Saldo Vacaciones'!$A$5:$A$34,0))),"")</f>
        <v/>
      </c>
      <c r="G104" s="33" t="n"/>
      <c r="H104">
        <f>IF($A104="","",IF(COUNTIF('Calendario Anual'!$A$6:$A$35,$A104&amp;"")=0,"⚠ ese nombre no está en el calendario",""))</f>
        <v/>
      </c>
    </row>
    <row r="105">
      <c r="A105" s="33" t="n"/>
      <c r="B105" s="48" t="n"/>
      <c r="C105" s="48" t="n"/>
      <c r="D105" s="35">
        <f>IF(OR($B105="",$C105=""),"",IF($C105&lt;$B105,"⚠ fechas invertidas",$C105-$B105+1))</f>
        <v/>
      </c>
      <c r="E105" s="49">
        <f>IFERROR(IF($A105="","",INDEX('Saldo Vacaciones'!$F$5:$F$34,MATCH($A105,'Saldo Vacaciones'!$A$5:$A$34,0))),"")</f>
        <v/>
      </c>
      <c r="F105" s="49">
        <f>IFERROR(IF($A105="","",INDEX('Saldo Vacaciones'!$H$5:$H$34,MATCH($A105,'Saldo Vacaciones'!$A$5:$A$34,0))),"")</f>
        <v/>
      </c>
      <c r="G105" s="33" t="n"/>
      <c r="H105">
        <f>IF($A105="","",IF(COUNTIF('Calendario Anual'!$A$6:$A$35,$A105&amp;"")=0,"⚠ ese nombre no está en el calendario",""))</f>
        <v/>
      </c>
    </row>
    <row r="106">
      <c r="A106" s="33" t="n"/>
      <c r="B106" s="48" t="n"/>
      <c r="C106" s="48" t="n"/>
      <c r="D106" s="35">
        <f>IF(OR($B106="",$C106=""),"",IF($C106&lt;$B106,"⚠ fechas invertidas",$C106-$B106+1))</f>
        <v/>
      </c>
      <c r="E106" s="49">
        <f>IFERROR(IF($A106="","",INDEX('Saldo Vacaciones'!$F$5:$F$34,MATCH($A106,'Saldo Vacaciones'!$A$5:$A$34,0))),"")</f>
        <v/>
      </c>
      <c r="F106" s="49">
        <f>IFERROR(IF($A106="","",INDEX('Saldo Vacaciones'!$H$5:$H$34,MATCH($A106,'Saldo Vacaciones'!$A$5:$A$34,0))),"")</f>
        <v/>
      </c>
      <c r="G106" s="33" t="n"/>
      <c r="H106">
        <f>IF($A106="","",IF(COUNTIF('Calendario Anual'!$A$6:$A$35,$A106&amp;"")=0,"⚠ ese nombre no está en el calendario",""))</f>
        <v/>
      </c>
    </row>
    <row r="107">
      <c r="A107" s="33" t="n"/>
      <c r="B107" s="48" t="n"/>
      <c r="C107" s="48" t="n"/>
      <c r="D107" s="35">
        <f>IF(OR($B107="",$C107=""),"",IF($C107&lt;$B107,"⚠ fechas invertidas",$C107-$B107+1))</f>
        <v/>
      </c>
      <c r="E107" s="49">
        <f>IFERROR(IF($A107="","",INDEX('Saldo Vacaciones'!$F$5:$F$34,MATCH($A107,'Saldo Vacaciones'!$A$5:$A$34,0))),"")</f>
        <v/>
      </c>
      <c r="F107" s="49">
        <f>IFERROR(IF($A107="","",INDEX('Saldo Vacaciones'!$H$5:$H$34,MATCH($A107,'Saldo Vacaciones'!$A$5:$A$34,0))),"")</f>
        <v/>
      </c>
      <c r="G107" s="33" t="n"/>
      <c r="H107">
        <f>IF($A107="","",IF(COUNTIF('Calendario Anual'!$A$6:$A$35,$A107&amp;"")=0,"⚠ ese nombre no está en el calendario",""))</f>
        <v/>
      </c>
    </row>
    <row r="108">
      <c r="A108" s="33" t="n"/>
      <c r="B108" s="48" t="n"/>
      <c r="C108" s="48" t="n"/>
      <c r="D108" s="35">
        <f>IF(OR($B108="",$C108=""),"",IF($C108&lt;$B108,"⚠ fechas invertidas",$C108-$B108+1))</f>
        <v/>
      </c>
      <c r="E108" s="49">
        <f>IFERROR(IF($A108="","",INDEX('Saldo Vacaciones'!$F$5:$F$34,MATCH($A108,'Saldo Vacaciones'!$A$5:$A$34,0))),"")</f>
        <v/>
      </c>
      <c r="F108" s="49">
        <f>IFERROR(IF($A108="","",INDEX('Saldo Vacaciones'!$H$5:$H$34,MATCH($A108,'Saldo Vacaciones'!$A$5:$A$34,0))),"")</f>
        <v/>
      </c>
      <c r="G108" s="33" t="n"/>
      <c r="H108">
        <f>IF($A108="","",IF(COUNTIF('Calendario Anual'!$A$6:$A$35,$A108&amp;"")=0,"⚠ ese nombre no está en el calendario",""))</f>
        <v/>
      </c>
    </row>
    <row r="109">
      <c r="A109" s="33" t="n"/>
      <c r="B109" s="48" t="n"/>
      <c r="C109" s="48" t="n"/>
      <c r="D109" s="35">
        <f>IF(OR($B109="",$C109=""),"",IF($C109&lt;$B109,"⚠ fechas invertidas",$C109-$B109+1))</f>
        <v/>
      </c>
      <c r="E109" s="49">
        <f>IFERROR(IF($A109="","",INDEX('Saldo Vacaciones'!$F$5:$F$34,MATCH($A109,'Saldo Vacaciones'!$A$5:$A$34,0))),"")</f>
        <v/>
      </c>
      <c r="F109" s="49">
        <f>IFERROR(IF($A109="","",INDEX('Saldo Vacaciones'!$H$5:$H$34,MATCH($A109,'Saldo Vacaciones'!$A$5:$A$34,0))),"")</f>
        <v/>
      </c>
      <c r="G109" s="33" t="n"/>
      <c r="H109">
        <f>IF($A109="","",IF(COUNTIF('Calendario Anual'!$A$6:$A$35,$A109&amp;"")=0,"⚠ ese nombre no está en el calendario",""))</f>
        <v/>
      </c>
    </row>
    <row r="110">
      <c r="A110" s="33" t="n"/>
      <c r="B110" s="48" t="n"/>
      <c r="C110" s="48" t="n"/>
      <c r="D110" s="35">
        <f>IF(OR($B110="",$C110=""),"",IF($C110&lt;$B110,"⚠ fechas invertidas",$C110-$B110+1))</f>
        <v/>
      </c>
      <c r="E110" s="49">
        <f>IFERROR(IF($A110="","",INDEX('Saldo Vacaciones'!$F$5:$F$34,MATCH($A110,'Saldo Vacaciones'!$A$5:$A$34,0))),"")</f>
        <v/>
      </c>
      <c r="F110" s="49">
        <f>IFERROR(IF($A110="","",INDEX('Saldo Vacaciones'!$H$5:$H$34,MATCH($A110,'Saldo Vacaciones'!$A$5:$A$34,0))),"")</f>
        <v/>
      </c>
      <c r="G110" s="33" t="n"/>
      <c r="H110">
        <f>IF($A110="","",IF(COUNTIF('Calendario Anual'!$A$6:$A$35,$A110&amp;"")=0,"⚠ ese nombre no está en el calendario",""))</f>
        <v/>
      </c>
    </row>
    <row r="111">
      <c r="A111" s="33" t="n"/>
      <c r="B111" s="48" t="n"/>
      <c r="C111" s="48" t="n"/>
      <c r="D111" s="35">
        <f>IF(OR($B111="",$C111=""),"",IF($C111&lt;$B111,"⚠ fechas invertidas",$C111-$B111+1))</f>
        <v/>
      </c>
      <c r="E111" s="49">
        <f>IFERROR(IF($A111="","",INDEX('Saldo Vacaciones'!$F$5:$F$34,MATCH($A111,'Saldo Vacaciones'!$A$5:$A$34,0))),"")</f>
        <v/>
      </c>
      <c r="F111" s="49">
        <f>IFERROR(IF($A111="","",INDEX('Saldo Vacaciones'!$H$5:$H$34,MATCH($A111,'Saldo Vacaciones'!$A$5:$A$34,0))),"")</f>
        <v/>
      </c>
      <c r="G111" s="33" t="n"/>
      <c r="H111">
        <f>IF($A111="","",IF(COUNTIF('Calendario Anual'!$A$6:$A$35,$A111&amp;"")=0,"⚠ ese nombre no está en el calendario",""))</f>
        <v/>
      </c>
    </row>
    <row r="112">
      <c r="A112" s="33" t="n"/>
      <c r="B112" s="48" t="n"/>
      <c r="C112" s="48" t="n"/>
      <c r="D112" s="35">
        <f>IF(OR($B112="",$C112=""),"",IF($C112&lt;$B112,"⚠ fechas invertidas",$C112-$B112+1))</f>
        <v/>
      </c>
      <c r="E112" s="49">
        <f>IFERROR(IF($A112="","",INDEX('Saldo Vacaciones'!$F$5:$F$34,MATCH($A112,'Saldo Vacaciones'!$A$5:$A$34,0))),"")</f>
        <v/>
      </c>
      <c r="F112" s="49">
        <f>IFERROR(IF($A112="","",INDEX('Saldo Vacaciones'!$H$5:$H$34,MATCH($A112,'Saldo Vacaciones'!$A$5:$A$34,0))),"")</f>
        <v/>
      </c>
      <c r="G112" s="33" t="n"/>
      <c r="H112">
        <f>IF($A112="","",IF(COUNTIF('Calendario Anual'!$A$6:$A$35,$A112&amp;"")=0,"⚠ ese nombre no está en el calendario",""))</f>
        <v/>
      </c>
    </row>
    <row r="113">
      <c r="A113" s="33" t="n"/>
      <c r="B113" s="48" t="n"/>
      <c r="C113" s="48" t="n"/>
      <c r="D113" s="35">
        <f>IF(OR($B113="",$C113=""),"",IF($C113&lt;$B113,"⚠ fechas invertidas",$C113-$B113+1))</f>
        <v/>
      </c>
      <c r="E113" s="49">
        <f>IFERROR(IF($A113="","",INDEX('Saldo Vacaciones'!$F$5:$F$34,MATCH($A113,'Saldo Vacaciones'!$A$5:$A$34,0))),"")</f>
        <v/>
      </c>
      <c r="F113" s="49">
        <f>IFERROR(IF($A113="","",INDEX('Saldo Vacaciones'!$H$5:$H$34,MATCH($A113,'Saldo Vacaciones'!$A$5:$A$34,0))),"")</f>
        <v/>
      </c>
      <c r="G113" s="33" t="n"/>
      <c r="H113">
        <f>IF($A113="","",IF(COUNTIF('Calendario Anual'!$A$6:$A$35,$A113&amp;"")=0,"⚠ ese nombre no está en el calendario",""))</f>
        <v/>
      </c>
    </row>
    <row r="114">
      <c r="A114" s="33" t="n"/>
      <c r="B114" s="48" t="n"/>
      <c r="C114" s="48" t="n"/>
      <c r="D114" s="35">
        <f>IF(OR($B114="",$C114=""),"",IF($C114&lt;$B114,"⚠ fechas invertidas",$C114-$B114+1))</f>
        <v/>
      </c>
      <c r="E114" s="49">
        <f>IFERROR(IF($A114="","",INDEX('Saldo Vacaciones'!$F$5:$F$34,MATCH($A114,'Saldo Vacaciones'!$A$5:$A$34,0))),"")</f>
        <v/>
      </c>
      <c r="F114" s="49">
        <f>IFERROR(IF($A114="","",INDEX('Saldo Vacaciones'!$H$5:$H$34,MATCH($A114,'Saldo Vacaciones'!$A$5:$A$34,0))),"")</f>
        <v/>
      </c>
      <c r="G114" s="33" t="n"/>
      <c r="H114">
        <f>IF($A114="","",IF(COUNTIF('Calendario Anual'!$A$6:$A$35,$A114&amp;"")=0,"⚠ ese nombre no está en el calendario",""))</f>
        <v/>
      </c>
    </row>
    <row r="115">
      <c r="A115" s="33" t="n"/>
      <c r="B115" s="48" t="n"/>
      <c r="C115" s="48" t="n"/>
      <c r="D115" s="35">
        <f>IF(OR($B115="",$C115=""),"",IF($C115&lt;$B115,"⚠ fechas invertidas",$C115-$B115+1))</f>
        <v/>
      </c>
      <c r="E115" s="49">
        <f>IFERROR(IF($A115="","",INDEX('Saldo Vacaciones'!$F$5:$F$34,MATCH($A115,'Saldo Vacaciones'!$A$5:$A$34,0))),"")</f>
        <v/>
      </c>
      <c r="F115" s="49">
        <f>IFERROR(IF($A115="","",INDEX('Saldo Vacaciones'!$H$5:$H$34,MATCH($A115,'Saldo Vacaciones'!$A$5:$A$34,0))),"")</f>
        <v/>
      </c>
      <c r="G115" s="33" t="n"/>
      <c r="H115">
        <f>IF($A115="","",IF(COUNTIF('Calendario Anual'!$A$6:$A$35,$A115&amp;"")=0,"⚠ ese nombre no está en el calendario",""))</f>
        <v/>
      </c>
    </row>
    <row r="116">
      <c r="A116" s="33" t="n"/>
      <c r="B116" s="48" t="n"/>
      <c r="C116" s="48" t="n"/>
      <c r="D116" s="35">
        <f>IF(OR($B116="",$C116=""),"",IF($C116&lt;$B116,"⚠ fechas invertidas",$C116-$B116+1))</f>
        <v/>
      </c>
      <c r="E116" s="49">
        <f>IFERROR(IF($A116="","",INDEX('Saldo Vacaciones'!$F$5:$F$34,MATCH($A116,'Saldo Vacaciones'!$A$5:$A$34,0))),"")</f>
        <v/>
      </c>
      <c r="F116" s="49">
        <f>IFERROR(IF($A116="","",INDEX('Saldo Vacaciones'!$H$5:$H$34,MATCH($A116,'Saldo Vacaciones'!$A$5:$A$34,0))),"")</f>
        <v/>
      </c>
      <c r="G116" s="33" t="n"/>
      <c r="H116">
        <f>IF($A116="","",IF(COUNTIF('Calendario Anual'!$A$6:$A$35,$A116&amp;"")=0,"⚠ ese nombre no está en el calendario",""))</f>
        <v/>
      </c>
    </row>
    <row r="117">
      <c r="A117" s="33" t="n"/>
      <c r="B117" s="48" t="n"/>
      <c r="C117" s="48" t="n"/>
      <c r="D117" s="35">
        <f>IF(OR($B117="",$C117=""),"",IF($C117&lt;$B117,"⚠ fechas invertidas",$C117-$B117+1))</f>
        <v/>
      </c>
      <c r="E117" s="49">
        <f>IFERROR(IF($A117="","",INDEX('Saldo Vacaciones'!$F$5:$F$34,MATCH($A117,'Saldo Vacaciones'!$A$5:$A$34,0))),"")</f>
        <v/>
      </c>
      <c r="F117" s="49">
        <f>IFERROR(IF($A117="","",INDEX('Saldo Vacaciones'!$H$5:$H$34,MATCH($A117,'Saldo Vacaciones'!$A$5:$A$34,0))),"")</f>
        <v/>
      </c>
      <c r="G117" s="33" t="n"/>
      <c r="H117">
        <f>IF($A117="","",IF(COUNTIF('Calendario Anual'!$A$6:$A$35,$A117&amp;"")=0,"⚠ ese nombre no está en el calendario",""))</f>
        <v/>
      </c>
    </row>
    <row r="118">
      <c r="A118" s="33" t="n"/>
      <c r="B118" s="48" t="n"/>
      <c r="C118" s="48" t="n"/>
      <c r="D118" s="35">
        <f>IF(OR($B118="",$C118=""),"",IF($C118&lt;$B118,"⚠ fechas invertidas",$C118-$B118+1))</f>
        <v/>
      </c>
      <c r="E118" s="49">
        <f>IFERROR(IF($A118="","",INDEX('Saldo Vacaciones'!$F$5:$F$34,MATCH($A118,'Saldo Vacaciones'!$A$5:$A$34,0))),"")</f>
        <v/>
      </c>
      <c r="F118" s="49">
        <f>IFERROR(IF($A118="","",INDEX('Saldo Vacaciones'!$H$5:$H$34,MATCH($A118,'Saldo Vacaciones'!$A$5:$A$34,0))),"")</f>
        <v/>
      </c>
      <c r="G118" s="33" t="n"/>
      <c r="H118">
        <f>IF($A118="","",IF(COUNTIF('Calendario Anual'!$A$6:$A$35,$A118&amp;"")=0,"⚠ ese nombre no está en el calendario",""))</f>
        <v/>
      </c>
    </row>
    <row r="119">
      <c r="A119" s="33" t="n"/>
      <c r="B119" s="48" t="n"/>
      <c r="C119" s="48" t="n"/>
      <c r="D119" s="35">
        <f>IF(OR($B119="",$C119=""),"",IF($C119&lt;$B119,"⚠ fechas invertidas",$C119-$B119+1))</f>
        <v/>
      </c>
      <c r="E119" s="49">
        <f>IFERROR(IF($A119="","",INDEX('Saldo Vacaciones'!$F$5:$F$34,MATCH($A119,'Saldo Vacaciones'!$A$5:$A$34,0))),"")</f>
        <v/>
      </c>
      <c r="F119" s="49">
        <f>IFERROR(IF($A119="","",INDEX('Saldo Vacaciones'!$H$5:$H$34,MATCH($A119,'Saldo Vacaciones'!$A$5:$A$34,0))),"")</f>
        <v/>
      </c>
      <c r="G119" s="33" t="n"/>
      <c r="H119">
        <f>IF($A119="","",IF(COUNTIF('Calendario Anual'!$A$6:$A$35,$A119&amp;"")=0,"⚠ ese nombre no está en el calendario",""))</f>
        <v/>
      </c>
    </row>
    <row r="120">
      <c r="A120" s="33" t="n"/>
      <c r="B120" s="48" t="n"/>
      <c r="C120" s="48" t="n"/>
      <c r="D120" s="35">
        <f>IF(OR($B120="",$C120=""),"",IF($C120&lt;$B120,"⚠ fechas invertidas",$C120-$B120+1))</f>
        <v/>
      </c>
      <c r="E120" s="49">
        <f>IFERROR(IF($A120="","",INDEX('Saldo Vacaciones'!$F$5:$F$34,MATCH($A120,'Saldo Vacaciones'!$A$5:$A$34,0))),"")</f>
        <v/>
      </c>
      <c r="F120" s="49">
        <f>IFERROR(IF($A120="","",INDEX('Saldo Vacaciones'!$H$5:$H$34,MATCH($A120,'Saldo Vacaciones'!$A$5:$A$34,0))),"")</f>
        <v/>
      </c>
      <c r="G120" s="33" t="n"/>
      <c r="H120">
        <f>IF($A120="","",IF(COUNTIF('Calendario Anual'!$A$6:$A$35,$A120&amp;"")=0,"⚠ ese nombre no está en el calendario",""))</f>
        <v/>
      </c>
    </row>
    <row r="121">
      <c r="A121" s="33" t="n"/>
      <c r="B121" s="48" t="n"/>
      <c r="C121" s="48" t="n"/>
      <c r="D121" s="35">
        <f>IF(OR($B121="",$C121=""),"",IF($C121&lt;$B121,"⚠ fechas invertidas",$C121-$B121+1))</f>
        <v/>
      </c>
      <c r="E121" s="49">
        <f>IFERROR(IF($A121="","",INDEX('Saldo Vacaciones'!$F$5:$F$34,MATCH($A121,'Saldo Vacaciones'!$A$5:$A$34,0))),"")</f>
        <v/>
      </c>
      <c r="F121" s="49">
        <f>IFERROR(IF($A121="","",INDEX('Saldo Vacaciones'!$H$5:$H$34,MATCH($A121,'Saldo Vacaciones'!$A$5:$A$34,0))),"")</f>
        <v/>
      </c>
      <c r="G121" s="33" t="n"/>
      <c r="H121">
        <f>IF($A121="","",IF(COUNTIF('Calendario Anual'!$A$6:$A$35,$A121&amp;"")=0,"⚠ ese nombre no está en el calendario",""))</f>
        <v/>
      </c>
    </row>
    <row r="122">
      <c r="A122" s="33" t="n"/>
      <c r="B122" s="48" t="n"/>
      <c r="C122" s="48" t="n"/>
      <c r="D122" s="35">
        <f>IF(OR($B122="",$C122=""),"",IF($C122&lt;$B122,"⚠ fechas invertidas",$C122-$B122+1))</f>
        <v/>
      </c>
      <c r="E122" s="49">
        <f>IFERROR(IF($A122="","",INDEX('Saldo Vacaciones'!$F$5:$F$34,MATCH($A122,'Saldo Vacaciones'!$A$5:$A$34,0))),"")</f>
        <v/>
      </c>
      <c r="F122" s="49">
        <f>IFERROR(IF($A122="","",INDEX('Saldo Vacaciones'!$H$5:$H$34,MATCH($A122,'Saldo Vacaciones'!$A$5:$A$34,0))),"")</f>
        <v/>
      </c>
      <c r="G122" s="33" t="n"/>
      <c r="H122">
        <f>IF($A122="","",IF(COUNTIF('Calendario Anual'!$A$6:$A$35,$A122&amp;"")=0,"⚠ ese nombre no está en el calendario",""))</f>
        <v/>
      </c>
    </row>
    <row r="123">
      <c r="A123" s="33" t="n"/>
      <c r="B123" s="48" t="n"/>
      <c r="C123" s="48" t="n"/>
      <c r="D123" s="35">
        <f>IF(OR($B123="",$C123=""),"",IF($C123&lt;$B123,"⚠ fechas invertidas",$C123-$B123+1))</f>
        <v/>
      </c>
      <c r="E123" s="49">
        <f>IFERROR(IF($A123="","",INDEX('Saldo Vacaciones'!$F$5:$F$34,MATCH($A123,'Saldo Vacaciones'!$A$5:$A$34,0))),"")</f>
        <v/>
      </c>
      <c r="F123" s="49">
        <f>IFERROR(IF($A123="","",INDEX('Saldo Vacaciones'!$H$5:$H$34,MATCH($A123,'Saldo Vacaciones'!$A$5:$A$34,0))),"")</f>
        <v/>
      </c>
      <c r="G123" s="33" t="n"/>
      <c r="H123">
        <f>IF($A123="","",IF(COUNTIF('Calendario Anual'!$A$6:$A$35,$A123&amp;"")=0,"⚠ ese nombre no está en el calendario",""))</f>
        <v/>
      </c>
    </row>
    <row r="124">
      <c r="A124" s="33" t="n"/>
      <c r="B124" s="48" t="n"/>
      <c r="C124" s="48" t="n"/>
      <c r="D124" s="35">
        <f>IF(OR($B124="",$C124=""),"",IF($C124&lt;$B124,"⚠ fechas invertidas",$C124-$B124+1))</f>
        <v/>
      </c>
      <c r="E124" s="49">
        <f>IFERROR(IF($A124="","",INDEX('Saldo Vacaciones'!$F$5:$F$34,MATCH($A124,'Saldo Vacaciones'!$A$5:$A$34,0))),"")</f>
        <v/>
      </c>
      <c r="F124" s="49">
        <f>IFERROR(IF($A124="","",INDEX('Saldo Vacaciones'!$H$5:$H$34,MATCH($A124,'Saldo Vacaciones'!$A$5:$A$34,0))),"")</f>
        <v/>
      </c>
      <c r="G124" s="33" t="n"/>
      <c r="H124">
        <f>IF($A124="","",IF(COUNTIF('Calendario Anual'!$A$6:$A$35,$A124&amp;"")=0,"⚠ ese nombre no está en el calendario",""))</f>
        <v/>
      </c>
    </row>
    <row r="125">
      <c r="A125" s="33" t="n"/>
      <c r="B125" s="48" t="n"/>
      <c r="C125" s="48" t="n"/>
      <c r="D125" s="35">
        <f>IF(OR($B125="",$C125=""),"",IF($C125&lt;$B125,"⚠ fechas invertidas",$C125-$B125+1))</f>
        <v/>
      </c>
      <c r="E125" s="49">
        <f>IFERROR(IF($A125="","",INDEX('Saldo Vacaciones'!$F$5:$F$34,MATCH($A125,'Saldo Vacaciones'!$A$5:$A$34,0))),"")</f>
        <v/>
      </c>
      <c r="F125" s="49">
        <f>IFERROR(IF($A125="","",INDEX('Saldo Vacaciones'!$H$5:$H$34,MATCH($A125,'Saldo Vacaciones'!$A$5:$A$34,0))),"")</f>
        <v/>
      </c>
      <c r="G125" s="33" t="n"/>
      <c r="H125">
        <f>IF($A125="","",IF(COUNTIF('Calendario Anual'!$A$6:$A$35,$A125&amp;"")=0,"⚠ ese nombre no está en el calendario",""))</f>
        <v/>
      </c>
    </row>
    <row r="126">
      <c r="A126" s="33" t="n"/>
      <c r="B126" s="48" t="n"/>
      <c r="C126" s="48" t="n"/>
      <c r="D126" s="35">
        <f>IF(OR($B126="",$C126=""),"",IF($C126&lt;$B126,"⚠ fechas invertidas",$C126-$B126+1))</f>
        <v/>
      </c>
      <c r="E126" s="49">
        <f>IFERROR(IF($A126="","",INDEX('Saldo Vacaciones'!$F$5:$F$34,MATCH($A126,'Saldo Vacaciones'!$A$5:$A$34,0))),"")</f>
        <v/>
      </c>
      <c r="F126" s="49">
        <f>IFERROR(IF($A126="","",INDEX('Saldo Vacaciones'!$H$5:$H$34,MATCH($A126,'Saldo Vacaciones'!$A$5:$A$34,0))),"")</f>
        <v/>
      </c>
      <c r="G126" s="33" t="n"/>
      <c r="H126">
        <f>IF($A126="","",IF(COUNTIF('Calendario Anual'!$A$6:$A$35,$A126&amp;"")=0,"⚠ ese nombre no está en el calendario",""))</f>
        <v/>
      </c>
    </row>
    <row r="127">
      <c r="A127" s="33" t="n"/>
      <c r="B127" s="48" t="n"/>
      <c r="C127" s="48" t="n"/>
      <c r="D127" s="35">
        <f>IF(OR($B127="",$C127=""),"",IF($C127&lt;$B127,"⚠ fechas invertidas",$C127-$B127+1))</f>
        <v/>
      </c>
      <c r="E127" s="49">
        <f>IFERROR(IF($A127="","",INDEX('Saldo Vacaciones'!$F$5:$F$34,MATCH($A127,'Saldo Vacaciones'!$A$5:$A$34,0))),"")</f>
        <v/>
      </c>
      <c r="F127" s="49">
        <f>IFERROR(IF($A127="","",INDEX('Saldo Vacaciones'!$H$5:$H$34,MATCH($A127,'Saldo Vacaciones'!$A$5:$A$34,0))),"")</f>
        <v/>
      </c>
      <c r="G127" s="33" t="n"/>
      <c r="H127">
        <f>IF($A127="","",IF(COUNTIF('Calendario Anual'!$A$6:$A$35,$A127&amp;"")=0,"⚠ ese nombre no está en el calendario",""))</f>
        <v/>
      </c>
    </row>
    <row r="128">
      <c r="A128" s="33" t="n"/>
      <c r="B128" s="48" t="n"/>
      <c r="C128" s="48" t="n"/>
      <c r="D128" s="35">
        <f>IF(OR($B128="",$C128=""),"",IF($C128&lt;$B128,"⚠ fechas invertidas",$C128-$B128+1))</f>
        <v/>
      </c>
      <c r="E128" s="49">
        <f>IFERROR(IF($A128="","",INDEX('Saldo Vacaciones'!$F$5:$F$34,MATCH($A128,'Saldo Vacaciones'!$A$5:$A$34,0))),"")</f>
        <v/>
      </c>
      <c r="F128" s="49">
        <f>IFERROR(IF($A128="","",INDEX('Saldo Vacaciones'!$H$5:$H$34,MATCH($A128,'Saldo Vacaciones'!$A$5:$A$34,0))),"")</f>
        <v/>
      </c>
      <c r="G128" s="33" t="n"/>
      <c r="H128">
        <f>IF($A128="","",IF(COUNTIF('Calendario Anual'!$A$6:$A$35,$A128&amp;"")=0,"⚠ ese nombre no está en el calendario",""))</f>
        <v/>
      </c>
    </row>
    <row r="129">
      <c r="A129" s="33" t="n"/>
      <c r="B129" s="48" t="n"/>
      <c r="C129" s="48" t="n"/>
      <c r="D129" s="35">
        <f>IF(OR($B129="",$C129=""),"",IF($C129&lt;$B129,"⚠ fechas invertidas",$C129-$B129+1))</f>
        <v/>
      </c>
      <c r="E129" s="49">
        <f>IFERROR(IF($A129="","",INDEX('Saldo Vacaciones'!$F$5:$F$34,MATCH($A129,'Saldo Vacaciones'!$A$5:$A$34,0))),"")</f>
        <v/>
      </c>
      <c r="F129" s="49">
        <f>IFERROR(IF($A129="","",INDEX('Saldo Vacaciones'!$H$5:$H$34,MATCH($A129,'Saldo Vacaciones'!$A$5:$A$34,0))),"")</f>
        <v/>
      </c>
      <c r="G129" s="33" t="n"/>
      <c r="H129">
        <f>IF($A129="","",IF(COUNTIF('Calendario Anual'!$A$6:$A$35,$A129&amp;"")=0,"⚠ ese nombre no está en el calendario",""))</f>
        <v/>
      </c>
    </row>
    <row r="130">
      <c r="A130" s="33" t="n"/>
      <c r="B130" s="48" t="n"/>
      <c r="C130" s="48" t="n"/>
      <c r="D130" s="35">
        <f>IF(OR($B130="",$C130=""),"",IF($C130&lt;$B130,"⚠ fechas invertidas",$C130-$B130+1))</f>
        <v/>
      </c>
      <c r="E130" s="49">
        <f>IFERROR(IF($A130="","",INDEX('Saldo Vacaciones'!$F$5:$F$34,MATCH($A130,'Saldo Vacaciones'!$A$5:$A$34,0))),"")</f>
        <v/>
      </c>
      <c r="F130" s="49">
        <f>IFERROR(IF($A130="","",INDEX('Saldo Vacaciones'!$H$5:$H$34,MATCH($A130,'Saldo Vacaciones'!$A$5:$A$34,0))),"")</f>
        <v/>
      </c>
      <c r="G130" s="33" t="n"/>
      <c r="H130">
        <f>IF($A130="","",IF(COUNTIF('Calendario Anual'!$A$6:$A$35,$A130&amp;"")=0,"⚠ ese nombre no está en el calendario",""))</f>
        <v/>
      </c>
    </row>
    <row r="131">
      <c r="A131" s="33" t="n"/>
      <c r="B131" s="48" t="n"/>
      <c r="C131" s="48" t="n"/>
      <c r="D131" s="35">
        <f>IF(OR($B131="",$C131=""),"",IF($C131&lt;$B131,"⚠ fechas invertidas",$C131-$B131+1))</f>
        <v/>
      </c>
      <c r="E131" s="49">
        <f>IFERROR(IF($A131="","",INDEX('Saldo Vacaciones'!$F$5:$F$34,MATCH($A131,'Saldo Vacaciones'!$A$5:$A$34,0))),"")</f>
        <v/>
      </c>
      <c r="F131" s="49">
        <f>IFERROR(IF($A131="","",INDEX('Saldo Vacaciones'!$H$5:$H$34,MATCH($A131,'Saldo Vacaciones'!$A$5:$A$34,0))),"")</f>
        <v/>
      </c>
      <c r="G131" s="33" t="n"/>
      <c r="H131">
        <f>IF($A131="","",IF(COUNTIF('Calendario Anual'!$A$6:$A$35,$A131&amp;"")=0,"⚠ ese nombre no está en el calendario",""))</f>
        <v/>
      </c>
    </row>
    <row r="132">
      <c r="A132" s="33" t="n"/>
      <c r="B132" s="48" t="n"/>
      <c r="C132" s="48" t="n"/>
      <c r="D132" s="35">
        <f>IF(OR($B132="",$C132=""),"",IF($C132&lt;$B132,"⚠ fechas invertidas",$C132-$B132+1))</f>
        <v/>
      </c>
      <c r="E132" s="49">
        <f>IFERROR(IF($A132="","",INDEX('Saldo Vacaciones'!$F$5:$F$34,MATCH($A132,'Saldo Vacaciones'!$A$5:$A$34,0))),"")</f>
        <v/>
      </c>
      <c r="F132" s="49">
        <f>IFERROR(IF($A132="","",INDEX('Saldo Vacaciones'!$H$5:$H$34,MATCH($A132,'Saldo Vacaciones'!$A$5:$A$34,0))),"")</f>
        <v/>
      </c>
      <c r="G132" s="33" t="n"/>
      <c r="H132">
        <f>IF($A132="","",IF(COUNTIF('Calendario Anual'!$A$6:$A$35,$A132&amp;"")=0,"⚠ ese nombre no está en el calendario",""))</f>
        <v/>
      </c>
    </row>
    <row r="133">
      <c r="A133" s="33" t="n"/>
      <c r="B133" s="48" t="n"/>
      <c r="C133" s="48" t="n"/>
      <c r="D133" s="35">
        <f>IF(OR($B133="",$C133=""),"",IF($C133&lt;$B133,"⚠ fechas invertidas",$C133-$B133+1))</f>
        <v/>
      </c>
      <c r="E133" s="49">
        <f>IFERROR(IF($A133="","",INDEX('Saldo Vacaciones'!$F$5:$F$34,MATCH($A133,'Saldo Vacaciones'!$A$5:$A$34,0))),"")</f>
        <v/>
      </c>
      <c r="F133" s="49">
        <f>IFERROR(IF($A133="","",INDEX('Saldo Vacaciones'!$H$5:$H$34,MATCH($A133,'Saldo Vacaciones'!$A$5:$A$34,0))),"")</f>
        <v/>
      </c>
      <c r="G133" s="33" t="n"/>
      <c r="H133">
        <f>IF($A133="","",IF(COUNTIF('Calendario Anual'!$A$6:$A$35,$A133&amp;"")=0,"⚠ ese nombre no está en el calendario",""))</f>
        <v/>
      </c>
    </row>
    <row r="134">
      <c r="A134" s="33" t="n"/>
      <c r="B134" s="48" t="n"/>
      <c r="C134" s="48" t="n"/>
      <c r="D134" s="35">
        <f>IF(OR($B134="",$C134=""),"",IF($C134&lt;$B134,"⚠ fechas invertidas",$C134-$B134+1))</f>
        <v/>
      </c>
      <c r="E134" s="49">
        <f>IFERROR(IF($A134="","",INDEX('Saldo Vacaciones'!$F$5:$F$34,MATCH($A134,'Saldo Vacaciones'!$A$5:$A$34,0))),"")</f>
        <v/>
      </c>
      <c r="F134" s="49">
        <f>IFERROR(IF($A134="","",INDEX('Saldo Vacaciones'!$H$5:$H$34,MATCH($A134,'Saldo Vacaciones'!$A$5:$A$34,0))),"")</f>
        <v/>
      </c>
      <c r="G134" s="33" t="n"/>
      <c r="H134">
        <f>IF($A134="","",IF(COUNTIF('Calendario Anual'!$A$6:$A$35,$A134&amp;"")=0,"⚠ ese nombre no está en el calendario",""))</f>
        <v/>
      </c>
    </row>
    <row r="135">
      <c r="A135" s="33" t="n"/>
      <c r="B135" s="48" t="n"/>
      <c r="C135" s="48" t="n"/>
      <c r="D135" s="35">
        <f>IF(OR($B135="",$C135=""),"",IF($C135&lt;$B135,"⚠ fechas invertidas",$C135-$B135+1))</f>
        <v/>
      </c>
      <c r="E135" s="49">
        <f>IFERROR(IF($A135="","",INDEX('Saldo Vacaciones'!$F$5:$F$34,MATCH($A135,'Saldo Vacaciones'!$A$5:$A$34,0))),"")</f>
        <v/>
      </c>
      <c r="F135" s="49">
        <f>IFERROR(IF($A135="","",INDEX('Saldo Vacaciones'!$H$5:$H$34,MATCH($A135,'Saldo Vacaciones'!$A$5:$A$34,0))),"")</f>
        <v/>
      </c>
      <c r="G135" s="33" t="n"/>
      <c r="H135">
        <f>IF($A135="","",IF(COUNTIF('Calendario Anual'!$A$6:$A$35,$A135&amp;"")=0,"⚠ ese nombre no está en el calendario",""))</f>
        <v/>
      </c>
    </row>
    <row r="136">
      <c r="A136" s="33" t="n"/>
      <c r="B136" s="48" t="n"/>
      <c r="C136" s="48" t="n"/>
      <c r="D136" s="35">
        <f>IF(OR($B136="",$C136=""),"",IF($C136&lt;$B136,"⚠ fechas invertidas",$C136-$B136+1))</f>
        <v/>
      </c>
      <c r="E136" s="49">
        <f>IFERROR(IF($A136="","",INDEX('Saldo Vacaciones'!$F$5:$F$34,MATCH($A136,'Saldo Vacaciones'!$A$5:$A$34,0))),"")</f>
        <v/>
      </c>
      <c r="F136" s="49">
        <f>IFERROR(IF($A136="","",INDEX('Saldo Vacaciones'!$H$5:$H$34,MATCH($A136,'Saldo Vacaciones'!$A$5:$A$34,0))),"")</f>
        <v/>
      </c>
      <c r="G136" s="33" t="n"/>
      <c r="H136">
        <f>IF($A136="","",IF(COUNTIF('Calendario Anual'!$A$6:$A$35,$A136&amp;"")=0,"⚠ ese nombre no está en el calendario",""))</f>
        <v/>
      </c>
    </row>
    <row r="137">
      <c r="A137" s="33" t="n"/>
      <c r="B137" s="48" t="n"/>
      <c r="C137" s="48" t="n"/>
      <c r="D137" s="35">
        <f>IF(OR($B137="",$C137=""),"",IF($C137&lt;$B137,"⚠ fechas invertidas",$C137-$B137+1))</f>
        <v/>
      </c>
      <c r="E137" s="49">
        <f>IFERROR(IF($A137="","",INDEX('Saldo Vacaciones'!$F$5:$F$34,MATCH($A137,'Saldo Vacaciones'!$A$5:$A$34,0))),"")</f>
        <v/>
      </c>
      <c r="F137" s="49">
        <f>IFERROR(IF($A137="","",INDEX('Saldo Vacaciones'!$H$5:$H$34,MATCH($A137,'Saldo Vacaciones'!$A$5:$A$34,0))),"")</f>
        <v/>
      </c>
      <c r="G137" s="33" t="n"/>
      <c r="H137">
        <f>IF($A137="","",IF(COUNTIF('Calendario Anual'!$A$6:$A$35,$A137&amp;"")=0,"⚠ ese nombre no está en el calendario",""))</f>
        <v/>
      </c>
    </row>
    <row r="138">
      <c r="A138" s="33" t="n"/>
      <c r="B138" s="48" t="n"/>
      <c r="C138" s="48" t="n"/>
      <c r="D138" s="35">
        <f>IF(OR($B138="",$C138=""),"",IF($C138&lt;$B138,"⚠ fechas invertidas",$C138-$B138+1))</f>
        <v/>
      </c>
      <c r="E138" s="49">
        <f>IFERROR(IF($A138="","",INDEX('Saldo Vacaciones'!$F$5:$F$34,MATCH($A138,'Saldo Vacaciones'!$A$5:$A$34,0))),"")</f>
        <v/>
      </c>
      <c r="F138" s="49">
        <f>IFERROR(IF($A138="","",INDEX('Saldo Vacaciones'!$H$5:$H$34,MATCH($A138,'Saldo Vacaciones'!$A$5:$A$34,0))),"")</f>
        <v/>
      </c>
      <c r="G138" s="33" t="n"/>
      <c r="H138">
        <f>IF($A138="","",IF(COUNTIF('Calendario Anual'!$A$6:$A$35,$A138&amp;"")=0,"⚠ ese nombre no está en el calendario",""))</f>
        <v/>
      </c>
    </row>
    <row r="139">
      <c r="A139" s="33" t="n"/>
      <c r="B139" s="48" t="n"/>
      <c r="C139" s="48" t="n"/>
      <c r="D139" s="35">
        <f>IF(OR($B139="",$C139=""),"",IF($C139&lt;$B139,"⚠ fechas invertidas",$C139-$B139+1))</f>
        <v/>
      </c>
      <c r="E139" s="49">
        <f>IFERROR(IF($A139="","",INDEX('Saldo Vacaciones'!$F$5:$F$34,MATCH($A139,'Saldo Vacaciones'!$A$5:$A$34,0))),"")</f>
        <v/>
      </c>
      <c r="F139" s="49">
        <f>IFERROR(IF($A139="","",INDEX('Saldo Vacaciones'!$H$5:$H$34,MATCH($A139,'Saldo Vacaciones'!$A$5:$A$34,0))),"")</f>
        <v/>
      </c>
      <c r="G139" s="33" t="n"/>
      <c r="H139">
        <f>IF($A139="","",IF(COUNTIF('Calendario Anual'!$A$6:$A$35,$A139&amp;"")=0,"⚠ ese nombre no está en el calendario",""))</f>
        <v/>
      </c>
    </row>
    <row r="140">
      <c r="A140" s="33" t="n"/>
      <c r="B140" s="48" t="n"/>
      <c r="C140" s="48" t="n"/>
      <c r="D140" s="35">
        <f>IF(OR($B140="",$C140=""),"",IF($C140&lt;$B140,"⚠ fechas invertidas",$C140-$B140+1))</f>
        <v/>
      </c>
      <c r="E140" s="49">
        <f>IFERROR(IF($A140="","",INDEX('Saldo Vacaciones'!$F$5:$F$34,MATCH($A140,'Saldo Vacaciones'!$A$5:$A$34,0))),"")</f>
        <v/>
      </c>
      <c r="F140" s="49">
        <f>IFERROR(IF($A140="","",INDEX('Saldo Vacaciones'!$H$5:$H$34,MATCH($A140,'Saldo Vacaciones'!$A$5:$A$34,0))),"")</f>
        <v/>
      </c>
      <c r="G140" s="33" t="n"/>
      <c r="H140">
        <f>IF($A140="","",IF(COUNTIF('Calendario Anual'!$A$6:$A$35,$A140&amp;"")=0,"⚠ ese nombre no está en el calendario",""))</f>
        <v/>
      </c>
    </row>
    <row r="141">
      <c r="A141" s="33" t="n"/>
      <c r="B141" s="48" t="n"/>
      <c r="C141" s="48" t="n"/>
      <c r="D141" s="35">
        <f>IF(OR($B141="",$C141=""),"",IF($C141&lt;$B141,"⚠ fechas invertidas",$C141-$B141+1))</f>
        <v/>
      </c>
      <c r="E141" s="49">
        <f>IFERROR(IF($A141="","",INDEX('Saldo Vacaciones'!$F$5:$F$34,MATCH($A141,'Saldo Vacaciones'!$A$5:$A$34,0))),"")</f>
        <v/>
      </c>
      <c r="F141" s="49">
        <f>IFERROR(IF($A141="","",INDEX('Saldo Vacaciones'!$H$5:$H$34,MATCH($A141,'Saldo Vacaciones'!$A$5:$A$34,0))),"")</f>
        <v/>
      </c>
      <c r="G141" s="33" t="n"/>
      <c r="H141">
        <f>IF($A141="","",IF(COUNTIF('Calendario Anual'!$A$6:$A$35,$A141&amp;"")=0,"⚠ ese nombre no está en el calendario",""))</f>
        <v/>
      </c>
    </row>
    <row r="142">
      <c r="A142" s="33" t="n"/>
      <c r="B142" s="48" t="n"/>
      <c r="C142" s="48" t="n"/>
      <c r="D142" s="35">
        <f>IF(OR($B142="",$C142=""),"",IF($C142&lt;$B142,"⚠ fechas invertidas",$C142-$B142+1))</f>
        <v/>
      </c>
      <c r="E142" s="49">
        <f>IFERROR(IF($A142="","",INDEX('Saldo Vacaciones'!$F$5:$F$34,MATCH($A142,'Saldo Vacaciones'!$A$5:$A$34,0))),"")</f>
        <v/>
      </c>
      <c r="F142" s="49">
        <f>IFERROR(IF($A142="","",INDEX('Saldo Vacaciones'!$H$5:$H$34,MATCH($A142,'Saldo Vacaciones'!$A$5:$A$34,0))),"")</f>
        <v/>
      </c>
      <c r="G142" s="33" t="n"/>
      <c r="H142">
        <f>IF($A142="","",IF(COUNTIF('Calendario Anual'!$A$6:$A$35,$A142&amp;"")=0,"⚠ ese nombre no está en el calendario",""))</f>
        <v/>
      </c>
    </row>
    <row r="143">
      <c r="A143" s="33" t="n"/>
      <c r="B143" s="48" t="n"/>
      <c r="C143" s="48" t="n"/>
      <c r="D143" s="35">
        <f>IF(OR($B143="",$C143=""),"",IF($C143&lt;$B143,"⚠ fechas invertidas",$C143-$B143+1))</f>
        <v/>
      </c>
      <c r="E143" s="49">
        <f>IFERROR(IF($A143="","",INDEX('Saldo Vacaciones'!$F$5:$F$34,MATCH($A143,'Saldo Vacaciones'!$A$5:$A$34,0))),"")</f>
        <v/>
      </c>
      <c r="F143" s="49">
        <f>IFERROR(IF($A143="","",INDEX('Saldo Vacaciones'!$H$5:$H$34,MATCH($A143,'Saldo Vacaciones'!$A$5:$A$34,0))),"")</f>
        <v/>
      </c>
      <c r="G143" s="33" t="n"/>
      <c r="H143">
        <f>IF($A143="","",IF(COUNTIF('Calendario Anual'!$A$6:$A$35,$A143&amp;"")=0,"⚠ ese nombre no está en el calendario",""))</f>
        <v/>
      </c>
    </row>
    <row r="144">
      <c r="A144" s="33" t="n"/>
      <c r="B144" s="48" t="n"/>
      <c r="C144" s="48" t="n"/>
      <c r="D144" s="35">
        <f>IF(OR($B144="",$C144=""),"",IF($C144&lt;$B144,"⚠ fechas invertidas",$C144-$B144+1))</f>
        <v/>
      </c>
      <c r="E144" s="49">
        <f>IFERROR(IF($A144="","",INDEX('Saldo Vacaciones'!$F$5:$F$34,MATCH($A144,'Saldo Vacaciones'!$A$5:$A$34,0))),"")</f>
        <v/>
      </c>
      <c r="F144" s="49">
        <f>IFERROR(IF($A144="","",INDEX('Saldo Vacaciones'!$H$5:$H$34,MATCH($A144,'Saldo Vacaciones'!$A$5:$A$34,0))),"")</f>
        <v/>
      </c>
      <c r="G144" s="33" t="n"/>
      <c r="H144">
        <f>IF($A144="","",IF(COUNTIF('Calendario Anual'!$A$6:$A$35,$A144&amp;"")=0,"⚠ ese nombre no está en el calendario",""))</f>
        <v/>
      </c>
    </row>
    <row r="145">
      <c r="A145" s="33" t="n"/>
      <c r="B145" s="48" t="n"/>
      <c r="C145" s="48" t="n"/>
      <c r="D145" s="35">
        <f>IF(OR($B145="",$C145=""),"",IF($C145&lt;$B145,"⚠ fechas invertidas",$C145-$B145+1))</f>
        <v/>
      </c>
      <c r="E145" s="49">
        <f>IFERROR(IF($A145="","",INDEX('Saldo Vacaciones'!$F$5:$F$34,MATCH($A145,'Saldo Vacaciones'!$A$5:$A$34,0))),"")</f>
        <v/>
      </c>
      <c r="F145" s="49">
        <f>IFERROR(IF($A145="","",INDEX('Saldo Vacaciones'!$H$5:$H$34,MATCH($A145,'Saldo Vacaciones'!$A$5:$A$34,0))),"")</f>
        <v/>
      </c>
      <c r="G145" s="33" t="n"/>
      <c r="H145">
        <f>IF($A145="","",IF(COUNTIF('Calendario Anual'!$A$6:$A$35,$A145&amp;"")=0,"⚠ ese nombre no está en el calendario",""))</f>
        <v/>
      </c>
    </row>
    <row r="146">
      <c r="A146" s="33" t="n"/>
      <c r="B146" s="48" t="n"/>
      <c r="C146" s="48" t="n"/>
      <c r="D146" s="35">
        <f>IF(OR($B146="",$C146=""),"",IF($C146&lt;$B146,"⚠ fechas invertidas",$C146-$B146+1))</f>
        <v/>
      </c>
      <c r="E146" s="49">
        <f>IFERROR(IF($A146="","",INDEX('Saldo Vacaciones'!$F$5:$F$34,MATCH($A146,'Saldo Vacaciones'!$A$5:$A$34,0))),"")</f>
        <v/>
      </c>
      <c r="F146" s="49">
        <f>IFERROR(IF($A146="","",INDEX('Saldo Vacaciones'!$H$5:$H$34,MATCH($A146,'Saldo Vacaciones'!$A$5:$A$34,0))),"")</f>
        <v/>
      </c>
      <c r="G146" s="33" t="n"/>
      <c r="H146">
        <f>IF($A146="","",IF(COUNTIF('Calendario Anual'!$A$6:$A$35,$A146&amp;"")=0,"⚠ ese nombre no está en el calendario",""))</f>
        <v/>
      </c>
    </row>
    <row r="147">
      <c r="A147" s="33" t="n"/>
      <c r="B147" s="48" t="n"/>
      <c r="C147" s="48" t="n"/>
      <c r="D147" s="35">
        <f>IF(OR($B147="",$C147=""),"",IF($C147&lt;$B147,"⚠ fechas invertidas",$C147-$B147+1))</f>
        <v/>
      </c>
      <c r="E147" s="49">
        <f>IFERROR(IF($A147="","",INDEX('Saldo Vacaciones'!$F$5:$F$34,MATCH($A147,'Saldo Vacaciones'!$A$5:$A$34,0))),"")</f>
        <v/>
      </c>
      <c r="F147" s="49">
        <f>IFERROR(IF($A147="","",INDEX('Saldo Vacaciones'!$H$5:$H$34,MATCH($A147,'Saldo Vacaciones'!$A$5:$A$34,0))),"")</f>
        <v/>
      </c>
      <c r="G147" s="33" t="n"/>
      <c r="H147">
        <f>IF($A147="","",IF(COUNTIF('Calendario Anual'!$A$6:$A$35,$A147&amp;"")=0,"⚠ ese nombre no está en el calendario",""))</f>
        <v/>
      </c>
    </row>
    <row r="148">
      <c r="A148" s="33" t="n"/>
      <c r="B148" s="48" t="n"/>
      <c r="C148" s="48" t="n"/>
      <c r="D148" s="35">
        <f>IF(OR($B148="",$C148=""),"",IF($C148&lt;$B148,"⚠ fechas invertidas",$C148-$B148+1))</f>
        <v/>
      </c>
      <c r="E148" s="49">
        <f>IFERROR(IF($A148="","",INDEX('Saldo Vacaciones'!$F$5:$F$34,MATCH($A148,'Saldo Vacaciones'!$A$5:$A$34,0))),"")</f>
        <v/>
      </c>
      <c r="F148" s="49">
        <f>IFERROR(IF($A148="","",INDEX('Saldo Vacaciones'!$H$5:$H$34,MATCH($A148,'Saldo Vacaciones'!$A$5:$A$34,0))),"")</f>
        <v/>
      </c>
      <c r="G148" s="33" t="n"/>
      <c r="H148">
        <f>IF($A148="","",IF(COUNTIF('Calendario Anual'!$A$6:$A$35,$A148&amp;"")=0,"⚠ ese nombre no está en el calendario",""))</f>
        <v/>
      </c>
    </row>
    <row r="149">
      <c r="A149" s="33" t="n"/>
      <c r="B149" s="48" t="n"/>
      <c r="C149" s="48" t="n"/>
      <c r="D149" s="35">
        <f>IF(OR($B149="",$C149=""),"",IF($C149&lt;$B149,"⚠ fechas invertidas",$C149-$B149+1))</f>
        <v/>
      </c>
      <c r="E149" s="49">
        <f>IFERROR(IF($A149="","",INDEX('Saldo Vacaciones'!$F$5:$F$34,MATCH($A149,'Saldo Vacaciones'!$A$5:$A$34,0))),"")</f>
        <v/>
      </c>
      <c r="F149" s="49">
        <f>IFERROR(IF($A149="","",INDEX('Saldo Vacaciones'!$H$5:$H$34,MATCH($A149,'Saldo Vacaciones'!$A$5:$A$34,0))),"")</f>
        <v/>
      </c>
      <c r="G149" s="33" t="n"/>
      <c r="H149">
        <f>IF($A149="","",IF(COUNTIF('Calendario Anual'!$A$6:$A$35,$A149&amp;"")=0,"⚠ ese nombre no está en el calendario",""))</f>
        <v/>
      </c>
    </row>
    <row r="150">
      <c r="A150" s="33" t="n"/>
      <c r="B150" s="48" t="n"/>
      <c r="C150" s="48" t="n"/>
      <c r="D150" s="35">
        <f>IF(OR($B150="",$C150=""),"",IF($C150&lt;$B150,"⚠ fechas invertidas",$C150-$B150+1))</f>
        <v/>
      </c>
      <c r="E150" s="49">
        <f>IFERROR(IF($A150="","",INDEX('Saldo Vacaciones'!$F$5:$F$34,MATCH($A150,'Saldo Vacaciones'!$A$5:$A$34,0))),"")</f>
        <v/>
      </c>
      <c r="F150" s="49">
        <f>IFERROR(IF($A150="","",INDEX('Saldo Vacaciones'!$H$5:$H$34,MATCH($A150,'Saldo Vacaciones'!$A$5:$A$34,0))),"")</f>
        <v/>
      </c>
      <c r="G150" s="33" t="n"/>
      <c r="H150">
        <f>IF($A150="","",IF(COUNTIF('Calendario Anual'!$A$6:$A$35,$A150&amp;"")=0,"⚠ ese nombre no está en el calendario",""))</f>
        <v/>
      </c>
    </row>
    <row r="151">
      <c r="A151" s="33" t="n"/>
      <c r="B151" s="48" t="n"/>
      <c r="C151" s="48" t="n"/>
      <c r="D151" s="35">
        <f>IF(OR($B151="",$C151=""),"",IF($C151&lt;$B151,"⚠ fechas invertidas",$C151-$B151+1))</f>
        <v/>
      </c>
      <c r="E151" s="49">
        <f>IFERROR(IF($A151="","",INDEX('Saldo Vacaciones'!$F$5:$F$34,MATCH($A151,'Saldo Vacaciones'!$A$5:$A$34,0))),"")</f>
        <v/>
      </c>
      <c r="F151" s="49">
        <f>IFERROR(IF($A151="","",INDEX('Saldo Vacaciones'!$H$5:$H$34,MATCH($A151,'Saldo Vacaciones'!$A$5:$A$34,0))),"")</f>
        <v/>
      </c>
      <c r="G151" s="33" t="n"/>
      <c r="H151">
        <f>IF($A151="","",IF(COUNTIF('Calendario Anual'!$A$6:$A$35,$A151&amp;"")=0,"⚠ ese nombre no está en el calendario",""))</f>
        <v/>
      </c>
    </row>
    <row r="152">
      <c r="A152" s="33" t="n"/>
      <c r="B152" s="48" t="n"/>
      <c r="C152" s="48" t="n"/>
      <c r="D152" s="35">
        <f>IF(OR($B152="",$C152=""),"",IF($C152&lt;$B152,"⚠ fechas invertidas",$C152-$B152+1))</f>
        <v/>
      </c>
      <c r="E152" s="49">
        <f>IFERROR(IF($A152="","",INDEX('Saldo Vacaciones'!$F$5:$F$34,MATCH($A152,'Saldo Vacaciones'!$A$5:$A$34,0))),"")</f>
        <v/>
      </c>
      <c r="F152" s="49">
        <f>IFERROR(IF($A152="","",INDEX('Saldo Vacaciones'!$H$5:$H$34,MATCH($A152,'Saldo Vacaciones'!$A$5:$A$34,0))),"")</f>
        <v/>
      </c>
      <c r="G152" s="33" t="n"/>
      <c r="H152">
        <f>IF($A152="","",IF(COUNTIF('Calendario Anual'!$A$6:$A$35,$A152&amp;"")=0,"⚠ ese nombre no está en el calendario",""))</f>
        <v/>
      </c>
    </row>
    <row r="153">
      <c r="A153" s="33" t="n"/>
      <c r="B153" s="48" t="n"/>
      <c r="C153" s="48" t="n"/>
      <c r="D153" s="35">
        <f>IF(OR($B153="",$C153=""),"",IF($C153&lt;$B153,"⚠ fechas invertidas",$C153-$B153+1))</f>
        <v/>
      </c>
      <c r="E153" s="49">
        <f>IFERROR(IF($A153="","",INDEX('Saldo Vacaciones'!$F$5:$F$34,MATCH($A153,'Saldo Vacaciones'!$A$5:$A$34,0))),"")</f>
        <v/>
      </c>
      <c r="F153" s="49">
        <f>IFERROR(IF($A153="","",INDEX('Saldo Vacaciones'!$H$5:$H$34,MATCH($A153,'Saldo Vacaciones'!$A$5:$A$34,0))),"")</f>
        <v/>
      </c>
      <c r="G153" s="33" t="n"/>
      <c r="H153">
        <f>IF($A153="","",IF(COUNTIF('Calendario Anual'!$A$6:$A$35,$A153&amp;"")=0,"⚠ ese nombre no está en el calendario",""))</f>
        <v/>
      </c>
    </row>
    <row r="154">
      <c r="A154" s="33" t="n"/>
      <c r="B154" s="48" t="n"/>
      <c r="C154" s="48" t="n"/>
      <c r="D154" s="35">
        <f>IF(OR($B154="",$C154=""),"",IF($C154&lt;$B154,"⚠ fechas invertidas",$C154-$B154+1))</f>
        <v/>
      </c>
      <c r="E154" s="49">
        <f>IFERROR(IF($A154="","",INDEX('Saldo Vacaciones'!$F$5:$F$34,MATCH($A154,'Saldo Vacaciones'!$A$5:$A$34,0))),"")</f>
        <v/>
      </c>
      <c r="F154" s="49">
        <f>IFERROR(IF($A154="","",INDEX('Saldo Vacaciones'!$H$5:$H$34,MATCH($A154,'Saldo Vacaciones'!$A$5:$A$34,0))),"")</f>
        <v/>
      </c>
      <c r="G154" s="33" t="n"/>
      <c r="H154">
        <f>IF($A154="","",IF(COUNTIF('Calendario Anual'!$A$6:$A$35,$A154&amp;"")=0,"⚠ ese nombre no está en el calendario",""))</f>
        <v/>
      </c>
    </row>
    <row r="155"/>
    <row r="156" ht="30" customHeight="1">
      <c r="A156" s="51" t="inlineStr">
        <is>
          <t>▸ Esta hoja se indexa por PETICIÓN, no por persona: caben 150 solicitudes, unas cinco por empleado. Nadie coge los 30 días del tirón — en hostelería se parten en verano, Navidad y algún puente—, y el saldo sólo es cierto si TODOS los periodos están aquí.</t>
        </is>
      </c>
    </row>
    <row r="157"/>
    <row r="158">
      <c r="A158" s="39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2:H2"/>
    <mergeCell ref="A158:H158"/>
    <mergeCell ref="A1:H1"/>
    <mergeCell ref="A156:H156"/>
  </mergeCells>
  <conditionalFormatting sqref="D5:D154">
    <cfRule type="containsText" priority="1" operator="containsText" dxfId="0" stopIfTrue="1" text="⛔">
      <formula>NOT(ISERROR(SEARCH("⛔",D5)))</formula>
    </cfRule>
    <cfRule type="containsText" priority="2" operator="containsText" dxfId="0" stopIfTrue="1" text="EXCESO">
      <formula>NOT(ISERROR(SEARCH("EXCESO",D5)))</formula>
    </cfRule>
    <cfRule type="containsText" priority="3" operator="containsText" dxfId="1" stopIfTrue="1" text="⚠">
      <formula>NOT(ISERROR(SEARCH("⚠",D5)))</formula>
    </cfRule>
    <cfRule type="containsText" priority="4" operator="containsText" dxfId="4" stopIfTrue="1" text="OK">
      <formula>NOT(ISERROR(SEARCH("OK",D5)))</formula>
    </cfRule>
  </conditionalFormatting>
  <conditionalFormatting sqref="H5:H154">
    <cfRule type="containsText" priority="5" operator="containsText" dxfId="0" stopIfTrue="1" text="⛔">
      <formula>NOT(ISERROR(SEARCH("⛔",H5)))</formula>
    </cfRule>
    <cfRule type="containsText" priority="6" operator="containsText" dxfId="0" stopIfTrue="1" text="EXCESO">
      <formula>NOT(ISERROR(SEARCH("EXCESO",H5)))</formula>
    </cfRule>
    <cfRule type="containsText" priority="7" operator="containsText" dxfId="1" stopIfTrue="1" text="⚠">
      <formula>NOT(ISERROR(SEARCH("⚠",H5)))</formula>
    </cfRule>
    <cfRule type="containsText" priority="8" operator="containsText" dxfId="4" stopIfTrue="1" text="OK">
      <formula>NOT(ISERROR(SEARCH("OK",H5)))</formula>
    </cfRule>
  </conditionalFormatting>
  <dataValidations count="1">
    <dataValidation sqref="G5:G154" showDropDown="0" showInputMessage="1" showErrorMessage="1" allowBlank="1" errorTitle="Estado no válido" error="Elige un valor de la lista: las fórmulas de agregación buscan este texto exacto." promptTitle="kitgp-v2 · Estado no válido" prompt="El saldo de «Saldo Vacaciones» sólo suma los días de las solicitudes APROBADAS, así que el texto tiene que salir de esta lista." type="list" errorStyle="stop">
      <formula1>"Pendiente,Aprobado,Denegado"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>
      <c r="A1" s="22" t="inlineStr">
        <is>
          <t>Saldo de Vacaciones por Empleado</t>
        </is>
      </c>
    </row>
    <row r="2">
      <c r="A2" t="inlineStr">
        <is>
          <t>Días de vacaciones por convenio (naturales):</t>
        </is>
      </c>
      <c r="B2" s="52" t="n">
        <v>30</v>
      </c>
      <c r="D2" s="53" t="inlineStr">
        <is>
          <t>Inicio del año:</t>
        </is>
      </c>
      <c r="E2" s="54">
        <f>DATE(YEAR($G$2),1,1)</f>
        <v>46388.0</v>
      </c>
      <c r="F2" s="53" t="inlineStr">
        <is>
          <t>Fecha de cierre del año:</t>
        </is>
      </c>
      <c r="G2" s="54">
        <f>DATE(YEAR('Calendario Anual'!$B$5),12,31)</f>
        <v>46752.0</v>
      </c>
      <c r="H2" s="55" t="inlineStr">
        <is>
          <t>← salen del lunes de la semana 1 (Calendario Anual!B5): cámbialo allí y el ejercicio entero se mueve</t>
        </is>
      </c>
    </row>
    <row r="3" ht="28" customHeight="1">
      <c r="A3" s="51" t="inlineStr">
        <is>
          <t>▸ Los nombres salen del Calendario Anual. Rellena la fecha de alta (para prorratear a quien entra a mitad de año), la de baja o fin de contrato si la hay (ese número es el que va al finiquito) y, si alguien tiene un derecho distinto del general, sus días propios.</t>
        </is>
      </c>
    </row>
    <row r="4">
      <c r="A4" s="41" t="inlineStr">
        <is>
          <t>Empleado</t>
        </is>
      </c>
      <c r="B4" s="41" t="inlineStr">
        <is>
          <t>Fecha de alta</t>
        </is>
      </c>
      <c r="C4" s="41" t="inlineStr">
        <is>
          <t>Fecha de baja / fin de contrato</t>
        </is>
      </c>
      <c r="D4" s="41" t="inlineStr">
        <is>
          <t>Días propios</t>
        </is>
      </c>
      <c r="E4" s="41" t="inlineStr">
        <is>
          <t>Derecho del año</t>
        </is>
      </c>
      <c r="F4" s="41" t="inlineStr">
        <is>
          <t>Disfrutados</t>
        </is>
      </c>
      <c r="G4" s="41" t="inlineStr">
        <is>
          <t>Pendientes</t>
        </is>
      </c>
      <c r="H4" s="41" t="inlineStr">
        <is>
          <t>Le quedan</t>
        </is>
      </c>
      <c r="I4" s="41" t="inlineStr">
        <is>
          <t>Aviso</t>
        </is>
      </c>
    </row>
    <row r="5">
      <c r="A5">
        <f>IF('Calendario Anual'!$A6="","",'Calendario Anual'!$A6)</f>
        <v/>
      </c>
      <c r="B5" s="48" t="n"/>
      <c r="C5" s="48" t="n"/>
      <c r="D5" s="52" t="n"/>
      <c r="E5" s="49">
        <f>IFERROR(IF($A5="","",MAX(0,MIN(IF($D5="",$B$2,$D5),ROUND(IF($D5="",$B$2,$D5)*((IF($C5="",$G$2,MIN($C5,$G$2)))-(IF($B5="",$E$2,MAX($B5,$E$2)))+1)/($G$2-$E$2+1),1)))),"")</f>
        <v/>
      </c>
      <c r="F5" s="49">
        <f>IF($A5="","",SUMIFS(Solicitudes!$D$5:$D$154,Solicitudes!$A$5:$A$154,$A5&amp;"",Solicitudes!$G$5:$G$154,"Aprobado",Solicitudes!$B$5:$B$154,"&gt;="&amp;'Saldo Vacaciones'!$E$2,Solicitudes!$B$5:$B$154,"&lt;="&amp;'Saldo Vacaciones'!$G$2))</f>
        <v/>
      </c>
      <c r="G5" s="49">
        <f>IF($A5="","",SUMIFS(Solicitudes!$D$5:$D$154,Solicitudes!$A$5:$A$154,$A5&amp;"",Solicitudes!$G$5:$G$154,"Pendiente",Solicitudes!$B$5:$B$154,"&gt;="&amp;'Saldo Vacaciones'!$E$2,Solicitudes!$B$5:$B$154,"&lt;="&amp;'Saldo Vacaciones'!$G$2))</f>
        <v/>
      </c>
      <c r="H5" s="49">
        <f>IF($E5="","",ROUND($E5-$F5-$G5,1))</f>
        <v/>
      </c>
      <c r="I5">
        <f>IF($A5="","",IF(AND($B5&lt;&gt;"",$B5&gt;$G$2),"⚠ la fecha de alta es posterior al cierre del año",IF(AND($C5&lt;&gt;"",$B5&lt;&gt;"",$C5&lt;$B5),"⚠ la fecha de baja es anterior a la de alta",IF($H5&lt;0,"⛔ saldo negativo",IF($H5=0,"⚠ sin días disponibles","")))))</f>
        <v/>
      </c>
    </row>
    <row r="6">
      <c r="A6">
        <f>IF('Calendario Anual'!$A7="","",'Calendario Anual'!$A7)</f>
        <v/>
      </c>
      <c r="B6" s="48" t="n"/>
      <c r="C6" s="48" t="n"/>
      <c r="D6" s="52" t="n"/>
      <c r="E6" s="49">
        <f>IFERROR(IF($A6="","",MAX(0,MIN(IF($D6="",$B$2,$D6),ROUND(IF($D6="",$B$2,$D6)*((IF($C6="",$G$2,MIN($C6,$G$2)))-(IF($B6="",$E$2,MAX($B6,$E$2)))+1)/($G$2-$E$2+1),1)))),"")</f>
        <v/>
      </c>
      <c r="F6" s="49">
        <f>IF($A6="","",SUMIFS(Solicitudes!$D$5:$D$154,Solicitudes!$A$5:$A$154,$A6&amp;"",Solicitudes!$G$5:$G$154,"Aprobado",Solicitudes!$B$5:$B$154,"&gt;="&amp;'Saldo Vacaciones'!$E$2,Solicitudes!$B$5:$B$154,"&lt;="&amp;'Saldo Vacaciones'!$G$2))</f>
        <v/>
      </c>
      <c r="G6" s="49">
        <f>IF($A6="","",SUMIFS(Solicitudes!$D$5:$D$154,Solicitudes!$A$5:$A$154,$A6&amp;"",Solicitudes!$G$5:$G$154,"Pendiente",Solicitudes!$B$5:$B$154,"&gt;="&amp;'Saldo Vacaciones'!$E$2,Solicitudes!$B$5:$B$154,"&lt;="&amp;'Saldo Vacaciones'!$G$2))</f>
        <v/>
      </c>
      <c r="H6" s="49">
        <f>IF($E6="","",ROUND($E6-$F6-$G6,1))</f>
        <v/>
      </c>
      <c r="I6">
        <f>IF($A6="","",IF(AND($B6&lt;&gt;"",$B6&gt;$G$2),"⚠ la fecha de alta es posterior al cierre del año",IF(AND($C6&lt;&gt;"",$B6&lt;&gt;"",$C6&lt;$B6),"⚠ la fecha de baja es anterior a la de alta",IF($H6&lt;0,"⛔ saldo negativo",IF($H6=0,"⚠ sin días disponibles","")))))</f>
        <v/>
      </c>
    </row>
    <row r="7">
      <c r="A7">
        <f>IF('Calendario Anual'!$A8="","",'Calendario Anual'!$A8)</f>
        <v/>
      </c>
      <c r="B7" s="48" t="n"/>
      <c r="C7" s="48" t="n"/>
      <c r="D7" s="52" t="n"/>
      <c r="E7" s="49">
        <f>IFERROR(IF($A7="","",MAX(0,MIN(IF($D7="",$B$2,$D7),ROUND(IF($D7="",$B$2,$D7)*((IF($C7="",$G$2,MIN($C7,$G$2)))-(IF($B7="",$E$2,MAX($B7,$E$2)))+1)/($G$2-$E$2+1),1)))),"")</f>
        <v/>
      </c>
      <c r="F7" s="49">
        <f>IF($A7="","",SUMIFS(Solicitudes!$D$5:$D$154,Solicitudes!$A$5:$A$154,$A7&amp;"",Solicitudes!$G$5:$G$154,"Aprobado",Solicitudes!$B$5:$B$154,"&gt;="&amp;'Saldo Vacaciones'!$E$2,Solicitudes!$B$5:$B$154,"&lt;="&amp;'Saldo Vacaciones'!$G$2))</f>
        <v/>
      </c>
      <c r="G7" s="49">
        <f>IF($A7="","",SUMIFS(Solicitudes!$D$5:$D$154,Solicitudes!$A$5:$A$154,$A7&amp;"",Solicitudes!$G$5:$G$154,"Pendiente",Solicitudes!$B$5:$B$154,"&gt;="&amp;'Saldo Vacaciones'!$E$2,Solicitudes!$B$5:$B$154,"&lt;="&amp;'Saldo Vacaciones'!$G$2))</f>
        <v/>
      </c>
      <c r="H7" s="49">
        <f>IF($E7="","",ROUND($E7-$F7-$G7,1))</f>
        <v/>
      </c>
      <c r="I7">
        <f>IF($A7="","",IF(AND($B7&lt;&gt;"",$B7&gt;$G$2),"⚠ la fecha de alta es posterior al cierre del año",IF(AND($C7&lt;&gt;"",$B7&lt;&gt;"",$C7&lt;$B7),"⚠ la fecha de baja es anterior a la de alta",IF($H7&lt;0,"⛔ saldo negativo",IF($H7=0,"⚠ sin días disponibles","")))))</f>
        <v/>
      </c>
    </row>
    <row r="8">
      <c r="A8">
        <f>IF('Calendario Anual'!$A9="","",'Calendario Anual'!$A9)</f>
        <v/>
      </c>
      <c r="B8" s="48" t="n"/>
      <c r="C8" s="48" t="n"/>
      <c r="D8" s="52" t="n"/>
      <c r="E8" s="49">
        <f>IFERROR(IF($A8="","",MAX(0,MIN(IF($D8="",$B$2,$D8),ROUND(IF($D8="",$B$2,$D8)*((IF($C8="",$G$2,MIN($C8,$G$2)))-(IF($B8="",$E$2,MAX($B8,$E$2)))+1)/($G$2-$E$2+1),1)))),"")</f>
        <v/>
      </c>
      <c r="F8" s="49">
        <f>IF($A8="","",SUMIFS(Solicitudes!$D$5:$D$154,Solicitudes!$A$5:$A$154,$A8&amp;"",Solicitudes!$G$5:$G$154,"Aprobado",Solicitudes!$B$5:$B$154,"&gt;="&amp;'Saldo Vacaciones'!$E$2,Solicitudes!$B$5:$B$154,"&lt;="&amp;'Saldo Vacaciones'!$G$2))</f>
        <v/>
      </c>
      <c r="G8" s="49">
        <f>IF($A8="","",SUMIFS(Solicitudes!$D$5:$D$154,Solicitudes!$A$5:$A$154,$A8&amp;"",Solicitudes!$G$5:$G$154,"Pendiente",Solicitudes!$B$5:$B$154,"&gt;="&amp;'Saldo Vacaciones'!$E$2,Solicitudes!$B$5:$B$154,"&lt;="&amp;'Saldo Vacaciones'!$G$2))</f>
        <v/>
      </c>
      <c r="H8" s="49">
        <f>IF($E8="","",ROUND($E8-$F8-$G8,1))</f>
        <v/>
      </c>
      <c r="I8">
        <f>IF($A8="","",IF(AND($B8&lt;&gt;"",$B8&gt;$G$2),"⚠ la fecha de alta es posterior al cierre del año",IF(AND($C8&lt;&gt;"",$B8&lt;&gt;"",$C8&lt;$B8),"⚠ la fecha de baja es anterior a la de alta",IF($H8&lt;0,"⛔ saldo negativo",IF($H8=0,"⚠ sin días disponibles","")))))</f>
        <v/>
      </c>
    </row>
    <row r="9">
      <c r="A9">
        <f>IF('Calendario Anual'!$A10="","",'Calendario Anual'!$A10)</f>
        <v/>
      </c>
      <c r="B9" s="48" t="n"/>
      <c r="C9" s="48" t="n"/>
      <c r="D9" s="52" t="n"/>
      <c r="E9" s="49">
        <f>IFERROR(IF($A9="","",MAX(0,MIN(IF($D9="",$B$2,$D9),ROUND(IF($D9="",$B$2,$D9)*((IF($C9="",$G$2,MIN($C9,$G$2)))-(IF($B9="",$E$2,MAX($B9,$E$2)))+1)/($G$2-$E$2+1),1)))),"")</f>
        <v/>
      </c>
      <c r="F9" s="49">
        <f>IF($A9="","",SUMIFS(Solicitudes!$D$5:$D$154,Solicitudes!$A$5:$A$154,$A9&amp;"",Solicitudes!$G$5:$G$154,"Aprobado",Solicitudes!$B$5:$B$154,"&gt;="&amp;'Saldo Vacaciones'!$E$2,Solicitudes!$B$5:$B$154,"&lt;="&amp;'Saldo Vacaciones'!$G$2))</f>
        <v/>
      </c>
      <c r="G9" s="49">
        <f>IF($A9="","",SUMIFS(Solicitudes!$D$5:$D$154,Solicitudes!$A$5:$A$154,$A9&amp;"",Solicitudes!$G$5:$G$154,"Pendiente",Solicitudes!$B$5:$B$154,"&gt;="&amp;'Saldo Vacaciones'!$E$2,Solicitudes!$B$5:$B$154,"&lt;="&amp;'Saldo Vacaciones'!$G$2))</f>
        <v/>
      </c>
      <c r="H9" s="49">
        <f>IF($E9="","",ROUND($E9-$F9-$G9,1))</f>
        <v/>
      </c>
      <c r="I9">
        <f>IF($A9="","",IF(AND($B9&lt;&gt;"",$B9&gt;$G$2),"⚠ la fecha de alta es posterior al cierre del año",IF(AND($C9&lt;&gt;"",$B9&lt;&gt;"",$C9&lt;$B9),"⚠ la fecha de baja es anterior a la de alta",IF($H9&lt;0,"⛔ saldo negativo",IF($H9=0,"⚠ sin días disponibles","")))))</f>
        <v/>
      </c>
    </row>
    <row r="10">
      <c r="A10">
        <f>IF('Calendario Anual'!$A11="","",'Calendario Anual'!$A11)</f>
        <v/>
      </c>
      <c r="B10" s="48" t="n"/>
      <c r="C10" s="48" t="n"/>
      <c r="D10" s="52" t="n"/>
      <c r="E10" s="49">
        <f>IFERROR(IF($A10="","",MAX(0,MIN(IF($D10="",$B$2,$D10),ROUND(IF($D10="",$B$2,$D10)*((IF($C10="",$G$2,MIN($C10,$G$2)))-(IF($B10="",$E$2,MAX($B10,$E$2)))+1)/($G$2-$E$2+1),1)))),"")</f>
        <v/>
      </c>
      <c r="F10" s="49">
        <f>IF($A10="","",SUMIFS(Solicitudes!$D$5:$D$154,Solicitudes!$A$5:$A$154,$A10&amp;"",Solicitudes!$G$5:$G$154,"Aprobado",Solicitudes!$B$5:$B$154,"&gt;="&amp;'Saldo Vacaciones'!$E$2,Solicitudes!$B$5:$B$154,"&lt;="&amp;'Saldo Vacaciones'!$G$2))</f>
        <v/>
      </c>
      <c r="G10" s="49">
        <f>IF($A10="","",SUMIFS(Solicitudes!$D$5:$D$154,Solicitudes!$A$5:$A$154,$A10&amp;"",Solicitudes!$G$5:$G$154,"Pendiente",Solicitudes!$B$5:$B$154,"&gt;="&amp;'Saldo Vacaciones'!$E$2,Solicitudes!$B$5:$B$154,"&lt;="&amp;'Saldo Vacaciones'!$G$2))</f>
        <v/>
      </c>
      <c r="H10" s="49">
        <f>IF($E10="","",ROUND($E10-$F10-$G10,1))</f>
        <v/>
      </c>
      <c r="I10">
        <f>IF($A10="","",IF(AND($B10&lt;&gt;"",$B10&gt;$G$2),"⚠ la fecha de alta es posterior al cierre del año",IF(AND($C10&lt;&gt;"",$B10&lt;&gt;"",$C10&lt;$B10),"⚠ la fecha de baja es anterior a la de alta",IF($H10&lt;0,"⛔ saldo negativo",IF($H10=0,"⚠ sin días disponibles","")))))</f>
        <v/>
      </c>
    </row>
    <row r="11">
      <c r="A11">
        <f>IF('Calendario Anual'!$A12="","",'Calendario Anual'!$A12)</f>
        <v/>
      </c>
      <c r="B11" s="48" t="n"/>
      <c r="C11" s="48" t="n"/>
      <c r="D11" s="52" t="n"/>
      <c r="E11" s="49">
        <f>IFERROR(IF($A11="","",MAX(0,MIN(IF($D11="",$B$2,$D11),ROUND(IF($D11="",$B$2,$D11)*((IF($C11="",$G$2,MIN($C11,$G$2)))-(IF($B11="",$E$2,MAX($B11,$E$2)))+1)/($G$2-$E$2+1),1)))),"")</f>
        <v/>
      </c>
      <c r="F11" s="49">
        <f>IF($A11="","",SUMIFS(Solicitudes!$D$5:$D$154,Solicitudes!$A$5:$A$154,$A11&amp;"",Solicitudes!$G$5:$G$154,"Aprobado",Solicitudes!$B$5:$B$154,"&gt;="&amp;'Saldo Vacaciones'!$E$2,Solicitudes!$B$5:$B$154,"&lt;="&amp;'Saldo Vacaciones'!$G$2))</f>
        <v/>
      </c>
      <c r="G11" s="49">
        <f>IF($A11="","",SUMIFS(Solicitudes!$D$5:$D$154,Solicitudes!$A$5:$A$154,$A11&amp;"",Solicitudes!$G$5:$G$154,"Pendiente",Solicitudes!$B$5:$B$154,"&gt;="&amp;'Saldo Vacaciones'!$E$2,Solicitudes!$B$5:$B$154,"&lt;="&amp;'Saldo Vacaciones'!$G$2))</f>
        <v/>
      </c>
      <c r="H11" s="49">
        <f>IF($E11="","",ROUND($E11-$F11-$G11,1))</f>
        <v/>
      </c>
      <c r="I11">
        <f>IF($A11="","",IF(AND($B11&lt;&gt;"",$B11&gt;$G$2),"⚠ la fecha de alta es posterior al cierre del año",IF(AND($C11&lt;&gt;"",$B11&lt;&gt;"",$C11&lt;$B11),"⚠ la fecha de baja es anterior a la de alta",IF($H11&lt;0,"⛔ saldo negativo",IF($H11=0,"⚠ sin días disponibles","")))))</f>
        <v/>
      </c>
    </row>
    <row r="12">
      <c r="A12">
        <f>IF('Calendario Anual'!$A13="","",'Calendario Anual'!$A13)</f>
        <v/>
      </c>
      <c r="B12" s="48" t="n"/>
      <c r="C12" s="48" t="n"/>
      <c r="D12" s="52" t="n"/>
      <c r="E12" s="49">
        <f>IFERROR(IF($A12="","",MAX(0,MIN(IF($D12="",$B$2,$D12),ROUND(IF($D12="",$B$2,$D12)*((IF($C12="",$G$2,MIN($C12,$G$2)))-(IF($B12="",$E$2,MAX($B12,$E$2)))+1)/($G$2-$E$2+1),1)))),"")</f>
        <v/>
      </c>
      <c r="F12" s="49">
        <f>IF($A12="","",SUMIFS(Solicitudes!$D$5:$D$154,Solicitudes!$A$5:$A$154,$A12&amp;"",Solicitudes!$G$5:$G$154,"Aprobado",Solicitudes!$B$5:$B$154,"&gt;="&amp;'Saldo Vacaciones'!$E$2,Solicitudes!$B$5:$B$154,"&lt;="&amp;'Saldo Vacaciones'!$G$2))</f>
        <v/>
      </c>
      <c r="G12" s="49">
        <f>IF($A12="","",SUMIFS(Solicitudes!$D$5:$D$154,Solicitudes!$A$5:$A$154,$A12&amp;"",Solicitudes!$G$5:$G$154,"Pendiente",Solicitudes!$B$5:$B$154,"&gt;="&amp;'Saldo Vacaciones'!$E$2,Solicitudes!$B$5:$B$154,"&lt;="&amp;'Saldo Vacaciones'!$G$2))</f>
        <v/>
      </c>
      <c r="H12" s="49">
        <f>IF($E12="","",ROUND($E12-$F12-$G12,1))</f>
        <v/>
      </c>
      <c r="I12">
        <f>IF($A12="","",IF(AND($B12&lt;&gt;"",$B12&gt;$G$2),"⚠ la fecha de alta es posterior al cierre del año",IF(AND($C12&lt;&gt;"",$B12&lt;&gt;"",$C12&lt;$B12),"⚠ la fecha de baja es anterior a la de alta",IF($H12&lt;0,"⛔ saldo negativo",IF($H12=0,"⚠ sin días disponibles","")))))</f>
        <v/>
      </c>
    </row>
    <row r="13">
      <c r="A13">
        <f>IF('Calendario Anual'!$A14="","",'Calendario Anual'!$A14)</f>
        <v/>
      </c>
      <c r="B13" s="48" t="n"/>
      <c r="C13" s="48" t="n"/>
      <c r="D13" s="52" t="n"/>
      <c r="E13" s="49">
        <f>IFERROR(IF($A13="","",MAX(0,MIN(IF($D13="",$B$2,$D13),ROUND(IF($D13="",$B$2,$D13)*((IF($C13="",$G$2,MIN($C13,$G$2)))-(IF($B13="",$E$2,MAX($B13,$E$2)))+1)/($G$2-$E$2+1),1)))),"")</f>
        <v/>
      </c>
      <c r="F13" s="49">
        <f>IF($A13="","",SUMIFS(Solicitudes!$D$5:$D$154,Solicitudes!$A$5:$A$154,$A13&amp;"",Solicitudes!$G$5:$G$154,"Aprobado",Solicitudes!$B$5:$B$154,"&gt;="&amp;'Saldo Vacaciones'!$E$2,Solicitudes!$B$5:$B$154,"&lt;="&amp;'Saldo Vacaciones'!$G$2))</f>
        <v/>
      </c>
      <c r="G13" s="49">
        <f>IF($A13="","",SUMIFS(Solicitudes!$D$5:$D$154,Solicitudes!$A$5:$A$154,$A13&amp;"",Solicitudes!$G$5:$G$154,"Pendiente",Solicitudes!$B$5:$B$154,"&gt;="&amp;'Saldo Vacaciones'!$E$2,Solicitudes!$B$5:$B$154,"&lt;="&amp;'Saldo Vacaciones'!$G$2))</f>
        <v/>
      </c>
      <c r="H13" s="49">
        <f>IF($E13="","",ROUND($E13-$F13-$G13,1))</f>
        <v/>
      </c>
      <c r="I13">
        <f>IF($A13="","",IF(AND($B13&lt;&gt;"",$B13&gt;$G$2),"⚠ la fecha de alta es posterior al cierre del año",IF(AND($C13&lt;&gt;"",$B13&lt;&gt;"",$C13&lt;$B13),"⚠ la fecha de baja es anterior a la de alta",IF($H13&lt;0,"⛔ saldo negativo",IF($H13=0,"⚠ sin días disponibles","")))))</f>
        <v/>
      </c>
    </row>
    <row r="14">
      <c r="A14">
        <f>IF('Calendario Anual'!$A15="","",'Calendario Anual'!$A15)</f>
        <v/>
      </c>
      <c r="B14" s="48" t="n"/>
      <c r="C14" s="48" t="n"/>
      <c r="D14" s="52" t="n"/>
      <c r="E14" s="49">
        <f>IFERROR(IF($A14="","",MAX(0,MIN(IF($D14="",$B$2,$D14),ROUND(IF($D14="",$B$2,$D14)*((IF($C14="",$G$2,MIN($C14,$G$2)))-(IF($B14="",$E$2,MAX($B14,$E$2)))+1)/($G$2-$E$2+1),1)))),"")</f>
        <v/>
      </c>
      <c r="F14" s="49">
        <f>IF($A14="","",SUMIFS(Solicitudes!$D$5:$D$154,Solicitudes!$A$5:$A$154,$A14&amp;"",Solicitudes!$G$5:$G$154,"Aprobado",Solicitudes!$B$5:$B$154,"&gt;="&amp;'Saldo Vacaciones'!$E$2,Solicitudes!$B$5:$B$154,"&lt;="&amp;'Saldo Vacaciones'!$G$2))</f>
        <v/>
      </c>
      <c r="G14" s="49">
        <f>IF($A14="","",SUMIFS(Solicitudes!$D$5:$D$154,Solicitudes!$A$5:$A$154,$A14&amp;"",Solicitudes!$G$5:$G$154,"Pendiente",Solicitudes!$B$5:$B$154,"&gt;="&amp;'Saldo Vacaciones'!$E$2,Solicitudes!$B$5:$B$154,"&lt;="&amp;'Saldo Vacaciones'!$G$2))</f>
        <v/>
      </c>
      <c r="H14" s="49">
        <f>IF($E14="","",ROUND($E14-$F14-$G14,1))</f>
        <v/>
      </c>
      <c r="I14">
        <f>IF($A14="","",IF(AND($B14&lt;&gt;"",$B14&gt;$G$2),"⚠ la fecha de alta es posterior al cierre del año",IF(AND($C14&lt;&gt;"",$B14&lt;&gt;"",$C14&lt;$B14),"⚠ la fecha de baja es anterior a la de alta",IF($H14&lt;0,"⛔ saldo negativo",IF($H14=0,"⚠ sin días disponibles","")))))</f>
        <v/>
      </c>
    </row>
    <row r="15">
      <c r="A15">
        <f>IF('Calendario Anual'!$A16="","",'Calendario Anual'!$A16)</f>
        <v/>
      </c>
      <c r="B15" s="48" t="n"/>
      <c r="C15" s="48" t="n"/>
      <c r="D15" s="52" t="n"/>
      <c r="E15" s="49">
        <f>IFERROR(IF($A15="","",MAX(0,MIN(IF($D15="",$B$2,$D15),ROUND(IF($D15="",$B$2,$D15)*((IF($C15="",$G$2,MIN($C15,$G$2)))-(IF($B15="",$E$2,MAX($B15,$E$2)))+1)/($G$2-$E$2+1),1)))),"")</f>
        <v/>
      </c>
      <c r="F15" s="49">
        <f>IF($A15="","",SUMIFS(Solicitudes!$D$5:$D$154,Solicitudes!$A$5:$A$154,$A15&amp;"",Solicitudes!$G$5:$G$154,"Aprobado",Solicitudes!$B$5:$B$154,"&gt;="&amp;'Saldo Vacaciones'!$E$2,Solicitudes!$B$5:$B$154,"&lt;="&amp;'Saldo Vacaciones'!$G$2))</f>
        <v/>
      </c>
      <c r="G15" s="49">
        <f>IF($A15="","",SUMIFS(Solicitudes!$D$5:$D$154,Solicitudes!$A$5:$A$154,$A15&amp;"",Solicitudes!$G$5:$G$154,"Pendiente",Solicitudes!$B$5:$B$154,"&gt;="&amp;'Saldo Vacaciones'!$E$2,Solicitudes!$B$5:$B$154,"&lt;="&amp;'Saldo Vacaciones'!$G$2))</f>
        <v/>
      </c>
      <c r="H15" s="49">
        <f>IF($E15="","",ROUND($E15-$F15-$G15,1))</f>
        <v/>
      </c>
      <c r="I15">
        <f>IF($A15="","",IF(AND($B15&lt;&gt;"",$B15&gt;$G$2),"⚠ la fecha de alta es posterior al cierre del año",IF(AND($C15&lt;&gt;"",$B15&lt;&gt;"",$C15&lt;$B15),"⚠ la fecha de baja es anterior a la de alta",IF($H15&lt;0,"⛔ saldo negativo",IF($H15=0,"⚠ sin días disponibles","")))))</f>
        <v/>
      </c>
    </row>
    <row r="16">
      <c r="A16">
        <f>IF('Calendario Anual'!$A17="","",'Calendario Anual'!$A17)</f>
        <v/>
      </c>
      <c r="B16" s="48" t="n"/>
      <c r="C16" s="48" t="n"/>
      <c r="D16" s="52" t="n"/>
      <c r="E16" s="49">
        <f>IFERROR(IF($A16="","",MAX(0,MIN(IF($D16="",$B$2,$D16),ROUND(IF($D16="",$B$2,$D16)*((IF($C16="",$G$2,MIN($C16,$G$2)))-(IF($B16="",$E$2,MAX($B16,$E$2)))+1)/($G$2-$E$2+1),1)))),"")</f>
        <v/>
      </c>
      <c r="F16" s="49">
        <f>IF($A16="","",SUMIFS(Solicitudes!$D$5:$D$154,Solicitudes!$A$5:$A$154,$A16&amp;"",Solicitudes!$G$5:$G$154,"Aprobado",Solicitudes!$B$5:$B$154,"&gt;="&amp;'Saldo Vacaciones'!$E$2,Solicitudes!$B$5:$B$154,"&lt;="&amp;'Saldo Vacaciones'!$G$2))</f>
        <v/>
      </c>
      <c r="G16" s="49">
        <f>IF($A16="","",SUMIFS(Solicitudes!$D$5:$D$154,Solicitudes!$A$5:$A$154,$A16&amp;"",Solicitudes!$G$5:$G$154,"Pendiente",Solicitudes!$B$5:$B$154,"&gt;="&amp;'Saldo Vacaciones'!$E$2,Solicitudes!$B$5:$B$154,"&lt;="&amp;'Saldo Vacaciones'!$G$2))</f>
        <v/>
      </c>
      <c r="H16" s="49">
        <f>IF($E16="","",ROUND($E16-$F16-$G16,1))</f>
        <v/>
      </c>
      <c r="I16">
        <f>IF($A16="","",IF(AND($B16&lt;&gt;"",$B16&gt;$G$2),"⚠ la fecha de alta es posterior al cierre del año",IF(AND($C16&lt;&gt;"",$B16&lt;&gt;"",$C16&lt;$B16),"⚠ la fecha de baja es anterior a la de alta",IF($H16&lt;0,"⛔ saldo negativo",IF($H16=0,"⚠ sin días disponibles","")))))</f>
        <v/>
      </c>
    </row>
    <row r="17">
      <c r="A17">
        <f>IF('Calendario Anual'!$A18="","",'Calendario Anual'!$A18)</f>
        <v/>
      </c>
      <c r="B17" s="48" t="n"/>
      <c r="C17" s="48" t="n"/>
      <c r="D17" s="52" t="n"/>
      <c r="E17" s="49">
        <f>IFERROR(IF($A17="","",MAX(0,MIN(IF($D17="",$B$2,$D17),ROUND(IF($D17="",$B$2,$D17)*((IF($C17="",$G$2,MIN($C17,$G$2)))-(IF($B17="",$E$2,MAX($B17,$E$2)))+1)/($G$2-$E$2+1),1)))),"")</f>
        <v/>
      </c>
      <c r="F17" s="49">
        <f>IF($A17="","",SUMIFS(Solicitudes!$D$5:$D$154,Solicitudes!$A$5:$A$154,$A17&amp;"",Solicitudes!$G$5:$G$154,"Aprobado",Solicitudes!$B$5:$B$154,"&gt;="&amp;'Saldo Vacaciones'!$E$2,Solicitudes!$B$5:$B$154,"&lt;="&amp;'Saldo Vacaciones'!$G$2))</f>
        <v/>
      </c>
      <c r="G17" s="49">
        <f>IF($A17="","",SUMIFS(Solicitudes!$D$5:$D$154,Solicitudes!$A$5:$A$154,$A17&amp;"",Solicitudes!$G$5:$G$154,"Pendiente",Solicitudes!$B$5:$B$154,"&gt;="&amp;'Saldo Vacaciones'!$E$2,Solicitudes!$B$5:$B$154,"&lt;="&amp;'Saldo Vacaciones'!$G$2))</f>
        <v/>
      </c>
      <c r="H17" s="49">
        <f>IF($E17="","",ROUND($E17-$F17-$G17,1))</f>
        <v/>
      </c>
      <c r="I17">
        <f>IF($A17="","",IF(AND($B17&lt;&gt;"",$B17&gt;$G$2),"⚠ la fecha de alta es posterior al cierre del año",IF(AND($C17&lt;&gt;"",$B17&lt;&gt;"",$C17&lt;$B17),"⚠ la fecha de baja es anterior a la de alta",IF($H17&lt;0,"⛔ saldo negativo",IF($H17=0,"⚠ sin días disponibles","")))))</f>
        <v/>
      </c>
    </row>
    <row r="18">
      <c r="A18">
        <f>IF('Calendario Anual'!$A19="","",'Calendario Anual'!$A19)</f>
        <v/>
      </c>
      <c r="B18" s="48" t="n"/>
      <c r="C18" s="48" t="n"/>
      <c r="D18" s="52" t="n"/>
      <c r="E18" s="49">
        <f>IFERROR(IF($A18="","",MAX(0,MIN(IF($D18="",$B$2,$D18),ROUND(IF($D18="",$B$2,$D18)*((IF($C18="",$G$2,MIN($C18,$G$2)))-(IF($B18="",$E$2,MAX($B18,$E$2)))+1)/($G$2-$E$2+1),1)))),"")</f>
        <v/>
      </c>
      <c r="F18" s="49">
        <f>IF($A18="","",SUMIFS(Solicitudes!$D$5:$D$154,Solicitudes!$A$5:$A$154,$A18&amp;"",Solicitudes!$G$5:$G$154,"Aprobado",Solicitudes!$B$5:$B$154,"&gt;="&amp;'Saldo Vacaciones'!$E$2,Solicitudes!$B$5:$B$154,"&lt;="&amp;'Saldo Vacaciones'!$G$2))</f>
        <v/>
      </c>
      <c r="G18" s="49">
        <f>IF($A18="","",SUMIFS(Solicitudes!$D$5:$D$154,Solicitudes!$A$5:$A$154,$A18&amp;"",Solicitudes!$G$5:$G$154,"Pendiente",Solicitudes!$B$5:$B$154,"&gt;="&amp;'Saldo Vacaciones'!$E$2,Solicitudes!$B$5:$B$154,"&lt;="&amp;'Saldo Vacaciones'!$G$2))</f>
        <v/>
      </c>
      <c r="H18" s="49">
        <f>IF($E18="","",ROUND($E18-$F18-$G18,1))</f>
        <v/>
      </c>
      <c r="I18">
        <f>IF($A18="","",IF(AND($B18&lt;&gt;"",$B18&gt;$G$2),"⚠ la fecha de alta es posterior al cierre del año",IF(AND($C18&lt;&gt;"",$B18&lt;&gt;"",$C18&lt;$B18),"⚠ la fecha de baja es anterior a la de alta",IF($H18&lt;0,"⛔ saldo negativo",IF($H18=0,"⚠ sin días disponibles","")))))</f>
        <v/>
      </c>
    </row>
    <row r="19">
      <c r="A19">
        <f>IF('Calendario Anual'!$A20="","",'Calendario Anual'!$A20)</f>
        <v/>
      </c>
      <c r="B19" s="48" t="n"/>
      <c r="C19" s="48" t="n"/>
      <c r="D19" s="52" t="n"/>
      <c r="E19" s="49">
        <f>IFERROR(IF($A19="","",MAX(0,MIN(IF($D19="",$B$2,$D19),ROUND(IF($D19="",$B$2,$D19)*((IF($C19="",$G$2,MIN($C19,$G$2)))-(IF($B19="",$E$2,MAX($B19,$E$2)))+1)/($G$2-$E$2+1),1)))),"")</f>
        <v/>
      </c>
      <c r="F19" s="49">
        <f>IF($A19="","",SUMIFS(Solicitudes!$D$5:$D$154,Solicitudes!$A$5:$A$154,$A19&amp;"",Solicitudes!$G$5:$G$154,"Aprobado",Solicitudes!$B$5:$B$154,"&gt;="&amp;'Saldo Vacaciones'!$E$2,Solicitudes!$B$5:$B$154,"&lt;="&amp;'Saldo Vacaciones'!$G$2))</f>
        <v/>
      </c>
      <c r="G19" s="49">
        <f>IF($A19="","",SUMIFS(Solicitudes!$D$5:$D$154,Solicitudes!$A$5:$A$154,$A19&amp;"",Solicitudes!$G$5:$G$154,"Pendiente",Solicitudes!$B$5:$B$154,"&gt;="&amp;'Saldo Vacaciones'!$E$2,Solicitudes!$B$5:$B$154,"&lt;="&amp;'Saldo Vacaciones'!$G$2))</f>
        <v/>
      </c>
      <c r="H19" s="49">
        <f>IF($E19="","",ROUND($E19-$F19-$G19,1))</f>
        <v/>
      </c>
      <c r="I19">
        <f>IF($A19="","",IF(AND($B19&lt;&gt;"",$B19&gt;$G$2),"⚠ la fecha de alta es posterior al cierre del año",IF(AND($C19&lt;&gt;"",$B19&lt;&gt;"",$C19&lt;$B19),"⚠ la fecha de baja es anterior a la de alta",IF($H19&lt;0,"⛔ saldo negativo",IF($H19=0,"⚠ sin días disponibles","")))))</f>
        <v/>
      </c>
    </row>
    <row r="20">
      <c r="A20">
        <f>IF('Calendario Anual'!$A21="","",'Calendario Anual'!$A21)</f>
        <v/>
      </c>
      <c r="B20" s="48" t="n"/>
      <c r="C20" s="48" t="n"/>
      <c r="D20" s="52" t="n"/>
      <c r="E20" s="49">
        <f>IFERROR(IF($A20="","",MAX(0,MIN(IF($D20="",$B$2,$D20),ROUND(IF($D20="",$B$2,$D20)*((IF($C20="",$G$2,MIN($C20,$G$2)))-(IF($B20="",$E$2,MAX($B20,$E$2)))+1)/($G$2-$E$2+1),1)))),"")</f>
        <v/>
      </c>
      <c r="F20" s="49">
        <f>IF($A20="","",SUMIFS(Solicitudes!$D$5:$D$154,Solicitudes!$A$5:$A$154,$A20&amp;"",Solicitudes!$G$5:$G$154,"Aprobado",Solicitudes!$B$5:$B$154,"&gt;="&amp;'Saldo Vacaciones'!$E$2,Solicitudes!$B$5:$B$154,"&lt;="&amp;'Saldo Vacaciones'!$G$2))</f>
        <v/>
      </c>
      <c r="G20" s="49">
        <f>IF($A20="","",SUMIFS(Solicitudes!$D$5:$D$154,Solicitudes!$A$5:$A$154,$A20&amp;"",Solicitudes!$G$5:$G$154,"Pendiente",Solicitudes!$B$5:$B$154,"&gt;="&amp;'Saldo Vacaciones'!$E$2,Solicitudes!$B$5:$B$154,"&lt;="&amp;'Saldo Vacaciones'!$G$2))</f>
        <v/>
      </c>
      <c r="H20" s="49">
        <f>IF($E20="","",ROUND($E20-$F20-$G20,1))</f>
        <v/>
      </c>
      <c r="I20">
        <f>IF($A20="","",IF(AND($B20&lt;&gt;"",$B20&gt;$G$2),"⚠ la fecha de alta es posterior al cierre del año",IF(AND($C20&lt;&gt;"",$B20&lt;&gt;"",$C20&lt;$B20),"⚠ la fecha de baja es anterior a la de alta",IF($H20&lt;0,"⛔ saldo negativo",IF($H20=0,"⚠ sin días disponibles","")))))</f>
        <v/>
      </c>
    </row>
    <row r="21">
      <c r="A21">
        <f>IF('Calendario Anual'!$A22="","",'Calendario Anual'!$A22)</f>
        <v/>
      </c>
      <c r="B21" s="48" t="n"/>
      <c r="C21" s="48" t="n"/>
      <c r="D21" s="52" t="n"/>
      <c r="E21" s="49">
        <f>IFERROR(IF($A21="","",MAX(0,MIN(IF($D21="",$B$2,$D21),ROUND(IF($D21="",$B$2,$D21)*((IF($C21="",$G$2,MIN($C21,$G$2)))-(IF($B21="",$E$2,MAX($B21,$E$2)))+1)/($G$2-$E$2+1),1)))),"")</f>
        <v/>
      </c>
      <c r="F21" s="49">
        <f>IF($A21="","",SUMIFS(Solicitudes!$D$5:$D$154,Solicitudes!$A$5:$A$154,$A21&amp;"",Solicitudes!$G$5:$G$154,"Aprobado",Solicitudes!$B$5:$B$154,"&gt;="&amp;'Saldo Vacaciones'!$E$2,Solicitudes!$B$5:$B$154,"&lt;="&amp;'Saldo Vacaciones'!$G$2))</f>
        <v/>
      </c>
      <c r="G21" s="49">
        <f>IF($A21="","",SUMIFS(Solicitudes!$D$5:$D$154,Solicitudes!$A$5:$A$154,$A21&amp;"",Solicitudes!$G$5:$G$154,"Pendiente",Solicitudes!$B$5:$B$154,"&gt;="&amp;'Saldo Vacaciones'!$E$2,Solicitudes!$B$5:$B$154,"&lt;="&amp;'Saldo Vacaciones'!$G$2))</f>
        <v/>
      </c>
      <c r="H21" s="49">
        <f>IF($E21="","",ROUND($E21-$F21-$G21,1))</f>
        <v/>
      </c>
      <c r="I21">
        <f>IF($A21="","",IF(AND($B21&lt;&gt;"",$B21&gt;$G$2),"⚠ la fecha de alta es posterior al cierre del año",IF(AND($C21&lt;&gt;"",$B21&lt;&gt;"",$C21&lt;$B21),"⚠ la fecha de baja es anterior a la de alta",IF($H21&lt;0,"⛔ saldo negativo",IF($H21=0,"⚠ sin días disponibles","")))))</f>
        <v/>
      </c>
    </row>
    <row r="22">
      <c r="A22">
        <f>IF('Calendario Anual'!$A23="","",'Calendario Anual'!$A23)</f>
        <v/>
      </c>
      <c r="B22" s="48" t="n"/>
      <c r="C22" s="48" t="n"/>
      <c r="D22" s="52" t="n"/>
      <c r="E22" s="49">
        <f>IFERROR(IF($A22="","",MAX(0,MIN(IF($D22="",$B$2,$D22),ROUND(IF($D22="",$B$2,$D22)*((IF($C22="",$G$2,MIN($C22,$G$2)))-(IF($B22="",$E$2,MAX($B22,$E$2)))+1)/($G$2-$E$2+1),1)))),"")</f>
        <v/>
      </c>
      <c r="F22" s="49">
        <f>IF($A22="","",SUMIFS(Solicitudes!$D$5:$D$154,Solicitudes!$A$5:$A$154,$A22&amp;"",Solicitudes!$G$5:$G$154,"Aprobado",Solicitudes!$B$5:$B$154,"&gt;="&amp;'Saldo Vacaciones'!$E$2,Solicitudes!$B$5:$B$154,"&lt;="&amp;'Saldo Vacaciones'!$G$2))</f>
        <v/>
      </c>
      <c r="G22" s="49">
        <f>IF($A22="","",SUMIFS(Solicitudes!$D$5:$D$154,Solicitudes!$A$5:$A$154,$A22&amp;"",Solicitudes!$G$5:$G$154,"Pendiente",Solicitudes!$B$5:$B$154,"&gt;="&amp;'Saldo Vacaciones'!$E$2,Solicitudes!$B$5:$B$154,"&lt;="&amp;'Saldo Vacaciones'!$G$2))</f>
        <v/>
      </c>
      <c r="H22" s="49">
        <f>IF($E22="","",ROUND($E22-$F22-$G22,1))</f>
        <v/>
      </c>
      <c r="I22">
        <f>IF($A22="","",IF(AND($B22&lt;&gt;"",$B22&gt;$G$2),"⚠ la fecha de alta es posterior al cierre del año",IF(AND($C22&lt;&gt;"",$B22&lt;&gt;"",$C22&lt;$B22),"⚠ la fecha de baja es anterior a la de alta",IF($H22&lt;0,"⛔ saldo negativo",IF($H22=0,"⚠ sin días disponibles","")))))</f>
        <v/>
      </c>
    </row>
    <row r="23">
      <c r="A23">
        <f>IF('Calendario Anual'!$A24="","",'Calendario Anual'!$A24)</f>
        <v/>
      </c>
      <c r="B23" s="48" t="n"/>
      <c r="C23" s="48" t="n"/>
      <c r="D23" s="52" t="n"/>
      <c r="E23" s="49">
        <f>IFERROR(IF($A23="","",MAX(0,MIN(IF($D23="",$B$2,$D23),ROUND(IF($D23="",$B$2,$D23)*((IF($C23="",$G$2,MIN($C23,$G$2)))-(IF($B23="",$E$2,MAX($B23,$E$2)))+1)/($G$2-$E$2+1),1)))),"")</f>
        <v/>
      </c>
      <c r="F23" s="49">
        <f>IF($A23="","",SUMIFS(Solicitudes!$D$5:$D$154,Solicitudes!$A$5:$A$154,$A23&amp;"",Solicitudes!$G$5:$G$154,"Aprobado",Solicitudes!$B$5:$B$154,"&gt;="&amp;'Saldo Vacaciones'!$E$2,Solicitudes!$B$5:$B$154,"&lt;="&amp;'Saldo Vacaciones'!$G$2))</f>
        <v/>
      </c>
      <c r="G23" s="49">
        <f>IF($A23="","",SUMIFS(Solicitudes!$D$5:$D$154,Solicitudes!$A$5:$A$154,$A23&amp;"",Solicitudes!$G$5:$G$154,"Pendiente",Solicitudes!$B$5:$B$154,"&gt;="&amp;'Saldo Vacaciones'!$E$2,Solicitudes!$B$5:$B$154,"&lt;="&amp;'Saldo Vacaciones'!$G$2))</f>
        <v/>
      </c>
      <c r="H23" s="49">
        <f>IF($E23="","",ROUND($E23-$F23-$G23,1))</f>
        <v/>
      </c>
      <c r="I23">
        <f>IF($A23="","",IF(AND($B23&lt;&gt;"",$B23&gt;$G$2),"⚠ la fecha de alta es posterior al cierre del año",IF(AND($C23&lt;&gt;"",$B23&lt;&gt;"",$C23&lt;$B23),"⚠ la fecha de baja es anterior a la de alta",IF($H23&lt;0,"⛔ saldo negativo",IF($H23=0,"⚠ sin días disponibles","")))))</f>
        <v/>
      </c>
    </row>
    <row r="24">
      <c r="A24">
        <f>IF('Calendario Anual'!$A25="","",'Calendario Anual'!$A25)</f>
        <v/>
      </c>
      <c r="B24" s="48" t="n"/>
      <c r="C24" s="48" t="n"/>
      <c r="D24" s="52" t="n"/>
      <c r="E24" s="49">
        <f>IFERROR(IF($A24="","",MAX(0,MIN(IF($D24="",$B$2,$D24),ROUND(IF($D24="",$B$2,$D24)*((IF($C24="",$G$2,MIN($C24,$G$2)))-(IF($B24="",$E$2,MAX($B24,$E$2)))+1)/($G$2-$E$2+1),1)))),"")</f>
        <v/>
      </c>
      <c r="F24" s="49">
        <f>IF($A24="","",SUMIFS(Solicitudes!$D$5:$D$154,Solicitudes!$A$5:$A$154,$A24&amp;"",Solicitudes!$G$5:$G$154,"Aprobado",Solicitudes!$B$5:$B$154,"&gt;="&amp;'Saldo Vacaciones'!$E$2,Solicitudes!$B$5:$B$154,"&lt;="&amp;'Saldo Vacaciones'!$G$2))</f>
        <v/>
      </c>
      <c r="G24" s="49">
        <f>IF($A24="","",SUMIFS(Solicitudes!$D$5:$D$154,Solicitudes!$A$5:$A$154,$A24&amp;"",Solicitudes!$G$5:$G$154,"Pendiente",Solicitudes!$B$5:$B$154,"&gt;="&amp;'Saldo Vacaciones'!$E$2,Solicitudes!$B$5:$B$154,"&lt;="&amp;'Saldo Vacaciones'!$G$2))</f>
        <v/>
      </c>
      <c r="H24" s="49">
        <f>IF($E24="","",ROUND($E24-$F24-$G24,1))</f>
        <v/>
      </c>
      <c r="I24">
        <f>IF($A24="","",IF(AND($B24&lt;&gt;"",$B24&gt;$G$2),"⚠ la fecha de alta es posterior al cierre del año",IF(AND($C24&lt;&gt;"",$B24&lt;&gt;"",$C24&lt;$B24),"⚠ la fecha de baja es anterior a la de alta",IF($H24&lt;0,"⛔ saldo negativo",IF($H24=0,"⚠ sin días disponibles","")))))</f>
        <v/>
      </c>
    </row>
    <row r="25">
      <c r="A25">
        <f>IF('Calendario Anual'!$A26="","",'Calendario Anual'!$A26)</f>
        <v/>
      </c>
      <c r="B25" s="48" t="n"/>
      <c r="C25" s="48" t="n"/>
      <c r="D25" s="52" t="n"/>
      <c r="E25" s="49">
        <f>IFERROR(IF($A25="","",MAX(0,MIN(IF($D25="",$B$2,$D25),ROUND(IF($D25="",$B$2,$D25)*((IF($C25="",$G$2,MIN($C25,$G$2)))-(IF($B25="",$E$2,MAX($B25,$E$2)))+1)/($G$2-$E$2+1),1)))),"")</f>
        <v/>
      </c>
      <c r="F25" s="49">
        <f>IF($A25="","",SUMIFS(Solicitudes!$D$5:$D$154,Solicitudes!$A$5:$A$154,$A25&amp;"",Solicitudes!$G$5:$G$154,"Aprobado",Solicitudes!$B$5:$B$154,"&gt;="&amp;'Saldo Vacaciones'!$E$2,Solicitudes!$B$5:$B$154,"&lt;="&amp;'Saldo Vacaciones'!$G$2))</f>
        <v/>
      </c>
      <c r="G25" s="49">
        <f>IF($A25="","",SUMIFS(Solicitudes!$D$5:$D$154,Solicitudes!$A$5:$A$154,$A25&amp;"",Solicitudes!$G$5:$G$154,"Pendiente",Solicitudes!$B$5:$B$154,"&gt;="&amp;'Saldo Vacaciones'!$E$2,Solicitudes!$B$5:$B$154,"&lt;="&amp;'Saldo Vacaciones'!$G$2))</f>
        <v/>
      </c>
      <c r="H25" s="49">
        <f>IF($E25="","",ROUND($E25-$F25-$G25,1))</f>
        <v/>
      </c>
      <c r="I25">
        <f>IF($A25="","",IF(AND($B25&lt;&gt;"",$B25&gt;$G$2),"⚠ la fecha de alta es posterior al cierre del año",IF(AND($C25&lt;&gt;"",$B25&lt;&gt;"",$C25&lt;$B25),"⚠ la fecha de baja es anterior a la de alta",IF($H25&lt;0,"⛔ saldo negativo",IF($H25=0,"⚠ sin días disponibles","")))))</f>
        <v/>
      </c>
    </row>
    <row r="26">
      <c r="A26">
        <f>IF('Calendario Anual'!$A27="","",'Calendario Anual'!$A27)</f>
        <v/>
      </c>
      <c r="B26" s="48" t="n"/>
      <c r="C26" s="48" t="n"/>
      <c r="D26" s="52" t="n"/>
      <c r="E26" s="49">
        <f>IFERROR(IF($A26="","",MAX(0,MIN(IF($D26="",$B$2,$D26),ROUND(IF($D26="",$B$2,$D26)*((IF($C26="",$G$2,MIN($C26,$G$2)))-(IF($B26="",$E$2,MAX($B26,$E$2)))+1)/($G$2-$E$2+1),1)))),"")</f>
        <v/>
      </c>
      <c r="F26" s="49">
        <f>IF($A26="","",SUMIFS(Solicitudes!$D$5:$D$154,Solicitudes!$A$5:$A$154,$A26&amp;"",Solicitudes!$G$5:$G$154,"Aprobado",Solicitudes!$B$5:$B$154,"&gt;="&amp;'Saldo Vacaciones'!$E$2,Solicitudes!$B$5:$B$154,"&lt;="&amp;'Saldo Vacaciones'!$G$2))</f>
        <v/>
      </c>
      <c r="G26" s="49">
        <f>IF($A26="","",SUMIFS(Solicitudes!$D$5:$D$154,Solicitudes!$A$5:$A$154,$A26&amp;"",Solicitudes!$G$5:$G$154,"Pendiente",Solicitudes!$B$5:$B$154,"&gt;="&amp;'Saldo Vacaciones'!$E$2,Solicitudes!$B$5:$B$154,"&lt;="&amp;'Saldo Vacaciones'!$G$2))</f>
        <v/>
      </c>
      <c r="H26" s="49">
        <f>IF($E26="","",ROUND($E26-$F26-$G26,1))</f>
        <v/>
      </c>
      <c r="I26">
        <f>IF($A26="","",IF(AND($B26&lt;&gt;"",$B26&gt;$G$2),"⚠ la fecha de alta es posterior al cierre del año",IF(AND($C26&lt;&gt;"",$B26&lt;&gt;"",$C26&lt;$B26),"⚠ la fecha de baja es anterior a la de alta",IF($H26&lt;0,"⛔ saldo negativo",IF($H26=0,"⚠ sin días disponibles","")))))</f>
        <v/>
      </c>
    </row>
    <row r="27">
      <c r="A27">
        <f>IF('Calendario Anual'!$A28="","",'Calendario Anual'!$A28)</f>
        <v/>
      </c>
      <c r="B27" s="48" t="n"/>
      <c r="C27" s="48" t="n"/>
      <c r="D27" s="52" t="n"/>
      <c r="E27" s="49">
        <f>IFERROR(IF($A27="","",MAX(0,MIN(IF($D27="",$B$2,$D27),ROUND(IF($D27="",$B$2,$D27)*((IF($C27="",$G$2,MIN($C27,$G$2)))-(IF($B27="",$E$2,MAX($B27,$E$2)))+1)/($G$2-$E$2+1),1)))),"")</f>
        <v/>
      </c>
      <c r="F27" s="49">
        <f>IF($A27="","",SUMIFS(Solicitudes!$D$5:$D$154,Solicitudes!$A$5:$A$154,$A27&amp;"",Solicitudes!$G$5:$G$154,"Aprobado",Solicitudes!$B$5:$B$154,"&gt;="&amp;'Saldo Vacaciones'!$E$2,Solicitudes!$B$5:$B$154,"&lt;="&amp;'Saldo Vacaciones'!$G$2))</f>
        <v/>
      </c>
      <c r="G27" s="49">
        <f>IF($A27="","",SUMIFS(Solicitudes!$D$5:$D$154,Solicitudes!$A$5:$A$154,$A27&amp;"",Solicitudes!$G$5:$G$154,"Pendiente",Solicitudes!$B$5:$B$154,"&gt;="&amp;'Saldo Vacaciones'!$E$2,Solicitudes!$B$5:$B$154,"&lt;="&amp;'Saldo Vacaciones'!$G$2))</f>
        <v/>
      </c>
      <c r="H27" s="49">
        <f>IF($E27="","",ROUND($E27-$F27-$G27,1))</f>
        <v/>
      </c>
      <c r="I27">
        <f>IF($A27="","",IF(AND($B27&lt;&gt;"",$B27&gt;$G$2),"⚠ la fecha de alta es posterior al cierre del año",IF(AND($C27&lt;&gt;"",$B27&lt;&gt;"",$C27&lt;$B27),"⚠ la fecha de baja es anterior a la de alta",IF($H27&lt;0,"⛔ saldo negativo",IF($H27=0,"⚠ sin días disponibles","")))))</f>
        <v/>
      </c>
    </row>
    <row r="28">
      <c r="A28">
        <f>IF('Calendario Anual'!$A29="","",'Calendario Anual'!$A29)</f>
        <v/>
      </c>
      <c r="B28" s="48" t="n"/>
      <c r="C28" s="48" t="n"/>
      <c r="D28" s="52" t="n"/>
      <c r="E28" s="49">
        <f>IFERROR(IF($A28="","",MAX(0,MIN(IF($D28="",$B$2,$D28),ROUND(IF($D28="",$B$2,$D28)*((IF($C28="",$G$2,MIN($C28,$G$2)))-(IF($B28="",$E$2,MAX($B28,$E$2)))+1)/($G$2-$E$2+1),1)))),"")</f>
        <v/>
      </c>
      <c r="F28" s="49">
        <f>IF($A28="","",SUMIFS(Solicitudes!$D$5:$D$154,Solicitudes!$A$5:$A$154,$A28&amp;"",Solicitudes!$G$5:$G$154,"Aprobado",Solicitudes!$B$5:$B$154,"&gt;="&amp;'Saldo Vacaciones'!$E$2,Solicitudes!$B$5:$B$154,"&lt;="&amp;'Saldo Vacaciones'!$G$2))</f>
        <v/>
      </c>
      <c r="G28" s="49">
        <f>IF($A28="","",SUMIFS(Solicitudes!$D$5:$D$154,Solicitudes!$A$5:$A$154,$A28&amp;"",Solicitudes!$G$5:$G$154,"Pendiente",Solicitudes!$B$5:$B$154,"&gt;="&amp;'Saldo Vacaciones'!$E$2,Solicitudes!$B$5:$B$154,"&lt;="&amp;'Saldo Vacaciones'!$G$2))</f>
        <v/>
      </c>
      <c r="H28" s="49">
        <f>IF($E28="","",ROUND($E28-$F28-$G28,1))</f>
        <v/>
      </c>
      <c r="I28">
        <f>IF($A28="","",IF(AND($B28&lt;&gt;"",$B28&gt;$G$2),"⚠ la fecha de alta es posterior al cierre del año",IF(AND($C28&lt;&gt;"",$B28&lt;&gt;"",$C28&lt;$B28),"⚠ la fecha de baja es anterior a la de alta",IF($H28&lt;0,"⛔ saldo negativo",IF($H28=0,"⚠ sin días disponibles","")))))</f>
        <v/>
      </c>
    </row>
    <row r="29">
      <c r="A29">
        <f>IF('Calendario Anual'!$A30="","",'Calendario Anual'!$A30)</f>
        <v/>
      </c>
      <c r="B29" s="48" t="n"/>
      <c r="C29" s="48" t="n"/>
      <c r="D29" s="52" t="n"/>
      <c r="E29" s="49">
        <f>IFERROR(IF($A29="","",MAX(0,MIN(IF($D29="",$B$2,$D29),ROUND(IF($D29="",$B$2,$D29)*((IF($C29="",$G$2,MIN($C29,$G$2)))-(IF($B29="",$E$2,MAX($B29,$E$2)))+1)/($G$2-$E$2+1),1)))),"")</f>
        <v/>
      </c>
      <c r="F29" s="49">
        <f>IF($A29="","",SUMIFS(Solicitudes!$D$5:$D$154,Solicitudes!$A$5:$A$154,$A29&amp;"",Solicitudes!$G$5:$G$154,"Aprobado",Solicitudes!$B$5:$B$154,"&gt;="&amp;'Saldo Vacaciones'!$E$2,Solicitudes!$B$5:$B$154,"&lt;="&amp;'Saldo Vacaciones'!$G$2))</f>
        <v/>
      </c>
      <c r="G29" s="49">
        <f>IF($A29="","",SUMIFS(Solicitudes!$D$5:$D$154,Solicitudes!$A$5:$A$154,$A29&amp;"",Solicitudes!$G$5:$G$154,"Pendiente",Solicitudes!$B$5:$B$154,"&gt;="&amp;'Saldo Vacaciones'!$E$2,Solicitudes!$B$5:$B$154,"&lt;="&amp;'Saldo Vacaciones'!$G$2))</f>
        <v/>
      </c>
      <c r="H29" s="49">
        <f>IF($E29="","",ROUND($E29-$F29-$G29,1))</f>
        <v/>
      </c>
      <c r="I29">
        <f>IF($A29="","",IF(AND($B29&lt;&gt;"",$B29&gt;$G$2),"⚠ la fecha de alta es posterior al cierre del año",IF(AND($C29&lt;&gt;"",$B29&lt;&gt;"",$C29&lt;$B29),"⚠ la fecha de baja es anterior a la de alta",IF($H29&lt;0,"⛔ saldo negativo",IF($H29=0,"⚠ sin días disponibles","")))))</f>
        <v/>
      </c>
    </row>
    <row r="30">
      <c r="A30">
        <f>IF('Calendario Anual'!$A31="","",'Calendario Anual'!$A31)</f>
        <v/>
      </c>
      <c r="B30" s="48" t="n"/>
      <c r="C30" s="48" t="n"/>
      <c r="D30" s="52" t="n"/>
      <c r="E30" s="49">
        <f>IFERROR(IF($A30="","",MAX(0,MIN(IF($D30="",$B$2,$D30),ROUND(IF($D30="",$B$2,$D30)*((IF($C30="",$G$2,MIN($C30,$G$2)))-(IF($B30="",$E$2,MAX($B30,$E$2)))+1)/($G$2-$E$2+1),1)))),"")</f>
        <v/>
      </c>
      <c r="F30" s="49">
        <f>IF($A30="","",SUMIFS(Solicitudes!$D$5:$D$154,Solicitudes!$A$5:$A$154,$A30&amp;"",Solicitudes!$G$5:$G$154,"Aprobado",Solicitudes!$B$5:$B$154,"&gt;="&amp;'Saldo Vacaciones'!$E$2,Solicitudes!$B$5:$B$154,"&lt;="&amp;'Saldo Vacaciones'!$G$2))</f>
        <v/>
      </c>
      <c r="G30" s="49">
        <f>IF($A30="","",SUMIFS(Solicitudes!$D$5:$D$154,Solicitudes!$A$5:$A$154,$A30&amp;"",Solicitudes!$G$5:$G$154,"Pendiente",Solicitudes!$B$5:$B$154,"&gt;="&amp;'Saldo Vacaciones'!$E$2,Solicitudes!$B$5:$B$154,"&lt;="&amp;'Saldo Vacaciones'!$G$2))</f>
        <v/>
      </c>
      <c r="H30" s="49">
        <f>IF($E30="","",ROUND($E30-$F30-$G30,1))</f>
        <v/>
      </c>
      <c r="I30">
        <f>IF($A30="","",IF(AND($B30&lt;&gt;"",$B30&gt;$G$2),"⚠ la fecha de alta es posterior al cierre del año",IF(AND($C30&lt;&gt;"",$B30&lt;&gt;"",$C30&lt;$B30),"⚠ la fecha de baja es anterior a la de alta",IF($H30&lt;0,"⛔ saldo negativo",IF($H30=0,"⚠ sin días disponibles","")))))</f>
        <v/>
      </c>
    </row>
    <row r="31">
      <c r="A31">
        <f>IF('Calendario Anual'!$A32="","",'Calendario Anual'!$A32)</f>
        <v/>
      </c>
      <c r="B31" s="48" t="n"/>
      <c r="C31" s="48" t="n"/>
      <c r="D31" s="52" t="n"/>
      <c r="E31" s="49">
        <f>IFERROR(IF($A31="","",MAX(0,MIN(IF($D31="",$B$2,$D31),ROUND(IF($D31="",$B$2,$D31)*((IF($C31="",$G$2,MIN($C31,$G$2)))-(IF($B31="",$E$2,MAX($B31,$E$2)))+1)/($G$2-$E$2+1),1)))),"")</f>
        <v/>
      </c>
      <c r="F31" s="49">
        <f>IF($A31="","",SUMIFS(Solicitudes!$D$5:$D$154,Solicitudes!$A$5:$A$154,$A31&amp;"",Solicitudes!$G$5:$G$154,"Aprobado",Solicitudes!$B$5:$B$154,"&gt;="&amp;'Saldo Vacaciones'!$E$2,Solicitudes!$B$5:$B$154,"&lt;="&amp;'Saldo Vacaciones'!$G$2))</f>
        <v/>
      </c>
      <c r="G31" s="49">
        <f>IF($A31="","",SUMIFS(Solicitudes!$D$5:$D$154,Solicitudes!$A$5:$A$154,$A31&amp;"",Solicitudes!$G$5:$G$154,"Pendiente",Solicitudes!$B$5:$B$154,"&gt;="&amp;'Saldo Vacaciones'!$E$2,Solicitudes!$B$5:$B$154,"&lt;="&amp;'Saldo Vacaciones'!$G$2))</f>
        <v/>
      </c>
      <c r="H31" s="49">
        <f>IF($E31="","",ROUND($E31-$F31-$G31,1))</f>
        <v/>
      </c>
      <c r="I31">
        <f>IF($A31="","",IF(AND($B31&lt;&gt;"",$B31&gt;$G$2),"⚠ la fecha de alta es posterior al cierre del año",IF(AND($C31&lt;&gt;"",$B31&lt;&gt;"",$C31&lt;$B31),"⚠ la fecha de baja es anterior a la de alta",IF($H31&lt;0,"⛔ saldo negativo",IF($H31=0,"⚠ sin días disponibles","")))))</f>
        <v/>
      </c>
    </row>
    <row r="32">
      <c r="A32">
        <f>IF('Calendario Anual'!$A33="","",'Calendario Anual'!$A33)</f>
        <v/>
      </c>
      <c r="B32" s="48" t="n"/>
      <c r="C32" s="48" t="n"/>
      <c r="D32" s="52" t="n"/>
      <c r="E32" s="49">
        <f>IFERROR(IF($A32="","",MAX(0,MIN(IF($D32="",$B$2,$D32),ROUND(IF($D32="",$B$2,$D32)*((IF($C32="",$G$2,MIN($C32,$G$2)))-(IF($B32="",$E$2,MAX($B32,$E$2)))+1)/($G$2-$E$2+1),1)))),"")</f>
        <v/>
      </c>
      <c r="F32" s="49">
        <f>IF($A32="","",SUMIFS(Solicitudes!$D$5:$D$154,Solicitudes!$A$5:$A$154,$A32&amp;"",Solicitudes!$G$5:$G$154,"Aprobado",Solicitudes!$B$5:$B$154,"&gt;="&amp;'Saldo Vacaciones'!$E$2,Solicitudes!$B$5:$B$154,"&lt;="&amp;'Saldo Vacaciones'!$G$2))</f>
        <v/>
      </c>
      <c r="G32" s="49">
        <f>IF($A32="","",SUMIFS(Solicitudes!$D$5:$D$154,Solicitudes!$A$5:$A$154,$A32&amp;"",Solicitudes!$G$5:$G$154,"Pendiente",Solicitudes!$B$5:$B$154,"&gt;="&amp;'Saldo Vacaciones'!$E$2,Solicitudes!$B$5:$B$154,"&lt;="&amp;'Saldo Vacaciones'!$G$2))</f>
        <v/>
      </c>
      <c r="H32" s="49">
        <f>IF($E32="","",ROUND($E32-$F32-$G32,1))</f>
        <v/>
      </c>
      <c r="I32">
        <f>IF($A32="","",IF(AND($B32&lt;&gt;"",$B32&gt;$G$2),"⚠ la fecha de alta es posterior al cierre del año",IF(AND($C32&lt;&gt;"",$B32&lt;&gt;"",$C32&lt;$B32),"⚠ la fecha de baja es anterior a la de alta",IF($H32&lt;0,"⛔ saldo negativo",IF($H32=0,"⚠ sin días disponibles","")))))</f>
        <v/>
      </c>
    </row>
    <row r="33">
      <c r="A33">
        <f>IF('Calendario Anual'!$A34="","",'Calendario Anual'!$A34)</f>
        <v/>
      </c>
      <c r="B33" s="48" t="n"/>
      <c r="C33" s="48" t="n"/>
      <c r="D33" s="52" t="n"/>
      <c r="E33" s="49">
        <f>IFERROR(IF($A33="","",MAX(0,MIN(IF($D33="",$B$2,$D33),ROUND(IF($D33="",$B$2,$D33)*((IF($C33="",$G$2,MIN($C33,$G$2)))-(IF($B33="",$E$2,MAX($B33,$E$2)))+1)/($G$2-$E$2+1),1)))),"")</f>
        <v/>
      </c>
      <c r="F33" s="49">
        <f>IF($A33="","",SUMIFS(Solicitudes!$D$5:$D$154,Solicitudes!$A$5:$A$154,$A33&amp;"",Solicitudes!$G$5:$G$154,"Aprobado",Solicitudes!$B$5:$B$154,"&gt;="&amp;'Saldo Vacaciones'!$E$2,Solicitudes!$B$5:$B$154,"&lt;="&amp;'Saldo Vacaciones'!$G$2))</f>
        <v/>
      </c>
      <c r="G33" s="49">
        <f>IF($A33="","",SUMIFS(Solicitudes!$D$5:$D$154,Solicitudes!$A$5:$A$154,$A33&amp;"",Solicitudes!$G$5:$G$154,"Pendiente",Solicitudes!$B$5:$B$154,"&gt;="&amp;'Saldo Vacaciones'!$E$2,Solicitudes!$B$5:$B$154,"&lt;="&amp;'Saldo Vacaciones'!$G$2))</f>
        <v/>
      </c>
      <c r="H33" s="49">
        <f>IF($E33="","",ROUND($E33-$F33-$G33,1))</f>
        <v/>
      </c>
      <c r="I33">
        <f>IF($A33="","",IF(AND($B33&lt;&gt;"",$B33&gt;$G$2),"⚠ la fecha de alta es posterior al cierre del año",IF(AND($C33&lt;&gt;"",$B33&lt;&gt;"",$C33&lt;$B33),"⚠ la fecha de baja es anterior a la de alta",IF($H33&lt;0,"⛔ saldo negativo",IF($H33=0,"⚠ sin días disponibles","")))))</f>
        <v/>
      </c>
    </row>
    <row r="34">
      <c r="A34">
        <f>IF('Calendario Anual'!$A35="","",'Calendario Anual'!$A35)</f>
        <v/>
      </c>
      <c r="B34" s="48" t="n"/>
      <c r="C34" s="48" t="n"/>
      <c r="D34" s="52" t="n"/>
      <c r="E34" s="49">
        <f>IFERROR(IF($A34="","",MAX(0,MIN(IF($D34="",$B$2,$D34),ROUND(IF($D34="",$B$2,$D34)*((IF($C34="",$G$2,MIN($C34,$G$2)))-(IF($B34="",$E$2,MAX($B34,$E$2)))+1)/($G$2-$E$2+1),1)))),"")</f>
        <v/>
      </c>
      <c r="F34" s="49">
        <f>IF($A34="","",SUMIFS(Solicitudes!$D$5:$D$154,Solicitudes!$A$5:$A$154,$A34&amp;"",Solicitudes!$G$5:$G$154,"Aprobado",Solicitudes!$B$5:$B$154,"&gt;="&amp;'Saldo Vacaciones'!$E$2,Solicitudes!$B$5:$B$154,"&lt;="&amp;'Saldo Vacaciones'!$G$2))</f>
        <v/>
      </c>
      <c r="G34" s="49">
        <f>IF($A34="","",SUMIFS(Solicitudes!$D$5:$D$154,Solicitudes!$A$5:$A$154,$A34&amp;"",Solicitudes!$G$5:$G$154,"Pendiente",Solicitudes!$B$5:$B$154,"&gt;="&amp;'Saldo Vacaciones'!$E$2,Solicitudes!$B$5:$B$154,"&lt;="&amp;'Saldo Vacaciones'!$G$2))</f>
        <v/>
      </c>
      <c r="H34" s="49">
        <f>IF($E34="","",ROUND($E34-$F34-$G34,1))</f>
        <v/>
      </c>
      <c r="I34">
        <f>IF($A34="","",IF(AND($B34&lt;&gt;"",$B34&gt;$G$2),"⚠ la fecha de alta es posterior al cierre del año",IF(AND($C34&lt;&gt;"",$B34&lt;&gt;"",$C34&lt;$B34),"⚠ la fecha de baja es anterior a la de alta",IF($H34&lt;0,"⛔ saldo negativo",IF($H34=0,"⚠ sin días disponibles","")))))</f>
        <v/>
      </c>
    </row>
    <row r="35"/>
    <row r="36" ht="30" customHeight="1">
      <c r="A36" s="51" t="inlineStr">
        <is>
          <t>▸ «Le quedan» descuenta las solicitudes APROBADAS y también las PENDIENTES: es el saldo que puedes comprometer hoy sin aprobar dos veces los mismos días. Y sólo cuenta las de ESTE ejercicio (las fechas de arriba), así que el mismo libro sirve varios años sin falsear el saldo.</t>
        </is>
      </c>
    </row>
    <row r="37" ht="30" customHeight="1">
      <c r="A37" s="51" t="inlineStr">
        <is>
          <t>▸ El prorrateo es lineal sobre los días que la persona está de alta DENTRO del ejercicio: entra la fecha de alta y también la de baja o fin de contrato. Un temporal de enero a junio genera 15 días, no 30 — y ése es el número que va al finiquito. Tu convenio puede calcularlo por meses completos: en ese caso escribe los días que correspondan en «Días propios».</t>
        </is>
      </c>
    </row>
    <row r="38"/>
    <row r="39">
      <c r="A39" s="39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A3:I3"/>
    <mergeCell ref="A39:I39"/>
    <mergeCell ref="A1:I1"/>
    <mergeCell ref="A36:I36"/>
    <mergeCell ref="A37:I37"/>
  </mergeCells>
  <conditionalFormatting sqref="I5:I34">
    <cfRule type="containsText" priority="1" operator="containsText" dxfId="0" stopIfTrue="1" text="⛔">
      <formula>NOT(ISERROR(SEARCH("⛔",I5)))</formula>
    </cfRule>
    <cfRule type="containsText" priority="2" operator="containsText" dxfId="0" stopIfTrue="1" text="EXCESO">
      <formula>NOT(ISERROR(SEARCH("EXCESO",I5)))</formula>
    </cfRule>
    <cfRule type="containsText" priority="3" operator="containsText" dxfId="1" stopIfTrue="1" text="⚠">
      <formula>NOT(ISERROR(SEARCH("⚠",I5)))</formula>
    </cfRule>
    <cfRule type="containsText" priority="4" operator="containsText" dxfId="4" stopIfTrue="1" text="OK">
      <formula>NOT(ISERROR(SEARCH("OK",I5)))</formula>
    </cfRule>
  </conditionalFormatting>
  <dataValidations count="1">
    <dataValidation sqref="B2" showDropDown="0" showInputMessage="1" showErrorMessage="0" allowBlank="0" promptTitle="kitgp-v2 · dias_convenio" prompt="Art. 38 ET: 30 días naturales al año. Muchos convenios de hostelería lo expresan como 22 días laborables — si es tu caso, escribe 22 y cuenta sólo días de trabajo en las solicitudes."/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6" customWidth="1" min="3" max="3"/>
    <col width="12" customWidth="1" min="4" max="4"/>
    <col width="26" customWidth="1" min="5" max="5"/>
    <col width="16" customWidth="1" min="6" max="6"/>
    <col width="30" customWidth="1" min="7" max="7"/>
  </cols>
  <sheetData>
    <row r="1">
      <c r="A1" s="4" t="inlineStr">
        <is>
          <t>Plan de Cobertura durante Vacaciones</t>
        </is>
      </c>
    </row>
    <row r="2">
      <c r="A2" s="5" t="inlineStr">
        <is>
          <t>AI Chef Pro · aichef.pro — Kit Gestión de Personal y Turnos</t>
        </is>
      </c>
    </row>
    <row r="3">
      <c r="A3" t="inlineStr">
        <is>
          <t>Máximo de ausencias simultáneas por semana:</t>
        </is>
      </c>
      <c r="B3" s="52" t="n">
        <v>4</v>
      </c>
      <c r="C3" t="inlineStr">
        <is>
          <t>Máximo en TEMPORADA ALTA:</t>
        </is>
      </c>
      <c r="D3" s="52" t="n">
        <v>1</v>
      </c>
    </row>
    <row r="4">
      <c r="A4" s="56" t="inlineStr">
        <is>
          <t>PERSONAL MÍNIMO POR TURNO</t>
        </is>
      </c>
      <c r="B4" s="57" t="n"/>
      <c r="C4" s="57" t="n"/>
      <c r="D4" s="57" t="n"/>
      <c r="E4" s="57" t="n"/>
      <c r="F4" s="57" t="n"/>
    </row>
    <row r="5">
      <c r="A5" s="40" t="inlineStr">
        <is>
          <t>Turno</t>
        </is>
      </c>
      <c r="B5" s="40" t="inlineStr">
        <is>
          <t>Mínimo Personal</t>
        </is>
      </c>
      <c r="C5" s="40" t="inlineStr">
        <is>
          <t>Cocina</t>
        </is>
      </c>
      <c r="D5" s="40" t="inlineStr">
        <is>
          <t>Sala</t>
        </is>
      </c>
      <c r="E5" s="40" t="inlineStr">
        <is>
          <t>Barra</t>
        </is>
      </c>
    </row>
    <row r="6">
      <c r="A6" s="17" t="inlineStr">
        <is>
          <t>M · Mañana</t>
        </is>
      </c>
      <c r="B6" s="58">
        <f>IF(COUNT($C6:$E6)=0,"",$C6+$D6+$E6)</f>
        <v>4.0</v>
      </c>
      <c r="C6" s="59" t="n">
        <v>2</v>
      </c>
      <c r="D6" s="59" t="n">
        <v>2</v>
      </c>
      <c r="E6" s="59" t="n">
        <v>0</v>
      </c>
    </row>
    <row r="7">
      <c r="A7" s="17" t="inlineStr">
        <is>
          <t>T · Tarde</t>
        </is>
      </c>
      <c r="B7" s="58">
        <f>IF(COUNT($C7:$E7)=0,"",$C7+$D7+$E7)</f>
        <v>5.0</v>
      </c>
      <c r="C7" s="59" t="n">
        <v>2</v>
      </c>
      <c r="D7" s="59" t="n">
        <v>2</v>
      </c>
      <c r="E7" s="59" t="n">
        <v>1</v>
      </c>
    </row>
    <row r="8">
      <c r="A8" s="17" t="inlineStr">
        <is>
          <t>N · Noche (cierre)</t>
        </is>
      </c>
      <c r="B8" s="58">
        <f>IF(COUNT($C8:$E8)=0,"",$C8+$D8+$E8)</f>
        <v>2.0</v>
      </c>
      <c r="C8" s="59" t="n">
        <v>1</v>
      </c>
      <c r="D8" s="59" t="n">
        <v>1</v>
      </c>
      <c r="E8" s="59" t="n">
        <v>0</v>
      </c>
    </row>
    <row r="9" ht="42" customHeight="1">
      <c r="A9" s="51" t="inlineStr">
        <is>
          <t>▸ Por encima del máximo de B3 la fila «Cobertura» del calendario salta en ámbar; en temporada alta el umbral es el de D3. Los mínimos por turno son los que calculan el fichero 03 y el BONUS-02 para el caso por defecto (5 personas por servicio): son un punto de partida, ajústalos a tu carta. Y no son decorativos: el último indicador de abajo cuenta las semanas en que la plantilla disponible no llega al turno más exigente.</t>
        </is>
      </c>
    </row>
    <row r="10">
      <c r="A10" s="56" t="inlineStr">
        <is>
          <t>COBERTURA: QUIÉN SUSTITUYE A QUIÉN</t>
        </is>
      </c>
      <c r="B10" s="57" t="n"/>
      <c r="C10" s="57" t="n"/>
      <c r="D10" s="57" t="n"/>
      <c r="E10" s="57" t="n"/>
      <c r="F10" s="57" t="n"/>
    </row>
    <row r="11">
      <c r="A11" s="40" t="inlineStr">
        <is>
          <t>Empleado Ausente</t>
        </is>
      </c>
      <c r="B11" s="40" t="inlineStr">
        <is>
          <t>Puesto</t>
        </is>
      </c>
      <c r="C11" s="40" t="inlineStr">
        <is>
          <t>Sustituto 1</t>
        </is>
      </c>
      <c r="D11" s="40" t="inlineStr">
        <is>
          <t>Sustituto 2</t>
        </is>
      </c>
      <c r="E11" s="40" t="inlineStr">
        <is>
          <t>Notas</t>
        </is>
      </c>
      <c r="F11" s="41" t="inlineStr">
        <is>
          <t>Días pendientes</t>
        </is>
      </c>
      <c r="G11" s="41" t="inlineStr">
        <is>
          <t>Aviso</t>
        </is>
      </c>
    </row>
    <row r="12">
      <c r="A12" s="60" t="n"/>
      <c r="B12" s="60" t="n"/>
      <c r="C12" s="60" t="n"/>
      <c r="D12" s="60" t="n"/>
      <c r="E12" s="60" t="n"/>
      <c r="F12" s="35">
        <f>IFERROR(IF($A12="","",INDEX('Saldo Vacaciones'!$H$5:$H$34,MATCH($A12,'Saldo Vacaciones'!$A$5:$A$34,0))),"")</f>
        <v/>
      </c>
      <c r="G12">
        <f>IF($A12="","",IF(COUNTIF('Calendario Anual'!$A$6:$A$35,$A12&amp;"")=0,"⚠ ese nombre no está en el calendario",""))</f>
        <v/>
      </c>
    </row>
    <row r="13">
      <c r="A13" s="60" t="n"/>
      <c r="B13" s="60" t="n"/>
      <c r="C13" s="60" t="n"/>
      <c r="D13" s="60" t="n"/>
      <c r="E13" s="60" t="n"/>
      <c r="F13" s="35">
        <f>IFERROR(IF($A13="","",INDEX('Saldo Vacaciones'!$H$5:$H$34,MATCH($A13,'Saldo Vacaciones'!$A$5:$A$34,0))),"")</f>
        <v/>
      </c>
      <c r="G13">
        <f>IF($A13="","",IF(COUNTIF('Calendario Anual'!$A$6:$A$35,$A13&amp;"")=0,"⚠ ese nombre no está en el calendario",""))</f>
        <v/>
      </c>
    </row>
    <row r="14">
      <c r="A14" s="60" t="n"/>
      <c r="B14" s="60" t="n"/>
      <c r="C14" s="60" t="n"/>
      <c r="D14" s="60" t="n"/>
      <c r="E14" s="60" t="n"/>
      <c r="F14" s="35">
        <f>IFERROR(IF($A14="","",INDEX('Saldo Vacaciones'!$H$5:$H$34,MATCH($A14,'Saldo Vacaciones'!$A$5:$A$34,0))),"")</f>
        <v/>
      </c>
      <c r="G14">
        <f>IF($A14="","",IF(COUNTIF('Calendario Anual'!$A$6:$A$35,$A14&amp;"")=0,"⚠ ese nombre no está en el calendario",""))</f>
        <v/>
      </c>
    </row>
    <row r="15">
      <c r="A15" s="60" t="n"/>
      <c r="B15" s="60" t="n"/>
      <c r="C15" s="60" t="n"/>
      <c r="D15" s="60" t="n"/>
      <c r="E15" s="60" t="n"/>
      <c r="F15" s="35">
        <f>IFERROR(IF($A15="","",INDEX('Saldo Vacaciones'!$H$5:$H$34,MATCH($A15,'Saldo Vacaciones'!$A$5:$A$34,0))),"")</f>
        <v/>
      </c>
      <c r="G15">
        <f>IF($A15="","",IF(COUNTIF('Calendario Anual'!$A$6:$A$35,$A15&amp;"")=0,"⚠ ese nombre no está en el calendario",""))</f>
        <v/>
      </c>
    </row>
    <row r="16">
      <c r="A16" s="60" t="n"/>
      <c r="B16" s="60" t="n"/>
      <c r="C16" s="60" t="n"/>
      <c r="D16" s="60" t="n"/>
      <c r="E16" s="60" t="n"/>
      <c r="F16" s="35">
        <f>IFERROR(IF($A16="","",INDEX('Saldo Vacaciones'!$H$5:$H$34,MATCH($A16,'Saldo Vacaciones'!$A$5:$A$34,0))),"")</f>
        <v/>
      </c>
      <c r="G16">
        <f>IF($A16="","",IF(COUNTIF('Calendario Anual'!$A$6:$A$35,$A16&amp;"")=0,"⚠ ese nombre no está en el calendario",""))</f>
        <v/>
      </c>
    </row>
    <row r="17">
      <c r="A17" s="60" t="n"/>
      <c r="B17" s="60" t="n"/>
      <c r="C17" s="60" t="n"/>
      <c r="D17" s="60" t="n"/>
      <c r="E17" s="60" t="n"/>
      <c r="F17" s="35">
        <f>IFERROR(IF($A17="","",INDEX('Saldo Vacaciones'!$H$5:$H$34,MATCH($A17,'Saldo Vacaciones'!$A$5:$A$34,0))),"")</f>
        <v/>
      </c>
      <c r="G17">
        <f>IF($A17="","",IF(COUNTIF('Calendario Anual'!$A$6:$A$35,$A17&amp;"")=0,"⚠ ese nombre no está en el calendario",""))</f>
        <v/>
      </c>
    </row>
    <row r="18">
      <c r="A18" s="60" t="n"/>
      <c r="B18" s="60" t="n"/>
      <c r="C18" s="60" t="n"/>
      <c r="D18" s="60" t="n"/>
      <c r="E18" s="60" t="n"/>
      <c r="F18" s="35">
        <f>IFERROR(IF($A18="","",INDEX('Saldo Vacaciones'!$H$5:$H$34,MATCH($A18,'Saldo Vacaciones'!$A$5:$A$34,0))),"")</f>
        <v/>
      </c>
      <c r="G18">
        <f>IF($A18="","",IF(COUNTIF('Calendario Anual'!$A$6:$A$35,$A18&amp;"")=0,"⚠ ese nombre no está en el calendario",""))</f>
        <v/>
      </c>
    </row>
    <row r="19">
      <c r="A19" s="60" t="n"/>
      <c r="B19" s="60" t="n"/>
      <c r="C19" s="60" t="n"/>
      <c r="D19" s="60" t="n"/>
      <c r="E19" s="60" t="n"/>
      <c r="F19" s="35">
        <f>IFERROR(IF($A19="","",INDEX('Saldo Vacaciones'!$H$5:$H$34,MATCH($A19,'Saldo Vacaciones'!$A$5:$A$34,0))),"")</f>
        <v/>
      </c>
      <c r="G19">
        <f>IF($A19="","",IF(COUNTIF('Calendario Anual'!$A$6:$A$35,$A19&amp;"")=0,"⚠ ese nombre no está en el calendario",""))</f>
        <v/>
      </c>
    </row>
    <row r="20">
      <c r="A20" s="60" t="n"/>
      <c r="B20" s="60" t="n"/>
      <c r="C20" s="60" t="n"/>
      <c r="D20" s="60" t="n"/>
      <c r="E20" s="60" t="n"/>
      <c r="F20" s="35">
        <f>IFERROR(IF($A20="","",INDEX('Saldo Vacaciones'!$H$5:$H$34,MATCH($A20,'Saldo Vacaciones'!$A$5:$A$34,0))),"")</f>
        <v/>
      </c>
      <c r="G20">
        <f>IF($A20="","",IF(COUNTIF('Calendario Anual'!$A$6:$A$35,$A20&amp;"")=0,"⚠ ese nombre no está en el calendario",""))</f>
        <v/>
      </c>
    </row>
    <row r="21">
      <c r="A21" s="60" t="n"/>
      <c r="B21" s="60" t="n"/>
      <c r="C21" s="60" t="n"/>
      <c r="D21" s="60" t="n"/>
      <c r="E21" s="60" t="n"/>
      <c r="F21" s="35">
        <f>IFERROR(IF($A21="","",INDEX('Saldo Vacaciones'!$H$5:$H$34,MATCH($A21,'Saldo Vacaciones'!$A$5:$A$34,0))),"")</f>
        <v/>
      </c>
      <c r="G21">
        <f>IF($A21="","",IF(COUNTIF('Calendario Anual'!$A$6:$A$35,$A21&amp;"")=0,"⚠ ese nombre no está en el calendario",""))</f>
        <v/>
      </c>
    </row>
    <row r="22">
      <c r="A22" s="60" t="n"/>
      <c r="B22" s="60" t="n"/>
      <c r="C22" s="60" t="n"/>
      <c r="D22" s="60" t="n"/>
      <c r="E22" s="60" t="n"/>
      <c r="F22" s="35">
        <f>IFERROR(IF($A22="","",INDEX('Saldo Vacaciones'!$H$5:$H$34,MATCH($A22,'Saldo Vacaciones'!$A$5:$A$34,0))),"")</f>
        <v/>
      </c>
      <c r="G22">
        <f>IF($A22="","",IF(COUNTIF('Calendario Anual'!$A$6:$A$35,$A22&amp;"")=0,"⚠ ese nombre no está en el calendario",""))</f>
        <v/>
      </c>
    </row>
    <row r="23">
      <c r="A23" s="60" t="n"/>
      <c r="B23" s="60" t="n"/>
      <c r="C23" s="60" t="n"/>
      <c r="D23" s="60" t="n"/>
      <c r="E23" s="60" t="n"/>
      <c r="F23" s="35">
        <f>IFERROR(IF($A23="","",INDEX('Saldo Vacaciones'!$H$5:$H$34,MATCH($A23,'Saldo Vacaciones'!$A$5:$A$34,0))),"")</f>
        <v/>
      </c>
      <c r="G23">
        <f>IF($A23="","",IF(COUNTIF('Calendario Anual'!$A$6:$A$35,$A23&amp;"")=0,"⚠ ese nombre no está en el calendario",""))</f>
        <v/>
      </c>
    </row>
    <row r="24">
      <c r="A24" s="60" t="n"/>
      <c r="B24" s="60" t="n"/>
      <c r="C24" s="60" t="n"/>
      <c r="D24" s="60" t="n"/>
      <c r="E24" s="60" t="n"/>
      <c r="F24" s="35">
        <f>IFERROR(IF($A24="","",INDEX('Saldo Vacaciones'!$H$5:$H$34,MATCH($A24,'Saldo Vacaciones'!$A$5:$A$34,0))),"")</f>
        <v/>
      </c>
      <c r="G24">
        <f>IF($A24="","",IF(COUNTIF('Calendario Anual'!$A$6:$A$35,$A24&amp;"")=0,"⚠ ese nombre no está en el calendario",""))</f>
        <v/>
      </c>
    </row>
    <row r="25">
      <c r="A25" s="60" t="n"/>
      <c r="B25" s="60" t="n"/>
      <c r="C25" s="60" t="n"/>
      <c r="D25" s="60" t="n"/>
      <c r="E25" s="60" t="n"/>
      <c r="F25" s="35">
        <f>IFERROR(IF($A25="","",INDEX('Saldo Vacaciones'!$H$5:$H$34,MATCH($A25,'Saldo Vacaciones'!$A$5:$A$34,0))),"")</f>
        <v/>
      </c>
      <c r="G25">
        <f>IF($A25="","",IF(COUNTIF('Calendario Anual'!$A$6:$A$35,$A25&amp;"")=0,"⚠ ese nombre no está en el calendario",""))</f>
        <v/>
      </c>
    </row>
    <row r="26">
      <c r="A26" s="60" t="n"/>
      <c r="B26" s="60" t="n"/>
      <c r="C26" s="60" t="n"/>
      <c r="D26" s="60" t="n"/>
      <c r="E26" s="60" t="n"/>
      <c r="F26" s="35">
        <f>IFERROR(IF($A26="","",INDEX('Saldo Vacaciones'!$H$5:$H$34,MATCH($A26,'Saldo Vacaciones'!$A$5:$A$34,0))),"")</f>
        <v/>
      </c>
      <c r="G26">
        <f>IF($A26="","",IF(COUNTIF('Calendario Anual'!$A$6:$A$35,$A26&amp;"")=0,"⚠ ese nombre no está en el calendario",""))</f>
        <v/>
      </c>
    </row>
    <row r="27">
      <c r="A27" s="33" t="n"/>
      <c r="B27" s="33" t="n"/>
      <c r="C27" s="33" t="n"/>
      <c r="D27" s="33" t="n"/>
      <c r="E27" s="33" t="n"/>
      <c r="F27" s="35">
        <f>IFERROR(IF($A27="","",INDEX('Saldo Vacaciones'!$H$5:$H$34,MATCH($A27,'Saldo Vacaciones'!$A$5:$A$34,0))),"")</f>
        <v/>
      </c>
      <c r="G27">
        <f>IF($A27="","",IF(COUNTIF('Calendario Anual'!$A$6:$A$35,$A27&amp;"")=0,"⚠ ese nombre no está en el calendario",""))</f>
        <v/>
      </c>
    </row>
    <row r="28">
      <c r="A28" s="33" t="n"/>
      <c r="B28" s="33" t="n"/>
      <c r="C28" s="33" t="n"/>
      <c r="D28" s="33" t="n"/>
      <c r="E28" s="33" t="n"/>
      <c r="F28" s="35">
        <f>IFERROR(IF($A28="","",INDEX('Saldo Vacaciones'!$H$5:$H$34,MATCH($A28,'Saldo Vacaciones'!$A$5:$A$34,0))),"")</f>
        <v/>
      </c>
      <c r="G28">
        <f>IF($A28="","",IF(COUNTIF('Calendario Anual'!$A$6:$A$35,$A28&amp;"")=0,"⚠ ese nombre no está en el calendario",""))</f>
        <v/>
      </c>
    </row>
    <row r="29">
      <c r="A29" s="50" t="n"/>
      <c r="B29" s="33" t="n"/>
      <c r="C29" s="33" t="n"/>
      <c r="D29" s="33" t="n"/>
      <c r="E29" s="33" t="n"/>
      <c r="F29" s="35">
        <f>IFERROR(IF($A29="","",INDEX('Saldo Vacaciones'!$H$5:$H$34,MATCH($A29,'Saldo Vacaciones'!$A$5:$A$34,0))),"")</f>
        <v/>
      </c>
      <c r="G29">
        <f>IF($A29="","",IF(COUNTIF('Calendario Anual'!$A$6:$A$35,$A29&amp;"")=0,"⚠ ese nombre no está en el calendario",""))</f>
        <v/>
      </c>
    </row>
    <row r="30">
      <c r="A30" s="33" t="n"/>
      <c r="B30" s="33" t="n"/>
      <c r="C30" s="33" t="n"/>
      <c r="D30" s="33" t="n"/>
      <c r="E30" s="33" t="n"/>
      <c r="F30" s="35">
        <f>IFERROR(IF($A30="","",INDEX('Saldo Vacaciones'!$H$5:$H$34,MATCH($A30,'Saldo Vacaciones'!$A$5:$A$34,0))),"")</f>
        <v/>
      </c>
      <c r="G30">
        <f>IF($A30="","",IF(COUNTIF('Calendario Anual'!$A$6:$A$35,$A30&amp;"")=0,"⚠ ese nombre no está en el calendario",""))</f>
        <v/>
      </c>
    </row>
    <row r="31">
      <c r="A31" s="33" t="n"/>
      <c r="B31" s="33" t="n"/>
      <c r="C31" s="33" t="n"/>
      <c r="D31" s="33" t="n"/>
      <c r="E31" s="33" t="n"/>
      <c r="F31" s="35">
        <f>IFERROR(IF($A31="","",INDEX('Saldo Vacaciones'!$H$5:$H$34,MATCH($A31,'Saldo Vacaciones'!$A$5:$A$34,0))),"")</f>
        <v/>
      </c>
      <c r="G31">
        <f>IF($A31="","",IF(COUNTIF('Calendario Anual'!$A$6:$A$35,$A31&amp;"")=0,"⚠ ese nombre no está en el calendario",""))</f>
        <v/>
      </c>
    </row>
    <row r="32">
      <c r="A32" s="33" t="n"/>
      <c r="B32" s="33" t="n"/>
      <c r="C32" s="33" t="n"/>
      <c r="D32" s="33" t="n"/>
      <c r="E32" s="33" t="n"/>
      <c r="F32" s="35">
        <f>IFERROR(IF($A32="","",INDEX('Saldo Vacaciones'!$H$5:$H$34,MATCH($A32,'Saldo Vacaciones'!$A$5:$A$34,0))),"")</f>
        <v/>
      </c>
      <c r="G32">
        <f>IF($A32="","",IF(COUNTIF('Calendario Anual'!$A$6:$A$35,$A32&amp;"")=0,"⚠ ese nombre no está en el calendario",""))</f>
        <v/>
      </c>
    </row>
    <row r="33">
      <c r="A33" s="33" t="n"/>
      <c r="B33" s="33" t="n"/>
      <c r="C33" s="33" t="n"/>
      <c r="D33" s="33" t="n"/>
      <c r="E33" s="33" t="n"/>
      <c r="F33" s="35">
        <f>IFERROR(IF($A33="","",INDEX('Saldo Vacaciones'!$H$5:$H$34,MATCH($A33,'Saldo Vacaciones'!$A$5:$A$34,0))),"")</f>
        <v/>
      </c>
      <c r="G33">
        <f>IF($A33="","",IF(COUNTIF('Calendario Anual'!$A$6:$A$35,$A33&amp;"")=0,"⚠ ese nombre no está en el calendario",""))</f>
        <v/>
      </c>
    </row>
    <row r="34">
      <c r="A34" s="33" t="n"/>
      <c r="B34" s="33" t="n"/>
      <c r="C34" s="33" t="n"/>
      <c r="D34" s="33" t="n"/>
      <c r="E34" s="33" t="n"/>
      <c r="F34" s="35">
        <f>IFERROR(IF($A34="","",INDEX('Saldo Vacaciones'!$H$5:$H$34,MATCH($A34,'Saldo Vacaciones'!$A$5:$A$34,0))),"")</f>
        <v/>
      </c>
      <c r="G34">
        <f>IF($A34="","",IF(COUNTIF('Calendario Anual'!$A$6:$A$35,$A34&amp;"")=0,"⚠ ese nombre no está en el calendario",""))</f>
        <v/>
      </c>
    </row>
    <row r="35">
      <c r="A35" s="33" t="n"/>
      <c r="B35" s="33" t="n"/>
      <c r="C35" s="33" t="n"/>
      <c r="D35" s="33" t="n"/>
      <c r="E35" s="33" t="n"/>
      <c r="F35" s="35">
        <f>IFERROR(IF($A35="","",INDEX('Saldo Vacaciones'!$H$5:$H$34,MATCH($A35,'Saldo Vacaciones'!$A$5:$A$34,0))),"")</f>
        <v/>
      </c>
      <c r="G35">
        <f>IF($A35="","",IF(COUNTIF('Calendario Anual'!$A$6:$A$35,$A35&amp;"")=0,"⚠ ese nombre no está en el calendario",""))</f>
        <v/>
      </c>
    </row>
    <row r="36">
      <c r="A36" s="33" t="n"/>
      <c r="B36" s="33" t="n"/>
      <c r="C36" s="33" t="n"/>
      <c r="D36" s="33" t="n"/>
      <c r="E36" s="33" t="n"/>
      <c r="F36" s="35">
        <f>IFERROR(IF($A36="","",INDEX('Saldo Vacaciones'!$H$5:$H$34,MATCH($A36,'Saldo Vacaciones'!$A$5:$A$34,0))),"")</f>
        <v/>
      </c>
      <c r="G36">
        <f>IF($A36="","",IF(COUNTIF('Calendario Anual'!$A$6:$A$35,$A36&amp;"")=0,"⚠ ese nombre no está en el calendario",""))</f>
        <v/>
      </c>
    </row>
    <row r="37">
      <c r="A37" s="33" t="n"/>
      <c r="B37" s="33" t="n"/>
      <c r="C37" s="33" t="n"/>
      <c r="D37" s="33" t="n"/>
      <c r="E37" s="33" t="n"/>
      <c r="F37" s="35">
        <f>IFERROR(IF($A37="","",INDEX('Saldo Vacaciones'!$H$5:$H$34,MATCH($A37,'Saldo Vacaciones'!$A$5:$A$34,0))),"")</f>
        <v/>
      </c>
      <c r="G37">
        <f>IF($A37="","",IF(COUNTIF('Calendario Anual'!$A$6:$A$35,$A37&amp;"")=0,"⚠ ese nombre no está en el calendario",""))</f>
        <v/>
      </c>
    </row>
    <row r="38">
      <c r="A38" s="33" t="n"/>
      <c r="B38" s="33" t="n"/>
      <c r="C38" s="33" t="n"/>
      <c r="D38" s="33" t="n"/>
      <c r="E38" s="33" t="n"/>
      <c r="F38" s="35">
        <f>IFERROR(IF($A38="","",INDEX('Saldo Vacaciones'!$H$5:$H$34,MATCH($A38,'Saldo Vacaciones'!$A$5:$A$34,0))),"")</f>
        <v/>
      </c>
      <c r="G38">
        <f>IF($A38="","",IF(COUNTIF('Calendario Anual'!$A$6:$A$35,$A38&amp;"")=0,"⚠ ese nombre no está en el calendario",""))</f>
        <v/>
      </c>
    </row>
    <row r="39">
      <c r="A39" s="33" t="n"/>
      <c r="B39" s="33" t="n"/>
      <c r="C39" s="33" t="n"/>
      <c r="D39" s="33" t="n"/>
      <c r="E39" s="33" t="n"/>
      <c r="F39" s="35">
        <f>IFERROR(IF($A39="","",INDEX('Saldo Vacaciones'!$H$5:$H$34,MATCH($A39,'Saldo Vacaciones'!$A$5:$A$34,0))),"")</f>
        <v/>
      </c>
      <c r="G39">
        <f>IF($A39="","",IF(COUNTIF('Calendario Anual'!$A$6:$A$35,$A39&amp;"")=0,"⚠ ese nombre no está en el calendario",""))</f>
        <v/>
      </c>
    </row>
    <row r="40">
      <c r="A40" s="33" t="n"/>
      <c r="B40" s="33" t="n"/>
      <c r="C40" s="33" t="n"/>
      <c r="D40" s="33" t="n"/>
      <c r="E40" s="33" t="n"/>
      <c r="F40" s="35">
        <f>IFERROR(IF($A40="","",INDEX('Saldo Vacaciones'!$H$5:$H$34,MATCH($A40,'Saldo Vacaciones'!$A$5:$A$34,0))),"")</f>
        <v/>
      </c>
      <c r="G40">
        <f>IF($A40="","",IF(COUNTIF('Calendario Anual'!$A$6:$A$35,$A40&amp;"")=0,"⚠ ese nombre no está en el calendario",""))</f>
        <v/>
      </c>
    </row>
    <row r="41">
      <c r="A41" s="33" t="n"/>
      <c r="B41" s="33" t="n"/>
      <c r="C41" s="33" t="n"/>
      <c r="D41" s="33" t="n"/>
      <c r="E41" s="33" t="n"/>
      <c r="F41" s="35">
        <f>IFERROR(IF($A41="","",INDEX('Saldo Vacaciones'!$H$5:$H$34,MATCH($A41,'Saldo Vacaciones'!$A$5:$A$34,0))),"")</f>
        <v/>
      </c>
      <c r="G41">
        <f>IF($A41="","",IF(COUNTIF('Calendario Anual'!$A$6:$A$35,$A41&amp;"")=0,"⚠ ese nombre no está en el calendario",""))</f>
        <v/>
      </c>
    </row>
    <row r="42"/>
    <row r="43">
      <c r="A43" s="56" t="inlineStr">
        <is>
          <t>INDICADORES DE COBERTURA</t>
        </is>
      </c>
      <c r="B43" s="57" t="n"/>
      <c r="C43" s="57" t="n"/>
      <c r="D43" s="57" t="n"/>
      <c r="E43" s="57" t="n"/>
      <c r="F43" s="57" t="n"/>
      <c r="G43" s="57" t="n"/>
    </row>
    <row r="44">
      <c r="A44" t="inlineStr">
        <is>
          <t>Plantilla total en el calendario:</t>
        </is>
      </c>
      <c r="B44" s="35">
        <f>COUNTIF('Calendario Anual'!$A$6:$A$35,"?*")</f>
        <v>0.0</v>
      </c>
    </row>
    <row r="45">
      <c r="A45" t="inlineStr">
        <is>
          <t>Pico de ausencias simultáneas (peor semana):</t>
        </is>
      </c>
      <c r="B45" s="35">
        <f>MAX('Calendario Anual'!$B$39:$BB$39)</f>
        <v>0.0</v>
      </c>
    </row>
    <row r="46">
      <c r="A46" t="inlineStr">
        <is>
          <t>Semanas por encima de tu máximo:</t>
        </is>
      </c>
      <c r="B46" s="35">
        <f>COUNTIF('Calendario Anual'!$B$39:$BB$39,"&gt;"&amp;$B$3)</f>
        <v>0.0</v>
      </c>
    </row>
    <row r="47">
      <c r="A47" t="inlineStr">
        <is>
          <t>Semanas de temporada alta con alguien ausente:</t>
        </is>
      </c>
      <c r="B47" s="35">
        <f>SUMPRODUCT(('Calendario Anual'!$B$36:$BB$36="Alta")*('Calendario Anual'!$B$39:$BB$39&gt;0))</f>
        <v>0.0</v>
      </c>
    </row>
    <row r="48">
      <c r="A48" t="inlineStr">
        <is>
          <t>Semanas en que NO se cubre el turno más exigente (plantilla − ausencias &lt; mínimo):</t>
        </is>
      </c>
      <c r="B48" s="35">
        <f>IF($B$44=0,"",SUMPRODUCT((($B$44-'Calendario Anual'!$B$39:$BB$39)&lt;MAX($B$6:$B$8))*1))</f>
        <v/>
      </c>
    </row>
    <row r="49"/>
    <row r="50" ht="34" customHeight="1">
      <c r="A50" s="51" t="inlineStr">
        <is>
          <t>▸ Los indicadores leen la fila «Ausencias en la semana» del Calendario Anual, que ahora es la MAYOR de dos cuentas: lo que hayas pintado a mano en la rejilla (V, B y PE) y lo que sale solo de las solicitudes APROBADAS. Trabajes con la rejilla o con las solicitudes, la cobertura se entera.</t>
        </is>
      </c>
    </row>
    <row r="51"/>
    <row r="52">
      <c r="A52" s="39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A50:G50"/>
    <mergeCell ref="A52:G52"/>
    <mergeCell ref="A9:G9"/>
    <mergeCell ref="A1:G1"/>
    <mergeCell ref="A2:G2"/>
  </mergeCells>
  <conditionalFormatting sqref="G12:G41">
    <cfRule type="containsText" priority="1" operator="containsText" dxfId="0" stopIfTrue="1" text="⛔">
      <formula>NOT(ISERROR(SEARCH("⛔",G12)))</formula>
    </cfRule>
    <cfRule type="containsText" priority="2" operator="containsText" dxfId="0" stopIfTrue="1" text="EXCESO">
      <formula>NOT(ISERROR(SEARCH("EXCESO",G12)))</formula>
    </cfRule>
    <cfRule type="containsText" priority="3" operator="containsText" dxfId="1" stopIfTrue="1" text="⚠">
      <formula>NOT(ISERROR(SEARCH("⚠",G12)))</formula>
    </cfRule>
    <cfRule type="containsText" priority="4" operator="containsText" dxfId="4" stopIfTrue="1" text="OK">
      <formula>NOT(ISERROR(SEARCH("OK",G12)))</formula>
    </cfRule>
  </conditionalFormatting>
  <dataValidations count="1">
    <dataValidation sqref="B12:B41" showDropDown="0" showInputMessage="1" showErrorMessage="1" allowBlank="1" errorTitle="Puesto no válido" error="Elige el puesto de la persona ausente." promptTitle="kitgp-v2b · Puesto no válido" prompt="El puesto decide quién puede sustituir a quién: un ayudante de sala no cubre una jefatura de cocina. Si te falta alguno, desprotege la hoja y edita la lista." type="list" errorStyle="stop">
      <formula1>"Jefe/a de cocina,Segundo/a de cocina,Cocinero/a,Ayudante de cocina,Pastelero/a,Office,Jefe/a de sala,Camarero/a,Ayudante de camarero/a,Barman / Bartender,Sumiller,Host / Recepción,Repartidor/a,Encargado/a"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· Planificación de Vacaciones Anual · Kit Gestión de Personal y Turnos</dc:title>
  <dc:description xmlns:dc="http://purl.org/dc/elements/1.1/">aichef.pro/kit-gestion-personal</dc:description>
  <dc:subject xmlns:dc="http://purl.org/dc/elements/1.1/">Kit Gestión de Personal y Turnos · v2.0</dc:subject>
  <dcterms:created xmlns:dcterms="http://purl.org/dc/terms/" xmlns:xsi="http://www.w3.org/2001/XMLSchema-instance" xsi:type="dcterms:W3CDTF">2026-03-23T19:17:39Z</dcterms:created>
  <dcterms:modified xmlns:dcterms="http://purl.org/dc/terms/" xmlns:xsi="http://www.w3.org/2001/XMLSchema-instance" xsi:type="dcterms:W3CDTF">2026-08-24T04:12:38Z</dcterms:modified>
  <cp:lastModifiedBy>AI Chef Pro</cp:lastModifiedBy>
  <cp:category>AI Chef Pro · Productos digitales</cp:category>
  <cp:keywords>kit gestion personal, AI Chef Pro</cp:keywords>
</cp:coreProperties>
</file>