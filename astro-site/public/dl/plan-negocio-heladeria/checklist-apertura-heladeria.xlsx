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F1 - Constitución" sheetId="1" state="visible" r:id="rId1"/>
    <sheet xmlns:r="http://schemas.openxmlformats.org/officeDocument/2006/relationships" name="F2 - Local y licencia" sheetId="2" state="visible" r:id="rId2"/>
    <sheet xmlns:r="http://schemas.openxmlformats.org/officeDocument/2006/relationships" name="F3 - Obrador y sanidad" sheetId="3" state="visible" r:id="rId3"/>
    <sheet xmlns:r="http://schemas.openxmlformats.org/officeDocument/2006/relationships" name="F4 - Personal y APPCC" sheetId="4" state="visible" r:id="rId4"/>
    <sheet xmlns:r="http://schemas.openxmlformats.org/officeDocument/2006/relationships" name="F5 - Marca y carta" sheetId="5" state="visible" r:id="rId5"/>
    <sheet xmlns:r="http://schemas.openxmlformats.org/officeDocument/2006/relationships" name="F6 - Apertura y temporada" sheetId="6" state="visible" r:id="rId6"/>
    <sheet xmlns:r="http://schemas.openxmlformats.org/officeDocument/2006/relationships" name="Instrucciones" sheetId="7" state="visible" r:id="rId7"/>
  </sheets>
  <definedNames>
    <definedName name="_xlnm.Print_Titles" localSheetId="0">'F1 - Constitución'!$4:$4</definedName>
    <definedName name="_xlnm.Print_Titles" localSheetId="1">'F2 - Local y licencia'!$4:$4</definedName>
    <definedName name="_xlnm.Print_Titles" localSheetId="2">'F3 - Obrador y sanidad'!$4:$4</definedName>
    <definedName name="_xlnm.Print_Titles" localSheetId="3">'F4 - Personal y APPCC'!$4:$4</definedName>
    <definedName name="_xlnm.Print_Titles" localSheetId="4">'F5 - Marca y carta'!$4:$4</definedName>
    <definedName name="_xlnm.Print_Titles" localSheetId="5">'F6 - Apertura y temporada'!$4:$4</definedName>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name val="Georgia"/>
      <b val="1"/>
      <color rgb="001A1A1A"/>
      <sz val="16"/>
    </font>
    <font>
      <name val="Georgia"/>
      <b val="1"/>
      <color rgb="001A1A1A"/>
      <sz val="13"/>
    </font>
    <font>
      <name val="Calibri"/>
      <b val="1"/>
      <color rgb="00FFFFFF"/>
      <sz val="10"/>
    </font>
    <font>
      <name val="Calibri"/>
      <color rgb="001A1A1A"/>
      <sz val="10"/>
    </font>
    <font>
      <name val="Calibri"/>
      <b val="1"/>
      <sz val="10"/>
    </font>
    <font>
      <b val="1"/>
      <color theme="1"/>
      <sz val="11"/>
    </font>
  </fonts>
  <fills count="5">
    <fill>
      <patternFill/>
    </fill>
    <fill>
      <patternFill patternType="gray125"/>
    </fill>
    <fill>
      <patternFill patternType="solid">
        <fgColor rgb="001A1A1A"/>
        <bgColor rgb="001A1A1A"/>
      </patternFill>
    </fill>
    <fill>
      <patternFill patternType="solid">
        <fgColor rgb="00F5F0E8"/>
        <bgColor rgb="00F5F0E8"/>
      </patternFill>
    </fill>
    <fill>
      <patternFill patternType="solid">
        <fgColor rgb="00E8F5E9"/>
      </patternFill>
    </fill>
  </fills>
  <borders count="2">
    <border>
      <left/>
      <right/>
      <top/>
      <bottom/>
      <diagonal/>
    </border>
    <border>
      <bottom style="thin">
        <color rgb="00F5F0E8"/>
      </bottom>
    </border>
  </borders>
  <cellStyleXfs count="1">
    <xf numFmtId="0" fontId="0" fillId="0" borderId="0"/>
  </cellStyleXfs>
  <cellXfs count="18">
    <xf numFmtId="0" fontId="0" fillId="0" borderId="0" pivotButton="0" quotePrefix="0" xfId="0"/>
    <xf numFmtId="0" fontId="1" fillId="0" borderId="0" pivotButton="0" quotePrefix="0" xfId="0"/>
    <xf numFmtId="0" fontId="2" fillId="0" borderId="0" pivotButton="0" quotePrefix="0" xfId="0"/>
    <xf numFmtId="0" fontId="3" fillId="2" borderId="0" applyAlignment="1" pivotButton="0" quotePrefix="0" xfId="0">
      <alignment horizontal="center" vertical="center"/>
    </xf>
    <xf numFmtId="0" fontId="4" fillId="0" borderId="1" applyAlignment="1" pivotButton="0" quotePrefix="0" xfId="0">
      <alignment horizontal="center" vertical="center"/>
    </xf>
    <xf numFmtId="0" fontId="4" fillId="0" borderId="1" pivotButton="0" quotePrefix="0" xfId="0"/>
    <xf numFmtId="0" fontId="4" fillId="3" borderId="1" applyAlignment="1" pivotButton="0" quotePrefix="0" xfId="0">
      <alignment horizontal="center" vertical="center"/>
    </xf>
    <xf numFmtId="0" fontId="4" fillId="3" borderId="1" pivotButton="0" quotePrefix="0" xfId="0"/>
    <xf numFmtId="0" fontId="5" fillId="0" borderId="0" pivotButton="0" quotePrefix="0" xfId="0"/>
    <xf numFmtId="0" fontId="1" fillId="0" borderId="0" applyAlignment="1" pivotButton="0" quotePrefix="0" xfId="0">
      <alignment horizontal="left" vertical="top" wrapText="1"/>
    </xf>
    <xf numFmtId="0" fontId="4" fillId="4" borderId="1" applyAlignment="1" applyProtection="1" pivotButton="0" quotePrefix="0" xfId="0">
      <alignment horizontal="center" vertical="center"/>
      <protection locked="0" hidden="0"/>
    </xf>
    <xf numFmtId="0" fontId="0" fillId="4" borderId="0" applyAlignment="1" applyProtection="1" pivotButton="0" quotePrefix="0" xfId="0">
      <alignment horizontal="general" vertical="top" wrapText="1"/>
      <protection locked="0" hidden="0"/>
    </xf>
    <xf numFmtId="0" fontId="0" fillId="0" borderId="0" applyAlignment="1" pivotButton="0" quotePrefix="0" xfId="0">
      <alignment horizontal="general" vertical="top" wrapText="1"/>
    </xf>
    <xf numFmtId="0" fontId="5" fillId="0" borderId="0" applyAlignment="1" pivotButton="0" quotePrefix="0" xfId="0">
      <alignment horizontal="general" vertical="top" wrapText="1"/>
    </xf>
    <xf numFmtId="3" fontId="0" fillId="0" borderId="0" pivotButton="0" quotePrefix="0" xfId="0"/>
    <xf numFmtId="0" fontId="6" fillId="0" borderId="0" pivotButton="0" quotePrefix="0" xfId="0"/>
    <xf numFmtId="0" fontId="0" fillId="0" borderId="0" applyAlignment="1" pivotButton="0" quotePrefix="0" xfId="0">
      <alignment horizontal="left" vertical="top"/>
    </xf>
    <xf numFmtId="3" fontId="4" fillId="0" borderId="1" pivotButton="0" quotePrefix="0" xfId="0"/>
  </cellXfs>
  <cellStyles count="1">
    <cellStyle name="Normal" xfId="0" builtinId="0" hidden="0"/>
  </cellStyles>
  <dxfs count="2">
    <dxf>
      <fill>
        <patternFill patternType="solid">
          <fgColor rgb="00C8E6C9"/>
          <bgColor rgb="00C8E6C9"/>
        </patternFill>
      </fill>
    </dxf>
    <dxf>
      <font>
        <b val="1"/>
        <color rgb="00006100"/>
      </font>
      <fill>
        <patternFill patternType="solid">
          <fgColor rgb="00C6EFCE"/>
          <bgColor rgb="00C6EFCE"/>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E18"/>
  <sheetViews>
    <sheetView workbookViewId="0">
      <pane ySplit="4" topLeftCell="A5" activePane="bottomLeft" state="frozen"/>
      <selection pane="bottomLeft" activeCell="A1" sqref="A1"/>
    </sheetView>
  </sheetViews>
  <sheetFormatPr baseColWidth="8" defaultRowHeight="15"/>
  <cols>
    <col width="5" customWidth="1" min="1" max="1"/>
    <col width="40" customWidth="1" min="2" max="2"/>
    <col width="20" customWidth="1" min="3" max="3"/>
    <col width="15" customWidth="1" min="4" max="4"/>
    <col width="40" customWidth="1" min="5" max="5"/>
  </cols>
  <sheetData>
    <row r="1" ht="90" customHeight="1">
      <c r="A1" s="9" t="inlineStr">
        <is>
          <t>CHECKLIST DE APERTURA — HELADERÍA ARTESANAL</t>
        </is>
      </c>
    </row>
    <row r="2">
      <c r="A2" s="2" t="inlineStr">
        <is>
          <t>FASE 1: CONSTITUCIÓN Y FISCALIDAD (semanas 1-4)</t>
        </is>
      </c>
    </row>
    <row r="3"/>
    <row r="4">
      <c r="A4" s="3" t="inlineStr">
        <is>
          <t>OK</t>
        </is>
      </c>
      <c r="B4" s="3" t="inlineStr">
        <is>
          <t>TRÁMITE</t>
        </is>
      </c>
      <c r="C4" s="3" t="inlineStr">
        <is>
          <t>RESPONSABLE</t>
        </is>
      </c>
      <c r="D4" s="3" t="inlineStr">
        <is>
          <t>PLAZO</t>
        </is>
      </c>
      <c r="E4" s="3" t="inlineStr">
        <is>
          <t>NOTAS</t>
        </is>
      </c>
    </row>
    <row r="5">
      <c r="A5" s="10" t="inlineStr">
        <is>
          <t>☐</t>
        </is>
      </c>
      <c r="B5" s="5" t="inlineStr">
        <is>
          <t>Consulta urbanística previa del local</t>
        </is>
      </c>
      <c r="C5" s="5" t="inlineStr">
        <is>
          <t>Titular / Técnico</t>
        </is>
      </c>
      <c r="D5" s="5" t="inlineStr">
        <is>
          <t>Antes de firmar el alquiler</t>
        </is>
      </c>
      <c r="E5" s="5" t="inlineStr">
        <is>
          <t>Pregunta al ayuntamiento cuatro cosas: si el uso permite elaborar y vender helado con consumo en el local, qué potencia eléctrica tiene el local, si admite salida de humos (crepes y gofres) y si la calle admite terraza. Sin humos, el invierno va de chocolate, tartas y turrón helado</t>
        </is>
      </c>
    </row>
    <row r="6">
      <c r="A6" s="10" t="inlineStr">
        <is>
          <t>☐</t>
        </is>
      </c>
      <c r="B6" s="5" t="inlineStr">
        <is>
          <t>Elegir forma jurídica: SL unipersonal o autónomo</t>
        </is>
      </c>
      <c r="C6" s="5" t="inlineStr">
        <is>
          <t>Gestoría</t>
        </is>
      </c>
      <c r="D6" s="5" t="inlineStr">
        <is>
          <t>Semana 1</t>
        </is>
      </c>
      <c r="E6" s="5" t="inlineStr">
        <is>
          <t>El plan financiero está hecho para una SL (Impuesto de Sociedades). Como autónomo tributas por IRPF: compara las dos opciones con tu gestoría con las cifras del plan</t>
        </is>
      </c>
    </row>
    <row r="7">
      <c r="A7" s="10" t="inlineStr">
        <is>
          <t>☐</t>
        </is>
      </c>
      <c r="B7" s="5" t="inlineStr">
        <is>
          <t>Constituir la SL o darte de alta como autónomo</t>
        </is>
      </c>
      <c r="C7" s="5" t="inlineStr">
        <is>
          <t>Notaría / Gestoría</t>
        </is>
      </c>
      <c r="D7" s="5" t="inlineStr">
        <is>
          <t>Semanas 1-2</t>
        </is>
      </c>
      <c r="E7" s="5" t="inlineStr">
        <is>
          <t>La SL se puede constituir con 1 € de capital (Ley 18/2022, «Crea y Crece»)</t>
        </is>
      </c>
    </row>
    <row r="8">
      <c r="A8" s="10" t="inlineStr">
        <is>
          <t>☐</t>
        </is>
      </c>
      <c r="B8" s="5" t="inlineStr">
        <is>
          <t>Alta censal (modelo 036) en los epígrafes 644.4 y 676 del IAE</t>
        </is>
      </c>
      <c r="C8" s="5" t="inlineStr">
        <is>
          <t>Gestoría</t>
        </is>
      </c>
      <c r="D8" s="5" t="inlineStr">
        <is>
          <t>Semana 2</t>
        </is>
      </c>
      <c r="E8" s="5" t="inlineStr">
        <is>
          <t>El 644.4 («comercio al por menor de helados») te permite fabricar helado y tartas heladas en el propio local para venderlos allí; el 676 cubre el consumo en mesas y terraza (RDLeg 1175/1990). Exento de cuota con una cifra de negocio inferior a 1 millón de euros (art. 82.1.c de la Ley de Haciendas Locales; confírmalo con tu gestoría)</t>
        </is>
      </c>
    </row>
    <row r="9">
      <c r="A9" s="10" t="inlineStr">
        <is>
          <t>☐</t>
        </is>
      </c>
      <c r="B9" s="5" t="inlineStr">
        <is>
          <t>Valorar el epígrafe 414.4 sólo si vas a fabricar para otros a escala</t>
        </is>
      </c>
      <c r="C9" s="5" t="inlineStr">
        <is>
          <t>Gestoría</t>
        </is>
      </c>
      <c r="D9" s="5" t="inlineStr">
        <is>
          <t>Semana 2</t>
        </is>
      </c>
      <c r="E9" s="5" t="inlineStr">
        <is>
          <t>El 414.4 es la elaboración industrial de helados. Vender algo a restaurantes de tu zona cabe en el 644.4 si es marginal (fase 3), pero confírmalo con tu gestoría si el canal crece</t>
        </is>
      </c>
    </row>
    <row r="10">
      <c r="A10" s="10" t="inlineStr">
        <is>
          <t>☐</t>
        </is>
      </c>
      <c r="B10" s="5" t="inlineStr">
        <is>
          <t>Alta en la Seguridad Social (administrador o autónomo)</t>
        </is>
      </c>
      <c r="C10" s="5" t="inlineStr">
        <is>
          <t>Gestoría</t>
        </is>
      </c>
      <c r="D10" s="5" t="inlineStr">
        <is>
          <t>Semana 2</t>
        </is>
      </c>
      <c r="E10" s="5" t="inlineStr">
        <is>
          <t>Consulta la cuota del ejercicio en curso y si te aplica la cuota reducida de inicio de actividad</t>
        </is>
      </c>
    </row>
    <row r="11">
      <c r="A11" s="10" t="inlineStr">
        <is>
          <t>☐</t>
        </is>
      </c>
      <c r="B11" s="5" t="inlineStr">
        <is>
          <t>Certificado digital</t>
        </is>
      </c>
      <c r="C11" s="5" t="inlineStr">
        <is>
          <t>Titular</t>
        </is>
      </c>
      <c r="D11" s="5" t="inlineStr">
        <is>
          <t>Semana 1</t>
        </is>
      </c>
      <c r="E11" s="5" t="inlineStr">
        <is>
          <t>Imprescindible para Hacienda, la Seguridad Social y las declaraciones responsables</t>
        </is>
      </c>
    </row>
    <row r="12">
      <c r="A12" s="10" t="inlineStr">
        <is>
          <t>☐</t>
        </is>
      </c>
      <c r="B12" s="5" t="inlineStr">
        <is>
          <t>Cuenta bancaria y tarjeta del negocio</t>
        </is>
      </c>
      <c r="C12" s="5" t="inlineStr">
        <is>
          <t>Titular</t>
        </is>
      </c>
      <c r="D12" s="5" t="inlineStr">
        <is>
          <t>Semana 2</t>
        </is>
      </c>
      <c r="E12" s="5" t="inlineStr">
        <is>
          <t>Separadas de las personales: por ellas pasan las liquidaciones del datáfono, los pagos a proveedores y los cobros de los restaurantes</t>
        </is>
      </c>
    </row>
    <row r="13">
      <c r="A13" s="10" t="inlineStr">
        <is>
          <t>☐</t>
        </is>
      </c>
      <c r="B13" s="5" t="inlineStr">
        <is>
          <t>Gestoría laboral y fiscal y software de facturación Veri*factu</t>
        </is>
      </c>
      <c r="C13" s="5" t="inlineStr">
        <is>
          <t>Titular</t>
        </is>
      </c>
      <c r="D13" s="5" t="inlineStr">
        <is>
          <t>Semanas 2-4</t>
        </is>
      </c>
      <c r="E13" s="5" t="inlineStr">
        <is>
          <t>Nóminas de los fijos discontinuos con sus llamamientos. El software de facturación del TPV tiene que cumplir Veri*factu: consulta con tu gestoría la fecha que te aplica antes de comprar el TPV</t>
        </is>
      </c>
    </row>
    <row r="14">
      <c r="A14" s="10" t="inlineStr">
        <is>
          <t>☐</t>
        </is>
      </c>
      <c r="B14" s="5" t="inlineStr">
        <is>
          <t>Presentar el plan al banco y pedir dos ofertas de préstamo</t>
        </is>
      </c>
      <c r="C14" s="5" t="inlineStr">
        <is>
          <t>Titular</t>
        </is>
      </c>
      <c r="D14" s="5" t="inlineStr">
        <is>
          <t>Semanas 2-4</t>
        </is>
      </c>
      <c r="E14" s="5" t="inlineStr">
        <is>
          <t>Lleva el plan financiero completo, con la tesorería mes a mes. Pide también oferta de leasing o renting de la maquinaria de frío y de una línea ICO</t>
        </is>
      </c>
    </row>
    <row r="15">
      <c r="A15" s="10" t="inlineStr">
        <is>
          <t>☐</t>
        </is>
      </c>
      <c r="B15" s="5" t="inlineStr">
        <is>
          <t>Seguro de responsabilidad civil y multirriesgo</t>
        </is>
      </c>
      <c r="C15" s="5" t="inlineStr">
        <is>
          <t>Corredor de seguros</t>
        </is>
      </c>
      <c r="D15" s="5" t="inlineStr">
        <is>
          <t>Antes de la obra</t>
        </is>
      </c>
      <c r="E15" s="5" t="inlineStr">
        <is>
          <t>RC de al menos 300.000 € y multirriesgo con avería de maquinaria y deterioro de mercancía en frío</t>
        </is>
      </c>
    </row>
    <row r="16">
      <c r="A16" s="10" t="inlineStr">
        <is>
          <t>☐</t>
        </is>
      </c>
      <c r="B16" s="5" t="inlineStr">
        <is>
          <t>Registro de la marca en la OEPM</t>
        </is>
      </c>
      <c r="C16" s="5" t="inlineStr">
        <is>
          <t>Titular</t>
        </is>
      </c>
      <c r="D16" s="5" t="inlineStr">
        <is>
          <t>Semanas 2-4</t>
        </is>
      </c>
      <c r="E16" s="5" t="inlineStr">
        <is>
          <t>Comprueba antes que el nombre no está registrado en tu clase (productos de heladería y servicios de hostelería)</t>
        </is>
      </c>
    </row>
    <row r="17">
      <c r="C17" s="14" t="n"/>
      <c r="E17" s="14" t="n"/>
    </row>
    <row r="18">
      <c r="B18" t="inlineStr">
        <is>
          <t>Tareas completadas:</t>
        </is>
      </c>
      <c r="C18" s="14">
        <f>COUNTIF(A5:A16,"✓")</f>
        <v>0.0</v>
      </c>
      <c r="D18" t="inlineStr">
        <is>
          <t>de</t>
        </is>
      </c>
      <c r="E18" s="14">
        <f>COUNTIF(B5:B16,"?*")-COUNTIF(A5:A16,"N/A")</f>
        <v>12.0</v>
      </c>
    </row>
  </sheetData>
  <sheetProtection selectLockedCells="0" selectUnlockedCells="0" sheet="1" objects="0" insertRows="1" insertHyperlinks="1" autoFilter="1" scenarios="0" formatColumns="0" deleteColumns="1" insertColumns="1" pivotTables="1" deleteRows="1" formatCells="1" formatRows="0" sort="0"/>
  <mergeCells count="1">
    <mergeCell ref="A1:E1"/>
  </mergeCells>
  <conditionalFormatting sqref="A5:A16">
    <cfRule type="containsText" priority="1" operator="containsText" dxfId="1" stopIfTrue="1" text="✓">
      <formula>NOT(ISERROR(SEARCH("✓",A5)))</formula>
    </cfRule>
  </conditionalFormatting>
  <dataValidations count="1">
    <dataValidation sqref="A5 A6 A7 A8 A9 A10 A11 A12 A13 A14 A15 A16" showDropDown="0" showInputMessage="0" showErrorMessage="1" allowBlank="1" errorTitle="Marca no válida" error="Usa el desplegable: ✓, ☐, N/A. N/A = no aplica, sale del total." type="list">
      <formula1>"✓,☐,N/A"</formula1>
    </dataValidation>
  </dataValidations>
  <pageMargins left="0.59" right="0.59" top="0.59" bottom="0.59" header="0.3" footer="0.3"/>
  <pageSetup orientation="portrait" paperSize="9" fitToHeight="0" fitToWidth="1"/>
  <headerFooter>
    <oddHeader/>
    <oddFooter>&amp;C&amp;8 AI Chef Pro · aichef.pro · Página &amp;P de &amp;N</oddFooter>
    <evenHeader/>
    <evenFooter/>
    <firstHeader/>
    <firstFooter/>
  </headerFooter>
</worksheet>
</file>

<file path=xl/worksheets/sheet2.xml><?xml version="1.0" encoding="utf-8"?>
<worksheet xmlns="http://schemas.openxmlformats.org/spreadsheetml/2006/main">
  <sheetPr>
    <outlinePr summaryBelow="1" summaryRight="1"/>
    <pageSetUpPr fitToPage="1"/>
  </sheetPr>
  <dimension ref="A1:E21"/>
  <sheetViews>
    <sheetView workbookViewId="0">
      <pane ySplit="4" topLeftCell="A5" activePane="bottomLeft" state="frozen"/>
      <selection pane="bottomLeft" activeCell="A1" sqref="A1"/>
    </sheetView>
  </sheetViews>
  <sheetFormatPr baseColWidth="8" defaultRowHeight="15"/>
  <cols>
    <col width="5" customWidth="1" min="1" max="1"/>
    <col width="40" customWidth="1" min="2" max="2"/>
    <col width="20" customWidth="1" min="3" max="3"/>
    <col width="15" customWidth="1" min="4" max="4"/>
    <col width="40" customWidth="1" min="5" max="5"/>
  </cols>
  <sheetData>
    <row r="1" ht="90" customHeight="1">
      <c r="A1" s="9" t="inlineStr">
        <is>
          <t>CHECKLIST DE APERTURA — HELADERÍA ARTESANAL</t>
        </is>
      </c>
    </row>
    <row r="2">
      <c r="A2" s="2" t="inlineStr">
        <is>
          <t>FASE 2: LOCAL, OBRA, LICENCIA Y TERRAZA (semanas 3-12)</t>
        </is>
      </c>
    </row>
    <row r="3"/>
    <row r="4">
      <c r="A4" s="3" t="inlineStr">
        <is>
          <t>OK</t>
        </is>
      </c>
      <c r="B4" s="3" t="inlineStr">
        <is>
          <t>TRÁMITE</t>
        </is>
      </c>
      <c r="C4" s="3" t="inlineStr">
        <is>
          <t>RESPONSABLE</t>
        </is>
      </c>
      <c r="D4" s="3" t="inlineStr">
        <is>
          <t>PLAZO</t>
        </is>
      </c>
      <c r="E4" s="3" t="inlineStr">
        <is>
          <t>NOTAS</t>
        </is>
      </c>
    </row>
    <row r="5">
      <c r="A5" s="10" t="inlineStr">
        <is>
          <t>☐</t>
        </is>
      </c>
      <c r="B5" s="5" t="inlineStr">
        <is>
          <t>Elegir el local: 80-90 m² con obrador de 20-25 m²</t>
        </is>
      </c>
      <c r="C5" s="5" t="inlineStr">
        <is>
          <t>Titular</t>
        </is>
      </c>
      <c r="D5" s="5" t="inlineStr">
        <is>
          <t>Semanas 3-6</t>
        </is>
      </c>
      <c r="E5" s="5" t="inlineStr">
        <is>
          <t>Calle comercial de barrio o paseo cerca de un parque o colegios, con paso de gente en las tardes de verano y de fin de semana en invierno</t>
        </is>
      </c>
    </row>
    <row r="6">
      <c r="A6" s="10" t="inlineStr">
        <is>
          <t>☐</t>
        </is>
      </c>
      <c r="B6" s="5" t="inlineStr">
        <is>
          <t>Comprobar la potencia: unos 30 kW en trifásica</t>
        </is>
      </c>
      <c r="C6" s="5" t="inlineStr">
        <is>
          <t>Técnico / Distribuidora</t>
        </is>
      </c>
      <c r="D6" s="5" t="inlineStr">
        <is>
          <t>Antes de firmar</t>
        </is>
      </c>
      <c r="E6" s="5" t="inlineStr">
        <is>
          <t>Vitrinas encendidas las 24 horas, pasteurizador, mantecadora, abatidor, crepera y climatización. Un local monofásico obliga a una acometida nueva: pregunta plazo y coste a la distribuidora</t>
        </is>
      </c>
    </row>
    <row r="7">
      <c r="A7" s="10" t="inlineStr">
        <is>
          <t>☐</t>
        </is>
      </c>
      <c r="B7" s="5" t="inlineStr">
        <is>
          <t>Comprobar desagües, ventilación y salida de humos</t>
        </is>
      </c>
      <c r="C7" s="5" t="inlineStr">
        <is>
          <t>Técnico</t>
        </is>
      </c>
      <c r="D7" s="5" t="inlineStr">
        <is>
          <t>Antes de firmar</t>
        </is>
      </c>
      <c r="E7" s="5" t="inlineStr">
        <is>
          <t>Desagüe en el obrador, salida de aire para los condensadores de las máquinas y, si quieres crepes y gofres, la salida de humos que pida la ordenanza</t>
        </is>
      </c>
    </row>
    <row r="8">
      <c r="A8" s="10" t="inlineStr">
        <is>
          <t>☐</t>
        </is>
      </c>
      <c r="B8" s="5" t="inlineStr">
        <is>
          <t>Negociar el alquiler: carencia de obra y fianza</t>
        </is>
      </c>
      <c r="C8" s="5" t="inlineStr">
        <is>
          <t>Titular</t>
        </is>
      </c>
      <c r="D8" s="5" t="inlineStr">
        <is>
          <t>Antes de firmar</t>
        </is>
      </c>
      <c r="E8" s="5" t="inlineStr">
        <is>
          <t>El plan cuenta dos meses de renta antes de abrir y tres de fianza. Pide carencia mientras dura la obra</t>
        </is>
      </c>
    </row>
    <row r="9">
      <c r="A9" s="10" t="inlineStr">
        <is>
          <t>☐</t>
        </is>
      </c>
      <c r="B9" s="5" t="inlineStr">
        <is>
          <t>Contrato de arrendamiento con el uso de heladería</t>
        </is>
      </c>
      <c r="C9" s="5" t="inlineStr">
        <is>
          <t>Titular / Abogado</t>
        </is>
      </c>
      <c r="D9" s="5" t="inlineStr">
        <is>
          <t>Semana 6</t>
        </is>
      </c>
      <c r="E9" s="5" t="inlineStr">
        <is>
          <t>Que el contrato diga «heladería con obrador y consumo en el local» y quién paga la acometida eléctrica</t>
        </is>
      </c>
    </row>
    <row r="10">
      <c r="A10" s="10" t="inlineStr">
        <is>
          <t>☐</t>
        </is>
      </c>
      <c r="B10" s="5" t="inlineStr">
        <is>
          <t>Encargar el proyecto técnico y la memoria de la actividad</t>
        </is>
      </c>
      <c r="C10" s="5" t="inlineStr">
        <is>
          <t>Arquitecto/a o ingeniero/a</t>
        </is>
      </c>
      <c r="D10" s="5" t="inlineStr">
        <is>
          <t>Semanas 6-8</t>
        </is>
      </c>
      <c r="E10" s="5" t="inlineStr">
        <is>
          <t>Distribución del obrador con circuito de sucio a limpio, potencia, ventilación y la terraza</t>
        </is>
      </c>
    </row>
    <row r="11">
      <c r="A11" s="10" t="inlineStr">
        <is>
          <t>☐</t>
        </is>
      </c>
      <c r="B11" s="5" t="inlineStr">
        <is>
          <t>Licencia, declaración o comunicación previa de la obra</t>
        </is>
      </c>
      <c r="C11" s="5" t="inlineStr">
        <is>
          <t>Técnico / Ayuntamiento</t>
        </is>
      </c>
      <c r="D11" s="5" t="inlineStr">
        <is>
          <t>Semanas 6-8, antes de empezar la obra</t>
        </is>
      </c>
      <c r="E11" s="5" t="inlineStr">
        <is>
          <t>Pregunta en la consulta urbanística qué título pide tu obra. Sin proyecto, el art. 3.3 de la Ley 12/2012 la libera de licencia, pero no de la declaración responsable o la comunicación previa al ayuntamiento (art. 4)</t>
        </is>
      </c>
    </row>
    <row r="12">
      <c r="A12" s="10" t="inlineStr">
        <is>
          <t>☐</t>
        </is>
      </c>
      <c r="B12" s="5" t="inlineStr">
        <is>
          <t>Declaración responsable de la actividad comercial (644.4)</t>
        </is>
      </c>
      <c r="C12" s="5" t="inlineStr">
        <is>
          <t>Técnico / Ayuntamiento</t>
        </is>
      </c>
      <c r="D12" s="5" t="inlineStr">
        <is>
          <t>Antes de la obra</t>
        </is>
      </c>
      <c r="E12" s="5" t="inlineStr">
        <is>
          <t>La venta y fabricación de helado en el propio local, hasta 750 m², va por declaración responsable, sin licencia previa (Ley 12/2012, arts. 2-4 y anexo). La obra va por su propio trámite, en la tarea anterior</t>
        </is>
      </c>
    </row>
    <row r="13">
      <c r="A13" s="10" t="inlineStr">
        <is>
          <t>☐</t>
        </is>
      </c>
      <c r="B13" s="5" t="inlineStr">
        <is>
          <t>Licencia o declaración municipal de la parte de hostelería (676)</t>
        </is>
      </c>
      <c r="C13" s="5" t="inlineStr">
        <is>
          <t>Técnico / Ayuntamiento</t>
        </is>
      </c>
      <c r="D13" s="5" t="inlineStr">
        <is>
          <t>Antes de la obra</t>
        </is>
      </c>
      <c r="E13" s="5" t="inlineStr">
        <is>
          <t>Las mesas y el consumo en el local no están en el anexo de la Ley 12/2012: van por el régimen de tu ayuntamiento (licencia o declaración responsable, según la ordenanza)</t>
        </is>
      </c>
    </row>
    <row r="14">
      <c r="A14" s="10" t="inlineStr">
        <is>
          <t>☐</t>
        </is>
      </c>
      <c r="B14" s="5" t="inlineStr">
        <is>
          <t>Solicitar la autorización de la terraza</t>
        </is>
      </c>
      <c r="C14" s="5" t="inlineStr">
        <is>
          <t>Titular / Ayuntamiento</t>
        </is>
      </c>
      <c r="D14" s="5" t="inlineStr">
        <is>
          <t>Con la declaración responsable</t>
        </is>
      </c>
      <c r="E14" s="5" t="inlineStr">
        <is>
          <t>Es ocupación de la vía pública y siempre se pide aparte (Ley 12/2012, art. 2.2). Pregunta la tasa de tu ayuntamiento: la del plan es una cifra de ejemplo</t>
        </is>
      </c>
    </row>
    <row r="15">
      <c r="A15" s="10" t="inlineStr">
        <is>
          <t>☐</t>
        </is>
      </c>
      <c r="B15" s="5" t="inlineStr">
        <is>
          <t>Obra del obrador: superficies lavables y suelo antideslizante</t>
        </is>
      </c>
      <c r="C15" s="5" t="inlineStr">
        <is>
          <t>Constructor</t>
        </is>
      </c>
      <c r="D15" s="5" t="inlineStr">
        <is>
          <t>Semanas 8-12</t>
        </is>
      </c>
      <c r="E15" s="5" t="inlineStr">
        <is>
          <t>Paredes alicatadas, suelo antideslizante, falsos techos lavables, lavamanos de accionamiento no manual y aseo con vestuario</t>
        </is>
      </c>
    </row>
    <row r="16">
      <c r="A16" s="10" t="inlineStr">
        <is>
          <t>☐</t>
        </is>
      </c>
      <c r="B16" s="5" t="inlineStr">
        <is>
          <t>Fontanería, desagües y climatización</t>
        </is>
      </c>
      <c r="C16" s="5" t="inlineStr">
        <is>
          <t>Instalador</t>
        </is>
      </c>
      <c r="D16" s="5" t="inlineStr">
        <is>
          <t>Semanas 8-12</t>
        </is>
      </c>
      <c r="E16" s="5" t="inlineStr">
        <is>
          <t>Agua caliente y fría en el obrador, desagües sifónicos y climatización de la tienda</t>
        </is>
      </c>
    </row>
    <row r="17">
      <c r="A17" s="10" t="inlineStr">
        <is>
          <t>☐</t>
        </is>
      </c>
      <c r="B17" s="5" t="inlineStr">
        <is>
          <t>Instalación de la maquinaria de frío y del pasteurizador</t>
        </is>
      </c>
      <c r="C17" s="5" t="inlineStr">
        <is>
          <t>Proveedor</t>
        </is>
      </c>
      <c r="D17" s="5" t="inlineStr">
        <is>
          <t>Semanas 10-12</t>
        </is>
      </c>
      <c r="E17" s="5" t="inlineStr">
        <is>
          <t>Prueba en marcha con el técnico: temperaturas de la vitrina, del abatidor y de los armarios</t>
        </is>
      </c>
    </row>
    <row r="18">
      <c r="A18" s="10" t="inlineStr">
        <is>
          <t>☐</t>
        </is>
      </c>
      <c r="B18" s="5" t="inlineStr">
        <is>
          <t>Rótulo, escaparate y cartel de horario</t>
        </is>
      </c>
      <c r="C18" s="5" t="inlineStr">
        <is>
          <t>Rotulista</t>
        </is>
      </c>
      <c r="D18" s="5" t="inlineStr">
        <is>
          <t>Semanas 10-12</t>
        </is>
      </c>
      <c r="E18" s="5" t="inlineStr">
        <is>
          <t>El rótulo puede necesitar su propia autorización municipal. «Artesano» sólo con la calificación (fase 5)</t>
        </is>
      </c>
    </row>
    <row r="19">
      <c r="A19" s="10" t="inlineStr">
        <is>
          <t>☐</t>
        </is>
      </c>
      <c r="B19" s="5" t="inlineStr">
        <is>
          <t>Aumento de potencia, boletín eléctrico y certificado final de obra</t>
        </is>
      </c>
      <c r="C19" s="5" t="inlineStr">
        <is>
          <t>Instalador autorizado / Técnico</t>
        </is>
      </c>
      <c r="D19" s="5" t="inlineStr">
        <is>
          <t>Durante la obra y al acabarla</t>
        </is>
      </c>
      <c r="E19" s="5" t="inlineStr">
        <is>
          <t>El boletín (certificado de la instalación) para el nuevo contrato de luz en trifásica y el certificado final del técnico. Guárdalos: te los pedirá la declaración responsable de inicio</t>
        </is>
      </c>
    </row>
    <row r="20"/>
    <row r="21">
      <c r="B21" s="5" t="inlineStr">
        <is>
          <t>Tareas completadas:</t>
        </is>
      </c>
      <c r="C21" s="17">
        <f>COUNTIF(A5:A19,"✓")</f>
        <v>0.0</v>
      </c>
      <c r="D21" s="5" t="inlineStr">
        <is>
          <t>de</t>
        </is>
      </c>
      <c r="E21" s="17">
        <f>COUNTIF(B5:B19,"?*")-COUNTIF(A5:A19,"N/A")</f>
        <v>15.0</v>
      </c>
    </row>
  </sheetData>
  <sheetProtection selectLockedCells="0" selectUnlockedCells="0" sheet="1" objects="0" insertRows="1" insertHyperlinks="1" autoFilter="1" scenarios="0" formatColumns="0" deleteColumns="1" insertColumns="1" pivotTables="1" deleteRows="1" formatCells="1" formatRows="0" sort="0"/>
  <mergeCells count="1">
    <mergeCell ref="A1:E1"/>
  </mergeCells>
  <conditionalFormatting sqref="A5:A19">
    <cfRule type="containsText" priority="1" operator="containsText" dxfId="1" stopIfTrue="1" text="✓">
      <formula>NOT(ISERROR(SEARCH("✓",A5)))</formula>
    </cfRule>
  </conditionalFormatting>
  <dataValidations count="1">
    <dataValidation sqref="A5 A6 A7 A8 A9 A10 A11 A12 A13 A14 A15 A16 A17 A18 A19" showDropDown="0" showInputMessage="0" showErrorMessage="1" allowBlank="1" errorTitle="Marca no válida" error="Usa el desplegable: ✓, ☐, N/A. N/A = no aplica, sale del total." type="list">
      <formula1>"✓,☐,N/A"</formula1>
    </dataValidation>
  </dataValidations>
  <pageMargins left="0.59" right="0.59" top="0.59" bottom="0.59" header="0.3" footer="0.3"/>
  <pageSetup orientation="portrait" paperSize="9" fitToHeight="0" fitToWidth="1"/>
  <headerFooter>
    <oddHeader/>
    <oddFooter>&amp;C&amp;8 AI Chef Pro · aichef.pro · Página &amp;P de &amp;N</oddFooter>
    <evenHeader/>
    <evenFooter/>
    <firstHeader/>
    <firstFooter/>
  </headerFooter>
</worksheet>
</file>

<file path=xl/worksheets/sheet3.xml><?xml version="1.0" encoding="utf-8"?>
<worksheet xmlns="http://schemas.openxmlformats.org/spreadsheetml/2006/main">
  <sheetPr>
    <outlinePr summaryBelow="1" summaryRight="1"/>
    <pageSetUpPr fitToPage="1"/>
  </sheetPr>
  <dimension ref="A1:E21"/>
  <sheetViews>
    <sheetView workbookViewId="0">
      <pane ySplit="4" topLeftCell="A5" activePane="bottomLeft" state="frozen"/>
      <selection pane="bottomLeft" activeCell="A1" sqref="A1"/>
    </sheetView>
  </sheetViews>
  <sheetFormatPr baseColWidth="8" defaultRowHeight="15"/>
  <cols>
    <col width="5" customWidth="1" min="1" max="1"/>
    <col width="40" customWidth="1" min="2" max="2"/>
    <col width="20" customWidth="1" min="3" max="3"/>
    <col width="15" customWidth="1" min="4" max="4"/>
    <col width="40" customWidth="1" min="5" max="5"/>
  </cols>
  <sheetData>
    <row r="1" ht="90" customHeight="1">
      <c r="A1" s="9" t="inlineStr">
        <is>
          <t>CHECKLIST DE APERTURA — HELADERÍA ARTESANAL</t>
        </is>
      </c>
    </row>
    <row r="2">
      <c r="A2" s="2" t="inlineStr">
        <is>
          <t>FASE 3: OBRADOR, EQUIPO Y REGISTRO SANITARIO (semanas 8-14)</t>
        </is>
      </c>
    </row>
    <row r="3"/>
    <row r="4">
      <c r="A4" s="3" t="inlineStr">
        <is>
          <t>OK</t>
        </is>
      </c>
      <c r="B4" s="3" t="inlineStr">
        <is>
          <t>TRÁMITE</t>
        </is>
      </c>
      <c r="C4" s="3" t="inlineStr">
        <is>
          <t>RESPONSABLE</t>
        </is>
      </c>
      <c r="D4" s="3" t="inlineStr">
        <is>
          <t>PLAZO</t>
        </is>
      </c>
      <c r="E4" s="3" t="inlineStr">
        <is>
          <t>NOTAS</t>
        </is>
      </c>
    </row>
    <row r="5">
      <c r="A5" s="10" t="inlineStr">
        <is>
          <t>☐</t>
        </is>
      </c>
      <c r="B5" s="5" t="inlineStr">
        <is>
          <t>Comprar el pasteurizador, la mantecadora y el abatidor</t>
        </is>
      </c>
      <c r="C5" s="5" t="inlineStr">
        <is>
          <t>Titular</t>
        </is>
      </c>
      <c r="D5" s="5" t="inlineStr">
        <is>
          <t>Semanas 8-10</t>
        </is>
      </c>
      <c r="E5" s="5" t="inlineStr">
        <is>
          <t>Pasteurizador de 30 l, mantecadora horizontal de 6-12 l por ciclo y abatidor para cubetas. Pide ficha técnica, potencia y garantía; la maquinaria de ocasión revisada cuesta bastante menos</t>
        </is>
      </c>
    </row>
    <row r="6">
      <c r="A6" s="10" t="inlineStr">
        <is>
          <t>☐</t>
        </is>
      </c>
      <c r="B6" s="5" t="inlineStr">
        <is>
          <t>Comprar los armarios de conservación y la vitrina de 18 cubetas</t>
        </is>
      </c>
      <c r="C6" s="5" t="inlineStr">
        <is>
          <t>Titular</t>
        </is>
      </c>
      <c r="D6" s="5" t="inlineStr">
        <is>
          <t>Semanas 8-10</t>
        </is>
      </c>
      <c r="E6" s="5" t="inlineStr">
        <is>
          <t>Dos armarios a -20/-25 °C, uno a +2/+4 °C para madurar y una vitrina de 18 cubetas: en una ciudad media, 24 son merma y consumo</t>
        </is>
      </c>
    </row>
    <row r="7">
      <c r="A7" s="10" t="inlineStr">
        <is>
          <t>☐</t>
        </is>
      </c>
      <c r="B7" s="5" t="inlineStr">
        <is>
          <t>Contrato de mantenimiento con un frigorista certificado</t>
        </is>
      </c>
      <c r="C7" s="5" t="inlineStr">
        <is>
          <t>Titular</t>
        </is>
      </c>
      <c r="D7" s="5" t="inlineStr">
        <is>
          <t>Antes de abrir</t>
        </is>
      </c>
      <c r="E7" s="5" t="inlineStr">
        <is>
          <t>Revisión antes del verano y en el cierre de enero. La carga de gases refrigerantes la hace sólo un técnico certificado: el personal no la toca</t>
        </is>
      </c>
    </row>
    <row r="8">
      <c r="A8" s="10" t="inlineStr">
        <is>
          <t>☐</t>
        </is>
      </c>
      <c r="B8" s="5" t="inlineStr">
        <is>
          <t>Declaración responsable de inicio de la actividad alimentaria</t>
        </is>
      </c>
      <c r="C8" s="5" t="inlineStr">
        <is>
          <t>Titular / Gestoría</t>
        </is>
      </c>
      <c r="D8" s="5" t="inlineStr">
        <is>
          <t>Antes de la primera tanda (también las de prueba)</t>
        </is>
      </c>
      <c r="E8" s="5" t="inlineStr">
        <is>
          <t>Va al registro sanitario de tu comunidad autónoma (RD 1021/2022). El RGSEAA sólo aplica si sirves a otros negocios por encima de lo que permite el art. 3 (tarea siguiente)</t>
        </is>
      </c>
    </row>
    <row r="9">
      <c r="A9" s="10" t="inlineStr">
        <is>
          <t>☐</t>
        </is>
      </c>
      <c r="B9" s="5" t="inlineStr">
        <is>
          <t>Declaración del art. 3 del RD 1021/2022 antes del primer pedido a un restaurante</t>
        </is>
      </c>
      <c r="C9" s="5" t="inlineStr">
        <is>
          <t>Titular</t>
        </is>
      </c>
      <c r="D9" s="5" t="inlineStr">
        <is>
          <t>Antes de vender a otro negocio</t>
        </is>
      </c>
      <c r="E9" s="5" t="inlineStr">
        <is>
          <t>Vender helado a restaurantes o cafeterías de otra titularidad exige que sea marginal (lo que sirves a otros negocios, hasta el 25 % del volumen del año, o tu venta total, público incluido, hasta 500 kg a la semana), de tu zona y a nadie inscrito en el RGSEAA, con una declaración responsable y el registro de destinatarios, cantidades y fechas</t>
        </is>
      </c>
    </row>
    <row r="10">
      <c r="A10" s="10" t="inlineStr">
        <is>
          <t>☐</t>
        </is>
      </c>
      <c r="B10" s="5" t="inlineStr">
        <is>
          <t>Plan APPCC con el punto crítico de la pasteurización</t>
        </is>
      </c>
      <c r="C10" s="5" t="inlineStr">
        <is>
          <t>Consultor / Titular</t>
        </is>
      </c>
      <c r="D10" s="5" t="inlineStr">
        <is>
          <t>Antes de abrir</t>
        </is>
      </c>
      <c r="E10" s="5" t="inlineStr">
        <is>
          <t>Orden de la mezcla: líquidos; secos premezclados con el azúcar, con el agitador en marcha; grasas (nata, mantequilla), yemas y emulsionantes al subir, a 40-50 °C, ANTES de pasteurizar; después 85 °C, enfriado rápido a 4 °C o menos y maduración a 2-4 °C. Tras pasteurizar sólo entra lo que no necesita tratamiento (pastas puras, variegatos, fruta lavada de los sorbetes): nunca yema ni nata cruda</t>
        </is>
      </c>
    </row>
    <row r="11">
      <c r="A11" s="10" t="inlineStr">
        <is>
          <t>☐</t>
        </is>
      </c>
      <c r="B11" s="5" t="inlineStr">
        <is>
          <t>APPCC: maduración, mantecación, abatimiento y conservación</t>
        </is>
      </c>
      <c r="C11" s="5" t="inlineStr">
        <is>
          <t>Titular</t>
        </is>
      </c>
      <c r="D11" s="5" t="inlineStr">
        <is>
          <t>Antes de abrir</t>
        </is>
      </c>
      <c r="E11" s="5" t="inlineStr">
        <is>
          <t>La mezcla con huevo se manteca en las 24 horas siguientes (RD 1021/2022, art. 9.3); abatimiento a -18 °C en el corazón; conservación a -18 °C o menos y sin recongelar (arts. 4.1 y 5.9). La temperatura de la vitrina la fija tu APPCC, no una norma estatal</t>
        </is>
      </c>
    </row>
    <row r="12">
      <c r="A12" s="10" t="inlineStr">
        <is>
          <t>☐</t>
        </is>
      </c>
      <c r="B12" s="5" t="inlineStr">
        <is>
          <t>Huevo: pasteurizado en la mezcla u ovoproducto</t>
        </is>
      </c>
      <c r="C12" s="5" t="inlineStr">
        <is>
          <t>Titular</t>
        </is>
      </c>
      <c r="D12" s="5" t="inlineStr">
        <is>
          <t>Antes de abrir</t>
        </is>
      </c>
      <c r="E12" s="5" t="inlineStr">
        <is>
          <t>El huevo crudo vale si la mezcla alcanza 70 °C durante 2 segundos (la pasteurización a 85 °C lo cumple); si no, ovoproducto de un establecimiento autorizado (RD 1021/2022, art. 9)</t>
        </is>
      </c>
    </row>
    <row r="13">
      <c r="A13" s="10" t="inlineStr">
        <is>
          <t>☐</t>
        </is>
      </c>
      <c r="B13" s="5" t="inlineStr">
        <is>
          <t>Trazabilidad por lote y registros de temperatura</t>
        </is>
      </c>
      <c r="C13" s="5" t="inlineStr">
        <is>
          <t>Titular</t>
        </is>
      </c>
      <c r="D13" s="5" t="inlineStr">
        <is>
          <t>Desde la primera tanda</t>
        </is>
      </c>
      <c r="E13" s="5" t="inlineStr">
        <is>
          <t>Lote y fecha de cada tanda, temperaturas de pasteurización y de los armarios, y proveedores de cada materia prima</t>
        </is>
      </c>
    </row>
    <row r="14">
      <c r="A14" s="10" t="inlineStr">
        <is>
          <t>☐</t>
        </is>
      </c>
      <c r="B14" s="5" t="inlineStr">
        <is>
          <t>Fichas técnicas por sabor con sus alérgenos</t>
        </is>
      </c>
      <c r="C14" s="5" t="inlineStr">
        <is>
          <t>Maestro heladero</t>
        </is>
      </c>
      <c r="D14" s="5" t="inlineStr">
        <is>
          <t>Antes de abrir</t>
        </is>
      </c>
      <c r="E14" s="5" t="inlineStr">
        <is>
          <t>Receta balanceada, rendimiento y alérgenos de cada sabor: frutos de cáscara, cacahuete, leche, huevo, gluten (galleta, barquillo), soja y sulfitos</t>
        </is>
      </c>
    </row>
    <row r="15">
      <c r="A15" s="10" t="inlineStr">
        <is>
          <t>☐</t>
        </is>
      </c>
      <c r="B15" s="5" t="inlineStr">
        <is>
          <t>Cartel e información de alérgenos en el mostrador</t>
        </is>
      </c>
      <c r="C15" s="5" t="inlineStr">
        <is>
          <t>Titular</t>
        </is>
      </c>
      <c r="D15" s="5" t="inlineStr">
        <is>
          <t>Antes de abrir</t>
        </is>
      </c>
      <c r="E15" s="5" t="inlineStr">
        <is>
          <t>Por escrito en cartel o carta, o de palabra si está registrado por escrito y un cartel dice dónde pedirlo (RD 126/2015, arts. 4 y 6)</t>
        </is>
      </c>
    </row>
    <row r="16">
      <c r="A16" s="10" t="inlineStr">
        <is>
          <t>☐</t>
        </is>
      </c>
      <c r="B16" s="5" t="inlineStr">
        <is>
          <t>Etiqueta completa de las tarrinas preenvasadas</t>
        </is>
      </c>
      <c r="C16" s="5" t="inlineStr">
        <is>
          <t>Titular</t>
        </is>
      </c>
      <c r="D16" s="5" t="inlineStr">
        <is>
          <t>Antes de vender tarrinas de autoservicio</t>
        </is>
      </c>
      <c r="E16" s="5" t="inlineStr">
        <is>
          <t>Las tarrinas que dejas envasadas en el congelador llevan la etiqueta de los arts. 9 y 10 del Reglamento (UE) 1169/2011, menos la nutricional (RD 126/2015, art. 5)</t>
        </is>
      </c>
    </row>
    <row r="17">
      <c r="A17" s="10" t="inlineStr">
        <is>
          <t>☐</t>
        </is>
      </c>
      <c r="B17" s="5" t="inlineStr">
        <is>
          <t>Carta con las denominaciones del RD 618/1998</t>
        </is>
      </c>
      <c r="C17" s="5" t="inlineStr">
        <is>
          <t>Maestro heladero</t>
        </is>
      </c>
      <c r="D17" s="5" t="inlineStr">
        <is>
          <t>Antes de abrir</t>
        </is>
      </c>
      <c r="E17" s="5" t="inlineStr">
        <is>
          <t>«Helado crema», «mantecado» (4 % de yema o más), «sorbete» (15 % de fruta o más) o «granizado» sólo si la receta cumple el art. 3; si no, «helado de…» o «sabor a…». El helado tiene que pesar 430 g por litro o más</t>
        </is>
      </c>
    </row>
    <row r="18">
      <c r="A18" s="10" t="inlineStr">
        <is>
          <t>☐</t>
        </is>
      </c>
      <c r="B18" s="5" t="inlineStr">
        <is>
          <t>Protocolo de espátulas y lavaporcionador contra el contacto cruzado</t>
        </is>
      </c>
      <c r="C18" s="5" t="inlineStr">
        <is>
          <t>Titular</t>
        </is>
      </c>
      <c r="D18" s="5" t="inlineStr">
        <is>
          <t>Antes de abrir</t>
        </is>
      </c>
      <c r="E18" s="5" t="inlineStr">
        <is>
          <t>Una espátula por cubeta y lavaporcionador con agua corriente; para un cliente alérgico, espátula limpia y cubeta sin empezar</t>
        </is>
      </c>
    </row>
    <row r="19">
      <c r="A19" s="10" t="inlineStr">
        <is>
          <t>☐</t>
        </is>
      </c>
      <c r="B19" s="5" t="inlineStr">
        <is>
          <t>Proveedores de leche, nata, fruta, pastas y envases</t>
        </is>
      </c>
      <c r="C19" s="5" t="inlineStr">
        <is>
          <t>Titular</t>
        </is>
      </c>
      <c r="D19" s="5" t="inlineStr">
        <is>
          <t>Semanas 10-14</t>
        </is>
      </c>
      <c r="E19" s="5" t="inlineStr">
        <is>
          <t>Dos proveedores por materia prima clave (pistacho, cacao, vainilla) y envases sin poliestireno expandido; cucharillas de madera o compostables</t>
        </is>
      </c>
    </row>
    <row r="20"/>
    <row r="21">
      <c r="B21" s="5" t="inlineStr">
        <is>
          <t>Tareas completadas:</t>
        </is>
      </c>
      <c r="C21" s="17">
        <f>COUNTIF(A5:A19,"✓")</f>
        <v>0.0</v>
      </c>
      <c r="D21" s="5" t="inlineStr">
        <is>
          <t>de</t>
        </is>
      </c>
      <c r="E21" s="17">
        <f>COUNTIF(B5:B19,"?*")-COUNTIF(A5:A19,"N/A")</f>
        <v>15.0</v>
      </c>
    </row>
  </sheetData>
  <sheetProtection selectLockedCells="0" selectUnlockedCells="0" sheet="1" objects="0" insertRows="1" insertHyperlinks="1" autoFilter="1" scenarios="0" formatColumns="0" deleteColumns="1" insertColumns="1" pivotTables="1" deleteRows="1" formatCells="1" formatRows="0" sort="0"/>
  <mergeCells count="1">
    <mergeCell ref="A1:E1"/>
  </mergeCells>
  <conditionalFormatting sqref="A5:A19">
    <cfRule type="containsText" priority="1" operator="containsText" dxfId="1" stopIfTrue="1" text="✓">
      <formula>NOT(ISERROR(SEARCH("✓",A5)))</formula>
    </cfRule>
  </conditionalFormatting>
  <dataValidations count="1">
    <dataValidation sqref="A5 A6 A7 A8 A9 A10 A11 A12 A13 A14 A15 A16 A17 A18 A19" showDropDown="0" showInputMessage="0" showErrorMessage="1" allowBlank="1" errorTitle="Marca no válida" error="Usa el desplegable: ✓, ☐, N/A. N/A = no aplica, sale del total." type="list">
      <formula1>"✓,☐,N/A"</formula1>
    </dataValidation>
  </dataValidations>
  <pageMargins left="0.59" right="0.59" top="0.59" bottom="0.59" header="0.3" footer="0.3"/>
  <pageSetup orientation="portrait" paperSize="9" fitToHeight="0" fitToWidth="1"/>
  <headerFooter>
    <oddHeader/>
    <oddFooter>&amp;C&amp;8 AI Chef Pro · aichef.pro · Página &amp;P de &amp;N</oddFooter>
    <evenHeader/>
    <evenFooter/>
    <firstHeader/>
    <firstFooter/>
  </headerFooter>
</worksheet>
</file>

<file path=xl/worksheets/sheet4.xml><?xml version="1.0" encoding="utf-8"?>
<worksheet xmlns="http://schemas.openxmlformats.org/spreadsheetml/2006/main">
  <sheetPr>
    <outlinePr summaryBelow="1" summaryRight="1"/>
    <pageSetUpPr fitToPage="1"/>
  </sheetPr>
  <dimension ref="A1:E18"/>
  <sheetViews>
    <sheetView workbookViewId="0">
      <pane ySplit="4" topLeftCell="A5" activePane="bottomLeft" state="frozen"/>
      <selection pane="bottomLeft" activeCell="A1" sqref="A1"/>
    </sheetView>
  </sheetViews>
  <sheetFormatPr baseColWidth="8" defaultRowHeight="15"/>
  <cols>
    <col width="5" customWidth="1" min="1" max="1"/>
    <col width="40" customWidth="1" min="2" max="2"/>
    <col width="20" customWidth="1" min="3" max="3"/>
    <col width="15" customWidth="1" min="4" max="4"/>
    <col width="40" customWidth="1" min="5" max="5"/>
  </cols>
  <sheetData>
    <row r="1" ht="90" customHeight="1">
      <c r="A1" s="9" t="inlineStr">
        <is>
          <t>CHECKLIST DE APERTURA — HELADERÍA ARTESANAL</t>
        </is>
      </c>
    </row>
    <row r="2">
      <c r="A2" s="2" t="inlineStr">
        <is>
          <t>FASE 4: PERSONAL, APPCC Y FORMACIÓN (semanas 10-14)</t>
        </is>
      </c>
    </row>
    <row r="3"/>
    <row r="4">
      <c r="A4" s="3" t="inlineStr">
        <is>
          <t>OK</t>
        </is>
      </c>
      <c r="B4" s="3" t="inlineStr">
        <is>
          <t>TRÁMITE</t>
        </is>
      </c>
      <c r="C4" s="3" t="inlineStr">
        <is>
          <t>RESPONSABLE</t>
        </is>
      </c>
      <c r="D4" s="3" t="inlineStr">
        <is>
          <t>PLAZO</t>
        </is>
      </c>
      <c r="E4" s="3" t="inlineStr">
        <is>
          <t>NOTAS</t>
        </is>
      </c>
    </row>
    <row r="5">
      <c r="A5" s="10" t="inlineStr">
        <is>
          <t>☐</t>
        </is>
      </c>
      <c r="B5" s="5" t="inlineStr">
        <is>
          <t>Copiar la tabla salarial del convenio provincial de hostelería</t>
        </is>
      </c>
      <c r="C5" s="5" t="inlineStr">
        <is>
          <t>Gestoría</t>
        </is>
      </c>
      <c r="D5" s="5" t="inlineStr">
        <is>
          <t>Semana 10</t>
        </is>
      </c>
      <c r="E5" s="5" t="inlineStr">
        <is>
          <t>Las heladerías están en el convenio provincial de hostelería (VI Acuerdo Laboral de ámbito Estatal para el sector de Hostelería, art. 4). Pon su salario más bajo en la hoja de Supuestos del plan</t>
        </is>
      </c>
    </row>
    <row r="6">
      <c r="A6" s="10" t="inlineStr">
        <is>
          <t>☐</t>
        </is>
      </c>
      <c r="B6" s="5" t="inlineStr">
        <is>
          <t>Contratos fijos discontinuos para la temporada</t>
        </is>
      </c>
      <c r="C6" s="5" t="inlineStr">
        <is>
          <t>Gestoría</t>
        </is>
      </c>
      <c r="D6" s="5" t="inlineStr">
        <is>
          <t>Antes de la temporada</t>
        </is>
      </c>
      <c r="E6" s="5" t="inlineStr">
        <is>
          <t>Por escrito, con la orden y la forma de llamamiento (art. 16 del Estatuto de los Trabajadores). El eventual es para lo imprevisible, y una factura de «autónomo» con tu horario es falso autónomo (art. 1.1)</t>
        </is>
      </c>
    </row>
    <row r="7">
      <c r="A7" s="10" t="inlineStr">
        <is>
          <t>☐</t>
        </is>
      </c>
      <c r="B7" s="5" t="inlineStr">
        <is>
          <t>Contrato del dependiente/a y encargado/a de todo el año</t>
        </is>
      </c>
      <c r="C7" s="5" t="inlineStr">
        <is>
          <t>Gestoría</t>
        </is>
      </c>
      <c r="D7" s="5" t="inlineStr">
        <is>
          <t>Semana 12</t>
        </is>
      </c>
      <c r="E7" s="5" t="inlineStr">
        <is>
          <t>Abre y cierra cuando el titular está en el obrador: define sus funciones y su grupo del convenio</t>
        </is>
      </c>
    </row>
    <row r="8">
      <c r="A8" s="10" t="inlineStr">
        <is>
          <t>☐</t>
        </is>
      </c>
      <c r="B8" s="5" t="inlineStr">
        <is>
          <t>Calendario de llamamientos de abril a septiembre</t>
        </is>
      </c>
      <c r="C8" s="5" t="inlineStr">
        <is>
          <t>Titular</t>
        </is>
      </c>
      <c r="D8" s="5" t="inlineStr">
        <is>
          <t>Febrero</t>
        </is>
      </c>
      <c r="E8" s="5" t="inlineStr">
        <is>
          <t>Quién entra en abril, quién en mayo y quién en junio, y cuándo se para cada uno en otoño</t>
        </is>
      </c>
    </row>
    <row r="9">
      <c r="A9" s="10" t="inlineStr">
        <is>
          <t>☐</t>
        </is>
      </c>
      <c r="B9" s="5" t="inlineStr">
        <is>
          <t>Registro de jornada</t>
        </is>
      </c>
      <c r="C9" s="5" t="inlineStr">
        <is>
          <t>Titular</t>
        </is>
      </c>
      <c r="D9" s="5" t="inlineStr">
        <is>
          <t>Desde el primer contrato</t>
        </is>
      </c>
      <c r="E9" s="5" t="inlineStr">
        <is>
          <t>Obligatorio para toda la plantilla (art. 34.9 ET), también para los fijos discontinuos</t>
        </is>
      </c>
    </row>
    <row r="10">
      <c r="A10" s="10" t="inlineStr">
        <is>
          <t>☐</t>
        </is>
      </c>
      <c r="B10" s="5" t="inlineStr">
        <is>
          <t>Menores de 18 años: horario sin noche ni horas extra</t>
        </is>
      </c>
      <c r="C10" s="5" t="inlineStr">
        <is>
          <t>Gestoría</t>
        </is>
      </c>
      <c r="D10" s="5" t="inlineStr">
        <is>
          <t>Si contratas a menores</t>
        </is>
      </c>
      <c r="E10" s="5" t="inlineStr">
        <is>
          <t>No pueden trabajar de noche ni hacer horas extraordinarias (art. 6 ET): confírmalo con tu gestoría si el horario de verano llega a medianoche</t>
        </is>
      </c>
    </row>
    <row r="11">
      <c r="A11" s="10" t="inlineStr">
        <is>
          <t>☐</t>
        </is>
      </c>
      <c r="B11" s="5" t="inlineStr">
        <is>
          <t>Formación de manipuladores de alimentos</t>
        </is>
      </c>
      <c r="C11" s="5" t="inlineStr">
        <is>
          <t>Titular</t>
        </is>
      </c>
      <c r="D11" s="5" t="inlineStr">
        <is>
          <t>Antes de abrir</t>
        </is>
      </c>
      <c r="E11" s="5" t="inlineStr">
        <is>
          <t>La da y la acredita la empresa (no hay un documento oficial que sacar): higiene, temperaturas, alérgenos y el orden de la pasteurización</t>
        </is>
      </c>
    </row>
    <row r="12">
      <c r="A12" s="10" t="inlineStr">
        <is>
          <t>☐</t>
        </is>
      </c>
      <c r="B12" s="5" t="inlineStr">
        <is>
          <t>Formación técnica del maestro heladero</t>
        </is>
      </c>
      <c r="C12" s="5" t="inlineStr">
        <is>
          <t>Titular</t>
        </is>
      </c>
      <c r="D12" s="5" t="inlineStr">
        <is>
          <t>Antes de abrir</t>
        </is>
      </c>
      <c r="E12" s="5" t="inlineStr">
        <is>
          <t>Balanceo de mezclas (azúcares, sólidos y grasas), maduración y rendimiento: es inversión, no gasto</t>
        </is>
      </c>
    </row>
    <row r="13">
      <c r="A13" s="10" t="inlineStr">
        <is>
          <t>☐</t>
        </is>
      </c>
      <c r="B13" s="5" t="inlineStr">
        <is>
          <t>Plan de prevención de riesgos laborales</t>
        </is>
      </c>
      <c r="C13" s="5" t="inlineStr">
        <is>
          <t>Servicio de prevención</t>
        </is>
      </c>
      <c r="D13" s="5" t="inlineStr">
        <is>
          <t>Antes de abrir</t>
        </is>
      </c>
      <c r="E13" s="5" t="inlineStr">
        <is>
          <t>Obligatorio (Ley 31/1995): trabajo en frío, cargas, cortes y quemaduras de la crepera; guantes para -20 °C</t>
        </is>
      </c>
    </row>
    <row r="14">
      <c r="A14" s="10" t="inlineStr">
        <is>
          <t>☐</t>
        </is>
      </c>
      <c r="B14" s="5" t="inlineStr">
        <is>
          <t>Vigilancia de la salud de la plantilla</t>
        </is>
      </c>
      <c r="C14" s="5" t="inlineStr">
        <is>
          <t>Servicio de prevención</t>
        </is>
      </c>
      <c r="D14" s="5" t="inlineStr">
        <is>
          <t>Al contratar</t>
        </is>
      </c>
      <c r="E14" s="5" t="inlineStr">
        <is>
          <t>Reconocimientos médicos ofrecidos a cada persona que entra</t>
        </is>
      </c>
    </row>
    <row r="15">
      <c r="A15" s="10" t="inlineStr">
        <is>
          <t>☐</t>
        </is>
      </c>
      <c r="B15" s="5" t="inlineStr">
        <is>
          <t>Desinsectación, desratización y desinfección (DDD)</t>
        </is>
      </c>
      <c r="C15" s="5" t="inlineStr">
        <is>
          <t>Empresa del ROESB</t>
        </is>
      </c>
      <c r="D15" s="5" t="inlineStr">
        <is>
          <t>Antes de abrir</t>
        </is>
      </c>
      <c r="E15" s="5" t="inlineStr">
        <is>
          <t>Contrato con una empresa inscrita en el ROESB: forma parte de los prerrequisitos del APPCC</t>
        </is>
      </c>
    </row>
    <row r="16">
      <c r="A16" s="10" t="inlineStr">
        <is>
          <t>☐</t>
        </is>
      </c>
      <c r="B16" s="5" t="inlineStr">
        <is>
          <t>Plan de limpieza del obrador y de la vitrina</t>
        </is>
      </c>
      <c r="C16" s="5" t="inlineStr">
        <is>
          <t>Titular</t>
        </is>
      </c>
      <c r="D16" s="5" t="inlineStr">
        <is>
          <t>Antes de abrir</t>
        </is>
      </c>
      <c r="E16" s="5" t="inlineStr">
        <is>
          <t>Pasteurizador y mantecadora tras cada uso, cubetas, carapinas y lavaporcionador; con su registro</t>
        </is>
      </c>
    </row>
    <row r="17"/>
    <row r="18">
      <c r="B18" s="5" t="inlineStr">
        <is>
          <t>Tareas completadas:</t>
        </is>
      </c>
      <c r="C18" s="17">
        <f>COUNTIF(A5:A16,"✓")</f>
        <v>0.0</v>
      </c>
      <c r="D18" s="5" t="inlineStr">
        <is>
          <t>de</t>
        </is>
      </c>
      <c r="E18" s="17">
        <f>COUNTIF(B5:B16,"?*")-COUNTIF(A5:A16,"N/A")</f>
        <v>12.0</v>
      </c>
    </row>
  </sheetData>
  <sheetProtection selectLockedCells="0" selectUnlockedCells="0" sheet="1" objects="0" insertRows="1" insertHyperlinks="1" autoFilter="1" scenarios="0" formatColumns="0" deleteColumns="1" insertColumns="1" pivotTables="1" deleteRows="1" formatCells="1" formatRows="0" sort="0"/>
  <mergeCells count="1">
    <mergeCell ref="A1:E1"/>
  </mergeCells>
  <conditionalFormatting sqref="A5:A16">
    <cfRule type="containsText" priority="1" operator="containsText" dxfId="1" stopIfTrue="1" text="✓">
      <formula>NOT(ISERROR(SEARCH("✓",A5)))</formula>
    </cfRule>
  </conditionalFormatting>
  <dataValidations count="1">
    <dataValidation sqref="A5 A6 A7 A8 A9 A10 A11 A12 A13 A14 A15 A16" showDropDown="0" showInputMessage="0" showErrorMessage="1" allowBlank="1" errorTitle="Marca no válida" error="Usa el desplegable: ✓, ☐, N/A. N/A = no aplica, sale del total." type="list">
      <formula1>"✓,☐,N/A"</formula1>
    </dataValidation>
  </dataValidations>
  <pageMargins left="0.59" right="0.59" top="0.59" bottom="0.59" header="0.3" footer="0.3"/>
  <pageSetup orientation="portrait" paperSize="9" fitToHeight="0" fitToWidth="1"/>
  <headerFooter>
    <oddHeader/>
    <oddFooter>&amp;C&amp;8 AI Chef Pro · aichef.pro · Página &amp;P de &amp;N</oddFooter>
    <evenHeader/>
    <evenFooter/>
    <firstHeader/>
    <firstFooter/>
  </headerFooter>
</worksheet>
</file>

<file path=xl/worksheets/sheet5.xml><?xml version="1.0" encoding="utf-8"?>
<worksheet xmlns="http://schemas.openxmlformats.org/spreadsheetml/2006/main">
  <sheetPr>
    <outlinePr summaryBelow="1" summaryRight="1"/>
    <pageSetUpPr fitToPage="1"/>
  </sheetPr>
  <dimension ref="A1:E19"/>
  <sheetViews>
    <sheetView workbookViewId="0">
      <pane ySplit="4" topLeftCell="A5" activePane="bottomLeft" state="frozen"/>
      <selection pane="bottomLeft" activeCell="A1" sqref="A1"/>
    </sheetView>
  </sheetViews>
  <sheetFormatPr baseColWidth="8" defaultRowHeight="15"/>
  <cols>
    <col width="5" customWidth="1" min="1" max="1"/>
    <col width="40" customWidth="1" min="2" max="2"/>
    <col width="20" customWidth="1" min="3" max="3"/>
    <col width="15" customWidth="1" min="4" max="4"/>
    <col width="40" customWidth="1" min="5" max="5"/>
  </cols>
  <sheetData>
    <row r="1" ht="90" customHeight="1">
      <c r="A1" s="9" t="inlineStr">
        <is>
          <t>CHECKLIST DE APERTURA — HELADERÍA ARTESANAL</t>
        </is>
      </c>
    </row>
    <row r="2">
      <c r="A2" s="2" t="inlineStr">
        <is>
          <t>FASE 5: MARCA, CARTA Y CAPTACIÓN (semanas 8-16)</t>
        </is>
      </c>
    </row>
    <row r="3"/>
    <row r="4">
      <c r="A4" s="3" t="inlineStr">
        <is>
          <t>OK</t>
        </is>
      </c>
      <c r="B4" s="3" t="inlineStr">
        <is>
          <t>TRÁMITE</t>
        </is>
      </c>
      <c r="C4" s="3" t="inlineStr">
        <is>
          <t>RESPONSABLE</t>
        </is>
      </c>
      <c r="D4" s="3" t="inlineStr">
        <is>
          <t>PLAZO</t>
        </is>
      </c>
      <c r="E4" s="3" t="inlineStr">
        <is>
          <t>NOTAS</t>
        </is>
      </c>
    </row>
    <row r="5">
      <c r="A5" s="10" t="inlineStr">
        <is>
          <t>☐</t>
        </is>
      </c>
      <c r="B5" s="5" t="inlineStr">
        <is>
          <t>Decidir el tipo de heladería y su carta</t>
        </is>
      </c>
      <c r="C5" s="5" t="inlineStr">
        <is>
          <t>Titular</t>
        </is>
      </c>
      <c r="D5" s="5" t="inlineStr">
        <is>
          <t>Semana 8</t>
        </is>
      </c>
      <c r="E5" s="5" t="inlineStr">
        <is>
          <t>Con obrador propio (este plan), vitrina sin obrador, quiosco o franquicia: cada uno tiene otra inversión y otra licencia</t>
        </is>
      </c>
    </row>
    <row r="6">
      <c r="A6" s="10" t="inlineStr">
        <is>
          <t>☐</t>
        </is>
      </c>
      <c r="B6" s="5" t="inlineStr">
        <is>
          <t>«Artesano» en el rótulo sólo con la calificación de tu comunidad</t>
        </is>
      </c>
      <c r="C6" s="5" t="inlineStr">
        <is>
          <t>Titular</t>
        </is>
      </c>
      <c r="D6" s="5" t="inlineStr">
        <is>
          <t>Antes del rótulo</t>
        </is>
      </c>
      <c r="E6" s="5" t="inlineStr">
        <is>
          <t>La condición de empresa artesana se acredita con el documento de calificación artesanal (RD 618/1998, art. 2.9), que da cada comunidad. Si no lo tienes, «ELABORACIÓN PROPIA» (RD 1021/2022, art. 11)</t>
        </is>
      </c>
    </row>
    <row r="7">
      <c r="A7" s="10" t="inlineStr">
        <is>
          <t>☐</t>
        </is>
      </c>
      <c r="B7" s="5" t="inlineStr">
        <is>
          <t>Carta de 18 sabores en verano y 10-12 en invierno</t>
        </is>
      </c>
      <c r="C7" s="5" t="inlineStr">
        <is>
          <t>Maestro heladero</t>
        </is>
      </c>
      <c r="D7" s="5" t="inlineStr">
        <is>
          <t>Semanas 10-14</t>
        </is>
      </c>
      <c r="E7" s="5" t="inlineStr">
        <is>
          <t>Clásicos, de temporada y uno o dos de autor; sorbetes sin lácteos en la receta para veganos y para quien no toma leche. A un cliente con alergia a la leche sírveselos sólo si los mantecas antes que los de leche, con la máquina recién limpia, y lo anotas en la ficha de alérgenos del sabor</t>
        </is>
      </c>
    </row>
    <row r="8">
      <c r="A8" s="10" t="inlineStr">
        <is>
          <t>☐</t>
        </is>
      </c>
      <c r="B8" s="5" t="inlineStr">
        <is>
          <t>Escandallo de cada sabor y precio de carta</t>
        </is>
      </c>
      <c r="C8" s="5" t="inlineStr">
        <is>
          <t>Titular</t>
        </is>
      </c>
      <c r="D8" s="5" t="inlineStr">
        <is>
          <t>Semanas 12-14</t>
        </is>
      </c>
      <c r="E8" s="5" t="inlineStr">
        <is>
          <t>Calcula el coste de la bola, de la tarrina de medio litro y de la tarta helada; revísalo cada temporada (el pistacho, el cacao y la vainilla se mueven)</t>
        </is>
      </c>
    </row>
    <row r="9">
      <c r="A9" s="10" t="inlineStr">
        <is>
          <t>☐</t>
        </is>
      </c>
      <c r="B9" s="5" t="inlineStr">
        <is>
          <t>Carta de invierno: crepes, gofres, chocolate y tartas por encargo</t>
        </is>
      </c>
      <c r="C9" s="5" t="inlineStr">
        <is>
          <t>Maestro heladero</t>
        </is>
      </c>
      <c r="D9" s="5" t="inlineStr">
        <is>
          <t>Octubre</t>
        </is>
      </c>
      <c r="E9" s="5" t="inlineStr">
        <is>
          <t>Crepes y gofres sólo si la ordenanza permite la salida de humos; si no, chocolate a la taza, tartas heladas y turrón helado de Navidad</t>
        </is>
      </c>
    </row>
    <row r="10">
      <c r="A10" s="10" t="inlineStr">
        <is>
          <t>☐</t>
        </is>
      </c>
      <c r="B10" s="5" t="inlineStr">
        <is>
          <t>Identidad, fotos y web con la carta de sabores</t>
        </is>
      </c>
      <c r="C10" s="5" t="inlineStr">
        <is>
          <t>Diseñador/a</t>
        </is>
      </c>
      <c r="D10" s="5" t="inlineStr">
        <is>
          <t>Semanas 8-14</t>
        </is>
      </c>
      <c r="E10" s="5" t="inlineStr">
        <is>
          <t>Fotos reales del obrador y del helado; la web con los sabores del día y los encargos de tartas</t>
        </is>
      </c>
    </row>
    <row r="11">
      <c r="A11" s="10" t="inlineStr">
        <is>
          <t>☐</t>
        </is>
      </c>
      <c r="B11" s="5" t="inlineStr">
        <is>
          <t>Ficha de Google Business y reseñas</t>
        </is>
      </c>
      <c r="C11" s="5" t="inlineStr">
        <is>
          <t>Titular</t>
        </is>
      </c>
      <c r="D11" s="5" t="inlineStr">
        <is>
          <t>Antes de abrir</t>
        </is>
      </c>
      <c r="E11" s="5" t="inlineStr">
        <is>
          <t>Horario de temporada y de invierno, fotos y respuesta a cada reseña</t>
        </is>
      </c>
    </row>
    <row r="12">
      <c r="A12" s="10" t="inlineStr">
        <is>
          <t>☐</t>
        </is>
      </c>
      <c r="B12" s="5" t="inlineStr">
        <is>
          <t>Redes sociales con el sabor del día</t>
        </is>
      </c>
      <c r="C12" s="5" t="inlineStr">
        <is>
          <t>Titular</t>
        </is>
      </c>
      <c r="D12" s="5" t="inlineStr">
        <is>
          <t>Desde la obra</t>
        </is>
      </c>
      <c r="E12" s="5" t="inlineStr">
        <is>
          <t>La obra, la primera tanda, el sabor nuevo de cada semana y la vuelta de la temporada</t>
        </is>
      </c>
    </row>
    <row r="13">
      <c r="A13" s="10" t="inlineStr">
        <is>
          <t>☐</t>
        </is>
      </c>
      <c r="B13" s="5" t="inlineStr">
        <is>
          <t>Canal de encargos de tartas heladas y para eventos</t>
        </is>
      </c>
      <c r="C13" s="5" t="inlineStr">
        <is>
          <t>Titular</t>
        </is>
      </c>
      <c r="D13" s="5" t="inlineStr">
        <is>
          <t>Antes de mayo</t>
        </is>
      </c>
      <c r="E13" s="5" t="inlineStr">
        <is>
          <t>Comuniones, cumpleaños y Navidad: formulario, plazo de encargo y señal</t>
        </is>
      </c>
    </row>
    <row r="14">
      <c r="A14" s="10" t="inlineStr">
        <is>
          <t>☐</t>
        </is>
      </c>
      <c r="B14" s="5" t="inlineStr">
        <is>
          <t>Ofrecer helado a restaurantes de la zona (art. 3)</t>
        </is>
      </c>
      <c r="C14" s="5" t="inlineStr">
        <is>
          <t>Titular</t>
        </is>
      </c>
      <c r="D14" s="5" t="inlineStr">
        <is>
          <t>Tras la apertura</t>
        </is>
      </c>
      <c r="E14" s="5" t="inlineStr">
        <is>
          <t>Sólo después de la declaración del art. 3 del RD 1021/2022 y dentro de sus límites (fase 3). Cobro a 30 días</t>
        </is>
      </c>
    </row>
    <row r="15">
      <c r="A15" s="10" t="inlineStr">
        <is>
          <t>☐</t>
        </is>
      </c>
      <c r="B15" s="5" t="inlineStr">
        <is>
          <t>Alta en una plataforma de reparto para las tarrinas</t>
        </is>
      </c>
      <c r="C15" s="5" t="inlineStr">
        <is>
          <t>Titular</t>
        </is>
      </c>
      <c r="D15" s="5" t="inlineStr">
        <is>
          <t>Junio</t>
        </is>
      </c>
      <c r="E15" s="5" t="inlineStr">
        <is>
          <t>Sólo tarrinas de medio litro y de litro en envase isotérmico; la comisión ronda el 30 %</t>
        </is>
      </c>
    </row>
    <row r="16">
      <c r="A16" s="10" t="inlineStr">
        <is>
          <t>☐</t>
        </is>
      </c>
      <c r="B16" s="5" t="inlineStr">
        <is>
          <t>Fiesta de apertura con degustación</t>
        </is>
      </c>
      <c r="C16" s="5" t="inlineStr">
        <is>
          <t>Titular</t>
        </is>
      </c>
      <c r="D16" s="5" t="inlineStr">
        <is>
          <t>Semana de apertura</t>
        </is>
      </c>
      <c r="E16" s="5" t="inlineStr">
        <is>
          <t>Catas de sabores para el barrio, colegios y comercios vecinos</t>
        </is>
      </c>
    </row>
    <row r="17">
      <c r="A17" s="10" t="inlineStr">
        <is>
          <t>☐</t>
        </is>
      </c>
      <c r="B17" s="5" t="inlineStr">
        <is>
          <t>Cláusula informativa de protección de datos</t>
        </is>
      </c>
      <c r="C17" s="5" t="inlineStr">
        <is>
          <t>Titular</t>
        </is>
      </c>
      <c r="D17" s="5" t="inlineStr">
        <is>
          <t>Antes de abrir</t>
        </is>
      </c>
      <c r="E17" s="5" t="inlineStr">
        <is>
          <t>En la web, en la lista de correo y en los encargos: cada canal necesita su información previa</t>
        </is>
      </c>
    </row>
    <row r="18"/>
    <row r="19">
      <c r="B19" s="5" t="inlineStr">
        <is>
          <t>Tareas completadas:</t>
        </is>
      </c>
      <c r="C19" s="17">
        <f>COUNTIF(A5:A17,"✓")</f>
        <v>0.0</v>
      </c>
      <c r="D19" s="5" t="inlineStr">
        <is>
          <t>de</t>
        </is>
      </c>
      <c r="E19" s="17">
        <f>COUNTIF(B5:B17,"?*")-COUNTIF(A5:A17,"N/A")</f>
        <v>13.0</v>
      </c>
    </row>
  </sheetData>
  <sheetProtection selectLockedCells="0" selectUnlockedCells="0" sheet="1" objects="0" insertRows="1" insertHyperlinks="1" autoFilter="1" scenarios="0" formatColumns="0" deleteColumns="1" insertColumns="1" pivotTables="1" deleteRows="1" formatCells="1" formatRows="0" sort="0"/>
  <mergeCells count="1">
    <mergeCell ref="A1:E1"/>
  </mergeCells>
  <conditionalFormatting sqref="A5:A17">
    <cfRule type="containsText" priority="1" operator="containsText" dxfId="1" stopIfTrue="1" text="✓">
      <formula>NOT(ISERROR(SEARCH("✓",A5)))</formula>
    </cfRule>
  </conditionalFormatting>
  <dataValidations count="1">
    <dataValidation sqref="A5 A6 A7 A8 A9 A10 A11 A12 A13 A14 A15 A16 A17" showDropDown="0" showInputMessage="0" showErrorMessage="1" allowBlank="1" errorTitle="Marca no válida" error="Usa el desplegable: ✓, ☐, N/A. N/A = no aplica, sale del total." type="list">
      <formula1>"✓,☐,N/A"</formula1>
    </dataValidation>
  </dataValidations>
  <pageMargins left="0.59" right="0.59" top="0.59" bottom="0.59" header="0.3" footer="0.3"/>
  <pageSetup orientation="portrait" paperSize="9" fitToHeight="0" fitToWidth="1"/>
  <headerFooter>
    <oddHeader/>
    <oddFooter>&amp;C&amp;8 AI Chef Pro · aichef.pro · Página &amp;P de &amp;N</oddFooter>
    <evenHeader/>
    <evenFooter/>
    <firstHeader/>
    <firstFooter/>
  </headerFooter>
</worksheet>
</file>

<file path=xl/worksheets/sheet6.xml><?xml version="1.0" encoding="utf-8"?>
<worksheet xmlns="http://schemas.openxmlformats.org/spreadsheetml/2006/main">
  <sheetPr>
    <outlinePr summaryBelow="1" summaryRight="1"/>
    <pageSetUpPr fitToPage="1"/>
  </sheetPr>
  <dimension ref="A1:E19"/>
  <sheetViews>
    <sheetView workbookViewId="0">
      <pane ySplit="4" topLeftCell="A5" activePane="bottomLeft" state="frozen"/>
      <selection pane="bottomLeft" activeCell="A1" sqref="A1"/>
    </sheetView>
  </sheetViews>
  <sheetFormatPr baseColWidth="8" defaultRowHeight="15"/>
  <cols>
    <col width="5" customWidth="1" min="1" max="1"/>
    <col width="40" customWidth="1" min="2" max="2"/>
    <col width="20" customWidth="1" min="3" max="3"/>
    <col width="15" customWidth="1" min="4" max="4"/>
    <col width="40" customWidth="1" min="5" max="5"/>
  </cols>
  <sheetData>
    <row r="1" ht="90" customHeight="1">
      <c r="A1" s="9" t="inlineStr">
        <is>
          <t>CHECKLIST DE APERTURA — HELADERÍA ARTESANAL</t>
        </is>
      </c>
    </row>
    <row r="2">
      <c r="A2" s="2" t="inlineStr">
        <is>
          <t>FASE 6: APERTURA, TEMPORADA Y PRIMEROS 90 DÍAS</t>
        </is>
      </c>
    </row>
    <row r="3"/>
    <row r="4">
      <c r="A4" s="3" t="inlineStr">
        <is>
          <t>OK</t>
        </is>
      </c>
      <c r="B4" s="3" t="inlineStr">
        <is>
          <t>TRÁMITE</t>
        </is>
      </c>
      <c r="C4" s="3" t="inlineStr">
        <is>
          <t>RESPONSABLE</t>
        </is>
      </c>
      <c r="D4" s="3" t="inlineStr">
        <is>
          <t>PLAZO</t>
        </is>
      </c>
      <c r="E4" s="3" t="inlineStr">
        <is>
          <t>NOTAS</t>
        </is>
      </c>
    </row>
    <row r="5">
      <c r="A5" s="10" t="inlineStr">
        <is>
          <t>☐</t>
        </is>
      </c>
      <c r="B5" s="5" t="inlineStr">
        <is>
          <t>Abrir en marzo, no en otoño</t>
        </is>
      </c>
      <c r="C5" s="5" t="inlineStr">
        <is>
          <t>Titular</t>
        </is>
      </c>
      <c r="D5" s="5" t="inlineStr">
        <is>
          <t>Mes 1</t>
        </is>
      </c>
      <c r="E5" s="5" t="inlineStr">
        <is>
          <t>El plan abre en marzo para llegar al primer invierno con la caja del verano: abriendo en octubre, el fondo se gasta antes del primer julio</t>
        </is>
      </c>
    </row>
    <row r="6">
      <c r="A6" s="10" t="inlineStr">
        <is>
          <t>☐</t>
        </is>
      </c>
      <c r="B6" s="5" t="inlineStr">
        <is>
          <t>Pruebas de producción y cata interna</t>
        </is>
      </c>
      <c r="C6" s="5" t="inlineStr">
        <is>
          <t>Maestro heladero</t>
        </is>
      </c>
      <c r="D6" s="5" t="inlineStr">
        <is>
          <t>Semana previa</t>
        </is>
      </c>
      <c r="E6" s="5" t="inlineStr">
        <is>
          <t>Dos o tres tandas por sabor para ajustar textura, dulzor y rendimiento antes de abrir</t>
        </is>
      </c>
    </row>
    <row r="7">
      <c r="A7" s="10" t="inlineStr">
        <is>
          <t>☐</t>
        </is>
      </c>
      <c r="B7" s="5" t="inlineStr">
        <is>
          <t>Comprobar temperaturas y registros del primer día</t>
        </is>
      </c>
      <c r="C7" s="5" t="inlineStr">
        <is>
          <t>Titular</t>
        </is>
      </c>
      <c r="D7" s="5" t="inlineStr">
        <is>
          <t>Día 1</t>
        </is>
      </c>
      <c r="E7" s="5" t="inlineStr">
        <is>
          <t>Vitrina, armarios, abatidor y la hoja del pasteurizador; corrige cualquier desviación antes de servir</t>
        </is>
      </c>
    </row>
    <row r="8">
      <c r="A8" s="10" t="inlineStr">
        <is>
          <t>☐</t>
        </is>
      </c>
      <c r="B8" s="5" t="inlineStr">
        <is>
          <t>Inspección sanitaria: tener el APPCC y los registros a mano</t>
        </is>
      </c>
      <c r="C8" s="5" t="inlineStr">
        <is>
          <t>Titular</t>
        </is>
      </c>
      <c r="D8" s="5" t="inlineStr">
        <is>
          <t>Desde el día 1</t>
        </is>
      </c>
      <c r="E8" s="5" t="inlineStr">
        <is>
          <t>Fichas de alérgenos, trazabilidad por lote, registros de temperatura y de limpieza, formación y DDD</t>
        </is>
      </c>
    </row>
    <row r="9">
      <c r="A9" s="10" t="inlineStr">
        <is>
          <t>☐</t>
        </is>
      </c>
      <c r="B9" s="5" t="inlineStr">
        <is>
          <t>Revisar el seguro de mercancía y de avería antes de julio</t>
        </is>
      </c>
      <c r="C9" s="5" t="inlineStr">
        <is>
          <t>Corredor de seguros</t>
        </is>
      </c>
      <c r="D9" s="5" t="inlineStr">
        <is>
          <t>Junio</t>
        </is>
      </c>
      <c r="E9" s="5" t="inlineStr">
        <is>
          <t>Comprueba que cubre la mercancía de la vitrina y de los armarios si falla el frío en pleno verano</t>
        </is>
      </c>
    </row>
    <row r="10">
      <c r="A10" s="10" t="inlineStr">
        <is>
          <t>☐</t>
        </is>
      </c>
      <c r="B10" s="5" t="inlineStr">
        <is>
          <t>Revisión del frío antes del pico de verano</t>
        </is>
      </c>
      <c r="C10" s="5" t="inlineStr">
        <is>
          <t>Frigorista</t>
        </is>
      </c>
      <c r="D10" s="5" t="inlineStr">
        <is>
          <t>Mayo</t>
        </is>
      </c>
      <c r="E10" s="5" t="inlineStr">
        <is>
          <t>Limpieza de condensadores y prueba de temperaturas: una avería en agosto es una cubeta perdida por sabor</t>
        </is>
      </c>
    </row>
    <row r="11">
      <c r="A11" s="10" t="inlineStr">
        <is>
          <t>☐</t>
        </is>
      </c>
      <c r="B11" s="5" t="inlineStr">
        <is>
          <t>Cuadrante de julio y agosto</t>
        </is>
      </c>
      <c r="C11" s="5" t="inlineStr">
        <is>
          <t>Titular</t>
        </is>
      </c>
      <c r="D11" s="5" t="inlineStr">
        <is>
          <t>Junio</t>
        </is>
      </c>
      <c r="E11" s="5" t="inlineStr">
        <is>
          <t>En el pico el cuadrante va justo: prevé horas de más del titular o un extra de fin de semana</t>
        </is>
      </c>
    </row>
    <row r="12">
      <c r="A12" s="10" t="inlineStr">
        <is>
          <t>☐</t>
        </is>
      </c>
      <c r="B12" s="5" t="inlineStr">
        <is>
          <t>Medir la merma cada semana</t>
        </is>
      </c>
      <c r="C12" s="5" t="inlineStr">
        <is>
          <t>Titular</t>
        </is>
      </c>
      <c r="D12" s="5" t="inlineStr">
        <is>
          <t>Semanal</t>
        </is>
      </c>
      <c r="E12" s="5" t="inlineStr">
        <is>
          <t>Helado derretido, devuelto o caducado: no se recongela. Si pasa del 5-8 % de la producción, recorta cubetas</t>
        </is>
      </c>
    </row>
    <row r="13">
      <c r="A13" s="10" t="inlineStr">
        <is>
          <t>☐</t>
        </is>
      </c>
      <c r="B13" s="5" t="inlineStr">
        <is>
          <t>Comparar ventas y costes reales con el plan cada mes</t>
        </is>
      </c>
      <c r="C13" s="5" t="inlineStr">
        <is>
          <t>Titular</t>
        </is>
      </c>
      <c r="D13" s="5" t="inlineStr">
        <is>
          <t>Mensual</t>
        </is>
      </c>
      <c r="E13" s="5" t="inlineStr">
        <is>
          <t>Clientes al día, ticket, mercancía y personal frente a la cuenta de resultados del Excel</t>
        </is>
      </c>
    </row>
    <row r="14">
      <c r="A14" s="10" t="inlineStr">
        <is>
          <t>☐</t>
        </is>
      </c>
      <c r="B14" s="5" t="inlineStr">
        <is>
          <t>Seguir la tesorería mes a mes y el saldo mínimo</t>
        </is>
      </c>
      <c r="C14" s="5" t="inlineStr">
        <is>
          <t>Titular</t>
        </is>
      </c>
      <c r="D14" s="5" t="inlineStr">
        <is>
          <t>Mensual</t>
        </is>
      </c>
      <c r="E14" s="5" t="inlineStr">
        <is>
          <t>Mira cuánta caja del verano llega a noviembre: es la que paga el invierno</t>
        </is>
      </c>
    </row>
    <row r="15">
      <c r="A15" s="10" t="inlineStr">
        <is>
          <t>☐</t>
        </is>
      </c>
      <c r="B15" s="5" t="inlineStr">
        <is>
          <t>Plan de invierno: carta reducida y horario</t>
        </is>
      </c>
      <c r="C15" s="5" t="inlineStr">
        <is>
          <t>Titular</t>
        </is>
      </c>
      <c r="D15" s="5" t="inlineStr">
        <is>
          <t>Septiembre</t>
        </is>
      </c>
      <c r="E15" s="5" t="inlineStr">
        <is>
          <t>Menos sabores, horario de invierno y la carta de crepes, chocolate y tartas por encargo</t>
        </is>
      </c>
    </row>
    <row r="16">
      <c r="A16" s="10" t="inlineStr">
        <is>
          <t>☐</t>
        </is>
      </c>
      <c r="B16" s="5" t="inlineStr">
        <is>
          <t>Fin de los llamamientos y vacaciones de enero</t>
        </is>
      </c>
      <c r="C16" s="5" t="inlineStr">
        <is>
          <t>Gestoría</t>
        </is>
      </c>
      <c r="D16" s="5" t="inlineStr">
        <is>
          <t>Septiembre y enero</t>
        </is>
      </c>
      <c r="E16" s="5" t="inlineStr">
        <is>
          <t>Fin de la temporada de cada fijo discontinuo por escrito al acabar septiembre, y tres semanas de cierre en enero</t>
        </is>
      </c>
    </row>
    <row r="17">
      <c r="A17" s="10" t="inlineStr">
        <is>
          <t>☐</t>
        </is>
      </c>
      <c r="B17" s="5" t="inlineStr">
        <is>
          <t>Mantenimiento del frío en las semanas de cierre</t>
        </is>
      </c>
      <c r="C17" s="5" t="inlineStr">
        <is>
          <t>Frigorista</t>
        </is>
      </c>
      <c r="D17" s="5" t="inlineStr">
        <is>
          <t>Enero</t>
        </is>
      </c>
      <c r="E17" s="5" t="inlineStr">
        <is>
          <t>Revisión de vitrinas, armarios y mantecadora con el local cerrado, antes de la siguiente temporada</t>
        </is>
      </c>
    </row>
    <row r="18"/>
    <row r="19">
      <c r="B19" s="5" t="inlineStr">
        <is>
          <t>Tareas completadas:</t>
        </is>
      </c>
      <c r="C19" s="17">
        <f>COUNTIF(A5:A17,"✓")</f>
        <v>0.0</v>
      </c>
      <c r="D19" s="5" t="inlineStr">
        <is>
          <t>de</t>
        </is>
      </c>
      <c r="E19" s="17">
        <f>COUNTIF(B5:B17,"?*")-COUNTIF(A5:A17,"N/A")</f>
        <v>13.0</v>
      </c>
    </row>
  </sheetData>
  <sheetProtection selectLockedCells="0" selectUnlockedCells="0" sheet="1" objects="0" insertRows="1" insertHyperlinks="1" autoFilter="1" scenarios="0" formatColumns="0" deleteColumns="1" insertColumns="1" pivotTables="1" deleteRows="1" formatCells="1" formatRows="0" sort="0"/>
  <mergeCells count="1">
    <mergeCell ref="A1:E1"/>
  </mergeCells>
  <conditionalFormatting sqref="A5:A17">
    <cfRule type="containsText" priority="1" operator="containsText" dxfId="1" stopIfTrue="1" text="✓">
      <formula>NOT(ISERROR(SEARCH("✓",A5)))</formula>
    </cfRule>
  </conditionalFormatting>
  <dataValidations count="1">
    <dataValidation sqref="A5 A6 A7 A8 A9 A10 A11 A12 A13 A14 A15 A16 A17" showDropDown="0" showInputMessage="0" showErrorMessage="1" allowBlank="1" errorTitle="Marca no válida" error="Usa el desplegable: ✓, ☐, N/A. N/A = no aplica, sale del total." type="list">
      <formula1>"✓,☐,N/A"</formula1>
    </dataValidation>
  </dataValidations>
  <pageMargins left="0.59" right="0.59" top="0.59" bottom="0.59" header="0.3" footer="0.3"/>
  <pageSetup orientation="portrait" paperSize="9" fitToHeight="0" fitToWidth="1"/>
  <headerFooter>
    <oddHeader/>
    <oddFooter>&amp;C&amp;8 AI Chef Pro · aichef.pro · Página &amp;P de &amp;N</oddFooter>
    <evenHeader/>
    <evenFooter/>
    <firstHeader/>
    <firstFooter/>
  </headerFooter>
</worksheet>
</file>

<file path=xl/worksheets/sheet7.xml><?xml version="1.0" encoding="utf-8"?>
<worksheet xmlns="http://schemas.openxmlformats.org/spreadsheetml/2006/main">
  <sheetPr>
    <outlinePr summaryBelow="1" summaryRight="1"/>
    <pageSetUpPr fitToPage="1"/>
  </sheetPr>
  <dimension ref="A1:C11"/>
  <sheetViews>
    <sheetView workbookViewId="0">
      <selection activeCell="A1" sqref="A1"/>
    </sheetView>
  </sheetViews>
  <sheetFormatPr baseColWidth="8" defaultRowHeight="15"/>
  <cols>
    <col width="110" customWidth="1" min="1" max="1"/>
  </cols>
  <sheetData>
    <row r="1">
      <c r="A1" s="15" t="inlineStr">
        <is>
          <t>INSTRUCCIONES DE USO</t>
        </is>
      </c>
    </row>
    <row r="2"/>
    <row r="3" ht="15" customHeight="1">
      <c r="A3" s="12" t="inlineStr">
        <is>
          <t>Este fichero forma parte del producto «plan-negocio-heladeria» de AI Chef Pro.</t>
        </is>
      </c>
    </row>
    <row r="4" ht="15" customHeight="1">
      <c r="A4" s="12" t="inlineStr">
        <is>
          <t>Las celdas VERDES son las editables: cambia esas y el resto del libro se recalcula solo.</t>
        </is>
      </c>
    </row>
    <row r="5" ht="15" customHeight="1">
      <c r="A5" s="12" t="inlineStr">
        <is>
          <t>Columna OK: elige ✓ (hecho), ☐ (pendiente) o N/A (no aplica). Las N/A no cuentan en el total.</t>
        </is>
      </c>
    </row>
    <row r="6" ht="15" customHeight="1">
      <c r="A6" s="12" t="inlineStr">
        <is>
          <t>El contador de cada pestaña cuenta sólo las ✓; las N/A salen del total.</t>
        </is>
      </c>
    </row>
    <row r="7"/>
    <row r="8">
      <c r="A8" s="16" t="inlineStr">
        <is>
          <t>Para editar una celda que no esté en verde: Revisar → Desproteger hoja (no tiene contraseña).</t>
        </is>
      </c>
    </row>
    <row r="9">
      <c r="A9" s="16" t="inlineStr">
        <is>
          <t>Más plantillas y kits del catálogo en aichef.pro/productos-digitales</t>
        </is>
      </c>
    </row>
    <row r="10">
      <c r="A10" s="16" t="inlineStr">
        <is>
          <t>Diseñado por John Guerrero — chef y consultor gastronómico desde 2010, en cocina desde los 17 años · johnguerrero.es</t>
        </is>
      </c>
    </row>
    <row r="11">
      <c r="A11" s="16" t="inlineStr">
        <is>
          <t>Versión 1.0 · noviembre 2026 · aichef.pro/plan-negocio-heladeria · info@aichef.pro</t>
        </is>
      </c>
    </row>
  </sheetData>
  <sheetProtection selectLockedCells="0" selectUnlockedCells="0" sheet="1" objects="0" insertRows="1" insertHyperlinks="1" autoFilter="1" scenarios="0" formatColumns="0" deleteColumns="1" insertColumns="1" pivotTables="1" deleteRows="1" formatCells="1" formatRows="0" sort="0"/>
  <pageMargins left="0.59" right="0.59" top="0.59" bottom="0.59" header="0.3" footer="0.3"/>
  <pageSetup paperSize="9" fitToHeight="0" fitToWidth="1"/>
  <headerFooter>
    <oddHeader/>
    <oddFooter>&amp;C&amp;8 AI Chef Pro · aichef.pro · Página &amp;P de &amp;N</oddFooter>
    <evenHeader/>
    <evenFooter/>
    <firstHeader/>
    <firstFooter/>
  </headerFooter>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AI Chef Pro</dc:creator>
  <dc:title xmlns:dc="http://purl.org/dc/elements/1.1/">Checklist de apertura — Heladería Artesanal · v1.0</dc:title>
  <dc:description xmlns:dc="http://purl.org/dc/elements/1.1/">aichef.pro/plan-negocio-heladeria</dc:description>
  <dc:subject xmlns:dc="http://purl.org/dc/elements/1.1/">Checklist de apertura — Heladería Artesanal · v1.0</dc:subject>
  <dcterms:created xmlns:dcterms="http://purl.org/dc/terms/" xmlns:xsi="http://www.w3.org/2001/XMLSchema-instance" xsi:type="dcterms:W3CDTF">2026-03-26T15:52:23Z</dcterms:created>
  <dcterms:modified xmlns:dcterms="http://purl.org/dc/terms/" xmlns:xsi="http://www.w3.org/2001/XMLSchema-instance" xsi:type="dcterms:W3CDTF">2026-10-25T10:10:59Z</dcterms:modified>
  <cp:lastModifiedBy>AI Chef Pro</cp:lastModifiedBy>
  <cp:category>AI Chef Pro · Productos digitales</cp:category>
  <cp:keywords>plan de negocio heladería artesanal, AI Chef Pro</cp:keywords>
</cp:coreProperties>
</file>