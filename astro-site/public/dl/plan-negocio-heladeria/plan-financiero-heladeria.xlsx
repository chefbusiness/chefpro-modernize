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Supuestos" sheetId="1" state="visible" r:id="rId1"/>
    <sheet xmlns:r="http://schemas.openxmlformats.org/officeDocument/2006/relationships" name="Inversión Inicial" sheetId="2" state="visible" r:id="rId2"/>
    <sheet xmlns:r="http://schemas.openxmlformats.org/officeDocument/2006/relationships" name="PyG 3 Años" sheetId="3" state="visible" r:id="rId3"/>
    <sheet xmlns:r="http://schemas.openxmlformats.org/officeDocument/2006/relationships" name="Punto Equilibrio" sheetId="4" state="visible" r:id="rId4"/>
    <sheet xmlns:r="http://schemas.openxmlformats.org/officeDocument/2006/relationships" name="Escenarios" sheetId="5" state="visible" r:id="rId5"/>
    <sheet xmlns:r="http://schemas.openxmlformats.org/officeDocument/2006/relationships" name="Personal" sheetId="6" state="visible" r:id="rId6"/>
    <sheet xmlns:r="http://schemas.openxmlformats.org/officeDocument/2006/relationships" name="Instrucciones" sheetId="7" state="visible" r:id="rId7"/>
    <sheet xmlns:r="http://schemas.openxmlformats.org/officeDocument/2006/relationships" name="Tesorería 12 meses" sheetId="8" state="visible" r:id="rId8"/>
    <sheet xmlns:r="http://schemas.openxmlformats.org/officeDocument/2006/relationships" name="Financiación" sheetId="9" state="visible" r:id="rId9"/>
  </sheets>
  <definedNames>
    <definedName name="_xlnm.Print_Titles" localSheetId="1">'Inversión Inicial'!$5:$5</definedName>
    <definedName name="_xlnm.Print_Titles" localSheetId="2">'PyG 3 Años'!$4:$4</definedName>
    <definedName name="_xlnm.Print_Titles" localSheetId="3">'Punto Equilibrio'!$4:$4</definedName>
    <definedName name="_xlnm.Print_Titles" localSheetId="4">'Escenarios'!$4:$4</definedName>
    <definedName name="_xlnm.Print_Titles" localSheetId="5">'Personal'!$4:$4</definedName>
    <definedName name="_xlnm.Print_Titles" localSheetId="7">'Tesorería 12 meses'!$4:$4</definedName>
    <definedName name="_xlnm.Print_Titles" localSheetId="8">'Financiación'!$4:$4</definedName>
  </definedNames>
  <calcPr calcId="124519" fullCalcOnLoad="1"/>
</workbook>
</file>

<file path=xl/styles.xml><?xml version="1.0" encoding="utf-8"?>
<styleSheet xmlns="http://schemas.openxmlformats.org/spreadsheetml/2006/main">
  <numFmts count="4">
    <numFmt numFmtId="164" formatCode="#,##0 €"/>
    <numFmt numFmtId="165" formatCode="#,##0.00 €"/>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b val="1"/>
      <sz val="11"/>
    </font>
    <font>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7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0" fontId="12" fillId="0" borderId="0" pivotButton="0" quotePrefix="0" xfId="0"/>
    <xf numFmtId="164" fontId="0" fillId="0" borderId="0" pivotButton="0" quotePrefix="0" xfId="0"/>
    <xf numFmtId="164" fontId="11" fillId="0" borderId="0" pivotButton="0" quotePrefix="0" xfId="0"/>
    <xf numFmtId="166" fontId="11" fillId="0" borderId="0" pivotButton="0" quotePrefix="0" xfId="0"/>
    <xf numFmtId="0" fontId="11" fillId="0" borderId="0" pivotButton="0" quotePrefix="0" xfId="0"/>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166" fontId="9" fillId="4" borderId="3" applyProtection="1" pivotButton="0" quotePrefix="0" xfId="0">
      <protection locked="0" hidden="0"/>
    </xf>
    <xf numFmtId="3" fontId="0" fillId="0" borderId="0" pivotButton="0" quotePrefix="0" xfId="0"/>
    <xf numFmtId="166" fontId="12" fillId="4" borderId="0" applyProtection="1" pivotButton="0" quotePrefix="0" xfId="0">
      <protection locked="0" hidden="0"/>
    </xf>
    <xf numFmtId="167" fontId="9" fillId="0" borderId="3" pivotButton="0" quotePrefix="0" xfId="0"/>
    <xf numFmtId="167" fontId="10" fillId="0" borderId="3" pivotButton="0" quotePrefix="0" xfId="0"/>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1" fillId="0" borderId="0" pivotButton="0" quotePrefix="0" xfId="0"/>
    <xf numFmtId="4" fontId="11" fillId="0" borderId="0" pivotButton="0" quotePrefix="0" xfId="0"/>
    <xf numFmtId="165" fontId="11" fillId="0" borderId="0" pivotButton="0" quotePrefix="0" xfId="0"/>
    <xf numFmtId="164" fontId="12" fillId="4" borderId="0" applyProtection="1" pivotButton="0" quotePrefix="0" xfId="0">
      <protection locked="0" hidden="0"/>
    </xf>
    <xf numFmtId="3" fontId="12" fillId="4" borderId="0" applyProtection="1" pivotButton="0" quotePrefix="0" xfId="0">
      <protection locked="0" hidden="0"/>
    </xf>
    <xf numFmtId="167" fontId="12"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4" fontId="9" fillId="0" borderId="3" pivotButton="0" quotePrefix="0" xfId="0"/>
    <xf numFmtId="4" fontId="10" fillId="0" borderId="3" pivotButton="0" quotePrefix="0" xfId="0"/>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6" fontId="10" fillId="0" borderId="3" pivotButton="0" quotePrefix="0" xfId="0"/>
    <xf numFmtId="166" fontId="9" fillId="0" borderId="3" pivotButton="0" quotePrefix="0" xfId="0"/>
    <xf numFmtId="166" fontId="11" fillId="0" borderId="0" pivotButton="0" quotePrefix="0" xfId="0"/>
    <xf numFmtId="165" fontId="9" fillId="0" borderId="3" pivotButton="0" quotePrefix="0" xfId="0"/>
    <xf numFmtId="166" fontId="9" fillId="0" borderId="3" applyProtection="1" pivotButton="0" quotePrefix="0" xfId="0">
      <protection locked="0" hidden="0"/>
    </xf>
    <xf numFmtId="166" fontId="12" fillId="4" borderId="0" applyProtection="1" pivotButton="0" quotePrefix="0" xfId="0">
      <protection locked="0" hidden="0"/>
    </xf>
    <xf numFmtId="165" fontId="10" fillId="0" borderId="3" pivotButton="0" quotePrefix="0" xfId="0"/>
    <xf numFmtId="165" fontId="9" fillId="4" borderId="3" applyProtection="1" pivotButton="0" quotePrefix="0" xfId="0">
      <protection locked="0" hidden="0"/>
    </xf>
    <xf numFmtId="165" fontId="11" fillId="0" borderId="0" pivotButton="0" quotePrefix="0" xfId="0"/>
    <xf numFmtId="166" fontId="9" fillId="4" borderId="3" applyProtection="1" pivotButton="0" quotePrefix="0" xfId="0">
      <protection locked="0" hidden="0"/>
    </xf>
    <xf numFmtId="3" fontId="10" fillId="0" borderId="3" pivotButton="0" quotePrefix="0" xfId="0"/>
    <xf numFmtId="167" fontId="9" fillId="4" borderId="3" applyProtection="1" pivotButton="0" quotePrefix="0" xfId="0">
      <protection locked="0" hidden="0"/>
    </xf>
    <xf numFmtId="0" fontId="9" fillId="0" borderId="3" applyAlignment="1" pivotButton="0" quotePrefix="0" xfId="0">
      <alignment horizontal="left" vertical="top"/>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SUPUESTOS — aquí se teclean las TASAS y los DRIVERS del modelo</t>
        </is>
      </c>
    </row>
    <row r="2" ht="45" customHeight="1">
      <c r="A2" s="17" t="inlineStr">
        <is>
          <t>Cambia las celdas VERDES: el resto del libro se recalcula solo. Las partidas de gasto se teclean en su hoja (también en verde) y no se repiten aquí.</t>
        </is>
      </c>
    </row>
    <row r="3">
      <c r="A3" s="16" t="inlineStr">
        <is>
          <t>ACTIVIDAD</t>
        </is>
      </c>
    </row>
    <row r="4">
      <c r="A4" t="inlineStr">
        <is>
          <t>Clientes/día (media del año 1)</t>
        </is>
      </c>
      <c r="B4" s="18" t="n">
        <v>143</v>
      </c>
      <c r="C4" t="inlineStr">
        <is>
          <t>Clientes servidos al día de media del año 1, en mostrador, para llevar y en mesa: unos 236 en julio y unos 70 en enero. Sale de dividir la venta prevista entre el ticket y los días de apertura; contrástalo con el paso de gente de tu calle en una tarde de verano y en una de febrero</t>
        </is>
      </c>
    </row>
    <row r="5">
      <c r="A5" t="inlineStr">
        <is>
          <t>Ticket medio SIN IVA (€)</t>
        </is>
      </c>
      <c r="B5" s="62" t="n">
        <v>4.9</v>
      </c>
      <c r="C5" t="inlineStr">
        <is>
          <t>SIN IVA, por persona que compra: dos bolas, más las tarrinas de medio litro, las tartas por encargo y las crepes del invierno. Equivale a un tique de caja de unos 7 € sin IVA, porque cada tique es de 1,45 personas de media. El precio con IVA está en la fila «PVP equivalente con IVA» de abajo</t>
        </is>
      </c>
    </row>
    <row r="6">
      <c r="A6" t="inlineStr">
        <is>
          <t>Días de apertura al año</t>
        </is>
      </c>
      <c r="B6" s="18" t="n">
        <v>310</v>
      </c>
      <c r="C6" t="inlineStr">
        <is>
          <t>365 días menos tres semanas de cierre en enero (vacaciones y mantenimiento del frío), los lunes de octubre a marzo y algún festivo. Es el MISMO dato para la cuenta de resultados, el punto de equilibrio, los escenarios y las horas de personal</t>
        </is>
      </c>
    </row>
    <row r="7">
      <c r="A7" t="inlineStr">
        <is>
          <t>Crecimiento de volumen del año 2</t>
        </is>
      </c>
      <c r="B7" s="63" t="n">
        <v>0.08</v>
      </c>
      <c r="C7" t="inlineStr">
        <is>
          <t>Más clientela el segundo verano, las tartas heladas por encargo y el canal de restaurantes ya rodados. El libro lo aplica a los clientes y también al coste de personal</t>
        </is>
      </c>
    </row>
    <row r="8">
      <c r="A8" t="inlineStr">
        <is>
          <t>Crecimiento de volumen del año 3</t>
        </is>
      </c>
      <c r="B8" s="63" t="n">
        <v>0.05</v>
      </c>
      <c r="C8" t="inlineStr">
        <is>
          <t>Sobre el año 2. Conservador: el techo lo ponen la vitrina de 18 cubetas y las tardes de julio y agosto</t>
        </is>
      </c>
    </row>
    <row r="9">
      <c r="A9" t="inlineStr">
        <is>
          <t>PVP equivalente con IVA (calculado)</t>
        </is>
      </c>
      <c r="B9" s="64">
        <f>IFERROR(IF($B$5="","",$B$5*(1+SUMPRODUCT('PyG 3 Años'!$E$10:$E$11,'PyG 3 Años'!$G$10:$G$11))),"")</f>
        <v>5.390000000000001</v>
      </c>
      <c r="C9" t="str">
        <f>IFERROR("Ticket sin IVA más el IVA medio ponderado de tus líneas de venta: "&amp;TEXT(SUMPRODUCT('PyG 3 Años'!$E$10:$E$11,'PyG 3 Años'!$G$10:$G$11)*100,"0")&amp;" %. En el local todo va al 10 % (art. 91.Uno.2.2.º de la Ley 37/1992, alcohol incluido); sólo el alcohol que saliera por delivery movería la media. Aquí va redondeado. Compáralo con el rango del sector, que va con IVA.","")</f>
        <v>Ticket sin IVA más el IVA medio ponderado de tus líneas de venta: 10 %. En el local todo va al 10 % (art. 91.Uno.2.2.º de la Ley 37/1992, alcohol incluido); sólo el alcohol que saliera por delivery movería la media. Aquí va redondeado. Compáralo con el rango del sector, que va con IVA.</v>
      </c>
    </row>
    <row r="10">
      <c r="A10" s="16" t="inlineStr">
        <is>
          <t>MIX Y COSTE DE MERCANCÍA</t>
        </is>
      </c>
    </row>
    <row r="11">
      <c r="A11" t="inlineStr">
        <is>
          <t>Ventas de COMIDA sobre el total</t>
        </is>
      </c>
      <c r="B11" s="63" t="n">
        <v>0.9</v>
      </c>
      <c r="C11" t="inlineStr">
        <is>
          <t>Peso de la COMIDA sobre el total de ventas. Es un INPUT: cámbialo aquí y el P&amp;L, la tesorería y el IVA repercutido se recalculan solos</t>
        </is>
      </c>
    </row>
    <row r="12">
      <c r="A12" t="inlineStr">
        <is>
          <t>Ventas de BEBIDA sobre el total</t>
        </is>
      </c>
      <c r="B12" s="65">
        <f>IFERROR(IF(COUNT(B11)=0,"",1-B11),"")</f>
        <v>0.09999999999999998</v>
      </c>
      <c r="C12" t="inlineStr">
        <is>
          <t>Se calcula como el resto: comida + bebida = 100 %</t>
        </is>
      </c>
    </row>
    <row r="13">
      <c r="A13" t="inlineStr">
        <is>
          <t>Coste de mercancía sobre las ventas de COMIDA</t>
        </is>
      </c>
      <c r="B13" s="63" t="n">
        <v>0.2</v>
      </c>
      <c r="C13" t="inlineStr">
        <is>
          <t>Materia prima del helado y del obrador sobre sus ventas: el helado de mostrador sale al 16 %, el de llevar al 18 %, las crepes y los gofres al 28 % y lo que vendes a restaurantes al 32 % (18,6 % de media), y el plan suma 1,4 puntos por lo que se mueven el pistacho, el cacao y la vainilla. Escandalla cada sabor cada temporada</t>
        </is>
      </c>
    </row>
    <row r="14">
      <c r="A14" t="inlineStr">
        <is>
          <t>Coste de mercancía sobre las ventas de BEBIDA</t>
        </is>
      </c>
      <c r="B14" s="63" t="n">
        <v>0.25</v>
      </c>
      <c r="C14" t="inlineStr">
        <is>
          <t>Café, chocolate a la taza, batidos, granizado y horchata propios, agua y refrescos sobre sus ventas: el granizado propio sale al 15 % y los refrescos, al 35-40 %</t>
        </is>
      </c>
    </row>
    <row r="15">
      <c r="A15" t="inlineStr">
        <is>
          <t>Consumibles sobre ventas</t>
        </is>
      </c>
      <c r="B15" s="63" t="n">
        <v>0.04</v>
      </c>
      <c r="C15" t="inlineStr">
        <is>
          <t>Barquillos y cucuruchos, tarrinas, cucharillas de madera, envases isotérmicos de cartón para llevar y servilletas: unos 0,28 € por tique de caja. Sin poliestireno expandido para el consumo inmediato</t>
        </is>
      </c>
    </row>
    <row r="16">
      <c r="A16" t="inlineStr">
        <is>
          <t>Ventas por delivery sobre el total</t>
        </is>
      </c>
      <c r="B16" s="63" t="n">
        <v>0.03</v>
      </c>
      <c r="C16" t="inlineStr">
        <is>
          <t>Tarrinas de medio litro y de litro en envase isotérmico por plataforma, las noches de verano: la tarrina viaja bien, la bola no. Es entrega de bienes: el helado va al 10 %</t>
        </is>
      </c>
    </row>
    <row r="17">
      <c r="A17" t="inlineStr">
        <is>
          <t>Comisión de la plataforma de delivery</t>
        </is>
      </c>
      <c r="B17" s="63" t="n">
        <v>0.3</v>
      </c>
      <c r="C17" t="inlineStr">
        <is>
          <t>Comisión media de la plataforma sobre lo que vende ese canal. Si repartes tú, pon 0</t>
        </is>
      </c>
    </row>
    <row r="18">
      <c r="A18" t="inlineStr">
        <is>
          <t>Comisión de los medios de pago</t>
        </is>
      </c>
      <c r="B18" s="63" t="n">
        <v>0.008</v>
      </c>
      <c r="C18" t="inlineStr">
        <is>
          <t>Tarjeta y bizum sobre el total facturado</t>
        </is>
      </c>
    </row>
    <row r="19">
      <c r="A19" s="16" t="inlineStr">
        <is>
          <t>PERSONAL</t>
        </is>
      </c>
    </row>
    <row r="20">
      <c r="A20" t="inlineStr">
        <is>
          <t>Seguridad Social a cargo de la empresa</t>
        </is>
      </c>
      <c r="B20" s="63" t="n">
        <v>0.33</v>
      </c>
      <c r="C20" t="inlineStr">
        <is>
          <t>Contingencias comunes + AT/EP + desempleo + FOGASA + FP; ajusta a tu convenio y bonificaciones</t>
        </is>
      </c>
    </row>
    <row r="21">
      <c r="A21" t="inlineStr">
        <is>
          <t>Número de pagas anuales</t>
        </is>
      </c>
      <c r="B21" s="18" t="n">
        <v>14</v>
      </c>
      <c r="C21" t="inlineStr">
        <is>
          <t>Salario bruto anual = bruto mensual × pagas</t>
        </is>
      </c>
    </row>
    <row r="22">
      <c r="A22" t="inlineStr">
        <is>
          <t>SMI anual de referencia (€)</t>
        </is>
      </c>
      <c r="B22" s="23" t="n">
        <v>17094</v>
      </c>
      <c r="C22" t="inlineStr">
        <is>
          <t>SMI 2026: 17.094 € al año (1.221 €/mes en 14 pagas), suelo legal por jornada completa. Comprueba el importe vigente si presentas el plan en otro ejercicio</t>
        </is>
      </c>
    </row>
    <row r="23">
      <c r="A23" s="16" t="inlineStr">
        <is>
          <t>LOCAL Y FIJOS</t>
        </is>
      </c>
    </row>
    <row r="24">
      <c r="A24" t="inlineStr">
        <is>
          <t>Alquiler mensual del local (€)</t>
        </is>
      </c>
      <c r="B24" s="23" t="n">
        <v>1700</v>
      </c>
      <c r="C24" t="inlineStr">
        <is>
          <t>Local de 85 m² (obrador de 20-25 m², tienda con vitrina de 18 cubetas y 20 plazas, almacén y aseo) en una calle comercial de barrio o un paseo de una ciudad media, sin traspaso: unos 20 € el m². El peso sobre las ventas lo calcula el propio libro en la fila «Alquiler / Ventas» del P&amp;L</t>
        </is>
      </c>
    </row>
    <row r="25">
      <c r="A25" t="inlineStr">
        <is>
          <t>Fianza del alquiler (meses)</t>
        </is>
      </c>
      <c r="B25" s="18" t="n">
        <v>3</v>
      </c>
      <c r="C25" t="inlineStr">
        <is>
          <t>Tres meses de renta, lo habitual en un contrato de local de negocio</t>
        </is>
      </c>
    </row>
    <row r="26">
      <c r="A26" t="inlineStr">
        <is>
          <t>Suministros mensuales de luz, agua y gas (€)</t>
        </is>
      </c>
      <c r="B26" s="23" t="n">
        <v>700</v>
      </c>
      <c r="C26" t="inlineStr">
        <is>
          <t>Sobre todo luz: unos 30 kW en trifásica y las vitrinas encendidas las 24 horas (cada módulo de 10 cubetas gasta unos 23 kWh al día). Unos 800-850 € en verano y 450-500 € en invierno; pide el histórico del local</t>
        </is>
      </c>
    </row>
    <row r="27">
      <c r="A27" t="inlineStr">
        <is>
          <t>Seguros (€/año)</t>
        </is>
      </c>
      <c r="B27" s="23" t="n">
        <v>1500</v>
      </c>
      <c r="C27" t="inlineStr">
        <is>
          <t>Responsabilidad civil de al menos 300.000 € y multirriesgo CON avería de maquinaria y deterioro de mercancía en frío: una vitrina parada en agosto es una cubeta perdida por sabor</t>
        </is>
      </c>
    </row>
    <row r="28">
      <c r="A28" t="inlineStr">
        <is>
          <t>Varios e imprevistos sobre ventas</t>
        </is>
      </c>
      <c r="B28" s="63" t="n">
        <v>0.02</v>
      </c>
      <c r="C28" t="inlineStr">
        <is>
          <t>Colchón de gasto corriente no presupuestado (pequeñas reparaciones, catas y degustaciones)</t>
        </is>
      </c>
    </row>
    <row r="29">
      <c r="A29" s="16" t="inlineStr">
        <is>
          <t>FINANCIACIÓN</t>
        </is>
      </c>
    </row>
    <row r="30">
      <c r="A30" t="inlineStr">
        <is>
          <t>Recursos propios aportados (€)</t>
        </is>
      </c>
      <c r="B30" s="23" t="n">
        <v>55000</v>
      </c>
      <c r="C30" t="inlineStr">
        <is>
          <t>Aportación de los socios. Un banco pide entre el 25 y el 30 % de la necesidad de caja con dinero propio</t>
        </is>
      </c>
    </row>
    <row r="31">
      <c r="A31" t="inlineStr">
        <is>
          <t>Préstamo bancario solicitado (€)</t>
        </is>
      </c>
      <c r="B31" s="23" t="n">
        <v>129000</v>
      </c>
      <c r="C31" t="inlineStr">
        <is>
          <t>Principal solicitado. La hoja de Financiación compara lo que aportas con la necesidad de caja de la hoja de inversión y te dice si sobra o falta: ajústalo con ese dato</t>
        </is>
      </c>
    </row>
    <row r="32">
      <c r="A32" t="inlineStr">
        <is>
          <t>Tipo de interés nominal anual</t>
        </is>
      </c>
      <c r="B32" s="63" t="n">
        <v>0.06</v>
      </c>
      <c r="C32" t="inlineStr">
        <is>
          <t>Tipo nominal anual. Pide oferta a dos entidades y a una línea ICO antes de fijarlo; la maquinaria de frío es objeto habitual de leasing o renting: compáralo</t>
        </is>
      </c>
    </row>
    <row r="33">
      <c r="A33" t="inlineStr">
        <is>
          <t>Plazo del préstamo (años)</t>
        </is>
      </c>
      <c r="B33" s="18" t="n">
        <v>7</v>
      </c>
      <c r="C33" t="inlineStr">
        <is>
          <t>Años totales, carencia incluida</t>
        </is>
      </c>
    </row>
    <row r="34">
      <c r="A34" t="inlineStr">
        <is>
          <t>Carencia de principal (años)</t>
        </is>
      </c>
      <c r="B34" s="18" t="n">
        <v>1</v>
      </c>
      <c r="C34" t="inlineStr">
        <is>
          <t>El primer año sólo intereses: obra y maquinaria antes de facturar y un primer invierno por delante. Desde el segundo año se devuelve el principal: mira la holgura de caja de ese año en el Punto de Equilibrio</t>
        </is>
      </c>
    </row>
    <row r="35">
      <c r="A35" t="inlineStr">
        <is>
          <t>Fondo de maniobra (meses de costes fijos)</t>
        </is>
      </c>
      <c r="B35" s="18" t="n">
        <v>3</v>
      </c>
      <c r="C35" t="inlineStr">
        <is>
          <t>Tres meses de costes fijos: son el colchón del primer invierno, cuando de noviembre a febrero entra alrededor del 15 % de la venta del año con los fijos planos</t>
        </is>
      </c>
    </row>
    <row r="36">
      <c r="A36" s="16" t="inlineStr">
        <is>
          <t>FISCAL</t>
        </is>
      </c>
    </row>
    <row r="37">
      <c r="A37" t="inlineStr">
        <is>
          <t>Impuesto de Sociedades, nueva creación</t>
        </is>
      </c>
      <c r="B37" s="63" t="n">
        <v>0.15</v>
      </c>
      <c r="C37" t="inlineStr">
        <is>
          <t>Art. 29.1 LIS: el PRIMER ejercicio con base imponible positiva y el SIGUIENTE. El libro lo aproxima contando los dos primeros ejercicios con base positiva: coincide con la ley salvo que entre ellos haya un ejercicio en pérdidas</t>
        </is>
      </c>
    </row>
    <row r="38">
      <c r="A38" t="inlineStr">
        <is>
          <t>Impuesto de Sociedades, tipo general</t>
        </is>
      </c>
      <c r="B38" s="63" t="n">
        <v>0.25</v>
      </c>
      <c r="C38" t="inlineStr">
        <is>
          <t>A partir del tercer ejercicio con base positiva. Es el tipo general del art. 29.1 LIS: si tu cifra de negocios queda por debajo de 1 M € (microempresa) o de 10 M € (reducida dimensión), desde 2025 hay tipos más bajos que se implantan de forma gradual; confirma el de tu ejercicio con tu asesor y cámbialo aquí</t>
        </is>
      </c>
    </row>
    <row r="39">
      <c r="A39" t="inlineStr">
        <is>
          <t>IVA repercutido de restauración</t>
        </is>
      </c>
      <c r="B39" s="63" t="n">
        <v>0.1</v>
      </c>
      <c r="C39" t="inlineStr">
        <is>
          <t>Tipo reducido de hostelería</t>
        </is>
      </c>
    </row>
    <row r="40">
      <c r="A40" t="inlineStr">
        <is>
          <t>IVA repercutido/soportado general</t>
        </is>
      </c>
      <c r="B40" s="63" t="n">
        <v>0.21</v>
      </c>
      <c r="C40" t="inlineStr">
        <is>
          <t>Tipo general. En este libro lo usan dos cosas: el IVA que soportas al comprar el alcohol (el proveedor lo factura al 21 %) y el que repercutes por el alcohol que sale por delivery (es una entrega de bienes). El alcohol servido en el local va al reducido: su tipo está en el bloque de desglose del IVA. Suministros, equipamiento y servicios tienen su tipo en la celda de abajo. El libro manda al general sólo el alcohol: si compras refrescos, zumos y gaseosas con azúcares o edulcorantes añadidos, su factura también va al 21 % (art. 91.Uno.1.1.º de la Ley 37/1992)</t>
        </is>
      </c>
    </row>
    <row r="41">
      <c r="A41" t="inlineStr">
        <is>
          <t>IVA soportado en compras e inversión</t>
        </is>
      </c>
      <c r="B41" s="63" t="n">
        <v>0.21</v>
      </c>
      <c r="C41" t="inlineStr">
        <is>
          <t>Recuperable vía modelo 303, pero hay que adelantarlo</t>
        </is>
      </c>
    </row>
    <row r="42">
      <c r="A42" t="inlineStr">
        <is>
          <t>Bases negativas de ejercicios anteriores (€)</t>
        </is>
      </c>
      <c r="B42" s="23" t="n">
        <v>0</v>
      </c>
      <c r="C42" t="inlineStr">
        <is>
          <t>Pérdidas pendientes de compensar al empezar (art. 26 LIS)</t>
        </is>
      </c>
    </row>
    <row r="43">
      <c r="A43" s="16" t="inlineStr">
        <is>
          <t>AMORTIZACIÓN</t>
        </is>
      </c>
    </row>
    <row r="44">
      <c r="A44" t="inlineStr">
        <is>
          <t>Vida útil de obra e instalaciones (años)</t>
        </is>
      </c>
      <c r="B44" s="18" t="n">
        <v>10</v>
      </c>
      <c r="C44" t="inlineStr">
        <is>
          <t>Obra del obrador, instalación eléctrica trifásica, fontanería, desagües, climatización y rótulo. Coeficientes de la tabla del art. 12.1 de la Ley del Impuesto sobre Sociedades: confírmalo con tu asesor</t>
        </is>
      </c>
    </row>
    <row r="45">
      <c r="A45" t="inlineStr">
        <is>
          <t>Vida útil de maquinaria y mobiliario (años)</t>
        </is>
      </c>
      <c r="B45" s="18" t="n">
        <v>10</v>
      </c>
      <c r="C45" t="inlineStr">
        <is>
          <t>Pasteurizador, mantecadora, abatidor, armarios, vitrina, cafetera, mobiliario y TPV: un 10 % anual, dentro del coeficiente máximo de la tabla del art. 12.1 de la Ley del Impuesto sobre Sociedades para la maquinaria (12 %) y para el mobiliario (10 %). Confírmalo con tu asesor</t>
        </is>
      </c>
    </row>
    <row r="46"/>
    <row r="47">
      <c r="A47" s="16" t="inlineStr">
        <is>
          <t>CRECIMIENTO Y ACTUALIZACIÓN DE COSTES</t>
        </is>
      </c>
    </row>
    <row r="48">
      <c r="A48" t="inlineStr">
        <is>
          <t>Subida anual de los costes fijos</t>
        </is>
      </c>
      <c r="B48" s="63" t="n">
        <v>0</v>
      </c>
      <c r="C48" t="inlineStr">
        <is>
          <t>A CERO: las tres columnas están en euros del año 1 (términos reales). Súbela si quieres proyectar en euros corrientes</t>
        </is>
      </c>
    </row>
    <row r="49">
      <c r="A49" s="16" t="inlineStr">
        <is>
          <t>ARRANQUE Y AFORO</t>
        </is>
      </c>
    </row>
    <row r="50"/>
    <row r="51">
      <c r="A51" t="inlineStr">
        <is>
          <t>Aforo del local (plazas sentadas, sin la terraza)</t>
        </is>
      </c>
      <c r="B51" s="18" t="n">
        <v>20</v>
      </c>
      <c r="C51" t="inlineStr">
        <is>
          <t>DATO INFORMATIVO: la mayoría de la venta es de mostrador y para llevar. La terraza suma otras 20 plazas en temporada (5 mesas), con su autorización municipal aparte</t>
        </is>
      </c>
    </row>
    <row r="52">
      <c r="A52" t="inlineStr">
        <is>
          <t>Actividad del mes 1 sobre la de crucero</t>
        </is>
      </c>
      <c r="B52" s="63" t="n">
        <v>0.7</v>
      </c>
      <c r="C52" t="inlineStr">
        <is>
          <t>Una heladería que abre en marzo no factura el primer mes lo que factura a los cuatro: la compra es de impulso y el barrio tarda en descubrirte, aunque la curva de temporada ya hace lenta la primavera. Con 100 % se elimina la rampa</t>
        </is>
      </c>
    </row>
    <row r="53">
      <c r="A53" t="inlineStr">
        <is>
          <t>Meses hasta alcanzar el régimen de crucero</t>
        </is>
      </c>
      <c r="B53" s="18" t="n">
        <v>4</v>
      </c>
      <c r="C53" t="inlineStr">
        <is>
          <t>Cuatro meses hasta el ritmo de crucero: de marzo a junio, justo antes del pico del verano</t>
        </is>
      </c>
    </row>
    <row r="54">
      <c r="A54" t="inlineStr">
        <is>
          <t>Meses de alquiler ANTES de abrir (obra y licencias)</t>
        </is>
      </c>
      <c r="B54" s="18" t="n">
        <v>2</v>
      </c>
      <c r="C54" t="inlineStr">
        <is>
          <t>Dos meses de renta antes de abrir: la obra del obrador, el aumento de potencia a trifásica y la declaración responsable</t>
        </is>
      </c>
    </row>
    <row r="55">
      <c r="A55" t="inlineStr">
        <is>
          <t>Imprevistos sobre las partidas de OBRA del bloque de local (%)</t>
        </is>
      </c>
      <c r="B55" s="63" t="n">
        <v>0.1</v>
      </c>
      <c r="C55" t="inlineStr">
        <is>
          <t>Colchón sobre la obra y las instalaciones del local, que es donde aparecen las sorpresas (acometida eléctrica, desagües, salida de aire de los condensadores). Un banco no financia una reforma sin él</t>
        </is>
      </c>
    </row>
    <row r="56"/>
    <row r="57">
      <c r="A57" s="16" t="inlineStr">
        <is>
          <t>COBROS, PAGOS Y DESGLOSE DEL IVA</t>
        </is>
      </c>
    </row>
    <row r="58">
      <c r="A58" t="inlineStr">
        <is>
          <t>Días medios de cobro</t>
        </is>
      </c>
      <c r="B58" s="18" t="n">
        <v>2</v>
      </c>
      <c r="C58" t="inlineStr">
        <is>
          <t>Media ponderada: el mostrador cobra al contado y los restaurantes a los que vendes helado (un 5 % de las ventas) pagan a 30 días</t>
        </is>
      </c>
    </row>
    <row r="59">
      <c r="A59" t="inlineStr">
        <is>
          <t>Días medios de pago a proveedor</t>
        </is>
      </c>
      <c r="B59" s="18" t="n">
        <v>30</v>
      </c>
      <c r="C59" t="inlineStr">
        <is>
          <t>Plazo de pago a proveedores de leche, nata, fruta, pastas y envases: lo que te financian. Es lo primero que se pierde si te retrasas en un pago</t>
        </is>
      </c>
    </row>
    <row r="60">
      <c r="A60" t="inlineStr">
        <is>
          <t>Mes de la paga extra de verano</t>
        </is>
      </c>
      <c r="B60" s="18" t="n">
        <v>5</v>
      </c>
      <c r="C60" t="inlineStr">
        <is>
          <t>Mes de la TESORERÍA en el que sale la paga extra de verano: julio es el Mes 5, porque el Mes 1 del plan es marzo</t>
        </is>
      </c>
    </row>
    <row r="61">
      <c r="A61" t="inlineStr">
        <is>
          <t>Mes de la paga extra de Navidad</t>
        </is>
      </c>
      <c r="B61" s="18" t="n">
        <v>10</v>
      </c>
      <c r="C61" t="inlineStr">
        <is>
          <t>Mes de la TESORERÍA en el que sale la paga extra de Navidad: diciembre es el Mes 10, porque el Mes 1 del plan es marzo</t>
        </is>
      </c>
    </row>
    <row r="62">
      <c r="A62" t="inlineStr">
        <is>
          <t>Bebida ALCOHÓLICA sobre el total de bebida</t>
        </is>
      </c>
      <c r="B62" s="63" t="n">
        <v>0</v>
      </c>
      <c r="C62" t="inlineStr">
        <is>
          <t>A CERO: la carta de bebida de este plan es café, chocolate, batidos, granizado, horchata, agua y refrescos, sin alcohol. Si sirves algún licor con el helado, súbelo</t>
        </is>
      </c>
    </row>
    <row r="63">
      <c r="A63" t="inlineStr">
        <is>
          <t>IVA de la bebida ALCOHÓLICA servida en el local</t>
        </is>
      </c>
      <c r="B63" s="63" t="n">
        <v>0.1</v>
      </c>
      <c r="C63" t="inlineStr">
        <is>
          <t>Este plan no sirve alcohol (celda de arriba a 0), así que esta celda no mueve nada. Si lo sirves, el consumido en el local va al 10 % (art. 91.Uno.2.2.º de la Ley 37/1992) y el que sale para llevar, al 21 %</t>
        </is>
      </c>
    </row>
    <row r="64">
      <c r="A64" s="16" t="inlineStr">
        <is>
          <t>UMBRALES Y SUELOS DE CONTROL</t>
        </is>
      </c>
    </row>
    <row r="65">
      <c r="A65" t="inlineStr">
        <is>
          <t>DSCR mínimo aceptable</t>
        </is>
      </c>
      <c r="B65" s="24" t="n">
        <v>1</v>
      </c>
      <c r="C65" t="inlineStr">
        <is>
          <t>Por debajo de 1 el negocio no genera para pagar el préstamo. Ponlo en el covenant que te exija tu banco</t>
        </is>
      </c>
    </row>
    <row r="66">
      <c r="A66" t="inlineStr">
        <is>
          <t>DSCR objetivo (verde)</t>
        </is>
      </c>
      <c r="B66" s="24" t="n">
        <v>1.25</v>
      </c>
      <c r="C66" t="inlineStr">
        <is>
          <t>Lo que suele pedir una entidad para dar el préstamo sin garantías adicionales</t>
        </is>
      </c>
    </row>
    <row r="67">
      <c r="A67" t="inlineStr">
        <is>
          <t>Holgura mínima sobre el punto de equilibrio</t>
        </is>
      </c>
      <c r="B67" s="63" t="n">
        <v>0.15</v>
      </c>
      <c r="C67" t="inlineStr">
        <is>
          <t>Cuánto puedes caer sobre lo previsto antes de entrar en pérdidas</t>
        </is>
      </c>
    </row>
    <row r="68">
      <c r="A68" t="inlineStr">
        <is>
          <t>Suelo salarial anual del convenio provincial (€)</t>
        </is>
      </c>
      <c r="B68" s="23" t="n">
        <v>0</v>
      </c>
      <c r="C68" t="inlineStr">
        <is>
          <t>Las heladerías están en el convenio PROVINCIAL de hostelería (art. 4 del VI Acuerdo Laboral de ámbito Estatal para el sector de Hostelería): copia aquí el salario base del grupo más bajo de la tabla de TU provincia. Con 0 el semáforo compara sólo contra el SMI</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mporte no válido" error="Escribe un número mayor o igual que 0." type="decimal" operator="greaterThanOrEqual">
      <formula1>0</formula1>
    </dataValidation>
    <dataValidation sqref="B7 B8 B11 B13 B14 B15 B16 B17 B18 B20 B28 B32 B37 B38 B39 B40 B41 B48 B52 B55 B62 B63 B67" showDropDown="0" showInputMessage="0" showErrorMessage="1" allowBlank="1" errorTitle="Porcentaje no válido" error="Escribe un porcentaje entre 0 y 1 (0,35 = 35 %)." type="decimal" operator="between">
      <formula1>0</formula1>
      <formula2>1</formula2>
    </dataValidation>
    <dataValidation sqref="B6 B58 B59" showDropDown="0" showInputMessage="0" showErrorMessage="1" allowBlank="1" errorTitle="Días fuera de rango" error="Los días van de 1 a 365." type="whole" operator="between">
      <formula1>1</formula1>
      <formula2>365</formula2>
    </dataValidation>
    <dataValidation sqref="B34" showDropDown="0" showInputMessage="0" showErrorMessage="1" allowBlank="1" errorTitle="Recuento no válido" error="Años enteros de carencia, de 0 a 15. Si iguala o supera al plazo, la hoja la anula." type="whole" operator="between">
      <formula1>0</formula1>
      <formula2>15</formula2>
    </dataValidation>
    <dataValidation sqref="B53 B54" showDropDown="0" showInputMessage="0" showErrorMessage="1" allowBlank="1" errorTitle="Recuento no válido" error="Número entero de meses (0 a 24)." type="whole" operator="between">
      <formula1>0</formula1>
      <formula2>24</formula2>
    </dataValidation>
    <dataValidation sqref="B60 B61" showDropDown="0" showInputMessage="0" showErrorMessage="1" allowBlank="1" errorTitle="Recuento no válido" error="Mes del año, de 1 a 12." type="whole" operator="between">
      <formula1>1</formula1>
      <formula2>12</formula2>
    </dataValidation>
    <dataValidation sqref="B33" showDropDown="0" showInputMessage="0" showErrorMessage="1" allowBlank="1" errorTitle="Recuento no válido" error="Plazo en años enteros: el cuadro de amortización de este libro llega a 15 años." type="whole" operator="between">
      <formula1>1</formula1>
      <formula2>15</formula2>
    </dataValidation>
    <dataValidation sqref="B44 B45" showDropDown="0" showInputMessage="0" showErrorMessage="1" allowBlank="1" errorTitle="Recuento no válido" error="Vida útil en AÑOS ENTEROS (1 a 50). Los coeficientes máximos son los de la tabla del art. 12.1 LIS." type="whole" operator="between">
      <formula1>1</formula1>
      <formula2>50</formula2>
    </dataValidation>
    <dataValidation sqref="B4 B25 B35 B51"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 sqref="B21" showDropDown="0" showInputMessage="0" showErrorMessage="1" allowBlank="1" errorTitle="Recuento no válido" error="Número de pagas al año: 12, 14 o las que fije tu convenio (12 a 16)." type="whole" operator="between">
      <formula1>12</formula1>
      <formula2>16</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8"/>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c r="A1" s="1" t="inlineStr">
        <is>
          <t>PLAN DE NEGOCIO: HELADERÍA ARTESANAL</t>
        </is>
      </c>
    </row>
    <row r="2">
      <c r="A2" s="2" t="inlineStr">
        <is>
          <t>Inversión inicial estimada — heladería artesanal con obrador propio</t>
        </is>
      </c>
    </row>
    <row r="3">
      <c r="A3" s="3" t="inlineStr">
        <is>
          <t>Ajusta las cifras a tu proyecto.</t>
        </is>
      </c>
    </row>
    <row r="4"/>
    <row r="5">
      <c r="A5" s="25" t="inlineStr">
        <is>
          <t>Concepto</t>
        </is>
      </c>
      <c r="B5" s="25" t="inlineStr">
        <is>
          <t>Importe</t>
        </is>
      </c>
      <c r="C5" s="25" t="inlineStr">
        <is>
          <t>% s/inversión</t>
        </is>
      </c>
      <c r="D5" s="25" t="inlineStr">
        <is>
          <t>Notas</t>
        </is>
      </c>
      <c r="E5" s="25" t="inlineStr">
        <is>
          <t>¿Lleva IVA?</t>
        </is>
      </c>
    </row>
    <row r="6">
      <c r="A6" s="25" t="inlineStr">
        <is>
          <t>INVERSIÓN</t>
        </is>
      </c>
      <c r="B6" s="26">
        <f>IFERROR(IF(COUNT(B7:B28)=0,"",SUM(B7:B28)),"")</f>
        <v>125650.0</v>
      </c>
      <c r="C6" s="66">
        <f>IFERROR(B6/$B$31,"")</f>
        <v>0.793874811975979</v>
      </c>
      <c r="D6" s="28" t="n"/>
      <c r="E6" s="28" t="n"/>
    </row>
    <row r="7">
      <c r="A7" s="28" t="inlineStr">
        <is>
          <t>Proyecto técnico y dirección de obra</t>
        </is>
      </c>
      <c r="B7" s="29" t="n">
        <v>2500</v>
      </c>
      <c r="C7" s="67">
        <f>IFERROR(B7/$B$31,"")</f>
        <v>0.015795360365618363</v>
      </c>
      <c r="D7" s="28" t="inlineStr">
        <is>
          <t>Proyecto del obrador y de la tienda, memoria de la actividad y certificado final</t>
        </is>
      </c>
      <c r="E7" s="31" t="inlineStr">
        <is>
          <t>Sí</t>
        </is>
      </c>
    </row>
    <row r="8">
      <c r="A8" s="28" t="inlineStr">
        <is>
          <t>Obra y acondicionamiento del obrador y la tienda</t>
        </is>
      </c>
      <c r="B8" s="29" t="n">
        <v>18500</v>
      </c>
      <c r="C8" s="67">
        <f>IFERROR(B8/$B$31,"")</f>
        <v>0.1168856667055759</v>
      </c>
      <c r="D8" s="28" t="inlineStr">
        <is>
          <t>Obrador alicatado, suelo antideslizante, aseo y falsos techos. Estimación del kit (reforma de 15.000-50.000 € en las guías publicadas)</t>
        </is>
      </c>
      <c r="E8" s="31" t="inlineStr">
        <is>
          <t>Sí</t>
        </is>
      </c>
    </row>
    <row r="9">
      <c r="A9" s="28" t="inlineStr">
        <is>
          <t>Instalación eléctrica trifásica, cuadro y boletín</t>
        </is>
      </c>
      <c r="B9" s="29" t="n">
        <v>5000</v>
      </c>
      <c r="C9" s="67">
        <f>IFERROR(B9/$B$31,"")</f>
        <v>0.03159072073123673</v>
      </c>
      <c r="D9" s="28" t="inlineStr">
        <is>
          <t>Unos 30 kW en trifásica para vitrinas, pasteurizador, mantecadora, abatidor y climatización. Pregunta la potencia disponible ANTES de firmar: una acometida nueva tarda</t>
        </is>
      </c>
      <c r="E9" s="31" t="inlineStr">
        <is>
          <t>Sí</t>
        </is>
      </c>
    </row>
    <row r="10">
      <c r="A10" s="28" t="inlineStr">
        <is>
          <t>Fontanería, desagües, climatización y ventilación</t>
        </is>
      </c>
      <c r="B10" s="29" t="n">
        <v>4500</v>
      </c>
      <c r="C10" s="67">
        <f>IFERROR(B10/$B$31,"")</f>
        <v>0.028431648658113057</v>
      </c>
      <c r="D10" s="28" t="inlineStr">
        <is>
          <t>Desagües del obrador, lavamanos de accionamiento no manual y salida de aire para los condensadores de las máquinas</t>
        </is>
      </c>
      <c r="E10" s="31" t="inlineStr">
        <is>
          <t>Sí</t>
        </is>
      </c>
    </row>
    <row r="11">
      <c r="A11" s="28" t="inlineStr">
        <is>
          <t>Rótulo y escaparate</t>
        </is>
      </c>
      <c r="B11" s="29" t="n">
        <v>2000</v>
      </c>
      <c r="C11" s="67">
        <f>IFERROR(B11/$B$31,"")</f>
        <v>0.01263628829249469</v>
      </c>
      <c r="D11" s="28" t="inlineStr">
        <is>
          <t>«Artesano» en el rótulo sólo con la calificación artesanal de tu comunidad; si no, «ELABORACIÓN PROPIA»</t>
        </is>
      </c>
      <c r="E11" s="31" t="inlineStr">
        <is>
          <t>Sí</t>
        </is>
      </c>
    </row>
    <row r="12">
      <c r="A12" s="28" t="inlineStr">
        <is>
          <t>Pasteurizador de 30 litros</t>
        </is>
      </c>
      <c r="B12" s="29" t="n">
        <v>14600</v>
      </c>
      <c r="C12" s="67">
        <f>IFERROR(B12/$B$31,"")</f>
        <v>0.09224490453521125</v>
      </c>
      <c r="D12" s="28" t="inlineStr">
        <is>
          <t>Pasteurizador de 15/30 l por ciclo, 4 kW: 14.601,75 € sin IVA en la tarifa de un distribuidor (Diamond SPS/30A, octubre de 2026). Pasteuriza la mezcla a 85 °C y la enfría a 4 °C</t>
        </is>
      </c>
      <c r="E12" s="31" t="inlineStr">
        <is>
          <t>Sí</t>
        </is>
      </c>
    </row>
    <row r="13">
      <c r="A13" s="28" t="inlineStr">
        <is>
          <t>Mantecadora horizontal de 6-12 litros por ciclo</t>
        </is>
      </c>
      <c r="B13" s="29" t="n">
        <v>14000</v>
      </c>
      <c r="C13" s="67">
        <f>IFERROR(B13/$B$31,"")</f>
        <v>0.08845401804746283</v>
      </c>
      <c r="D13" s="28" t="inlineStr">
        <is>
          <t>Las marcas profesionales no publican tarifa: estimación del kit. Una vertical de entrada de 26-30 l/h cuesta unos 4.200 € sin IVA, si empiezas con poco</t>
        </is>
      </c>
      <c r="E13" s="31" t="inlineStr">
        <is>
          <t>Sí</t>
        </is>
      </c>
    </row>
    <row r="14">
      <c r="A14" s="28" t="inlineStr">
        <is>
          <t>Abatidor de temperatura para cubetas</t>
        </is>
      </c>
      <c r="B14" s="29" t="n">
        <v>5500</v>
      </c>
      <c r="C14" s="67">
        <f>IFERROR(B14/$B$31,"")</f>
        <v>0.0347497928043604</v>
      </c>
      <c r="D14" s="28" t="inlineStr">
        <is>
          <t>Lleva el helado recién mantecado a -18 °C en el corazón antes de pasarlo a la vitrina o al armario</t>
        </is>
      </c>
      <c r="E14" s="31" t="inlineStr">
        <is>
          <t>Sí</t>
        </is>
      </c>
    </row>
    <row r="15">
      <c r="A15" s="28" t="inlineStr">
        <is>
          <t>Armarios de conservación y de maduración</t>
        </is>
      </c>
      <c r="B15" s="29" t="n">
        <v>5800</v>
      </c>
      <c r="C15" s="67">
        <f>IFERROR(B15/$B$31,"")</f>
        <v>0.03664523604823461</v>
      </c>
      <c r="D15" s="28" t="inlineStr">
        <is>
          <t>Dos armarios a -20/-25 °C para el helado y uno a +2/+4 °C para madurar la mezcla y guardar la materia prima</t>
        </is>
      </c>
      <c r="E15" s="31" t="inlineStr">
        <is>
          <t>Sí</t>
        </is>
      </c>
    </row>
    <row r="16">
      <c r="A16" s="28" t="inlineStr">
        <is>
          <t>Mesas inox, fregadero, básculas, refractómetro, sondas, cubetas y carapinas</t>
        </is>
      </c>
      <c r="B16" s="29" t="n">
        <v>6500</v>
      </c>
      <c r="C16" s="67">
        <f>IFERROR(B16/$B$31,"")</f>
        <v>0.041067936950607745</v>
      </c>
      <c r="D16" s="28" t="inlineStr">
        <is>
          <t>Mesas y estanterías inox, fregadero, lavamanos, turbo, básculas, refractómetro, sondas de temperatura, 60 cubetas de 5 l (44 € cada una) y 10 carapinas</t>
        </is>
      </c>
      <c r="E16" s="31" t="inlineStr">
        <is>
          <t>Sí</t>
        </is>
      </c>
    </row>
    <row r="17">
      <c r="A17" s="28" t="inlineStr">
        <is>
          <t>Vitrina ventilada de 18 cubetas</t>
        </is>
      </c>
      <c r="B17" s="29" t="n">
        <v>10500</v>
      </c>
      <c r="C17" s="67">
        <f>IFERROR(B17/$B$31,"")</f>
        <v>0.06634051353559713</v>
      </c>
      <c r="D17" s="28" t="inlineStr">
        <is>
          <t>Dos módulos ventilados de -20/-9 °C con gas R290 (unos 5.090 € cada uno en la tarifa del fabricante). Con 18 cubetas en verano y 10-12 en invierno basta en una ciudad media</t>
        </is>
      </c>
      <c r="E17" s="31" t="inlineStr">
        <is>
          <t>Sí</t>
        </is>
      </c>
    </row>
    <row r="18">
      <c r="A18" s="28" t="inlineStr">
        <is>
          <t>Mostrador, lavaporcionador, cafetera, crepera, gofrera y chocolatera</t>
        </is>
      </c>
      <c r="B18" s="29" t="n">
        <v>6000</v>
      </c>
      <c r="C18" s="67">
        <f>IFERROR(B18/$B$31,"")</f>
        <v>0.03790886487748407</v>
      </c>
      <c r="D18" s="28" t="inlineStr">
        <is>
          <t>Mostrador de venta, lavaporcionador con agua corriente, cafetera y molino, y el equipo del invierno. La crepera y la gofrera dependen de la salida de humos que permita tu ordenanza</t>
        </is>
      </c>
      <c r="E18" s="31" t="inlineStr">
        <is>
          <t>Sí</t>
        </is>
      </c>
    </row>
    <row r="19">
      <c r="A19" s="28" t="inlineStr">
        <is>
          <t>Mobiliario del local y de la terraza</t>
        </is>
      </c>
      <c r="B19" s="29" t="n">
        <v>5000</v>
      </c>
      <c r="C19" s="67">
        <f>IFERROR(B19/$B$31,"")</f>
        <v>0.03159072073123673</v>
      </c>
      <c r="D19" s="28" t="inlineStr">
        <is>
          <t>Mesas y sillas para 20 plazas dentro y 5 mesas de terraza en temporada</t>
        </is>
      </c>
      <c r="E19" s="31" t="inlineStr">
        <is>
          <t>Sí</t>
        </is>
      </c>
    </row>
    <row r="20">
      <c r="A20" s="28" t="inlineStr">
        <is>
          <t>TPV con Veri*factu, datáfono y báscula</t>
        </is>
      </c>
      <c r="B20" s="29" t="n">
        <v>1800</v>
      </c>
      <c r="C20" s="67">
        <f>IFERROR(B20/$B$31,"")</f>
        <v>0.011372659463245222</v>
      </c>
      <c r="D20" s="28" t="inlineStr">
        <is>
          <t>Software de facturación conforme a Veri*factu, datáfono y báscula para el helado al peso</t>
        </is>
      </c>
      <c r="E20" s="31" t="inlineStr">
        <is>
          <t>Sí</t>
        </is>
      </c>
    </row>
    <row r="21">
      <c r="A21" s="28" t="inlineStr">
        <is>
          <t>Menaje, uniformes y cartelería de alérgenos</t>
        </is>
      </c>
      <c r="B21" s="29" t="n">
        <v>1200</v>
      </c>
      <c r="C21" s="67">
        <f>IFERROR(B21/$B$31,"")</f>
        <v>0.007581772975496815</v>
      </c>
      <c r="D21" s="28" t="inlineStr">
        <is>
          <t>Copas, cucharas y espátulas (una por cubeta), uniformes y el cartel que dice dónde pedir la información de alérgenos (RD 126/2015)</t>
        </is>
      </c>
      <c r="E21" s="31" t="inlineStr">
        <is>
          <t>Sí</t>
        </is>
      </c>
    </row>
    <row r="22">
      <c r="A22" s="28" t="inlineStr">
        <is>
          <t>Formación técnica de heladería</t>
        </is>
      </c>
      <c r="B22" s="29" t="n">
        <v>2000</v>
      </c>
      <c r="C22" s="67">
        <f>IFERROR(B22/$B$31,"")</f>
        <v>0.01263628829249469</v>
      </c>
      <c r="D22" s="28" t="inlineStr">
        <is>
          <t>Curso de balanceo de mezclas: la diferencia entre un helado cremoso y uno arenoso o duro en la vitrina</t>
        </is>
      </c>
      <c r="E22" s="31" t="inlineStr">
        <is>
          <t>Sí</t>
        </is>
      </c>
    </row>
    <row r="23">
      <c r="A23" s="28" t="inlineStr">
        <is>
          <t>Marca, web, fotos y lanzamiento</t>
        </is>
      </c>
      <c r="B23" s="29" t="n">
        <v>3500</v>
      </c>
      <c r="C23" s="67">
        <f>IFERROR(B23/$B$31,"")</f>
        <v>0.02211350451186571</v>
      </c>
      <c r="D23" s="28" t="inlineStr">
        <is>
          <t>Identidad, web con la carta de sabores, sesión de fotos y campaña de apertura</t>
        </is>
      </c>
      <c r="E23" s="31" t="inlineStr">
        <is>
          <t>Sí</t>
        </is>
      </c>
    </row>
    <row r="24">
      <c r="A24" s="28" t="inlineStr">
        <is>
          <t>Constitución de la SL, licencia, tasas, registro sanitario y APPCC</t>
        </is>
      </c>
      <c r="B24" s="29" t="n">
        <v>2000</v>
      </c>
      <c r="C24" s="67">
        <f>IFERROR(B24/$B$31,"")</f>
        <v>0.01263628829249469</v>
      </c>
      <c r="D24" s="28" t="inlineStr">
        <is>
          <t>SL unipersonal, declaración responsable, tasas municipales, registro sanitario autonómico y redacción del plan APPCC. Las tasas no llevan IVA; los honorarios sí: cambia la columna de al lado si tu presupuesto es sobre todo de honorarios</t>
        </is>
      </c>
      <c r="E24" s="31" t="inlineStr">
        <is>
          <t>No</t>
        </is>
      </c>
    </row>
    <row r="25">
      <c r="A25" s="28" t="inlineStr">
        <is>
          <t>Stock inicial de materias primas y envases</t>
        </is>
      </c>
      <c r="B25" s="29" t="n">
        <v>3000</v>
      </c>
      <c r="C25" s="67">
        <f>IFERROR(B25/$B$31,"")</f>
        <v>0.018954432438742036</v>
      </c>
      <c r="D25" s="28" t="inlineStr">
        <is>
          <t>Leche, nata, azúcares, pastas, fruta, barquillos, tarrinas y envases para llevar</t>
        </is>
      </c>
      <c r="E25" s="31" t="inlineStr">
        <is>
          <t>Sí</t>
        </is>
      </c>
    </row>
    <row r="26">
      <c r="A26" s="28" t="inlineStr">
        <is>
          <t>Fianza del alquiler</t>
        </is>
      </c>
      <c r="B26" s="32">
        <f>IFERROR(IF('0. Supuestos'!$B$24="","",'0. Supuestos'!$B$24*'0. Supuestos'!$B$25),"")</f>
        <v>5100.0</v>
      </c>
      <c r="C26" s="67">
        <f>IFERROR(B26/$B$31,"")</f>
        <v>0.032222535145861465</v>
      </c>
      <c r="D26" s="28" t="str">
        <f>IFERROR(""&amp;TEXT('0. Supuestos'!$B$25,"0")&amp;" meses de renta, al tipo de la hoja de Supuestos. Es un activo recuperable al cerrar: ni se amortiza ni lleva IVA","")</f>
        <v>3 meses de renta, al tipo de la hoja de Supuestos. Es un activo recuperable al cerrar: ni se amortiza ni lleva IVA</v>
      </c>
      <c r="E26" s="28" t="inlineStr">
        <is>
          <t>No</t>
        </is>
      </c>
    </row>
    <row r="27">
      <c r="A27" s="28" t="inlineStr">
        <is>
          <t>Alquiler de los meses previos a la apertura</t>
        </is>
      </c>
      <c r="B27" s="32">
        <f>IFERROR(IF('0. Supuestos'!$B$24="","",'0. Supuestos'!$B$24*'0. Supuestos'!$B$54),"")</f>
        <v>3400.0</v>
      </c>
      <c r="C27" s="67">
        <f>IFERROR(B27/$B$31,"")</f>
        <v>0.021481690097240977</v>
      </c>
      <c r="D27" s="28" t="str">
        <f>IFERROR("Renta "&amp;IF('0. Supuestos'!$B$54=1,"del mes","de los "&amp;TEXT('0. Supuestos'!$B$54,"0")&amp;" meses")&amp;" de obra y licencias. NO se solapa con el P&amp;L, que arranca el día de la apertura: los doce meses del P&amp;L son los doce de explotación","")</f>
        <v>Renta de los 2 meses de obra y licencias. NO se solapa con el P&amp;L, que arranca el día de la apertura: los doce meses del P&amp;L son los doce de explotación</v>
      </c>
      <c r="E27" s="28" t="inlineStr">
        <is>
          <t>Sí</t>
        </is>
      </c>
    </row>
    <row r="28">
      <c r="A28" s="28" t="inlineStr">
        <is>
          <t>Imprevistos de obra y acondicionamiento</t>
        </is>
      </c>
      <c r="B28" s="32">
        <f>IFERROR(IF(COUNT(B7,B8,B9,B10,B11)=0,"",ROUND((B7+B8+B9+B10+B11)*'0. Supuestos'!$B$55,0)),"")</f>
        <v>3250.0</v>
      </c>
      <c r="C28" s="67">
        <f>IFERROR(B28/$B$31,"")</f>
        <v>0.020533968475303872</v>
      </c>
      <c r="D28" s="28" t="str">
        <f>IFERROR("Al "&amp;TEXT('0. Supuestos'!$B$55,"0%")&amp;" de las partidas de OBRA Y ACONDICIONAMIENTO de este bloque (Proyecto técnico y dirección de obra, Obra y acondicionamiento del obrador y la tienda, Instalación eléctrica trifásica, cuadro y boletín, Fontanería, desagües, climatización y ventilación y Rótulo y escaparate), no del bloque entero: el resto de partidas del bloque quedan fuera. Un banco no financia una reforma sin colchón: el porcentaje está en la hoja de Supuestos","")</f>
        <v>Al 10% de las partidas de OBRA Y ACONDICIONAMIENTO de este bloque (Proyecto técnico y dirección de obra, Obra y acondicionamiento del obrador y la tienda, Instalación eléctrica trifásica, cuadro y boletín, Fontanería, desagües, climatización y ventilación y Rótulo y escaparate), no del bloque entero: el resto de partidas del bloque quedan fuera. Un banco no financia una reforma sin colchón: el porcentaje está en la hoja de Supuestos</v>
      </c>
      <c r="E28" s="28" t="inlineStr">
        <is>
          <t>Sí</t>
        </is>
      </c>
    </row>
    <row r="29">
      <c r="A29" s="25" t="inlineStr">
        <is>
          <t>FONDO DE MANIOBRA</t>
        </is>
      </c>
      <c r="B29" s="26">
        <f>IFERROR(IF(B30="","",B30),"")</f>
        <v>32624.324999999997</v>
      </c>
      <c r="C29" s="66">
        <f>IFERROR(B29/$B$31,"")</f>
        <v>0.2061251880240209</v>
      </c>
      <c r="D29" s="28" t="n"/>
      <c r="E29" s="28" t="n"/>
    </row>
    <row r="30">
      <c r="A30" s="28" t="inlineStr">
        <is>
          <t>Colchón operativo hasta alcanzar el equilibrio</t>
        </is>
      </c>
      <c r="B30" s="32">
        <f>IFERROR(IF('0. Supuestos'!$B$35*('PyG 3 Años'!$B$38-'PyG 3 Años'!$B$36)=0,"",'0. Supuestos'!$B$35*('PyG 3 Años'!$B$38-'PyG 3 Años'!$B$36)/12),"")</f>
        <v>32624.324999999997</v>
      </c>
      <c r="C30" s="67">
        <f>IFERROR(B30/$B$31,"")</f>
        <v>0.2061251880240209</v>
      </c>
      <c r="D30" s="28" t="str">
        <f>IFERROR("Cubre "&amp;TEXT('0. Supuestos'!$B$35,"0")&amp;IF('0. Supuestos'!$B$35=1," mes"," meses")&amp;" de costes fijos DE CAJA del año 1 (los del P&amp;L menos la amortización, que no se paga), que es el mínimo que exigen las Instrucciones de este libro","")</f>
        <v>Cubre 3 meses de costes fijos DE CAJA del año 1 (los del P&amp;L menos la amortización, que no se paga), que es el mínimo que exigen las Instrucciones de este libro</v>
      </c>
      <c r="E30" s="28" t="inlineStr">
        <is>
          <t>No</t>
        </is>
      </c>
    </row>
    <row r="31">
      <c r="A31" s="25" t="inlineStr">
        <is>
          <t>INVERSIÓN TOTAL (suma de los bloques)</t>
        </is>
      </c>
      <c r="B31" s="26">
        <f>IFERROR(B6+B29,"")</f>
        <v>158274.325</v>
      </c>
      <c r="C31" s="28" t="n"/>
      <c r="D31" s="25" t="str">
        <f>IFERROR("Los porcentajes de la columna C se leen sobre esta cifra, que incluye el fondo de maniobra ("&amp;TEXT(C29,"0%")&amp;" del total). Para comparar el desglose con otro plan, usa la fila de CAPEX de abajo.","")</f>
        <v>Los porcentajes de la columna C se leen sobre esta cifra, que incluye el fondo de maniobra (21% del total). Para comparar el desglose con otro plan, usa la fila de CAPEX de abajo.</v>
      </c>
      <c r="E31" s="28" t="n"/>
    </row>
    <row r="32">
      <c r="A32" s="25" t="inlineStr">
        <is>
          <t>CAPEX (inversión sin el fondo de maniobra)</t>
        </is>
      </c>
      <c r="B32" s="26">
        <f>IFERROR(B31-B29,"")</f>
        <v>125650.00000000001</v>
      </c>
      <c r="C32" s="28" t="n"/>
      <c r="D32" s="25" t="inlineStr">
        <is>
          <t>Es lo que se compra: obra, equipamiento, lanzamiento y gastos de constitución. El colchón de caja no es inversión, es circulante</t>
        </is>
      </c>
      <c r="E32" s="28" t="n"/>
    </row>
    <row r="33">
      <c r="A33" s="28" t="inlineStr">
        <is>
          <t>IVA soportado sobre la inversión (recuperable)</t>
        </is>
      </c>
      <c r="B33" s="32">
        <f>IFERROR(IF(B31="","",SUMIF($E$7:$E$28,"Sí",$B$7:$B$28)*'0. Supuestos'!$B$41),"")</f>
        <v>24895.5</v>
      </c>
      <c r="C33" s="28" t="n"/>
      <c r="D33" s="28" t="str">
        <f>IFERROR("Al "&amp;TEXT('0. Supuestos'!$B$41,"0%")&amp;" sobre las partidas marcadas con «Sí» en la columna de IVA. Las tasas y licencias no están sujetas y los seguros están exentos (art. 20.Uno.16 LIVA). Las tasas y aranceles registrales no llevan IVA; los honorarios de notaría y gestoría sí (21 %, deducible). Se recupera con el modelo 303, pero hay que adelantarlo","")</f>
        <v>Al 21% sobre las partidas marcadas con «Sí» en la columna de IVA. Las tasas y licencias no están sujetas y los seguros están exentos (art. 20.Uno.16 LIVA). Las tasas y aranceles registrales no llevan IVA; los honorarios de notaría y gestoría sí (21 %, deducible). Se recupera con el modelo 303, pero hay que adelantarlo</v>
      </c>
      <c r="E33" s="28" t="n"/>
    </row>
    <row r="34">
      <c r="A34" s="25" t="inlineStr">
        <is>
          <t>NECESIDAD TOTAL DE CAJA AL ARRANQUE</t>
        </is>
      </c>
      <c r="B34" s="26">
        <f>IFERROR(B31+B33,"")</f>
        <v>183169.825</v>
      </c>
      <c r="C34" s="28" t="n"/>
      <c r="D34" s="25" t="inlineStr">
        <is>
          <t>Es la cifra que tiene que cubrir la hoja de Financiación</t>
        </is>
      </c>
      <c r="E34" s="28" t="n"/>
    </row>
    <row r="35">
      <c r="A35" s="25" t="inlineStr">
        <is>
          <t>BASES DE AMORTIZACIÓN (no suman a la inversión)</t>
        </is>
      </c>
      <c r="B35" s="28" t="n"/>
      <c r="C35" s="28" t="n"/>
      <c r="D35" s="28" t="n"/>
      <c r="E35" s="28" t="n"/>
    </row>
    <row r="36">
      <c r="A36" s="28" t="inlineStr">
        <is>
          <t>Obra, instalaciones y acondicionamiento</t>
        </is>
      </c>
      <c r="B36" s="32">
        <f>IFERROR(IF(B7="","",B7+B8+B9+B10+B11+B28),"")</f>
        <v>35750.0</v>
      </c>
      <c r="C36" s="28" t="n"/>
      <c r="D36" s="28" t="str">
        <f>IFERROR("Se amortiza en "&amp;TEXT('0. Supuestos'!$B$44,"0")&amp;" años","")</f>
        <v>Se amortiza en 10 años</v>
      </c>
      <c r="E36" s="28" t="n"/>
    </row>
    <row r="37">
      <c r="A37" s="28" t="inlineStr">
        <is>
          <t>Maquinaria, mobiliario y equipos</t>
        </is>
      </c>
      <c r="B37" s="32">
        <f>IFERROR(IF(B12="","",B12+B13+B14+B15+B16+B17+B18+B19+B20+B21),"")</f>
        <v>70900.0</v>
      </c>
      <c r="C37" s="28" t="n"/>
      <c r="D37" s="28" t="str">
        <f>IFERROR("Se amortiza en "&amp;TEXT('0. Supuestos'!$B$45,"0")&amp;" años","")</f>
        <v>Se amortiza en 10 años</v>
      </c>
      <c r="E37" s="28" t="n"/>
    </row>
    <row r="38">
      <c r="A38" s="25" t="inlineStr">
        <is>
          <t>Amortización anual del inmovilizado</t>
        </is>
      </c>
      <c r="B38" s="26">
        <f>IFERROR(B36/MAX(1,'0. Supuestos'!$B$44)+B37/MAX(1,'0. Supuestos'!$B$45),"")</f>
        <v>10665.0</v>
      </c>
      <c r="C38" s="28" t="n"/>
      <c r="D38" s="25" t="str">
        <f>IFERROR("No se amortizan, por no ser inmovilizado, Formación técnica de heladería, Marca, web, fotos y lanzamiento, Constitución de la SL, licencia, tasas, registro sanitario y APPCC, Stock inicial de materias primas y envases, Fianza del alquiler, Alquiler de los meses previos a la apertura ni Colchón operativo hasta alcanzar el equilibrio. Suman "&amp;TEXT(B31-B36-B37,"0")&amp;" € de los "&amp;TEXT(B31,"0")&amp;" € de inversión.","")</f>
        <v>No se amortizan, por no ser inmovilizado, Formación técnica de heladería, Marca, web, fotos y lanzamiento, Constitución de la SL, licencia, tasas, registro sanitario y APPCC, Stock inicial de materias primas y envases, Fianza del alquiler, Alquiler de los meses previos a la apertura ni Colchón operativo hasta alcanzar el equilibrio. Suman 51624 € de los 158274 € de inversión.</v>
      </c>
      <c r="E38"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34">
    <cfRule type="expression" priority="1" dxfId="0" stopIfTrue="1">
      <formula>AND(ISNUMBER(B34),B34&gt;0)</formula>
    </cfRule>
  </conditionalFormatting>
  <dataValidations count="2">
    <dataValidation sqref="E7:E25" showDropDown="0" showInputMessage="0" showErrorMessage="1" allowBlank="1" errorTitle="Marca no válida" error="Escribe «Sí» o «No»: de esta columna sale el IVA soportado de la inversión." type="list">
      <formula1>"Sí,No"</formula1>
    </dataValidation>
    <dataValidation sqref="B7 B8 B9 B10 B11 B12 B13 B14 B15 B16 B17 B18 B19 B20 B21 B22 B23 B24 B25"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9"/>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c r="A1" s="1" t="inlineStr">
        <is>
          <t>CUENTA DE RESULTADOS — 3 AÑOS</t>
        </is>
      </c>
    </row>
    <row r="2">
      <c r="A2" s="3" t="inlineStr">
        <is>
          <t>Escenario realista — heladería artesanal</t>
        </is>
      </c>
    </row>
    <row r="3"/>
    <row r="4">
      <c r="A4" s="38" t="inlineStr">
        <is>
          <t>Concepto</t>
        </is>
      </c>
      <c r="B4" s="38" t="inlineStr">
        <is>
          <t>Año 1</t>
        </is>
      </c>
      <c r="C4" s="38" t="inlineStr">
        <is>
          <t>Año 2</t>
        </is>
      </c>
      <c r="D4" s="38" t="inlineStr">
        <is>
          <t>Año 3</t>
        </is>
      </c>
      <c r="E4" s="38" t="inlineStr">
        <is>
          <t>% s/ventas (año 1)</t>
        </is>
      </c>
      <c r="F4" s="38" t="inlineStr">
        <is>
          <t>Notas</t>
        </is>
      </c>
      <c r="G4" s="38" t="inlineStr">
        <is>
          <t>Tipo de IVA de la línea (%)</t>
        </is>
      </c>
      <c r="H4" s="28" t="n"/>
    </row>
    <row r="5">
      <c r="A5" s="25" t="inlineStr">
        <is>
          <t>INGRESOS</t>
        </is>
      </c>
      <c r="B5" s="28" t="n"/>
      <c r="C5" s="28" t="n"/>
      <c r="D5" s="28" t="n"/>
      <c r="E5" s="28" t="n"/>
      <c r="F5" s="28" t="n"/>
      <c r="G5" s="28" t="n"/>
      <c r="H5" s="28" t="n"/>
    </row>
    <row r="6">
      <c r="A6" s="28" t="inlineStr">
        <is>
          <t>Clientes/día (media)</t>
        </is>
      </c>
      <c r="B6" s="39">
        <f>IFERROR(IF('0. Supuestos'!$B$4="","",'0. Supuestos'!$B$4),"")</f>
        <v>143.0</v>
      </c>
      <c r="C6" s="39">
        <f>IFERROR(B6*(1+'0. Supuestos'!$B$7),"")</f>
        <v>154.44</v>
      </c>
      <c r="D6" s="39">
        <f>IFERROR(C6*(1+'0. Supuestos'!$B$8),"")</f>
        <v>162.162</v>
      </c>
      <c r="E6" s="28" t="n"/>
      <c r="F6" s="28" t="inlineStr">
        <is>
          <t>El crecimiento de los años 2 y 3 está en la hoja de Supuestos</t>
        </is>
      </c>
      <c r="G6" s="28" t="n"/>
      <c r="H6" s="28" t="n"/>
    </row>
    <row r="7">
      <c r="A7" s="28" t="inlineStr">
        <is>
          <t>Ticket medio sin IVA</t>
        </is>
      </c>
      <c r="B7" s="69">
        <f>IFERROR(IF('0. Supuestos'!$B$5="","",'0. Supuestos'!$B$5),"")</f>
        <v>4.9</v>
      </c>
      <c r="C7" s="69">
        <f>IFERROR(IF(B7="","",B7),"")</f>
        <v>4.9</v>
      </c>
      <c r="D7" s="69">
        <f>IFERROR(IF(C7="","",C7),"")</f>
        <v>4.9</v>
      </c>
      <c r="E7" s="28" t="n"/>
      <c r="F7" s="28" t="inlineStr">
        <is>
          <t>Constante en euros del año 1: una subida de precios es una decisión aparte</t>
        </is>
      </c>
      <c r="G7" s="28" t="n"/>
      <c r="H7" s="28" t="n"/>
    </row>
    <row r="8">
      <c r="A8" s="28" t="inlineStr">
        <is>
          <t>Días de apertura al año</t>
        </is>
      </c>
      <c r="B8" s="39">
        <f>IFERROR(IF('0. Supuestos'!$B$6="","",'0. Supuestos'!$B$6),"")</f>
        <v>310.0</v>
      </c>
      <c r="C8" s="39">
        <f>IFERROR(IF(B8="","",B8),"")</f>
        <v>310.0</v>
      </c>
      <c r="D8" s="39">
        <f>IFERROR(IF(C8="","",C8),"")</f>
        <v>310.0</v>
      </c>
      <c r="E8" s="28" t="n"/>
      <c r="F8" s="28" t="n"/>
      <c r="G8" s="28" t="n"/>
      <c r="H8" s="28" t="n"/>
    </row>
    <row r="9">
      <c r="A9" s="25" t="inlineStr">
        <is>
          <t>INGRESOS TOTALES (sin IVA)</t>
        </is>
      </c>
      <c r="B9" s="26">
        <f>IFERROR(IF(B6*B7*B8=0,"",B6*B7*B8),"")</f>
        <v>217217.0</v>
      </c>
      <c r="C9" s="26">
        <f>IFERROR(IF(C6*C7*C8=0,"",C6*C7*C8),"")</f>
        <v>234594.36000000002</v>
      </c>
      <c r="D9" s="26">
        <f>IFERROR(IF(D6*D7*D8=0,"",D6*D7*D8),"")</f>
        <v>246324.07800000004</v>
      </c>
      <c r="E9" s="66">
        <f>IFERROR(IF(B9="","",1),"")</f>
        <v>1.0</v>
      </c>
      <c r="F9" s="28" t="n"/>
      <c r="G9" s="28" t="n"/>
      <c r="H9" s="28" t="n"/>
    </row>
    <row r="10">
      <c r="A10" s="28" t="inlineStr">
        <is>
          <t>Ventas de helado y obrador (mostrador, para llevar, tartas, invierno y restaurantes)</t>
        </is>
      </c>
      <c r="B10" s="32">
        <f>IFERROR(IF(B9="","",B9*$E$10),"")</f>
        <v>195495.30000000002</v>
      </c>
      <c r="C10" s="32">
        <f>IFERROR(IF(C9="","",C9*$E$10),"")</f>
        <v>211134.92400000003</v>
      </c>
      <c r="D10" s="32">
        <f>IFERROR(IF(D9="","",D9*$E$10),"")</f>
        <v>221691.67020000005</v>
      </c>
      <c r="E10" s="67">
        <f>IFERROR(IF('0. Supuestos'!$B$11="","",'0. Supuestos'!$B$11),"")</f>
        <v>0.9</v>
      </c>
      <c r="F10" s="28" t="inlineStr">
        <is>
          <t>Del total de ventas: helado de mostrador (bola, copa y cucurucho) 58 %, para llevar y tartas heladas 17 %, invierno (crepes y gofres, tartas y turrón helado de Navidad por encargo) 10 % y restaurantes y eventos 5 %. Todo al 10 % de IVA, se tome en el local o se lleve</t>
        </is>
      </c>
      <c r="G10" s="67">
        <f>IFERROR(IF(B9="","",'0. Supuestos'!$B$39),"")</f>
        <v>0.1</v>
      </c>
      <c r="H10" s="28" t="n"/>
    </row>
    <row r="11">
      <c r="A11" s="28" t="inlineStr">
        <is>
          <t>Ventas de cafetería y bebidas (sin alcohol)</t>
        </is>
      </c>
      <c r="B11" s="32">
        <f>IFERROR(IF(B9="","",B9*$E$11),"")</f>
        <v>21721.699999999993</v>
      </c>
      <c r="C11" s="32">
        <f>IFERROR(IF(C9="","",C9*$E$11),"")</f>
        <v>23459.435999999998</v>
      </c>
      <c r="D11" s="32">
        <f>IFERROR(IF(D9="","",D9*$E$11),"")</f>
        <v>24632.407799999997</v>
      </c>
      <c r="E11" s="67">
        <f>IFERROR(IF('0. Supuestos'!$B$12="","",'0. Supuestos'!$B$12),"")</f>
        <v>0.09999999999999998</v>
      </c>
      <c r="F11" s="28" t="inlineStr">
        <is>
          <t>Café, chocolate a la taza, batidos, granizados, horchata, agua y refrescos</t>
        </is>
      </c>
      <c r="G11" s="67">
        <f>IFERROR(IF(B9="","",('0. Supuestos'!$B$62*((1-'0. Supuestos'!$B$16)*'0. Supuestos'!$B$63+'0. Supuestos'!$B$16*'0. Supuestos'!$B$40)+(1-'0. Supuestos'!$B$62)*'0. Supuestos'!$B$39)),"")</f>
        <v>0.1</v>
      </c>
      <c r="H11" s="28" t="n"/>
    </row>
    <row r="12">
      <c r="A12" s="25" t="inlineStr">
        <is>
          <t>COSTES VARIABLES</t>
        </is>
      </c>
      <c r="B12" s="28" t="n"/>
      <c r="C12" s="28" t="n"/>
      <c r="D12" s="28" t="n"/>
      <c r="E12" s="28" t="n"/>
      <c r="F12" s="28" t="n"/>
      <c r="G12" s="28" t="n"/>
      <c r="H12" s="28" t="n"/>
    </row>
    <row r="13">
      <c r="A13" s="28" t="inlineStr">
        <is>
          <t>Coste de mercancía — comida</t>
        </is>
      </c>
      <c r="B13" s="32">
        <f>IFERROR(IF(B9="","",B9*'0. Supuestos'!$B$11*'0. Supuestos'!$B$13),"")</f>
        <v>39099.060000000005</v>
      </c>
      <c r="C13" s="32">
        <f>IFERROR(IF(C9="","",C9*'0. Supuestos'!$B$11*'0. Supuestos'!$B$13),"")</f>
        <v>42226.984800000006</v>
      </c>
      <c r="D13" s="32">
        <f>IFERROR(IF(D9="","",D9*'0. Supuestos'!$B$11*'0. Supuestos'!$B$13),"")</f>
        <v>44338.334040000016</v>
      </c>
      <c r="E13" s="67">
        <f>IFERROR(B13/$B$9,"")</f>
        <v>0.18000000000000002</v>
      </c>
      <c r="F13" s="28" t="str">
        <f>IFERROR("Al "&amp;TEXT('0. Supuestos'!$B$13,"0%")&amp;" de las ventas de COMIDA, no del total: la bebida tiene su propia línea · El IVA que SOPORTAS al comprar: la leche, los huevos, la fruta y los quesos van al 4 % (art. 91.Dos.1.1.º de la Ley 37/1992) y la nata, el azúcar, el chocolate, las pastas y los barquillos al 10 %; con un 30 % de la compra al 4 % sale un 8,2 %. Ajústalo a tus facturas","")</f>
        <v>Al 20% de las ventas de COMIDA, no del total: la bebida tiene su propia línea · El IVA que SOPORTAS al comprar: la leche, los huevos, la fruta y los quesos van al 4 % (art. 91.Dos.1.1.º de la Ley 37/1992) y la nata, el azúcar, el chocolate, las pastas y los barquillos al 10 %; con un 30 % de la compra al 4 % sale un 8,2 %. Ajústalo a tus facturas</v>
      </c>
      <c r="G13" s="75" t="n">
        <v>0.082</v>
      </c>
      <c r="H13" s="28" t="n"/>
    </row>
    <row r="14">
      <c r="A14" s="28" t="inlineStr">
        <is>
          <t>Coste de mercancía — bebida</t>
        </is>
      </c>
      <c r="B14" s="32">
        <f>IFERROR(IF(B9="","",B9*'0. Supuestos'!$B$12*'0. Supuestos'!$B$14),"")</f>
        <v>5430.424999999998</v>
      </c>
      <c r="C14" s="32">
        <f>IFERROR(IF(C9="","",C9*'0. Supuestos'!$B$12*'0. Supuestos'!$B$14),"")</f>
        <v>5864.8589999999995</v>
      </c>
      <c r="D14" s="32">
        <f>IFERROR(IF(D9="","",D9*'0. Supuestos'!$B$12*'0. Supuestos'!$B$14),"")</f>
        <v>6158.101949999999</v>
      </c>
      <c r="E14" s="67">
        <f>IFERROR(B14/$B$9,"")</f>
        <v>0.02499999999999999</v>
      </c>
      <c r="F14" s="28" t="str">
        <f>IFERROR("Al "&amp;TEXT('0. Supuestos'!$B$14,"0%")&amp;" de las ventas de BEBIDA","")</f>
        <v>Al 25% de las ventas de BEBIDA</v>
      </c>
      <c r="G14" s="67">
        <f>IFERROR(IF(B9="","",('0. Supuestos'!$B$62*'0. Supuestos'!$B$40+(1-'0. Supuestos'!$B$62)*'0. Supuestos'!$B$39)),"")</f>
        <v>0.1</v>
      </c>
      <c r="H14" s="28" t="n"/>
    </row>
    <row r="15">
      <c r="A15" s="28" t="inlineStr">
        <is>
          <t>Consumibles y envases</t>
        </is>
      </c>
      <c r="B15" s="32">
        <f>IFERROR(IF(B9="","",B9*'0. Supuestos'!$B$15),"")</f>
        <v>8688.68</v>
      </c>
      <c r="C15" s="32">
        <f>IFERROR(IF(C9="","",C9*'0. Supuestos'!$B$15),"")</f>
        <v>9383.7744</v>
      </c>
      <c r="D15" s="32">
        <f>IFERROR(IF(D9="","",D9*'0. Supuestos'!$B$15),"")</f>
        <v>9852.963120000002</v>
      </c>
      <c r="E15" s="67">
        <f>IFERROR(B15/$B$9,"")</f>
        <v>0.04</v>
      </c>
      <c r="F15" s="28" t="n"/>
      <c r="G15" s="67">
        <f>IFERROR(IF(B9="","",'0. Supuestos'!$B$41),"")</f>
        <v>0.21</v>
      </c>
      <c r="H15" s="28" t="n"/>
    </row>
    <row r="16">
      <c r="A16" s="28" t="inlineStr">
        <is>
          <t>Comisiones de delivery</t>
        </is>
      </c>
      <c r="B16" s="32">
        <f>IFERROR(IF(B9="","",B9*'0. Supuestos'!$B$16*'0. Supuestos'!$B$17),"")</f>
        <v>1954.9529999999997</v>
      </c>
      <c r="C16" s="32">
        <f>IFERROR(IF(C9="","",C9*'0. Supuestos'!$B$16*'0. Supuestos'!$B$17),"")</f>
        <v>2111.34924</v>
      </c>
      <c r="D16" s="32">
        <f>IFERROR(IF(D9="","",D9*'0. Supuestos'!$B$16*'0. Supuestos'!$B$17),"")</f>
        <v>2216.9167020000004</v>
      </c>
      <c r="E16" s="67">
        <f>IFERROR(B16/$B$9,"")</f>
        <v>0.009</v>
      </c>
      <c r="F16" s="28" t="inlineStr">
        <is>
          <t>Sobre las ventas DEL CANAL. Con 0 % de delivery en Supuestos, esta línea vale cero</t>
        </is>
      </c>
      <c r="G16" s="67">
        <f>IFERROR(IF(B9="","",'0. Supuestos'!$B$41),"")</f>
        <v>0.21</v>
      </c>
      <c r="H16" s="28" t="n"/>
    </row>
    <row r="17">
      <c r="A17" s="28" t="inlineStr">
        <is>
          <t>Comisiones de los medios de pago</t>
        </is>
      </c>
      <c r="B17" s="32">
        <f>IFERROR(IF(B9="","",B9*'0. Supuestos'!$B$18),"")</f>
        <v>1737.736</v>
      </c>
      <c r="C17" s="32">
        <f>IFERROR(IF(C9="","",C9*'0. Supuestos'!$B$18),"")</f>
        <v>1876.7548800000002</v>
      </c>
      <c r="D17" s="32">
        <f>IFERROR(IF(D9="","",D9*'0. Supuestos'!$B$18),"")</f>
        <v>1970.5926240000003</v>
      </c>
      <c r="E17" s="67">
        <f>IFERROR(B17/$B$9,"")</f>
        <v>0.008</v>
      </c>
      <c r="F17" s="28" t="inlineStr">
        <is>
          <t>Las comisiones de los medios de pago están EXENTAS de IVA (art. 20.Uno.18 LIVA): no se deduce nada por ellas</t>
        </is>
      </c>
      <c r="G17" s="67" t="n">
        <v>0</v>
      </c>
      <c r="H17" s="28" t="n"/>
    </row>
    <row r="18">
      <c r="A18" s="28" t="inlineStr">
        <is>
          <t>Varios e imprevistos</t>
        </is>
      </c>
      <c r="B18" s="32">
        <f>IFERROR(IF(B9="","",B9*'0. Supuestos'!$B$28),"")</f>
        <v>4344.34</v>
      </c>
      <c r="C18" s="32">
        <f>IFERROR(IF(C9="","",C9*'0. Supuestos'!$B$28),"")</f>
        <v>4691.8872</v>
      </c>
      <c r="D18" s="32">
        <f>IFERROR(IF(D9="","",D9*'0. Supuestos'!$B$28),"")</f>
        <v>4926.481560000001</v>
      </c>
      <c r="E18" s="67">
        <f>IFERROR(B18/$B$9,"")</f>
        <v>0.02</v>
      </c>
      <c r="F18" s="28" t="str">
        <f>IFERROR("Al "&amp;TEXT('0. Supuestos'!$B$28,"0%")&amp;" de las ventas. Es un coste VARIABLE: sube y baja con la facturación, así que no puede vivir en los costes fijos","")</f>
        <v>Al 2% de las ventas. Es un coste VARIABLE: sube y baja con la facturación, así que no puede vivir en los costes fijos</v>
      </c>
      <c r="G18" s="67">
        <f>IFERROR(IF(B9="","",'0. Supuestos'!$B$41),"")</f>
        <v>0.21</v>
      </c>
      <c r="H18" s="28" t="n"/>
    </row>
    <row r="19">
      <c r="A19" s="25" t="inlineStr">
        <is>
          <t>TOTAL COSTES VARIABLES</t>
        </is>
      </c>
      <c r="B19" s="26">
        <f>IFERROR(IF(B9="","",SUM(B13:B18)),"")</f>
        <v>61255.194</v>
      </c>
      <c r="C19" s="26">
        <f>IFERROR(IF(C9="","",SUM(C13:C18)),"")</f>
        <v>66155.60952000001</v>
      </c>
      <c r="D19" s="26">
        <f>IFERROR(IF(D9="","",SUM(D13:D18)),"")</f>
        <v>69463.38999600001</v>
      </c>
      <c r="E19" s="66">
        <f>IFERROR(B19/$B$9,"")</f>
        <v>0.28200000000000003</v>
      </c>
      <c r="F19" s="28" t="n"/>
      <c r="G19" s="28" t="n"/>
      <c r="H19" s="28" t="n"/>
    </row>
    <row r="20">
      <c r="A20" s="25" t="inlineStr">
        <is>
          <t>MARGEN BRUTO</t>
        </is>
      </c>
      <c r="B20" s="26">
        <f>IFERROR(IF(B9="","",B9-B19),"")</f>
        <v>155961.80599999998</v>
      </c>
      <c r="C20" s="26">
        <f>IFERROR(IF(C9="","",C9-C19),"")</f>
        <v>168438.75048</v>
      </c>
      <c r="D20" s="26">
        <f>IFERROR(IF(D9="","",D9-D19),"")</f>
        <v>176860.68800400003</v>
      </c>
      <c r="E20" s="66">
        <f>IFERROR(B20/$B$9,"")</f>
        <v>0.718</v>
      </c>
      <c r="F20" s="28" t="n"/>
      <c r="G20" s="28" t="n"/>
      <c r="H20" s="28" t="n"/>
    </row>
    <row r="21">
      <c r="A21" s="25" t="inlineStr">
        <is>
          <t>COSTES FIJOS</t>
        </is>
      </c>
      <c r="B21" s="28" t="n"/>
      <c r="C21" s="28" t="n"/>
      <c r="D21" s="28" t="n"/>
      <c r="E21" s="28" t="n"/>
      <c r="F21" s="28" t="n"/>
      <c r="G21" s="28" t="n"/>
      <c r="H21" s="28" t="n"/>
    </row>
    <row r="22">
      <c r="A22" s="28" t="inlineStr">
        <is>
          <t>Alquiler del local</t>
        </is>
      </c>
      <c r="B22" s="32">
        <f>IFERROR(IF(B9="","",'0. Supuestos'!$B$24*12),"")</f>
        <v>20400.0</v>
      </c>
      <c r="C22" s="32">
        <f>IFERROR(IF(C9="","",B22*(1+'0. Supuestos'!$B$48)),"")</f>
        <v>20400.0</v>
      </c>
      <c r="D22" s="32">
        <f>IFERROR(IF(D9="","",C22*(1+'0. Supuestos'!$B$48)),"")</f>
        <v>20400.0</v>
      </c>
      <c r="E22" s="67">
        <f>IFERROR(B22/$B$9,"")</f>
        <v>0.09391530128857317</v>
      </c>
      <c r="F22" s="28" t="inlineStr">
        <is>
          <t>El importe mensual está en la hoja de Supuestos; aquí se multiplica por doce. Los dos meses de renta previos a la apertura están en la hoja de Inversión y NO se cuentan dos veces</t>
        </is>
      </c>
      <c r="G22" s="67">
        <f>IFERROR(IF(B9="","",'0. Supuestos'!$B$41),"")</f>
        <v>0.21</v>
      </c>
      <c r="H22" s="28" t="n"/>
    </row>
    <row r="23">
      <c r="A23" s="28" t="inlineStr">
        <is>
          <t>Personal (nóminas + Seguridad Social)</t>
        </is>
      </c>
      <c r="B23" s="32">
        <f>IFERROR(IF(B9="","",'Personal'!$G$11),"")</f>
        <v>82207.3</v>
      </c>
      <c r="C23" s="32">
        <f>IFERROR(IF(C9="","",'Personal'!$B$15),"")</f>
        <v>88207.3</v>
      </c>
      <c r="D23" s="32">
        <f>IFERROR(IF(D9="","",'Personal'!$B$16),"")</f>
        <v>94207.3</v>
      </c>
      <c r="E23" s="67">
        <f>IFERROR(B23/$B$9,"")</f>
        <v>0.37845702684412363</v>
      </c>
      <c r="F23" s="28" t="inlineStr">
        <is>
          <t>Sale de la hoja de Personal: es el MISMO número, no una estimación aparte. Los años 2 y 3 suman las INCORPORACIONES declaradas en esa hoja, no un porcentaje de volumen</t>
        </is>
      </c>
      <c r="G23" s="67" t="n">
        <v>0</v>
      </c>
      <c r="H23" s="28" t="n"/>
    </row>
    <row r="24">
      <c r="A24" s="28" t="inlineStr">
        <is>
          <t>Suministros (luz, agua, gas)</t>
        </is>
      </c>
      <c r="B24" s="32">
        <f>IFERROR(IF(B9="","",'0. Supuestos'!$B$26*12),"")</f>
        <v>8400.0</v>
      </c>
      <c r="C24" s="32">
        <f>IFERROR(IF(C9="","",B24*(1+'0. Supuestos'!$B$48)),"")</f>
        <v>8400.0</v>
      </c>
      <c r="D24" s="32">
        <f>IFERROR(IF(D9="","",C24*(1+'0. Supuestos'!$B$48)),"")</f>
        <v>8400.0</v>
      </c>
      <c r="E24" s="67">
        <f>IFERROR(B24/$B$9,"")</f>
        <v>0.0386710064129419</v>
      </c>
      <c r="F24" s="28" t="inlineStr">
        <is>
          <t>Luz y gas van al 21 %; la factura del agua, al 10 %. El libro aplica a toda esta partida el tipo de la columna de al lado (21 %): si el agua pesa mucho en tu local, sepárala en su línea</t>
        </is>
      </c>
      <c r="G24" s="67">
        <f>IFERROR(IF(B9="","",'0. Supuestos'!$B$41),"")</f>
        <v>0.21</v>
      </c>
      <c r="H24" s="28" t="n"/>
    </row>
    <row r="25">
      <c r="A25" s="28" t="inlineStr">
        <is>
          <t>Seguros (RC + multirriesgo)</t>
        </is>
      </c>
      <c r="B25" s="32">
        <f>IFERROR(IF(B9="","",'0. Supuestos'!$B$27),"")</f>
        <v>1500.0</v>
      </c>
      <c r="C25" s="32">
        <f>IFERROR(IF(C9="","",B25*(1+'0. Supuestos'!$B$48)),"")</f>
        <v>1500.0</v>
      </c>
      <c r="D25" s="32">
        <f>IFERROR(IF(D9="","",C25*(1+'0. Supuestos'!$B$48)),"")</f>
        <v>1500.0</v>
      </c>
      <c r="E25" s="67">
        <f>IFERROR(B25/$B$9,"")</f>
        <v>0.00690553685945391</v>
      </c>
      <c r="F25" s="28" t="inlineStr">
        <is>
          <t>Las operaciones de seguro están EXENTAS de IVA (art. 20.Uno.16 LIVA): la prima no lleva IVA deducible</t>
        </is>
      </c>
      <c r="G25" s="67" t="n">
        <v>0</v>
      </c>
      <c r="H25" s="28" t="n"/>
    </row>
    <row r="26">
      <c r="A26" s="28" t="inlineStr">
        <is>
          <t>Gestoría laboral, fiscal y contable</t>
        </is>
      </c>
      <c r="B26" s="29" t="n">
        <v>1800</v>
      </c>
      <c r="C26" s="32">
        <f>IFERROR(IF(C9="","",B26*(1+'0. Supuestos'!$B$48)),"")</f>
        <v>1800.0</v>
      </c>
      <c r="D26" s="32">
        <f>IFERROR(IF(D9="","",C26*(1+'0. Supuestos'!$B$48)),"")</f>
        <v>1800.0</v>
      </c>
      <c r="E26" s="67">
        <f>IFERROR(B26/$B$9,"")</f>
        <v>0.008286644231344693</v>
      </c>
      <c r="F26" s="28" t="inlineStr">
        <is>
          <t>Contabilidad, impuestos de la SL y nóminas de los fijos discontinuos, con sus llamamientos de cada temporada</t>
        </is>
      </c>
      <c r="G26" s="67">
        <f>IFERROR(IF(B9="","",'0. Supuestos'!$B$41),"")</f>
        <v>0.21</v>
      </c>
      <c r="H26" s="28" t="n"/>
    </row>
    <row r="27">
      <c r="A27" s="28" t="inlineStr">
        <is>
          <t>Mantenimiento del frío (contrato con frigorista certificado)</t>
        </is>
      </c>
      <c r="B27" s="29" t="n">
        <v>1500</v>
      </c>
      <c r="C27" s="32">
        <f>IFERROR(IF(C9="","",B27*(1+'0. Supuestos'!$B$48)),"")</f>
        <v>1500.0</v>
      </c>
      <c r="D27" s="32">
        <f>IFERROR(IF(D9="","",C27*(1+'0. Supuestos'!$B$48)),"")</f>
        <v>1500.0</v>
      </c>
      <c r="E27" s="67">
        <f>IFERROR(B27/$B$9,"")</f>
        <v>0.00690553685945391</v>
      </c>
      <c r="F27" s="28" t="inlineStr">
        <is>
          <t>Revisión de vitrinas, abatidor, mantecadora y armarios antes del verano y en las semanas de cierre de enero. La carga de gases refrigerantes la hace sólo un técnico certificado: el personal no la toca</t>
        </is>
      </c>
      <c r="G27" s="67">
        <f>IFERROR(IF(B9="","",'0. Supuestos'!$B$41),"")</f>
        <v>0.21</v>
      </c>
      <c r="H27" s="28" t="n"/>
    </row>
    <row r="28">
      <c r="A28" s="28" t="inlineStr">
        <is>
          <t>Marketing y publicidad de temporada</t>
        </is>
      </c>
      <c r="B28" s="29" t="n">
        <v>2500</v>
      </c>
      <c r="C28" s="32">
        <f>IFERROR(IF(C9="","",B28*(1+'0. Supuestos'!$B$48)),"")</f>
        <v>2500.0</v>
      </c>
      <c r="D28" s="32">
        <f>IFERROR(IF(D9="","",C28*(1+'0. Supuestos'!$B$48)),"")</f>
        <v>2500.0</v>
      </c>
      <c r="E28" s="67">
        <f>IFERROR(B28/$B$9,"")</f>
        <v>0.01150922809908985</v>
      </c>
      <c r="F28" s="28" t="inlineStr">
        <is>
          <t>Redes sociales, ficha de Google Business, cartelería y la campaña de apertura de cada temporada, más la de tartas y turrón helado de Navidad</t>
        </is>
      </c>
      <c r="G28" s="67">
        <f>IFERROR(IF(B9="","",'0. Supuestos'!$B$41),"")</f>
        <v>0.21</v>
      </c>
      <c r="H28" s="28" t="n"/>
    </row>
    <row r="29">
      <c r="A29" s="28" t="inlineStr">
        <is>
          <t>Software, teléfono e internet</t>
        </is>
      </c>
      <c r="B29" s="29" t="n">
        <v>700</v>
      </c>
      <c r="C29" s="32">
        <f>IFERROR(IF(C9="","",B29*(1+'0. Supuestos'!$B$48)),"")</f>
        <v>700.0</v>
      </c>
      <c r="D29" s="32">
        <f>IFERROR(IF(D9="","",C29*(1+'0. Supuestos'!$B$48)),"")</f>
        <v>700.0</v>
      </c>
      <c r="E29" s="67">
        <f>IFERROR(B29/$B$9,"")</f>
        <v>0.003222583867745158</v>
      </c>
      <c r="F29" s="28" t="inlineStr">
        <is>
          <t>Cuota del TPV con Veri*factu, teléfono e internet</t>
        </is>
      </c>
      <c r="G29" s="67">
        <f>IFERROR(IF(B9="","",'0. Supuestos'!$B$41),"")</f>
        <v>0.21</v>
      </c>
      <c r="H29" s="28" t="n"/>
    </row>
    <row r="30">
      <c r="A30" s="28" t="inlineStr">
        <is>
          <t>Limpieza, lavandería, EPI y análisis de autocontrol</t>
        </is>
      </c>
      <c r="B30" s="29" t="n">
        <v>800</v>
      </c>
      <c r="C30" s="32">
        <f>IFERROR(IF(C9="","",B30*(1+'0. Supuestos'!$B$48)),"")</f>
        <v>800.0</v>
      </c>
      <c r="D30" s="32">
        <f>IFERROR(IF(D9="","",C30*(1+'0. Supuestos'!$B$48)),"")</f>
        <v>800.0</v>
      </c>
      <c r="E30" s="67">
        <f>IFERROR(B30/$B$9,"")</f>
        <v>0.003682952991708752</v>
      </c>
      <c r="F30" s="28" t="inlineStr">
        <is>
          <t>Productos de limpieza y desinfección, lavado de uniformes, guantes para trabajar a −20 °C y los análisis de autocontrol que fije tu APPCC</t>
        </is>
      </c>
      <c r="G30" s="67">
        <f>IFERROR(IF(B9="","",'0. Supuestos'!$B$41),"")</f>
        <v>0.21</v>
      </c>
      <c r="H30" s="28" t="n"/>
    </row>
    <row r="31">
      <c r="A31" s="28" t="inlineStr">
        <is>
          <t>Tasa de terraza (pon la de tu ayuntamiento)</t>
        </is>
      </c>
      <c r="B31" s="29" t="n">
        <v>1200</v>
      </c>
      <c r="C31" s="32">
        <f>IFERROR(IF(C9="","",B31*(1+'0. Supuestos'!$B$48)),"")</f>
        <v>1200.0</v>
      </c>
      <c r="D31" s="32">
        <f>IFERROR(IF(D9="","",C31*(1+'0. Supuestos'!$B$48)),"")</f>
        <v>1200.0</v>
      </c>
      <c r="E31" s="67">
        <f>IFERROR(B31/$B$9,"")</f>
        <v>0.005524429487563128</v>
      </c>
      <c r="F31" s="28" t="inlineStr">
        <is>
          <t>Ocupación de la vía pública con 5 mesas en temporada. Cada ayuntamiento tiene su ordenanza fiscal y este plan no ha leído ninguna: sustituye esta cifra por la de tu ayuntamiento</t>
        </is>
      </c>
      <c r="G31" s="67">
        <f>IFERROR(IF(B9="","",'0. Supuestos'!$B$41),"")</f>
        <v>0.21</v>
      </c>
      <c r="H31" s="28" t="n"/>
    </row>
    <row r="32">
      <c r="A32" s="28" t="inlineStr">
        <is>
          <t>Gestión de residuos</t>
        </is>
      </c>
      <c r="B32" s="29" t="n">
        <v>350</v>
      </c>
      <c r="C32" s="32">
        <f>IFERROR(IF(C9="","",B32*(1+'0. Supuestos'!$B$48)),"")</f>
        <v>350.0</v>
      </c>
      <c r="D32" s="32">
        <f>IFERROR(IF(D9="","",C32*(1+'0. Supuestos'!$B$48)),"")</f>
        <v>350.0</v>
      </c>
      <c r="E32" s="67">
        <f>IFERROR(B32/$B$9,"")</f>
        <v>0.001611291933872579</v>
      </c>
      <c r="F32" s="28" t="inlineStr">
        <is>
          <t>Cartón, envases y orgánico del obrador con gestor autorizado o por el servicio municipal</t>
        </is>
      </c>
      <c r="G32" s="67">
        <f>IFERROR(IF(B9="","",'0. Supuestos'!$B$41),"")</f>
        <v>0.21</v>
      </c>
      <c r="H32" s="28" t="n"/>
    </row>
    <row r="33">
      <c r="A33" s="28" t="inlineStr">
        <is>
          <t>Desinsectación, desratización y desinfección (DDD)</t>
        </is>
      </c>
      <c r="B33" s="29" t="n">
        <v>450</v>
      </c>
      <c r="C33" s="32">
        <f>IFERROR(IF(C9="","",B33*(1+'0. Supuestos'!$B$48)),"")</f>
        <v>450.0</v>
      </c>
      <c r="D33" s="32">
        <f>IFERROR(IF(D9="","",C33*(1+'0. Supuestos'!$B$48)),"")</f>
        <v>450.0</v>
      </c>
      <c r="E33" s="67">
        <f>IFERROR(B33/$B$9,"")</f>
        <v>0.002071661057836173</v>
      </c>
      <c r="F33" s="28" t="inlineStr">
        <is>
          <t>Empresa inscrita en el ROESB; forma parte del plan APPCC</t>
        </is>
      </c>
      <c r="G33" s="67">
        <f>IFERROR(IF(B9="","",'0. Supuestos'!$B$41),"")</f>
        <v>0.21</v>
      </c>
      <c r="H33" s="28" t="n"/>
    </row>
    <row r="34">
      <c r="A34" s="28" t="inlineStr">
        <is>
          <t>Derechos de autor por música ambiental (SGAE y AGEDI-AIE)</t>
        </is>
      </c>
      <c r="B34" s="29" t="n">
        <v>500</v>
      </c>
      <c r="C34" s="32">
        <f>IFERROR(IF(C9="","",B34*(1+'0. Supuestos'!$B$48)),"")</f>
        <v>500.0</v>
      </c>
      <c r="D34" s="32">
        <f>IFERROR(IF(D9="","",C34*(1+'0. Supuestos'!$B$48)),"")</f>
        <v>500.0</v>
      </c>
      <c r="E34" s="67">
        <f>IFERROR(B34/$B$9,"")</f>
        <v>0.0023018456198179702</v>
      </c>
      <c r="F34" s="28" t="inlineStr">
        <is>
          <t>SGAE y AGEDI-AIE son dos licencias distintas; el importe depende de los metros y del aforo de tu tienda</t>
        </is>
      </c>
      <c r="G34" s="67">
        <f>IFERROR(IF(B9="","",'0. Supuestos'!$B$41),"")</f>
        <v>0.21</v>
      </c>
      <c r="H34" s="28" t="n"/>
    </row>
    <row r="35">
      <c r="A35" s="28" t="inlineStr">
        <is>
          <t>Prevención de riesgos laborales y vigilancia de la salud</t>
        </is>
      </c>
      <c r="B35" s="29" t="n">
        <v>450</v>
      </c>
      <c r="C35" s="32">
        <f>IFERROR(IF(C9="","",B35*(1+'0. Supuestos'!$B$48)),"")</f>
        <v>450.0</v>
      </c>
      <c r="D35" s="32">
        <f>IFERROR(IF(D9="","",C35*(1+'0. Supuestos'!$B$48)),"")</f>
        <v>450.0</v>
      </c>
      <c r="E35" s="67">
        <f>IFERROR(B35/$B$9,"")</f>
        <v>0.002071661057836173</v>
      </c>
      <c r="F35" s="28" t="inlineStr">
        <is>
          <t>El plan de prevención es obligatorio (Ley 31/1995): trabajo en frío, cargas y cortes, y reconocimientos médicos de la plantilla</t>
        </is>
      </c>
      <c r="G35" s="67">
        <f>IFERROR(IF(B9="","",'0. Supuestos'!$B$41),"")</f>
        <v>0.21</v>
      </c>
      <c r="H35" s="28" t="n"/>
    </row>
    <row r="36">
      <c r="A36" s="28" t="inlineStr">
        <is>
          <t>Amortización del inmovilizado</t>
        </is>
      </c>
      <c r="B36" s="32">
        <f>IFERROR(IF(B9="","",'Inversión Inicial'!$B$38),"")</f>
        <v>10665.0</v>
      </c>
      <c r="C36" s="32">
        <f>IFERROR(IF(C9="","",B36),"")</f>
        <v>10665.0</v>
      </c>
      <c r="D36" s="32">
        <f>IFERROR(IF(D9="","",B36),"")</f>
        <v>10665.0</v>
      </c>
      <c r="E36" s="67">
        <f>IFERROR(B36/$B$9,"")</f>
        <v>0.049098367070717304</v>
      </c>
      <c r="F36" s="28" t="inlineStr">
        <is>
          <t>Sale de las bases de amortización de la hoja de Inversión: sólo inmovilizado real. NO sube con el IPC: es una cuota sobre el coste HISTÓRICO del inmovilizado</t>
        </is>
      </c>
      <c r="G36" s="67" t="n">
        <v>0</v>
      </c>
      <c r="H36" s="28" t="n"/>
    </row>
    <row r="37">
      <c r="A37" s="28" t="inlineStr">
        <is>
          <t>Gastos financieros (intereses del préstamo)</t>
        </is>
      </c>
      <c r="B37" s="32">
        <f>IFERROR(IF(B9="","",'Financiación'!$B$44),"")</f>
        <v>7740.0</v>
      </c>
      <c r="C37" s="32">
        <f>IFERROR(IF(C9="","",'Financiación'!$B$46),"")</f>
        <v>7740.0</v>
      </c>
      <c r="D37" s="32">
        <f>IFERROR(IF(D9="","",'Financiación'!$B$48),"")</f>
        <v>6630.37325560431</v>
      </c>
      <c r="E37" s="67">
        <f>IFERROR(B37/$B$9,"")</f>
        <v>0.03563257019478218</v>
      </c>
      <c r="F37" s="28" t="inlineStr">
        <is>
          <t>Sólo los INTERESES son gasto. La devolución del principal va en la hoja de Tesorería</t>
        </is>
      </c>
      <c r="G37" s="67" t="n">
        <v>0</v>
      </c>
      <c r="H37" s="28" t="n"/>
    </row>
    <row r="38">
      <c r="A38" s="25" t="inlineStr">
        <is>
          <t>TOTAL COSTES FIJOS</t>
        </is>
      </c>
      <c r="B38" s="26">
        <f>IFERROR(IF(B9="","",SUM(B22:B37)),"")</f>
        <v>141162.3</v>
      </c>
      <c r="C38" s="26">
        <f>IFERROR(IF(C9="","",SUM(C22:C37)),"")</f>
        <v>147162.3</v>
      </c>
      <c r="D38" s="26">
        <f>IFERROR(IF(D9="","",SUM(D22:D37)),"")</f>
        <v>152052.67325560428</v>
      </c>
      <c r="E38" s="66">
        <f>IFERROR(B38/$B$9,"")</f>
        <v>0.6498676438768605</v>
      </c>
      <c r="F38" s="28" t="n"/>
      <c r="G38" s="28" t="n"/>
      <c r="H38" s="28" t="n"/>
    </row>
    <row r="39">
      <c r="A39" s="28" t="inlineStr">
        <is>
          <t>IVA soportado de los costes variables</t>
        </is>
      </c>
      <c r="B39" s="32">
        <f>IFERROR(IF(B9="","",SUMPRODUCT(B13:B18,G13:G18)),"")</f>
        <v>6896.63975</v>
      </c>
      <c r="C39" s="32">
        <f>IFERROR(IF(C9="","",SUMPRODUCT(C13:C18,G13:G18)),"")</f>
        <v>7448.370930000001</v>
      </c>
      <c r="D39" s="32">
        <f>IFERROR(IF(D9="","",SUMPRODUCT(D13:D18,G13:G18)),"")</f>
        <v>7820.789476500003</v>
      </c>
      <c r="E39" s="28" t="n"/>
      <c r="F39" s="28" t="inlineStr">
        <is>
          <t>Cada línea a SU tipo, leído de la columna de al lado. Es lo que la hoja de Tesorería paga de más a los proveedores y luego se deduce</t>
        </is>
      </c>
      <c r="G39" s="28" t="n"/>
      <c r="H39" s="28" t="n"/>
    </row>
    <row r="40">
      <c r="A40" s="28" t="inlineStr">
        <is>
          <t>IVA soportado de los costes fijos</t>
        </is>
      </c>
      <c r="B40" s="32">
        <f>IFERROR(IF(B9="","",SUMPRODUCT(B22:B37,G22:G37)),"")</f>
        <v>8200.5</v>
      </c>
      <c r="C40" s="32">
        <f>IFERROR(IF(C9="","",SUMPRODUCT(C22:C37,G22:G37)),"")</f>
        <v>8200.5</v>
      </c>
      <c r="D40" s="32">
        <f>IFERROR(IF(D9="","",SUMPRODUCT(D22:D37,G22:G37)),"")</f>
        <v>8200.5</v>
      </c>
      <c r="E40" s="28" t="n"/>
      <c r="F40" s="28" t="n"/>
      <c r="G40" s="28" t="n"/>
      <c r="H40" s="28" t="n"/>
    </row>
    <row r="41">
      <c r="A41" s="25" t="inlineStr">
        <is>
          <t>RESULTADO ANTES DE IMPUESTOS</t>
        </is>
      </c>
      <c r="B41" s="26">
        <f>IFERROR(IF(B9="","",B20-B38),"")</f>
        <v>14799.505999999994</v>
      </c>
      <c r="C41" s="26">
        <f>IFERROR(IF(C9="","",C20-C38),"")</f>
        <v>21276.45048</v>
      </c>
      <c r="D41" s="26">
        <f>IFERROR(IF(D9="","",D20-D38),"")</f>
        <v>24808.01474839574</v>
      </c>
      <c r="E41" s="66">
        <f>IFERROR(B41/$B$9,"")</f>
        <v>0.0681323561231395</v>
      </c>
      <c r="F41" s="28" t="n"/>
      <c r="G41" s="28" t="n"/>
      <c r="H41" s="28" t="n"/>
    </row>
    <row r="42">
      <c r="A42" s="28" t="inlineStr">
        <is>
          <t>Bases negativas pendientes al inicio</t>
        </is>
      </c>
      <c r="B42" s="32">
        <f>IFERROR(IF(B9="","",'0. Supuestos'!$B$42),"")</f>
        <v>0.0</v>
      </c>
      <c r="C42" s="32">
        <f>IFERROR(IF(C9="","",B47),"")</f>
        <v>0.0</v>
      </c>
      <c r="D42" s="32">
        <f>IFERROR(IF(D9="","",C47),"")</f>
        <v>0.0</v>
      </c>
      <c r="E42" s="28" t="n"/>
      <c r="F42" s="28" t="inlineStr">
        <is>
          <t>Art. 26 LIS: las pérdidas de un ejercicio se compensan con los beneficios de los siguientes</t>
        </is>
      </c>
      <c r="G42" s="28" t="n"/>
      <c r="H42" s="28" t="n"/>
    </row>
    <row r="43">
      <c r="A43" s="28" t="inlineStr">
        <is>
          <t>Base imponible (después de compensar)</t>
        </is>
      </c>
      <c r="B43" s="32">
        <f>IFERROR(IF(B9="","",MAX(0,B41-B42)),"")</f>
        <v>14799.505999999994</v>
      </c>
      <c r="C43" s="32">
        <f>IFERROR(IF(C9="","",MAX(0,C41-C42)),"")</f>
        <v>21276.45048</v>
      </c>
      <c r="D43" s="32">
        <f>IFERROR(IF(D9="","",MAX(0,D41-D42)),"")</f>
        <v>24808.01474839574</v>
      </c>
      <c r="E43" s="28" t="n"/>
      <c r="F43" s="28" t="n"/>
      <c r="G43" s="28" t="n"/>
      <c r="H43" s="28" t="n"/>
    </row>
    <row r="44">
      <c r="A44" s="28" t="inlineStr">
        <is>
          <t>Ejercicios con base positiva (acumulado)</t>
        </is>
      </c>
      <c r="B44" s="39">
        <f>IFERROR(IF(B9="","",IF(B43&gt;0,1,0)),"")</f>
        <v>1.0</v>
      </c>
      <c r="C44" s="39">
        <f>IFERROR(IF(C9="","",B44+IF(C43&gt;0,1,0)),"")</f>
        <v>2.0</v>
      </c>
      <c r="D44" s="39">
        <f>IFERROR(IF(D9="","",C44+IF(D43&gt;0,1,0)),"")</f>
        <v>3.0</v>
      </c>
      <c r="E44" s="28" t="n"/>
      <c r="F44" s="28" t="n"/>
      <c r="G44" s="28" t="n"/>
      <c r="H44" s="28" t="n"/>
    </row>
    <row r="45">
      <c r="A45" s="28" t="inlineStr">
        <is>
          <t>Tipo de Impuesto de Sociedades aplicado</t>
        </is>
      </c>
      <c r="B45" s="67">
        <f>IFERROR(IF(B9="","",IF(B43&lt;=0,"",IF(B44&lt;=2,'0. Supuestos'!$B$37,'0. Supuestos'!$B$38))),"")</f>
        <v>0.15</v>
      </c>
      <c r="C45" s="67">
        <f>IFERROR(IF(C9="","",IF(C43&lt;=0,"",IF(C44&lt;=2,'0. Supuestos'!$B$37,'0. Supuestos'!$B$38))),"")</f>
        <v>0.15</v>
      </c>
      <c r="D45" s="67">
        <f>IFERROR(IF(D9="","",IF(D43&lt;=0,"",IF(D44&lt;=2,'0. Supuestos'!$B$37,'0. Supuestos'!$B$38))),"")</f>
        <v>0.25</v>
      </c>
      <c r="E45" s="28" t="n"/>
      <c r="F45" s="28" t="inlineStr">
        <is>
          <t>Art. 29.1 LIS: el 15 % de entidad de nueva creación se aplica al PRIMER ejercicio con base positiva y al SIGUIENTE, no al primer año de vida. El libro lo aproxima contando los dos primeros ejercicios con base positiva</t>
        </is>
      </c>
      <c r="G45" s="28" t="n"/>
      <c r="H45" s="28" t="n"/>
    </row>
    <row r="46">
      <c r="A46" s="28" t="inlineStr">
        <is>
          <t>Impuesto de Sociedades</t>
        </is>
      </c>
      <c r="B46" s="32">
        <f>IFERROR(IF(B9="","",IF(B45="",0,B43*B45)),"")</f>
        <v>2219.925899999999</v>
      </c>
      <c r="C46" s="32">
        <f>IFERROR(IF(C9="","",IF(C45="",0,C43*C45)),"")</f>
        <v>3191.467572</v>
      </c>
      <c r="D46" s="32">
        <f>IFERROR(IF(D9="","",IF(D45="",0,D43*D45)),"")</f>
        <v>6202.003687098935</v>
      </c>
      <c r="E46" s="28" t="n"/>
      <c r="F46" s="28" t="n"/>
      <c r="G46" s="28" t="n"/>
      <c r="H46" s="28" t="n"/>
    </row>
    <row r="47">
      <c r="A47" s="28" t="inlineStr">
        <is>
          <t>Bases negativas pendientes al cierre</t>
        </is>
      </c>
      <c r="B47" s="32">
        <f>IFERROR(IF(B9="","",MAX(0,B42-B41)),"")</f>
        <v>0.0</v>
      </c>
      <c r="C47" s="32">
        <f>IFERROR(IF(C9="","",MAX(0,C42-C41)),"")</f>
        <v>0.0</v>
      </c>
      <c r="D47" s="32">
        <f>IFERROR(IF(D9="","",MAX(0,D42-D41)),"")</f>
        <v>0.0</v>
      </c>
      <c r="E47" s="28" t="n"/>
      <c r="F47" s="28" t="n"/>
      <c r="G47" s="28" t="n"/>
      <c r="H47" s="28" t="n"/>
    </row>
    <row r="48">
      <c r="A48" s="25" t="inlineStr">
        <is>
          <t>RESULTADO NETO</t>
        </is>
      </c>
      <c r="B48" s="26">
        <f>IFERROR(IF(B9="","",B41-B46),"")</f>
        <v>12579.580099999996</v>
      </c>
      <c r="C48" s="26">
        <f>IFERROR(IF(C9="","",C41-C46),"")</f>
        <v>18084.982907999998</v>
      </c>
      <c r="D48" s="26">
        <f>IFERROR(IF(D9="","",D41-D46),"")</f>
        <v>18606.011061296806</v>
      </c>
      <c r="E48" s="66">
        <f>IFERROR(B48/$B$9,"")</f>
        <v>0.057912502704668585</v>
      </c>
      <c r="F48" s="28" t="n"/>
      <c r="G48" s="28" t="n"/>
      <c r="H48" s="28" t="n"/>
    </row>
    <row r="49">
      <c r="A49" s="25" t="inlineStr">
        <is>
          <t>RATIOS CLAVE</t>
        </is>
      </c>
      <c r="B49" s="28" t="n"/>
      <c r="C49" s="28" t="n"/>
      <c r="D49" s="28" t="n"/>
      <c r="E49" s="28" t="n"/>
      <c r="F49" s="28" t="n"/>
      <c r="G49" s="28" t="n"/>
      <c r="H49" s="28" t="n"/>
    </row>
    <row r="50">
      <c r="A50" s="25" t="inlineStr">
        <is>
          <t>Ratio</t>
        </is>
      </c>
      <c r="B50" s="25" t="inlineStr">
        <is>
          <t>Año 1</t>
        </is>
      </c>
      <c r="C50" s="25" t="inlineStr">
        <is>
          <t>Año 2</t>
        </is>
      </c>
      <c r="D50" s="25" t="inlineStr">
        <is>
          <t>Año 3</t>
        </is>
      </c>
      <c r="E50" s="25" t="inlineStr">
        <is>
          <t>Umbral</t>
        </is>
      </c>
      <c r="F50" s="25" t="inlineStr">
        <is>
          <t>Comentario</t>
        </is>
      </c>
      <c r="G50" s="28" t="n"/>
      <c r="H50" s="28" t="n"/>
    </row>
    <row r="51">
      <c r="A51" s="28" t="inlineStr">
        <is>
          <t>Margen bruto / Ventas</t>
        </is>
      </c>
      <c r="B51" s="67">
        <f>IFERROR(IF(B9="","",B20/B9),"")</f>
        <v>0.718</v>
      </c>
      <c r="C51" s="67">
        <f>IFERROR(IF(C9="","",C20/C9),"")</f>
        <v>0.7179999999999999</v>
      </c>
      <c r="D51" s="67">
        <f>IFERROR(IF(D9="","",D20/D9),"")</f>
        <v>0.718</v>
      </c>
      <c r="E51" s="75" t="n">
        <v>0.7</v>
      </c>
      <c r="F51" s="28" t="inlineStr">
        <is>
          <t>Suelo del margen tras TODOS los costes variables (mercancía, envases, plataforma, medios de pago y varios): un helado artesano con obrador propio deja por encima del 70 %. Estimación del kit</t>
        </is>
      </c>
      <c r="G51" s="28" t="n"/>
      <c r="H51" s="28" t="n"/>
    </row>
    <row r="52">
      <c r="A52" s="28" t="inlineStr">
        <is>
          <t>Coste de mercancía (comida + bebida)</t>
        </is>
      </c>
      <c r="B52" s="32">
        <f>IFERROR(IF(B9="","",B13+B14),"")</f>
        <v>44529.485</v>
      </c>
      <c r="C52" s="32">
        <f>IFERROR(IF(C9="","",C13+C14),"")</f>
        <v>48091.8438</v>
      </c>
      <c r="D52" s="32">
        <f>IFERROR(IF(D9="","",D13+D14),"")</f>
        <v>50496.43599000001</v>
      </c>
      <c r="E52" s="28" t="n"/>
      <c r="F52" s="28" t="n"/>
      <c r="G52" s="28" t="n"/>
      <c r="H52" s="28" t="n"/>
    </row>
    <row r="53">
      <c r="A53" s="28" t="inlineStr">
        <is>
          <t>Coste de mercancía / Ventas</t>
        </is>
      </c>
      <c r="B53" s="67">
        <f>IFERROR(IF(B9="","",B52/B9),"")</f>
        <v>0.20500000000000002</v>
      </c>
      <c r="C53" s="67">
        <f>IFERROR(IF(C9="","",C52/C9),"")</f>
        <v>0.205</v>
      </c>
      <c r="D53" s="67">
        <f>IFERROR(IF(D9="","",D52/D9),"")</f>
        <v>0.20500000000000002</v>
      </c>
      <c r="E53" s="75" t="n">
        <v>0.25</v>
      </c>
      <c r="F53" s="28" t="inlineStr">
        <is>
          <t>Techo de la materia prima sobre ventas: el helado de mostrador sale al 14-16 % y el pistacho, el cacao y la vainilla lo mueven. Estimación del kit</t>
        </is>
      </c>
      <c r="G53" s="28" t="n"/>
      <c r="H53" s="28" t="n"/>
    </row>
    <row r="54">
      <c r="A54" s="28" t="inlineStr">
        <is>
          <t>Coste de personal / Ventas</t>
        </is>
      </c>
      <c r="B54" s="67">
        <f>IFERROR(IF(B9="","",B23/B9),"")</f>
        <v>0.37845702684412363</v>
      </c>
      <c r="C54" s="67">
        <f>IFERROR(IF(C9="","",C23/C9),"")</f>
        <v>0.37599923544624003</v>
      </c>
      <c r="D54" s="67">
        <f>IFERROR(IF(D9="","",D23/D9),"")</f>
        <v>0.38245266465586847</v>
      </c>
      <c r="E54" s="75" t="n">
        <v>0.4</v>
      </c>
      <c r="F54" s="28" t="inlineStr">
        <is>
          <t>Techo del personal sobre ventas, más alto que en una cafetería: la temporada obliga a doblar mostrador de junio a septiembre. Estimación del kit</t>
        </is>
      </c>
      <c r="G54" s="28" t="n"/>
      <c r="H54" s="28" t="n"/>
    </row>
    <row r="55">
      <c r="A55" s="28" t="inlineStr">
        <is>
          <t>Alquiler / Ventas</t>
        </is>
      </c>
      <c r="B55" s="67">
        <f>IFERROR(IF(B9="","",B22/B9),"")</f>
        <v>0.09391530128857317</v>
      </c>
      <c r="C55" s="67">
        <f>IFERROR(IF(C9="","",C22/C9),"")</f>
        <v>0.08695861230423442</v>
      </c>
      <c r="D55" s="67">
        <f>IFERROR(IF(D9="","",D22/D9),"")</f>
        <v>0.08281772600403277</v>
      </c>
      <c r="E55" s="75" t="n">
        <v>0.12</v>
      </c>
      <c r="F55" s="28" t="inlineStr">
        <is>
          <t>Techo del alquiler sobre ventas para un local con obrador: estimación del kit</t>
        </is>
      </c>
      <c r="G55" s="28" t="n"/>
      <c r="H55" s="28" t="n"/>
    </row>
    <row r="56">
      <c r="A56" s="28" t="inlineStr">
        <is>
          <t>Resultado neto / Ventas</t>
        </is>
      </c>
      <c r="B56" s="67">
        <f>IFERROR(IF(B9="","",B48/B9),"")</f>
        <v>0.057912502704668585</v>
      </c>
      <c r="C56" s="67">
        <f>IFERROR(IF(C9="","",C48/C9),"")</f>
        <v>0.07709044202085676</v>
      </c>
      <c r="D56" s="67">
        <f>IFERROR(IF(D9="","",D48/D9),"")</f>
        <v>0.07553468265208245</v>
      </c>
      <c r="E56" s="75" t="n">
        <v>0.05</v>
      </c>
      <c r="F56" s="28" t="inlineStr">
        <is>
          <t>Suelo de resultado neto a régimen para que el plan se sostenga: estimación del kit</t>
        </is>
      </c>
      <c r="G56" s="28" t="n"/>
      <c r="H56" s="28" t="n"/>
    </row>
    <row r="57">
      <c r="A57" s="28" t="inlineStr">
        <is>
          <t>Punto de equilibrio alcanzado</t>
        </is>
      </c>
      <c r="B57" s="28" t="str">
        <f>IFERROR(IF(B9="","",IF(B9&gt;='Punto Equilibrio'!$B$16,"Sí","No")),"")</f>
        <v>Sí</v>
      </c>
      <c r="C57" s="28" t="str">
        <f>IFERROR(IF(C9="","",IF(C9&gt;='Punto Equilibrio'!$C$16,"Sí","No")),"")</f>
        <v>Sí</v>
      </c>
      <c r="D57" s="28" t="str">
        <f>IFERROR(IF(D9="","",IF(D9&gt;='Punto Equilibrio'!$D$16,"Sí","No")),"")</f>
        <v>Sí</v>
      </c>
      <c r="E57" s="28" t="n"/>
      <c r="F57" s="28" t="inlineStr">
        <is>
          <t>Compara las ventas de CADA año con el umbral de ese mismo año, que calcula la hoja de Punto de Equilibrio con los costes fijos del año</t>
        </is>
      </c>
      <c r="G57" s="28" t="n"/>
      <c r="H57" s="28" t="n"/>
    </row>
    <row r="58">
      <c r="A58" s="28" t="n"/>
      <c r="B58" s="28" t="n"/>
      <c r="C58" s="28" t="n"/>
      <c r="D58" s="28" t="n"/>
      <c r="E58" s="28" t="n"/>
      <c r="F58" s="28" t="n"/>
      <c r="G58" s="28" t="n"/>
      <c r="H58" s="28" t="n"/>
    </row>
    <row r="59" ht="165" customHeight="1">
      <c r="A59" s="46" t="inlineStr">
        <is>
          <t>Todas las cifras van SIN IVA. Las columnas de los años 2 y 3 están en euros del año 1 salvo que subas la actualización de costes en la hoja de Supuestos. La columna «Tipo de IVA de la línea» dice, en las líneas de VENTA, a qué tipo se repercute cada una, y en las de COSTE a qué tipo se compra la partida. La lee la hoja de Tesorería: los seguros y las comisiones de los medios de pago están exentos, y las nóminas, la amortización y los intereses no llevan IVA.</t>
        </is>
      </c>
      <c r="B59" s="28" t="n"/>
      <c r="C59" s="28" t="n"/>
      <c r="D59" s="28" t="n"/>
      <c r="E59" s="28" t="n"/>
      <c r="F59" s="28" t="n"/>
      <c r="G59" s="28" t="n"/>
      <c r="H59"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1:D51">
    <cfRule type="expression" priority="1" dxfId="1" stopIfTrue="1">
      <formula>AND(ISNUMBER(B51),B51&lt;$E$51)</formula>
    </cfRule>
    <cfRule type="expression" priority="2" dxfId="0" stopIfTrue="1">
      <formula>AND(ISNUMBER(B51),B51&gt;=$E$51)</formula>
    </cfRule>
  </conditionalFormatting>
  <conditionalFormatting sqref="B53:D53">
    <cfRule type="expression" priority="3" dxfId="1" stopIfTrue="1">
      <formula>AND(ISNUMBER(B53),B53&gt;$E$53)</formula>
    </cfRule>
    <cfRule type="expression" priority="4" dxfId="0" stopIfTrue="1">
      <formula>AND(ISNUMBER(B53),B53&lt;=$E$53)</formula>
    </cfRule>
  </conditionalFormatting>
  <conditionalFormatting sqref="B54:D54">
    <cfRule type="expression" priority="5" dxfId="1" stopIfTrue="1">
      <formula>AND(ISNUMBER(B54),B54&gt;$E$54)</formula>
    </cfRule>
    <cfRule type="expression" priority="6" dxfId="0" stopIfTrue="1">
      <formula>AND(ISNUMBER(B54),B54&lt;=$E$54)</formula>
    </cfRule>
  </conditionalFormatting>
  <conditionalFormatting sqref="B55:D55">
    <cfRule type="expression" priority="7" dxfId="1" stopIfTrue="1">
      <formula>AND(ISNUMBER(B55),B55&gt;$E$55)</formula>
    </cfRule>
    <cfRule type="expression" priority="8" dxfId="0" stopIfTrue="1">
      <formula>AND(ISNUMBER(B55),B55&lt;=$E$55)</formula>
    </cfRule>
  </conditionalFormatting>
  <conditionalFormatting sqref="B56:D56">
    <cfRule type="expression" priority="9" dxfId="1" stopIfTrue="1">
      <formula>AND(ISNUMBER(B56),B56&lt;$E$56)</formula>
    </cfRule>
    <cfRule type="expression" priority="10" dxfId="0" stopIfTrue="1">
      <formula>AND(ISNUMBER(B56),B56&gt;=$E$56)</formula>
    </cfRule>
  </conditionalFormatting>
  <conditionalFormatting sqref="B57:D57">
    <cfRule type="containsText" priority="11" operator="containsText" dxfId="0" stopIfTrue="1" text="Sí">
      <formula>NOT(ISERROR(SEARCH("Sí",B57)))</formula>
    </cfRule>
    <cfRule type="containsText" priority="12" operator="containsText" dxfId="1" stopIfTrue="1" text="No">
      <formula>NOT(ISERROR(SEARCH("No",B57)))</formula>
    </cfRule>
  </conditionalFormatting>
  <conditionalFormatting sqref="B41:E41">
    <cfRule type="expression" priority="13" dxfId="1" stopIfTrue="1">
      <formula>AND(ISNUMBER(B41),B41&lt;0)</formula>
    </cfRule>
    <cfRule type="expression" priority="14" dxfId="0" stopIfTrue="1">
      <formula>AND(ISNUMBER(B41),B41&gt;0)</formula>
    </cfRule>
  </conditionalFormatting>
  <conditionalFormatting sqref="B48:E48">
    <cfRule type="expression" priority="15" dxfId="1" stopIfTrue="1">
      <formula>AND(ISNUMBER(B48),B48&lt;0)</formula>
    </cfRule>
    <cfRule type="expression" priority="16" dxfId="0" stopIfTrue="1">
      <formula>AND(ISNUMBER(B48),B48&gt;0)</formula>
    </cfRule>
  </conditionalFormatting>
  <conditionalFormatting sqref="B56:E56">
    <cfRule type="expression" priority="17" dxfId="1" stopIfTrue="1">
      <formula>AND(ISNUMBER(B56),B56&lt;0)</formula>
    </cfRule>
    <cfRule type="expression" priority="18" dxfId="0" stopIfTrue="1">
      <formula>AND(ISNUMBER(B56),B56&gt;0)</formula>
    </cfRule>
  </conditionalFormatting>
  <dataValidations count="2">
    <dataValidation sqref="B26 B27 B28 B29 B30 B31 B32 B33 B34 B35" showDropDown="0" showInputMessage="0" showErrorMessage="1" allowBlank="1" errorTitle="Importe no válido" error="Escribe un número mayor o igual que 0." type="decimal" operator="greaterThanOrEqual">
      <formula1>0</formula1>
    </dataValidation>
    <dataValidation sqref="E51 E53 E54 E55 E56 G13"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56"/>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PUNTO DE EQUILIBRIO</t>
        </is>
      </c>
    </row>
    <row r="2">
      <c r="A2" t="inlineStr">
        <is>
          <t>Punto de equilibrio — heladería artesanal</t>
        </is>
      </c>
    </row>
    <row r="3"/>
    <row r="4">
      <c r="A4" s="25" t="inlineStr">
        <is>
          <t>Variable</t>
        </is>
      </c>
      <c r="B4" s="25" t="inlineStr">
        <is>
          <t>Año 1</t>
        </is>
      </c>
      <c r="C4" s="25" t="inlineStr">
        <is>
          <t>Año 2</t>
        </is>
      </c>
      <c r="D4" s="25" t="inlineStr">
        <is>
          <t>Año 3</t>
        </is>
      </c>
      <c r="E4" s="25" t="inlineStr">
        <is>
          <t>Notas</t>
        </is>
      </c>
      <c r="F4" s="28" t="n"/>
    </row>
    <row r="5">
      <c r="A5" s="25" t="inlineStr">
        <is>
          <t>DATOS BASE POR AÑO</t>
        </is>
      </c>
      <c r="B5" s="28" t="n"/>
      <c r="C5" s="28" t="n"/>
      <c r="D5" s="28" t="n"/>
      <c r="E5" s="28" t="n"/>
      <c r="F5" s="28" t="n"/>
    </row>
    <row r="6">
      <c r="A6" s="28" t="inlineStr">
        <is>
          <t>Costes fijos anuales</t>
        </is>
      </c>
      <c r="B6" s="69">
        <f>IFERROR(IF('PyG 3 Años'!$B$9="","",'PyG 3 Años'!$B$38),"")</f>
        <v>141162.3</v>
      </c>
      <c r="C6" s="69">
        <f>IFERROR(IF('PyG 3 Años'!$C$9="","",'PyG 3 Años'!$C$38),"")</f>
        <v>147162.3</v>
      </c>
      <c r="D6" s="69">
        <f>IFERROR(IF('PyG 3 Años'!$D$9="","",'PyG 3 Años'!$D$38),"")</f>
        <v>152052.67325560428</v>
      </c>
      <c r="E6" s="28" t="inlineStr">
        <is>
          <t>Los MISMOS costes fijos del P&amp;L. Cada año tiene los suyos: por eso el umbral no puede ser uno solo para los tres</t>
        </is>
      </c>
      <c r="F6" s="28" t="n"/>
    </row>
    <row r="7">
      <c r="A7" s="28" t="inlineStr">
        <is>
          <t>Costes fijos mensuales</t>
        </is>
      </c>
      <c r="B7" s="69">
        <f>IFERROR(IF('PyG 3 Años'!$B$9="","",B6/12),"")</f>
        <v>11763.525</v>
      </c>
      <c r="C7" s="69">
        <f>IFERROR(IF('PyG 3 Años'!$C$9="","",C6/12),"")</f>
        <v>12263.525</v>
      </c>
      <c r="D7" s="69">
        <f>IFERROR(IF('PyG 3 Años'!$D$9="","",D6/12),"")</f>
        <v>12671.05610463369</v>
      </c>
      <c r="E7" s="28" t="n"/>
      <c r="F7" s="28" t="n"/>
    </row>
    <row r="8">
      <c r="A8" s="28" t="inlineStr">
        <is>
          <t>Ticket medio sin IVA</t>
        </is>
      </c>
      <c r="B8" s="69">
        <f>IFERROR(IF('PyG 3 Años'!$B$9="","",'PyG 3 Años'!$B$7),"")</f>
        <v>4.9</v>
      </c>
      <c r="C8" s="69">
        <f>IFERROR(IF('PyG 3 Años'!$C$9="","",'PyG 3 Años'!$C$7),"")</f>
        <v>4.9</v>
      </c>
      <c r="D8" s="69">
        <f>IFERROR(IF('PyG 3 Años'!$D$9="","",'PyG 3 Años'!$D$7),"")</f>
        <v>4.9</v>
      </c>
      <c r="E8" s="28" t="n"/>
      <c r="F8" s="28" t="n"/>
    </row>
    <row r="9">
      <c r="A9" s="28" t="inlineStr">
        <is>
          <t>Coste variable por cliente</t>
        </is>
      </c>
      <c r="B9" s="69">
        <f>IFERROR(IF('PyG 3 Años'!$B$9="","",'PyG 3 Años'!$B$19/('PyG 3 Años'!$B$6*'PyG 3 Años'!$B$8)),"")</f>
        <v>1.3818000000000001</v>
      </c>
      <c r="C9" s="69">
        <f>IFERROR(IF('PyG 3 Años'!$C$9="","",'PyG 3 Años'!$C$19/('PyG 3 Años'!$C$6*'PyG 3 Años'!$C$8)),"")</f>
        <v>1.3818000000000001</v>
      </c>
      <c r="D9" s="69">
        <f>IFERROR(IF('PyG 3 Años'!$D$9="","",'PyG 3 Años'!$D$19/('PyG 3 Años'!$D$6*'PyG 3 Años'!$D$8)),"")</f>
        <v>1.3818000000000001</v>
      </c>
      <c r="E9" s="28" t="inlineStr">
        <is>
          <t>Sale del total de costes variables del P&amp;L, no de una estimación aparte. Incluye los varios e imprevistos, que son un porcentaje de las ventas</t>
        </is>
      </c>
      <c r="F9" s="28" t="n"/>
    </row>
    <row r="10">
      <c r="A10" s="28" t="inlineStr">
        <is>
          <t>Margen de contribución por cliente</t>
        </is>
      </c>
      <c r="B10" s="69">
        <f>IFERROR(IF('PyG 3 Años'!$B$9="","",B8-B9),"")</f>
        <v>3.5182</v>
      </c>
      <c r="C10" s="69">
        <f>IFERROR(IF('PyG 3 Años'!$C$9="","",C8-C9),"")</f>
        <v>3.5182</v>
      </c>
      <c r="D10" s="69">
        <f>IFERROR(IF('PyG 3 Años'!$D$9="","",D8-D9),"")</f>
        <v>3.5182</v>
      </c>
      <c r="E10" s="28" t="inlineStr">
        <is>
          <t>Ticket menos coste variable unitario</t>
        </is>
      </c>
      <c r="F10" s="28" t="n"/>
    </row>
    <row r="11">
      <c r="A11" s="28" t="inlineStr">
        <is>
          <t>Días de apertura al año</t>
        </is>
      </c>
      <c r="B11" s="39">
        <f>IFERROR(IF('PyG 3 Años'!$B$9="","",'PyG 3 Años'!$B$8),"")</f>
        <v>310.0</v>
      </c>
      <c r="C11" s="39">
        <f>IFERROR(IF('PyG 3 Años'!$C$9="","",'PyG 3 Años'!$C$8),"")</f>
        <v>310.0</v>
      </c>
      <c r="D11" s="39">
        <f>IFERROR(IF('PyG 3 Años'!$D$9="","",'PyG 3 Años'!$D$8),"")</f>
        <v>310.0</v>
      </c>
      <c r="E11" s="28" t="inlineStr">
        <is>
          <t>El mismo calendario que el P&amp;L y que los escenarios</t>
        </is>
      </c>
      <c r="F11" s="28" t="n"/>
    </row>
    <row r="12">
      <c r="A12" s="28" t="inlineStr">
        <is>
          <t>Devolución de principal del año (cuota)</t>
        </is>
      </c>
      <c r="B12" s="69">
        <f>IFERROR(IF('PyG 3 Años'!$B$9="","",'Financiación'!$B$45),"")</f>
        <v>0.0</v>
      </c>
      <c r="C12" s="69">
        <f>IFERROR(IF('PyG 3 Años'!$C$9="","",'Financiación'!$B$47),"")</f>
        <v>18493.7790732615</v>
      </c>
      <c r="D12" s="69">
        <f>IFERROR(IF('PyG 3 Años'!$D$9="","",'Financiación'!$B$49),"")</f>
        <v>19603.40581765719</v>
      </c>
      <c r="E12" s="28" t="inlineStr">
        <is>
          <t>El principal NO es gasto del P&amp;L, pero sale de la caja. Sin él, el umbral de equilibrio se publica por debajo del real</t>
        </is>
      </c>
      <c r="F12" s="28" t="n"/>
    </row>
    <row r="13">
      <c r="A13" s="25" t="inlineStr">
        <is>
          <t>PUNTO DE EQUILIBRIO CONTABLE (incluye amortización)</t>
        </is>
      </c>
      <c r="B13" s="28" t="n"/>
      <c r="C13" s="28" t="n"/>
      <c r="D13" s="28" t="n"/>
      <c r="E13" s="28" t="n"/>
      <c r="F13" s="28" t="n"/>
    </row>
    <row r="14">
      <c r="A14" s="28" t="inlineStr">
        <is>
          <t>Clientes necesarios al año</t>
        </is>
      </c>
      <c r="B14" s="39">
        <f>IFERROR(IF('PyG 3 Años'!$B$9="","",IF(B10&lt;=0,"",B6/B10)),"")</f>
        <v>40123.44380649195</v>
      </c>
      <c r="C14" s="39">
        <f>IFERROR(IF('PyG 3 Años'!$C$9="","",IF(C10&lt;=0,"",C6/C10)),"")</f>
        <v>41828.86134955374</v>
      </c>
      <c r="D14" s="39">
        <f>IFERROR(IF('PyG 3 Años'!$D$9="","",IF(D10&lt;=0,"",D6/D10)),"")</f>
        <v>43218.88273992504</v>
      </c>
      <c r="E14" s="28" t="n"/>
      <c r="F14" s="28" t="n"/>
    </row>
    <row r="15">
      <c r="A15" s="28" t="inlineStr">
        <is>
          <t>Clientes necesarios al día</t>
        </is>
      </c>
      <c r="B15" s="44">
        <f>IFERROR(IF('PyG 3 Años'!$B$9="","",B14/B11),"")</f>
        <v>129.4304638919095</v>
      </c>
      <c r="C15" s="44">
        <f>IFERROR(IF('PyG 3 Años'!$C$9="","",C14/C11),"")</f>
        <v>134.93181080501208</v>
      </c>
      <c r="D15" s="44">
        <f>IFERROR(IF('PyG 3 Años'!$D$9="","",D14/D11),"")</f>
        <v>139.41575077395174</v>
      </c>
      <c r="E15" s="28" t="n"/>
      <c r="F15" s="28" t="n"/>
    </row>
    <row r="16">
      <c r="A16" s="25" t="inlineStr">
        <is>
          <t>Ingresos necesarios al año</t>
        </is>
      </c>
      <c r="B16" s="26">
        <f>IFERROR(IF('PyG 3 Años'!$B$9="","",B14*B8),"")</f>
        <v>196604.8746518106</v>
      </c>
      <c r="C16" s="26">
        <f>IFERROR(IF('PyG 3 Años'!$C$9="","",C14*C8),"")</f>
        <v>204961.42061281335</v>
      </c>
      <c r="D16" s="26">
        <f>IFERROR(IF('PyG 3 Años'!$D$9="","",D14*D8),"")</f>
        <v>211772.5254256327</v>
      </c>
      <c r="E16" s="28" t="n"/>
      <c r="F16" s="28" t="n"/>
    </row>
    <row r="17">
      <c r="A17" s="25" t="inlineStr">
        <is>
          <t>PUNTO DE EQUILIBRIO DE CAJA (incluye la cuota del préstamo)</t>
        </is>
      </c>
      <c r="B17" s="28" t="n"/>
      <c r="C17" s="28" t="n"/>
      <c r="D17" s="28" t="n"/>
      <c r="E17" s="28" t="n"/>
      <c r="F17" s="28" t="n"/>
    </row>
    <row r="18">
      <c r="A18" s="28" t="inlineStr">
        <is>
          <t>Costes fijos de caja + principal del año</t>
        </is>
      </c>
      <c r="B18" s="69">
        <f>IFERROR(IF('PyG 3 Años'!$B$9="","",B6-'PyG 3 Años'!$B$36+B12),"")</f>
        <v>130497.29999999999</v>
      </c>
      <c r="C18" s="69">
        <f>IFERROR(IF('PyG 3 Años'!$C$9="","",C6-'PyG 3 Años'!$C$36+C12),"")</f>
        <v>154991.0790732615</v>
      </c>
      <c r="D18" s="69">
        <f>IFERROR(IF('PyG 3 Años'!$D$9="","",D6-'PyG 3 Años'!$D$36+D12),"")</f>
        <v>160991.07907326147</v>
      </c>
      <c r="E18" s="28" t="inlineStr">
        <is>
          <t>Los fijos del P&amp;L sin la amortización (que no se paga) y CON la devolución de principal (que sí). Es el umbral que decide si la caja aguanta</t>
        </is>
      </c>
      <c r="F18" s="28" t="n"/>
    </row>
    <row r="19">
      <c r="A19" s="28" t="inlineStr">
        <is>
          <t>Clientes necesarios al año (caja)</t>
        </is>
      </c>
      <c r="B19" s="39">
        <f>IFERROR(IF('PyG 3 Años'!$B$9="","",IF(B10&lt;=0,"",B18/B10)),"")</f>
        <v>37092.064123699616</v>
      </c>
      <c r="C19" s="39">
        <f>IFERROR(IF('PyG 3 Años'!$C$9="","",IF(C10&lt;=0,"",C18/C10)),"")</f>
        <v>44054.084211602945</v>
      </c>
      <c r="D19" s="39">
        <f>IFERROR(IF('PyG 3 Años'!$D$9="","",IF(D10&lt;=0,"",D18/D10)),"")</f>
        <v>45759.50175466473</v>
      </c>
      <c r="E19" s="28" t="n"/>
      <c r="F19" s="28" t="n"/>
    </row>
    <row r="20">
      <c r="A20" s="25" t="inlineStr">
        <is>
          <t>Clientes necesarios al día (caja)</t>
        </is>
      </c>
      <c r="B20" s="45">
        <f>IFERROR(IF('PyG 3 Años'!$B$9="","",B19/B11),"")</f>
        <v>119.65181975386973</v>
      </c>
      <c r="C20" s="45">
        <f>IFERROR(IF('PyG 3 Años'!$C$9="","",C19/C11),"")</f>
        <v>142.10994906968693</v>
      </c>
      <c r="D20" s="45">
        <f>IFERROR(IF('PyG 3 Años'!$D$9="","",D19/D11),"")</f>
        <v>147.61129598278944</v>
      </c>
      <c r="E20" s="28" t="n"/>
      <c r="F20" s="28" t="n"/>
    </row>
    <row r="21">
      <c r="A21" s="28" t="inlineStr">
        <is>
          <t>Ingresos necesarios al año (caja)</t>
        </is>
      </c>
      <c r="B21" s="32">
        <f>IFERROR(IF('PyG 3 Años'!$B$9="","",B19*B8),"")</f>
        <v>181751.11420612814</v>
      </c>
      <c r="C21" s="32">
        <f>IFERROR(IF('PyG 3 Años'!$C$9="","",C19*C8),"")</f>
        <v>215865.01263685446</v>
      </c>
      <c r="D21" s="32">
        <f>IFERROR(IF('PyG 3 Años'!$D$9="","",D19*D8),"")</f>
        <v>224221.5585978572</v>
      </c>
      <c r="E21" s="28" t="n"/>
      <c r="F21" s="28" t="n"/>
    </row>
    <row r="22">
      <c r="A22" s="25" t="inlineStr">
        <is>
          <t>CONTRASTE CON EL PLAN</t>
        </is>
      </c>
      <c r="B22" s="28" t="n"/>
      <c r="C22" s="28" t="n"/>
      <c r="D22" s="28" t="n"/>
      <c r="E22" s="28" t="n"/>
      <c r="F22" s="28" t="n"/>
    </row>
    <row r="23">
      <c r="A23" s="28" t="inlineStr">
        <is>
          <t>Clientes/día previstos en el plan</t>
        </is>
      </c>
      <c r="B23" s="39">
        <f>IFERROR(IF('PyG 3 Años'!$B$9="","",'PyG 3 Años'!$B$6),"")</f>
        <v>143.0</v>
      </c>
      <c r="C23" s="39">
        <f>IFERROR(IF('PyG 3 Años'!$C$9="","",'PyG 3 Años'!$C$6),"")</f>
        <v>154.44</v>
      </c>
      <c r="D23" s="39">
        <f>IFERROR(IF('PyG 3 Años'!$D$9="","",'PyG 3 Años'!$D$6),"")</f>
        <v>162.162</v>
      </c>
      <c r="E23" s="28" t="n"/>
      <c r="F23" s="28" t="n"/>
    </row>
    <row r="24">
      <c r="A24" s="28" t="inlineStr">
        <is>
          <t>Holgura sobre el equilibrio de CAJA (%)</t>
        </is>
      </c>
      <c r="B24" s="67">
        <f>IFERROR(IF('PyG 3 Años'!$B$9="","",B23/B20-1),"")</f>
        <v>0.19513435143868896</v>
      </c>
      <c r="C24" s="67">
        <f>IFERROR(IF('PyG 3 Años'!$C$9="","",C23/C20-1),"")</f>
        <v>0.08676416402251141</v>
      </c>
      <c r="D24" s="67">
        <f>IFERROR(IF('PyG 3 Años'!$D$9="","",D23/D20-1),"")</f>
        <v>0.09857446152974014</v>
      </c>
      <c r="E24" s="28" t="inlineStr">
        <is>
          <t>Cuánto puedes caer antes de no poder pagar los costes fijos y la cuota. El mínimo exigible está en la hoja de Supuestos</t>
        </is>
      </c>
      <c r="F24" s="28" t="n"/>
    </row>
    <row r="25">
      <c r="A25" s="25" t="inlineStr">
        <is>
          <t>INTERPRETACIÓN</t>
        </is>
      </c>
      <c r="B25" s="28" t="n"/>
      <c r="C25" s="28" t="n"/>
      <c r="D25" s="28" t="n"/>
      <c r="E25" s="28" t="n"/>
      <c r="F25" s="28" t="n"/>
    </row>
    <row r="26" ht="46" customHeight="1">
      <c r="A26" s="28" t="str">
        <f>IFERROR("Con el ticket medio sin IVA de la fila de arriba necesitas "&amp;TEXT(ROUNDUP(B15,0),"0")&amp;" clientes al día durante los "&amp;TEXT(B11,"0")&amp;" días que abres para no perder dinero (equilibrio contable, con la amortización dentro), y "&amp;TEXT(ROUNDUP(B20,0),"0")&amp;" para que la caja aguante (equilibrio de caja: sin la amortización, que no se paga, y con la cuota del préstamo del año"&amp;IF(B12=0,"; este año sólo intereses, porque el préstamo está en carencia","")&amp;"). En las filas «Ingresos necesarios al año» tienes esas mismas cifras en euros.","")</f>
        <v>Con el ticket medio sin IVA de la fila de arriba necesitas 130 clientes al día durante los 310 días que abres para no perder dinero (equilibrio contable, con la amortización dentro), y 120 para que la caja aguante (equilibrio de caja: sin la amortización, que no se paga, y con la cuota del préstamo del año; este año sólo intereses, porque el préstamo está en carencia). En las filas «Ingresos necesarios al año» tienes esas mismas cifras en euros.</v>
      </c>
      <c r="B26" s="28" t="n"/>
      <c r="C26" s="28" t="n"/>
      <c r="D26" s="28" t="n"/>
      <c r="E26" s="28" t="n"/>
      <c r="F26" s="28" t="n"/>
    </row>
    <row r="27">
      <c r="A27" s="28" t="n"/>
      <c r="B27" s="28" t="n"/>
      <c r="C27" s="28" t="n"/>
      <c r="D27" s="28" t="n"/>
      <c r="E27" s="28" t="n"/>
      <c r="F27" s="28" t="n"/>
    </row>
    <row r="28">
      <c r="A28" s="25" t="inlineStr">
        <is>
          <t>SENSIBILIDAD DEL PUNTO DE EQUILIBRIO</t>
        </is>
      </c>
      <c r="B28" s="28" t="n"/>
      <c r="C28" s="28" t="n"/>
      <c r="D28" s="28" t="n"/>
      <c r="E28" s="28" t="n"/>
      <c r="F28" s="28" t="n"/>
    </row>
    <row r="29" ht="75" customHeight="1">
      <c r="A29" s="46" t="inlineStr">
        <is>
          <t>Clientes/día necesarios para cubrir costes según el ticket medio (columnas) y el coste variable por cliente (filas). En verde, los que están por debajo de los clientes que prevé el plan.</t>
        </is>
      </c>
      <c r="B29" s="28" t="n"/>
      <c r="C29" s="28" t="n"/>
      <c r="D29" s="28" t="n"/>
      <c r="E29" s="28" t="n"/>
      <c r="F29" s="28" t="n"/>
    </row>
    <row r="30">
      <c r="A30" s="28" t="n"/>
      <c r="B30" s="28" t="n"/>
      <c r="C30" s="28" t="n"/>
      <c r="D30" s="28" t="n"/>
      <c r="E30" s="28" t="n"/>
      <c r="F30" s="28" t="n"/>
    </row>
    <row r="31" ht="45" customHeight="1">
      <c r="A31" s="38" t="inlineStr">
        <is>
          <t>Clientes/día necesarios: ticket medio sin IVA (columnas) × coste variable por cliente (filas)</t>
        </is>
      </c>
      <c r="B31" s="72">
        <f>IFERROR($B$8-2,"")</f>
        <v>2.9000000000000004</v>
      </c>
      <c r="C31" s="72">
        <f>IFERROR(IF($B$8="","",$B$8),"")</f>
        <v>4.9</v>
      </c>
      <c r="D31" s="72">
        <f>IFERROR($B$8+2,"")</f>
        <v>6.9</v>
      </c>
      <c r="E31" s="72">
        <f>IFERROR($B$8+4,"")</f>
        <v>8.9</v>
      </c>
      <c r="F31" s="28" t="n"/>
    </row>
    <row r="32">
      <c r="A32" s="69">
        <f>IFERROR($B$9*0.85,"")</f>
        <v>1.17453</v>
      </c>
      <c r="B32" s="44">
        <f>IFERROR(IF($B$31-$A32&lt;=0,"",$B$6/($B$31-$A32)/$B$11),"")</f>
        <v>263.9062157351423</v>
      </c>
      <c r="C32" s="44">
        <f>IFERROR(IF($C$31-$A32&lt;=0,"",$B$6/($C$31-$A32)/$B$11),"")</f>
        <v>122.22947925081023</v>
      </c>
      <c r="D32" s="44">
        <f>IFERROR(IF($D$31-$A32&lt;=0,"",$B$6/($D$31-$A32)/$B$11),"")</f>
        <v>79.53272972603402</v>
      </c>
      <c r="E32" s="44">
        <f>IFERROR(IF($E$31-$A32&lt;=0,"",$B$6/($E$31-$A32)/$B$11),"")</f>
        <v>58.94298444813274</v>
      </c>
      <c r="F32" s="28" t="n"/>
    </row>
    <row r="33">
      <c r="A33" s="69">
        <f>IFERROR($B$9*0.925,"")</f>
        <v>1.2781650000000002</v>
      </c>
      <c r="B33" s="44">
        <f>IFERROR(IF($B$31-$A33&lt;=0,"",$B$6/($B$31-$A33)/$B$11),"")</f>
        <v>280.7697811827443</v>
      </c>
      <c r="C33" s="44">
        <f>IFERROR(IF($C$31-$A33&lt;=0,"",$B$6/($C$31-$A33)/$B$11),"")</f>
        <v>125.72694726968956</v>
      </c>
      <c r="D33" s="44">
        <f>IFERROR(IF($D$31-$A33&lt;=0,"",$B$6/($D$31-$A33)/$B$11),"")</f>
        <v>80.99886568433902</v>
      </c>
      <c r="E33" s="44">
        <f>IFERROR(IF($E$31-$A33&lt;=0,"",$B$6/($E$31-$A33)/$B$11),"")</f>
        <v>59.74443924127406</v>
      </c>
      <c r="F33" s="28" t="n"/>
    </row>
    <row r="34">
      <c r="A34" s="69">
        <f>IFERROR($B$9*1.0,"")</f>
        <v>1.3818000000000001</v>
      </c>
      <c r="B34" s="44">
        <f>IFERROR(IF($B$31-$A34&lt;=0,"",$B$6/($B$31-$A34)/$B$11),"")</f>
        <v>299.93561985543147</v>
      </c>
      <c r="C34" s="44">
        <f>IFERROR(IF($C$31-$A34&lt;=0,"",$B$6/($C$31-$A34)/$B$11),"")</f>
        <v>129.4304638919095</v>
      </c>
      <c r="D34" s="44">
        <f>IFERROR(IF($D$31-$A34&lt;=0,"",$B$6/($D$31-$A34)/$B$11),"")</f>
        <v>82.52007141178574</v>
      </c>
      <c r="E34" s="44">
        <f>IFERROR(IF($E$31-$A34&lt;=0,"",$B$6/($E$31-$A34)/$B$11),"")</f>
        <v>60.56798942094066</v>
      </c>
      <c r="F34" s="28" t="n"/>
    </row>
    <row r="35">
      <c r="A35" s="69">
        <f>IFERROR($B$9*1.075,"")</f>
        <v>1.485435</v>
      </c>
      <c r="B35" s="44">
        <f>IFERROR(IF($B$31-$A35&lt;=0,"",$B$6/($B$31-$A35)/$B$11),"")</f>
        <v>321.90974473743944</v>
      </c>
      <c r="C35" s="44">
        <f>IFERROR(IF($C$31-$A35&lt;=0,"",$B$6/($C$31-$A35)/$B$11),"")</f>
        <v>133.35879037725627</v>
      </c>
      <c r="D35" s="44">
        <f>IFERROR(IF($D$31-$A35&lt;=0,"",$B$6/($D$31-$A35)/$B$11),"")</f>
        <v>84.09950902141097</v>
      </c>
      <c r="E35" s="44">
        <f>IFERROR(IF($E$31-$A35&lt;=0,"",$B$6/($E$31-$A35)/$B$11),"")</f>
        <v>61.414561483312376</v>
      </c>
      <c r="F35" s="28" t="n"/>
    </row>
    <row r="36">
      <c r="A36" s="69">
        <f>IFERROR($B$9*1.15,"")</f>
        <v>1.58907</v>
      </c>
      <c r="B36" s="44">
        <f>IFERROR(IF($B$31-$A36&lt;=0,"",$B$6/($B$31-$A36)/$B$11),"")</f>
        <v>347.3581793570335</v>
      </c>
      <c r="C36" s="44">
        <f>IFERROR(IF($C$31-$A36&lt;=0,"",$B$6/($C$31-$A36)/$B$11),"")</f>
        <v>137.53303696076813</v>
      </c>
      <c r="D36" s="44">
        <f>IFERROR(IF($D$31-$A36&lt;=0,"",$B$6/($D$31-$A36)/$B$11),"")</f>
        <v>85.74058744222124</v>
      </c>
      <c r="E36" s="44">
        <f>IFERROR(IF($E$31-$A36&lt;=0,"",$B$6/($E$31-$A36)/$B$11),"")</f>
        <v>62.28513445820382</v>
      </c>
      <c r="F36" s="28" t="n"/>
    </row>
    <row r="37">
      <c r="A37" s="28" t="n"/>
      <c r="B37" s="28" t="n"/>
      <c r="C37" s="28" t="n"/>
      <c r="D37" s="28" t="n"/>
      <c r="E37" s="28" t="n"/>
      <c r="F37" s="28" t="n"/>
    </row>
    <row r="38">
      <c r="A38" s="28" t="n"/>
      <c r="B38" s="28" t="n"/>
      <c r="C38" s="28" t="n"/>
      <c r="D38" s="28" t="n"/>
      <c r="E38" s="28" t="n"/>
      <c r="F38" s="28" t="n"/>
    </row>
    <row r="39">
      <c r="A39" s="28" t="n"/>
      <c r="B39" s="28" t="n"/>
      <c r="C39" s="28" t="n"/>
      <c r="D39" s="28" t="n"/>
      <c r="E39" s="28" t="n"/>
      <c r="F39" s="28" t="n"/>
    </row>
    <row r="40">
      <c r="A40" s="28" t="n"/>
      <c r="B40" s="28" t="n"/>
      <c r="C40" s="28" t="n"/>
      <c r="D40" s="28" t="n"/>
      <c r="E40" s="28" t="n"/>
      <c r="F40" s="28" t="n"/>
    </row>
    <row r="41">
      <c r="A41" s="28" t="n"/>
      <c r="B41" s="28" t="n"/>
      <c r="C41" s="28" t="n"/>
      <c r="D41" s="28" t="n"/>
      <c r="E41" s="28" t="n"/>
      <c r="F41" s="28" t="n"/>
    </row>
    <row r="42">
      <c r="A42" s="28" t="n"/>
      <c r="B42" s="28" t="n"/>
      <c r="C42" s="28" t="n"/>
      <c r="D42" s="28" t="n"/>
      <c r="E42" s="28" t="n"/>
      <c r="F42" s="28" t="n"/>
    </row>
    <row r="43">
      <c r="A43" s="28" t="n"/>
      <c r="B43" s="28" t="n"/>
      <c r="C43" s="28" t="n"/>
      <c r="D43" s="28" t="n"/>
      <c r="E43" s="28" t="n"/>
      <c r="F43" s="28" t="n"/>
    </row>
    <row r="44">
      <c r="A44" s="28" t="n"/>
      <c r="B44" s="28" t="n"/>
      <c r="C44" s="28" t="n"/>
      <c r="D44" s="28" t="n"/>
      <c r="E44" s="28" t="n"/>
      <c r="F44" s="28" t="n"/>
    </row>
    <row r="45">
      <c r="A45" s="28" t="n"/>
      <c r="B45" s="28" t="n"/>
      <c r="C45" s="28" t="n"/>
      <c r="D45" s="28" t="n"/>
      <c r="E45" s="28" t="n"/>
      <c r="F45" s="28" t="n"/>
    </row>
    <row r="46">
      <c r="A46" s="28" t="n"/>
      <c r="B46" s="28" t="n"/>
      <c r="C46" s="28" t="n"/>
      <c r="D46" s="28" t="n"/>
      <c r="E46" s="28" t="n"/>
      <c r="F46" s="28" t="n"/>
    </row>
    <row r="47">
      <c r="A47" s="28" t="n"/>
      <c r="B47" s="28" t="n"/>
      <c r="C47" s="28" t="n"/>
      <c r="D47" s="28" t="n"/>
      <c r="E47" s="28" t="n"/>
      <c r="F47" s="28" t="n"/>
    </row>
    <row r="48">
      <c r="A48" s="28" t="n"/>
      <c r="B48" s="28" t="n"/>
      <c r="C48" s="28" t="n"/>
      <c r="D48" s="28" t="n"/>
      <c r="E48" s="28" t="n"/>
      <c r="F48" s="28" t="n"/>
    </row>
    <row r="49">
      <c r="A49" s="28" t="n"/>
      <c r="B49" s="28" t="n"/>
      <c r="C49" s="28" t="n"/>
      <c r="D49" s="28" t="n"/>
      <c r="E49" s="28" t="n"/>
      <c r="F49" s="28" t="n"/>
    </row>
    <row r="50">
      <c r="A50" s="28" t="n"/>
      <c r="B50" s="28" t="n"/>
      <c r="C50" s="28" t="n"/>
      <c r="D50" s="28" t="n"/>
      <c r="E50" s="28" t="n"/>
      <c r="F50" s="28" t="n"/>
    </row>
    <row r="51">
      <c r="A51" s="28" t="n"/>
      <c r="B51" s="28" t="n"/>
      <c r="C51" s="28" t="n"/>
      <c r="D51" s="28" t="n"/>
      <c r="E51" s="28" t="n"/>
      <c r="F51" s="28" t="n"/>
    </row>
    <row r="52">
      <c r="A52" s="28" t="n"/>
      <c r="B52" s="28" t="n"/>
      <c r="C52" s="28" t="n"/>
      <c r="D52" s="28" t="n"/>
      <c r="E52" s="28" t="n"/>
      <c r="F52" s="28" t="n"/>
    </row>
    <row r="53">
      <c r="A53" s="28" t="n"/>
      <c r="B53" s="28" t="n"/>
      <c r="C53" s="28" t="n"/>
      <c r="D53" s="28" t="n"/>
      <c r="E53" s="28" t="n"/>
      <c r="F53" s="28" t="n"/>
    </row>
    <row r="54">
      <c r="A54" s="28" t="n"/>
      <c r="B54" s="28" t="n"/>
      <c r="C54" s="28" t="n"/>
      <c r="D54" s="28" t="n"/>
      <c r="E54" s="28" t="n"/>
      <c r="F54" s="28" t="n"/>
    </row>
    <row r="55">
      <c r="A55" s="28" t="n"/>
      <c r="B55" s="28" t="n"/>
      <c r="C55" s="28" t="n"/>
      <c r="D55" s="28" t="n"/>
      <c r="E55" s="28" t="n"/>
      <c r="F55" s="28" t="n"/>
    </row>
    <row r="56">
      <c r="A56" s="28" t="n"/>
      <c r="B56" s="28" t="n"/>
      <c r="C56" s="28" t="n"/>
      <c r="D56" s="28" t="n"/>
      <c r="E56" s="28" t="n"/>
      <c r="F56"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Supuestos'!$B$67)</formula>
    </cfRule>
  </conditionalFormatting>
  <conditionalFormatting sqref="B32:E36">
    <cfRule type="expression" priority="4" dxfId="1" stopIfTrue="1">
      <formula>AND(ISNUMBER(B32),B32&gt;$B$23)</formula>
    </cfRule>
    <cfRule type="expression" priority="5" dxfId="0" stopIfTrue="1">
      <formula>AND(ISNUMBER(B32),B32&lt;=$B$23)</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ESCENARIOS</t>
        </is>
      </c>
    </row>
    <row r="2"/>
    <row r="3"/>
    <row r="4">
      <c r="A4" s="25" t="inlineStr">
        <is>
          <t>Métrica</t>
        </is>
      </c>
      <c r="B4" s="25" t="inlineStr">
        <is>
          <t>Pesimista</t>
        </is>
      </c>
      <c r="C4" s="25" t="inlineStr">
        <is>
          <t>Realista</t>
        </is>
      </c>
      <c r="D4" s="25" t="inlineStr">
        <is>
          <t>Optimista</t>
        </is>
      </c>
      <c r="E4" s="25" t="inlineStr">
        <is>
          <t>Notas</t>
        </is>
      </c>
      <c r="F4" s="28" t="n"/>
    </row>
    <row r="5">
      <c r="A5" s="28" t="inlineStr">
        <is>
          <t>Clientes/día</t>
        </is>
      </c>
      <c r="B5" s="49" t="n">
        <v>120</v>
      </c>
      <c r="C5" s="39">
        <f>IFERROR(IF('PyG 3 Años'!$B$6="","",'PyG 3 Años'!$B$6),"")</f>
        <v>143.0</v>
      </c>
      <c r="D5" s="49" t="n">
        <v>165</v>
      </c>
      <c r="E5" s="28" t="n"/>
      <c r="F5" s="28" t="n"/>
    </row>
    <row r="6">
      <c r="A6" s="28" t="inlineStr">
        <is>
          <t>Ticket medio sin IVA</t>
        </is>
      </c>
      <c r="B6" s="73" t="n">
        <v>4.6</v>
      </c>
      <c r="C6" s="69">
        <f>IFERROR(IF('PyG 3 Años'!$B$7="","",'PyG 3 Años'!$B$7),"")</f>
        <v>4.9</v>
      </c>
      <c r="D6" s="73" t="n">
        <v>5.2</v>
      </c>
      <c r="E6" s="28" t="n"/>
      <c r="F6" s="28" t="n"/>
    </row>
    <row r="7">
      <c r="A7" s="28" t="inlineStr">
        <is>
          <t>Días de apertura al año</t>
        </is>
      </c>
      <c r="B7" s="49" t="n">
        <v>300</v>
      </c>
      <c r="C7" s="39">
        <f>IFERROR(IF('PyG 3 Años'!$B$8="","",'PyG 3 Años'!$B$8),"")</f>
        <v>310.0</v>
      </c>
      <c r="D7" s="49" t="n">
        <v>320</v>
      </c>
      <c r="E7" s="28" t="n"/>
      <c r="F7" s="28" t="n"/>
    </row>
    <row r="8">
      <c r="A8" s="25" t="inlineStr">
        <is>
          <t>INGRESOS ANUALES (sin IVA)</t>
        </is>
      </c>
      <c r="B8" s="26">
        <f>IFERROR(IF(B5*B6*B7=0,"",B5*B6*B7),"")</f>
        <v>165600.0</v>
      </c>
      <c r="C8" s="26">
        <f>IFERROR(IF(C5*C6*C7=0,"",C5*C6*C7),"")</f>
        <v>217217.0</v>
      </c>
      <c r="D8" s="26">
        <f>IFERROR(IF(D5*D6*D7=0,"",D5*D6*D7),"")</f>
        <v>274560.0</v>
      </c>
      <c r="E8" s="28" t="n"/>
      <c r="F8" s="28" t="n"/>
    </row>
    <row r="9">
      <c r="A9" s="28" t="inlineStr">
        <is>
          <t>Coste de mercancía — comida</t>
        </is>
      </c>
      <c r="B9" s="32">
        <f>IFERROR(IF(B8="","",B8*'0. Supuestos'!$B$11*'0. Supuestos'!$B$13),"")</f>
        <v>29808.0</v>
      </c>
      <c r="C9" s="32">
        <f>IFERROR(IF(C8="","",C8*'0. Supuestos'!$B$11*'0. Supuestos'!$B$13),"")</f>
        <v>39099.060000000005</v>
      </c>
      <c r="D9" s="32">
        <f>IFERROR(IF(D8="","",D8*'0. Supuestos'!$B$11*'0. Supuestos'!$B$13),"")</f>
        <v>49420.8</v>
      </c>
      <c r="E9" s="28" t="n"/>
      <c r="F9" s="28" t="n"/>
    </row>
    <row r="10">
      <c r="A10" s="28" t="inlineStr">
        <is>
          <t>Coste de mercancía — bebida</t>
        </is>
      </c>
      <c r="B10" s="32">
        <f>IFERROR(IF(B8="","",B8*'0. Supuestos'!$B$12*'0. Supuestos'!$B$14),"")</f>
        <v>4139.999999999999</v>
      </c>
      <c r="C10" s="32">
        <f>IFERROR(IF(C8="","",C8*'0. Supuestos'!$B$12*'0. Supuestos'!$B$14),"")</f>
        <v>5430.424999999998</v>
      </c>
      <c r="D10" s="32">
        <f>IFERROR(IF(D8="","",D8*'0. Supuestos'!$B$12*'0. Supuestos'!$B$14),"")</f>
        <v>6863.999999999998</v>
      </c>
      <c r="E10" s="28" t="n"/>
      <c r="F10" s="28" t="n"/>
    </row>
    <row r="11">
      <c r="A11" s="28" t="inlineStr">
        <is>
          <t>Consumibles y envases</t>
        </is>
      </c>
      <c r="B11" s="32">
        <f>IFERROR(IF(B8="","",B8*'0. Supuestos'!$B$15),"")</f>
        <v>6624.0</v>
      </c>
      <c r="C11" s="32">
        <f>IFERROR(IF(C8="","",C8*'0. Supuestos'!$B$15),"")</f>
        <v>8688.68</v>
      </c>
      <c r="D11" s="32">
        <f>IFERROR(IF(D8="","",D8*'0. Supuestos'!$B$15),"")</f>
        <v>10982.4</v>
      </c>
      <c r="E11" s="28" t="n"/>
      <c r="F11" s="28" t="n"/>
    </row>
    <row r="12">
      <c r="A12" s="28" t="inlineStr">
        <is>
          <t>Comisiones de delivery</t>
        </is>
      </c>
      <c r="B12" s="32">
        <f>IFERROR(IF(B8="","",B8*'0. Supuestos'!$B$16*'0. Supuestos'!$B$17),"")</f>
        <v>1490.3999999999999</v>
      </c>
      <c r="C12" s="32">
        <f>IFERROR(IF(C8="","",C8*'0. Supuestos'!$B$16*'0. Supuestos'!$B$17),"")</f>
        <v>1954.9529999999997</v>
      </c>
      <c r="D12" s="32">
        <f>IFERROR(IF(D8="","",D8*'0. Supuestos'!$B$16*'0. Supuestos'!$B$17),"")</f>
        <v>2471.0399999999995</v>
      </c>
      <c r="E12" s="28" t="n"/>
      <c r="F12" s="28" t="n"/>
    </row>
    <row r="13">
      <c r="A13" s="28" t="inlineStr">
        <is>
          <t>Comisiones de los medios de pago</t>
        </is>
      </c>
      <c r="B13" s="32">
        <f>IFERROR(IF(B8="","",B8*'0. Supuestos'!$B$18),"")</f>
        <v>1324.8</v>
      </c>
      <c r="C13" s="32">
        <f>IFERROR(IF(C8="","",C8*'0. Supuestos'!$B$18),"")</f>
        <v>1737.736</v>
      </c>
      <c r="D13" s="32">
        <f>IFERROR(IF(D8="","",D8*'0. Supuestos'!$B$18),"")</f>
        <v>2196.48</v>
      </c>
      <c r="E13" s="28" t="n"/>
      <c r="F13" s="28" t="n"/>
    </row>
    <row r="14">
      <c r="A14" s="28" t="inlineStr">
        <is>
          <t>Varios e imprevistos</t>
        </is>
      </c>
      <c r="B14" s="32">
        <f>IFERROR(IF(B8="","",B8*'0. Supuestos'!$B$28),"")</f>
        <v>3312.0</v>
      </c>
      <c r="C14" s="32">
        <f>IFERROR(IF(C8="","",C8*'0. Supuestos'!$B$28),"")</f>
        <v>4344.34</v>
      </c>
      <c r="D14" s="32">
        <f>IFERROR(IF(D8="","",D8*'0. Supuestos'!$B$28),"")</f>
        <v>5491.2</v>
      </c>
      <c r="E14" s="28" t="n"/>
      <c r="F14" s="28" t="n"/>
    </row>
    <row r="15">
      <c r="A15" s="28" t="inlineStr">
        <is>
          <t>TOTAL COSTES VARIABLES</t>
        </is>
      </c>
      <c r="B15" s="32">
        <f>IFERROR(IF(B8="","",SUM(B9:B14)),"")</f>
        <v>46699.2</v>
      </c>
      <c r="C15" s="32">
        <f>IFERROR(IF(C8="","",SUM(C9:C14)),"")</f>
        <v>61255.194</v>
      </c>
      <c r="D15" s="32">
        <f>IFERROR(IF(D8="","",SUM(D9:D14)),"")</f>
        <v>77425.92</v>
      </c>
      <c r="E15" s="28" t="n"/>
      <c r="F15" s="28" t="n"/>
    </row>
    <row r="16">
      <c r="A16" s="28" t="inlineStr">
        <is>
          <t>MARGEN BRUTO</t>
        </is>
      </c>
      <c r="B16" s="32">
        <f>IFERROR(IF(B8="","",B8-B15),"")</f>
        <v>118900.8</v>
      </c>
      <c r="C16" s="32">
        <f>IFERROR(IF(C8="","",C8-C15),"")</f>
        <v>155961.80599999998</v>
      </c>
      <c r="D16" s="32">
        <f>IFERROR(IF(D8="","",D8-D15),"")</f>
        <v>197134.08000000002</v>
      </c>
      <c r="E16" s="28" t="n"/>
      <c r="F16" s="28" t="n"/>
    </row>
    <row r="17">
      <c r="A17" s="28" t="inlineStr">
        <is>
          <t>COSTES FIJOS (los del P&amp;L)</t>
        </is>
      </c>
      <c r="B17" s="32">
        <f>IFERROR(IF(B8="","",'PyG 3 Años'!$B$38),"")</f>
        <v>141162.3</v>
      </c>
      <c r="C17" s="32">
        <f>IFERROR(IF(C8="","",'PyG 3 Años'!$B$38),"")</f>
        <v>141162.3</v>
      </c>
      <c r="D17" s="32">
        <f>IFERROR(IF(D8="","",'PyG 3 Años'!$B$38),"")</f>
        <v>141162.3</v>
      </c>
      <c r="E17" s="28" t="inlineStr">
        <is>
          <t>Los costes fijos no cambian con el escenario: por eso son fijos</t>
        </is>
      </c>
      <c r="F17" s="28" t="n"/>
    </row>
    <row r="18">
      <c r="A18" s="25" t="inlineStr">
        <is>
          <t>RESULTADO ANTES DE IMPUESTOS</t>
        </is>
      </c>
      <c r="B18" s="26">
        <f>IFERROR(IF(B8="","",B16-B17),"")</f>
        <v>-22261.499999999985</v>
      </c>
      <c r="C18" s="26">
        <f>IFERROR(IF(C8="","",C16-C17),"")</f>
        <v>14799.505999999994</v>
      </c>
      <c r="D18" s="26">
        <f>IFERROR(IF(D8="","",D16-D17),"")</f>
        <v>55971.78000000003</v>
      </c>
      <c r="E18" s="28" t="n"/>
      <c r="F18" s="28" t="n"/>
    </row>
    <row r="19">
      <c r="A19" s="28" t="inlineStr">
        <is>
          <t>Impuesto de Sociedades</t>
        </is>
      </c>
      <c r="B19" s="32">
        <f>IFERROR(IF(B8="","",MAX(0,B18-'0. Supuestos'!$B$42)*'0. Supuestos'!$B$37),"")</f>
        <v>0.0</v>
      </c>
      <c r="C19" s="32">
        <f>IFERROR(IF(C8="","",MAX(0,C18-'0. Supuestos'!$B$42)*'0. Supuestos'!$B$37),"")</f>
        <v>2219.925899999999</v>
      </c>
      <c r="D19" s="32">
        <f>IFERROR(IF(D8="","",MAX(0,D18-'0. Supuestos'!$B$42)*'0. Supuestos'!$B$37),"")</f>
        <v>8395.767000000003</v>
      </c>
      <c r="E19" s="28" t="inlineStr">
        <is>
          <t>Al tipo de entidad de nueva creación, compensando las bases negativas anteriores</t>
        </is>
      </c>
      <c r="F19" s="28" t="n"/>
    </row>
    <row r="20">
      <c r="A20" s="25" t="inlineStr">
        <is>
          <t>RESULTADO NETO</t>
        </is>
      </c>
      <c r="B20" s="26">
        <f>IFERROR(IF(B8="","",B18-B19),"")</f>
        <v>-22261.499999999985</v>
      </c>
      <c r="C20" s="26">
        <f>IFERROR(IF(C8="","",C18-C19),"")</f>
        <v>12579.580099999996</v>
      </c>
      <c r="D20" s="26">
        <f>IFERROR(IF(D8="","",D18-D19),"")</f>
        <v>47576.01300000002</v>
      </c>
      <c r="E20" s="28" t="n"/>
      <c r="F20" s="28" t="n"/>
    </row>
    <row r="21">
      <c r="A21" s="28" t="inlineStr">
        <is>
          <t>Clientes/día para el equilibrio</t>
        </is>
      </c>
      <c r="B21" s="44">
        <f>IFERROR(IF(B8="","",IF(B6-B15/(B5*B7)&lt;=0,"",B17/(B6-B15/(B5*B7))/B7)),"")</f>
        <v>142.4673004723265</v>
      </c>
      <c r="C21" s="44">
        <f>IFERROR(IF(C8="","",IF(C6-C15/(C5*C7)&lt;=0,"",C17/(C6-C15/(C5*C7))/C7)),"")</f>
        <v>129.4304638919095</v>
      </c>
      <c r="D21" s="44">
        <f>IFERROR(IF(D8="","",IF(D6-D15/(D5*D7)&lt;=0,"",D17/(D6-D15/(D5*D7))/D7)),"")</f>
        <v>118.15196793979001</v>
      </c>
      <c r="E21" s="28" t="n"/>
      <c r="F21" s="28" t="n"/>
    </row>
    <row r="22">
      <c r="A22" s="25" t="inlineStr">
        <is>
          <t>LO QUE CADA ESCENARIO EXIGE</t>
        </is>
      </c>
      <c r="B22" s="28" t="n"/>
      <c r="C22" s="28" t="n"/>
      <c r="D22" s="28" t="n"/>
      <c r="E22" s="28" t="n"/>
      <c r="F22" s="28" t="n"/>
    </row>
    <row r="23">
      <c r="A23" s="28" t="inlineStr">
        <is>
          <t>Coste de personal / Ventas</t>
        </is>
      </c>
      <c r="B23" s="67">
        <f>IFERROR(IF(B8="","",'PyG 3 Años'!$B$23/B8),"")</f>
        <v>0.4964208937198068</v>
      </c>
      <c r="C23" s="67">
        <f>IFERROR(IF(C8="","",'PyG 3 Años'!$B$23/C8),"")</f>
        <v>0.37845702684412363</v>
      </c>
      <c r="D23" s="67">
        <f>IFERROR(IF(D8="","",'PyG 3 Años'!$B$23/D8),"")</f>
        <v>0.2994146998834499</v>
      </c>
      <c r="E23" s="28" t="inlineStr">
        <is>
          <t>La MISMA plantilla en los tres escenarios. Si en el pesimista se dispara, el ajuste hay que hacerlo en la hoja de Personal, no aquí</t>
        </is>
      </c>
      <c r="F23" s="28" t="n"/>
    </row>
    <row r="24">
      <c r="A24" s="28" t="inlineStr">
        <is>
          <t>Clientes al año por jornada equivalente</t>
        </is>
      </c>
      <c r="B24" s="39">
        <f>IFERROR(IF(B8="","",B5*B7/'Personal'!$C$11),"")</f>
        <v>11803.278688524591</v>
      </c>
      <c r="C24" s="39">
        <f>IFERROR(IF(C8="","",C5*C7/'Personal'!$C$11),"")</f>
        <v>14534.426229508197</v>
      </c>
      <c r="D24" s="39">
        <f>IFERROR(IF(D8="","",D5*D7/'Personal'!$C$11),"")</f>
        <v>17311.475409836068</v>
      </c>
      <c r="E24" s="28" t="inlineStr">
        <is>
          <t>Clientes que tendría que sacar cada jornada completa del cuadro de Personal. En el optimista dice si hace falta contratar</t>
        </is>
      </c>
      <c r="F24" s="28" t="n"/>
    </row>
    <row r="25">
      <c r="A25" s="25" t="inlineStr">
        <is>
          <t>Saldo de caja al cierre del año 1 (estimado, el mismo método en los tres escenarios)</t>
        </is>
      </c>
      <c r="B25" s="26">
        <f>IFERROR(IF(B8="","",'Inversión Inicial'!$B$30+B20+'PyG 3 Años'!$B$36-'Financiación'!$B$45),"")</f>
        <v>21027.82500000001</v>
      </c>
      <c r="C25" s="26">
        <f>IFERROR(IF(C8="","",'Inversión Inicial'!$B$30+C20+'PyG 3 Años'!$B$36-'Financiación'!$B$45),"")</f>
        <v>55868.90509999999</v>
      </c>
      <c r="D25" s="26">
        <f>IFERROR(IF(D8="","",'Inversión Inicial'!$B$30+D20+'PyG 3 Años'!$B$36-'Financiación'!$B$45),"")</f>
        <v>90865.33800000002</v>
      </c>
      <c r="E25" s="25" t="inlineStr">
        <is>
          <t>Saldo ESTIMADO: fondo de maniobra más el resultado del año, devolviendo la amortización (que no se paga) y restando el principal del préstamo. No incluye el desfase de cobros y pagos ni la liquidación del IVA, así que las tres columnas se pueden comparar entre sí. En rojo, el escenario se queda sin caja</t>
        </is>
      </c>
      <c r="F25" s="28" t="n"/>
    </row>
    <row r="26">
      <c r="A26" s="28" t="inlineStr">
        <is>
          <t>Saldo real del mes 12 de la hoja de Tesorería (sólo realista)</t>
        </is>
      </c>
      <c r="B26" s="28" t="n"/>
      <c r="C26" s="32">
        <f>IFERROR(IF(C8="","",'Tesorería 12 meses'!$M$22),"")</f>
        <v>66345.34709635413</v>
      </c>
      <c r="D26" s="28" t="n"/>
      <c r="E26" s="28" t="inlineStr">
        <is>
          <t>El saldo REAL del caso base, con su desfase de cobros y pagos y su liquidación de IVA. Sólo existe para el escenario realista, que es el único con tesorería mensual propia: por eso no está en la fila de arriba, donde se compararía contra dos estimaciones</t>
        </is>
      </c>
      <c r="F26" s="28" t="n"/>
    </row>
    <row r="27">
      <c r="A27" s="28" t="n"/>
      <c r="B27" s="28" t="n"/>
      <c r="C27" s="28" t="n"/>
      <c r="D27" s="28" t="n"/>
      <c r="E27" s="28" t="n"/>
      <c r="F27" s="28" t="n"/>
    </row>
    <row r="28" ht="150" customHeight="1">
      <c r="A28" s="46" t="inlineStr">
        <is>
          <t>La columna «Realista» lee sus tres datos de la hoja de Supuestos, así que reproduce EXACTAMENTE el año 1 del P&amp;L. Los otros dos escenarios usan las mismas tasas de coste: lo único que cambia son los clientes, el ticket y los días. Los COSTES FIJOS sí son los mismos en los tres: los varios e imprevistos, que son un porcentaje de las ventas, van arriba con los variables y cada escenario carga los suyos.</t>
        </is>
      </c>
      <c r="B28" s="28" t="n"/>
      <c r="C28" s="28" t="n"/>
      <c r="D28" s="28" t="n"/>
      <c r="E28" s="28" t="n"/>
      <c r="F28"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AND(ISNUMBER(B23),B23&gt;'PyG 3 Años'!$E$54)</formula>
    </cfRule>
    <cfRule type="expression" priority="2" dxfId="0" stopIfTrue="1">
      <formula>AND(ISNUMBER(B23),B23&lt;='PyG 3 Años'!$E$54)</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3">
    <dataValidation sqref="B6 D6" showDropDown="0" showInputMessage="0" showErrorMessage="1" allowBlank="1" errorTitle="Importe no válido" error="Escribe un número mayor o igual que 0." type="decimal" operator="greaterThanOrEqual">
      <formula1>0</formula1>
    </dataValidation>
    <dataValidation sqref="B7 D7" showDropDown="0" showInputMessage="0" showErrorMessage="1" allowBlank="1" errorTitle="Días fuera de rango" error="Los días van de 1 a 365." type="whole" operator="between">
      <formula1>1</formula1>
      <formula2>365</formula2>
    </dataValidation>
    <dataValidation sqref="B5 D5"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9"/>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PERSONAL Y COSTES</t>
        </is>
      </c>
    </row>
    <row r="2">
      <c r="A2" t="str">
        <f>IFERROR("Convenio Hostelería — "&amp;TEXT('0. Supuestos'!$B$21,"0")&amp;" pagas + SS "&amp;TEXT('0. Supuestos'!$B$20*100,"0")&amp;" %","")</f>
        <v>Convenio Hostelería — 14 pagas + SS 33 %</v>
      </c>
    </row>
    <row r="3"/>
    <row r="4">
      <c r="A4" s="38" t="inlineStr">
        <is>
          <t>Puesto</t>
        </is>
      </c>
      <c r="B4" s="38" t="inlineStr">
        <is>
          <t>Personas</t>
        </is>
      </c>
      <c r="C4" s="38" t="inlineStr">
        <is>
          <t>Jornada</t>
        </is>
      </c>
      <c r="D4" s="38" t="inlineStr">
        <is>
          <t>Bruto mes (€, total del puesto)</t>
        </is>
      </c>
      <c r="E4" s="38" t="inlineStr">
        <is>
          <t>Seg. Social a cargo de la empresa (€)</t>
        </is>
      </c>
      <c r="F4" s="38" t="inlineStr">
        <is>
          <t>Coste mes (€, total del puesto)</t>
        </is>
      </c>
      <c r="G4" s="38" t="inlineStr">
        <is>
          <t>Coste año (€)</t>
        </is>
      </c>
      <c r="H4" s="38" t="inlineStr">
        <is>
          <t>Horas/semana por persona</t>
        </is>
      </c>
      <c r="I4" s="38" t="inlineStr">
        <is>
          <t>Horas/año del puesto</t>
        </is>
      </c>
      <c r="J4" s="38" t="inlineStr">
        <is>
          <t>Notas</t>
        </is>
      </c>
    </row>
    <row r="5">
      <c r="A5" s="28" t="inlineStr">
        <is>
          <t>Titular — maestro heladero, compras y gestión</t>
        </is>
      </c>
      <c r="B5" s="49" t="n">
        <v>1</v>
      </c>
      <c r="C5" s="51" t="n">
        <v>1</v>
      </c>
      <c r="D5" s="73" t="n">
        <v>1750</v>
      </c>
      <c r="E5" s="69">
        <f>IFERROR(IF(D5="","",D5*'0. Supuestos'!$B$20),"")</f>
        <v>577.5</v>
      </c>
      <c r="F5" s="69">
        <f>IFERROR(IF(D5="","",D5+E5),"")</f>
        <v>2327.5</v>
      </c>
      <c r="G5" s="69">
        <f>IFERROR(IF(D5="","",F5*MAX(12,'0. Supuestos'!$B$21)),"")</f>
        <v>32585.0</v>
      </c>
      <c r="H5" s="44">
        <f>IFERROR(IF(D5="","",C5*$B$18),"")</f>
        <v>40.0</v>
      </c>
      <c r="I5" s="39">
        <f>IFERROR(IF(D5="","",H5*B5*$B$19),"")</f>
        <v>1840.0</v>
      </c>
      <c r="J5" s="28" t="inlineStr">
        <is>
          <t>Balancea las mezclas, pasteuriza, manteca y abate, compra y lleva la gestión. Como administrador de la SL cotiza en el régimen de autónomos: confirma con tu gestoría la cuota y si te aplica la reducida de inicio</t>
        </is>
      </c>
    </row>
    <row r="6">
      <c r="A6" s="28" t="inlineStr">
        <is>
          <t>Dependiente/a y encargado/a de turno (todo el año)</t>
        </is>
      </c>
      <c r="B6" s="49" t="n">
        <v>1</v>
      </c>
      <c r="C6" s="51" t="n">
        <v>1</v>
      </c>
      <c r="D6" s="73" t="n">
        <v>1300</v>
      </c>
      <c r="E6" s="69">
        <f>IFERROR(IF(D6="","",D6*'0. Supuestos'!$B$20),"")</f>
        <v>429.0</v>
      </c>
      <c r="F6" s="69">
        <f>IFERROR(IF(D6="","",D6+E6),"")</f>
        <v>1729.0</v>
      </c>
      <c r="G6" s="69">
        <f>IFERROR(IF(D6="","",F6*MAX(12,'0. Supuestos'!$B$21)),"")</f>
        <v>24206.0</v>
      </c>
      <c r="H6" s="44">
        <f>IFERROR(IF(D6="","",C6*$B$18),"")</f>
        <v>40.0</v>
      </c>
      <c r="I6" s="39">
        <f>IFERROR(IF(D6="","",H6*B6*$B$19),"")</f>
        <v>1840.0</v>
      </c>
      <c r="J6" s="28" t="inlineStr">
        <is>
          <t>Mostrador, caja, vitrina y cierre; abre y cierra cuando el titular está en el obrador</t>
        </is>
      </c>
    </row>
    <row r="7">
      <c r="A7" s="28" t="inlineStr">
        <is>
          <t>Dependiente/a de temporada (fijo discontinuo, abril-septiembre)</t>
        </is>
      </c>
      <c r="B7" s="49" t="n">
        <v>1</v>
      </c>
      <c r="C7" s="51" t="n">
        <v>0.5</v>
      </c>
      <c r="D7" s="73" t="n">
        <v>650</v>
      </c>
      <c r="E7" s="69">
        <f>IFERROR(IF(D7="","",D7*'0. Supuestos'!$B$20),"")</f>
        <v>214.5</v>
      </c>
      <c r="F7" s="69">
        <f>IFERROR(IF(D7="","",D7+E7),"")</f>
        <v>864.5</v>
      </c>
      <c r="G7" s="69">
        <f>IFERROR(IF(D7="","",F7*MAX(12,'0. Supuestos'!$B$21)),"")</f>
        <v>12103.0</v>
      </c>
      <c r="H7" s="44">
        <f>IFERROR(IF(D7="","",C7*$B$18),"")</f>
        <v>20.0</v>
      </c>
      <c r="I7" s="39">
        <f>IFERROR(IF(D7="","",H7*B7*$B$19),"")</f>
        <v>920.0</v>
      </c>
      <c r="J7" s="28" t="inlineStr">
        <is>
          <t>Contrato fijo discontinuo (art. 16 del Estatuto de los Trabajadores) a jornada completa de abril a septiembre: equivale a media jornada en cómputo anual. Llamamiento por escrito</t>
        </is>
      </c>
    </row>
    <row r="8">
      <c r="A8" s="28" t="inlineStr">
        <is>
          <t>Dependiente/a de verano (fijo discontinuo, junio-septiembre)</t>
        </is>
      </c>
      <c r="B8" s="49" t="n">
        <v>1</v>
      </c>
      <c r="C8" s="51" t="n">
        <v>0.25</v>
      </c>
      <c r="D8" s="73" t="n">
        <v>325</v>
      </c>
      <c r="E8" s="69">
        <f>IFERROR(IF(D8="","",D8*'0. Supuestos'!$B$20),"")</f>
        <v>107.25</v>
      </c>
      <c r="F8" s="69">
        <f>IFERROR(IF(D8="","",D8+E8),"")</f>
        <v>432.25</v>
      </c>
      <c r="G8" s="69">
        <f>IFERROR(IF(D8="","",F8*MAX(12,'0. Supuestos'!$B$21)),"")</f>
        <v>6051.5</v>
      </c>
      <c r="H8" s="44">
        <f>IFERROR(IF(D8="","",C8*$B$18),"")</f>
        <v>10.0</v>
      </c>
      <c r="I8" s="39">
        <f>IFERROR(IF(D8="","",H8*B8*$B$19),"")</f>
        <v>460.0</v>
      </c>
      <c r="J8" s="28" t="inlineStr">
        <is>
          <t>Fijo discontinuo de 30 horas a la semana de junio a septiembre: las tardes y noches del pico. Nunca como autónomo que te factura: con tu horario y tu dirección es falso autónomo (art. 1.1 ET)</t>
        </is>
      </c>
    </row>
    <row r="9">
      <c r="A9" s="28" t="inlineStr">
        <is>
          <t>Ayudante de obrador (fijo discontinuo, mayo-septiembre)</t>
        </is>
      </c>
      <c r="B9" s="49" t="n">
        <v>1</v>
      </c>
      <c r="C9" s="51" t="n">
        <v>0.2</v>
      </c>
      <c r="D9" s="73" t="n">
        <v>260</v>
      </c>
      <c r="E9" s="69">
        <f>IFERROR(IF(D9="","",D9*'0. Supuestos'!$B$20),"")</f>
        <v>85.8</v>
      </c>
      <c r="F9" s="69">
        <f>IFERROR(IF(D9="","",D9+E9),"")</f>
        <v>345.8</v>
      </c>
      <c r="G9" s="69">
        <f>IFERROR(IF(D9="","",F9*MAX(12,'0. Supuestos'!$B$21)),"")</f>
        <v>4841.2</v>
      </c>
      <c r="H9" s="44">
        <f>IFERROR(IF(D9="","",C9*$B$18),"")</f>
        <v>8.0</v>
      </c>
      <c r="I9" s="39">
        <f>IFERROR(IF(D9="","",H9*B9*$B$19),"")</f>
        <v>368.0</v>
      </c>
      <c r="J9" s="28" t="inlineStr">
        <is>
          <t>Media jornada de mayo a septiembre: pesaje, limpieza del pasteurizador y de la mantecadora, cubetas y apoyo en las tandas del verano</t>
        </is>
      </c>
    </row>
    <row r="10">
      <c r="A10" s="28" t="inlineStr">
        <is>
          <t>Suplencias de vacaciones y descansos</t>
        </is>
      </c>
      <c r="B10" s="49" t="n">
        <v>1</v>
      </c>
      <c r="C10" s="51" t="n">
        <v>0.1</v>
      </c>
      <c r="D10" s="73" t="n">
        <v>130</v>
      </c>
      <c r="E10" s="69">
        <f>IFERROR(IF(D10="","",D10*'0. Supuestos'!$B$20),"")</f>
        <v>42.9</v>
      </c>
      <c r="F10" s="69">
        <f>IFERROR(IF(D10="","",D10+E10),"")</f>
        <v>172.9</v>
      </c>
      <c r="G10" s="69">
        <f>IFERROR(IF(D10="","",F10*MAX(12,'0. Supuestos'!$B$21)),"")</f>
        <v>2420.6</v>
      </c>
      <c r="H10" s="44">
        <f>IFERROR(IF(D10="","",C10*$B$18),"")</f>
        <v>4.0</v>
      </c>
      <c r="I10" s="39">
        <f>IFERROR(IF(D10="","",H10*B10*$B$19),"")</f>
        <v>184.0</v>
      </c>
      <c r="J10" s="28" t="inlineStr">
        <is>
          <t>Cobertura de los 30 días de vacaciones (art. 38 ET) y del descanso semanal del equipo de todo el año</t>
        </is>
      </c>
    </row>
    <row r="11">
      <c r="A11" s="25" t="inlineStr">
        <is>
          <t>TOTAL PLANTILLA</t>
        </is>
      </c>
      <c r="B11" s="76">
        <f>IFERROR(IF(COUNT(D5:D10)=0,"",SUM(B5:B10)),"")</f>
        <v>6.0</v>
      </c>
      <c r="C11" s="61">
        <f>IFERROR(IF(COUNT(D5:D10)=0,"",SUM(C5:C10)),"")</f>
        <v>3.05</v>
      </c>
      <c r="D11" s="72">
        <f>IFERROR(IF(COUNT(D5:D10)=0,"",SUM(D5:D10)),"")</f>
        <v>4415.0</v>
      </c>
      <c r="E11" s="72">
        <f>IFERROR(IF(COUNT(D5:D10)=0,"",SUM(E5:E10)),"")</f>
        <v>1456.95</v>
      </c>
      <c r="F11" s="72">
        <f>IFERROR(IF(COUNT(D5:D10)=0,"",SUM(F5:F10)),"")</f>
        <v>5871.95</v>
      </c>
      <c r="G11" s="72">
        <f>IFERROR(IF(COUNT(D5:D10)=0,"",SUM(G5:G10)),"")</f>
        <v>82207.3</v>
      </c>
      <c r="H11" s="28" t="n"/>
      <c r="I11" s="76">
        <f>IFERROR(IF(COUNT(D5:D10)=0,"",SUM(I5:I10)),"")</f>
        <v>5612.0</v>
      </c>
      <c r="J11" s="28" t="n"/>
    </row>
    <row r="12">
      <c r="A12" s="25" t="inlineStr">
        <is>
          <t>CRECIMIENTO DE LA PLANTILLA (coste escalonado)</t>
        </is>
      </c>
      <c r="B12" s="28" t="n"/>
      <c r="C12" s="28" t="n"/>
      <c r="D12" s="28" t="n"/>
      <c r="E12" s="28" t="n"/>
      <c r="F12" s="28" t="n"/>
      <c r="G12" s="28" t="n"/>
      <c r="H12" s="28" t="n"/>
      <c r="I12" s="28" t="n"/>
      <c r="J12" s="28" t="n"/>
    </row>
    <row r="13">
      <c r="A13" s="28" t="inlineStr">
        <is>
          <t>Coste anual de las incorporaciones del año 2 (€)</t>
        </is>
      </c>
      <c r="B13" s="29" t="n">
        <v>6000</v>
      </c>
      <c r="C13" s="28" t="n"/>
      <c r="D13" s="28" t="n"/>
      <c r="E13" s="28" t="n"/>
      <c r="F13" s="28" t="n"/>
      <c r="G13" s="28" t="n"/>
      <c r="H13" s="28" t="n"/>
      <c r="I13" s="28" t="n"/>
      <c r="J13" s="28" t="inlineStr">
        <is>
          <t>Coste ANUAL completo (bruto + Seguridad Social × pagas) de lo que se contrate ese año. El P&amp;L lo suma al coste del año anterior: la plantilla no crece con un porcentaje, crece con personas</t>
        </is>
      </c>
    </row>
    <row r="14">
      <c r="A14" s="28" t="inlineStr">
        <is>
          <t>Coste anual de las incorporaciones del año 3 (€)</t>
        </is>
      </c>
      <c r="B14" s="29" t="n">
        <v>6000</v>
      </c>
      <c r="C14" s="28" t="n"/>
      <c r="D14" s="28" t="n"/>
      <c r="E14" s="28" t="n"/>
      <c r="F14" s="28" t="n"/>
      <c r="G14" s="28" t="n"/>
      <c r="H14" s="28" t="n"/>
      <c r="I14" s="28" t="n"/>
      <c r="J14" s="28" t="inlineStr">
        <is>
          <t>Coste ANUAL completo (bruto + Seguridad Social × pagas) de lo que se contrate ese año. El P&amp;L lo suma al coste del año anterior: la plantilla no crece con un porcentaje, crece con personas</t>
        </is>
      </c>
    </row>
    <row r="15">
      <c r="A15" s="28" t="inlineStr">
        <is>
          <t>Coste de personal del año 2</t>
        </is>
      </c>
      <c r="B15" s="32">
        <f>IFERROR(IF(G11="","",G11*(1+'0. Supuestos'!$B$48)+B13),"")</f>
        <v>88207.3</v>
      </c>
      <c r="C15" s="28" t="n"/>
      <c r="D15" s="28" t="n"/>
      <c r="E15" s="28" t="n"/>
      <c r="F15" s="28" t="n"/>
      <c r="G15" s="28" t="n"/>
      <c r="H15" s="28" t="n"/>
      <c r="I15" s="28" t="n"/>
      <c r="J15" s="28" t="n"/>
    </row>
    <row r="16">
      <c r="A16" s="28" t="inlineStr">
        <is>
          <t>Coste de personal del año 3</t>
        </is>
      </c>
      <c r="B16" s="32">
        <f>IFERROR(IF(B15="","",B15*(1+'0. Supuestos'!$B$48)+B14),"")</f>
        <v>94207.3</v>
      </c>
      <c r="C16" s="28" t="n"/>
      <c r="D16" s="28" t="n"/>
      <c r="E16" s="28" t="n"/>
      <c r="F16" s="28" t="n"/>
      <c r="G16" s="28" t="n"/>
      <c r="H16" s="28" t="n"/>
      <c r="I16" s="28" t="n"/>
      <c r="J16" s="28" t="n"/>
    </row>
    <row r="17">
      <c r="A17" s="25" t="inlineStr">
        <is>
          <t>COBERTURA POR HORAS DE SERVICIO</t>
        </is>
      </c>
      <c r="B17" s="28" t="n"/>
      <c r="C17" s="28" t="n"/>
      <c r="D17" s="28" t="n"/>
      <c r="E17" s="28" t="n"/>
      <c r="F17" s="28" t="n"/>
      <c r="G17" s="28" t="n"/>
      <c r="H17" s="28" t="n"/>
      <c r="I17" s="28" t="n"/>
      <c r="J17" s="28" t="n"/>
    </row>
    <row r="18">
      <c r="A18" s="28" t="inlineStr">
        <is>
          <t>Jornada completa del convenio (horas/semana)</t>
        </is>
      </c>
      <c r="B18" s="49" t="n">
        <v>40</v>
      </c>
      <c r="C18" s="28" t="n"/>
      <c r="D18" s="28" t="n"/>
      <c r="E18" s="28" t="n"/>
      <c r="F18" s="28" t="n"/>
      <c r="G18" s="28" t="n"/>
      <c r="H18" s="28" t="n"/>
      <c r="I18" s="28" t="n"/>
      <c r="J18" s="28" t="inlineStr">
        <is>
          <t>Art. 34.1 del Estatuto de los Trabajadores; tu convenio provincial puede fijar menos</t>
        </is>
      </c>
    </row>
    <row r="19">
      <c r="A19" s="28" t="inlineStr">
        <is>
          <t>Semanas trabajadas al año por persona</t>
        </is>
      </c>
      <c r="B19" s="49" t="n">
        <v>46</v>
      </c>
      <c r="C19" s="28" t="n"/>
      <c r="D19" s="28" t="n"/>
      <c r="E19" s="28" t="n"/>
      <c r="F19" s="28" t="n"/>
      <c r="G19" s="28" t="n"/>
      <c r="H19" s="28" t="n"/>
      <c r="I19" s="28" t="n"/>
      <c r="J19" s="28" t="inlineStr">
        <is>
          <t>46 semanas: 52 menos las vacaciones (30 días naturales, art. 38 ET), los festivos y las ausencias medias</t>
        </is>
      </c>
    </row>
    <row r="20">
      <c r="A20" s="28" t="inlineStr">
        <is>
          <t>Horas de servicio al día que hay que cubrir</t>
        </is>
      </c>
      <c r="B20" s="77" t="n">
        <v>9.5</v>
      </c>
      <c r="C20" s="28" t="n"/>
      <c r="D20" s="28" t="n"/>
      <c r="E20" s="28" t="n"/>
      <c r="F20" s="28" t="n"/>
      <c r="G20" s="28" t="n"/>
      <c r="H20" s="28" t="n"/>
      <c r="I20" s="28" t="n"/>
      <c r="J20" s="28" t="inlineStr">
        <is>
          <t>Media del año de la apertura de la TIENDA: 12 h en temporada alta (de mediados de abril a septiembre), 8 h en marzo y octubre y 6 h entre semana en invierno. El obrador va en la fila de abajo</t>
        </is>
      </c>
    </row>
    <row r="21">
      <c r="A21" s="28" t="inlineStr">
        <is>
          <t>Personas necesarias a la vez en cada franja</t>
        </is>
      </c>
      <c r="B21" s="77" t="n">
        <v>1.6</v>
      </c>
      <c r="C21" s="28" t="n"/>
      <c r="D21" s="28" t="n"/>
      <c r="E21" s="28" t="n"/>
      <c r="F21" s="28" t="n"/>
      <c r="G21" s="28" t="n"/>
      <c r="H21" s="28" t="n"/>
      <c r="I21" s="28" t="n"/>
      <c r="J21" s="28" t="inlineStr">
        <is>
          <t>Presencia media a la vez en el mostrador: 1,8-2 personas en verano, 1,3 en primavera y otoño y 1 en invierno. En julio y agosto el cuadrante va justo: el titular hace horas o entra un extra de fin de semana</t>
        </is>
      </c>
    </row>
    <row r="22">
      <c r="A22" s="28" t="inlineStr">
        <is>
          <t>Horas de producción al día ANTES de abrir</t>
        </is>
      </c>
      <c r="B22" s="77" t="n">
        <v>2.75</v>
      </c>
      <c r="C22" s="28" t="n"/>
      <c r="D22" s="28" t="n"/>
      <c r="E22" s="28" t="n"/>
      <c r="F22" s="28" t="n"/>
      <c r="G22" s="28" t="n"/>
      <c r="H22" s="28" t="n"/>
      <c r="I22" s="28" t="n"/>
      <c r="J22" s="28" t="inlineStr">
        <is>
          <t>Tandas del obrador antes de abrir: pasteurizar, enfriar, madurar, mantecar y abatir. Unas 4 h en julio y 1,5 h en invierno</t>
        </is>
      </c>
    </row>
    <row r="23">
      <c r="A23" s="28" t="inlineStr">
        <is>
          <t>Personas en el turno de producción</t>
        </is>
      </c>
      <c r="B23" s="77" t="n">
        <v>1</v>
      </c>
      <c r="C23" s="28" t="n"/>
      <c r="D23" s="28" t="n"/>
      <c r="E23" s="28" t="n"/>
      <c r="F23" s="28" t="n"/>
      <c r="G23" s="28" t="n"/>
      <c r="H23" s="28" t="n"/>
      <c r="I23" s="28" t="n"/>
      <c r="J23" s="28" t="inlineStr">
        <is>
          <t>El maestro heladero; en verano le ayuda el ayudante de obrador</t>
        </is>
      </c>
    </row>
    <row r="24">
      <c r="A24" s="28" t="inlineStr">
        <is>
          <t>Horas de servicio a cubrir al año</t>
        </is>
      </c>
      <c r="B24" s="39">
        <f>IFERROR(IF(OR(B20="",B21="",'0. Supuestos'!$B$6=""),"",B20*B21*'0. Supuestos'!$B$6+B22*B23*'0. Supuestos'!$B$6),"")</f>
        <v>5564.5</v>
      </c>
      <c r="C24" s="28" t="n"/>
      <c r="D24" s="28" t="n"/>
      <c r="E24" s="28" t="n"/>
      <c r="F24" s="28" t="n"/>
      <c r="G24" s="28" t="n"/>
      <c r="H24" s="28" t="n"/>
      <c r="I24" s="28" t="n"/>
      <c r="J24" s="28" t="n"/>
    </row>
    <row r="25">
      <c r="A25" s="28" t="inlineStr">
        <is>
          <t>Horas contratadas al año</t>
        </is>
      </c>
      <c r="B25" s="39">
        <f>IFERROR(IF(I11="","",I11),"")</f>
        <v>5612.0</v>
      </c>
      <c r="C25" s="28" t="n"/>
      <c r="D25" s="28" t="n"/>
      <c r="E25" s="28" t="n"/>
      <c r="F25" s="28" t="n"/>
      <c r="G25" s="28" t="n"/>
      <c r="H25" s="28" t="n"/>
      <c r="I25" s="28" t="n"/>
      <c r="J25" s="28" t="n"/>
    </row>
    <row r="26">
      <c r="A26" s="25" t="inlineStr">
        <is>
          <t>Cobertura (contratadas / necesarias)</t>
        </is>
      </c>
      <c r="B26" s="66">
        <f>IFERROR(B25/B24,"")</f>
        <v>1.0085362566268308</v>
      </c>
      <c r="C26" s="28" t="n"/>
      <c r="D26" s="28" t="n"/>
      <c r="E26" s="28" t="n"/>
      <c r="F26" s="28" t="n"/>
      <c r="G26" s="28" t="n"/>
      <c r="H26" s="28" t="n"/>
      <c r="I26" s="28" t="n"/>
      <c r="J26" s="25" t="inlineStr">
        <is>
          <t>Por debajo del 100 % la plantilla no llega a cubrir el horario que declara el plan: o se contrata más o se recorta el horario</t>
        </is>
      </c>
    </row>
    <row r="27">
      <c r="A27" s="28" t="n"/>
      <c r="B27" s="28" t="n"/>
      <c r="C27" s="28" t="n"/>
      <c r="D27" s="28" t="n"/>
      <c r="E27" s="28" t="n"/>
      <c r="F27" s="28" t="n"/>
      <c r="G27" s="28" t="n"/>
      <c r="H27" s="28" t="n"/>
      <c r="I27" s="28" t="n"/>
      <c r="J27" s="28" t="n"/>
    </row>
    <row r="28" ht="150" customHeight="1">
      <c r="A28" s="46" t="inlineStr">
        <is>
          <t>Las columnas «Bruto mes», «Seg. Social», «Coste mes» y «Coste año» son TOTALES de la fila: en un puesto con dos personas incluyen a las dos. «Jornada» es el porcentaje sobre la jornada completa del convenio y sirve para comparar el salario con el suelo legal en proporción. El tipo de Seguridad Social y el número de pagas están en la hoja «0. Supuestos».</t>
        </is>
      </c>
      <c r="B28" s="28" t="n"/>
      <c r="C28" s="28" t="n"/>
      <c r="D28" s="28" t="n"/>
      <c r="E28" s="28" t="n"/>
      <c r="F28" s="28" t="n"/>
      <c r="G28" s="28" t="n"/>
      <c r="H28" s="28" t="n"/>
      <c r="I28" s="28" t="n"/>
      <c r="J28" s="28" t="n"/>
    </row>
    <row r="29" ht="150" customHeight="1">
      <c r="A29" s="46" t="inlineStr">
        <is>
          <t>El suelo salarial es el MAYOR entre el SMI y el salario de convenio, los dos en la hoja «0. Supuestos»; las jornadas parciales lo llevan en proporción. El convenio aplicable es el PROVINCIAL de hostelería: no existe una tabla salarial estatal única, así que la celda del convenio se entrega vacía para que copies la de tu provincia.</t>
        </is>
      </c>
      <c r="B29" s="28" t="n"/>
      <c r="C29" s="28" t="n"/>
      <c r="D29" s="28" t="n"/>
      <c r="E29" s="28" t="n"/>
      <c r="F29" s="28" t="n"/>
      <c r="G29" s="28" t="n"/>
      <c r="H29" s="28" t="n"/>
      <c r="I29" s="28" t="n"/>
      <c r="J29"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6">
    <cfRule type="expression" priority="1" dxfId="1" stopIfTrue="1">
      <formula>AND(ISNUMBER(B26),B26&lt;0.9)</formula>
    </cfRule>
    <cfRule type="expression" priority="2" dxfId="2" stopIfTrue="1">
      <formula>AND(ISNUMBER(B26),B26&gt;=0.9)</formula>
    </cfRule>
    <cfRule type="expression" priority="3" dxfId="0" stopIfTrue="1">
      <formula>AND(ISNUMBER(B26),B26&gt;=1)</formula>
    </cfRule>
  </conditionalFormatting>
  <conditionalFormatting sqref="D5:D10">
    <cfRule type="expression" priority="4" dxfId="1" stopIfTrue="1">
      <formula>AND(ISNUMBER(D5),IFERROR(D5/B5,0)*'0. Supuestos'!$B$21&lt;MAX('0. Supuestos'!$B$22,'0. Supuestos'!$B$68)*C5)</formula>
    </cfRule>
  </conditionalFormatting>
  <dataValidations count="3">
    <dataValidation sqref="B5 B6 B7 B8 B9 B10 B13 B14 B18 B19 B20 B22 D5 D6 D7 D8 D9 D10" showDropDown="0" showInputMessage="0" showErrorMessage="1" allowBlank="1" errorTitle="Importe no válido" error="Escribe un número mayor o igual que 0." type="decimal" operator="greaterThanOrEqual">
      <formula1>0</formula1>
    </dataValidation>
    <dataValidation sqref="B21 B23" showDropDown="0" showInputMessage="0" showErrorMessage="1" allowBlank="1" errorTitle="Valor no válido" error="Escribe un número mayor o igual que 0; esta celda admite decimales (1,7 personas es una presencia media, no una persona y media)." type="decimal" operator="greaterThanOrEqual">
      <formula1>0</formula1>
    </dataValidation>
    <dataValidation sqref="C5 C6 C7 C8 C9 C10"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2"/>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5" t="inlineStr">
        <is>
          <t>INSTRUCCIONES DE USO — Plan financiero Heladería Artesanal</t>
        </is>
      </c>
      <c r="B1" s="28" t="n"/>
      <c r="C1" s="28" t="n"/>
      <c r="D1" s="28" t="n"/>
      <c r="E1" s="28" t="n"/>
    </row>
    <row r="2">
      <c r="A2" s="28" t="n"/>
      <c r="B2" s="28" t="n"/>
      <c r="C2" s="28" t="n"/>
      <c r="D2" s="28" t="n"/>
      <c r="E2" s="28" t="n"/>
    </row>
    <row r="3">
      <c r="A3" s="38" t="inlineStr">
        <is>
          <t>CÓMO SE USA ESTE LIBRO</t>
        </is>
      </c>
      <c r="B3" s="28" t="n"/>
      <c r="C3" s="28" t="n"/>
      <c r="D3" s="28" t="n"/>
      <c r="E3" s="28" t="n"/>
    </row>
    <row r="4" ht="30" customHeight="1">
      <c r="A4" s="46" t="inlineStr">
        <is>
          <t>Este plan financiero es un MODELO: sólo se teclea en las celdas VERDES y el resto se recalcula solo.</t>
        </is>
      </c>
      <c r="B4" s="28" t="n"/>
      <c r="C4" s="28" t="n"/>
      <c r="D4" s="28" t="n"/>
      <c r="E4" s="28" t="n"/>
    </row>
    <row r="5" ht="45" customHeight="1">
      <c r="A5" s="46" t="inlineStr">
        <is>
          <t>1. «0. Supuestos» es la hoja de mando: clientes, ticket sin IVA, días de apertura, mezcla de comida y bebida, coste de mercancía, alquiler, financiación e impuestos.</t>
        </is>
      </c>
      <c r="B5" s="28" t="n"/>
      <c r="C5" s="28" t="n"/>
      <c r="D5" s="28" t="n"/>
      <c r="E5" s="28" t="n"/>
    </row>
    <row r="6" ht="45" customHeight="1">
      <c r="A6" s="46" t="inlineStr">
        <is>
          <t>2. Las partidas de la inversión, los costes fijos y la plantilla se teclean en su propia hoja, también en verde. Ningún número se escribe dos veces.</t>
        </is>
      </c>
      <c r="B6" s="28" t="n"/>
      <c r="C6" s="28" t="n"/>
      <c r="D6" s="28" t="n"/>
      <c r="E6" s="28" t="n"/>
    </row>
    <row r="7" ht="90" customHeight="1">
      <c r="A7" s="46" t="inlineStr">
        <is>
          <t>3. Sólo «Punto Equilibrio» se deriva entera de lo anterior. En las otras tres hojas también hay celdas verdes que puedes tocar: el escenario pesimista y el optimista en «Escenarios», la estacionalidad y la rampa de arranque en «Tesorería 12 meses», y las cuatro fuentes alternativas de financiación en «Financiación». Todo lo demás se calcula.</t>
        </is>
      </c>
      <c r="B7" s="28" t="n"/>
      <c r="C7" s="28" t="n"/>
      <c r="D7" s="28" t="n"/>
      <c r="E7" s="28" t="n"/>
    </row>
    <row r="8" ht="225" customHeight="1">
      <c r="A8" s="46" t="inlineStr">
        <is>
          <t>4. Todas las cifras van SIN IVA. Para pasar un PVP a precio sin IVA, divide por el tipo que le corresponda: entre 1,10 en el local (comida y bebida, alcohol incluido: art. 91.Uno.2.2.º de la Ley 37/1992 del IVA) y, cuando se venden para llevar, los alimentos —helado y tartas heladas incluidos—, que son productos alimenticios al tipo reducido por el art. 91.Uno.1.1.º; y entre 1,21 el tipo general, que en hostelería sólo alcanza a lo que sale del local como entrega de bienes excluida del reducido: el alcohol y los refrescos, zumos y gaseosas con azúcares o edulcorantes añadidos para llevar o a domicilio (la comida para llevar sigue al 10 %); el libro lo aplica al alcohol del canal de delivery. El tipo de cada línea de venta está en la columna «Tipo de IVA de la línea» del P&amp;L y de ahí salen los cobros, el IVA repercutido y el PVP equivalente. El IVA de la inversión se adelanta y se recupera con el modelo 303.</t>
        </is>
      </c>
      <c r="B8" s="28" t="n"/>
      <c r="C8" s="28" t="n"/>
      <c r="D8" s="28" t="n"/>
      <c r="E8" s="28" t="n"/>
    </row>
    <row r="9" ht="30" customHeight="1">
      <c r="A9" s="46" t="inlineStr">
        <is>
          <t>5. Si cambias la plantilla, el P&amp;L la lee sola: el coste de personal sale de la hoja «Personal», no de una estimación aparte.</t>
        </is>
      </c>
      <c r="B9" s="28" t="n"/>
      <c r="C9" s="28" t="n"/>
      <c r="D9" s="28" t="n"/>
      <c r="E9" s="28" t="n"/>
    </row>
    <row r="10" ht="75" customHeight="1">
      <c r="A10" s="46" t="inlineStr">
        <is>
          <t>6. La hoja «Tesorería 12 meses» responde la pregunta que decide una operación bancaria: en qué mes se agota la caja. Su Mes 1 es MARZO: el plan abre en temporada para llegar al primer invierno con la caja del verano. El saldo mínimo del año nunca puede salir en rojo.</t>
        </is>
      </c>
      <c r="B10" s="28" t="n"/>
      <c r="C10" s="28" t="n"/>
      <c r="D10" s="28" t="n"/>
      <c r="E10" s="28" t="n"/>
    </row>
    <row r="11" ht="45" customHeight="1">
      <c r="A11" s="46" t="inlineStr">
        <is>
          <t>7. La hoja «Financiación» cuadra lo que hace falta con lo que se aporta y monta el cuadro de amortización del préstamo. Si la diferencia sale en rojo, el plan no está financiado.</t>
        </is>
      </c>
      <c r="B11" s="28" t="n"/>
      <c r="C11" s="28" t="n"/>
      <c r="D11" s="28" t="n"/>
      <c r="E11" s="28" t="n"/>
    </row>
    <row r="12" ht="30" customHeight="1">
      <c r="A12" s="46" t="inlineStr">
        <is>
          <t>8. El documento Word de este pack usa las cifras de este Excel: si cambias una celda verde, el Excel manda.</t>
        </is>
      </c>
      <c r="B12" s="28" t="n"/>
      <c r="C12" s="28" t="n"/>
      <c r="D12" s="28" t="n"/>
      <c r="E12" s="28" t="n"/>
    </row>
    <row r="13">
      <c r="A13" s="28" t="n"/>
      <c r="B13" s="28" t="n"/>
      <c r="C13" s="28" t="n"/>
      <c r="D13" s="28" t="n"/>
      <c r="E13" s="28" t="n"/>
    </row>
    <row r="14">
      <c r="A14" s="25" t="inlineStr">
        <is>
          <t>RATIOS QUE AUDITA EL LIBRO</t>
        </is>
      </c>
      <c r="B14" s="28" t="n"/>
      <c r="C14" s="28" t="n"/>
      <c r="D14" s="28" t="n"/>
      <c r="E14" s="28" t="n"/>
    </row>
    <row r="15" ht="30" customHeight="1">
      <c r="A15" s="46" t="inlineStr">
        <is>
          <t>Los umbrales viven en la columna «Umbral» del bloque RATIOS CLAVE del P&amp;L: cámbialos ahí y el semáforo cambia con ellos.</t>
        </is>
      </c>
      <c r="B15" s="28" t="n"/>
      <c r="C15" s="28" t="n"/>
      <c r="D15" s="28" t="n"/>
      <c r="E15" s="28" t="n"/>
    </row>
    <row r="16">
      <c r="A16" s="28" t="n"/>
      <c r="B16" s="28" t="n"/>
      <c r="C16" s="28" t="n"/>
      <c r="D16" s="28" t="n"/>
      <c r="E16" s="28" t="n"/>
    </row>
    <row r="17">
      <c r="A17" s="25" t="inlineStr">
        <is>
          <t>Ratio</t>
        </is>
      </c>
      <c r="B17" s="25" t="inlineStr">
        <is>
          <t>Valor del año 1</t>
        </is>
      </c>
      <c r="C17" s="25" t="inlineStr">
        <is>
          <t>Umbral</t>
        </is>
      </c>
      <c r="D17" s="25" t="inlineStr">
        <is>
          <t>Estado</t>
        </is>
      </c>
      <c r="E17" s="28" t="n"/>
    </row>
    <row r="18">
      <c r="A18" s="28" t="inlineStr">
        <is>
          <t>Coste de mercancía / Ventas</t>
        </is>
      </c>
      <c r="B18" s="67">
        <f>IFERROR(IF('PyG 3 Años'!$B$53="","",'PyG 3 Años'!$B$53),"")</f>
        <v>0.20500000000000002</v>
      </c>
      <c r="C18" s="67">
        <f>IFERROR(IF('PyG 3 Años'!$E$53="","",'PyG 3 Años'!$E$53),"")</f>
        <v>0.25</v>
      </c>
      <c r="D18" s="28" t="str">
        <f>IFERROR(IF(OR(B18="",C18=""),"",IF(B18&lt;=C18,"CUMPLE","REVISAR")),"")</f>
        <v>CUMPLE</v>
      </c>
      <c r="E18" s="28" t="n"/>
    </row>
    <row r="19">
      <c r="A19" s="28" t="inlineStr">
        <is>
          <t>Coste de personal / Ventas</t>
        </is>
      </c>
      <c r="B19" s="67">
        <f>IFERROR(IF('PyG 3 Años'!$B$54="","",'PyG 3 Años'!$B$54),"")</f>
        <v>0.37845702684412363</v>
      </c>
      <c r="C19" s="67">
        <f>IFERROR(IF('PyG 3 Años'!$E$54="","",'PyG 3 Años'!$E$54),"")</f>
        <v>0.4</v>
      </c>
      <c r="D19" s="28" t="str">
        <f>IFERROR(IF(OR(B19="",C19=""),"",IF(B19&lt;=C19,"CUMPLE","REVISAR")),"")</f>
        <v>CUMPLE</v>
      </c>
      <c r="E19" s="28" t="n"/>
    </row>
    <row r="20">
      <c r="A20" s="28" t="inlineStr">
        <is>
          <t>Alquiler / Ventas</t>
        </is>
      </c>
      <c r="B20" s="67">
        <f>IFERROR(IF('PyG 3 Años'!$B$55="","",'PyG 3 Años'!$B$55),"")</f>
        <v>0.09391530128857317</v>
      </c>
      <c r="C20" s="67">
        <f>IFERROR(IF('PyG 3 Años'!$E$55="","",'PyG 3 Años'!$E$55),"")</f>
        <v>0.12</v>
      </c>
      <c r="D20" s="28" t="str">
        <f>IFERROR(IF(OR(B20="",C20=""),"",IF(B20&lt;=C20,"CUMPLE","REVISAR")),"")</f>
        <v>CUMPLE</v>
      </c>
      <c r="E20" s="28" t="n"/>
    </row>
    <row r="21">
      <c r="A21" s="28" t="inlineStr">
        <is>
          <t>Resultado neto / Ventas</t>
        </is>
      </c>
      <c r="B21" s="67">
        <f>IFERROR(IF('PyG 3 Años'!$B$56="","",'PyG 3 Años'!$B$56),"")</f>
        <v>0.057912502704668585</v>
      </c>
      <c r="C21" s="67">
        <f>IFERROR(IF('PyG 3 Años'!$E$56="","",'PyG 3 Años'!$E$56),"")</f>
        <v>0.05</v>
      </c>
      <c r="D21" s="28" t="str">
        <f>IFERROR(IF(OR(B21="",C21=""),"",IF(B21&gt;=C21,"CUMPLE","REVISAR")),"")</f>
        <v>CUMPLE</v>
      </c>
      <c r="E21" s="28" t="n"/>
    </row>
    <row r="22">
      <c r="A22" s="28" t="inlineStr">
        <is>
          <t>Margen bruto / Ventas</t>
        </is>
      </c>
      <c r="B22" s="67">
        <f>IFERROR(IF('PyG 3 Años'!$B$51="","",'PyG 3 Años'!$B$51),"")</f>
        <v>0.718</v>
      </c>
      <c r="C22" s="67">
        <f>IFERROR(IF('PyG 3 Años'!$E$51="","",'PyG 3 Años'!$E$51),"")</f>
        <v>0.7</v>
      </c>
      <c r="D22" s="28" t="str">
        <f>IFERROR(IF(OR(B22="",C22=""),"",IF(B22&gt;=C22,"CUMPLE","REVISAR")),"")</f>
        <v>CUMPLE</v>
      </c>
      <c r="E22" s="28" t="n"/>
    </row>
    <row r="23">
      <c r="A23" s="28" t="n"/>
      <c r="B23" s="28" t="n"/>
      <c r="C23" s="28" t="n"/>
      <c r="D23" s="28" t="n"/>
      <c r="E23" s="28" t="n"/>
    </row>
    <row r="24">
      <c r="A24" s="25" t="inlineStr">
        <is>
          <t>CIFRAS DE ESTE PLAN</t>
        </is>
      </c>
      <c r="B24" s="28" t="n"/>
      <c r="C24" s="28" t="n"/>
      <c r="D24" s="28" t="n"/>
      <c r="E24" s="28" t="n"/>
    </row>
    <row r="25">
      <c r="A25" s="28" t="inlineStr">
        <is>
          <t>Inversión total (suma de los bloques)</t>
        </is>
      </c>
      <c r="B25" s="32">
        <f>IFERROR(IF('Inversión Inicial'!$B$31="","",'Inversión Inicial'!$B$31),"")</f>
        <v>158274.325</v>
      </c>
      <c r="C25" s="28" t="n"/>
      <c r="D25" s="28" t="n"/>
      <c r="E25" s="28" t="n"/>
    </row>
    <row r="26">
      <c r="A26" s="28" t="inlineStr">
        <is>
          <t>Necesidad total de caja al arranque</t>
        </is>
      </c>
      <c r="B26" s="32">
        <f>IFERROR(IF('Inversión Inicial'!$B$34="","",'Inversión Inicial'!$B$34),"")</f>
        <v>183169.825</v>
      </c>
      <c r="C26" s="28" t="n"/>
      <c r="D26" s="28" t="n"/>
      <c r="E26" s="28" t="n"/>
    </row>
    <row r="27">
      <c r="A27" s="28" t="inlineStr">
        <is>
          <t>Fondo de maniobra dotado</t>
        </is>
      </c>
      <c r="B27" s="32">
        <f>IFERROR(IF('Inversión Inicial'!$B$30="","",'Inversión Inicial'!$B$30),"")</f>
        <v>32624.324999999997</v>
      </c>
      <c r="C27" s="28" t="n"/>
      <c r="D27" s="28" t="n"/>
      <c r="E27" s="28" t="n"/>
    </row>
    <row r="28">
      <c r="A28" s="28" t="inlineStr">
        <is>
          <t>Facturación prevista del año 1</t>
        </is>
      </c>
      <c r="B28" s="32">
        <f>IFERROR(IF('PyG 3 Años'!$B$9="","",'PyG 3 Años'!$B$9),"")</f>
        <v>217217.0</v>
      </c>
      <c r="C28" s="28" t="n"/>
      <c r="D28" s="28" t="n"/>
      <c r="E28" s="28" t="n"/>
    </row>
    <row r="29">
      <c r="A29" s="28" t="inlineStr">
        <is>
          <t>Resultado neto del año 1</t>
        </is>
      </c>
      <c r="B29" s="32">
        <f>IFERROR(IF('PyG 3 Años'!$B$48="","",'PyG 3 Años'!$B$48),"")</f>
        <v>12579.580099999996</v>
      </c>
      <c r="C29" s="28" t="n"/>
      <c r="D29" s="28" t="n"/>
      <c r="E29" s="28" t="n"/>
    </row>
    <row r="30">
      <c r="A30" s="28" t="inlineStr">
        <is>
          <t>Clientes/día para el punto de equilibrio CONTABLE (con la amortización dentro)</t>
        </is>
      </c>
      <c r="B30" s="44">
        <f>IFERROR(IF('Punto Equilibrio'!$B$15="","",'Punto Equilibrio'!$B$15),"")</f>
        <v>129.4304638919095</v>
      </c>
      <c r="C30" s="28" t="n"/>
      <c r="D30" s="28" t="n"/>
      <c r="E30" s="28" t="n"/>
    </row>
    <row r="31">
      <c r="A31" s="28" t="inlineStr">
        <is>
          <t>Payback del proyecto (años), antes de la deuda</t>
        </is>
      </c>
      <c r="B31" s="28" t="str">
        <f>IFERROR(IF('Tesorería 12 meses'!$B$31="","",'Tesorería 12 meses'!$B$31),"")</f>
        <v>Más de 3 años</v>
      </c>
      <c r="C31" s="28" t="n"/>
      <c r="D31" s="28" t="n"/>
      <c r="E31" s="28" t="n"/>
    </row>
    <row r="32">
      <c r="A32" s="28" t="n"/>
      <c r="B32" s="28" t="n"/>
      <c r="C32" s="28" t="n"/>
      <c r="D32" s="28" t="n"/>
      <c r="E32" s="28" t="n"/>
    </row>
    <row r="33">
      <c r="A33" s="25" t="inlineStr">
        <is>
          <t>DATOS DE REFERENCIA DEL SECTOR</t>
        </is>
      </c>
      <c r="B33" s="28" t="n"/>
      <c r="C33" s="28" t="n"/>
      <c r="D33" s="28" t="n"/>
      <c r="E33" s="28" t="n"/>
    </row>
    <row r="34">
      <c r="A34" s="25" t="inlineStr">
        <is>
          <t>Referencia</t>
        </is>
      </c>
      <c r="B34" s="25" t="inlineStr">
        <is>
          <t>Valor</t>
        </is>
      </c>
      <c r="C34" s="25" t="inlineStr">
        <is>
          <t>Fuente</t>
        </is>
      </c>
      <c r="D34" s="25" t="inlineStr">
        <is>
          <t>Nota</t>
        </is>
      </c>
      <c r="E34" s="28" t="n"/>
    </row>
    <row r="35" ht="45" customHeight="1">
      <c r="A35" s="28" t="inlineStr">
        <is>
          <t>Mes 1 del plan</t>
        </is>
      </c>
      <c r="B35" s="28" t="inlineStr">
        <is>
          <t>Marzo</t>
        </is>
      </c>
      <c r="C35" s="28" t="inlineStr">
        <is>
          <t>Decisión del plan</t>
        </is>
      </c>
      <c r="D35" s="46" t="inlineStr">
        <is>
          <t>Abrir en otoño gasta el fondo de maniobra antes del primer verano. La fila de estacionalidad de la Tesorería ya va girada</t>
        </is>
      </c>
      <c r="E35" s="28" t="n"/>
    </row>
    <row r="36" ht="45" customHeight="1">
      <c r="A36" s="28" t="inlineStr">
        <is>
          <t>Consumo de helado en los hogares de abril a septiembre</t>
        </is>
      </c>
      <c r="B36" s="28" t="inlineStr">
        <is>
          <t>81,6 % del volumen del año</t>
        </is>
      </c>
      <c r="C36" s="28" t="inlineStr">
        <is>
          <t>MAPA, nota de prensa del 12 de agosto de 2026</t>
        </is>
      </c>
      <c r="D36" s="46" t="inlineStr">
        <is>
          <t>Julio el 20 %, junio el 17,8 % y agosto el 17,1 %. Este plan pone el 73 % de abril a septiembre porque en invierno vende crepes, chocolate y tartas de Navidad</t>
        </is>
      </c>
      <c r="E36" s="28" t="n"/>
    </row>
    <row r="37" ht="45" customHeight="1">
      <c r="A37" s="28" t="inlineStr">
        <is>
          <t>Coste del helado de mostrador</t>
        </is>
      </c>
      <c r="B37" s="28" t="inlineStr">
        <is>
          <t>14-16 % de su venta</t>
        </is>
      </c>
      <c r="C37" s="28" t="inlineStr">
        <is>
          <t>Estimación del kit</t>
        </is>
      </c>
      <c r="D37" s="46" t="inlineStr">
        <is>
          <t>Dos bolas con mezcla a unos 3,2 € el kg, con merma, toppings y catas. Las crepes y lo que vendes a restaurantes cuestan más</t>
        </is>
      </c>
      <c r="E37" s="28" t="n"/>
    </row>
    <row r="38" ht="30" customHeight="1">
      <c r="A38" s="28" t="inlineStr">
        <is>
          <t>Precio de la bola</t>
        </is>
      </c>
      <c r="B38" s="28" t="inlineStr">
        <is>
          <t>2-4 €, hasta 6 € en las gourmet</t>
        </is>
      </c>
      <c r="C38" s="28" t="inlineStr">
        <is>
          <t>Prensa local, mayo de 2026</t>
        </is>
      </c>
      <c r="D38" s="46" t="inlineStr">
        <is>
          <t>Con IVA. El ticket SIN IVA de este plan está en la hoja 0. Supuestos</t>
        </is>
      </c>
      <c r="E38" s="28" t="n"/>
    </row>
    <row r="39" ht="60" customHeight="1">
      <c r="A39" s="28" t="inlineStr">
        <is>
          <t>Densidad mínima del helado</t>
        </is>
      </c>
      <c r="B39" s="28" t="inlineStr">
        <is>
          <t>430 g por litro</t>
        </is>
      </c>
      <c r="C39" s="28" t="inlineStr">
        <is>
          <t>RD 618/1998, art. 3</t>
        </is>
      </c>
      <c r="D39" s="46" t="inlineStr">
        <is>
          <t>Entre 375 y 430 g/l se llama «espuma», «mousse» o «montado». El mismo artículo fija las denominaciones: «helado crema», «mantecado» (4 % de yema o más) y «sorbete» (15 % de fruta o más)</t>
        </is>
      </c>
      <c r="E39" s="28" t="n"/>
    </row>
    <row r="40" ht="30" customHeight="1">
      <c r="A40" s="28" t="inlineStr">
        <is>
          <t>Conservación del helado</t>
        </is>
      </c>
      <c r="B40" s="28" t="inlineStr">
        <is>
          <t>−18 °C o menos, sin recongelar</t>
        </is>
      </c>
      <c r="C40" s="28" t="inlineStr">
        <is>
          <t>RD 1021/2022, arts. 4.1 y 5.9</t>
        </is>
      </c>
      <c r="D40" s="46" t="inlineStr">
        <is>
          <t>La temperatura de la vitrina no la fija ninguna norma estatal: la fija tu APPCC</t>
        </is>
      </c>
      <c r="E40" s="28" t="n"/>
    </row>
    <row r="41" ht="45" customHeight="1">
      <c r="A41" s="28" t="inlineStr">
        <is>
          <t>Huevo en la mezcla</t>
        </is>
      </c>
      <c r="B41" s="28" t="inlineStr">
        <is>
          <t>70 °C durante 2 s, u ovoproducto</t>
        </is>
      </c>
      <c r="C41" s="28" t="inlineStr">
        <is>
          <t>RD 1021/2022, art. 9</t>
        </is>
      </c>
      <c r="D41" s="46" t="inlineStr">
        <is>
          <t>Pasteurizar a 85 °C lo cumple. Yemas, nata y grasas van ANTES de pasteurizar, nunca después; con huevo, se manteca en las 24 horas siguientes</t>
        </is>
      </c>
      <c r="E41" s="28" t="n"/>
    </row>
    <row r="42" ht="30" customHeight="1">
      <c r="A42" s="28" t="inlineStr">
        <is>
          <t>Coste de personal sobre ventas</t>
        </is>
      </c>
      <c r="B42" s="28" t="inlineStr">
        <is>
          <t>34-40 %</t>
        </is>
      </c>
      <c r="C42" s="28" t="inlineStr">
        <is>
          <t>Estimación del kit</t>
        </is>
      </c>
      <c r="D42" s="46" t="inlineStr">
        <is>
          <t>La temporada dobla el mostrador de junio a septiembre con fijos discontinuos</t>
        </is>
      </c>
      <c r="E42" s="28" t="n"/>
    </row>
    <row r="43" ht="30" customHeight="1">
      <c r="A43" s="28" t="inlineStr">
        <is>
          <t>Alquiler sobre ventas</t>
        </is>
      </c>
      <c r="B43" s="28" t="inlineStr">
        <is>
          <t>8-12 %</t>
        </is>
      </c>
      <c r="C43" s="28" t="inlineStr">
        <is>
          <t>Estimación del kit</t>
        </is>
      </c>
      <c r="D43" s="46" t="inlineStr">
        <is>
          <t>Un local con obrador necesita más metros que un quiosco o una vitrina sin obrador</t>
        </is>
      </c>
      <c r="E43" s="28" t="n"/>
    </row>
    <row r="44" ht="15" customHeight="1">
      <c r="A44" s="28" t="inlineStr">
        <is>
          <t>Merma de la producción</t>
        </is>
      </c>
      <c r="B44" s="28" t="inlineStr">
        <is>
          <t>5-8 %</t>
        </is>
      </c>
      <c r="C44" s="28" t="inlineStr">
        <is>
          <t>Estimación del kit — mídela tú cada semana</t>
        </is>
      </c>
      <c r="D44" s="46" t="inlineStr">
        <is>
          <t>El helado derretido o devuelto no se recongela</t>
        </is>
      </c>
      <c r="E44" s="28" t="n"/>
    </row>
    <row r="45" ht="45" customHeight="1">
      <c r="A45" s="28" t="inlineStr">
        <is>
          <t>Potencia eléctrica del local</t>
        </is>
      </c>
      <c r="B45" s="28" t="inlineStr">
        <is>
          <t>Unos 30 kW en trifásica</t>
        </is>
      </c>
      <c r="C45" s="28" t="inlineStr">
        <is>
          <t>Estimación del kit</t>
        </is>
      </c>
      <c r="D45" s="46" t="inlineStr">
        <is>
          <t>Vitrinas las 24 horas, pasteurizador, mantecadora, abatidor, crepera y climatización. Compruébalo antes de firmar el alquiler</t>
        </is>
      </c>
      <c r="E45" s="28" t="n"/>
    </row>
    <row r="46" ht="30" customHeight="1">
      <c r="A46" s="28" t="inlineStr">
        <is>
          <t>IVA del helado</t>
        </is>
      </c>
      <c r="B46" s="28" t="inlineStr">
        <is>
          <t>10 %</t>
        </is>
      </c>
      <c r="C46" s="28" t="inlineStr">
        <is>
          <t>Ley 37/1992, art. 91.Uno.1.1.º y 2.2.º</t>
        </is>
      </c>
      <c r="D46" s="46" t="inlineStr">
        <is>
          <t>En el mostrador, en la mesa y para llevar. Los refrescos con azúcares añadidos para llevar, al 21 %</t>
        </is>
      </c>
      <c r="E46" s="28" t="n"/>
    </row>
    <row r="47" ht="30" customHeight="1">
      <c r="A47" s="28" t="inlineStr">
        <is>
          <t>Convenio colectivo aplicable</t>
        </is>
      </c>
      <c r="B47" s="28" t="inlineStr">
        <is>
          <t>Provincial de hostelería</t>
        </is>
      </c>
      <c r="C47" s="28" t="inlineStr">
        <is>
          <t>VI Acuerdo Laboral de ámbito Estatal para el sector de Hostelería, art. 4</t>
        </is>
      </c>
      <c r="D47" s="46" t="inlineStr">
        <is>
          <t>Nombra las heladerías. Copia tu tabla salarial en la celda de Supuestos</t>
        </is>
      </c>
      <c r="E47" s="28" t="n"/>
    </row>
    <row r="48">
      <c r="A48" s="28" t="n"/>
      <c r="B48" s="28" t="n"/>
      <c r="C48" s="28" t="n"/>
      <c r="D48" s="28" t="n"/>
      <c r="E48" s="28" t="n"/>
    </row>
    <row r="49">
      <c r="A49" s="78" t="inlineStr">
        <is>
          <t>Para editar una celda que no esté en verde: Revisar → Desproteger hoja (no tiene contraseña).</t>
        </is>
      </c>
      <c r="B49" s="28" t="n"/>
      <c r="C49" s="28" t="n"/>
      <c r="D49" s="28" t="n"/>
      <c r="E49" s="28" t="n"/>
    </row>
    <row r="50">
      <c r="A50" s="78" t="inlineStr">
        <is>
          <t>Más plantillas y kits del catálogo en aichef.pro/productos-digitales</t>
        </is>
      </c>
      <c r="B50" s="28" t="n"/>
      <c r="C50" s="28" t="n"/>
      <c r="D50" s="28" t="n"/>
      <c r="E50" s="28" t="n"/>
    </row>
    <row r="51">
      <c r="A51" s="78" t="inlineStr">
        <is>
          <t>Diseñado por John Guerrero — chef y consultor gastronómico desde 2010, en cocina desde los 17 años · johnguerrero.es</t>
        </is>
      </c>
      <c r="B51" s="28" t="n"/>
      <c r="C51" s="28" t="n"/>
      <c r="D51" s="28" t="n"/>
      <c r="E51" s="28" t="n"/>
    </row>
    <row r="52">
      <c r="A52" s="78" t="inlineStr">
        <is>
          <t>Versión 1.0 · noviembre 2026 · aichef.pro/plan-negocio-heladeria · info@aichef.pro</t>
        </is>
      </c>
      <c r="B52" s="28" t="n"/>
      <c r="C52" s="28" t="n"/>
      <c r="D52" s="28" t="n"/>
      <c r="E52" s="28" t="n"/>
    </row>
    <row r="53">
      <c r="A53" s="28" t="n"/>
      <c r="B53" s="28" t="n"/>
      <c r="C53" s="28" t="n"/>
      <c r="D53" s="28" t="n"/>
      <c r="E53" s="28" t="n"/>
    </row>
    <row r="54">
      <c r="A54" s="28" t="n"/>
      <c r="B54" s="28" t="n"/>
      <c r="C54" s="28" t="n"/>
      <c r="D54" s="28" t="n"/>
      <c r="E54" s="28" t="n"/>
    </row>
    <row r="55">
      <c r="A55" s="28" t="n"/>
      <c r="B55" s="28" t="n"/>
      <c r="C55" s="28" t="n"/>
      <c r="D55" s="28" t="n"/>
      <c r="E55" s="28" t="n"/>
    </row>
    <row r="56">
      <c r="A56" s="28" t="n"/>
      <c r="B56" s="28" t="n"/>
      <c r="C56" s="28" t="n"/>
      <c r="D56" s="28" t="n"/>
      <c r="E56" s="28" t="n"/>
    </row>
    <row r="57">
      <c r="A57" s="28" t="n"/>
      <c r="B57" s="28" t="n"/>
      <c r="C57" s="28" t="n"/>
      <c r="D57" s="28" t="n"/>
      <c r="E57" s="28" t="n"/>
    </row>
    <row r="58">
      <c r="A58" s="28" t="n"/>
      <c r="B58" s="28" t="n"/>
      <c r="C58" s="28" t="n"/>
      <c r="D58" s="28" t="n"/>
      <c r="E58" s="28" t="n"/>
    </row>
    <row r="59">
      <c r="A59" s="28" t="n"/>
      <c r="B59" s="28" t="n"/>
      <c r="C59" s="28" t="n"/>
      <c r="D59" s="28" t="n"/>
      <c r="E59" s="28" t="n"/>
    </row>
    <row r="60">
      <c r="A60" s="28" t="n"/>
      <c r="B60" s="28" t="n"/>
      <c r="C60" s="28" t="n"/>
      <c r="D60" s="28" t="n"/>
      <c r="E60" s="28" t="n"/>
    </row>
    <row r="61">
      <c r="A61" s="28" t="n"/>
      <c r="B61" s="28" t="n"/>
      <c r="C61" s="28" t="n"/>
      <c r="D61" s="28" t="n"/>
      <c r="E61" s="28" t="n"/>
    </row>
    <row r="62">
      <c r="A62" s="28" t="n"/>
      <c r="B62" s="28" t="n"/>
      <c r="C62" s="28" t="n"/>
      <c r="D62" s="28" t="n"/>
      <c r="E62" s="28" t="n"/>
    </row>
    <row r="63">
      <c r="A63" s="28" t="n"/>
      <c r="B63" s="28" t="n"/>
      <c r="C63" s="28" t="n"/>
      <c r="D63" s="28" t="n"/>
      <c r="E63" s="28" t="n"/>
    </row>
    <row r="64">
      <c r="A64" s="28" t="n"/>
      <c r="B64" s="28" t="n"/>
      <c r="C64" s="28" t="n"/>
      <c r="D64" s="28" t="n"/>
      <c r="E64" s="28" t="n"/>
    </row>
    <row r="65">
      <c r="A65" s="28" t="n"/>
      <c r="B65" s="28" t="n"/>
      <c r="C65" s="28" t="n"/>
      <c r="D65" s="28" t="n"/>
      <c r="E65" s="28" t="n"/>
    </row>
    <row r="66">
      <c r="A66" s="28" t="n"/>
      <c r="B66" s="28" t="n"/>
      <c r="C66" s="28" t="n"/>
      <c r="D66" s="28" t="n"/>
      <c r="E66" s="28" t="n"/>
    </row>
    <row r="67">
      <c r="A67" s="28" t="n"/>
      <c r="B67" s="28" t="n"/>
      <c r="C67" s="28" t="n"/>
      <c r="D67" s="28" t="n"/>
      <c r="E67" s="28" t="n"/>
    </row>
    <row r="68">
      <c r="A68" s="28" t="n"/>
      <c r="B68" s="28" t="n"/>
      <c r="C68" s="28" t="n"/>
      <c r="D68" s="28" t="n"/>
      <c r="E68" s="28" t="n"/>
    </row>
    <row r="69">
      <c r="A69" s="28" t="n"/>
      <c r="B69" s="28" t="n"/>
      <c r="C69" s="28" t="n"/>
      <c r="D69" s="28" t="n"/>
      <c r="E69" s="28" t="n"/>
    </row>
    <row r="70">
      <c r="A70" s="28" t="n"/>
      <c r="B70" s="28" t="n"/>
      <c r="C70" s="28" t="n"/>
      <c r="D70" s="28" t="n"/>
      <c r="E70" s="28" t="n"/>
    </row>
    <row r="71">
      <c r="A71" s="28" t="n"/>
      <c r="B71" s="28" t="n"/>
      <c r="C71" s="28" t="n"/>
      <c r="D71" s="28" t="n"/>
      <c r="E71" s="28" t="n"/>
    </row>
    <row r="72">
      <c r="A72" s="28" t="n"/>
      <c r="B72" s="28" t="n"/>
      <c r="C72" s="28" t="n"/>
      <c r="D72" s="28" t="n"/>
      <c r="E72" s="28" t="n"/>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CUMPLE">
      <formula>NOT(ISERROR(SEARCH("CUMPLE",D18)))</formula>
    </cfRule>
    <cfRule type="containsText" priority="2" operator="containsText" dxfId="1" stopIfTrue="1" text="REVISAR">
      <formula>NOT(ISERROR(SEARCH("REVISAR",D18)))</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5" t="inlineStr">
        <is>
          <t>PREVISIÓN DE TESORERÍA — AÑO 1</t>
        </is>
      </c>
      <c r="B1" s="28" t="n"/>
      <c r="C1" s="28" t="n"/>
      <c r="D1" s="28" t="n"/>
      <c r="E1" s="28" t="n"/>
      <c r="F1" s="28" t="n"/>
      <c r="G1" s="28" t="n"/>
      <c r="H1" s="28" t="n"/>
      <c r="I1" s="28" t="n"/>
      <c r="J1" s="28" t="n"/>
      <c r="K1" s="28" t="n"/>
      <c r="L1" s="28" t="n"/>
      <c r="M1" s="28" t="n"/>
      <c r="N1" s="28" t="n"/>
      <c r="O1" s="28" t="n"/>
    </row>
    <row r="2" ht="45" customHeight="1">
      <c r="A2" s="46" t="inlineStr">
        <is>
          <t>El P&amp;L dice si el negocio gana dinero; esta hoja dice si le queda caja para llegar a fin de mes. Es la primera que mira un banco.</t>
        </is>
      </c>
      <c r="B2" s="28" t="n"/>
      <c r="C2" s="28" t="n"/>
      <c r="D2" s="28" t="n"/>
      <c r="E2" s="28" t="n"/>
      <c r="F2" s="28" t="n"/>
      <c r="G2" s="28" t="n"/>
      <c r="H2" s="28" t="n"/>
      <c r="I2" s="28" t="n"/>
      <c r="J2" s="28" t="n"/>
      <c r="K2" s="28" t="n"/>
      <c r="L2" s="28" t="n"/>
      <c r="M2" s="28" t="n"/>
      <c r="N2" s="28" t="n"/>
      <c r="O2" s="28" t="n"/>
    </row>
    <row r="3">
      <c r="A3" s="28" t="n"/>
      <c r="B3" s="28" t="n"/>
      <c r="C3" s="28" t="n"/>
      <c r="D3" s="28" t="n"/>
      <c r="E3" s="28" t="n"/>
      <c r="F3" s="28" t="n"/>
      <c r="G3" s="28" t="n"/>
      <c r="H3" s="28" t="n"/>
      <c r="I3" s="28" t="n"/>
      <c r="J3" s="28" t="n"/>
      <c r="K3" s="28" t="n"/>
      <c r="L3" s="28" t="n"/>
      <c r="M3" s="28" t="n"/>
      <c r="N3" s="28" t="n"/>
      <c r="O3" s="28" t="n"/>
    </row>
    <row r="4">
      <c r="A4" s="25" t="inlineStr">
        <is>
          <t>Concepto</t>
        </is>
      </c>
      <c r="B4" s="25" t="inlineStr">
        <is>
          <t>Mes 1 (€)</t>
        </is>
      </c>
      <c r="C4" s="25" t="inlineStr">
        <is>
          <t>Mes 2 (€)</t>
        </is>
      </c>
      <c r="D4" s="25" t="inlineStr">
        <is>
          <t>Mes 3 (€)</t>
        </is>
      </c>
      <c r="E4" s="25" t="inlineStr">
        <is>
          <t>Mes 4 (€)</t>
        </is>
      </c>
      <c r="F4" s="25" t="inlineStr">
        <is>
          <t>Mes 5 (€)</t>
        </is>
      </c>
      <c r="G4" s="25" t="inlineStr">
        <is>
          <t>Mes 6 (€)</t>
        </is>
      </c>
      <c r="H4" s="25" t="inlineStr">
        <is>
          <t>Mes 7 (€)</t>
        </is>
      </c>
      <c r="I4" s="25" t="inlineStr">
        <is>
          <t>Mes 8 (€)</t>
        </is>
      </c>
      <c r="J4" s="25" t="inlineStr">
        <is>
          <t>Mes 9 (€)</t>
        </is>
      </c>
      <c r="K4" s="25" t="inlineStr">
        <is>
          <t>Mes 10 (€)</t>
        </is>
      </c>
      <c r="L4" s="25" t="inlineStr">
        <is>
          <t>Mes 11 (€)</t>
        </is>
      </c>
      <c r="M4" s="25" t="inlineStr">
        <is>
          <t>Mes 12 (€)</t>
        </is>
      </c>
      <c r="N4" s="25" t="inlineStr">
        <is>
          <t>Año (€)</t>
        </is>
      </c>
      <c r="O4" s="28" t="n"/>
    </row>
    <row r="5">
      <c r="A5" s="28" t="inlineStr">
        <is>
          <t>Estacionalidad del mes (suma 100 %)</t>
        </is>
      </c>
      <c r="B5" s="75" t="n">
        <v>0.05</v>
      </c>
      <c r="C5" s="75" t="n">
        <v>0.075</v>
      </c>
      <c r="D5" s="75" t="n">
        <v>0.1</v>
      </c>
      <c r="E5" s="75" t="n">
        <v>0.135</v>
      </c>
      <c r="F5" s="75" t="n">
        <v>0.165</v>
      </c>
      <c r="G5" s="75" t="n">
        <v>0.15</v>
      </c>
      <c r="H5" s="75" t="n">
        <v>0.11</v>
      </c>
      <c r="I5" s="75" t="n">
        <v>0.065</v>
      </c>
      <c r="J5" s="75" t="n">
        <v>0.035</v>
      </c>
      <c r="K5" s="75" t="n">
        <v>0.06</v>
      </c>
      <c r="L5" s="75" t="n">
        <v>0.025</v>
      </c>
      <c r="M5" s="75" t="n">
        <v>0.03</v>
      </c>
      <c r="N5" s="67">
        <f>IFERROR(IF('PyG 3 Años'!$B$9="","",SUM(B5:M5)),"")</f>
        <v>1.0</v>
      </c>
      <c r="O5" s="28" t="inlineStr">
        <is>
          <t>Mes 1 = MARZO: el plan abre en temporada para llegar al primer invierno con la caja del verano. El pico es julio (Mes 5) y el valle, enero (Mes 11), con tres semanas de cierre. Si abres en otro mes, gira la fila. Tiene que sumar 100 %</t>
        </is>
      </c>
    </row>
    <row r="6">
      <c r="A6" s="28" t="inlineStr">
        <is>
          <t>Rampa de arranque (% de la actividad de crucero)</t>
        </is>
      </c>
      <c r="B6" s="67">
        <f>IFERROR(IF('PyG 3 Años'!$B$9="","",MIN(1,'0. Supuestos'!$B$52+(1-'0. Supuestos'!$B$52)*0/MAX(1,'0. Supuestos'!$B$53-1))),"")</f>
        <v>0.7</v>
      </c>
      <c r="C6" s="67">
        <f>IFERROR(IF('PyG 3 Años'!$B$9="","",MIN(1,'0. Supuestos'!$B$52+(1-'0. Supuestos'!$B$52)*1/MAX(1,'0. Supuestos'!$B$53-1))),"")</f>
        <v>0.7999999999999999</v>
      </c>
      <c r="D6" s="67">
        <f>IFERROR(IF('PyG 3 Años'!$B$9="","",MIN(1,'0. Supuestos'!$B$52+(1-'0. Supuestos'!$B$52)*2/MAX(1,'0. Supuestos'!$B$53-1))),"")</f>
        <v>0.9</v>
      </c>
      <c r="E6" s="67">
        <f>IFERROR(IF('PyG 3 Años'!$B$9="","",MIN(1,'0. Supuestos'!$B$52+(1-'0. Supuestos'!$B$52)*3/MAX(1,'0. Supuestos'!$B$53-1))),"")</f>
        <v>1.0</v>
      </c>
      <c r="F6" s="67">
        <f>IFERROR(IF('PyG 3 Años'!$B$9="","",MIN(1,'0. Supuestos'!$B$52+(1-'0. Supuestos'!$B$52)*4/MAX(1,'0. Supuestos'!$B$53-1))),"")</f>
        <v>1.0</v>
      </c>
      <c r="G6" s="67">
        <f>IFERROR(IF('PyG 3 Años'!$B$9="","",MIN(1,'0. Supuestos'!$B$52+(1-'0. Supuestos'!$B$52)*5/MAX(1,'0. Supuestos'!$B$53-1))),"")</f>
        <v>1.0</v>
      </c>
      <c r="H6" s="67">
        <f>IFERROR(IF('PyG 3 Años'!$B$9="","",MIN(1,'0. Supuestos'!$B$52+(1-'0. Supuestos'!$B$52)*6/MAX(1,'0. Supuestos'!$B$53-1))),"")</f>
        <v>1.0</v>
      </c>
      <c r="I6" s="67">
        <f>IFERROR(IF('PyG 3 Años'!$B$9="","",MIN(1,'0. Supuestos'!$B$52+(1-'0. Supuestos'!$B$52)*7/MAX(1,'0. Supuestos'!$B$53-1))),"")</f>
        <v>1.0</v>
      </c>
      <c r="J6" s="67">
        <f>IFERROR(IF('PyG 3 Años'!$B$9="","",MIN(1,'0. Supuestos'!$B$52+(1-'0. Supuestos'!$B$52)*8/MAX(1,'0. Supuestos'!$B$53-1))),"")</f>
        <v>1.0</v>
      </c>
      <c r="K6" s="67">
        <f>IFERROR(IF('PyG 3 Años'!$B$9="","",MIN(1,'0. Supuestos'!$B$52+(1-'0. Supuestos'!$B$52)*9/MAX(1,'0. Supuestos'!$B$53-1))),"")</f>
        <v>1.0</v>
      </c>
      <c r="L6" s="67">
        <f>IFERROR(IF('PyG 3 Años'!$B$9="","",MIN(1,'0. Supuestos'!$B$52+(1-'0. Supuestos'!$B$52)*10/MAX(1,'0. Supuestos'!$B$53-1))),"")</f>
        <v>1.0</v>
      </c>
      <c r="M6" s="67">
        <f>IFERROR(IF('PyG 3 Años'!$B$9="","",MIN(1,'0. Supuestos'!$B$52+(1-'0. Supuestos'!$B$52)*11/MAX(1,'0. Supuestos'!$B$53-1))),"")</f>
        <v>1.0</v>
      </c>
      <c r="N6" s="28" t="n"/>
      <c r="O6" s="28" t="inlineStr">
        <is>
          <t>Sube en línea recta desde el porcentaje del mes 1 hasta el 100 % en los meses que digas en Supuestos. Con el mes 1 al 100 % la rampa desaparece</t>
        </is>
      </c>
    </row>
    <row r="7">
      <c r="A7" s="28" t="inlineStr">
        <is>
          <t>Reparto de la actividad por mes (calculado)</t>
        </is>
      </c>
      <c r="B7" s="67">
        <f>IFERROR(IF('PyG 3 Años'!$B$9="","",B5*B6/SUMPRODUCT($B$5:$M$5,$B$6:$M$6)),"")</f>
        <v>0.03645833333333333</v>
      </c>
      <c r="C7" s="67">
        <f>IFERROR(IF('PyG 3 Años'!$B$9="","",C5*C6/SUMPRODUCT($B$5:$M$5,$B$6:$M$6)),"")</f>
        <v>0.062499999999999986</v>
      </c>
      <c r="D7" s="67">
        <f>IFERROR(IF('PyG 3 Años'!$B$9="","",D5*D6/SUMPRODUCT($B$5:$M$5,$B$6:$M$6)),"")</f>
        <v>0.09375</v>
      </c>
      <c r="E7" s="67">
        <f>IFERROR(IF('PyG 3 Años'!$B$9="","",E5*E6/SUMPRODUCT($B$5:$M$5,$B$6:$M$6)),"")</f>
        <v>0.140625</v>
      </c>
      <c r="F7" s="67">
        <f>IFERROR(IF('PyG 3 Años'!$B$9="","",F5*F6/SUMPRODUCT($B$5:$M$5,$B$6:$M$6)),"")</f>
        <v>0.171875</v>
      </c>
      <c r="G7" s="67">
        <f>IFERROR(IF('PyG 3 Años'!$B$9="","",G5*G6/SUMPRODUCT($B$5:$M$5,$B$6:$M$6)),"")</f>
        <v>0.15624999999999997</v>
      </c>
      <c r="H7" s="67">
        <f>IFERROR(IF('PyG 3 Años'!$B$9="","",H5*H6/SUMPRODUCT($B$5:$M$5,$B$6:$M$6)),"")</f>
        <v>0.11458333333333333</v>
      </c>
      <c r="I7" s="67">
        <f>IFERROR(IF('PyG 3 Años'!$B$9="","",I5*I6/SUMPRODUCT($B$5:$M$5,$B$6:$M$6)),"")</f>
        <v>0.06770833333333333</v>
      </c>
      <c r="J7" s="67">
        <f>IFERROR(IF('PyG 3 Años'!$B$9="","",J5*J6/SUMPRODUCT($B$5:$M$5,$B$6:$M$6)),"")</f>
        <v>0.036458333333333336</v>
      </c>
      <c r="K7" s="67">
        <f>IFERROR(IF('PyG 3 Años'!$B$9="","",K5*K6/SUMPRODUCT($B$5:$M$5,$B$6:$M$6)),"")</f>
        <v>0.06249999999999999</v>
      </c>
      <c r="L7" s="67">
        <f>IFERROR(IF('PyG 3 Años'!$B$9="","",L5*L6/SUMPRODUCT($B$5:$M$5,$B$6:$M$6)),"")</f>
        <v>0.026041666666666664</v>
      </c>
      <c r="M7" s="67">
        <f>IFERROR(IF('PyG 3 Años'!$B$9="","",M5*M6/SUMPRODUCT($B$5:$M$5,$B$6:$M$6)),"")</f>
        <v>0.031249999999999997</v>
      </c>
      <c r="N7" s="67">
        <f>IFERROR(IF('PyG 3 Años'!$B$9="","",SUM(B7:M7)),"")</f>
        <v>1.0</v>
      </c>
      <c r="O7" s="28" t="inlineStr">
        <is>
          <t>Estacionalidad × rampa, normalizado a 100 %: el AÑO factura lo que dice el P&amp;L, pero repartido como lo reparte un local que acaba de abrir</t>
        </is>
      </c>
    </row>
    <row r="8">
      <c r="A8" s="25" t="inlineStr">
        <is>
          <t>COBROS</t>
        </is>
      </c>
      <c r="B8" s="28" t="n"/>
      <c r="C8" s="28" t="n"/>
      <c r="D8" s="28" t="n"/>
      <c r="E8" s="28" t="n"/>
      <c r="F8" s="28" t="n"/>
      <c r="G8" s="28" t="n"/>
      <c r="H8" s="28" t="n"/>
      <c r="I8" s="28" t="n"/>
      <c r="J8" s="28" t="n"/>
      <c r="K8" s="28" t="n"/>
      <c r="L8" s="28" t="n"/>
      <c r="M8" s="28" t="n"/>
      <c r="N8" s="28" t="n"/>
      <c r="O8" s="28" t="n"/>
    </row>
    <row r="9">
      <c r="A9" s="28" t="inlineStr">
        <is>
          <t>Ventas cobradas (con IVA repercutido)</t>
        </is>
      </c>
      <c r="B9" s="32">
        <f>IFERROR(IF('PyG 3 Años'!$B$9="","",('PyG 3 Años'!$B$9+'PyG 3 Años'!$B$9*SUMPRODUCT('PyG 3 Años'!$E$10:$E$11,'PyG 3 Años'!$G$10:$G$11))*B7*(1-MIN(30,'0. Supuestos'!$B$58)/30)),"")</f>
        <v>8130.552986111111</v>
      </c>
      <c r="C9" s="32">
        <f>IFERROR(IF('PyG 3 Años'!$B$9="","",('PyG 3 Años'!$B$9+'PyG 3 Años'!$B$9*SUMPRODUCT('PyG 3 Años'!$E$10:$E$11,'PyG 3 Años'!$G$10:$G$11))*(C7*(1-MIN(30,'0. Supuestos'!$B$58)/30)+B7*MIN(30,'0. Supuestos'!$B$58)/30)),"")</f>
        <v>14518.844618055553</v>
      </c>
      <c r="D9" s="32">
        <f>IFERROR(IF('PyG 3 Años'!$B$9="","",('PyG 3 Años'!$B$9+'PyG 3 Años'!$B$9*SUMPRODUCT('PyG 3 Años'!$E$10:$E$11,'PyG 3 Años'!$G$10:$G$11))*(D7*(1-MIN(30,'0. Supuestos'!$B$58)/30)+C7*MIN(30,'0. Supuestos'!$B$58)/30)),"")</f>
        <v>21902.714166666665</v>
      </c>
      <c r="E9" s="32">
        <f>IFERROR(IF('PyG 3 Años'!$B$9="","",('PyG 3 Años'!$B$9+'PyG 3 Años'!$B$9*SUMPRODUCT('PyG 3 Años'!$E$10:$E$11,'PyG 3 Años'!$G$10:$G$11))*(E7*(1-MIN(30,'0. Supuestos'!$B$58)/30)+D7*MIN(30,'0. Supuestos'!$B$58)/30)),"")</f>
        <v>32854.07125</v>
      </c>
      <c r="F9" s="32">
        <f>IFERROR(IF('PyG 3 Años'!$B$9="","",('PyG 3 Años'!$B$9+'PyG 3 Años'!$B$9*SUMPRODUCT('PyG 3 Años'!$E$10:$E$11,'PyG 3 Años'!$G$10:$G$11))*(F7*(1-MIN(30,'0. Supuestos'!$B$58)/30)+E7*MIN(30,'0. Supuestos'!$B$58)/30)),"")</f>
        <v>40569.80010416667</v>
      </c>
      <c r="G9" s="32">
        <f>IFERROR(IF('PyG 3 Años'!$B$9="","",('PyG 3 Años'!$B$9+'PyG 3 Años'!$B$9*SUMPRODUCT('PyG 3 Años'!$E$10:$E$11,'PyG 3 Años'!$G$10:$G$11))*(G7*(1-MIN(30,'0. Supuestos'!$B$58)/30)+F7*MIN(30,'0. Supuestos'!$B$58)/30)),"")</f>
        <v>37583.06635416666</v>
      </c>
      <c r="H9" s="32">
        <f>IFERROR(IF('PyG 3 Años'!$B$9="","",('PyG 3 Años'!$B$9+'PyG 3 Años'!$B$9*SUMPRODUCT('PyG 3 Años'!$E$10:$E$11,'PyG 3 Años'!$G$10:$G$11))*(H7*(1-MIN(30,'0. Supuestos'!$B$58)/30)+G7*MIN(30,'0. Supuestos'!$B$58)/30)),"")</f>
        <v>28042.111319444444</v>
      </c>
      <c r="I9" s="32">
        <f>IFERROR(IF('PyG 3 Años'!$B$9="","",('PyG 3 Años'!$B$9+'PyG 3 Años'!$B$9*SUMPRODUCT('PyG 3 Años'!$E$10:$E$11,'PyG 3 Años'!$G$10:$G$11))*(I7*(1-MIN(30,'0. Supuestos'!$B$58)/30)+H7*MIN(30,'0. Supuestos'!$B$58)/30)),"")</f>
        <v>16924.824583333335</v>
      </c>
      <c r="J9" s="32">
        <f>IFERROR(IF('PyG 3 Años'!$B$9="","",('PyG 3 Años'!$B$9+'PyG 3 Años'!$B$9*SUMPRODUCT('PyG 3 Años'!$E$10:$E$11,'PyG 3 Años'!$G$10:$G$11))*(J7*(1-MIN(30,'0. Supuestos'!$B$58)/30)+I7*MIN(30,'0. Supuestos'!$B$58)/30)),"")</f>
        <v>9209.095729166667</v>
      </c>
      <c r="K9" s="32">
        <f>IFERROR(IF('PyG 3 Años'!$B$9="","",('PyG 3 Años'!$B$9+'PyG 3 Años'!$B$9*SUMPRODUCT('PyG 3 Años'!$E$10:$E$11,'PyG 3 Años'!$G$10:$G$11))*(K7*(1-MIN(30,'0. Supuestos'!$B$58)/30)+J7*MIN(30,'0. Supuestos'!$B$58)/30)),"")</f>
        <v>14518.844618055555</v>
      </c>
      <c r="L9" s="32">
        <f>IFERROR(IF('PyG 3 Años'!$B$9="","",('PyG 3 Años'!$B$9+'PyG 3 Años'!$B$9*SUMPRODUCT('PyG 3 Años'!$E$10:$E$11,'PyG 3 Años'!$G$10:$G$11))*(L7*(1-MIN(30,'0. Supuestos'!$B$58)/30)+K7*MIN(30,'0. Supuestos'!$B$58)/30)),"")</f>
        <v>6803.115763888888</v>
      </c>
      <c r="M9" s="32">
        <f>IFERROR(IF('PyG 3 Años'!$B$9="","",('PyG 3 Años'!$B$9+'PyG 3 Años'!$B$9*SUMPRODUCT('PyG 3 Años'!$E$10:$E$11,'PyG 3 Años'!$G$10:$G$11))*(M7*(1-MIN(30,'0. Supuestos'!$B$58)/30)+L7*MIN(30,'0. Supuestos'!$B$58)/30)),"")</f>
        <v>7383.869548611111</v>
      </c>
      <c r="N9" s="32">
        <f>IFERROR(IF('PyG 3 Años'!$B$9="","",SUM(B9:M9)),"")</f>
        <v>238440.91104166667</v>
      </c>
      <c r="O9" s="28" t="inlineStr">
        <is>
          <t>Ventas del mes con el IVA repercutido, corregidas por los días medios de cobro de la hoja de Supuestos</t>
        </is>
      </c>
    </row>
    <row r="10">
      <c r="A10" s="25" t="inlineStr">
        <is>
          <t>PAGOS</t>
        </is>
      </c>
      <c r="B10" s="28" t="n"/>
      <c r="C10" s="28" t="n"/>
      <c r="D10" s="28" t="n"/>
      <c r="E10" s="28" t="n"/>
      <c r="F10" s="28" t="n"/>
      <c r="G10" s="28" t="n"/>
      <c r="H10" s="28" t="n"/>
      <c r="I10" s="28" t="n"/>
      <c r="J10" s="28" t="n"/>
      <c r="K10" s="28" t="n"/>
      <c r="L10" s="28" t="n"/>
      <c r="M10" s="28" t="n"/>
      <c r="N10" s="28" t="n"/>
      <c r="O10" s="28" t="n"/>
    </row>
    <row r="11">
      <c r="A11" s="28" t="inlineStr">
        <is>
          <t>Compras y costes variables (IVA incluido)</t>
        </is>
      </c>
      <c r="B11" s="32">
        <f>IFERROR(IF('PyG 3 Años'!$B$9="","",-('PyG 3 Años'!$B$13*(1+'PyG 3 Años'!$G$13)+'PyG 3 Años'!$B$14*(1+'PyG 3 Años'!$G$14)+'PyG 3 Años'!$B$15*(1+'PyG 3 Años'!$G$15)+'PyG 3 Años'!$B$16*(1+'PyG 3 Años'!$G$16)+'PyG 3 Años'!$B$17*(1+'PyG 3 Años'!$G$17)+'PyG 3 Años'!$B$18*(1+'PyG 3 Años'!$G$18))*B7*(1-MIN(30,'0. Supuestos'!$B$59)/30)),"")</f>
        <v>-0.0</v>
      </c>
      <c r="C11" s="32">
        <f>IFERROR(IF('PyG 3 Años'!$B$9="","",-('PyG 3 Años'!$B$13*(1+'PyG 3 Años'!$G$13)+'PyG 3 Años'!$B$14*(1+'PyG 3 Años'!$G$14)+'PyG 3 Años'!$B$15*(1+'PyG 3 Años'!$G$15)+'PyG 3 Años'!$B$16*(1+'PyG 3 Años'!$G$16)+'PyG 3 Años'!$B$17*(1+'PyG 3 Años'!$G$17)+'PyG 3 Años'!$B$18*(1+'PyG 3 Años'!$G$18))*(C7*(1-MIN(30,'0. Supuestos'!$B$59)/30)+B7*MIN(30,'0. Supuestos'!$B$59)/30)),"")</f>
        <v>-2484.7022721354165</v>
      </c>
      <c r="D11" s="32">
        <f>IFERROR(IF('PyG 3 Años'!$B$9="","",-('PyG 3 Años'!$B$13*(1+'PyG 3 Años'!$G$13)+'PyG 3 Años'!$B$14*(1+'PyG 3 Años'!$G$14)+'PyG 3 Años'!$B$15*(1+'PyG 3 Años'!$G$15)+'PyG 3 Años'!$B$16*(1+'PyG 3 Años'!$G$16)+'PyG 3 Años'!$B$17*(1+'PyG 3 Años'!$G$17)+'PyG 3 Años'!$B$18*(1+'PyG 3 Años'!$G$18))*(D7*(1-MIN(30,'0. Supuestos'!$B$59)/30)+C7*MIN(30,'0. Supuestos'!$B$59)/30)),"")</f>
        <v>-4259.489609374999</v>
      </c>
      <c r="E11" s="32">
        <f>IFERROR(IF('PyG 3 Años'!$B$9="","",-('PyG 3 Años'!$B$13*(1+'PyG 3 Años'!$G$13)+'PyG 3 Años'!$B$14*(1+'PyG 3 Años'!$G$14)+'PyG 3 Años'!$B$15*(1+'PyG 3 Años'!$G$15)+'PyG 3 Años'!$B$16*(1+'PyG 3 Años'!$G$16)+'PyG 3 Años'!$B$17*(1+'PyG 3 Años'!$G$17)+'PyG 3 Años'!$B$18*(1+'PyG 3 Años'!$G$18))*(E7*(1-MIN(30,'0. Supuestos'!$B$59)/30)+D7*MIN(30,'0. Supuestos'!$B$59)/30)),"")</f>
        <v>-6389.234414062501</v>
      </c>
      <c r="F11" s="32">
        <f>IFERROR(IF('PyG 3 Años'!$B$9="","",-('PyG 3 Años'!$B$13*(1+'PyG 3 Años'!$G$13)+'PyG 3 Años'!$B$14*(1+'PyG 3 Años'!$G$14)+'PyG 3 Años'!$B$15*(1+'PyG 3 Años'!$G$15)+'PyG 3 Años'!$B$16*(1+'PyG 3 Años'!$G$16)+'PyG 3 Años'!$B$17*(1+'PyG 3 Años'!$G$17)+'PyG 3 Años'!$B$18*(1+'PyG 3 Años'!$G$18))*(F7*(1-MIN(30,'0. Supuestos'!$B$59)/30)+E7*MIN(30,'0. Supuestos'!$B$59)/30)),"")</f>
        <v>-9583.85162109375</v>
      </c>
      <c r="G11" s="32">
        <f>IFERROR(IF('PyG 3 Años'!$B$9="","",-('PyG 3 Años'!$B$13*(1+'PyG 3 Años'!$G$13)+'PyG 3 Años'!$B$14*(1+'PyG 3 Años'!$G$14)+'PyG 3 Años'!$B$15*(1+'PyG 3 Años'!$G$15)+'PyG 3 Años'!$B$16*(1+'PyG 3 Años'!$G$16)+'PyG 3 Años'!$B$17*(1+'PyG 3 Años'!$G$17)+'PyG 3 Años'!$B$18*(1+'PyG 3 Años'!$G$18))*(G7*(1-MIN(30,'0. Supuestos'!$B$59)/30)+F7*MIN(30,'0. Supuestos'!$B$59)/30)),"")</f>
        <v>-11713.59642578125</v>
      </c>
      <c r="H11" s="32">
        <f>IFERROR(IF('PyG 3 Años'!$B$9="","",-('PyG 3 Años'!$B$13*(1+'PyG 3 Años'!$G$13)+'PyG 3 Años'!$B$14*(1+'PyG 3 Años'!$G$14)+'PyG 3 Años'!$B$15*(1+'PyG 3 Años'!$G$15)+'PyG 3 Años'!$B$16*(1+'PyG 3 Años'!$G$16)+'PyG 3 Años'!$B$17*(1+'PyG 3 Años'!$G$17)+'PyG 3 Años'!$B$18*(1+'PyG 3 Años'!$G$18))*(H7*(1-MIN(30,'0. Supuestos'!$B$59)/30)+G7*MIN(30,'0. Supuestos'!$B$59)/30)),"")</f>
        <v>-10648.724023437499</v>
      </c>
      <c r="I11" s="32">
        <f>IFERROR(IF('PyG 3 Años'!$B$9="","",-('PyG 3 Años'!$B$13*(1+'PyG 3 Años'!$G$13)+'PyG 3 Años'!$B$14*(1+'PyG 3 Años'!$G$14)+'PyG 3 Años'!$B$15*(1+'PyG 3 Años'!$G$15)+'PyG 3 Años'!$B$16*(1+'PyG 3 Años'!$G$16)+'PyG 3 Años'!$B$17*(1+'PyG 3 Años'!$G$17)+'PyG 3 Años'!$B$18*(1+'PyG 3 Años'!$G$18))*(I7*(1-MIN(30,'0. Supuestos'!$B$59)/30)+H7*MIN(30,'0. Supuestos'!$B$59)/30)),"")</f>
        <v>-7809.064283854167</v>
      </c>
      <c r="J11" s="32">
        <f>IFERROR(IF('PyG 3 Años'!$B$9="","",-('PyG 3 Años'!$B$13*(1+'PyG 3 Años'!$G$13)+'PyG 3 Años'!$B$14*(1+'PyG 3 Años'!$G$14)+'PyG 3 Años'!$B$15*(1+'PyG 3 Años'!$G$15)+'PyG 3 Años'!$B$16*(1+'PyG 3 Años'!$G$16)+'PyG 3 Años'!$B$17*(1+'PyG 3 Años'!$G$17)+'PyG 3 Años'!$B$18*(1+'PyG 3 Años'!$G$18))*(J7*(1-MIN(30,'0. Supuestos'!$B$59)/30)+I7*MIN(30,'0. Supuestos'!$B$59)/30)),"")</f>
        <v>-4614.447076822917</v>
      </c>
      <c r="K11" s="32">
        <f>IFERROR(IF('PyG 3 Años'!$B$9="","",-('PyG 3 Años'!$B$13*(1+'PyG 3 Años'!$G$13)+'PyG 3 Años'!$B$14*(1+'PyG 3 Años'!$G$14)+'PyG 3 Años'!$B$15*(1+'PyG 3 Años'!$G$15)+'PyG 3 Años'!$B$16*(1+'PyG 3 Años'!$G$16)+'PyG 3 Años'!$B$17*(1+'PyG 3 Años'!$G$17)+'PyG 3 Años'!$B$18*(1+'PyG 3 Años'!$G$18))*(K7*(1-MIN(30,'0. Supuestos'!$B$59)/30)+J7*MIN(30,'0. Supuestos'!$B$59)/30)),"")</f>
        <v>-2484.702272135417</v>
      </c>
      <c r="L11" s="32">
        <f>IFERROR(IF('PyG 3 Años'!$B$9="","",-('PyG 3 Años'!$B$13*(1+'PyG 3 Años'!$G$13)+'PyG 3 Años'!$B$14*(1+'PyG 3 Años'!$G$14)+'PyG 3 Años'!$B$15*(1+'PyG 3 Años'!$G$15)+'PyG 3 Años'!$B$16*(1+'PyG 3 Años'!$G$16)+'PyG 3 Años'!$B$17*(1+'PyG 3 Años'!$G$17)+'PyG 3 Años'!$B$18*(1+'PyG 3 Años'!$G$18))*(L7*(1-MIN(30,'0. Supuestos'!$B$59)/30)+K7*MIN(30,'0. Supuestos'!$B$59)/30)),"")</f>
        <v>-4259.489609374999</v>
      </c>
      <c r="M11" s="32">
        <f>IFERROR(IF('PyG 3 Años'!$B$9="","",-('PyG 3 Años'!$B$13*(1+'PyG 3 Años'!$G$13)+'PyG 3 Años'!$B$14*(1+'PyG 3 Años'!$G$14)+'PyG 3 Años'!$B$15*(1+'PyG 3 Años'!$G$15)+'PyG 3 Años'!$B$16*(1+'PyG 3 Años'!$G$16)+'PyG 3 Años'!$B$17*(1+'PyG 3 Años'!$G$17)+'PyG 3 Años'!$B$18*(1+'PyG 3 Años'!$G$18))*(M7*(1-MIN(30,'0. Supuestos'!$B$59)/30)+L7*MIN(30,'0. Supuestos'!$B$59)/30)),"")</f>
        <v>-1774.7873372395834</v>
      </c>
      <c r="N11" s="32">
        <f>IFERROR(IF('PyG 3 Años'!$B$9="","",SUM(B11:M11)),"")</f>
        <v>-66022.0889453125</v>
      </c>
      <c r="O11" s="28" t="str">
        <f>IFERROR("Materia prima, consumibles, comisiones e imprevistos, cada uno con SU tipo de IVA (la columna del P&amp;L) y con los días de pago a proveedor de Supuestos."&amp;IF('0. Supuestos'!$B$59=0,""," Con "&amp;TEXT('0. Supuestos'!$B$59,"0")&amp;" días de pago, las primeras compras se pagan ya en el año siguiente: la columna «Año» de esta fila recoge "&amp;TEXT(MAX(0,12-ROUNDUP('0. Supuestos'!$B$59/30,0)),"0")&amp;" mensualidades de compra, no el coste del ejercicio."),"")</f>
        <v>Materia prima, consumibles, comisiones e imprevistos, cada uno con SU tipo de IVA (la columna del P&amp;L) y con los días de pago a proveedor de Supuestos. Con 30 días de pago, las primeras compras se pagan ya en el año siguiente: la columna «Año» de esta fila recoge 11 mensualidades de compra, no el coste del ejercicio.</v>
      </c>
    </row>
    <row r="12">
      <c r="A12" s="28" t="inlineStr">
        <is>
          <t>Costes fijos de explotación (IVA incluido)</t>
        </is>
      </c>
      <c r="B12" s="32">
        <f>IFERROR(IF('PyG 3 Años'!$B$9="","",-('PyG 3 Años'!$B$38-'PyG 3 Años'!$B$23-'PyG 3 Años'!$B$36-'PyG 3 Años'!$B$37+'PyG 3 Años'!$B$40)/12),"")</f>
        <v>-4062.5416666666656</v>
      </c>
      <c r="C12" s="32">
        <f>IFERROR(IF('PyG 3 Años'!$B$9="","",-('PyG 3 Años'!$B$38-'PyG 3 Años'!$B$23-'PyG 3 Años'!$B$36-'PyG 3 Años'!$B$37+'PyG 3 Años'!$B$40)/12),"")</f>
        <v>-4062.5416666666656</v>
      </c>
      <c r="D12" s="32">
        <f>IFERROR(IF('PyG 3 Años'!$B$9="","",-('PyG 3 Años'!$B$38-'PyG 3 Años'!$B$23-'PyG 3 Años'!$B$36-'PyG 3 Años'!$B$37+'PyG 3 Años'!$B$40)/12),"")</f>
        <v>-4062.5416666666656</v>
      </c>
      <c r="E12" s="32">
        <f>IFERROR(IF('PyG 3 Años'!$B$9="","",-('PyG 3 Años'!$B$38-'PyG 3 Años'!$B$23-'PyG 3 Años'!$B$36-'PyG 3 Años'!$B$37+'PyG 3 Años'!$B$40)/12),"")</f>
        <v>-4062.5416666666656</v>
      </c>
      <c r="F12" s="32">
        <f>IFERROR(IF('PyG 3 Años'!$B$9="","",-('PyG 3 Años'!$B$38-'PyG 3 Años'!$B$23-'PyG 3 Años'!$B$36-'PyG 3 Años'!$B$37+'PyG 3 Años'!$B$40)/12),"")</f>
        <v>-4062.5416666666656</v>
      </c>
      <c r="G12" s="32">
        <f>IFERROR(IF('PyG 3 Años'!$B$9="","",-('PyG 3 Años'!$B$38-'PyG 3 Años'!$B$23-'PyG 3 Años'!$B$36-'PyG 3 Años'!$B$37+'PyG 3 Años'!$B$40)/12),"")</f>
        <v>-4062.5416666666656</v>
      </c>
      <c r="H12" s="32">
        <f>IFERROR(IF('PyG 3 Años'!$B$9="","",-('PyG 3 Años'!$B$38-'PyG 3 Años'!$B$23-'PyG 3 Años'!$B$36-'PyG 3 Años'!$B$37+'PyG 3 Años'!$B$40)/12),"")</f>
        <v>-4062.5416666666656</v>
      </c>
      <c r="I12" s="32">
        <f>IFERROR(IF('PyG 3 Años'!$B$9="","",-('PyG 3 Años'!$B$38-'PyG 3 Años'!$B$23-'PyG 3 Años'!$B$36-'PyG 3 Años'!$B$37+'PyG 3 Años'!$B$40)/12),"")</f>
        <v>-4062.5416666666656</v>
      </c>
      <c r="J12" s="32">
        <f>IFERROR(IF('PyG 3 Años'!$B$9="","",-('PyG 3 Años'!$B$38-'PyG 3 Años'!$B$23-'PyG 3 Años'!$B$36-'PyG 3 Años'!$B$37+'PyG 3 Años'!$B$40)/12),"")</f>
        <v>-4062.5416666666656</v>
      </c>
      <c r="K12" s="32">
        <f>IFERROR(IF('PyG 3 Años'!$B$9="","",-('PyG 3 Años'!$B$38-'PyG 3 Años'!$B$23-'PyG 3 Años'!$B$36-'PyG 3 Años'!$B$37+'PyG 3 Años'!$B$40)/12),"")</f>
        <v>-4062.5416666666656</v>
      </c>
      <c r="L12" s="32">
        <f>IFERROR(IF('PyG 3 Años'!$B$9="","",-('PyG 3 Años'!$B$38-'PyG 3 Años'!$B$23-'PyG 3 Años'!$B$36-'PyG 3 Años'!$B$37+'PyG 3 Años'!$B$40)/12),"")</f>
        <v>-4062.5416666666656</v>
      </c>
      <c r="M12" s="32">
        <f>IFERROR(IF('PyG 3 Años'!$B$9="","",-('PyG 3 Años'!$B$38-'PyG 3 Años'!$B$23-'PyG 3 Años'!$B$36-'PyG 3 Años'!$B$37+'PyG 3 Años'!$B$40)/12),"")</f>
        <v>-4062.5416666666656</v>
      </c>
      <c r="N12" s="32">
        <f>IFERROR(IF('PyG 3 Años'!$B$9="","",SUM(B12:M12)),"")</f>
        <v>-48750.49999999998</v>
      </c>
      <c r="O12" s="28" t="inlineStr">
        <is>
          <t>Los fijos que salen de caja, cada uno con su tipo de IVA: los seguros están exentos y no llevan</t>
        </is>
      </c>
    </row>
    <row r="13">
      <c r="A13" s="28" t="inlineStr">
        <is>
          <t>Nóminas y Seguridad Social</t>
        </is>
      </c>
      <c r="B13" s="32">
        <f>IFERROR(IF('PyG 3 Años'!$B$9="","",-'PyG 3 Años'!$B$23/MAX(12,'0. Supuestos'!$B$21)*(1+IF(1='0. Supuestos'!$B$60,(MAX(12,'0. Supuestos'!$B$21)-12)/2,0)+IF(1='0. Supuestos'!$B$61,(MAX(12,'0. Supuestos'!$B$21)-12)/2,0))),"")</f>
        <v>-5871.95</v>
      </c>
      <c r="C13" s="32">
        <f>IFERROR(IF('PyG 3 Años'!$B$9="","",-'PyG 3 Años'!$B$23/MAX(12,'0. Supuestos'!$B$21)*(1+IF(2='0. Supuestos'!$B$60,(MAX(12,'0. Supuestos'!$B$21)-12)/2,0)+IF(2='0. Supuestos'!$B$61,(MAX(12,'0. Supuestos'!$B$21)-12)/2,0))),"")</f>
        <v>-5871.95</v>
      </c>
      <c r="D13" s="32">
        <f>IFERROR(IF('PyG 3 Años'!$B$9="","",-'PyG 3 Años'!$B$23/MAX(12,'0. Supuestos'!$B$21)*(1+IF(3='0. Supuestos'!$B$60,(MAX(12,'0. Supuestos'!$B$21)-12)/2,0)+IF(3='0. Supuestos'!$B$61,(MAX(12,'0. Supuestos'!$B$21)-12)/2,0))),"")</f>
        <v>-5871.95</v>
      </c>
      <c r="E13" s="32">
        <f>IFERROR(IF('PyG 3 Años'!$B$9="","",-'PyG 3 Años'!$B$23/MAX(12,'0. Supuestos'!$B$21)*(1+IF(4='0. Supuestos'!$B$60,(MAX(12,'0. Supuestos'!$B$21)-12)/2,0)+IF(4='0. Supuestos'!$B$61,(MAX(12,'0. Supuestos'!$B$21)-12)/2,0))),"")</f>
        <v>-5871.95</v>
      </c>
      <c r="F13" s="32">
        <f>IFERROR(IF('PyG 3 Años'!$B$9="","",-'PyG 3 Años'!$B$23/MAX(12,'0. Supuestos'!$B$21)*(1+IF(5='0. Supuestos'!$B$60,(MAX(12,'0. Supuestos'!$B$21)-12)/2,0)+IF(5='0. Supuestos'!$B$61,(MAX(12,'0. Supuestos'!$B$21)-12)/2,0))),"")</f>
        <v>-11743.9</v>
      </c>
      <c r="G13" s="32">
        <f>IFERROR(IF('PyG 3 Años'!$B$9="","",-'PyG 3 Años'!$B$23/MAX(12,'0. Supuestos'!$B$21)*(1+IF(6='0. Supuestos'!$B$60,(MAX(12,'0. Supuestos'!$B$21)-12)/2,0)+IF(6='0. Supuestos'!$B$61,(MAX(12,'0. Supuestos'!$B$21)-12)/2,0))),"")</f>
        <v>-5871.95</v>
      </c>
      <c r="H13" s="32">
        <f>IFERROR(IF('PyG 3 Años'!$B$9="","",-'PyG 3 Años'!$B$23/MAX(12,'0. Supuestos'!$B$21)*(1+IF(7='0. Supuestos'!$B$60,(MAX(12,'0. Supuestos'!$B$21)-12)/2,0)+IF(7='0. Supuestos'!$B$61,(MAX(12,'0. Supuestos'!$B$21)-12)/2,0))),"")</f>
        <v>-5871.95</v>
      </c>
      <c r="I13" s="32">
        <f>IFERROR(IF('PyG 3 Años'!$B$9="","",-'PyG 3 Años'!$B$23/MAX(12,'0. Supuestos'!$B$21)*(1+IF(8='0. Supuestos'!$B$60,(MAX(12,'0. Supuestos'!$B$21)-12)/2,0)+IF(8='0. Supuestos'!$B$61,(MAX(12,'0. Supuestos'!$B$21)-12)/2,0))),"")</f>
        <v>-5871.95</v>
      </c>
      <c r="J13" s="32">
        <f>IFERROR(IF('PyG 3 Años'!$B$9="","",-'PyG 3 Años'!$B$23/MAX(12,'0. Supuestos'!$B$21)*(1+IF(9='0. Supuestos'!$B$60,(MAX(12,'0. Supuestos'!$B$21)-12)/2,0)+IF(9='0. Supuestos'!$B$61,(MAX(12,'0. Supuestos'!$B$21)-12)/2,0))),"")</f>
        <v>-5871.95</v>
      </c>
      <c r="K13" s="32">
        <f>IFERROR(IF('PyG 3 Años'!$B$9="","",-'PyG 3 Años'!$B$23/MAX(12,'0. Supuestos'!$B$21)*(1+IF(10='0. Supuestos'!$B$60,(MAX(12,'0. Supuestos'!$B$21)-12)/2,0)+IF(10='0. Supuestos'!$B$61,(MAX(12,'0. Supuestos'!$B$21)-12)/2,0))),"")</f>
        <v>-11743.9</v>
      </c>
      <c r="L13" s="32">
        <f>IFERROR(IF('PyG 3 Años'!$B$9="","",-'PyG 3 Años'!$B$23/MAX(12,'0. Supuestos'!$B$21)*(1+IF(11='0. Supuestos'!$B$60,(MAX(12,'0. Supuestos'!$B$21)-12)/2,0)+IF(11='0. Supuestos'!$B$61,(MAX(12,'0. Supuestos'!$B$21)-12)/2,0))),"")</f>
        <v>-5871.95</v>
      </c>
      <c r="M13" s="32">
        <f>IFERROR(IF('PyG 3 Años'!$B$9="","",-'PyG 3 Años'!$B$23/MAX(12,'0. Supuestos'!$B$21)*(1+IF(12='0. Supuestos'!$B$60,(MAX(12,'0. Supuestos'!$B$21)-12)/2,0)+IF(12='0. Supuestos'!$B$61,(MAX(12,'0. Supuestos'!$B$21)-12)/2,0))),"")</f>
        <v>-5871.95</v>
      </c>
      <c r="N13" s="32">
        <f>IFERROR(IF('PyG 3 Años'!$B$9="","",SUM(B13:M13)),"")</f>
        <v>-82207.3</v>
      </c>
      <c r="O13" s="28" t="inlineStr">
        <is>
          <t>Doce mensualidades más las pagas extra en los meses que digas en Supuestos. La suma del año es la misma que la del P&amp;L. El personal se reparte en doce meses, pero los fijos discontinuos de temporada sólo cobran de abril a septiembre: el invierno sale aquí más caro que en la realidad, que es el lado prudente</t>
        </is>
      </c>
    </row>
    <row r="14">
      <c r="A14" s="28" t="inlineStr">
        <is>
          <t>Intereses del préstamo</t>
        </is>
      </c>
      <c r="B14" s="32">
        <f>IFERROR(IF('PyG 3 Años'!$B$9="","",-'Financiación'!$B$44/12),"")</f>
        <v>-645.0</v>
      </c>
      <c r="C14" s="32">
        <f>IFERROR(IF('PyG 3 Años'!$B$9="","",-'Financiación'!$B$44/12),"")</f>
        <v>-645.0</v>
      </c>
      <c r="D14" s="32">
        <f>IFERROR(IF('PyG 3 Años'!$B$9="","",-'Financiación'!$B$44/12),"")</f>
        <v>-645.0</v>
      </c>
      <c r="E14" s="32">
        <f>IFERROR(IF('PyG 3 Años'!$B$9="","",-'Financiación'!$B$44/12),"")</f>
        <v>-645.0</v>
      </c>
      <c r="F14" s="32">
        <f>IFERROR(IF('PyG 3 Años'!$B$9="","",-'Financiación'!$B$44/12),"")</f>
        <v>-645.0</v>
      </c>
      <c r="G14" s="32">
        <f>IFERROR(IF('PyG 3 Años'!$B$9="","",-'Financiación'!$B$44/12),"")</f>
        <v>-645.0</v>
      </c>
      <c r="H14" s="32">
        <f>IFERROR(IF('PyG 3 Años'!$B$9="","",-'Financiación'!$B$44/12),"")</f>
        <v>-645.0</v>
      </c>
      <c r="I14" s="32">
        <f>IFERROR(IF('PyG 3 Años'!$B$9="","",-'Financiación'!$B$44/12),"")</f>
        <v>-645.0</v>
      </c>
      <c r="J14" s="32">
        <f>IFERROR(IF('PyG 3 Años'!$B$9="","",-'Financiación'!$B$44/12),"")</f>
        <v>-645.0</v>
      </c>
      <c r="K14" s="32">
        <f>IFERROR(IF('PyG 3 Años'!$B$9="","",-'Financiación'!$B$44/12),"")</f>
        <v>-645.0</v>
      </c>
      <c r="L14" s="32">
        <f>IFERROR(IF('PyG 3 Años'!$B$9="","",-'Financiación'!$B$44/12),"")</f>
        <v>-645.0</v>
      </c>
      <c r="M14" s="32">
        <f>IFERROR(IF('PyG 3 Años'!$B$9="","",-'Financiación'!$B$44/12),"")</f>
        <v>-645.0</v>
      </c>
      <c r="N14" s="32">
        <f>IFERROR(IF('PyG 3 Años'!$B$9="","",SUM(B14:M14)),"")</f>
        <v>-7740.0</v>
      </c>
      <c r="O14" s="28" t="n"/>
    </row>
    <row r="15">
      <c r="A15" s="28" t="inlineStr">
        <is>
          <t>Devolución de principal del préstamo</t>
        </is>
      </c>
      <c r="B15" s="32">
        <f>IFERROR(IF('PyG 3 Años'!$B$9="","",-'Financiación'!$B$45/12),"")</f>
        <v>0.0</v>
      </c>
      <c r="C15" s="32">
        <f>IFERROR(IF('PyG 3 Años'!$B$9="","",-'Financiación'!$B$45/12),"")</f>
        <v>0.0</v>
      </c>
      <c r="D15" s="32">
        <f>IFERROR(IF('PyG 3 Años'!$B$9="","",-'Financiación'!$B$45/12),"")</f>
        <v>0.0</v>
      </c>
      <c r="E15" s="32">
        <f>IFERROR(IF('PyG 3 Años'!$B$9="","",-'Financiación'!$B$45/12),"")</f>
        <v>0.0</v>
      </c>
      <c r="F15" s="32">
        <f>IFERROR(IF('PyG 3 Años'!$B$9="","",-'Financiación'!$B$45/12),"")</f>
        <v>0.0</v>
      </c>
      <c r="G15" s="32">
        <f>IFERROR(IF('PyG 3 Años'!$B$9="","",-'Financiación'!$B$45/12),"")</f>
        <v>0.0</v>
      </c>
      <c r="H15" s="32">
        <f>IFERROR(IF('PyG 3 Años'!$B$9="","",-'Financiación'!$B$45/12),"")</f>
        <v>0.0</v>
      </c>
      <c r="I15" s="32">
        <f>IFERROR(IF('PyG 3 Años'!$B$9="","",-'Financiación'!$B$45/12),"")</f>
        <v>0.0</v>
      </c>
      <c r="J15" s="32">
        <f>IFERROR(IF('PyG 3 Años'!$B$9="","",-'Financiación'!$B$45/12),"")</f>
        <v>0.0</v>
      </c>
      <c r="K15" s="32">
        <f>IFERROR(IF('PyG 3 Años'!$B$9="","",-'Financiación'!$B$45/12),"")</f>
        <v>0.0</v>
      </c>
      <c r="L15" s="32">
        <f>IFERROR(IF('PyG 3 Años'!$B$9="","",-'Financiación'!$B$45/12),"")</f>
        <v>0.0</v>
      </c>
      <c r="M15" s="32">
        <f>IFERROR(IF('PyG 3 Años'!$B$9="","",-'Financiación'!$B$45/12),"")</f>
        <v>0.0</v>
      </c>
      <c r="N15" s="32">
        <f>IFERROR(IF('PyG 3 Años'!$B$9="","",SUM(B15:M15)),"")</f>
        <v>0.0</v>
      </c>
      <c r="O15" s="28" t="n"/>
    </row>
    <row r="16">
      <c r="A16" s="28" t="inlineStr">
        <is>
          <t>IVA repercutido del mes (memoria)</t>
        </is>
      </c>
      <c r="B16" s="32">
        <f>IFERROR(IF('PyG 3 Años'!$B$9="","",'PyG 3 Años'!$B$9*B7*SUMPRODUCT('PyG 3 Años'!$E$10:$E$11,'PyG 3 Años'!$G$10:$G$11)),"")</f>
        <v>791.9369791666667</v>
      </c>
      <c r="C16" s="32">
        <f>IFERROR(IF('PyG 3 Años'!$B$9="","",'PyG 3 Años'!$B$9*C7*SUMPRODUCT('PyG 3 Años'!$E$10:$E$11,'PyG 3 Años'!$G$10:$G$11)),"")</f>
        <v>1357.6062499999998</v>
      </c>
      <c r="D16" s="32">
        <f>IFERROR(IF('PyG 3 Años'!$B$9="","",'PyG 3 Años'!$B$9*D7*SUMPRODUCT('PyG 3 Años'!$E$10:$E$11,'PyG 3 Años'!$G$10:$G$11)),"")</f>
        <v>2036.4093750000002</v>
      </c>
      <c r="E16" s="32">
        <f>IFERROR(IF('PyG 3 Años'!$B$9="","",'PyG 3 Años'!$B$9*E7*SUMPRODUCT('PyG 3 Años'!$E$10:$E$11,'PyG 3 Años'!$G$10:$G$11)),"")</f>
        <v>3054.6140625000003</v>
      </c>
      <c r="F16" s="32">
        <f>IFERROR(IF('PyG 3 Años'!$B$9="","",'PyG 3 Años'!$B$9*F7*SUMPRODUCT('PyG 3 Años'!$E$10:$E$11,'PyG 3 Años'!$G$10:$G$11)),"")</f>
        <v>3733.4171875</v>
      </c>
      <c r="G16" s="32">
        <f>IFERROR(IF('PyG 3 Años'!$B$9="","",'PyG 3 Años'!$B$9*G7*SUMPRODUCT('PyG 3 Años'!$E$10:$E$11,'PyG 3 Años'!$G$10:$G$11)),"")</f>
        <v>3394.0156249999995</v>
      </c>
      <c r="H16" s="32">
        <f>IFERROR(IF('PyG 3 Años'!$B$9="","",'PyG 3 Años'!$B$9*H7*SUMPRODUCT('PyG 3 Años'!$E$10:$E$11,'PyG 3 Años'!$G$10:$G$11)),"")</f>
        <v>2488.944791666667</v>
      </c>
      <c r="I16" s="32">
        <f>IFERROR(IF('PyG 3 Años'!$B$9="","",'PyG 3 Años'!$B$9*I7*SUMPRODUCT('PyG 3 Años'!$E$10:$E$11,'PyG 3 Años'!$G$10:$G$11)),"")</f>
        <v>1470.7401041666667</v>
      </c>
      <c r="J16" s="32">
        <f>IFERROR(IF('PyG 3 Años'!$B$9="","",'PyG 3 Años'!$B$9*J7*SUMPRODUCT('PyG 3 Años'!$E$10:$E$11,'PyG 3 Años'!$G$10:$G$11)),"")</f>
        <v>791.9369791666668</v>
      </c>
      <c r="K16" s="32">
        <f>IFERROR(IF('PyG 3 Años'!$B$9="","",'PyG 3 Años'!$B$9*K7*SUMPRODUCT('PyG 3 Años'!$E$10:$E$11,'PyG 3 Años'!$G$10:$G$11)),"")</f>
        <v>1357.6062499999998</v>
      </c>
      <c r="L16" s="32">
        <f>IFERROR(IF('PyG 3 Años'!$B$9="","",'PyG 3 Años'!$B$9*L7*SUMPRODUCT('PyG 3 Años'!$E$10:$E$11,'PyG 3 Años'!$G$10:$G$11)),"")</f>
        <v>565.6692708333334</v>
      </c>
      <c r="M16" s="32">
        <f>IFERROR(IF('PyG 3 Años'!$B$9="","",'PyG 3 Años'!$B$9*M7*SUMPRODUCT('PyG 3 Años'!$E$10:$E$11,'PyG 3 Años'!$G$10:$G$11)),"")</f>
        <v>678.8031249999999</v>
      </c>
      <c r="N16" s="32">
        <f>IFERROR(IF('PyG 3 Años'!$B$9="","",SUM(B16:M16)),"")</f>
        <v>21721.700000000004</v>
      </c>
      <c r="O16" s="28" t="inlineStr">
        <is>
          <t>Cada línea de venta a SU tipo, leído de la columna de IVA del P&amp;L: en el local, alcohol incluido, el reducido (art. 91.Uno.2.2.º de la Ley 37/1992 del IVA); el alcohol que sale por delivery, al general; el helado y la comida para llevar, al reducido (art. 91.Uno.1.1.º)</t>
        </is>
      </c>
    </row>
    <row r="17">
      <c r="A17" s="28" t="inlineStr">
        <is>
          <t>IVA soportado del mes (memoria)</t>
        </is>
      </c>
      <c r="B17" s="32">
        <f>IFERROR(IF('PyG 3 Años'!$B$9="","",'PyG 3 Años'!$B$39*B7+'PyG 3 Años'!$B$40/12),"")</f>
        <v>934.8149908854166</v>
      </c>
      <c r="C17" s="32">
        <f>IFERROR(IF('PyG 3 Años'!$B$9="","",'PyG 3 Años'!$B$39*C7+'PyG 3 Años'!$B$40/12),"")</f>
        <v>1114.414984375</v>
      </c>
      <c r="D17" s="32">
        <f>IFERROR(IF('PyG 3 Años'!$B$9="","",'PyG 3 Años'!$B$39*D7+'PyG 3 Años'!$B$40/12),"")</f>
        <v>1329.9349765625</v>
      </c>
      <c r="E17" s="32">
        <f>IFERROR(IF('PyG 3 Años'!$B$9="","",'PyG 3 Años'!$B$39*E7+'PyG 3 Años'!$B$40/12),"")</f>
        <v>1653.21496484375</v>
      </c>
      <c r="F17" s="32">
        <f>IFERROR(IF('PyG 3 Años'!$B$9="","",'PyG 3 Años'!$B$39*F7+'PyG 3 Años'!$B$40/12),"")</f>
        <v>1868.7349570312501</v>
      </c>
      <c r="G17" s="32">
        <f>IFERROR(IF('PyG 3 Años'!$B$9="","",'PyG 3 Años'!$B$39*G7+'PyG 3 Años'!$B$40/12),"")</f>
        <v>1760.9749609374999</v>
      </c>
      <c r="H17" s="32">
        <f>IFERROR(IF('PyG 3 Años'!$B$9="","",'PyG 3 Años'!$B$39*H7+'PyG 3 Años'!$B$40/12),"")</f>
        <v>1473.6149713541668</v>
      </c>
      <c r="I17" s="32">
        <f>IFERROR(IF('PyG 3 Años'!$B$9="","",'PyG 3 Años'!$B$39*I7+'PyG 3 Años'!$B$40/12),"")</f>
        <v>1150.3349830729167</v>
      </c>
      <c r="J17" s="32">
        <f>IFERROR(IF('PyG 3 Años'!$B$9="","",'PyG 3 Años'!$B$39*J7+'PyG 3 Años'!$B$40/12),"")</f>
        <v>934.8149908854167</v>
      </c>
      <c r="K17" s="32">
        <f>IFERROR(IF('PyG 3 Años'!$B$9="","",'PyG 3 Años'!$B$39*K7+'PyG 3 Años'!$B$40/12),"")</f>
        <v>1114.414984375</v>
      </c>
      <c r="L17" s="32">
        <f>IFERROR(IF('PyG 3 Años'!$B$9="","",'PyG 3 Años'!$B$39*L7+'PyG 3 Años'!$B$40/12),"")</f>
        <v>862.9749934895833</v>
      </c>
      <c r="M17" s="32">
        <f>IFERROR(IF('PyG 3 Años'!$B$9="","",'PyG 3 Años'!$B$39*M7+'PyG 3 Años'!$B$40/12),"")</f>
        <v>898.8949921875</v>
      </c>
      <c r="N17" s="32">
        <f>IFERROR(IF('PyG 3 Años'!$B$9="","",SUM(B17:M17)),"")</f>
        <v>15097.13975</v>
      </c>
      <c r="O17" s="28" t="inlineStr">
        <is>
          <t>Cada partida a su tipo, leído de la columna de IVA del P&amp;L: los seguros y las comisiones de los medios de pago están exentos</t>
        </is>
      </c>
    </row>
    <row r="18">
      <c r="A18" s="28" t="inlineStr">
        <is>
          <t>IVA a compensar arrastrado (inversión incluida)</t>
        </is>
      </c>
      <c r="B18" s="28" t="n"/>
      <c r="C18" s="28" t="n"/>
      <c r="D18" s="28" t="n"/>
      <c r="E18" s="32">
        <f>IFERROR(IF('PyG 3 Años'!$B$9="","",'Inversión Inicial'!$B$33),"")</f>
        <v>24895.5</v>
      </c>
      <c r="F18" s="28" t="n"/>
      <c r="G18" s="28" t="n"/>
      <c r="H18" s="32">
        <f>IFERROR(IF('PyG 3 Años'!$B$9="","",MAX(0,-E19)),"")</f>
        <v>24088.71234765625</v>
      </c>
      <c r="I18" s="28" t="n"/>
      <c r="J18" s="28" t="n"/>
      <c r="K18" s="32">
        <f>IFERROR(IF('PyG 3 Años'!$B$9="","",MAX(0,-H19)),"")</f>
        <v>19189.590355468747</v>
      </c>
      <c r="L18" s="28" t="n"/>
      <c r="M18" s="28" t="n"/>
      <c r="N18" s="28" t="n"/>
      <c r="O18" s="28" t="inlineStr">
        <is>
          <t>El IVA soportado de la INVERSIÓN entra aquí: se compensa contra el repercutido de los trimestres siguientes hasta agotarlo (modelo 303)</t>
        </is>
      </c>
    </row>
    <row r="19">
      <c r="A19" s="28" t="inlineStr">
        <is>
          <t>Resultado de la liquidación trimestral</t>
        </is>
      </c>
      <c r="B19" s="28" t="n"/>
      <c r="C19" s="28" t="n"/>
      <c r="D19" s="28" t="n"/>
      <c r="E19" s="32">
        <f>IFERROR(IF('PyG 3 Años'!$B$9="","",SUM(B16:D16)-SUM(B17:D17)-E18),"")</f>
        <v>-24088.71234765625</v>
      </c>
      <c r="F19" s="28" t="n"/>
      <c r="G19" s="28" t="n"/>
      <c r="H19" s="32">
        <f>IFERROR(IF('PyG 3 Años'!$B$9="","",SUM(E16:G16)-SUM(E17:G17)-H18),"")</f>
        <v>-19189.590355468747</v>
      </c>
      <c r="I19" s="28" t="n"/>
      <c r="J19" s="28" t="n"/>
      <c r="K19" s="32">
        <f>IFERROR(IF('PyG 3 Años'!$B$9="","",SUM(H16:J16)-SUM(H17:J17)-K18),"")</f>
        <v>-17996.733425781247</v>
      </c>
      <c r="L19" s="28" t="n"/>
      <c r="M19" s="28" t="n"/>
      <c r="N19" s="28" t="n"/>
      <c r="O19" s="28" t="inlineStr">
        <is>
          <t>Repercutido menos soportado del trimestre menos lo que venía arrastrado. En negativo NO se paga: se compensa en el trimestre siguiente</t>
        </is>
      </c>
    </row>
    <row r="20">
      <c r="A20" s="28" t="inlineStr">
        <is>
          <t>Pago del IVA (modelo 303)</t>
        </is>
      </c>
      <c r="B20" s="28" t="n"/>
      <c r="C20" s="28" t="n"/>
      <c r="D20" s="28" t="n"/>
      <c r="E20" s="32">
        <f>IFERROR(IF('PyG 3 Años'!$B$9="","",IF(E19&lt;=0,"",-E19)),"")</f>
        <v/>
      </c>
      <c r="F20" s="28" t="n"/>
      <c r="G20" s="28" t="n"/>
      <c r="H20" s="32">
        <f>IFERROR(IF('PyG 3 Años'!$B$9="","",IF(H19&lt;=0,"",-H19)),"")</f>
        <v/>
      </c>
      <c r="I20" s="28" t="n"/>
      <c r="J20" s="28" t="n"/>
      <c r="K20" s="32">
        <f>IFERROR(IF('PyG 3 Años'!$B$9="","",IF(K19&lt;=0,"",-K19)),"")</f>
        <v/>
      </c>
      <c r="L20" s="28" t="n"/>
      <c r="M20" s="28" t="n"/>
      <c r="N20" s="32">
        <f>IFERROR(IF('PyG 3 Años'!$B$9="","",SUM(B20:M20)),"")</f>
        <v>0.0</v>
      </c>
      <c r="O20" s="28" t="inlineStr">
        <is>
          <t>Sólo sale caja cuando el resultado del trimestre es positivo. Los meses sin liquidación van en blanco, no a cero. La celda se pinta en ROJO cuando el pago del 303 se lleva más caja de la que queda ese mes</t>
        </is>
      </c>
    </row>
    <row r="21">
      <c r="A21" s="25" t="inlineStr">
        <is>
          <t>FLUJO DEL MES</t>
        </is>
      </c>
      <c r="B21" s="26">
        <f>IFERROR(IF('PyG 3 Años'!$B$9="","",SUM(B9:B15)+IF(B20="",0,B20)),"")</f>
        <v>-2448.9386805555546</v>
      </c>
      <c r="C21" s="26">
        <f>IFERROR(IF('PyG 3 Años'!$B$9="","",SUM(C9:C15)+IF(C20="",0,C20)),"")</f>
        <v>1454.6506792534701</v>
      </c>
      <c r="D21" s="26">
        <f>IFERROR(IF('PyG 3 Años'!$B$9="","",SUM(D9:D15)+IF(D20="",0,D20)),"")</f>
        <v>7063.7328906249995</v>
      </c>
      <c r="E21" s="26">
        <f>IFERROR(IF('PyG 3 Años'!$B$9="","",SUM(E9:E15)+IF(E20="",0,E20)),"")</f>
        <v>15885.345169270837</v>
      </c>
      <c r="F21" s="26">
        <f>IFERROR(IF('PyG 3 Años'!$B$9="","",SUM(F9:F15)+IF(F20="",0,F20)),"")</f>
        <v>14534.506816406256</v>
      </c>
      <c r="G21" s="26">
        <f>IFERROR(IF('PyG 3 Años'!$B$9="","",SUM(G9:G15)+IF(G20="",0,G20)),"")</f>
        <v>15289.978261718741</v>
      </c>
      <c r="H21" s="26">
        <f>IFERROR(IF('PyG 3 Años'!$B$9="","",SUM(H9:H15)+IF(H20="",0,H20)),"")</f>
        <v>6813.89562934028</v>
      </c>
      <c r="I21" s="26">
        <f>IFERROR(IF('PyG 3 Años'!$B$9="","",SUM(I9:I15)+IF(I20="",0,I20)),"")</f>
        <v>-1463.731367187499</v>
      </c>
      <c r="J21" s="26">
        <f>IFERROR(IF('PyG 3 Años'!$B$9="","",SUM(J9:J15)+IF(J20="",0,J20)),"")</f>
        <v>-5984.843014322914</v>
      </c>
      <c r="K21" s="26">
        <f>IFERROR(IF('PyG 3 Años'!$B$9="","",SUM(K9:K15)+IF(K20="",0,K20)),"")</f>
        <v>-4417.299320746528</v>
      </c>
      <c r="L21" s="26">
        <f>IFERROR(IF('PyG 3 Años'!$B$9="","",SUM(L9:L15)+IF(L20="",0,L20)),"")</f>
        <v>-8035.865512152777</v>
      </c>
      <c r="M21" s="26">
        <f>IFERROR(IF('PyG 3 Años'!$B$9="","",SUM(M9:M15)+IF(M20="",0,M20)),"")</f>
        <v>-4970.409455295137</v>
      </c>
      <c r="N21" s="26">
        <f>IFERROR(IF('PyG 3 Años'!$B$9="","",SUM(B21:M21)),"")</f>
        <v>33721.02209635417</v>
      </c>
      <c r="O21" s="28" t="n"/>
    </row>
    <row r="22">
      <c r="A22" s="25" t="inlineStr">
        <is>
          <t>SALDO ACUMULADO DE CAJA</t>
        </is>
      </c>
      <c r="B22" s="26">
        <f>IFERROR(IF('PyG 3 Años'!$B$9="","",'Inversión Inicial'!$B$30+B21),"")</f>
        <v>30175.386319444442</v>
      </c>
      <c r="C22" s="26">
        <f>IFERROR(IF('PyG 3 Años'!$B$9="","",B22+C21),"")</f>
        <v>31630.036998697913</v>
      </c>
      <c r="D22" s="26">
        <f>IFERROR(IF('PyG 3 Años'!$B$9="","",C22+D21),"")</f>
        <v>38693.76988932291</v>
      </c>
      <c r="E22" s="26">
        <f>IFERROR(IF('PyG 3 Años'!$B$9="","",D22+E21),"")</f>
        <v>54579.11505859374</v>
      </c>
      <c r="F22" s="26">
        <f>IFERROR(IF('PyG 3 Años'!$B$9="","",E22+F21),"")</f>
        <v>69113.621875</v>
      </c>
      <c r="G22" s="26">
        <f>IFERROR(IF('PyG 3 Años'!$B$9="","",F22+G21),"")</f>
        <v>84403.60013671874</v>
      </c>
      <c r="H22" s="26">
        <f>IFERROR(IF('PyG 3 Años'!$B$9="","",G22+H21),"")</f>
        <v>91217.49576605902</v>
      </c>
      <c r="I22" s="26">
        <f>IFERROR(IF('PyG 3 Años'!$B$9="","",H22+I21),"")</f>
        <v>89753.76439887151</v>
      </c>
      <c r="J22" s="26">
        <f>IFERROR(IF('PyG 3 Años'!$B$9="","",I22+J21),"")</f>
        <v>83768.9213845486</v>
      </c>
      <c r="K22" s="26">
        <f>IFERROR(IF('PyG 3 Años'!$B$9="","",J22+K21),"")</f>
        <v>79351.62206380206</v>
      </c>
      <c r="L22" s="26">
        <f>IFERROR(IF('PyG 3 Años'!$B$9="","",K22+L21),"")</f>
        <v>71315.75655164928</v>
      </c>
      <c r="M22" s="26">
        <f>IFERROR(IF('PyG 3 Años'!$B$9="","",L22+M21),"")</f>
        <v>66345.34709635413</v>
      </c>
      <c r="N22" s="28" t="n"/>
      <c r="O22" s="28" t="n"/>
    </row>
    <row r="23">
      <c r="A23" s="28" t="inlineStr">
        <is>
          <t>Saldo mínimo del año</t>
        </is>
      </c>
      <c r="B23" s="32">
        <f>IFERROR(IF('PyG 3 Años'!$B$9="","",IF(COUNT(B22:M22)=0,"",MIN(B22:M22))),"")</f>
        <v>30175.386319444442</v>
      </c>
      <c r="C23" s="28" t="n"/>
      <c r="D23" s="28" t="inlineStr">
        <is>
          <t>Si es negativo, sube el fondo de maniobra o el préstamo: te quedas sin caja</t>
        </is>
      </c>
      <c r="E23" s="28" t="n"/>
      <c r="F23" s="28" t="n"/>
      <c r="G23" s="28" t="n"/>
      <c r="H23" s="28" t="n"/>
      <c r="I23" s="28" t="n"/>
      <c r="J23" s="28" t="n"/>
      <c r="K23" s="28" t="n"/>
      <c r="L23" s="28" t="n"/>
      <c r="M23" s="28" t="n"/>
      <c r="N23" s="28" t="n"/>
      <c r="O23" s="28" t="n"/>
    </row>
    <row r="24">
      <c r="A24" s="28" t="inlineStr">
        <is>
          <t>Mes en el que la caja toca fondo</t>
        </is>
      </c>
      <c r="B24" s="39">
        <f>IFERROR(IF('PyG 3 Años'!$B$9="","",IF(COUNT(B22:M22)=0,"",MATCH(MIN(B22:M22),B22:M22,0))),"")</f>
        <v>1.0</v>
      </c>
      <c r="C24" s="28" t="n"/>
      <c r="D24" s="28" t="inlineStr">
        <is>
          <t>Es la respuesta a la pregunta que decide una operación bancaria: en qué mes se agota la caja</t>
        </is>
      </c>
      <c r="E24" s="28" t="n"/>
      <c r="F24" s="28" t="n"/>
      <c r="G24" s="28" t="n"/>
      <c r="H24" s="28" t="n"/>
      <c r="I24" s="28" t="n"/>
      <c r="J24" s="28" t="n"/>
      <c r="K24" s="28" t="n"/>
      <c r="L24" s="28" t="n"/>
      <c r="M24" s="28" t="n"/>
      <c r="N24" s="28" t="n"/>
      <c r="O24" s="28" t="n"/>
    </row>
    <row r="25">
      <c r="A25" s="25" t="inlineStr">
        <is>
          <t>RETORNO DE LA INVERSIÓN</t>
        </is>
      </c>
      <c r="B25" s="28" t="n"/>
      <c r="C25" s="28" t="n"/>
      <c r="D25" s="28" t="n"/>
      <c r="E25" s="28" t="n"/>
      <c r="F25" s="28" t="n"/>
      <c r="G25" s="28" t="n"/>
      <c r="H25" s="28" t="n"/>
      <c r="I25" s="28" t="n"/>
      <c r="J25" s="28" t="n"/>
      <c r="K25" s="28" t="n"/>
      <c r="L25" s="28" t="n"/>
      <c r="M25" s="28" t="n"/>
      <c r="N25" s="28" t="n"/>
      <c r="O25" s="28" t="n"/>
    </row>
    <row r="26">
      <c r="A26" s="28" t="inlineStr">
        <is>
          <t>Flujo de caja libre antes de la deuda, año 1</t>
        </is>
      </c>
      <c r="B26" s="32">
        <f>IFERROR(IF('PyG 3 Años'!$B$9="","",'PyG 3 Años'!$B$48+'PyG 3 Años'!$B$36+'Financiación'!$B$44),"")</f>
        <v>30984.580099999996</v>
      </c>
      <c r="C26" s="28" t="n"/>
      <c r="D26" s="28" t="inlineStr">
        <is>
          <t>Resultado neto más amortización (que no se paga) más los intereses de ese año: el principal no se resta porque este flujo es ANTES de la deuda. La MISMA base que los años 2 y 3, para que el payback compare peras con peras</t>
        </is>
      </c>
      <c r="E26" s="28" t="n"/>
      <c r="F26" s="28" t="n"/>
      <c r="G26" s="28" t="n"/>
      <c r="H26" s="28" t="n"/>
      <c r="I26" s="28" t="n"/>
      <c r="J26" s="28" t="n"/>
      <c r="K26" s="28" t="n"/>
      <c r="L26" s="28" t="n"/>
      <c r="M26" s="28" t="n"/>
      <c r="N26" s="28" t="n"/>
      <c r="O26" s="28" t="n"/>
    </row>
    <row r="27">
      <c r="A27" s="28" t="inlineStr">
        <is>
          <t>Flujo de caja libre antes de la deuda, año 2</t>
        </is>
      </c>
      <c r="B27" s="32">
        <f>IFERROR(IF('PyG 3 Años'!$B$9="","",'PyG 3 Años'!$C$48+'PyG 3 Años'!$C$36+'Financiación'!$B$46),"")</f>
        <v>36489.982908</v>
      </c>
      <c r="C27" s="28" t="n"/>
      <c r="D27" s="28" t="inlineStr">
        <is>
          <t>Resultado neto más amortización (que no se paga) más los intereses de ese año: el principal no se resta porque este flujo es ANTES de la deuda. Sin tabla mensual, es una estimación</t>
        </is>
      </c>
      <c r="E27" s="28" t="n"/>
      <c r="F27" s="28" t="n"/>
      <c r="G27" s="28" t="n"/>
      <c r="H27" s="28" t="n"/>
      <c r="I27" s="28" t="n"/>
      <c r="J27" s="28" t="n"/>
      <c r="K27" s="28" t="n"/>
      <c r="L27" s="28" t="n"/>
      <c r="M27" s="28" t="n"/>
      <c r="N27" s="28" t="n"/>
      <c r="O27" s="28" t="n"/>
    </row>
    <row r="28">
      <c r="A28" s="28" t="inlineStr">
        <is>
          <t>Flujo de caja libre antes de la deuda, año 3</t>
        </is>
      </c>
      <c r="B28" s="32">
        <f>IFERROR(IF('PyG 3 Años'!$B$9="","",'PyG 3 Años'!$D$48+'PyG 3 Años'!$D$36+'Financiación'!$B$48),"")</f>
        <v>35901.384316901116</v>
      </c>
      <c r="C28" s="28" t="n"/>
      <c r="D28" s="28" t="inlineStr">
        <is>
          <t>Resultado neto más amortización (que no se paga) más los intereses de ese año: el principal no se resta porque este flujo es ANTES de la deuda. Sin tabla mensual, es una estimación</t>
        </is>
      </c>
      <c r="E28" s="28" t="n"/>
      <c r="F28" s="28" t="n"/>
      <c r="G28" s="28" t="n"/>
      <c r="H28" s="28" t="n"/>
      <c r="I28" s="28" t="n"/>
      <c r="J28" s="28" t="n"/>
      <c r="K28" s="28" t="n"/>
      <c r="L28" s="28" t="n"/>
      <c r="M28" s="28" t="n"/>
      <c r="N28" s="28" t="n"/>
      <c r="O28" s="28" t="n"/>
    </row>
    <row r="29">
      <c r="A29" s="28" t="inlineStr">
        <is>
          <t>Informativo: flujo REAL de caja del año 1 (tabla mensual, antes de la deuda)</t>
        </is>
      </c>
      <c r="B29" s="32">
        <f>IFERROR(IF('PyG 3 Años'!$B$9="","",N21+'Financiación'!$B$44+'Financiación'!$B$45),"")</f>
        <v>41461.02209635417</v>
      </c>
      <c r="C29" s="28" t="n"/>
      <c r="D29" s="28" t="inlineStr">
        <is>
          <t>La suma de los doce FLUJO DEL MES de arriba, devolviéndole los intereses y el principal que se pagaron ese año. NO es la que usa el payback: lleva dentro el IVA que todavía no se ha liquidado y el crédito del proveedor, dos cosas que hay que devolver y que los años 2 y 3 no tienen</t>
        </is>
      </c>
      <c r="E29" s="28" t="n"/>
      <c r="F29" s="28" t="n"/>
      <c r="G29" s="28" t="n"/>
      <c r="H29" s="28" t="n"/>
      <c r="I29" s="28" t="n"/>
      <c r="J29" s="28" t="n"/>
      <c r="K29" s="28" t="n"/>
      <c r="L29" s="28" t="n"/>
      <c r="M29" s="28" t="n"/>
      <c r="N29" s="28" t="n"/>
      <c r="O29" s="28" t="n"/>
    </row>
    <row r="30">
      <c r="A30" s="28" t="inlineStr">
        <is>
          <t>Inversión a recuperar (sin el IVA, que se recupera por el 303)</t>
        </is>
      </c>
      <c r="B30" s="32">
        <f>IFERROR(IF('PyG 3 Años'!$B$9="","",'Inversión Inicial'!$B$34-'Inversión Inicial'!$B$33),"")</f>
        <v>158274.325</v>
      </c>
      <c r="C30" s="28" t="n"/>
      <c r="D30" s="28" t="inlineStr">
        <is>
          <t>CAPEX más fondo de maniobra: la necesidad total de caja MENOS el IVA soportado de la inversión, que no se pierde (se recupera con el modelo 303 y esta misma hoja lo compensa trimestre a trimestre). El fondo de maniobra sí se recupera al cerrar, pero hasta entonces está inmovilizado</t>
        </is>
      </c>
      <c r="E30" s="28" t="n"/>
      <c r="F30" s="28" t="n"/>
      <c r="G30" s="28" t="n"/>
      <c r="H30" s="28" t="n"/>
      <c r="I30" s="28" t="n"/>
      <c r="J30" s="28" t="n"/>
      <c r="K30" s="28" t="n"/>
      <c r="L30" s="28" t="n"/>
      <c r="M30" s="28" t="n"/>
      <c r="N30" s="28" t="n"/>
      <c r="O30" s="28" t="n"/>
    </row>
    <row r="31">
      <c r="A31" s="25" t="inlineStr">
        <is>
          <t>Payback del proyecto (años), antes de la deuda</t>
        </is>
      </c>
      <c r="B31" s="25" t="str">
        <f>IFERROR(IF('PyG 3 Años'!$B$9="","",IF(B26&gt;=B30,ROUND(B30/B26,1),IF(B26+B27&gt;=B30,ROUND(1+(B30-B26)/B27,1),IF(B26+B27+B28&gt;=B30,ROUND(2+(B30-B26-B27)/B28,1),"Más de 3 años")))),"")</f>
        <v>Más de 3 años</v>
      </c>
      <c r="C31" s="28" t="n"/>
      <c r="D31" s="25" t="inlineStr">
        <is>
          <t>Mide cuánto tarda el negocio en devolver la inversión con lo que genera ANTES de pagar al banco, con la MISMA base de flujo en los tres años; si puedes pagar la cuota lo dice el DSCR de la hoja de Financiación. El plan de negocio en Word cita esta cifra; si cambias una celda verde, manda este libro</t>
        </is>
      </c>
      <c r="E31" s="28" t="n"/>
      <c r="F31" s="28" t="n"/>
      <c r="G31" s="28" t="n"/>
      <c r="H31" s="28" t="n"/>
      <c r="I31" s="28" t="n"/>
      <c r="J31" s="28" t="n"/>
      <c r="K31" s="28" t="n"/>
      <c r="L31" s="28" t="n"/>
      <c r="M31" s="28" t="n"/>
      <c r="N31" s="28" t="n"/>
      <c r="O31" s="28" t="n"/>
    </row>
    <row r="32">
      <c r="A32" s="28" t="inlineStr">
        <is>
          <t>Payback sobre el CAPEX, sin fondo de maniobra (años)</t>
        </is>
      </c>
      <c r="B32" s="28" t="str">
        <f>IFERROR(IF('PyG 3 Años'!$B$9="","",IF(B26&gt;='Inversión Inicial'!$B$32,ROUND('Inversión Inicial'!$B$32/B26,1),IF(B26+B27&gt;='Inversión Inicial'!$B$32,ROUND(1+('Inversión Inicial'!$B$32-B26)/B27,1),IF(B26+B27+B28&gt;='Inversión Inicial'!$B$32,ROUND(2+('Inversión Inicial'!$B$32-B26-B27)/B28,1),"Más de 3 años")))),"")</f>
        <v>Más de 3 años</v>
      </c>
      <c r="C32" s="28" t="n"/>
      <c r="D32" s="28" t="inlineStr">
        <is>
          <t>El mismo cálculo sobre lo que se COMPRA (obra, equipamiento, lanzamiento y constitución), sin el fondo de maniobra: ese dinero no se gasta, se inmoviliza y vuelve al cerrar el negocio. Informativo: el payback que se publica es el de arriba</t>
        </is>
      </c>
      <c r="E32" s="28" t="n"/>
      <c r="F32" s="28" t="n"/>
      <c r="G32" s="28" t="n"/>
      <c r="H32" s="28" t="n"/>
      <c r="I32" s="28" t="n"/>
      <c r="J32" s="28" t="n"/>
      <c r="K32" s="28" t="n"/>
      <c r="L32" s="28" t="n"/>
      <c r="M32" s="28" t="n"/>
      <c r="N32" s="28" t="n"/>
      <c r="O32" s="28" t="n"/>
    </row>
    <row r="33">
      <c r="A33" s="28" t="n"/>
      <c r="B33" s="28" t="n"/>
      <c r="C33" s="28" t="n"/>
      <c r="D33" s="28" t="n"/>
      <c r="E33" s="28" t="n"/>
      <c r="F33" s="28" t="n"/>
      <c r="G33" s="28" t="n"/>
      <c r="H33" s="28" t="n"/>
      <c r="I33" s="28" t="n"/>
      <c r="J33" s="28" t="n"/>
      <c r="K33" s="28" t="n"/>
      <c r="L33" s="28" t="n"/>
      <c r="M33" s="28" t="n"/>
      <c r="N33" s="28" t="n"/>
      <c r="O33" s="28" t="n"/>
    </row>
    <row r="34" ht="120" customHeight="1">
      <c r="A34" s="46" t="inlineStr">
        <is>
          <t>El IVA del cuarto trimestre se liquida en enero del año siguiente, así que no aparece en este cuadro. El Impuesto de Sociedades del año 1 se paga en julio del año 2. La cuota del préstamo se reparte en doce partes iguales siguiendo el cuadro ANUAL de la hoja de Financiación, y las nóminas en doce mensualidades más las dos pagas extra en su mes.</t>
        </is>
      </c>
      <c r="B34" s="28" t="n"/>
      <c r="C34" s="28" t="n"/>
      <c r="D34" s="28" t="n"/>
      <c r="E34" s="28" t="n"/>
      <c r="F34" s="28" t="n"/>
      <c r="G34" s="28" t="n"/>
      <c r="H34" s="28" t="n"/>
      <c r="I34" s="28" t="n"/>
      <c r="J34" s="28" t="n"/>
      <c r="K34" s="28" t="n"/>
      <c r="L34" s="28" t="n"/>
      <c r="M34" s="28" t="n"/>
      <c r="N34" s="28" t="n"/>
      <c r="O34" s="28" t="n"/>
    </row>
    <row r="35">
      <c r="A35" s="28" t="n"/>
      <c r="B35" s="28" t="n"/>
      <c r="C35" s="28" t="n"/>
      <c r="D35" s="28" t="n"/>
      <c r="E35" s="28" t="n"/>
      <c r="F35" s="28" t="n"/>
      <c r="G35" s="28" t="n"/>
      <c r="H35" s="28" t="n"/>
      <c r="I35" s="28" t="n"/>
      <c r="J35" s="28" t="n"/>
      <c r="K35" s="28" t="n"/>
      <c r="L35" s="28" t="n"/>
      <c r="M35" s="28" t="n"/>
      <c r="N35" s="28" t="n"/>
      <c r="O35" s="28" t="n"/>
    </row>
    <row r="36">
      <c r="A36" s="28" t="n"/>
      <c r="B36" s="28" t="n"/>
      <c r="C36" s="28" t="n"/>
      <c r="D36" s="28" t="n"/>
      <c r="E36" s="28" t="n"/>
      <c r="F36" s="28" t="n"/>
      <c r="G36" s="28" t="n"/>
      <c r="H36" s="28" t="n"/>
      <c r="I36" s="28" t="n"/>
      <c r="J36" s="28" t="n"/>
      <c r="K36" s="28" t="n"/>
      <c r="L36" s="28" t="n"/>
      <c r="M36" s="28" t="n"/>
      <c r="N36" s="28" t="n"/>
      <c r="O36" s="28" t="n"/>
    </row>
    <row r="37">
      <c r="A37" s="28" t="n"/>
      <c r="B37" s="28" t="n"/>
      <c r="C37" s="28" t="n"/>
      <c r="D37" s="28" t="n"/>
      <c r="E37" s="28" t="n"/>
      <c r="F37" s="28" t="n"/>
      <c r="G37" s="28" t="n"/>
      <c r="H37" s="28" t="n"/>
      <c r="I37" s="28" t="n"/>
      <c r="J37" s="28" t="n"/>
      <c r="K37" s="28" t="n"/>
      <c r="L37" s="28" t="n"/>
      <c r="M37" s="28" t="n"/>
      <c r="N37" s="28" t="n"/>
      <c r="O37" s="28" t="n"/>
    </row>
    <row r="38">
      <c r="A38" s="28" t="n"/>
      <c r="B38" s="28" t="n"/>
      <c r="C38" s="28" t="n"/>
      <c r="D38" s="28" t="n"/>
      <c r="E38" s="28" t="n"/>
      <c r="F38" s="28" t="n"/>
      <c r="G38" s="28" t="n"/>
      <c r="H38" s="28" t="n"/>
      <c r="I38" s="28" t="n"/>
      <c r="J38" s="28" t="n"/>
      <c r="K38" s="28" t="n"/>
      <c r="L38" s="28" t="n"/>
      <c r="M38" s="28" t="n"/>
      <c r="N38" s="28" t="n"/>
      <c r="O38" s="28" t="n"/>
    </row>
    <row r="39">
      <c r="A39" s="28" t="n"/>
      <c r="B39" s="28" t="n"/>
      <c r="C39" s="28" t="n"/>
      <c r="D39" s="28" t="n"/>
      <c r="E39" s="28" t="n"/>
      <c r="F39" s="28" t="n"/>
      <c r="G39" s="28" t="n"/>
      <c r="H39" s="28" t="n"/>
      <c r="I39" s="28" t="n"/>
      <c r="J39" s="28" t="n"/>
      <c r="K39" s="28" t="n"/>
      <c r="L39" s="28" t="n"/>
      <c r="M39" s="28" t="n"/>
      <c r="N39" s="28" t="n"/>
      <c r="O39" s="28" t="n"/>
    </row>
    <row r="40">
      <c r="A40" s="28" t="n"/>
      <c r="B40" s="28" t="n"/>
      <c r="C40" s="28" t="n"/>
      <c r="D40" s="28" t="n"/>
      <c r="E40" s="28" t="n"/>
      <c r="F40" s="28" t="n"/>
      <c r="G40" s="28" t="n"/>
      <c r="H40" s="28" t="n"/>
      <c r="I40" s="28" t="n"/>
      <c r="J40" s="28" t="n"/>
      <c r="K40" s="28" t="n"/>
      <c r="L40" s="28" t="n"/>
      <c r="M40" s="28" t="n"/>
      <c r="N40" s="28" t="n"/>
      <c r="O40" s="28" t="n"/>
    </row>
    <row r="41">
      <c r="A41" s="28" t="n"/>
      <c r="B41" s="28" t="n"/>
      <c r="C41" s="28" t="n"/>
      <c r="D41" s="28" t="n"/>
      <c r="E41" s="28" t="n"/>
      <c r="F41" s="28" t="n"/>
      <c r="G41" s="28" t="n"/>
      <c r="H41" s="28" t="n"/>
      <c r="I41" s="28" t="n"/>
      <c r="J41" s="28" t="n"/>
      <c r="K41" s="28" t="n"/>
      <c r="L41" s="28" t="n"/>
      <c r="M41" s="28" t="n"/>
      <c r="N41" s="28" t="n"/>
      <c r="O41" s="28" t="n"/>
    </row>
    <row r="42">
      <c r="A42" s="28" t="n"/>
      <c r="B42" s="28" t="n"/>
      <c r="C42" s="28" t="n"/>
      <c r="D42" s="28" t="n"/>
      <c r="E42" s="28" t="n"/>
      <c r="F42" s="28" t="n"/>
      <c r="G42" s="28" t="n"/>
      <c r="H42" s="28" t="n"/>
      <c r="I42" s="28" t="n"/>
      <c r="J42" s="28" t="n"/>
      <c r="K42" s="28" t="n"/>
      <c r="L42" s="28" t="n"/>
      <c r="M42" s="28" t="n"/>
      <c r="N42" s="28" t="n"/>
      <c r="O42" s="28" t="n"/>
    </row>
    <row r="43">
      <c r="A43" s="28" t="n"/>
      <c r="B43" s="28" t="n"/>
      <c r="C43" s="28" t="n"/>
      <c r="D43" s="28" t="n"/>
      <c r="E43" s="28" t="n"/>
      <c r="F43" s="28" t="n"/>
      <c r="G43" s="28" t="n"/>
      <c r="H43" s="28" t="n"/>
      <c r="I43" s="28" t="n"/>
      <c r="J43" s="28" t="n"/>
      <c r="K43" s="28" t="n"/>
      <c r="L43" s="28" t="n"/>
      <c r="M43" s="28" t="n"/>
      <c r="N43" s="28" t="n"/>
      <c r="O43" s="28" t="n"/>
    </row>
    <row r="44">
      <c r="A44" s="28" t="n"/>
      <c r="B44" s="28" t="n"/>
      <c r="C44" s="28" t="n"/>
      <c r="D44" s="28" t="n"/>
      <c r="E44" s="28" t="n"/>
      <c r="F44" s="28" t="n"/>
      <c r="G44" s="28" t="n"/>
      <c r="H44" s="28" t="n"/>
      <c r="I44" s="28" t="n"/>
      <c r="J44" s="28" t="n"/>
      <c r="K44" s="28" t="n"/>
      <c r="L44" s="28" t="n"/>
      <c r="M44" s="28" t="n"/>
      <c r="N44" s="28" t="n"/>
      <c r="O44" s="28" t="n"/>
    </row>
    <row r="45">
      <c r="A45" s="28" t="n"/>
      <c r="B45" s="28" t="n"/>
      <c r="C45" s="28" t="n"/>
      <c r="D45" s="28" t="n"/>
      <c r="E45" s="28" t="n"/>
      <c r="F45" s="28" t="n"/>
      <c r="G45" s="28" t="n"/>
      <c r="H45" s="28" t="n"/>
      <c r="I45" s="28" t="n"/>
      <c r="J45" s="28" t="n"/>
      <c r="K45" s="28" t="n"/>
      <c r="L45" s="28" t="n"/>
      <c r="M45" s="28" t="n"/>
      <c r="N45" s="28" t="n"/>
      <c r="O45" s="28" t="n"/>
    </row>
    <row r="46">
      <c r="A46" s="28" t="n"/>
      <c r="B46" s="28" t="n"/>
      <c r="C46" s="28" t="n"/>
      <c r="D46" s="28" t="n"/>
      <c r="E46" s="28" t="n"/>
      <c r="F46" s="28" t="n"/>
      <c r="G46" s="28" t="n"/>
      <c r="H46" s="28" t="n"/>
      <c r="I46" s="28" t="n"/>
      <c r="J46" s="28" t="n"/>
      <c r="K46" s="28" t="n"/>
      <c r="L46" s="28" t="n"/>
      <c r="M46" s="28" t="n"/>
      <c r="N46" s="28" t="n"/>
      <c r="O46" s="28" t="n"/>
    </row>
    <row r="47">
      <c r="A47" s="28" t="n"/>
      <c r="B47" s="28" t="n"/>
      <c r="C47" s="28" t="n"/>
      <c r="D47" s="28" t="n"/>
      <c r="E47" s="28" t="n"/>
      <c r="F47" s="28" t="n"/>
      <c r="G47" s="28" t="n"/>
      <c r="H47" s="28" t="n"/>
      <c r="I47" s="28" t="n"/>
      <c r="J47" s="28" t="n"/>
      <c r="K47" s="28" t="n"/>
      <c r="L47" s="28" t="n"/>
      <c r="M47" s="28" t="n"/>
      <c r="N47" s="28" t="n"/>
      <c r="O47" s="28" t="n"/>
    </row>
    <row r="48">
      <c r="A48" s="28" t="n"/>
      <c r="B48" s="28" t="n"/>
      <c r="C48" s="28" t="n"/>
      <c r="D48" s="28" t="n"/>
      <c r="E48" s="28" t="n"/>
      <c r="F48" s="28" t="n"/>
      <c r="G48" s="28" t="n"/>
      <c r="H48" s="28" t="n"/>
      <c r="I48" s="28" t="n"/>
      <c r="J48" s="28" t="n"/>
      <c r="K48" s="28" t="n"/>
      <c r="L48" s="28" t="n"/>
      <c r="M48" s="28" t="n"/>
      <c r="N48" s="28" t="n"/>
      <c r="O48" s="28" t="n"/>
    </row>
    <row r="49">
      <c r="A49" s="28" t="n"/>
      <c r="B49" s="28" t="n"/>
      <c r="C49" s="28" t="n"/>
      <c r="D49" s="28" t="n"/>
      <c r="E49" s="28" t="n"/>
      <c r="F49" s="28" t="n"/>
      <c r="G49" s="28" t="n"/>
      <c r="H49" s="28" t="n"/>
      <c r="I49" s="28" t="n"/>
      <c r="J49" s="28" t="n"/>
      <c r="K49" s="28" t="n"/>
      <c r="L49" s="28" t="n"/>
      <c r="M49" s="28" t="n"/>
      <c r="N49" s="28" t="n"/>
      <c r="O49" s="28" t="n"/>
    </row>
    <row r="50">
      <c r="A50" s="28" t="n"/>
      <c r="B50" s="28" t="n"/>
      <c r="C50" s="28" t="n"/>
      <c r="D50" s="28" t="n"/>
      <c r="E50" s="28" t="n"/>
      <c r="F50" s="28" t="n"/>
      <c r="G50" s="28" t="n"/>
      <c r="H50" s="28" t="n"/>
      <c r="I50" s="28" t="n"/>
      <c r="J50" s="28" t="n"/>
      <c r="K50" s="28" t="n"/>
      <c r="L50" s="28" t="n"/>
      <c r="M50" s="28" t="n"/>
      <c r="N50" s="28" t="n"/>
      <c r="O50" s="28" t="n"/>
    </row>
    <row r="51">
      <c r="A51" s="28" t="n"/>
      <c r="B51" s="28" t="n"/>
      <c r="C51" s="28" t="n"/>
      <c r="D51" s="28" t="n"/>
      <c r="E51" s="28" t="n"/>
      <c r="F51" s="28" t="n"/>
      <c r="G51" s="28" t="n"/>
      <c r="H51" s="28" t="n"/>
      <c r="I51" s="28" t="n"/>
      <c r="J51" s="28" t="n"/>
      <c r="K51" s="28" t="n"/>
      <c r="L51" s="28" t="n"/>
      <c r="M51" s="28" t="n"/>
      <c r="N51" s="28" t="n"/>
      <c r="O51" s="28" t="n"/>
    </row>
    <row r="52">
      <c r="A52" s="28" t="n"/>
      <c r="B52" s="28" t="n"/>
      <c r="C52" s="28" t="n"/>
      <c r="D52" s="28" t="n"/>
      <c r="E52" s="28" t="n"/>
      <c r="F52" s="28" t="n"/>
      <c r="G52" s="28" t="n"/>
      <c r="H52" s="28" t="n"/>
      <c r="I52" s="28" t="n"/>
      <c r="J52" s="28" t="n"/>
      <c r="K52" s="28" t="n"/>
      <c r="L52" s="28" t="n"/>
      <c r="M52" s="28" t="n"/>
      <c r="N52" s="28" t="n"/>
      <c r="O52" s="28" t="n"/>
    </row>
    <row r="53">
      <c r="A53" s="28" t="n"/>
      <c r="B53" s="28" t="n"/>
      <c r="C53" s="28" t="n"/>
      <c r="D53" s="28" t="n"/>
      <c r="E53" s="28" t="n"/>
      <c r="F53" s="28" t="n"/>
      <c r="G53" s="28" t="n"/>
      <c r="H53" s="28" t="n"/>
      <c r="I53" s="28" t="n"/>
      <c r="J53" s="28" t="n"/>
      <c r="K53" s="28" t="n"/>
      <c r="L53" s="28" t="n"/>
      <c r="M53" s="28" t="n"/>
      <c r="N53" s="28" t="n"/>
      <c r="O53" s="28" t="n"/>
    </row>
    <row r="54">
      <c r="A54" s="28" t="n"/>
      <c r="B54" s="28" t="n"/>
      <c r="C54" s="28" t="n"/>
      <c r="D54" s="28" t="n"/>
      <c r="E54" s="28" t="n"/>
      <c r="F54" s="28" t="n"/>
      <c r="G54" s="28" t="n"/>
      <c r="H54" s="28" t="n"/>
      <c r="I54" s="28" t="n"/>
      <c r="J54" s="28" t="n"/>
      <c r="K54" s="28" t="n"/>
      <c r="L54" s="28" t="n"/>
      <c r="M54" s="28" t="n"/>
      <c r="N54" s="28" t="n"/>
      <c r="O54" s="28" t="n"/>
    </row>
    <row r="55">
      <c r="A55" s="28" t="n"/>
      <c r="B55" s="28" t="n"/>
      <c r="C55" s="28" t="n"/>
      <c r="D55" s="28" t="n"/>
      <c r="E55" s="28" t="n"/>
      <c r="F55" s="28" t="n"/>
      <c r="G55" s="28" t="n"/>
      <c r="H55" s="28" t="n"/>
      <c r="I55" s="28" t="n"/>
      <c r="J55" s="28" t="n"/>
      <c r="K55" s="28" t="n"/>
      <c r="L55" s="28" t="n"/>
      <c r="M55" s="28" t="n"/>
      <c r="N55" s="28" t="n"/>
      <c r="O55" s="28" t="n"/>
    </row>
    <row r="56">
      <c r="A56" s="28" t="n"/>
      <c r="B56" s="28" t="n"/>
      <c r="C56" s="28" t="n"/>
      <c r="D56" s="28" t="n"/>
      <c r="E56" s="28" t="n"/>
      <c r="F56" s="28" t="n"/>
      <c r="G56" s="28" t="n"/>
      <c r="H56" s="28" t="n"/>
      <c r="I56" s="28" t="n"/>
      <c r="J56" s="28" t="n"/>
      <c r="K56" s="28" t="n"/>
      <c r="L56" s="28" t="n"/>
      <c r="M56" s="28" t="n"/>
      <c r="N56" s="28" t="n"/>
      <c r="O56" s="28" t="n"/>
    </row>
    <row r="57">
      <c r="A57" s="28" t="n"/>
      <c r="B57" s="28" t="n"/>
      <c r="C57" s="28" t="n"/>
      <c r="D57" s="28" t="n"/>
      <c r="E57" s="28" t="n"/>
      <c r="F57" s="28" t="n"/>
      <c r="G57" s="28" t="n"/>
      <c r="H57" s="28" t="n"/>
      <c r="I57" s="28" t="n"/>
      <c r="J57" s="28" t="n"/>
      <c r="K57" s="28" t="n"/>
      <c r="L57" s="28" t="n"/>
      <c r="M57" s="28" t="n"/>
      <c r="N57" s="28" t="n"/>
      <c r="O57" s="28" t="n"/>
    </row>
    <row r="58">
      <c r="A58" s="28" t="n"/>
      <c r="B58" s="28" t="n"/>
      <c r="C58" s="28" t="n"/>
      <c r="D58" s="28" t="n"/>
      <c r="E58" s="28" t="n"/>
      <c r="F58" s="28" t="n"/>
      <c r="G58" s="28" t="n"/>
      <c r="H58" s="28" t="n"/>
      <c r="I58" s="28" t="n"/>
      <c r="J58" s="28" t="n"/>
      <c r="K58" s="28" t="n"/>
      <c r="L58" s="28" t="n"/>
      <c r="M58" s="28" t="n"/>
      <c r="N58" s="28" t="n"/>
      <c r="O58" s="28" t="n"/>
    </row>
    <row r="59">
      <c r="A59" s="28" t="n"/>
      <c r="B59" s="28" t="n"/>
      <c r="C59" s="28" t="n"/>
      <c r="D59" s="28" t="n"/>
      <c r="E59" s="28" t="n"/>
      <c r="F59" s="28" t="n"/>
      <c r="G59" s="28" t="n"/>
      <c r="H59" s="28" t="n"/>
      <c r="I59" s="28" t="n"/>
      <c r="J59" s="28" t="n"/>
      <c r="K59" s="28" t="n"/>
      <c r="L59" s="28" t="n"/>
      <c r="M59" s="28" t="n"/>
      <c r="N59" s="28" t="n"/>
      <c r="O59" s="28" t="n"/>
    </row>
    <row r="60">
      <c r="A60" s="28" t="n"/>
      <c r="B60" s="28" t="n"/>
      <c r="C60" s="28" t="n"/>
      <c r="D60" s="28" t="n"/>
      <c r="E60" s="28" t="n"/>
      <c r="F60" s="28" t="n"/>
      <c r="G60" s="28" t="n"/>
      <c r="H60" s="28" t="n"/>
      <c r="I60" s="28" t="n"/>
      <c r="J60" s="28" t="n"/>
      <c r="K60" s="28" t="n"/>
      <c r="L60" s="28" t="n"/>
      <c r="M60" s="28" t="n"/>
      <c r="N60" s="28" t="n"/>
      <c r="O60" s="28" t="n"/>
    </row>
    <row r="61">
      <c r="A61" s="28" t="n"/>
      <c r="B61" s="28" t="n"/>
      <c r="C61" s="28" t="n"/>
      <c r="D61" s="28" t="n"/>
      <c r="E61" s="28" t="n"/>
      <c r="F61" s="28" t="n"/>
      <c r="G61" s="28" t="n"/>
      <c r="H61" s="28" t="n"/>
      <c r="I61" s="28" t="n"/>
      <c r="J61" s="28" t="n"/>
      <c r="K61" s="28" t="n"/>
      <c r="L61" s="28" t="n"/>
      <c r="M61" s="28" t="n"/>
      <c r="N61" s="28" t="n"/>
      <c r="O61" s="28" t="n"/>
    </row>
    <row r="62">
      <c r="A62" s="28" t="n"/>
      <c r="B62" s="28" t="n"/>
      <c r="C62" s="28" t="n"/>
      <c r="D62" s="28" t="n"/>
      <c r="E62" s="28" t="n"/>
      <c r="F62" s="28" t="n"/>
      <c r="G62" s="28" t="n"/>
      <c r="H62" s="28" t="n"/>
      <c r="I62" s="28" t="n"/>
      <c r="J62" s="28" t="n"/>
      <c r="K62" s="28" t="n"/>
      <c r="L62" s="28" t="n"/>
      <c r="M62" s="28" t="n"/>
      <c r="N62" s="28" t="n"/>
      <c r="O62" s="28" t="n"/>
    </row>
    <row r="63">
      <c r="A63" s="28" t="n"/>
      <c r="B63" s="28" t="n"/>
      <c r="C63" s="28" t="n"/>
      <c r="D63" s="28" t="n"/>
      <c r="E63" s="28" t="n"/>
      <c r="F63" s="28" t="n"/>
      <c r="G63" s="28" t="n"/>
      <c r="H63" s="28" t="n"/>
      <c r="I63" s="28" t="n"/>
      <c r="J63" s="28" t="n"/>
      <c r="K63" s="28" t="n"/>
      <c r="L63" s="28" t="n"/>
      <c r="M63" s="28" t="n"/>
      <c r="N63" s="28" t="n"/>
      <c r="O63" s="28" t="n"/>
    </row>
    <row r="64">
      <c r="A64" s="28" t="n"/>
      <c r="B64" s="28" t="n"/>
      <c r="C64" s="28" t="n"/>
      <c r="D64" s="28" t="n"/>
      <c r="E64" s="28" t="n"/>
      <c r="F64" s="28" t="n"/>
      <c r="G64" s="28" t="n"/>
      <c r="H64" s="28" t="n"/>
      <c r="I64" s="28" t="n"/>
      <c r="J64" s="28" t="n"/>
      <c r="K64" s="28" t="n"/>
      <c r="L64" s="28" t="n"/>
      <c r="M64" s="28" t="n"/>
      <c r="N64" s="28" t="n"/>
      <c r="O64" s="28" t="n"/>
    </row>
    <row r="65">
      <c r="A65" s="28" t="n"/>
      <c r="B65" s="28" t="n"/>
      <c r="C65" s="28" t="n"/>
      <c r="D65" s="28" t="n"/>
      <c r="E65" s="28" t="n"/>
      <c r="F65" s="28" t="n"/>
      <c r="G65" s="28" t="n"/>
      <c r="H65" s="28" t="n"/>
      <c r="I65" s="28" t="n"/>
      <c r="J65" s="28" t="n"/>
      <c r="K65" s="28" t="n"/>
      <c r="L65" s="28" t="n"/>
      <c r="M65" s="28" t="n"/>
      <c r="N65" s="28" t="n"/>
      <c r="O65" s="28" t="n"/>
    </row>
    <row r="66">
      <c r="A66" s="28" t="n"/>
      <c r="B66" s="28" t="n"/>
      <c r="C66" s="28" t="n"/>
      <c r="D66" s="28" t="n"/>
      <c r="E66" s="28" t="n"/>
      <c r="F66" s="28" t="n"/>
      <c r="G66" s="28" t="n"/>
      <c r="H66" s="28" t="n"/>
      <c r="I66" s="28" t="n"/>
      <c r="J66" s="28" t="n"/>
      <c r="K66" s="28" t="n"/>
      <c r="L66" s="28" t="n"/>
      <c r="M66" s="28" t="n"/>
      <c r="N66" s="28" t="n"/>
      <c r="O66" s="28" t="n"/>
    </row>
    <row r="67">
      <c r="A67" s="28" t="n"/>
      <c r="B67" s="28" t="n"/>
      <c r="C67" s="28" t="n"/>
      <c r="D67" s="28" t="n"/>
      <c r="E67" s="28" t="n"/>
      <c r="F67" s="28" t="n"/>
      <c r="G67" s="28" t="n"/>
      <c r="H67" s="28" t="n"/>
      <c r="I67" s="28" t="n"/>
      <c r="J67" s="28" t="n"/>
      <c r="K67" s="28" t="n"/>
      <c r="L67" s="28" t="n"/>
      <c r="M67" s="28" t="n"/>
      <c r="N67" s="28" t="n"/>
      <c r="O67" s="28" t="n"/>
    </row>
    <row r="68">
      <c r="A68" s="28" t="n"/>
      <c r="B68" s="28" t="n"/>
      <c r="C68" s="28" t="n"/>
      <c r="D68" s="28" t="n"/>
      <c r="E68" s="28" t="n"/>
      <c r="F68" s="28" t="n"/>
      <c r="G68" s="28" t="n"/>
      <c r="H68" s="28" t="n"/>
      <c r="I68" s="28" t="n"/>
      <c r="J68" s="28" t="n"/>
      <c r="K68" s="28" t="n"/>
      <c r="L68" s="28" t="n"/>
      <c r="M68" s="28" t="n"/>
      <c r="N68" s="28" t="n"/>
      <c r="O68" s="28" t="n"/>
    </row>
    <row r="69">
      <c r="A69" s="28" t="n"/>
      <c r="B69" s="28" t="n"/>
      <c r="C69" s="28" t="n"/>
      <c r="D69" s="28" t="n"/>
      <c r="E69" s="28" t="n"/>
      <c r="F69" s="28" t="n"/>
      <c r="G69" s="28" t="n"/>
      <c r="H69" s="28" t="n"/>
      <c r="I69" s="28" t="n"/>
      <c r="J69" s="28" t="n"/>
      <c r="K69" s="28" t="n"/>
      <c r="L69" s="28" t="n"/>
      <c r="M69" s="28" t="n"/>
      <c r="N69" s="28" t="n"/>
      <c r="O69" s="28" t="n"/>
    </row>
    <row r="70">
      <c r="A70" s="28" t="n"/>
      <c r="B70" s="28" t="n"/>
      <c r="C70" s="28" t="n"/>
      <c r="D70" s="28" t="n"/>
      <c r="E70" s="28" t="n"/>
      <c r="F70" s="28" t="n"/>
      <c r="G70" s="28" t="n"/>
      <c r="H70" s="28" t="n"/>
      <c r="I70" s="28" t="n"/>
      <c r="J70" s="28" t="n"/>
      <c r="K70" s="28" t="n"/>
      <c r="L70" s="28" t="n"/>
      <c r="M70" s="28" t="n"/>
      <c r="N70" s="28" t="n"/>
      <c r="O70" s="28"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5" t="inlineStr">
        <is>
          <t>PLAN DE FINANCIACIÓN</t>
        </is>
      </c>
      <c r="B1" s="28" t="n"/>
      <c r="C1" s="28" t="n"/>
      <c r="D1" s="28" t="n"/>
      <c r="E1" s="28" t="n"/>
      <c r="F1" s="28" t="n"/>
      <c r="G1" s="28" t="n"/>
      <c r="H1" s="28" t="n"/>
    </row>
    <row r="2" ht="45" customHeight="1">
      <c r="A2" s="46" t="inlineStr">
        <is>
          <t>Qué hace falta, de dónde sale y cuánto cuesta devolverlo. Es la hoja que el banco pide junto con el P&amp;L.</t>
        </is>
      </c>
      <c r="B2" s="28" t="n"/>
      <c r="C2" s="28" t="n"/>
      <c r="D2" s="28" t="n"/>
      <c r="E2" s="28" t="n"/>
      <c r="F2" s="28" t="n"/>
      <c r="G2" s="28" t="n"/>
      <c r="H2" s="28" t="n"/>
    </row>
    <row r="3">
      <c r="A3" s="28" t="n"/>
      <c r="B3" s="28" t="n"/>
      <c r="C3" s="28" t="n"/>
      <c r="D3" s="28" t="n"/>
      <c r="E3" s="28" t="n"/>
      <c r="F3" s="28" t="n"/>
      <c r="G3" s="28" t="n"/>
      <c r="H3" s="28" t="n"/>
    </row>
    <row r="4">
      <c r="A4" s="25" t="inlineStr">
        <is>
          <t>Concepto</t>
        </is>
      </c>
      <c r="B4" s="25" t="inlineStr">
        <is>
          <t>Importe</t>
        </is>
      </c>
      <c r="C4" s="25" t="inlineStr">
        <is>
          <t>Notas</t>
        </is>
      </c>
      <c r="D4" s="28" t="n"/>
      <c r="E4" s="28" t="n"/>
      <c r="F4" s="28" t="n"/>
      <c r="G4" s="28" t="n"/>
      <c r="H4" s="28" t="n"/>
    </row>
    <row r="5">
      <c r="A5" s="25" t="inlineStr">
        <is>
          <t>ORIGEN DE FONDOS</t>
        </is>
      </c>
      <c r="B5" s="28" t="n"/>
      <c r="C5" s="28" t="n"/>
      <c r="D5" s="28" t="n"/>
      <c r="E5" s="28" t="n"/>
      <c r="F5" s="28" t="n"/>
      <c r="G5" s="28" t="n"/>
      <c r="H5" s="28" t="n"/>
    </row>
    <row r="6">
      <c r="A6" s="28" t="inlineStr">
        <is>
          <t>Recursos propios de los socios</t>
        </is>
      </c>
      <c r="B6" s="32">
        <f>IFERROR(IF('0. Supuestos'!$B$30="","",'0. Supuestos'!$B$30),"")</f>
        <v>55000.0</v>
      </c>
      <c r="C6" s="28" t="n"/>
      <c r="D6" s="28" t="n"/>
      <c r="E6" s="28" t="n"/>
      <c r="F6" s="28" t="n"/>
      <c r="G6" s="28" t="n"/>
      <c r="H6" s="28" t="n"/>
    </row>
    <row r="7">
      <c r="A7" s="28" t="inlineStr">
        <is>
          <t>Préstamo bancario</t>
        </is>
      </c>
      <c r="B7" s="32">
        <f>IFERROR(IF('0. Supuestos'!$B$31="","",'0. Supuestos'!$B$31),"")</f>
        <v>129000.0</v>
      </c>
      <c r="C7" s="28" t="n"/>
      <c r="D7" s="28" t="n"/>
      <c r="E7" s="28" t="n"/>
      <c r="F7" s="28" t="n"/>
      <c r="G7" s="28" t="n"/>
      <c r="H7" s="28" t="n"/>
    </row>
    <row r="8">
      <c r="A8" s="28" t="inlineStr">
        <is>
          <t>Línea ICO (avalada por el ICO, la concede tu banco)</t>
        </is>
      </c>
      <c r="B8" s="29" t="n">
        <v>0</v>
      </c>
      <c r="C8" s="28" t="inlineStr">
        <is>
          <t>Consulta las líneas del ejercicio en curso en ico.es</t>
        </is>
      </c>
      <c r="D8" s="28" t="n"/>
      <c r="E8" s="28" t="n"/>
      <c r="F8" s="28" t="n"/>
      <c r="G8" s="28" t="n"/>
      <c r="H8" s="28" t="n"/>
    </row>
    <row r="9">
      <c r="A9" s="28" t="inlineStr">
        <is>
          <t>Préstamo participativo ENISA</t>
        </is>
      </c>
      <c r="B9" s="29" t="n">
        <v>0</v>
      </c>
      <c r="C9" s="28" t="inlineStr">
        <is>
          <t>Para sociedades; sin garantías personales</t>
        </is>
      </c>
      <c r="D9" s="28" t="n"/>
      <c r="E9" s="28" t="n"/>
      <c r="F9" s="28" t="n"/>
      <c r="G9" s="28" t="n"/>
      <c r="H9" s="28" t="n"/>
    </row>
    <row r="10">
      <c r="A10" s="28" t="inlineStr">
        <is>
          <t>Business angels o socios inversores</t>
        </is>
      </c>
      <c r="B10" s="29" t="n">
        <v>0</v>
      </c>
      <c r="C10" s="28" t="inlineStr">
        <is>
          <t>Entra en el capital: diluye, no se devuelve</t>
        </is>
      </c>
      <c r="D10" s="28" t="n"/>
      <c r="E10" s="28" t="n"/>
      <c r="F10" s="28" t="n"/>
      <c r="G10" s="28" t="n"/>
      <c r="H10" s="28" t="n"/>
    </row>
    <row r="11">
      <c r="A11" s="28" t="inlineStr">
        <is>
          <t>Subvenciones autonómicas o locales</t>
        </is>
      </c>
      <c r="B11" s="29" t="n">
        <v>0</v>
      </c>
      <c r="C11" s="28" t="inlineStr">
        <is>
          <t>Suelen cobrarse DESPUÉS de justificar el gasto</t>
        </is>
      </c>
      <c r="D11" s="28" t="n"/>
      <c r="E11" s="28" t="n"/>
      <c r="F11" s="28" t="n"/>
      <c r="G11" s="28" t="n"/>
      <c r="H11" s="28" t="n"/>
    </row>
    <row r="12">
      <c r="A12" s="25" t="inlineStr">
        <is>
          <t>TOTAL ORIGEN DE FONDOS</t>
        </is>
      </c>
      <c r="B12" s="26">
        <f>IFERROR(IF(COUNT(B6:B11)=0,"",SUM(B6:B11)),"")</f>
        <v>184000.0</v>
      </c>
      <c r="C12" s="28" t="n"/>
      <c r="D12" s="28" t="n"/>
      <c r="E12" s="28" t="n"/>
      <c r="F12" s="28" t="n"/>
      <c r="G12" s="28" t="n"/>
      <c r="H12" s="28" t="n"/>
    </row>
    <row r="13">
      <c r="A13" s="25" t="inlineStr">
        <is>
          <t>USOS</t>
        </is>
      </c>
      <c r="B13" s="28" t="n"/>
      <c r="C13" s="28" t="n"/>
      <c r="D13" s="28" t="n"/>
      <c r="E13" s="28" t="n"/>
      <c r="F13" s="28" t="n"/>
      <c r="G13" s="28" t="n"/>
      <c r="H13" s="28" t="n"/>
    </row>
    <row r="14">
      <c r="A14" s="28" t="inlineStr">
        <is>
          <t>Necesidad total de caja al arranque</t>
        </is>
      </c>
      <c r="B14" s="32">
        <f>IFERROR(IF('Inversión Inicial'!$B$34="","",'Inversión Inicial'!$B$34),"")</f>
        <v>183169.825</v>
      </c>
      <c r="C14" s="28" t="inlineStr">
        <is>
          <t>Inversión más el IVA que hay que adelantar</t>
        </is>
      </c>
      <c r="D14" s="28" t="n"/>
      <c r="E14" s="28" t="n"/>
      <c r="F14" s="28" t="n"/>
      <c r="G14" s="28" t="n"/>
      <c r="H14" s="28" t="n"/>
    </row>
    <row r="15">
      <c r="A15" s="25" t="inlineStr">
        <is>
          <t>Diferencia (origen - usos)</t>
        </is>
      </c>
      <c r="B15" s="26">
        <f>IFERROR(B12-B14,"")</f>
        <v>830.1749999999884</v>
      </c>
      <c r="C15" s="25" t="inlineStr">
        <is>
          <t>En rojo (negativa) el plan NO está financiado. Muy por encima de cero tampoco es gratis: se pagan intereses por un dinero que no se usa</t>
        </is>
      </c>
      <c r="D15" s="28" t="n"/>
      <c r="E15" s="28" t="n"/>
      <c r="F15" s="28" t="n"/>
      <c r="G15" s="28" t="n"/>
      <c r="H15" s="28" t="n"/>
    </row>
    <row r="16">
      <c r="A16" s="28" t="inlineStr">
        <is>
          <t>Diferencia sobre los usos (%)</t>
        </is>
      </c>
      <c r="B16" s="67">
        <f>IFERROR(B15/B14,"")</f>
        <v>0.0045322694390300825</v>
      </c>
      <c r="C16" s="28" t="inlineStr">
        <is>
          <t>Ámbar por encima del margen que fijes: es deuda que pagas sin necesitarla</t>
        </is>
      </c>
      <c r="D16" s="28" t="n"/>
      <c r="E16" s="28" t="n"/>
      <c r="F16" s="28" t="n"/>
      <c r="G16" s="28" t="n"/>
      <c r="H16" s="28" t="n"/>
    </row>
    <row r="17">
      <c r="A17" s="28" t="inlineStr">
        <is>
          <t>Exceso de financiación admisible (%)</t>
        </is>
      </c>
      <c r="B17" s="75" t="n">
        <v>0.05</v>
      </c>
      <c r="C17" s="28" t="inlineStr">
        <is>
          <t>Un pequeño colchón sobre la necesidad es sano; un 20 % de más son intereses tirados</t>
        </is>
      </c>
      <c r="D17" s="28" t="n"/>
      <c r="E17" s="28" t="n"/>
      <c r="F17" s="28" t="n"/>
      <c r="G17" s="28" t="n"/>
      <c r="H17" s="28" t="n"/>
    </row>
    <row r="18">
      <c r="A18" s="28" t="inlineStr">
        <is>
          <t>Préstamo que ajustaría el origen a la necesidad</t>
        </is>
      </c>
      <c r="B18" s="32">
        <f>IFERROR(MAX(0,B14-B12+B7),"")</f>
        <v>128169.82500000001</v>
      </c>
      <c r="C18" s="28" t="inlineStr">
        <is>
          <t>Cópialo en «Préstamo bancario solicitado» de la hoja de Supuestos y la diferencia se pone a cero</t>
        </is>
      </c>
      <c r="D18" s="28" t="n"/>
      <c r="E18" s="28" t="n"/>
      <c r="F18" s="28" t="n"/>
      <c r="G18" s="28" t="n"/>
      <c r="H18" s="28" t="n"/>
    </row>
    <row r="19">
      <c r="A19" s="25" t="inlineStr">
        <is>
          <t>CONDICIONES DEL PRÉSTAMO</t>
        </is>
      </c>
      <c r="B19" s="28" t="n"/>
      <c r="C19" s="28" t="n"/>
      <c r="D19" s="28" t="n"/>
      <c r="E19" s="28" t="n"/>
      <c r="F19" s="28" t="n"/>
      <c r="G19" s="28" t="n"/>
      <c r="H19" s="28" t="n"/>
    </row>
    <row r="20">
      <c r="A20" s="28" t="inlineStr">
        <is>
          <t>Importe del principal</t>
        </is>
      </c>
      <c r="B20" s="32">
        <f>IFERROR(IF('0. Supuestos'!$B$31=0,"",'0. Supuestos'!$B$31),"")</f>
        <v>129000.0</v>
      </c>
      <c r="C20" s="28" t="n"/>
      <c r="D20" s="28" t="n"/>
      <c r="E20" s="28" t="n"/>
      <c r="F20" s="28" t="n"/>
      <c r="G20" s="28" t="n"/>
      <c r="H20" s="28" t="n"/>
    </row>
    <row r="21">
      <c r="A21" s="28" t="inlineStr">
        <is>
          <t>Tipo de interés nominal anual</t>
        </is>
      </c>
      <c r="B21" s="67">
        <f>IFERROR(IF('0. Supuestos'!$B$32="","",'0. Supuestos'!$B$32),"")</f>
        <v>0.06</v>
      </c>
      <c r="C21" s="28" t="n"/>
      <c r="D21" s="28" t="n"/>
      <c r="E21" s="28" t="n"/>
      <c r="F21" s="28" t="n"/>
      <c r="G21" s="28" t="n"/>
      <c r="H21" s="28" t="n"/>
    </row>
    <row r="22">
      <c r="A22" s="28" t="inlineStr">
        <is>
          <t>Plazo total (años)</t>
        </is>
      </c>
      <c r="B22" s="39">
        <f>IFERROR(IF('0. Supuestos'!$B$33="","",'0. Supuestos'!$B$33),"")</f>
        <v>7.0</v>
      </c>
      <c r="C22" s="28" t="n"/>
      <c r="D22" s="28" t="n"/>
      <c r="E22" s="28" t="n"/>
      <c r="F22" s="28" t="n"/>
      <c r="G22" s="28" t="n"/>
      <c r="H22" s="28" t="n"/>
    </row>
    <row r="23">
      <c r="A23" s="28" t="inlineStr">
        <is>
          <t>Carencia de principal aplicada (años)</t>
        </is>
      </c>
      <c r="B23" s="39">
        <f>IFERROR(IF(OR('0. Supuestos'!$B$34="",'0. Supuestos'!$B$33=""),"",IF('0. Supuestos'!$B$34&gt;='0. Supuestos'!$B$33,0,'0. Supuestos'!$B$34)),"")</f>
        <v>1.0</v>
      </c>
      <c r="C23" s="28" t="inlineStr">
        <is>
          <t>Una carencia igual o mayor que el plazo no existe: la hoja la anula en origen</t>
        </is>
      </c>
      <c r="D23" s="28" t="n"/>
      <c r="E23" s="28" t="n"/>
      <c r="F23" s="28" t="n"/>
      <c r="G23" s="28" t="n"/>
      <c r="H23" s="28" t="n"/>
    </row>
    <row r="24">
      <c r="A24" s="25" t="inlineStr">
        <is>
          <t>Cuota anual durante la amortización</t>
        </is>
      </c>
      <c r="B24" s="72">
        <f>IFERROR(IF(B22-B23&lt;=0,"",IF(B21=0,B20/(B22-B23),B20*B21/(1-(1+B21)^-(B22-B23)))),"")</f>
        <v>26233.7790732615</v>
      </c>
      <c r="C24" s="25" t="inlineStr">
        <is>
          <t>Sistema francés, anualidad algebraica. Con el tipo al 0 % es el principal entre los años de amortización: sin esa rama el cuadro se apagaba entero</t>
        </is>
      </c>
      <c r="D24" s="28" t="n"/>
      <c r="E24" s="28" t="n"/>
      <c r="F24" s="28" t="n"/>
      <c r="G24" s="28" t="n"/>
      <c r="H24" s="28" t="n"/>
    </row>
    <row r="25">
      <c r="A25" s="25" t="inlineStr">
        <is>
          <t>CUADRO DE AMORTIZACIÓN</t>
        </is>
      </c>
      <c r="B25" s="28" t="n"/>
      <c r="C25" s="28" t="n"/>
      <c r="D25" s="28" t="n"/>
      <c r="E25" s="28" t="n"/>
      <c r="F25" s="28" t="n"/>
      <c r="G25" s="28" t="n"/>
      <c r="H25" s="28" t="n"/>
    </row>
    <row r="26">
      <c r="A26" s="25" t="inlineStr">
        <is>
          <t>Año</t>
        </is>
      </c>
      <c r="B26" s="25" t="inlineStr">
        <is>
          <t>Capital pendiente</t>
        </is>
      </c>
      <c r="C26" s="25" t="inlineStr">
        <is>
          <t>Intereses</t>
        </is>
      </c>
      <c r="D26" s="25" t="inlineStr">
        <is>
          <t>Amortización de principal</t>
        </is>
      </c>
      <c r="E26" s="25" t="inlineStr">
        <is>
          <t>Cuota total</t>
        </is>
      </c>
      <c r="F26" s="25" t="inlineStr">
        <is>
          <t>Capital al cierre</t>
        </is>
      </c>
      <c r="G26" s="25" t="inlineStr">
        <is>
          <t>Flujo disponible para la deuda (después de impuestos; del año 4 en adelante, el del año 3 mantenido)</t>
        </is>
      </c>
      <c r="H26" s="25" t="inlineStr">
        <is>
          <t>DSCR del año</t>
        </is>
      </c>
    </row>
    <row r="27">
      <c r="A27" s="39" t="n">
        <v>1</v>
      </c>
      <c r="B27" s="69">
        <f>IFERROR(IF(B20="","",B20),"")</f>
        <v>129000.0</v>
      </c>
      <c r="C27" s="69">
        <f>IFERROR(IF(OR(1&gt;B22,B27=""),"",B27*B21),"")</f>
        <v>7740.0</v>
      </c>
      <c r="D27" s="69">
        <f>IFERROR(IF(OR(1&gt;B22,B27=""),"",IF(1&lt;=B23,0,MIN(B27,B24-C27))),"")</f>
        <v>0.0</v>
      </c>
      <c r="E27" s="69">
        <f>IFERROR(IF(C27="","",C27+D27),"")</f>
        <v>7740.0</v>
      </c>
      <c r="F27" s="69">
        <f>IFERROR(IF(D27="","",B27-D27),"")</f>
        <v>129000.0</v>
      </c>
      <c r="G27" s="69">
        <f>IFERROR(IF(E27="","",'PyG 3 Años'!$B$41-'PyG 3 Años'!$B$46+'PyG 3 Años'!$B$36+'PyG 3 Años'!$B$37),"")</f>
        <v>30984.580099999996</v>
      </c>
      <c r="H27" s="60">
        <f>IFERROR(IF(OR(E27="",E27=0),"",G27/E27),"")</f>
        <v>4.003175723514211</v>
      </c>
    </row>
    <row r="28">
      <c r="A28" s="39" t="n">
        <v>2</v>
      </c>
      <c r="B28" s="69">
        <f>IFERROR(IF(OR(2&gt;B22,F27=""),"",F27),"")</f>
        <v>129000.0</v>
      </c>
      <c r="C28" s="69">
        <f>IFERROR(IF(OR(2&gt;B22,B28=""),"",B28*B21),"")</f>
        <v>7740.0</v>
      </c>
      <c r="D28" s="69">
        <f>IFERROR(IF(OR(2&gt;B22,B28=""),"",IF(2&lt;=B23,0,MIN(B28,B24-C28))),"")</f>
        <v>18493.7790732615</v>
      </c>
      <c r="E28" s="69">
        <f>IFERROR(IF(C28="","",C28+D28),"")</f>
        <v>26233.7790732615</v>
      </c>
      <c r="F28" s="69">
        <f>IFERROR(IF(D28="","",B28-D28),"")</f>
        <v>110506.2209267385</v>
      </c>
      <c r="G28" s="69">
        <f>IFERROR(IF(E28="","",'PyG 3 Años'!$C$41-'PyG 3 Años'!$C$46+'PyG 3 Años'!$C$36+'PyG 3 Años'!$C$37),"")</f>
        <v>36489.982908</v>
      </c>
      <c r="H28" s="60">
        <f>IFERROR(IF(OR(E28="",E28=0),"",G28/E28),"")</f>
        <v>1.39095411324829</v>
      </c>
    </row>
    <row r="29">
      <c r="A29" s="39" t="n">
        <v>3</v>
      </c>
      <c r="B29" s="69">
        <f>IFERROR(IF(OR(3&gt;B22,F28=""),"",F28),"")</f>
        <v>110506.2209267385</v>
      </c>
      <c r="C29" s="69">
        <f>IFERROR(IF(OR(3&gt;B22,B29=""),"",B29*B21),"")</f>
        <v>6630.37325560431</v>
      </c>
      <c r="D29" s="69">
        <f>IFERROR(IF(OR(3&gt;B22,B29=""),"",IF(3&lt;=B23,0,MIN(B29,B24-C29))),"")</f>
        <v>19603.40581765719</v>
      </c>
      <c r="E29" s="69">
        <f>IFERROR(IF(C29="","",C29+D29),"")</f>
        <v>26233.7790732615</v>
      </c>
      <c r="F29" s="69">
        <f>IFERROR(IF(D29="","",B29-D29),"")</f>
        <v>90902.81510908132</v>
      </c>
      <c r="G29" s="69">
        <f>IFERROR(IF(E29="","",'PyG 3 Años'!$D$41-'PyG 3 Años'!$D$46+'PyG 3 Años'!$D$36+'PyG 3 Años'!$D$37),"")</f>
        <v>35901.384316901116</v>
      </c>
      <c r="H29" s="60">
        <f>IFERROR(IF(OR(E29="",E29=0),"",G29/E29),"")</f>
        <v>1.368517445261755</v>
      </c>
    </row>
    <row r="30">
      <c r="A30" s="39" t="n">
        <v>4</v>
      </c>
      <c r="B30" s="69">
        <f>IFERROR(IF(OR(4&gt;B22,F29=""),"",F29),"")</f>
        <v>90902.81510908132</v>
      </c>
      <c r="C30" s="69">
        <f>IFERROR(IF(OR(4&gt;B22,B30=""),"",B30*B21),"")</f>
        <v>5454.168906544879</v>
      </c>
      <c r="D30" s="69">
        <f>IFERROR(IF(OR(4&gt;B22,B30=""),"",IF(4&lt;=B23,0,MIN(B30,B24-C30))),"")</f>
        <v>20779.610166716622</v>
      </c>
      <c r="E30" s="69">
        <f>IFERROR(IF(C30="","",C30+D30),"")</f>
        <v>26233.779073261503</v>
      </c>
      <c r="F30" s="69">
        <f>IFERROR(IF(D30="","",B30-D30),"")</f>
        <v>70123.2049423647</v>
      </c>
      <c r="G30" s="69">
        <f>IFERROR(IF(E30="","",'PyG 3 Años'!$D$41-'PyG 3 Años'!$D$46+'PyG 3 Años'!$D$36+'PyG 3 Años'!$D$37),"")</f>
        <v>35901.384316901116</v>
      </c>
      <c r="H30" s="60">
        <f>IFERROR(IF(OR(E30="",E30=0),"",G30/E30),"")</f>
        <v>1.3685174452617548</v>
      </c>
    </row>
    <row r="31">
      <c r="A31" s="39" t="n">
        <v>5</v>
      </c>
      <c r="B31" s="69">
        <f>IFERROR(IF(OR(5&gt;B22,F30=""),"",F30),"")</f>
        <v>70123.2049423647</v>
      </c>
      <c r="C31" s="69">
        <f>IFERROR(IF(OR(5&gt;B22,B31=""),"",B31*B21),"")</f>
        <v>4207.3922965418815</v>
      </c>
      <c r="D31" s="69">
        <f>IFERROR(IF(OR(5&gt;B22,B31=""),"",IF(5&lt;=B23,0,MIN(B31,B24-C31))),"")</f>
        <v>22026.386776719617</v>
      </c>
      <c r="E31" s="69">
        <f>IFERROR(IF(C31="","",C31+D31),"")</f>
        <v>26233.7790732615</v>
      </c>
      <c r="F31" s="69">
        <f>IFERROR(IF(D31="","",B31-D31),"")</f>
        <v>48096.818165645076</v>
      </c>
      <c r="G31" s="69">
        <f>IFERROR(IF(E31="","",'PyG 3 Años'!$D$41-'PyG 3 Años'!$D$46+'PyG 3 Años'!$D$36+'PyG 3 Años'!$D$37),"")</f>
        <v>35901.384316901116</v>
      </c>
      <c r="H31" s="60">
        <f>IFERROR(IF(OR(E31="",E31=0),"",G31/E31),"")</f>
        <v>1.368517445261755</v>
      </c>
    </row>
    <row r="32">
      <c r="A32" s="39" t="n">
        <v>6</v>
      </c>
      <c r="B32" s="69">
        <f>IFERROR(IF(OR(6&gt;B22,F31=""),"",F31),"")</f>
        <v>48096.818165645076</v>
      </c>
      <c r="C32" s="69">
        <f>IFERROR(IF(OR(6&gt;B22,B32=""),"",B32*B21),"")</f>
        <v>2885.8090899387043</v>
      </c>
      <c r="D32" s="69">
        <f>IFERROR(IF(OR(6&gt;B22,B32=""),"",IF(6&lt;=B23,0,MIN(B32,B24-C32))),"")</f>
        <v>23347.969983322793</v>
      </c>
      <c r="E32" s="69">
        <f>IFERROR(IF(C32="","",C32+D32),"")</f>
        <v>26233.779073261496</v>
      </c>
      <c r="F32" s="69">
        <f>IFERROR(IF(D32="","",B32-D32),"")</f>
        <v>24748.848182322283</v>
      </c>
      <c r="G32" s="69">
        <f>IFERROR(IF(E32="","",'PyG 3 Años'!$D$41-'PyG 3 Años'!$D$46+'PyG 3 Años'!$D$36+'PyG 3 Años'!$D$37),"")</f>
        <v>35901.384316901116</v>
      </c>
      <c r="H32" s="60">
        <f>IFERROR(IF(OR(E32="",E32=0),"",G32/E32),"")</f>
        <v>1.3685174452617552</v>
      </c>
    </row>
    <row r="33">
      <c r="A33" s="39" t="n">
        <v>7</v>
      </c>
      <c r="B33" s="69">
        <f>IFERROR(IF(OR(7&gt;B22,F32=""),"",F32),"")</f>
        <v>24748.848182322283</v>
      </c>
      <c r="C33" s="69">
        <f>IFERROR(IF(OR(7&gt;B22,B33=""),"",B33*B21),"")</f>
        <v>1484.930890939337</v>
      </c>
      <c r="D33" s="69">
        <f>IFERROR(IF(OR(7&gt;B22,B33=""),"",IF(7&lt;=B23,0,MIN(B33,B24-C33))),"")</f>
        <v>24748.848182322163</v>
      </c>
      <c r="E33" s="69">
        <f>IFERROR(IF(C33="","",C33+D33),"")</f>
        <v>26233.7790732615</v>
      </c>
      <c r="F33" s="69">
        <f>IFERROR(IF(D33="","",B33-D33),"")</f>
        <v>1.2005330063402653e-10</v>
      </c>
      <c r="G33" s="69">
        <f>IFERROR(IF(E33="","",'PyG 3 Años'!$D$41-'PyG 3 Años'!$D$46+'PyG 3 Años'!$D$36+'PyG 3 Años'!$D$37),"")</f>
        <v>35901.384316901116</v>
      </c>
      <c r="H33" s="60">
        <f>IFERROR(IF(OR(E33="",E33=0),"",G33/E33),"")</f>
        <v>1.368517445261755</v>
      </c>
    </row>
    <row r="34">
      <c r="A34" s="39" t="n">
        <v>8</v>
      </c>
      <c r="B34" s="69">
        <f>IFERROR(IF(OR(8&gt;B22,F33=""),"",F33),"")</f>
        <v/>
      </c>
      <c r="C34" s="69">
        <f>IFERROR(IF(OR(8&gt;B22,B34=""),"",B34*B21),"")</f>
        <v/>
      </c>
      <c r="D34" s="69">
        <f>IFERROR(IF(OR(8&gt;B22,B34=""),"",IF(8&lt;=B23,0,MIN(B34,B24-C34))),"")</f>
        <v/>
      </c>
      <c r="E34" s="69">
        <f>IFERROR(IF(C34="","",C34+D34),"")</f>
        <v/>
      </c>
      <c r="F34" s="69">
        <f>IFERROR(IF(D34="","",B34-D34),"")</f>
        <v/>
      </c>
      <c r="G34" s="69">
        <f>IFERROR(IF(E34="","",'PyG 3 Años'!$D$41-'PyG 3 Años'!$D$46+'PyG 3 Años'!$D$36+'PyG 3 Años'!$D$37),"")</f>
        <v/>
      </c>
      <c r="H34" s="60">
        <f>IFERROR(IF(OR(E34="",E34=0),"",G34/E34),"")</f>
        <v/>
      </c>
    </row>
    <row r="35">
      <c r="A35" s="39" t="n">
        <v>9</v>
      </c>
      <c r="B35" s="69">
        <f>IFERROR(IF(OR(9&gt;B22,F34=""),"",F34),"")</f>
        <v/>
      </c>
      <c r="C35" s="69">
        <f>IFERROR(IF(OR(9&gt;B22,B35=""),"",B35*B21),"")</f>
        <v/>
      </c>
      <c r="D35" s="69">
        <f>IFERROR(IF(OR(9&gt;B22,B35=""),"",IF(9&lt;=B23,0,MIN(B35,B24-C35))),"")</f>
        <v/>
      </c>
      <c r="E35" s="69">
        <f>IFERROR(IF(C35="","",C35+D35),"")</f>
        <v/>
      </c>
      <c r="F35" s="69">
        <f>IFERROR(IF(D35="","",B35-D35),"")</f>
        <v/>
      </c>
      <c r="G35" s="69">
        <f>IFERROR(IF(E35="","",'PyG 3 Años'!$D$41-'PyG 3 Años'!$D$46+'PyG 3 Años'!$D$36+'PyG 3 Años'!$D$37),"")</f>
        <v/>
      </c>
      <c r="H35" s="60">
        <f>IFERROR(IF(OR(E35="",E35=0),"",G35/E35),"")</f>
        <v/>
      </c>
    </row>
    <row r="36">
      <c r="A36" s="39" t="n">
        <v>10</v>
      </c>
      <c r="B36" s="69">
        <f>IFERROR(IF(OR(10&gt;B22,F35=""),"",F35),"")</f>
        <v/>
      </c>
      <c r="C36" s="69">
        <f>IFERROR(IF(OR(10&gt;B22,B36=""),"",B36*B21),"")</f>
        <v/>
      </c>
      <c r="D36" s="69">
        <f>IFERROR(IF(OR(10&gt;B22,B36=""),"",IF(10&lt;=B23,0,MIN(B36,B24-C36))),"")</f>
        <v/>
      </c>
      <c r="E36" s="69">
        <f>IFERROR(IF(C36="","",C36+D36),"")</f>
        <v/>
      </c>
      <c r="F36" s="69">
        <f>IFERROR(IF(D36="","",B36-D36),"")</f>
        <v/>
      </c>
      <c r="G36" s="69">
        <f>IFERROR(IF(E36="","",'PyG 3 Años'!$D$41-'PyG 3 Años'!$D$46+'PyG 3 Años'!$D$36+'PyG 3 Años'!$D$37),"")</f>
        <v/>
      </c>
      <c r="H36" s="60">
        <f>IFERROR(IF(OR(E36="",E36=0),"",G36/E36),"")</f>
        <v/>
      </c>
    </row>
    <row r="37">
      <c r="A37" s="39" t="n">
        <v>11</v>
      </c>
      <c r="B37" s="69">
        <f>IFERROR(IF(OR(11&gt;B22,F36=""),"",F36),"")</f>
        <v/>
      </c>
      <c r="C37" s="69">
        <f>IFERROR(IF(OR(11&gt;B22,B37=""),"",B37*B21),"")</f>
        <v/>
      </c>
      <c r="D37" s="69">
        <f>IFERROR(IF(OR(11&gt;B22,B37=""),"",IF(11&lt;=B23,0,MIN(B37,B24-C37))),"")</f>
        <v/>
      </c>
      <c r="E37" s="69">
        <f>IFERROR(IF(C37="","",C37+D37),"")</f>
        <v/>
      </c>
      <c r="F37" s="69">
        <f>IFERROR(IF(D37="","",B37-D37),"")</f>
        <v/>
      </c>
      <c r="G37" s="69">
        <f>IFERROR(IF(E37="","",'PyG 3 Años'!$D$41-'PyG 3 Años'!$D$46+'PyG 3 Años'!$D$36+'PyG 3 Años'!$D$37),"")</f>
        <v/>
      </c>
      <c r="H37" s="60">
        <f>IFERROR(IF(OR(E37="",E37=0),"",G37/E37),"")</f>
        <v/>
      </c>
    </row>
    <row r="38">
      <c r="A38" s="39" t="n">
        <v>12</v>
      </c>
      <c r="B38" s="69">
        <f>IFERROR(IF(OR(12&gt;B22,F37=""),"",F37),"")</f>
        <v/>
      </c>
      <c r="C38" s="69">
        <f>IFERROR(IF(OR(12&gt;B22,B38=""),"",B38*B21),"")</f>
        <v/>
      </c>
      <c r="D38" s="69">
        <f>IFERROR(IF(OR(12&gt;B22,B38=""),"",IF(12&lt;=B23,0,MIN(B38,B24-C38))),"")</f>
        <v/>
      </c>
      <c r="E38" s="69">
        <f>IFERROR(IF(C38="","",C38+D38),"")</f>
        <v/>
      </c>
      <c r="F38" s="69">
        <f>IFERROR(IF(D38="","",B38-D38),"")</f>
        <v/>
      </c>
      <c r="G38" s="69">
        <f>IFERROR(IF(E38="","",'PyG 3 Años'!$D$41-'PyG 3 Años'!$D$46+'PyG 3 Años'!$D$36+'PyG 3 Años'!$D$37),"")</f>
        <v/>
      </c>
      <c r="H38" s="60">
        <f>IFERROR(IF(OR(E38="",E38=0),"",G38/E38),"")</f>
        <v/>
      </c>
    </row>
    <row r="39">
      <c r="A39" s="39" t="n">
        <v>13</v>
      </c>
      <c r="B39" s="69">
        <f>IFERROR(IF(OR(13&gt;B22,F38=""),"",F38),"")</f>
        <v/>
      </c>
      <c r="C39" s="69">
        <f>IFERROR(IF(OR(13&gt;B22,B39=""),"",B39*B21),"")</f>
        <v/>
      </c>
      <c r="D39" s="69">
        <f>IFERROR(IF(OR(13&gt;B22,B39=""),"",IF(13&lt;=B23,0,MIN(B39,B24-C39))),"")</f>
        <v/>
      </c>
      <c r="E39" s="69">
        <f>IFERROR(IF(C39="","",C39+D39),"")</f>
        <v/>
      </c>
      <c r="F39" s="69">
        <f>IFERROR(IF(D39="","",B39-D39),"")</f>
        <v/>
      </c>
      <c r="G39" s="69">
        <f>IFERROR(IF(E39="","",'PyG 3 Años'!$D$41-'PyG 3 Años'!$D$46+'PyG 3 Años'!$D$36+'PyG 3 Años'!$D$37),"")</f>
        <v/>
      </c>
      <c r="H39" s="60">
        <f>IFERROR(IF(OR(E39="",E39=0),"",G39/E39),"")</f>
        <v/>
      </c>
    </row>
    <row r="40">
      <c r="A40" s="39" t="n">
        <v>14</v>
      </c>
      <c r="B40" s="69">
        <f>IFERROR(IF(OR(14&gt;B22,F39=""),"",F39),"")</f>
        <v/>
      </c>
      <c r="C40" s="69">
        <f>IFERROR(IF(OR(14&gt;B22,B40=""),"",B40*B21),"")</f>
        <v/>
      </c>
      <c r="D40" s="69">
        <f>IFERROR(IF(OR(14&gt;B22,B40=""),"",IF(14&lt;=B23,0,MIN(B40,B24-C40))),"")</f>
        <v/>
      </c>
      <c r="E40" s="69">
        <f>IFERROR(IF(C40="","",C40+D40),"")</f>
        <v/>
      </c>
      <c r="F40" s="69">
        <f>IFERROR(IF(D40="","",B40-D40),"")</f>
        <v/>
      </c>
      <c r="G40" s="69">
        <f>IFERROR(IF(E40="","",'PyG 3 Años'!$D$41-'PyG 3 Años'!$D$46+'PyG 3 Años'!$D$36+'PyG 3 Años'!$D$37),"")</f>
        <v/>
      </c>
      <c r="H40" s="60">
        <f>IFERROR(IF(OR(E40="",E40=0),"",G40/E40),"")</f>
        <v/>
      </c>
    </row>
    <row r="41">
      <c r="A41" s="39" t="n">
        <v>15</v>
      </c>
      <c r="B41" s="69">
        <f>IFERROR(IF(OR(15&gt;B22,F40=""),"",F40),"")</f>
        <v/>
      </c>
      <c r="C41" s="69">
        <f>IFERROR(IF(OR(15&gt;B22,B41=""),"",B41*B21),"")</f>
        <v/>
      </c>
      <c r="D41" s="69">
        <f>IFERROR(IF(OR(15&gt;B22,B41=""),"",IF(15&lt;=B23,0,MIN(B41,B24-C41))),"")</f>
        <v/>
      </c>
      <c r="E41" s="69">
        <f>IFERROR(IF(C41="","",C41+D41),"")</f>
        <v/>
      </c>
      <c r="F41" s="69">
        <f>IFERROR(IF(D41="","",B41-D41),"")</f>
        <v/>
      </c>
      <c r="G41" s="69">
        <f>IFERROR(IF(E41="","",'PyG 3 Años'!$D$41-'PyG 3 Años'!$D$46+'PyG 3 Años'!$D$36+'PyG 3 Años'!$D$37),"")</f>
        <v/>
      </c>
      <c r="H41" s="60">
        <f>IFERROR(IF(OR(E41="",E41=0),"",G41/E41),"")</f>
        <v/>
      </c>
    </row>
    <row r="42">
      <c r="A42" s="28" t="inlineStr">
        <is>
          <t>Tolerancia de cierre del cuadro (€)</t>
        </is>
      </c>
      <c r="B42" s="73" t="n">
        <v>0.01</v>
      </c>
      <c r="C42" s="28" t="inlineStr">
        <is>
          <t>Margen por redondeo. Por encima, el cuadro no cierra y hay capital sin devolver</t>
        </is>
      </c>
      <c r="D42" s="28" t="n"/>
      <c r="E42" s="28" t="n"/>
      <c r="F42" s="28" t="n"/>
      <c r="G42" s="28" t="n"/>
      <c r="H42" s="28" t="n"/>
    </row>
    <row r="43">
      <c r="A43" s="28" t="inlineStr">
        <is>
          <t>Capital pendiente al vencimiento</t>
        </is>
      </c>
      <c r="B43" s="69">
        <f>IFERROR(IF(B20="","",ROUND(B20-SUM(D27:D41),2)),"")</f>
        <v>0.0</v>
      </c>
      <c r="C43" s="28" t="inlineStr">
        <is>
          <t>Tiene que ser cero: el principal devuelto en el cuadro tiene que ser el prestado. Si sale positivo, el plazo no llega</t>
        </is>
      </c>
      <c r="D43" s="28" t="n"/>
      <c r="E43" s="28" t="n"/>
      <c r="F43" s="28" t="n"/>
      <c r="G43" s="28" t="n"/>
      <c r="H43" s="28" t="n"/>
    </row>
    <row r="44">
      <c r="A44" s="28" t="inlineStr">
        <is>
          <t>Intereses del año 1</t>
        </is>
      </c>
      <c r="B44" s="32">
        <f>IFERROR(IF(B20="","",IF(C27="",0,C27)),"")</f>
        <v>7740.0</v>
      </c>
      <c r="C44" s="28" t="n"/>
      <c r="D44" s="28" t="n"/>
      <c r="E44" s="28" t="n"/>
      <c r="F44" s="28" t="n"/>
      <c r="G44" s="28" t="n"/>
      <c r="H44" s="28" t="n"/>
    </row>
    <row r="45">
      <c r="A45" s="28" t="inlineStr">
        <is>
          <t>Devolución de principal del año 1</t>
        </is>
      </c>
      <c r="B45" s="32">
        <f>IFERROR(IF(B20="","",IF(D27="",0,D27)),"")</f>
        <v>0.0</v>
      </c>
      <c r="C45" s="28" t="n"/>
      <c r="D45" s="28" t="n"/>
      <c r="E45" s="28" t="n"/>
      <c r="F45" s="28" t="n"/>
      <c r="G45" s="28" t="n"/>
      <c r="H45" s="28" t="n"/>
    </row>
    <row r="46">
      <c r="A46" s="28" t="inlineStr">
        <is>
          <t>Intereses del año 2</t>
        </is>
      </c>
      <c r="B46" s="32">
        <f>IFERROR(IF(B20="","",IF(C28="",0,C28)),"")</f>
        <v>7740.0</v>
      </c>
      <c r="C46" s="28" t="n"/>
      <c r="D46" s="28" t="n"/>
      <c r="E46" s="28" t="n"/>
      <c r="F46" s="28" t="n"/>
      <c r="G46" s="28" t="n"/>
      <c r="H46" s="28" t="n"/>
    </row>
    <row r="47">
      <c r="A47" s="28" t="inlineStr">
        <is>
          <t>Devolución de principal del año 2</t>
        </is>
      </c>
      <c r="B47" s="32">
        <f>IFERROR(IF(B20="","",IF(D28="",0,D28)),"")</f>
        <v>18493.7790732615</v>
      </c>
      <c r="C47" s="28" t="n"/>
      <c r="D47" s="28" t="n"/>
      <c r="E47" s="28" t="n"/>
      <c r="F47" s="28" t="n"/>
      <c r="G47" s="28" t="n"/>
      <c r="H47" s="28" t="n"/>
    </row>
    <row r="48">
      <c r="A48" s="28" t="inlineStr">
        <is>
          <t>Intereses del año 3</t>
        </is>
      </c>
      <c r="B48" s="32">
        <f>IFERROR(IF(B20="","",IF(C29="",0,C29)),"")</f>
        <v>6630.37325560431</v>
      </c>
      <c r="C48" s="28" t="n"/>
      <c r="D48" s="28" t="n"/>
      <c r="E48" s="28" t="n"/>
      <c r="F48" s="28" t="n"/>
      <c r="G48" s="28" t="n"/>
      <c r="H48" s="28" t="n"/>
    </row>
    <row r="49">
      <c r="A49" s="28" t="inlineStr">
        <is>
          <t>Devolución de principal del año 3</t>
        </is>
      </c>
      <c r="B49" s="32">
        <f>IFERROR(IF(B20="","",IF(D29="",0,D29)),"")</f>
        <v>19603.40581765719</v>
      </c>
      <c r="C49" s="28" t="n"/>
      <c r="D49" s="28" t="n"/>
      <c r="E49" s="28" t="n"/>
      <c r="F49" s="28" t="n"/>
      <c r="G49" s="28" t="n"/>
      <c r="H49" s="28" t="n"/>
    </row>
    <row r="50">
      <c r="A50" s="25" t="inlineStr">
        <is>
          <t>COBERTURA DEL SERVICIO DE LA DEUDA (DSCR)</t>
        </is>
      </c>
      <c r="B50" s="28" t="n"/>
      <c r="C50" s="28" t="n"/>
      <c r="D50" s="28" t="n"/>
      <c r="E50" s="28" t="n"/>
      <c r="F50" s="28" t="n"/>
      <c r="G50" s="28" t="n"/>
      <c r="H50" s="28" t="n"/>
    </row>
    <row r="51">
      <c r="A51" s="28" t="inlineStr">
        <is>
          <t>DSCR del año 1</t>
        </is>
      </c>
      <c r="B51" s="60">
        <f>IFERROR(('PyG 3 Años'!$B$41-'PyG 3 Años'!$B$46+'PyG 3 Años'!$B$36+B44)/(B44+B45),"")</f>
        <v>4.003175723514211</v>
      </c>
      <c r="C51" s="28" t="inlineStr">
        <is>
          <t>Año de CARENCIA si la hay: con sólo intereses en el denominador el ratio se dispara y no mide el negocio</t>
        </is>
      </c>
      <c r="D51" s="28" t="n"/>
      <c r="E51" s="28" t="n"/>
      <c r="F51" s="28" t="n"/>
      <c r="G51" s="28" t="n"/>
      <c r="H51" s="28" t="n"/>
    </row>
    <row r="52">
      <c r="A52" s="28" t="inlineStr">
        <is>
          <t>DSCR del año 2</t>
        </is>
      </c>
      <c r="B52" s="60">
        <f>IFERROR(('PyG 3 Años'!$C$41-'PyG 3 Años'!$C$46+'PyG 3 Años'!$C$36+B46)/(B46+B47),"")</f>
        <v>1.39095411324829</v>
      </c>
      <c r="C52" s="28" t="n"/>
      <c r="D52" s="28" t="n"/>
      <c r="E52" s="28" t="n"/>
      <c r="F52" s="28" t="n"/>
      <c r="G52" s="28" t="n"/>
      <c r="H52" s="28" t="n"/>
    </row>
    <row r="53">
      <c r="A53" s="28" t="inlineStr">
        <is>
          <t>DSCR del año 3</t>
        </is>
      </c>
      <c r="B53" s="60">
        <f>IFERROR(('PyG 3 Años'!$D$41-'PyG 3 Años'!$D$46+'PyG 3 Años'!$D$36+B48)/(B48+B49),"")</f>
        <v>1.368517445261755</v>
      </c>
      <c r="C53" s="28" t="n"/>
      <c r="D53" s="28" t="n"/>
      <c r="E53" s="28" t="n"/>
      <c r="F53" s="28" t="n"/>
      <c r="G53" s="28" t="n"/>
      <c r="H53" s="28" t="n"/>
    </row>
    <row r="54">
      <c r="A54" s="25" t="inlineStr">
        <is>
          <t>DSCR mínimo de todo el cuadro</t>
        </is>
      </c>
      <c r="B54" s="61">
        <f>IFERROR(IF(COUNT(H27:H41)=0,"",MIN(H27:H41)),"")</f>
        <v>1.3685174452617548</v>
      </c>
      <c r="C54" s="25" t="inlineStr">
        <is>
          <t>El peor año de los que dura el préstamo, no el mejor de los tres que proyecta el P&amp;L. Es el número que decide una operación. Ojo al alcance: los años 1 a 3 salen del P&amp;L y del año 4 en adelante el cuadro MANTIENE el flujo del año 3, así que el mínimo de esos años es una proyección sostenida, no un año calculado. El flujo va después de impuestos</t>
        </is>
      </c>
      <c r="D54" s="28" t="n"/>
      <c r="E54" s="28" t="n"/>
      <c r="F54" s="28" t="n"/>
      <c r="G54" s="28" t="n"/>
      <c r="H54" s="28" t="n"/>
    </row>
    <row r="55">
      <c r="A55" s="28" t="n"/>
      <c r="B55" s="28" t="n"/>
      <c r="C55" s="28" t="n"/>
      <c r="D55" s="28" t="n"/>
      <c r="E55" s="28" t="n"/>
      <c r="F55" s="28" t="n"/>
      <c r="G55" s="28" t="n"/>
      <c r="H55" s="28" t="n"/>
    </row>
    <row r="56" ht="165" customHeight="1">
      <c r="A56" s="46" t="inlineStr">
        <is>
          <t>El DSCR se calcula ANTES de la deuda y DESPUÉS de impuestos: al resultado antes de impuestos se le resta el Impuesto de Sociedades y se le devuelven la amortización contable y los intereses; el resultado se divide entre lo que hay que pagar ese año. Por debajo del mínimo de la hoja de Supuestos, el negocio no genera para pagar el préstamo. En el cuadro, el flujo de caja disponible de los años 4 en adelante se mantiene en el del año 3: el P&amp;L sólo proyecta tres, y aquí no se inventa un crecimiento que no está calculado.</t>
        </is>
      </c>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Supuestos'!$B$65)</formula>
    </cfRule>
    <cfRule type="expression" priority="7" dxfId="2" stopIfTrue="1">
      <formula>AND(ISNUMBER(B51),B51&gt;='0. Supuestos'!$B$65)</formula>
    </cfRule>
    <cfRule type="expression" priority="8" dxfId="0" stopIfTrue="1">
      <formula>AND(ISNUMBER(B51),B51&gt;='0. Supuestos'!$B$66)</formula>
    </cfRule>
  </conditionalFormatting>
  <conditionalFormatting sqref="B52">
    <cfRule type="expression" priority="9" dxfId="1" stopIfTrue="1">
      <formula>AND(ISNUMBER(B52),B52&lt;'0. Supuestos'!$B$65)</formula>
    </cfRule>
    <cfRule type="expression" priority="10" dxfId="2" stopIfTrue="1">
      <formula>AND(ISNUMBER(B52),B52&gt;='0. Supuestos'!$B$65)</formula>
    </cfRule>
    <cfRule type="expression" priority="11" dxfId="0" stopIfTrue="1">
      <formula>AND(ISNUMBER(B52),B52&gt;='0. Supuestos'!$B$66)</formula>
    </cfRule>
  </conditionalFormatting>
  <conditionalFormatting sqref="B53">
    <cfRule type="expression" priority="12" dxfId="1" stopIfTrue="1">
      <formula>AND(ISNUMBER(B53),B53&lt;'0. Supuestos'!$B$65)</formula>
    </cfRule>
    <cfRule type="expression" priority="13" dxfId="2" stopIfTrue="1">
      <formula>AND(ISNUMBER(B53),B53&gt;='0. Supuestos'!$B$65)</formula>
    </cfRule>
    <cfRule type="expression" priority="14" dxfId="0" stopIfTrue="1">
      <formula>AND(ISNUMBER(B53),B53&gt;='0. Supuestos'!$B$66)</formula>
    </cfRule>
  </conditionalFormatting>
  <conditionalFormatting sqref="B54">
    <cfRule type="expression" priority="15" dxfId="1" stopIfTrue="1">
      <formula>AND(ISNUMBER(B54),B54&lt;'0. Supuestos'!$B$65)</formula>
    </cfRule>
    <cfRule type="expression" priority="16" dxfId="2" stopIfTrue="1">
      <formula>AND(ISNUMBER(B54),B54&gt;='0. Supuestos'!$B$65)</formula>
    </cfRule>
    <cfRule type="expression" priority="17" dxfId="0" stopIfTrue="1">
      <formula>AND(ISNUMBER(B54),B54&gt;='0. Supuestos'!$B$66)</formula>
    </cfRule>
  </conditionalFormatting>
  <dataValidations count="2">
    <dataValidation sqref="B8 B9 B10 B11 B42" showDropDown="0" showInputMessage="0" showErrorMessage="1" allowBlank="1" errorTitle="Importe no válido" error="Escribe un número mayor o igual que 0." type="decimal" operator="greaterThanOrEqual">
      <formula1>0</formula1>
    </dataValidation>
    <dataValidation sqref="B17"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financiero — Heladería Artesanal · v1.0</dc:title>
  <dc:description xmlns:dc="http://purl.org/dc/elements/1.1/">aichef.pro/plan-negocio-heladeria</dc:description>
  <dc:subject xmlns:dc="http://purl.org/dc/elements/1.1/">Plan financiero — Heladería Artesanal · v1.0</dc:subject>
  <dcterms:created xmlns:dcterms="http://purl.org/dc/terms/" xmlns:xsi="http://www.w3.org/2001/XMLSchema-instance" xsi:type="dcterms:W3CDTF">2026-03-26T15:52:23Z</dcterms:created>
  <dcterms:modified xmlns:dcterms="http://purl.org/dc/terms/" xmlns:xsi="http://www.w3.org/2001/XMLSchema-instance" xsi:type="dcterms:W3CDTF">2026-10-25T09:30:17Z</dcterms:modified>
  <cp:lastModifiedBy>AI Chef Pro</cp:lastModifiedBy>
  <cp:category>AI Chef Pro · Productos digitales</cp:category>
  <cp:keywords>plan de negocio heladería artesanal, AI Chef Pro</cp:keywords>
</cp:coreProperties>
</file>