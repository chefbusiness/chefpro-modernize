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Clientes/día (media del año 1)</t>
        </is>
      </c>
      <c r="B4" s="18" t="n">
        <v>143</v>
      </c>
      <c r="C4" t="inlineStr">
        <is>
          <t>Clientes servidos al día de media del año 1, en mostrador, para llevar y en mesa: unos 236 en julio y unos 70 en enero. Sale de dividir la venta prevista entre el ticket y los días de apertura; contrástalo con el paso de gente de tu calle en una tarde de verano y en una de febrero</t>
        </is>
      </c>
    </row>
    <row r="5">
      <c r="A5" t="inlineStr">
        <is>
          <t>Ticket medio SIN IVA (€)</t>
        </is>
      </c>
      <c r="B5" s="62" t="n">
        <v>4.9</v>
      </c>
      <c r="C5" t="inlineStr">
        <is>
          <t>SIN IVA, por persona que compra: dos bolas, más las tarrinas de medio litro, las tartas por encargo y las crepes del invierno. Equivale a un tique de caja de unos 7 € sin IVA, porque cada tique es de 1,45 personas de media. El precio con IVA está en la fila «PVP equivalente con IVA» de abajo</t>
        </is>
      </c>
    </row>
    <row r="6">
      <c r="A6" t="inlineStr">
        <is>
          <t>Días de apertura al año</t>
        </is>
      </c>
      <c r="B6" s="18" t="n">
        <v>310</v>
      </c>
      <c r="C6" t="inlineStr">
        <is>
          <t>365 días menos tres semanas de cierre en enero (vacaciones y mantenimiento del frío), los lunes de octubre a marzo y algún festivo. Es el MISMO dato para la cuenta de resultados, el punto de equilibrio, los escenarios y las horas de personal</t>
        </is>
      </c>
    </row>
    <row r="7">
      <c r="A7" t="inlineStr">
        <is>
          <t>Crecimiento de volumen del año 2</t>
        </is>
      </c>
      <c r="B7" s="63" t="n">
        <v>0.08</v>
      </c>
      <c r="C7" t="inlineStr">
        <is>
          <t>Más clientela el segundo verano, las tartas heladas por encargo y el canal de restaurantes ya rodados. Se aplica a los clientes; el personal NO sube con este porcentaje: crece con las incorporaciones que declares en la hoja Personal (6.000 € el año 2 y otros 6.000 € el año 3)</t>
        </is>
      </c>
    </row>
    <row r="8">
      <c r="A8" t="inlineStr">
        <is>
          <t>Crecimiento de volumen del año 3</t>
        </is>
      </c>
      <c r="B8" s="63" t="n">
        <v>0.05</v>
      </c>
      <c r="C8" t="inlineStr">
        <is>
          <t>Sobre el año 2. Conservador: el techo lo ponen la vitrina de 18 cubetas y las tardes de julio y agosto</t>
        </is>
      </c>
    </row>
    <row r="9">
      <c r="A9" t="inlineStr">
        <is>
          <t>PVP equivalente con IVA (calculado)</t>
        </is>
      </c>
      <c r="B9" s="64">
        <f>IFERROR(IF($B$5="","",$B$5*(1+SUMPRODUCT('PyG 3 Años'!$E$10:$E$11,'PyG 3 Años'!$G$10:$G$11))),"")</f>
        <v>5.390000000000001</v>
      </c>
      <c r="C9" t="str">
        <f>IFERROR("Ticket sin IVA más el IVA medio ponderado de tus líneas de venta: "&amp;TEXT(SUMPRODUCT('PyG 3 Años'!$E$10:$E$11,'PyG 3 Años'!$G$10:$G$11)*100,"0")&amp;" %. En el local todo va al 10 % (art. 91.Uno.2.2.º de la Ley 37/1992, alcohol incluido); sólo el alcohol que saliera por delivery movería la media. Aquí va redondeado. Compáralo con el rango del sector, que va con IVA.","")</f>
        <v>Ticket sin IVA más el IVA medio ponderado de tus líneas de venta: 10 %. En el local todo va al 10 % (art. 91.Uno.2.2.º de la Ley 37/1992, alcohol incluido); sólo el alcohol que saliera por delivery movería la media. Aquí va redondeado. Compáralo con el rango del sector, que va con IVA.</v>
      </c>
    </row>
    <row r="10">
      <c r="A10" s="16" t="inlineStr">
        <is>
          <t>MIX Y COSTE DE MERCANCÍA</t>
        </is>
      </c>
    </row>
    <row r="11">
      <c r="A11" t="inlineStr">
        <is>
          <t>Ventas de COMIDA sobre el total</t>
        </is>
      </c>
      <c r="B11" s="63" t="n">
        <v>0.9</v>
      </c>
      <c r="C11" t="inlineStr">
        <is>
          <t>Peso de la COMIDA sobre el total de ventas. Es un INPUT: cámbialo aquí y el P&amp;L, la tesorería y el IVA repercutido se recalculan solos</t>
        </is>
      </c>
    </row>
    <row r="12">
      <c r="A12" t="inlineStr">
        <is>
          <t>Ventas de BEBIDA sobre el total</t>
        </is>
      </c>
      <c r="B12" s="65">
        <f>IFERROR(IF(COUNT(B11)=0,"",1-B11),"")</f>
        <v>0.09999999999999998</v>
      </c>
      <c r="C12" t="inlineStr">
        <is>
          <t>Se calcula como el resto: comida + bebida = 100 %</t>
        </is>
      </c>
    </row>
    <row r="13">
      <c r="A13" t="inlineStr">
        <is>
          <t>Coste de mercancía sobre las ventas de COMIDA</t>
        </is>
      </c>
      <c r="B13" s="63" t="n">
        <v>0.2</v>
      </c>
      <c r="C13" t="inlineStr">
        <is>
          <t>Materia prima del helado y del obrador sobre sus ventas: el helado de mostrador sale al 16 %, el de llevar al 18 %, las crepes y los gofres al 28 % y lo que vendes a restaurantes al 32 % (18,6 % de media), y el plan suma 1,4 puntos por lo que se mueven el pistacho, el cacao y la vainilla. Escandalla cada sabor cada temporada</t>
        </is>
      </c>
    </row>
    <row r="14">
      <c r="A14" t="inlineStr">
        <is>
          <t>Coste de mercancía sobre las ventas de BEBIDA</t>
        </is>
      </c>
      <c r="B14" s="63" t="n">
        <v>0.25</v>
      </c>
      <c r="C14" t="inlineStr">
        <is>
          <t>Café, chocolate a la taza, batidos, granizado y horchata propios, agua y refrescos sobre sus ventas: el granizado propio sale al 15 % y los refrescos, al 35-40 %</t>
        </is>
      </c>
    </row>
    <row r="15">
      <c r="A15" t="inlineStr">
        <is>
          <t>Consumibles sobre ventas</t>
        </is>
      </c>
      <c r="B15" s="63" t="n">
        <v>0.04</v>
      </c>
      <c r="C15" t="inlineStr">
        <is>
          <t>Barquillos y cucuruchos, tarrinas, cucharillas de madera, envases isotérmicos de cartón para llevar y servilletas: unos 0,28 € por tique de caja. Sin poliestireno expandido para el consumo inmediato</t>
        </is>
      </c>
    </row>
    <row r="16">
      <c r="A16" t="inlineStr">
        <is>
          <t>Ventas por delivery sobre el total</t>
        </is>
      </c>
      <c r="B16" s="63" t="n">
        <v>0.03</v>
      </c>
      <c r="C16" t="inlineStr">
        <is>
          <t>Tarrinas de medio litro y de litro en envase isotérmico por plataforma, las noches de verano: la tarrina viaja bien, la bola no. Es entrega de bienes: el helado va al 10 %</t>
        </is>
      </c>
    </row>
    <row r="17">
      <c r="A17" t="inlineStr">
        <is>
          <t>Comisión de la plataforma de delivery</t>
        </is>
      </c>
      <c r="B17" s="63" t="n">
        <v>0.3</v>
      </c>
      <c r="C17" t="inlineStr">
        <is>
          <t>Comisión media de la plataforma sobre lo que vende ese canal. Si repartes tú, pon 0</t>
        </is>
      </c>
    </row>
    <row r="18">
      <c r="A18" t="inlineStr">
        <is>
          <t>Comisión de los medios de pago</t>
        </is>
      </c>
      <c r="B18" s="63" t="n">
        <v>0.008</v>
      </c>
      <c r="C18" t="inlineStr">
        <is>
          <t>Tarjeta y bizum sobre el total facturado</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1700</v>
      </c>
      <c r="C24" t="inlineStr">
        <is>
          <t>Local de 85 m² (obrador de 20-25 m², tienda con vitrina de 18 cubetas y 20 plazas, almacén y aseo) en una calle comercial de barrio o un paseo de una ciudad media, sin traspaso: unos 20 € el m². El peso sobre las ventas lo calcula el propio libro en la fila «Alquiler / Ventas» del P&amp;L</t>
        </is>
      </c>
    </row>
    <row r="25">
      <c r="A25" t="inlineStr">
        <is>
          <t>Fianza del alquiler (meses)</t>
        </is>
      </c>
      <c r="B25" s="18" t="n">
        <v>3</v>
      </c>
      <c r="C25" t="inlineStr">
        <is>
          <t>Tres meses de renta, lo habitual en un contrato de local de negocio</t>
        </is>
      </c>
    </row>
    <row r="26">
      <c r="A26" t="inlineStr">
        <is>
          <t>Suministros mensuales de luz, agua y gas (€)</t>
        </is>
      </c>
      <c r="B26" s="23" t="n">
        <v>700</v>
      </c>
      <c r="C26" t="inlineStr">
        <is>
          <t>Sobre todo luz: unos 30 kW en trifásica y las vitrinas encendidas las 24 horas (cada módulo de 10 cubetas gasta unos 23 kWh al día). Unos 800-850 € en verano y 450-500 € en invierno; pide el histórico del local</t>
        </is>
      </c>
    </row>
    <row r="27">
      <c r="A27" t="inlineStr">
        <is>
          <t>Seguros (€/año)</t>
        </is>
      </c>
      <c r="B27" s="23" t="n">
        <v>1500</v>
      </c>
      <c r="C27" t="inlineStr">
        <is>
          <t>Responsabilidad civil de al menos 300.000 € y multirriesgo CON avería de maquinaria y deterioro de mercancía en frío: una vitrina parada en agosto es una cubeta perdida por sabor</t>
        </is>
      </c>
    </row>
    <row r="28">
      <c r="A28" t="inlineStr">
        <is>
          <t>Varios e imprevistos sobre ventas</t>
        </is>
      </c>
      <c r="B28" s="63" t="n">
        <v>0.02</v>
      </c>
      <c r="C28" t="inlineStr">
        <is>
          <t>Colchón de gasto corriente no presupuestado (pequeñas reparaciones, catas y degustaciones)</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129000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3" t="n">
        <v>0.06</v>
      </c>
      <c r="C32" t="inlineStr">
        <is>
          <t>Tipo nominal anual. Pide oferta a dos entidades y a una línea ICO antes de fijarlo; la maquinaria de frío es objeto habitual de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y maquinaria antes de facturar y un primer invierno por delante.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del primer invierno, cuando de noviembre a febrero entra alrededor del 15 % de la venta del año con los fijos planos</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Tipo reducido de hostelería</t>
        </is>
      </c>
    </row>
    <row r="40">
      <c r="A40" t="inlineStr">
        <is>
          <t>IVA repercutido/soportado general</t>
        </is>
      </c>
      <c r="B40" s="63" t="n">
        <v>0.21</v>
      </c>
      <c r="C40" t="inlineStr">
        <is>
          <t>Tipo general. En este libro lo usan dos cosas: el IVA que soportas al comprar el alcohol (el proveedor lo factura al 21 %) y el que repercutes por el alcohol que sale por delivery (es una entrega de bienes). El alcohol servido en el local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del obrador, instalación eléctrica trifásica, fontanería, desagües, climatización y rótulo. Coeficientes de la tabla del art. 12.1 de la Ley del Impuesto sobre Sociedades: confírmalo con tu asesor</t>
        </is>
      </c>
    </row>
    <row r="45">
      <c r="A45" t="inlineStr">
        <is>
          <t>Vida útil de maquinaria y mobiliario (años)</t>
        </is>
      </c>
      <c r="B45" s="18" t="n">
        <v>10</v>
      </c>
      <c r="C45" t="inlineStr">
        <is>
          <t>Pasteurizador, mantecadora, abatidor, armarios, vitrina, cafetera,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del local (plazas sentadas, sin la terraza)</t>
        </is>
      </c>
      <c r="B51" s="18" t="n">
        <v>20</v>
      </c>
      <c r="C51" t="inlineStr">
        <is>
          <t>DATO INFORMATIVO: la mayoría de la venta es de mostrador y para llevar. La terraza suma otras 20 plazas en temporada (5 mesas), con su autorización municipal aparte</t>
        </is>
      </c>
    </row>
    <row r="52">
      <c r="A52" t="inlineStr">
        <is>
          <t>Actividad del mes 1 sobre la de crucero</t>
        </is>
      </c>
      <c r="B52" s="63" t="n">
        <v>0.7</v>
      </c>
      <c r="C52" t="inlineStr">
        <is>
          <t>Una heladería que abre en marzo no factura el primer mes lo que factura a los cuatro: la compra es de impulso y el barrio tarda en descubrirte, aunque la curva de temporada ya hace lenta la primavera. Con 100 % se elimina la rampa</t>
        </is>
      </c>
    </row>
    <row r="53">
      <c r="A53" t="inlineStr">
        <is>
          <t>Meses hasta alcanzar el régimen de crucero</t>
        </is>
      </c>
      <c r="B53" s="18" t="n">
        <v>4</v>
      </c>
      <c r="C53" t="inlineStr">
        <is>
          <t>Cuatro meses hasta el ritmo de crucero: de marzo a junio, justo antes del pico del verano</t>
        </is>
      </c>
    </row>
    <row r="54">
      <c r="A54" t="inlineStr">
        <is>
          <t>Meses de alquiler ANTES de abrir (obra y licencias)</t>
        </is>
      </c>
      <c r="B54" s="18" t="n">
        <v>2</v>
      </c>
      <c r="C54" t="inlineStr">
        <is>
          <t>Dos meses de renta antes de abrir: la obra del obrador, el aumento de potencia a trifásica y la declaración responsable. Si el banco te da el préstamo al empezar la obra, súmale los intereses de esos meses (en el caso, unos 1.290 €), que este libro no cuenta, y ten en cuenta que la carencia corre desde la firma</t>
        </is>
      </c>
    </row>
    <row r="55">
      <c r="A55" t="inlineStr">
        <is>
          <t>Imprevistos sobre las partidas de OBRA del bloque de local (%)</t>
        </is>
      </c>
      <c r="B55" s="63" t="n">
        <v>0.1</v>
      </c>
      <c r="C55" t="inlineStr">
        <is>
          <t>Colchón sobre la obra y las instalaciones del local, que es donde aparecen las sorpresas (acometida eléctrica, desagües, salida de aire de los condensadores). Un banco no financia una reforma sin él</t>
        </is>
      </c>
    </row>
    <row r="56"/>
    <row r="57">
      <c r="A57" s="16" t="inlineStr">
        <is>
          <t>COBROS, PAGOS Y DESGLOSE DEL IVA</t>
        </is>
      </c>
    </row>
    <row r="58">
      <c r="A58" t="inlineStr">
        <is>
          <t>Días medios de cobro</t>
        </is>
      </c>
      <c r="B58" s="18" t="n">
        <v>2</v>
      </c>
      <c r="C58" t="inlineStr">
        <is>
          <t>Media ponderada: el mostrador cobra al contado y los restaurantes a los que vendes helado (un 5 % de las ventas) pagan a 30 días</t>
        </is>
      </c>
    </row>
    <row r="59">
      <c r="A59" t="inlineStr">
        <is>
          <t>Días medios de pago a proveedor</t>
        </is>
      </c>
      <c r="B59" s="18" t="n">
        <v>30</v>
      </c>
      <c r="C59" t="inlineStr">
        <is>
          <t>Plazo de pago a proveedores de leche, nata, fruta, pastas y envases: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t>
        </is>
      </c>
      <c r="B62" s="63" t="n">
        <v>0</v>
      </c>
      <c r="C62" t="inlineStr">
        <is>
          <t>A CERO: la carta de bebida de este plan es café, chocolate, batidos, granizado, horchata, agua y refrescos, sin alcohol. Si sirves algún licor con el helado, súbelo</t>
        </is>
      </c>
    </row>
    <row r="63">
      <c r="A63" t="inlineStr">
        <is>
          <t>IVA de la bebida ALCOHÓLICA servida en el local</t>
        </is>
      </c>
      <c r="B63" s="63" t="n">
        <v>0.1</v>
      </c>
      <c r="C63" t="inlineStr">
        <is>
          <t>Este plan no sirve alcohol (celda de arriba a 0), así que esta celda no mueve nada. Si lo sirves, el consumido en el local va al 10 % (art. 91.Uno.2.2.º de la Ley 37/1992) y el que sale para llevar, al 21 %</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Las heladerías están en el convenio PROVINCIAL de hostelería (art. 4 del VI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HELADERÍA ARTESANAL</t>
        </is>
      </c>
    </row>
    <row r="2">
      <c r="A2" s="2" t="inlineStr">
        <is>
          <t>Inversión inicial estimada — heladería artesanal con obrador propio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125650.0</v>
      </c>
      <c r="C6" s="66">
        <f>IFERROR(B6/$B$31,"")</f>
        <v>0.793874811975979</v>
      </c>
      <c r="D6" s="28" t="n"/>
      <c r="E6" s="28" t="n"/>
    </row>
    <row r="7">
      <c r="A7" s="28" t="inlineStr">
        <is>
          <t>Proyecto técnico y dirección de obra</t>
        </is>
      </c>
      <c r="B7" s="29" t="n">
        <v>2500</v>
      </c>
      <c r="C7" s="67">
        <f>IFERROR(B7/$B$31,"")</f>
        <v>0.015795360365618363</v>
      </c>
      <c r="D7" s="28" t="inlineStr">
        <is>
          <t>Proyecto del obrador y de la tienda, memoria de la actividad y certificado final</t>
        </is>
      </c>
      <c r="E7" s="31" t="inlineStr">
        <is>
          <t>Sí</t>
        </is>
      </c>
    </row>
    <row r="8">
      <c r="A8" s="28" t="inlineStr">
        <is>
          <t>Obra y acondicionamiento del obrador y la tienda</t>
        </is>
      </c>
      <c r="B8" s="29" t="n">
        <v>18500</v>
      </c>
      <c r="C8" s="67">
        <f>IFERROR(B8/$B$31,"")</f>
        <v>0.1168856667055759</v>
      </c>
      <c r="D8" s="28" t="inlineStr">
        <is>
          <t>Obrador alicatado, suelo antideslizante, aseo y falsos techos. Estimación del kit (reforma de 15.000-50.000 € en las guías publicadas)</t>
        </is>
      </c>
      <c r="E8" s="31" t="inlineStr">
        <is>
          <t>Sí</t>
        </is>
      </c>
    </row>
    <row r="9">
      <c r="A9" s="28" t="inlineStr">
        <is>
          <t>Instalación eléctrica trifásica, cuadro y boletín</t>
        </is>
      </c>
      <c r="B9" s="29" t="n">
        <v>5000</v>
      </c>
      <c r="C9" s="67">
        <f>IFERROR(B9/$B$31,"")</f>
        <v>0.03159072073123673</v>
      </c>
      <c r="D9" s="28" t="inlineStr">
        <is>
          <t>Unos 30 kW en trifásica para vitrinas, pasteurizador, mantecadora, abatidor y climatización. Pregunta la potencia disponible ANTES de firmar: una acometida nueva tarda</t>
        </is>
      </c>
      <c r="E9" s="31" t="inlineStr">
        <is>
          <t>Sí</t>
        </is>
      </c>
    </row>
    <row r="10">
      <c r="A10" s="28" t="inlineStr">
        <is>
          <t>Fontanería, desagües, climatización y ventilación</t>
        </is>
      </c>
      <c r="B10" s="29" t="n">
        <v>4500</v>
      </c>
      <c r="C10" s="67">
        <f>IFERROR(B10/$B$31,"")</f>
        <v>0.028431648658113057</v>
      </c>
      <c r="D10" s="28" t="inlineStr">
        <is>
          <t>Desagües del obrador, lavamanos de accionamiento no manual y salida de aire para los condensadores de las máquinas</t>
        </is>
      </c>
      <c r="E10" s="31" t="inlineStr">
        <is>
          <t>Sí</t>
        </is>
      </c>
    </row>
    <row r="11">
      <c r="A11" s="28" t="inlineStr">
        <is>
          <t>Rótulo y escaparate</t>
        </is>
      </c>
      <c r="B11" s="29" t="n">
        <v>2000</v>
      </c>
      <c r="C11" s="67">
        <f>IFERROR(B11/$B$31,"")</f>
        <v>0.01263628829249469</v>
      </c>
      <c r="D11" s="28" t="inlineStr">
        <is>
          <t>«Artesano» en el rótulo sólo con la calificación artesanal de tu comunidad; si no, «ELABORACIÓN PROPIA»</t>
        </is>
      </c>
      <c r="E11" s="31" t="inlineStr">
        <is>
          <t>Sí</t>
        </is>
      </c>
    </row>
    <row r="12">
      <c r="A12" s="28" t="inlineStr">
        <is>
          <t>Pasteurizador de 30 litros</t>
        </is>
      </c>
      <c r="B12" s="29" t="n">
        <v>14600</v>
      </c>
      <c r="C12" s="67">
        <f>IFERROR(B12/$B$31,"")</f>
        <v>0.09224490453521125</v>
      </c>
      <c r="D12" s="28" t="inlineStr">
        <is>
          <t>Pasteurizador de 15/30 l por ciclo, 4 kW: 14.601,75 € sin IVA en la tarifa de un distribuidor (Diamond SPS/30A, octubre de 2026). Pasteuriza la mezcla a 85 °C y la enfría a 4 °C</t>
        </is>
      </c>
      <c r="E12" s="31" t="inlineStr">
        <is>
          <t>Sí</t>
        </is>
      </c>
    </row>
    <row r="13">
      <c r="A13" s="28" t="inlineStr">
        <is>
          <t>Mantecadora horizontal de 6-12 litros por ciclo</t>
        </is>
      </c>
      <c r="B13" s="29" t="n">
        <v>14000</v>
      </c>
      <c r="C13" s="67">
        <f>IFERROR(B13/$B$31,"")</f>
        <v>0.08845401804746283</v>
      </c>
      <c r="D13" s="28" t="inlineStr">
        <is>
          <t>Estimación del kit en la parte baja de lo publicado (12.000-35.000 €), porque las marcas profesionales no publican tarifa: pide al menos dos presupuestos antes de cerrar el préstamo. Una vertical de entrada de 26-30 l/h cuesta unos 4.200 € sin IVA, si empiezas con poco</t>
        </is>
      </c>
      <c r="E13" s="31" t="inlineStr">
        <is>
          <t>Sí</t>
        </is>
      </c>
    </row>
    <row r="14">
      <c r="A14" s="28" t="inlineStr">
        <is>
          <t>Abatidor de temperatura para cubetas</t>
        </is>
      </c>
      <c r="B14" s="29" t="n">
        <v>5500</v>
      </c>
      <c r="C14" s="67">
        <f>IFERROR(B14/$B$31,"")</f>
        <v>0.0347497928043604</v>
      </c>
      <c r="D14" s="28" t="inlineStr">
        <is>
          <t>Lleva el helado recién mantecado a -18 °C en el corazón antes de pasarlo a la vitrina o al armario</t>
        </is>
      </c>
      <c r="E14" s="31" t="inlineStr">
        <is>
          <t>Sí</t>
        </is>
      </c>
    </row>
    <row r="15">
      <c r="A15" s="28" t="inlineStr">
        <is>
          <t>Armarios de conservación y de maduración</t>
        </is>
      </c>
      <c r="B15" s="29" t="n">
        <v>5800</v>
      </c>
      <c r="C15" s="67">
        <f>IFERROR(B15/$B$31,"")</f>
        <v>0.03664523604823461</v>
      </c>
      <c r="D15" s="28" t="inlineStr">
        <is>
          <t>Dos armarios a -20/-25 °C para el helado y uno a +2/+4 °C para madurar la mezcla y guardar la materia prima</t>
        </is>
      </c>
      <c r="E15" s="31" t="inlineStr">
        <is>
          <t>Sí</t>
        </is>
      </c>
    </row>
    <row r="16">
      <c r="A16" s="28" t="inlineStr">
        <is>
          <t>Mesas inox, fregadero, básculas, refractómetro, sondas, cubetas y carapinas</t>
        </is>
      </c>
      <c r="B16" s="29" t="n">
        <v>6500</v>
      </c>
      <c r="C16" s="67">
        <f>IFERROR(B16/$B$31,"")</f>
        <v>0.041067936950607745</v>
      </c>
      <c r="D16" s="28" t="inlineStr">
        <is>
          <t>Mesas y estanterías inox, fregadero, lavamanos, turbo, básculas, refractómetro, sondas de temperatura, 60 cubetas de 5 l (44 € cada una) y 10 carapinas</t>
        </is>
      </c>
      <c r="E16" s="31" t="inlineStr">
        <is>
          <t>Sí</t>
        </is>
      </c>
    </row>
    <row r="17">
      <c r="A17" s="28" t="inlineStr">
        <is>
          <t>Vitrina ventilada de 18 cubetas</t>
        </is>
      </c>
      <c r="B17" s="29" t="n">
        <v>10500</v>
      </c>
      <c r="C17" s="67">
        <f>IFERROR(B17/$B$31,"")</f>
        <v>0.06634051353559713</v>
      </c>
      <c r="D17" s="28" t="inlineStr">
        <is>
          <t>Dos módulos ventilados de 10 cubetas, de -20/-9 °C y con gas R290 (unos 5.090 € cada uno en la tarifa del fabricante): 18 sabores y dos huecos para el sabor del día o la reserva. Con 18 sabores en verano y 10-12 en invierno basta en una ciudad media</t>
        </is>
      </c>
      <c r="E17" s="31" t="inlineStr">
        <is>
          <t>Sí</t>
        </is>
      </c>
    </row>
    <row r="18">
      <c r="A18" s="28" t="inlineStr">
        <is>
          <t>Mostrador, lavaporcionador, cafetera, crepera, gofrera y chocolatera</t>
        </is>
      </c>
      <c r="B18" s="29" t="n">
        <v>6000</v>
      </c>
      <c r="C18" s="67">
        <f>IFERROR(B18/$B$31,"")</f>
        <v>0.03790886487748407</v>
      </c>
      <c r="D18" s="28" t="inlineStr">
        <is>
          <t>Mostrador de venta, lavaporcionador con agua corriente, cafetera y molino, y el equipo del invierno. La crepera y la gofrera dependen de la salida de humos que permita tu ordenanza</t>
        </is>
      </c>
      <c r="E18" s="31" t="inlineStr">
        <is>
          <t>Sí</t>
        </is>
      </c>
    </row>
    <row r="19">
      <c r="A19" s="28" t="inlineStr">
        <is>
          <t>Mobiliario del local y de la terraza</t>
        </is>
      </c>
      <c r="B19" s="29" t="n">
        <v>5000</v>
      </c>
      <c r="C19" s="67">
        <f>IFERROR(B19/$B$31,"")</f>
        <v>0.03159072073123673</v>
      </c>
      <c r="D19" s="28" t="inlineStr">
        <is>
          <t>Mesas y sillas para 20 plazas dentro y 5 mesas de terraza en temporada</t>
        </is>
      </c>
      <c r="E19" s="31" t="inlineStr">
        <is>
          <t>Sí</t>
        </is>
      </c>
    </row>
    <row r="20">
      <c r="A20" s="28" t="inlineStr">
        <is>
          <t>TPV con Veri*factu, datáfono y báscula</t>
        </is>
      </c>
      <c r="B20" s="29" t="n">
        <v>1800</v>
      </c>
      <c r="C20" s="67">
        <f>IFERROR(B20/$B$31,"")</f>
        <v>0.011372659463245222</v>
      </c>
      <c r="D20" s="28" t="inlineStr">
        <is>
          <t>Software de facturación conforme a Veri*factu, datáfono y báscula para el helado al peso</t>
        </is>
      </c>
      <c r="E20" s="31" t="inlineStr">
        <is>
          <t>Sí</t>
        </is>
      </c>
    </row>
    <row r="21">
      <c r="A21" s="28" t="inlineStr">
        <is>
          <t>Menaje, uniformes y cartelería de alérgenos</t>
        </is>
      </c>
      <c r="B21" s="29" t="n">
        <v>1200</v>
      </c>
      <c r="C21" s="67">
        <f>IFERROR(B21/$B$31,"")</f>
        <v>0.007581772975496815</v>
      </c>
      <c r="D21" s="28" t="inlineStr">
        <is>
          <t>Copas, cucharas y espátulas (una por cubeta), uniformes y el cartel que dice dónde pedir la información de alérgenos (RD 126/2015)</t>
        </is>
      </c>
      <c r="E21" s="31" t="inlineStr">
        <is>
          <t>Sí</t>
        </is>
      </c>
    </row>
    <row r="22">
      <c r="A22" s="28" t="inlineStr">
        <is>
          <t>Formación técnica de heladería</t>
        </is>
      </c>
      <c r="B22" s="29" t="n">
        <v>2000</v>
      </c>
      <c r="C22" s="67">
        <f>IFERROR(B22/$B$31,"")</f>
        <v>0.01263628829249469</v>
      </c>
      <c r="D22" s="28" t="inlineStr">
        <is>
          <t>Curso de balanceo de mezclas: la diferencia entre un helado cremoso y uno arenoso o duro en la vitrina</t>
        </is>
      </c>
      <c r="E22" s="31" t="inlineStr">
        <is>
          <t>Sí</t>
        </is>
      </c>
    </row>
    <row r="23">
      <c r="A23" s="28" t="inlineStr">
        <is>
          <t>Marca, web, fotos y lanzamiento</t>
        </is>
      </c>
      <c r="B23" s="29" t="n">
        <v>3500</v>
      </c>
      <c r="C23" s="67">
        <f>IFERROR(B23/$B$31,"")</f>
        <v>0.02211350451186571</v>
      </c>
      <c r="D23" s="28" t="inlineStr">
        <is>
          <t>Identidad, web con la carta de sabores, sesión de fotos y campaña de apertura</t>
        </is>
      </c>
      <c r="E23" s="31" t="inlineStr">
        <is>
          <t>Sí</t>
        </is>
      </c>
    </row>
    <row r="24">
      <c r="A24" s="28" t="inlineStr">
        <is>
          <t>Constitución de la SL, licencia, tasas, registro sanitario y APPCC</t>
        </is>
      </c>
      <c r="B24" s="29" t="n">
        <v>2000</v>
      </c>
      <c r="C24" s="67">
        <f>IFERROR(B24/$B$31,"")</f>
        <v>0.01263628829249469</v>
      </c>
      <c r="D24" s="28" t="inlineStr">
        <is>
          <t>SL unipersonal, declaración responsable, tasas municipales, registro sanitario autonómico y redacción del plan APPCC. Las tasas no llevan IVA; los honorarios sí: cambia la columna de al lado si tu presupuesto es sobre todo de honorarios</t>
        </is>
      </c>
      <c r="E24" s="31" t="inlineStr">
        <is>
          <t>No</t>
        </is>
      </c>
    </row>
    <row r="25">
      <c r="A25" s="28" t="inlineStr">
        <is>
          <t>Stock inicial de materias primas y envases</t>
        </is>
      </c>
      <c r="B25" s="29" t="n">
        <v>3000</v>
      </c>
      <c r="C25" s="67">
        <f>IFERROR(B25/$B$31,"")</f>
        <v>0.018954432438742036</v>
      </c>
      <c r="D25" s="28" t="inlineStr">
        <is>
          <t>Leche, nata, azúcares, pastas, fruta, barquillos, tarrinas y envases para llevar</t>
        </is>
      </c>
      <c r="E25" s="31" t="inlineStr">
        <is>
          <t>Sí</t>
        </is>
      </c>
    </row>
    <row r="26">
      <c r="A26" s="28" t="inlineStr">
        <is>
          <t>Fianza del alquiler</t>
        </is>
      </c>
      <c r="B26" s="32">
        <f>IFERROR(IF('0. Supuestos'!$B$24="","",'0. Supuestos'!$B$24*'0. Supuestos'!$B$25),"")</f>
        <v>5100.0</v>
      </c>
      <c r="C26" s="67">
        <f>IFERROR(B26/$B$31,"")</f>
        <v>0.032222535145861465</v>
      </c>
      <c r="D26" s="28" t="str">
        <f>IFERROR(""&amp;TEXT('0. Supuestos'!$B$25,"0")&amp;" meses de renta, al tipo de la hoja de Supuestos. Es un activo recuperable al cerrar: ni se amortiza ni lleva IVA","")</f>
        <v>3 meses de renta, al tipo de la hoja de Supuestos. Es un activo recuperable al cerrar: ni se amortiza ni lleva IVA</v>
      </c>
      <c r="E26" s="28" t="inlineStr">
        <is>
          <t>No</t>
        </is>
      </c>
    </row>
    <row r="27">
      <c r="A27" s="28" t="inlineStr">
        <is>
          <t>Alquiler de los meses previos a la apertura</t>
        </is>
      </c>
      <c r="B27" s="32">
        <f>IFERROR(IF('0. Supuestos'!$B$24="","",'0. Supuestos'!$B$24*'0. Supuestos'!$B$54),"")</f>
        <v>3400.0</v>
      </c>
      <c r="C27" s="67">
        <f>IFERROR(B27/$B$31,"")</f>
        <v>0.021481690097240977</v>
      </c>
      <c r="D27" s="28"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IFERROR(IF(COUNT(B7,B8,B9,B10,B11)=0,"",ROUND((B7+B8+B9+B10+B11)*'0. Supuestos'!$B$55,0)),"")</f>
        <v>3250.0</v>
      </c>
      <c r="C28" s="67">
        <f>IFERROR(B28/$B$31,"")</f>
        <v>0.020533968475303872</v>
      </c>
      <c r="D28" s="28" t="str">
        <f>IFERROR("Al "&amp;TEXT('0. Supuestos'!$B$55,"0%")&amp;" de las partidas de OBRA Y ACONDICIONAMIENTO de este bloque (Proyecto técnico y dirección de obra, Obra y acondicionamiento del obrador y la tienda, Instalación eléctrica trifásica, cuadro y boletín, Fontanería, desagües, climatización y "&amp;"ventilación y Rótulo y escaparate), no del bloque entero: el resto de partidas del bloque quedan fuera. Un banco no financia una reforma sin colchón: el porcentaje está en la hoja de Supuestos","")</f>
        <v>Al 10% de las partidas de OBRA Y ACONDICIONAMIENTO de este bloque (Proyecto técnico y dirección de obra, Obra y acondicionamiento del obrador y la tienda, Instalación eléctrica trifásica, cuadro y boletín, Fontanería, desagües, climatización y ventilación y Rótulo y escaparate),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32624.324999999997</v>
      </c>
      <c r="C29" s="66">
        <f>IFERROR(B29/$B$31,"")</f>
        <v>0.2061251880240209</v>
      </c>
      <c r="D29" s="28" t="n"/>
      <c r="E29" s="28" t="n"/>
    </row>
    <row r="30">
      <c r="A30" s="28" t="inlineStr">
        <is>
          <t>Colchón operativo hasta alcanzar el equilibrio</t>
        </is>
      </c>
      <c r="B30" s="32">
        <f>IFERROR(IF('0. Supuestos'!$B$35*('PyG 3 Años'!$B$38-'PyG 3 Años'!$B$36)=0,"",'0. Supuestos'!$B$35*('PyG 3 Años'!$B$38-'PyG 3 Años'!$B$36)/12),"")</f>
        <v>32624.324999999997</v>
      </c>
      <c r="C30" s="67">
        <f>IFERROR(B30/$B$31,"")</f>
        <v>0.2061251880240209</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158274.325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(21% del total). Para comparar el desglose con otro plan, usa la fila de CAPEX de abajo.</v>
      </c>
      <c r="E31" s="28" t="n"/>
    </row>
    <row r="32">
      <c r="A32" s="25" t="inlineStr">
        <is>
          <t>CAPEX (inversión sin el fondo de maniobra)</t>
        </is>
      </c>
      <c r="B32" s="26">
        <f>IFERROR(B31-B29,"")</f>
        <v>125650.00000000001</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24895.5</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183169.825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IFERROR(IF(B7="","",B7+B8+B9+B10+B11+B28),"")</f>
        <v>35750.0</v>
      </c>
      <c r="C36" s="28" t="n"/>
      <c r="D36" s="28" t="str">
        <f>IFERROR("Se amortiza en "&amp;TEXT('0. Supuestos'!$B$44,"0")&amp;" años","")</f>
        <v>Se amortiza en 10 años</v>
      </c>
      <c r="E36" s="28" t="n"/>
    </row>
    <row r="37">
      <c r="A37" s="28" t="inlineStr">
        <is>
          <t>Maquinaria, mobiliario y equipos</t>
        </is>
      </c>
      <c r="B37" s="32">
        <f>IFERROR(IF(B12="","",B12+B13+B14+B15+B16+B17+B18+B19+B20+B21),"")</f>
        <v>70900.0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10665.0</v>
      </c>
      <c r="C38" s="28" t="n"/>
      <c r="D38" s="25" t="str">
        <f>IFERROR("No se amortizan, por no ser inmovilizado, Formación técnica de heladería, Marca, web, fotos y lanzamiento, Constitución de la SL, licencia, tasas, registro sanitario y APPCC, Stock inicial de materias primas y envases, Fianza del alquiler, "&amp;"Alquiler de los meses previos a la apertura ni Colchón operativo hasta alcanzar el equilibrio. Suman "&amp;TEXT(B31-B36-B37,"0")&amp;" € de los "&amp;TEXT(B31,"0")&amp;" € de inversión.","")</f>
        <v>No se amortizan, por no ser inmovilizado, Formación técnica de heladería, Marca, web, fotos y lanzamiento, Constitución de la SL, licencia, tasas, registro sanitario y APPCC, Stock inicial de materias primas y envases, Fianza del alquiler, Alquiler de los meses previos a la apertura ni Colchón operativo hasta alcanzar el equilibrio. Suman 51624 € de los 158274 €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heladería artesanal</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Clientes/día (media)</t>
        </is>
      </c>
      <c r="B6" s="39">
        <f>IFERROR(IF('0. Supuestos'!$B$4="","",'0. Supuestos'!$B$4),"")</f>
        <v>143.0</v>
      </c>
      <c r="C6" s="39">
        <f>IFERROR(B6*(1+'0. Supuestos'!$B$7),"")</f>
        <v>154.44</v>
      </c>
      <c r="D6" s="39">
        <f>IFERROR(C6*(1+'0. Supuestos'!$B$8),"")</f>
        <v>162.162</v>
      </c>
      <c r="E6" s="28" t="n"/>
      <c r="F6" s="28" t="inlineStr">
        <is>
          <t>El crecimiento de los años 2 y 3 está en la hoja de Supuestos</t>
        </is>
      </c>
      <c r="G6" s="28" t="n"/>
      <c r="H6" s="28" t="n"/>
    </row>
    <row r="7">
      <c r="A7" s="28" t="inlineStr">
        <is>
          <t>Ticket medio sin IVA</t>
        </is>
      </c>
      <c r="B7" s="69">
        <f>IFERROR(IF('0. Supuestos'!$B$5="","",'0. Supuestos'!$B$5),"")</f>
        <v>4.9</v>
      </c>
      <c r="C7" s="69">
        <f>IFERROR(IF(B7="","",B7),"")</f>
        <v>4.9</v>
      </c>
      <c r="D7" s="69">
        <f>IFERROR(IF(C7="","",C7),"")</f>
        <v>4.9</v>
      </c>
      <c r="E7" s="28" t="n"/>
      <c r="F7" s="28" t="inlineStr">
        <is>
          <t>Constante en euros del año 1: una subida de precios es una decisión aparte</t>
        </is>
      </c>
      <c r="G7" s="28" t="n"/>
      <c r="H7" s="28" t="n"/>
    </row>
    <row r="8">
      <c r="A8" s="28" t="inlineStr">
        <is>
          <t>Días de apertura al año</t>
        </is>
      </c>
      <c r="B8" s="39">
        <f>IFERROR(IF('0. Supuestos'!$B$6="","",'0. Supuestos'!$B$6),"")</f>
        <v>310.0</v>
      </c>
      <c r="C8" s="39">
        <f>IFERROR(IF(B8="","",B8),"")</f>
        <v>310.0</v>
      </c>
      <c r="D8" s="39">
        <f>IFERROR(IF(C8="","",C8),"")</f>
        <v>310.0</v>
      </c>
      <c r="E8" s="28" t="n"/>
      <c r="F8" s="28" t="n"/>
      <c r="G8" s="28" t="n"/>
      <c r="H8" s="28" t="n"/>
    </row>
    <row r="9">
      <c r="A9" s="25" t="inlineStr">
        <is>
          <t>INGRESOS TOTALES (sin IVA)</t>
        </is>
      </c>
      <c r="B9" s="26">
        <f>IFERROR(IF(B6*B7*B8=0,"",B6*B7*B8),"")</f>
        <v>217217.0</v>
      </c>
      <c r="C9" s="26">
        <f>IFERROR(IF(C6*C7*C8=0,"",C6*C7*C8),"")</f>
        <v>234594.36000000002</v>
      </c>
      <c r="D9" s="26">
        <f>IFERROR(IF(D6*D7*D8=0,"",D6*D7*D8),"")</f>
        <v>246324.07800000004</v>
      </c>
      <c r="E9" s="66">
        <f>IFERROR(IF(B9="","",1),"")</f>
        <v>1.0</v>
      </c>
      <c r="F9" s="28" t="n"/>
      <c r="G9" s="28" t="n"/>
      <c r="H9" s="28" t="n"/>
    </row>
    <row r="10">
      <c r="A10" s="28" t="inlineStr">
        <is>
          <t>Ventas de helado y obrador (mostrador, para llevar, tartas, invierno y restaurantes)</t>
        </is>
      </c>
      <c r="B10" s="32">
        <f>IFERROR(IF(B9="","",B9*$E$10),"")</f>
        <v>195495.30000000002</v>
      </c>
      <c r="C10" s="32">
        <f>IFERROR(IF(C9="","",C9*$E$10),"")</f>
        <v>211134.92400000003</v>
      </c>
      <c r="D10" s="32">
        <f>IFERROR(IF(D9="","",D9*$E$10),"")</f>
        <v>221691.67020000005</v>
      </c>
      <c r="E10" s="67">
        <f>IFERROR(IF('0. Supuestos'!$B$11="","",'0. Supuestos'!$B$11),"")</f>
        <v>0.9</v>
      </c>
      <c r="F10" s="28" t="inlineStr">
        <is>
          <t>Del total de ventas: helado de mostrador (bola, copa y cucurucho) 58 %, para llevar y tartas heladas 17 %, invierno (crepes y gofres, tartas y turrón helado de Navidad por encargo) 10 % y restaurantes y eventos 5 %. Todo al 10 % de IVA, se tome en el local o se lleve</t>
        </is>
      </c>
      <c r="G10" s="67">
        <f>IFERROR(IF(B9="","",'0. Supuestos'!$B$39),"")</f>
        <v>0.1</v>
      </c>
      <c r="H10" s="28" t="n"/>
    </row>
    <row r="11">
      <c r="A11" s="28" t="inlineStr">
        <is>
          <t>Ventas de cafetería y bebidas (sin alcohol)</t>
        </is>
      </c>
      <c r="B11" s="32">
        <f>IFERROR(IF(B9="","",B9*$E$11),"")</f>
        <v>21721.699999999993</v>
      </c>
      <c r="C11" s="32">
        <f>IFERROR(IF(C9="","",C9*$E$11),"")</f>
        <v>23459.435999999998</v>
      </c>
      <c r="D11" s="32">
        <f>IFERROR(IF(D9="","",D9*$E$11),"")</f>
        <v>24632.407799999997</v>
      </c>
      <c r="E11" s="67">
        <f>IFERROR(IF('0. Supuestos'!$B$12="","",'0. Supuestos'!$B$12),"")</f>
        <v>0.09999999999999998</v>
      </c>
      <c r="F11" s="28" t="inlineStr">
        <is>
          <t>Café, chocolate a la taza, batidos, granizados, horchata, agua y refrescos</t>
        </is>
      </c>
      <c r="G11" s="67">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39099.060000000005</v>
      </c>
      <c r="C13" s="32">
        <f>IFERROR(IF(C9="","",C9*'0. Supuestos'!$B$11*'0. Supuestos'!$B$13),"")</f>
        <v>42226.984800000006</v>
      </c>
      <c r="D13" s="32">
        <f>IFERROR(IF(D9="","",D9*'0. Supuestos'!$B$11*'0. Supuestos'!$B$13),"")</f>
        <v>44338.334040000016</v>
      </c>
      <c r="E13" s="67">
        <f>IFERROR(B13/$B$9,"")</f>
        <v>0.18000000000000002</v>
      </c>
      <c r="F13" s="28" t="str">
        <f>IFERROR("Al "&amp;TEXT('0. Supuestos'!$B$13,"0%")&amp;" de las ventas de COMIDA, no del total: la bebida tiene su propia línea · El IVA que SOPORTAS al comprar: la leche, los huevos, la fruta y los quesos van al 4 % (art. 91.Dos.1.1.º de la Ley 37/1992) y la nata, el azúcar, el chocolate, las "&amp;"pastas y los barquillos al 10 %; con un 30 % de la compra al 4 % sale un 8,2 %. Ajústalo a tus facturas","")</f>
        <v>Al 20% de las ventas de COMIDA, no del total: la bebida tiene su propia línea · El IVA que SOPORTAS al comprar: la leche, los huevos, la fruta y los quesos van al 4 % (art. 91.Dos.1.1.º de la Ley 37/1992) y la nata, el azúcar, el chocolate, las pastas y los barquillos al 10 %; con un 30 % de la compra al 4 % sale un 8,2 %. Ajústalo a tus facturas</v>
      </c>
      <c r="G13" s="75" t="n">
        <v>0.082</v>
      </c>
      <c r="H13" s="28" t="n"/>
    </row>
    <row r="14">
      <c r="A14" s="28" t="inlineStr">
        <is>
          <t>Coste de mercancía — bebida</t>
        </is>
      </c>
      <c r="B14" s="32">
        <f>IFERROR(IF(B9="","",B9*'0. Supuestos'!$B$12*'0. Supuestos'!$B$14),"")</f>
        <v>5430.424999999998</v>
      </c>
      <c r="C14" s="32">
        <f>IFERROR(IF(C9="","",C9*'0. Supuestos'!$B$12*'0. Supuestos'!$B$14),"")</f>
        <v>5864.8589999999995</v>
      </c>
      <c r="D14" s="32">
        <f>IFERROR(IF(D9="","",D9*'0. Supuestos'!$B$12*'0. Supuestos'!$B$14),"")</f>
        <v>6158.101949999999</v>
      </c>
      <c r="E14" s="67">
        <f>IFERROR(B14/$B$9,"")</f>
        <v>0.02499999999999999</v>
      </c>
      <c r="F14" s="28" t="str">
        <f>IFERROR("Al "&amp;TEXT('0. Supuestos'!$B$14,"0%")&amp;" de las ventas de BEBIDA","")</f>
        <v>Al 25% de las ventas de BEBIDA</v>
      </c>
      <c r="G14" s="67">
        <f>IFERROR(IF(B9="","",('0. Supuestos'!$B$62*'0. Supuestos'!$B$40+(1-'0. Supuestos'!$B$62)*'0. Supuestos'!$B$39)),"")</f>
        <v>0.1</v>
      </c>
      <c r="H14" s="28" t="n"/>
    </row>
    <row r="15">
      <c r="A15" s="28" t="inlineStr">
        <is>
          <t>Consumibles y envases</t>
        </is>
      </c>
      <c r="B15" s="32">
        <f>IFERROR(IF(B9="","",B9*'0. Supuestos'!$B$15),"")</f>
        <v>8688.68</v>
      </c>
      <c r="C15" s="32">
        <f>IFERROR(IF(C9="","",C9*'0. Supuestos'!$B$15),"")</f>
        <v>9383.7744</v>
      </c>
      <c r="D15" s="32">
        <f>IFERROR(IF(D9="","",D9*'0. Supuestos'!$B$15),"")</f>
        <v>9852.963120000002</v>
      </c>
      <c r="E15" s="67">
        <f>IFERROR(B15/$B$9,"")</f>
        <v>0.04</v>
      </c>
      <c r="F15" s="28" t="n"/>
      <c r="G15" s="67">
        <f>IFERROR(IF(B9="","",'0. Supuestos'!$B$41),"")</f>
        <v>0.21</v>
      </c>
      <c r="H15" s="28" t="n"/>
    </row>
    <row r="16">
      <c r="A16" s="28" t="inlineStr">
        <is>
          <t>Comisiones de delivery</t>
        </is>
      </c>
      <c r="B16" s="32">
        <f>IFERROR(IF(B9="","",B9*'0. Supuestos'!$B$16*'0. Supuestos'!$B$17),"")</f>
        <v>1954.9529999999997</v>
      </c>
      <c r="C16" s="32">
        <f>IFERROR(IF(C9="","",C9*'0. Supuestos'!$B$16*'0. Supuestos'!$B$17),"")</f>
        <v>2111.34924</v>
      </c>
      <c r="D16" s="32">
        <f>IFERROR(IF(D9="","",D9*'0. Supuestos'!$B$16*'0. Supuestos'!$B$17),"")</f>
        <v>2216.9167020000004</v>
      </c>
      <c r="E16" s="67">
        <f>IFERROR(B16/$B$9,"")</f>
        <v>0.009</v>
      </c>
      <c r="F16" s="28" t="inlineStr">
        <is>
          <t>Sobre las ventas DEL CANAL. Con 0 % de delivery en Supuestos, esta línea vale cero</t>
        </is>
      </c>
      <c r="G16" s="67">
        <f>IFERROR(IF(B9="","",'0. Supuestos'!$B$41),"")</f>
        <v>0.21</v>
      </c>
      <c r="H16" s="28" t="n"/>
    </row>
    <row r="17">
      <c r="A17" s="28" t="inlineStr">
        <is>
          <t>Comisiones de los medios de pago</t>
        </is>
      </c>
      <c r="B17" s="32">
        <f>IFERROR(IF(B9="","",B9*'0. Supuestos'!$B$18),"")</f>
        <v>1737.736</v>
      </c>
      <c r="C17" s="32">
        <f>IFERROR(IF(C9="","",C9*'0. Supuestos'!$B$18),"")</f>
        <v>1876.7548800000002</v>
      </c>
      <c r="D17" s="32">
        <f>IFERROR(IF(D9="","",D9*'0. Supuestos'!$B$18),"")</f>
        <v>1970.5926240000003</v>
      </c>
      <c r="E17" s="67">
        <f>IFERROR(B17/$B$9,"")</f>
        <v>0.008</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4344.34</v>
      </c>
      <c r="C18" s="32">
        <f>IFERROR(IF(C9="","",C9*'0. Supuestos'!$B$28),"")</f>
        <v>4691.8872</v>
      </c>
      <c r="D18" s="32">
        <f>IFERROR(IF(D9="","",D9*'0. Supuestos'!$B$28),"")</f>
        <v>4926.481560000001</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61255.194</v>
      </c>
      <c r="C19" s="26">
        <f>IFERROR(IF(C9="","",SUM(C13:C18)),"")</f>
        <v>66155.60952000001</v>
      </c>
      <c r="D19" s="26">
        <f>IFERROR(IF(D9="","",SUM(D13:D18)),"")</f>
        <v>69463.38999600001</v>
      </c>
      <c r="E19" s="66">
        <f>IFERROR(B19/$B$9,"")</f>
        <v>0.28200000000000003</v>
      </c>
      <c r="F19" s="28" t="n"/>
      <c r="G19" s="28" t="n"/>
      <c r="H19" s="28" t="n"/>
    </row>
    <row r="20">
      <c r="A20" s="25" t="inlineStr">
        <is>
          <t>MARGEN BRUTO</t>
        </is>
      </c>
      <c r="B20" s="26">
        <f>IFERROR(IF(B9="","",B9-B19),"")</f>
        <v>155961.80599999998</v>
      </c>
      <c r="C20" s="26">
        <f>IFERROR(IF(C9="","",C9-C19),"")</f>
        <v>168438.75048</v>
      </c>
      <c r="D20" s="26">
        <f>IFERROR(IF(D9="","",D9-D19),"")</f>
        <v>176860.68800400003</v>
      </c>
      <c r="E20" s="66">
        <f>IFERROR(B20/$B$9,"")</f>
        <v>0.718</v>
      </c>
      <c r="F20" s="28" t="n"/>
      <c r="G20" s="28" t="n"/>
      <c r="H20" s="28" t="n"/>
    </row>
    <row r="21">
      <c r="A21" s="25" t="inlineStr">
        <is>
          <t>COSTES FIJOS</t>
        </is>
      </c>
      <c r="B21" s="28" t="n"/>
      <c r="C21" s="28" t="n"/>
      <c r="D21" s="28" t="n"/>
      <c r="E21" s="28" t="n"/>
      <c r="F21" s="28" t="n"/>
      <c r="G21" s="28" t="n"/>
      <c r="H21" s="28" t="n"/>
    </row>
    <row r="22">
      <c r="A22" s="28" t="inlineStr">
        <is>
          <t>Alquiler del local</t>
        </is>
      </c>
      <c r="B22" s="32">
        <f>IFERROR(IF(B9="","",'0. Supuestos'!$B$24*12),"")</f>
        <v>20400.0</v>
      </c>
      <c r="C22" s="32">
        <f>IFERROR(IF(C9="","",B22*(1+'0. Supuestos'!$B$48)),"")</f>
        <v>20400.0</v>
      </c>
      <c r="D22" s="32">
        <f>IFERROR(IF(D9="","",C22*(1+'0. Supuestos'!$B$48)),"")</f>
        <v>20400.0</v>
      </c>
      <c r="E22" s="67">
        <f>IFERROR(B22/$B$9,"")</f>
        <v>0.09391530128857317</v>
      </c>
      <c r="F22" s="28" t="inlineStr">
        <is>
          <t>El importe mensual está en la hoja de Supuestos; aquí se multiplica por doce. Los dos meses de renta previos a la apertura están en la hoja de Inversión y NO se cuentan dos veces</t>
        </is>
      </c>
      <c r="G22" s="67">
        <f>IFERROR(IF(B9="","",'0. Supuestos'!$B$41),"")</f>
        <v>0.21</v>
      </c>
      <c r="H22" s="28" t="n"/>
    </row>
    <row r="23">
      <c r="A23" s="28" t="inlineStr">
        <is>
          <t>Personal (nóminas + Seguridad Social)</t>
        </is>
      </c>
      <c r="B23" s="32">
        <f>IFERROR(IF(B9="","",'Personal'!$G$11),"")</f>
        <v>82207.3</v>
      </c>
      <c r="C23" s="32">
        <f>IFERROR(IF(C9="","",'Personal'!$B$15),"")</f>
        <v>88207.3</v>
      </c>
      <c r="D23" s="32">
        <f>IFERROR(IF(D9="","",'Personal'!$B$16),"")</f>
        <v>94207.3</v>
      </c>
      <c r="E23" s="67">
        <f>IFERROR(B23/$B$9,"")</f>
        <v>0.37845702684412363</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t>
        </is>
      </c>
      <c r="B24" s="32">
        <f>IFERROR(IF(B9="","",'0. Supuestos'!$B$26*12),"")</f>
        <v>8400.0</v>
      </c>
      <c r="C24" s="32">
        <f>IFERROR(IF(C9="","",B24*(1+'0. Supuestos'!$B$48)),"")</f>
        <v>8400.0</v>
      </c>
      <c r="D24" s="32">
        <f>IFERROR(IF(D9="","",C24*(1+'0. Supuestos'!$B$48)),"")</f>
        <v>8400.0</v>
      </c>
      <c r="E24" s="67">
        <f>IFERROR(B24/$B$9,"")</f>
        <v>0.0386710064129419</v>
      </c>
      <c r="F24" s="28" t="inlineStr">
        <is>
          <t>Luz y gas van al 21 %; la factura del agua, al 10 %. El libro aplica a toda esta partida el tipo de la columna de al lado (21 %): si el agua pesa mucho en tu local, sepárala en su línea</t>
        </is>
      </c>
      <c r="G24" s="67">
        <f>IFERROR(IF(B9="","",'0. Supuestos'!$B$41),"")</f>
        <v>0.21</v>
      </c>
      <c r="H24" s="28" t="n"/>
    </row>
    <row r="25">
      <c r="A25" s="28" t="inlineStr">
        <is>
          <t>Seguros (RC + multirriesgo)</t>
        </is>
      </c>
      <c r="B25" s="32">
        <f>IFERROR(IF(B9="","",'0. Supuestos'!$B$27),"")</f>
        <v>1500.0</v>
      </c>
      <c r="C25" s="32">
        <f>IFERROR(IF(C9="","",B25*(1+'0. Supuestos'!$B$48)),"")</f>
        <v>1500.0</v>
      </c>
      <c r="D25" s="32">
        <f>IFERROR(IF(D9="","",C25*(1+'0. Supuestos'!$B$48)),"")</f>
        <v>1500.0</v>
      </c>
      <c r="E25" s="67">
        <f>IFERROR(B25/$B$9,"")</f>
        <v>0.00690553685945391</v>
      </c>
      <c r="F25" s="28" t="inlineStr">
        <is>
          <t>Las operaciones de seguro están EXENTAS de IVA (art. 20.Uno.16 LIVA): la prima no lleva IVA deducible</t>
        </is>
      </c>
      <c r="G25" s="67" t="n">
        <v>0</v>
      </c>
      <c r="H25" s="28" t="n"/>
    </row>
    <row r="26">
      <c r="A26" s="28" t="inlineStr">
        <is>
          <t>Gestoría laboral, fiscal y contable</t>
        </is>
      </c>
      <c r="B26" s="29" t="n">
        <v>1800</v>
      </c>
      <c r="C26" s="32">
        <f>IFERROR(IF(C9="","",B26*(1+'0. Supuestos'!$B$48)),"")</f>
        <v>1800.0</v>
      </c>
      <c r="D26" s="32">
        <f>IFERROR(IF(D9="","",C26*(1+'0. Supuestos'!$B$48)),"")</f>
        <v>1800.0</v>
      </c>
      <c r="E26" s="67">
        <f>IFERROR(B26/$B$9,"")</f>
        <v>0.008286644231344693</v>
      </c>
      <c r="F26" s="28" t="inlineStr">
        <is>
          <t>Contabilidad, impuestos de la SL y nóminas de los fijos discontinuos, con sus llamamientos de cada temporada</t>
        </is>
      </c>
      <c r="G26" s="67">
        <f>IFERROR(IF(B9="","",'0. Supuestos'!$B$41),"")</f>
        <v>0.21</v>
      </c>
      <c r="H26" s="28" t="n"/>
    </row>
    <row r="27">
      <c r="A27" s="28" t="inlineStr">
        <is>
          <t>Mantenimiento del frío (contrato con frigorista certificado)</t>
        </is>
      </c>
      <c r="B27" s="29" t="n">
        <v>1500</v>
      </c>
      <c r="C27" s="32">
        <f>IFERROR(IF(C9="","",B27*(1+'0. Supuestos'!$B$48)),"")</f>
        <v>1500.0</v>
      </c>
      <c r="D27" s="32">
        <f>IFERROR(IF(D9="","",C27*(1+'0. Supuestos'!$B$48)),"")</f>
        <v>1500.0</v>
      </c>
      <c r="E27" s="67">
        <f>IFERROR(B27/$B$9,"")</f>
        <v>0.00690553685945391</v>
      </c>
      <c r="F27" s="28" t="inlineStr">
        <is>
          <t>Revisión de vitrinas, abatidor, mantecadora y armarios antes del verano y en las semanas de cierre de enero. La carga de gases refrigerantes la hace sólo un técnico certificado: el personal no la toca</t>
        </is>
      </c>
      <c r="G27" s="67">
        <f>IFERROR(IF(B9="","",'0. Supuestos'!$B$41),"")</f>
        <v>0.21</v>
      </c>
      <c r="H27" s="28" t="n"/>
    </row>
    <row r="28">
      <c r="A28" s="28" t="inlineStr">
        <is>
          <t>Marketing y publicidad de temporada</t>
        </is>
      </c>
      <c r="B28" s="29" t="n">
        <v>2500</v>
      </c>
      <c r="C28" s="32">
        <f>IFERROR(IF(C9="","",B28*(1+'0. Supuestos'!$B$48)),"")</f>
        <v>2500.0</v>
      </c>
      <c r="D28" s="32">
        <f>IFERROR(IF(D9="","",C28*(1+'0. Supuestos'!$B$48)),"")</f>
        <v>2500.0</v>
      </c>
      <c r="E28" s="67">
        <f>IFERROR(B28/$B$9,"")</f>
        <v>0.01150922809908985</v>
      </c>
      <c r="F28" s="28" t="inlineStr">
        <is>
          <t>Redes sociales, ficha de Google Business, cartelería y la campaña de apertura de cada temporada, más la de tartas y turrón helado de Navidad</t>
        </is>
      </c>
      <c r="G28" s="67">
        <f>IFERROR(IF(B9="","",'0. Supuestos'!$B$41),"")</f>
        <v>0.21</v>
      </c>
      <c r="H28" s="28" t="n"/>
    </row>
    <row r="29">
      <c r="A29" s="28" t="inlineStr">
        <is>
          <t>Software, teléfono e internet</t>
        </is>
      </c>
      <c r="B29" s="29" t="n">
        <v>700</v>
      </c>
      <c r="C29" s="32">
        <f>IFERROR(IF(C9="","",B29*(1+'0. Supuestos'!$B$48)),"")</f>
        <v>700.0</v>
      </c>
      <c r="D29" s="32">
        <f>IFERROR(IF(D9="","",C29*(1+'0. Supuestos'!$B$48)),"")</f>
        <v>700.0</v>
      </c>
      <c r="E29" s="67">
        <f>IFERROR(B29/$B$9,"")</f>
        <v>0.003222583867745158</v>
      </c>
      <c r="F29" s="28" t="inlineStr">
        <is>
          <t>Cuota del TPV con Veri*factu, teléfono e internet</t>
        </is>
      </c>
      <c r="G29" s="67">
        <f>IFERROR(IF(B9="","",'0. Supuestos'!$B$41),"")</f>
        <v>0.21</v>
      </c>
      <c r="H29" s="28" t="n"/>
    </row>
    <row r="30">
      <c r="A30" s="28" t="inlineStr">
        <is>
          <t>Limpieza, lavandería, EPI y análisis de autocontrol</t>
        </is>
      </c>
      <c r="B30" s="29" t="n">
        <v>800</v>
      </c>
      <c r="C30" s="32">
        <f>IFERROR(IF(C9="","",B30*(1+'0. Supuestos'!$B$48)),"")</f>
        <v>800.0</v>
      </c>
      <c r="D30" s="32">
        <f>IFERROR(IF(D9="","",C30*(1+'0. Supuestos'!$B$48)),"")</f>
        <v>800.0</v>
      </c>
      <c r="E30" s="67">
        <f>IFERROR(B30/$B$9,"")</f>
        <v>0.003682952991708752</v>
      </c>
      <c r="F30" s="28" t="inlineStr">
        <is>
          <t>Productos de limpieza y desinfección, lavado de uniformes, guantes para trabajar a −20 °C y los análisis de autocontrol que fije tu APPCC</t>
        </is>
      </c>
      <c r="G30" s="67">
        <f>IFERROR(IF(B9="","",'0. Supuestos'!$B$41),"")</f>
        <v>0.21</v>
      </c>
      <c r="H30" s="28" t="n"/>
    </row>
    <row r="31">
      <c r="A31" s="28" t="inlineStr">
        <is>
          <t>Tasa de terraza (pon la de tu ayuntamiento)</t>
        </is>
      </c>
      <c r="B31" s="29" t="n">
        <v>1200</v>
      </c>
      <c r="C31" s="32">
        <f>IFERROR(IF(C9="","",B31*(1+'0. Supuestos'!$B$48)),"")</f>
        <v>1200.0</v>
      </c>
      <c r="D31" s="32">
        <f>IFERROR(IF(D9="","",C31*(1+'0. Supuestos'!$B$48)),"")</f>
        <v>1200.0</v>
      </c>
      <c r="E31" s="67">
        <f>IFERROR(B31/$B$9,"")</f>
        <v>0.005524429487563128</v>
      </c>
      <c r="F31" s="28" t="inlineStr">
        <is>
          <t>Ocupación de la vía pública con 5 mesas en temporada. Cada ayuntamiento tiene su ordenanza fiscal y este plan no ha leído ninguna: sustituye esta cifra por la de tu ayuntamiento</t>
        </is>
      </c>
      <c r="G31" s="67">
        <f>IFERROR(IF(B9="","",'0. Supuestos'!$B$41),"")</f>
        <v>0.21</v>
      </c>
      <c r="H31" s="28" t="n"/>
    </row>
    <row r="32">
      <c r="A32" s="28" t="inlineStr">
        <is>
          <t>Gestión de residuos</t>
        </is>
      </c>
      <c r="B32" s="29" t="n">
        <v>350</v>
      </c>
      <c r="C32" s="32">
        <f>IFERROR(IF(C9="","",B32*(1+'0. Supuestos'!$B$48)),"")</f>
        <v>350.0</v>
      </c>
      <c r="D32" s="32">
        <f>IFERROR(IF(D9="","",C32*(1+'0. Supuestos'!$B$48)),"")</f>
        <v>350.0</v>
      </c>
      <c r="E32" s="67">
        <f>IFERROR(B32/$B$9,"")</f>
        <v>0.001611291933872579</v>
      </c>
      <c r="F32" s="28" t="inlineStr">
        <is>
          <t>Cartón, envases y orgánico del obrador con gestor autorizado o por el servicio municipal</t>
        </is>
      </c>
      <c r="G32" s="67">
        <f>IFERROR(IF(B9="","",'0. Supuestos'!$B$41),"")</f>
        <v>0.21</v>
      </c>
      <c r="H32" s="28" t="n"/>
    </row>
    <row r="33">
      <c r="A33" s="28" t="inlineStr">
        <is>
          <t>Desinsectación, desratización y desinfección (DDD)</t>
        </is>
      </c>
      <c r="B33" s="29" t="n">
        <v>450</v>
      </c>
      <c r="C33" s="32">
        <f>IFERROR(IF(C9="","",B33*(1+'0. Supuestos'!$B$48)),"")</f>
        <v>450.0</v>
      </c>
      <c r="D33" s="32">
        <f>IFERROR(IF(D9="","",C33*(1+'0. Supuestos'!$B$48)),"")</f>
        <v>450.0</v>
      </c>
      <c r="E33" s="67">
        <f>IFERROR(B33/$B$9,"")</f>
        <v>0.002071661057836173</v>
      </c>
      <c r="F33" s="28" t="inlineStr">
        <is>
          <t>Empresa inscrita en el ROESB; forma parte del plan APPCC</t>
        </is>
      </c>
      <c r="G33" s="67">
        <f>IFERROR(IF(B9="","",'0. Supuestos'!$B$41),"")</f>
        <v>0.21</v>
      </c>
      <c r="H33" s="28" t="n"/>
    </row>
    <row r="34">
      <c r="A34" s="28" t="inlineStr">
        <is>
          <t>Derechos de autor por música ambiental (SGAE y AGEDI-AIE)</t>
        </is>
      </c>
      <c r="B34" s="29" t="n">
        <v>500</v>
      </c>
      <c r="C34" s="32">
        <f>IFERROR(IF(C9="","",B34*(1+'0. Supuestos'!$B$48)),"")</f>
        <v>500.0</v>
      </c>
      <c r="D34" s="32">
        <f>IFERROR(IF(D9="","",C34*(1+'0. Supuestos'!$B$48)),"")</f>
        <v>500.0</v>
      </c>
      <c r="E34" s="67">
        <f>IFERROR(B34/$B$9,"")</f>
        <v>0.0023018456198179702</v>
      </c>
      <c r="F34" s="28" t="inlineStr">
        <is>
          <t>SGAE y AGEDI-AIE son dos licencias distintas; el importe depende de los metros y del aforo de tu tienda</t>
        </is>
      </c>
      <c r="G34" s="67">
        <f>IFERROR(IF(B9="","",'0. Supuestos'!$B$41),"")</f>
        <v>0.21</v>
      </c>
      <c r="H34" s="28" t="n"/>
    </row>
    <row r="35">
      <c r="A35" s="28" t="inlineStr">
        <is>
          <t>Prevención de riesgos laborales y vigilancia de la salud</t>
        </is>
      </c>
      <c r="B35" s="29" t="n">
        <v>450</v>
      </c>
      <c r="C35" s="32">
        <f>IFERROR(IF(C9="","",B35*(1+'0. Supuestos'!$B$48)),"")</f>
        <v>450.0</v>
      </c>
      <c r="D35" s="32">
        <f>IFERROR(IF(D9="","",C35*(1+'0. Supuestos'!$B$48)),"")</f>
        <v>450.0</v>
      </c>
      <c r="E35" s="67">
        <f>IFERROR(B35/$B$9,"")</f>
        <v>0.002071661057836173</v>
      </c>
      <c r="F35" s="28" t="inlineStr">
        <is>
          <t>El plan de prevención es obligatorio (Ley 31/1995): trabajo en frío, cargas y cortes, y reconocimientos médicos de la plantilla</t>
        </is>
      </c>
      <c r="G35" s="67">
        <f>IFERROR(IF(B9="","",'0. Supuestos'!$B$41),"")</f>
        <v>0.21</v>
      </c>
      <c r="H35" s="28" t="n"/>
    </row>
    <row r="36">
      <c r="A36" s="28" t="inlineStr">
        <is>
          <t>Amortización del inmovilizado</t>
        </is>
      </c>
      <c r="B36" s="32">
        <f>IFERROR(IF(B9="","",'Inversión Inicial'!$B$38),"")</f>
        <v>10665.0</v>
      </c>
      <c r="C36" s="32">
        <f>IFERROR(IF(C9="","",B36),"")</f>
        <v>10665.0</v>
      </c>
      <c r="D36" s="32">
        <f>IFERROR(IF(D9="","",B36),"")</f>
        <v>10665.0</v>
      </c>
      <c r="E36" s="67">
        <f>IFERROR(B36/$B$9,"")</f>
        <v>0.049098367070717304</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7740.0</v>
      </c>
      <c r="C37" s="32">
        <f>IFERROR(IF(C9="","",'Financiación'!$B$46),"")</f>
        <v>7740.0</v>
      </c>
      <c r="D37" s="32">
        <f>IFERROR(IF(D9="","",'Financiación'!$B$48),"")</f>
        <v>6630.37325560431</v>
      </c>
      <c r="E37" s="67">
        <f>IFERROR(B37/$B$9,"")</f>
        <v>0.03563257019478218</v>
      </c>
      <c r="F37" s="28" t="inlineStr">
        <is>
          <t>Sólo los INTERESES son gasto. La devolución del principal va en la hoja de Tesorería</t>
        </is>
      </c>
      <c r="G37" s="67" t="n">
        <v>0</v>
      </c>
      <c r="H37" s="28" t="n"/>
    </row>
    <row r="38">
      <c r="A38" s="25" t="inlineStr">
        <is>
          <t>TOTAL COSTES FIJOS</t>
        </is>
      </c>
      <c r="B38" s="26">
        <f>IFERROR(IF(B9="","",SUM(B22:B37)),"")</f>
        <v>141162.3</v>
      </c>
      <c r="C38" s="26">
        <f>IFERROR(IF(C9="","",SUM(C22:C37)),"")</f>
        <v>147162.3</v>
      </c>
      <c r="D38" s="26">
        <f>IFERROR(IF(D9="","",SUM(D22:D37)),"")</f>
        <v>152052.67325560428</v>
      </c>
      <c r="E38" s="66">
        <f>IFERROR(B38/$B$9,"")</f>
        <v>0.6498676438768605</v>
      </c>
      <c r="F38" s="28" t="n"/>
      <c r="G38" s="28" t="n"/>
      <c r="H38" s="28" t="n"/>
    </row>
    <row r="39">
      <c r="A39" s="28" t="inlineStr">
        <is>
          <t>IVA soportado de los costes variables</t>
        </is>
      </c>
      <c r="B39" s="32">
        <f>IFERROR(IF(B9="","",SUMPRODUCT(B13:B18,G13:G18)),"")</f>
        <v>6896.63975</v>
      </c>
      <c r="C39" s="32">
        <f>IFERROR(IF(C9="","",SUMPRODUCT(C13:C18,G13:G18)),"")</f>
        <v>7448.370930000001</v>
      </c>
      <c r="D39" s="32">
        <f>IFERROR(IF(D9="","",SUMPRODUCT(D13:D18,G13:G18)),"")</f>
        <v>7820.789476500003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8200.5</v>
      </c>
      <c r="C40" s="32">
        <f>IFERROR(IF(C9="","",SUMPRODUCT(C22:C37,G22:G37)),"")</f>
        <v>8200.5</v>
      </c>
      <c r="D40" s="32">
        <f>IFERROR(IF(D9="","",SUMPRODUCT(D22:D37,G22:G37)),"")</f>
        <v>8200.5</v>
      </c>
      <c r="E40" s="28" t="n"/>
      <c r="F40" s="28" t="n"/>
      <c r="G40" s="28" t="n"/>
      <c r="H40" s="28" t="n"/>
    </row>
    <row r="41">
      <c r="A41" s="25" t="inlineStr">
        <is>
          <t>RESULTADO ANTES DE IMPUESTOS</t>
        </is>
      </c>
      <c r="B41" s="26">
        <f>IFERROR(IF(B9="","",B20-B38),"")</f>
        <v>14799.505999999994</v>
      </c>
      <c r="C41" s="26">
        <f>IFERROR(IF(C9="","",C20-C38),"")</f>
        <v>21276.45048</v>
      </c>
      <c r="D41" s="26">
        <f>IFERROR(IF(D9="","",D20-D38),"")</f>
        <v>24808.01474839574</v>
      </c>
      <c r="E41" s="66">
        <f>IFERROR(B41/$B$9,"")</f>
        <v>0.0681323561231395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14799.505999999994</v>
      </c>
      <c r="C43" s="32">
        <f>IFERROR(IF(C9="","",MAX(0,C41-C42)),"")</f>
        <v>21276.45048</v>
      </c>
      <c r="D43" s="32">
        <f>IFERROR(IF(D9="","",MAX(0,D41-D42)),"")</f>
        <v>24808.01474839574</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2219.925899999999</v>
      </c>
      <c r="C46" s="32">
        <f>IFERROR(IF(C9="","",IF(C45="",0,C43*C45)),"")</f>
        <v>3191.467572</v>
      </c>
      <c r="D46" s="32">
        <f>IFERROR(IF(D9="","",IF(D45="",0,D43*D45)),"")</f>
        <v>6202.003687098935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12579.580099999996</v>
      </c>
      <c r="C48" s="26">
        <f>IFERROR(IF(C9="","",C41-C46),"")</f>
        <v>18084.982907999998</v>
      </c>
      <c r="D48" s="26">
        <f>IFERROR(IF(D9="","",D41-D46),"")</f>
        <v>18606.011061296806</v>
      </c>
      <c r="E48" s="66">
        <f>IFERROR(B48/$B$9,"")</f>
        <v>0.057912502704668585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0.718</v>
      </c>
      <c r="C51" s="67">
        <f>IFERROR(IF(C9="","",C20/C9),"")</f>
        <v>0.7179999999999999</v>
      </c>
      <c r="D51" s="67">
        <f>IFERROR(IF(D9="","",D20/D9),"")</f>
        <v>0.718</v>
      </c>
      <c r="E51" s="75" t="n">
        <v>0.7</v>
      </c>
      <c r="F51" s="28" t="inlineStr">
        <is>
          <t>Suelo del margen tras TODOS los costes variables (mercancía, envases, plataforma, medios de pago y varios): un helado artesano con obrador propio deja por encima del 70 %. Estimación del kit</t>
        </is>
      </c>
      <c r="G51" s="28" t="n"/>
      <c r="H51" s="28" t="n"/>
    </row>
    <row r="52">
      <c r="A52" s="28" t="inlineStr">
        <is>
          <t>Coste de mercancía (comida + bebida)</t>
        </is>
      </c>
      <c r="B52" s="32">
        <f>IFERROR(IF(B9="","",B13+B14),"")</f>
        <v>44529.485</v>
      </c>
      <c r="C52" s="32">
        <f>IFERROR(IF(C9="","",C13+C14),"")</f>
        <v>48091.8438</v>
      </c>
      <c r="D52" s="32">
        <f>IFERROR(IF(D9="","",D13+D14),"")</f>
        <v>50496.43599000001</v>
      </c>
      <c r="E52" s="28" t="n"/>
      <c r="F52" s="28" t="n"/>
      <c r="G52" s="28" t="n"/>
      <c r="H52" s="28" t="n"/>
    </row>
    <row r="53">
      <c r="A53" s="28" t="inlineStr">
        <is>
          <t>Coste de mercancía / Ventas</t>
        </is>
      </c>
      <c r="B53" s="67">
        <f>IFERROR(IF(B9="","",B52/B9),"")</f>
        <v>0.20500000000000002</v>
      </c>
      <c r="C53" s="67">
        <f>IFERROR(IF(C9="","",C52/C9),"")</f>
        <v>0.205</v>
      </c>
      <c r="D53" s="67">
        <f>IFERROR(IF(D9="","",D52/D9),"")</f>
        <v>0.20500000000000002</v>
      </c>
      <c r="E53" s="75" t="n">
        <v>0.25</v>
      </c>
      <c r="F53" s="28" t="inlineStr">
        <is>
          <t>Techo de la materia prima sobre ventas: el helado de mostrador sale al 14-16 % y el pistacho, el cacao y la vainilla lo mueven. Estimación del kit</t>
        </is>
      </c>
      <c r="G53" s="28" t="n"/>
      <c r="H53" s="28" t="n"/>
    </row>
    <row r="54">
      <c r="A54" s="28" t="inlineStr">
        <is>
          <t>Coste de personal / Ventas</t>
        </is>
      </c>
      <c r="B54" s="67">
        <f>IFERROR(IF(B9="","",B23/B9),"")</f>
        <v>0.37845702684412363</v>
      </c>
      <c r="C54" s="67">
        <f>IFERROR(IF(C9="","",C23/C9),"")</f>
        <v>0.37599923544624003</v>
      </c>
      <c r="D54" s="67">
        <f>IFERROR(IF(D9="","",D23/D9),"")</f>
        <v>0.38245266465586847</v>
      </c>
      <c r="E54" s="75" t="n">
        <v>0.4</v>
      </c>
      <c r="F54" s="28" t="inlineStr">
        <is>
          <t>Techo del personal sobre ventas, más alto que en una cafetería: la temporada obliga a doblar mostrador de junio a septiembre. Estimación del kit</t>
        </is>
      </c>
      <c r="G54" s="28" t="n"/>
      <c r="H54" s="28" t="n"/>
    </row>
    <row r="55">
      <c r="A55" s="28" t="inlineStr">
        <is>
          <t>Alquiler / Ventas</t>
        </is>
      </c>
      <c r="B55" s="67">
        <f>IFERROR(IF(B9="","",B22/B9),"")</f>
        <v>0.09391530128857317</v>
      </c>
      <c r="C55" s="67">
        <f>IFERROR(IF(C9="","",C22/C9),"")</f>
        <v>0.08695861230423442</v>
      </c>
      <c r="D55" s="67">
        <f>IFERROR(IF(D9="","",D22/D9),"")</f>
        <v>0.08281772600403277</v>
      </c>
      <c r="E55" s="75" t="n">
        <v>0.12</v>
      </c>
      <c r="F55" s="28" t="inlineStr">
        <is>
          <t>Techo del alquiler sobre ventas para un local con obrador: estimación del kit</t>
        </is>
      </c>
      <c r="G55" s="28" t="n"/>
      <c r="H55" s="28" t="n"/>
    </row>
    <row r="56">
      <c r="A56" s="28" t="inlineStr">
        <is>
          <t>Resultado neto / Ventas</t>
        </is>
      </c>
      <c r="B56" s="67">
        <f>IFERROR(IF(B9="","",B48/B9),"")</f>
        <v>0.057912502704668585</v>
      </c>
      <c r="C56" s="67">
        <f>IFERROR(IF(C9="","",C48/C9),"")</f>
        <v>0.07709044202085676</v>
      </c>
      <c r="D56" s="67">
        <f>IFERROR(IF(D9="","",D48/D9),"")</f>
        <v>0.07553468265208245</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heladería artesanal</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141162.3</v>
      </c>
      <c r="C6" s="69">
        <f>IFERROR(IF('PyG 3 Años'!$C$9="","",'PyG 3 Años'!$C$38),"")</f>
        <v>147162.3</v>
      </c>
      <c r="D6" s="69">
        <f>IFERROR(IF('PyG 3 Años'!$D$9="","",'PyG 3 Años'!$D$38),"")</f>
        <v>152052.67325560428</v>
      </c>
      <c r="E6" s="28" t="inlineStr">
        <is>
          <t>Los MISMOS costes fijos del P&amp;L. Cada año tiene los suyos: por eso el umbral no puede ser uno solo para los tres</t>
        </is>
      </c>
      <c r="F6" s="28" t="n"/>
    </row>
    <row r="7">
      <c r="A7" s="28" t="inlineStr">
        <is>
          <t>Costes fijos mensuales</t>
        </is>
      </c>
      <c r="B7" s="69">
        <f>IFERROR(IF('PyG 3 Años'!$B$9="","",B6/12),"")</f>
        <v>11763.525</v>
      </c>
      <c r="C7" s="69">
        <f>IFERROR(IF('PyG 3 Años'!$C$9="","",C6/12),"")</f>
        <v>12263.525</v>
      </c>
      <c r="D7" s="69">
        <f>IFERROR(IF('PyG 3 Años'!$D$9="","",D6/12),"")</f>
        <v>12671.05610463369</v>
      </c>
      <c r="E7" s="28" t="n"/>
      <c r="F7" s="28" t="n"/>
    </row>
    <row r="8">
      <c r="A8" s="28" t="inlineStr">
        <is>
          <t>Ticket medio sin IVA</t>
        </is>
      </c>
      <c r="B8" s="69">
        <f>IFERROR(IF('PyG 3 Años'!$B$9="","",'PyG 3 Años'!$B$7),"")</f>
        <v>4.9</v>
      </c>
      <c r="C8" s="69">
        <f>IFERROR(IF('PyG 3 Años'!$C$9="","",'PyG 3 Años'!$C$7),"")</f>
        <v>4.9</v>
      </c>
      <c r="D8" s="69">
        <f>IFERROR(IF('PyG 3 Años'!$D$9="","",'PyG 3 Años'!$D$7),"")</f>
        <v>4.9</v>
      </c>
      <c r="E8" s="28" t="n"/>
      <c r="F8" s="28" t="n"/>
    </row>
    <row r="9">
      <c r="A9" s="28" t="inlineStr">
        <is>
          <t>Coste variable por cliente</t>
        </is>
      </c>
      <c r="B9" s="69">
        <f>IFERROR(IF('PyG 3 Años'!$B$9="","",'PyG 3 Años'!$B$19/('PyG 3 Años'!$B$6*'PyG 3 Años'!$B$8)),"")</f>
        <v>1.3818000000000001</v>
      </c>
      <c r="C9" s="69">
        <f>IFERROR(IF('PyG 3 Años'!$C$9="","",'PyG 3 Años'!$C$19/('PyG 3 Años'!$C$6*'PyG 3 Años'!$C$8)),"")</f>
        <v>1.3818000000000001</v>
      </c>
      <c r="D9" s="69">
        <f>IFERROR(IF('PyG 3 Años'!$D$9="","",'PyG 3 Años'!$D$19/('PyG 3 Años'!$D$6*'PyG 3 Años'!$D$8)),"")</f>
        <v>1.3818000000000001</v>
      </c>
      <c r="E9" s="28" t="inlineStr">
        <is>
          <t>Sale del total de costes variables del P&amp;L, no de una estimación aparte. Incluye los varios e imprevistos, que son un porcentaje de las ventas</t>
        </is>
      </c>
      <c r="F9" s="28" t="n"/>
    </row>
    <row r="10">
      <c r="A10" s="28" t="inlineStr">
        <is>
          <t>Margen de contribución por cliente</t>
        </is>
      </c>
      <c r="B10" s="69">
        <f>IFERROR(IF('PyG 3 Años'!$B$9="","",B8-B9),"")</f>
        <v>3.5182</v>
      </c>
      <c r="C10" s="69">
        <f>IFERROR(IF('PyG 3 Años'!$C$9="","",C8-C9),"")</f>
        <v>3.5182</v>
      </c>
      <c r="D10" s="69">
        <f>IFERROR(IF('PyG 3 Años'!$D$9="","",D8-D9),"")</f>
        <v>3.5182</v>
      </c>
      <c r="E10" s="28" t="inlineStr">
        <is>
          <t>Ticket menos coste variable unitario</t>
        </is>
      </c>
      <c r="F10" s="28" t="n"/>
    </row>
    <row r="11">
      <c r="A11" s="28" t="inlineStr">
        <is>
          <t>Días de apertura al año</t>
        </is>
      </c>
      <c r="B11" s="39">
        <f>IFERROR(IF('PyG 3 Años'!$B$9="","",'PyG 3 Años'!$B$8),"")</f>
        <v>310.0</v>
      </c>
      <c r="C11" s="39">
        <f>IFERROR(IF('PyG 3 Años'!$C$9="","",'PyG 3 Años'!$C$8),"")</f>
        <v>310.0</v>
      </c>
      <c r="D11" s="39">
        <f>IFERROR(IF('PyG 3 Años'!$D$9="","",'PyG 3 Años'!$D$8),"")</f>
        <v>310.0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18493.7790732615</v>
      </c>
      <c r="D12" s="69">
        <f>IFERROR(IF('PyG 3 Años'!$D$9="","",'Financiación'!$B$49),"")</f>
        <v>19603.40581765719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Clientes necesarios al año</t>
        </is>
      </c>
      <c r="B14" s="39">
        <f>IFERROR(IF('PyG 3 Años'!$B$9="","",IF(B10&lt;=0,"",B6/B10)),"")</f>
        <v>40123.44380649195</v>
      </c>
      <c r="C14" s="39">
        <f>IFERROR(IF('PyG 3 Años'!$C$9="","",IF(C10&lt;=0,"",C6/C10)),"")</f>
        <v>41828.86134955374</v>
      </c>
      <c r="D14" s="39">
        <f>IFERROR(IF('PyG 3 Años'!$D$9="","",IF(D10&lt;=0,"",D6/D10)),"")</f>
        <v>43218.88273992504</v>
      </c>
      <c r="E14" s="28" t="n"/>
      <c r="F14" s="28" t="n"/>
    </row>
    <row r="15">
      <c r="A15" s="28" t="inlineStr">
        <is>
          <t>Clientes necesarios al día</t>
        </is>
      </c>
      <c r="B15" s="44">
        <f>IFERROR(IF('PyG 3 Años'!$B$9="","",B14/B11),"")</f>
        <v>129.4304638919095</v>
      </c>
      <c r="C15" s="44">
        <f>IFERROR(IF('PyG 3 Años'!$C$9="","",C14/C11),"")</f>
        <v>134.93181080501208</v>
      </c>
      <c r="D15" s="44">
        <f>IFERROR(IF('PyG 3 Años'!$D$9="","",D14/D11),"")</f>
        <v>139.41575077395174</v>
      </c>
      <c r="E15" s="28" t="n"/>
      <c r="F15" s="28" t="n"/>
    </row>
    <row r="16">
      <c r="A16" s="25" t="inlineStr">
        <is>
          <t>Ingresos necesarios al año</t>
        </is>
      </c>
      <c r="B16" s="26">
        <f>IFERROR(IF('PyG 3 Años'!$B$9="","",B14*B8),"")</f>
        <v>196604.8746518106</v>
      </c>
      <c r="C16" s="26">
        <f>IFERROR(IF('PyG 3 Años'!$C$9="","",C14*C8),"")</f>
        <v>204961.42061281335</v>
      </c>
      <c r="D16" s="26">
        <f>IFERROR(IF('PyG 3 Años'!$D$9="","",D14*D8),"")</f>
        <v>211772.5254256327</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130497.29999999999</v>
      </c>
      <c r="C18" s="69">
        <f>IFERROR(IF('PyG 3 Años'!$C$9="","",C6-'PyG 3 Años'!$C$36+C12),"")</f>
        <v>154991.0790732615</v>
      </c>
      <c r="D18" s="69">
        <f>IFERROR(IF('PyG 3 Años'!$D$9="","",D6-'PyG 3 Años'!$D$36+D12),"")</f>
        <v>160991.07907326147</v>
      </c>
      <c r="E18" s="28" t="inlineStr">
        <is>
          <t>Los fijos del P&amp;L sin la amortización (que no se paga) y CON la devolución de principal (que sí). Es el umbral que decide si la caja aguanta</t>
        </is>
      </c>
      <c r="F18" s="28" t="n"/>
    </row>
    <row r="19">
      <c r="A19" s="28" t="inlineStr">
        <is>
          <t>Clientes necesarios al año (caja)</t>
        </is>
      </c>
      <c r="B19" s="39">
        <f>IFERROR(IF('PyG 3 Años'!$B$9="","",IF(B10&lt;=0,"",B18/B10)),"")</f>
        <v>37092.064123699616</v>
      </c>
      <c r="C19" s="39">
        <f>IFERROR(IF('PyG 3 Años'!$C$9="","",IF(C10&lt;=0,"",C18/C10)),"")</f>
        <v>44054.084211602945</v>
      </c>
      <c r="D19" s="39">
        <f>IFERROR(IF('PyG 3 Años'!$D$9="","",IF(D10&lt;=0,"",D18/D10)),"")</f>
        <v>45759.50175466473</v>
      </c>
      <c r="E19" s="28" t="n"/>
      <c r="F19" s="28" t="n"/>
    </row>
    <row r="20">
      <c r="A20" s="25" t="inlineStr">
        <is>
          <t>Clientes necesarios al día (caja)</t>
        </is>
      </c>
      <c r="B20" s="45">
        <f>IFERROR(IF('PyG 3 Años'!$B$9="","",B19/B11),"")</f>
        <v>119.65181975386973</v>
      </c>
      <c r="C20" s="45">
        <f>IFERROR(IF('PyG 3 Años'!$C$9="","",C19/C11),"")</f>
        <v>142.10994906968693</v>
      </c>
      <c r="D20" s="45">
        <f>IFERROR(IF('PyG 3 Años'!$D$9="","",D19/D11),"")</f>
        <v>147.61129598278944</v>
      </c>
      <c r="E20" s="28" t="n"/>
      <c r="F20" s="28" t="n"/>
    </row>
    <row r="21">
      <c r="A21" s="28" t="inlineStr">
        <is>
          <t>Ingresos necesarios al año (caja)</t>
        </is>
      </c>
      <c r="B21" s="32">
        <f>IFERROR(IF('PyG 3 Años'!$B$9="","",B19*B8),"")</f>
        <v>181751.11420612814</v>
      </c>
      <c r="C21" s="32">
        <f>IFERROR(IF('PyG 3 Años'!$C$9="","",C19*C8),"")</f>
        <v>215865.01263685446</v>
      </c>
      <c r="D21" s="32">
        <f>IFERROR(IF('PyG 3 Años'!$D$9="","",D19*D8),"")</f>
        <v>224221.5585978572</v>
      </c>
      <c r="E21" s="28" t="n"/>
      <c r="F21" s="28" t="n"/>
    </row>
    <row r="22">
      <c r="A22" s="25" t="inlineStr">
        <is>
          <t>CONTRASTE CON EL PLAN</t>
        </is>
      </c>
      <c r="B22" s="28" t="n"/>
      <c r="C22" s="28" t="n"/>
      <c r="D22" s="28" t="n"/>
      <c r="E22" s="28" t="n"/>
      <c r="F22" s="28" t="n"/>
    </row>
    <row r="23">
      <c r="A23" s="28" t="inlineStr">
        <is>
          <t>Clientes/día previstos en el plan</t>
        </is>
      </c>
      <c r="B23" s="39">
        <f>IFERROR(IF('PyG 3 Años'!$B$9="","",'PyG 3 Años'!$B$6),"")</f>
        <v>143.0</v>
      </c>
      <c r="C23" s="39">
        <f>IFERROR(IF('PyG 3 Años'!$C$9="","",'PyG 3 Años'!$C$6),"")</f>
        <v>154.44</v>
      </c>
      <c r="D23" s="39">
        <f>IFERROR(IF('PyG 3 Años'!$D$9="","",'PyG 3 Años'!$D$6),"")</f>
        <v>162.162</v>
      </c>
      <c r="E23" s="28" t="n"/>
      <c r="F23" s="28" t="n"/>
    </row>
    <row r="24">
      <c r="A24" s="28" t="inlineStr">
        <is>
          <t>Holgura sobre el equilibrio de CAJA (%)</t>
        </is>
      </c>
      <c r="B24" s="67">
        <f>IFERROR(IF('PyG 3 Años'!$B$9="","",B23/B20-1),"")</f>
        <v>0.19513435143868896</v>
      </c>
      <c r="C24" s="67">
        <f>IFERROR(IF('PyG 3 Años'!$C$9="","",C23/C20-1),"")</f>
        <v>0.08676416402251141</v>
      </c>
      <c r="D24" s="67">
        <f>IFERROR(IF('PyG 3 Años'!$D$9="","",D23/D20-1),"")</f>
        <v>0.09857446152974014</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130 clientes al día durante los 310 días que abres para no perder dinero (equilibrio contable, con la amortización dentro), y 120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Clientes/día necesarios para cubrir costes según el ticket medio (columnas) y el coste variable por cliente (filas). En verde, los que están por debajo de los clientes que prevé el plan.</t>
        </is>
      </c>
      <c r="B29" s="28" t="n"/>
      <c r="C29" s="28" t="n"/>
      <c r="D29" s="28" t="n"/>
      <c r="E29" s="28" t="n"/>
      <c r="F29" s="28" t="n"/>
    </row>
    <row r="30">
      <c r="A30" s="28" t="n"/>
      <c r="B30" s="28" t="n"/>
      <c r="C30" s="28" t="n"/>
      <c r="D30" s="28" t="n"/>
      <c r="E30" s="28" t="n"/>
      <c r="F30" s="28" t="n"/>
    </row>
    <row r="31" ht="45" customHeight="1">
      <c r="A31" s="38" t="inlineStr">
        <is>
          <t>Clientes/día necesarios: ticket medio sin IVA (columnas) × coste variable por cliente (filas)</t>
        </is>
      </c>
      <c r="B31" s="72">
        <f>IFERROR($B$8-2,"")</f>
        <v>2.9000000000000004</v>
      </c>
      <c r="C31" s="72">
        <f>IFERROR(IF($B$8="","",$B$8),"")</f>
        <v>4.9</v>
      </c>
      <c r="D31" s="72">
        <f>IFERROR($B$8+2,"")</f>
        <v>6.9</v>
      </c>
      <c r="E31" s="72">
        <f>IFERROR($B$8+4,"")</f>
        <v>8.9</v>
      </c>
      <c r="F31" s="28" t="n"/>
    </row>
    <row r="32">
      <c r="A32" s="69">
        <f>IFERROR($B$9*0.85,"")</f>
        <v>1.17453</v>
      </c>
      <c r="B32" s="44">
        <f>IFERROR(IF($B$31-$A32&lt;=0,"",$B$6/($B$31-$A32)/$B$11),"")</f>
        <v>263.9062157351423</v>
      </c>
      <c r="C32" s="44">
        <f>IFERROR(IF($C$31-$A32&lt;=0,"",$B$6/($C$31-$A32)/$B$11),"")</f>
        <v>122.22947925081023</v>
      </c>
      <c r="D32" s="44">
        <f>IFERROR(IF($D$31-$A32&lt;=0,"",$B$6/($D$31-$A32)/$B$11),"")</f>
        <v>79.53272972603402</v>
      </c>
      <c r="E32" s="44">
        <f>IFERROR(IF($E$31-$A32&lt;=0,"",$B$6/($E$31-$A32)/$B$11),"")</f>
        <v>58.94298444813274</v>
      </c>
      <c r="F32" s="28" t="n"/>
    </row>
    <row r="33">
      <c r="A33" s="69">
        <f>IFERROR($B$9*0.925,"")</f>
        <v>1.2781650000000002</v>
      </c>
      <c r="B33" s="44">
        <f>IFERROR(IF($B$31-$A33&lt;=0,"",$B$6/($B$31-$A33)/$B$11),"")</f>
        <v>280.7697811827443</v>
      </c>
      <c r="C33" s="44">
        <f>IFERROR(IF($C$31-$A33&lt;=0,"",$B$6/($C$31-$A33)/$B$11),"")</f>
        <v>125.72694726968956</v>
      </c>
      <c r="D33" s="44">
        <f>IFERROR(IF($D$31-$A33&lt;=0,"",$B$6/($D$31-$A33)/$B$11),"")</f>
        <v>80.99886568433902</v>
      </c>
      <c r="E33" s="44">
        <f>IFERROR(IF($E$31-$A33&lt;=0,"",$B$6/($E$31-$A33)/$B$11),"")</f>
        <v>59.74443924127406</v>
      </c>
      <c r="F33" s="28" t="n"/>
    </row>
    <row r="34">
      <c r="A34" s="69">
        <f>IFERROR($B$9*1.0,"")</f>
        <v>1.3818000000000001</v>
      </c>
      <c r="B34" s="44">
        <f>IFERROR(IF($B$31-$A34&lt;=0,"",$B$6/($B$31-$A34)/$B$11),"")</f>
        <v>299.93561985543147</v>
      </c>
      <c r="C34" s="44">
        <f>IFERROR(IF($C$31-$A34&lt;=0,"",$B$6/($C$31-$A34)/$B$11),"")</f>
        <v>129.4304638919095</v>
      </c>
      <c r="D34" s="44">
        <f>IFERROR(IF($D$31-$A34&lt;=0,"",$B$6/($D$31-$A34)/$B$11),"")</f>
        <v>82.52007141178574</v>
      </c>
      <c r="E34" s="44">
        <f>IFERROR(IF($E$31-$A34&lt;=0,"",$B$6/($E$31-$A34)/$B$11),"")</f>
        <v>60.56798942094066</v>
      </c>
      <c r="F34" s="28" t="n"/>
    </row>
    <row r="35">
      <c r="A35" s="69">
        <f>IFERROR($B$9*1.075,"")</f>
        <v>1.485435</v>
      </c>
      <c r="B35" s="44">
        <f>IFERROR(IF($B$31-$A35&lt;=0,"",$B$6/($B$31-$A35)/$B$11),"")</f>
        <v>321.90974473743944</v>
      </c>
      <c r="C35" s="44">
        <f>IFERROR(IF($C$31-$A35&lt;=0,"",$B$6/($C$31-$A35)/$B$11),"")</f>
        <v>133.35879037725627</v>
      </c>
      <c r="D35" s="44">
        <f>IFERROR(IF($D$31-$A35&lt;=0,"",$B$6/($D$31-$A35)/$B$11),"")</f>
        <v>84.09950902141097</v>
      </c>
      <c r="E35" s="44">
        <f>IFERROR(IF($E$31-$A35&lt;=0,"",$B$6/($E$31-$A35)/$B$11),"")</f>
        <v>61.414561483312376</v>
      </c>
      <c r="F35" s="28" t="n"/>
    </row>
    <row r="36">
      <c r="A36" s="69">
        <f>IFERROR($B$9*1.15,"")</f>
        <v>1.58907</v>
      </c>
      <c r="B36" s="44">
        <f>IFERROR(IF($B$31-$A36&lt;=0,"",$B$6/($B$31-$A36)/$B$11),"")</f>
        <v>347.3581793570335</v>
      </c>
      <c r="C36" s="44">
        <f>IFERROR(IF($C$31-$A36&lt;=0,"",$B$6/($C$31-$A36)/$B$11),"")</f>
        <v>137.53303696076813</v>
      </c>
      <c r="D36" s="44">
        <f>IFERROR(IF($D$31-$A36&lt;=0,"",$B$6/($D$31-$A36)/$B$11),"")</f>
        <v>85.74058744222124</v>
      </c>
      <c r="E36" s="44">
        <f>IFERROR(IF($E$31-$A36&lt;=0,"",$B$6/($E$31-$A36)/$B$11),"")</f>
        <v>62.28513445820382</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Clientes/día</t>
        </is>
      </c>
      <c r="B5" s="49" t="n">
        <v>120</v>
      </c>
      <c r="C5" s="39">
        <f>IFERROR(IF('PyG 3 Años'!$B$6="","",'PyG 3 Años'!$B$6),"")</f>
        <v>143.0</v>
      </c>
      <c r="D5" s="49" t="n">
        <v>165</v>
      </c>
      <c r="E5" s="28" t="n"/>
      <c r="F5" s="28" t="n"/>
    </row>
    <row r="6">
      <c r="A6" s="28" t="inlineStr">
        <is>
          <t>Ticket medio sin IVA</t>
        </is>
      </c>
      <c r="B6" s="73" t="n">
        <v>4.6</v>
      </c>
      <c r="C6" s="69">
        <f>IFERROR(IF('PyG 3 Años'!$B$7="","",'PyG 3 Años'!$B$7),"")</f>
        <v>4.9</v>
      </c>
      <c r="D6" s="73" t="n">
        <v>5.2</v>
      </c>
      <c r="E6" s="28" t="n"/>
      <c r="F6" s="28" t="n"/>
    </row>
    <row r="7">
      <c r="A7" s="28" t="inlineStr">
        <is>
          <t>Días de apertura al año</t>
        </is>
      </c>
      <c r="B7" s="49" t="n">
        <v>300</v>
      </c>
      <c r="C7" s="39">
        <f>IFERROR(IF('PyG 3 Años'!$B$8="","",'PyG 3 Años'!$B$8),"")</f>
        <v>310.0</v>
      </c>
      <c r="D7" s="49" t="n">
        <v>320</v>
      </c>
      <c r="E7" s="28" t="n"/>
      <c r="F7" s="28" t="n"/>
    </row>
    <row r="8">
      <c r="A8" s="25" t="inlineStr">
        <is>
          <t>INGRESOS ANUALES (sin IVA)</t>
        </is>
      </c>
      <c r="B8" s="26">
        <f>IFERROR(IF(B5*B6*B7=0,"",B5*B6*B7),"")</f>
        <v>165600.0</v>
      </c>
      <c r="C8" s="26">
        <f>IFERROR(IF(C5*C6*C7=0,"",C5*C6*C7),"")</f>
        <v>217217.0</v>
      </c>
      <c r="D8" s="26">
        <f>IFERROR(IF(D5*D6*D7=0,"",D5*D6*D7),"")</f>
        <v>274560.0</v>
      </c>
      <c r="E8" s="28" t="n"/>
      <c r="F8" s="28" t="n"/>
    </row>
    <row r="9">
      <c r="A9" s="28" t="inlineStr">
        <is>
          <t>Coste de mercancía — comida</t>
        </is>
      </c>
      <c r="B9" s="32">
        <f>IFERROR(IF(B8="","",B8*'0. Supuestos'!$B$11*'0. Supuestos'!$B$13),"")</f>
        <v>29808.0</v>
      </c>
      <c r="C9" s="32">
        <f>IFERROR(IF(C8="","",C8*'0. Supuestos'!$B$11*'0. Supuestos'!$B$13),"")</f>
        <v>39099.060000000005</v>
      </c>
      <c r="D9" s="32">
        <f>IFERROR(IF(D8="","",D8*'0. Supuestos'!$B$11*'0. Supuestos'!$B$13),"")</f>
        <v>49420.8</v>
      </c>
      <c r="E9" s="28" t="n"/>
      <c r="F9" s="28" t="n"/>
    </row>
    <row r="10">
      <c r="A10" s="28" t="inlineStr">
        <is>
          <t>Coste de mercancía — bebida</t>
        </is>
      </c>
      <c r="B10" s="32">
        <f>IFERROR(IF(B8="","",B8*'0. Supuestos'!$B$12*'0. Supuestos'!$B$14),"")</f>
        <v>4139.999999999999</v>
      </c>
      <c r="C10" s="32">
        <f>IFERROR(IF(C8="","",C8*'0. Supuestos'!$B$12*'0. Supuestos'!$B$14),"")</f>
        <v>5430.424999999998</v>
      </c>
      <c r="D10" s="32">
        <f>IFERROR(IF(D8="","",D8*'0. Supuestos'!$B$12*'0. Supuestos'!$B$14),"")</f>
        <v>6863.999999999998</v>
      </c>
      <c r="E10" s="28" t="n"/>
      <c r="F10" s="28" t="n"/>
    </row>
    <row r="11">
      <c r="A11" s="28" t="inlineStr">
        <is>
          <t>Consumibles y envases</t>
        </is>
      </c>
      <c r="B11" s="32">
        <f>IFERROR(IF(B8="","",B8*'0. Supuestos'!$B$15),"")</f>
        <v>6624.0</v>
      </c>
      <c r="C11" s="32">
        <f>IFERROR(IF(C8="","",C8*'0. Supuestos'!$B$15),"")</f>
        <v>8688.68</v>
      </c>
      <c r="D11" s="32">
        <f>IFERROR(IF(D8="","",D8*'0. Supuestos'!$B$15),"")</f>
        <v>10982.4</v>
      </c>
      <c r="E11" s="28" t="n"/>
      <c r="F11" s="28" t="n"/>
    </row>
    <row r="12">
      <c r="A12" s="28" t="inlineStr">
        <is>
          <t>Comisiones de delivery</t>
        </is>
      </c>
      <c r="B12" s="32">
        <f>IFERROR(IF(B8="","",B8*'0. Supuestos'!$B$16*'0. Supuestos'!$B$17),"")</f>
        <v>1490.3999999999999</v>
      </c>
      <c r="C12" s="32">
        <f>IFERROR(IF(C8="","",C8*'0. Supuestos'!$B$16*'0. Supuestos'!$B$17),"")</f>
        <v>1954.9529999999997</v>
      </c>
      <c r="D12" s="32">
        <f>IFERROR(IF(D8="","",D8*'0. Supuestos'!$B$16*'0. Supuestos'!$B$17),"")</f>
        <v>2471.0399999999995</v>
      </c>
      <c r="E12" s="28" t="n"/>
      <c r="F12" s="28" t="n"/>
    </row>
    <row r="13">
      <c r="A13" s="28" t="inlineStr">
        <is>
          <t>Comisiones de los medios de pago</t>
        </is>
      </c>
      <c r="B13" s="32">
        <f>IFERROR(IF(B8="","",B8*'0. Supuestos'!$B$18),"")</f>
        <v>1324.8</v>
      </c>
      <c r="C13" s="32">
        <f>IFERROR(IF(C8="","",C8*'0. Supuestos'!$B$18),"")</f>
        <v>1737.736</v>
      </c>
      <c r="D13" s="32">
        <f>IFERROR(IF(D8="","",D8*'0. Supuestos'!$B$18),"")</f>
        <v>2196.48</v>
      </c>
      <c r="E13" s="28" t="n"/>
      <c r="F13" s="28" t="n"/>
    </row>
    <row r="14">
      <c r="A14" s="28" t="inlineStr">
        <is>
          <t>Varios e imprevistos</t>
        </is>
      </c>
      <c r="B14" s="32">
        <f>IFERROR(IF(B8="","",B8*'0. Supuestos'!$B$28),"")</f>
        <v>3312.0</v>
      </c>
      <c r="C14" s="32">
        <f>IFERROR(IF(C8="","",C8*'0. Supuestos'!$B$28),"")</f>
        <v>4344.34</v>
      </c>
      <c r="D14" s="32">
        <f>IFERROR(IF(D8="","",D8*'0. Supuestos'!$B$28),"")</f>
        <v>5491.2</v>
      </c>
      <c r="E14" s="28" t="n"/>
      <c r="F14" s="28" t="n"/>
    </row>
    <row r="15">
      <c r="A15" s="28" t="inlineStr">
        <is>
          <t>TOTAL COSTES VARIABLES</t>
        </is>
      </c>
      <c r="B15" s="32">
        <f>IFERROR(IF(B8="","",SUM(B9:B14)),"")</f>
        <v>46699.2</v>
      </c>
      <c r="C15" s="32">
        <f>IFERROR(IF(C8="","",SUM(C9:C14)),"")</f>
        <v>61255.194</v>
      </c>
      <c r="D15" s="32">
        <f>IFERROR(IF(D8="","",SUM(D9:D14)),"")</f>
        <v>77425.92</v>
      </c>
      <c r="E15" s="28" t="n"/>
      <c r="F15" s="28" t="n"/>
    </row>
    <row r="16">
      <c r="A16" s="28" t="inlineStr">
        <is>
          <t>MARGEN BRUTO</t>
        </is>
      </c>
      <c r="B16" s="32">
        <f>IFERROR(IF(B8="","",B8-B15),"")</f>
        <v>118900.8</v>
      </c>
      <c r="C16" s="32">
        <f>IFERROR(IF(C8="","",C8-C15),"")</f>
        <v>155961.80599999998</v>
      </c>
      <c r="D16" s="32">
        <f>IFERROR(IF(D8="","",D8-D15),"")</f>
        <v>197134.08000000002</v>
      </c>
      <c r="E16" s="28" t="n"/>
      <c r="F16" s="28" t="n"/>
    </row>
    <row r="17">
      <c r="A17" s="28" t="inlineStr">
        <is>
          <t>COSTES FIJOS (los del P&amp;L)</t>
        </is>
      </c>
      <c r="B17" s="32">
        <f>IFERROR(IF(B8="","",'PyG 3 Años'!$B$38),"")</f>
        <v>141162.3</v>
      </c>
      <c r="C17" s="32">
        <f>IFERROR(IF(C8="","",'PyG 3 Años'!$B$38),"")</f>
        <v>141162.3</v>
      </c>
      <c r="D17" s="32">
        <f>IFERROR(IF(D8="","",'PyG 3 Años'!$B$38),"")</f>
        <v>141162.3</v>
      </c>
      <c r="E17" s="28" t="inlineStr">
        <is>
          <t>Los costes fijos no cambian con el escenario: por eso son fijos</t>
        </is>
      </c>
      <c r="F17" s="28" t="n"/>
    </row>
    <row r="18">
      <c r="A18" s="25" t="inlineStr">
        <is>
          <t>RESULTADO ANTES DE IMPUESTOS</t>
        </is>
      </c>
      <c r="B18" s="26">
        <f>IFERROR(IF(B8="","",B16-B17),"")</f>
        <v>-22261.499999999985</v>
      </c>
      <c r="C18" s="26">
        <f>IFERROR(IF(C8="","",C16-C17),"")</f>
        <v>14799.505999999994</v>
      </c>
      <c r="D18" s="26">
        <f>IFERROR(IF(D8="","",D16-D17),"")</f>
        <v>55971.78000000003</v>
      </c>
      <c r="E18" s="28" t="n"/>
      <c r="F18" s="28" t="n"/>
    </row>
    <row r="19">
      <c r="A19" s="28" t="inlineStr">
        <is>
          <t>Impuesto de Sociedades</t>
        </is>
      </c>
      <c r="B19" s="32">
        <f>IFERROR(IF(B8="","",MAX(0,B18-'0. Supuestos'!$B$42)*'0. Supuestos'!$B$37),"")</f>
        <v>0.0</v>
      </c>
      <c r="C19" s="32">
        <f>IFERROR(IF(C8="","",MAX(0,C18-'0. Supuestos'!$B$42)*'0. Supuestos'!$B$37),"")</f>
        <v>2219.925899999999</v>
      </c>
      <c r="D19" s="32">
        <f>IFERROR(IF(D8="","",MAX(0,D18-'0. Supuestos'!$B$42)*'0. Supuestos'!$B$37),"")</f>
        <v>8395.767000000003</v>
      </c>
      <c r="E19" s="28" t="inlineStr">
        <is>
          <t>Al tipo de entidad de nueva creación, compensando las bases negativas anteriores</t>
        </is>
      </c>
      <c r="F19" s="28" t="n"/>
    </row>
    <row r="20">
      <c r="A20" s="25" t="inlineStr">
        <is>
          <t>RESULTADO NETO</t>
        </is>
      </c>
      <c r="B20" s="26">
        <f>IFERROR(IF(B8="","",B18-B19),"")</f>
        <v>-22261.499999999985</v>
      </c>
      <c r="C20" s="26">
        <f>IFERROR(IF(C8="","",C18-C19),"")</f>
        <v>12579.580099999996</v>
      </c>
      <c r="D20" s="26">
        <f>IFERROR(IF(D8="","",D18-D19),"")</f>
        <v>47576.01300000002</v>
      </c>
      <c r="E20" s="28" t="n"/>
      <c r="F20" s="28" t="n"/>
    </row>
    <row r="21">
      <c r="A21" s="28" t="inlineStr">
        <is>
          <t>Clientes/día para el equilibrio</t>
        </is>
      </c>
      <c r="B21" s="44">
        <f>IFERROR(IF(B8="","",IF(B6-B15/(B5*B7)&lt;=0,"",B17/(B6-B15/(B5*B7))/B7)),"")</f>
        <v>142.4673004723265</v>
      </c>
      <c r="C21" s="44">
        <f>IFERROR(IF(C8="","",IF(C6-C15/(C5*C7)&lt;=0,"",C17/(C6-C15/(C5*C7))/C7)),"")</f>
        <v>129.4304638919095</v>
      </c>
      <c r="D21" s="44">
        <f>IFERROR(IF(D8="","",IF(D6-D15/(D5*D7)&lt;=0,"",D17/(D6-D15/(D5*D7))/D7)),"")</f>
        <v>118.15196793979001</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0.4964208937198068</v>
      </c>
      <c r="C23" s="67">
        <f>IFERROR(IF(C8="","",'PyG 3 Años'!$B$23/C8),"")</f>
        <v>0.37845702684412363</v>
      </c>
      <c r="D23" s="67">
        <f>IFERROR(IF(D8="","",'PyG 3 Años'!$B$23/D8),"")</f>
        <v>0.2994146998834499</v>
      </c>
      <c r="E23" s="28" t="inlineStr">
        <is>
          <t>La MISMA plantilla en los tres escenarios. Si en el pesimista se dispara, el ajuste hay que hacerlo en la hoja de Personal, no aquí</t>
        </is>
      </c>
      <c r="F23" s="28" t="n"/>
    </row>
    <row r="24">
      <c r="A24" s="28" t="inlineStr">
        <is>
          <t>Clientes al año por jornada equivalente</t>
        </is>
      </c>
      <c r="B24" s="39">
        <f>IFERROR(IF(B8="","",B5*B7/'Personal'!$C$11),"")</f>
        <v>11803.278688524591</v>
      </c>
      <c r="C24" s="39">
        <f>IFERROR(IF(C8="","",C5*C7/'Personal'!$C$11),"")</f>
        <v>14534.426229508197</v>
      </c>
      <c r="D24" s="39">
        <f>IFERROR(IF(D8="","",D5*D7/'Personal'!$C$11),"")</f>
        <v>17311.475409836068</v>
      </c>
      <c r="E24" s="28" t="inlineStr">
        <is>
          <t>Clientes que tendría que sacar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21027.82500000001</v>
      </c>
      <c r="C25" s="26">
        <f>IFERROR(IF(C8="","",'Inversión Inicial'!$B$30+C20+'PyG 3 Años'!$B$36-'Financiación'!$B$45),"")</f>
        <v>55868.90509999999</v>
      </c>
      <c r="D25" s="26">
        <f>IFERROR(IF(D8="","",'Inversión Inicial'!$B$30+D20+'PyG 3 Años'!$B$36-'Financiación'!$B$45),"")</f>
        <v>90865.33800000002</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66345.34709635413</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50" customHeight="1">
      <c r="A28" s="46"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maestro heladero, compras y gestión</t>
        </is>
      </c>
      <c r="B5" s="49" t="n">
        <v>1</v>
      </c>
      <c r="C5" s="51" t="n">
        <v>1</v>
      </c>
      <c r="D5" s="73" t="n">
        <v>1750</v>
      </c>
      <c r="E5" s="69">
        <f>IFERROR(IF(D5="","",D5*'0. Supuestos'!$B$20),"")</f>
        <v>577.5</v>
      </c>
      <c r="F5" s="69">
        <f>IFERROR(IF(D5="","",D5+E5),"")</f>
        <v>2327.5</v>
      </c>
      <c r="G5" s="69">
        <f>IFERROR(IF(D5="","",F5*MAX(12,'0. Supuestos'!$B$21)),"")</f>
        <v>32585.0</v>
      </c>
      <c r="H5" s="44">
        <f>IFERROR(IF(D5="","",C5*$B$18),"")</f>
        <v>40.0</v>
      </c>
      <c r="I5" s="39">
        <f>IFERROR(IF(D5="","",H5*B5*$B$19),"")</f>
        <v>1840.0</v>
      </c>
      <c r="J5" s="28" t="inlineStr">
        <is>
          <t>Balancea las mezclas, pasteuriza, manteca y abate, compra y lleva la gestión. Como administrador de la SL cotiza en el régimen de autónomos: el libro le imputa el 33 % de Seguridad Social sobre 14 pagas como si fuera nómina (con este bruto, unos 8.085 € al año), que es el lado prudente. Confirma con tu gestoría la cuota real y si te aplica la reducida de inicio</t>
        </is>
      </c>
    </row>
    <row r="6">
      <c r="A6" s="28" t="inlineStr">
        <is>
          <t>Dependiente/a y encargado/a de turno (todo el año)</t>
        </is>
      </c>
      <c r="B6" s="49" t="n">
        <v>1</v>
      </c>
      <c r="C6" s="51" t="n">
        <v>1</v>
      </c>
      <c r="D6" s="73" t="n">
        <v>1300</v>
      </c>
      <c r="E6" s="69">
        <f>IFERROR(IF(D6="","",D6*'0. Supuestos'!$B$20),"")</f>
        <v>429.0</v>
      </c>
      <c r="F6" s="69">
        <f>IFERROR(IF(D6="","",D6+E6),"")</f>
        <v>1729.0</v>
      </c>
      <c r="G6" s="69">
        <f>IFERROR(IF(D6="","",F6*MAX(12,'0. Supuestos'!$B$21)),"")</f>
        <v>24206.0</v>
      </c>
      <c r="H6" s="44">
        <f>IFERROR(IF(D6="","",C6*$B$18),"")</f>
        <v>40.0</v>
      </c>
      <c r="I6" s="39">
        <f>IFERROR(IF(D6="","",H6*B6*$B$19),"")</f>
        <v>1840.0</v>
      </c>
      <c r="J6" s="28" t="inlineStr">
        <is>
          <t>Mostrador, caja, vitrina y cierre; abre y cierra cuando el titular está en el obrador</t>
        </is>
      </c>
    </row>
    <row r="7">
      <c r="A7" s="28" t="inlineStr">
        <is>
          <t>Dependiente/a de temporada (fijo discontinuo, abril-septiembre)</t>
        </is>
      </c>
      <c r="B7" s="49" t="n">
        <v>1</v>
      </c>
      <c r="C7" s="51" t="n">
        <v>0.5</v>
      </c>
      <c r="D7" s="73" t="n">
        <v>650</v>
      </c>
      <c r="E7" s="69">
        <f>IFERROR(IF(D7="","",D7*'0. Supuestos'!$B$20),"")</f>
        <v>214.5</v>
      </c>
      <c r="F7" s="69">
        <f>IFERROR(IF(D7="","",D7+E7),"")</f>
        <v>864.5</v>
      </c>
      <c r="G7" s="69">
        <f>IFERROR(IF(D7="","",F7*MAX(12,'0. Supuestos'!$B$21)),"")</f>
        <v>12103.0</v>
      </c>
      <c r="H7" s="44">
        <f>IFERROR(IF(D7="","",C7*$B$18),"")</f>
        <v>20.0</v>
      </c>
      <c r="I7" s="39">
        <f>IFERROR(IF(D7="","",H7*B7*$B$19),"")</f>
        <v>920.0</v>
      </c>
      <c r="J7" s="28" t="inlineStr">
        <is>
          <t>Contrato fijo discontinuo (art. 16 del Estatuto de los Trabajadores) a jornada completa de abril a septiembre: equivale a media jornada en cómputo anual. Llamamiento por escrito</t>
        </is>
      </c>
    </row>
    <row r="8">
      <c r="A8" s="28" t="inlineStr">
        <is>
          <t>Dependiente/a de verano (fijo discontinuo, junio-septiembre)</t>
        </is>
      </c>
      <c r="B8" s="49" t="n">
        <v>1</v>
      </c>
      <c r="C8" s="51" t="n">
        <v>0.25</v>
      </c>
      <c r="D8" s="73" t="n">
        <v>325</v>
      </c>
      <c r="E8" s="69">
        <f>IFERROR(IF(D8="","",D8*'0. Supuestos'!$B$20),"")</f>
        <v>107.25</v>
      </c>
      <c r="F8" s="69">
        <f>IFERROR(IF(D8="","",D8+E8),"")</f>
        <v>432.25</v>
      </c>
      <c r="G8" s="69">
        <f>IFERROR(IF(D8="","",F8*MAX(12,'0. Supuestos'!$B$21)),"")</f>
        <v>6051.5</v>
      </c>
      <c r="H8" s="44">
        <f>IFERROR(IF(D8="","",C8*$B$18),"")</f>
        <v>10.0</v>
      </c>
      <c r="I8" s="39">
        <f>IFERROR(IF(D8="","",H8*B8*$B$19),"")</f>
        <v>460.0</v>
      </c>
      <c r="J8" s="28" t="inlineStr">
        <is>
          <t>Fijo discontinuo de 30 horas a la semana de junio a septiembre: las tardes y noches del pico. Nunca como autónomo que te factura: con tu horario y tu dirección es falso autónomo (art. 1.1 ET)</t>
        </is>
      </c>
    </row>
    <row r="9">
      <c r="A9" s="28" t="inlineStr">
        <is>
          <t>Ayudante de obrador (fijo discontinuo, mayo-septiembre)</t>
        </is>
      </c>
      <c r="B9" s="49" t="n">
        <v>1</v>
      </c>
      <c r="C9" s="51" t="n">
        <v>0.2</v>
      </c>
      <c r="D9" s="73" t="n">
        <v>260</v>
      </c>
      <c r="E9" s="69">
        <f>IFERROR(IF(D9="","",D9*'0. Supuestos'!$B$20),"")</f>
        <v>85.8</v>
      </c>
      <c r="F9" s="69">
        <f>IFERROR(IF(D9="","",D9+E9),"")</f>
        <v>345.8</v>
      </c>
      <c r="G9" s="69">
        <f>IFERROR(IF(D9="","",F9*MAX(12,'0. Supuestos'!$B$21)),"")</f>
        <v>4841.2</v>
      </c>
      <c r="H9" s="44">
        <f>IFERROR(IF(D9="","",C9*$B$18),"")</f>
        <v>8.0</v>
      </c>
      <c r="I9" s="39">
        <f>IFERROR(IF(D9="","",H9*B9*$B$19),"")</f>
        <v>368.0</v>
      </c>
      <c r="J9" s="28" t="inlineStr">
        <is>
          <t>Media jornada de mayo a septiembre: pesaje, limpieza del pasteurizador y de la mantecadora, cubetas y apoyo en las tandas del verano</t>
        </is>
      </c>
    </row>
    <row r="10">
      <c r="A10" s="28" t="inlineStr">
        <is>
          <t>Suplencias de vacaciones y descansos</t>
        </is>
      </c>
      <c r="B10" s="49" t="n">
        <v>1</v>
      </c>
      <c r="C10" s="51" t="n">
        <v>0.1</v>
      </c>
      <c r="D10" s="73" t="n">
        <v>130</v>
      </c>
      <c r="E10" s="69">
        <f>IFERROR(IF(D10="","",D10*'0. Supuestos'!$B$20),"")</f>
        <v>42.9</v>
      </c>
      <c r="F10" s="69">
        <f>IFERROR(IF(D10="","",D10+E10),"")</f>
        <v>172.9</v>
      </c>
      <c r="G10" s="69">
        <f>IFERROR(IF(D10="","",F10*MAX(12,'0. Supuestos'!$B$21)),"")</f>
        <v>2420.6</v>
      </c>
      <c r="H10" s="44">
        <f>IFERROR(IF(D10="","",C10*$B$18),"")</f>
        <v>4.0</v>
      </c>
      <c r="I10" s="39">
        <f>IFERROR(IF(D10="","",H10*B10*$B$19),"")</f>
        <v>184.0</v>
      </c>
      <c r="J10" s="28" t="inlineStr">
        <is>
          <t>Cobertura de los 30 días de vacaciones (art. 38 ET) y del descanso semanal del equipo de todo el año</t>
        </is>
      </c>
    </row>
    <row r="11">
      <c r="A11" s="25" t="inlineStr">
        <is>
          <t>TOTAL PLANTILLA</t>
        </is>
      </c>
      <c r="B11" s="76">
        <f>IFERROR(IF(COUNT(D5:D10)=0,"",SUM(B5:B10)),"")</f>
        <v>6.0</v>
      </c>
      <c r="C11" s="61">
        <f>IFERROR(IF(COUNT(D5:D10)=0,"",SUM(C5:C10)),"")</f>
        <v>3.05</v>
      </c>
      <c r="D11" s="72">
        <f>IFERROR(IF(COUNT(D5:D10)=0,"",SUM(D5:D10)),"")</f>
        <v>4415.0</v>
      </c>
      <c r="E11" s="72">
        <f>IFERROR(IF(COUNT(D5:D10)=0,"",SUM(E5:E10)),"")</f>
        <v>1456.95</v>
      </c>
      <c r="F11" s="72">
        <f>IFERROR(IF(COUNT(D5:D10)=0,"",SUM(F5:F10)),"")</f>
        <v>5871.95</v>
      </c>
      <c r="G11" s="72">
        <f>IFERROR(IF(COUNT(D5:D10)=0,"",SUM(G5:G10)),"")</f>
        <v>82207.3</v>
      </c>
      <c r="H11" s="28" t="n"/>
      <c r="I11" s="76">
        <f>IFERROR(IF(COUNT(D5:D10)=0,"",SUM(I5:I10)),"")</f>
        <v>5612.0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88207.3</v>
      </c>
      <c r="C15" s="28" t="n"/>
      <c r="D15" s="28" t="n"/>
      <c r="E15" s="28" t="n"/>
      <c r="F15" s="28" t="n"/>
      <c r="G15" s="28" t="n"/>
      <c r="H15" s="28" t="n"/>
      <c r="I15" s="28" t="n"/>
      <c r="J15" s="28" t="n"/>
    </row>
    <row r="16">
      <c r="A16" s="28" t="inlineStr">
        <is>
          <t>Coste de personal del año 3</t>
        </is>
      </c>
      <c r="B16" s="32">
        <f>IFERROR(IF(B15="","",B15*(1+'0. Supuestos'!$B$48)+B14),"")</f>
        <v>94207.3</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servicio al día que hay que cubrir</t>
        </is>
      </c>
      <c r="B20" s="77" t="n">
        <v>9.5</v>
      </c>
      <c r="C20" s="28" t="n"/>
      <c r="D20" s="28" t="n"/>
      <c r="E20" s="28" t="n"/>
      <c r="F20" s="28" t="n"/>
      <c r="G20" s="28" t="n"/>
      <c r="H20" s="28" t="n"/>
      <c r="I20" s="28" t="n"/>
      <c r="J20" s="28" t="inlineStr">
        <is>
          <t>Media del año de la apertura de la TIENDA: 12 h en temporada alta (de mediados de abril a septiembre), 8 h en marzo y octubre y 6 h entre semana en invierno. El obrador va en la fila de abajo</t>
        </is>
      </c>
    </row>
    <row r="21">
      <c r="A21" s="28" t="inlineStr">
        <is>
          <t>Personas necesarias a la vez en cada franja</t>
        </is>
      </c>
      <c r="B21" s="77" t="n">
        <v>1.6</v>
      </c>
      <c r="C21" s="28" t="n"/>
      <c r="D21" s="28" t="n"/>
      <c r="E21" s="28" t="n"/>
      <c r="F21" s="28" t="n"/>
      <c r="G21" s="28" t="n"/>
      <c r="H21" s="28" t="n"/>
      <c r="I21" s="28" t="n"/>
      <c r="J21" s="28" t="inlineStr">
        <is>
          <t>Presencia media a la vez en el mostrador: 1,8-2 personas en verano, 1,3 en primavera y otoño y 1 en invierno. En julio y agosto el cuadrante va justo: el titular hace horas o entra un extra de fin de semana</t>
        </is>
      </c>
    </row>
    <row r="22">
      <c r="A22" s="28" t="inlineStr">
        <is>
          <t>Horas de producción al día ANTES de abrir</t>
        </is>
      </c>
      <c r="B22" s="77" t="n">
        <v>2.75</v>
      </c>
      <c r="C22" s="28" t="n"/>
      <c r="D22" s="28" t="n"/>
      <c r="E22" s="28" t="n"/>
      <c r="F22" s="28" t="n"/>
      <c r="G22" s="28" t="n"/>
      <c r="H22" s="28" t="n"/>
      <c r="I22" s="28" t="n"/>
      <c r="J22" s="28" t="inlineStr">
        <is>
          <t>Tandas del obrador antes de abrir: pasteurizar, enfriar, madurar, mantecar y abatir. Unas 4 h en julio y 1,5 h en invierno</t>
        </is>
      </c>
    </row>
    <row r="23">
      <c r="A23" s="28" t="inlineStr">
        <is>
          <t>Personas en el turno de producción</t>
        </is>
      </c>
      <c r="B23" s="77" t="n">
        <v>1</v>
      </c>
      <c r="C23" s="28" t="n"/>
      <c r="D23" s="28" t="n"/>
      <c r="E23" s="28" t="n"/>
      <c r="F23" s="28" t="n"/>
      <c r="G23" s="28" t="n"/>
      <c r="H23" s="28" t="n"/>
      <c r="I23" s="28" t="n"/>
      <c r="J23" s="28" t="inlineStr">
        <is>
          <t>El maestro heladero; en verano le ayuda el ayudante de obrador</t>
        </is>
      </c>
    </row>
    <row r="24">
      <c r="A24" s="28" t="inlineStr">
        <is>
          <t>Horas de servicio a cubrir al año</t>
        </is>
      </c>
      <c r="B24" s="39">
        <f>IFERROR(IF(OR(B20="",B21="",'0. Supuestos'!$B$6=""),"",B20*B21*'0. Supuestos'!$B$6+B22*B23*'0. Supuestos'!$B$6),"")</f>
        <v>5564.5</v>
      </c>
      <c r="C24" s="28" t="n"/>
      <c r="D24" s="28" t="n"/>
      <c r="E24" s="28" t="n"/>
      <c r="F24" s="28" t="n"/>
      <c r="G24" s="28" t="n"/>
      <c r="H24" s="28" t="n"/>
      <c r="I24" s="28" t="n"/>
      <c r="J24" s="28" t="n"/>
    </row>
    <row r="25">
      <c r="A25" s="28" t="inlineStr">
        <is>
          <t>Horas contratadas al año</t>
        </is>
      </c>
      <c r="B25" s="39">
        <f>IFERROR(IF(I11="","",I11),"")</f>
        <v>5612.0</v>
      </c>
      <c r="C25" s="28" t="n"/>
      <c r="D25" s="28" t="n"/>
      <c r="E25" s="28" t="n"/>
      <c r="F25" s="28" t="n"/>
      <c r="G25" s="28" t="n"/>
      <c r="H25" s="28" t="n"/>
      <c r="I25" s="28" t="n"/>
      <c r="J25" s="28" t="n"/>
    </row>
    <row r="26">
      <c r="A26" s="25" t="inlineStr">
        <is>
          <t>Cobertura (contratadas / necesarias)</t>
        </is>
      </c>
      <c r="B26" s="66">
        <f>IFERROR(B25/B24,"")</f>
        <v>1.0085362566268308</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Heladería Artesanal</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clientes,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local (comida y bebida, alcohol incluido: art. 91.Uno.2.2.º de la Ley 37/1992 del IVA) y, cuando se venden para llevar, los alimentos —helado y tartas heladas incluidos—, que son productos alimenticios al tipo reducido por el art. 91.Uno.1.1.º; y entre 1,21 el tipo general, que en hostelería sólo alcanza a lo que sale del local como entrega de bienes excluida del reducido: el alcohol y los refrescos, zumos y gaseosas con azúcares o edulcorantes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Su Mes 1 es MARZO: el plan abre en temporada para llegar al primer invierno con la caja del verano.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30" customHeight="1">
      <c r="A12" s="46" t="inlineStr">
        <is>
          <t>8. El documento Word de este pack usa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7">
        <f>IFERROR(IF('PyG 3 Años'!$B$53="","",'PyG 3 Años'!$B$53),"")</f>
        <v>0.20500000000000002</v>
      </c>
      <c r="C18" s="67">
        <f>IFERROR(IF('PyG 3 Años'!$E$53="","",'PyG 3 Años'!$E$53),"")</f>
        <v>0.25</v>
      </c>
      <c r="D18" s="28" t="str">
        <f>IFERROR(IF(OR(B18="",C18=""),"",IF(B18&lt;=C18,"CUMPLE","REVISAR")),"")</f>
        <v>CUMPLE</v>
      </c>
      <c r="E18" s="28" t="n"/>
    </row>
    <row r="19">
      <c r="A19" s="28" t="inlineStr">
        <is>
          <t>Coste de personal / Ventas</t>
        </is>
      </c>
      <c r="B19" s="67">
        <f>IFERROR(IF('PyG 3 Años'!$B$54="","",'PyG 3 Años'!$B$54),"")</f>
        <v>0.37845702684412363</v>
      </c>
      <c r="C19" s="67">
        <f>IFERROR(IF('PyG 3 Años'!$E$54="","",'PyG 3 Años'!$E$54),"")</f>
        <v>0.4</v>
      </c>
      <c r="D19" s="28" t="str">
        <f>IFERROR(IF(OR(B19="",C19=""),"",IF(B19&lt;=C19,"CUMPLE","REVISAR")),"")</f>
        <v>CUMPLE</v>
      </c>
      <c r="E19" s="28" t="n"/>
    </row>
    <row r="20">
      <c r="A20" s="28" t="inlineStr">
        <is>
          <t>Alquiler / Ventas</t>
        </is>
      </c>
      <c r="B20" s="67">
        <f>IFERROR(IF('PyG 3 Años'!$B$55="","",'PyG 3 Años'!$B$55),"")</f>
        <v>0.09391530128857317</v>
      </c>
      <c r="C20" s="67">
        <f>IFERROR(IF('PyG 3 Años'!$E$55="","",'PyG 3 Años'!$E$55),"")</f>
        <v>0.12</v>
      </c>
      <c r="D20" s="28" t="str">
        <f>IFERROR(IF(OR(B20="",C20=""),"",IF(B20&lt;=C20,"CUMPLE","REVISAR")),"")</f>
        <v>CUMPLE</v>
      </c>
      <c r="E20" s="28" t="n"/>
    </row>
    <row r="21">
      <c r="A21" s="28" t="inlineStr">
        <is>
          <t>Resultado neto / Ventas</t>
        </is>
      </c>
      <c r="B21" s="67">
        <f>IFERROR(IF('PyG 3 Años'!$B$56="","",'PyG 3 Años'!$B$56),"")</f>
        <v>0.057912502704668585</v>
      </c>
      <c r="C21" s="67">
        <f>IFERROR(IF('PyG 3 Años'!$E$56="","",'PyG 3 Años'!$E$56),"")</f>
        <v>0.05</v>
      </c>
      <c r="D21" s="28" t="str">
        <f>IFERROR(IF(OR(B21="",C21=""),"",IF(B21&gt;=C21,"CUMPLE","REVISAR")),"")</f>
        <v>CUMPLE</v>
      </c>
      <c r="E21" s="28" t="n"/>
    </row>
    <row r="22">
      <c r="A22" s="28" t="inlineStr">
        <is>
          <t>Margen bruto / Ventas</t>
        </is>
      </c>
      <c r="B22" s="67">
        <f>IFERROR(IF('PyG 3 Años'!$B$51="","",'PyG 3 Años'!$B$51),"")</f>
        <v>0.718</v>
      </c>
      <c r="C22" s="67">
        <f>IFERROR(IF('PyG 3 Años'!$E$51="","",'PyG 3 Años'!$E$51),"")</f>
        <v>0.7</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158274.325</v>
      </c>
      <c r="C25" s="28" t="n"/>
      <c r="D25" s="28" t="n"/>
      <c r="E25" s="28" t="n"/>
    </row>
    <row r="26">
      <c r="A26" s="28" t="inlineStr">
        <is>
          <t>Necesidad total de caja al arranque</t>
        </is>
      </c>
      <c r="B26" s="32">
        <f>IFERROR(IF('Inversión Inicial'!$B$34="","",'Inversión Inicial'!$B$34),"")</f>
        <v>183169.825</v>
      </c>
      <c r="C26" s="28" t="n"/>
      <c r="D26" s="28" t="n"/>
      <c r="E26" s="28" t="n"/>
    </row>
    <row r="27">
      <c r="A27" s="28" t="inlineStr">
        <is>
          <t>Fondo de maniobra dotado</t>
        </is>
      </c>
      <c r="B27" s="32">
        <f>IFERROR(IF('Inversión Inicial'!$B$30="","",'Inversión Inicial'!$B$30),"")</f>
        <v>32624.324999999997</v>
      </c>
      <c r="C27" s="28" t="n"/>
      <c r="D27" s="28" t="n"/>
      <c r="E27" s="28" t="n"/>
    </row>
    <row r="28">
      <c r="A28" s="28" t="inlineStr">
        <is>
          <t>Facturación prevista del año 1</t>
        </is>
      </c>
      <c r="B28" s="32">
        <f>IFERROR(IF('PyG 3 Años'!$B$9="","",'PyG 3 Años'!$B$9),"")</f>
        <v>217217.0</v>
      </c>
      <c r="C28" s="28" t="n"/>
      <c r="D28" s="28" t="n"/>
      <c r="E28" s="28" t="n"/>
    </row>
    <row r="29">
      <c r="A29" s="28" t="inlineStr">
        <is>
          <t>Resultado neto del año 1</t>
        </is>
      </c>
      <c r="B29" s="32">
        <f>IFERROR(IF('PyG 3 Años'!$B$48="","",'PyG 3 Años'!$B$48),"")</f>
        <v>12579.580099999996</v>
      </c>
      <c r="C29" s="28" t="n"/>
      <c r="D29" s="28" t="n"/>
      <c r="E29" s="28" t="n"/>
    </row>
    <row r="30">
      <c r="A30" s="28" t="inlineStr">
        <is>
          <t>Clientes/día para el punto de equilibrio CONTABLE (con la amortización dentro)</t>
        </is>
      </c>
      <c r="B30" s="44">
        <f>IFERROR(IF('Punto Equilibrio'!$B$15="","",'Punto Equilibrio'!$B$15),"")</f>
        <v>129.4304638919095</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45" customHeight="1">
      <c r="A35" s="28" t="inlineStr">
        <is>
          <t>Mes 1 del plan</t>
        </is>
      </c>
      <c r="B35" s="28" t="inlineStr">
        <is>
          <t>Marzo</t>
        </is>
      </c>
      <c r="C35" s="28" t="inlineStr">
        <is>
          <t>Decisión del plan</t>
        </is>
      </c>
      <c r="D35" s="46" t="inlineStr">
        <is>
          <t>Abrir en otoño gasta el fondo de maniobra antes del primer verano. La fila de estacionalidad de la Tesorería ya va girada</t>
        </is>
      </c>
      <c r="E35" s="28" t="n"/>
    </row>
    <row r="36" ht="45" customHeight="1">
      <c r="A36" s="28" t="inlineStr">
        <is>
          <t>Consumo de helado en los hogares de abril a septiembre</t>
        </is>
      </c>
      <c r="B36" s="28" t="inlineStr">
        <is>
          <t>81,6 % del volumen del año</t>
        </is>
      </c>
      <c r="C36" s="28" t="inlineStr">
        <is>
          <t>MAPA, nota de prensa del 12 de agosto de 2026</t>
        </is>
      </c>
      <c r="D36" s="46" t="inlineStr">
        <is>
          <t>Julio el 20 %, junio el 17,8 % y agosto el 17,1 %. Este plan pone el 73 % de abril a septiembre porque en invierno vende crepes, chocolate y tartas de Navidad</t>
        </is>
      </c>
      <c r="E36" s="28" t="n"/>
    </row>
    <row r="37" ht="45" customHeight="1">
      <c r="A37" s="28" t="inlineStr">
        <is>
          <t>Coste del helado de mostrador</t>
        </is>
      </c>
      <c r="B37" s="28" t="inlineStr">
        <is>
          <t>14-16 % de su venta</t>
        </is>
      </c>
      <c r="C37" s="28" t="inlineStr">
        <is>
          <t>Estimación del kit</t>
        </is>
      </c>
      <c r="D37" s="46" t="inlineStr">
        <is>
          <t>Dos bolas con mezcla a unos 3,2 € el kg, con merma, toppings y catas. Las crepes y lo que vendes a restaurantes cuestan más</t>
        </is>
      </c>
      <c r="E37" s="28" t="n"/>
    </row>
    <row r="38" ht="30" customHeight="1">
      <c r="A38" s="28" t="inlineStr">
        <is>
          <t>Precio de la bola</t>
        </is>
      </c>
      <c r="B38" s="28" t="inlineStr">
        <is>
          <t>2-4 €, hasta 6 € en las gourmet</t>
        </is>
      </c>
      <c r="C38" s="28" t="inlineStr">
        <is>
          <t>Prensa local, mayo de 2026</t>
        </is>
      </c>
      <c r="D38" s="46" t="inlineStr">
        <is>
          <t>Con IVA. El ticket SIN IVA de este plan está en la hoja 0. Supuestos</t>
        </is>
      </c>
      <c r="E38" s="28" t="n"/>
    </row>
    <row r="39" ht="60" customHeight="1">
      <c r="A39" s="28" t="inlineStr">
        <is>
          <t>Densidad mínima del helado</t>
        </is>
      </c>
      <c r="B39" s="28" t="inlineStr">
        <is>
          <t>430 g por litro</t>
        </is>
      </c>
      <c r="C39" s="28" t="inlineStr">
        <is>
          <t>RD 618/1998, art. 3</t>
        </is>
      </c>
      <c r="D39" s="46" t="inlineStr">
        <is>
          <t>Entre 375 y 430 g/l se llama «espuma», «mousse» o «montado». El mismo artículo fija las denominaciones: «helado crema», «mantecado» (4 % de yema o más) y «sorbete» (15 % de fruta o más)</t>
        </is>
      </c>
      <c r="E39" s="28" t="n"/>
    </row>
    <row r="40" ht="30" customHeight="1">
      <c r="A40" s="28" t="inlineStr">
        <is>
          <t>Conservación del helado</t>
        </is>
      </c>
      <c r="B40" s="28" t="inlineStr">
        <is>
          <t>−18 °C o menos, sin recongelar</t>
        </is>
      </c>
      <c r="C40" s="28" t="inlineStr">
        <is>
          <t>RD 1021/2022, arts. 4.1 y 5.9</t>
        </is>
      </c>
      <c r="D40" s="46" t="inlineStr">
        <is>
          <t>La temperatura de la vitrina no la fija ninguna norma estatal: la fija tu APPCC</t>
        </is>
      </c>
      <c r="E40" s="28" t="n"/>
    </row>
    <row r="41" ht="45" customHeight="1">
      <c r="A41" s="28" t="inlineStr">
        <is>
          <t>Huevo en la mezcla</t>
        </is>
      </c>
      <c r="B41" s="28" t="inlineStr">
        <is>
          <t>70 °C durante 2 s, u ovoproducto</t>
        </is>
      </c>
      <c r="C41" s="28" t="inlineStr">
        <is>
          <t>RD 1021/2022, art. 9</t>
        </is>
      </c>
      <c r="D41" s="46" t="inlineStr">
        <is>
          <t>Pasteurizar a 85 °C lo cumple. Yemas, nata y grasas van ANTES de pasteurizar, nunca después; con huevo, se manteca en las 24 horas siguientes</t>
        </is>
      </c>
      <c r="E41" s="28" t="n"/>
    </row>
    <row r="42" ht="30" customHeight="1">
      <c r="A42" s="28" t="inlineStr">
        <is>
          <t>Coste de personal sobre ventas</t>
        </is>
      </c>
      <c r="B42" s="28" t="inlineStr">
        <is>
          <t>34-40 %</t>
        </is>
      </c>
      <c r="C42" s="28" t="inlineStr">
        <is>
          <t>Estimación del kit</t>
        </is>
      </c>
      <c r="D42" s="46" t="inlineStr">
        <is>
          <t>La temporada dobla el mostrador de junio a septiembre con fijos discontinuos</t>
        </is>
      </c>
      <c r="E42" s="28" t="n"/>
    </row>
    <row r="43" ht="30" customHeight="1">
      <c r="A43" s="28" t="inlineStr">
        <is>
          <t>Alquiler sobre ventas</t>
        </is>
      </c>
      <c r="B43" s="28" t="inlineStr">
        <is>
          <t>8-12 %</t>
        </is>
      </c>
      <c r="C43" s="28" t="inlineStr">
        <is>
          <t>Estimación del kit</t>
        </is>
      </c>
      <c r="D43" s="46" t="inlineStr">
        <is>
          <t>Un local con obrador necesita más metros que un quiosco o una vitrina sin obrador</t>
        </is>
      </c>
      <c r="E43" s="28" t="n"/>
    </row>
    <row r="44" ht="15" customHeight="1">
      <c r="A44" s="28" t="inlineStr">
        <is>
          <t>Merma de la producción</t>
        </is>
      </c>
      <c r="B44" s="28" t="inlineStr">
        <is>
          <t>5-8 %</t>
        </is>
      </c>
      <c r="C44" s="28" t="inlineStr">
        <is>
          <t>Estimación del kit — mídela tú cada semana</t>
        </is>
      </c>
      <c r="D44" s="46" t="inlineStr">
        <is>
          <t>El helado derretido o devuelto no se recongela</t>
        </is>
      </c>
      <c r="E44" s="28" t="n"/>
    </row>
    <row r="45" ht="45" customHeight="1">
      <c r="A45" s="28" t="inlineStr">
        <is>
          <t>Potencia eléctrica del local</t>
        </is>
      </c>
      <c r="B45" s="28" t="inlineStr">
        <is>
          <t>Unos 30 kW en trifásica</t>
        </is>
      </c>
      <c r="C45" s="28" t="inlineStr">
        <is>
          <t>Estimación del kit</t>
        </is>
      </c>
      <c r="D45" s="46" t="inlineStr">
        <is>
          <t>Vitrinas las 24 horas, pasteurizador, mantecadora, abatidor, crepera y climatización. Compruébalo antes de firmar el alquiler</t>
        </is>
      </c>
      <c r="E45" s="28" t="n"/>
    </row>
    <row r="46" ht="30" customHeight="1">
      <c r="A46" s="28" t="inlineStr">
        <is>
          <t>IVA del helado</t>
        </is>
      </c>
      <c r="B46" s="28" t="inlineStr">
        <is>
          <t>10 %</t>
        </is>
      </c>
      <c r="C46" s="28" t="inlineStr">
        <is>
          <t>Ley 37/1992, art. 91.Uno.1.1.º y 2.2.º</t>
        </is>
      </c>
      <c r="D46" s="46" t="inlineStr">
        <is>
          <t>En el mostrador, en la mesa y para llevar. Los refrescos con azúcares añadidos para llevar, al 21 %</t>
        </is>
      </c>
      <c r="E46" s="28" t="n"/>
    </row>
    <row r="47" ht="30" customHeight="1">
      <c r="A47" s="28" t="inlineStr">
        <is>
          <t>Convenio colectivo aplicable</t>
        </is>
      </c>
      <c r="B47" s="28" t="inlineStr">
        <is>
          <t>Provincial de hostelería</t>
        </is>
      </c>
      <c r="C47" s="28" t="inlineStr">
        <is>
          <t>VI Acuerdo Laboral de ámbito Estatal para el sector de Hostelería, art. 4</t>
        </is>
      </c>
      <c r="D47" s="46" t="inlineStr">
        <is>
          <t>Nombra las heladerías. Copia tu tabla salarial en la celda de Supuestos</t>
        </is>
      </c>
      <c r="E47" s="28" t="n"/>
    </row>
    <row r="48">
      <c r="A48" s="28" t="n"/>
      <c r="B48" s="28" t="n"/>
      <c r="C48" s="28" t="n"/>
      <c r="D48" s="28" t="n"/>
      <c r="E48" s="28" t="n"/>
    </row>
    <row r="49">
      <c r="A49" s="78" t="inlineStr">
        <is>
          <t>Para editar una celda que no esté en verde: Revisar → Desproteger hoja (no tiene contraseña).</t>
        </is>
      </c>
      <c r="B49" s="28" t="n"/>
      <c r="C49" s="28" t="n"/>
      <c r="D49" s="28" t="n"/>
      <c r="E49" s="28" t="n"/>
    </row>
    <row r="50">
      <c r="A50" s="78" t="inlineStr">
        <is>
          <t>Más plantillas y kits del catálogo en aichef.pro/productos-digitales</t>
        </is>
      </c>
      <c r="B50" s="28" t="n"/>
      <c r="C50" s="28" t="n"/>
      <c r="D50" s="28" t="n"/>
      <c r="E50" s="28" t="n"/>
    </row>
    <row r="51">
      <c r="A51" s="78" t="inlineStr">
        <is>
          <t>Diseñado por John Guerrero — chef y consultor gastronómico desde 2010, en cocina desde los 17 años · johnguerrero.es</t>
        </is>
      </c>
      <c r="B51" s="28" t="n"/>
      <c r="C51" s="28" t="n"/>
      <c r="D51" s="28" t="n"/>
      <c r="E51" s="28" t="n"/>
    </row>
    <row r="52">
      <c r="A52" s="78" t="inlineStr">
        <is>
          <t>Versión 1.0 · noviembre 2026 · aichef.pro/plan-negocio-heladeria · info@aichef.pro</t>
        </is>
      </c>
      <c r="B52" s="28" t="n"/>
      <c r="C52" s="28" t="n"/>
      <c r="D52" s="28" t="n"/>
      <c r="E52" s="28" t="n"/>
    </row>
    <row r="53">
      <c r="A53" s="28" t="n"/>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0.05</v>
      </c>
      <c r="C5" s="75" t="n">
        <v>0.075</v>
      </c>
      <c r="D5" s="75" t="n">
        <v>0.1</v>
      </c>
      <c r="E5" s="75" t="n">
        <v>0.135</v>
      </c>
      <c r="F5" s="75" t="n">
        <v>0.165</v>
      </c>
      <c r="G5" s="75" t="n">
        <v>0.15</v>
      </c>
      <c r="H5" s="75" t="n">
        <v>0.11</v>
      </c>
      <c r="I5" s="75" t="n">
        <v>0.065</v>
      </c>
      <c r="J5" s="75" t="n">
        <v>0.035</v>
      </c>
      <c r="K5" s="75" t="n">
        <v>0.06</v>
      </c>
      <c r="L5" s="75" t="n">
        <v>0.025</v>
      </c>
      <c r="M5" s="75" t="n">
        <v>0.03</v>
      </c>
      <c r="N5" s="67">
        <f>IFERROR(IF('PyG 3 Años'!$B$9="","",SUM(B5:M5)),"")</f>
        <v>1.0</v>
      </c>
      <c r="O5" s="28" t="inlineStr">
        <is>
          <t>Mes 1 = MARZO: el plan abre en temporada para llegar al primer invierno con la caja del verano. El pico es julio (Mes 5) y el valle, enero (Mes 11), con tres semanas de cierre. Si abres en otro mes, gira la fila. Tiene que sumar 100 %</t>
        </is>
      </c>
    </row>
    <row r="6">
      <c r="A6" s="28" t="inlineStr">
        <is>
          <t>Rampa de arranque (% de la actividad de crucero)</t>
        </is>
      </c>
      <c r="B6" s="67">
        <f>IFERROR(IF('PyG 3 Años'!$B$9="","",MIN(1,'0. Supuestos'!$B$52+(1-'0. Supuestos'!$B$52)*0/MAX(1,'0. Supuestos'!$B$53-1))),"")</f>
        <v>0.7</v>
      </c>
      <c r="C6" s="67">
        <f>IFERROR(IF('PyG 3 Años'!$B$9="","",MIN(1,'0. Supuestos'!$B$52+(1-'0. Supuestos'!$B$52)*1/MAX(1,'0. Supuestos'!$B$53-1))),"")</f>
        <v>0.7999999999999999</v>
      </c>
      <c r="D6" s="67">
        <f>IFERROR(IF('PyG 3 Años'!$B$9="","",MIN(1,'0. Supuestos'!$B$52+(1-'0. Supuestos'!$B$52)*2/MAX(1,'0. Supuestos'!$B$53-1))),"")</f>
        <v>0.9</v>
      </c>
      <c r="E6" s="67">
        <f>IFERROR(IF('PyG 3 Años'!$B$9="","",MIN(1,'0. Supuestos'!$B$52+(1-'0. Supuestos'!$B$52)*3/MAX(1,'0. Supuestos'!$B$53-1))),"")</f>
        <v>1.0</v>
      </c>
      <c r="F6" s="67">
        <f>IFERROR(IF('PyG 3 Años'!$B$9="","",MIN(1,'0. Supuestos'!$B$52+(1-'0. Supuestos'!$B$52)*4/MAX(1,'0. Supuestos'!$B$53-1))),"")</f>
        <v>1.0</v>
      </c>
      <c r="G6" s="67">
        <f>IFERROR(IF('PyG 3 Años'!$B$9="","",MIN(1,'0. Supuestos'!$B$52+(1-'0. Supuestos'!$B$52)*5/MAX(1,'0. Supuestos'!$B$53-1))),"")</f>
        <v>1.0</v>
      </c>
      <c r="H6" s="67">
        <f>IFERROR(IF('PyG 3 Años'!$B$9="","",MIN(1,'0. Supuestos'!$B$52+(1-'0. Supuestos'!$B$52)*6/MAX(1,'0. Supuestos'!$B$53-1))),"")</f>
        <v>1.0</v>
      </c>
      <c r="I6" s="67">
        <f>IFERROR(IF('PyG 3 Años'!$B$9="","",MIN(1,'0. Supuestos'!$B$52+(1-'0. Supuestos'!$B$52)*7/MAX(1,'0. Supuestos'!$B$53-1))),"")</f>
        <v>1.0</v>
      </c>
      <c r="J6" s="67">
        <f>IFERROR(IF('PyG 3 Años'!$B$9="","",MIN(1,'0. Supuestos'!$B$52+(1-'0. Supuestos'!$B$52)*8/MAX(1,'0. Supuestos'!$B$53-1))),"")</f>
        <v>1.0</v>
      </c>
      <c r="K6" s="67">
        <f>IFERROR(IF('PyG 3 Años'!$B$9="","",MIN(1,'0. Supuestos'!$B$52+(1-'0. Supuestos'!$B$52)*9/MAX(1,'0. Supuestos'!$B$53-1))),"")</f>
        <v>1.0</v>
      </c>
      <c r="L6" s="67">
        <f>IFERROR(IF('PyG 3 Años'!$B$9="","",MIN(1,'0. Supuestos'!$B$52+(1-'0. Supuestos'!$B$52)*10/MAX(1,'0. Supuestos'!$B$53-1))),"")</f>
        <v>1.0</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0.03645833333333333</v>
      </c>
      <c r="C7" s="67">
        <f>IFERROR(IF('PyG 3 Años'!$B$9="","",C5*C6/SUMPRODUCT($B$5:$M$5,$B$6:$M$6)),"")</f>
        <v>0.062499999999999986</v>
      </c>
      <c r="D7" s="67">
        <f>IFERROR(IF('PyG 3 Años'!$B$9="","",D5*D6/SUMPRODUCT($B$5:$M$5,$B$6:$M$6)),"")</f>
        <v>0.09375</v>
      </c>
      <c r="E7" s="67">
        <f>IFERROR(IF('PyG 3 Años'!$B$9="","",E5*E6/SUMPRODUCT($B$5:$M$5,$B$6:$M$6)),"")</f>
        <v>0.140625</v>
      </c>
      <c r="F7" s="67">
        <f>IFERROR(IF('PyG 3 Años'!$B$9="","",F5*F6/SUMPRODUCT($B$5:$M$5,$B$6:$M$6)),"")</f>
        <v>0.171875</v>
      </c>
      <c r="G7" s="67">
        <f>IFERROR(IF('PyG 3 Años'!$B$9="","",G5*G6/SUMPRODUCT($B$5:$M$5,$B$6:$M$6)),"")</f>
        <v>0.15624999999999997</v>
      </c>
      <c r="H7" s="67">
        <f>IFERROR(IF('PyG 3 Años'!$B$9="","",H5*H6/SUMPRODUCT($B$5:$M$5,$B$6:$M$6)),"")</f>
        <v>0.11458333333333333</v>
      </c>
      <c r="I7" s="67">
        <f>IFERROR(IF('PyG 3 Años'!$B$9="","",I5*I6/SUMPRODUCT($B$5:$M$5,$B$6:$M$6)),"")</f>
        <v>0.06770833333333333</v>
      </c>
      <c r="J7" s="67">
        <f>IFERROR(IF('PyG 3 Años'!$B$9="","",J5*J6/SUMPRODUCT($B$5:$M$5,$B$6:$M$6)),"")</f>
        <v>0.036458333333333336</v>
      </c>
      <c r="K7" s="67">
        <f>IFERROR(IF('PyG 3 Años'!$B$9="","",K5*K6/SUMPRODUCT($B$5:$M$5,$B$6:$M$6)),"")</f>
        <v>0.06249999999999999</v>
      </c>
      <c r="L7" s="67">
        <f>IFERROR(IF('PyG 3 Años'!$B$9="","",L5*L6/SUMPRODUCT($B$5:$M$5,$B$6:$M$6)),"")</f>
        <v>0.026041666666666664</v>
      </c>
      <c r="M7" s="67">
        <f>IFERROR(IF('PyG 3 Años'!$B$9="","",M5*M6/SUMPRODUCT($B$5:$M$5,$B$6:$M$6)),"")</f>
        <v>0.031249999999999997</v>
      </c>
      <c r="N7" s="67">
        <f>IFERROR(IF('PyG 3 Años'!$B$9="","",SUM(B7:M7)),"")</f>
        <v>1.0</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8130.552986111111</v>
      </c>
      <c r="C9" s="32">
        <f>IFERROR(IF('PyG 3 Años'!$B$9="","",('PyG 3 Años'!$B$9+'PyG 3 Años'!$B$9*SUMPRODUCT('PyG 3 Años'!$E$10:$E$11,'PyG 3 Años'!$G$10:$G$11))*(C7*(1-MIN(30,'0. Supuestos'!$B$58)/30)+B7*MIN(30,'0. Supuestos'!$B$58)/30)),"")</f>
        <v>14518.844618055553</v>
      </c>
      <c r="D9" s="32">
        <f>IFERROR(IF('PyG 3 Años'!$B$9="","",('PyG 3 Años'!$B$9+'PyG 3 Años'!$B$9*SUMPRODUCT('PyG 3 Años'!$E$10:$E$11,'PyG 3 Años'!$G$10:$G$11))*(D7*(1-MIN(30,'0. Supuestos'!$B$58)/30)+C7*MIN(30,'0. Supuestos'!$B$58)/30)),"")</f>
        <v>21902.714166666665</v>
      </c>
      <c r="E9" s="32">
        <f>IFERROR(IF('PyG 3 Años'!$B$9="","",('PyG 3 Años'!$B$9+'PyG 3 Años'!$B$9*SUMPRODUCT('PyG 3 Años'!$E$10:$E$11,'PyG 3 Años'!$G$10:$G$11))*(E7*(1-MIN(30,'0. Supuestos'!$B$58)/30)+D7*MIN(30,'0. Supuestos'!$B$58)/30)),"")</f>
        <v>32854.07125</v>
      </c>
      <c r="F9" s="32">
        <f>IFERROR(IF('PyG 3 Años'!$B$9="","",('PyG 3 Años'!$B$9+'PyG 3 Años'!$B$9*SUMPRODUCT('PyG 3 Años'!$E$10:$E$11,'PyG 3 Años'!$G$10:$G$11))*(F7*(1-MIN(30,'0. Supuestos'!$B$58)/30)+E7*MIN(30,'0. Supuestos'!$B$58)/30)),"")</f>
        <v>40569.80010416667</v>
      </c>
      <c r="G9" s="32">
        <f>IFERROR(IF('PyG 3 Años'!$B$9="","",('PyG 3 Años'!$B$9+'PyG 3 Años'!$B$9*SUMPRODUCT('PyG 3 Años'!$E$10:$E$11,'PyG 3 Años'!$G$10:$G$11))*(G7*(1-MIN(30,'0. Supuestos'!$B$58)/30)+F7*MIN(30,'0. Supuestos'!$B$58)/30)),"")</f>
        <v>37583.06635416666</v>
      </c>
      <c r="H9" s="32">
        <f>IFERROR(IF('PyG 3 Años'!$B$9="","",('PyG 3 Años'!$B$9+'PyG 3 Años'!$B$9*SUMPRODUCT('PyG 3 Años'!$E$10:$E$11,'PyG 3 Años'!$G$10:$G$11))*(H7*(1-MIN(30,'0. Supuestos'!$B$58)/30)+G7*MIN(30,'0. Supuestos'!$B$58)/30)),"")</f>
        <v>28042.111319444444</v>
      </c>
      <c r="I9" s="32">
        <f>IFERROR(IF('PyG 3 Años'!$B$9="","",('PyG 3 Años'!$B$9+'PyG 3 Años'!$B$9*SUMPRODUCT('PyG 3 Años'!$E$10:$E$11,'PyG 3 Años'!$G$10:$G$11))*(I7*(1-MIN(30,'0. Supuestos'!$B$58)/30)+H7*MIN(30,'0. Supuestos'!$B$58)/30)),"")</f>
        <v>16924.824583333335</v>
      </c>
      <c r="J9" s="32">
        <f>IFERROR(IF('PyG 3 Años'!$B$9="","",('PyG 3 Años'!$B$9+'PyG 3 Años'!$B$9*SUMPRODUCT('PyG 3 Años'!$E$10:$E$11,'PyG 3 Años'!$G$10:$G$11))*(J7*(1-MIN(30,'0. Supuestos'!$B$58)/30)+I7*MIN(30,'0. Supuestos'!$B$58)/30)),"")</f>
        <v>9209.095729166667</v>
      </c>
      <c r="K9" s="32">
        <f>IFERROR(IF('PyG 3 Años'!$B$9="","",('PyG 3 Años'!$B$9+'PyG 3 Años'!$B$9*SUMPRODUCT('PyG 3 Años'!$E$10:$E$11,'PyG 3 Años'!$G$10:$G$11))*(K7*(1-MIN(30,'0. Supuestos'!$B$58)/30)+J7*MIN(30,'0. Supuestos'!$B$58)/30)),"")</f>
        <v>14518.844618055555</v>
      </c>
      <c r="L9" s="32">
        <f>IFERROR(IF('PyG 3 Años'!$B$9="","",('PyG 3 Años'!$B$9+'PyG 3 Años'!$B$9*SUMPRODUCT('PyG 3 Años'!$E$10:$E$11,'PyG 3 Años'!$G$10:$G$11))*(L7*(1-MIN(30,'0. Supuestos'!$B$58)/30)+K7*MIN(30,'0. Supuestos'!$B$58)/30)),"")</f>
        <v>6803.115763888888</v>
      </c>
      <c r="M9" s="32">
        <f>IFERROR(IF('PyG 3 Años'!$B$9="","",('PyG 3 Años'!$B$9+'PyG 3 Años'!$B$9*SUMPRODUCT('PyG 3 Años'!$E$10:$E$11,'PyG 3 Años'!$G$10:$G$11))*(M7*(1-MIN(30,'0. Supuestos'!$B$58)/30)+L7*MIN(30,'0. Supuestos'!$B$58)/30)),"")</f>
        <v>7383.869548611111</v>
      </c>
      <c r="N9" s="32">
        <f>IFERROR(IF('PyG 3 Años'!$B$9="","",SUM(B9:M9)),"")</f>
        <v>238440.91104166667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-2484.7022721354165</v>
      </c>
      <c r="D11" s="32">
        <f>IFERROR(IF('PyG 3 Años'!$B$9="","",-('PyG 3 Años'!$B$13*(1+'PyG 3 Años'!$G$13)+'PyG 3 Años'!$B$14*(1+'PyG 3 Años'!$G$14)+'PyG 3 Años'!$B$15*(1+'PyG 3 Años'!$G$15)+'PyG 3 Años'!$B$16*(1+'PyG 3 Años'!$G$16)+'PyG 3 Años'!$B$17*(1+'PyG 3 Años'!$G$17)+'PyG 3 Años'!$B$18*(1+'PyG 3 Años'!$G$18))*(D7*(1-MIN(30,'0. Supuestos'!$B$59)/30)+C7*MIN(30,'0. Supuestos'!$B$59)/30)),"")</f>
        <v>-4259.489609374999</v>
      </c>
      <c r="E11" s="32">
        <f>IFERROR(IF('PyG 3 Años'!$B$9="","",-('PyG 3 Años'!$B$13*(1+'PyG 3 Años'!$G$13)+'PyG 3 Años'!$B$14*(1+'PyG 3 Años'!$G$14)+'PyG 3 Años'!$B$15*(1+'PyG 3 Años'!$G$15)+'PyG 3 Años'!$B$16*(1+'PyG 3 Años'!$G$16)+'PyG 3 Años'!$B$17*(1+'PyG 3 Años'!$G$17)+'PyG 3 Años'!$B$18*(1+'PyG 3 Años'!$G$18))*(E7*(1-MIN(30,'0. Supuestos'!$B$59)/30)+D7*MIN(30,'0. Supuestos'!$B$59)/30)),"")</f>
        <v>-6389.234414062501</v>
      </c>
      <c r="F11" s="32">
        <f>IFERROR(IF('PyG 3 Años'!$B$9="","",-('PyG 3 Años'!$B$13*(1+'PyG 3 Años'!$G$13)+'PyG 3 Años'!$B$14*(1+'PyG 3 Años'!$G$14)+'PyG 3 Años'!$B$15*(1+'PyG 3 Años'!$G$15)+'PyG 3 Años'!$B$16*(1+'PyG 3 Años'!$G$16)+'PyG 3 Años'!$B$17*(1+'PyG 3 Años'!$G$17)+'PyG 3 Años'!$B$18*(1+'PyG 3 Años'!$G$18))*(F7*(1-MIN(30,'0. Supuestos'!$B$59)/30)+E7*MIN(30,'0. Supuestos'!$B$59)/30)),"")</f>
        <v>-9583.85162109375</v>
      </c>
      <c r="G11" s="32">
        <f>IFERROR(IF('PyG 3 Años'!$B$9="","",-('PyG 3 Años'!$B$13*(1+'PyG 3 Años'!$G$13)+'PyG 3 Años'!$B$14*(1+'PyG 3 Años'!$G$14)+'PyG 3 Años'!$B$15*(1+'PyG 3 Años'!$G$15)+'PyG 3 Años'!$B$16*(1+'PyG 3 Años'!$G$16)+'PyG 3 Años'!$B$17*(1+'PyG 3 Años'!$G$17)+'PyG 3 Años'!$B$18*(1+'PyG 3 Años'!$G$18))*(G7*(1-MIN(30,'0. Supuestos'!$B$59)/30)+F7*MIN(30,'0. Supuestos'!$B$59)/30)),"")</f>
        <v>-11713.59642578125</v>
      </c>
      <c r="H11" s="32">
        <f>IFERROR(IF('PyG 3 Años'!$B$9="","",-('PyG 3 Años'!$B$13*(1+'PyG 3 Años'!$G$13)+'PyG 3 Años'!$B$14*(1+'PyG 3 Años'!$G$14)+'PyG 3 Años'!$B$15*(1+'PyG 3 Años'!$G$15)+'PyG 3 Años'!$B$16*(1+'PyG 3 Años'!$G$16)+'PyG 3 Años'!$B$17*(1+'PyG 3 Años'!$G$17)+'PyG 3 Años'!$B$18*(1+'PyG 3 Años'!$G$18))*(H7*(1-MIN(30,'0. Supuestos'!$B$59)/30)+G7*MIN(30,'0. Supuestos'!$B$59)/30)),"")</f>
        <v>-10648.724023437499</v>
      </c>
      <c r="I11" s="32">
        <f>IFERROR(IF('PyG 3 Años'!$B$9="","",-('PyG 3 Años'!$B$13*(1+'PyG 3 Años'!$G$13)+'PyG 3 Años'!$B$14*(1+'PyG 3 Años'!$G$14)+'PyG 3 Años'!$B$15*(1+'PyG 3 Años'!$G$15)+'PyG 3 Años'!$B$16*(1+'PyG 3 Años'!$G$16)+'PyG 3 Años'!$B$17*(1+'PyG 3 Años'!$G$17)+'PyG 3 Años'!$B$18*(1+'PyG 3 Años'!$G$18))*(I7*(1-MIN(30,'0. Supuestos'!$B$59)/30)+H7*MIN(30,'0. Supuestos'!$B$59)/30)),"")</f>
        <v>-7809.064283854167</v>
      </c>
      <c r="J11" s="32">
        <f>IFERROR(IF('PyG 3 Años'!$B$9="","",-('PyG 3 Años'!$B$13*(1+'PyG 3 Años'!$G$13)+'PyG 3 Años'!$B$14*(1+'PyG 3 Años'!$G$14)+'PyG 3 Años'!$B$15*(1+'PyG 3 Años'!$G$15)+'PyG 3 Años'!$B$16*(1+'PyG 3 Años'!$G$16)+'PyG 3 Años'!$B$17*(1+'PyG 3 Años'!$G$17)+'PyG 3 Años'!$B$18*(1+'PyG 3 Años'!$G$18))*(J7*(1-MIN(30,'0. Supuestos'!$B$59)/30)+I7*MIN(30,'0. Supuestos'!$B$59)/30)),"")</f>
        <v>-4614.447076822917</v>
      </c>
      <c r="K11" s="32">
        <f>IFERROR(IF('PyG 3 Años'!$B$9="","",-('PyG 3 Años'!$B$13*(1+'PyG 3 Años'!$G$13)+'PyG 3 Años'!$B$14*(1+'PyG 3 Años'!$G$14)+'PyG 3 Años'!$B$15*(1+'PyG 3 Años'!$G$15)+'PyG 3 Años'!$B$16*(1+'PyG 3 Años'!$G$16)+'PyG 3 Años'!$B$17*(1+'PyG 3 Años'!$G$17)+'PyG 3 Años'!$B$18*(1+'PyG 3 Años'!$G$18))*(K7*(1-MIN(30,'0. Supuestos'!$B$59)/30)+J7*MIN(30,'0. Supuestos'!$B$59)/30)),"")</f>
        <v>-2484.702272135417</v>
      </c>
      <c r="L11" s="32">
        <f>IFERROR(IF('PyG 3 Años'!$B$9="","",-('PyG 3 Años'!$B$13*(1+'PyG 3 Años'!$G$13)+'PyG 3 Años'!$B$14*(1+'PyG 3 Años'!$G$14)+'PyG 3 Años'!$B$15*(1+'PyG 3 Años'!$G$15)+'PyG 3 Años'!$B$16*(1+'PyG 3 Años'!$G$16)+'PyG 3 Años'!$B$17*(1+'PyG 3 Años'!$G$17)+'PyG 3 Años'!$B$18*(1+'PyG 3 Años'!$G$18))*(L7*(1-MIN(30,'0. Supuestos'!$B$59)/30)+K7*MIN(30,'0. Supuestos'!$B$59)/30)),"")</f>
        <v>-4259.489609374999</v>
      </c>
      <c r="M11" s="32">
        <f>IFERROR(IF('PyG 3 Años'!$B$9="","",-('PyG 3 Años'!$B$13*(1+'PyG 3 Años'!$G$13)+'PyG 3 Años'!$B$14*(1+'PyG 3 Años'!$G$14)+'PyG 3 Años'!$B$15*(1+'PyG 3 Años'!$G$15)+'PyG 3 Años'!$B$16*(1+'PyG 3 Años'!$G$16)+'PyG 3 Años'!$B$17*(1+'PyG 3 Años'!$G$17)+'PyG 3 Años'!$B$18*(1+'PyG 3 Años'!$G$18))*(M7*(1-MIN(30,'0. Supuestos'!$B$59)/30)+L7*MIN(30,'0. Supuestos'!$B$59)/30)),"")</f>
        <v>-1774.7873372395834</v>
      </c>
      <c r="N11" s="32">
        <f>IFERROR(IF('PyG 3 Años'!$B$9="","",SUM(B11:M11)),"")</f>
        <v>-66022.0889453125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-4062.5416666666656</v>
      </c>
      <c r="C12" s="32">
        <f>IFERROR(IF('PyG 3 Años'!$B$9="","",-('PyG 3 Años'!$B$38-'PyG 3 Años'!$B$23-'PyG 3 Años'!$B$36-'PyG 3 Años'!$B$37+'PyG 3 Años'!$B$40)/12),"")</f>
        <v>-4062.5416666666656</v>
      </c>
      <c r="D12" s="32">
        <f>IFERROR(IF('PyG 3 Años'!$B$9="","",-('PyG 3 Años'!$B$38-'PyG 3 Años'!$B$23-'PyG 3 Años'!$B$36-'PyG 3 Años'!$B$37+'PyG 3 Años'!$B$40)/12),"")</f>
        <v>-4062.5416666666656</v>
      </c>
      <c r="E12" s="32">
        <f>IFERROR(IF('PyG 3 Años'!$B$9="","",-('PyG 3 Años'!$B$38-'PyG 3 Años'!$B$23-'PyG 3 Años'!$B$36-'PyG 3 Años'!$B$37+'PyG 3 Años'!$B$40)/12),"")</f>
        <v>-4062.5416666666656</v>
      </c>
      <c r="F12" s="32">
        <f>IFERROR(IF('PyG 3 Años'!$B$9="","",-('PyG 3 Años'!$B$38-'PyG 3 Años'!$B$23-'PyG 3 Años'!$B$36-'PyG 3 Años'!$B$37+'PyG 3 Años'!$B$40)/12),"")</f>
        <v>-4062.5416666666656</v>
      </c>
      <c r="G12" s="32">
        <f>IFERROR(IF('PyG 3 Años'!$B$9="","",-('PyG 3 Años'!$B$38-'PyG 3 Años'!$B$23-'PyG 3 Años'!$B$36-'PyG 3 Años'!$B$37+'PyG 3 Años'!$B$40)/12),"")</f>
        <v>-4062.5416666666656</v>
      </c>
      <c r="H12" s="32">
        <f>IFERROR(IF('PyG 3 Años'!$B$9="","",-('PyG 3 Años'!$B$38-'PyG 3 Años'!$B$23-'PyG 3 Años'!$B$36-'PyG 3 Años'!$B$37+'PyG 3 Años'!$B$40)/12),"")</f>
        <v>-4062.5416666666656</v>
      </c>
      <c r="I12" s="32">
        <f>IFERROR(IF('PyG 3 Años'!$B$9="","",-('PyG 3 Años'!$B$38-'PyG 3 Años'!$B$23-'PyG 3 Años'!$B$36-'PyG 3 Años'!$B$37+'PyG 3 Años'!$B$40)/12),"")</f>
        <v>-4062.5416666666656</v>
      </c>
      <c r="J12" s="32">
        <f>IFERROR(IF('PyG 3 Años'!$B$9="","",-('PyG 3 Años'!$B$38-'PyG 3 Años'!$B$23-'PyG 3 Años'!$B$36-'PyG 3 Años'!$B$37+'PyG 3 Años'!$B$40)/12),"")</f>
        <v>-4062.5416666666656</v>
      </c>
      <c r="K12" s="32">
        <f>IFERROR(IF('PyG 3 Años'!$B$9="","",-('PyG 3 Años'!$B$38-'PyG 3 Años'!$B$23-'PyG 3 Años'!$B$36-'PyG 3 Años'!$B$37+'PyG 3 Años'!$B$40)/12),"")</f>
        <v>-4062.5416666666656</v>
      </c>
      <c r="L12" s="32">
        <f>IFERROR(IF('PyG 3 Años'!$B$9="","",-('PyG 3 Años'!$B$38-'PyG 3 Años'!$B$23-'PyG 3 Años'!$B$36-'PyG 3 Años'!$B$37+'PyG 3 Años'!$B$40)/12),"")</f>
        <v>-4062.5416666666656</v>
      </c>
      <c r="M12" s="32">
        <f>IFERROR(IF('PyG 3 Años'!$B$9="","",-('PyG 3 Años'!$B$38-'PyG 3 Años'!$B$23-'PyG 3 Años'!$B$36-'PyG 3 Años'!$B$37+'PyG 3 Años'!$B$40)/12),"")</f>
        <v>-4062.5416666666656</v>
      </c>
      <c r="N12" s="32">
        <f>IFERROR(IF('PyG 3 Años'!$B$9="","",SUM(B12:M12)),"")</f>
        <v>-48750.49999999998</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-5871.95</v>
      </c>
      <c r="C13" s="32">
        <f>IFERROR(IF('PyG 3 Años'!$B$9="","",-'PyG 3 Años'!$B$23/MAX(12,'0. Supuestos'!$B$21)*(1+IF(2='0. Supuestos'!$B$60,(MAX(12,'0. Supuestos'!$B$21)-12)/2,0)+IF(2='0. Supuestos'!$B$61,(MAX(12,'0. Supuestos'!$B$21)-12)/2,0))),"")</f>
        <v>-5871.95</v>
      </c>
      <c r="D13" s="32">
        <f>IFERROR(IF('PyG 3 Años'!$B$9="","",-'PyG 3 Años'!$B$23/MAX(12,'0. Supuestos'!$B$21)*(1+IF(3='0. Supuestos'!$B$60,(MAX(12,'0. Supuestos'!$B$21)-12)/2,0)+IF(3='0. Supuestos'!$B$61,(MAX(12,'0. Supuestos'!$B$21)-12)/2,0))),"")</f>
        <v>-5871.95</v>
      </c>
      <c r="E13" s="32">
        <f>IFERROR(IF('PyG 3 Años'!$B$9="","",-'PyG 3 Años'!$B$23/MAX(12,'0. Supuestos'!$B$21)*(1+IF(4='0. Supuestos'!$B$60,(MAX(12,'0. Supuestos'!$B$21)-12)/2,0)+IF(4='0. Supuestos'!$B$61,(MAX(12,'0. Supuestos'!$B$21)-12)/2,0))),"")</f>
        <v>-5871.95</v>
      </c>
      <c r="F13" s="32">
        <f>IFERROR(IF('PyG 3 Años'!$B$9="","",-'PyG 3 Años'!$B$23/MAX(12,'0. Supuestos'!$B$21)*(1+IF(5='0. Supuestos'!$B$60,(MAX(12,'0. Supuestos'!$B$21)-12)/2,0)+IF(5='0. Supuestos'!$B$61,(MAX(12,'0. Supuestos'!$B$21)-12)/2,0))),"")</f>
        <v>-11743.9</v>
      </c>
      <c r="G13" s="32">
        <f>IFERROR(IF('PyG 3 Años'!$B$9="","",-'PyG 3 Años'!$B$23/MAX(12,'0. Supuestos'!$B$21)*(1+IF(6='0. Supuestos'!$B$60,(MAX(12,'0. Supuestos'!$B$21)-12)/2,0)+IF(6='0. Supuestos'!$B$61,(MAX(12,'0. Supuestos'!$B$21)-12)/2,0))),"")</f>
        <v>-5871.95</v>
      </c>
      <c r="H13" s="32">
        <f>IFERROR(IF('PyG 3 Años'!$B$9="","",-'PyG 3 Años'!$B$23/MAX(12,'0. Supuestos'!$B$21)*(1+IF(7='0. Supuestos'!$B$60,(MAX(12,'0. Supuestos'!$B$21)-12)/2,0)+IF(7='0. Supuestos'!$B$61,(MAX(12,'0. Supuestos'!$B$21)-12)/2,0))),"")</f>
        <v>-5871.95</v>
      </c>
      <c r="I13" s="32">
        <f>IFERROR(IF('PyG 3 Años'!$B$9="","",-'PyG 3 Años'!$B$23/MAX(12,'0. Supuestos'!$B$21)*(1+IF(8='0. Supuestos'!$B$60,(MAX(12,'0. Supuestos'!$B$21)-12)/2,0)+IF(8='0. Supuestos'!$B$61,(MAX(12,'0. Supuestos'!$B$21)-12)/2,0))),"")</f>
        <v>-5871.95</v>
      </c>
      <c r="J13" s="32">
        <f>IFERROR(IF('PyG 3 Años'!$B$9="","",-'PyG 3 Años'!$B$23/MAX(12,'0. Supuestos'!$B$21)*(1+IF(9='0. Supuestos'!$B$60,(MAX(12,'0. Supuestos'!$B$21)-12)/2,0)+IF(9='0. Supuestos'!$B$61,(MAX(12,'0. Supuestos'!$B$21)-12)/2,0))),"")</f>
        <v>-5871.95</v>
      </c>
      <c r="K13" s="32">
        <f>IFERROR(IF('PyG 3 Años'!$B$9="","",-'PyG 3 Años'!$B$23/MAX(12,'0. Supuestos'!$B$21)*(1+IF(10='0. Supuestos'!$B$60,(MAX(12,'0. Supuestos'!$B$21)-12)/2,0)+IF(10='0. Supuestos'!$B$61,(MAX(12,'0. Supuestos'!$B$21)-12)/2,0))),"")</f>
        <v>-11743.9</v>
      </c>
      <c r="L13" s="32">
        <f>IFERROR(IF('PyG 3 Años'!$B$9="","",-'PyG 3 Años'!$B$23/MAX(12,'0. Supuestos'!$B$21)*(1+IF(11='0. Supuestos'!$B$60,(MAX(12,'0. Supuestos'!$B$21)-12)/2,0)+IF(11='0. Supuestos'!$B$61,(MAX(12,'0. Supuestos'!$B$21)-12)/2,0))),"")</f>
        <v>-5871.95</v>
      </c>
      <c r="M13" s="32">
        <f>IFERROR(IF('PyG 3 Años'!$B$9="","",-'PyG 3 Años'!$B$23/MAX(12,'0. Supuestos'!$B$21)*(1+IF(12='0. Supuestos'!$B$60,(MAX(12,'0. Supuestos'!$B$21)-12)/2,0)+IF(12='0. Supuestos'!$B$61,(MAX(12,'0. Supuestos'!$B$21)-12)/2,0))),"")</f>
        <v>-5871.95</v>
      </c>
      <c r="N13" s="32">
        <f>IFERROR(IF('PyG 3 Años'!$B$9="","",SUM(B13:M13)),"")</f>
        <v>-82207.3</v>
      </c>
      <c r="O13" s="28" t="inlineStr">
        <is>
          <t>Doce mensualidades más las pagas extra en los meses que digas en Supuestos. La suma del año es la misma que la del P&amp;L. El personal se reparte en doce meses, pero los fijos discontinuos de temporada sólo cobran de abril a septiembre: aquí el invierno sale más caro y el verano más barato que en la realidad. El saldo de marzo y el de febrero apenas cambian, pero de junio a enero tu caja real será menor que la de esta hoja (en el caso, hasta unos 10.000 € menos en septiembre)</t>
        </is>
      </c>
    </row>
    <row r="14">
      <c r="A14" s="28" t="inlineStr">
        <is>
          <t>Intereses del préstamo</t>
        </is>
      </c>
      <c r="B14" s="32">
        <f>IFERROR(IF('PyG 3 Años'!$B$9="","",-'Financiación'!$B$44/12),"")</f>
        <v>-645.0</v>
      </c>
      <c r="C14" s="32">
        <f>IFERROR(IF('PyG 3 Años'!$B$9="","",-'Financiación'!$B$44/12),"")</f>
        <v>-645.0</v>
      </c>
      <c r="D14" s="32">
        <f>IFERROR(IF('PyG 3 Años'!$B$9="","",-'Financiación'!$B$44/12),"")</f>
        <v>-645.0</v>
      </c>
      <c r="E14" s="32">
        <f>IFERROR(IF('PyG 3 Años'!$B$9="","",-'Financiación'!$B$44/12),"")</f>
        <v>-645.0</v>
      </c>
      <c r="F14" s="32">
        <f>IFERROR(IF('PyG 3 Años'!$B$9="","",-'Financiación'!$B$44/12),"")</f>
        <v>-645.0</v>
      </c>
      <c r="G14" s="32">
        <f>IFERROR(IF('PyG 3 Años'!$B$9="","",-'Financiación'!$B$44/12),"")</f>
        <v>-645.0</v>
      </c>
      <c r="H14" s="32">
        <f>IFERROR(IF('PyG 3 Años'!$B$9="","",-'Financiación'!$B$44/12),"")</f>
        <v>-645.0</v>
      </c>
      <c r="I14" s="32">
        <f>IFERROR(IF('PyG 3 Años'!$B$9="","",-'Financiación'!$B$44/12),"")</f>
        <v>-645.0</v>
      </c>
      <c r="J14" s="32">
        <f>IFERROR(IF('PyG 3 Años'!$B$9="","",-'Financiación'!$B$44/12),"")</f>
        <v>-645.0</v>
      </c>
      <c r="K14" s="32">
        <f>IFERROR(IF('PyG 3 Años'!$B$9="","",-'Financiación'!$B$44/12),"")</f>
        <v>-645.0</v>
      </c>
      <c r="L14" s="32">
        <f>IFERROR(IF('PyG 3 Años'!$B$9="","",-'Financiación'!$B$44/12),"")</f>
        <v>-645.0</v>
      </c>
      <c r="M14" s="32">
        <f>IFERROR(IF('PyG 3 Años'!$B$9="","",-'Financiación'!$B$44/12),"")</f>
        <v>-645.0</v>
      </c>
      <c r="N14" s="32">
        <f>IFERROR(IF('PyG 3 Años'!$B$9="","",SUM(B14:M14)),"")</f>
        <v>-7740.0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791.9369791666667</v>
      </c>
      <c r="C16" s="32">
        <f>IFERROR(IF('PyG 3 Años'!$B$9="","",'PyG 3 Años'!$B$9*C7*SUMPRODUCT('PyG 3 Años'!$E$10:$E$11,'PyG 3 Años'!$G$10:$G$11)),"")</f>
        <v>1357.6062499999998</v>
      </c>
      <c r="D16" s="32">
        <f>IFERROR(IF('PyG 3 Años'!$B$9="","",'PyG 3 Años'!$B$9*D7*SUMPRODUCT('PyG 3 Años'!$E$10:$E$11,'PyG 3 Años'!$G$10:$G$11)),"")</f>
        <v>2036.4093750000002</v>
      </c>
      <c r="E16" s="32">
        <f>IFERROR(IF('PyG 3 Años'!$B$9="","",'PyG 3 Años'!$B$9*E7*SUMPRODUCT('PyG 3 Años'!$E$10:$E$11,'PyG 3 Años'!$G$10:$G$11)),"")</f>
        <v>3054.6140625000003</v>
      </c>
      <c r="F16" s="32">
        <f>IFERROR(IF('PyG 3 Años'!$B$9="","",'PyG 3 Años'!$B$9*F7*SUMPRODUCT('PyG 3 Años'!$E$10:$E$11,'PyG 3 Años'!$G$10:$G$11)),"")</f>
        <v>3733.4171875</v>
      </c>
      <c r="G16" s="32">
        <f>IFERROR(IF('PyG 3 Años'!$B$9="","",'PyG 3 Años'!$B$9*G7*SUMPRODUCT('PyG 3 Años'!$E$10:$E$11,'PyG 3 Años'!$G$10:$G$11)),"")</f>
        <v>3394.0156249999995</v>
      </c>
      <c r="H16" s="32">
        <f>IFERROR(IF('PyG 3 Años'!$B$9="","",'PyG 3 Años'!$B$9*H7*SUMPRODUCT('PyG 3 Años'!$E$10:$E$11,'PyG 3 Años'!$G$10:$G$11)),"")</f>
        <v>2488.944791666667</v>
      </c>
      <c r="I16" s="32">
        <f>IFERROR(IF('PyG 3 Años'!$B$9="","",'PyG 3 Años'!$B$9*I7*SUMPRODUCT('PyG 3 Años'!$E$10:$E$11,'PyG 3 Años'!$G$10:$G$11)),"")</f>
        <v>1470.7401041666667</v>
      </c>
      <c r="J16" s="32">
        <f>IFERROR(IF('PyG 3 Años'!$B$9="","",'PyG 3 Años'!$B$9*J7*SUMPRODUCT('PyG 3 Años'!$E$10:$E$11,'PyG 3 Años'!$G$10:$G$11)),"")</f>
        <v>791.9369791666668</v>
      </c>
      <c r="K16" s="32">
        <f>IFERROR(IF('PyG 3 Años'!$B$9="","",'PyG 3 Años'!$B$9*K7*SUMPRODUCT('PyG 3 Años'!$E$10:$E$11,'PyG 3 Años'!$G$10:$G$11)),"")</f>
        <v>1357.6062499999998</v>
      </c>
      <c r="L16" s="32">
        <f>IFERROR(IF('PyG 3 Años'!$B$9="","",'PyG 3 Años'!$B$9*L7*SUMPRODUCT('PyG 3 Años'!$E$10:$E$11,'PyG 3 Años'!$G$10:$G$11)),"")</f>
        <v>565.6692708333334</v>
      </c>
      <c r="M16" s="32">
        <f>IFERROR(IF('PyG 3 Años'!$B$9="","",'PyG 3 Años'!$B$9*M7*SUMPRODUCT('PyG 3 Años'!$E$10:$E$11,'PyG 3 Años'!$G$10:$G$11)),"")</f>
        <v>678.8031249999999</v>
      </c>
      <c r="N16" s="32">
        <f>IFERROR(IF('PyG 3 Años'!$B$9="","",SUM(B16:M16)),"")</f>
        <v>21721.700000000004</v>
      </c>
      <c r="O16" s="28" t="inlineStr">
        <is>
          <t>Cada línea de venta a SU tipo, leído de la columna de IVA del P&amp;L: en el local, alcohol incluido, el reducido (art. 91.Uno.2.2.º de la Ley 37/1992 del IVA); el alcohol que sale por delivery, al general; el helado y la comida para llevar, al reducido (art. 91.Uno.1.1.º)</t>
        </is>
      </c>
    </row>
    <row r="17">
      <c r="A17" s="28" t="inlineStr">
        <is>
          <t>IVA soportado del mes (memoria)</t>
        </is>
      </c>
      <c r="B17" s="32">
        <f>IFERROR(IF('PyG 3 Años'!$B$9="","",'PyG 3 Años'!$B$39*B7+'PyG 3 Años'!$B$40/12),"")</f>
        <v>934.8149908854166</v>
      </c>
      <c r="C17" s="32">
        <f>IFERROR(IF('PyG 3 Años'!$B$9="","",'PyG 3 Años'!$B$39*C7+'PyG 3 Años'!$B$40/12),"")</f>
        <v>1114.414984375</v>
      </c>
      <c r="D17" s="32">
        <f>IFERROR(IF('PyG 3 Años'!$B$9="","",'PyG 3 Años'!$B$39*D7+'PyG 3 Años'!$B$40/12),"")</f>
        <v>1329.9349765625</v>
      </c>
      <c r="E17" s="32">
        <f>IFERROR(IF('PyG 3 Años'!$B$9="","",'PyG 3 Años'!$B$39*E7+'PyG 3 Años'!$B$40/12),"")</f>
        <v>1653.21496484375</v>
      </c>
      <c r="F17" s="32">
        <f>IFERROR(IF('PyG 3 Años'!$B$9="","",'PyG 3 Años'!$B$39*F7+'PyG 3 Años'!$B$40/12),"")</f>
        <v>1868.7349570312501</v>
      </c>
      <c r="G17" s="32">
        <f>IFERROR(IF('PyG 3 Años'!$B$9="","",'PyG 3 Años'!$B$39*G7+'PyG 3 Años'!$B$40/12),"")</f>
        <v>1760.9749609374999</v>
      </c>
      <c r="H17" s="32">
        <f>IFERROR(IF('PyG 3 Años'!$B$9="","",'PyG 3 Años'!$B$39*H7+'PyG 3 Años'!$B$40/12),"")</f>
        <v>1473.6149713541668</v>
      </c>
      <c r="I17" s="32">
        <f>IFERROR(IF('PyG 3 Años'!$B$9="","",'PyG 3 Años'!$B$39*I7+'PyG 3 Años'!$B$40/12),"")</f>
        <v>1150.3349830729167</v>
      </c>
      <c r="J17" s="32">
        <f>IFERROR(IF('PyG 3 Años'!$B$9="","",'PyG 3 Años'!$B$39*J7+'PyG 3 Años'!$B$40/12),"")</f>
        <v>934.8149908854167</v>
      </c>
      <c r="K17" s="32">
        <f>IFERROR(IF('PyG 3 Años'!$B$9="","",'PyG 3 Años'!$B$39*K7+'PyG 3 Años'!$B$40/12),"")</f>
        <v>1114.414984375</v>
      </c>
      <c r="L17" s="32">
        <f>IFERROR(IF('PyG 3 Años'!$B$9="","",'PyG 3 Años'!$B$39*L7+'PyG 3 Años'!$B$40/12),"")</f>
        <v>862.9749934895833</v>
      </c>
      <c r="M17" s="32">
        <f>IFERROR(IF('PyG 3 Años'!$B$9="","",'PyG 3 Años'!$B$39*M7+'PyG 3 Años'!$B$40/12),"")</f>
        <v>898.8949921875</v>
      </c>
      <c r="N17" s="32">
        <f>IFERROR(IF('PyG 3 Años'!$B$9="","",SUM(B17:M17)),"")</f>
        <v>15097.13975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24895.5</v>
      </c>
      <c r="F18" s="28" t="n"/>
      <c r="G18" s="28" t="n"/>
      <c r="H18" s="32">
        <f>IFERROR(IF('PyG 3 Años'!$B$9="","",MAX(0,-E19)),"")</f>
        <v>24088.71234765625</v>
      </c>
      <c r="I18" s="28" t="n"/>
      <c r="J18" s="28" t="n"/>
      <c r="K18" s="32">
        <f>IFERROR(IF('PyG 3 Años'!$B$9="","",MAX(0,-H19)),"")</f>
        <v>19189.590355468747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-24088.71234765625</v>
      </c>
      <c r="F19" s="28" t="n"/>
      <c r="G19" s="28" t="n"/>
      <c r="H19" s="32">
        <f>IFERROR(IF('PyG 3 Años'!$B$9="","",SUM(E16:G16)-SUM(E17:G17)-H18),"")</f>
        <v>-19189.590355468747</v>
      </c>
      <c r="I19" s="28" t="n"/>
      <c r="J19" s="28" t="n"/>
      <c r="K19" s="32">
        <f>IFERROR(IF('PyG 3 Años'!$B$9="","",SUM(H16:J16)-SUM(H17:J17)-K18),"")</f>
        <v>-17996.733425781247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-2448.9386805555546</v>
      </c>
      <c r="C21" s="26">
        <f>IFERROR(IF('PyG 3 Años'!$B$9="","",SUM(C9:C15)+IF(C20="",0,C20)),"")</f>
        <v>1454.6506792534701</v>
      </c>
      <c r="D21" s="26">
        <f>IFERROR(IF('PyG 3 Años'!$B$9="","",SUM(D9:D15)+IF(D20="",0,D20)),"")</f>
        <v>7063.7328906249995</v>
      </c>
      <c r="E21" s="26">
        <f>IFERROR(IF('PyG 3 Años'!$B$9="","",SUM(E9:E15)+IF(E20="",0,E20)),"")</f>
        <v>15885.345169270837</v>
      </c>
      <c r="F21" s="26">
        <f>IFERROR(IF('PyG 3 Años'!$B$9="","",SUM(F9:F15)+IF(F20="",0,F20)),"")</f>
        <v>14534.506816406256</v>
      </c>
      <c r="G21" s="26">
        <f>IFERROR(IF('PyG 3 Años'!$B$9="","",SUM(G9:G15)+IF(G20="",0,G20)),"")</f>
        <v>15289.978261718741</v>
      </c>
      <c r="H21" s="26">
        <f>IFERROR(IF('PyG 3 Años'!$B$9="","",SUM(H9:H15)+IF(H20="",0,H20)),"")</f>
        <v>6813.89562934028</v>
      </c>
      <c r="I21" s="26">
        <f>IFERROR(IF('PyG 3 Años'!$B$9="","",SUM(I9:I15)+IF(I20="",0,I20)),"")</f>
        <v>-1463.731367187499</v>
      </c>
      <c r="J21" s="26">
        <f>IFERROR(IF('PyG 3 Años'!$B$9="","",SUM(J9:J15)+IF(J20="",0,J20)),"")</f>
        <v>-5984.843014322914</v>
      </c>
      <c r="K21" s="26">
        <f>IFERROR(IF('PyG 3 Años'!$B$9="","",SUM(K9:K15)+IF(K20="",0,K20)),"")</f>
        <v>-4417.299320746528</v>
      </c>
      <c r="L21" s="26">
        <f>IFERROR(IF('PyG 3 Años'!$B$9="","",SUM(L9:L15)+IF(L20="",0,L20)),"")</f>
        <v>-8035.865512152777</v>
      </c>
      <c r="M21" s="26">
        <f>IFERROR(IF('PyG 3 Años'!$B$9="","",SUM(M9:M15)+IF(M20="",0,M20)),"")</f>
        <v>-4970.409455295137</v>
      </c>
      <c r="N21" s="26">
        <f>IFERROR(IF('PyG 3 Años'!$B$9="","",SUM(B21:M21)),"")</f>
        <v>33721.02209635417</v>
      </c>
      <c r="O21" s="28" t="n"/>
    </row>
    <row r="22">
      <c r="A22" s="25" t="inlineStr">
        <is>
          <t>SALDO ACUMULADO DE CAJA</t>
        </is>
      </c>
      <c r="B22" s="26">
        <f>IFERROR(IF('PyG 3 Años'!$B$9="","",'Inversión Inicial'!$B$30+B21),"")</f>
        <v>30175.386319444442</v>
      </c>
      <c r="C22" s="26">
        <f>IFERROR(IF('PyG 3 Años'!$B$9="","",B22+C21),"")</f>
        <v>31630.036998697913</v>
      </c>
      <c r="D22" s="26">
        <f>IFERROR(IF('PyG 3 Años'!$B$9="","",C22+D21),"")</f>
        <v>38693.76988932291</v>
      </c>
      <c r="E22" s="26">
        <f>IFERROR(IF('PyG 3 Años'!$B$9="","",D22+E21),"")</f>
        <v>54579.11505859374</v>
      </c>
      <c r="F22" s="26">
        <f>IFERROR(IF('PyG 3 Años'!$B$9="","",E22+F21),"")</f>
        <v>69113.621875</v>
      </c>
      <c r="G22" s="26">
        <f>IFERROR(IF('PyG 3 Años'!$B$9="","",F22+G21),"")</f>
        <v>84403.60013671874</v>
      </c>
      <c r="H22" s="26">
        <f>IFERROR(IF('PyG 3 Años'!$B$9="","",G22+H21),"")</f>
        <v>91217.49576605902</v>
      </c>
      <c r="I22" s="26">
        <f>IFERROR(IF('PyG 3 Años'!$B$9="","",H22+I21),"")</f>
        <v>89753.76439887151</v>
      </c>
      <c r="J22" s="26">
        <f>IFERROR(IF('PyG 3 Años'!$B$9="","",I22+J21),"")</f>
        <v>83768.9213845486</v>
      </c>
      <c r="K22" s="26">
        <f>IFERROR(IF('PyG 3 Años'!$B$9="","",J22+K21),"")</f>
        <v>79351.62206380206</v>
      </c>
      <c r="L22" s="26">
        <f>IFERROR(IF('PyG 3 Años'!$B$9="","",K22+L21),"")</f>
        <v>71315.75655164928</v>
      </c>
      <c r="M22" s="26">
        <f>IFERROR(IF('PyG 3 Años'!$B$9="","",L22+M21),"")</f>
        <v>66345.34709635413</v>
      </c>
      <c r="N22" s="28" t="n"/>
      <c r="O22" s="28" t="n"/>
    </row>
    <row r="23">
      <c r="A23" s="28" t="inlineStr">
        <is>
          <t>Saldo mínimo del año</t>
        </is>
      </c>
      <c r="B23" s="32">
        <f>IFERROR(IF('PyG 3 Años'!$B$9="","",IF(COUNT(B22:M22)=0,"",MIN(B22:M22))),"")</f>
        <v>30175.386319444442</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1.0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30984.580099999996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36489.982908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35901.384316901116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41461.02209635417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158274.325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no mueven la caja; a 31 de diciembre quedan unos 17.750 € por compensar, que puedes pedir como devolución en el 303 de enero.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55000.0</v>
      </c>
      <c r="C6" s="28" t="n"/>
      <c r="D6" s="28" t="n"/>
      <c r="E6" s="28" t="n"/>
      <c r="F6" s="28" t="n"/>
      <c r="G6" s="28" t="n"/>
      <c r="H6" s="28" t="n"/>
    </row>
    <row r="7">
      <c r="A7" s="28" t="inlineStr">
        <is>
          <t>Préstamo bancario</t>
        </is>
      </c>
      <c r="B7" s="32">
        <f>IFERROR(IF('0. Supuestos'!$B$31="","",'0. Supuestos'!$B$31),"")</f>
        <v>129000.0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184000.0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183169.825</v>
      </c>
      <c r="C14" s="28" t="inlineStr">
        <is>
          <t>Inversión más el IVA que hay que adelantar</t>
        </is>
      </c>
      <c r="D14" s="28" t="n"/>
      <c r="E14" s="28" t="n"/>
      <c r="F14" s="28" t="n"/>
      <c r="G14" s="28" t="n"/>
      <c r="H14" s="28" t="n"/>
    </row>
    <row r="15">
      <c r="A15" s="25" t="inlineStr">
        <is>
          <t>Diferencia (origen - usos)</t>
        </is>
      </c>
      <c r="B15" s="26">
        <f>IFERROR(B12-B14,"")</f>
        <v>830.1749999999884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0.0045322694390300825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128169.82500000001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129000.0</v>
      </c>
      <c r="C20" s="28" t="n"/>
      <c r="D20" s="28" t="n"/>
      <c r="E20" s="28" t="n"/>
      <c r="F20" s="28" t="n"/>
      <c r="G20" s="28" t="n"/>
      <c r="H20" s="28" t="n"/>
    </row>
    <row r="21">
      <c r="A21" s="28" t="inlineStr">
        <is>
          <t>Tipo de interés nominal anual</t>
        </is>
      </c>
      <c r="B21" s="67">
        <f>IFERROR(IF('0. Supuestos'!$B$32="","",'0. Supuestos'!$B$32),"")</f>
        <v>0.06</v>
      </c>
      <c r="C21" s="28" t="n"/>
      <c r="D21" s="28" t="n"/>
      <c r="E21" s="28" t="n"/>
      <c r="F21" s="28" t="n"/>
      <c r="G21" s="28" t="n"/>
      <c r="H21" s="28" t="n"/>
    </row>
    <row r="22">
      <c r="A22" s="28" t="inlineStr">
        <is>
          <t>Plazo total (años)</t>
        </is>
      </c>
      <c r="B22" s="39">
        <f>IFERROR(IF('0. Supuestos'!$B$33="","",'0. Supuestos'!$B$33),"")</f>
        <v>7.0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26233.7790732615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129000.0</v>
      </c>
      <c r="C27" s="69">
        <f>IFERROR(IF(OR(1&gt;B22,B27=""),"",B27*B21),"")</f>
        <v>7740.0</v>
      </c>
      <c r="D27" s="69">
        <f>IFERROR(IF(OR(1&gt;B22,B27=""),"",IF(1&lt;=B23,0,MIN(B27,B24-C27))),"")</f>
        <v>0.0</v>
      </c>
      <c r="E27" s="69">
        <f>IFERROR(IF(C27="","",C27+D27),"")</f>
        <v>7740.0</v>
      </c>
      <c r="F27" s="69">
        <f>IFERROR(IF(D27="","",B27-D27),"")</f>
        <v>129000.0</v>
      </c>
      <c r="G27" s="69">
        <f>IFERROR(IF(E27="","",'PyG 3 Años'!$B$41-'PyG 3 Años'!$B$46+'PyG 3 Años'!$B$36+'PyG 3 Años'!$B$37),"")</f>
        <v>30984.580099999996</v>
      </c>
      <c r="H27" s="60">
        <f>IFERROR(IF(OR(E27="",E27=0),"",G27/E27),"")</f>
        <v>4.003175723514211</v>
      </c>
    </row>
    <row r="28">
      <c r="A28" s="39" t="n">
        <v>2</v>
      </c>
      <c r="B28" s="69">
        <f>IFERROR(IF(OR(2&gt;B22,F27=""),"",F27),"")</f>
        <v>129000.0</v>
      </c>
      <c r="C28" s="69">
        <f>IFERROR(IF(OR(2&gt;B22,B28=""),"",B28*B21),"")</f>
        <v>7740.0</v>
      </c>
      <c r="D28" s="69">
        <f>IFERROR(IF(OR(2&gt;B22,B28=""),"",IF(2&lt;=B23,0,MIN(B28,B24-C28))),"")</f>
        <v>18493.7790732615</v>
      </c>
      <c r="E28" s="69">
        <f>IFERROR(IF(C28="","",C28+D28),"")</f>
        <v>26233.7790732615</v>
      </c>
      <c r="F28" s="69">
        <f>IFERROR(IF(D28="","",B28-D28),"")</f>
        <v>110506.2209267385</v>
      </c>
      <c r="G28" s="69">
        <f>IFERROR(IF(E28="","",'PyG 3 Años'!$C$41-'PyG 3 Años'!$C$46+'PyG 3 Años'!$C$36+'PyG 3 Años'!$C$37),"")</f>
        <v>36489.982908</v>
      </c>
      <c r="H28" s="60">
        <f>IFERROR(IF(OR(E28="",E28=0),"",G28/E28),"")</f>
        <v>1.39095411324829</v>
      </c>
    </row>
    <row r="29">
      <c r="A29" s="39" t="n">
        <v>3</v>
      </c>
      <c r="B29" s="69">
        <f>IFERROR(IF(OR(3&gt;B22,F28=""),"",F28),"")</f>
        <v>110506.2209267385</v>
      </c>
      <c r="C29" s="69">
        <f>IFERROR(IF(OR(3&gt;B22,B29=""),"",B29*B21),"")</f>
        <v>6630.37325560431</v>
      </c>
      <c r="D29" s="69">
        <f>IFERROR(IF(OR(3&gt;B22,B29=""),"",IF(3&lt;=B23,0,MIN(B29,B24-C29))),"")</f>
        <v>19603.40581765719</v>
      </c>
      <c r="E29" s="69">
        <f>IFERROR(IF(C29="","",C29+D29),"")</f>
        <v>26233.7790732615</v>
      </c>
      <c r="F29" s="69">
        <f>IFERROR(IF(D29="","",B29-D29),"")</f>
        <v>90902.81510908132</v>
      </c>
      <c r="G29" s="69">
        <f>IFERROR(IF(E29="","",'PyG 3 Años'!$D$41-'PyG 3 Años'!$D$46+'PyG 3 Años'!$D$36+'PyG 3 Años'!$D$37),"")</f>
        <v>35901.384316901116</v>
      </c>
      <c r="H29" s="60">
        <f>IFERROR(IF(OR(E29="",E29=0),"",G29/E29),"")</f>
        <v>1.368517445261755</v>
      </c>
    </row>
    <row r="30">
      <c r="A30" s="39" t="n">
        <v>4</v>
      </c>
      <c r="B30" s="69">
        <f>IFERROR(IF(OR(4&gt;B22,F29=""),"",F29),"")</f>
        <v>90902.81510908132</v>
      </c>
      <c r="C30" s="69">
        <f>IFERROR(IF(OR(4&gt;B22,B30=""),"",B30*B21),"")</f>
        <v>5454.168906544879</v>
      </c>
      <c r="D30" s="69">
        <f>IFERROR(IF(OR(4&gt;B22,B30=""),"",IF(4&lt;=B23,0,MIN(B30,B24-C30))),"")</f>
        <v>20779.610166716622</v>
      </c>
      <c r="E30" s="69">
        <f>IFERROR(IF(C30="","",C30+D30),"")</f>
        <v>26233.779073261503</v>
      </c>
      <c r="F30" s="69">
        <f>IFERROR(IF(D30="","",B30-D30),"")</f>
        <v>70123.2049423647</v>
      </c>
      <c r="G30" s="69">
        <f>IFERROR(IF(E30="","",'PyG 3 Años'!$D$41-'PyG 3 Años'!$D$46+'PyG 3 Años'!$D$36+'PyG 3 Años'!$D$37),"")</f>
        <v>35901.384316901116</v>
      </c>
      <c r="H30" s="60">
        <f>IFERROR(IF(OR(E30="",E30=0),"",G30/E30),"")</f>
        <v>1.3685174452617548</v>
      </c>
    </row>
    <row r="31">
      <c r="A31" s="39" t="n">
        <v>5</v>
      </c>
      <c r="B31" s="69">
        <f>IFERROR(IF(OR(5&gt;B22,F30=""),"",F30),"")</f>
        <v>70123.2049423647</v>
      </c>
      <c r="C31" s="69">
        <f>IFERROR(IF(OR(5&gt;B22,B31=""),"",B31*B21),"")</f>
        <v>4207.3922965418815</v>
      </c>
      <c r="D31" s="69">
        <f>IFERROR(IF(OR(5&gt;B22,B31=""),"",IF(5&lt;=B23,0,MIN(B31,B24-C31))),"")</f>
        <v>22026.386776719617</v>
      </c>
      <c r="E31" s="69">
        <f>IFERROR(IF(C31="","",C31+D31),"")</f>
        <v>26233.7790732615</v>
      </c>
      <c r="F31" s="69">
        <f>IFERROR(IF(D31="","",B31-D31),"")</f>
        <v>48096.818165645076</v>
      </c>
      <c r="G31" s="69">
        <f>IFERROR(IF(E31="","",'PyG 3 Años'!$D$41-'PyG 3 Años'!$D$46+'PyG 3 Años'!$D$36+'PyG 3 Años'!$D$37),"")</f>
        <v>35901.384316901116</v>
      </c>
      <c r="H31" s="60">
        <f>IFERROR(IF(OR(E31="",E31=0),"",G31/E31),"")</f>
        <v>1.368517445261755</v>
      </c>
    </row>
    <row r="32">
      <c r="A32" s="39" t="n">
        <v>6</v>
      </c>
      <c r="B32" s="69">
        <f>IFERROR(IF(OR(6&gt;B22,F31=""),"",F31),"")</f>
        <v>48096.818165645076</v>
      </c>
      <c r="C32" s="69">
        <f>IFERROR(IF(OR(6&gt;B22,B32=""),"",B32*B21),"")</f>
        <v>2885.8090899387043</v>
      </c>
      <c r="D32" s="69">
        <f>IFERROR(IF(OR(6&gt;B22,B32=""),"",IF(6&lt;=B23,0,MIN(B32,B24-C32))),"")</f>
        <v>23347.969983322793</v>
      </c>
      <c r="E32" s="69">
        <f>IFERROR(IF(C32="","",C32+D32),"")</f>
        <v>26233.779073261496</v>
      </c>
      <c r="F32" s="69">
        <f>IFERROR(IF(D32="","",B32-D32),"")</f>
        <v>24748.848182322283</v>
      </c>
      <c r="G32" s="69">
        <f>IFERROR(IF(E32="","",'PyG 3 Años'!$D$41-'PyG 3 Años'!$D$46+'PyG 3 Años'!$D$36+'PyG 3 Años'!$D$37),"")</f>
        <v>35901.384316901116</v>
      </c>
      <c r="H32" s="60">
        <f>IFERROR(IF(OR(E32="",E32=0),"",G32/E32),"")</f>
        <v>1.3685174452617552</v>
      </c>
    </row>
    <row r="33">
      <c r="A33" s="39" t="n">
        <v>7</v>
      </c>
      <c r="B33" s="69">
        <f>IFERROR(IF(OR(7&gt;B22,F32=""),"",F32),"")</f>
        <v>24748.848182322283</v>
      </c>
      <c r="C33" s="69">
        <f>IFERROR(IF(OR(7&gt;B22,B33=""),"",B33*B21),"")</f>
        <v>1484.930890939337</v>
      </c>
      <c r="D33" s="69">
        <f>IFERROR(IF(OR(7&gt;B22,B33=""),"",IF(7&lt;=B23,0,MIN(B33,B24-C33))),"")</f>
        <v>24748.848182322163</v>
      </c>
      <c r="E33" s="69">
        <f>IFERROR(IF(C33="","",C33+D33),"")</f>
        <v>26233.7790732615</v>
      </c>
      <c r="F33" s="69">
        <f>IFERROR(IF(D33="","",B33-D33),"")</f>
        <v>1.2005330063402653e-10</v>
      </c>
      <c r="G33" s="69">
        <f>IFERROR(IF(E33="","",'PyG 3 Años'!$D$41-'PyG 3 Años'!$D$46+'PyG 3 Años'!$D$36+'PyG 3 Años'!$D$37),"")</f>
        <v>35901.384316901116</v>
      </c>
      <c r="H33" s="60">
        <f>IFERROR(IF(OR(E33="",E33=0),"",G33/E33),"")</f>
        <v>1.368517445261755</v>
      </c>
    </row>
    <row r="34">
      <c r="A34" s="39" t="n">
        <v>8</v>
      </c>
      <c r="B34" s="69">
        <f>IFERROR(IF(OR(8&gt;B22,F33=""),"",F33),"")</f>
        <v/>
      </c>
      <c r="C34" s="69">
        <f>IFERROR(IF(OR(8&gt;B22,B34=""),"",B34*B21),"")</f>
        <v/>
      </c>
      <c r="D34" s="69">
        <f>IFERROR(IF(OR(8&gt;B22,B34=""),"",IF(8&lt;=B23,0,MIN(B34,B24-C34))),"")</f>
        <v/>
      </c>
      <c r="E34" s="69">
        <f>IFERROR(IF(C34="","",C34+D34),"")</f>
        <v/>
      </c>
      <c r="F34" s="69">
        <f>IFERROR(IF(D34="","",B34-D34),"")</f>
        <v/>
      </c>
      <c r="G34" s="69">
        <f>IFERROR(IF(E34="","",'PyG 3 Años'!$D$41-'PyG 3 Años'!$D$46+'PyG 3 Años'!$D$36+'PyG 3 Años'!$D$37),"")</f>
        <v/>
      </c>
      <c r="H34" s="60">
        <f>IFERROR(IF(OR(E34="",E34=0),"",G34/E34),"")</f>
        <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7740.0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7740.0</v>
      </c>
      <c r="C46" s="28" t="n"/>
      <c r="D46" s="28" t="n"/>
      <c r="E46" s="28" t="n"/>
      <c r="F46" s="28" t="n"/>
      <c r="G46" s="28" t="n"/>
      <c r="H46" s="28" t="n"/>
    </row>
    <row r="47">
      <c r="A47" s="28" t="inlineStr">
        <is>
          <t>Devolución de principal del año 2</t>
        </is>
      </c>
      <c r="B47" s="32">
        <f>IFERROR(IF(B20="","",IF(D28="",0,D28)),"")</f>
        <v>18493.7790732615</v>
      </c>
      <c r="C47" s="28" t="n"/>
      <c r="D47" s="28" t="n"/>
      <c r="E47" s="28" t="n"/>
      <c r="F47" s="28" t="n"/>
      <c r="G47" s="28" t="n"/>
      <c r="H47" s="28" t="n"/>
    </row>
    <row r="48">
      <c r="A48" s="28" t="inlineStr">
        <is>
          <t>Intereses del año 3</t>
        </is>
      </c>
      <c r="B48" s="32">
        <f>IFERROR(IF(B20="","",IF(C29="",0,C29)),"")</f>
        <v>6630.37325560431</v>
      </c>
      <c r="C48" s="28" t="n"/>
      <c r="D48" s="28" t="n"/>
      <c r="E48" s="28" t="n"/>
      <c r="F48" s="28" t="n"/>
      <c r="G48" s="28" t="n"/>
      <c r="H48" s="28" t="n"/>
    </row>
    <row r="49">
      <c r="A49" s="28" t="inlineStr">
        <is>
          <t>Devolución de principal del año 3</t>
        </is>
      </c>
      <c r="B49" s="32">
        <f>IFERROR(IF(B20="","",IF(D29="",0,D29)),"")</f>
        <v>19603.40581765719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4.003175723514211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1.39095411324829</v>
      </c>
      <c r="C52" s="28" t="n"/>
      <c r="D52" s="28" t="n"/>
      <c r="E52" s="28" t="n"/>
      <c r="F52" s="28" t="n"/>
      <c r="G52" s="28" t="n"/>
      <c r="H52" s="28" t="n"/>
    </row>
    <row r="53">
      <c r="A53" s="28" t="inlineStr">
        <is>
          <t>DSCR del año 3</t>
        </is>
      </c>
      <c r="B53" s="60">
        <f>IFERROR(('PyG 3 Años'!$D$41-'PyG 3 Años'!$D$46+'PyG 3 Años'!$D$36+B48)/(B48+B49),"")</f>
        <v>1.368517445261755</v>
      </c>
      <c r="C53" s="28" t="n"/>
      <c r="D53" s="28" t="n"/>
      <c r="E53" s="28" t="n"/>
      <c r="F53" s="28" t="n"/>
      <c r="G53" s="28" t="n"/>
      <c r="H53" s="28" t="n"/>
    </row>
    <row r="54">
      <c r="A54" s="25" t="inlineStr">
        <is>
          <t>DSCR mínimo de todo el cuadro</t>
        </is>
      </c>
      <c r="B54" s="61">
        <f>IFERROR(IF(COUNT(H27:H41)=0,"",MIN(H27:H41)),"")</f>
        <v>1.3685174452617548</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Heladería Artesanal · v1.0</dc:title>
  <dc:description xmlns:dc="http://purl.org/dc/elements/1.1/">aichef.pro/plan-negocio-heladeria</dc:description>
  <dc:subject xmlns:dc="http://purl.org/dc/elements/1.1/">Plan financiero — Heladería Artesanal · v1.0</dc:subject>
  <dcterms:created xmlns:dcterms="http://purl.org/dc/terms/" xmlns:xsi="http://www.w3.org/2001/XMLSchema-instance" xsi:type="dcterms:W3CDTF">2026-03-26T15:52:23Z</dcterms:created>
  <dcterms:modified xmlns:dcterms="http://purl.org/dc/terms/" xmlns:xsi="http://www.w3.org/2001/XMLSchema-instance" xsi:type="dcterms:W3CDTF">2026-10-25T10:11:00Z</dcterms:modified>
  <cp:lastModifiedBy>AI Chef Pro</cp:lastModifiedBy>
  <cp:category>AI Chef Pro · Productos digitales</cp:category>
  <cp:keywords>plan de negocio heladería artesanal, AI Chef Pro</cp:keywords>
</cp:coreProperties>
</file>