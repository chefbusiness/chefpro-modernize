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0 €"/>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color theme="1"/>
      <sz val="11"/>
    </font>
    <font>
      <b val="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1" fillId="0" borderId="0" pivotButton="0" quotePrefix="0" xfId="0"/>
    <xf numFmtId="164" fontId="0" fillId="0" borderId="0" pivotButton="0" quotePrefix="0" xfId="0"/>
    <xf numFmtId="164" fontId="12" fillId="0" borderId="0" pivotButton="0" quotePrefix="0" xfId="0"/>
    <xf numFmtId="166"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1" fillId="4" borderId="0" applyProtection="1" pivotButton="0" quotePrefix="0" xfId="0">
      <protection locked="0" hidden="0"/>
    </xf>
    <xf numFmtId="167" fontId="9" fillId="0" borderId="3" pivotButton="0" quotePrefix="0" xfId="0"/>
    <xf numFmtId="167"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0" fillId="0" borderId="3" pivotButton="0" quotePrefix="0" xfId="0"/>
    <xf numFmtId="4" fontId="10" fillId="0" borderId="3" pivotButton="0" quotePrefix="0" xfId="0"/>
    <xf numFmtId="164" fontId="11" fillId="4" borderId="0" applyProtection="1" pivotButton="0" quotePrefix="0" xfId="0">
      <protection locked="0" hidden="0"/>
    </xf>
    <xf numFmtId="3" fontId="11" fillId="4" borderId="0" applyProtection="1" pivotButton="0" quotePrefix="0" xfId="0">
      <protection locked="0" hidden="0"/>
    </xf>
    <xf numFmtId="167" fontId="11"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2" fillId="0" borderId="0" pivotButton="0" quotePrefix="0" xfId="0"/>
    <xf numFmtId="165" fontId="9" fillId="0" borderId="3" pivotButton="0" quotePrefix="0" xfId="0"/>
    <xf numFmtId="166" fontId="11"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6" fontId="9" fillId="4" borderId="3" applyProtection="1" pivotButton="0" quotePrefix="0" xfId="0">
      <protection locked="0" hidden="0"/>
    </xf>
    <xf numFmtId="0" fontId="9" fillId="0" borderId="3" applyAlignment="1" pivotButton="0" quotePrefix="0" xfId="0">
      <alignment horizontal="left"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Pedidos/día (media del año 1)</t>
        </is>
      </c>
      <c r="B4" s="18" t="n">
        <v>77</v>
      </c>
      <c r="C4" t="inlineStr">
        <is>
          <t>Pedidos al día, media del año: 1 pedido es un pedido de mostrador o un encargo, uno de plataforma o un cliente sentado en la sala. A la semana, unos 278 para llevar, 45 de plataforma y 140 de sala en 6 días. El domingo llega a unos 150 (un tercio de los pollos de la semana) y un martes se queda en unos 40. Contrástalo con el paso de gente de tu calle un domingo a mediodía y un martes</t>
        </is>
      </c>
    </row>
    <row r="5">
      <c r="A5" t="inlineStr">
        <is>
          <t>Ticket medio SIN IVA (€)</t>
        </is>
      </c>
      <c r="B5" s="63" t="n">
        <v>15.8</v>
      </c>
      <c r="C5" t="inlineStr">
        <is>
          <t>SIN IVA, por pedido: el de mostrador (0,8 pollos, patatas, algún extra, pan, salsas y bebida) suma unos 17,70 € con IVA; el de plataforma, unos 20,50 € con su precio más alto; el cliente de sala (menú de cuarto de pollo o medio pollo a la brasa, algo para compartir, bebida y postre), unos 16,10 €. La media sin IVA sale en 15,80 €. El pollo entero del caso cuesta 12,90 € con IVA, dentro de los 11-14 € del asador de barrio (cartas leídas en 2026). El precio con IVA está en la fila «PVP equivalente con IVA» de abajo</t>
        </is>
      </c>
    </row>
    <row r="6">
      <c r="A6" t="inlineStr">
        <is>
          <t>Días de apertura al año</t>
        </is>
      </c>
      <c r="B6" s="18" t="n">
        <v>300</v>
      </c>
      <c r="C6" t="inlineStr">
        <is>
          <t>365 días menos los 52 lunes de cierre, 10 días de cierre en enero (mantenimiento del asador y vacaciones) y 3 días sueltos; los festivos abren como un domingo. Es el MISMO dato para la cuenta de resultados, el punto de equilibrio, los escenarios y las horas de personal</t>
        </is>
      </c>
    </row>
    <row r="7">
      <c r="A7" t="inlineStr">
        <is>
          <t>Crecimiento de volumen del año 2</t>
        </is>
      </c>
      <c r="B7" s="64" t="n">
        <v>0.06</v>
      </c>
      <c r="C7" t="inlineStr">
        <is>
          <t>Clientela que repite y encargos del domingo que se hacen costumbre el segundo año. Se aplica a los pedidos con el mismo ticket; el personal NO sube con este porcentaje: sale de la hoja Personal</t>
        </is>
      </c>
    </row>
    <row r="8">
      <c r="A8" t="inlineStr">
        <is>
          <t>Crecimiento de volumen del año 3</t>
        </is>
      </c>
      <c r="B8" s="64" t="n">
        <v>0.04</v>
      </c>
      <c r="C8" t="inlineStr">
        <is>
          <t>Sobre el año 2. Conservador: el techo lo pone el asador el domingo antes de las tres (60 pollos por carga con doce espadas) y el mostrador en la hora punta</t>
        </is>
      </c>
    </row>
    <row r="9">
      <c r="A9" t="inlineStr">
        <is>
          <t>PVP equivalente con IVA (calculado)</t>
        </is>
      </c>
      <c r="B9" s="65">
        <f>IFERROR(IF($B$5="","",$B$5*(1+SUMPRODUCT('PyG 3 Años'!$E$10:$E$11,'PyG 3 Años'!$G$10:$G$11))),"")</f>
        <v>17.433878</v>
      </c>
      <c r="C9" t="str">
        <f>IFERROR("Ticket sin IVA más el IVA medio ponderado de tus líneas de venta: "&amp;TEXT(SUMPRODUCT('PyG 3 Años'!$E$10:$E$11,'PyG 3 Años'!$G$10:$G$11)*100,"0")&amp;" %. En sala todo va al 10 % (art. 91.Uno.2.2.º de la Ley 37/1992, alcohol incluido); la bebida que sale para llevar o por plataforma (columna H de su línea en el P&amp;L) mueve la media. Aquí va redondeado. Compáralo con el rango del sector, que va con IVA.","")</f>
        <v>Ticket sin IVA más el IVA medio ponderado de tus líneas de venta: 10 %. En sala todo va al 10 % (art. 91.Uno.2.2.º de la Ley 37/1992, alcohol incluido); la bebida que sale para llevar o por plataforma (columna H de su línea en el P&amp;L) mueve la media. Aquí va redondeado. Compáralo con el rango del sector, que va con IVA.</v>
      </c>
    </row>
    <row r="10">
      <c r="A10" s="16" t="inlineStr">
        <is>
          <t>MIX Y COSTE DE MERCANCÍA</t>
        </is>
      </c>
    </row>
    <row r="11">
      <c r="A11" t="inlineStr">
        <is>
          <t>Ventas de COMIDA sobre el total</t>
        </is>
      </c>
      <c r="B11" s="64" t="n">
        <v>0.9</v>
      </c>
      <c r="C11" t="inlineStr">
        <is>
          <t>Peso de la COMIDA sobre el total de ventas. Es un INPUT: cámbialo aquí y el P&amp;L, la tesorería y el IVA repercutido se recalculan solos</t>
        </is>
      </c>
    </row>
    <row r="12">
      <c r="A12" t="inlineStr">
        <is>
          <t>Ventas de BEBIDA sobre el total</t>
        </is>
      </c>
      <c r="B12" s="66">
        <f>IFERROR(IF(COUNT(B11)=0,"",1-B11),"")</f>
        <v>0.09999999999999998</v>
      </c>
      <c r="C12" t="inlineStr">
        <is>
          <t>Se calcula como el resto: comida + bebida = 100 %</t>
        </is>
      </c>
    </row>
    <row r="13">
      <c r="A13" t="inlineStr">
        <is>
          <t>Coste de mercancía sobre las ventas de COMIDA</t>
        </is>
      </c>
      <c r="B13" s="64" t="n">
        <v>0.32</v>
      </c>
      <c r="C13" t="inlineStr">
        <is>
          <t>Materia prima de la comida sobre sus ventas: el pollo entero sale a un 38,8 % (el pollo es caro y se vende barato), el medio a un 35,8 %, las patatas a un 28 %, la ensaladilla a un 25 %, el menú de sala a un 26 % y las croquetas, hechas con el pollo del día anterior, a un 22 %: el pedido tipo para llevar queda en un 33 % y la sala en un 25 %. Un 31 % de media, más 1,5 puntos de merma (pollos que sobran y no llegan a croqueta, patata frita que se tira) y menos medio de redondeo. Cada 10 % que suba el pollo resta unos 6.700 € al resultado: el pollo es un precio estimado por el kit, pon el de tu proveedor y escandalla con la calculadora del pack</t>
        </is>
      </c>
    </row>
    <row r="14">
      <c r="A14" t="inlineStr">
        <is>
          <t>Coste de mercancía sobre las ventas de BEBIDA</t>
        </is>
      </c>
      <c r="B14" s="64" t="n">
        <v>0.3</v>
      </c>
      <c r="C14" t="inlineStr">
        <is>
          <t>Lata o botella para llevar a unos 2,00 € y la caña, el refresco y el vino en la sala: un 30 % de media de su precio de venta. Si la cervecera te cede la nevera o el equipo de tiraje, pide el precio por escrito</t>
        </is>
      </c>
    </row>
    <row r="15">
      <c r="A15" t="inlineStr">
        <is>
          <t>Consumibles sobre ventas</t>
        </is>
      </c>
      <c r="B15" s="64" t="n">
        <v>0.03</v>
      </c>
      <c r="C15" t="inlineStr">
        <is>
          <t>Bolsas térmicas de pollo, bandejas, envases de salsa, bolsas de asa, etiquetas, servilletas y guantes: unos 0,45 € por pedido (ningún proveedor publica tarifa: estimación del kit), y los envases para que el cliente de sala se lleve lo que no consuma (Ley 1/2025, art. 8). El envase de plástico de un solo uso se cobra aparte en el tique (Ley 7/2022, art. 55)</t>
        </is>
      </c>
    </row>
    <row r="16">
      <c r="A16" t="inlineStr">
        <is>
          <t>Ventas por delivery sobre el total</t>
        </is>
      </c>
      <c r="B16" s="64" t="n">
        <v>0.11</v>
      </c>
      <c r="C16" t="inlineStr">
        <is>
          <t>Ventas por PLATAFORMA con su reparto (Glovo, Just Eat, Uber Eats) sobre el total. Lo que se recoge en el mostrador o por encargo NO paga comisión y no va aquí. El pollo entero aguanta bien el viaje; las patatas fritas llegan blandas: no subas del 12-15 % sin probarlo</t>
        </is>
      </c>
    </row>
    <row r="17">
      <c r="A17" t="inlineStr">
        <is>
          <t>Comisión de la plataforma de delivery</t>
        </is>
      </c>
      <c r="B17" s="64" t="n">
        <v>0.3</v>
      </c>
      <c r="C17" t="inlineStr">
        <is>
          <t>Comisión de la plataforma con su reparto sobre lo que vende ese canal: el plan básico de Uber Eats ronda el 30 % más IVA, Glovo va del 15 al 35 % según la zona y Just Eat, del 13 al 35 %. Compruébala en tu contrato. Si repartes tú, pon 0 y suma el repartidor, con contrato laboral, a la hoja Personal</t>
        </is>
      </c>
    </row>
    <row r="18">
      <c r="A18" t="inlineStr">
        <is>
          <t>Comisión de los medios de pago</t>
        </is>
      </c>
      <c r="B18" s="64" t="n">
        <v>0.008</v>
      </c>
      <c r="C18" t="inlineStr">
        <is>
          <t>Tarjeta y bizum sobre el total facturado</t>
        </is>
      </c>
    </row>
    <row r="19">
      <c r="A19" s="16" t="inlineStr">
        <is>
          <t>PERSONAL</t>
        </is>
      </c>
    </row>
    <row r="20">
      <c r="A20" t="inlineStr">
        <is>
          <t>Seguridad Social a cargo de la empresa</t>
        </is>
      </c>
      <c r="B20" s="64"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LOCAL Y FIJOS</t>
        </is>
      </c>
    </row>
    <row r="24">
      <c r="A24" t="inlineStr">
        <is>
          <t>Alquiler mensual del local (€)</t>
        </is>
      </c>
      <c r="B24" s="23" t="n">
        <v>1200</v>
      </c>
      <c r="C24" t="inlineStr">
        <is>
          <t>Local de 80 m² con salida de humos a cubierta posible (es el filtro del local): obrador y zona de asado de 25 m² a la vista, mostrador con vitrina caliente, sala de 20 plazas (16 en mesa y 4 en barra), aseos (uno adaptado) y almacén, en un barrio residencial de una ciudad media, cómodo para parar el coche y recoger el encargo, sin traspaso: unos 15 € el m². El peso sobre las ventas lo calcula el propio libro en la fila «Alquiler / Ventas» del P&amp;L</t>
        </is>
      </c>
    </row>
    <row r="25">
      <c r="A25" t="inlineStr">
        <is>
          <t>Fianza del alquiler (meses)</t>
        </is>
      </c>
      <c r="B25" s="18" t="n">
        <v>2</v>
      </c>
      <c r="C25" t="inlineStr">
        <is>
          <t>Dos meses de renta, lo habitual en un contrato de local de negocio: compruébalo con tu abogado</t>
        </is>
      </c>
    </row>
    <row r="26">
      <c r="A26" t="inlineStr">
        <is>
          <t>Suministros mensuales de luz, agua y gas (€)</t>
        </is>
      </c>
      <c r="B26" s="23" t="n">
        <v>1000</v>
      </c>
      <c r="C26" t="inlineStr">
        <is>
          <t>El gas del asador de pollos (uno de ocho espadas declara 56 kW en su ficha), la luz de la freidora, el frío, la extracción y la climatización, y el agua. Estimación del kit: pide el histórico del local y mide el consumo del asador con la calculadora del pack</t>
        </is>
      </c>
    </row>
    <row r="27">
      <c r="A27" t="inlineStr">
        <is>
          <t>Seguros (€/año)</t>
        </is>
      </c>
      <c r="B27" s="23" t="n">
        <v>1400</v>
      </c>
      <c r="C27" t="inlineStr">
        <is>
          <t>Responsabilidad civil de al menos 300.000 € y multirriesgo con incendio y avería del frío. Dile a la aseguradora que trabajas con asador de pollos y freidora a gas: cambia la prima y las condiciones</t>
        </is>
      </c>
    </row>
    <row r="28">
      <c r="A28" t="inlineStr">
        <is>
          <t>Varios e imprevistos sobre ventas</t>
        </is>
      </c>
      <c r="B28" s="64" t="n">
        <v>0.02</v>
      </c>
      <c r="C28" t="inlineStr">
        <is>
          <t>Colchón de gasto corriente no presupuestado (pequeñas reparaciones, espadas o utillaje que se rompen, pruebas de carta)</t>
        </is>
      </c>
    </row>
    <row r="29">
      <c r="A29" s="16" t="inlineStr">
        <is>
          <t>FINANCIACIÓN</t>
        </is>
      </c>
    </row>
    <row r="30">
      <c r="A30" t="inlineStr">
        <is>
          <t>Recursos propios aportados (€)</t>
        </is>
      </c>
      <c r="B30" s="23" t="n">
        <v>50000</v>
      </c>
      <c r="C30" t="inlineStr">
        <is>
          <t>Aportación de los socios. Un banco pide entre el 25 y el 30 % de la necesidad de caja con dinero propio</t>
        </is>
      </c>
    </row>
    <row r="31">
      <c r="A31" t="inlineStr">
        <is>
          <t>Préstamo bancario solicitado (€)</t>
        </is>
      </c>
      <c r="B31" s="23" t="n">
        <v>112000</v>
      </c>
      <c r="C31" t="inlineStr">
        <is>
          <t>Principal solicitado. La hoja de Financiación compara lo que aportas con la necesidad de caja de la hoja de inversión y te dice si sobra o falta: ajústalo con ese dato</t>
        </is>
      </c>
    </row>
    <row r="32">
      <c r="A32" t="inlineStr">
        <is>
          <t>Tipo de interés nominal anual</t>
        </is>
      </c>
      <c r="B32" s="64" t="n">
        <v>0.06</v>
      </c>
      <c r="C32" t="inlineStr">
        <is>
          <t>Tipo nominal anual. Pide oferta a dos entidades y a una línea ICO antes de fijarlo; el asador, el frío y la freidora se pueden pagar con leasing o renting: compáralo</t>
        </is>
      </c>
    </row>
    <row r="33">
      <c r="A33" t="inlineStr">
        <is>
          <t>Plazo del préstamo (años)</t>
        </is>
      </c>
      <c r="B33" s="18" t="n">
        <v>7</v>
      </c>
      <c r="C33" t="inlineStr">
        <is>
          <t>Años totales, carencia incluida</t>
        </is>
      </c>
    </row>
    <row r="34">
      <c r="A34" t="inlineStr">
        <is>
          <t>Carencia de principal (años)</t>
        </is>
      </c>
      <c r="B34" s="18" t="n">
        <v>1</v>
      </c>
      <c r="C34" t="inlineStr">
        <is>
          <t>El primer año sólo intereses: obra, conducto de humos, gas y asador antes de facturar. Desde el segundo año se devuelve el principal: mira la holgura de caja de ese año en el Punto de Equilibrio</t>
        </is>
      </c>
    </row>
    <row r="35">
      <c r="A35" t="inlineStr">
        <is>
          <t>Fondo de maniobra (meses de costes fijos)</t>
        </is>
      </c>
      <c r="B35" s="18" t="n">
        <v>3</v>
      </c>
      <c r="C35" t="inlineStr">
        <is>
          <t>Tres meses de costes fijos: el colchón para la rampa del arranque, que con el Mes 1 en enero cae sobre los meses más flojos del año (enero y febrero)</t>
        </is>
      </c>
    </row>
    <row r="36">
      <c r="A36" s="16" t="inlineStr">
        <is>
          <t>FISCAL</t>
        </is>
      </c>
    </row>
    <row r="37">
      <c r="A37" t="inlineStr">
        <is>
          <t>Impuesto de Sociedades, nueva creación</t>
        </is>
      </c>
      <c r="B37" s="64"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64"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64" t="n">
        <v>0.1</v>
      </c>
      <c r="C39" t="inlineStr">
        <is>
          <t>Tipo reducido de hostelería</t>
        </is>
      </c>
    </row>
    <row r="40">
      <c r="A40" t="inlineStr">
        <is>
          <t>IVA repercutido/soportado general</t>
        </is>
      </c>
      <c r="B40" s="64" t="n">
        <v>0.21</v>
      </c>
      <c r="C40" t="inlineStr">
        <is>
          <t>Tipo general. En este libro lo usan dos cosas: el IVA que soportas al comprar el alcohol (el proveedor lo factura al 21 %) y el que repercutes por la bebida que sale para llevar o por plataforma (es una entrega de bienes). El alcohol servido en sala va al reducido, como fija la línea de bebida del P&amp;L. Suministros, equipamiento y servicios tienen su tipo en la celda de abajo. En las compras, el libro manda al general la parte de la bebida que declara la celda «Bebida que compras al 21 %» de esta hoja: la cerveza, el vino y los refrescos con azúcares o edulcorantes añadidos, cuya factura va al 21 % (art. 91.Uno.1.1.º de la Ley 37/1992)</t>
        </is>
      </c>
    </row>
    <row r="41">
      <c r="A41" t="inlineStr">
        <is>
          <t>IVA soportado en compras e inversión</t>
        </is>
      </c>
      <c r="B41" s="64"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obra e instalaciones (años)</t>
        </is>
      </c>
      <c r="B44" s="18" t="n">
        <v>10</v>
      </c>
      <c r="C44" t="inlineStr">
        <is>
          <t>Obra, conducto de extracción hasta cubierta, instalación eléctrica trifásica, fontanería, gas, climatización, rótulo y fachada. Coeficientes de la tabla del art. 12.1 de la Ley del Impuesto sobre Sociedades: confírmalo con tu asesor</t>
        </is>
      </c>
    </row>
    <row r="45">
      <c r="A45" t="inlineStr">
        <is>
          <t>Vida útil de maquinaria y mobiliario (años)</t>
        </is>
      </c>
      <c r="B45" s="18" t="n">
        <v>10</v>
      </c>
      <c r="C45" t="inlineStr">
        <is>
          <t>Asador de pollos, vitrina caliente, freidora, campana extractora, frío, lavavajillas, botellero, mobiliario y TPV: un 10 % anual, dentro del coeficiente máximo de la tabla del art. 12.1 de la Ley del Impuesto sobre Sociedades para la maquinaria (12 %) y para el mobiliario (10 %). Confírmalo con tu asesor</t>
        </is>
      </c>
    </row>
    <row r="46"/>
    <row r="47">
      <c r="A47" s="16" t="inlineStr">
        <is>
          <t>CRECIMIENTO Y ACTUALIZACIÓN DE COSTES</t>
        </is>
      </c>
    </row>
    <row r="48">
      <c r="A48" t="inlineStr">
        <is>
          <t>Subida anual de los costes fijos</t>
        </is>
      </c>
      <c r="B48" s="64" t="n">
        <v>0</v>
      </c>
      <c r="C48" t="inlineStr">
        <is>
          <t>A CERO: las tres columnas están en euros del año 1 (términos reales). Súbela si quieres proyectar en euros corrientes</t>
        </is>
      </c>
    </row>
    <row r="49">
      <c r="A49" s="16" t="inlineStr">
        <is>
          <t>ARRANQUE Y AFORO</t>
        </is>
      </c>
    </row>
    <row r="50"/>
    <row r="51">
      <c r="A51" t="inlineStr">
        <is>
          <t>Aforo de la sala (plazas sentadas)</t>
        </is>
      </c>
      <c r="B51" s="18" t="n">
        <v>20</v>
      </c>
      <c r="C51" t="inlineStr">
        <is>
          <t>Plazas de la sala: 16 en mesa y 4 en barra. Quien recoge un encargo o recibe el pedido en casa no ocupa mesa: la sala atiende unos 23 clientes al día de media, así que cada plaza se ocupa algo más de una vez al día. El cuello de botella de una pollería no son las mesas, es el asador el domingo</t>
        </is>
      </c>
    </row>
    <row r="52">
      <c r="A52" t="inlineStr">
        <is>
          <t>Actividad del mes 1 sobre la de crucero</t>
        </is>
      </c>
      <c r="B52" s="64" t="n">
        <v>0.75</v>
      </c>
      <c r="C52" t="inlineStr">
        <is>
          <t>Una pollería que abre trae curiosos el primer mes, pero los encargos del domingo tardan un trimestre en hacerse costumbre: el Mes 1 (enero) factura un 75 % de lo que facturará a los cuatro meses. Con 100 % se elimina la rampa</t>
        </is>
      </c>
    </row>
    <row r="53">
      <c r="A53" t="inlineStr">
        <is>
          <t>Meses hasta alcanzar el régimen de crucero</t>
        </is>
      </c>
      <c r="B53" s="18" t="n">
        <v>4</v>
      </c>
      <c r="C53" t="inlineStr">
        <is>
          <t>Cuatro meses hasta el ritmo de crucero: de enero a abril, para llegar al verano, el pico del año, con la clientela hecha</t>
        </is>
      </c>
    </row>
    <row r="54">
      <c r="A54" t="inlineStr">
        <is>
          <t>Meses de alquiler ANTES de abrir (obra y licencias)</t>
        </is>
      </c>
      <c r="B54" s="18" t="n">
        <v>2</v>
      </c>
      <c r="C54" t="inlineStr">
        <is>
          <t>Dos meses de renta antes de abrir: la obra, el conducto de humos, la instalación de gas y la licencia. Si el banco te da el préstamo al empezar la obra, súmale los intereses de esos meses, que este libro no cuenta, y ten en cuenta que la carencia corre desde la firma</t>
        </is>
      </c>
    </row>
    <row r="55">
      <c r="A55" t="inlineStr">
        <is>
          <t>Imprevistos sobre las partidas de OBRA del bloque de local (%)</t>
        </is>
      </c>
      <c r="B55" s="64" t="n">
        <v>0.1</v>
      </c>
      <c r="C55" t="inlineStr">
        <is>
          <t>Colchón sobre la obra y las instalaciones del local, que es donde aparecen las sorpresas (el conducto hasta cubierta, la potencia trifásica, la instalación de gas, el separador de grasas). Un banco no financia una reforma sin él</t>
        </is>
      </c>
    </row>
    <row r="56"/>
    <row r="57">
      <c r="A57" s="16" t="inlineStr">
        <is>
          <t>COBROS, PAGOS Y DESGLOSE DEL IVA</t>
        </is>
      </c>
    </row>
    <row r="58">
      <c r="A58" t="inlineStr">
        <is>
          <t>Días medios de cobro</t>
        </is>
      </c>
      <c r="B58" s="18" t="n">
        <v>2</v>
      </c>
      <c r="C58" t="inlineStr">
        <is>
          <t>Media ponderada: el mostrador, los encargos y la sala cobran al momento y la plataforma liquida cada 7-15 días lo que vende por ella (un 11 % de las ventas)</t>
        </is>
      </c>
    </row>
    <row r="59">
      <c r="A59" t="inlineStr">
        <is>
          <t>Días medios de pago a proveedor</t>
        </is>
      </c>
      <c r="B59" s="18" t="n">
        <v>30</v>
      </c>
      <c r="C59" t="inlineStr">
        <is>
          <t>Plazo de pago a los proveedores de pollo, patata, aceite y bebida: lo que te financian. Pídelo por escrito: es lo primero que se pierde si te retrasas en un pago</t>
        </is>
      </c>
    </row>
    <row r="60">
      <c r="A60" t="inlineStr">
        <is>
          <t>Mes de la paga extra de verano</t>
        </is>
      </c>
      <c r="B60" s="18" t="n">
        <v>7</v>
      </c>
      <c r="C60" t="inlineStr">
        <is>
          <t>Mes de la TESORERÍA en el que sale la paga extra de verano: julio es el Mes 7, porque el Mes 1 del plan es enero</t>
        </is>
      </c>
    </row>
    <row r="61">
      <c r="A61" t="inlineStr">
        <is>
          <t>Mes de la paga extra de Navidad</t>
        </is>
      </c>
      <c r="B61" s="18" t="n">
        <v>12</v>
      </c>
      <c r="C61" t="inlineStr">
        <is>
          <t>Mes de la TESORERÍA en el que sale la paga extra de Navidad: diciembre es el Mes 12, porque el Mes 1 del plan es enero</t>
        </is>
      </c>
    </row>
    <row r="62">
      <c r="A62" t="inlineStr">
        <is>
          <t>Bebida que compras al 21 % (cerveza, vino y refrescos con azúcares o edulcorantes añadidos) sobre el total de bebida</t>
        </is>
      </c>
      <c r="B62" s="64" t="n">
        <v>0.7</v>
      </c>
      <c r="C62" t="inlineStr">
        <is>
          <t>Sólo mueve el IVA que SOPORTAS al comprar la bebida: la cerveza, el vino y los refrescos con azúcares o edulcorantes añadidos te los facturan al 21 %; el agua y los refrescos sin azúcares ni edulcorantes añadidos, al 10 %. Con un 70 % sale un 17,7 %. El IVA que REPERCUTES lo fija la línea de bebida del P&amp;L (columna H)</t>
        </is>
      </c>
    </row>
    <row r="63">
      <c r="A63" t="inlineStr">
        <is>
          <t>IVA de la bebida ALCOHÓLICA servida en sala</t>
        </is>
      </c>
      <c r="B63" s="64" t="n">
        <v>0.1</v>
      </c>
      <c r="C63" t="inlineStr">
        <is>
          <t>SIN EFECTO en este libro: el IVA que repercute la bebida lo fija su línea del P&amp;L. En sala, todo al 10 % (art. 91.Uno.2.2.º de la Ley 37/1992); para llevar o por plataforma, la cerveza, el vino y los refrescos con azúcares o edulcorantes añadidos, al 21 %, en la columna H de esa línea</t>
        </is>
      </c>
    </row>
    <row r="64">
      <c r="A64" s="16" t="inlineStr">
        <is>
          <t>UMBRALES Y SUELOS DE CONTROL</t>
        </is>
      </c>
    </row>
    <row r="65">
      <c r="A65" t="inlineStr">
        <is>
          <t>DSCR mínimo aceptable</t>
        </is>
      </c>
      <c r="B65" s="25" t="n">
        <v>1</v>
      </c>
      <c r="C65" t="inlineStr">
        <is>
          <t>Por debajo de 1 el negocio no genera para pagar el préstamo. Ponlo en el covenant que te exija tu banco</t>
        </is>
      </c>
    </row>
    <row r="66">
      <c r="A66" t="inlineStr">
        <is>
          <t>DSCR objetivo (verde)</t>
        </is>
      </c>
      <c r="B66" s="25" t="n">
        <v>1.25</v>
      </c>
      <c r="C66" t="inlineStr">
        <is>
          <t>Lo que suele pedir una entidad para dar el préstamo sin garantías adicionales</t>
        </is>
      </c>
    </row>
    <row r="67">
      <c r="A67" t="inlineStr">
        <is>
          <t>Holgura mínima sobre el punto de equilibrio</t>
        </is>
      </c>
      <c r="B67" s="64" t="n">
        <v>0.15</v>
      </c>
      <c r="C67" t="inlineStr">
        <is>
          <t>Cuánto deben superar las ventas previstas a las del equilibrio de caja (costes fijos y cuota del préstamo). La caída que aguantas es algo menor: con un 15 % de holgura, un 13 % de lo previsto</t>
        </is>
      </c>
    </row>
    <row r="68">
      <c r="A68" t="inlineStr">
        <is>
          <t>Suelo salarial anual del convenio provincial (€)</t>
        </is>
      </c>
      <c r="B68" s="23" t="n">
        <v>0</v>
      </c>
      <c r="C68" t="inlineStr">
        <is>
          <t>Las pollerías y los asadores de pollos van al convenio PROVINCIAL de hostelería: el art. 4 del VI Acuerdo Laboral de ámbito Estatal para el sector de Hostelería no los nombra, pero incluye los restaurantes y el reparto de comidas preparadas. Copia aquí el salario base del grupo más bajo de la tabla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4 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6 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B54"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25 B35 B51"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ht="15" customHeight="1">
      <c r="A1" s="39" t="inlineStr">
        <is>
          <t>PLAN DE NEGOCIO: POLLERÍA Y ASADOR DE POLLOS</t>
        </is>
      </c>
    </row>
    <row r="2">
      <c r="A2" s="2" t="inlineStr">
        <is>
          <t>Inversión inicial estimada — pollería-asador de barrio con asador de gas, mostrador y 20 plazas</t>
        </is>
      </c>
    </row>
    <row r="3">
      <c r="A3" s="3" t="inlineStr">
        <is>
          <t>Ajusta las cifras a tu proyecto: son las de un caso tipo en una ciudad media, sin traspaso. Pon tus presupuestos reales en las celdas de importe.</t>
        </is>
      </c>
    </row>
    <row r="4"/>
    <row r="5">
      <c r="A5" s="26" t="inlineStr">
        <is>
          <t>Concepto</t>
        </is>
      </c>
      <c r="B5" s="26" t="inlineStr">
        <is>
          <t>Importe</t>
        </is>
      </c>
      <c r="C5" s="26" t="inlineStr">
        <is>
          <t>% s/inversión</t>
        </is>
      </c>
      <c r="D5" s="26" t="inlineStr">
        <is>
          <t>Notas</t>
        </is>
      </c>
      <c r="E5" s="26" t="inlineStr">
        <is>
          <t>¿Lleva IVA?</t>
        </is>
      </c>
    </row>
    <row r="6">
      <c r="A6" s="26" t="inlineStr">
        <is>
          <t>INVERSIÓN</t>
        </is>
      </c>
      <c r="B6" s="27">
        <f>IFERROR(IF(COUNT(B7:B27)=0,"",SUM(B7:B27)),"")</f>
        <v>97900.0</v>
      </c>
      <c r="C6" s="67">
        <f>IFERROR(B6/$B$30,"")</f>
        <v>0.6885845932678865</v>
      </c>
      <c r="D6" s="29" t="n"/>
      <c r="E6" s="29" t="n"/>
    </row>
    <row r="7">
      <c r="A7" s="29" t="inlineStr">
        <is>
          <t>Proyecto técnico de actividad y de salida de humos, y dirección de obra</t>
        </is>
      </c>
      <c r="B7" s="30" t="n">
        <v>3500</v>
      </c>
      <c r="C7" s="68">
        <f>IFERROR(B7/$B$30,"")</f>
        <v>0.024617426725613917</v>
      </c>
      <c r="D7" s="29" t="inlineStr">
        <is>
          <t>Proyecto de la actividad, del conducto de humos y de la instalación de gas, memoria para la licencia o la declaración responsable y certificado final de obra</t>
        </is>
      </c>
      <c r="E7" s="32" t="inlineStr">
        <is>
          <t>Sí</t>
        </is>
      </c>
    </row>
    <row r="8">
      <c r="A8" s="29" t="inlineStr">
        <is>
          <t>Obra y acondicionamiento del local, rótulo y fachada</t>
        </is>
      </c>
      <c r="B8" s="30" t="n">
        <v>24000</v>
      </c>
      <c r="C8" s="68">
        <f>IFERROR(B8/$B$30,"")</f>
        <v>0.16880521183278116</v>
      </c>
      <c r="D8" s="29" t="inlineStr">
        <is>
          <t>Obrador alicatado, suelo antideslizante (también en los 2 m alrededor del asador), aseos (uno adaptado), mostrador de obra, falsos techos y aislamiento acústico, más el rótulo y la fachada. Estimación del kit: pide dos presupuestos</t>
        </is>
      </c>
      <c r="E8" s="32" t="inlineStr">
        <is>
          <t>Sí</t>
        </is>
      </c>
    </row>
    <row r="9">
      <c r="A9" s="29" t="inlineStr">
        <is>
          <t>Conducto de extracción exclusivo hasta cubierta</t>
        </is>
      </c>
      <c r="B9" s="30" t="n">
        <v>6000</v>
      </c>
      <c r="C9" s="68">
        <f>IFERROR(B9/$B$30,"")</f>
        <v>0.04220130295819529</v>
      </c>
      <c r="D9" s="29" t="inlineStr">
        <is>
          <t>Conducto exclusivo hasta la cubierta para el asador, la freidora y el fogón: Madrid pide superar en 1 m lo que haya en 15 m (Ordenanza 4/2021). Con brasa de leña o carbón, además, filtro de partículas. Ningún fabricante da precio por metro: pide oferta con tu proyecto</t>
        </is>
      </c>
      <c r="E9" s="32" t="inlineStr">
        <is>
          <t>Sí</t>
        </is>
      </c>
    </row>
    <row r="10">
      <c r="A10" s="29" t="inlineStr">
        <is>
          <t>Instalación eléctrica trifásica, cuadro y boletín</t>
        </is>
      </c>
      <c r="B10" s="30" t="n">
        <v>4500</v>
      </c>
      <c r="C10" s="68">
        <f>IFERROR(B10/$B$30,"")</f>
        <v>0.031650977218646466</v>
      </c>
      <c r="D10" s="29" t="inlineStr">
        <is>
          <t>Freidora, frío, extracción, climatización, lavavajillas y el motor del asador. Pregunta la potencia disponible ANTES de firmar: con un asador eléctrico hace falta trifásica, y ampliar la potencia tarda de 4 a 8 semanas</t>
        </is>
      </c>
      <c r="E10" s="32" t="inlineStr">
        <is>
          <t>Sí</t>
        </is>
      </c>
    </row>
    <row r="11">
      <c r="A11" s="29" t="inlineStr">
        <is>
          <t>Fontanería, separador de grasas, climatización e instalación de gas</t>
        </is>
      </c>
      <c r="B11" s="30" t="n">
        <v>8000</v>
      </c>
      <c r="C11" s="68">
        <f>IFERROR(B11/$B$30,"")</f>
        <v>0.05626840394426039</v>
      </c>
      <c r="D11" s="29" t="inlineStr">
        <is>
          <t>Agua fría y caliente en el obrador, desagües con separador de grasas, climatización de la sala y la instalación de gas del asador, la freidora y el fogón por empresa instaladora habilitada, con su certificado (RD 919/2006)</t>
        </is>
      </c>
      <c r="E11" s="32" t="inlineStr">
        <is>
          <t>Sí</t>
        </is>
      </c>
    </row>
    <row r="12">
      <c r="A12" s="29" t="inlineStr">
        <is>
          <t>Asador de pollos de gas de doce espadas y juego de espadas</t>
        </is>
      </c>
      <c r="B12" s="30" t="n">
        <v>5000</v>
      </c>
      <c r="C12" s="68">
        <f>IFERROR(B12/$B$30,"")</f>
        <v>0.03516775246516274</v>
      </c>
      <c r="D12" s="29" t="inlineStr">
        <is>
          <t>Asador vertical de gas de doce espadas, de 4 a 6 pollos por espada (60 por carga con 5). En el catálogo de un distribuidor de hostelería, de 4.373 a 5.967 € sin IVA, con las espadas aparte (2026). Con ocho espadas, de 2.493 a 4.126 €: mira la hoja del asador de la calculadora antes de elegir</t>
        </is>
      </c>
      <c r="E12" s="32" t="inlineStr">
        <is>
          <t>Sí</t>
        </is>
      </c>
    </row>
    <row r="13">
      <c r="A13" s="29" t="inlineStr">
        <is>
          <t>Vitrina caliente de mostrador y mantenedor de patatas</t>
        </is>
      </c>
      <c r="B13" s="30" t="n">
        <v>2000</v>
      </c>
      <c r="C13" s="68">
        <f>IFERROR(B13/$B$30,"")</f>
        <v>0.014067100986065097</v>
      </c>
      <c r="D13" s="29" t="inlineStr">
        <is>
          <t>Vitrina expositora caliente que mantenga el pollo a 63 °C o más (las genéricas de 85-146 l rondan los 850-1.250 €) y un mantenedor de patatas fritas</t>
        </is>
      </c>
      <c r="E13" s="32" t="inlineStr">
        <is>
          <t>Sí</t>
        </is>
      </c>
    </row>
    <row r="14">
      <c r="A14" s="29" t="inlineStr">
        <is>
          <t>Freidora doble y fogón</t>
        </is>
      </c>
      <c r="B14" s="30" t="n">
        <v>3000</v>
      </c>
      <c r="C14" s="68">
        <f>IFERROR(B14/$B$30,"")</f>
        <v>0.021100651479097645</v>
      </c>
      <c r="D14" s="29" t="inlineStr">
        <is>
          <t>Freidora de 2 × 10 l para las patatas y las croquetas (unos 1.900 € sin IVA la eléctrica de 15 kW) y un fogón para las guarniciones y las salsas. Estimación del kit</t>
        </is>
      </c>
      <c r="E14" s="32" t="inlineStr">
        <is>
          <t>Sí</t>
        </is>
      </c>
    </row>
    <row r="15">
      <c r="A15" s="29" t="inlineStr">
        <is>
          <t>Campana extractora con motor y filtros</t>
        </is>
      </c>
      <c r="B15" s="30" t="n">
        <v>2000</v>
      </c>
      <c r="C15" s="68">
        <f>IFERROR(B15/$B$30,"")</f>
        <v>0.014067100986065097</v>
      </c>
      <c r="D15" s="29" t="inlineStr">
        <is>
          <t>Campana extractora de unos 3 m con motor y filtros de grasa sobre el asador, la freidora y el fogón, con un caudal de 1.800-2.200 m³/h para doce espadas. Sin precio de referencia para 3 m: estimación del kit</t>
        </is>
      </c>
      <c r="E15" s="32" t="inlineStr">
        <is>
          <t>Sí</t>
        </is>
      </c>
    </row>
    <row r="16">
      <c r="A16" s="29" t="inlineStr">
        <is>
          <t>Frío: armarios de pollo crudo y adobado, congelador y vitrina refrigerada</t>
        </is>
      </c>
      <c r="B16" s="30" t="n">
        <v>5500</v>
      </c>
      <c r="C16" s="68">
        <f>IFERROR(B16/$B$30,"")</f>
        <v>0.03868452771167901</v>
      </c>
      <c r="D16" s="29" t="inlineStr">
        <is>
          <t>Armarios para el pollo crudo y el adobado a 4 °C o menos (las mollejas, a 3 °C o menos), congelador y la vitrina refrigerada de las guarniciones del mostrador</t>
        </is>
      </c>
      <c r="E16" s="32" t="inlineStr">
        <is>
          <t>Sí</t>
        </is>
      </c>
    </row>
    <row r="17">
      <c r="A17" s="29" t="inlineStr">
        <is>
          <t>Lavavajillas de capota, fregaderos, lavamanos y mesas inox de espetar</t>
        </is>
      </c>
      <c r="B17" s="30" t="n">
        <v>5500</v>
      </c>
      <c r="C17" s="68">
        <f>IFERROR(B17/$B$30,"")</f>
        <v>0.03868452771167901</v>
      </c>
      <c r="D17" s="29" t="inlineStr">
        <is>
          <t>Lavavajillas de capota (las espadas caben), fregaderos, lavamanos de accionamiento no manual y una mesa de acero inoxidable para espetar el pollo crudo, SEPARADA de la de servir</t>
        </is>
      </c>
      <c r="E17" s="32" t="inlineStr">
        <is>
          <t>Sí</t>
        </is>
      </c>
    </row>
    <row r="18">
      <c r="A18" s="29" t="inlineStr">
        <is>
          <t>Utillaje: sondas, básculas, GN, tijeras de trinchar, etiquetadora y vajilla</t>
        </is>
      </c>
      <c r="B18" s="30" t="n">
        <v>2500</v>
      </c>
      <c r="C18" s="68">
        <f>IFERROR(B18/$B$30,"")</f>
        <v>0.01758387623258137</v>
      </c>
      <c r="D18" s="29" t="inlineStr">
        <is>
          <t>Termómetros sonda, básculas, recipientes GN, tijeras de trinchar, vajilla de la sala y una etiquetadora para lo que envases antes de que el cliente lo pida (RD 126/2015, art. 5)</t>
        </is>
      </c>
      <c r="E18" s="32" t="inlineStr">
        <is>
          <t>Sí</t>
        </is>
      </c>
    </row>
    <row r="19">
      <c r="A19" s="29" t="inlineStr">
        <is>
          <t>Botellero y nevera de bebida para llevar</t>
        </is>
      </c>
      <c r="B19" s="30" t="n">
        <v>1500</v>
      </c>
      <c r="C19" s="68">
        <f>IFERROR(B19/$B$30,"")</f>
        <v>0.010550325739548823</v>
      </c>
      <c r="D19" s="29" t="inlineStr">
        <is>
          <t>Botellero de la barra y nevera de bebida a la vista del mostrador. Si la cervecera cede la nevera, esta partida baja</t>
        </is>
      </c>
      <c r="E19" s="32" t="inlineStr">
        <is>
          <t>Sí</t>
        </is>
      </c>
    </row>
    <row r="20">
      <c r="A20" s="29" t="inlineStr">
        <is>
          <t>Mobiliario de sala</t>
        </is>
      </c>
      <c r="B20" s="30" t="n">
        <v>4000</v>
      </c>
      <c r="C20" s="68">
        <f>IFERROR(B20/$B$30,"")</f>
        <v>0.028134201972130193</v>
      </c>
      <c r="D20" s="29" t="inlineStr">
        <is>
          <t>Mesas, sillas y taburetes para 16 plazas en mesa y 4 en barra</t>
        </is>
      </c>
      <c r="E20" s="32" t="inlineStr">
        <is>
          <t>Sí</t>
        </is>
      </c>
    </row>
    <row r="21">
      <c r="A21" s="29" t="inlineStr">
        <is>
          <t>TPV con Veri*factu, datáfono, impresora y tablet de plataformas</t>
        </is>
      </c>
      <c r="B21" s="30" t="n">
        <v>2000</v>
      </c>
      <c r="C21" s="68">
        <f>IFERROR(B21/$B$30,"")</f>
        <v>0.014067100986065097</v>
      </c>
      <c r="D21" s="29" t="inlineStr">
        <is>
          <t>Software de facturación conforme a Veri*factu, datáfono, impresora de tiques y la tablet de las plataformas</t>
        </is>
      </c>
      <c r="E21" s="32" t="inlineStr">
        <is>
          <t>Sí</t>
        </is>
      </c>
    </row>
    <row r="22">
      <c r="A22" s="29" t="inlineStr">
        <is>
          <t>Constitución de la SL, licencia, tasas, registro sanitario y APPCC</t>
        </is>
      </c>
      <c r="B22" s="30" t="n">
        <v>3000</v>
      </c>
      <c r="C22" s="68">
        <f>IFERROR(B22/$B$30,"")</f>
        <v>0.021100651479097645</v>
      </c>
      <c r="D22" s="29" t="inlineStr">
        <is>
          <t>SL unipersonal, licencia o declaración responsable, tasas municipales, registro sanitario autonómico y redacción del plan APPCC. Las tasas no llevan IVA; los honorarios sí: cambia la columna de al lado si tu presupuesto es sobre todo de honorarios</t>
        </is>
      </c>
      <c r="E22" s="32" t="inlineStr">
        <is>
          <t>No</t>
        </is>
      </c>
    </row>
    <row r="23">
      <c r="A23" s="29" t="inlineStr">
        <is>
          <t>Marca, web, fotos y lanzamiento</t>
        </is>
      </c>
      <c r="B23" s="30" t="n">
        <v>4000</v>
      </c>
      <c r="C23" s="68">
        <f>IFERROR(B23/$B$30,"")</f>
        <v>0.028134201972130193</v>
      </c>
      <c r="D23" s="29" t="inlineStr">
        <is>
          <t>Identidad, web con la carta, sesión de fotos, ficha de Google Business, tarjetas de encargo y campaña de apertura</t>
        </is>
      </c>
      <c r="E23" s="32" t="inlineStr">
        <is>
          <t>Sí</t>
        </is>
      </c>
    </row>
    <row r="24">
      <c r="A24" s="29" t="inlineStr">
        <is>
          <t>Stock inicial: pollo, patata, aceite, envases y bebida</t>
        </is>
      </c>
      <c r="B24" s="30" t="n">
        <v>2500</v>
      </c>
      <c r="C24" s="68">
        <f>IFERROR(B24/$B$30,"")</f>
        <v>0.01758387623258137</v>
      </c>
      <c r="D24" s="29" t="inlineStr">
        <is>
          <t>Pollo, patata, aceite de girasol, especias de los adobos, bolsas térmicas y envases para llevar, y la bebida</t>
        </is>
      </c>
      <c r="E24" s="32" t="inlineStr">
        <is>
          <t>Sí</t>
        </is>
      </c>
    </row>
    <row r="25">
      <c r="A25" s="29" t="inlineStr">
        <is>
          <t>Fianza del alquiler</t>
        </is>
      </c>
      <c r="B25" s="33">
        <f>IFERROR(IF('0. Supuestos'!$B$24="","",'0. Supuestos'!$B$24*'0. Supuestos'!$B$25),"")</f>
        <v>2400.0</v>
      </c>
      <c r="C25" s="68">
        <f>IFERROR(B25/$B$30,"")</f>
        <v>0.016880521183278114</v>
      </c>
      <c r="D25" s="29" t="str">
        <f>IFERROR(""&amp;TEXT('0. Supuestos'!$B$25,"0")&amp;" meses de renta, al tipo de la hoja de Supuestos. Es un activo recuperable al cerrar: ni se amortiza ni lleva IVA","")</f>
        <v>2 meses de renta, al tipo de la hoja de Supuestos. Es un activo recuperable al cerrar: ni se amortiza ni lleva IVA</v>
      </c>
      <c r="E25" s="29" t="inlineStr">
        <is>
          <t>No</t>
        </is>
      </c>
    </row>
    <row r="26">
      <c r="A26" s="29" t="inlineStr">
        <is>
          <t>Alquiler de los meses previos a la apertura</t>
        </is>
      </c>
      <c r="B26" s="33">
        <f>IFERROR(IF('0. Supuestos'!$B$24="","",'0. Supuestos'!$B$24*'0. Supuestos'!$B$54),"")</f>
        <v>2400.0</v>
      </c>
      <c r="C26" s="68">
        <f>IFERROR(B26/$B$30,"")</f>
        <v>0.016880521183278114</v>
      </c>
      <c r="D26" s="29" t="str">
        <f>IFERROR("Renta "&amp;IF('0. Supuestos'!$B$54=1,"del mes","de los "&amp;TEXT('0. Supuestos'!$B$54,"0")&amp;" meses")&amp;" de obra y licencias. NO se solapa con el P&amp;L, que arranca el día de la apertura: los doce meses del P&amp;L son los doce de explotación","")</f>
        <v>Renta de los 2 meses de obra y licencias. NO se solapa con el P&amp;L, que arranca el día de la apertura: los doce meses del P&amp;L son los doce de explotación</v>
      </c>
      <c r="E26" s="29" t="inlineStr">
        <is>
          <t>Sí</t>
        </is>
      </c>
    </row>
    <row r="27">
      <c r="A27" s="29" t="inlineStr">
        <is>
          <t>Imprevistos de obra y acondicionamiento</t>
        </is>
      </c>
      <c r="B27" s="33">
        <f>IFERROR(IF(COUNT(B7,B8,B9,B10,B11)=0,"",ROUND((B7+B8+B9+B10+B11)*'0. Supuestos'!$B$55,0)),"")</f>
        <v>4600.0</v>
      </c>
      <c r="C27" s="68">
        <f>IFERROR(B27/$B$30,"")</f>
        <v>0.03235433226794972</v>
      </c>
      <c r="D27" s="29" t="str">
        <f>IFERROR("Al "&amp;TEXT('0. Supuestos'!$B$55,"0%")&amp;" de las partidas de OBRA Y ACONDICIONAMIENTO de este bloque (Proyecto técnico de actividad y de salida de humos, y dirección de obra, Obra y acondicionamiento del local, rótulo y fachada, Conducto de extracción exclusivo hasta cubierta, "&amp;"Instalación eléctrica trifásica, cuadro y boletín y Fontanería, separador de grasas, climatización e instalación de gas), no del bloque entero: el resto de partidas del bloque quedan fuera. Un banco no financia una reforma sin colchón: el "&amp;"porcentaje está en la hoja de Supuestos","")</f>
        <v>Al 10% de las partidas de OBRA Y ACONDICIONAMIENTO de este bloque (Proyecto técnico de actividad y de salida de humos, y dirección de obra, Obra y acondicionamiento del local, rótulo y fachada, Conducto de extracción exclusivo hasta cubierta, Instalación eléctrica trifásica, cuadro y boletín y Fontanería, separador de grasas, climatización e instalación de gas), no del bloque entero: el resto de partidas del bloque quedan fuera. Un banco no financia una reforma sin colchón: el porcentaje está en la hoja de Supuestos</v>
      </c>
      <c r="E27" s="29" t="inlineStr">
        <is>
          <t>Sí</t>
        </is>
      </c>
    </row>
    <row r="28">
      <c r="A28" s="26" t="inlineStr">
        <is>
          <t>FONDO DE MANIOBRA</t>
        </is>
      </c>
      <c r="B28" s="27">
        <f>IFERROR(IF(B29="","",B29),"")</f>
        <v>44275.704999999994</v>
      </c>
      <c r="C28" s="67">
        <f>IFERROR(B28/$B$30,"")</f>
        <v>0.3114154067321136</v>
      </c>
      <c r="D28" s="29" t="n"/>
      <c r="E28" s="29" t="n"/>
    </row>
    <row r="29">
      <c r="A29" s="29" t="inlineStr">
        <is>
          <t>Colchón operativo hasta alcanzar el equilibrio</t>
        </is>
      </c>
      <c r="B29" s="33">
        <f>IFERROR(IF('0. Supuestos'!$B$35*('PyG 3 Años'!$B$37-'PyG 3 Años'!$B$35)=0,"",'0. Supuestos'!$B$35*('PyG 3 Años'!$B$37-'PyG 3 Años'!$B$35)/12),"")</f>
        <v>44275.704999999994</v>
      </c>
      <c r="C29" s="68">
        <f>IFERROR(B29/$B$30,"")</f>
        <v>0.3114154067321136</v>
      </c>
      <c r="D29" s="29"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29" s="29" t="inlineStr">
        <is>
          <t>No</t>
        </is>
      </c>
    </row>
    <row r="30">
      <c r="A30" s="26" t="inlineStr">
        <is>
          <t>INVERSIÓN TOTAL (suma de los bloques)</t>
        </is>
      </c>
      <c r="B30" s="27">
        <f>IFERROR(B6+B28,"")</f>
        <v>142175.705</v>
      </c>
      <c r="C30" s="29" t="n"/>
      <c r="D30" s="26" t="str">
        <f>IFERROR("Los porcentajes de la columna C se leen sobre esta cifra, que incluye el fondo de maniobra ("&amp;TEXT(C28,"0%")&amp;" del total). Para comparar el desglose con otro plan, usa la fila de CAPEX de abajo.","")</f>
        <v>Los porcentajes de la columna C se leen sobre esta cifra, que incluye el fondo de maniobra (31% del total). Para comparar el desglose con otro plan, usa la fila de CAPEX de abajo.</v>
      </c>
      <c r="E30" s="29" t="n"/>
    </row>
    <row r="31">
      <c r="A31" s="26" t="inlineStr">
        <is>
          <t>CAPEX (inversión sin el fondo de maniobra)</t>
        </is>
      </c>
      <c r="B31" s="27">
        <f>IFERROR(B30-B28,"")</f>
        <v>97900.0</v>
      </c>
      <c r="C31" s="29" t="n"/>
      <c r="D31" s="26" t="inlineStr">
        <is>
          <t>Es lo que se compra: obra, equipamiento, lanzamiento y gastos de constitución. El colchón de caja no es inversión, es circulante</t>
        </is>
      </c>
      <c r="E31" s="29" t="n"/>
    </row>
    <row r="32">
      <c r="A32" s="29" t="inlineStr">
        <is>
          <t>IVA soportado sobre la inversión (recuperable)</t>
        </is>
      </c>
      <c r="B32" s="33">
        <f>IFERROR(IF(B30="","",SUMIF($E$7:$E$27,"Sí",$B$7:$B$27)*'0. Supuestos'!$B$41),"")</f>
        <v>19425.0</v>
      </c>
      <c r="C32" s="29" t="n"/>
      <c r="D32" s="29"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32" s="29" t="n"/>
    </row>
    <row r="33">
      <c r="A33" s="26" t="inlineStr">
        <is>
          <t>NECESIDAD TOTAL DE CAJA AL ARRANQUE</t>
        </is>
      </c>
      <c r="B33" s="27">
        <f>IFERROR(B30+B32,"")</f>
        <v>161600.705</v>
      </c>
      <c r="C33" s="29" t="n"/>
      <c r="D33" s="26" t="inlineStr">
        <is>
          <t>Es la cifra que tiene que cubrir la hoja de Financiación</t>
        </is>
      </c>
      <c r="E33" s="29" t="n"/>
    </row>
    <row r="34">
      <c r="A34" s="26" t="inlineStr">
        <is>
          <t>BASES DE AMORTIZACIÓN (no suman a la inversión)</t>
        </is>
      </c>
      <c r="B34" s="29" t="n"/>
      <c r="C34" s="29" t="n"/>
      <c r="D34" s="29" t="n"/>
      <c r="E34" s="29" t="n"/>
    </row>
    <row r="35">
      <c r="A35" s="29" t="inlineStr">
        <is>
          <t>Obra, instalaciones y acondicionamiento</t>
        </is>
      </c>
      <c r="B35" s="33">
        <f>IFERROR(IF(B7="","",B7+B8+B9+B10+B11+B27),"")</f>
        <v>50600.0</v>
      </c>
      <c r="C35" s="29" t="n"/>
      <c r="D35" s="29" t="str">
        <f>IFERROR("Se amortiza en "&amp;TEXT('0. Supuestos'!$B$44,"0")&amp;" años","")</f>
        <v>Se amortiza en 10 años</v>
      </c>
      <c r="E35" s="29" t="n"/>
    </row>
    <row r="36">
      <c r="A36" s="29" t="inlineStr">
        <is>
          <t>Maquinaria, mobiliario y equipos</t>
        </is>
      </c>
      <c r="B36" s="33">
        <f>IFERROR(IF(B12="","",B12+B13+B14+B15+B16+B17+B18+B19+B20+B21),"")</f>
        <v>33000.0</v>
      </c>
      <c r="C36" s="29" t="n"/>
      <c r="D36" s="29" t="str">
        <f>IFERROR("Se amortiza en "&amp;TEXT('0. Supuestos'!$B$45,"0")&amp;" años","")</f>
        <v>Se amortiza en 10 años</v>
      </c>
      <c r="E36" s="29" t="n"/>
    </row>
    <row r="37">
      <c r="A37" s="26" t="inlineStr">
        <is>
          <t>Amortización anual del inmovilizado</t>
        </is>
      </c>
      <c r="B37" s="27">
        <f>IFERROR(B35/MAX(1,'0. Supuestos'!$B$44)+B36/MAX(1,'0. Supuestos'!$B$45),"")</f>
        <v>8360.0</v>
      </c>
      <c r="C37" s="29" t="n"/>
      <c r="D37" s="26" t="str">
        <f>IFERROR("No se amortizan, por no ser inmovilizado, Constitución de la SL, licencia, tasas, registro sanitario y APPCC, Marca, web, fotos y lanzamiento, Stock inicial: pollo, patata, aceite, envases y bebida, Fianza del alquiler, Alquiler de los "&amp;"meses previos a la apertura ni Colchón operativo hasta alcanzar el equilibrio. Suman "&amp;TEXT(B30-B35-B36,"0")&amp;" € de los "&amp;TEXT(B30,"0")&amp;" € de inversión.","")</f>
        <v>No se amortizan, por no ser inmovilizado, Constitución de la SL, licencia, tasas, registro sanitario y APPCC, Marca, web, fotos y lanzamiento, Stock inicial: pollo, patata, aceite, envases y bebida, Fianza del alquiler, Alquiler de los meses previos a la apertura ni Colchón operativo hasta alcanzar el equilibrio. Suman 58576 € de los 142176 € de inversión.</v>
      </c>
      <c r="E37"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3">
    <cfRule type="expression" priority="1" dxfId="0" stopIfTrue="1">
      <formula>AND(ISNUMBER(B33),B33&gt;0)</formula>
    </cfRule>
  </conditionalFormatting>
  <dataValidations count="2">
    <dataValidation sqref="E7:E24"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B21 B22 B23 B24"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9" t="inlineStr">
        <is>
          <t>CUENTA DE RESULTADOS PREVISIONAL — 3 AÑOS</t>
        </is>
      </c>
    </row>
    <row r="2">
      <c r="A2" s="3" t="inlineStr">
        <is>
          <t>Escenario realista — pollería-asador con mostrador, encargos, plataforma y sala</t>
        </is>
      </c>
    </row>
    <row r="3"/>
    <row r="4" ht="45" customHeight="1">
      <c r="A4" s="40" t="inlineStr">
        <is>
          <t>Concepto</t>
        </is>
      </c>
      <c r="B4" s="40" t="inlineStr">
        <is>
          <t>Año 1</t>
        </is>
      </c>
      <c r="C4" s="40" t="inlineStr">
        <is>
          <t>Año 2</t>
        </is>
      </c>
      <c r="D4" s="40" t="inlineStr">
        <is>
          <t>Año 3</t>
        </is>
      </c>
      <c r="E4" s="40" t="inlineStr">
        <is>
          <t>% s/ventas (año 1)</t>
        </is>
      </c>
      <c r="F4" s="40" t="inlineStr">
        <is>
          <t>Notas</t>
        </is>
      </c>
      <c r="G4" s="40" t="inlineStr">
        <is>
          <t>Tipo de IVA de la línea (%)</t>
        </is>
      </c>
      <c r="H4" s="40" t="inlineStr">
        <is>
          <t>Bebida para llevar o por plataforma al 21 % (%)</t>
        </is>
      </c>
    </row>
    <row r="5">
      <c r="A5" s="26" t="inlineStr">
        <is>
          <t>INGRESOS</t>
        </is>
      </c>
      <c r="B5" s="29" t="n"/>
      <c r="C5" s="29" t="n"/>
      <c r="D5" s="29" t="n"/>
      <c r="E5" s="29" t="n"/>
      <c r="F5" s="29" t="n"/>
      <c r="G5" s="29" t="n"/>
      <c r="H5" s="29" t="n"/>
    </row>
    <row r="6">
      <c r="A6" s="29" t="inlineStr">
        <is>
          <t>Pedidos/día (media)</t>
        </is>
      </c>
      <c r="B6" s="41">
        <f>IFERROR(IF('0. Supuestos'!$B$4="","",'0. Supuestos'!$B$4),"")</f>
        <v>77.0</v>
      </c>
      <c r="C6" s="41">
        <f>IFERROR(B6*(1+'0. Supuestos'!$B$7),"")</f>
        <v>81.62</v>
      </c>
      <c r="D6" s="41">
        <f>IFERROR(C6*(1+'0. Supuestos'!$B$8),"")</f>
        <v>84.88480000000001</v>
      </c>
      <c r="E6" s="29" t="n"/>
      <c r="F6" s="29" t="inlineStr">
        <is>
          <t>El crecimiento de los años 2 y 3 está en la hoja de Supuestos</t>
        </is>
      </c>
      <c r="G6" s="29" t="n"/>
      <c r="H6" s="29" t="n"/>
    </row>
    <row r="7">
      <c r="A7" s="29" t="inlineStr">
        <is>
          <t>Ticket medio sin IVA</t>
        </is>
      </c>
      <c r="B7" s="70">
        <f>IFERROR(IF('0. Supuestos'!$B$5="","",'0. Supuestos'!$B$5),"")</f>
        <v>15.8</v>
      </c>
      <c r="C7" s="70">
        <f>IFERROR(IF(B7="","",B7),"")</f>
        <v>15.8</v>
      </c>
      <c r="D7" s="70">
        <f>IFERROR(IF(C7="","",C7),"")</f>
        <v>15.8</v>
      </c>
      <c r="E7" s="29" t="n"/>
      <c r="F7" s="29" t="inlineStr">
        <is>
          <t>Constante en euros del año 1: una subida de precios es una decisión aparte</t>
        </is>
      </c>
      <c r="G7" s="29" t="n"/>
      <c r="H7" s="29" t="n"/>
    </row>
    <row r="8">
      <c r="A8" s="29" t="inlineStr">
        <is>
          <t>Días de apertura al año</t>
        </is>
      </c>
      <c r="B8" s="41">
        <f>IFERROR(IF('0. Supuestos'!$B$6="","",'0. Supuestos'!$B$6),"")</f>
        <v>300.0</v>
      </c>
      <c r="C8" s="41">
        <f>IFERROR(IF(B8="","",B8),"")</f>
        <v>300.0</v>
      </c>
      <c r="D8" s="41">
        <f>IFERROR(IF(C8="","",C8),"")</f>
        <v>300.0</v>
      </c>
      <c r="E8" s="29" t="n"/>
      <c r="F8" s="29" t="n"/>
      <c r="G8" s="29" t="n"/>
      <c r="H8" s="29" t="n"/>
    </row>
    <row r="9">
      <c r="A9" s="26" t="inlineStr">
        <is>
          <t>INGRESOS TOTALES (sin IVA)</t>
        </is>
      </c>
      <c r="B9" s="27">
        <f>IFERROR(IF(B6*B7*B8=0,"",B6*B7*B8),"")</f>
        <v>364980.00000000006</v>
      </c>
      <c r="C9" s="27">
        <f>IFERROR(IF(C6*C7*C8=0,"",C6*C7*C8),"")</f>
        <v>386878.80000000005</v>
      </c>
      <c r="D9" s="27">
        <f>IFERROR(IF(D6*D7*D8=0,"",D6*D7*D8),"")</f>
        <v>402353.95200000005</v>
      </c>
      <c r="E9" s="67">
        <f>IFERROR(IF(B9="","",1),"")</f>
        <v>1.0</v>
      </c>
      <c r="F9" s="29" t="n"/>
      <c r="G9" s="29" t="n"/>
      <c r="H9" s="29" t="n"/>
    </row>
    <row r="10">
      <c r="A10" s="29" t="inlineStr">
        <is>
          <t>Ventas de pollo asado y cocina (mostrador, encargos, plataforma y sala)</t>
        </is>
      </c>
      <c r="B10" s="33">
        <f>IFERROR(IF(B9="","",B9*$E$10),"")</f>
        <v>328482.00000000006</v>
      </c>
      <c r="C10" s="33">
        <f>IFERROR(IF(C9="","",C9*$E$10),"")</f>
        <v>348190.92000000004</v>
      </c>
      <c r="D10" s="33">
        <f>IFERROR(IF(D9="","",D9*$E$10),"")</f>
        <v>362118.5568000001</v>
      </c>
      <c r="E10" s="68">
        <f>IFERROR(IF('0. Supuestos'!$B$11="","",'0. Supuestos'!$B$11),"")</f>
        <v>0.9</v>
      </c>
      <c r="F10" s="29" t="inlineStr">
        <is>
          <t>Pollo asado entero, medio y en cuartos, patatas, croquetas, ensaladilla, ensaladas, salsas y pan: para llevar (mostrador y encargos) unos 61 % de las ventas, por plataforma un 11 % y en sala un 28 %. Todo al 10 % de IVA, se coma en la mesa o salga del local (art. 91.Uno.1.1.º y 2.2.º de la Ley 37/1992); el pan común que vendas suelto va al 4 %, pero es una parte mínima y el libro lo deja aquí</t>
        </is>
      </c>
      <c r="G10" s="68">
        <f>IFERROR(IF(B9="","",'0. Supuestos'!$B$39),"")</f>
        <v>0.1</v>
      </c>
      <c r="H10" s="29" t="n"/>
    </row>
    <row r="11">
      <c r="A11" s="29" t="inlineStr">
        <is>
          <t>Ventas de bebida (refrescos, agua, cerveza y vino)</t>
        </is>
      </c>
      <c r="B11" s="33">
        <f>IFERROR(IF(B9="","",B9*$E$11),"")</f>
        <v>36498.0</v>
      </c>
      <c r="C11" s="33">
        <f>IFERROR(IF(C9="","",C9*$E$11),"")</f>
        <v>38687.88</v>
      </c>
      <c r="D11" s="33">
        <f>IFERROR(IF(D9="","",D9*$E$11),"")</f>
        <v>40235.3952</v>
      </c>
      <c r="E11" s="68">
        <f>IFERROR(IF('0. Supuestos'!$B$12="","",'0. Supuestos'!$B$12),"")</f>
        <v>0.09999999999999998</v>
      </c>
      <c r="F11" s="29" t="inlineStr">
        <is>
          <t>Bebida de sala y la que sale con los pedidos · La columna H es la parte de la bebida que sale del local y va al 21 %: la cerveza, el vino y los refrescos con azúcares o edulcorantes añadidos (art. 91.Uno.1.1.º a y b de la Ley 37/1992); el agua y lo que no lleve azúcares ni edulcorantes añadidos, y toda la bebida en sala, al 10 %. Un 31 % = un 3,1 % de las ventas</t>
        </is>
      </c>
      <c r="G11" s="68">
        <f>IFERROR(IF(B9="","",H11*0.21+(1-H11)*'0. Supuestos'!$B$39),"")</f>
        <v>0.1341</v>
      </c>
      <c r="H11" s="74" t="n">
        <v>0.31</v>
      </c>
    </row>
    <row r="12">
      <c r="A12" s="26" t="inlineStr">
        <is>
          <t>COSTES VARIABLES</t>
        </is>
      </c>
      <c r="B12" s="29" t="n"/>
      <c r="C12" s="29" t="n"/>
      <c r="D12" s="29" t="n"/>
      <c r="E12" s="29" t="n"/>
      <c r="F12" s="29" t="n"/>
      <c r="G12" s="29" t="n"/>
      <c r="H12" s="29" t="n"/>
    </row>
    <row r="13">
      <c r="A13" s="29" t="inlineStr">
        <is>
          <t>Coste de mercancía — comida</t>
        </is>
      </c>
      <c r="B13" s="33">
        <f>IFERROR(IF(B9="","",B9*'0. Supuestos'!$B$11*'0. Supuestos'!$B$13),"")</f>
        <v>105114.24000000002</v>
      </c>
      <c r="C13" s="33">
        <f>IFERROR(IF(C9="","",C9*'0. Supuestos'!$B$11*'0. Supuestos'!$B$13),"")</f>
        <v>111421.09440000002</v>
      </c>
      <c r="D13" s="33">
        <f>IFERROR(IF(D9="","",D9*'0. Supuestos'!$B$11*'0. Supuestos'!$B$13),"")</f>
        <v>115877.93817600003</v>
      </c>
      <c r="E13" s="68">
        <f>IFERROR(B13/$B$9,"")</f>
        <v>0.28800000000000003</v>
      </c>
      <c r="F13" s="29" t="str">
        <f>IFERROR("Al "&amp;TEXT('0. Supuestos'!$B$13,"0%")&amp;" de las ventas de COMIDA, no del total: la bebida tiene su propia línea · Pollo, aceite, patata congelada y salsas compradas al 10 %; patata fresca, verdura, pan y huevos al 4 % (art. 91.Dos.1.1.º de la Ley 37/1992). Ajústalo a tus facturas","")</f>
        <v>Al 32% de las ventas de COMIDA, no del total: la bebida tiene su propia línea · Pollo, aceite, patata congelada y salsas compradas al 10 %; patata fresca, verdura, pan y huevos al 4 % (art. 91.Dos.1.1.º de la Ley 37/1992). Ajústalo a tus facturas</v>
      </c>
      <c r="G13" s="74" t="n">
        <v>0.091</v>
      </c>
      <c r="H13" s="29" t="n"/>
    </row>
    <row r="14">
      <c r="A14" s="29" t="inlineStr">
        <is>
          <t>Coste de mercancía — bebida</t>
        </is>
      </c>
      <c r="B14" s="33">
        <f>IFERROR(IF(B9="","",B9*'0. Supuestos'!$B$12*'0. Supuestos'!$B$14),"")</f>
        <v>10949.4</v>
      </c>
      <c r="C14" s="33">
        <f>IFERROR(IF(C9="","",C9*'0. Supuestos'!$B$12*'0. Supuestos'!$B$14),"")</f>
        <v>11606.364</v>
      </c>
      <c r="D14" s="33">
        <f>IFERROR(IF(D9="","",D9*'0. Supuestos'!$B$12*'0. Supuestos'!$B$14),"")</f>
        <v>12070.618559999999</v>
      </c>
      <c r="E14" s="68">
        <f>IFERROR(B14/$B$9,"")</f>
        <v>0.029999999999999995</v>
      </c>
      <c r="F14" s="29" t="str">
        <f>IFERROR("Al "&amp;TEXT('0. Supuestos'!$B$14,"0%")&amp;" de las ventas de BEBIDA","")</f>
        <v>Al 30% de las ventas de BEBIDA</v>
      </c>
      <c r="G14" s="68">
        <f>IFERROR(IF(B9="","",('0. Supuestos'!$B$62*'0. Supuestos'!$B$40+(1-'0. Supuestos'!$B$62)*'0. Supuestos'!$B$39)),"")</f>
        <v>0.177</v>
      </c>
      <c r="H14" s="29" t="n"/>
    </row>
    <row r="15">
      <c r="A15" s="29" t="inlineStr">
        <is>
          <t>Consumibles y envases</t>
        </is>
      </c>
      <c r="B15" s="33">
        <f>IFERROR(IF(B9="","",B9*'0. Supuestos'!$B$15),"")</f>
        <v>10949.400000000001</v>
      </c>
      <c r="C15" s="33">
        <f>IFERROR(IF(C9="","",C9*'0. Supuestos'!$B$15),"")</f>
        <v>11606.364000000001</v>
      </c>
      <c r="D15" s="33">
        <f>IFERROR(IF(D9="","",D9*'0. Supuestos'!$B$15),"")</f>
        <v>12070.61856</v>
      </c>
      <c r="E15" s="68">
        <f>IFERROR(B15/$B$9,"")</f>
        <v>0.03</v>
      </c>
      <c r="F15" s="29" t="n"/>
      <c r="G15" s="68">
        <f>IFERROR(IF(B9="","",'0. Supuestos'!$B$41),"")</f>
        <v>0.21</v>
      </c>
      <c r="H15" s="29" t="n"/>
    </row>
    <row r="16">
      <c r="A16" s="29" t="inlineStr">
        <is>
          <t>Comisiones de delivery</t>
        </is>
      </c>
      <c r="B16" s="33">
        <f>IFERROR(IF(B9="","",B9*'0. Supuestos'!$B$16*'0. Supuestos'!$B$17),"")</f>
        <v>12044.340000000002</v>
      </c>
      <c r="C16" s="33">
        <f>IFERROR(IF(C9="","",C9*'0. Supuestos'!$B$16*'0. Supuestos'!$B$17),"")</f>
        <v>12767.0004</v>
      </c>
      <c r="D16" s="33">
        <f>IFERROR(IF(D9="","",D9*'0. Supuestos'!$B$16*'0. Supuestos'!$B$17),"")</f>
        <v>13277.680416000001</v>
      </c>
      <c r="E16" s="68">
        <f>IFERROR(B16/$B$9,"")</f>
        <v>0.033</v>
      </c>
      <c r="F16" s="29" t="inlineStr">
        <is>
          <t>Sobre las ventas DEL CANAL. Con 0 % de delivery en Supuestos, esta línea vale cero</t>
        </is>
      </c>
      <c r="G16" s="68">
        <f>IFERROR(IF(B9="","",'0. Supuestos'!$B$41),"")</f>
        <v>0.21</v>
      </c>
      <c r="H16" s="29" t="n"/>
    </row>
    <row r="17">
      <c r="A17" s="29" t="inlineStr">
        <is>
          <t>Comisiones de los medios de pago</t>
        </is>
      </c>
      <c r="B17" s="33">
        <f>IFERROR(IF(B9="","",B9*'0. Supuestos'!$B$18),"")</f>
        <v>2919.8400000000006</v>
      </c>
      <c r="C17" s="33">
        <f>IFERROR(IF(C9="","",C9*'0. Supuestos'!$B$18),"")</f>
        <v>3095.0304000000006</v>
      </c>
      <c r="D17" s="33">
        <f>IFERROR(IF(D9="","",D9*'0. Supuestos'!$B$18),"")</f>
        <v>3218.8316160000004</v>
      </c>
      <c r="E17" s="68">
        <f>IFERROR(B17/$B$9,"")</f>
        <v>0.008</v>
      </c>
      <c r="F17" s="29" t="inlineStr">
        <is>
          <t>Las comisiones de los medios de pago están EXENTAS de IVA (art. 20.Uno.18 LIVA): no se deduce nada por ellas</t>
        </is>
      </c>
      <c r="G17" s="68" t="n">
        <v>0</v>
      </c>
      <c r="H17" s="29" t="n"/>
    </row>
    <row r="18">
      <c r="A18" s="29" t="inlineStr">
        <is>
          <t>Varios e imprevistos</t>
        </is>
      </c>
      <c r="B18" s="33">
        <f>IFERROR(IF(B9="","",B9*'0. Supuestos'!$B$28),"")</f>
        <v>7299.600000000001</v>
      </c>
      <c r="C18" s="33">
        <f>IFERROR(IF(C9="","",C9*'0. Supuestos'!$B$28),"")</f>
        <v>7737.576000000001</v>
      </c>
      <c r="D18" s="33">
        <f>IFERROR(IF(D9="","",D9*'0. Supuestos'!$B$28),"")</f>
        <v>8047.079040000001</v>
      </c>
      <c r="E18" s="68">
        <f>IFERROR(B18/$B$9,"")</f>
        <v>0.02</v>
      </c>
      <c r="F18" s="29" t="str">
        <f>IFERROR("Al "&amp;TEXT('0. Supuestos'!$B$28,"0%")&amp;" de las ventas. Es un coste VARIABLE: sube y baja con la facturación, así que no puede vivir en los costes fijos","")</f>
        <v>Al 2% de las ventas. Es un coste VARIABLE: sube y baja con la facturación, así que no puede vivir en los costes fijos</v>
      </c>
      <c r="G18" s="68">
        <f>IFERROR(IF(B9="","",'0. Supuestos'!$B$41),"")</f>
        <v>0.21</v>
      </c>
      <c r="H18" s="29" t="n"/>
    </row>
    <row r="19">
      <c r="A19" s="26" t="inlineStr">
        <is>
          <t>TOTAL COSTES VARIABLES</t>
        </is>
      </c>
      <c r="B19" s="27">
        <f>IFERROR(IF(B9="","",SUM(B13:B18)),"")</f>
        <v>149276.82000000004</v>
      </c>
      <c r="C19" s="27">
        <f>IFERROR(IF(C9="","",SUM(C13:C18)),"")</f>
        <v>158233.4292</v>
      </c>
      <c r="D19" s="27">
        <f>IFERROR(IF(D9="","",SUM(D13:D18)),"")</f>
        <v>164562.76636800004</v>
      </c>
      <c r="E19" s="67">
        <f>IFERROR(B19/$B$9,"")</f>
        <v>0.40900000000000003</v>
      </c>
      <c r="F19" s="29" t="n"/>
      <c r="G19" s="29" t="n"/>
      <c r="H19" s="29" t="n"/>
    </row>
    <row r="20">
      <c r="A20" s="26" t="inlineStr">
        <is>
          <t>MARGEN BRUTO</t>
        </is>
      </c>
      <c r="B20" s="27">
        <f>IFERROR(IF(B9="","",B9-B19),"")</f>
        <v>215703.18000000002</v>
      </c>
      <c r="C20" s="27">
        <f>IFERROR(IF(C9="","",C9-C19),"")</f>
        <v>228645.37080000003</v>
      </c>
      <c r="D20" s="27">
        <f>IFERROR(IF(D9="","",D9-D19),"")</f>
        <v>237791.185632</v>
      </c>
      <c r="E20" s="67">
        <f>IFERROR(B20/$B$9,"")</f>
        <v>0.591</v>
      </c>
      <c r="F20" s="29" t="n"/>
      <c r="G20" s="29" t="n"/>
      <c r="H20" s="29" t="n"/>
    </row>
    <row r="21">
      <c r="A21" s="26" t="inlineStr">
        <is>
          <t>COSTES FIJOS</t>
        </is>
      </c>
      <c r="B21" s="29" t="n"/>
      <c r="C21" s="29" t="n"/>
      <c r="D21" s="29" t="n"/>
      <c r="E21" s="29" t="n"/>
      <c r="F21" s="29" t="n"/>
      <c r="G21" s="29" t="n"/>
      <c r="H21" s="29" t="n"/>
    </row>
    <row r="22">
      <c r="A22" s="29" t="inlineStr">
        <is>
          <t>Alquiler del local</t>
        </is>
      </c>
      <c r="B22" s="33">
        <f>IFERROR(IF(B9="","",'0. Supuestos'!$B$24*12),"")</f>
        <v>14400.0</v>
      </c>
      <c r="C22" s="33">
        <f>IFERROR(IF(C9="","",B22*(1+'0. Supuestos'!$B$48)),"")</f>
        <v>14400.0</v>
      </c>
      <c r="D22" s="33">
        <f>IFERROR(IF(D9="","",C22*(1+'0. Supuestos'!$B$48)),"")</f>
        <v>14400.0</v>
      </c>
      <c r="E22" s="68">
        <f>IFERROR(B22/$B$9,"")</f>
        <v>0.03945421666940654</v>
      </c>
      <c r="F22" s="29" t="inlineStr">
        <is>
          <t>El importe mensual está en la hoja de Supuestos; aquí se multiplica por doce. Los dos meses de renta previos a la apertura están en la hoja de Inversión y NO se cuentan dos veces</t>
        </is>
      </c>
      <c r="G22" s="68">
        <f>IFERROR(IF(B9="","",'0. Supuestos'!$B$41),"")</f>
        <v>0.21</v>
      </c>
      <c r="H22" s="29" t="n"/>
    </row>
    <row r="23">
      <c r="A23" s="29" t="inlineStr">
        <is>
          <t>Personal (nóminas + Seguridad Social)</t>
        </is>
      </c>
      <c r="B23" s="33">
        <f>IFERROR(IF(B9="","",'Personal'!$G$12),"")</f>
        <v>128682.81999999999</v>
      </c>
      <c r="C23" s="33">
        <f>IFERROR(IF(C9="","",'Personal'!$B$16),"")</f>
        <v>134682.82</v>
      </c>
      <c r="D23" s="33">
        <f>IFERROR(IF(D9="","",'Personal'!$B$17),"")</f>
        <v>140682.82</v>
      </c>
      <c r="E23" s="68">
        <f>IFERROR(B23/$B$9,"")</f>
        <v>0.3525749904104334</v>
      </c>
      <c r="F23" s="29" t="inlineStr">
        <is>
          <t>Sale de la hoja de Personal: es el MISMO número, no una estimación aparte. Los años 2 y 3 suman las INCORPORACIONES declaradas en esa hoja, no un porcentaje de volumen</t>
        </is>
      </c>
      <c r="G23" s="68" t="n">
        <v>0</v>
      </c>
      <c r="H23" s="29" t="n"/>
    </row>
    <row r="24">
      <c r="A24" s="29" t="inlineStr">
        <is>
          <t>Suministros (luz, agua, gas)</t>
        </is>
      </c>
      <c r="B24" s="33">
        <f>IFERROR(IF(B9="","",'0. Supuestos'!$B$26*12),"")</f>
        <v>12000.0</v>
      </c>
      <c r="C24" s="33">
        <f>IFERROR(IF(C9="","",B24*(1+'0. Supuestos'!$B$48)),"")</f>
        <v>12000.0</v>
      </c>
      <c r="D24" s="33">
        <f>IFERROR(IF(D9="","",C24*(1+'0. Supuestos'!$B$48)),"")</f>
        <v>12000.0</v>
      </c>
      <c r="E24" s="68">
        <f>IFERROR(B24/$B$9,"")</f>
        <v>0.03287851389117211</v>
      </c>
      <c r="F24" s="29" t="inlineStr">
        <is>
          <t>Luz y gas van al 21 %; la factura del agua, al 10 %. El libro aplica a toda esta partida el tipo de la columna de al lado (21 %): si el agua pesa mucho en tu local, sepárala en su línea</t>
        </is>
      </c>
      <c r="G24" s="68">
        <f>IFERROR(IF(B9="","",'0. Supuestos'!$B$41),"")</f>
        <v>0.21</v>
      </c>
      <c r="H24" s="29" t="n"/>
    </row>
    <row r="25">
      <c r="A25" s="29" t="inlineStr">
        <is>
          <t>Seguros (RC + multirriesgo)</t>
        </is>
      </c>
      <c r="B25" s="33">
        <f>IFERROR(IF(B9="","",'0. Supuestos'!$B$27),"")</f>
        <v>1400.0</v>
      </c>
      <c r="C25" s="33">
        <f>IFERROR(IF(C9="","",B25*(1+'0. Supuestos'!$B$48)),"")</f>
        <v>1400.0</v>
      </c>
      <c r="D25" s="33">
        <f>IFERROR(IF(D9="","",C25*(1+'0. Supuestos'!$B$48)),"")</f>
        <v>1400.0</v>
      </c>
      <c r="E25" s="68">
        <f>IFERROR(B25/$B$9,"")</f>
        <v>0.0038358266206367465</v>
      </c>
      <c r="F25" s="29" t="inlineStr">
        <is>
          <t>Las operaciones de seguro están EXENTAS de IVA (art. 20.Uno.16 LIVA): la prima no lleva IVA deducible</t>
        </is>
      </c>
      <c r="G25" s="68" t="n">
        <v>0</v>
      </c>
      <c r="H25" s="29" t="n"/>
    </row>
    <row r="26">
      <c r="A26" s="29" t="inlineStr">
        <is>
          <t>Gestoría laboral, fiscal y contable</t>
        </is>
      </c>
      <c r="B26" s="30" t="n">
        <v>2400</v>
      </c>
      <c r="C26" s="33">
        <f>IFERROR(IF(C9="","",B26*(1+'0. Supuestos'!$B$48)),"")</f>
        <v>2400.0</v>
      </c>
      <c r="D26" s="33">
        <f>IFERROR(IF(D9="","",C26*(1+'0. Supuestos'!$B$48)),"")</f>
        <v>2400.0</v>
      </c>
      <c r="E26" s="68">
        <f>IFERROR(B26/$B$9,"")</f>
        <v>0.006575702778234422</v>
      </c>
      <c r="F26" s="29" t="inlineStr">
        <is>
          <t>Contabilidad, impuestos de la SL, nóminas y contratos de la plantilla</t>
        </is>
      </c>
      <c r="G26" s="68">
        <f>IFERROR(IF(B9="","",'0. Supuestos'!$B$41),"")</f>
        <v>0.21</v>
      </c>
      <c r="H26" s="29" t="n"/>
    </row>
    <row r="27">
      <c r="A27" s="29" t="inlineStr">
        <is>
          <t>Mantenimiento de la campana extractora, el gas, el asador y el frío</t>
        </is>
      </c>
      <c r="B27" s="30" t="n">
        <v>2800</v>
      </c>
      <c r="C27" s="33">
        <f>IFERROR(IF(C9="","",B27*(1+'0. Supuestos'!$B$48)),"")</f>
        <v>2800.0</v>
      </c>
      <c r="D27" s="33">
        <f>IFERROR(IF(D9="","",C27*(1+'0. Supuestos'!$B$48)),"")</f>
        <v>2800.0</v>
      </c>
      <c r="E27" s="68">
        <f>IFERROR(B27/$B$9,"")</f>
        <v>0.007671653241273493</v>
      </c>
      <c r="F27" s="29" t="inlineStr">
        <is>
          <t>Dos limpiezas al año de la campana extractora y del conducto (la grasa del asador de pollos y de la freidora las pide; Madrid exige al menos una en su Ordenanza 4/2021, art. 23: mira la de tu ayuntamiento), la revisión del gas y del asador (quemadores, motor y espadas) y el frigorista</t>
        </is>
      </c>
      <c r="G27" s="68">
        <f>IFERROR(IF(B9="","",'0. Supuestos'!$B$41),"")</f>
        <v>0.21</v>
      </c>
      <c r="H27" s="29" t="n"/>
    </row>
    <row r="28">
      <c r="A28" s="29" t="inlineStr">
        <is>
          <t>Marketing y publicidad</t>
        </is>
      </c>
      <c r="B28" s="30" t="n">
        <v>3500</v>
      </c>
      <c r="C28" s="33">
        <f>IFERROR(IF(C9="","",B28*(1+'0. Supuestos'!$B$48)),"")</f>
        <v>3500.0</v>
      </c>
      <c r="D28" s="33">
        <f>IFERROR(IF(D9="","",C28*(1+'0. Supuestos'!$B$48)),"")</f>
        <v>3500.0</v>
      </c>
      <c r="E28" s="68">
        <f>IFERROR(B28/$B$9,"")</f>
        <v>0.009589566551591867</v>
      </c>
      <c r="F28" s="29" t="inlineStr">
        <is>
          <t>Ficha de Google Business, redes sociales, fotos, buzoneo y tarjetas con el teléfono de encargos, y las fechas fuertes: el verano, la Navidad y, si haces el pollo a la brasa al estilo peruano, el Día del Pollo a la Brasa (tercer domingo de julio). La campaña de apertura va en la inversión</t>
        </is>
      </c>
      <c r="G28" s="68">
        <f>IFERROR(IF(B9="","",'0. Supuestos'!$B$41),"")</f>
        <v>0.21</v>
      </c>
      <c r="H28" s="29" t="n"/>
    </row>
    <row r="29">
      <c r="A29" s="29" t="inlineStr">
        <is>
          <t>Software, TPV, teléfono e internet</t>
        </is>
      </c>
      <c r="B29" s="30" t="n">
        <v>1500</v>
      </c>
      <c r="C29" s="33">
        <f>IFERROR(IF(C9="","",B29*(1+'0. Supuestos'!$B$48)),"")</f>
        <v>1500.0</v>
      </c>
      <c r="D29" s="33">
        <f>IFERROR(IF(D9="","",C29*(1+'0. Supuestos'!$B$48)),"")</f>
        <v>1500.0</v>
      </c>
      <c r="E29" s="68">
        <f>IFERROR(B29/$B$9,"")</f>
        <v>0.004109814236396514</v>
      </c>
      <c r="F29" s="29" t="inlineStr">
        <is>
          <t>Cuota del TPV con Veri*factu, la tablet de las plataformas, el teléfono de encargos e internet</t>
        </is>
      </c>
      <c r="G29" s="68">
        <f>IFERROR(IF(B9="","",'0. Supuestos'!$B$41),"")</f>
        <v>0.21</v>
      </c>
      <c r="H29" s="29" t="n"/>
    </row>
    <row r="30">
      <c r="A30" s="29" t="inlineStr">
        <is>
          <t>Limpieza, lavandería, EPI y análisis de autocontrol</t>
        </is>
      </c>
      <c r="B30" s="30" t="n">
        <v>1200</v>
      </c>
      <c r="C30" s="33">
        <f>IFERROR(IF(C9="","",B30*(1+'0. Supuestos'!$B$48)),"")</f>
        <v>1200.0</v>
      </c>
      <c r="D30" s="33">
        <f>IFERROR(IF(D9="","",C30*(1+'0. Supuestos'!$B$48)),"")</f>
        <v>1200.0</v>
      </c>
      <c r="E30" s="68">
        <f>IFERROR(B30/$B$9,"")</f>
        <v>0.003287851389117211</v>
      </c>
      <c r="F30" s="29" t="inlineStr">
        <is>
          <t>Productos de limpieza y desengrasantes, lavado de uniformes y paños, guantes y los análisis de autocontrol que fije tu APPCC</t>
        </is>
      </c>
      <c r="G30" s="68">
        <f>IFERROR(IF(B9="","",'0. Supuestos'!$B$41),"")</f>
        <v>0.21</v>
      </c>
      <c r="H30" s="29" t="n"/>
    </row>
    <row r="31">
      <c r="A31" s="29" t="inlineStr">
        <is>
          <t>Gestión de residuos y del aceite y la grasa usados</t>
        </is>
      </c>
      <c r="B31" s="30" t="n">
        <v>900</v>
      </c>
      <c r="C31" s="33">
        <f>IFERROR(IF(C9="","",B31*(1+'0. Supuestos'!$B$48)),"")</f>
        <v>900.0</v>
      </c>
      <c r="D31" s="33">
        <f>IFERROR(IF(D9="","",C31*(1+'0. Supuestos'!$B$48)),"")</f>
        <v>900.0</v>
      </c>
      <c r="E31" s="68">
        <f>IFERROR(B31/$B$9,"")</f>
        <v>0.0024658885418379086</v>
      </c>
      <c r="F31" s="29" t="inlineStr">
        <is>
          <t>La tasa de basuras y el cartón, y el aceite de la freidora y la grasa de la bandeja de goteo del asador con gestor autorizado y certificado de cada recogida (unos 30-60 € por recogida). Pon la tasa de tu ayuntamiento</t>
        </is>
      </c>
      <c r="G31" s="68">
        <f>IFERROR(IF(B9="","",'0. Supuestos'!$B$41),"")</f>
        <v>0.21</v>
      </c>
      <c r="H31" s="29" t="n"/>
    </row>
    <row r="32">
      <c r="A32" s="29" t="inlineStr">
        <is>
          <t>Desinsectación, desratización y desinfección (DDD)</t>
        </is>
      </c>
      <c r="B32" s="30" t="n">
        <v>450</v>
      </c>
      <c r="C32" s="33">
        <f>IFERROR(IF(C9="","",B32*(1+'0. Supuestos'!$B$48)),"")</f>
        <v>450.0</v>
      </c>
      <c r="D32" s="33">
        <f>IFERROR(IF(D9="","",C32*(1+'0. Supuestos'!$B$48)),"")</f>
        <v>450.0</v>
      </c>
      <c r="E32" s="68">
        <f>IFERROR(B32/$B$9,"")</f>
        <v>0.0012329442709189543</v>
      </c>
      <c r="F32" s="29" t="inlineStr">
        <is>
          <t>Contrato con una empresa inscrita en el ROESB: forma parte de los prerrequisitos del APPCC</t>
        </is>
      </c>
      <c r="G32" s="68">
        <f>IFERROR(IF(B9="","",'0. Supuestos'!$B$41),"")</f>
        <v>0.21</v>
      </c>
      <c r="H32" s="29" t="n"/>
    </row>
    <row r="33">
      <c r="A33" s="29" t="inlineStr">
        <is>
          <t>Derechos de autor por música ambiental (SGAE y AGEDI-AIE)</t>
        </is>
      </c>
      <c r="B33" s="30" t="n">
        <v>400</v>
      </c>
      <c r="C33" s="33">
        <f>IFERROR(IF(C9="","",B33*(1+'0. Supuestos'!$B$48)),"")</f>
        <v>400.0</v>
      </c>
      <c r="D33" s="33">
        <f>IFERROR(IF(D9="","",C33*(1+'0. Supuestos'!$B$48)),"")</f>
        <v>400.0</v>
      </c>
      <c r="E33" s="68">
        <f>IFERROR(B33/$B$9,"")</f>
        <v>0.0010959504630390705</v>
      </c>
      <c r="F33" s="29" t="inlineStr">
        <is>
          <t>SGAE y AGEDI-AIE son dos licencias distintas; el importe depende de los metros y del aforo de tu sala</t>
        </is>
      </c>
      <c r="G33" s="68">
        <f>IFERROR(IF(B9="","",'0. Supuestos'!$B$41),"")</f>
        <v>0.21</v>
      </c>
      <c r="H33" s="29" t="n"/>
    </row>
    <row r="34">
      <c r="A34" s="29" t="inlineStr">
        <is>
          <t>Prevención de riesgos laborales, vigilancia de la salud y formación</t>
        </is>
      </c>
      <c r="B34" s="30" t="n">
        <v>750</v>
      </c>
      <c r="C34" s="33">
        <f>IFERROR(IF(C9="","",B34*(1+'0. Supuestos'!$B$48)),"")</f>
        <v>750.0</v>
      </c>
      <c r="D34" s="33">
        <f>IFERROR(IF(D9="","",C34*(1+'0. Supuestos'!$B$48)),"")</f>
        <v>750.0</v>
      </c>
      <c r="E34" s="68">
        <f>IFERROR(B34/$B$9,"")</f>
        <v>0.002054907118198257</v>
      </c>
      <c r="F34" s="29" t="inlineStr">
        <is>
          <t>El plan de prevención es obligatorio (Ley 31/1995): quemaduras del asador y de la freidora, cortes al trinchar y al espetar, gas y calor; los reconocimientos médicos de la plantilla y la formación en higiene y alérgenos</t>
        </is>
      </c>
      <c r="G34" s="68">
        <f>IFERROR(IF(B9="","",'0. Supuestos'!$B$41),"")</f>
        <v>0.21</v>
      </c>
      <c r="H34" s="29" t="n"/>
    </row>
    <row r="35">
      <c r="A35" s="29" t="inlineStr">
        <is>
          <t>Amortización del inmovilizado</t>
        </is>
      </c>
      <c r="B35" s="33">
        <f>IFERROR(IF(B9="","",'Inversión Inicial'!$B$37),"")</f>
        <v>8360.0</v>
      </c>
      <c r="C35" s="33">
        <f>IFERROR(IF(C9="","",B35),"")</f>
        <v>8360.0</v>
      </c>
      <c r="D35" s="33">
        <f>IFERROR(IF(D9="","",B35),"")</f>
        <v>8360.0</v>
      </c>
      <c r="E35" s="68">
        <f>IFERROR(B35/$B$9,"")</f>
        <v>0.02290536467751657</v>
      </c>
      <c r="F35" s="29" t="inlineStr">
        <is>
          <t>Sale de las bases de amortización de la hoja de Inversión: sólo inmovilizado real. NO sube con el IPC: es una cuota sobre el coste HISTÓRICO del inmovilizado</t>
        </is>
      </c>
      <c r="G35" s="68" t="n">
        <v>0</v>
      </c>
      <c r="H35" s="29" t="n"/>
    </row>
    <row r="36">
      <c r="A36" s="29" t="inlineStr">
        <is>
          <t>Gastos financieros (intereses del préstamo)</t>
        </is>
      </c>
      <c r="B36" s="33">
        <f>IFERROR(IF(B9="","",'Financiación'!$B$44),"")</f>
        <v>6720.0</v>
      </c>
      <c r="C36" s="33">
        <f>IFERROR(IF(C9="","",'Financiación'!$B$46),"")</f>
        <v>6720.0</v>
      </c>
      <c r="D36" s="33">
        <f>IFERROR(IF(D9="","",'Financiación'!$B$48),"")</f>
        <v>5756.603136648703</v>
      </c>
      <c r="E36" s="68">
        <f>IFERROR(B36/$B$9,"")</f>
        <v>0.018411967779056383</v>
      </c>
      <c r="F36" s="29" t="inlineStr">
        <is>
          <t>Sólo los INTERESES son gasto. La devolución del principal va en la hoja de Tesorería</t>
        </is>
      </c>
      <c r="G36" s="68" t="n">
        <v>0</v>
      </c>
      <c r="H36" s="29" t="n"/>
    </row>
    <row r="37">
      <c r="A37" s="26" t="inlineStr">
        <is>
          <t>TOTAL COSTES FIJOS</t>
        </is>
      </c>
      <c r="B37" s="27">
        <f>IFERROR(IF(B9="","",SUM(B22:B36)),"")</f>
        <v>185462.82</v>
      </c>
      <c r="C37" s="27">
        <f>IFERROR(IF(C9="","",SUM(C22:C36)),"")</f>
        <v>191462.82</v>
      </c>
      <c r="D37" s="27">
        <f>IFERROR(IF(D9="","",SUM(D22:D36)),"")</f>
        <v>196499.42313664872</v>
      </c>
      <c r="E37" s="67">
        <f>IFERROR(B37/$B$9,"")</f>
        <v>0.5081451586388295</v>
      </c>
      <c r="F37" s="29" t="n"/>
      <c r="G37" s="29" t="n"/>
      <c r="H37" s="29" t="n"/>
    </row>
    <row r="38">
      <c r="A38" s="29" t="inlineStr">
        <is>
          <t>IVA soportado de los costes variables</t>
        </is>
      </c>
      <c r="B38" s="33">
        <f>IFERROR(IF(B9="","",SUMPRODUCT(B13:B18,G13:G18)),"")</f>
        <v>17865.04104</v>
      </c>
      <c r="C38" s="33">
        <f>IFERROR(IF(C9="","",SUMPRODUCT(C13:C18,G13:G18)),"")</f>
        <v>18936.9435024</v>
      </c>
      <c r="D38" s="33">
        <f>IFERROR(IF(D9="","",SUMPRODUCT(D13:D18,G13:G18)),"")</f>
        <v>19694.421242496002</v>
      </c>
      <c r="E38" s="29" t="n"/>
      <c r="F38" s="29" t="inlineStr">
        <is>
          <t>Cada línea a SU tipo, leído de la columna de al lado. Es lo que la hoja de Tesorería paga de más a los proveedores y luego se deduce</t>
        </is>
      </c>
      <c r="G38" s="29" t="n"/>
      <c r="H38" s="29" t="n"/>
    </row>
    <row r="39">
      <c r="A39" s="29" t="inlineStr">
        <is>
          <t>IVA soportado de los costes fijos</t>
        </is>
      </c>
      <c r="B39" s="33">
        <f>IFERROR(IF(B9="","",SUMPRODUCT(B22:B36,G22:G36)),"")</f>
        <v>8463.0</v>
      </c>
      <c r="C39" s="33">
        <f>IFERROR(IF(C9="","",SUMPRODUCT(C22:C36,G22:G36)),"")</f>
        <v>8463.0</v>
      </c>
      <c r="D39" s="33">
        <f>IFERROR(IF(D9="","",SUMPRODUCT(D22:D36,G22:G36)),"")</f>
        <v>8463.0</v>
      </c>
      <c r="E39" s="29" t="n"/>
      <c r="F39" s="29" t="n"/>
      <c r="G39" s="29" t="n"/>
      <c r="H39" s="29" t="n"/>
    </row>
    <row r="40">
      <c r="A40" s="26" t="inlineStr">
        <is>
          <t>RESULTADO ANTES DE IMPUESTOS</t>
        </is>
      </c>
      <c r="B40" s="27">
        <f>IFERROR(IF(B9="","",B20-B37),"")</f>
        <v>30240.360000000015</v>
      </c>
      <c r="C40" s="27">
        <f>IFERROR(IF(C9="","",C20-C37),"")</f>
        <v>37182.550800000026</v>
      </c>
      <c r="D40" s="27">
        <f>IFERROR(IF(D9="","",D20-D37),"")</f>
        <v>41291.762495351286</v>
      </c>
      <c r="E40" s="67">
        <f>IFERROR(B40/$B$9,"")</f>
        <v>0.08285484136117051</v>
      </c>
      <c r="F40" s="29" t="n"/>
      <c r="G40" s="29" t="n"/>
      <c r="H40" s="29" t="n"/>
    </row>
    <row r="41">
      <c r="A41" s="29" t="inlineStr">
        <is>
          <t>Bases negativas pendientes al inicio</t>
        </is>
      </c>
      <c r="B41" s="33">
        <f>IFERROR(IF(B9="","",'0. Supuestos'!$B$42),"")</f>
        <v>0.0</v>
      </c>
      <c r="C41" s="33">
        <f>IFERROR(IF(C9="","",B46),"")</f>
        <v>0.0</v>
      </c>
      <c r="D41" s="33">
        <f>IFERROR(IF(D9="","",C46),"")</f>
        <v>0.0</v>
      </c>
      <c r="E41" s="29" t="n"/>
      <c r="F41" s="29" t="inlineStr">
        <is>
          <t>Art. 26 LIS: las pérdidas de un ejercicio se compensan con los beneficios de los siguientes</t>
        </is>
      </c>
      <c r="G41" s="29" t="n"/>
      <c r="H41" s="29" t="n"/>
    </row>
    <row r="42">
      <c r="A42" s="29" t="inlineStr">
        <is>
          <t>Base imponible (después de compensar)</t>
        </is>
      </c>
      <c r="B42" s="33">
        <f>IFERROR(IF(B9="","",MAX(0,B40-B41)),"")</f>
        <v>30240.360000000015</v>
      </c>
      <c r="C42" s="33">
        <f>IFERROR(IF(C9="","",MAX(0,C40-C41)),"")</f>
        <v>37182.550800000026</v>
      </c>
      <c r="D42" s="33">
        <f>IFERROR(IF(D9="","",MAX(0,D40-D41)),"")</f>
        <v>41291.762495351286</v>
      </c>
      <c r="E42" s="29" t="n"/>
      <c r="F42" s="29" t="n"/>
      <c r="G42" s="29" t="n"/>
      <c r="H42" s="29" t="n"/>
    </row>
    <row r="43">
      <c r="A43" s="29" t="inlineStr">
        <is>
          <t>Ejercicios con base positiva (acumulado)</t>
        </is>
      </c>
      <c r="B43" s="41">
        <f>IFERROR(IF(B9="","",IF(B42&gt;0,1,0)),"")</f>
        <v>1.0</v>
      </c>
      <c r="C43" s="41">
        <f>IFERROR(IF(C9="","",B43+IF(C42&gt;0,1,0)),"")</f>
        <v>2.0</v>
      </c>
      <c r="D43" s="41">
        <f>IFERROR(IF(D9="","",C43+IF(D42&gt;0,1,0)),"")</f>
        <v>3.0</v>
      </c>
      <c r="E43" s="29" t="n"/>
      <c r="F43" s="29" t="n"/>
      <c r="G43" s="29" t="n"/>
      <c r="H43" s="29" t="n"/>
    </row>
    <row r="44">
      <c r="A44" s="29" t="inlineStr">
        <is>
          <t>Tipo de Impuesto de Sociedades aplicado</t>
        </is>
      </c>
      <c r="B44" s="68">
        <f>IFERROR(IF(B9="","",IF(B42&lt;=0,"",IF(B43&lt;=2,'0. Supuestos'!$B$37,'0. Supuestos'!$B$38))),"")</f>
        <v>0.15</v>
      </c>
      <c r="C44" s="68">
        <f>IFERROR(IF(C9="","",IF(C42&lt;=0,"",IF(C43&lt;=2,'0. Supuestos'!$B$37,'0. Supuestos'!$B$38))),"")</f>
        <v>0.15</v>
      </c>
      <c r="D44" s="68">
        <f>IFERROR(IF(D9="","",IF(D42&lt;=0,"",IF(D43&lt;=2,'0. Supuestos'!$B$37,'0. Supuestos'!$B$38))),"")</f>
        <v>0.25</v>
      </c>
      <c r="E44" s="29" t="n"/>
      <c r="F44" s="29" t="inlineStr">
        <is>
          <t>Art. 29.1 LIS: el 15 % de entidad de nueva creación se aplica al PRIMER ejercicio con base positiva y al SIGUIENTE, no al primer año de vida. El libro lo aproxima contando los dos primeros ejercicios con base positiva</t>
        </is>
      </c>
      <c r="G44" s="29" t="n"/>
      <c r="H44" s="29" t="n"/>
    </row>
    <row r="45">
      <c r="A45" s="29" t="inlineStr">
        <is>
          <t>Impuesto de Sociedades</t>
        </is>
      </c>
      <c r="B45" s="33">
        <f>IFERROR(IF(B9="","",IF(B44="",0,B42*B44)),"")</f>
        <v>4536.054000000002</v>
      </c>
      <c r="C45" s="33">
        <f>IFERROR(IF(C9="","",IF(C44="",0,C42*C44)),"")</f>
        <v>5577.382620000004</v>
      </c>
      <c r="D45" s="33">
        <f>IFERROR(IF(D9="","",IF(D44="",0,D42*D44)),"")</f>
        <v>10322.940623837821</v>
      </c>
      <c r="E45" s="29" t="n"/>
      <c r="F45" s="29" t="n"/>
      <c r="G45" s="29" t="n"/>
      <c r="H45" s="29" t="n"/>
    </row>
    <row r="46">
      <c r="A46" s="29" t="inlineStr">
        <is>
          <t>Bases negativas pendientes al cierre</t>
        </is>
      </c>
      <c r="B46" s="33">
        <f>IFERROR(IF(B9="","",MAX(0,B41-B40)),"")</f>
        <v>0.0</v>
      </c>
      <c r="C46" s="33">
        <f>IFERROR(IF(C9="","",MAX(0,C41-C40)),"")</f>
        <v>0.0</v>
      </c>
      <c r="D46" s="33">
        <f>IFERROR(IF(D9="","",MAX(0,D41-D40)),"")</f>
        <v>0.0</v>
      </c>
      <c r="E46" s="29" t="n"/>
      <c r="F46" s="29" t="n"/>
      <c r="G46" s="29" t="n"/>
      <c r="H46" s="29" t="n"/>
    </row>
    <row r="47">
      <c r="A47" s="26" t="inlineStr">
        <is>
          <t>RESULTADO NETO</t>
        </is>
      </c>
      <c r="B47" s="27">
        <f>IFERROR(IF(B9="","",B40-B45),"")</f>
        <v>25704.30600000001</v>
      </c>
      <c r="C47" s="27">
        <f>IFERROR(IF(C9="","",C40-C45),"")</f>
        <v>31605.168180000022</v>
      </c>
      <c r="D47" s="27">
        <f>IFERROR(IF(D9="","",D40-D45),"")</f>
        <v>30968.821871513464</v>
      </c>
      <c r="E47" s="67">
        <f>IFERROR(B47/$B$9,"")</f>
        <v>0.07042661515699493</v>
      </c>
      <c r="F47" s="29" t="n"/>
      <c r="G47" s="29" t="n"/>
      <c r="H47" s="29" t="n"/>
    </row>
    <row r="48">
      <c r="A48" s="26" t="inlineStr">
        <is>
          <t>RATIOS CLAVE</t>
        </is>
      </c>
      <c r="B48" s="29" t="n"/>
      <c r="C48" s="29" t="n"/>
      <c r="D48" s="29" t="n"/>
      <c r="E48" s="29" t="n"/>
      <c r="F48" s="29" t="n"/>
      <c r="G48" s="29" t="n"/>
      <c r="H48" s="29" t="n"/>
    </row>
    <row r="49">
      <c r="A49" s="26" t="inlineStr">
        <is>
          <t>Ratio</t>
        </is>
      </c>
      <c r="B49" s="26" t="inlineStr">
        <is>
          <t>Año 1</t>
        </is>
      </c>
      <c r="C49" s="26" t="inlineStr">
        <is>
          <t>Año 2</t>
        </is>
      </c>
      <c r="D49" s="26" t="inlineStr">
        <is>
          <t>Año 3</t>
        </is>
      </c>
      <c r="E49" s="26" t="inlineStr">
        <is>
          <t>Umbral</t>
        </is>
      </c>
      <c r="F49" s="26" t="inlineStr">
        <is>
          <t>Comentario</t>
        </is>
      </c>
      <c r="G49" s="29" t="n"/>
      <c r="H49" s="29" t="n"/>
    </row>
    <row r="50">
      <c r="A50" s="29" t="inlineStr">
        <is>
          <t>Margen bruto / Ventas</t>
        </is>
      </c>
      <c r="B50" s="68">
        <f>IFERROR(IF(B9="","",B20/B9),"")</f>
        <v>0.591</v>
      </c>
      <c r="C50" s="68">
        <f>IFERROR(IF(C9="","",C20/C9),"")</f>
        <v>0.591</v>
      </c>
      <c r="D50" s="68">
        <f>IFERROR(IF(D9="","",D20/D9),"")</f>
        <v>0.591</v>
      </c>
      <c r="E50" s="74" t="n">
        <v>0.55</v>
      </c>
      <c r="F50" s="29" t="inlineStr">
        <is>
          <t>Suelo del margen tras TODOS los costes variables (mercancía, envases, plataforma, medios de pago y varios). Una pollería deja menos que otros locales porque el pollo pesa: el margen está en lo que lo acompaña. Estimación del kit</t>
        </is>
      </c>
      <c r="G50" s="29" t="n"/>
      <c r="H50" s="29" t="n"/>
    </row>
    <row r="51">
      <c r="A51" s="29" t="inlineStr">
        <is>
          <t>Coste de mercancía (comida + bebida)</t>
        </is>
      </c>
      <c r="B51" s="33">
        <f>IFERROR(IF(B9="","",B13+B14),"")</f>
        <v>116063.64000000001</v>
      </c>
      <c r="C51" s="33">
        <f>IFERROR(IF(C9="","",C13+C14),"")</f>
        <v>123027.45840000002</v>
      </c>
      <c r="D51" s="33">
        <f>IFERROR(IF(D9="","",D13+D14),"")</f>
        <v>127948.55673600003</v>
      </c>
      <c r="E51" s="29" t="n"/>
      <c r="F51" s="29" t="n"/>
      <c r="G51" s="29" t="n"/>
      <c r="H51" s="29" t="n"/>
    </row>
    <row r="52">
      <c r="A52" s="29" t="inlineStr">
        <is>
          <t>Coste de mercancía / Ventas</t>
        </is>
      </c>
      <c r="B52" s="68">
        <f>IFERROR(IF(B9="","",B51/B9),"")</f>
        <v>0.318</v>
      </c>
      <c r="C52" s="68">
        <f>IFERROR(IF(C9="","",C51/C9),"")</f>
        <v>0.318</v>
      </c>
      <c r="D52" s="68">
        <f>IFERROR(IF(D9="","",D51/D9),"")</f>
        <v>0.318</v>
      </c>
      <c r="E52" s="74" t="n">
        <v>0.33</v>
      </c>
      <c r="F52" s="29" t="inlineStr">
        <is>
          <t>Techo de la materia prima sobre ventas: el pollo entero sale a un 38,8 % y las patatas, las croquetas y la bebida lo bajan. Si el precio del pollo sube, aquí se nota primero. Estimación del kit</t>
        </is>
      </c>
      <c r="G52" s="29" t="n"/>
      <c r="H52" s="29" t="n"/>
    </row>
    <row r="53">
      <c r="A53" s="29" t="inlineStr">
        <is>
          <t>Coste de personal / Ventas</t>
        </is>
      </c>
      <c r="B53" s="68">
        <f>IFERROR(IF(B9="","",B23/B9),"")</f>
        <v>0.3525749904104334</v>
      </c>
      <c r="C53" s="68">
        <f>IFERROR(IF(C9="","",C23/C9),"")</f>
        <v>0.348126648449075</v>
      </c>
      <c r="D53" s="68">
        <f>IFERROR(IF(D9="","",D23/D9),"")</f>
        <v>0.34964940520827786</v>
      </c>
      <c r="E53" s="74" t="n">
        <v>0.38</v>
      </c>
      <c r="F53" s="29" t="inlineStr">
        <is>
          <t>Techo del personal sobre ventas con un maestro asador, un segundo asador y el refuerzo del domingo. Estimación del kit</t>
        </is>
      </c>
      <c r="G53" s="29" t="n"/>
      <c r="H53" s="29" t="n"/>
    </row>
    <row r="54">
      <c r="A54" s="29" t="inlineStr">
        <is>
          <t>Alquiler / Ventas</t>
        </is>
      </c>
      <c r="B54" s="68">
        <f>IFERROR(IF(B9="","",B22/B9),"")</f>
        <v>0.03945421666940654</v>
      </c>
      <c r="C54" s="68">
        <f>IFERROR(IF(C9="","",C22/C9),"")</f>
        <v>0.03722095912208164</v>
      </c>
      <c r="D54" s="68">
        <f>IFERROR(IF(D9="","",D22/D9),"")</f>
        <v>0.03578938377123234</v>
      </c>
      <c r="E54" s="74" t="n">
        <v>0.1</v>
      </c>
      <c r="F54" s="29" t="inlineStr">
        <is>
          <t>Techo del alquiler sobre ventas para un local con salida de humos a cubierta: estimación del kit</t>
        </is>
      </c>
      <c r="G54" s="29" t="n"/>
      <c r="H54" s="29" t="n"/>
    </row>
    <row r="55">
      <c r="A55" s="29" t="inlineStr">
        <is>
          <t>Resultado neto / Ventas</t>
        </is>
      </c>
      <c r="B55" s="68">
        <f>IFERROR(IF(B9="","",B47/B9),"")</f>
        <v>0.07042661515699493</v>
      </c>
      <c r="C55" s="68">
        <f>IFERROR(IF(C9="","",C47/C9),"")</f>
        <v>0.08169268561627056</v>
      </c>
      <c r="D55" s="68">
        <f>IFERROR(IF(D9="","",D47/D9),"")</f>
        <v>0.07696910075712009</v>
      </c>
      <c r="E55" s="74" t="n">
        <v>0.05</v>
      </c>
      <c r="F55" s="29" t="inlineStr">
        <is>
          <t>Suelo de resultado neto a régimen para que el plan se sostenga. Una pollería bien llevada deja en torno a un 7-8 %. Estimación del kit</t>
        </is>
      </c>
      <c r="G55" s="29" t="n"/>
      <c r="H55" s="29" t="n"/>
    </row>
    <row r="56">
      <c r="A56" s="29" t="inlineStr">
        <is>
          <t>Punto de equilibrio alcanzado</t>
        </is>
      </c>
      <c r="B56" s="29" t="str">
        <f>IFERROR(IF(B9="","",IF(B9&gt;='Punto Equilibrio'!$B$16,"Sí","No")),"")</f>
        <v>Sí</v>
      </c>
      <c r="C56" s="29" t="str">
        <f>IFERROR(IF(C9="","",IF(C9&gt;='Punto Equilibrio'!$C$16,"Sí","No")),"")</f>
        <v>Sí</v>
      </c>
      <c r="D56" s="29" t="str">
        <f>IFERROR(IF(D9="","",IF(D9&gt;='Punto Equilibrio'!$D$16,"Sí","No")),"")</f>
        <v>Sí</v>
      </c>
      <c r="E56" s="29" t="n"/>
      <c r="F56" s="29" t="inlineStr">
        <is>
          <t>Compara las ventas de CADA año con el umbral de ese mismo año, que calcula la hoja de Punto de Equilibrio con los costes fijos del año</t>
        </is>
      </c>
      <c r="G56" s="29" t="n"/>
      <c r="H56" s="29" t="n"/>
    </row>
    <row r="57">
      <c r="A57" s="29" t="n"/>
      <c r="B57" s="29" t="n"/>
      <c r="C57" s="29" t="n"/>
      <c r="D57" s="29" t="n"/>
      <c r="E57" s="29" t="n"/>
      <c r="F57" s="29" t="n"/>
      <c r="G57" s="29" t="n"/>
      <c r="H57" s="29" t="n"/>
    </row>
    <row r="58" ht="165" customHeight="1">
      <c r="A58" s="48"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58" s="29" t="n"/>
      <c r="C58" s="29" t="n"/>
      <c r="D58" s="29" t="n"/>
      <c r="E58" s="29" t="n"/>
      <c r="F58" s="29" t="n"/>
      <c r="G58" s="29" t="n"/>
      <c r="H5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Sí">
      <formula>NOT(ISERROR(SEARCH("Sí",B56)))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mporte no válido" error="Escribe un número mayor o igual que 0." type="decimal" operator="greaterThanOrEqual">
      <formula1>0</formula1>
    </dataValidation>
    <dataValidation sqref="E50 E52 E53 E54 E55 G13 H11"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9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Punto de equilibrio mensual y diario — pollería-asador de barrio</t>
        </is>
      </c>
    </row>
    <row r="3"/>
    <row r="4">
      <c r="A4" s="26" t="inlineStr">
        <is>
          <t>Variable</t>
        </is>
      </c>
      <c r="B4" s="26" t="inlineStr">
        <is>
          <t>Año 1</t>
        </is>
      </c>
      <c r="C4" s="26" t="inlineStr">
        <is>
          <t>Año 2</t>
        </is>
      </c>
      <c r="D4" s="26" t="inlineStr">
        <is>
          <t>Año 3</t>
        </is>
      </c>
      <c r="E4" s="26" t="inlineStr">
        <is>
          <t>Notas</t>
        </is>
      </c>
      <c r="F4" s="29" t="n"/>
    </row>
    <row r="5">
      <c r="A5" s="26" t="inlineStr">
        <is>
          <t>DATOS BASE POR AÑO</t>
        </is>
      </c>
      <c r="B5" s="29" t="n"/>
      <c r="C5" s="29" t="n"/>
      <c r="D5" s="29" t="n"/>
      <c r="E5" s="29" t="n"/>
      <c r="F5" s="29" t="n"/>
    </row>
    <row r="6">
      <c r="A6" s="29" t="inlineStr">
        <is>
          <t>Costes fijos anuales</t>
        </is>
      </c>
      <c r="B6" s="70">
        <f>IFERROR(IF('PyG 3 Años'!$B$9="","",'PyG 3 Años'!$B$37),"")</f>
        <v>185462.82</v>
      </c>
      <c r="C6" s="70">
        <f>IFERROR(IF('PyG 3 Años'!$C$9="","",'PyG 3 Años'!$C$37),"")</f>
        <v>191462.82</v>
      </c>
      <c r="D6" s="70">
        <f>IFERROR(IF('PyG 3 Años'!$D$9="","",'PyG 3 Años'!$D$37),"")</f>
        <v>196499.42313664872</v>
      </c>
      <c r="E6" s="29" t="inlineStr">
        <is>
          <t>Los MISMOS costes fijos del P&amp;L. Cada año tiene los suyos: por eso el umbral no puede ser uno solo para los tres</t>
        </is>
      </c>
      <c r="F6" s="29" t="n"/>
    </row>
    <row r="7">
      <c r="A7" s="29" t="inlineStr">
        <is>
          <t>Costes fijos mensuales</t>
        </is>
      </c>
      <c r="B7" s="70">
        <f>IFERROR(IF('PyG 3 Años'!$B$9="","",B6/12),"")</f>
        <v>15455.235</v>
      </c>
      <c r="C7" s="70">
        <f>IFERROR(IF('PyG 3 Años'!$C$9="","",C6/12),"")</f>
        <v>15955.235</v>
      </c>
      <c r="D7" s="70">
        <f>IFERROR(IF('PyG 3 Años'!$D$9="","",D6/12),"")</f>
        <v>16374.95192805406</v>
      </c>
      <c r="E7" s="29" t="n"/>
      <c r="F7" s="29" t="n"/>
    </row>
    <row r="8">
      <c r="A8" s="29" t="inlineStr">
        <is>
          <t>Ticket medio sin IVA</t>
        </is>
      </c>
      <c r="B8" s="70">
        <f>IFERROR(IF('PyG 3 Años'!$B$9="","",'PyG 3 Años'!$B$7),"")</f>
        <v>15.8</v>
      </c>
      <c r="C8" s="70">
        <f>IFERROR(IF('PyG 3 Años'!$C$9="","",'PyG 3 Años'!$C$7),"")</f>
        <v>15.8</v>
      </c>
      <c r="D8" s="70">
        <f>IFERROR(IF('PyG 3 Años'!$D$9="","",'PyG 3 Años'!$D$7),"")</f>
        <v>15.8</v>
      </c>
      <c r="E8" s="29" t="n"/>
      <c r="F8" s="29" t="n"/>
    </row>
    <row r="9">
      <c r="A9" s="29" t="inlineStr">
        <is>
          <t>Coste variable por pedido</t>
        </is>
      </c>
      <c r="B9" s="70">
        <f>IFERROR(IF('PyG 3 Años'!$B$9="","",'PyG 3 Años'!$B$19/('PyG 3 Años'!$B$6*'PyG 3 Años'!$B$8)),"")</f>
        <v>6.462200000000002</v>
      </c>
      <c r="C9" s="70">
        <f>IFERROR(IF('PyG 3 Años'!$C$9="","",'PyG 3 Años'!$C$19/('PyG 3 Años'!$C$6*'PyG 3 Años'!$C$8)),"")</f>
        <v>6.4622</v>
      </c>
      <c r="D9" s="70">
        <f>IFERROR(IF('PyG 3 Años'!$D$9="","",'PyG 3 Años'!$D$19/('PyG 3 Años'!$D$6*'PyG 3 Años'!$D$8)),"")</f>
        <v>6.462200000000001</v>
      </c>
      <c r="E9" s="29" t="inlineStr">
        <is>
          <t>Sale del total de costes variables del P&amp;L, no de una estimación aparte. Incluye los varios e imprevistos, que son un porcentaje de las ventas</t>
        </is>
      </c>
      <c r="F9" s="29" t="n"/>
    </row>
    <row r="10">
      <c r="A10" s="29" t="inlineStr">
        <is>
          <t>Margen de contribución por pedido</t>
        </is>
      </c>
      <c r="B10" s="70">
        <f>IFERROR(IF('PyG 3 Años'!$B$9="","",B8-B9),"")</f>
        <v>9.337799999999998</v>
      </c>
      <c r="C10" s="70">
        <f>IFERROR(IF('PyG 3 Años'!$C$9="","",C8-C9),"")</f>
        <v>9.337800000000001</v>
      </c>
      <c r="D10" s="70">
        <f>IFERROR(IF('PyG 3 Años'!$D$9="","",D8-D9),"")</f>
        <v>9.3378</v>
      </c>
      <c r="E10" s="29" t="inlineStr">
        <is>
          <t>Ticket menos coste variable unitario</t>
        </is>
      </c>
      <c r="F10" s="29" t="n"/>
    </row>
    <row r="11">
      <c r="A11" s="29" t="inlineStr">
        <is>
          <t>Días de apertura al año</t>
        </is>
      </c>
      <c r="B11" s="41">
        <f>IFERROR(IF('PyG 3 Años'!$B$9="","",'PyG 3 Años'!$B$8),"")</f>
        <v>300.0</v>
      </c>
      <c r="C11" s="41">
        <f>IFERROR(IF('PyG 3 Años'!$C$9="","",'PyG 3 Años'!$C$8),"")</f>
        <v>300.0</v>
      </c>
      <c r="D11" s="41">
        <f>IFERROR(IF('PyG 3 Años'!$D$9="","",'PyG 3 Años'!$D$8),"")</f>
        <v>300.0</v>
      </c>
      <c r="E11" s="29" t="inlineStr">
        <is>
          <t>El mismo calendario que el P&amp;L y que los escenarios</t>
        </is>
      </c>
      <c r="F11" s="29" t="n"/>
    </row>
    <row r="12">
      <c r="A12" s="29" t="inlineStr">
        <is>
          <t>Devolución de principal del año (cuota)</t>
        </is>
      </c>
      <c r="B12" s="70">
        <f>IFERROR(IF('PyG 3 Años'!$B$9="","",'Financiación'!$B$45),"")</f>
        <v>0.0</v>
      </c>
      <c r="C12" s="70">
        <f>IFERROR(IF('PyG 3 Años'!$C$9="","",'Financiación'!$B$47),"")</f>
        <v>16056.614389188278</v>
      </c>
      <c r="D12" s="70">
        <f>IFERROR(IF('PyG 3 Años'!$D$9="","",'Financiación'!$B$49),"")</f>
        <v>17020.011252539574</v>
      </c>
      <c r="E12" s="29" t="inlineStr">
        <is>
          <t>El principal NO es gasto del P&amp;L, pero sale de la caja. Sin él, el umbral de equilibrio se publica por debajo del real</t>
        </is>
      </c>
      <c r="F12" s="29" t="n"/>
    </row>
    <row r="13">
      <c r="A13" s="26" t="inlineStr">
        <is>
          <t>PUNTO DE EQUILIBRIO CONTABLE (incluye amortización)</t>
        </is>
      </c>
      <c r="B13" s="29" t="n"/>
      <c r="C13" s="29" t="n"/>
      <c r="D13" s="29" t="n"/>
      <c r="E13" s="29" t="n"/>
      <c r="F13" s="29" t="n"/>
    </row>
    <row r="14">
      <c r="A14" s="29" t="inlineStr">
        <is>
          <t>Pedidos necesarios al año</t>
        </is>
      </c>
      <c r="B14" s="41">
        <f>IFERROR(IF('PyG 3 Años'!$B$9="","",IF(B10&lt;=0,"",B6/B10)),"")</f>
        <v>19861.511276746132</v>
      </c>
      <c r="C14" s="41">
        <f>IFERROR(IF('PyG 3 Años'!$C$9="","",IF(C10&lt;=0,"",C6/C10)),"")</f>
        <v>20504.06091370558</v>
      </c>
      <c r="D14" s="41">
        <f>IFERROR(IF('PyG 3 Años'!$D$9="","",IF(D10&lt;=0,"",D6/D10)),"")</f>
        <v>21043.438833199332</v>
      </c>
      <c r="E14" s="29" t="n"/>
      <c r="F14" s="29" t="n"/>
    </row>
    <row r="15">
      <c r="A15" s="29" t="inlineStr">
        <is>
          <t>Pedidos necesarios al día</t>
        </is>
      </c>
      <c r="B15" s="45">
        <f>IFERROR(IF('PyG 3 Años'!$B$9="","",B14/B11),"")</f>
        <v>66.20503758915378</v>
      </c>
      <c r="C15" s="45">
        <f>IFERROR(IF('PyG 3 Años'!$C$9="","",C14/C11),"")</f>
        <v>68.34686971235193</v>
      </c>
      <c r="D15" s="45">
        <f>IFERROR(IF('PyG 3 Años'!$D$9="","",D14/D11),"")</f>
        <v>70.14479611066444</v>
      </c>
      <c r="E15" s="29" t="n"/>
      <c r="F15" s="29" t="n"/>
    </row>
    <row r="16">
      <c r="A16" s="26" t="inlineStr">
        <is>
          <t>Ingresos necesarios al año</t>
        </is>
      </c>
      <c r="B16" s="27">
        <f>IFERROR(IF('PyG 3 Años'!$B$9="","",B14*B8),"")</f>
        <v>313811.8781725889</v>
      </c>
      <c r="C16" s="27">
        <f>IFERROR(IF('PyG 3 Años'!$C$9="","",C14*C8),"")</f>
        <v>323964.16243654815</v>
      </c>
      <c r="D16" s="27">
        <f>IFERROR(IF('PyG 3 Años'!$D$9="","",D14*D8),"")</f>
        <v>332486.33356454945</v>
      </c>
      <c r="E16" s="29" t="n"/>
      <c r="F16" s="29" t="n"/>
    </row>
    <row r="17">
      <c r="A17" s="26" t="inlineStr">
        <is>
          <t>PUNTO DE EQUILIBRIO DE CAJA (incluye la cuota del préstamo)</t>
        </is>
      </c>
      <c r="B17" s="29" t="n"/>
      <c r="C17" s="29" t="n"/>
      <c r="D17" s="29" t="n"/>
      <c r="E17" s="29" t="n"/>
      <c r="F17" s="29" t="n"/>
    </row>
    <row r="18">
      <c r="A18" s="29" t="inlineStr">
        <is>
          <t>Costes fijos de caja + principal del año</t>
        </is>
      </c>
      <c r="B18" s="70">
        <f>IFERROR(IF('PyG 3 Años'!$B$9="","",B6-'PyG 3 Años'!$B$35+B12),"")</f>
        <v>177102.82</v>
      </c>
      <c r="C18" s="70">
        <f>IFERROR(IF('PyG 3 Años'!$C$9="","",C6-'PyG 3 Años'!$C$35+C12),"")</f>
        <v>199159.43438918827</v>
      </c>
      <c r="D18" s="70">
        <f>IFERROR(IF('PyG 3 Años'!$D$9="","",D6-'PyG 3 Años'!$D$35+D12),"")</f>
        <v>205159.4343891883</v>
      </c>
      <c r="E18" s="29" t="inlineStr">
        <is>
          <t>Los fijos del P&amp;L sin la amortización (que no se paga) y CON la devolución de principal (que sí). Es el umbral que decide si la caja aguanta</t>
        </is>
      </c>
      <c r="F18" s="29" t="n"/>
    </row>
    <row r="19">
      <c r="A19" s="29" t="inlineStr">
        <is>
          <t>Pedidos necesarios al año (caja)</t>
        </is>
      </c>
      <c r="B19" s="41">
        <f>IFERROR(IF('PyG 3 Años'!$B$9="","",IF(B10&lt;=0,"",B18/B10)),"")</f>
        <v>18966.225449249294</v>
      </c>
      <c r="C19" s="41">
        <f>IFERROR(IF('PyG 3 Años'!$C$9="","",IF(C10&lt;=0,"",C18/C10)),"")</f>
        <v>21328.30371063722</v>
      </c>
      <c r="D19" s="41">
        <f>IFERROR(IF('PyG 3 Años'!$D$9="","",IF(D10&lt;=0,"",D18/D10)),"")</f>
        <v>21970.853347596683</v>
      </c>
      <c r="E19" s="29" t="n"/>
      <c r="F19" s="29" t="n"/>
    </row>
    <row r="20">
      <c r="A20" s="26" t="inlineStr">
        <is>
          <t>Pedidos necesarios al día (caja)</t>
        </is>
      </c>
      <c r="B20" s="46">
        <f>IFERROR(IF('PyG 3 Años'!$B$9="","",B19/B11),"")</f>
        <v>63.220751497497645</v>
      </c>
      <c r="C20" s="46">
        <f>IFERROR(IF('PyG 3 Años'!$C$9="","",C19/C11),"")</f>
        <v>71.09434570212407</v>
      </c>
      <c r="D20" s="46">
        <f>IFERROR(IF('PyG 3 Años'!$D$9="","",D19/D11),"")</f>
        <v>73.23617782532227</v>
      </c>
      <c r="E20" s="29" t="n"/>
      <c r="F20" s="29" t="n"/>
    </row>
    <row r="21">
      <c r="A21" s="29" t="inlineStr">
        <is>
          <t>Ingresos necesarios al año (caja)</t>
        </is>
      </c>
      <c r="B21" s="33">
        <f>IFERROR(IF('PyG 3 Años'!$B$9="","",B19*B8),"")</f>
        <v>299666.36209813884</v>
      </c>
      <c r="C21" s="33">
        <f>IFERROR(IF('PyG 3 Años'!$C$9="","",C19*C8),"")</f>
        <v>336987.1986280681</v>
      </c>
      <c r="D21" s="33">
        <f>IFERROR(IF('PyG 3 Años'!$D$9="","",D19*D8),"")</f>
        <v>347139.4828920276</v>
      </c>
      <c r="E21" s="29" t="n"/>
      <c r="F21" s="29" t="n"/>
    </row>
    <row r="22">
      <c r="A22" s="26" t="inlineStr">
        <is>
          <t>CONTRASTE CON EL PLAN</t>
        </is>
      </c>
      <c r="B22" s="29" t="n"/>
      <c r="C22" s="29" t="n"/>
      <c r="D22" s="29" t="n"/>
      <c r="E22" s="29" t="n"/>
      <c r="F22" s="29" t="n"/>
    </row>
    <row r="23">
      <c r="A23" s="29" t="inlineStr">
        <is>
          <t>Pedidos/día previstos en el plan</t>
        </is>
      </c>
      <c r="B23" s="41">
        <f>IFERROR(IF('PyG 3 Años'!$B$9="","",'PyG 3 Años'!$B$6),"")</f>
        <v>77.0</v>
      </c>
      <c r="C23" s="41">
        <f>IFERROR(IF('PyG 3 Años'!$C$9="","",'PyG 3 Años'!$C$6),"")</f>
        <v>81.62</v>
      </c>
      <c r="D23" s="41">
        <f>IFERROR(IF('PyG 3 Años'!$D$9="","",'PyG 3 Años'!$D$6),"")</f>
        <v>84.88480000000001</v>
      </c>
      <c r="E23" s="29" t="n"/>
      <c r="F23" s="29" t="n"/>
    </row>
    <row r="24">
      <c r="A24" s="29" t="inlineStr">
        <is>
          <t>Holgura sobre el equilibrio de CAJA (%)</t>
        </is>
      </c>
      <c r="B24" s="68">
        <f>IFERROR(IF('PyG 3 Años'!$B$9="","",B23/B20-1),"")</f>
        <v>0.2179545193012733</v>
      </c>
      <c r="C24" s="68">
        <f>IFERROR(IF('PyG 3 Años'!$C$9="","",C23/C20-1),"")</f>
        <v>0.14805191881189872</v>
      </c>
      <c r="D24" s="68">
        <f>IFERROR(IF('PyG 3 Años'!$D$9="","",D23/D20-1),"")</f>
        <v>0.1590555722673186</v>
      </c>
      <c r="E24" s="29" t="inlineStr">
        <is>
          <t>Cuánto superan tus ventas previstas a las del equilibrio de caja. La caída que aguantas antes de no poder pagar los costes fijos y la cuota es algo menor: con un 25 % de holgura, un 20 %. El mínimo exigible está en la hoja de Supuestos</t>
        </is>
      </c>
      <c r="F24" s="29" t="n"/>
    </row>
    <row r="25">
      <c r="A25" s="26" t="inlineStr">
        <is>
          <t>INTERPRETACIÓN</t>
        </is>
      </c>
      <c r="B25" s="29" t="n"/>
      <c r="C25" s="29" t="n"/>
      <c r="D25" s="29" t="n"/>
      <c r="E25" s="29" t="n"/>
      <c r="F25" s="29" t="n"/>
    </row>
    <row r="26" ht="46" customHeight="1">
      <c r="A26" s="29" t="str">
        <f>IFERROR("Con el ticket medio sin IVA de la fila de arriba necesitas "&amp;TEXT(ROUNDUP(B15,0),"0")&amp;" pedidos al día durante los "&amp;TEXT(B11,"0")&amp;" días que abres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ticket medio sin IVA de la fila de arriba necesitas 67 pedidos al día durante los 300 días que abres para no perder dinero (equilibrio contable, con la amortización dentro), y 64 para que la caja aguante (equilibrio de caja: sin la amortización, que no se paga, y con la cuota del préstamo del año; este año sólo intereses, porque el préstamo está en carencia). En las filas «Ingresos necesarios al año» tienes esas mismas cifras en euros.</v>
      </c>
      <c r="B26" s="29" t="n"/>
      <c r="C26" s="29" t="n"/>
      <c r="D26" s="29" t="n"/>
      <c r="E26" s="29" t="n"/>
      <c r="F26" s="29" t="n"/>
    </row>
    <row r="27">
      <c r="A27" s="29" t="n"/>
      <c r="B27" s="29" t="n"/>
      <c r="C27" s="29" t="n"/>
      <c r="D27" s="29" t="n"/>
      <c r="E27" s="29" t="n"/>
      <c r="F27" s="29" t="n"/>
    </row>
    <row r="28">
      <c r="A28" s="26" t="inlineStr">
        <is>
          <t>SENSIBILIDAD DEL PUNTO DE EQUILIBRIO</t>
        </is>
      </c>
      <c r="B28" s="29" t="n"/>
      <c r="C28" s="29" t="n"/>
      <c r="D28" s="29" t="n"/>
      <c r="E28" s="29" t="n"/>
      <c r="F28" s="29" t="n"/>
    </row>
    <row r="29" ht="60" customHeight="1">
      <c r="A29" s="48" t="inlineStr">
        <is>
          <t>Pedidos/día necesarios para cubrir costes según el ticket medio (columnas) y el coste variable por pedido (filas). En verde, los que están por debajo de los pedidos que prevé el plan.</t>
        </is>
      </c>
      <c r="B29" s="29" t="n"/>
      <c r="C29" s="29" t="n"/>
      <c r="D29" s="29" t="n"/>
      <c r="E29" s="29" t="n"/>
      <c r="F29" s="29" t="n"/>
    </row>
    <row r="30">
      <c r="A30" s="29" t="n"/>
      <c r="B30" s="29" t="n"/>
      <c r="C30" s="29" t="n"/>
      <c r="D30" s="29" t="n"/>
      <c r="E30" s="29" t="n"/>
      <c r="F30" s="29" t="n"/>
    </row>
    <row r="31" ht="30" customHeight="1">
      <c r="A31" s="40" t="inlineStr">
        <is>
          <t>Pedidos/día necesarios: ticket medio sin IVA (columnas) × coste variable por pedido (filas)</t>
        </is>
      </c>
      <c r="B31" s="72">
        <f>IFERROR($B$8-2,"")</f>
        <v>13.8</v>
      </c>
      <c r="C31" s="72">
        <f>IFERROR(IF($B$8="","",$B$8),"")</f>
        <v>15.8</v>
      </c>
      <c r="D31" s="72">
        <f>IFERROR($B$8+2,"")</f>
        <v>17.8</v>
      </c>
      <c r="E31" s="72">
        <f>IFERROR($B$8+4,"")</f>
        <v>19.8</v>
      </c>
      <c r="F31" s="29" t="n"/>
    </row>
    <row r="32">
      <c r="A32" s="70">
        <f>IFERROR($B$9*0.85,"")</f>
        <v>5.492870000000002</v>
      </c>
      <c r="B32" s="45">
        <f>IFERROR(IF($B$31-$A32&lt;=0,"",$B$6/($B$31-$A32)/$B$11),"")</f>
        <v>74.41913151714252</v>
      </c>
      <c r="C32" s="45">
        <f>IFERROR(IF($C$31-$A32&lt;=0,"",$B$6/($C$31-$A32)/$B$11),"")</f>
        <v>59.97881078437936</v>
      </c>
      <c r="D32" s="45">
        <f>IFERROR(IF($D$31-$A32&lt;=0,"",$B$6/($D$31-$A32)/$B$11),"")</f>
        <v>50.23180871576071</v>
      </c>
      <c r="E32" s="45">
        <f>IFERROR(IF($E$31-$A32&lt;=0,"",$B$6/($E$31-$A32)/$B$11),"")</f>
        <v>43.20988206579517</v>
      </c>
      <c r="F32" s="29" t="n"/>
    </row>
    <row r="33">
      <c r="A33" s="70">
        <f>IFERROR($B$9*0.925,"")</f>
        <v>5.977535000000002</v>
      </c>
      <c r="B33" s="45">
        <f>IFERROR(IF($B$31-$A33&lt;=0,"",$B$6/($B$31-$A33)/$B$11),"")</f>
        <v>79.02999885585939</v>
      </c>
      <c r="C33" s="45">
        <f>IFERROR(IF($C$31-$A33&lt;=0,"",$B$6/($C$31-$A33)/$B$11),"")</f>
        <v>62.938315382136786</v>
      </c>
      <c r="D33" s="45">
        <f>IFERROR(IF($D$31-$A33&lt;=0,"",$B$6/($D$31-$A33)/$B$11),"")</f>
        <v>52.29107466167167</v>
      </c>
      <c r="E33" s="45">
        <f>IFERROR(IF($E$31-$A33&lt;=0,"",$B$6/($E$31-$A33)/$B$11),"")</f>
        <v>44.72497488689609</v>
      </c>
      <c r="F33" s="29" t="n"/>
    </row>
    <row r="34">
      <c r="A34" s="70">
        <f>IFERROR($B$9*1.0,"")</f>
        <v>6.462200000000002</v>
      </c>
      <c r="B34" s="45">
        <f>IFERROR(IF($B$31-$A34&lt;=0,"",$B$6/($B$31-$A34)/$B$11),"")</f>
        <v>84.24996592984276</v>
      </c>
      <c r="C34" s="45">
        <f>IFERROR(IF($C$31-$A34&lt;=0,"",$B$6/($C$31-$A34)/$B$11),"")</f>
        <v>66.20503758915378</v>
      </c>
      <c r="D34" s="45">
        <f>IFERROR(IF($D$31-$A34&lt;=0,"",$B$6/($D$31-$A34)/$B$11),"")</f>
        <v>54.526398419446465</v>
      </c>
      <c r="E34" s="45">
        <f>IFERROR(IF($E$31-$A34&lt;=0,"",$B$6/($E$31-$A34)/$B$11),"")</f>
        <v>46.3501776904737</v>
      </c>
      <c r="F34" s="29" t="n"/>
    </row>
    <row r="35">
      <c r="A35" s="70">
        <f>IFERROR($B$9*1.075,"")</f>
        <v>6.946865000000002</v>
      </c>
      <c r="B35" s="45">
        <f>IFERROR(IF($B$31-$A35&lt;=0,"",$B$6/($B$31-$A35)/$B$11),"")</f>
        <v>90.2082623500048</v>
      </c>
      <c r="C35" s="45">
        <f>IFERROR(IF($C$31-$A35&lt;=0,"",$B$6/($C$31-$A35)/$B$11),"")</f>
        <v>69.82943330244034</v>
      </c>
      <c r="D35" s="45">
        <f>IFERROR(IF($D$31-$A35&lt;=0,"",$B$6/($D$31-$A35)/$B$11),"")</f>
        <v>56.961366462317116</v>
      </c>
      <c r="E35" s="45">
        <f>IFERROR(IF($E$31-$A35&lt;=0,"",$B$6/($E$31-$A35)/$B$11),"")</f>
        <v>48.097946532110655</v>
      </c>
      <c r="F35" s="29" t="n"/>
    </row>
    <row r="36">
      <c r="A36" s="70">
        <f>IFERROR($B$9*1.15,"")</f>
        <v>7.431530000000001</v>
      </c>
      <c r="B36" s="45">
        <f>IFERROR(IF($B$31-$A36&lt;=0,"",$B$6/($B$31-$A36)/$B$11),"")</f>
        <v>97.07345720400663</v>
      </c>
      <c r="C36" s="45">
        <f>IFERROR(IF($C$31-$A36&lt;=0,"",$B$6/($C$31-$A36)/$B$11),"")</f>
        <v>73.8736471541393</v>
      </c>
      <c r="D36" s="45">
        <f>IFERROR(IF($D$31-$A36&lt;=0,"",$B$6/($D$31-$A36)/$B$11),"")</f>
        <v>59.62397537920253</v>
      </c>
      <c r="E36" s="45">
        <f>IFERROR(IF($E$31-$A36&lt;=0,"",$B$6/($E$31-$A36)/$B$11),"")</f>
        <v>49.98268985573802</v>
      </c>
      <c r="F36" s="29" t="n"/>
    </row>
    <row r="37">
      <c r="A37" s="29" t="n"/>
      <c r="B37" s="29" t="n"/>
      <c r="C37" s="29" t="n"/>
      <c r="D37" s="29" t="n"/>
      <c r="E37" s="29" t="n"/>
      <c r="F37" s="29" t="n"/>
    </row>
    <row r="38">
      <c r="A38" s="29" t="n"/>
      <c r="B38" s="29" t="n"/>
      <c r="C38" s="29" t="n"/>
      <c r="D38" s="29" t="n"/>
      <c r="E38" s="29" t="n"/>
      <c r="F38" s="29" t="n"/>
    </row>
    <row r="39">
      <c r="A39" s="29" t="n"/>
      <c r="B39" s="29" t="n"/>
      <c r="C39" s="29" t="n"/>
      <c r="D39" s="29" t="n"/>
      <c r="E39" s="29" t="n"/>
      <c r="F39" s="29" t="n"/>
    </row>
    <row r="40">
      <c r="A40" s="29" t="n"/>
      <c r="B40" s="29" t="n"/>
      <c r="C40" s="29" t="n"/>
      <c r="D40" s="29" t="n"/>
      <c r="E40" s="29" t="n"/>
      <c r="F40" s="29" t="n"/>
    </row>
    <row r="41">
      <c r="A41" s="29" t="n"/>
      <c r="B41" s="29" t="n"/>
      <c r="C41" s="29" t="n"/>
      <c r="D41" s="29" t="n"/>
      <c r="E41" s="29" t="n"/>
      <c r="F41" s="29" t="n"/>
    </row>
    <row r="42">
      <c r="A42" s="29" t="n"/>
      <c r="B42" s="29" t="n"/>
      <c r="C42" s="29" t="n"/>
      <c r="D42" s="29" t="n"/>
      <c r="E42" s="29" t="n"/>
      <c r="F42" s="29" t="n"/>
    </row>
    <row r="43">
      <c r="A43" s="29" t="n"/>
      <c r="B43" s="29" t="n"/>
      <c r="C43" s="29" t="n"/>
      <c r="D43" s="29" t="n"/>
      <c r="E43" s="29" t="n"/>
      <c r="F43" s="29" t="n"/>
    </row>
    <row r="44">
      <c r="A44" s="29" t="n"/>
      <c r="B44" s="29" t="n"/>
      <c r="C44" s="29" t="n"/>
      <c r="D44" s="29" t="n"/>
      <c r="E44" s="29" t="n"/>
      <c r="F44" s="29" t="n"/>
    </row>
    <row r="45">
      <c r="A45" s="29" t="n"/>
      <c r="B45" s="29" t="n"/>
      <c r="C45" s="29" t="n"/>
      <c r="D45" s="29" t="n"/>
      <c r="E45" s="29" t="n"/>
      <c r="F45" s="29" t="n"/>
    </row>
    <row r="46">
      <c r="A46" s="29" t="n"/>
      <c r="B46" s="29" t="n"/>
      <c r="C46" s="29" t="n"/>
      <c r="D46" s="29" t="n"/>
      <c r="E46" s="29" t="n"/>
      <c r="F46" s="29" t="n"/>
    </row>
    <row r="47">
      <c r="A47" s="29" t="n"/>
      <c r="B47" s="29" t="n"/>
      <c r="C47" s="29" t="n"/>
      <c r="D47" s="29" t="n"/>
      <c r="E47" s="29" t="n"/>
      <c r="F47" s="29" t="n"/>
    </row>
    <row r="48">
      <c r="A48" s="29" t="n"/>
      <c r="B48" s="29" t="n"/>
      <c r="C48" s="29" t="n"/>
      <c r="D48" s="29" t="n"/>
      <c r="E48" s="29" t="n"/>
      <c r="F48" s="29" t="n"/>
    </row>
    <row r="49">
      <c r="A49" s="29" t="n"/>
      <c r="B49" s="29" t="n"/>
      <c r="C49" s="29" t="n"/>
      <c r="D49" s="29" t="n"/>
      <c r="E49" s="29" t="n"/>
      <c r="F49" s="29" t="n"/>
    </row>
    <row r="50">
      <c r="A50" s="29" t="n"/>
      <c r="B50" s="29" t="n"/>
      <c r="C50" s="29" t="n"/>
      <c r="D50" s="29" t="n"/>
      <c r="E50" s="29" t="n"/>
      <c r="F50" s="29" t="n"/>
    </row>
    <row r="51">
      <c r="A51" s="29" t="n"/>
      <c r="B51" s="29" t="n"/>
      <c r="C51" s="29" t="n"/>
      <c r="D51" s="29" t="n"/>
      <c r="E51" s="29" t="n"/>
      <c r="F51" s="29" t="n"/>
    </row>
    <row r="52">
      <c r="A52" s="29" t="n"/>
      <c r="B52" s="29" t="n"/>
      <c r="C52" s="29" t="n"/>
      <c r="D52" s="29" t="n"/>
      <c r="E52" s="29" t="n"/>
      <c r="F52" s="29" t="n"/>
    </row>
    <row r="53">
      <c r="A53" s="29" t="n"/>
      <c r="B53" s="29" t="n"/>
      <c r="C53" s="29" t="n"/>
      <c r="D53" s="29" t="n"/>
      <c r="E53" s="29" t="n"/>
      <c r="F53" s="29" t="n"/>
    </row>
    <row r="54">
      <c r="A54" s="29" t="n"/>
      <c r="B54" s="29" t="n"/>
      <c r="C54" s="29" t="n"/>
      <c r="D54" s="29" t="n"/>
      <c r="E54" s="29" t="n"/>
      <c r="F54" s="29" t="n"/>
    </row>
    <row r="55">
      <c r="A55" s="29" t="n"/>
      <c r="B55" s="29" t="n"/>
      <c r="C55" s="29" t="n"/>
      <c r="D55" s="29" t="n"/>
      <c r="E55" s="29" t="n"/>
      <c r="F55" s="29" t="n"/>
    </row>
    <row r="56">
      <c r="A56" s="29" t="n"/>
      <c r="B56" s="29" t="n"/>
      <c r="C56" s="29" t="n"/>
      <c r="D56" s="29" t="n"/>
      <c r="E56" s="29" t="n"/>
      <c r="F56" s="29" t="n"/>
    </row>
    <row r="57">
      <c r="A57" s="29" t="n"/>
      <c r="B57" s="29" t="n"/>
      <c r="C57" s="29" t="n"/>
      <c r="D57" s="29" t="n"/>
      <c r="E57" s="29" t="n"/>
      <c r="F57" s="29" t="n"/>
    </row>
    <row r="58">
      <c r="A58" s="29" t="n"/>
      <c r="B58" s="29" t="n"/>
      <c r="C58" s="29" t="n"/>
      <c r="D58" s="29" t="n"/>
      <c r="E58" s="29" t="n"/>
      <c r="F58" s="29" t="n"/>
    </row>
    <row r="59">
      <c r="A59" s="29" t="n"/>
      <c r="B59" s="29" t="n"/>
      <c r="C59" s="29" t="n"/>
      <c r="D59" s="29" t="n"/>
      <c r="E59" s="29" t="n"/>
      <c r="F59" s="29" t="n"/>
    </row>
    <row r="60">
      <c r="A60" s="29" t="n"/>
      <c r="B60" s="29" t="n"/>
      <c r="C60" s="29" t="n"/>
      <c r="D60" s="29" t="n"/>
      <c r="E60" s="29" t="n"/>
      <c r="F60" s="29" t="n"/>
    </row>
    <row r="61">
      <c r="A61" s="29" t="n"/>
      <c r="B61" s="29" t="n"/>
      <c r="C61" s="29" t="n"/>
      <c r="D61" s="29" t="n"/>
      <c r="E61" s="29" t="n"/>
      <c r="F61" s="29" t="n"/>
    </row>
    <row r="62">
      <c r="A62" s="29" t="n"/>
      <c r="B62" s="29" t="n"/>
      <c r="C62" s="29" t="n"/>
      <c r="D62" s="29" t="n"/>
      <c r="E62" s="29" t="n"/>
      <c r="F62" s="29" t="n"/>
    </row>
    <row r="63">
      <c r="A63" s="29" t="n"/>
      <c r="B63" s="29" t="n"/>
      <c r="C63" s="29" t="n"/>
      <c r="D63" s="29" t="n"/>
      <c r="E63" s="29" t="n"/>
      <c r="F63" s="29" t="n"/>
    </row>
    <row r="64">
      <c r="A64" s="29" t="n"/>
      <c r="B64" s="29" t="n"/>
      <c r="C64" s="29" t="n"/>
      <c r="D64" s="29" t="n"/>
      <c r="E64" s="29" t="n"/>
      <c r="F64" s="29" t="n"/>
    </row>
    <row r="65">
      <c r="A65" s="29" t="n"/>
      <c r="B65" s="29" t="n"/>
      <c r="C65" s="29" t="n"/>
      <c r="D65" s="29" t="n"/>
      <c r="E65" s="29" t="n"/>
      <c r="F65" s="29" t="n"/>
    </row>
    <row r="66">
      <c r="A66" s="29" t="n"/>
      <c r="B66" s="29" t="n"/>
      <c r="C66" s="29" t="n"/>
      <c r="D66" s="29" t="n"/>
      <c r="E66" s="29" t="n"/>
      <c r="F66" s="29" t="n"/>
    </row>
    <row r="67">
      <c r="A67" s="29" t="n"/>
      <c r="B67" s="29" t="n"/>
      <c r="C67" s="29" t="n"/>
      <c r="D67" s="29" t="n"/>
      <c r="E67" s="29" t="n"/>
      <c r="F67" s="29" t="n"/>
    </row>
    <row r="68">
      <c r="A68" s="29" t="n"/>
      <c r="B68" s="29" t="n"/>
      <c r="C68" s="29" t="n"/>
      <c r="D68" s="29" t="n"/>
      <c r="E68" s="29" t="n"/>
      <c r="F68" s="29" t="n"/>
    </row>
    <row r="69">
      <c r="A69" s="29" t="n"/>
      <c r="B69" s="29" t="n"/>
      <c r="C69" s="29" t="n"/>
      <c r="D69" s="29" t="n"/>
      <c r="E69" s="29" t="n"/>
      <c r="F69" s="29" t="n"/>
    </row>
    <row r="70">
      <c r="A70" s="29" t="n"/>
      <c r="B70" s="29" t="n"/>
      <c r="C70" s="29" t="n"/>
      <c r="D70" s="29" t="n"/>
      <c r="E70" s="29" t="n"/>
      <c r="F70" s="29" t="n"/>
    </row>
    <row r="71">
      <c r="A71" s="29" t="n"/>
      <c r="B71" s="29" t="n"/>
      <c r="C71" s="29" t="n"/>
      <c r="D71" s="29" t="n"/>
      <c r="E71" s="29" t="n"/>
      <c r="F71" s="29" t="n"/>
    </row>
    <row r="72">
      <c r="A72" s="29" t="n"/>
      <c r="B72" s="29" t="n"/>
      <c r="C72" s="29" t="n"/>
      <c r="D72" s="29" t="n"/>
      <c r="E72" s="29" t="n"/>
      <c r="F72" s="29" t="n"/>
    </row>
    <row r="73">
      <c r="A73" s="29" t="n"/>
      <c r="B73" s="29" t="n"/>
      <c r="C73" s="29" t="n"/>
      <c r="D73" s="29" t="n"/>
      <c r="E73" s="29" t="n"/>
      <c r="F73" s="29" t="n"/>
    </row>
    <row r="74">
      <c r="A74" s="29" t="n"/>
      <c r="B74" s="29" t="n"/>
      <c r="C74" s="29" t="n"/>
      <c r="D74" s="29" t="n"/>
      <c r="E74" s="29" t="n"/>
      <c r="F74" s="29" t="n"/>
    </row>
    <row r="75">
      <c r="A75" s="29" t="n"/>
      <c r="B75" s="29" t="n"/>
      <c r="C75" s="29" t="n"/>
      <c r="D75" s="29" t="n"/>
      <c r="E75" s="29" t="n"/>
      <c r="F75" s="29" t="n"/>
    </row>
    <row r="76">
      <c r="A76" s="29" t="n"/>
      <c r="B76" s="29" t="n"/>
      <c r="C76" s="29" t="n"/>
      <c r="D76" s="29" t="n"/>
      <c r="E76" s="29" t="n"/>
      <c r="F76" s="29" t="n"/>
    </row>
    <row r="77">
      <c r="A77" s="29" t="n"/>
      <c r="B77" s="29" t="n"/>
      <c r="C77" s="29" t="n"/>
      <c r="D77" s="29" t="n"/>
      <c r="E77" s="29" t="n"/>
      <c r="F77" s="29" t="n"/>
    </row>
    <row r="78">
      <c r="A78" s="29" t="n"/>
      <c r="B78" s="29" t="n"/>
      <c r="C78" s="29" t="n"/>
      <c r="D78" s="29" t="n"/>
      <c r="E78" s="29" t="n"/>
      <c r="F78" s="29" t="n"/>
    </row>
    <row r="79">
      <c r="A79" s="29" t="n"/>
      <c r="B79" s="29" t="n"/>
      <c r="C79" s="29" t="n"/>
      <c r="D79" s="29" t="n"/>
      <c r="E79" s="29" t="n"/>
      <c r="F79" s="29" t="n"/>
    </row>
    <row r="80">
      <c r="A80" s="29" t="n"/>
      <c r="B80" s="29" t="n"/>
      <c r="C80" s="29" t="n"/>
      <c r="D80" s="29" t="n"/>
      <c r="E80" s="29" t="n"/>
      <c r="F80" s="29" t="n"/>
    </row>
    <row r="81">
      <c r="A81" s="29" t="n"/>
      <c r="B81" s="29" t="n"/>
      <c r="C81" s="29" t="n"/>
      <c r="D81" s="29" t="n"/>
      <c r="E81" s="29" t="n"/>
      <c r="F81" s="29" t="n"/>
    </row>
    <row r="82">
      <c r="A82" s="29" t="n"/>
      <c r="B82" s="29" t="n"/>
      <c r="C82" s="29" t="n"/>
      <c r="D82" s="29" t="n"/>
      <c r="E82" s="29" t="n"/>
      <c r="F82" s="29" t="n"/>
    </row>
    <row r="83">
      <c r="A83" s="29" t="n"/>
      <c r="B83" s="29" t="n"/>
      <c r="C83" s="29" t="n"/>
      <c r="D83" s="29" t="n"/>
      <c r="E83" s="29" t="n"/>
      <c r="F83" s="29" t="n"/>
    </row>
    <row r="84">
      <c r="A84" s="29" t="n"/>
      <c r="B84" s="29" t="n"/>
      <c r="C84" s="29" t="n"/>
      <c r="D84" s="29" t="n"/>
      <c r="E84" s="29" t="n"/>
      <c r="F84" s="29" t="n"/>
    </row>
    <row r="85">
      <c r="A85" s="29" t="n"/>
      <c r="B85" s="29" t="n"/>
      <c r="C85" s="29" t="n"/>
      <c r="D85" s="29" t="n"/>
      <c r="E85" s="29" t="n"/>
      <c r="F85" s="29" t="n"/>
    </row>
    <row r="86">
      <c r="A86" s="29" t="n"/>
      <c r="B86" s="29" t="n"/>
      <c r="C86" s="29" t="n"/>
      <c r="D86" s="29" t="n"/>
      <c r="E86" s="29" t="n"/>
      <c r="F86" s="29" t="n"/>
    </row>
    <row r="87">
      <c r="A87" s="29" t="n"/>
      <c r="B87" s="29" t="n"/>
      <c r="C87" s="29" t="n"/>
      <c r="D87" s="29" t="n"/>
      <c r="E87" s="29" t="n"/>
      <c r="F87" s="29" t="n"/>
    </row>
    <row r="88">
      <c r="A88" s="29" t="n"/>
      <c r="B88" s="29" t="n"/>
      <c r="C88" s="29" t="n"/>
      <c r="D88" s="29" t="n"/>
      <c r="E88" s="29" t="n"/>
      <c r="F88" s="29" t="n"/>
    </row>
    <row r="89">
      <c r="A89" s="29" t="n"/>
      <c r="B89" s="29" t="n"/>
      <c r="C89" s="29" t="n"/>
      <c r="D89" s="29" t="n"/>
      <c r="E89" s="29" t="n"/>
      <c r="F89" s="29" t="n"/>
    </row>
    <row r="90">
      <c r="A90" s="29" t="n"/>
      <c r="B90" s="29" t="n"/>
      <c r="C90" s="29" t="n"/>
      <c r="D90" s="29" t="n"/>
      <c r="E90" s="29" t="n"/>
      <c r="F90" s="29" t="n"/>
    </row>
    <row r="91">
      <c r="A91" s="29" t="n"/>
      <c r="B91" s="29" t="n"/>
      <c r="C91" s="29" t="n"/>
      <c r="D91" s="29" t="n"/>
      <c r="E91" s="29" t="n"/>
      <c r="F91" s="29" t="n"/>
    </row>
    <row r="92">
      <c r="A92" s="29" t="n"/>
      <c r="B92" s="29" t="n"/>
      <c r="C92" s="29" t="n"/>
      <c r="D92" s="29" t="n"/>
      <c r="E92" s="29" t="n"/>
      <c r="F92" s="29" t="n"/>
    </row>
    <row r="93">
      <c r="A93" s="29" t="n"/>
      <c r="B93" s="29" t="n"/>
      <c r="C93" s="29" t="n"/>
      <c r="D93" s="29" t="n"/>
      <c r="E93" s="29" t="n"/>
      <c r="F93" s="29" t="n"/>
    </row>
    <row r="94">
      <c r="A94" s="29" t="n"/>
      <c r="B94" s="29" t="n"/>
      <c r="C94" s="29" t="n"/>
      <c r="D94" s="29" t="n"/>
      <c r="E94" s="29" t="n"/>
      <c r="F94" s="29" t="n"/>
    </row>
    <row r="95">
      <c r="A95" s="29" t="n"/>
      <c r="B95" s="29" t="n"/>
      <c r="C95" s="29" t="n"/>
      <c r="D95" s="29" t="n"/>
      <c r="E95" s="29" t="n"/>
      <c r="F95" s="29" t="n"/>
    </row>
    <row r="96">
      <c r="A96" s="29" t="n"/>
      <c r="B96" s="29" t="n"/>
      <c r="C96" s="29" t="n"/>
      <c r="D96" s="29" t="n"/>
      <c r="E96" s="29" t="n"/>
      <c r="F96" s="29" t="n"/>
    </row>
    <row r="97">
      <c r="A97" s="29" t="n"/>
      <c r="B97" s="29" t="n"/>
      <c r="C97" s="29" t="n"/>
      <c r="D97" s="29" t="n"/>
      <c r="E97" s="29" t="n"/>
      <c r="F97" s="29" t="n"/>
    </row>
    <row r="98">
      <c r="A98" s="29" t="n"/>
      <c r="B98" s="29" t="n"/>
      <c r="C98" s="29" t="n"/>
      <c r="D98" s="29" t="n"/>
      <c r="E98" s="29" t="n"/>
      <c r="F9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c r="A2" s="3" t="inlineStr">
        <is>
          <t>Pesimista / Realista / Optimista — Año 1</t>
        </is>
      </c>
    </row>
    <row r="3"/>
    <row r="4">
      <c r="A4" s="26" t="inlineStr">
        <is>
          <t>Métrica</t>
        </is>
      </c>
      <c r="B4" s="26" t="inlineStr">
        <is>
          <t>Pesimista</t>
        </is>
      </c>
      <c r="C4" s="26" t="inlineStr">
        <is>
          <t>Realista</t>
        </is>
      </c>
      <c r="D4" s="26" t="inlineStr">
        <is>
          <t>Optimista</t>
        </is>
      </c>
      <c r="E4" s="26" t="inlineStr">
        <is>
          <t>Notas</t>
        </is>
      </c>
      <c r="F4" s="29" t="n"/>
    </row>
    <row r="5">
      <c r="A5" s="29" t="inlineStr">
        <is>
          <t>Pedidos/día</t>
        </is>
      </c>
      <c r="B5" s="51" t="n">
        <v>66</v>
      </c>
      <c r="C5" s="41">
        <f>IFERROR(IF('PyG 3 Años'!$B$6="","",'PyG 3 Años'!$B$6),"")</f>
        <v>77.0</v>
      </c>
      <c r="D5" s="51" t="n">
        <v>88</v>
      </c>
      <c r="E5" s="29" t="n"/>
      <c r="F5" s="29" t="n"/>
    </row>
    <row r="6">
      <c r="A6" s="29" t="inlineStr">
        <is>
          <t>Ticket medio sin IVA</t>
        </is>
      </c>
      <c r="B6" s="73" t="n">
        <v>15</v>
      </c>
      <c r="C6" s="70">
        <f>IFERROR(IF('PyG 3 Años'!$B$7="","",'PyG 3 Años'!$B$7),"")</f>
        <v>15.8</v>
      </c>
      <c r="D6" s="73" t="n">
        <v>16.5</v>
      </c>
      <c r="E6" s="29" t="n"/>
      <c r="F6" s="29" t="n"/>
    </row>
    <row r="7">
      <c r="A7" s="29" t="inlineStr">
        <is>
          <t>Días de apertura al año</t>
        </is>
      </c>
      <c r="B7" s="51" t="n">
        <v>295</v>
      </c>
      <c r="C7" s="41">
        <f>IFERROR(IF('PyG 3 Años'!$B$8="","",'PyG 3 Años'!$B$8),"")</f>
        <v>300.0</v>
      </c>
      <c r="D7" s="51" t="n">
        <v>305</v>
      </c>
      <c r="E7" s="29" t="n"/>
      <c r="F7" s="29" t="n"/>
    </row>
    <row r="8">
      <c r="A8" s="26" t="inlineStr">
        <is>
          <t>INGRESOS ANUALES (sin IVA)</t>
        </is>
      </c>
      <c r="B8" s="27">
        <f>IFERROR(IF(B5*B6*B7=0,"",B5*B6*B7),"")</f>
        <v>292050.0</v>
      </c>
      <c r="C8" s="27">
        <f>IFERROR(IF(C5*C6*C7=0,"",C5*C6*C7),"")</f>
        <v>364980.00000000006</v>
      </c>
      <c r="D8" s="27">
        <f>IFERROR(IF(D5*D6*D7=0,"",D5*D6*D7),"")</f>
        <v>442860.0</v>
      </c>
      <c r="E8" s="29" t="n"/>
      <c r="F8" s="29" t="n"/>
    </row>
    <row r="9">
      <c r="A9" s="29" t="inlineStr">
        <is>
          <t>Coste de mercancía — comida</t>
        </is>
      </c>
      <c r="B9" s="33">
        <f>IFERROR(IF(B8="","",B8*'0. Supuestos'!$B$11*'0. Supuestos'!$B$13),"")</f>
        <v>84110.40000000001</v>
      </c>
      <c r="C9" s="33">
        <f>IFERROR(IF(C8="","",C8*'0. Supuestos'!$B$11*'0. Supuestos'!$B$13),"")</f>
        <v>105114.24000000002</v>
      </c>
      <c r="D9" s="33">
        <f>IFERROR(IF(D8="","",D8*'0. Supuestos'!$B$11*'0. Supuestos'!$B$13),"")</f>
        <v>127543.68000000001</v>
      </c>
      <c r="E9" s="29" t="n"/>
      <c r="F9" s="29" t="n"/>
    </row>
    <row r="10">
      <c r="A10" s="29" t="inlineStr">
        <is>
          <t>Coste de mercancía — bebida</t>
        </is>
      </c>
      <c r="B10" s="33">
        <f>IFERROR(IF(B8="","",B8*'0. Supuestos'!$B$12*'0. Supuestos'!$B$14),"")</f>
        <v>8761.499999999998</v>
      </c>
      <c r="C10" s="33">
        <f>IFERROR(IF(C8="","",C8*'0. Supuestos'!$B$12*'0. Supuestos'!$B$14),"")</f>
        <v>10949.4</v>
      </c>
      <c r="D10" s="33">
        <f>IFERROR(IF(D8="","",D8*'0. Supuestos'!$B$12*'0. Supuestos'!$B$14),"")</f>
        <v>13285.799999999997</v>
      </c>
      <c r="E10" s="29" t="n"/>
      <c r="F10" s="29" t="n"/>
    </row>
    <row r="11">
      <c r="A11" s="29" t="inlineStr">
        <is>
          <t>Consumibles y envases</t>
        </is>
      </c>
      <c r="B11" s="33">
        <f>IFERROR(IF(B8="","",B8*'0. Supuestos'!$B$15),"")</f>
        <v>8761.5</v>
      </c>
      <c r="C11" s="33">
        <f>IFERROR(IF(C8="","",C8*'0. Supuestos'!$B$15),"")</f>
        <v>10949.400000000001</v>
      </c>
      <c r="D11" s="33">
        <f>IFERROR(IF(D8="","",D8*'0. Supuestos'!$B$15),"")</f>
        <v>13285.8</v>
      </c>
      <c r="E11" s="29" t="n"/>
      <c r="F11" s="29" t="n"/>
    </row>
    <row r="12">
      <c r="A12" s="29" t="inlineStr">
        <is>
          <t>Comisiones de delivery</t>
        </is>
      </c>
      <c r="B12" s="33">
        <f>IFERROR(IF(B8="","",B8*'0. Supuestos'!$B$16*'0. Supuestos'!$B$17),"")</f>
        <v>9637.65</v>
      </c>
      <c r="C12" s="33">
        <f>IFERROR(IF(C8="","",C8*'0. Supuestos'!$B$16*'0. Supuestos'!$B$17),"")</f>
        <v>12044.340000000002</v>
      </c>
      <c r="D12" s="33">
        <f>IFERROR(IF(D8="","",D8*'0. Supuestos'!$B$16*'0. Supuestos'!$B$17),"")</f>
        <v>14614.38</v>
      </c>
      <c r="E12" s="29" t="n"/>
      <c r="F12" s="29" t="n"/>
    </row>
    <row r="13">
      <c r="A13" s="29" t="inlineStr">
        <is>
          <t>Comisiones de los medios de pago</t>
        </is>
      </c>
      <c r="B13" s="33">
        <f>IFERROR(IF(B8="","",B8*'0. Supuestos'!$B$18),"")</f>
        <v>2336.4</v>
      </c>
      <c r="C13" s="33">
        <f>IFERROR(IF(C8="","",C8*'0. Supuestos'!$B$18),"")</f>
        <v>2919.8400000000006</v>
      </c>
      <c r="D13" s="33">
        <f>IFERROR(IF(D8="","",D8*'0. Supuestos'!$B$18),"")</f>
        <v>3542.88</v>
      </c>
      <c r="E13" s="29" t="n"/>
      <c r="F13" s="29" t="n"/>
    </row>
    <row r="14">
      <c r="A14" s="29" t="inlineStr">
        <is>
          <t>Varios e imprevistos</t>
        </is>
      </c>
      <c r="B14" s="33">
        <f>IFERROR(IF(B8="","",B8*'0. Supuestos'!$B$28),"")</f>
        <v>5841.0</v>
      </c>
      <c r="C14" s="33">
        <f>IFERROR(IF(C8="","",C8*'0. Supuestos'!$B$28),"")</f>
        <v>7299.600000000001</v>
      </c>
      <c r="D14" s="33">
        <f>IFERROR(IF(D8="","",D8*'0. Supuestos'!$B$28),"")</f>
        <v>8857.2</v>
      </c>
      <c r="E14" s="29" t="n"/>
      <c r="F14" s="29" t="n"/>
    </row>
    <row r="15">
      <c r="A15" s="29" t="inlineStr">
        <is>
          <t>TOTAL COSTES VARIABLES</t>
        </is>
      </c>
      <c r="B15" s="33">
        <f>IFERROR(IF(B8="","",SUM(B9:B14)),"")</f>
        <v>119448.45000000001</v>
      </c>
      <c r="C15" s="33">
        <f>IFERROR(IF(C8="","",SUM(C9:C14)),"")</f>
        <v>149276.82000000004</v>
      </c>
      <c r="D15" s="33">
        <f>IFERROR(IF(D8="","",SUM(D9:D14)),"")</f>
        <v>181129.74</v>
      </c>
      <c r="E15" s="29" t="n"/>
      <c r="F15" s="29" t="n"/>
    </row>
    <row r="16">
      <c r="A16" s="29" t="inlineStr">
        <is>
          <t>MARGEN BRUTO</t>
        </is>
      </c>
      <c r="B16" s="33">
        <f>IFERROR(IF(B8="","",B8-B15),"")</f>
        <v>172601.55</v>
      </c>
      <c r="C16" s="33">
        <f>IFERROR(IF(C8="","",C8-C15),"")</f>
        <v>215703.18000000002</v>
      </c>
      <c r="D16" s="33">
        <f>IFERROR(IF(D8="","",D8-D15),"")</f>
        <v>261730.26</v>
      </c>
      <c r="E16" s="29" t="n"/>
      <c r="F16" s="29" t="n"/>
    </row>
    <row r="17">
      <c r="A17" s="29" t="inlineStr">
        <is>
          <t>COSTES FIJOS (los del P&amp;L)</t>
        </is>
      </c>
      <c r="B17" s="33">
        <f>IFERROR(IF(B8="","",'PyG 3 Años'!$B$37),"")</f>
        <v>185462.82</v>
      </c>
      <c r="C17" s="33">
        <f>IFERROR(IF(C8="","",'PyG 3 Años'!$B$37),"")</f>
        <v>185462.82</v>
      </c>
      <c r="D17" s="33">
        <f>IFERROR(IF(D8="","",'PyG 3 Años'!$B$37),"")</f>
        <v>185462.82</v>
      </c>
      <c r="E17" s="29" t="inlineStr">
        <is>
          <t>Los costes fijos no cambian con el escenario: por eso son fijos</t>
        </is>
      </c>
      <c r="F17" s="29" t="n"/>
    </row>
    <row r="18">
      <c r="A18" s="26" t="inlineStr">
        <is>
          <t>RESULTADO ANTES DE IMPUESTOS</t>
        </is>
      </c>
      <c r="B18" s="27">
        <f>IFERROR(IF(B8="","",B16-B17),"")</f>
        <v>-12861.270000000019</v>
      </c>
      <c r="C18" s="27">
        <f>IFERROR(IF(C8="","",C16-C17),"")</f>
        <v>30240.360000000015</v>
      </c>
      <c r="D18" s="27">
        <f>IFERROR(IF(D8="","",D16-D17),"")</f>
        <v>76267.44</v>
      </c>
      <c r="E18" s="29" t="n"/>
      <c r="F18" s="29" t="n"/>
    </row>
    <row r="19">
      <c r="A19" s="29" t="inlineStr">
        <is>
          <t>Impuesto de Sociedades</t>
        </is>
      </c>
      <c r="B19" s="33">
        <f>IFERROR(IF(B8="","",MAX(0,B18-'0. Supuestos'!$B$42)*'0. Supuestos'!$B$37),"")</f>
        <v>0.0</v>
      </c>
      <c r="C19" s="33">
        <f>IFERROR(IF(C8="","",MAX(0,C18-'0. Supuestos'!$B$42)*'0. Supuestos'!$B$37),"")</f>
        <v>4536.054000000002</v>
      </c>
      <c r="D19" s="33">
        <f>IFERROR(IF(D8="","",MAX(0,D18-'0. Supuestos'!$B$42)*'0. Supuestos'!$B$37),"")</f>
        <v>11440.116</v>
      </c>
      <c r="E19" s="29" t="inlineStr">
        <is>
          <t>Al tipo de entidad de nueva creación, compensando las bases negativas anteriores</t>
        </is>
      </c>
      <c r="F19" s="29" t="n"/>
    </row>
    <row r="20">
      <c r="A20" s="26" t="inlineStr">
        <is>
          <t>RESULTADO NETO</t>
        </is>
      </c>
      <c r="B20" s="27">
        <f>IFERROR(IF(B8="","",B18-B19),"")</f>
        <v>-12861.270000000019</v>
      </c>
      <c r="C20" s="27">
        <f>IFERROR(IF(C8="","",C18-C19),"")</f>
        <v>25704.30600000001</v>
      </c>
      <c r="D20" s="27">
        <f>IFERROR(IF(D8="","",D18-D19),"")</f>
        <v>64827.324</v>
      </c>
      <c r="E20" s="29" t="n"/>
      <c r="F20" s="29" t="n"/>
    </row>
    <row r="21">
      <c r="A21" s="29" t="inlineStr">
        <is>
          <t>Pedidos/día para el equilibrio</t>
        </is>
      </c>
      <c r="B21" s="45">
        <f>IFERROR(IF(B8="","",IF(B6-B15/(B5*B7)&lt;=0,"",B17/(B6-B15/(B5*B7))/B7)),"")</f>
        <v>70.91793857007659</v>
      </c>
      <c r="C21" s="45">
        <f>IFERROR(IF(C8="","",IF(C6-C15/(C5*C7)&lt;=0,"",C17/(C6-C15/(C5*C7))/C7)),"")</f>
        <v>66.20503758915378</v>
      </c>
      <c r="D21" s="45">
        <f>IFERROR(IF(D8="","",IF(D6-D15/(D5*D7)&lt;=0,"",D17/(D6-D15/(D5*D7))/D7)),"")</f>
        <v>62.357054778457794</v>
      </c>
      <c r="E21" s="29" t="n"/>
      <c r="F21" s="29" t="n"/>
    </row>
    <row r="22">
      <c r="A22" s="26" t="inlineStr">
        <is>
          <t>LO QUE CADA ESCENARIO EXIGE</t>
        </is>
      </c>
      <c r="B22" s="29" t="n"/>
      <c r="C22" s="29" t="n"/>
      <c r="D22" s="29" t="n"/>
      <c r="E22" s="29" t="n"/>
      <c r="F22" s="29" t="n"/>
    </row>
    <row r="23">
      <c r="A23" s="29" t="inlineStr">
        <is>
          <t>Coste de personal / Ventas</t>
        </is>
      </c>
      <c r="B23" s="68">
        <f>IFERROR(IF(B8="","",'PyG 3 Años'!$B$23/B8),"")</f>
        <v>0.44061914055812357</v>
      </c>
      <c r="C23" s="68">
        <f>IFERROR(IF(C8="","",'PyG 3 Años'!$B$23/C8),"")</f>
        <v>0.3525749904104334</v>
      </c>
      <c r="D23" s="68">
        <f>IFERROR(IF(D8="","",'PyG 3 Años'!$B$23/D8),"")</f>
        <v>0.2905722350178386</v>
      </c>
      <c r="E23" s="29" t="inlineStr">
        <is>
          <t>La MISMA plantilla en los tres escenarios. Si en el pesimista se dispara, el ajuste hay que hacerlo en la hoja de Personal, no aquí</t>
        </is>
      </c>
      <c r="F23" s="29" t="n"/>
    </row>
    <row r="24">
      <c r="A24" s="29" t="inlineStr">
        <is>
          <t>Pedidos al año por jornada equivalente</t>
        </is>
      </c>
      <c r="B24" s="41">
        <f>IFERROR(IF(B8="","",B5*B7/'Personal'!$C$12),"")</f>
        <v>4232.608695652174</v>
      </c>
      <c r="C24" s="41">
        <f>IFERROR(IF(C8="","",C5*C7/'Personal'!$C$12),"")</f>
        <v>5021.739130434783</v>
      </c>
      <c r="D24" s="41">
        <f>IFERROR(IF(D8="","",D5*D7/'Personal'!$C$12),"")</f>
        <v>5834.782608695653</v>
      </c>
      <c r="E24" s="29" t="inlineStr">
        <is>
          <t>Pedidos que tendría que sacar cada jornada completa del cuadro de Personal. En el optimista dice si hace falta contratar</t>
        </is>
      </c>
      <c r="F24" s="29" t="n"/>
    </row>
    <row r="25">
      <c r="A25" s="26" t="inlineStr">
        <is>
          <t>Saldo de caja al cierre del año 1 (estimado, el mismo método en los tres escenarios)</t>
        </is>
      </c>
      <c r="B25" s="27">
        <f>IFERROR(IF(B8="","",'Inversión Inicial'!$B$29+B20+'PyG 3 Años'!$B$35-'Financiación'!$B$45),"")</f>
        <v>39774.434999999976</v>
      </c>
      <c r="C25" s="27">
        <f>IFERROR(IF(C8="","",'Inversión Inicial'!$B$29+C20+'PyG 3 Años'!$B$35-'Financiación'!$B$45),"")</f>
        <v>78340.011</v>
      </c>
      <c r="D25" s="27">
        <f>IFERROR(IF(D8="","",'Inversión Inicial'!$B$29+D20+'PyG 3 Años'!$B$35-'Financiación'!$B$45),"")</f>
        <v>117463.029</v>
      </c>
      <c r="E25" s="26"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5" s="29" t="n"/>
    </row>
    <row r="26">
      <c r="A26" s="29" t="inlineStr">
        <is>
          <t>Saldo real del mes 12 de la hoja de Tesorería (sólo realista)</t>
        </is>
      </c>
      <c r="B26" s="29" t="n"/>
      <c r="C26" s="33">
        <f>IFERROR(IF(C8="","",'Tesorería 12 meses'!$M$22),"")</f>
        <v>106517.48094860118</v>
      </c>
      <c r="D26" s="29" t="n"/>
      <c r="E26" s="29"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6" s="29" t="n"/>
    </row>
    <row r="27">
      <c r="A27" s="29" t="n"/>
      <c r="B27" s="29" t="n"/>
      <c r="C27" s="29" t="n"/>
      <c r="D27" s="29" t="n"/>
      <c r="E27" s="29" t="n"/>
      <c r="F27" s="29" t="n"/>
    </row>
    <row r="28" ht="150" customHeight="1">
      <c r="A28" s="48" t="inlineStr">
        <is>
          <t>La columna «Realista» lee sus tres datos de la hoja de Supuestos, así que reproduce EXACTAMENTE el año 1 del P&amp;L. Los otros dos escenarios usan las mismas tasas de coste: lo único que cambia son los pedidos, el ticket y los días. Los COSTES FIJOS sí son los mismos en los tres: los varios e imprevistos, que son un porcentaje de las ventas, van arriba con los variables y cada escenario carga los suyos.</t>
        </is>
      </c>
      <c r="B28" s="29" t="n"/>
      <c r="C28" s="29" t="n"/>
      <c r="D28" s="29" t="n"/>
      <c r="E28" s="29" t="n"/>
      <c r="F2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Años'!$E$53)</formula>
    </cfRule>
    <cfRule type="expression" priority="2" dxfId="0" stopIfTrue="1">
      <formula>AND(ISNUMBER(B23),B23&lt;='PyG 3 Años'!$E$53)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2">
    <dataValidation sqref="B5 B6 D5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Días fuera de rango" error="Los días van de 1 a 365." type="whole" operator="between">
      <formula1>1</formula1>
      <formula2>365</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s="3" t="str">
        <f>IFERROR("Convenio Hostelería — "&amp;TEXT('0. Supuestos'!$B$21,"0")&amp;" pagas + SS "&amp;TEXT('0. Supuestos'!$B$20*100,"0")&amp;" %","")</f>
        <v>Convenio Hostelería — 14 pagas + SS 33 %</v>
      </c>
    </row>
    <row r="3"/>
    <row r="4">
      <c r="A4" s="40" t="inlineStr">
        <is>
          <t>Puesto</t>
        </is>
      </c>
      <c r="B4" s="40" t="inlineStr">
        <is>
          <t>Personas</t>
        </is>
      </c>
      <c r="C4" s="40" t="inlineStr">
        <is>
          <t>Jornada</t>
        </is>
      </c>
      <c r="D4" s="40" t="inlineStr">
        <is>
          <t>Bruto mes (€, total del puesto)</t>
        </is>
      </c>
      <c r="E4" s="40" t="inlineStr">
        <is>
          <t>Seg. Social a cargo de la empresa (€)</t>
        </is>
      </c>
      <c r="F4" s="40" t="inlineStr">
        <is>
          <t>Coste mes (€, total del puesto)</t>
        </is>
      </c>
      <c r="G4" s="40" t="inlineStr">
        <is>
          <t>Coste año (€)</t>
        </is>
      </c>
      <c r="H4" s="40" t="inlineStr">
        <is>
          <t>Horas/semana por persona</t>
        </is>
      </c>
      <c r="I4" s="40" t="inlineStr">
        <is>
          <t>Horas/año del puesto</t>
        </is>
      </c>
      <c r="J4" s="40" t="inlineStr">
        <is>
          <t>Notas</t>
        </is>
      </c>
    </row>
    <row r="5">
      <c r="A5" s="29" t="inlineStr">
        <is>
          <t>Titular — maestro/a asador: compra del pollo, adobos, asador, encargos y gestión</t>
        </is>
      </c>
      <c r="B5" s="51" t="n">
        <v>1</v>
      </c>
      <c r="C5" s="53" t="n">
        <v>1</v>
      </c>
      <c r="D5" s="73" t="n">
        <v>1900</v>
      </c>
      <c r="E5" s="70">
        <f>IFERROR(IF(D5="","",D5*'0. Supuestos'!$B$20),"")</f>
        <v>627.0</v>
      </c>
      <c r="F5" s="70">
        <f>IFERROR(IF(D5="","",D5+E5),"")</f>
        <v>2527.0</v>
      </c>
      <c r="G5" s="70">
        <f>IFERROR(IF(D5="","",F5*MAX(12,'0. Supuestos'!$B$21)),"")</f>
        <v>35378.0</v>
      </c>
      <c r="H5" s="45">
        <f>IFERROR(IF(D5="","",C5*$B$19),"")</f>
        <v>40.0</v>
      </c>
      <c r="I5" s="41">
        <f>IFERROR(IF(D5="","",H5*B5*$B$20),"")</f>
        <v>1840.0</v>
      </c>
      <c r="J5" s="29" t="inlineStr">
        <is>
          <t>Compra el pollo y fija el calibre, prepara los adobos, lleva el asador y las cargas del domingo, organiza los encargos y gestiona. Como administrador de la SL cotiza en el régimen de autónomos: el libro le imputa el 33 % de Seguridad Social sobre 14 pagas como si fuera nómina, que es el lado prudente. Confirma con tu gestoría la cuota real y si te aplica la reducida de inicio</t>
        </is>
      </c>
    </row>
    <row r="6">
      <c r="A6" s="29" t="inlineStr">
        <is>
          <t>Asador/a-cocinero/a: espetar, freidora, guarniciones y croquetas</t>
        </is>
      </c>
      <c r="B6" s="51" t="n">
        <v>1</v>
      </c>
      <c r="C6" s="53" t="n">
        <v>1</v>
      </c>
      <c r="D6" s="73" t="n">
        <v>1450</v>
      </c>
      <c r="E6" s="70">
        <f>IFERROR(IF(D6="","",D6*'0. Supuestos'!$B$20),"")</f>
        <v>478.5</v>
      </c>
      <c r="F6" s="70">
        <f>IFERROR(IF(D6="","",D6+E6),"")</f>
        <v>1928.5</v>
      </c>
      <c r="G6" s="70">
        <f>IFERROR(IF(D6="","",F6*MAX(12,'0. Supuestos'!$B$21)),"")</f>
        <v>26999.0</v>
      </c>
      <c r="H6" s="45">
        <f>IFERROR(IF(D6="","",C6*$B$19),"")</f>
        <v>40.0</v>
      </c>
      <c r="I6" s="41">
        <f>IFERROR(IF(D6="","",H6*B6*$B$20),"")</f>
        <v>1840.0</v>
      </c>
      <c r="J6" s="29" t="inlineStr">
        <is>
          <t>Espeta y carga el asador, lleva la freidora, las guarniciones y las croquetas y sabe sondear y trinchar. Es inversión, no gasto: si sólo el titular sabe llevar el asador, una baja cierra el domingo, que es un tercio de la semana</t>
        </is>
      </c>
    </row>
    <row r="7">
      <c r="A7" s="29" t="inlineStr">
        <is>
          <t>Dependiente/a de mostrador y caja</t>
        </is>
      </c>
      <c r="B7" s="51" t="n">
        <v>1</v>
      </c>
      <c r="C7" s="53" t="n">
        <v>1</v>
      </c>
      <c r="D7" s="73" t="n">
        <v>1400</v>
      </c>
      <c r="E7" s="70">
        <f>IFERROR(IF(D7="","",D7*'0. Supuestos'!$B$20),"")</f>
        <v>462.0</v>
      </c>
      <c r="F7" s="70">
        <f>IFERROR(IF(D7="","",D7+E7),"")</f>
        <v>1862.0</v>
      </c>
      <c r="G7" s="70">
        <f>IFERROR(IF(D7="","",F7*MAX(12,'0. Supuestos'!$B$21)),"")</f>
        <v>26068.0</v>
      </c>
      <c r="H7" s="45">
        <f>IFERROR(IF(D7="","",C7*$B$19),"")</f>
        <v>40.0</v>
      </c>
      <c r="I7" s="41">
        <f>IFERROR(IF(D7="","",H7*B7*$B$20),"")</f>
        <v>1840.0</v>
      </c>
      <c r="J7" s="29" t="inlineStr">
        <is>
          <t>Mostrador, caja, teléfono y encargos, la tablet de las plataformas y la información de alérgenos</t>
        </is>
      </c>
    </row>
    <row r="8">
      <c r="A8" s="29" t="inlineStr">
        <is>
          <t>Camarero/a de sala</t>
        </is>
      </c>
      <c r="B8" s="51" t="n">
        <v>1</v>
      </c>
      <c r="C8" s="53" t="n">
        <v>0.75</v>
      </c>
      <c r="D8" s="73" t="n">
        <v>1013</v>
      </c>
      <c r="E8" s="70">
        <f>IFERROR(IF(D8="","",D8*'0. Supuestos'!$B$20),"")</f>
        <v>334.29</v>
      </c>
      <c r="F8" s="70">
        <f>IFERROR(IF(D8="","",D8+E8),"")</f>
        <v>1347.29</v>
      </c>
      <c r="G8" s="70">
        <f>IFERROR(IF(D8="","",F8*MAX(12,'0. Supuestos'!$B$21)),"")</f>
        <v>18862.059999999998</v>
      </c>
      <c r="H8" s="45">
        <f>IFERROR(IF(D8="","",C8*$B$19),"")</f>
        <v>30.0</v>
      </c>
      <c r="I8" s="41">
        <f>IFERROR(IF(D8="","",H8*B8*$B$20),"")</f>
        <v>1380.0</v>
      </c>
      <c r="J8" s="29" t="inlineStr">
        <is>
          <t>30 horas a la semana: los mediodías y las cenas de jueves a sábado</t>
        </is>
      </c>
    </row>
    <row r="9">
      <c r="A9" s="29" t="inlineStr">
        <is>
          <t>Ayudante de cocina y friegue de fin de semana</t>
        </is>
      </c>
      <c r="B9" s="51" t="n">
        <v>1</v>
      </c>
      <c r="C9" s="53" t="n">
        <v>0.35</v>
      </c>
      <c r="D9" s="73" t="n">
        <v>473</v>
      </c>
      <c r="E9" s="70">
        <f>IFERROR(IF(D9="","",D9*'0. Supuestos'!$B$20),"")</f>
        <v>156.09</v>
      </c>
      <c r="F9" s="70">
        <f>IFERROR(IF(D9="","",D9+E9),"")</f>
        <v>629.09</v>
      </c>
      <c r="G9" s="70">
        <f>IFERROR(IF(D9="","",F9*MAX(12,'0. Supuestos'!$B$21)),"")</f>
        <v>8807.26</v>
      </c>
      <c r="H9" s="45">
        <f>IFERROR(IF(D9="","",C9*$B$19),"")</f>
        <v>14.0</v>
      </c>
      <c r="I9" s="41">
        <f>IFERROR(IF(D9="","",H9*B9*$B$20),"")</f>
        <v>644.0</v>
      </c>
      <c r="J9" s="29" t="inlineStr">
        <is>
          <t>Sábado y domingo por la mañana: patatas, ensaladilla y las espadas al lavavajillas</t>
        </is>
      </c>
    </row>
    <row r="10">
      <c r="A10" s="29" t="inlineStr">
        <is>
          <t>Refuerzo de sábado, domingo y festivos</t>
        </is>
      </c>
      <c r="B10" s="51" t="n">
        <v>1</v>
      </c>
      <c r="C10" s="53" t="n">
        <v>0.4</v>
      </c>
      <c r="D10" s="73" t="n">
        <v>540</v>
      </c>
      <c r="E10" s="70">
        <f>IFERROR(IF(D10="","",D10*'0. Supuestos'!$B$20),"")</f>
        <v>178.20000000000002</v>
      </c>
      <c r="F10" s="70">
        <f>IFERROR(IF(D10="","",D10+E10),"")</f>
        <v>718.2</v>
      </c>
      <c r="G10" s="70">
        <f>IFERROR(IF(D10="","",F10*MAX(12,'0. Supuestos'!$B$21)),"")</f>
        <v>10054.800000000001</v>
      </c>
      <c r="H10" s="45">
        <f>IFERROR(IF(D10="","",C10*$B$19),"")</f>
        <v>16.0</v>
      </c>
      <c r="I10" s="41">
        <f>IFERROR(IF(D10="","",H10*B10*$B$20),"")</f>
        <v>736.0</v>
      </c>
      <c r="J10" s="29" t="inlineStr">
        <is>
          <t>Mostrador y despacho de encargos en la punta del fin de semana. Este plan NO tiene reparto propio: si lo pones, el repartidor va con contrato laboral del convenio de hostelería, nunca como autónomo</t>
        </is>
      </c>
    </row>
    <row r="11">
      <c r="A11" s="29" t="inlineStr">
        <is>
          <t>Suplencias de vacaciones y descansos</t>
        </is>
      </c>
      <c r="B11" s="51" t="n">
        <v>1</v>
      </c>
      <c r="C11" s="53" t="n">
        <v>0.1</v>
      </c>
      <c r="D11" s="73" t="n">
        <v>135</v>
      </c>
      <c r="E11" s="70">
        <f>IFERROR(IF(D11="","",D11*'0. Supuestos'!$B$20),"")</f>
        <v>44.550000000000004</v>
      </c>
      <c r="F11" s="70">
        <f>IFERROR(IF(D11="","",D11+E11),"")</f>
        <v>179.55</v>
      </c>
      <c r="G11" s="70">
        <f>IFERROR(IF(D11="","",F11*MAX(12,'0. Supuestos'!$B$21)),"")</f>
        <v>2513.7000000000003</v>
      </c>
      <c r="H11" s="45">
        <f>IFERROR(IF(D11="","",C11*$B$19),"")</f>
        <v>4.0</v>
      </c>
      <c r="I11" s="41">
        <f>IFERROR(IF(D11="","",H11*B11*$B$20),"")</f>
        <v>184.0</v>
      </c>
      <c r="J11" s="29" t="inlineStr">
        <is>
          <t>Cobertura de los 30 días de vacaciones (art. 38 ET) y del descanso semanal del equipo de todo el año</t>
        </is>
      </c>
    </row>
    <row r="12">
      <c r="A12" s="26" t="inlineStr">
        <is>
          <t>TOTAL PLANTILLA</t>
        </is>
      </c>
      <c r="B12" s="54">
        <f>IFERROR(IF(COUNT(D5:D11)=0,"",SUM(B5:B11)),"")</f>
        <v>7.0</v>
      </c>
      <c r="C12" s="55">
        <f>IFERROR(IF(COUNT(D5:D11)=0,"",SUM(C5:C11)),"")</f>
        <v>4.6</v>
      </c>
      <c r="D12" s="72">
        <f>IFERROR(IF(COUNT(D5:D11)=0,"",SUM(D5:D11)),"")</f>
        <v>6911.0</v>
      </c>
      <c r="E12" s="72">
        <f>IFERROR(IF(COUNT(D5:D11)=0,"",SUM(E5:E11)),"")</f>
        <v>2280.63</v>
      </c>
      <c r="F12" s="72">
        <f>IFERROR(IF(COUNT(D5:D11)=0,"",SUM(F5:F11)),"")</f>
        <v>9191.63</v>
      </c>
      <c r="G12" s="72">
        <f>IFERROR(IF(COUNT(D5:D11)=0,"",SUM(G5:G11)),"")</f>
        <v>128682.81999999999</v>
      </c>
      <c r="H12" s="29" t="n"/>
      <c r="I12" s="54">
        <f>IFERROR(IF(COUNT(D5:D11)=0,"",SUM(I5:I11)),"")</f>
        <v>8464.0</v>
      </c>
      <c r="J12" s="29" t="n"/>
    </row>
    <row r="13">
      <c r="A13" s="26" t="inlineStr">
        <is>
          <t>CRECIMIENTO DE LA PLANTILLA (coste escalonado)</t>
        </is>
      </c>
      <c r="B13" s="29" t="n"/>
      <c r="C13" s="29" t="n"/>
      <c r="D13" s="29" t="n"/>
      <c r="E13" s="29" t="n"/>
      <c r="F13" s="29" t="n"/>
      <c r="G13" s="29" t="n"/>
      <c r="H13" s="29" t="n"/>
      <c r="I13" s="29" t="n"/>
      <c r="J13" s="29" t="n"/>
    </row>
    <row r="14">
      <c r="A14" s="29" t="inlineStr">
        <is>
          <t>Coste anual de las incorporaciones del año 2 (€)</t>
        </is>
      </c>
      <c r="B14" s="30" t="n">
        <v>6000</v>
      </c>
      <c r="C14" s="29" t="n"/>
      <c r="D14" s="29" t="n"/>
      <c r="E14" s="29" t="n"/>
      <c r="F14" s="29" t="n"/>
      <c r="G14" s="29" t="n"/>
      <c r="H14" s="29" t="n"/>
      <c r="I14" s="29" t="n"/>
      <c r="J14" s="29" t="inlineStr">
        <is>
          <t>Coste ANUAL completo (bruto + Seguridad Social × pagas) de lo que se contrate ese año. El P&amp;L lo suma al coste del año anterior: la plantilla no crece con un porcentaje, crece con personas</t>
        </is>
      </c>
    </row>
    <row r="15">
      <c r="A15" s="29" t="inlineStr">
        <is>
          <t>Coste anual de las incorporaciones del año 3 (€)</t>
        </is>
      </c>
      <c r="B15" s="30" t="n">
        <v>6000</v>
      </c>
      <c r="C15" s="29" t="n"/>
      <c r="D15" s="29" t="n"/>
      <c r="E15" s="29" t="n"/>
      <c r="F15" s="29" t="n"/>
      <c r="G15" s="29" t="n"/>
      <c r="H15" s="29" t="n"/>
      <c r="I15" s="29" t="n"/>
      <c r="J15" s="29" t="inlineStr">
        <is>
          <t>Coste ANUAL completo (bruto + Seguridad Social × pagas) de lo que se contrate ese año. El P&amp;L lo suma al coste del año anterior: la plantilla no crece con un porcentaje, crece con personas</t>
        </is>
      </c>
    </row>
    <row r="16">
      <c r="A16" s="29" t="inlineStr">
        <is>
          <t>Coste de personal del año 2</t>
        </is>
      </c>
      <c r="B16" s="33">
        <f>IFERROR(IF(G12="","",G12*(1+'0. Supuestos'!$B$48)+B14),"")</f>
        <v>134682.82</v>
      </c>
      <c r="C16" s="29" t="n"/>
      <c r="D16" s="29" t="n"/>
      <c r="E16" s="29" t="n"/>
      <c r="F16" s="29" t="n"/>
      <c r="G16" s="29" t="n"/>
      <c r="H16" s="29" t="n"/>
      <c r="I16" s="29" t="n"/>
      <c r="J16" s="29" t="n"/>
    </row>
    <row r="17">
      <c r="A17" s="29" t="inlineStr">
        <is>
          <t>Coste de personal del año 3</t>
        </is>
      </c>
      <c r="B17" s="33">
        <f>IFERROR(IF(B16="","",B16*(1+'0. Supuestos'!$B$48)+B15),"")</f>
        <v>140682.82</v>
      </c>
      <c r="C17" s="29" t="n"/>
      <c r="D17" s="29" t="n"/>
      <c r="E17" s="29" t="n"/>
      <c r="F17" s="29" t="n"/>
      <c r="G17" s="29" t="n"/>
      <c r="H17" s="29" t="n"/>
      <c r="I17" s="29" t="n"/>
      <c r="J17" s="29" t="n"/>
    </row>
    <row r="18">
      <c r="A18" s="26" t="inlineStr">
        <is>
          <t>COBERTURA POR HORAS DE SERVICIO</t>
        </is>
      </c>
      <c r="B18" s="29" t="n"/>
      <c r="C18" s="29" t="n"/>
      <c r="D18" s="29" t="n"/>
      <c r="E18" s="29" t="n"/>
      <c r="F18" s="29" t="n"/>
      <c r="G18" s="29" t="n"/>
      <c r="H18" s="29" t="n"/>
      <c r="I18" s="29" t="n"/>
      <c r="J18" s="29" t="n"/>
    </row>
    <row r="19">
      <c r="A19" s="29" t="inlineStr">
        <is>
          <t>Jornada completa del convenio (horas/semana)</t>
        </is>
      </c>
      <c r="B19" s="51" t="n">
        <v>40</v>
      </c>
      <c r="C19" s="29" t="n"/>
      <c r="D19" s="29" t="n"/>
      <c r="E19" s="29" t="n"/>
      <c r="F19" s="29" t="n"/>
      <c r="G19" s="29" t="n"/>
      <c r="H19" s="29" t="n"/>
      <c r="I19" s="29" t="n"/>
      <c r="J19" s="29" t="inlineStr">
        <is>
          <t>Art. 34.1 del Estatuto de los Trabajadores; tu convenio provincial puede fijar menos</t>
        </is>
      </c>
    </row>
    <row r="20">
      <c r="A20" s="29" t="inlineStr">
        <is>
          <t>Semanas trabajadas al año por persona</t>
        </is>
      </c>
      <c r="B20" s="51" t="n">
        <v>46</v>
      </c>
      <c r="C20" s="29" t="n"/>
      <c r="D20" s="29" t="n"/>
      <c r="E20" s="29" t="n"/>
      <c r="F20" s="29" t="n"/>
      <c r="G20" s="29" t="n"/>
      <c r="H20" s="29" t="n"/>
      <c r="I20" s="29" t="n"/>
      <c r="J20" s="29" t="inlineStr">
        <is>
          <t>46 semanas: 52 menos las vacaciones (30 días naturales, art. 38 ET), los festivos y las ausencias medias</t>
        </is>
      </c>
    </row>
    <row r="21">
      <c r="A21" s="29" t="inlineStr">
        <is>
          <t>Horas de servicio al día que hay que cubrir</t>
        </is>
      </c>
      <c r="B21" s="47" t="n">
        <v>7</v>
      </c>
      <c r="C21" s="29" t="n"/>
      <c r="D21" s="29" t="n"/>
      <c r="E21" s="29" t="n"/>
      <c r="F21" s="29" t="n"/>
      <c r="G21" s="29" t="n"/>
      <c r="H21" s="29" t="n"/>
      <c r="I21" s="29" t="n"/>
      <c r="J21" s="29" t="inlineStr">
        <is>
          <t>Horas con el local abierto al público de media: de 12:00 a 16:30 de martes a domingo y de 20:00 a 23:00 de jueves a sábado, con la preparación de cada servicio</t>
        </is>
      </c>
    </row>
    <row r="22">
      <c r="A22" s="29" t="inlineStr">
        <is>
          <t>Personas necesarias a la vez en cada franja</t>
        </is>
      </c>
      <c r="B22" s="47" t="n">
        <v>3</v>
      </c>
      <c r="C22" s="29" t="n"/>
      <c r="D22" s="29" t="n"/>
      <c r="E22" s="29" t="n"/>
      <c r="F22" s="29" t="n"/>
      <c r="G22" s="29" t="n"/>
      <c r="H22" s="29" t="n"/>
      <c r="I22" s="29" t="n"/>
      <c r="J22" s="29" t="inlineStr">
        <is>
          <t>Presencia media a la vez entre el asador, la freidora, el mostrador y la sala. El domingo de 11:00 a 15:30 hacen falta seis: entran el refuerzo y el ayudante (el cuadrante anual no lo ve: ponlo en el turno)</t>
        </is>
      </c>
    </row>
    <row r="23">
      <c r="A23" s="29" t="inlineStr">
        <is>
          <t>Horas de producción al día ANTES de abrir</t>
        </is>
      </c>
      <c r="B23" s="47" t="n">
        <v>3</v>
      </c>
      <c r="C23" s="29" t="n"/>
      <c r="D23" s="29" t="n"/>
      <c r="E23" s="29" t="n"/>
      <c r="F23" s="29" t="n"/>
      <c r="G23" s="29" t="n"/>
      <c r="H23" s="29" t="n"/>
      <c r="I23" s="29" t="n"/>
      <c r="J23" s="29" t="inlineStr">
        <is>
          <t>Espetar y adobar los pollos de la primera carga, encender el asador, croquetas, ensaladilla y patatas antes de abrir</t>
        </is>
      </c>
    </row>
    <row r="24">
      <c r="A24" s="29" t="inlineStr">
        <is>
          <t>Personas en el turno de producción</t>
        </is>
      </c>
      <c r="B24" s="47" t="n">
        <v>1.5</v>
      </c>
      <c r="C24" s="29" t="n"/>
      <c r="D24" s="29" t="n"/>
      <c r="E24" s="29" t="n"/>
      <c r="F24" s="29" t="n"/>
      <c r="G24" s="29" t="n"/>
      <c r="H24" s="29" t="n"/>
      <c r="I24" s="29" t="n"/>
      <c r="J24" s="29" t="inlineStr">
        <is>
          <t>El maestro asador con el asador-cocinero. La limpieza del asador y de la campana extractora, el cierre y las compras quedan fuera de este cuadrante: son el margen entre las horas contratadas y las necesarias</t>
        </is>
      </c>
    </row>
    <row r="25">
      <c r="A25" s="29" t="inlineStr">
        <is>
          <t>Horas de servicio a cubrir al año</t>
        </is>
      </c>
      <c r="B25" s="41">
        <f>IFERROR(IF(OR(B21="",B22="",'0. Supuestos'!$B$6=""),"",B21*B22*'0. Supuestos'!$B$6+B23*B24*'0. Supuestos'!$B$6),"")</f>
        <v>7650.0</v>
      </c>
      <c r="C25" s="29" t="n"/>
      <c r="D25" s="29" t="n"/>
      <c r="E25" s="29" t="n"/>
      <c r="F25" s="29" t="n"/>
      <c r="G25" s="29" t="n"/>
      <c r="H25" s="29" t="n"/>
      <c r="I25" s="29" t="n"/>
      <c r="J25" s="29" t="n"/>
    </row>
    <row r="26">
      <c r="A26" s="29" t="inlineStr">
        <is>
          <t>Horas contratadas al año</t>
        </is>
      </c>
      <c r="B26" s="41">
        <f>IFERROR(IF(I12="","",I12),"")</f>
        <v>8464.0</v>
      </c>
      <c r="C26" s="29" t="n"/>
      <c r="D26" s="29" t="n"/>
      <c r="E26" s="29" t="n"/>
      <c r="F26" s="29" t="n"/>
      <c r="G26" s="29" t="n"/>
      <c r="H26" s="29" t="n"/>
      <c r="I26" s="29" t="n"/>
      <c r="J26" s="29" t="n"/>
    </row>
    <row r="27">
      <c r="A27" s="26" t="inlineStr">
        <is>
          <t>Cobertura (contratadas / necesarias)</t>
        </is>
      </c>
      <c r="B27" s="67">
        <f>IFERROR(B26/B25,"")</f>
        <v>1.10640522875817</v>
      </c>
      <c r="C27" s="29" t="n"/>
      <c r="D27" s="29" t="n"/>
      <c r="E27" s="29" t="n"/>
      <c r="F27" s="29" t="n"/>
      <c r="G27" s="29" t="n"/>
      <c r="H27" s="29" t="n"/>
      <c r="I27" s="29" t="n"/>
      <c r="J27" s="26" t="inlineStr">
        <is>
          <t>Por debajo del 100 % la plantilla no llega a cubrir el horario que declara el plan: o se contrata más o se recorta el horario</t>
        </is>
      </c>
    </row>
    <row r="28">
      <c r="A28" s="29" t="n"/>
      <c r="B28" s="29" t="n"/>
      <c r="C28" s="29" t="n"/>
      <c r="D28" s="29" t="n"/>
      <c r="E28" s="29" t="n"/>
      <c r="F28" s="29" t="n"/>
      <c r="G28" s="29" t="n"/>
      <c r="H28" s="29" t="n"/>
      <c r="I28" s="29" t="n"/>
      <c r="J28" s="29" t="n"/>
    </row>
    <row r="29" ht="150" customHeight="1">
      <c r="A29" s="48"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9" s="29" t="n"/>
      <c r="C29" s="29" t="n"/>
      <c r="D29" s="29" t="n"/>
      <c r="E29" s="29" t="n"/>
      <c r="F29" s="29" t="n"/>
      <c r="G29" s="29" t="n"/>
      <c r="H29" s="29" t="n"/>
      <c r="I29" s="29" t="n"/>
      <c r="J29" s="29" t="n"/>
    </row>
    <row r="30" ht="150" customHeight="1">
      <c r="A30" s="48"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30" s="29" t="n"/>
      <c r="C30" s="29" t="n"/>
      <c r="D30" s="29" t="n"/>
      <c r="E30" s="29" t="n"/>
      <c r="F30" s="29" t="n"/>
      <c r="G30" s="29" t="n"/>
      <c r="H30" s="29" t="n"/>
      <c r="I30" s="29" t="n"/>
      <c r="J30"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7">
    <cfRule type="expression" priority="1" dxfId="1" stopIfTrue="1">
      <formula>AND(ISNUMBER(B27),B27&lt;0.9)</formula>
    </cfRule>
    <cfRule type="expression" priority="2" dxfId="2" stopIfTrue="1">
      <formula>AND(ISNUMBER(B27),B27&gt;=0.9)</formula>
    </cfRule>
    <cfRule type="expression" priority="3" dxfId="0" stopIfTrue="1">
      <formula>AND(ISNUMBER(B27),B27&gt;=1)</formula>
    </cfRule>
  </conditionalFormatting>
  <conditionalFormatting sqref="D5:D11">
    <cfRule type="expression" priority="4" dxfId="1" stopIfTrue="1">
      <formula>AND(ISNUMBER(D5),IFERROR(D5/B5,0)*'0. Supuestos'!$B$21&lt;MAX('0. Supuestos'!$B$22,'0. Supuestos'!$B$68)*C5)</formula>
    </cfRule>
  </conditionalFormatting>
  <dataValidations count="3">
    <dataValidation sqref="B5 B6 B7 B8 B9 B10 B11 B14 B15 B19 B20 B21 B23 D5 D6 D7 D8 D9 D10 D11" showDropDown="0" showInputMessage="0" showErrorMessage="1" allowBlank="1" errorTitle="Importe no válido" error="Escribe un número mayor o igual que 0." type="decimal" operator="greaterThanOrEqual">
      <formula1>0</formula1>
    </dataValidation>
    <dataValidation sqref="B22 B24"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C9 C10 C11"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6" t="inlineStr">
        <is>
          <t>INSTRUCCIONES DE USO — Plan financiero Pollería y Asador de Pollos</t>
        </is>
      </c>
      <c r="B1" s="29" t="n"/>
      <c r="C1" s="29" t="n"/>
      <c r="D1" s="29" t="n"/>
      <c r="E1" s="29" t="n"/>
    </row>
    <row r="2">
      <c r="A2" s="29" t="n"/>
      <c r="B2" s="29" t="n"/>
      <c r="C2" s="29" t="n"/>
      <c r="D2" s="29" t="n"/>
      <c r="E2" s="29" t="n"/>
    </row>
    <row r="3">
      <c r="A3" s="40" t="inlineStr">
        <is>
          <t>CÓMO SE USA ESTE LIBRO</t>
        </is>
      </c>
      <c r="B3" s="29" t="n"/>
      <c r="C3" s="29" t="n"/>
      <c r="D3" s="29" t="n"/>
      <c r="E3" s="29" t="n"/>
    </row>
    <row r="4" ht="30" customHeight="1">
      <c r="A4" s="48" t="inlineStr">
        <is>
          <t>Este plan financiero es un MODELO: sólo se teclea en las celdas VERDES y el resto se recalcula solo.</t>
        </is>
      </c>
      <c r="B4" s="29" t="n"/>
      <c r="C4" s="29" t="n"/>
      <c r="D4" s="29" t="n"/>
      <c r="E4" s="29" t="n"/>
    </row>
    <row r="5" ht="45" customHeight="1">
      <c r="A5" s="48" t="inlineStr">
        <is>
          <t>1. «0. Supuestos» es la hoja de mando: pedidos, ticket sin IVA, días de apertura, mezcla de comida y bebida, coste de mercancía, alquiler, financiación e impuestos.</t>
        </is>
      </c>
      <c r="B5" s="29" t="n"/>
      <c r="C5" s="29" t="n"/>
      <c r="D5" s="29" t="n"/>
      <c r="E5" s="29" t="n"/>
    </row>
    <row r="6" ht="45" customHeight="1">
      <c r="A6" s="48" t="inlineStr">
        <is>
          <t>2. Las partidas de la inversión, los costes fijos y la plantilla se teclean en su propia hoja, también en verde. Ningún número se escribe dos veces.</t>
        </is>
      </c>
      <c r="B6" s="29" t="n"/>
      <c r="C6" s="29" t="n"/>
      <c r="D6" s="29" t="n"/>
      <c r="E6" s="29" t="n"/>
    </row>
    <row r="7" ht="90" customHeight="1">
      <c r="A7" s="48" t="inlineStr">
        <is>
          <t>3. Sólo «Punto Equilibrio» se deriva entera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9" t="n"/>
      <c r="C7" s="29" t="n"/>
      <c r="D7" s="29" t="n"/>
      <c r="E7" s="29" t="n"/>
    </row>
    <row r="8" ht="225" customHeight="1">
      <c r="A8" s="48" t="inlineStr">
        <is>
          <t>4. Todas las cifras van SIN IVA. Para pasar un PVP a precio sin IVA, divide por el tipo que le corresponda: entre 1,10 en sala (comida y bebida, alcohol incluido: art. 91.Uno.2.2.º de la Ley 37/1992 del IVA) y, cuando se venden para llevar, los alimentos —el pollo asado incluido—, que son productos alimenticios al tipo reducido por el art. 91.Uno.1.1.º; y entre 1,21 el tipo general, que en hostelería sólo alcanza a lo que sale del local como entrega de bienes excluida del reducido: el alcohol y los refrescos o los zumos con azúcares o edulcorantes añadidos para llevar o a domicilio (la comida para llevar sigue al 10 %); el libro lo aplica a la parte de la bebida que declara la columna H de su línea en el P&amp;L. El tipo de cada línea de venta está en la columna «Tipo de IVA de la línea» del P&amp;L y de ahí salen los cobros, el IVA repercutido y el PVP equivalente. El IVA de la inversión se adelanta y se recupera con el modelo 303.</t>
        </is>
      </c>
      <c r="B8" s="29" t="n"/>
      <c r="C8" s="29" t="n"/>
      <c r="D8" s="29" t="n"/>
      <c r="E8" s="29" t="n"/>
    </row>
    <row r="9" ht="30" customHeight="1">
      <c r="A9" s="48" t="inlineStr">
        <is>
          <t>5. Si cambias la plantilla, el P&amp;L la lee sola: el coste de personal sale de la hoja «Personal», no de una estimación aparte.</t>
        </is>
      </c>
      <c r="B9" s="29" t="n"/>
      <c r="C9" s="29" t="n"/>
      <c r="D9" s="29" t="n"/>
      <c r="E9" s="29" t="n"/>
    </row>
    <row r="10" ht="105" customHeight="1">
      <c r="A10" s="48" t="inlineStr">
        <is>
          <t>6. La hoja «Tesorería 12 meses» responde la pregunta que decide una operación bancaria: en qué mes se agota la caja. Su Mes 1 es ENERO, en el orden del calendario: la rampa del arranque cae sobre enero y febrero, los meses más flojos, y por eso el fondo de maniobra cuenta; julio y agosto son el pico. Si abres en otro mes, gira la fila de estacionalidad. El saldo mínimo del año nunca puede salir en rojo.</t>
        </is>
      </c>
      <c r="B10" s="29" t="n"/>
      <c r="C10" s="29" t="n"/>
      <c r="D10" s="29" t="n"/>
      <c r="E10" s="29" t="n"/>
    </row>
    <row r="11" ht="45" customHeight="1">
      <c r="A11" s="48" t="inlineStr">
        <is>
          <t>7. La hoja «Financiación» cuadra lo que hace falta con lo que se aporta y monta el cuadro de amortización del préstamo. Si la diferencia sale en rojo, el plan no está financiado.</t>
        </is>
      </c>
      <c r="B11" s="29" t="n"/>
      <c r="C11" s="29" t="n"/>
      <c r="D11" s="29" t="n"/>
      <c r="E11" s="29" t="n"/>
    </row>
    <row r="12" ht="165" customHeight="1">
      <c r="A12" s="48" t="inlineStr">
        <is>
          <t>8. El plan de negocio en Word de este pack cita las cifras de este Excel: si cambias una celda verde, el Excel manda. La calculadora del pollo, el asador y el escandallo del pack va aparte: mide cuánto rinde un pollo y cuántos caben en el asador antes de la punta del domingo, y ESCANDALLA el pollo y los combos; no copies el food cost de un pollo o de un combo en la hoja de Supuestos. La celda «Coste de mercancía sobre las ventas de COMIDA» es la media ponderada de TODA la carta (pollo, patatas, croquetas, ensaladilla, menús de sala, cada uno por lo que vende) más la merma, y por eso sale más baja que el food cost del pollo entero. Con los escandallos de tu carta, comprueba que esa media cuadra.</t>
        </is>
      </c>
      <c r="B12" s="29" t="n"/>
      <c r="C12" s="29" t="n"/>
      <c r="D12" s="29" t="n"/>
      <c r="E12" s="29" t="n"/>
    </row>
    <row r="13">
      <c r="A13" s="29" t="n"/>
      <c r="B13" s="29" t="n"/>
      <c r="C13" s="29" t="n"/>
      <c r="D13" s="29" t="n"/>
      <c r="E13" s="29" t="n"/>
    </row>
    <row r="14">
      <c r="A14" s="26" t="inlineStr">
        <is>
          <t>RATIOS QUE AUDITA EL LIBRO</t>
        </is>
      </c>
      <c r="B14" s="29" t="n"/>
      <c r="C14" s="29" t="n"/>
      <c r="D14" s="29" t="n"/>
      <c r="E14" s="29" t="n"/>
    </row>
    <row r="15" ht="30" customHeight="1">
      <c r="A15" s="48" t="inlineStr">
        <is>
          <t>Los umbrales viven en la columna «Umbral» del bloque RATIOS CLAVE del P&amp;L: cámbialos ahí y el semáforo cambia con ellos.</t>
        </is>
      </c>
      <c r="B15" s="29" t="n"/>
      <c r="C15" s="29" t="n"/>
      <c r="D15" s="29" t="n"/>
      <c r="E15" s="29" t="n"/>
    </row>
    <row r="16">
      <c r="A16" s="29" t="n"/>
      <c r="B16" s="29" t="n"/>
      <c r="C16" s="29" t="n"/>
      <c r="D16" s="29" t="n"/>
      <c r="E16" s="29" t="n"/>
    </row>
    <row r="17">
      <c r="A17" s="26" t="inlineStr">
        <is>
          <t>Ratio</t>
        </is>
      </c>
      <c r="B17" s="26" t="inlineStr">
        <is>
          <t>Valor del año 1</t>
        </is>
      </c>
      <c r="C17" s="26" t="inlineStr">
        <is>
          <t>Umbral</t>
        </is>
      </c>
      <c r="D17" s="26" t="inlineStr">
        <is>
          <t>Estado</t>
        </is>
      </c>
      <c r="E17" s="29" t="n"/>
    </row>
    <row r="18">
      <c r="A18" s="29" t="inlineStr">
        <is>
          <t>Coste de mercancía / Ventas</t>
        </is>
      </c>
      <c r="B18" s="68">
        <f>IFERROR(IF('PyG 3 Años'!$B$52="","",'PyG 3 Años'!$B$52),"")</f>
        <v>0.318</v>
      </c>
      <c r="C18" s="68">
        <f>IFERROR(IF('PyG 3 Años'!$E$52="","",'PyG 3 Años'!$E$52),"")</f>
        <v>0.33</v>
      </c>
      <c r="D18" s="29" t="str">
        <f>IFERROR(IF(OR(B18="",C18=""),"",IF(B18&lt;=C18,"CUMPLE","REVISAR")),"")</f>
        <v>CUMPLE</v>
      </c>
      <c r="E18" s="29" t="n"/>
    </row>
    <row r="19">
      <c r="A19" s="29" t="inlineStr">
        <is>
          <t>Coste de personal / Ventas</t>
        </is>
      </c>
      <c r="B19" s="68">
        <f>IFERROR(IF('PyG 3 Años'!$B$53="","",'PyG 3 Años'!$B$53),"")</f>
        <v>0.3525749904104334</v>
      </c>
      <c r="C19" s="68">
        <f>IFERROR(IF('PyG 3 Años'!$E$53="","",'PyG 3 Años'!$E$53),"")</f>
        <v>0.38</v>
      </c>
      <c r="D19" s="29" t="str">
        <f>IFERROR(IF(OR(B19="",C19=""),"",IF(B19&lt;=C19,"CUMPLE","REVISAR")),"")</f>
        <v>CUMPLE</v>
      </c>
      <c r="E19" s="29" t="n"/>
    </row>
    <row r="20">
      <c r="A20" s="29" t="inlineStr">
        <is>
          <t>Alquiler / Ventas</t>
        </is>
      </c>
      <c r="B20" s="68">
        <f>IFERROR(IF('PyG 3 Años'!$B$54="","",'PyG 3 Años'!$B$54),"")</f>
        <v>0.03945421666940654</v>
      </c>
      <c r="C20" s="68">
        <f>IFERROR(IF('PyG 3 Años'!$E$54="","",'PyG 3 Años'!$E$54),"")</f>
        <v>0.1</v>
      </c>
      <c r="D20" s="29" t="str">
        <f>IFERROR(IF(OR(B20="",C20=""),"",IF(B20&lt;=C20,"CUMPLE","REVISAR")),"")</f>
        <v>CUMPLE</v>
      </c>
      <c r="E20" s="29" t="n"/>
    </row>
    <row r="21">
      <c r="A21" s="29" t="inlineStr">
        <is>
          <t>Resultado neto / Ventas</t>
        </is>
      </c>
      <c r="B21" s="68">
        <f>IFERROR(IF('PyG 3 Años'!$B$55="","",'PyG 3 Años'!$B$55),"")</f>
        <v>0.07042661515699493</v>
      </c>
      <c r="C21" s="68">
        <f>IFERROR(IF('PyG 3 Años'!$E$55="","",'PyG 3 Años'!$E$55),"")</f>
        <v>0.05</v>
      </c>
      <c r="D21" s="29" t="str">
        <f>IFERROR(IF(OR(B21="",C21=""),"",IF(B21&gt;=C21,"CUMPLE","REVISAR")),"")</f>
        <v>CUMPLE</v>
      </c>
      <c r="E21" s="29" t="n"/>
    </row>
    <row r="22">
      <c r="A22" s="29" t="inlineStr">
        <is>
          <t>Margen bruto / Ventas</t>
        </is>
      </c>
      <c r="B22" s="68">
        <f>IFERROR(IF('PyG 3 Años'!$B$50="","",'PyG 3 Años'!$B$50),"")</f>
        <v>0.591</v>
      </c>
      <c r="C22" s="68">
        <f>IFERROR(IF('PyG 3 Años'!$E$50="","",'PyG 3 Años'!$E$50),"")</f>
        <v>0.55</v>
      </c>
      <c r="D22" s="29" t="str">
        <f>IFERROR(IF(OR(B22="",C22=""),"",IF(B22&gt;=C22,"CUMPLE","REVISAR")),"")</f>
        <v>CUMPLE</v>
      </c>
      <c r="E22" s="29" t="n"/>
    </row>
    <row r="23">
      <c r="A23" s="29" t="n"/>
      <c r="B23" s="29" t="n"/>
      <c r="C23" s="29" t="n"/>
      <c r="D23" s="29" t="n"/>
      <c r="E23" s="29" t="n"/>
    </row>
    <row r="24">
      <c r="A24" s="26" t="inlineStr">
        <is>
          <t>CIFRAS DE ESTE PLAN</t>
        </is>
      </c>
      <c r="B24" s="29" t="n"/>
      <c r="C24" s="29" t="n"/>
      <c r="D24" s="29" t="n"/>
      <c r="E24" s="29" t="n"/>
    </row>
    <row r="25">
      <c r="A25" s="29" t="inlineStr">
        <is>
          <t>Inversión total (suma de los bloques)</t>
        </is>
      </c>
      <c r="B25" s="33">
        <f>IFERROR(IF('Inversión Inicial'!$B$30="","",'Inversión Inicial'!$B$30),"")</f>
        <v>142175.705</v>
      </c>
      <c r="C25" s="29" t="n"/>
      <c r="D25" s="29" t="n"/>
      <c r="E25" s="29" t="n"/>
    </row>
    <row r="26">
      <c r="A26" s="29" t="inlineStr">
        <is>
          <t>Necesidad total de caja al arranque</t>
        </is>
      </c>
      <c r="B26" s="33">
        <f>IFERROR(IF('Inversión Inicial'!$B$33="","",'Inversión Inicial'!$B$33),"")</f>
        <v>161600.705</v>
      </c>
      <c r="C26" s="29" t="n"/>
      <c r="D26" s="29" t="n"/>
      <c r="E26" s="29" t="n"/>
    </row>
    <row r="27">
      <c r="A27" s="29" t="inlineStr">
        <is>
          <t>Fondo de maniobra dotado</t>
        </is>
      </c>
      <c r="B27" s="33">
        <f>IFERROR(IF('Inversión Inicial'!$B$29="","",'Inversión Inicial'!$B$29),"")</f>
        <v>44275.704999999994</v>
      </c>
      <c r="C27" s="29" t="n"/>
      <c r="D27" s="29" t="n"/>
      <c r="E27" s="29" t="n"/>
    </row>
    <row r="28">
      <c r="A28" s="29" t="inlineStr">
        <is>
          <t>Facturación prevista del año 1</t>
        </is>
      </c>
      <c r="B28" s="33">
        <f>IFERROR(IF('PyG 3 Años'!$B$9="","",'PyG 3 Años'!$B$9),"")</f>
        <v>364980.00000000006</v>
      </c>
      <c r="C28" s="29" t="n"/>
      <c r="D28" s="29" t="n"/>
      <c r="E28" s="29" t="n"/>
    </row>
    <row r="29">
      <c r="A29" s="29" t="inlineStr">
        <is>
          <t>Resultado neto del año 1</t>
        </is>
      </c>
      <c r="B29" s="33">
        <f>IFERROR(IF('PyG 3 Años'!$B$47="","",'PyG 3 Años'!$B$47),"")</f>
        <v>25704.30600000001</v>
      </c>
      <c r="C29" s="29" t="n"/>
      <c r="D29" s="29" t="n"/>
      <c r="E29" s="29" t="n"/>
    </row>
    <row r="30">
      <c r="A30" s="29" t="inlineStr">
        <is>
          <t>Pedidos/día para el punto de equilibrio CONTABLE (con la amortización dentro)</t>
        </is>
      </c>
      <c r="B30" s="45">
        <f>IFERROR(IF('Punto Equilibrio'!$B$15="","",'Punto Equilibrio'!$B$15),"")</f>
        <v>66.20503758915378</v>
      </c>
      <c r="C30" s="29" t="n"/>
      <c r="D30" s="29" t="n"/>
      <c r="E30" s="29" t="n"/>
    </row>
    <row r="31">
      <c r="A31" s="29" t="inlineStr">
        <is>
          <t>Payback del proyecto (años), antes de la deuda</t>
        </is>
      </c>
      <c r="B31" s="29" t="str">
        <f>IFERROR(IF('Tesorería 12 meses'!$B$31="","",'Tesorería 12 meses'!$B$31),"")</f>
        <v>Más de 3 años</v>
      </c>
      <c r="C31" s="29" t="n"/>
      <c r="D31" s="29" t="n"/>
      <c r="E31" s="29" t="n"/>
    </row>
    <row r="32">
      <c r="A32" s="29" t="n"/>
      <c r="B32" s="29" t="n"/>
      <c r="C32" s="29" t="n"/>
      <c r="D32" s="29" t="n"/>
      <c r="E32" s="29" t="n"/>
    </row>
    <row r="33">
      <c r="A33" s="26" t="inlineStr">
        <is>
          <t>DATOS DE REFERENCIA DEL SECTOR</t>
        </is>
      </c>
      <c r="B33" s="29" t="n"/>
      <c r="C33" s="29" t="n"/>
      <c r="D33" s="29" t="n"/>
      <c r="E33" s="29" t="n"/>
    </row>
    <row r="34">
      <c r="A34" s="26" t="inlineStr">
        <is>
          <t>Referencia</t>
        </is>
      </c>
      <c r="B34" s="26" t="inlineStr">
        <is>
          <t>Valor</t>
        </is>
      </c>
      <c r="C34" s="26" t="inlineStr">
        <is>
          <t>Fuente</t>
        </is>
      </c>
      <c r="D34" s="26" t="inlineStr">
        <is>
          <t>Nota</t>
        </is>
      </c>
      <c r="E34" s="29" t="n"/>
    </row>
    <row r="35" ht="60" customHeight="1">
      <c r="A35" s="29" t="inlineStr">
        <is>
          <t>Mes 1 del plan</t>
        </is>
      </c>
      <c r="B35" s="29" t="inlineStr">
        <is>
          <t>Enero</t>
        </is>
      </c>
      <c r="C35" s="29" t="inlineStr">
        <is>
          <t>Decisión del plan</t>
        </is>
      </c>
      <c r="D35" s="48" t="inlineStr">
        <is>
          <t>En el orden del calendario: la rampa cae sobre los meses más flojos y el fondo de maniobra lo cubre; julio y agosto son el pico. Si abres en otro mes, gira la fila de estacionalidad de la Tesorería</t>
        </is>
      </c>
      <c r="E35" s="29" t="n"/>
    </row>
    <row r="36" ht="45" customHeight="1">
      <c r="A36" s="29" t="inlineStr">
        <is>
          <t>Mercado del pollo asado en España</t>
        </is>
      </c>
      <c r="B36" s="29" t="inlineStr">
        <is>
          <t>Unos 2,5 millones de pollos a la semana en unos 12.000 locales</t>
        </is>
      </c>
      <c r="C36" s="29" t="inlineStr">
        <is>
          <t>Interempresas / Efeagro, julio de 2026</t>
        </is>
      </c>
      <c r="D36" s="48" t="inlineStr">
        <is>
          <t>Unos 208 pollos por asador y semana de media; en verano, un 15 % más en el interior y hasta un 35 % más en la costa. El caso vende unos 301</t>
        </is>
      </c>
      <c r="E36" s="29" t="n"/>
    </row>
    <row r="37" ht="45" customHeight="1">
      <c r="A37" s="29" t="inlineStr">
        <is>
          <t>Pollo entero asado para llevar</t>
        </is>
      </c>
      <c r="B37" s="29" t="inlineStr">
        <is>
          <t>11-14 € con IVA</t>
        </is>
      </c>
      <c r="C37" s="29" t="inlineStr">
        <is>
          <t>Cartas de asadores de pollos de Getxo, Sevilla y Ciudad Real leídas en 2026</t>
        </is>
      </c>
      <c r="D37" s="48" t="inlineStr">
        <is>
          <t>El caso lo pone a 12,90 €. En Barcelona, el pollo al ast va de 13,90 a 20,50 €; en la pollería peruana, el medio pollo con papas de 14,50 a 16 €</t>
        </is>
      </c>
      <c r="E37" s="29" t="n"/>
    </row>
    <row r="38" ht="45" customHeight="1">
      <c r="A38" s="29" t="inlineStr">
        <is>
          <t>Coste del pollo entero</t>
        </is>
      </c>
      <c r="B38" s="29" t="inlineStr">
        <is>
          <t>Un 38,8 % de su precio sin IVA</t>
        </is>
      </c>
      <c r="C38" s="29" t="inlineStr">
        <is>
          <t>Estimación del kit con los valores de la calculadora del pack (editables)</t>
        </is>
      </c>
      <c r="D38" s="48" t="inlineStr">
        <is>
          <t>Pollo de 1,45 kg en canal a 3,05 € el kilo más 0,13 € de sazón, aceite y sal: unos 4,55 €. El pollo es un precio estimado por el kit: pon el de tu proveedor</t>
        </is>
      </c>
      <c r="E38" s="29" t="n"/>
    </row>
    <row r="39" ht="45" customHeight="1">
      <c r="A39" s="29" t="inlineStr">
        <is>
          <t>Rendimiento del pollo entero asado</t>
        </is>
      </c>
      <c r="B39" s="29" t="inlineStr">
        <is>
          <t>Un 78 % (de un 68 a un 84 %)</t>
        </is>
      </c>
      <c r="C39" s="29" t="inlineStr">
        <is>
          <t>USDA, Table of Cooking Yields for Meat and Poultry</t>
        </is>
      </c>
      <c r="D39" s="48" t="inlineStr">
        <is>
          <t>Dato de horno, no de asador de espadas: el caso usa un 76 %. Pesa cinco pollos crudos y asados de la misma carga y mide el tuyo con la calculadora del pack</t>
        </is>
      </c>
      <c r="E39" s="29" t="n"/>
    </row>
    <row r="40" ht="30" customHeight="1">
      <c r="A40" s="29" t="inlineStr">
        <is>
          <t>Asador de pollos de gas de doce espadas</t>
        </is>
      </c>
      <c r="B40" s="29" t="inlineStr">
        <is>
          <t>4.373-5.967 € sin IVA</t>
        </is>
      </c>
      <c r="C40" s="29" t="inlineStr">
        <is>
          <t>Catálogo de asadores de un distribuidor de hostelería, 2026</t>
        </is>
      </c>
      <c r="D40" s="48" t="inlineStr">
        <is>
          <t>De 4 a 6 pollos por espada; las espadas se compran aparte. El de ocho espadas va de 2.493 a 4.126 €</t>
        </is>
      </c>
      <c r="E40" s="29" t="n"/>
    </row>
    <row r="41" ht="30" customHeight="1">
      <c r="A41" s="29" t="inlineStr">
        <is>
          <t>Comisión de la plataforma con su reparto</t>
        </is>
      </c>
      <c r="B41" s="29" t="inlineStr">
        <is>
          <t>13-35 % más IVA</t>
        </is>
      </c>
      <c r="C41" s="29" t="inlineStr">
        <is>
          <t>Guías del sector, 2025-2026: compruébalo en tu contrato</t>
        </is>
      </c>
      <c r="D41" s="48" t="inlineStr">
        <is>
          <t>El plan básico de Uber Eats ronda el 30 %. Lo que se recoge en el mostrador o por encargo no paga comisión</t>
        </is>
      </c>
      <c r="E41" s="29" t="n"/>
    </row>
    <row r="42" ht="60" customHeight="1">
      <c r="A42" s="29" t="inlineStr">
        <is>
          <t>IVA del pollo asado</t>
        </is>
      </c>
      <c r="B42" s="29" t="inlineStr">
        <is>
          <t>10 %</t>
        </is>
      </c>
      <c r="C42" s="29" t="inlineStr">
        <is>
          <t>Ley 37/1992, art. 91.Uno.1.1.º y 2.2.º</t>
        </is>
      </c>
      <c r="D42" s="48" t="inlineStr">
        <is>
          <t>En sala, para llevar y por plataforma. La cerveza, el vino y los refrescos con azúcares o edulcorantes añadidos que salen del local, al 21 %; el pan común, al 4 % (art. 91.Dos.1.1.º a)</t>
        </is>
      </c>
      <c r="E42" s="29" t="n"/>
    </row>
    <row r="43" ht="90" customHeight="1">
      <c r="A43" s="29" t="inlineStr">
        <is>
          <t>Comidas preparadas en caliente y en frío</t>
        </is>
      </c>
      <c r="B43" s="29" t="inlineStr">
        <is>
          <t>≥ 63 °C · 60 → 10 °C en &lt; 2 h · 74 °C 15 s</t>
        </is>
      </c>
      <c r="C43" s="29" t="inlineStr">
        <is>
          <t>Real Decreto 1086/2020, art. 30, en la redacción del Real Decreto 1021/2022</t>
        </is>
      </c>
      <c r="D43" s="48" t="inlineStr">
        <is>
          <t>El pollo en la vitrina caliente, a 63 °C o más; lo que sobra se enfría de 60 a 10 °C en menos de 2 h y se recalienta a 74 °C durante 15 s en el centro, en la hora siguiente a sacarlo del frío. Ninguna norma fija la temperatura de cocción del pollo: el caso pide 74 °C en el muslo con sonda como criterio de su APPCC</t>
        </is>
      </c>
      <c r="E43" s="29" t="n"/>
    </row>
    <row r="44" ht="60" customHeight="1">
      <c r="A44" s="29" t="inlineStr">
        <is>
          <t>Mayonesa, alioli, ensaladilla y cremas sin cocción</t>
        </is>
      </c>
      <c r="B44" s="29" t="inlineStr">
        <is>
          <t>Ovoproducto · ≤ 8 °C · 24 h</t>
        </is>
      </c>
      <c r="C44" s="29" t="inlineStr">
        <is>
          <t>Real Decreto 1021/2022, art. 9.2 y 9.3</t>
        </is>
      </c>
      <c r="D44" s="48" t="inlineStr">
        <is>
          <t>Sin huevo crudo: ovoproducto de un establecimiento autorizado, a 8 °C o menos, consumo en 24 horas y registro de la fecha y la hora de elaboración. El pollo crudo, a 4 °C o menos, y las mollejas, a 3 °C o menos (art. 4.1)</t>
        </is>
      </c>
      <c r="E44" s="29" t="n"/>
    </row>
    <row r="45">
      <c r="A45" s="29" t="inlineStr">
        <is>
          <t>Salario mínimo interprofesional 2026</t>
        </is>
      </c>
      <c r="B45" s="29" t="inlineStr">
        <is>
          <t>1.221 € al mes en 14 pagas</t>
        </is>
      </c>
      <c r="C45" s="29" t="inlineStr">
        <is>
          <t>Real Decreto 126/2026</t>
        </is>
      </c>
      <c r="D45" s="48" t="inlineStr">
        <is>
          <t>A prorrata en jornada parcial</t>
        </is>
      </c>
      <c r="E45" s="29" t="n"/>
    </row>
    <row r="46" ht="45" customHeight="1">
      <c r="A46" s="29" t="inlineStr">
        <is>
          <t>Convenio colectivo aplicable</t>
        </is>
      </c>
      <c r="B46" s="29" t="inlineStr">
        <is>
          <t>Provincial de hostelería</t>
        </is>
      </c>
      <c r="C46" s="29" t="inlineStr">
        <is>
          <t>VI Acuerdo Laboral de ámbito Estatal para el sector de Hostelería, art. 4</t>
        </is>
      </c>
      <c r="D46" s="48" t="inlineStr">
        <is>
          <t>No nombra la pollería ni el asador de pollos: entran como restaurante. Copia tu tabla salarial en la celda de Supuestos</t>
        </is>
      </c>
      <c r="E46" s="29" t="n"/>
    </row>
    <row r="47">
      <c r="A47" s="29" t="n"/>
      <c r="B47" s="29" t="n"/>
      <c r="C47" s="29" t="n"/>
      <c r="D47" s="29" t="n"/>
      <c r="E47" s="29" t="n"/>
    </row>
    <row r="48">
      <c r="A48" s="75" t="inlineStr">
        <is>
          <t>Para editar una celda que no esté en verde: Revisar → Desproteger hoja (no tiene contraseña).</t>
        </is>
      </c>
      <c r="B48" s="29" t="n"/>
      <c r="C48" s="29" t="n"/>
      <c r="D48" s="29" t="n"/>
      <c r="E48" s="29" t="n"/>
    </row>
    <row r="49">
      <c r="A49" s="75" t="inlineStr">
        <is>
          <t>Más plantillas y kits del catálogo en aichef.pro/productos-digitales</t>
        </is>
      </c>
      <c r="B49" s="29" t="n"/>
      <c r="C49" s="29" t="n"/>
      <c r="D49" s="29" t="n"/>
      <c r="E49" s="29" t="n"/>
    </row>
    <row r="50">
      <c r="A50" s="75" t="inlineStr">
        <is>
          <t>Diseñado por John Guerrero — chef y consultor gastronómico desde 2010, en cocina desde los 17 años · johnguerrero.es</t>
        </is>
      </c>
      <c r="B50" s="29" t="n"/>
      <c r="C50" s="29" t="n"/>
      <c r="D50" s="29" t="n"/>
      <c r="E50" s="29" t="n"/>
    </row>
    <row r="51">
      <c r="A51" s="75" t="inlineStr">
        <is>
          <t>Versión 1.0 · noviembre 2026 · aichef.pro/plan-negocio-polleria · info@aichef.pro</t>
        </is>
      </c>
      <c r="B51" s="29" t="n"/>
      <c r="C51" s="29" t="n"/>
      <c r="D51" s="29" t="n"/>
      <c r="E51" s="29" t="n"/>
    </row>
    <row r="52">
      <c r="A52" s="29" t="n"/>
      <c r="B52" s="29" t="n"/>
      <c r="C52" s="29" t="n"/>
      <c r="D52" s="29" t="n"/>
      <c r="E52" s="29" t="n"/>
    </row>
    <row r="53">
      <c r="A53" s="29" t="n"/>
      <c r="B53" s="29" t="n"/>
      <c r="C53" s="29" t="n"/>
      <c r="D53" s="29" t="n"/>
      <c r="E53" s="29" t="n"/>
    </row>
    <row r="54">
      <c r="A54" s="29" t="n"/>
      <c r="B54" s="29" t="n"/>
      <c r="C54" s="29" t="n"/>
      <c r="D54" s="29" t="n"/>
      <c r="E54" s="29" t="n"/>
    </row>
    <row r="55">
      <c r="A55" s="29" t="n"/>
      <c r="B55" s="29" t="n"/>
      <c r="C55" s="29" t="n"/>
      <c r="D55" s="29" t="n"/>
      <c r="E55" s="29" t="n"/>
    </row>
    <row r="56">
      <c r="A56" s="29" t="n"/>
      <c r="B56" s="29" t="n"/>
      <c r="C56" s="29" t="n"/>
      <c r="D56" s="29" t="n"/>
      <c r="E56" s="29" t="n"/>
    </row>
    <row r="57">
      <c r="A57" s="29" t="n"/>
      <c r="B57" s="29" t="n"/>
      <c r="C57" s="29" t="n"/>
      <c r="D57" s="29" t="n"/>
      <c r="E57" s="29" t="n"/>
    </row>
    <row r="58">
      <c r="A58" s="29" t="n"/>
      <c r="B58" s="29" t="n"/>
      <c r="C58" s="29" t="n"/>
      <c r="D58" s="29" t="n"/>
      <c r="E58" s="29" t="n"/>
    </row>
    <row r="59">
      <c r="A59" s="29" t="n"/>
      <c r="B59" s="29" t="n"/>
      <c r="C59" s="29" t="n"/>
      <c r="D59" s="29" t="n"/>
      <c r="E59" s="29" t="n"/>
    </row>
    <row r="60">
      <c r="A60" s="29" t="n"/>
      <c r="B60" s="29" t="n"/>
      <c r="C60" s="29" t="n"/>
      <c r="D60" s="29" t="n"/>
      <c r="E60" s="29" t="n"/>
    </row>
    <row r="61">
      <c r="A61" s="29" t="n"/>
      <c r="B61" s="29" t="n"/>
      <c r="C61" s="29" t="n"/>
      <c r="D61" s="29" t="n"/>
      <c r="E61" s="29" t="n"/>
    </row>
    <row r="62">
      <c r="A62" s="29" t="n"/>
      <c r="B62" s="29" t="n"/>
      <c r="C62" s="29" t="n"/>
      <c r="D62" s="29" t="n"/>
      <c r="E62" s="29" t="n"/>
    </row>
    <row r="63">
      <c r="A63" s="29" t="n"/>
      <c r="B63" s="29" t="n"/>
      <c r="C63" s="29" t="n"/>
      <c r="D63" s="29" t="n"/>
      <c r="E63" s="29" t="n"/>
    </row>
    <row r="64">
      <c r="A64" s="29" t="n"/>
      <c r="B64" s="29" t="n"/>
      <c r="C64" s="29" t="n"/>
      <c r="D64" s="29" t="n"/>
      <c r="E64" s="29" t="n"/>
    </row>
    <row r="65">
      <c r="A65" s="29" t="n"/>
      <c r="B65" s="29" t="n"/>
      <c r="C65" s="29" t="n"/>
      <c r="D65" s="29" t="n"/>
      <c r="E65" s="29" t="n"/>
    </row>
    <row r="66">
      <c r="A66" s="29" t="n"/>
      <c r="B66" s="29" t="n"/>
      <c r="C66" s="29" t="n"/>
      <c r="D66" s="29" t="n"/>
      <c r="E66" s="29" t="n"/>
    </row>
    <row r="67">
      <c r="A67" s="29" t="n"/>
      <c r="B67" s="29" t="n"/>
      <c r="C67" s="29" t="n"/>
      <c r="D67" s="29" t="n"/>
      <c r="E67" s="29" t="n"/>
    </row>
    <row r="68">
      <c r="A68" s="29" t="n"/>
      <c r="B68" s="29" t="n"/>
      <c r="C68" s="29" t="n"/>
      <c r="D68" s="29" t="n"/>
      <c r="E68" s="29" t="n"/>
    </row>
    <row r="69">
      <c r="A69" s="29" t="n"/>
      <c r="B69" s="29" t="n"/>
      <c r="C69" s="29" t="n"/>
      <c r="D69" s="29" t="n"/>
      <c r="E69" s="29" t="n"/>
    </row>
    <row r="70">
      <c r="A70" s="29" t="n"/>
      <c r="B70" s="29" t="n"/>
      <c r="C70" s="29" t="n"/>
      <c r="D70" s="29" t="n"/>
      <c r="E70" s="29" t="n"/>
    </row>
    <row r="71">
      <c r="A71" s="29" t="n"/>
      <c r="B71" s="29" t="n"/>
      <c r="C71" s="29" t="n"/>
      <c r="D71" s="29" t="n"/>
      <c r="E71" s="29" t="n"/>
    </row>
    <row r="72">
      <c r="A72" s="29" t="n"/>
      <c r="B72" s="29" t="n"/>
      <c r="C72" s="29" t="n"/>
      <c r="D72" s="29" t="n"/>
      <c r="E72" s="29" t="n"/>
    </row>
    <row r="73">
      <c r="A73" s="29" t="n"/>
      <c r="B73" s="29" t="n"/>
      <c r="C73" s="29" t="n"/>
      <c r="D73" s="29" t="n"/>
      <c r="E73" s="29" t="n"/>
    </row>
    <row r="74">
      <c r="A74" s="29" t="n"/>
      <c r="B74" s="29" t="n"/>
      <c r="C74" s="29" t="n"/>
      <c r="D74" s="29" t="n"/>
      <c r="E74" s="29"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6" t="inlineStr">
        <is>
          <t>PREVISIÓN DE TESORERÍA — AÑO 1</t>
        </is>
      </c>
      <c r="B1" s="29" t="n"/>
      <c r="C1" s="29" t="n"/>
      <c r="D1" s="29" t="n"/>
      <c r="E1" s="29" t="n"/>
      <c r="F1" s="29" t="n"/>
      <c r="G1" s="29" t="n"/>
      <c r="H1" s="29" t="n"/>
      <c r="I1" s="29" t="n"/>
      <c r="J1" s="29" t="n"/>
      <c r="K1" s="29" t="n"/>
      <c r="L1" s="29" t="n"/>
      <c r="M1" s="29" t="n"/>
      <c r="N1" s="29" t="n"/>
      <c r="O1" s="29" t="n"/>
    </row>
    <row r="2" ht="45" customHeight="1">
      <c r="A2" s="48" t="inlineStr">
        <is>
          <t>El P&amp;L dice si el negocio gana dinero; esta hoja dice si le queda caja para llegar a fin de mes. Es la primera que mira un banco.</t>
        </is>
      </c>
      <c r="B2" s="29" t="n"/>
      <c r="C2" s="29" t="n"/>
      <c r="D2" s="29" t="n"/>
      <c r="E2" s="29" t="n"/>
      <c r="F2" s="29" t="n"/>
      <c r="G2" s="29" t="n"/>
      <c r="H2" s="29" t="n"/>
      <c r="I2" s="29" t="n"/>
      <c r="J2" s="29" t="n"/>
      <c r="K2" s="29" t="n"/>
      <c r="L2" s="29" t="n"/>
      <c r="M2" s="29" t="n"/>
      <c r="N2" s="29" t="n"/>
      <c r="O2" s="29" t="n"/>
    </row>
    <row r="3">
      <c r="A3" s="29" t="n"/>
      <c r="B3" s="29" t="n"/>
      <c r="C3" s="29" t="n"/>
      <c r="D3" s="29" t="n"/>
      <c r="E3" s="29" t="n"/>
      <c r="F3" s="29" t="n"/>
      <c r="G3" s="29" t="n"/>
      <c r="H3" s="29" t="n"/>
      <c r="I3" s="29" t="n"/>
      <c r="J3" s="29" t="n"/>
      <c r="K3" s="29" t="n"/>
      <c r="L3" s="29" t="n"/>
      <c r="M3" s="29" t="n"/>
      <c r="N3" s="29" t="n"/>
      <c r="O3" s="29" t="n"/>
    </row>
    <row r="4">
      <c r="A4" s="26" t="inlineStr">
        <is>
          <t>Concepto</t>
        </is>
      </c>
      <c r="B4" s="26" t="inlineStr">
        <is>
          <t>Mes 1 (€)</t>
        </is>
      </c>
      <c r="C4" s="26" t="inlineStr">
        <is>
          <t>Mes 2 (€)</t>
        </is>
      </c>
      <c r="D4" s="26" t="inlineStr">
        <is>
          <t>Mes 3 (€)</t>
        </is>
      </c>
      <c r="E4" s="26" t="inlineStr">
        <is>
          <t>Mes 4 (€)</t>
        </is>
      </c>
      <c r="F4" s="26" t="inlineStr">
        <is>
          <t>Mes 5 (€)</t>
        </is>
      </c>
      <c r="G4" s="26" t="inlineStr">
        <is>
          <t>Mes 6 (€)</t>
        </is>
      </c>
      <c r="H4" s="26" t="inlineStr">
        <is>
          <t>Mes 7 (€)</t>
        </is>
      </c>
      <c r="I4" s="26" t="inlineStr">
        <is>
          <t>Mes 8 (€)</t>
        </is>
      </c>
      <c r="J4" s="26" t="inlineStr">
        <is>
          <t>Mes 9 (€)</t>
        </is>
      </c>
      <c r="K4" s="26" t="inlineStr">
        <is>
          <t>Mes 10 (€)</t>
        </is>
      </c>
      <c r="L4" s="26" t="inlineStr">
        <is>
          <t>Mes 11 (€)</t>
        </is>
      </c>
      <c r="M4" s="26" t="inlineStr">
        <is>
          <t>Mes 12 (€)</t>
        </is>
      </c>
      <c r="N4" s="26" t="inlineStr">
        <is>
          <t>Año (€)</t>
        </is>
      </c>
      <c r="O4" s="29" t="n"/>
    </row>
    <row r="5">
      <c r="A5" s="29" t="inlineStr">
        <is>
          <t>Estacionalidad del mes (suma 100 %)</t>
        </is>
      </c>
      <c r="B5" s="74" t="n">
        <v>0.07000000000000001</v>
      </c>
      <c r="C5" s="74" t="n">
        <v>0.07199999999999999</v>
      </c>
      <c r="D5" s="74" t="n">
        <v>0.08</v>
      </c>
      <c r="E5" s="74" t="n">
        <v>0.08400000000000001</v>
      </c>
      <c r="F5" s="74" t="n">
        <v>0.08599999999999999</v>
      </c>
      <c r="G5" s="74" t="n">
        <v>0.08799999999999999</v>
      </c>
      <c r="H5" s="74" t="n">
        <v>0.096</v>
      </c>
      <c r="I5" s="74" t="n">
        <v>0.098</v>
      </c>
      <c r="J5" s="74" t="n">
        <v>0.08400000000000001</v>
      </c>
      <c r="K5" s="74" t="n">
        <v>0.082</v>
      </c>
      <c r="L5" s="74" t="n">
        <v>0.076</v>
      </c>
      <c r="M5" s="74" t="n">
        <v>0.08400000000000001</v>
      </c>
      <c r="N5" s="68">
        <f>IFERROR(IF('PyG 3 Años'!$B$9="","",SUM(B5:M5)),"")</f>
        <v>1.0</v>
      </c>
      <c r="O5" s="29" t="inlineStr">
        <is>
          <t>Mes 1 = ENERO, en el orden del calendario: enero y febrero son los meses más flojos, julio y agosto el pico (la semana del 15 de agosto, la más fuerte) y diciembre repunta con los encargos de Nochebuena y Nochevieja. En la costa el verano sube más; en el centro de una gran ciudad, agosto puede bajar. Si abres en otro mes, gira la fila. Tiene que sumar 100 %</t>
        </is>
      </c>
    </row>
    <row r="6">
      <c r="A6" s="29" t="inlineStr">
        <is>
          <t>Rampa de arranque (% de la actividad de crucero)</t>
        </is>
      </c>
      <c r="B6" s="68">
        <f>IFERROR(IF('PyG 3 Años'!$B$9="","",MIN(1,'0. Supuestos'!$B$52+(1-'0. Supuestos'!$B$52)*0/MAX(1,'0. Supuestos'!$B$53-1))),"")</f>
        <v>0.75</v>
      </c>
      <c r="C6" s="68">
        <f>IFERROR(IF('PyG 3 Años'!$B$9="","",MIN(1,'0. Supuestos'!$B$52+(1-'0. Supuestos'!$B$52)*1/MAX(1,'0. Supuestos'!$B$53-1))),"")</f>
        <v>0.8333333333333334</v>
      </c>
      <c r="D6" s="68">
        <f>IFERROR(IF('PyG 3 Años'!$B$9="","",MIN(1,'0. Supuestos'!$B$52+(1-'0. Supuestos'!$B$52)*2/MAX(1,'0. Supuestos'!$B$53-1))),"")</f>
        <v>0.9166666666666666</v>
      </c>
      <c r="E6" s="68">
        <f>IFERROR(IF('PyG 3 Años'!$B$9="","",MIN(1,'0. Supuestos'!$B$52+(1-'0. Supuestos'!$B$52)*3/MAX(1,'0. Supuestos'!$B$53-1))),"")</f>
        <v>1.0</v>
      </c>
      <c r="F6" s="68">
        <f>IFERROR(IF('PyG 3 Años'!$B$9="","",MIN(1,'0. Supuestos'!$B$52+(1-'0. Supuestos'!$B$52)*4/MAX(1,'0. Supuestos'!$B$53-1))),"")</f>
        <v>1.0</v>
      </c>
      <c r="G6" s="68">
        <f>IFERROR(IF('PyG 3 Años'!$B$9="","",MIN(1,'0. Supuestos'!$B$52+(1-'0. Supuestos'!$B$52)*5/MAX(1,'0. Supuestos'!$B$53-1))),"")</f>
        <v>1.0</v>
      </c>
      <c r="H6" s="68">
        <f>IFERROR(IF('PyG 3 Años'!$B$9="","",MIN(1,'0. Supuestos'!$B$52+(1-'0. Supuestos'!$B$52)*6/MAX(1,'0. Supuestos'!$B$53-1))),"")</f>
        <v>1.0</v>
      </c>
      <c r="I6" s="68">
        <f>IFERROR(IF('PyG 3 Años'!$B$9="","",MIN(1,'0. Supuestos'!$B$52+(1-'0. Supuestos'!$B$52)*7/MAX(1,'0. Supuestos'!$B$53-1))),"")</f>
        <v>1.0</v>
      </c>
      <c r="J6" s="68">
        <f>IFERROR(IF('PyG 3 Años'!$B$9="","",MIN(1,'0. Supuestos'!$B$52+(1-'0. Supuestos'!$B$52)*8/MAX(1,'0. Supuestos'!$B$53-1))),"")</f>
        <v>1.0</v>
      </c>
      <c r="K6" s="68">
        <f>IFERROR(IF('PyG 3 Años'!$B$9="","",MIN(1,'0. Supuestos'!$B$52+(1-'0. Supuestos'!$B$52)*9/MAX(1,'0. Supuestos'!$B$53-1))),"")</f>
        <v>1.0</v>
      </c>
      <c r="L6" s="68">
        <f>IFERROR(IF('PyG 3 Años'!$B$9="","",MIN(1,'0. Supuestos'!$B$52+(1-'0. Supuestos'!$B$52)*10/MAX(1,'0. Supuestos'!$B$53-1))),"")</f>
        <v>1.0</v>
      </c>
      <c r="M6" s="68">
        <f>IFERROR(IF('PyG 3 Años'!$B$9="","",MIN(1,'0. Supuestos'!$B$52+(1-'0. Supuestos'!$B$52)*11/MAX(1,'0. Supuestos'!$B$53-1))),"")</f>
        <v>1.0</v>
      </c>
      <c r="N6" s="29" t="n"/>
      <c r="O6" s="29" t="inlineStr">
        <is>
          <t>Sube en línea recta desde el porcentaje del mes 1 hasta el 100 % en los meses que digas en Supuestos. Con el mes 1 al 100 % la rampa desaparece</t>
        </is>
      </c>
    </row>
    <row r="7">
      <c r="A7" s="29" t="inlineStr">
        <is>
          <t>Reparto de la actividad por mes (calculado)</t>
        </is>
      </c>
      <c r="B7" s="68">
        <f>IFERROR(IF('PyG 3 Años'!$B$9="","",B5*B6/SUMPRODUCT($B$5:$M$5,$B$6:$M$6)),"")</f>
        <v>0.054469998270793726</v>
      </c>
      <c r="C7" s="68">
        <f>IFERROR(IF('PyG 3 Años'!$B$9="","",C5*C6/SUMPRODUCT($B$5:$M$5,$B$6:$M$6)),"")</f>
        <v>0.06225142659519282</v>
      </c>
      <c r="D7" s="68">
        <f>IFERROR(IF('PyG 3 Años'!$B$9="","",D5*D6/SUMPRODUCT($B$5:$M$5,$B$6:$M$6)),"")</f>
        <v>0.07608507694968011</v>
      </c>
      <c r="E7" s="68">
        <f>IFERROR(IF('PyG 3 Años'!$B$9="","",E5*E6/SUMPRODUCT($B$5:$M$5,$B$6:$M$6)),"")</f>
        <v>0.08715199723326995</v>
      </c>
      <c r="F7" s="68">
        <f>IFERROR(IF('PyG 3 Años'!$B$9="","",F5*F6/SUMPRODUCT($B$5:$M$5,$B$6:$M$6)),"")</f>
        <v>0.08922704478644304</v>
      </c>
      <c r="G7" s="68">
        <f>IFERROR(IF('PyG 3 Años'!$B$9="","",G5*G6/SUMPRODUCT($B$5:$M$5,$B$6:$M$6)),"")</f>
        <v>0.09130209233961613</v>
      </c>
      <c r="H7" s="68">
        <f>IFERROR(IF('PyG 3 Años'!$B$9="","",H5*H6/SUMPRODUCT($B$5:$M$5,$B$6:$M$6)),"")</f>
        <v>0.09960228255230852</v>
      </c>
      <c r="I7" s="68">
        <f>IFERROR(IF('PyG 3 Años'!$B$9="","",I5*I6/SUMPRODUCT($B$5:$M$5,$B$6:$M$6)),"")</f>
        <v>0.1016773301054816</v>
      </c>
      <c r="J7" s="68">
        <f>IFERROR(IF('PyG 3 Años'!$B$9="","",J5*J6/SUMPRODUCT($B$5:$M$5,$B$6:$M$6)),"")</f>
        <v>0.08715199723326995</v>
      </c>
      <c r="K7" s="68">
        <f>IFERROR(IF('PyG 3 Años'!$B$9="","",K5*K6/SUMPRODUCT($B$5:$M$5,$B$6:$M$6)),"")</f>
        <v>0.08507694968009687</v>
      </c>
      <c r="L7" s="68">
        <f>IFERROR(IF('PyG 3 Años'!$B$9="","",L5*L6/SUMPRODUCT($B$5:$M$5,$B$6:$M$6)),"")</f>
        <v>0.07885180702057758</v>
      </c>
      <c r="M7" s="68">
        <f>IFERROR(IF('PyG 3 Años'!$B$9="","",M5*M6/SUMPRODUCT($B$5:$M$5,$B$6:$M$6)),"")</f>
        <v>0.08715199723326995</v>
      </c>
      <c r="N7" s="68">
        <f>IFERROR(IF('PyG 3 Años'!$B$9="","",SUM(B7:M7)),"")</f>
        <v>1.0000000000000002</v>
      </c>
      <c r="O7" s="29" t="inlineStr">
        <is>
          <t>Estacionalidad × rampa, normalizado a 100 %: el AÑO factura lo que dice el P&amp;L, pero repartido como lo reparte un local que acaba de abrir</t>
        </is>
      </c>
    </row>
    <row r="8">
      <c r="A8" s="26" t="inlineStr">
        <is>
          <t>COBROS</t>
        </is>
      </c>
      <c r="B8" s="29" t="n"/>
      <c r="C8" s="29" t="n"/>
      <c r="D8" s="29" t="n"/>
      <c r="E8" s="29" t="n"/>
      <c r="F8" s="29" t="n"/>
      <c r="G8" s="29" t="n"/>
      <c r="H8" s="29" t="n"/>
      <c r="I8" s="29" t="n"/>
      <c r="J8" s="29" t="n"/>
      <c r="K8" s="29" t="n"/>
      <c r="L8" s="29" t="n"/>
      <c r="M8" s="29" t="n"/>
      <c r="N8" s="29" t="n"/>
      <c r="O8" s="29" t="n"/>
    </row>
    <row r="9">
      <c r="A9" s="29" t="inlineStr">
        <is>
          <t>Ventas cobradas (con IVA repercutido)</t>
        </is>
      </c>
      <c r="B9" s="33">
        <f>IFERROR(IF('PyG 3 Años'!$B$9="","",('PyG 3 Años'!$B$9+'PyG 3 Años'!$B$9*SUMPRODUCT('PyG 3 Años'!$E$10:$E$11,'PyG 3 Años'!$G$10:$G$11))*B7*(1-MIN(30,'0. Supuestos'!$B$58)/30)),"")</f>
        <v>20473.878445305218</v>
      </c>
      <c r="C9" s="33">
        <f>IFERROR(IF('PyG 3 Años'!$B$9="","",('PyG 3 Años'!$B$9+'PyG 3 Años'!$B$9*SUMPRODUCT('PyG 3 Años'!$E$10:$E$11,'PyG 3 Años'!$G$10:$G$11))*(C7*(1-MIN(30,'0. Supuestos'!$B$58)/30)+B7*MIN(30,'0. Supuestos'!$B$58)/30)),"")</f>
        <v>24861.138112156328</v>
      </c>
      <c r="D9" s="33">
        <f>IFERROR(IF('PyG 3 Años'!$B$9="","",('PyG 3 Años'!$B$9+'PyG 3 Años'!$B$9*SUMPRODUCT('PyG 3 Años'!$E$10:$E$11,'PyG 3 Años'!$G$10:$G$11))*(D7*(1-MIN(30,'0. Supuestos'!$B$58)/30)+C7*MIN(30,'0. Supuestos'!$B$58)/30)),"")</f>
        <v>30269.770399861674</v>
      </c>
      <c r="E9" s="33">
        <f>IFERROR(IF('PyG 3 Años'!$B$9="","",('PyG 3 Años'!$B$9+'PyG 3 Años'!$B$9*SUMPRODUCT('PyG 3 Años'!$E$10:$E$11,'PyG 3 Años'!$G$10:$G$11))*(E7*(1-MIN(30,'0. Supuestos'!$B$58)/30)+D7*MIN(30,'0. Supuestos'!$B$58)/30)),"")</f>
        <v>34800.9507541968</v>
      </c>
      <c r="F9" s="33">
        <f>IFERROR(IF('PyG 3 Años'!$B$9="","",('PyG 3 Años'!$B$9+'PyG 3 Años'!$B$9*SUMPRODUCT('PyG 3 Años'!$E$10:$E$11,'PyG 3 Años'!$G$10:$G$11))*(F7*(1-MIN(30,'0. Supuestos'!$B$58)/30)+E7*MIN(30,'0. Supuestos'!$B$58)/30)),"")</f>
        <v>35878.0346089158</v>
      </c>
      <c r="G9" s="33">
        <f>IFERROR(IF('PyG 3 Años'!$B$9="","",('PyG 3 Años'!$B$9+'PyG 3 Años'!$B$9*SUMPRODUCT('PyG 3 Años'!$E$10:$E$11,'PyG 3 Años'!$G$10:$G$11))*(G7*(1-MIN(30,'0. Supuestos'!$B$58)/30)+F7*MIN(30,'0. Supuestos'!$B$58)/30)),"")</f>
        <v>36713.70311688744</v>
      </c>
      <c r="H9" s="33">
        <f>IFERROR(IF('PyG 3 Años'!$B$9="","",('PyG 3 Años'!$B$9+'PyG 3 Años'!$B$9*SUMPRODUCT('PyG 3 Años'!$E$10:$E$11,'PyG 3 Años'!$G$10:$G$11))*(H7*(1-MIN(30,'0. Supuestos'!$B$58)/30)+G7*MIN(30,'0. Supuestos'!$B$58)/30)),"")</f>
        <v>39889.24344717968</v>
      </c>
      <c r="I9" s="33">
        <f>IFERROR(IF('PyG 3 Años'!$B$9="","",('PyG 3 Años'!$B$9+'PyG 3 Años'!$B$9*SUMPRODUCT('PyG 3 Años'!$E$10:$E$11,'PyG 3 Años'!$G$10:$G$11))*(I7*(1-MIN(30,'0. Supuestos'!$B$58)/30)+H7*MIN(30,'0. Supuestos'!$B$58)/30)),"")</f>
        <v>40892.04565674565</v>
      </c>
      <c r="J9" s="33">
        <f>IFERROR(IF('PyG 3 Años'!$B$9="","",('PyG 3 Años'!$B$9+'PyG 3 Años'!$B$9*SUMPRODUCT('PyG 3 Años'!$E$10:$E$11,'PyG 3 Años'!$G$10:$G$11))*(J7*(1-MIN(30,'0. Supuestos'!$B$58)/30)+I7*MIN(30,'0. Supuestos'!$B$58)/30)),"")</f>
        <v>35488.05597186237</v>
      </c>
      <c r="K9" s="33">
        <f>IFERROR(IF('PyG 3 Años'!$B$9="","",('PyG 3 Años'!$B$9+'PyG 3 Años'!$B$9*SUMPRODUCT('PyG 3 Años'!$E$10:$E$11,'PyG 3 Años'!$G$10:$G$11))*(K7*(1-MIN(30,'0. Supuestos'!$B$58)/30)+J7*MIN(30,'0. Supuestos'!$B$58)/30)),"")</f>
        <v>34318.12006070207</v>
      </c>
      <c r="L9" s="33">
        <f>IFERROR(IF('PyG 3 Años'!$B$9="","",('PyG 3 Años'!$B$9+'PyG 3 Años'!$B$9*SUMPRODUCT('PyG 3 Años'!$E$10:$E$11,'PyG 3 Años'!$G$10:$G$11))*(L7*(1-MIN(30,'0. Supuestos'!$B$58)/30)+K7*MIN(30,'0. Supuestos'!$B$58)/30)),"")</f>
        <v>31922.537004516696</v>
      </c>
      <c r="M9" s="33">
        <f>IFERROR(IF('PyG 3 Años'!$B$9="","",('PyG 3 Años'!$B$9+'PyG 3 Años'!$B$9*SUMPRODUCT('PyG 3 Años'!$E$10:$E$11,'PyG 3 Años'!$G$10:$G$11))*(M7*(1-MIN(30,'0. Supuestos'!$B$58)/30)+L7*MIN(30,'0. Supuestos'!$B$58)/30)),"")</f>
        <v>34875.232399349836</v>
      </c>
      <c r="N9" s="33">
        <f>IFERROR(IF('PyG 3 Años'!$B$9="","",SUM(B9:M9)),"")</f>
        <v>400382.7099776796</v>
      </c>
      <c r="O9" s="29" t="inlineStr">
        <is>
          <t>Ventas del mes con el IVA repercutido, corregidas por los días medios de cobro de la hoja de Supuestos</t>
        </is>
      </c>
    </row>
    <row r="10">
      <c r="A10" s="26" t="inlineStr">
        <is>
          <t>PAGOS</t>
        </is>
      </c>
      <c r="B10" s="29" t="n"/>
      <c r="C10" s="29" t="n"/>
      <c r="D10" s="29" t="n"/>
      <c r="E10" s="29" t="n"/>
      <c r="F10" s="29" t="n"/>
      <c r="G10" s="29" t="n"/>
      <c r="H10" s="29" t="n"/>
      <c r="I10" s="29" t="n"/>
      <c r="J10" s="29" t="n"/>
      <c r="K10" s="29" t="n"/>
      <c r="L10" s="29" t="n"/>
      <c r="M10" s="29" t="n"/>
      <c r="N10" s="29" t="n"/>
      <c r="O10" s="29" t="n"/>
    </row>
    <row r="11">
      <c r="A11" s="29" t="inlineStr">
        <is>
          <t>Compras y costes variables (IVA incluido)</t>
        </is>
      </c>
      <c r="B11" s="33">
        <f>IFERROR(IF('PyG 3 Años'!$B$9="","",-('PyG 3 Años'!$B$13*(1+'PyG 3 Años'!$G$13)+'PyG 3 Años'!$B$14*(1+'PyG 3 Años'!$G$14)+'PyG 3 Años'!$B$15*(1+'PyG 3 Años'!$G$15)+'PyG 3 Años'!$B$16*(1+'PyG 3 Años'!$G$16)+'PyG 3 Años'!$B$17*(1+'PyG 3 Años'!$G$17)+'PyG 3 Años'!$B$18*(1+'PyG 3 Años'!$G$18))*B7*(1-MIN(30,'0. Supuestos'!$B$59)/30)),"")</f>
        <v>-0.0</v>
      </c>
      <c r="C11" s="33">
        <f>IFERROR(IF('PyG 3 Años'!$B$9="","",-('PyG 3 Años'!$B$13*(1+'PyG 3 Años'!$G$13)+'PyG 3 Años'!$B$14*(1+'PyG 3 Años'!$G$14)+'PyG 3 Años'!$B$15*(1+'PyG 3 Años'!$G$15)+'PyG 3 Años'!$B$16*(1+'PyG 3 Años'!$G$16)+'PyG 3 Años'!$B$17*(1+'PyG 3 Años'!$G$17)+'PyG 3 Años'!$B$18*(1+'PyG 3 Años'!$G$18))*(C7*(1-MIN(30,'0. Supuestos'!$B$59)/30)+B7*MIN(30,'0. Supuestos'!$B$59)/30)),"")</f>
        <v>-9104.216881826047</v>
      </c>
      <c r="D11" s="33">
        <f>IFERROR(IF('PyG 3 Años'!$B$9="","",-('PyG 3 Años'!$B$13*(1+'PyG 3 Años'!$G$13)+'PyG 3 Años'!$B$14*(1+'PyG 3 Años'!$G$14)+'PyG 3 Años'!$B$15*(1+'PyG 3 Años'!$G$15)+'PyG 3 Años'!$B$16*(1+'PyG 3 Años'!$G$16)+'PyG 3 Años'!$B$17*(1+'PyG 3 Años'!$G$17)+'PyG 3 Años'!$B$18*(1+'PyG 3 Años'!$G$18))*(D7*(1-MIN(30,'0. Supuestos'!$B$59)/30)+C7*MIN(30,'0. Supuestos'!$B$59)/30)),"")</f>
        <v>-10404.819293515478</v>
      </c>
      <c r="E11" s="33">
        <f>IFERROR(IF('PyG 3 Años'!$B$9="","",-('PyG 3 Años'!$B$13*(1+'PyG 3 Años'!$G$13)+'PyG 3 Años'!$B$14*(1+'PyG 3 Años'!$G$14)+'PyG 3 Años'!$B$15*(1+'PyG 3 Años'!$G$15)+'PyG 3 Años'!$B$16*(1+'PyG 3 Años'!$G$16)+'PyG 3 Años'!$B$17*(1+'PyG 3 Años'!$G$17)+'PyG 3 Años'!$B$18*(1+'PyG 3 Años'!$G$18))*(E7*(1-MIN(30,'0. Supuestos'!$B$59)/30)+D7*MIN(30,'0. Supuestos'!$B$59)/30)),"")</f>
        <v>-12717.001358741141</v>
      </c>
      <c r="F11" s="33">
        <f>IFERROR(IF('PyG 3 Años'!$B$9="","",-('PyG 3 Años'!$B$13*(1+'PyG 3 Años'!$G$13)+'PyG 3 Años'!$B$14*(1+'PyG 3 Años'!$G$14)+'PyG 3 Años'!$B$15*(1+'PyG 3 Años'!$G$15)+'PyG 3 Años'!$B$16*(1+'PyG 3 Años'!$G$16)+'PyG 3 Años'!$B$17*(1+'PyG 3 Años'!$G$17)+'PyG 3 Años'!$B$18*(1+'PyG 3 Años'!$G$18))*(F7*(1-MIN(30,'0. Supuestos'!$B$59)/30)+E7*MIN(30,'0. Supuestos'!$B$59)/30)),"")</f>
        <v>-14566.747010921672</v>
      </c>
      <c r="G11" s="33">
        <f>IFERROR(IF('PyG 3 Años'!$B$9="","",-('PyG 3 Años'!$B$13*(1+'PyG 3 Años'!$G$13)+'PyG 3 Años'!$B$14*(1+'PyG 3 Años'!$G$14)+'PyG 3 Años'!$B$15*(1+'PyG 3 Años'!$G$15)+'PyG 3 Años'!$B$16*(1+'PyG 3 Años'!$G$16)+'PyG 3 Años'!$B$17*(1+'PyG 3 Años'!$G$17)+'PyG 3 Años'!$B$18*(1+'PyG 3 Años'!$G$18))*(G7*(1-MIN(30,'0. Supuestos'!$B$59)/30)+F7*MIN(30,'0. Supuestos'!$B$59)/30)),"")</f>
        <v>-14913.57432070552</v>
      </c>
      <c r="H11" s="33">
        <f>IFERROR(IF('PyG 3 Años'!$B$9="","",-('PyG 3 Años'!$B$13*(1+'PyG 3 Años'!$G$13)+'PyG 3 Años'!$B$14*(1+'PyG 3 Años'!$G$14)+'PyG 3 Años'!$B$15*(1+'PyG 3 Años'!$G$15)+'PyG 3 Años'!$B$16*(1+'PyG 3 Años'!$G$16)+'PyG 3 Años'!$B$17*(1+'PyG 3 Años'!$G$17)+'PyG 3 Años'!$B$18*(1+'PyG 3 Años'!$G$18))*(H7*(1-MIN(30,'0. Supuestos'!$B$59)/30)+G7*MIN(30,'0. Supuestos'!$B$59)/30)),"")</f>
        <v>-15260.401630489368</v>
      </c>
      <c r="I11" s="33">
        <f>IFERROR(IF('PyG 3 Años'!$B$9="","",-('PyG 3 Años'!$B$13*(1+'PyG 3 Años'!$G$13)+'PyG 3 Años'!$B$14*(1+'PyG 3 Años'!$G$14)+'PyG 3 Años'!$B$15*(1+'PyG 3 Años'!$G$15)+'PyG 3 Años'!$B$16*(1+'PyG 3 Años'!$G$16)+'PyG 3 Años'!$B$17*(1+'PyG 3 Años'!$G$17)+'PyG 3 Años'!$B$18*(1+'PyG 3 Años'!$G$18))*(I7*(1-MIN(30,'0. Supuestos'!$B$59)/30)+H7*MIN(30,'0. Supuestos'!$B$59)/30)),"")</f>
        <v>-16647.710869624767</v>
      </c>
      <c r="J11" s="33">
        <f>IFERROR(IF('PyG 3 Años'!$B$9="","",-('PyG 3 Años'!$B$13*(1+'PyG 3 Años'!$G$13)+'PyG 3 Años'!$B$14*(1+'PyG 3 Años'!$G$14)+'PyG 3 Años'!$B$15*(1+'PyG 3 Años'!$G$15)+'PyG 3 Años'!$B$16*(1+'PyG 3 Años'!$G$16)+'PyG 3 Años'!$B$17*(1+'PyG 3 Años'!$G$17)+'PyG 3 Años'!$B$18*(1+'PyG 3 Años'!$G$18))*(J7*(1-MIN(30,'0. Supuestos'!$B$59)/30)+I7*MIN(30,'0. Supuestos'!$B$59)/30)),"")</f>
        <v>-16994.538179408617</v>
      </c>
      <c r="K11" s="33">
        <f>IFERROR(IF('PyG 3 Años'!$B$9="","",-('PyG 3 Años'!$B$13*(1+'PyG 3 Años'!$G$13)+'PyG 3 Años'!$B$14*(1+'PyG 3 Años'!$G$14)+'PyG 3 Años'!$B$15*(1+'PyG 3 Años'!$G$15)+'PyG 3 Años'!$B$16*(1+'PyG 3 Años'!$G$16)+'PyG 3 Años'!$B$17*(1+'PyG 3 Años'!$G$17)+'PyG 3 Años'!$B$18*(1+'PyG 3 Años'!$G$18))*(K7*(1-MIN(30,'0. Supuestos'!$B$59)/30)+J7*MIN(30,'0. Supuestos'!$B$59)/30)),"")</f>
        <v>-14566.747010921672</v>
      </c>
      <c r="L11" s="33">
        <f>IFERROR(IF('PyG 3 Años'!$B$9="","",-('PyG 3 Años'!$B$13*(1+'PyG 3 Años'!$G$13)+'PyG 3 Años'!$B$14*(1+'PyG 3 Años'!$G$14)+'PyG 3 Años'!$B$15*(1+'PyG 3 Años'!$G$15)+'PyG 3 Años'!$B$16*(1+'PyG 3 Años'!$G$16)+'PyG 3 Años'!$B$17*(1+'PyG 3 Años'!$G$17)+'PyG 3 Años'!$B$18*(1+'PyG 3 Años'!$G$18))*(L7*(1-MIN(30,'0. Supuestos'!$B$59)/30)+K7*MIN(30,'0. Supuestos'!$B$59)/30)),"")</f>
        <v>-14219.919701137824</v>
      </c>
      <c r="M11" s="33">
        <f>IFERROR(IF('PyG 3 Años'!$B$9="","",-('PyG 3 Años'!$B$13*(1+'PyG 3 Años'!$G$13)+'PyG 3 Años'!$B$14*(1+'PyG 3 Años'!$G$14)+'PyG 3 Años'!$B$15*(1+'PyG 3 Años'!$G$15)+'PyG 3 Años'!$B$16*(1+'PyG 3 Años'!$G$16)+'PyG 3 Años'!$B$17*(1+'PyG 3 Años'!$G$17)+'PyG 3 Años'!$B$18*(1+'PyG 3 Años'!$G$18))*(M7*(1-MIN(30,'0. Supuestos'!$B$59)/30)+L7*MIN(30,'0. Supuestos'!$B$59)/30)),"")</f>
        <v>-13179.437771786275</v>
      </c>
      <c r="N11" s="33">
        <f>IFERROR(IF('PyG 3 Años'!$B$9="","",SUM(B11:M11)),"")</f>
        <v>-152575.11402907837</v>
      </c>
      <c r="O11" s="29"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9" t="inlineStr">
        <is>
          <t>Costes fijos de explotación (IVA incluido)</t>
        </is>
      </c>
      <c r="B12" s="33">
        <f>IFERROR(IF('PyG 3 Años'!$B$9="","",-('PyG 3 Años'!$B$37-'PyG 3 Años'!$B$23-'PyG 3 Años'!$B$35-'PyG 3 Años'!$B$36+'PyG 3 Años'!$B$39)/12),"")</f>
        <v>-4180.250000000001</v>
      </c>
      <c r="C12" s="33">
        <f>IFERROR(IF('PyG 3 Años'!$B$9="","",-('PyG 3 Años'!$B$37-'PyG 3 Años'!$B$23-'PyG 3 Años'!$B$35-'PyG 3 Años'!$B$36+'PyG 3 Años'!$B$39)/12),"")</f>
        <v>-4180.250000000001</v>
      </c>
      <c r="D12" s="33">
        <f>IFERROR(IF('PyG 3 Años'!$B$9="","",-('PyG 3 Años'!$B$37-'PyG 3 Años'!$B$23-'PyG 3 Años'!$B$35-'PyG 3 Años'!$B$36+'PyG 3 Años'!$B$39)/12),"")</f>
        <v>-4180.250000000001</v>
      </c>
      <c r="E12" s="33">
        <f>IFERROR(IF('PyG 3 Años'!$B$9="","",-('PyG 3 Años'!$B$37-'PyG 3 Años'!$B$23-'PyG 3 Años'!$B$35-'PyG 3 Años'!$B$36+'PyG 3 Años'!$B$39)/12),"")</f>
        <v>-4180.250000000001</v>
      </c>
      <c r="F12" s="33">
        <f>IFERROR(IF('PyG 3 Años'!$B$9="","",-('PyG 3 Años'!$B$37-'PyG 3 Años'!$B$23-'PyG 3 Años'!$B$35-'PyG 3 Años'!$B$36+'PyG 3 Años'!$B$39)/12),"")</f>
        <v>-4180.250000000001</v>
      </c>
      <c r="G12" s="33">
        <f>IFERROR(IF('PyG 3 Años'!$B$9="","",-('PyG 3 Años'!$B$37-'PyG 3 Años'!$B$23-'PyG 3 Años'!$B$35-'PyG 3 Años'!$B$36+'PyG 3 Años'!$B$39)/12),"")</f>
        <v>-4180.250000000001</v>
      </c>
      <c r="H12" s="33">
        <f>IFERROR(IF('PyG 3 Años'!$B$9="","",-('PyG 3 Años'!$B$37-'PyG 3 Años'!$B$23-'PyG 3 Años'!$B$35-'PyG 3 Años'!$B$36+'PyG 3 Años'!$B$39)/12),"")</f>
        <v>-4180.250000000001</v>
      </c>
      <c r="I12" s="33">
        <f>IFERROR(IF('PyG 3 Años'!$B$9="","",-('PyG 3 Años'!$B$37-'PyG 3 Años'!$B$23-'PyG 3 Años'!$B$35-'PyG 3 Años'!$B$36+'PyG 3 Años'!$B$39)/12),"")</f>
        <v>-4180.250000000001</v>
      </c>
      <c r="J12" s="33">
        <f>IFERROR(IF('PyG 3 Años'!$B$9="","",-('PyG 3 Años'!$B$37-'PyG 3 Años'!$B$23-'PyG 3 Años'!$B$35-'PyG 3 Años'!$B$36+'PyG 3 Años'!$B$39)/12),"")</f>
        <v>-4180.250000000001</v>
      </c>
      <c r="K12" s="33">
        <f>IFERROR(IF('PyG 3 Años'!$B$9="","",-('PyG 3 Años'!$B$37-'PyG 3 Años'!$B$23-'PyG 3 Años'!$B$35-'PyG 3 Años'!$B$36+'PyG 3 Años'!$B$39)/12),"")</f>
        <v>-4180.250000000001</v>
      </c>
      <c r="L12" s="33">
        <f>IFERROR(IF('PyG 3 Años'!$B$9="","",-('PyG 3 Años'!$B$37-'PyG 3 Años'!$B$23-'PyG 3 Años'!$B$35-'PyG 3 Años'!$B$36+'PyG 3 Años'!$B$39)/12),"")</f>
        <v>-4180.250000000001</v>
      </c>
      <c r="M12" s="33">
        <f>IFERROR(IF('PyG 3 Años'!$B$9="","",-('PyG 3 Años'!$B$37-'PyG 3 Años'!$B$23-'PyG 3 Años'!$B$35-'PyG 3 Años'!$B$36+'PyG 3 Años'!$B$39)/12),"")</f>
        <v>-4180.250000000001</v>
      </c>
      <c r="N12" s="33">
        <f>IFERROR(IF('PyG 3 Años'!$B$9="","",SUM(B12:M12)),"")</f>
        <v>-50163.000000000015</v>
      </c>
      <c r="O12" s="29" t="inlineStr">
        <is>
          <t>Los fijos que salen de caja, cada uno con su tipo de IVA: los seguros están exentos y no llevan</t>
        </is>
      </c>
    </row>
    <row r="13">
      <c r="A13" s="29" t="inlineStr">
        <is>
          <t>Nóminas y Seguridad Social</t>
        </is>
      </c>
      <c r="B13" s="33">
        <f>IFERROR(IF('PyG 3 Años'!$B$9="","",-'PyG 3 Años'!$B$23/MAX(12,'0. Supuestos'!$B$21)*(1+IF(1='0. Supuestos'!$B$60,(MAX(12,'0. Supuestos'!$B$21)-12)/2,0)+IF(1='0. Supuestos'!$B$61,(MAX(12,'0. Supuestos'!$B$21)-12)/2,0))),"")</f>
        <v>-9191.63</v>
      </c>
      <c r="C13" s="33">
        <f>IFERROR(IF('PyG 3 Años'!$B$9="","",-'PyG 3 Años'!$B$23/MAX(12,'0. Supuestos'!$B$21)*(1+IF(2='0. Supuestos'!$B$60,(MAX(12,'0. Supuestos'!$B$21)-12)/2,0)+IF(2='0. Supuestos'!$B$61,(MAX(12,'0. Supuestos'!$B$21)-12)/2,0))),"")</f>
        <v>-9191.63</v>
      </c>
      <c r="D13" s="33">
        <f>IFERROR(IF('PyG 3 Años'!$B$9="","",-'PyG 3 Años'!$B$23/MAX(12,'0. Supuestos'!$B$21)*(1+IF(3='0. Supuestos'!$B$60,(MAX(12,'0. Supuestos'!$B$21)-12)/2,0)+IF(3='0. Supuestos'!$B$61,(MAX(12,'0. Supuestos'!$B$21)-12)/2,0))),"")</f>
        <v>-9191.63</v>
      </c>
      <c r="E13" s="33">
        <f>IFERROR(IF('PyG 3 Años'!$B$9="","",-'PyG 3 Años'!$B$23/MAX(12,'0. Supuestos'!$B$21)*(1+IF(4='0. Supuestos'!$B$60,(MAX(12,'0. Supuestos'!$B$21)-12)/2,0)+IF(4='0. Supuestos'!$B$61,(MAX(12,'0. Supuestos'!$B$21)-12)/2,0))),"")</f>
        <v>-9191.63</v>
      </c>
      <c r="F13" s="33">
        <f>IFERROR(IF('PyG 3 Años'!$B$9="","",-'PyG 3 Años'!$B$23/MAX(12,'0. Supuestos'!$B$21)*(1+IF(5='0. Supuestos'!$B$60,(MAX(12,'0. Supuestos'!$B$21)-12)/2,0)+IF(5='0. Supuestos'!$B$61,(MAX(12,'0. Supuestos'!$B$21)-12)/2,0))),"")</f>
        <v>-9191.63</v>
      </c>
      <c r="G13" s="33">
        <f>IFERROR(IF('PyG 3 Años'!$B$9="","",-'PyG 3 Años'!$B$23/MAX(12,'0. Supuestos'!$B$21)*(1+IF(6='0. Supuestos'!$B$60,(MAX(12,'0. Supuestos'!$B$21)-12)/2,0)+IF(6='0. Supuestos'!$B$61,(MAX(12,'0. Supuestos'!$B$21)-12)/2,0))),"")</f>
        <v>-9191.63</v>
      </c>
      <c r="H13" s="33">
        <f>IFERROR(IF('PyG 3 Años'!$B$9="","",-'PyG 3 Años'!$B$23/MAX(12,'0. Supuestos'!$B$21)*(1+IF(7='0. Supuestos'!$B$60,(MAX(12,'0. Supuestos'!$B$21)-12)/2,0)+IF(7='0. Supuestos'!$B$61,(MAX(12,'0. Supuestos'!$B$21)-12)/2,0))),"")</f>
        <v>-18383.26</v>
      </c>
      <c r="I13" s="33">
        <f>IFERROR(IF('PyG 3 Años'!$B$9="","",-'PyG 3 Años'!$B$23/MAX(12,'0. Supuestos'!$B$21)*(1+IF(8='0. Supuestos'!$B$60,(MAX(12,'0. Supuestos'!$B$21)-12)/2,0)+IF(8='0. Supuestos'!$B$61,(MAX(12,'0. Supuestos'!$B$21)-12)/2,0))),"")</f>
        <v>-9191.63</v>
      </c>
      <c r="J13" s="33">
        <f>IFERROR(IF('PyG 3 Años'!$B$9="","",-'PyG 3 Años'!$B$23/MAX(12,'0. Supuestos'!$B$21)*(1+IF(9='0. Supuestos'!$B$60,(MAX(12,'0. Supuestos'!$B$21)-12)/2,0)+IF(9='0. Supuestos'!$B$61,(MAX(12,'0. Supuestos'!$B$21)-12)/2,0))),"")</f>
        <v>-9191.63</v>
      </c>
      <c r="K13" s="33">
        <f>IFERROR(IF('PyG 3 Años'!$B$9="","",-'PyG 3 Años'!$B$23/MAX(12,'0. Supuestos'!$B$21)*(1+IF(10='0. Supuestos'!$B$60,(MAX(12,'0. Supuestos'!$B$21)-12)/2,0)+IF(10='0. Supuestos'!$B$61,(MAX(12,'0. Supuestos'!$B$21)-12)/2,0))),"")</f>
        <v>-9191.63</v>
      </c>
      <c r="L13" s="33">
        <f>IFERROR(IF('PyG 3 Años'!$B$9="","",-'PyG 3 Años'!$B$23/MAX(12,'0. Supuestos'!$B$21)*(1+IF(11='0. Supuestos'!$B$60,(MAX(12,'0. Supuestos'!$B$21)-12)/2,0)+IF(11='0. Supuestos'!$B$61,(MAX(12,'0. Supuestos'!$B$21)-12)/2,0))),"")</f>
        <v>-9191.63</v>
      </c>
      <c r="M13" s="33">
        <f>IFERROR(IF('PyG 3 Años'!$B$9="","",-'PyG 3 Años'!$B$23/MAX(12,'0. Supuestos'!$B$21)*(1+IF(12='0. Supuestos'!$B$60,(MAX(12,'0. Supuestos'!$B$21)-12)/2,0)+IF(12='0. Supuestos'!$B$61,(MAX(12,'0. Supuestos'!$B$21)-12)/2,0))),"")</f>
        <v>-18383.26</v>
      </c>
      <c r="N13" s="33">
        <f>IFERROR(IF('PyG 3 Años'!$B$9="","",SUM(B13:M13)),"")</f>
        <v>-128682.81999999999</v>
      </c>
      <c r="O13" s="29" t="inlineStr">
        <is>
          <t>Doce mensualidades más las pagas extra en los meses que digas en Supuestos. La suma del año es la misma que la del P&amp;L</t>
        </is>
      </c>
    </row>
    <row r="14">
      <c r="A14" s="29" t="inlineStr">
        <is>
          <t>Intereses del préstamo</t>
        </is>
      </c>
      <c r="B14" s="33">
        <f>IFERROR(IF('PyG 3 Años'!$B$9="","",-'Financiación'!$B$44/12),"")</f>
        <v>-560.0</v>
      </c>
      <c r="C14" s="33">
        <f>IFERROR(IF('PyG 3 Años'!$B$9="","",-'Financiación'!$B$44/12),"")</f>
        <v>-560.0</v>
      </c>
      <c r="D14" s="33">
        <f>IFERROR(IF('PyG 3 Años'!$B$9="","",-'Financiación'!$B$44/12),"")</f>
        <v>-560.0</v>
      </c>
      <c r="E14" s="33">
        <f>IFERROR(IF('PyG 3 Años'!$B$9="","",-'Financiación'!$B$44/12),"")</f>
        <v>-560.0</v>
      </c>
      <c r="F14" s="33">
        <f>IFERROR(IF('PyG 3 Años'!$B$9="","",-'Financiación'!$B$44/12),"")</f>
        <v>-560.0</v>
      </c>
      <c r="G14" s="33">
        <f>IFERROR(IF('PyG 3 Años'!$B$9="","",-'Financiación'!$B$44/12),"")</f>
        <v>-560.0</v>
      </c>
      <c r="H14" s="33">
        <f>IFERROR(IF('PyG 3 Años'!$B$9="","",-'Financiación'!$B$44/12),"")</f>
        <v>-560.0</v>
      </c>
      <c r="I14" s="33">
        <f>IFERROR(IF('PyG 3 Años'!$B$9="","",-'Financiación'!$B$44/12),"")</f>
        <v>-560.0</v>
      </c>
      <c r="J14" s="33">
        <f>IFERROR(IF('PyG 3 Años'!$B$9="","",-'Financiación'!$B$44/12),"")</f>
        <v>-560.0</v>
      </c>
      <c r="K14" s="33">
        <f>IFERROR(IF('PyG 3 Años'!$B$9="","",-'Financiación'!$B$44/12),"")</f>
        <v>-560.0</v>
      </c>
      <c r="L14" s="33">
        <f>IFERROR(IF('PyG 3 Años'!$B$9="","",-'Financiación'!$B$44/12),"")</f>
        <v>-560.0</v>
      </c>
      <c r="M14" s="33">
        <f>IFERROR(IF('PyG 3 Años'!$B$9="","",-'Financiación'!$B$44/12),"")</f>
        <v>-560.0</v>
      </c>
      <c r="N14" s="33">
        <f>IFERROR(IF('PyG 3 Años'!$B$9="","",SUM(B14:M14)),"")</f>
        <v>-6720.0</v>
      </c>
      <c r="O14" s="29" t="n"/>
    </row>
    <row r="15">
      <c r="A15" s="29" t="inlineStr">
        <is>
          <t>Devolución de principal del préstamo</t>
        </is>
      </c>
      <c r="B15" s="33">
        <f>IFERROR(IF('PyG 3 Años'!$B$9="","",-'Financiación'!$B$45/12),"")</f>
        <v>0.0</v>
      </c>
      <c r="C15" s="33">
        <f>IFERROR(IF('PyG 3 Años'!$B$9="","",-'Financiación'!$B$45/12),"")</f>
        <v>0.0</v>
      </c>
      <c r="D15" s="33">
        <f>IFERROR(IF('PyG 3 Años'!$B$9="","",-'Financiación'!$B$45/12),"")</f>
        <v>0.0</v>
      </c>
      <c r="E15" s="33">
        <f>IFERROR(IF('PyG 3 Años'!$B$9="","",-'Financiación'!$B$45/12),"")</f>
        <v>0.0</v>
      </c>
      <c r="F15" s="33">
        <f>IFERROR(IF('PyG 3 Años'!$B$9="","",-'Financiación'!$B$45/12),"")</f>
        <v>0.0</v>
      </c>
      <c r="G15" s="33">
        <f>IFERROR(IF('PyG 3 Años'!$B$9="","",-'Financiación'!$B$45/12),"")</f>
        <v>0.0</v>
      </c>
      <c r="H15" s="33">
        <f>IFERROR(IF('PyG 3 Años'!$B$9="","",-'Financiación'!$B$45/12),"")</f>
        <v>0.0</v>
      </c>
      <c r="I15" s="33">
        <f>IFERROR(IF('PyG 3 Años'!$B$9="","",-'Financiación'!$B$45/12),"")</f>
        <v>0.0</v>
      </c>
      <c r="J15" s="33">
        <f>IFERROR(IF('PyG 3 Años'!$B$9="","",-'Financiación'!$B$45/12),"")</f>
        <v>0.0</v>
      </c>
      <c r="K15" s="33">
        <f>IFERROR(IF('PyG 3 Años'!$B$9="","",-'Financiación'!$B$45/12),"")</f>
        <v>0.0</v>
      </c>
      <c r="L15" s="33">
        <f>IFERROR(IF('PyG 3 Años'!$B$9="","",-'Financiación'!$B$45/12),"")</f>
        <v>0.0</v>
      </c>
      <c r="M15" s="33">
        <f>IFERROR(IF('PyG 3 Años'!$B$9="","",-'Financiación'!$B$45/12),"")</f>
        <v>0.0</v>
      </c>
      <c r="N15" s="33">
        <f>IFERROR(IF('PyG 3 Años'!$B$9="","",SUM(B15:M15)),"")</f>
        <v>0.0</v>
      </c>
      <c r="O15" s="29" t="n"/>
    </row>
    <row r="16">
      <c r="A16" s="29" t="inlineStr">
        <is>
          <t>IVA repercutido del mes (memoria)</t>
        </is>
      </c>
      <c r="B16" s="33">
        <f>IFERROR(IF('PyG 3 Años'!$B$9="","",'PyG 3 Años'!$B$9*B7*SUMPRODUCT('PyG 3 Años'!$E$10:$E$11,'PyG 3 Años'!$G$10:$G$11)),"")</f>
        <v>2055.838365381291</v>
      </c>
      <c r="C16" s="33">
        <f>IFERROR(IF('PyG 3 Años'!$B$9="","",'PyG 3 Años'!$B$9*C7*SUMPRODUCT('PyG 3 Años'!$E$10:$E$11,'PyG 3 Años'!$G$10:$G$11)),"")</f>
        <v>2349.5295604357607</v>
      </c>
      <c r="D16" s="33">
        <f>IFERROR(IF('PyG 3 Años'!$B$9="","",'PyG 3 Años'!$B$9*D7*SUMPRODUCT('PyG 3 Años'!$E$10:$E$11,'PyG 3 Años'!$G$10:$G$11)),"")</f>
        <v>2871.6472405325967</v>
      </c>
      <c r="E16" s="33">
        <f>IFERROR(IF('PyG 3 Años'!$B$9="","",'PyG 3 Años'!$B$9*E7*SUMPRODUCT('PyG 3 Años'!$E$10:$E$11,'PyG 3 Años'!$G$10:$G$11)),"")</f>
        <v>3289.3413846100652</v>
      </c>
      <c r="F16" s="33">
        <f>IFERROR(IF('PyG 3 Años'!$B$9="","",'PyG 3 Años'!$B$9*F7*SUMPRODUCT('PyG 3 Años'!$E$10:$E$11,'PyG 3 Años'!$G$10:$G$11)),"")</f>
        <v>3367.6590366245905</v>
      </c>
      <c r="G16" s="33">
        <f>IFERROR(IF('PyG 3 Años'!$B$9="","",'PyG 3 Años'!$B$9*G7*SUMPRODUCT('PyG 3 Años'!$E$10:$E$11,'PyG 3 Años'!$G$10:$G$11)),"")</f>
        <v>3445.9766886391158</v>
      </c>
      <c r="H16" s="33">
        <f>IFERROR(IF('PyG 3 Años'!$B$9="","",'PyG 3 Años'!$B$9*H7*SUMPRODUCT('PyG 3 Años'!$E$10:$E$11,'PyG 3 Años'!$G$10:$G$11)),"")</f>
        <v>3759.2472966972177</v>
      </c>
      <c r="I16" s="33">
        <f>IFERROR(IF('PyG 3 Años'!$B$9="","",'PyG 3 Años'!$B$9*I7*SUMPRODUCT('PyG 3 Años'!$E$10:$E$11,'PyG 3 Años'!$G$10:$G$11)),"")</f>
        <v>3837.5649487117425</v>
      </c>
      <c r="J16" s="33">
        <f>IFERROR(IF('PyG 3 Años'!$B$9="","",'PyG 3 Años'!$B$9*J7*SUMPRODUCT('PyG 3 Años'!$E$10:$E$11,'PyG 3 Años'!$G$10:$G$11)),"")</f>
        <v>3289.3413846100652</v>
      </c>
      <c r="K16" s="33">
        <f>IFERROR(IF('PyG 3 Años'!$B$9="","",'PyG 3 Años'!$B$9*K7*SUMPRODUCT('PyG 3 Años'!$E$10:$E$11,'PyG 3 Años'!$G$10:$G$11)),"")</f>
        <v>3211.0237325955404</v>
      </c>
      <c r="L16" s="33">
        <f>IFERROR(IF('PyG 3 Años'!$B$9="","",'PyG 3 Años'!$B$9*L7*SUMPRODUCT('PyG 3 Años'!$E$10:$E$11,'PyG 3 Años'!$G$10:$G$11)),"")</f>
        <v>2976.070776551964</v>
      </c>
      <c r="M16" s="33">
        <f>IFERROR(IF('PyG 3 Años'!$B$9="","",'PyG 3 Años'!$B$9*M7*SUMPRODUCT('PyG 3 Años'!$E$10:$E$11,'PyG 3 Años'!$G$10:$G$11)),"")</f>
        <v>3289.3413846100652</v>
      </c>
      <c r="N16" s="33">
        <f>IFERROR(IF('PyG 3 Años'!$B$9="","",SUM(B16:M16)),"")</f>
        <v>37742.581800000014</v>
      </c>
      <c r="O16" s="29" t="inlineStr">
        <is>
          <t>Cada línea de venta a SU tipo, leído de la columna de IVA del P&amp;L: en sala, alcohol incluido, el reducido (art. 91.Uno.2.2.º de la Ley 37/1992 del IVA); la parte de la bebida que sale para llevar o por plataforma y declara la columna H de su línea (cerveza, vino y refrescos con azúcares o edulcorantes añadidos), al general (art. 91.Uno.1.1.º a y b); el pan común que vendas suelto, al superreducido (art. 91.Dos.1.1.º a: el libro lo deja en la comida al 10 % porque es una parte mínima de las ventas)</t>
        </is>
      </c>
    </row>
    <row r="17">
      <c r="A17" s="29" t="inlineStr">
        <is>
          <t>IVA soportado del mes (memoria)</t>
        </is>
      </c>
      <c r="B17" s="33">
        <f>IFERROR(IF('PyG 3 Años'!$B$9="","",'PyG 3 Años'!$B$38*B7+'PyG 3 Años'!$B$39/12),"")</f>
        <v>1678.358754556459</v>
      </c>
      <c r="C17" s="33">
        <f>IFERROR(IF('PyG 3 Años'!$B$9="","",'PyG 3 Años'!$B$38*C7+'PyG 3 Años'!$B$39/12),"")</f>
        <v>1817.3742909216671</v>
      </c>
      <c r="D17" s="33">
        <f>IFERROR(IF('PyG 3 Años'!$B$9="","",'PyG 3 Años'!$B$38*D7+'PyG 3 Años'!$B$39/12),"")</f>
        <v>2064.5130222375933</v>
      </c>
      <c r="E17" s="33">
        <f>IFERROR(IF('PyG 3 Años'!$B$9="","",'PyG 3 Años'!$B$38*E7+'PyG 3 Años'!$B$39/12),"")</f>
        <v>2262.224007290334</v>
      </c>
      <c r="F17" s="33">
        <f>IFERROR(IF('PyG 3 Años'!$B$9="","",'PyG 3 Años'!$B$38*F7+'PyG 3 Años'!$B$39/12),"")</f>
        <v>2299.2948169877227</v>
      </c>
      <c r="G17" s="33">
        <f>IFERROR(IF('PyG 3 Años'!$B$9="","",'PyG 3 Años'!$B$38*G7+'PyG 3 Años'!$B$39/12),"")</f>
        <v>2336.3656266851117</v>
      </c>
      <c r="H17" s="33">
        <f>IFERROR(IF('PyG 3 Años'!$B$9="","",'PyG 3 Años'!$B$38*H7+'PyG 3 Años'!$B$39/12),"")</f>
        <v>2484.6488654746677</v>
      </c>
      <c r="I17" s="33">
        <f>IFERROR(IF('PyG 3 Años'!$B$9="","",'PyG 3 Años'!$B$38*I7+'PyG 3 Años'!$B$39/12),"")</f>
        <v>2521.7196751720567</v>
      </c>
      <c r="J17" s="33">
        <f>IFERROR(IF('PyG 3 Años'!$B$9="","",'PyG 3 Años'!$B$38*J7+'PyG 3 Años'!$B$39/12),"")</f>
        <v>2262.224007290334</v>
      </c>
      <c r="K17" s="33">
        <f>IFERROR(IF('PyG 3 Años'!$B$9="","",'PyG 3 Años'!$B$38*K7+'PyG 3 Años'!$B$39/12),"")</f>
        <v>2225.1531975929456</v>
      </c>
      <c r="L17" s="33">
        <f>IFERROR(IF('PyG 3 Años'!$B$9="","",'PyG 3 Años'!$B$38*L7+'PyG 3 Años'!$B$39/12),"")</f>
        <v>2113.9407685007786</v>
      </c>
      <c r="M17" s="33">
        <f>IFERROR(IF('PyG 3 Años'!$B$9="","",'PyG 3 Años'!$B$38*M7+'PyG 3 Años'!$B$39/12),"")</f>
        <v>2262.224007290334</v>
      </c>
      <c r="N17" s="33">
        <f>IFERROR(IF('PyG 3 Años'!$B$9="","",SUM(B17:M17)),"")</f>
        <v>26328.041040000007</v>
      </c>
      <c r="O17" s="29" t="inlineStr">
        <is>
          <t>Cada partida a su tipo, leído de la columna de IVA del P&amp;L: los seguros y las comisiones de los medios de pago están exentos</t>
        </is>
      </c>
    </row>
    <row r="18">
      <c r="A18" s="29" t="inlineStr">
        <is>
          <t>IVA a compensar arrastrado (inversión incluida)</t>
        </is>
      </c>
      <c r="B18" s="29" t="n"/>
      <c r="C18" s="29" t="n"/>
      <c r="D18" s="29" t="n"/>
      <c r="E18" s="33">
        <f>IFERROR(IF('PyG 3 Años'!$B$9="","",'Inversión Inicial'!$B$32),"")</f>
        <v>19425.0</v>
      </c>
      <c r="F18" s="29" t="n"/>
      <c r="G18" s="29" t="n"/>
      <c r="H18" s="33">
        <f>IFERROR(IF('PyG 3 Años'!$B$9="","",MAX(0,-E19)),"")</f>
        <v>17708.23090136607</v>
      </c>
      <c r="I18" s="29" t="n"/>
      <c r="J18" s="29" t="n"/>
      <c r="K18" s="33">
        <f>IFERROR(IF('PyG 3 Años'!$B$9="","",MAX(0,-H19)),"")</f>
        <v>14503.138242455469</v>
      </c>
      <c r="L18" s="29" t="n"/>
      <c r="M18" s="29" t="n"/>
      <c r="N18" s="29" t="n"/>
      <c r="O18" s="29" t="inlineStr">
        <is>
          <t>El IVA soportado de la INVERSIÓN entra aquí: se compensa contra el repercutido de los trimestres siguientes hasta agotarlo (modelo 303)</t>
        </is>
      </c>
    </row>
    <row r="19">
      <c r="A19" s="29" t="inlineStr">
        <is>
          <t>Resultado de la liquidación trimestral</t>
        </is>
      </c>
      <c r="B19" s="29" t="n"/>
      <c r="C19" s="29" t="n"/>
      <c r="D19" s="29" t="n"/>
      <c r="E19" s="33">
        <f>IFERROR(IF('PyG 3 Años'!$B$9="","",SUM(B16:D16)-SUM(B17:D17)-E18),"")</f>
        <v>-17708.23090136607</v>
      </c>
      <c r="F19" s="29" t="n"/>
      <c r="G19" s="29" t="n"/>
      <c r="H19" s="33">
        <f>IFERROR(IF('PyG 3 Años'!$B$9="","",SUM(E16:G16)-SUM(E17:G17)-H18),"")</f>
        <v>-14503.138242455469</v>
      </c>
      <c r="I19" s="29" t="n"/>
      <c r="J19" s="29" t="n"/>
      <c r="K19" s="33">
        <f>IFERROR(IF('PyG 3 Años'!$B$9="","",SUM(H16:J16)-SUM(H17:J17)-K18),"")</f>
        <v>-10885.577160373501</v>
      </c>
      <c r="L19" s="29" t="n"/>
      <c r="M19" s="29" t="n"/>
      <c r="N19" s="29" t="n"/>
      <c r="O19" s="29" t="inlineStr">
        <is>
          <t>Repercutido menos soportado del trimestre menos lo que venía arrastrado. En negativo NO se paga: se compensa en el trimestre siguiente</t>
        </is>
      </c>
    </row>
    <row r="20">
      <c r="A20" s="29" t="inlineStr">
        <is>
          <t>Pago del IVA (modelo 303)</t>
        </is>
      </c>
      <c r="B20" s="29" t="n"/>
      <c r="C20" s="29" t="n"/>
      <c r="D20" s="29" t="n"/>
      <c r="E20" s="33">
        <f>IFERROR(IF('PyG 3 Años'!$B$9="","",IF(E19&lt;=0,"",-E19)),"")</f>
        <v/>
      </c>
      <c r="F20" s="29" t="n"/>
      <c r="G20" s="29" t="n"/>
      <c r="H20" s="33">
        <f>IFERROR(IF('PyG 3 Años'!$B$9="","",IF(H19&lt;=0,"",-H19)),"")</f>
        <v/>
      </c>
      <c r="I20" s="29" t="n"/>
      <c r="J20" s="29" t="n"/>
      <c r="K20" s="33">
        <f>IFERROR(IF('PyG 3 Años'!$B$9="","",IF(K19&lt;=0,"",-K19)),"")</f>
        <v/>
      </c>
      <c r="L20" s="29" t="n"/>
      <c r="M20" s="29" t="n"/>
      <c r="N20" s="33">
        <f>IFERROR(IF('PyG 3 Años'!$B$9="","",SUM(B20:M20)),"")</f>
        <v>0.0</v>
      </c>
      <c r="O20" s="29" t="inlineStr">
        <is>
          <t>Sólo sale caja cuando el resultado del trimestre es positivo. Los meses sin liquidación van en blanco, no a cero. La celda se pinta en ROJO cuando el pago del 303 se lleva más caja de la que queda ese mes</t>
        </is>
      </c>
    </row>
    <row r="21">
      <c r="A21" s="26" t="inlineStr">
        <is>
          <t>FLUJO DEL MES</t>
        </is>
      </c>
      <c r="B21" s="27">
        <f>IFERROR(IF('PyG 3 Años'!$B$9="","",SUM(B9:B15)+IF(B20="",0,B20)),"")</f>
        <v>6541.998445305218</v>
      </c>
      <c r="C21" s="27">
        <f>IFERROR(IF('PyG 3 Años'!$B$9="","",SUM(C9:C15)+IF(C20="",0,C20)),"")</f>
        <v>1825.041230330282</v>
      </c>
      <c r="D21" s="27">
        <f>IFERROR(IF('PyG 3 Años'!$B$9="","",SUM(D9:D15)+IF(D20="",0,D20)),"")</f>
        <v>5933.071106346199</v>
      </c>
      <c r="E21" s="27">
        <f>IFERROR(IF('PyG 3 Años'!$B$9="","",SUM(E9:E15)+IF(E20="",0,E20)),"")</f>
        <v>8152.069395455657</v>
      </c>
      <c r="F21" s="27">
        <f>IFERROR(IF('PyG 3 Años'!$B$9="","",SUM(F9:F15)+IF(F20="",0,F20)),"")</f>
        <v>7379.407597994124</v>
      </c>
      <c r="G21" s="27">
        <f>IFERROR(IF('PyG 3 Años'!$B$9="","",SUM(G9:G15)+IF(G20="",0,G20)),"")</f>
        <v>7868.248796181919</v>
      </c>
      <c r="H21" s="27">
        <f>IFERROR(IF('PyG 3 Años'!$B$9="","",SUM(H9:H15)+IF(H20="",0,H20)),"")</f>
        <v>1505.3318166903155</v>
      </c>
      <c r="I21" s="27">
        <f>IFERROR(IF('PyG 3 Años'!$B$9="","",SUM(I9:I15)+IF(I20="",0,I20)),"")</f>
        <v>10312.454787120883</v>
      </c>
      <c r="J21" s="27">
        <f>IFERROR(IF('PyG 3 Años'!$B$9="","",SUM(J9:J15)+IF(J20="",0,J20)),"")</f>
        <v>4561.637792453754</v>
      </c>
      <c r="K21" s="27">
        <f>IFERROR(IF('PyG 3 Años'!$B$9="","",SUM(K9:K15)+IF(K20="",0,K20)),"")</f>
        <v>5819.4930497804</v>
      </c>
      <c r="L21" s="27">
        <f>IFERROR(IF('PyG 3 Años'!$B$9="","",SUM(L9:L15)+IF(L20="",0,L20)),"")</f>
        <v>3770.7373033788735</v>
      </c>
      <c r="M21" s="27">
        <f>IFERROR(IF('PyG 3 Años'!$B$9="","",SUM(M9:M15)+IF(M20="",0,M20)),"")</f>
        <v>-1427.7153724364362</v>
      </c>
      <c r="N21" s="27">
        <f>IFERROR(IF('PyG 3 Años'!$B$9="","",SUM(B21:M21)),"")</f>
        <v>62241.77594860119</v>
      </c>
      <c r="O21" s="29" t="n"/>
    </row>
    <row r="22">
      <c r="A22" s="26" t="inlineStr">
        <is>
          <t>SALDO ACUMULADO DE CAJA</t>
        </is>
      </c>
      <c r="B22" s="27">
        <f>IFERROR(IF('PyG 3 Años'!$B$9="","",'Inversión Inicial'!$B$29+B21),"")</f>
        <v>50817.70344530521</v>
      </c>
      <c r="C22" s="27">
        <f>IFERROR(IF('PyG 3 Años'!$B$9="","",B22+C21),"")</f>
        <v>52642.74467563549</v>
      </c>
      <c r="D22" s="27">
        <f>IFERROR(IF('PyG 3 Años'!$B$9="","",C22+D21),"")</f>
        <v>58575.81578198169</v>
      </c>
      <c r="E22" s="27">
        <f>IFERROR(IF('PyG 3 Años'!$B$9="","",D22+E21),"")</f>
        <v>66727.88517743735</v>
      </c>
      <c r="F22" s="27">
        <f>IFERROR(IF('PyG 3 Años'!$B$9="","",E22+F21),"")</f>
        <v>74107.29277543147</v>
      </c>
      <c r="G22" s="27">
        <f>IFERROR(IF('PyG 3 Años'!$B$9="","",F22+G21),"")</f>
        <v>81975.54157161339</v>
      </c>
      <c r="H22" s="27">
        <f>IFERROR(IF('PyG 3 Años'!$B$9="","",G22+H21),"")</f>
        <v>83480.8733883037</v>
      </c>
      <c r="I22" s="27">
        <f>IFERROR(IF('PyG 3 Años'!$B$9="","",H22+I21),"")</f>
        <v>93793.32817542458</v>
      </c>
      <c r="J22" s="27">
        <f>IFERROR(IF('PyG 3 Años'!$B$9="","",I22+J21),"")</f>
        <v>98354.96596787834</v>
      </c>
      <c r="K22" s="27">
        <f>IFERROR(IF('PyG 3 Años'!$B$9="","",J22+K21),"")</f>
        <v>104174.45901765874</v>
      </c>
      <c r="L22" s="27">
        <f>IFERROR(IF('PyG 3 Años'!$B$9="","",K22+L21),"")</f>
        <v>107945.19632103761</v>
      </c>
      <c r="M22" s="27">
        <f>IFERROR(IF('PyG 3 Años'!$B$9="","",L22+M21),"")</f>
        <v>106517.48094860118</v>
      </c>
      <c r="N22" s="29" t="n"/>
      <c r="O22" s="29" t="n"/>
    </row>
    <row r="23">
      <c r="A23" s="29" t="inlineStr">
        <is>
          <t>Saldo mínimo del año</t>
        </is>
      </c>
      <c r="B23" s="33">
        <f>IFERROR(IF('PyG 3 Años'!$B$9="","",IF(COUNT(B22:M22)=0,"",MIN(B22:M22))),"")</f>
        <v>50817.70344530521</v>
      </c>
      <c r="C23" s="29" t="n"/>
      <c r="D23" s="29" t="inlineStr">
        <is>
          <t>Si es negativo, sube el fondo de maniobra o el préstamo: te quedas sin caja</t>
        </is>
      </c>
      <c r="E23" s="29" t="n"/>
      <c r="F23" s="29" t="n"/>
      <c r="G23" s="29" t="n"/>
      <c r="H23" s="29" t="n"/>
      <c r="I23" s="29" t="n"/>
      <c r="J23" s="29" t="n"/>
      <c r="K23" s="29" t="n"/>
      <c r="L23" s="29" t="n"/>
      <c r="M23" s="29" t="n"/>
      <c r="N23" s="29" t="n"/>
      <c r="O23" s="29" t="n"/>
    </row>
    <row r="24">
      <c r="A24" s="29" t="inlineStr">
        <is>
          <t>Mes en el que la caja toca fondo</t>
        </is>
      </c>
      <c r="B24" s="41">
        <f>IFERROR(IF('PyG 3 Años'!$B$9="","",IF(COUNT(B22:M22)=0,"",MATCH(MIN(B22:M22),B22:M22,0))),"")</f>
        <v>1.0</v>
      </c>
      <c r="C24" s="29" t="n"/>
      <c r="D24" s="29" t="inlineStr">
        <is>
          <t>Es la respuesta a la pregunta que decide una operación bancaria: en qué mes se agota la caja</t>
        </is>
      </c>
      <c r="E24" s="29" t="n"/>
      <c r="F24" s="29" t="n"/>
      <c r="G24" s="29" t="n"/>
      <c r="H24" s="29" t="n"/>
      <c r="I24" s="29" t="n"/>
      <c r="J24" s="29" t="n"/>
      <c r="K24" s="29" t="n"/>
      <c r="L24" s="29" t="n"/>
      <c r="M24" s="29" t="n"/>
      <c r="N24" s="29" t="n"/>
      <c r="O24" s="29" t="n"/>
    </row>
    <row r="25">
      <c r="A25" s="26" t="inlineStr">
        <is>
          <t>RETORNO DE LA INVERSIÓN</t>
        </is>
      </c>
      <c r="B25" s="29" t="n"/>
      <c r="C25" s="29" t="n"/>
      <c r="D25" s="29" t="n"/>
      <c r="E25" s="29" t="n"/>
      <c r="F25" s="29" t="n"/>
      <c r="G25" s="29" t="n"/>
      <c r="H25" s="29" t="n"/>
      <c r="I25" s="29" t="n"/>
      <c r="J25" s="29" t="n"/>
      <c r="K25" s="29" t="n"/>
      <c r="L25" s="29" t="n"/>
      <c r="M25" s="29" t="n"/>
      <c r="N25" s="29" t="n"/>
      <c r="O25" s="29" t="n"/>
    </row>
    <row r="26">
      <c r="A26" s="29" t="inlineStr">
        <is>
          <t>Flujo de caja libre antes de la deuda, año 1</t>
        </is>
      </c>
      <c r="B26" s="33">
        <f>IFERROR(IF('PyG 3 Años'!$B$9="","",'PyG 3 Años'!$B$47+'PyG 3 Años'!$B$35+'Financiación'!$B$44),"")</f>
        <v>40784.30600000001</v>
      </c>
      <c r="C26" s="29" t="n"/>
      <c r="D26" s="29" t="inlineStr">
        <is>
          <t>Resultado neto más amortización (que no se paga) más los intereses de ese año: el principal no se resta porque este flujo es ANTES de la deuda. La MISMA base que los años 2 y 3, para que el payback compare peras con peras</t>
        </is>
      </c>
      <c r="E26" s="29" t="n"/>
      <c r="F26" s="29" t="n"/>
      <c r="G26" s="29" t="n"/>
      <c r="H26" s="29" t="n"/>
      <c r="I26" s="29" t="n"/>
      <c r="J26" s="29" t="n"/>
      <c r="K26" s="29" t="n"/>
      <c r="L26" s="29" t="n"/>
      <c r="M26" s="29" t="n"/>
      <c r="N26" s="29" t="n"/>
      <c r="O26" s="29" t="n"/>
    </row>
    <row r="27">
      <c r="A27" s="29" t="inlineStr">
        <is>
          <t>Flujo de caja libre antes de la deuda, año 2</t>
        </is>
      </c>
      <c r="B27" s="33">
        <f>IFERROR(IF('PyG 3 Años'!$B$9="","",'PyG 3 Años'!$C$47+'PyG 3 Años'!$C$35+'Financiación'!$B$46),"")</f>
        <v>46685.16818000002</v>
      </c>
      <c r="C27" s="29" t="n"/>
      <c r="D27" s="29" t="inlineStr">
        <is>
          <t>Resultado neto más amortización (que no se paga) más los intereses de ese año: el principal no se resta porque este flujo es ANTES de la deuda. Sin tabla mensual, es una estimación</t>
        </is>
      </c>
      <c r="E27" s="29" t="n"/>
      <c r="F27" s="29" t="n"/>
      <c r="G27" s="29" t="n"/>
      <c r="H27" s="29" t="n"/>
      <c r="I27" s="29" t="n"/>
      <c r="J27" s="29" t="n"/>
      <c r="K27" s="29" t="n"/>
      <c r="L27" s="29" t="n"/>
      <c r="M27" s="29" t="n"/>
      <c r="N27" s="29" t="n"/>
      <c r="O27" s="29" t="n"/>
    </row>
    <row r="28">
      <c r="A28" s="29" t="inlineStr">
        <is>
          <t>Flujo de caja libre antes de la deuda, año 3</t>
        </is>
      </c>
      <c r="B28" s="33">
        <f>IFERROR(IF('PyG 3 Años'!$B$9="","",'PyG 3 Años'!$D$47+'PyG 3 Años'!$D$35+'Financiación'!$B$48),"")</f>
        <v>45085.425008162165</v>
      </c>
      <c r="C28" s="29" t="n"/>
      <c r="D28" s="29" t="inlineStr">
        <is>
          <t>Resultado neto más amortización (que no se paga) más los intereses de ese año: el principal no se resta porque este flujo es ANTES de la deuda. Sin tabla mensual, es una estimación</t>
        </is>
      </c>
      <c r="E28" s="29" t="n"/>
      <c r="F28" s="29" t="n"/>
      <c r="G28" s="29" t="n"/>
      <c r="H28" s="29" t="n"/>
      <c r="I28" s="29" t="n"/>
      <c r="J28" s="29" t="n"/>
      <c r="K28" s="29" t="n"/>
      <c r="L28" s="29" t="n"/>
      <c r="M28" s="29" t="n"/>
      <c r="N28" s="29" t="n"/>
      <c r="O28" s="29" t="n"/>
    </row>
    <row r="29">
      <c r="A29" s="29" t="inlineStr">
        <is>
          <t>Informativo: flujo REAL de caja del año 1 (tabla mensual, antes de la deuda)</t>
        </is>
      </c>
      <c r="B29" s="33">
        <f>IFERROR(IF('PyG 3 Años'!$B$9="","",N21+'Financiación'!$B$44+'Financiación'!$B$45),"")</f>
        <v>68961.7759486012</v>
      </c>
      <c r="C29" s="29" t="n"/>
      <c r="D29" s="29"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9" t="n"/>
      <c r="F29" s="29" t="n"/>
      <c r="G29" s="29" t="n"/>
      <c r="H29" s="29" t="n"/>
      <c r="I29" s="29" t="n"/>
      <c r="J29" s="29" t="n"/>
      <c r="K29" s="29" t="n"/>
      <c r="L29" s="29" t="n"/>
      <c r="M29" s="29" t="n"/>
      <c r="N29" s="29" t="n"/>
      <c r="O29" s="29" t="n"/>
    </row>
    <row r="30">
      <c r="A30" s="29" t="inlineStr">
        <is>
          <t>Inversión a recuperar (sin el IVA, que se recupera por el 303)</t>
        </is>
      </c>
      <c r="B30" s="33">
        <f>IFERROR(IF('PyG 3 Años'!$B$9="","",'Inversión Inicial'!$B$33-'Inversión Inicial'!$B$32),"")</f>
        <v>142175.705</v>
      </c>
      <c r="C30" s="29" t="n"/>
      <c r="D30" s="29"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9" t="n"/>
      <c r="F30" s="29" t="n"/>
      <c r="G30" s="29" t="n"/>
      <c r="H30" s="29" t="n"/>
      <c r="I30" s="29" t="n"/>
      <c r="J30" s="29" t="n"/>
      <c r="K30" s="29" t="n"/>
      <c r="L30" s="29" t="n"/>
      <c r="M30" s="29" t="n"/>
      <c r="N30" s="29" t="n"/>
      <c r="O30" s="29" t="n"/>
    </row>
    <row r="31">
      <c r="A31" s="26" t="inlineStr">
        <is>
          <t>Payback del proyecto (años), antes de la deuda</t>
        </is>
      </c>
      <c r="B31" s="26" t="str">
        <f>IFERROR(IF('PyG 3 Años'!$B$9="","",IF(B26&gt;=B30,ROUND(B30/B26,1),IF(B26+B27&gt;=B30,ROUND(1+(B30-B26)/B27,1),IF(B26+B27+B28&gt;=B30,ROUND(2+(B30-B26-B27)/B28,1),"Más de 3 años")))),"")</f>
        <v>Más de 3 años</v>
      </c>
      <c r="C31" s="29" t="n"/>
      <c r="D31" s="26" t="inlineStr">
        <is>
          <t>Mide cuánto tarda el negocio en devolver la inversión con lo que genera ANTES de pagar al banco, con la MISMA base de flujo en los tres años; si puedes pagar la cuota lo dice el DSCR de la hoja de Financiación. El plan de negocio en Word cita esta cifra; si cambias una celda verde, manda este libro</t>
        </is>
      </c>
      <c r="E31" s="29" t="n"/>
      <c r="F31" s="29" t="n"/>
      <c r="G31" s="29" t="n"/>
      <c r="H31" s="29" t="n"/>
      <c r="I31" s="29" t="n"/>
      <c r="J31" s="29" t="n"/>
      <c r="K31" s="29" t="n"/>
      <c r="L31" s="29" t="n"/>
      <c r="M31" s="29" t="n"/>
      <c r="N31" s="29" t="n"/>
      <c r="O31" s="29" t="n"/>
    </row>
    <row r="32">
      <c r="A32" s="29" t="inlineStr">
        <is>
          <t>Payback sobre el CAPEX, sin fondo de maniobra (años)</t>
        </is>
      </c>
      <c r="B32" s="29">
        <f>IFERROR(IF('PyG 3 Años'!$B$9="","",IF(B26&gt;='Inversión Inicial'!$B$31,ROUND('Inversión Inicial'!$B$31/B26,1),IF(B26+B27&gt;='Inversión Inicial'!$B$31,ROUND(1+('Inversión Inicial'!$B$31-B26)/B27,1),IF(B26+B27+B28&gt;='Inversión Inicial'!$B$31,ROUND(2+('Inversión Inicial'!$B$31-B26-B27)/B28,1),"Más de 3 años")))),"")</f>
        <v>2.2</v>
      </c>
      <c r="C32" s="29" t="n"/>
      <c r="D32" s="29" t="inlineStr">
        <is>
          <t>El mismo cálculo sobre lo que se COMPRA (obra, equipamiento, lanzamiento y constitución), sin el fondo de maniobra: ese dinero no se gasta, se inmoviliza y vuelve al cerrar el negocio. Informativo: el payback que se publica es el de arriba</t>
        </is>
      </c>
      <c r="E32" s="29" t="n"/>
      <c r="F32" s="29" t="n"/>
      <c r="G32" s="29" t="n"/>
      <c r="H32" s="29" t="n"/>
      <c r="I32" s="29" t="n"/>
      <c r="J32" s="29" t="n"/>
      <c r="K32" s="29" t="n"/>
      <c r="L32" s="29" t="n"/>
      <c r="M32" s="29" t="n"/>
      <c r="N32" s="29" t="n"/>
      <c r="O32" s="29" t="n"/>
    </row>
    <row r="33">
      <c r="A33" s="29" t="n"/>
      <c r="B33" s="29" t="n"/>
      <c r="C33" s="29" t="n"/>
      <c r="D33" s="29" t="n"/>
      <c r="E33" s="29" t="n"/>
      <c r="F33" s="29" t="n"/>
      <c r="G33" s="29" t="n"/>
      <c r="H33" s="29" t="n"/>
      <c r="I33" s="29" t="n"/>
      <c r="J33" s="29" t="n"/>
      <c r="K33" s="29" t="n"/>
      <c r="L33" s="29" t="n"/>
      <c r="M33" s="29" t="n"/>
      <c r="N33" s="29" t="n"/>
      <c r="O33" s="29" t="n"/>
    </row>
    <row r="34" ht="120" customHeight="1">
      <c r="A34" s="48"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29" t="n"/>
      <c r="C34" s="29" t="n"/>
      <c r="D34" s="29" t="n"/>
      <c r="E34" s="29" t="n"/>
      <c r="F34" s="29" t="n"/>
      <c r="G34" s="29" t="n"/>
      <c r="H34" s="29" t="n"/>
      <c r="I34" s="29" t="n"/>
      <c r="J34" s="29" t="n"/>
      <c r="K34" s="29" t="n"/>
      <c r="L34" s="29" t="n"/>
      <c r="M34" s="29" t="n"/>
      <c r="N34" s="29" t="n"/>
      <c r="O34" s="29" t="n"/>
    </row>
    <row r="35">
      <c r="A35" s="29" t="n"/>
      <c r="B35" s="29" t="n"/>
      <c r="C35" s="29" t="n"/>
      <c r="D35" s="29" t="n"/>
      <c r="E35" s="29" t="n"/>
      <c r="F35" s="29" t="n"/>
      <c r="G35" s="29" t="n"/>
      <c r="H35" s="29" t="n"/>
      <c r="I35" s="29" t="n"/>
      <c r="J35" s="29" t="n"/>
      <c r="K35" s="29" t="n"/>
      <c r="L35" s="29" t="n"/>
      <c r="M35" s="29" t="n"/>
      <c r="N35" s="29" t="n"/>
      <c r="O35" s="29" t="n"/>
    </row>
    <row r="36">
      <c r="A36" s="29" t="n"/>
      <c r="B36" s="29" t="n"/>
      <c r="C36" s="29" t="n"/>
      <c r="D36" s="29" t="n"/>
      <c r="E36" s="29" t="n"/>
      <c r="F36" s="29" t="n"/>
      <c r="G36" s="29" t="n"/>
      <c r="H36" s="29" t="n"/>
      <c r="I36" s="29" t="n"/>
      <c r="J36" s="29" t="n"/>
      <c r="K36" s="29" t="n"/>
      <c r="L36" s="29" t="n"/>
      <c r="M36" s="29" t="n"/>
      <c r="N36" s="29" t="n"/>
      <c r="O36" s="29" t="n"/>
    </row>
    <row r="37">
      <c r="A37" s="29" t="n"/>
      <c r="B37" s="29" t="n"/>
      <c r="C37" s="29" t="n"/>
      <c r="D37" s="29" t="n"/>
      <c r="E37" s="29" t="n"/>
      <c r="F37" s="29" t="n"/>
      <c r="G37" s="29" t="n"/>
      <c r="H37" s="29" t="n"/>
      <c r="I37" s="29" t="n"/>
      <c r="J37" s="29" t="n"/>
      <c r="K37" s="29" t="n"/>
      <c r="L37" s="29" t="n"/>
      <c r="M37" s="29" t="n"/>
      <c r="N37" s="29" t="n"/>
      <c r="O37" s="29" t="n"/>
    </row>
    <row r="38">
      <c r="A38" s="29" t="n"/>
      <c r="B38" s="29" t="n"/>
      <c r="C38" s="29" t="n"/>
      <c r="D38" s="29" t="n"/>
      <c r="E38" s="29" t="n"/>
      <c r="F38" s="29" t="n"/>
      <c r="G38" s="29" t="n"/>
      <c r="H38" s="29" t="n"/>
      <c r="I38" s="29" t="n"/>
      <c r="J38" s="29" t="n"/>
      <c r="K38" s="29" t="n"/>
      <c r="L38" s="29" t="n"/>
      <c r="M38" s="29" t="n"/>
      <c r="N38" s="29" t="n"/>
      <c r="O38" s="29" t="n"/>
    </row>
    <row r="39">
      <c r="A39" s="29" t="n"/>
      <c r="B39" s="29" t="n"/>
      <c r="C39" s="29" t="n"/>
      <c r="D39" s="29" t="n"/>
      <c r="E39" s="29" t="n"/>
      <c r="F39" s="29" t="n"/>
      <c r="G39" s="29" t="n"/>
      <c r="H39" s="29" t="n"/>
      <c r="I39" s="29" t="n"/>
      <c r="J39" s="29" t="n"/>
      <c r="K39" s="29" t="n"/>
      <c r="L39" s="29" t="n"/>
      <c r="M39" s="29" t="n"/>
      <c r="N39" s="29" t="n"/>
      <c r="O39" s="29" t="n"/>
    </row>
    <row r="40">
      <c r="A40" s="29" t="n"/>
      <c r="B40" s="29" t="n"/>
      <c r="C40" s="29" t="n"/>
      <c r="D40" s="29" t="n"/>
      <c r="E40" s="29" t="n"/>
      <c r="F40" s="29" t="n"/>
      <c r="G40" s="29" t="n"/>
      <c r="H40" s="29" t="n"/>
      <c r="I40" s="29" t="n"/>
      <c r="J40" s="29" t="n"/>
      <c r="K40" s="29" t="n"/>
      <c r="L40" s="29" t="n"/>
      <c r="M40" s="29" t="n"/>
      <c r="N40" s="29" t="n"/>
      <c r="O40" s="29" t="n"/>
    </row>
    <row r="41">
      <c r="A41" s="29" t="n"/>
      <c r="B41" s="29" t="n"/>
      <c r="C41" s="29" t="n"/>
      <c r="D41" s="29" t="n"/>
      <c r="E41" s="29" t="n"/>
      <c r="F41" s="29" t="n"/>
      <c r="G41" s="29" t="n"/>
      <c r="H41" s="29" t="n"/>
      <c r="I41" s="29" t="n"/>
      <c r="J41" s="29" t="n"/>
      <c r="K41" s="29" t="n"/>
      <c r="L41" s="29" t="n"/>
      <c r="M41" s="29" t="n"/>
      <c r="N41" s="29" t="n"/>
      <c r="O41" s="29" t="n"/>
    </row>
    <row r="42">
      <c r="A42" s="29" t="n"/>
      <c r="B42" s="29" t="n"/>
      <c r="C42" s="29" t="n"/>
      <c r="D42" s="29" t="n"/>
      <c r="E42" s="29" t="n"/>
      <c r="F42" s="29" t="n"/>
      <c r="G42" s="29" t="n"/>
      <c r="H42" s="29" t="n"/>
      <c r="I42" s="29" t="n"/>
      <c r="J42" s="29" t="n"/>
      <c r="K42" s="29" t="n"/>
      <c r="L42" s="29" t="n"/>
      <c r="M42" s="29" t="n"/>
      <c r="N42" s="29" t="n"/>
      <c r="O42" s="29" t="n"/>
    </row>
    <row r="43">
      <c r="A43" s="29" t="n"/>
      <c r="B43" s="29" t="n"/>
      <c r="C43" s="29" t="n"/>
      <c r="D43" s="29" t="n"/>
      <c r="E43" s="29" t="n"/>
      <c r="F43" s="29" t="n"/>
      <c r="G43" s="29" t="n"/>
      <c r="H43" s="29" t="n"/>
      <c r="I43" s="29" t="n"/>
      <c r="J43" s="29" t="n"/>
      <c r="K43" s="29" t="n"/>
      <c r="L43" s="29" t="n"/>
      <c r="M43" s="29" t="n"/>
      <c r="N43" s="29" t="n"/>
      <c r="O43" s="29" t="n"/>
    </row>
    <row r="44">
      <c r="A44" s="29" t="n"/>
      <c r="B44" s="29" t="n"/>
      <c r="C44" s="29" t="n"/>
      <c r="D44" s="29" t="n"/>
      <c r="E44" s="29" t="n"/>
      <c r="F44" s="29" t="n"/>
      <c r="G44" s="29" t="n"/>
      <c r="H44" s="29" t="n"/>
      <c r="I44" s="29" t="n"/>
      <c r="J44" s="29" t="n"/>
      <c r="K44" s="29" t="n"/>
      <c r="L44" s="29" t="n"/>
      <c r="M44" s="29" t="n"/>
      <c r="N44" s="29" t="n"/>
      <c r="O44" s="29" t="n"/>
    </row>
    <row r="45">
      <c r="A45" s="29" t="n"/>
      <c r="B45" s="29" t="n"/>
      <c r="C45" s="29" t="n"/>
      <c r="D45" s="29" t="n"/>
      <c r="E45" s="29" t="n"/>
      <c r="F45" s="29" t="n"/>
      <c r="G45" s="29" t="n"/>
      <c r="H45" s="29" t="n"/>
      <c r="I45" s="29" t="n"/>
      <c r="J45" s="29" t="n"/>
      <c r="K45" s="29" t="n"/>
      <c r="L45" s="29" t="n"/>
      <c r="M45" s="29" t="n"/>
      <c r="N45" s="29" t="n"/>
      <c r="O45" s="29" t="n"/>
    </row>
    <row r="46">
      <c r="A46" s="29" t="n"/>
      <c r="B46" s="29" t="n"/>
      <c r="C46" s="29" t="n"/>
      <c r="D46" s="29" t="n"/>
      <c r="E46" s="29" t="n"/>
      <c r="F46" s="29" t="n"/>
      <c r="G46" s="29" t="n"/>
      <c r="H46" s="29" t="n"/>
      <c r="I46" s="29" t="n"/>
      <c r="J46" s="29" t="n"/>
      <c r="K46" s="29" t="n"/>
      <c r="L46" s="29" t="n"/>
      <c r="M46" s="29" t="n"/>
      <c r="N46" s="29" t="n"/>
      <c r="O46" s="29" t="n"/>
    </row>
    <row r="47">
      <c r="A47" s="29" t="n"/>
      <c r="B47" s="29" t="n"/>
      <c r="C47" s="29" t="n"/>
      <c r="D47" s="29" t="n"/>
      <c r="E47" s="29" t="n"/>
      <c r="F47" s="29" t="n"/>
      <c r="G47" s="29" t="n"/>
      <c r="H47" s="29" t="n"/>
      <c r="I47" s="29" t="n"/>
      <c r="J47" s="29" t="n"/>
      <c r="K47" s="29" t="n"/>
      <c r="L47" s="29" t="n"/>
      <c r="M47" s="29" t="n"/>
      <c r="N47" s="29" t="n"/>
      <c r="O47" s="29" t="n"/>
    </row>
    <row r="48">
      <c r="A48" s="29" t="n"/>
      <c r="B48" s="29" t="n"/>
      <c r="C48" s="29" t="n"/>
      <c r="D48" s="29" t="n"/>
      <c r="E48" s="29" t="n"/>
      <c r="F48" s="29" t="n"/>
      <c r="G48" s="29" t="n"/>
      <c r="H48" s="29" t="n"/>
      <c r="I48" s="29" t="n"/>
      <c r="J48" s="29" t="n"/>
      <c r="K48" s="29" t="n"/>
      <c r="L48" s="29" t="n"/>
      <c r="M48" s="29" t="n"/>
      <c r="N48" s="29" t="n"/>
      <c r="O48" s="29" t="n"/>
    </row>
    <row r="49">
      <c r="A49" s="29" t="n"/>
      <c r="B49" s="29" t="n"/>
      <c r="C49" s="29" t="n"/>
      <c r="D49" s="29" t="n"/>
      <c r="E49" s="29" t="n"/>
      <c r="F49" s="29" t="n"/>
      <c r="G49" s="29" t="n"/>
      <c r="H49" s="29" t="n"/>
      <c r="I49" s="29" t="n"/>
      <c r="J49" s="29" t="n"/>
      <c r="K49" s="29" t="n"/>
      <c r="L49" s="29" t="n"/>
      <c r="M49" s="29" t="n"/>
      <c r="N49" s="29" t="n"/>
      <c r="O49" s="29" t="n"/>
    </row>
    <row r="50">
      <c r="A50" s="29" t="n"/>
      <c r="B50" s="29" t="n"/>
      <c r="C50" s="29" t="n"/>
      <c r="D50" s="29" t="n"/>
      <c r="E50" s="29" t="n"/>
      <c r="F50" s="29" t="n"/>
      <c r="G50" s="29" t="n"/>
      <c r="H50" s="29" t="n"/>
      <c r="I50" s="29" t="n"/>
      <c r="J50" s="29" t="n"/>
      <c r="K50" s="29" t="n"/>
      <c r="L50" s="29" t="n"/>
      <c r="M50" s="29" t="n"/>
      <c r="N50" s="29" t="n"/>
      <c r="O50" s="29" t="n"/>
    </row>
    <row r="51">
      <c r="A51" s="29" t="n"/>
      <c r="B51" s="29" t="n"/>
      <c r="C51" s="29" t="n"/>
      <c r="D51" s="29" t="n"/>
      <c r="E51" s="29" t="n"/>
      <c r="F51" s="29" t="n"/>
      <c r="G51" s="29" t="n"/>
      <c r="H51" s="29" t="n"/>
      <c r="I51" s="29" t="n"/>
      <c r="J51" s="29" t="n"/>
      <c r="K51" s="29" t="n"/>
      <c r="L51" s="29" t="n"/>
      <c r="M51" s="29" t="n"/>
      <c r="N51" s="29" t="n"/>
      <c r="O51" s="29" t="n"/>
    </row>
    <row r="52">
      <c r="A52" s="29" t="n"/>
      <c r="B52" s="29" t="n"/>
      <c r="C52" s="29" t="n"/>
      <c r="D52" s="29" t="n"/>
      <c r="E52" s="29" t="n"/>
      <c r="F52" s="29" t="n"/>
      <c r="G52" s="29" t="n"/>
      <c r="H52" s="29" t="n"/>
      <c r="I52" s="29" t="n"/>
      <c r="J52" s="29" t="n"/>
      <c r="K52" s="29" t="n"/>
      <c r="L52" s="29" t="n"/>
      <c r="M52" s="29" t="n"/>
      <c r="N52" s="29" t="n"/>
      <c r="O52" s="29" t="n"/>
    </row>
    <row r="53">
      <c r="A53" s="29" t="n"/>
      <c r="B53" s="29" t="n"/>
      <c r="C53" s="29" t="n"/>
      <c r="D53" s="29" t="n"/>
      <c r="E53" s="29" t="n"/>
      <c r="F53" s="29" t="n"/>
      <c r="G53" s="29" t="n"/>
      <c r="H53" s="29" t="n"/>
      <c r="I53" s="29" t="n"/>
      <c r="J53" s="29" t="n"/>
      <c r="K53" s="29" t="n"/>
      <c r="L53" s="29" t="n"/>
      <c r="M53" s="29" t="n"/>
      <c r="N53" s="29" t="n"/>
      <c r="O53" s="29" t="n"/>
    </row>
    <row r="54">
      <c r="A54" s="29" t="n"/>
      <c r="B54" s="29" t="n"/>
      <c r="C54" s="29" t="n"/>
      <c r="D54" s="29" t="n"/>
      <c r="E54" s="29" t="n"/>
      <c r="F54" s="29" t="n"/>
      <c r="G54" s="29" t="n"/>
      <c r="H54" s="29" t="n"/>
      <c r="I54" s="29" t="n"/>
      <c r="J54" s="29" t="n"/>
      <c r="K54" s="29" t="n"/>
      <c r="L54" s="29" t="n"/>
      <c r="M54" s="29" t="n"/>
      <c r="N54" s="29" t="n"/>
      <c r="O54" s="29" t="n"/>
    </row>
    <row r="55">
      <c r="A55" s="29" t="n"/>
      <c r="B55" s="29" t="n"/>
      <c r="C55" s="29" t="n"/>
      <c r="D55" s="29" t="n"/>
      <c r="E55" s="29" t="n"/>
      <c r="F55" s="29" t="n"/>
      <c r="G55" s="29" t="n"/>
      <c r="H55" s="29" t="n"/>
      <c r="I55" s="29" t="n"/>
      <c r="J55" s="29" t="n"/>
      <c r="K55" s="29" t="n"/>
      <c r="L55" s="29" t="n"/>
      <c r="M55" s="29" t="n"/>
      <c r="N55" s="29" t="n"/>
      <c r="O55" s="29" t="n"/>
    </row>
    <row r="56">
      <c r="A56" s="29" t="n"/>
      <c r="B56" s="29" t="n"/>
      <c r="C56" s="29" t="n"/>
      <c r="D56" s="29" t="n"/>
      <c r="E56" s="29" t="n"/>
      <c r="F56" s="29" t="n"/>
      <c r="G56" s="29" t="n"/>
      <c r="H56" s="29" t="n"/>
      <c r="I56" s="29" t="n"/>
      <c r="J56" s="29" t="n"/>
      <c r="K56" s="29" t="n"/>
      <c r="L56" s="29" t="n"/>
      <c r="M56" s="29" t="n"/>
      <c r="N56" s="29" t="n"/>
      <c r="O56" s="29" t="n"/>
    </row>
    <row r="57">
      <c r="A57" s="29" t="n"/>
      <c r="B57" s="29" t="n"/>
      <c r="C57" s="29" t="n"/>
      <c r="D57" s="29" t="n"/>
      <c r="E57" s="29" t="n"/>
      <c r="F57" s="29" t="n"/>
      <c r="G57" s="29" t="n"/>
      <c r="H57" s="29" t="n"/>
      <c r="I57" s="29" t="n"/>
      <c r="J57" s="29" t="n"/>
      <c r="K57" s="29" t="n"/>
      <c r="L57" s="29" t="n"/>
      <c r="M57" s="29" t="n"/>
      <c r="N57" s="29" t="n"/>
      <c r="O57" s="29" t="n"/>
    </row>
    <row r="58">
      <c r="A58" s="29" t="n"/>
      <c r="B58" s="29" t="n"/>
      <c r="C58" s="29" t="n"/>
      <c r="D58" s="29" t="n"/>
      <c r="E58" s="29" t="n"/>
      <c r="F58" s="29" t="n"/>
      <c r="G58" s="29" t="n"/>
      <c r="H58" s="29" t="n"/>
      <c r="I58" s="29" t="n"/>
      <c r="J58" s="29" t="n"/>
      <c r="K58" s="29" t="n"/>
      <c r="L58" s="29" t="n"/>
      <c r="M58" s="29" t="n"/>
      <c r="N58" s="29" t="n"/>
      <c r="O58" s="29" t="n"/>
    </row>
    <row r="59">
      <c r="A59" s="29" t="n"/>
      <c r="B59" s="29" t="n"/>
      <c r="C59" s="29" t="n"/>
      <c r="D59" s="29" t="n"/>
      <c r="E59" s="29" t="n"/>
      <c r="F59" s="29" t="n"/>
      <c r="G59" s="29" t="n"/>
      <c r="H59" s="29" t="n"/>
      <c r="I59" s="29" t="n"/>
      <c r="J59" s="29" t="n"/>
      <c r="K59" s="29" t="n"/>
      <c r="L59" s="29" t="n"/>
      <c r="M59" s="29" t="n"/>
      <c r="N59" s="29" t="n"/>
      <c r="O59" s="29" t="n"/>
    </row>
    <row r="60">
      <c r="A60" s="29" t="n"/>
      <c r="B60" s="29" t="n"/>
      <c r="C60" s="29" t="n"/>
      <c r="D60" s="29" t="n"/>
      <c r="E60" s="29" t="n"/>
      <c r="F60" s="29" t="n"/>
      <c r="G60" s="29" t="n"/>
      <c r="H60" s="29" t="n"/>
      <c r="I60" s="29" t="n"/>
      <c r="J60" s="29" t="n"/>
      <c r="K60" s="29" t="n"/>
      <c r="L60" s="29" t="n"/>
      <c r="M60" s="29" t="n"/>
      <c r="N60" s="29" t="n"/>
      <c r="O60" s="29" t="n"/>
    </row>
    <row r="61">
      <c r="A61" s="29" t="n"/>
      <c r="B61" s="29" t="n"/>
      <c r="C61" s="29" t="n"/>
      <c r="D61" s="29" t="n"/>
      <c r="E61" s="29" t="n"/>
      <c r="F61" s="29" t="n"/>
      <c r="G61" s="29" t="n"/>
      <c r="H61" s="29" t="n"/>
      <c r="I61" s="29" t="n"/>
      <c r="J61" s="29" t="n"/>
      <c r="K61" s="29" t="n"/>
      <c r="L61" s="29" t="n"/>
      <c r="M61" s="29" t="n"/>
      <c r="N61" s="29" t="n"/>
      <c r="O61" s="29" t="n"/>
    </row>
    <row r="62">
      <c r="A62" s="29" t="n"/>
      <c r="B62" s="29" t="n"/>
      <c r="C62" s="29" t="n"/>
      <c r="D62" s="29" t="n"/>
      <c r="E62" s="29" t="n"/>
      <c r="F62" s="29" t="n"/>
      <c r="G62" s="29" t="n"/>
      <c r="H62" s="29" t="n"/>
      <c r="I62" s="29" t="n"/>
      <c r="J62" s="29" t="n"/>
      <c r="K62" s="29" t="n"/>
      <c r="L62" s="29" t="n"/>
      <c r="M62" s="29" t="n"/>
      <c r="N62" s="29" t="n"/>
      <c r="O62" s="29" t="n"/>
    </row>
    <row r="63">
      <c r="A63" s="29" t="n"/>
      <c r="B63" s="29" t="n"/>
      <c r="C63" s="29" t="n"/>
      <c r="D63" s="29" t="n"/>
      <c r="E63" s="29" t="n"/>
      <c r="F63" s="29" t="n"/>
      <c r="G63" s="29" t="n"/>
      <c r="H63" s="29" t="n"/>
      <c r="I63" s="29" t="n"/>
      <c r="J63" s="29" t="n"/>
      <c r="K63" s="29" t="n"/>
      <c r="L63" s="29" t="n"/>
      <c r="M63" s="29" t="n"/>
      <c r="N63" s="29" t="n"/>
      <c r="O63" s="29" t="n"/>
    </row>
    <row r="64">
      <c r="A64" s="29" t="n"/>
      <c r="B64" s="29" t="n"/>
      <c r="C64" s="29" t="n"/>
      <c r="D64" s="29" t="n"/>
      <c r="E64" s="29" t="n"/>
      <c r="F64" s="29" t="n"/>
      <c r="G64" s="29" t="n"/>
      <c r="H64" s="29" t="n"/>
      <c r="I64" s="29" t="n"/>
      <c r="J64" s="29" t="n"/>
      <c r="K64" s="29" t="n"/>
      <c r="L64" s="29" t="n"/>
      <c r="M64" s="29" t="n"/>
      <c r="N64" s="29" t="n"/>
      <c r="O64" s="29" t="n"/>
    </row>
    <row r="65">
      <c r="A65" s="29" t="n"/>
      <c r="B65" s="29" t="n"/>
      <c r="C65" s="29" t="n"/>
      <c r="D65" s="29" t="n"/>
      <c r="E65" s="29" t="n"/>
      <c r="F65" s="29" t="n"/>
      <c r="G65" s="29" t="n"/>
      <c r="H65" s="29" t="n"/>
      <c r="I65" s="29" t="n"/>
      <c r="J65" s="29" t="n"/>
      <c r="K65" s="29" t="n"/>
      <c r="L65" s="29" t="n"/>
      <c r="M65" s="29" t="n"/>
      <c r="N65" s="29" t="n"/>
      <c r="O65" s="29" t="n"/>
    </row>
    <row r="66">
      <c r="A66" s="29" t="n"/>
      <c r="B66" s="29" t="n"/>
      <c r="C66" s="29" t="n"/>
      <c r="D66" s="29" t="n"/>
      <c r="E66" s="29" t="n"/>
      <c r="F66" s="29" t="n"/>
      <c r="G66" s="29" t="n"/>
      <c r="H66" s="29" t="n"/>
      <c r="I66" s="29" t="n"/>
      <c r="J66" s="29" t="n"/>
      <c r="K66" s="29" t="n"/>
      <c r="L66" s="29" t="n"/>
      <c r="M66" s="29" t="n"/>
      <c r="N66" s="29" t="n"/>
      <c r="O66" s="29" t="n"/>
    </row>
    <row r="67">
      <c r="A67" s="29" t="n"/>
      <c r="B67" s="29" t="n"/>
      <c r="C67" s="29" t="n"/>
      <c r="D67" s="29" t="n"/>
      <c r="E67" s="29" t="n"/>
      <c r="F67" s="29" t="n"/>
      <c r="G67" s="29" t="n"/>
      <c r="H67" s="29" t="n"/>
      <c r="I67" s="29" t="n"/>
      <c r="J67" s="29" t="n"/>
      <c r="K67" s="29" t="n"/>
      <c r="L67" s="29" t="n"/>
      <c r="M67" s="29" t="n"/>
      <c r="N67" s="29" t="n"/>
      <c r="O67" s="29" t="n"/>
    </row>
    <row r="68">
      <c r="A68" s="29" t="n"/>
      <c r="B68" s="29" t="n"/>
      <c r="C68" s="29" t="n"/>
      <c r="D68" s="29" t="n"/>
      <c r="E68" s="29" t="n"/>
      <c r="F68" s="29" t="n"/>
      <c r="G68" s="29" t="n"/>
      <c r="H68" s="29" t="n"/>
      <c r="I68" s="29" t="n"/>
      <c r="J68" s="29" t="n"/>
      <c r="K68" s="29" t="n"/>
      <c r="L68" s="29" t="n"/>
      <c r="M68" s="29" t="n"/>
      <c r="N68" s="29" t="n"/>
      <c r="O68" s="29" t="n"/>
    </row>
    <row r="69">
      <c r="A69" s="29" t="n"/>
      <c r="B69" s="29" t="n"/>
      <c r="C69" s="29" t="n"/>
      <c r="D69" s="29" t="n"/>
      <c r="E69" s="29" t="n"/>
      <c r="F69" s="29" t="n"/>
      <c r="G69" s="29" t="n"/>
      <c r="H69" s="29" t="n"/>
      <c r="I69" s="29" t="n"/>
      <c r="J69" s="29" t="n"/>
      <c r="K69" s="29" t="n"/>
      <c r="L69" s="29" t="n"/>
      <c r="M69" s="29" t="n"/>
      <c r="N69" s="29" t="n"/>
      <c r="O69" s="29" t="n"/>
    </row>
    <row r="70">
      <c r="A70" s="29" t="n"/>
      <c r="B70" s="29" t="n"/>
      <c r="C70" s="29" t="n"/>
      <c r="D70" s="29" t="n"/>
      <c r="E70" s="29" t="n"/>
      <c r="F70" s="29" t="n"/>
      <c r="G70" s="29" t="n"/>
      <c r="H70" s="29" t="n"/>
      <c r="I70" s="29" t="n"/>
      <c r="J70" s="29" t="n"/>
      <c r="K70" s="29" t="n"/>
      <c r="L70" s="29" t="n"/>
      <c r="M70" s="29" t="n"/>
      <c r="N70" s="29" t="n"/>
      <c r="O70" s="29"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6" t="inlineStr">
        <is>
          <t>PLAN DE FINANCIACIÓN</t>
        </is>
      </c>
      <c r="B1" s="29" t="n"/>
      <c r="C1" s="29" t="n"/>
      <c r="D1" s="29" t="n"/>
      <c r="E1" s="29" t="n"/>
      <c r="F1" s="29" t="n"/>
      <c r="G1" s="29" t="n"/>
      <c r="H1" s="29" t="n"/>
    </row>
    <row r="2" ht="45" customHeight="1">
      <c r="A2" s="48" t="inlineStr">
        <is>
          <t>Qué hace falta, de dónde sale y cuánto cuesta devolverlo. Es la hoja que el banco pide junto con el P&amp;L.</t>
        </is>
      </c>
      <c r="B2" s="29" t="n"/>
      <c r="C2" s="29" t="n"/>
      <c r="D2" s="29" t="n"/>
      <c r="E2" s="29" t="n"/>
      <c r="F2" s="29" t="n"/>
      <c r="G2" s="29" t="n"/>
      <c r="H2" s="29" t="n"/>
    </row>
    <row r="3">
      <c r="A3" s="29" t="n"/>
      <c r="B3" s="29" t="n"/>
      <c r="C3" s="29" t="n"/>
      <c r="D3" s="29" t="n"/>
      <c r="E3" s="29" t="n"/>
      <c r="F3" s="29" t="n"/>
      <c r="G3" s="29" t="n"/>
      <c r="H3" s="29" t="n"/>
    </row>
    <row r="4">
      <c r="A4" s="26" t="inlineStr">
        <is>
          <t>Concepto</t>
        </is>
      </c>
      <c r="B4" s="26" t="inlineStr">
        <is>
          <t>Importe</t>
        </is>
      </c>
      <c r="C4" s="26" t="inlineStr">
        <is>
          <t>Notas</t>
        </is>
      </c>
      <c r="D4" s="29" t="n"/>
      <c r="E4" s="29" t="n"/>
      <c r="F4" s="29" t="n"/>
      <c r="G4" s="29" t="n"/>
      <c r="H4" s="29" t="n"/>
    </row>
    <row r="5">
      <c r="A5" s="26" t="inlineStr">
        <is>
          <t>ORIGEN DE FONDOS</t>
        </is>
      </c>
      <c r="B5" s="29" t="n"/>
      <c r="C5" s="29" t="n"/>
      <c r="D5" s="29" t="n"/>
      <c r="E5" s="29" t="n"/>
      <c r="F5" s="29" t="n"/>
      <c r="G5" s="29" t="n"/>
      <c r="H5" s="29" t="n"/>
    </row>
    <row r="6">
      <c r="A6" s="29" t="inlineStr">
        <is>
          <t>Recursos propios de los socios</t>
        </is>
      </c>
      <c r="B6" s="33">
        <f>IFERROR(IF('0. Supuestos'!$B$30="","",'0. Supuestos'!$B$30),"")</f>
        <v>50000.0</v>
      </c>
      <c r="C6" s="29" t="n"/>
      <c r="D6" s="29" t="n"/>
      <c r="E6" s="29" t="n"/>
      <c r="F6" s="29" t="n"/>
      <c r="G6" s="29" t="n"/>
      <c r="H6" s="29" t="n"/>
    </row>
    <row r="7">
      <c r="A7" s="29" t="inlineStr">
        <is>
          <t>Préstamo bancario</t>
        </is>
      </c>
      <c r="B7" s="33">
        <f>IFERROR(IF('0. Supuestos'!$B$31="","",'0. Supuestos'!$B$31),"")</f>
        <v>112000.0</v>
      </c>
      <c r="C7" s="29" t="n"/>
      <c r="D7" s="29" t="n"/>
      <c r="E7" s="29" t="n"/>
      <c r="F7" s="29" t="n"/>
      <c r="G7" s="29" t="n"/>
      <c r="H7" s="29" t="n"/>
    </row>
    <row r="8">
      <c r="A8" s="29" t="inlineStr">
        <is>
          <t>Línea ICO (avalada por el ICO, la concede tu banco)</t>
        </is>
      </c>
      <c r="B8" s="30" t="n">
        <v>0</v>
      </c>
      <c r="C8" s="29" t="inlineStr">
        <is>
          <t>Consulta las líneas del ejercicio en curso en ico.es</t>
        </is>
      </c>
      <c r="D8" s="29" t="n"/>
      <c r="E8" s="29" t="n"/>
      <c r="F8" s="29" t="n"/>
      <c r="G8" s="29" t="n"/>
      <c r="H8" s="29" t="n"/>
    </row>
    <row r="9">
      <c r="A9" s="29" t="inlineStr">
        <is>
          <t>Préstamo participativo ENISA</t>
        </is>
      </c>
      <c r="B9" s="30" t="n">
        <v>0</v>
      </c>
      <c r="C9" s="29" t="inlineStr">
        <is>
          <t>Para sociedades; sin garantías personales</t>
        </is>
      </c>
      <c r="D9" s="29" t="n"/>
      <c r="E9" s="29" t="n"/>
      <c r="F9" s="29" t="n"/>
      <c r="G9" s="29" t="n"/>
      <c r="H9" s="29" t="n"/>
    </row>
    <row r="10">
      <c r="A10" s="29" t="inlineStr">
        <is>
          <t>Business angels o socios inversores</t>
        </is>
      </c>
      <c r="B10" s="30" t="n">
        <v>0</v>
      </c>
      <c r="C10" s="29" t="inlineStr">
        <is>
          <t>Entra en el capital: diluye, no se devuelve</t>
        </is>
      </c>
      <c r="D10" s="29" t="n"/>
      <c r="E10" s="29" t="n"/>
      <c r="F10" s="29" t="n"/>
      <c r="G10" s="29" t="n"/>
      <c r="H10" s="29" t="n"/>
    </row>
    <row r="11">
      <c r="A11" s="29" t="inlineStr">
        <is>
          <t>Subvenciones autonómicas o locales</t>
        </is>
      </c>
      <c r="B11" s="30" t="n">
        <v>0</v>
      </c>
      <c r="C11" s="29" t="inlineStr">
        <is>
          <t>Suelen cobrarse DESPUÉS de justificar el gasto</t>
        </is>
      </c>
      <c r="D11" s="29" t="n"/>
      <c r="E11" s="29" t="n"/>
      <c r="F11" s="29" t="n"/>
      <c r="G11" s="29" t="n"/>
      <c r="H11" s="29" t="n"/>
    </row>
    <row r="12">
      <c r="A12" s="26" t="inlineStr">
        <is>
          <t>TOTAL ORIGEN DE FONDOS</t>
        </is>
      </c>
      <c r="B12" s="27">
        <f>IFERROR(IF(COUNT(B6:B11)=0,"",SUM(B6:B11)),"")</f>
        <v>162000.0</v>
      </c>
      <c r="C12" s="29" t="n"/>
      <c r="D12" s="29" t="n"/>
      <c r="E12" s="29" t="n"/>
      <c r="F12" s="29" t="n"/>
      <c r="G12" s="29" t="n"/>
      <c r="H12" s="29" t="n"/>
    </row>
    <row r="13">
      <c r="A13" s="26" t="inlineStr">
        <is>
          <t>USOS</t>
        </is>
      </c>
      <c r="B13" s="29" t="n"/>
      <c r="C13" s="29" t="n"/>
      <c r="D13" s="29" t="n"/>
      <c r="E13" s="29" t="n"/>
      <c r="F13" s="29" t="n"/>
      <c r="G13" s="29" t="n"/>
      <c r="H13" s="29" t="n"/>
    </row>
    <row r="14">
      <c r="A14" s="29" t="inlineStr">
        <is>
          <t>Necesidad total de caja al arranque</t>
        </is>
      </c>
      <c r="B14" s="33">
        <f>IFERROR(IF('Inversión Inicial'!$B$33="","",'Inversión Inicial'!$B$33),"")</f>
        <v>161600.705</v>
      </c>
      <c r="C14" s="29" t="inlineStr">
        <is>
          <t>Inversión más el IVA que hay que adelantar</t>
        </is>
      </c>
      <c r="D14" s="29" t="n"/>
      <c r="E14" s="29" t="n"/>
      <c r="F14" s="29" t="n"/>
      <c r="G14" s="29" t="n"/>
      <c r="H14" s="29" t="n"/>
    </row>
    <row r="15">
      <c r="A15" s="26" t="inlineStr">
        <is>
          <t>Diferencia (origen - usos)</t>
        </is>
      </c>
      <c r="B15" s="27">
        <f>IFERROR(B12-B14,"")</f>
        <v>399.2950000000128</v>
      </c>
      <c r="C15" s="26" t="inlineStr">
        <is>
          <t>En rojo (negativa) el plan NO está financiado. Muy por encima de cero tampoco es gratis: se pagan intereses por un dinero que no se usa</t>
        </is>
      </c>
      <c r="D15" s="29" t="n"/>
      <c r="E15" s="29" t="n"/>
      <c r="F15" s="29" t="n"/>
      <c r="G15" s="29" t="n"/>
      <c r="H15" s="29" t="n"/>
    </row>
    <row r="16">
      <c r="A16" s="29" t="inlineStr">
        <is>
          <t>Diferencia sobre los usos (%)</t>
        </is>
      </c>
      <c r="B16" s="68">
        <f>IFERROR(B15/B14,"")</f>
        <v>0.002470874121496022</v>
      </c>
      <c r="C16" s="29" t="inlineStr">
        <is>
          <t>Ámbar por encima del margen que fijes: es deuda que pagas sin necesitarla</t>
        </is>
      </c>
      <c r="D16" s="29" t="n"/>
      <c r="E16" s="29" t="n"/>
      <c r="F16" s="29" t="n"/>
      <c r="G16" s="29" t="n"/>
      <c r="H16" s="29" t="n"/>
    </row>
    <row r="17">
      <c r="A17" s="29" t="inlineStr">
        <is>
          <t>Exceso de financiación admisible (%)</t>
        </is>
      </c>
      <c r="B17" s="74" t="n">
        <v>0.05</v>
      </c>
      <c r="C17" s="29" t="inlineStr">
        <is>
          <t>Un pequeño colchón sobre la necesidad es sano; un 20 % de más son intereses tirados</t>
        </is>
      </c>
      <c r="D17" s="29" t="n"/>
      <c r="E17" s="29" t="n"/>
      <c r="F17" s="29" t="n"/>
      <c r="G17" s="29" t="n"/>
      <c r="H17" s="29" t="n"/>
    </row>
    <row r="18">
      <c r="A18" s="29" t="inlineStr">
        <is>
          <t>Préstamo que ajustaría el origen a la necesidad</t>
        </is>
      </c>
      <c r="B18" s="33">
        <f>IFERROR(MAX(0,B14-B12+B7),"")</f>
        <v>111600.70499999999</v>
      </c>
      <c r="C18" s="29" t="inlineStr">
        <is>
          <t>Cópialo en «Préstamo bancario solicitado» de la hoja de Supuestos y la diferencia se pone a cero</t>
        </is>
      </c>
      <c r="D18" s="29" t="n"/>
      <c r="E18" s="29" t="n"/>
      <c r="F18" s="29" t="n"/>
      <c r="G18" s="29" t="n"/>
      <c r="H18" s="29" t="n"/>
    </row>
    <row r="19">
      <c r="A19" s="26" t="inlineStr">
        <is>
          <t>CONDICIONES DEL PRÉSTAMO</t>
        </is>
      </c>
      <c r="B19" s="29" t="n"/>
      <c r="C19" s="29" t="n"/>
      <c r="D19" s="29" t="n"/>
      <c r="E19" s="29" t="n"/>
      <c r="F19" s="29" t="n"/>
      <c r="G19" s="29" t="n"/>
      <c r="H19" s="29" t="n"/>
    </row>
    <row r="20">
      <c r="A20" s="29" t="inlineStr">
        <is>
          <t>Importe del principal</t>
        </is>
      </c>
      <c r="B20" s="33">
        <f>IFERROR(IF('0. Supuestos'!$B$31=0,"",'0. Supuestos'!$B$31),"")</f>
        <v>112000.0</v>
      </c>
      <c r="C20" s="29" t="n"/>
      <c r="D20" s="29" t="n"/>
      <c r="E20" s="29" t="n"/>
      <c r="F20" s="29" t="n"/>
      <c r="G20" s="29" t="n"/>
      <c r="H20" s="29" t="n"/>
    </row>
    <row r="21">
      <c r="A21" s="29" t="inlineStr">
        <is>
          <t>Tipo de interés nominal anual</t>
        </is>
      </c>
      <c r="B21" s="68">
        <f>IFERROR(IF('0. Supuestos'!$B$32="","",'0. Supuestos'!$B$32),"")</f>
        <v>0.06</v>
      </c>
      <c r="C21" s="29" t="n"/>
      <c r="D21" s="29" t="n"/>
      <c r="E21" s="29" t="n"/>
      <c r="F21" s="29" t="n"/>
      <c r="G21" s="29" t="n"/>
      <c r="H21" s="29" t="n"/>
    </row>
    <row r="22">
      <c r="A22" s="29" t="inlineStr">
        <is>
          <t>Plazo total (años)</t>
        </is>
      </c>
      <c r="B22" s="41">
        <f>IFERROR(IF('0. Supuestos'!$B$33="","",'0. Supuestos'!$B$33),"")</f>
        <v>7.0</v>
      </c>
      <c r="C22" s="29" t="n"/>
      <c r="D22" s="29" t="n"/>
      <c r="E22" s="29" t="n"/>
      <c r="F22" s="29" t="n"/>
      <c r="G22" s="29" t="n"/>
      <c r="H22" s="29" t="n"/>
    </row>
    <row r="23">
      <c r="A23" s="29" t="inlineStr">
        <is>
          <t>Carencia de principal aplicada (años)</t>
        </is>
      </c>
      <c r="B23" s="41">
        <f>IFERROR(IF(OR('0. Supuestos'!$B$34="",'0. Supuestos'!$B$33=""),"",IF('0. Supuestos'!$B$34&gt;='0. Supuestos'!$B$33,0,'0. Supuestos'!$B$34)),"")</f>
        <v>1.0</v>
      </c>
      <c r="C23" s="29" t="inlineStr">
        <is>
          <t>Una carencia igual o mayor que el plazo no existe: la hoja la anula en origen</t>
        </is>
      </c>
      <c r="D23" s="29" t="n"/>
      <c r="E23" s="29" t="n"/>
      <c r="F23" s="29" t="n"/>
      <c r="G23" s="29" t="n"/>
      <c r="H23" s="29" t="n"/>
    </row>
    <row r="24">
      <c r="A24" s="26" t="inlineStr">
        <is>
          <t>Cuota anual durante la amortización</t>
        </is>
      </c>
      <c r="B24" s="72">
        <f>IFERROR(IF(B22-B23&lt;=0,"",IF(B21=0,B20/(B22-B23),B20*B21/(1-(1+B21)^-(B22-B23)))),"")</f>
        <v>22776.61438918828</v>
      </c>
      <c r="C24" s="26" t="inlineStr">
        <is>
          <t>Sistema francés, anualidad algebraica. Con el tipo al 0 % es el principal entre los años de amortización: sin esa rama el cuadro se apagaba entero</t>
        </is>
      </c>
      <c r="D24" s="29" t="n"/>
      <c r="E24" s="29" t="n"/>
      <c r="F24" s="29" t="n"/>
      <c r="G24" s="29" t="n"/>
      <c r="H24" s="29" t="n"/>
    </row>
    <row r="25">
      <c r="A25" s="26" t="inlineStr">
        <is>
          <t>CUADRO DE AMORTIZACIÓN</t>
        </is>
      </c>
      <c r="B25" s="29" t="n"/>
      <c r="C25" s="29" t="n"/>
      <c r="D25" s="29" t="n"/>
      <c r="E25" s="29" t="n"/>
      <c r="F25" s="29" t="n"/>
      <c r="G25" s="29" t="n"/>
      <c r="H25" s="29" t="n"/>
    </row>
    <row r="26">
      <c r="A26" s="26" t="inlineStr">
        <is>
          <t>Año</t>
        </is>
      </c>
      <c r="B26" s="26" t="inlineStr">
        <is>
          <t>Capital pendiente</t>
        </is>
      </c>
      <c r="C26" s="26" t="inlineStr">
        <is>
          <t>Intereses</t>
        </is>
      </c>
      <c r="D26" s="26" t="inlineStr">
        <is>
          <t>Amortización de principal</t>
        </is>
      </c>
      <c r="E26" s="26" t="inlineStr">
        <is>
          <t>Cuota total</t>
        </is>
      </c>
      <c r="F26" s="26" t="inlineStr">
        <is>
          <t>Capital al cierre</t>
        </is>
      </c>
      <c r="G26" s="26" t="inlineStr">
        <is>
          <t>Flujo disponible para la deuda (después de impuestos; del año 4 en adelante, el del año 3 mantenido)</t>
        </is>
      </c>
      <c r="H26" s="26" t="inlineStr">
        <is>
          <t>DSCR del año</t>
        </is>
      </c>
    </row>
    <row r="27">
      <c r="A27" s="41" t="n">
        <v>1</v>
      </c>
      <c r="B27" s="70">
        <f>IFERROR(IF(B20="","",B20),"")</f>
        <v>112000.0</v>
      </c>
      <c r="C27" s="70">
        <f>IFERROR(IF(OR(1&gt;B22,B27=""),"",B27*B21),"")</f>
        <v>6720.0</v>
      </c>
      <c r="D27" s="70">
        <f>IFERROR(IF(OR(1&gt;B22,B27=""),"",IF(1&lt;=B23,0,MIN(B27,B24-C27))),"")</f>
        <v>0.0</v>
      </c>
      <c r="E27" s="70">
        <f>IFERROR(IF(C27="","",C27+D27),"")</f>
        <v>6720.0</v>
      </c>
      <c r="F27" s="70">
        <f>IFERROR(IF(D27="","",B27-D27),"")</f>
        <v>112000.0</v>
      </c>
      <c r="G27" s="70">
        <f>IFERROR(IF(E27="","",'PyG 3 Años'!$B$40-'PyG 3 Años'!$B$45+'PyG 3 Años'!$B$35+'PyG 3 Años'!$B$36),"")</f>
        <v>40784.30600000001</v>
      </c>
      <c r="H27" s="62">
        <f>IFERROR(IF(OR(E27="",E27=0),"",G27/E27),"")</f>
        <v>6.069093154761906</v>
      </c>
    </row>
    <row r="28">
      <c r="A28" s="41" t="n">
        <v>2</v>
      </c>
      <c r="B28" s="70">
        <f>IFERROR(IF(OR(2&gt;B22,F27=""),"",F27),"")</f>
        <v>112000.0</v>
      </c>
      <c r="C28" s="70">
        <f>IFERROR(IF(OR(2&gt;B22,B28=""),"",B28*B21),"")</f>
        <v>6720.0</v>
      </c>
      <c r="D28" s="70">
        <f>IFERROR(IF(OR(2&gt;B22,B28=""),"",IF(2&lt;=B23,0,MIN(B28,B24-C28))),"")</f>
        <v>16056.614389188278</v>
      </c>
      <c r="E28" s="70">
        <f>IFERROR(IF(C28="","",C28+D28),"")</f>
        <v>22776.61438918828</v>
      </c>
      <c r="F28" s="70">
        <f>IFERROR(IF(D28="","",B28-D28),"")</f>
        <v>95943.38561081172</v>
      </c>
      <c r="G28" s="70">
        <f>IFERROR(IF(E28="","",'PyG 3 Años'!$C$40-'PyG 3 Años'!$C$45+'PyG 3 Años'!$C$35+'PyG 3 Años'!$C$36),"")</f>
        <v>46685.16818000002</v>
      </c>
      <c r="H28" s="62">
        <f>IFERROR(IF(OR(E28="",E28=0),"",G28/E28),"")</f>
        <v>2.04969743888542</v>
      </c>
    </row>
    <row r="29">
      <c r="A29" s="41" t="n">
        <v>3</v>
      </c>
      <c r="B29" s="70">
        <f>IFERROR(IF(OR(3&gt;B22,F28=""),"",F28),"")</f>
        <v>95943.38561081172</v>
      </c>
      <c r="C29" s="70">
        <f>IFERROR(IF(OR(3&gt;B22,B29=""),"",B29*B21),"")</f>
        <v>5756.603136648703</v>
      </c>
      <c r="D29" s="70">
        <f>IFERROR(IF(OR(3&gt;B22,B29=""),"",IF(3&lt;=B23,0,MIN(B29,B24-C29))),"")</f>
        <v>17020.011252539574</v>
      </c>
      <c r="E29" s="70">
        <f>IFERROR(IF(C29="","",C29+D29),"")</f>
        <v>22776.61438918828</v>
      </c>
      <c r="F29" s="70">
        <f>IFERROR(IF(D29="","",B29-D29),"")</f>
        <v>78923.37435827215</v>
      </c>
      <c r="G29" s="70">
        <f>IFERROR(IF(E29="","",'PyG 3 Años'!$D$40-'PyG 3 Años'!$D$45+'PyG 3 Años'!$D$35+'PyG 3 Años'!$D$36),"")</f>
        <v>45085.425008162165</v>
      </c>
      <c r="H29" s="62">
        <f>IFERROR(IF(OR(E29="",E29=0),"",G29/E29),"")</f>
        <v>1.9794612244725691</v>
      </c>
    </row>
    <row r="30">
      <c r="A30" s="41" t="n">
        <v>4</v>
      </c>
      <c r="B30" s="70">
        <f>IFERROR(IF(OR(4&gt;B22,F29=""),"",F29),"")</f>
        <v>78923.37435827215</v>
      </c>
      <c r="C30" s="70">
        <f>IFERROR(IF(OR(4&gt;B22,B30=""),"",B30*B21),"")</f>
        <v>4735.402461496329</v>
      </c>
      <c r="D30" s="70">
        <f>IFERROR(IF(OR(4&gt;B22,B30=""),"",IF(4&lt;=B23,0,MIN(B30,B24-C30))),"")</f>
        <v>18041.211927691947</v>
      </c>
      <c r="E30" s="70">
        <f>IFERROR(IF(C30="","",C30+D30),"")</f>
        <v>22776.614389188275</v>
      </c>
      <c r="F30" s="70">
        <f>IFERROR(IF(D30="","",B30-D30),"")</f>
        <v>60882.1624305802</v>
      </c>
      <c r="G30" s="70">
        <f>IFERROR(IF(E30="","",'PyG 3 Años'!$D$40-'PyG 3 Años'!$D$45+'PyG 3 Años'!$D$35+'PyG 3 Años'!$D$36),"")</f>
        <v>45085.425008162165</v>
      </c>
      <c r="H30" s="62">
        <f>IFERROR(IF(OR(E30="",E30=0),"",G30/E30),"")</f>
        <v>1.9794612244725693</v>
      </c>
    </row>
    <row r="31">
      <c r="A31" s="41" t="n">
        <v>5</v>
      </c>
      <c r="B31" s="70">
        <f>IFERROR(IF(OR(5&gt;B22,F30=""),"",F30),"")</f>
        <v>60882.1624305802</v>
      </c>
      <c r="C31" s="70">
        <f>IFERROR(IF(OR(5&gt;B22,B31=""),"",B31*B21),"")</f>
        <v>3652.929745834812</v>
      </c>
      <c r="D31" s="70">
        <f>IFERROR(IF(OR(5&gt;B22,B31=""),"",IF(5&lt;=B23,0,MIN(B31,B24-C31))),"")</f>
        <v>19123.684643353467</v>
      </c>
      <c r="E31" s="70">
        <f>IFERROR(IF(C31="","",C31+D31),"")</f>
        <v>22776.61438918828</v>
      </c>
      <c r="F31" s="70">
        <f>IFERROR(IF(D31="","",B31-D31),"")</f>
        <v>41758.47778722674</v>
      </c>
      <c r="G31" s="70">
        <f>IFERROR(IF(E31="","",'PyG 3 Años'!$D$40-'PyG 3 Años'!$D$45+'PyG 3 Años'!$D$35+'PyG 3 Años'!$D$36),"")</f>
        <v>45085.425008162165</v>
      </c>
      <c r="H31" s="62">
        <f>IFERROR(IF(OR(E31="",E31=0),"",G31/E31),"")</f>
        <v>1.9794612244725691</v>
      </c>
    </row>
    <row r="32">
      <c r="A32" s="41" t="n">
        <v>6</v>
      </c>
      <c r="B32" s="70">
        <f>IFERROR(IF(OR(6&gt;B22,F31=""),"",F31),"")</f>
        <v>41758.47778722674</v>
      </c>
      <c r="C32" s="70">
        <f>IFERROR(IF(OR(6&gt;B22,B32=""),"",B32*B21),"")</f>
        <v>2505.5086672336042</v>
      </c>
      <c r="D32" s="70">
        <f>IFERROR(IF(OR(6&gt;B22,B32=""),"",IF(6&lt;=B23,0,MIN(B32,B24-C32))),"")</f>
        <v>20271.105721954675</v>
      </c>
      <c r="E32" s="70">
        <f>IFERROR(IF(C32="","",C32+D32),"")</f>
        <v>22776.61438918828</v>
      </c>
      <c r="F32" s="70">
        <f>IFERROR(IF(D32="","",B32-D32),"")</f>
        <v>21487.372065272062</v>
      </c>
      <c r="G32" s="70">
        <f>IFERROR(IF(E32="","",'PyG 3 Años'!$D$40-'PyG 3 Años'!$D$45+'PyG 3 Años'!$D$35+'PyG 3 Años'!$D$36),"")</f>
        <v>45085.425008162165</v>
      </c>
      <c r="H32" s="62">
        <f>IFERROR(IF(OR(E32="",E32=0),"",G32/E32),"")</f>
        <v>1.9794612244725691</v>
      </c>
    </row>
    <row r="33">
      <c r="A33" s="41" t="n">
        <v>7</v>
      </c>
      <c r="B33" s="70">
        <f>IFERROR(IF(OR(7&gt;B22,F32=""),"",F32),"")</f>
        <v>21487.372065272062</v>
      </c>
      <c r="C33" s="70">
        <f>IFERROR(IF(OR(7&gt;B22,B33=""),"",B33*B21),"")</f>
        <v>1289.2423239163236</v>
      </c>
      <c r="D33" s="70">
        <f>IFERROR(IF(OR(7&gt;B22,B33=""),"",IF(7&lt;=B23,0,MIN(B33,B24-C33))),"")</f>
        <v>21487.372065271957</v>
      </c>
      <c r="E33" s="70">
        <f>IFERROR(IF(C33="","",C33+D33),"")</f>
        <v>22776.614389188282</v>
      </c>
      <c r="F33" s="70">
        <f>IFERROR(IF(D33="","",B33-D33),"")</f>
        <v>1.0550138540565968e-10</v>
      </c>
      <c r="G33" s="70">
        <f>IFERROR(IF(E33="","",'PyG 3 Años'!$D$40-'PyG 3 Años'!$D$45+'PyG 3 Años'!$D$35+'PyG 3 Años'!$D$36),"")</f>
        <v>45085.425008162165</v>
      </c>
      <c r="H33" s="62">
        <f>IFERROR(IF(OR(E33="",E33=0),"",G33/E33),"")</f>
        <v>1.9794612244725687</v>
      </c>
    </row>
    <row r="34">
      <c r="A34" s="41" t="n">
        <v>8</v>
      </c>
      <c r="B34" s="70">
        <f>IFERROR(IF(OR(8&gt;B22,F33=""),"",F33),"")</f>
        <v/>
      </c>
      <c r="C34" s="70">
        <f>IFERROR(IF(OR(8&gt;B22,B34=""),"",B34*B21),"")</f>
        <v/>
      </c>
      <c r="D34" s="70">
        <f>IFERROR(IF(OR(8&gt;B22,B34=""),"",IF(8&lt;=B23,0,MIN(B34,B24-C34))),"")</f>
        <v/>
      </c>
      <c r="E34" s="70">
        <f>IFERROR(IF(C34="","",C34+D34),"")</f>
        <v/>
      </c>
      <c r="F34" s="70">
        <f>IFERROR(IF(D34="","",B34-D34),"")</f>
        <v/>
      </c>
      <c r="G34" s="70">
        <f>IFERROR(IF(E34="","",'PyG 3 Años'!$D$40-'PyG 3 Años'!$D$45+'PyG 3 Años'!$D$35+'PyG 3 Años'!$D$36),"")</f>
        <v/>
      </c>
      <c r="H34" s="62">
        <f>IFERROR(IF(OR(E34="",E34=0),"",G34/E34),"")</f>
        <v/>
      </c>
    </row>
    <row r="35">
      <c r="A35" s="41" t="n">
        <v>9</v>
      </c>
      <c r="B35" s="70">
        <f>IFERROR(IF(OR(9&gt;B22,F34=""),"",F34),"")</f>
        <v/>
      </c>
      <c r="C35" s="70">
        <f>IFERROR(IF(OR(9&gt;B22,B35=""),"",B35*B21),"")</f>
        <v/>
      </c>
      <c r="D35" s="70">
        <f>IFERROR(IF(OR(9&gt;B22,B35=""),"",IF(9&lt;=B23,0,MIN(B35,B24-C35))),"")</f>
        <v/>
      </c>
      <c r="E35" s="70">
        <f>IFERROR(IF(C35="","",C35+D35),"")</f>
        <v/>
      </c>
      <c r="F35" s="70">
        <f>IFERROR(IF(D35="","",B35-D35),"")</f>
        <v/>
      </c>
      <c r="G35" s="70">
        <f>IFERROR(IF(E35="","",'PyG 3 Años'!$D$40-'PyG 3 Años'!$D$45+'PyG 3 Años'!$D$35+'PyG 3 Años'!$D$36),"")</f>
        <v/>
      </c>
      <c r="H35" s="62">
        <f>IFERROR(IF(OR(E35="",E35=0),"",G35/E35),"")</f>
        <v/>
      </c>
    </row>
    <row r="36">
      <c r="A36" s="41" t="n">
        <v>10</v>
      </c>
      <c r="B36" s="70">
        <f>IFERROR(IF(OR(10&gt;B22,F35=""),"",F35),"")</f>
        <v/>
      </c>
      <c r="C36" s="70">
        <f>IFERROR(IF(OR(10&gt;B22,B36=""),"",B36*B21),"")</f>
        <v/>
      </c>
      <c r="D36" s="70">
        <f>IFERROR(IF(OR(10&gt;B22,B36=""),"",IF(10&lt;=B23,0,MIN(B36,B24-C36))),"")</f>
        <v/>
      </c>
      <c r="E36" s="70">
        <f>IFERROR(IF(C36="","",C36+D36),"")</f>
        <v/>
      </c>
      <c r="F36" s="70">
        <f>IFERROR(IF(D36="","",B36-D36),"")</f>
        <v/>
      </c>
      <c r="G36" s="70">
        <f>IFERROR(IF(E36="","",'PyG 3 Años'!$D$40-'PyG 3 Años'!$D$45+'PyG 3 Años'!$D$35+'PyG 3 Años'!$D$36),"")</f>
        <v/>
      </c>
      <c r="H36" s="62">
        <f>IFERROR(IF(OR(E36="",E36=0),"",G36/E36),"")</f>
        <v/>
      </c>
    </row>
    <row r="37">
      <c r="A37" s="41" t="n">
        <v>11</v>
      </c>
      <c r="B37" s="70">
        <f>IFERROR(IF(OR(11&gt;B22,F36=""),"",F36),"")</f>
        <v/>
      </c>
      <c r="C37" s="70">
        <f>IFERROR(IF(OR(11&gt;B22,B37=""),"",B37*B21),"")</f>
        <v/>
      </c>
      <c r="D37" s="70">
        <f>IFERROR(IF(OR(11&gt;B22,B37=""),"",IF(11&lt;=B23,0,MIN(B37,B24-C37))),"")</f>
        <v/>
      </c>
      <c r="E37" s="70">
        <f>IFERROR(IF(C37="","",C37+D37),"")</f>
        <v/>
      </c>
      <c r="F37" s="70">
        <f>IFERROR(IF(D37="","",B37-D37),"")</f>
        <v/>
      </c>
      <c r="G37" s="70">
        <f>IFERROR(IF(E37="","",'PyG 3 Años'!$D$40-'PyG 3 Años'!$D$45+'PyG 3 Años'!$D$35+'PyG 3 Años'!$D$36),"")</f>
        <v/>
      </c>
      <c r="H37" s="62">
        <f>IFERROR(IF(OR(E37="",E37=0),"",G37/E37),"")</f>
        <v/>
      </c>
    </row>
    <row r="38">
      <c r="A38" s="41" t="n">
        <v>12</v>
      </c>
      <c r="B38" s="70">
        <f>IFERROR(IF(OR(12&gt;B22,F37=""),"",F37),"")</f>
        <v/>
      </c>
      <c r="C38" s="70">
        <f>IFERROR(IF(OR(12&gt;B22,B38=""),"",B38*B21),"")</f>
        <v/>
      </c>
      <c r="D38" s="70">
        <f>IFERROR(IF(OR(12&gt;B22,B38=""),"",IF(12&lt;=B23,0,MIN(B38,B24-C38))),"")</f>
        <v/>
      </c>
      <c r="E38" s="70">
        <f>IFERROR(IF(C38="","",C38+D38),"")</f>
        <v/>
      </c>
      <c r="F38" s="70">
        <f>IFERROR(IF(D38="","",B38-D38),"")</f>
        <v/>
      </c>
      <c r="G38" s="70">
        <f>IFERROR(IF(E38="","",'PyG 3 Años'!$D$40-'PyG 3 Años'!$D$45+'PyG 3 Años'!$D$35+'PyG 3 Años'!$D$36),"")</f>
        <v/>
      </c>
      <c r="H38" s="62">
        <f>IFERROR(IF(OR(E38="",E38=0),"",G38/E38),"")</f>
        <v/>
      </c>
    </row>
    <row r="39">
      <c r="A39" s="41" t="n">
        <v>13</v>
      </c>
      <c r="B39" s="70">
        <f>IFERROR(IF(OR(13&gt;B22,F38=""),"",F38),"")</f>
        <v/>
      </c>
      <c r="C39" s="70">
        <f>IFERROR(IF(OR(13&gt;B22,B39=""),"",B39*B21),"")</f>
        <v/>
      </c>
      <c r="D39" s="70">
        <f>IFERROR(IF(OR(13&gt;B22,B39=""),"",IF(13&lt;=B23,0,MIN(B39,B24-C39))),"")</f>
        <v/>
      </c>
      <c r="E39" s="70">
        <f>IFERROR(IF(C39="","",C39+D39),"")</f>
        <v/>
      </c>
      <c r="F39" s="70">
        <f>IFERROR(IF(D39="","",B39-D39),"")</f>
        <v/>
      </c>
      <c r="G39" s="70">
        <f>IFERROR(IF(E39="","",'PyG 3 Años'!$D$40-'PyG 3 Años'!$D$45+'PyG 3 Años'!$D$35+'PyG 3 Años'!$D$36),"")</f>
        <v/>
      </c>
      <c r="H39" s="62">
        <f>IFERROR(IF(OR(E39="",E39=0),"",G39/E39),"")</f>
        <v/>
      </c>
    </row>
    <row r="40">
      <c r="A40" s="41" t="n">
        <v>14</v>
      </c>
      <c r="B40" s="70">
        <f>IFERROR(IF(OR(14&gt;B22,F39=""),"",F39),"")</f>
        <v/>
      </c>
      <c r="C40" s="70">
        <f>IFERROR(IF(OR(14&gt;B22,B40=""),"",B40*B21),"")</f>
        <v/>
      </c>
      <c r="D40" s="70">
        <f>IFERROR(IF(OR(14&gt;B22,B40=""),"",IF(14&lt;=B23,0,MIN(B40,B24-C40))),"")</f>
        <v/>
      </c>
      <c r="E40" s="70">
        <f>IFERROR(IF(C40="","",C40+D40),"")</f>
        <v/>
      </c>
      <c r="F40" s="70">
        <f>IFERROR(IF(D40="","",B40-D40),"")</f>
        <v/>
      </c>
      <c r="G40" s="70">
        <f>IFERROR(IF(E40="","",'PyG 3 Años'!$D$40-'PyG 3 Años'!$D$45+'PyG 3 Años'!$D$35+'PyG 3 Años'!$D$36),"")</f>
        <v/>
      </c>
      <c r="H40" s="62">
        <f>IFERROR(IF(OR(E40="",E40=0),"",G40/E40),"")</f>
        <v/>
      </c>
    </row>
    <row r="41">
      <c r="A41" s="41" t="n">
        <v>15</v>
      </c>
      <c r="B41" s="70">
        <f>IFERROR(IF(OR(15&gt;B22,F40=""),"",F40),"")</f>
        <v/>
      </c>
      <c r="C41" s="70">
        <f>IFERROR(IF(OR(15&gt;B22,B41=""),"",B41*B21),"")</f>
        <v/>
      </c>
      <c r="D41" s="70">
        <f>IFERROR(IF(OR(15&gt;B22,B41=""),"",IF(15&lt;=B23,0,MIN(B41,B24-C41))),"")</f>
        <v/>
      </c>
      <c r="E41" s="70">
        <f>IFERROR(IF(C41="","",C41+D41),"")</f>
        <v/>
      </c>
      <c r="F41" s="70">
        <f>IFERROR(IF(D41="","",B41-D41),"")</f>
        <v/>
      </c>
      <c r="G41" s="70">
        <f>IFERROR(IF(E41="","",'PyG 3 Años'!$D$40-'PyG 3 Años'!$D$45+'PyG 3 Años'!$D$35+'PyG 3 Años'!$D$36),"")</f>
        <v/>
      </c>
      <c r="H41" s="62">
        <f>IFERROR(IF(OR(E41="",E41=0),"",G41/E41),"")</f>
        <v/>
      </c>
    </row>
    <row r="42">
      <c r="A42" s="29" t="inlineStr">
        <is>
          <t>Tolerancia de cierre del cuadro (€)</t>
        </is>
      </c>
      <c r="B42" s="73" t="n">
        <v>0.01</v>
      </c>
      <c r="C42" s="29" t="inlineStr">
        <is>
          <t>Margen por redondeo. Por encima, el cuadro no cierra y hay capital sin devolver</t>
        </is>
      </c>
      <c r="D42" s="29" t="n"/>
      <c r="E42" s="29" t="n"/>
      <c r="F42" s="29" t="n"/>
      <c r="G42" s="29" t="n"/>
      <c r="H42" s="29" t="n"/>
    </row>
    <row r="43">
      <c r="A43" s="29" t="inlineStr">
        <is>
          <t>Capital pendiente al vencimiento</t>
        </is>
      </c>
      <c r="B43" s="70">
        <f>IFERROR(IF(B20="","",ROUND(B20-SUM(D27:D41),2)),"")</f>
        <v>0.0</v>
      </c>
      <c r="C43" s="29" t="inlineStr">
        <is>
          <t>Tiene que ser cero: el principal devuelto en el cuadro tiene que ser el prestado. Si sale positivo, el plazo no llega</t>
        </is>
      </c>
      <c r="D43" s="29" t="n"/>
      <c r="E43" s="29" t="n"/>
      <c r="F43" s="29" t="n"/>
      <c r="G43" s="29" t="n"/>
      <c r="H43" s="29" t="n"/>
    </row>
    <row r="44">
      <c r="A44" s="29" t="inlineStr">
        <is>
          <t>Intereses del año 1</t>
        </is>
      </c>
      <c r="B44" s="33">
        <f>IFERROR(IF(B20="","",IF(C27="",0,C27)),"")</f>
        <v>6720.0</v>
      </c>
      <c r="C44" s="29" t="n"/>
      <c r="D44" s="29" t="n"/>
      <c r="E44" s="29" t="n"/>
      <c r="F44" s="29" t="n"/>
      <c r="G44" s="29" t="n"/>
      <c r="H44" s="29" t="n"/>
    </row>
    <row r="45">
      <c r="A45" s="29" t="inlineStr">
        <is>
          <t>Devolución de principal del año 1</t>
        </is>
      </c>
      <c r="B45" s="33">
        <f>IFERROR(IF(B20="","",IF(D27="",0,D27)),"")</f>
        <v>0.0</v>
      </c>
      <c r="C45" s="29" t="n"/>
      <c r="D45" s="29" t="n"/>
      <c r="E45" s="29" t="n"/>
      <c r="F45" s="29" t="n"/>
      <c r="G45" s="29" t="n"/>
      <c r="H45" s="29" t="n"/>
    </row>
    <row r="46">
      <c r="A46" s="29" t="inlineStr">
        <is>
          <t>Intereses del año 2</t>
        </is>
      </c>
      <c r="B46" s="33">
        <f>IFERROR(IF(B20="","",IF(C28="",0,C28)),"")</f>
        <v>6720.0</v>
      </c>
      <c r="C46" s="29" t="n"/>
      <c r="D46" s="29" t="n"/>
      <c r="E46" s="29" t="n"/>
      <c r="F46" s="29" t="n"/>
      <c r="G46" s="29" t="n"/>
      <c r="H46" s="29" t="n"/>
    </row>
    <row r="47">
      <c r="A47" s="29" t="inlineStr">
        <is>
          <t>Devolución de principal del año 2</t>
        </is>
      </c>
      <c r="B47" s="33">
        <f>IFERROR(IF(B20="","",IF(D28="",0,D28)),"")</f>
        <v>16056.614389188278</v>
      </c>
      <c r="C47" s="29" t="n"/>
      <c r="D47" s="29" t="n"/>
      <c r="E47" s="29" t="n"/>
      <c r="F47" s="29" t="n"/>
      <c r="G47" s="29" t="n"/>
      <c r="H47" s="29" t="n"/>
    </row>
    <row r="48">
      <c r="A48" s="29" t="inlineStr">
        <is>
          <t>Intereses del año 3</t>
        </is>
      </c>
      <c r="B48" s="33">
        <f>IFERROR(IF(B20="","",IF(C29="",0,C29)),"")</f>
        <v>5756.603136648703</v>
      </c>
      <c r="C48" s="29" t="n"/>
      <c r="D48" s="29" t="n"/>
      <c r="E48" s="29" t="n"/>
      <c r="F48" s="29" t="n"/>
      <c r="G48" s="29" t="n"/>
      <c r="H48" s="29" t="n"/>
    </row>
    <row r="49">
      <c r="A49" s="29" t="inlineStr">
        <is>
          <t>Devolución de principal del año 3</t>
        </is>
      </c>
      <c r="B49" s="33">
        <f>IFERROR(IF(B20="","",IF(D29="",0,D29)),"")</f>
        <v>17020.011252539574</v>
      </c>
      <c r="C49" s="29" t="n"/>
      <c r="D49" s="29" t="n"/>
      <c r="E49" s="29" t="n"/>
      <c r="F49" s="29" t="n"/>
      <c r="G49" s="29" t="n"/>
      <c r="H49" s="29" t="n"/>
    </row>
    <row r="50">
      <c r="A50" s="26" t="inlineStr">
        <is>
          <t>COBERTURA DEL SERVICIO DE LA DEUDA (DSCR)</t>
        </is>
      </c>
      <c r="B50" s="29" t="n"/>
      <c r="C50" s="29" t="n"/>
      <c r="D50" s="29" t="n"/>
      <c r="E50" s="29" t="n"/>
      <c r="F50" s="29" t="n"/>
      <c r="G50" s="29" t="n"/>
      <c r="H50" s="29" t="n"/>
    </row>
    <row r="51">
      <c r="A51" s="29" t="inlineStr">
        <is>
          <t>DSCR del año 1</t>
        </is>
      </c>
      <c r="B51" s="62">
        <f>IFERROR(('PyG 3 Años'!$B$40-'PyG 3 Años'!$B$45+'PyG 3 Años'!$B$35+B44)/(B44+B45),"")</f>
        <v>6.069093154761906</v>
      </c>
      <c r="C51" s="29" t="inlineStr">
        <is>
          <t>Año de CARENCIA si la hay: con sólo intereses en el denominador el ratio se dispara y no mide el negocio</t>
        </is>
      </c>
      <c r="D51" s="29" t="n"/>
      <c r="E51" s="29" t="n"/>
      <c r="F51" s="29" t="n"/>
      <c r="G51" s="29" t="n"/>
      <c r="H51" s="29" t="n"/>
    </row>
    <row r="52">
      <c r="A52" s="29" t="inlineStr">
        <is>
          <t>DSCR del año 2</t>
        </is>
      </c>
      <c r="B52" s="62">
        <f>IFERROR(('PyG 3 Años'!$C$40-'PyG 3 Años'!$C$45+'PyG 3 Años'!$C$35+B46)/(B46+B47),"")</f>
        <v>2.04969743888542</v>
      </c>
      <c r="C52" s="29" t="n"/>
      <c r="D52" s="29" t="n"/>
      <c r="E52" s="29" t="n"/>
      <c r="F52" s="29" t="n"/>
      <c r="G52" s="29" t="n"/>
      <c r="H52" s="29" t="n"/>
    </row>
    <row r="53">
      <c r="A53" s="29" t="inlineStr">
        <is>
          <t>DSCR del año 3</t>
        </is>
      </c>
      <c r="B53" s="62">
        <f>IFERROR(('PyG 3 Años'!$D$40-'PyG 3 Años'!$D$45+'PyG 3 Años'!$D$35+B48)/(B48+B49),"")</f>
        <v>1.9794612244725691</v>
      </c>
      <c r="C53" s="29" t="n"/>
      <c r="D53" s="29" t="n"/>
      <c r="E53" s="29" t="n"/>
      <c r="F53" s="29" t="n"/>
      <c r="G53" s="29" t="n"/>
      <c r="H53" s="29" t="n"/>
    </row>
    <row r="54">
      <c r="A54" s="26" t="inlineStr">
        <is>
          <t>DSCR mínimo de todo el cuadro</t>
        </is>
      </c>
      <c r="B54" s="55">
        <f>IFERROR(IF(COUNT(H27:H41)=0,"",MIN(H27:H41)),"")</f>
        <v>1.9794612244725687</v>
      </c>
      <c r="C54" s="26"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9" t="n"/>
      <c r="E54" s="29" t="n"/>
      <c r="F54" s="29" t="n"/>
      <c r="G54" s="29" t="n"/>
      <c r="H54" s="29" t="n"/>
    </row>
    <row r="55">
      <c r="A55" s="29" t="n"/>
      <c r="B55" s="29" t="n"/>
      <c r="C55" s="29" t="n"/>
      <c r="D55" s="29" t="n"/>
      <c r="E55" s="29" t="n"/>
      <c r="F55" s="29" t="n"/>
      <c r="G55" s="29" t="n"/>
      <c r="H55" s="29" t="n"/>
    </row>
    <row r="56" ht="165" customHeight="1">
      <c r="A56" s="48"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9" t="n"/>
      <c r="C56" s="29" t="n"/>
      <c r="D56" s="29" t="n"/>
      <c r="E56" s="29" t="n"/>
      <c r="F56" s="29" t="n"/>
      <c r="G56" s="29" t="n"/>
      <c r="H56" s="29" t="n"/>
    </row>
    <row r="57">
      <c r="A57" s="29" t="n"/>
      <c r="B57" s="29" t="n"/>
      <c r="C57" s="29" t="n"/>
      <c r="D57" s="29" t="n"/>
      <c r="E57" s="29" t="n"/>
      <c r="F57" s="29" t="n"/>
      <c r="G57" s="29" t="n"/>
      <c r="H57" s="29" t="n"/>
    </row>
    <row r="58">
      <c r="A58" s="29" t="n"/>
      <c r="B58" s="29" t="n"/>
      <c r="C58" s="29" t="n"/>
      <c r="D58" s="29" t="n"/>
      <c r="E58" s="29" t="n"/>
      <c r="F58" s="29" t="n"/>
      <c r="G58" s="29" t="n"/>
      <c r="H58" s="29" t="n"/>
    </row>
    <row r="59">
      <c r="A59" s="29" t="n"/>
      <c r="B59" s="29" t="n"/>
      <c r="C59" s="29" t="n"/>
      <c r="D59" s="29" t="n"/>
      <c r="E59" s="29" t="n"/>
      <c r="F59" s="29" t="n"/>
      <c r="G59" s="29" t="n"/>
      <c r="H59" s="29" t="n"/>
    </row>
    <row r="60">
      <c r="A60" s="29" t="n"/>
      <c r="B60" s="29" t="n"/>
      <c r="C60" s="29" t="n"/>
      <c r="D60" s="29" t="n"/>
      <c r="E60" s="29" t="n"/>
      <c r="F60" s="29" t="n"/>
      <c r="G60" s="29" t="n"/>
      <c r="H60" s="29" t="n"/>
    </row>
    <row r="61">
      <c r="A61" s="29" t="n"/>
      <c r="B61" s="29" t="n"/>
      <c r="C61" s="29" t="n"/>
      <c r="D61" s="29" t="n"/>
      <c r="E61" s="29" t="n"/>
      <c r="F61" s="29" t="n"/>
      <c r="G61" s="29" t="n"/>
      <c r="H61" s="29" t="n"/>
    </row>
    <row r="62">
      <c r="A62" s="29" t="n"/>
      <c r="B62" s="29" t="n"/>
      <c r="C62" s="29" t="n"/>
      <c r="D62" s="29" t="n"/>
      <c r="E62" s="29" t="n"/>
      <c r="F62" s="29" t="n"/>
      <c r="G62" s="29" t="n"/>
      <c r="H62" s="29" t="n"/>
    </row>
    <row r="63">
      <c r="A63" s="29" t="n"/>
      <c r="B63" s="29" t="n"/>
      <c r="C63" s="29" t="n"/>
      <c r="D63" s="29" t="n"/>
      <c r="E63" s="29" t="n"/>
      <c r="F63" s="29" t="n"/>
      <c r="G63" s="29" t="n"/>
      <c r="H63" s="29" t="n"/>
    </row>
    <row r="64">
      <c r="A64" s="29" t="n"/>
      <c r="B64" s="29" t="n"/>
      <c r="C64" s="29" t="n"/>
      <c r="D64" s="29" t="n"/>
      <c r="E64" s="29" t="n"/>
      <c r="F64" s="29" t="n"/>
      <c r="G64" s="29" t="n"/>
      <c r="H64" s="29" t="n"/>
    </row>
    <row r="65">
      <c r="A65" s="29" t="n"/>
      <c r="B65" s="29" t="n"/>
      <c r="C65" s="29" t="n"/>
      <c r="D65" s="29" t="n"/>
      <c r="E65" s="29" t="n"/>
      <c r="F65" s="29" t="n"/>
      <c r="G65" s="29" t="n"/>
      <c r="H65" s="29" t="n"/>
    </row>
    <row r="66">
      <c r="A66" s="29" t="n"/>
      <c r="B66" s="29" t="n"/>
      <c r="C66" s="29" t="n"/>
      <c r="D66" s="29" t="n"/>
      <c r="E66" s="29" t="n"/>
      <c r="F66" s="29" t="n"/>
      <c r="G66" s="29" t="n"/>
      <c r="H66" s="29" t="n"/>
    </row>
    <row r="67">
      <c r="A67" s="29" t="n"/>
      <c r="B67" s="29" t="n"/>
      <c r="C67" s="29" t="n"/>
      <c r="D67" s="29" t="n"/>
      <c r="E67" s="29" t="n"/>
      <c r="F67" s="29" t="n"/>
      <c r="G67" s="29" t="n"/>
      <c r="H67" s="29" t="n"/>
    </row>
    <row r="68">
      <c r="A68" s="29" t="n"/>
      <c r="B68" s="29" t="n"/>
      <c r="C68" s="29" t="n"/>
      <c r="D68" s="29" t="n"/>
      <c r="E68" s="29" t="n"/>
      <c r="F68" s="29" t="n"/>
      <c r="G68" s="29" t="n"/>
      <c r="H68" s="29" t="n"/>
    </row>
    <row r="69">
      <c r="A69" s="29" t="n"/>
      <c r="B69" s="29" t="n"/>
      <c r="C69" s="29" t="n"/>
      <c r="D69" s="29" t="n"/>
      <c r="E69" s="29" t="n"/>
      <c r="F69" s="29" t="n"/>
      <c r="G69" s="29" t="n"/>
      <c r="H69" s="29" t="n"/>
    </row>
    <row r="70">
      <c r="A70" s="29" t="n"/>
      <c r="B70" s="29" t="n"/>
      <c r="C70" s="29" t="n"/>
      <c r="D70" s="29" t="n"/>
      <c r="E70" s="29" t="n"/>
      <c r="F70" s="29" t="n"/>
      <c r="G70" s="29" t="n"/>
      <c r="H70" s="29" t="n"/>
    </row>
    <row r="71">
      <c r="A71" s="29" t="n"/>
      <c r="B71" s="29" t="n"/>
      <c r="C71" s="29" t="n"/>
      <c r="D71" s="29" t="n"/>
      <c r="E71" s="29" t="n"/>
      <c r="F71" s="29" t="n"/>
      <c r="G71" s="29" t="n"/>
      <c r="H71" s="29" t="n"/>
    </row>
    <row r="72">
      <c r="A72" s="29" t="n"/>
      <c r="B72" s="29" t="n"/>
      <c r="C72" s="29" t="n"/>
      <c r="D72" s="29" t="n"/>
      <c r="E72" s="29" t="n"/>
      <c r="F72" s="29" t="n"/>
      <c r="G72" s="29" t="n"/>
      <c r="H72" s="29" t="n"/>
    </row>
    <row r="73">
      <c r="A73" s="29" t="n"/>
      <c r="B73" s="29" t="n"/>
      <c r="C73" s="29" t="n"/>
      <c r="D73" s="29" t="n"/>
      <c r="E73" s="29" t="n"/>
      <c r="F73" s="29" t="n"/>
      <c r="G73" s="29" t="n"/>
      <c r="H73" s="29" t="n"/>
    </row>
    <row r="74">
      <c r="A74" s="29" t="n"/>
      <c r="B74" s="29" t="n"/>
      <c r="C74" s="29" t="n"/>
      <c r="D74" s="29" t="n"/>
      <c r="E74" s="29" t="n"/>
      <c r="F74" s="29" t="n"/>
      <c r="G74" s="29" t="n"/>
      <c r="H74" s="29" t="n"/>
    </row>
    <row r="75">
      <c r="A75" s="29" t="n"/>
      <c r="B75" s="29" t="n"/>
      <c r="C75" s="29" t="n"/>
      <c r="D75" s="29" t="n"/>
      <c r="E75" s="29" t="n"/>
      <c r="F75" s="29" t="n"/>
      <c r="G75" s="29" t="n"/>
      <c r="H75" s="29" t="n"/>
    </row>
    <row r="76">
      <c r="A76" s="29" t="n"/>
      <c r="B76" s="29" t="n"/>
      <c r="C76" s="29" t="n"/>
      <c r="D76" s="29" t="n"/>
      <c r="E76" s="29" t="n"/>
      <c r="F76" s="29" t="n"/>
      <c r="G76" s="29" t="n"/>
      <c r="H76" s="29" t="n"/>
    </row>
    <row r="77">
      <c r="A77" s="29" t="n"/>
      <c r="B77" s="29" t="n"/>
      <c r="C77" s="29" t="n"/>
      <c r="D77" s="29" t="n"/>
      <c r="E77" s="29" t="n"/>
      <c r="F77" s="29" t="n"/>
      <c r="G77" s="29" t="n"/>
      <c r="H77" s="29" t="n"/>
    </row>
    <row r="78">
      <c r="A78" s="29" t="n"/>
      <c r="B78" s="29" t="n"/>
      <c r="C78" s="29" t="n"/>
      <c r="D78" s="29" t="n"/>
      <c r="E78" s="29" t="n"/>
      <c r="F78" s="29" t="n"/>
      <c r="G78" s="29" t="n"/>
      <c r="H78" s="29" t="n"/>
    </row>
    <row r="79">
      <c r="A79" s="29" t="n"/>
      <c r="B79" s="29" t="n"/>
      <c r="C79" s="29" t="n"/>
      <c r="D79" s="29" t="n"/>
      <c r="E79" s="29" t="n"/>
      <c r="F79" s="29" t="n"/>
      <c r="G79" s="29" t="n"/>
      <c r="H79" s="29" t="n"/>
    </row>
    <row r="80">
      <c r="A80" s="29" t="n"/>
      <c r="B80" s="29" t="n"/>
      <c r="C80" s="29" t="n"/>
      <c r="D80" s="29" t="n"/>
      <c r="E80" s="29" t="n"/>
      <c r="F80" s="29" t="n"/>
      <c r="G80" s="29" t="n"/>
      <c r="H80" s="29"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Pollería y Asador de Pollos · v1.0</dc:title>
  <dc:description xmlns:dc="http://purl.org/dc/elements/1.1/">aichef.pro/plan-negocio-polleria</dc:description>
  <dc:subject xmlns:dc="http://purl.org/dc/elements/1.1/">Plan financiero — Pollería y Asador de Pollos · v1.0</dc:subject>
  <dcterms:created xmlns:dcterms="http://purl.org/dc/terms/" xmlns:xsi="http://www.w3.org/2001/XMLSchema-instance" xsi:type="dcterms:W3CDTF">2026-03-26T14:15:52Z</dcterms:created>
  <dcterms:modified xmlns:dcterms="http://purl.org/dc/terms/" xmlns:xsi="http://www.w3.org/2001/XMLSchema-instance" xsi:type="dcterms:W3CDTF">2026-10-29T12:49:55Z</dcterms:modified>
  <cp:lastModifiedBy>AI Chef Pro</cp:lastModifiedBy>
  <cp:category>AI Chef Pro · Productos digitales</cp:category>
  <cp:keywords>plan de negocio pollería, asador de pollos, pollo a la brasa, AI Chef Pro</cp:keywords>
</cp:coreProperties>
</file>