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lo" sheetId="1" state="visible" r:id="rId1"/>
    <sheet xmlns:r="http://schemas.openxmlformats.org/officeDocument/2006/relationships" name="Asador" sheetId="2" state="visible" r:id="rId2"/>
    <sheet xmlns:r="http://schemas.openxmlformats.org/officeDocument/2006/relationships" name="Escandallo" sheetId="3" state="visible" r:id="rId3"/>
    <sheet xmlns:r="http://schemas.openxmlformats.org/officeDocument/2006/relationships" name="Instrucciones" sheetId="4" state="visible" r:id="rId4"/>
  </sheets>
  <definedNames/>
  <calcPr calcId="124519" fullCalcOnLoad="1"/>
</workbook>
</file>

<file path=xl/styles.xml><?xml version="1.0" encoding="utf-8"?>
<styleSheet xmlns="http://schemas.openxmlformats.org/spreadsheetml/2006/main">
  <numFmts count="7">
    <numFmt numFmtId="164" formatCode="#,##0.00 €"/>
    <numFmt numFmtId="165" formatCode="0.0%"/>
    <numFmt numFmtId="166" formatCode="#,##0.0"/>
    <numFmt numFmtId="167" formatCode="#,##0.000"/>
    <numFmt numFmtId="168" formatCode="#,##0.000 €"/>
    <numFmt numFmtId="169" formatCode="#,##0.0;-#,##0.0;&quot;-&quot;"/>
    <numFmt numFmtId="170" formatCode="#,##0.0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4"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165" fontId="2" fillId="3" borderId="0" applyAlignment="1" applyProtection="1" pivotButton="0" quotePrefix="0" xfId="0">
      <alignment vertical="top"/>
      <protection locked="0" hidden="0"/>
    </xf>
    <xf numFmtId="9" fontId="2" fillId="2" borderId="0" applyAlignment="1" pivotButton="0" quotePrefix="0" xfId="0">
      <alignment vertical="top"/>
    </xf>
    <xf numFmtId="3"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3" fontId="2" fillId="2" borderId="0" applyAlignment="1" pivotButton="0" quotePrefix="0" xfId="0">
      <alignment vertical="top"/>
    </xf>
    <xf numFmtId="0" fontId="3" fillId="0" borderId="0" applyAlignment="1" pivotButton="0" quotePrefix="0" xfId="0">
      <alignment vertical="top"/>
    </xf>
    <xf numFmtId="167" fontId="3" fillId="0" borderId="0" applyAlignment="1" pivotButton="0" quotePrefix="0" xfId="0">
      <alignment vertical="top"/>
    </xf>
    <xf numFmtId="167" fontId="2" fillId="0" borderId="0" applyAlignment="1" pivotButton="0" quotePrefix="0" xfId="0">
      <alignment vertical="top"/>
    </xf>
    <xf numFmtId="165" fontId="2" fillId="0" borderId="0" applyAlignment="1" pivotButton="0" quotePrefix="0" xfId="0">
      <alignment vertical="top"/>
    </xf>
    <xf numFmtId="165" fontId="3" fillId="0" borderId="0" applyAlignment="1" pivotButton="0" quotePrefix="0" xfId="0">
      <alignment vertical="top"/>
    </xf>
    <xf numFmtId="9" fontId="2" fillId="0" borderId="0" applyAlignment="1" pivotButton="0" quotePrefix="0" xfId="0">
      <alignment vertical="top"/>
    </xf>
    <xf numFmtId="168" fontId="3" fillId="0" borderId="0" applyAlignment="1" pivotButton="0" quotePrefix="0" xfId="0">
      <alignment vertical="top"/>
    </xf>
    <xf numFmtId="164" fontId="3" fillId="0" borderId="0" applyAlignment="1" pivotButton="0" quotePrefix="0" xfId="0">
      <alignment vertical="top"/>
    </xf>
    <xf numFmtId="166" fontId="2" fillId="0" borderId="0" applyAlignment="1" pivotButton="0" quotePrefix="0" xfId="0">
      <alignment vertical="top"/>
    </xf>
    <xf numFmtId="168" fontId="2" fillId="0" borderId="0" applyAlignment="1" pivotButton="0" quotePrefix="0" xfId="0">
      <alignment vertical="top"/>
    </xf>
    <xf numFmtId="3" fontId="3" fillId="0" borderId="0" applyAlignment="1" pivotButton="0" quotePrefix="0" xfId="0">
      <alignment vertical="top"/>
    </xf>
    <xf numFmtId="4" fontId="2" fillId="0" borderId="0" applyAlignment="1" pivotButton="0" quotePrefix="0" xfId="0">
      <alignment vertical="top"/>
    </xf>
    <xf numFmtId="164" fontId="2" fillId="0" borderId="0" applyAlignment="1" pivotButton="0" quotePrefix="0" xfId="0">
      <alignment vertical="top"/>
    </xf>
    <xf numFmtId="168" fontId="2" fillId="3" borderId="0" applyAlignment="1" applyProtection="1" pivotButton="0" quotePrefix="0" xfId="0">
      <alignment vertical="top"/>
      <protection locked="0" hidden="0"/>
    </xf>
    <xf numFmtId="166" fontId="3" fillId="0" borderId="0" applyAlignment="1" pivotButton="0" quotePrefix="0" xfId="0">
      <alignment vertical="top"/>
    </xf>
    <xf numFmtId="3" fontId="2" fillId="0" borderId="0" applyAlignment="1" pivotButton="0" quotePrefix="0" xfId="0">
      <alignment vertical="top"/>
    </xf>
    <xf numFmtId="0" fontId="3" fillId="0" borderId="0" applyAlignment="1" pivotButton="0" quotePrefix="0" xfId="0">
      <alignment vertical="top" wrapText="1"/>
    </xf>
    <xf numFmtId="0" fontId="3" fillId="3" borderId="0" applyAlignment="1" applyProtection="1" pivotButton="0" quotePrefix="0" xfId="0">
      <alignment vertical="top" wrapText="1"/>
      <protection locked="0" hidden="0"/>
    </xf>
    <xf numFmtId="164" fontId="3"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169" fontId="2" fillId="3" borderId="0" applyAlignment="1" applyProtection="1" pivotButton="0" quotePrefix="0" xfId="0">
      <alignment vertical="top"/>
      <protection locked="0" hidden="0"/>
    </xf>
    <xf numFmtId="0" fontId="4" fillId="0" borderId="0" applyAlignment="1" pivotButton="0" quotePrefix="0" xfId="0">
      <alignment vertical="top"/>
    </xf>
    <xf numFmtId="170" fontId="2" fillId="3" borderId="0" applyAlignment="1" applyProtection="1" pivotButton="0" quotePrefix="0" xfId="0">
      <alignment vertical="top"/>
      <protection locked="0" hidden="0"/>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4"/>
  <sheetViews>
    <sheetView showGridLines="0" workbookViewId="0">
      <selection activeCell="A1" sqref="A1"/>
    </sheetView>
  </sheetViews>
  <sheetFormatPr baseColWidth="8" defaultRowHeight="15"/>
  <cols>
    <col width="58"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CALCULADORA DEL POLLO — CUÁNTO PESA ASADO, CUÁNTO CUESTA Y CUÁNTOS POLLOS NECESITAS</t>
        </is>
      </c>
    </row>
    <row r="2" ht="32" customHeight="1">
      <c r="A2" s="2" t="inlineStr">
        <is>
          <t>Escribe solo en las celdas VERDES: todo lo demás se calcula. Importes sin IVA. Todos los valores por defecto son una estimación del kit, editable: cámbialos por los de tu proveedor y, sobre todo, por lo que midas en tus propios pollos.</t>
        </is>
      </c>
    </row>
    <row r="3" ht="36" customHeight="1">
      <c r="A3" s="3" t="inlineStr">
        <is>
          <t>AVISO FIJO. El rendimiento del asado (76 %) es una estimación del kit; la referencia del USDA es 78 %, con un rango de 68 a 84 %. Pesa 5 pollos crudos y asados de la misma carga, y ajusta el rendimiento hasta que coincida con lo que mides.</t>
        </is>
      </c>
    </row>
    <row r="5">
      <c r="A5" s="4" t="inlineStr">
        <is>
          <t>A. EL POLLO</t>
        </is>
      </c>
      <c r="B5" s="4" t="inlineStr">
        <is>
          <t>Valor</t>
        </is>
      </c>
      <c r="C5" s="4" t="inlineStr">
        <is>
          <t>Notas</t>
        </is>
      </c>
    </row>
    <row r="6" ht="30" customHeight="1">
      <c r="A6" s="5" t="inlineStr">
        <is>
          <t>Peso medio del pollo en canal (kg)</t>
        </is>
      </c>
      <c r="B6" s="6" t="n">
        <v>1.45</v>
      </c>
      <c r="C6" s="2" t="inlineStr">
        <is>
          <t>Pollo limpio de 1,4 a 1,5 kg: el calibre que pide el asador. Pésalo en la recepción. Estimación del kit, editable.</t>
        </is>
      </c>
    </row>
    <row r="7" ht="30" customHeight="1">
      <c r="A7" s="5" t="inlineStr">
        <is>
          <t>Precio del pollo en canal (€/kg, sin IVA)</t>
        </is>
      </c>
      <c r="B7" s="7" t="n">
        <v>3.05</v>
      </c>
      <c r="C7" s="2" t="inlineStr">
        <is>
          <t>Unos 2,96 € el kilo en origen y 3,25 € en Makro (octubre de 2026): el kit pone 3,05 €. Pon el de tu proveedor. Estimación del kit, editable.</t>
        </is>
      </c>
    </row>
    <row r="8" ht="16" customHeight="1">
      <c r="A8" s="5" t="inlineStr">
        <is>
          <t>Sazón, aceite y sal por pollo (€, sin IVA)</t>
        </is>
      </c>
      <c r="B8" s="7" t="n">
        <v>0.13</v>
      </c>
      <c r="C8" s="2" t="inlineStr">
        <is>
          <t>Adobo, aceite y sal de un pollo. Estimación del kit, editable.</t>
        </is>
      </c>
    </row>
    <row r="9" ht="30" customHeight="1">
      <c r="A9" s="5" t="inlineStr">
        <is>
          <t>Rendimiento del asado (peso asado ÷ peso en canal)</t>
        </is>
      </c>
      <c r="B9" s="8" t="n">
        <v>0.76</v>
      </c>
      <c r="C9" s="2" t="inlineStr">
        <is>
          <t>Lo que queda del pollo tras el asado, con hueso. Mídelo con 5 pollos de la misma carga (hoja «Instrucciones»). Estimación del kit, editable.</t>
        </is>
      </c>
    </row>
    <row r="10" ht="16" customHeight="1">
      <c r="A10" s="5" t="inlineStr">
        <is>
          <t>Referencia: rendimiento del pollo entero asado (USDA)</t>
        </is>
      </c>
      <c r="B10" s="9" t="n">
        <v>0.78</v>
      </c>
      <c r="C10" s="2" t="inlineStr">
        <is>
          <t>Referencia fija: el USDA da 78 % con un rango de 68 a 84 %. No se edita.</t>
        </is>
      </c>
    </row>
    <row r="11" ht="30" customHeight="1">
      <c r="A11" s="5" t="inlineStr">
        <is>
          <t>Personas que comen de un pollo</t>
        </is>
      </c>
      <c r="B11" s="10" t="n">
        <v>3</v>
      </c>
      <c r="C11" s="2" t="inlineStr">
        <is>
          <t>Número entero mayor que 0. Para un plato principal con guarnición suelen ser 3. Estimación del kit, editable.</t>
        </is>
      </c>
    </row>
    <row r="12" ht="16" customHeight="1">
      <c r="A12" s="5" t="inlineStr">
        <is>
          <t>Personas que quieres atender (encargo o evento)</t>
        </is>
      </c>
      <c r="B12" s="10" t="n">
        <v>40</v>
      </c>
      <c r="C12" s="2" t="inlineStr">
        <is>
          <t>Número entero mayor que 0. Te dice cuántos pollos pedir.</t>
        </is>
      </c>
    </row>
    <row r="13" ht="16" customHeight="1">
      <c r="A13" s="5" t="inlineStr">
        <is>
          <t>Pollos sobrantes al cierre</t>
        </is>
      </c>
      <c r="B13" s="11" t="n">
        <v>2</v>
      </c>
      <c r="C13" s="2" t="inlineStr">
        <is>
          <t>Pollos enteros que quedan sin vender al cerrar. Cuéntalos; por defecto 2. Estimación del kit, editable.</t>
        </is>
      </c>
    </row>
    <row r="14" ht="30" customHeight="1">
      <c r="A14" s="5" t="inlineStr">
        <is>
          <t>Parte del sobrante que se reaprovecha (%)</t>
        </is>
      </c>
      <c r="B14" s="8" t="n">
        <v>0.5</v>
      </c>
      <c r="C14" s="2" t="inlineStr">
        <is>
          <t>Croquetas, ensalada de pollo o relleno del día siguiente, tras el enfriado correcto. La parte que se tira cuesta dinero. Estimación del kit, editable.</t>
        </is>
      </c>
    </row>
    <row r="15" ht="16" customHeight="1">
      <c r="A15" s="5" t="inlineStr">
        <is>
          <t>Gramos por kilo (constante)</t>
        </is>
      </c>
      <c r="B15" s="12" t="n">
        <v>1000</v>
      </c>
      <c r="C15" s="2" t="inlineStr">
        <is>
          <t>Constante: un kilo son 1.000 gramos. No se edita.</t>
        </is>
      </c>
    </row>
    <row r="16" ht="16" customHeight="1">
      <c r="A16" s="5" t="inlineStr">
        <is>
          <t>Medios pollos que salen de un pollo (constante)</t>
        </is>
      </c>
      <c r="B16" s="12" t="n">
        <v>2</v>
      </c>
      <c r="C16" s="2" t="inlineStr">
        <is>
          <t>Constante: un pollo se parte en 2 mitades. No se edita.</t>
        </is>
      </c>
    </row>
    <row r="17" ht="16" customHeight="1">
      <c r="A17" s="5" t="inlineStr">
        <is>
          <t>Cuartos de pollo que salen de un pollo (constante)</t>
        </is>
      </c>
      <c r="B17" s="12" t="n">
        <v>4</v>
      </c>
      <c r="C17" s="2" t="inlineStr">
        <is>
          <t>Constante: un pollo se parte en 4 cuartos. No se edita.</t>
        </is>
      </c>
    </row>
    <row r="19">
      <c r="A19" s="4" t="inlineStr">
        <is>
          <t>RESULTADOS</t>
        </is>
      </c>
      <c r="B19" s="4" t="inlineStr">
        <is>
          <t>Valor</t>
        </is>
      </c>
      <c r="C19" s="4" t="inlineStr">
        <is>
          <t>Notas</t>
        </is>
      </c>
    </row>
    <row r="20" ht="16" customHeight="1">
      <c r="A20" s="13" t="inlineStr">
        <is>
          <t>PESO ASADO DE UN POLLO (kg)</t>
        </is>
      </c>
      <c r="B20" s="14">
        <f>$B$6*$B$9</f>
        <v>1.1019999999999999</v>
      </c>
      <c r="C20" s="2" t="inlineStr">
        <is>
          <t>Peso en canal × rendimiento.</t>
        </is>
      </c>
    </row>
    <row r="21" ht="16" customHeight="1">
      <c r="A21" s="5" t="inlineStr">
        <is>
          <t>Merma del asado (kg)</t>
        </is>
      </c>
      <c r="B21" s="15">
        <f>$B$6-$B$20</f>
        <v>0.3480000000000001</v>
      </c>
      <c r="C21" s="2" t="inlineStr">
        <is>
          <t>Agua, grasa y piel que se pierden en el asador.</t>
        </is>
      </c>
    </row>
    <row r="22" ht="16" customHeight="1">
      <c r="A22" s="5" t="inlineStr">
        <is>
          <t>Merma del asado (%)</t>
        </is>
      </c>
      <c r="B22" s="16">
        <f>$B$21/$B$6</f>
        <v>0.24000000000000007</v>
      </c>
      <c r="C22" s="2" t="inlineStr">
        <is>
          <t>Merma ÷ peso en canal.</t>
        </is>
      </c>
    </row>
    <row r="23" ht="16" customHeight="1">
      <c r="A23" s="13" t="inlineStr">
        <is>
          <t>RENDIMIENTO DEL POLLO (%)</t>
        </is>
      </c>
      <c r="B23" s="17">
        <f>$B$20/$B$6</f>
        <v>0.7599999999999999</v>
      </c>
      <c r="C23" s="2" t="inlineStr">
        <is>
          <t>Peso asado ÷ peso en canal.</t>
        </is>
      </c>
    </row>
    <row r="24" ht="16" customHeight="1">
      <c r="A24" s="5" t="inlineStr">
        <is>
          <t>Tu rendimiento frente a la referencia USDA (%)</t>
        </is>
      </c>
      <c r="B24" s="18">
        <f>$B$23/$B$10</f>
        <v>0.9743589743589742</v>
      </c>
      <c r="C24" s="2" t="inlineStr">
        <is>
          <t>Por debajo de 100 %: pierdes más que la referencia; mídelo otra vez.</t>
        </is>
      </c>
    </row>
    <row r="25" ht="16" customHeight="1">
      <c r="A25" s="13" t="inlineStr">
        <is>
          <t>COSTE POR POLLO ENTERO (€)</t>
        </is>
      </c>
      <c r="B25" s="19">
        <f>$B$6*$B$7+$B$8</f>
        <v>4.552499999999999</v>
      </c>
      <c r="C25" s="2" t="inlineStr">
        <is>
          <t>Peso en canal × precio por kilo + sazón. Alimenta el escandallo.</t>
        </is>
      </c>
    </row>
    <row r="26" ht="16" customHeight="1">
      <c r="A26" s="13" t="inlineStr">
        <is>
          <t>COSTE POR KG ASADO (€)</t>
        </is>
      </c>
      <c r="B26" s="20">
        <f>$B$25/$B$20</f>
        <v>4.131125226860254</v>
      </c>
      <c r="C26" s="2" t="inlineStr">
        <is>
          <t>Coste del pollo ÷ kilos asados.</t>
        </is>
      </c>
    </row>
    <row r="27" ht="16" customHeight="1">
      <c r="A27" s="5" t="inlineStr">
        <is>
          <t>Gramos asados del pollo entero (g)</t>
        </is>
      </c>
      <c r="B27" s="21">
        <f>$B$20*$B$15</f>
        <v>1101.9999999999998</v>
      </c>
      <c r="C27" s="2" t="inlineStr">
        <is>
          <t>Peso asado × 1.000.</t>
        </is>
      </c>
    </row>
    <row r="28" ht="16" customHeight="1">
      <c r="A28" s="5" t="inlineStr">
        <is>
          <t>Gramos asados de medio pollo (g)</t>
        </is>
      </c>
      <c r="B28" s="21">
        <f>$B$27/$B$16</f>
        <v>550.9999999999999</v>
      </c>
      <c r="C28" s="2" t="inlineStr">
        <is>
          <t>Pollo entero asado ÷ 2.</t>
        </is>
      </c>
    </row>
    <row r="29" ht="16" customHeight="1">
      <c r="A29" s="5" t="inlineStr">
        <is>
          <t>Gramos asados de un cuarto (g)</t>
        </is>
      </c>
      <c r="B29" s="21">
        <f>$B$27/$B$17</f>
        <v>275.49999999999994</v>
      </c>
      <c r="C29" s="2" t="inlineStr">
        <is>
          <t>Pollo entero asado ÷ 4.</t>
        </is>
      </c>
    </row>
    <row r="30" ht="16" customHeight="1">
      <c r="A30" s="5" t="inlineStr">
        <is>
          <t>Coste de medio pollo (€)</t>
        </is>
      </c>
      <c r="B30" s="22">
        <f>$B$25/$B$16</f>
        <v>2.2762499999999997</v>
      </c>
      <c r="C30" s="2" t="inlineStr">
        <is>
          <t>Coste del pollo ÷ 2.</t>
        </is>
      </c>
    </row>
    <row r="31" ht="16" customHeight="1">
      <c r="A31" s="5" t="inlineStr">
        <is>
          <t>Coste de un cuarto de pollo (€)</t>
        </is>
      </c>
      <c r="B31" s="22">
        <f>$B$25/$B$17</f>
        <v>1.1381249999999998</v>
      </c>
      <c r="C31" s="2" t="inlineStr">
        <is>
          <t>Coste del pollo ÷ 4.</t>
        </is>
      </c>
    </row>
    <row r="32" ht="16" customHeight="1">
      <c r="A32" s="13" t="inlineStr">
        <is>
          <t>POLLOS PARA LAS N PERSONAS (pollos)</t>
        </is>
      </c>
      <c r="B32" s="23">
        <f>ROUNDUP($B$12/$B$11,0)</f>
        <v>14.0</v>
      </c>
      <c r="C32" s="2" t="inlineStr">
        <is>
          <t>Personas ÷ personas por pollo, redondeado hacia arriba.</t>
        </is>
      </c>
    </row>
    <row r="33" ht="16" customHeight="1">
      <c r="A33" s="5" t="inlineStr">
        <is>
          <t>Kilos en canal que tienes que comprar (kg)</t>
        </is>
      </c>
      <c r="B33" s="24">
        <f>$B$32*$B$6</f>
        <v>20.3</v>
      </c>
      <c r="C33" s="2" t="inlineStr">
        <is>
          <t>Pollos × peso en canal.</t>
        </is>
      </c>
    </row>
    <row r="34" ht="16" customHeight="1">
      <c r="A34" s="5" t="inlineStr">
        <is>
          <t>Coste de los sobrantes que se tiran al cierre (€)</t>
        </is>
      </c>
      <c r="B34" s="25">
        <f>$B$13*(1-$B$14)*$B$25</f>
        <v>4.552499999999999</v>
      </c>
      <c r="C34" s="2" t="inlineStr">
        <is>
          <t>Sobrantes × parte que no se reaprovecha × coste del pollo.</t>
        </is>
      </c>
    </row>
  </sheetData>
  <sheetProtection selectLockedCells="0" selectUnlockedCells="0" sheet="1" objects="0" insertRows="1" insertHyperlinks="1" autoFilter="1" scenarios="0" formatColumns="1" deleteColumns="1" insertColumns="1" pivotTables="1" deleteRows="1" formatCells="1" formatRows="1" sort="1"/>
  <mergeCells count="29">
    <mergeCell ref="C23:I23"/>
    <mergeCell ref="C17:I17"/>
    <mergeCell ref="C8:I8"/>
    <mergeCell ref="C32:I32"/>
    <mergeCell ref="C7:I7"/>
    <mergeCell ref="A3:I3"/>
    <mergeCell ref="C28:I28"/>
    <mergeCell ref="C13:I13"/>
    <mergeCell ref="A2:I2"/>
    <mergeCell ref="C34:I34"/>
    <mergeCell ref="C6:I6"/>
    <mergeCell ref="C24:I24"/>
    <mergeCell ref="C30:I30"/>
    <mergeCell ref="C15:I15"/>
    <mergeCell ref="C33:I33"/>
    <mergeCell ref="C14:I14"/>
    <mergeCell ref="C26:I26"/>
    <mergeCell ref="C20:I20"/>
    <mergeCell ref="C29:I29"/>
    <mergeCell ref="C10:I10"/>
    <mergeCell ref="C16:I16"/>
    <mergeCell ref="C25:I25"/>
    <mergeCell ref="C31:I31"/>
    <mergeCell ref="C22:I22"/>
    <mergeCell ref="C9:I9"/>
    <mergeCell ref="C21:I21"/>
    <mergeCell ref="C12:I12"/>
    <mergeCell ref="C11:I11"/>
    <mergeCell ref="C27:I27"/>
  </mergeCells>
  <dataValidations count="5">
    <dataValidation sqref="B6 B7" showDropDown="0" showInputMessage="0" showErrorMessage="1" allowBlank="0" errorTitle="Valor no válido" error="Escribe un número mayor que 0." type="decimal" operator="greaterThan">
      <formula1>0</formula1>
    </dataValidation>
    <dataValidation sqref="B8 B13" showDropDown="0" showInputMessage="0" showErrorMessage="1" allowBlank="0" errorTitle="Valor no válido" error="Escribe un número mayor o igual que 0." type="decimal" operator="greaterThanOrEqual">
      <formula1>0</formula1>
    </dataValidation>
    <dataValidation sqref="B9" showDropDown="0" showInputMessage="0" showErrorMessage="1" allowBlank="0" errorTitle="Rendimiento no válido" error="Escribe entre 0,3 y 1 (0,76 = 76 %)." type="decimal" operator="between">
      <formula1>0.3</formula1>
      <formula2>1</formula2>
    </dataValidation>
    <dataValidation sqref="B14" showDropDown="0" showInputMessage="0" showErrorMessage="1" allowBlank="0" errorTitle="Porcentaje no válido" error="Escribe un porcentaje entre 0 y 1 (0,5 = 50 %)." type="decimal" operator="between">
      <formula1>0</formula1>
      <formula2>1</formula2>
    </dataValidation>
    <dataValidation sqref="B11 B12" showDropDown="0" showInputMessage="0" showErrorMessage="1" allowBlank="0" errorTitle="Número no válido" error="Escribe un número entero de 1 o más." type="whole" operator="between">
      <formula1>1</formula1>
      <formula2>1000000</formula2>
    </dataValidation>
  </dataValidations>
  <printOptions horizontalCentered="1"/>
  <pageMargins left="0.75" right="0.75" top="1" bottom="1" header="0.5" footer="0.5"/>
  <pageSetup orientation="landscape" paperSize="9" fitToHeight="0" fitToWidth="1"/>
  <headerFooter>
    <oddHeader/>
    <oddFooter>&amp;Caichef.pro/plan-negocio-polleria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3"/>
  <sheetViews>
    <sheetView showGridLines="0" workbookViewId="0">
      <selection activeCell="A1" sqref="A1"/>
    </sheetView>
  </sheetViews>
  <sheetFormatPr baseColWidth="8" defaultRowHeight="15"/>
  <cols>
    <col width="62" customWidth="1" min="1" max="1"/>
    <col width="15" customWidth="1" min="2" max="2"/>
    <col width="15" customWidth="1" min="3" max="3"/>
    <col width="16" customWidth="1" min="4" max="4"/>
    <col width="14" customWidth="1" min="5" max="5"/>
    <col width="14" customWidth="1" min="6" max="6"/>
    <col width="14" customWidth="1" min="7" max="7"/>
    <col width="12" customWidth="1" min="8" max="8"/>
    <col width="15" customWidth="1" min="9" max="9"/>
  </cols>
  <sheetData>
    <row r="1">
      <c r="A1" s="1" t="inlineStr">
        <is>
          <t>CALCULADORA DEL ASADOR — SI TUS ESPADAS LLEGAN A LA PUNTA DEL DOMINGO</t>
        </is>
      </c>
    </row>
    <row r="2" ht="32" customHeight="1">
      <c r="A2" s="2" t="inlineStr">
        <is>
          <t>Escribe solo en las celdas VERDES: todo lo demás se calcula. Todos los valores por defecto son una estimación del kit, editable. La capacidad cuenta las tandas completas que caben entre el primer encendido y la hora límite.</t>
        </is>
      </c>
    </row>
    <row r="3" ht="36" customHeight="1">
      <c r="A3" s="3" t="inlineStr">
        <is>
          <t>AVISO FIJO. El tiempo de asado (75 minutos) no tiene fuente publicada: ninguna ficha da el de un pollo de 1,5 kg. Cronométralo con tu asador y tu calibre antes de fiarte de la capacidad.</t>
        </is>
      </c>
    </row>
    <row r="5">
      <c r="A5" s="4" t="inlineStr">
        <is>
          <t>A. EL ASADOR Y EL DOMINGO</t>
        </is>
      </c>
      <c r="B5" s="4" t="inlineStr">
        <is>
          <t>Valor</t>
        </is>
      </c>
      <c r="C5" s="4" t="inlineStr">
        <is>
          <t>Notas</t>
        </is>
      </c>
    </row>
    <row r="6" ht="16" customHeight="1">
      <c r="A6" s="5" t="inlineStr">
        <is>
          <t>Espadas del asador</t>
        </is>
      </c>
      <c r="B6" s="10" t="n">
        <v>12</v>
      </c>
      <c r="C6" s="2" t="inlineStr">
        <is>
          <t>Número entero mayor que 0. Pon las de tu modelo (los hay de 6, 8 y 12).</t>
        </is>
      </c>
    </row>
    <row r="7" ht="16" customHeight="1">
      <c r="A7" s="5" t="inlineStr">
        <is>
          <t>Pollos por espada</t>
        </is>
      </c>
      <c r="B7" s="10" t="n">
        <v>5</v>
      </c>
      <c r="C7" s="2" t="inlineStr">
        <is>
          <t>Las fichas dan de 4 a 6 según el calibre. Número entero mayor que 0.</t>
        </is>
      </c>
    </row>
    <row r="8" ht="30" customHeight="1">
      <c r="A8" s="5" t="inlineStr">
        <is>
          <t>Minutos de asado de una tanda</t>
        </is>
      </c>
      <c r="B8" s="11" t="n">
        <v>75</v>
      </c>
      <c r="C8" s="2" t="inlineStr">
        <is>
          <t>SIN FUENTE PUBLICADA: ninguna ficha da el tiempo de un pollo de 1,5 kg. Mídelo con tu asador (hoja «Instrucciones»). Estimación del kit, editable.</t>
        </is>
      </c>
    </row>
    <row r="9" ht="16" customHeight="1">
      <c r="A9" s="5" t="inlineStr">
        <is>
          <t>Minutos de carga, descarga y limpieza entre tandas</t>
        </is>
      </c>
      <c r="B9" s="11" t="n">
        <v>15</v>
      </c>
      <c r="C9" s="2" t="inlineStr">
        <is>
          <t>Espetar la tanda siguiente mientras sale la anterior. Estimación del kit, editable.</t>
        </is>
      </c>
    </row>
    <row r="10" ht="30" customHeight="1">
      <c r="A10" s="5" t="inlineStr">
        <is>
          <t>Primer encendido: hora</t>
        </is>
      </c>
      <c r="B10" s="10" t="n">
        <v>10</v>
      </c>
      <c r="C10" s="2" t="inlineStr">
        <is>
          <t>Hora entera (0 a 23). Con 10 y 30 minutos, el asador se enciende a las 10:30. Estimación del kit, editable.</t>
        </is>
      </c>
    </row>
    <row r="11" ht="16" customHeight="1">
      <c r="A11" s="5" t="inlineStr">
        <is>
          <t>Primer encendido: minutos</t>
        </is>
      </c>
      <c r="B11" s="10" t="n">
        <v>30</v>
      </c>
      <c r="C11" s="2" t="inlineStr">
        <is>
          <t>Minutos (0 a 59).</t>
        </is>
      </c>
    </row>
    <row r="12" ht="16" customHeight="1">
      <c r="A12" s="5" t="inlineStr">
        <is>
          <t>Hora límite para tener los pollos asados: hora</t>
        </is>
      </c>
      <c r="B12" s="10" t="n">
        <v>15</v>
      </c>
      <c r="C12" s="2" t="inlineStr">
        <is>
          <t>La punta del domingo termina hacia las 15:00. Hora entera (0 a 23). Estimación del kit, editable.</t>
        </is>
      </c>
    </row>
    <row r="13" ht="16" customHeight="1">
      <c r="A13" s="5" t="inlineStr">
        <is>
          <t>Hora límite para tener los pollos asados: minutos</t>
        </is>
      </c>
      <c r="B13" s="10" t="n">
        <v>0</v>
      </c>
      <c r="C13" s="2" t="inlineStr">
        <is>
          <t>Minutos (0 a 59).</t>
        </is>
      </c>
    </row>
    <row r="14" ht="16" customHeight="1">
      <c r="A14" s="5" t="inlineStr">
        <is>
          <t>Pollos que vendes un domingo normal</t>
        </is>
      </c>
      <c r="B14" s="10" t="n">
        <v>106</v>
      </c>
      <c r="C14" s="2" t="inlineStr">
        <is>
          <t>El del caso del plan de negocio. Cámbialo por el tuyo. Estimación del kit, editable.</t>
        </is>
      </c>
    </row>
    <row r="15" ht="16" customHeight="1">
      <c r="A15" s="5" t="inlineStr">
        <is>
          <t>Parte del domingo que se vende en la punta (%)</t>
        </is>
      </c>
      <c r="B15" s="8" t="n">
        <v>0.8</v>
      </c>
      <c r="C15" s="2" t="inlineStr">
        <is>
          <t>Entre las 12:30 y las 15:00. Estimación del kit, editable.</t>
        </is>
      </c>
    </row>
    <row r="16" ht="16" customHeight="1">
      <c r="A16" s="5" t="inlineStr">
        <is>
          <t>Subida del domingo de agosto o de un festivo (%)</t>
        </is>
      </c>
      <c r="B16" s="8" t="n">
        <v>0.15</v>
      </c>
      <c r="C16" s="2" t="inlineStr">
        <is>
          <t>Sobre un domingo normal. En la costa puede ser mayor. Estimación del kit, editable.</t>
        </is>
      </c>
    </row>
    <row r="17" ht="30" customHeight="1">
      <c r="A17" s="5" t="inlineStr">
        <is>
          <t>Potencia media de gas que consume el asador (kW)</t>
        </is>
      </c>
      <c r="B17" s="11" t="n">
        <v>60</v>
      </c>
      <c r="C17" s="2" t="inlineStr">
        <is>
          <t>La ficha de un asador de 8 espadas da 56 kW a pleno rendimiento; el de 12 espadas gasta más y su media real queda por debajo del máximo de su ficha. Pon la de la tuya. Estimación del kit, editable.</t>
        </is>
      </c>
    </row>
    <row r="18" ht="16" customHeight="1">
      <c r="A18" s="5" t="inlineStr">
        <is>
          <t>Precio del gas (€/kWh, sin IVA)</t>
        </is>
      </c>
      <c r="B18" s="26" t="n">
        <v>0.1</v>
      </c>
      <c r="C18" s="2" t="inlineStr">
        <is>
          <t>Butano o propano. Pon el de tu contrato o tu bombona. Estimación del kit, editable.</t>
        </is>
      </c>
    </row>
    <row r="19" ht="16" customHeight="1">
      <c r="A19" s="5" t="inlineStr">
        <is>
          <t>Minutos por hora (constante)</t>
        </is>
      </c>
      <c r="B19" s="12" t="n">
        <v>60</v>
      </c>
      <c r="C19" s="2" t="inlineStr">
        <is>
          <t>Constante: una hora son 60 minutos. No se edita.</t>
        </is>
      </c>
    </row>
    <row r="21">
      <c r="A21" s="4" t="inlineStr">
        <is>
          <t>RESULTADOS</t>
        </is>
      </c>
      <c r="B21" s="4" t="inlineStr">
        <is>
          <t>Valor</t>
        </is>
      </c>
      <c r="C21" s="4" t="inlineStr">
        <is>
          <t>Notas</t>
        </is>
      </c>
    </row>
    <row r="22" ht="16" customHeight="1">
      <c r="A22" s="13" t="inlineStr">
        <is>
          <t>POLLOS POR TANDA</t>
        </is>
      </c>
      <c r="B22" s="23">
        <f>$B$6*$B$7</f>
        <v>60.0</v>
      </c>
      <c r="C22" s="2" t="inlineStr">
        <is>
          <t>Espadas × pollos por espada.</t>
        </is>
      </c>
    </row>
    <row r="23" ht="16" customHeight="1">
      <c r="A23" s="5" t="inlineStr">
        <is>
          <t>Minutos de un ciclo completo</t>
        </is>
      </c>
      <c r="B23" s="21">
        <f>$B$8+$B$9</f>
        <v>90.0</v>
      </c>
      <c r="C23" s="2" t="inlineStr">
        <is>
          <t>Asado + carga y descarga.</t>
        </is>
      </c>
    </row>
    <row r="24" ht="16" customHeight="1">
      <c r="A24" s="5" t="inlineStr">
        <is>
          <t>Tandas por hora</t>
        </is>
      </c>
      <c r="B24" s="24">
        <f>$B$19/$B$23</f>
        <v>0.6666666666666666</v>
      </c>
      <c r="C24" s="2" t="inlineStr">
        <is>
          <t>60 minutos ÷ minutos del ciclo.</t>
        </is>
      </c>
    </row>
    <row r="25" ht="16" customHeight="1">
      <c r="A25" s="13" t="inlineStr">
        <is>
          <t>Capacidad por hora (pollos)</t>
        </is>
      </c>
      <c r="B25" s="27">
        <f>$B$22*$B$24</f>
        <v>40.0</v>
      </c>
      <c r="C25" s="2" t="inlineStr">
        <is>
          <t>Pollos por tanda × tandas por hora.</t>
        </is>
      </c>
    </row>
    <row r="26" ht="16" customHeight="1">
      <c r="A26" s="5" t="inlineStr">
        <is>
          <t>Minutos entre el primer encendido y la hora límite</t>
        </is>
      </c>
      <c r="B26" s="28">
        <f>($B$12-$B$10)*$B$19+($B$13-$B$11)</f>
        <v>270.0</v>
      </c>
      <c r="C26" s="2" t="inlineStr">
        <is>
          <t>Si sale negativo, la hora límite es anterior al encendido.</t>
        </is>
      </c>
    </row>
    <row r="27" ht="16" customHeight="1">
      <c r="A27" s="13" t="inlineStr">
        <is>
          <t>TANDAS ANTES DE LA HORA LÍMITE</t>
        </is>
      </c>
      <c r="B27" s="23">
        <f>INT(MAX(0,$B$26)/$B$23)</f>
        <v>3.0</v>
      </c>
      <c r="C27" s="2" t="inlineStr">
        <is>
          <t>Ciclos completos que caben en ese tiempo.</t>
        </is>
      </c>
    </row>
    <row r="28" ht="16" customHeight="1">
      <c r="A28" s="13" t="inlineStr">
        <is>
          <t>CAPACIDAD DEL DOMINGO ANTES DE LA HORA LÍMITE (pollos)</t>
        </is>
      </c>
      <c r="B28" s="23">
        <f>$B$22*$B$27</f>
        <v>180.0</v>
      </c>
      <c r="C28" s="2" t="inlineStr">
        <is>
          <t>Pollos por tanda × tandas.</t>
        </is>
      </c>
    </row>
    <row r="29" ht="16" customHeight="1">
      <c r="A29" s="5" t="inlineStr">
        <is>
          <t>Pollos que se venden en la punta de un domingo normal</t>
        </is>
      </c>
      <c r="B29" s="21">
        <f>$B$14*$B$15</f>
        <v>84.80000000000001</v>
      </c>
      <c r="C29" s="2" t="inlineStr">
        <is>
          <t>Pollos del domingo × parte que se vende en la punta.</t>
        </is>
      </c>
    </row>
    <row r="30" ht="16" customHeight="1">
      <c r="A30" s="5" t="inlineStr">
        <is>
          <t>Tandas que necesita un domingo normal (en todo el día)</t>
        </is>
      </c>
      <c r="B30" s="28">
        <f>ROUNDUP($B$14/$B$22,0)</f>
        <v>2.0</v>
      </c>
      <c r="C30" s="2" t="inlineStr">
        <is>
          <t>Pollos del domingo ÷ pollos por tanda, hacia arriba.</t>
        </is>
      </c>
    </row>
    <row r="31" ht="16" customHeight="1">
      <c r="A31" s="5" t="inlineStr">
        <is>
          <t>Tandas que necesita la punta de un domingo normal</t>
        </is>
      </c>
      <c r="B31" s="28">
        <f>ROUNDUP($B$29/$B$22,0)</f>
        <v>2.0</v>
      </c>
      <c r="C31" s="2" t="inlineStr">
        <is>
          <t>Pollos de la punta ÷ pollos por tanda, hacia arriba.</t>
        </is>
      </c>
    </row>
    <row r="32" ht="16" customHeight="1">
      <c r="A32" s="5" t="inlineStr">
        <is>
          <t>Sobrante (+) o déficit (−) en la punta (pollos)</t>
        </is>
      </c>
      <c r="B32" s="21">
        <f>$B$28-$B$29</f>
        <v>95.19999999999999</v>
      </c>
      <c r="C32" s="2" t="inlineStr">
        <is>
          <t>Capacidad antes de la hora límite menos pollos de la punta.</t>
        </is>
      </c>
    </row>
    <row r="33" ht="32" customHeight="1">
      <c r="A33" s="13" t="inlineStr">
        <is>
          <t>Semáforo de la punta (domingo normal)</t>
        </is>
      </c>
      <c r="B33" s="29" t="str">
        <f>IF($B$32&gt;=0,"Cubierto","No llegas a la punta")</f>
        <v>Cubierto</v>
      </c>
      <c r="C33" s="2" t="inlineStr">
        <is>
          <t>Cubierto si la capacidad llega a los pollos de la punta.</t>
        </is>
      </c>
    </row>
    <row r="34" ht="16" customHeight="1">
      <c r="A34" s="5" t="inlineStr">
        <is>
          <t>Pollos de un domingo de agosto o festivo</t>
        </is>
      </c>
      <c r="B34" s="28">
        <f>ROUNDUP($B$14*(1+$B$16),0)</f>
        <v>122.0</v>
      </c>
      <c r="C34" s="2" t="inlineStr">
        <is>
          <t>Domingo normal más la subida, hacia arriba.</t>
        </is>
      </c>
    </row>
    <row r="35" ht="16" customHeight="1">
      <c r="A35" s="5" t="inlineStr">
        <is>
          <t>Tandas que necesita un domingo de agosto o festivo</t>
        </is>
      </c>
      <c r="B35" s="28">
        <f>ROUNDUP($B$34/$B$22,0)</f>
        <v>3.0</v>
      </c>
      <c r="C35" s="2" t="inlineStr">
        <is>
          <t>Pollos de agosto ÷ pollos por tanda, hacia arriba.</t>
        </is>
      </c>
    </row>
    <row r="36" ht="16" customHeight="1">
      <c r="A36" s="5" t="inlineStr">
        <is>
          <t>Sobrante (+) o déficit (−) en la punta de agosto (pollos)</t>
        </is>
      </c>
      <c r="B36" s="21">
        <f>$B$28-$B$34*$B$15</f>
        <v>82.39999999999999</v>
      </c>
      <c r="C36" s="2" t="inlineStr">
        <is>
          <t>Capacidad menos la punta de agosto.</t>
        </is>
      </c>
    </row>
    <row r="37" ht="32" customHeight="1">
      <c r="A37" s="13" t="inlineStr">
        <is>
          <t>Semáforo de la punta de agosto</t>
        </is>
      </c>
      <c r="B37" s="29" t="str">
        <f>IF($B$36&gt;=0,"Cubierto","No llegas a la punta")</f>
        <v>Cubierto</v>
      </c>
      <c r="C37" s="2" t="inlineStr">
        <is>
          <t>Cubierto si la capacidad llega a la punta de agosto.</t>
        </is>
      </c>
    </row>
    <row r="38" ht="16" customHeight="1">
      <c r="A38" s="5" t="inlineStr">
        <is>
          <t>Encendido más tardío (minutos desde las 00:00)</t>
        </is>
      </c>
      <c r="B38" s="28">
        <f>$B$12*$B$19+$B$13-$B$31*$B$23</f>
        <v>720.0</v>
      </c>
      <c r="C38" s="2" t="inlineStr">
        <is>
          <t>Hora límite menos las tandas de la punta por su ciclo.</t>
        </is>
      </c>
    </row>
    <row r="39" ht="16" customHeight="1">
      <c r="A39" s="13" t="inlineStr">
        <is>
          <t>Encendido más tardío: hora</t>
        </is>
      </c>
      <c r="B39" s="23">
        <f>INT($B$38/$B$19)</f>
        <v>12.0</v>
      </c>
      <c r="C39" s="2" t="inlineStr">
        <is>
          <t>Si enciendes después, no llegas a la punta.</t>
        </is>
      </c>
    </row>
    <row r="40">
      <c r="A40" s="13" t="inlineStr">
        <is>
          <t>Encendido más tardío: minutos</t>
        </is>
      </c>
      <c r="B40" s="23">
        <f>MOD($B$38,$B$19)</f>
        <v>0.0</v>
      </c>
    </row>
    <row r="41" ht="16" customHeight="1">
      <c r="A41" s="5" t="inlineStr">
        <is>
          <t>Horas de asador encendido en un domingo normal</t>
        </is>
      </c>
      <c r="B41" s="24">
        <f>$B$30*$B$23/$B$19</f>
        <v>3.0</v>
      </c>
      <c r="C41" s="2" t="inlineStr">
        <is>
          <t>Tandas × ciclo ÷ 60.</t>
        </is>
      </c>
    </row>
    <row r="42" ht="16" customHeight="1">
      <c r="A42" s="5" t="inlineStr">
        <is>
          <t>Gas de un domingo normal (€)</t>
        </is>
      </c>
      <c r="B42" s="25">
        <f>$B$17*$B$41*$B$18</f>
        <v>18.0</v>
      </c>
      <c r="C42" s="2" t="inlineStr">
        <is>
          <t>Potencia × horas × precio por kWh.</t>
        </is>
      </c>
    </row>
    <row r="43" ht="16" customHeight="1">
      <c r="A43" s="13" t="inlineStr">
        <is>
          <t>GAS POR POLLO ASADO (€)</t>
        </is>
      </c>
      <c r="B43" s="19">
        <f>$B$42/($B$30*$B$22)</f>
        <v>0.15</v>
      </c>
      <c r="C43" s="2" t="inlineStr">
        <is>
          <t>Gas del día ÷ pollos que caben en las tandas del día.</t>
        </is>
      </c>
    </row>
  </sheetData>
  <sheetProtection selectLockedCells="0" selectUnlockedCells="0" sheet="1" objects="0" insertRows="1" insertHyperlinks="1" autoFilter="1" scenarios="0" formatColumns="1" deleteColumns="1" insertColumns="1" pivotTables="1" deleteRows="1" formatCells="1" formatRows="1" sort="1"/>
  <mergeCells count="37">
    <mergeCell ref="C36:I36"/>
    <mergeCell ref="C23:I23"/>
    <mergeCell ref="C17:I17"/>
    <mergeCell ref="C39:I39"/>
    <mergeCell ref="C8:I8"/>
    <mergeCell ref="C32:I32"/>
    <mergeCell ref="C7:I7"/>
    <mergeCell ref="A3:I3"/>
    <mergeCell ref="C38:I38"/>
    <mergeCell ref="C19:I19"/>
    <mergeCell ref="C37:I37"/>
    <mergeCell ref="C28:I28"/>
    <mergeCell ref="C13:I13"/>
    <mergeCell ref="A2:I2"/>
    <mergeCell ref="C18:I18"/>
    <mergeCell ref="C34:I34"/>
    <mergeCell ref="C6:I6"/>
    <mergeCell ref="C24:I24"/>
    <mergeCell ref="C30:I30"/>
    <mergeCell ref="C42:I42"/>
    <mergeCell ref="C15:I15"/>
    <mergeCell ref="C33:I33"/>
    <mergeCell ref="C14:I14"/>
    <mergeCell ref="C26:I26"/>
    <mergeCell ref="C35:I35"/>
    <mergeCell ref="C29:I29"/>
    <mergeCell ref="C10:I10"/>
    <mergeCell ref="C16:I16"/>
    <mergeCell ref="C25:I25"/>
    <mergeCell ref="C41:I41"/>
    <mergeCell ref="C31:I31"/>
    <mergeCell ref="C22:I22"/>
    <mergeCell ref="C9:I9"/>
    <mergeCell ref="C43:I43"/>
    <mergeCell ref="C12:I12"/>
    <mergeCell ref="C11:I11"/>
    <mergeCell ref="C27:I27"/>
  </mergeCells>
  <conditionalFormatting sqref="B33">
    <cfRule type="expression" priority="1" dxfId="0">
      <formula>$B$33="Cubierto"</formula>
    </cfRule>
    <cfRule type="expression" priority="2" dxfId="1">
      <formula>$B$33="No llegas a la punta"</formula>
    </cfRule>
  </conditionalFormatting>
  <conditionalFormatting sqref="B37">
    <cfRule type="expression" priority="3" dxfId="0">
      <formula>$B$37="Cubierto"</formula>
    </cfRule>
    <cfRule type="expression" priority="4" dxfId="1">
      <formula>$B$37="No llegas a la punta"</formula>
    </cfRule>
  </conditionalFormatting>
  <dataValidations count="7">
    <dataValidation sqref="B6 B7 B14" showDropDown="0" showInputMessage="0" showErrorMessage="1" allowBlank="0" errorTitle="Número no válido" error="Escribe un número entero de 1 o más." type="whole" operator="between">
      <formula1>1</formula1>
      <formula2>1000000</formula2>
    </dataValidation>
    <dataValidation sqref="B8" showDropDown="0" showInputMessage="0" showErrorMessage="1" allowBlank="0" errorTitle="Valor no válido" error="Escribe un número mayor que 0." type="decimal" operator="greaterThan">
      <formula1>0</formula1>
    </dataValidation>
    <dataValidation sqref="B9 B17 B18" showDropDown="0" showInputMessage="0" showErrorMessage="1" allowBlank="0" errorTitle="Valor no válido" error="Escribe un número mayor o igual que 0." type="decimal" operator="greaterThanOrEqual">
      <formula1>0</formula1>
    </dataValidation>
    <dataValidation sqref="B10 B12" showDropDown="0" showInputMessage="0" showErrorMessage="1" allowBlank="0" errorTitle="Hora no válida" error="Escribe una hora entera de 0 a 23." type="whole" operator="between">
      <formula1>0</formula1>
      <formula2>23</formula2>
    </dataValidation>
    <dataValidation sqref="B11 B13" showDropDown="0" showInputMessage="0" showErrorMessage="1" allowBlank="0" errorTitle="Minutos no válidos" error="Escribe minutos enteros de 0 a 59." type="whole" operator="between">
      <formula1>0</formula1>
      <formula2>59</formula2>
    </dataValidation>
    <dataValidation sqref="B15" showDropDown="0" showInputMessage="0" showErrorMessage="1" allowBlank="0" errorTitle="Porcentaje no válido" error="Escribe un porcentaje entre 0 y 1 (0,8 = 80 %)." type="decimal" operator="between">
      <formula1>0</formula1>
      <formula2>1</formula2>
    </dataValidation>
    <dataValidation sqref="B16" showDropDown="0" showInputMessage="0" showErrorMessage="1" allowBlank="0" errorTitle="Porcentaje no válido" error="Escribe entre 0 y 3 (0,15 = 15 %)." type="decimal" operator="between">
      <formula1>0</formula1>
      <formula2>3</formula2>
    </dataValidation>
  </dataValidations>
  <printOptions horizontalCentered="1"/>
  <pageMargins left="0.75" right="0.75" top="1" bottom="1" header="0.5" footer="0.5"/>
  <pageSetup orientation="landscape" paperSize="9" fitToHeight="0" fitToWidth="1"/>
  <headerFooter>
    <oddHeader/>
    <oddFooter>&amp;Caichef.pro/plan-negocio-polleria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52"/>
  <sheetViews>
    <sheetView showGridLines="0" workbookViewId="0">
      <selection activeCell="A1" sqref="A1"/>
    </sheetView>
  </sheetViews>
  <sheetFormatPr baseColWidth="8" defaultRowHeight="15"/>
  <cols>
    <col width="44" customWidth="1" min="1" max="1"/>
    <col width="14" customWidth="1" min="2" max="2"/>
    <col width="9"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6" customWidth="1" min="13" max="13"/>
  </cols>
  <sheetData>
    <row r="1">
      <c r="A1" s="1" t="inlineStr">
        <is>
          <t>ESCANDALLO DEL POLLO Y DE LOS COMBOS — ENTERO, MEDIO, CUARTO Y 6 COMBOS, EN GRAMOS</t>
        </is>
      </c>
    </row>
    <row r="2" ht="32" customHeight="1">
      <c r="A2" s="2" t="inlineStr">
        <is>
          <t>Escribe solo en las celdas VERDES (precios, gramos, nombres, fracciones de pollo y precios de carta). Importes sin IVA salvo el precio de carta. Los precios son una estimación del kit, editable: pon los de tu proveedor. El coste del pollo viene de la hoja «Pollo».</t>
        </is>
      </c>
    </row>
    <row r="4">
      <c r="A4" s="4" t="inlineStr">
        <is>
          <t>DATOS GENERALES</t>
        </is>
      </c>
      <c r="B4" s="4" t="inlineStr">
        <is>
          <t>Valor</t>
        </is>
      </c>
      <c r="D4" s="4" t="inlineStr">
        <is>
          <t>Notas</t>
        </is>
      </c>
    </row>
    <row r="5" ht="16" customHeight="1">
      <c r="A5" s="5" t="inlineStr">
        <is>
          <t>IVA de la comida (%)</t>
        </is>
      </c>
      <c r="B5" s="8" t="n">
        <v>0.1</v>
      </c>
      <c r="D5" s="2" t="inlineStr">
        <is>
          <t>Comida preparada, en sala, para llevar y a domicilio: 10 % (Ley 37/1992, art. 91).</t>
        </is>
      </c>
    </row>
    <row r="6" ht="16" customHeight="1">
      <c r="A6" s="5" t="inlineStr">
        <is>
          <t>IVA de la bebida que sale del local (%)</t>
        </is>
      </c>
      <c r="B6" s="8" t="n">
        <v>0.21</v>
      </c>
      <c r="D6" s="2" t="inlineStr">
        <is>
          <t>Cerveza, vino y refrescos con azúcares o edulcorantes añadidos para llevar: 21 % (Ley 37/1992, art. 91).</t>
        </is>
      </c>
    </row>
    <row r="7" ht="16" customHeight="1">
      <c r="A7" s="5" t="inlineStr">
        <is>
          <t>IVA del pan vendido suelto (%)</t>
        </is>
      </c>
      <c r="B7" s="8" t="n">
        <v>0.04</v>
      </c>
      <c r="D7" s="2" t="inlineStr">
        <is>
          <t>Pan común: 4 % (Ley 37/1992, art. 91).</t>
        </is>
      </c>
    </row>
    <row r="8" ht="16" customHeight="1">
      <c r="A8" s="5" t="inlineStr">
        <is>
          <t>Food cost objetivo (% sobre el precio sin IVA)</t>
        </is>
      </c>
      <c r="B8" s="8" t="n">
        <v>0.33</v>
      </c>
      <c r="D8" s="2" t="inlineStr">
        <is>
          <t>Referencia del pedido tipo para llevar: 33 %. Estimación del kit, editable.</t>
        </is>
      </c>
    </row>
    <row r="9" ht="16" customHeight="1">
      <c r="A9" s="5" t="inlineStr">
        <is>
          <t>Margen de vigilancia sobre el objetivo (puntos)</t>
        </is>
      </c>
      <c r="B9" s="8" t="n">
        <v>0.06</v>
      </c>
      <c r="D9" s="2" t="inlineStr">
        <is>
          <t>Hasta este margen por encima del objetivo, el semáforo dice «Vigila el coste». El pollo entero suele caer aquí.</t>
        </is>
      </c>
    </row>
    <row r="10" ht="16" customHeight="1">
      <c r="A10" s="5" t="inlineStr">
        <is>
          <t>Merma de producción de las guarniciones (%)</t>
        </is>
      </c>
      <c r="B10" s="8" t="n">
        <v>0.03</v>
      </c>
      <c r="D10" s="2" t="inlineStr">
        <is>
          <t>Patata frita que se tira, ensalada que no se aprovecha. El pollo no la lleva: su merma está en el rendimiento. Estimación del kit, editable.</t>
        </is>
      </c>
    </row>
    <row r="11" ht="16" customHeight="1">
      <c r="A11" s="5" t="inlineStr">
        <is>
          <t>Envase por pedido para llevar (€, sin IVA)</t>
        </is>
      </c>
      <c r="B11" s="7" t="n">
        <v>0.6</v>
      </c>
      <c r="D11" s="2" t="inlineStr">
        <is>
          <t>Bolsa térmica, bandeja y tarrinas de salsa de un pedido. El envase de plástico se cobra aparte en el tique. Estimación del kit, editable.</t>
        </is>
      </c>
    </row>
    <row r="12" ht="16" customHeight="1">
      <c r="A12" s="5" t="inlineStr">
        <is>
          <t>Comisión de la plataforma de reparto (%)</t>
        </is>
      </c>
      <c r="B12" s="8" t="n">
        <v>0.3</v>
      </c>
      <c r="D12" s="2" t="inlineStr">
        <is>
          <t>Sobre el precio sin IVA del pedido. Revisa tu contrato. Estimación del kit, editable.</t>
        </is>
      </c>
    </row>
    <row r="13" ht="16" customHeight="1">
      <c r="A13" s="5" t="inlineStr">
        <is>
          <t>Recargo de precio en la plataforma (%)</t>
        </is>
      </c>
      <c r="B13" s="8" t="n">
        <v>0.15</v>
      </c>
      <c r="D13" s="2" t="inlineStr">
        <is>
          <t>Lo que subes el precio en la plataforma para compensar (unos 2 € por pieza). Estimación del kit, editable.</t>
        </is>
      </c>
    </row>
    <row r="15" ht="62" customHeight="1">
      <c r="A15" s="3" t="inlineStr">
        <is>
          <t>INGREDIENTE (en gramos)</t>
        </is>
      </c>
      <c r="B15" s="3" t="inlineStr">
        <is>
          <t>€/kg sin IVA</t>
        </is>
      </c>
      <c r="C15" s="3" t="inlineStr">
        <is>
          <t>Unidad</t>
        </is>
      </c>
      <c r="D15" s="30" t="inlineStr">
        <is>
          <t>Pollo entero</t>
        </is>
      </c>
      <c r="E15" s="30" t="inlineStr">
        <is>
          <t>Medio pollo</t>
        </is>
      </c>
      <c r="F15" s="30" t="inlineStr">
        <is>
          <t>Cuarto de pollo</t>
        </is>
      </c>
      <c r="G15" s="30" t="inlineStr">
        <is>
          <t>Pollo con patatas</t>
        </is>
      </c>
      <c r="H15" s="30" t="inlineStr">
        <is>
          <t>Medio pollo con croquetas y ensalada</t>
        </is>
      </c>
      <c r="I15" s="30" t="inlineStr">
        <is>
          <t>Menú de cuarto de sala</t>
        </is>
      </c>
      <c r="J15" s="30" t="inlineStr">
        <is>
          <t>Medio a la brasa con papas, ensalada y cremas</t>
        </is>
      </c>
      <c r="K15" s="30" t="inlineStr">
        <is>
          <t>Familiar de domingo</t>
        </is>
      </c>
      <c r="L15" s="30" t="inlineStr">
        <is>
          <t>Combo de plataforma</t>
        </is>
      </c>
      <c r="M15" s="3" t="inlineStr">
        <is>
          <t>ORIGEN DEL PRECIO</t>
        </is>
      </c>
    </row>
    <row r="16">
      <c r="A16" s="13" t="inlineStr">
        <is>
          <t>Precio de carta con IVA (€)</t>
        </is>
      </c>
      <c r="D16" s="31" t="n">
        <v>12.9</v>
      </c>
      <c r="E16" s="31" t="n">
        <v>7</v>
      </c>
      <c r="F16" s="31" t="n">
        <v>4</v>
      </c>
      <c r="G16" s="31" t="n">
        <v>16.4</v>
      </c>
      <c r="H16" s="31" t="n">
        <v>12.5</v>
      </c>
      <c r="I16" s="31" t="n">
        <v>9.5</v>
      </c>
      <c r="J16" s="31" t="n">
        <v>14.5</v>
      </c>
      <c r="K16" s="31" t="n">
        <v>29.9</v>
      </c>
      <c r="L16" s="31" t="n">
        <v>21.9</v>
      </c>
    </row>
    <row r="17" ht="32" customHeight="1">
      <c r="A17" s="2" t="inlineStr">
        <is>
          <t>De ese precio, bebida que sale del local, con IVA (€)</t>
        </is>
      </c>
      <c r="D17" s="7" t="n">
        <v>0</v>
      </c>
      <c r="E17" s="7" t="n">
        <v>0</v>
      </c>
      <c r="F17" s="7" t="n">
        <v>0</v>
      </c>
      <c r="G17" s="7" t="n">
        <v>0</v>
      </c>
      <c r="H17" s="7" t="n">
        <v>0</v>
      </c>
      <c r="I17" s="7" t="n">
        <v>0</v>
      </c>
      <c r="J17" s="7" t="n">
        <v>0</v>
      </c>
      <c r="K17" s="7" t="n">
        <v>0</v>
      </c>
      <c r="L17" s="7" t="n">
        <v>1.8</v>
      </c>
    </row>
    <row r="18" ht="32" customHeight="1">
      <c r="A18" s="2" t="inlineStr">
        <is>
          <t>De ese precio, pan vendido suelto, con IVA (€)</t>
        </is>
      </c>
      <c r="D18" s="7" t="n">
        <v>0</v>
      </c>
      <c r="E18" s="7" t="n">
        <v>0</v>
      </c>
      <c r="F18" s="7" t="n">
        <v>0</v>
      </c>
      <c r="G18" s="7" t="n">
        <v>0</v>
      </c>
      <c r="H18" s="7" t="n">
        <v>0</v>
      </c>
      <c r="I18" s="7" t="n">
        <v>0</v>
      </c>
      <c r="J18" s="7" t="n">
        <v>0</v>
      </c>
      <c r="K18" s="7" t="n">
        <v>0</v>
      </c>
      <c r="L18" s="7" t="n">
        <v>0</v>
      </c>
    </row>
    <row r="19">
      <c r="A19" s="32" t="inlineStr">
        <is>
          <t>Patatas fritas (congeladas, con aceite)</t>
        </is>
      </c>
      <c r="B19" s="7" t="n">
        <v>2.55</v>
      </c>
      <c r="C19" s="5" t="inlineStr">
        <is>
          <t>g</t>
        </is>
      </c>
      <c r="D19" s="33" t="n">
        <v>0</v>
      </c>
      <c r="E19" s="33" t="n">
        <v>0</v>
      </c>
      <c r="F19" s="33" t="n">
        <v>0</v>
      </c>
      <c r="G19" s="33" t="n">
        <v>350</v>
      </c>
      <c r="H19" s="33" t="n">
        <v>0</v>
      </c>
      <c r="I19" s="33" t="n">
        <v>250</v>
      </c>
      <c r="J19" s="33" t="n">
        <v>0</v>
      </c>
      <c r="K19" s="33" t="n">
        <v>500</v>
      </c>
      <c r="L19" s="33" t="n">
        <v>0</v>
      </c>
      <c r="M19" s="34" t="inlineStr">
        <is>
          <t>estimación del kit</t>
        </is>
      </c>
    </row>
    <row r="20">
      <c r="A20" s="32" t="inlineStr">
        <is>
          <t>Patatas asadas (frescas)</t>
        </is>
      </c>
      <c r="B20" s="7" t="n">
        <v>1.1</v>
      </c>
      <c r="C20" s="5" t="inlineStr">
        <is>
          <t>g</t>
        </is>
      </c>
      <c r="D20" s="33" t="n">
        <v>0</v>
      </c>
      <c r="E20" s="33" t="n">
        <v>0</v>
      </c>
      <c r="F20" s="33" t="n">
        <v>0</v>
      </c>
      <c r="G20" s="33" t="n">
        <v>0</v>
      </c>
      <c r="H20" s="33" t="n">
        <v>0</v>
      </c>
      <c r="I20" s="33" t="n">
        <v>0</v>
      </c>
      <c r="J20" s="33" t="n">
        <v>300</v>
      </c>
      <c r="K20" s="33" t="n">
        <v>0</v>
      </c>
      <c r="L20" s="33" t="n">
        <v>400</v>
      </c>
      <c r="M20" s="34" t="inlineStr">
        <is>
          <t>estimación del kit</t>
        </is>
      </c>
    </row>
    <row r="21">
      <c r="A21" s="32" t="inlineStr">
        <is>
          <t>Croquetas de pollo (con el sobrante)</t>
        </is>
      </c>
      <c r="B21" s="7" t="n">
        <v>8.5</v>
      </c>
      <c r="C21" s="5" t="inlineStr">
        <is>
          <t>g</t>
        </is>
      </c>
      <c r="D21" s="33" t="n">
        <v>0</v>
      </c>
      <c r="E21" s="33" t="n">
        <v>0</v>
      </c>
      <c r="F21" s="33" t="n">
        <v>0</v>
      </c>
      <c r="G21" s="33" t="n">
        <v>0</v>
      </c>
      <c r="H21" s="33" t="n">
        <v>150</v>
      </c>
      <c r="I21" s="33" t="n">
        <v>0</v>
      </c>
      <c r="J21" s="33" t="n">
        <v>0</v>
      </c>
      <c r="K21" s="33" t="n">
        <v>160</v>
      </c>
      <c r="L21" s="33" t="n">
        <v>0</v>
      </c>
      <c r="M21" s="34" t="inlineStr">
        <is>
          <t>estimación del kit (croquetas de 25 g hechas con el pollo del día anterior)</t>
        </is>
      </c>
    </row>
    <row r="22">
      <c r="A22" s="32" t="inlineStr">
        <is>
          <t>Ensaladilla (con ovoproducto)</t>
        </is>
      </c>
      <c r="B22" s="7" t="n">
        <v>6.25</v>
      </c>
      <c r="C22" s="5" t="inlineStr">
        <is>
          <t>g</t>
        </is>
      </c>
      <c r="D22" s="33" t="n">
        <v>0</v>
      </c>
      <c r="E22" s="33" t="n">
        <v>0</v>
      </c>
      <c r="F22" s="33" t="n">
        <v>0</v>
      </c>
      <c r="G22" s="33" t="n">
        <v>0</v>
      </c>
      <c r="H22" s="33" t="n">
        <v>0</v>
      </c>
      <c r="I22" s="33" t="n">
        <v>0</v>
      </c>
      <c r="J22" s="33" t="n">
        <v>0</v>
      </c>
      <c r="K22" s="33" t="n">
        <v>200</v>
      </c>
      <c r="L22" s="33" t="n">
        <v>0</v>
      </c>
      <c r="M22" s="34" t="inlineStr">
        <is>
          <t>estimación del kit</t>
        </is>
      </c>
    </row>
    <row r="23">
      <c r="A23" s="32" t="inlineStr">
        <is>
          <t>Ensalada mixta</t>
        </is>
      </c>
      <c r="B23" s="7" t="n">
        <v>4</v>
      </c>
      <c r="C23" s="5" t="inlineStr">
        <is>
          <t>g</t>
        </is>
      </c>
      <c r="D23" s="33" t="n">
        <v>0</v>
      </c>
      <c r="E23" s="33" t="n">
        <v>0</v>
      </c>
      <c r="F23" s="33" t="n">
        <v>0</v>
      </c>
      <c r="G23" s="33" t="n">
        <v>0</v>
      </c>
      <c r="H23" s="33" t="n">
        <v>100</v>
      </c>
      <c r="I23" s="33" t="n">
        <v>70</v>
      </c>
      <c r="J23" s="33" t="n">
        <v>120</v>
      </c>
      <c r="K23" s="33" t="n">
        <v>150</v>
      </c>
      <c r="L23" s="33" t="n">
        <v>100</v>
      </c>
      <c r="M23" s="34" t="inlineStr">
        <is>
          <t>estimación del kit</t>
        </is>
      </c>
    </row>
    <row r="24">
      <c r="A24" s="32" t="inlineStr">
        <is>
          <t>Alioli (con ovoproducto pasteurizado)</t>
        </is>
      </c>
      <c r="B24" s="7" t="n">
        <v>7</v>
      </c>
      <c r="C24" s="5" t="inlineStr">
        <is>
          <t>g</t>
        </is>
      </c>
      <c r="D24" s="33" t="n">
        <v>0</v>
      </c>
      <c r="E24" s="33" t="n">
        <v>0</v>
      </c>
      <c r="F24" s="33" t="n">
        <v>0</v>
      </c>
      <c r="G24" s="33" t="n">
        <v>25</v>
      </c>
      <c r="H24" s="33" t="n">
        <v>0</v>
      </c>
      <c r="I24" s="33" t="n">
        <v>0</v>
      </c>
      <c r="J24" s="33" t="n">
        <v>25</v>
      </c>
      <c r="K24" s="33" t="n">
        <v>40</v>
      </c>
      <c r="L24" s="33" t="n">
        <v>0</v>
      </c>
      <c r="M24" s="34" t="inlineStr">
        <is>
          <t>estimación del kit</t>
        </is>
      </c>
    </row>
    <row r="25">
      <c r="A25" s="32" t="inlineStr">
        <is>
          <t>Salsa de yogur y hierbas (sin huevo)</t>
        </is>
      </c>
      <c r="B25" s="7" t="n">
        <v>4.5</v>
      </c>
      <c r="C25" s="5" t="inlineStr">
        <is>
          <t>g</t>
        </is>
      </c>
      <c r="D25" s="33" t="n">
        <v>0</v>
      </c>
      <c r="E25" s="33" t="n">
        <v>0</v>
      </c>
      <c r="F25" s="33" t="n">
        <v>0</v>
      </c>
      <c r="G25" s="33" t="n">
        <v>0</v>
      </c>
      <c r="H25" s="33" t="n">
        <v>0</v>
      </c>
      <c r="I25" s="33" t="n">
        <v>0</v>
      </c>
      <c r="J25" s="33" t="n">
        <v>30</v>
      </c>
      <c r="K25" s="33" t="n">
        <v>40</v>
      </c>
      <c r="L25" s="33" t="n">
        <v>40</v>
      </c>
      <c r="M25" s="34" t="inlineStr">
        <is>
          <t>estimación del kit</t>
        </is>
      </c>
    </row>
    <row r="26">
      <c r="A26" s="4" t="inlineStr">
        <is>
          <t>INGREDIENTE (en unidades)</t>
        </is>
      </c>
      <c r="B26" s="4" t="inlineStr">
        <is>
          <t>€/ud sin IVA</t>
        </is>
      </c>
      <c r="C26" s="4" t="inlineStr">
        <is>
          <t>Unidad</t>
        </is>
      </c>
    </row>
    <row r="27">
      <c r="A27" s="5" t="inlineStr">
        <is>
          <t>Pollo asado (fracción de pollo entero)</t>
        </is>
      </c>
      <c r="B27" s="22">
        <f>'Pollo'!$B$25</f>
        <v>4.552499999999999</v>
      </c>
      <c r="C27" s="5" t="inlineStr">
        <is>
          <t>pollo</t>
        </is>
      </c>
      <c r="D27" s="35" t="n">
        <v>1</v>
      </c>
      <c r="E27" s="35" t="n">
        <v>0.5</v>
      </c>
      <c r="F27" s="35" t="n">
        <v>0.25</v>
      </c>
      <c r="G27" s="35" t="n">
        <v>1</v>
      </c>
      <c r="H27" s="35" t="n">
        <v>0.5</v>
      </c>
      <c r="I27" s="35" t="n">
        <v>0.25</v>
      </c>
      <c r="J27" s="35" t="n">
        <v>0.5</v>
      </c>
      <c r="K27" s="35" t="n">
        <v>1</v>
      </c>
      <c r="L27" s="35" t="n">
        <v>1</v>
      </c>
      <c r="M27" s="34" t="inlineStr">
        <is>
          <t>enlazado desde la hoja Pollo (coste por pollo entero)</t>
        </is>
      </c>
    </row>
    <row r="28">
      <c r="A28" s="32" t="inlineStr">
        <is>
          <t>Pan (ud)</t>
        </is>
      </c>
      <c r="B28" s="26" t="n">
        <v>0.18</v>
      </c>
      <c r="C28" s="5" t="inlineStr">
        <is>
          <t>ud</t>
        </is>
      </c>
      <c r="D28" s="35" t="n">
        <v>0</v>
      </c>
      <c r="E28" s="35" t="n">
        <v>0</v>
      </c>
      <c r="F28" s="35" t="n">
        <v>0</v>
      </c>
      <c r="G28" s="35" t="n">
        <v>0</v>
      </c>
      <c r="H28" s="35" t="n">
        <v>0</v>
      </c>
      <c r="I28" s="35" t="n">
        <v>1</v>
      </c>
      <c r="J28" s="35" t="n">
        <v>0</v>
      </c>
      <c r="K28" s="35" t="n">
        <v>2</v>
      </c>
      <c r="L28" s="35" t="n">
        <v>1</v>
      </c>
      <c r="M28" s="34" t="inlineStr">
        <is>
          <t>estimación del kit</t>
        </is>
      </c>
    </row>
    <row r="29">
      <c r="A29" s="32" t="inlineStr">
        <is>
          <t>Bebida (lata o botellín, ud)</t>
        </is>
      </c>
      <c r="B29" s="26" t="n">
        <v>0.55</v>
      </c>
      <c r="C29" s="5" t="inlineStr">
        <is>
          <t>ud</t>
        </is>
      </c>
      <c r="D29" s="35" t="n">
        <v>0</v>
      </c>
      <c r="E29" s="35" t="n">
        <v>0</v>
      </c>
      <c r="F29" s="35" t="n">
        <v>0</v>
      </c>
      <c r="G29" s="35" t="n">
        <v>0</v>
      </c>
      <c r="H29" s="35" t="n">
        <v>0</v>
      </c>
      <c r="I29" s="35" t="n">
        <v>0</v>
      </c>
      <c r="J29" s="35" t="n">
        <v>0</v>
      </c>
      <c r="K29" s="35" t="n">
        <v>0</v>
      </c>
      <c r="L29" s="35" t="n">
        <v>1</v>
      </c>
      <c r="M29" s="34" t="inlineStr">
        <is>
          <t>estimación del kit</t>
        </is>
      </c>
    </row>
    <row r="31" ht="62" customHeight="1">
      <c r="A31" s="4" t="inlineStr">
        <is>
          <t>RESULTADO POR PLATO (gramos y unidades en las columnas de arriba)</t>
        </is>
      </c>
      <c r="D31" s="3" t="str">
        <f>D15</f>
        <v>Pollo entero</v>
      </c>
      <c r="E31" s="3" t="str">
        <f>E15</f>
        <v>Medio pollo</v>
      </c>
      <c r="F31" s="3" t="str">
        <f>F15</f>
        <v>Cuarto de pollo</v>
      </c>
      <c r="G31" s="3" t="str">
        <f>G15</f>
        <v>Pollo con patatas</v>
      </c>
      <c r="H31" s="3" t="str">
        <f>H15</f>
        <v>Medio pollo con croquetas y ensalada</v>
      </c>
      <c r="I31" s="3" t="str">
        <f>I15</f>
        <v>Menú de cuarto de sala</v>
      </c>
      <c r="J31" s="3" t="str">
        <f>J15</f>
        <v>Medio a la brasa con papas, ensalada y cremas</v>
      </c>
      <c r="K31" s="3" t="str">
        <f>K15</f>
        <v>Familiar de domingo</v>
      </c>
      <c r="L31" s="3" t="str">
        <f>L15</f>
        <v>Combo de plataforma</v>
      </c>
    </row>
    <row r="32">
      <c r="A32" s="5" t="inlineStr">
        <is>
          <t>Peso servido en el plato (g)</t>
        </is>
      </c>
      <c r="D32" s="21">
        <f>SUM(D$19:D$25)+D$27*'Pollo'!$B$27</f>
        <v>1101.9999999999998</v>
      </c>
      <c r="E32" s="21">
        <f>SUM(E$19:E$25)+E$27*'Pollo'!$B$27</f>
        <v>550.9999999999999</v>
      </c>
      <c r="F32" s="21">
        <f>SUM(F$19:F$25)+F$27*'Pollo'!$B$27</f>
        <v>275.49999999999994</v>
      </c>
      <c r="G32" s="21">
        <f>SUM(G$19:G$25)+G$27*'Pollo'!$B$27</f>
        <v>1476.9999999999998</v>
      </c>
      <c r="H32" s="21">
        <f>SUM(H$19:H$25)+H$27*'Pollo'!$B$27</f>
        <v>800.9999999999999</v>
      </c>
      <c r="I32" s="21">
        <f>SUM(I$19:I$25)+I$27*'Pollo'!$B$27</f>
        <v>595.5</v>
      </c>
      <c r="J32" s="21">
        <f>SUM(J$19:J$25)+J$27*'Pollo'!$B$27</f>
        <v>1026.0</v>
      </c>
      <c r="K32" s="21">
        <f>SUM(K$19:K$25)+K$27*'Pollo'!$B$27</f>
        <v>2192.0</v>
      </c>
      <c r="L32" s="21">
        <f>SUM(L$19:L$25)+L$27*'Pollo'!$B$27</f>
        <v>1641.9999999999998</v>
      </c>
    </row>
    <row r="33">
      <c r="A33" s="5" t="inlineStr">
        <is>
          <t>Coste del pollo (€)</t>
        </is>
      </c>
      <c r="D33" s="22">
        <f>D$27*$B$27</f>
        <v>4.552499999999999</v>
      </c>
      <c r="E33" s="22">
        <f>E$27*$B$27</f>
        <v>2.2762499999999997</v>
      </c>
      <c r="F33" s="22">
        <f>F$27*$B$27</f>
        <v>1.1381249999999998</v>
      </c>
      <c r="G33" s="22">
        <f>G$27*$B$27</f>
        <v>4.552499999999999</v>
      </c>
      <c r="H33" s="22">
        <f>H$27*$B$27</f>
        <v>2.2762499999999997</v>
      </c>
      <c r="I33" s="22">
        <f>I$27*$B$27</f>
        <v>1.1381249999999998</v>
      </c>
      <c r="J33" s="22">
        <f>J$27*$B$27</f>
        <v>2.2762499999999997</v>
      </c>
      <c r="K33" s="22">
        <f>K$27*$B$27</f>
        <v>4.552499999999999</v>
      </c>
      <c r="L33" s="22">
        <f>L$27*$B$27</f>
        <v>4.552499999999999</v>
      </c>
    </row>
    <row r="34">
      <c r="A34" s="5" t="inlineStr">
        <is>
          <t>Coste de guarniciones, pan y bebida, sin merma (€)</t>
        </is>
      </c>
      <c r="D34" s="22">
        <f>SUMPRODUCT(D$19:D$25,$B$19:$B$25)/'Pollo'!$B$15+SUMPRODUCT(D$28:D$29,$B$28:$B$29)</f>
        <v>0.0</v>
      </c>
      <c r="E34" s="22">
        <f>SUMPRODUCT(E$19:E$25,$B$19:$B$25)/'Pollo'!$B$15+SUMPRODUCT(E$28:E$29,$B$28:$B$29)</f>
        <v>0.0</v>
      </c>
      <c r="F34" s="22">
        <f>SUMPRODUCT(F$19:F$25,$B$19:$B$25)/'Pollo'!$B$15+SUMPRODUCT(F$28:F$29,$B$28:$B$29)</f>
        <v>0.0</v>
      </c>
      <c r="G34" s="22">
        <f>SUMPRODUCT(G$19:G$25,$B$19:$B$25)/'Pollo'!$B$15+SUMPRODUCT(G$28:G$29,$B$28:$B$29)</f>
        <v>1.0675</v>
      </c>
      <c r="H34" s="22">
        <f>SUMPRODUCT(H$19:H$25,$B$19:$B$25)/'Pollo'!$B$15+SUMPRODUCT(H$28:H$29,$B$28:$B$29)</f>
        <v>1.675</v>
      </c>
      <c r="I34" s="22">
        <f>SUMPRODUCT(I$19:I$25,$B$19:$B$25)/'Pollo'!$B$15+SUMPRODUCT(I$28:I$29,$B$28:$B$29)</f>
        <v>1.0975</v>
      </c>
      <c r="J34" s="22">
        <f>SUMPRODUCT(J$19:J$25,$B$19:$B$25)/'Pollo'!$B$15+SUMPRODUCT(J$28:J$29,$B$28:$B$29)</f>
        <v>1.12</v>
      </c>
      <c r="K34" s="22">
        <f>SUMPRODUCT(K$19:K$25,$B$19:$B$25)/'Pollo'!$B$15+SUMPRODUCT(K$28:K$29,$B$28:$B$29)</f>
        <v>5.305000000000001</v>
      </c>
      <c r="L34" s="22">
        <f>SUMPRODUCT(L$19:L$25,$B$19:$B$25)/'Pollo'!$B$15+SUMPRODUCT(L$28:L$29,$B$28:$B$29)</f>
        <v>1.75</v>
      </c>
    </row>
    <row r="35">
      <c r="A35" s="13" t="inlineStr">
        <is>
          <t>COSTE CON MERMA DE GUARNICIONES (€)</t>
        </is>
      </c>
      <c r="D35" s="19">
        <f>D33+D34*(1+$B$10)</f>
        <v>4.552499999999999</v>
      </c>
      <c r="E35" s="19">
        <f>E33+E34*(1+$B$10)</f>
        <v>2.2762499999999997</v>
      </c>
      <c r="F35" s="19">
        <f>F33+F34*(1+$B$10)</f>
        <v>1.1381249999999998</v>
      </c>
      <c r="G35" s="19">
        <f>G33+G34*(1+$B$10)</f>
        <v>5.652024999999999</v>
      </c>
      <c r="H35" s="19">
        <f>H33+H34*(1+$B$10)</f>
        <v>4.0015</v>
      </c>
      <c r="I35" s="19">
        <f>I33+I34*(1+$B$10)</f>
        <v>2.26855</v>
      </c>
      <c r="J35" s="19">
        <f>J33+J34*(1+$B$10)</f>
        <v>3.42985</v>
      </c>
      <c r="K35" s="19">
        <f>K33+K34*(1+$B$10)</f>
        <v>10.01665</v>
      </c>
      <c r="L35" s="19">
        <f>L33+L34*(1+$B$10)</f>
        <v>6.3549999999999995</v>
      </c>
    </row>
    <row r="36">
      <c r="A36" s="5" t="inlineStr">
        <is>
          <t>Precio de venta sin IVA (€)</t>
        </is>
      </c>
      <c r="D36" s="25">
        <f>(D16-D17-D18)/(1+$B$5)+D17/(1+$B$6)+D18/(1+$B$7)</f>
        <v>11.727272727272727</v>
      </c>
      <c r="E36" s="25">
        <f>(E16-E17-E18)/(1+$B$5)+E17/(1+$B$6)+E18/(1+$B$7)</f>
        <v>6.363636363636363</v>
      </c>
      <c r="F36" s="25">
        <f>(F16-F17-F18)/(1+$B$5)+F17/(1+$B$6)+F18/(1+$B$7)</f>
        <v>3.6363636363636362</v>
      </c>
      <c r="G36" s="25">
        <f>(G16-G17-G18)/(1+$B$5)+G17/(1+$B$6)+G18/(1+$B$7)</f>
        <v>14.909090909090907</v>
      </c>
      <c r="H36" s="25">
        <f>(H16-H17-H18)/(1+$B$5)+H17/(1+$B$6)+H18/(1+$B$7)</f>
        <v>11.363636363636363</v>
      </c>
      <c r="I36" s="25">
        <f>(I16-I17-I18)/(1+$B$5)+I17/(1+$B$6)+I18/(1+$B$7)</f>
        <v>8.636363636363635</v>
      </c>
      <c r="J36" s="25">
        <f>(J16-J17-J18)/(1+$B$5)+J17/(1+$B$6)+J18/(1+$B$7)</f>
        <v>13.18181818181818</v>
      </c>
      <c r="K36" s="25">
        <f>(K16-K17-K18)/(1+$B$5)+K17/(1+$B$6)+K18/(1+$B$7)</f>
        <v>27.18181818181818</v>
      </c>
      <c r="L36" s="25">
        <f>(L16-L17-L18)/(1+$B$5)+L17/(1+$B$6)+L18/(1+$B$7)</f>
        <v>19.760330578512395</v>
      </c>
    </row>
    <row r="37">
      <c r="A37" s="13" t="inlineStr">
        <is>
          <t>FOOD COST (%)</t>
        </is>
      </c>
      <c r="D37" s="17">
        <f>D35/D36</f>
        <v>0.3881976744186046</v>
      </c>
      <c r="E37" s="17">
        <f>E35/E36</f>
        <v>0.3576964285714285</v>
      </c>
      <c r="F37" s="17">
        <f>F35/F36</f>
        <v>0.312984375</v>
      </c>
      <c r="G37" s="17">
        <f>G35/G36</f>
        <v>0.3790992378048781</v>
      </c>
      <c r="H37" s="17">
        <f>H35/H36</f>
        <v>0.352132</v>
      </c>
      <c r="I37" s="17">
        <f>I35/I36</f>
        <v>0.26267421052631584</v>
      </c>
      <c r="J37" s="17">
        <f>J35/J36</f>
        <v>0.26019551724137935</v>
      </c>
      <c r="K37" s="17">
        <f>K35/K36</f>
        <v>0.36850551839464885</v>
      </c>
      <c r="L37" s="17">
        <f>L35/L36</f>
        <v>0.3216039314094521</v>
      </c>
    </row>
    <row r="38" ht="32" customHeight="1">
      <c r="A38" s="5" t="inlineStr">
        <is>
          <t>Semáforo contra el objetivo</t>
        </is>
      </c>
      <c r="D38" s="2" t="str">
        <f>IF(D37&lt;=$B$8,"En objetivo",IF(D37&lt;=$B$8+$B$9,"Vigila el coste","Por encima del objetivo"))</f>
        <v>Vigila el coste</v>
      </c>
      <c r="E38" s="2" t="str">
        <f>IF(E37&lt;=$B$8,"En objetivo",IF(E37&lt;=$B$8+$B$9,"Vigila el coste","Por encima del objetivo"))</f>
        <v>Vigila el coste</v>
      </c>
      <c r="F38" s="2" t="str">
        <f>IF(F37&lt;=$B$8,"En objetivo",IF(F37&lt;=$B$8+$B$9,"Vigila el coste","Por encima del objetivo"))</f>
        <v>En objetivo</v>
      </c>
      <c r="G38" s="2" t="str">
        <f>IF(G37&lt;=$B$8,"En objetivo",IF(G37&lt;=$B$8+$B$9,"Vigila el coste","Por encima del objetivo"))</f>
        <v>Vigila el coste</v>
      </c>
      <c r="H38" s="2" t="str">
        <f>IF(H37&lt;=$B$8,"En objetivo",IF(H37&lt;=$B$8+$B$9,"Vigila el coste","Por encima del objetivo"))</f>
        <v>Vigila el coste</v>
      </c>
      <c r="I38" s="2" t="str">
        <f>IF(I37&lt;=$B$8,"En objetivo",IF(I37&lt;=$B$8+$B$9,"Vigila el coste","Por encima del objetivo"))</f>
        <v>En objetivo</v>
      </c>
      <c r="J38" s="2" t="str">
        <f>IF(J37&lt;=$B$8,"En objetivo",IF(J37&lt;=$B$8+$B$9,"Vigila el coste","Por encima del objetivo"))</f>
        <v>En objetivo</v>
      </c>
      <c r="K38" s="2" t="str">
        <f>IF(K37&lt;=$B$8,"En objetivo",IF(K37&lt;=$B$8+$B$9,"Vigila el coste","Por encima del objetivo"))</f>
        <v>Vigila el coste</v>
      </c>
      <c r="L38" s="2" t="str">
        <f>IF(L37&lt;=$B$8,"En objetivo",IF(L37&lt;=$B$8+$B$9,"Vigila el coste","Por encima del objetivo"))</f>
        <v>En objetivo</v>
      </c>
    </row>
    <row r="39">
      <c r="A39" s="5" t="inlineStr">
        <is>
          <t>Margen bruto (€, precio sin IVA − coste)</t>
        </is>
      </c>
      <c r="D39" s="25">
        <f>D36-D35</f>
        <v>7.174772727272727</v>
      </c>
      <c r="E39" s="25">
        <f>E36-E35</f>
        <v>4.087386363636364</v>
      </c>
      <c r="F39" s="25">
        <f>F36-F35</f>
        <v>2.498238636363636</v>
      </c>
      <c r="G39" s="25">
        <f>G36-G35</f>
        <v>9.257065909090908</v>
      </c>
      <c r="H39" s="25">
        <f>H36-H35</f>
        <v>7.362136363636363</v>
      </c>
      <c r="I39" s="25">
        <f>I36-I35</f>
        <v>6.3678136363636355</v>
      </c>
      <c r="J39" s="25">
        <f>J36-J35</f>
        <v>9.75196818181818</v>
      </c>
      <c r="K39" s="25">
        <f>K36-K35</f>
        <v>17.16516818181818</v>
      </c>
      <c r="L39" s="25">
        <f>L36-L35</f>
        <v>13.405330578512395</v>
      </c>
    </row>
    <row r="40">
      <c r="A40" s="5" t="inlineStr">
        <is>
          <t>PVP con IVA sugerido para llegar al objetivo (€)</t>
        </is>
      </c>
      <c r="D40" s="25">
        <f>D35/$B$8*(1+$B$5)</f>
        <v>15.174999999999999</v>
      </c>
      <c r="E40" s="25">
        <f>E35/$B$8*(1+$B$5)</f>
        <v>7.5874999999999995</v>
      </c>
      <c r="F40" s="25">
        <f>F35/$B$8*(1+$B$5)</f>
        <v>3.7937499999999997</v>
      </c>
      <c r="G40" s="25">
        <f>G35/$B$8*(1+$B$5)</f>
        <v>18.840083333333332</v>
      </c>
      <c r="H40" s="25">
        <f>H35/$B$8*(1+$B$5)</f>
        <v>13.338333333333333</v>
      </c>
      <c r="I40" s="25">
        <f>I35/$B$8*(1+$B$5)</f>
        <v>7.5618333333333325</v>
      </c>
      <c r="J40" s="25">
        <f>J35/$B$8*(1+$B$5)</f>
        <v>11.432833333333333</v>
      </c>
      <c r="K40" s="25">
        <f>K35/$B$8*(1+$B$5)</f>
        <v>33.38883333333333</v>
      </c>
      <c r="L40" s="25">
        <f>L35/$B$8*(1+$B$5)</f>
        <v>21.18333333333333</v>
      </c>
    </row>
    <row r="42" ht="62" customHeight="1">
      <c r="A42" s="4" t="inlineStr">
        <is>
          <t>MARGEN POR CANAL (todos los platos)</t>
        </is>
      </c>
      <c r="D42" s="3" t="str">
        <f>D15</f>
        <v>Pollo entero</v>
      </c>
      <c r="E42" s="3" t="str">
        <f>E15</f>
        <v>Medio pollo</v>
      </c>
      <c r="F42" s="3" t="str">
        <f>F15</f>
        <v>Cuarto de pollo</v>
      </c>
      <c r="G42" s="3" t="str">
        <f>G15</f>
        <v>Pollo con patatas</v>
      </c>
      <c r="H42" s="3" t="str">
        <f>H15</f>
        <v>Medio pollo con croquetas y ensalada</v>
      </c>
      <c r="I42" s="3" t="str">
        <f>I15</f>
        <v>Menú de cuarto de sala</v>
      </c>
      <c r="J42" s="3" t="str">
        <f>J15</f>
        <v>Medio a la brasa con papas, ensalada y cremas</v>
      </c>
      <c r="K42" s="3" t="str">
        <f>K15</f>
        <v>Familiar de domingo</v>
      </c>
      <c r="L42" s="3" t="str">
        <f>L15</f>
        <v>Combo de plataforma</v>
      </c>
    </row>
    <row r="43">
      <c r="A43" s="2" t="inlineStr">
        <is>
          <t>Sala: margen (€)</t>
        </is>
      </c>
      <c r="D43" s="25">
        <f>D39</f>
        <v>7.174772727272727</v>
      </c>
      <c r="E43" s="25">
        <f>E39</f>
        <v>4.087386363636364</v>
      </c>
      <c r="F43" s="25">
        <f>F39</f>
        <v>2.498238636363636</v>
      </c>
      <c r="G43" s="25">
        <f>G39</f>
        <v>9.257065909090908</v>
      </c>
      <c r="H43" s="25">
        <f>H39</f>
        <v>7.362136363636363</v>
      </c>
      <c r="I43" s="25">
        <f>I39</f>
        <v>6.3678136363636355</v>
      </c>
      <c r="J43" s="25">
        <f>J39</f>
        <v>9.75196818181818</v>
      </c>
      <c r="K43" s="25">
        <f>K39</f>
        <v>17.16516818181818</v>
      </c>
      <c r="L43" s="25">
        <f>L39</f>
        <v>13.405330578512395</v>
      </c>
    </row>
    <row r="44">
      <c r="A44" s="2" t="inlineStr">
        <is>
          <t>Sala: margen (%)</t>
        </is>
      </c>
      <c r="D44" s="16">
        <f>D43/D36</f>
        <v>0.6118023255813954</v>
      </c>
      <c r="E44" s="16">
        <f>E43/E36</f>
        <v>0.6423035714285715</v>
      </c>
      <c r="F44" s="16">
        <f>F43/F36</f>
        <v>0.687015625</v>
      </c>
      <c r="G44" s="16">
        <f>G43/G36</f>
        <v>0.620900762195122</v>
      </c>
      <c r="H44" s="16">
        <f>H43/H36</f>
        <v>0.647868</v>
      </c>
      <c r="I44" s="16">
        <f>I43/I36</f>
        <v>0.7373257894736842</v>
      </c>
      <c r="J44" s="16">
        <f>J43/J36</f>
        <v>0.7398044827586207</v>
      </c>
      <c r="K44" s="16">
        <f>K43/K36</f>
        <v>0.6314944816053512</v>
      </c>
      <c r="L44" s="16">
        <f>L43/L36</f>
        <v>0.6783960685905478</v>
      </c>
    </row>
    <row r="45">
      <c r="A45" s="2" t="inlineStr">
        <is>
          <t>Mostrador y encargo: margen (€, descontado el envase)</t>
        </is>
      </c>
      <c r="D45" s="25">
        <f>D43-$B$11</f>
        <v>6.574772727272728</v>
      </c>
      <c r="E45" s="25">
        <f>E43-$B$11</f>
        <v>3.487386363636364</v>
      </c>
      <c r="F45" s="25">
        <f>F43-$B$11</f>
        <v>1.898238636363636</v>
      </c>
      <c r="G45" s="25">
        <f>G43-$B$11</f>
        <v>8.657065909090909</v>
      </c>
      <c r="H45" s="25">
        <f>H43-$B$11</f>
        <v>6.762136363636364</v>
      </c>
      <c r="I45" s="25">
        <f>I43-$B$11</f>
        <v>5.767813636363636</v>
      </c>
      <c r="J45" s="25">
        <f>J43-$B$11</f>
        <v>9.15196818181818</v>
      </c>
      <c r="K45" s="25">
        <f>K43-$B$11</f>
        <v>16.56516818181818</v>
      </c>
      <c r="L45" s="25">
        <f>L43-$B$11</f>
        <v>12.805330578512395</v>
      </c>
    </row>
    <row r="46">
      <c r="A46" s="2" t="inlineStr">
        <is>
          <t>Mostrador y encargo: margen (%)</t>
        </is>
      </c>
      <c r="D46" s="16">
        <f>D45/D36</f>
        <v>0.560639534883721</v>
      </c>
      <c r="E46" s="16">
        <f>E45/E36</f>
        <v>0.5480178571428572</v>
      </c>
      <c r="F46" s="16">
        <f>F45/F36</f>
        <v>0.522015625</v>
      </c>
      <c r="G46" s="16">
        <f>G45/G36</f>
        <v>0.5806568597560976</v>
      </c>
      <c r="H46" s="16">
        <f>H45/H36</f>
        <v>0.595068</v>
      </c>
      <c r="I46" s="16">
        <f>I45/I36</f>
        <v>0.667852105263158</v>
      </c>
      <c r="J46" s="16">
        <f>J45/J36</f>
        <v>0.6942872413793103</v>
      </c>
      <c r="K46" s="16">
        <f>K45/K36</f>
        <v>0.6094209030100334</v>
      </c>
      <c r="L46" s="16">
        <f>L45/L36</f>
        <v>0.6480322040987034</v>
      </c>
    </row>
    <row r="47">
      <c r="A47" s="29" t="inlineStr">
        <is>
          <t>Plataforma: precio sin IVA con recargo (€)</t>
        </is>
      </c>
      <c r="D47" s="20">
        <f>D36*(1+$B$13)</f>
        <v>13.486363636363635</v>
      </c>
      <c r="E47" s="20">
        <f>E36*(1+$B$13)</f>
        <v>7.3181818181818175</v>
      </c>
      <c r="F47" s="20">
        <f>F36*(1+$B$13)</f>
        <v>4.181818181818182</v>
      </c>
      <c r="G47" s="20">
        <f>G36*(1+$B$13)</f>
        <v>17.14545454545454</v>
      </c>
      <c r="H47" s="20">
        <f>H36*(1+$B$13)</f>
        <v>13.068181818181817</v>
      </c>
      <c r="I47" s="20">
        <f>I36*(1+$B$13)</f>
        <v>9.93181818181818</v>
      </c>
      <c r="J47" s="20">
        <f>J36*(1+$B$13)</f>
        <v>15.159090909090907</v>
      </c>
      <c r="K47" s="20">
        <f>K36*(1+$B$13)</f>
        <v>31.259090909090904</v>
      </c>
      <c r="L47" s="20">
        <f>L36*(1+$B$13)</f>
        <v>22.724380165289254</v>
      </c>
    </row>
    <row r="48">
      <c r="A48" s="29" t="inlineStr">
        <is>
          <t>Plataforma: margen (€, descontados envase y comisión)</t>
        </is>
      </c>
      <c r="D48" s="20">
        <f>D47*(1-$B$12)-D35-$B$11</f>
        <v>4.287954545454544</v>
      </c>
      <c r="E48" s="20">
        <f>E47*(1-$B$12)-E35-$B$11</f>
        <v>2.2464772727272724</v>
      </c>
      <c r="F48" s="20">
        <f>F47*(1-$B$12)-F35-$B$11</f>
        <v>1.189147727272727</v>
      </c>
      <c r="G48" s="20">
        <f>G47*(1-$B$12)-G35-$B$11</f>
        <v>5.7497931818181796</v>
      </c>
      <c r="H48" s="20">
        <f>H47*(1-$B$12)-H35-$B$11</f>
        <v>4.546227272727272</v>
      </c>
      <c r="I48" s="20">
        <f>I47*(1-$B$12)-I35-$B$11</f>
        <v>4.0837227272727255</v>
      </c>
      <c r="J48" s="20">
        <f>J47*(1-$B$12)-J35-$B$11</f>
        <v>6.581513636363635</v>
      </c>
      <c r="K48" s="20">
        <f>K47*(1-$B$12)-K35-$B$11</f>
        <v>11.26471363636363</v>
      </c>
      <c r="L48" s="20">
        <f>L47*(1-$B$12)-L35-$B$11</f>
        <v>8.952066115702477</v>
      </c>
    </row>
    <row r="49">
      <c r="A49" s="29" t="inlineStr">
        <is>
          <t>Plataforma: margen (%)</t>
        </is>
      </c>
      <c r="D49" s="17">
        <f>D48/D47</f>
        <v>0.31794742163801815</v>
      </c>
      <c r="E49" s="17">
        <f>E48/E47</f>
        <v>0.306972049689441</v>
      </c>
      <c r="F49" s="17">
        <f>F48/F47</f>
        <v>0.28436141304347823</v>
      </c>
      <c r="G49" s="17">
        <f>G48/G47</f>
        <v>0.3353537910922587</v>
      </c>
      <c r="H49" s="17">
        <f>H48/H47</f>
        <v>0.34788521739130435</v>
      </c>
      <c r="I49" s="17">
        <f>I48/I47</f>
        <v>0.4111757437070937</v>
      </c>
      <c r="J49" s="17">
        <f>J48/J47</f>
        <v>0.4341628185907046</v>
      </c>
      <c r="K49" s="17">
        <f>K48/K47</f>
        <v>0.36036600261742024</v>
      </c>
      <c r="L49" s="17">
        <f>L48/L47</f>
        <v>0.3939410470423508</v>
      </c>
    </row>
    <row r="50" ht="32" customHeight="1">
      <c r="A50" s="29" t="inlineStr">
        <is>
          <t>Puesto por margen en mostrador (1 = el que más deja)</t>
        </is>
      </c>
      <c r="D50" s="23">
        <f>1+COUNTIF($D$45:$L$45,"&gt;"&amp;D45)</f>
        <v>6.0</v>
      </c>
      <c r="E50" s="23">
        <f>1+COUNTIF($D$45:$L$45,"&gt;"&amp;E45)</f>
        <v>8.0</v>
      </c>
      <c r="F50" s="23">
        <f>1+COUNTIF($D$45:$L$45,"&gt;"&amp;F45)</f>
        <v>9.0</v>
      </c>
      <c r="G50" s="23">
        <f>1+COUNTIF($D$45:$L$45,"&gt;"&amp;G45)</f>
        <v>4.0</v>
      </c>
      <c r="H50" s="23">
        <f>1+COUNTIF($D$45:$L$45,"&gt;"&amp;H45)</f>
        <v>5.0</v>
      </c>
      <c r="I50" s="23">
        <f>1+COUNTIF($D$45:$L$45,"&gt;"&amp;I45)</f>
        <v>7.0</v>
      </c>
      <c r="J50" s="23">
        <f>1+COUNTIF($D$45:$L$45,"&gt;"&amp;J45)</f>
        <v>3.0</v>
      </c>
      <c r="K50" s="23">
        <f>1+COUNTIF($D$45:$L$45,"&gt;"&amp;K45)</f>
        <v>1.0</v>
      </c>
      <c r="L50" s="23">
        <f>1+COUNTIF($D$45:$L$45,"&gt;"&amp;L45)</f>
        <v>2.0</v>
      </c>
    </row>
    <row r="52" ht="48" customHeight="1">
      <c r="A52" s="36" t="inlineStr">
        <is>
          <t>El food cost de la tabla es el del plato servido en sala. En el mostrador y el encargo se descuenta el envase del pedido; en la plataforma, además, se sube el precio con el recargo y se descuenta la comisión sobre ese precio. AVISO FIJO: en la plataforma, vende el pollo entero con patatas asadas: las fritas llegan blandas. Las bebidas sueltas no están en este escandallo.</t>
        </is>
      </c>
    </row>
  </sheetData>
  <sheetProtection selectLockedCells="0" selectUnlockedCells="0" sheet="1" objects="0" insertRows="1" insertHyperlinks="1" autoFilter="1" scenarios="0" formatColumns="1" deleteColumns="1" insertColumns="1" pivotTables="1" deleteRows="1" formatCells="1" formatRows="1" sort="1"/>
  <mergeCells count="11">
    <mergeCell ref="D5:M5"/>
    <mergeCell ref="D13:M13"/>
    <mergeCell ref="D12:M12"/>
    <mergeCell ref="D9:M9"/>
    <mergeCell ref="D7:M7"/>
    <mergeCell ref="D8:M8"/>
    <mergeCell ref="D6:M6"/>
    <mergeCell ref="D10:M10"/>
    <mergeCell ref="A2:M2"/>
    <mergeCell ref="A52:M52"/>
    <mergeCell ref="D11:M11"/>
  </mergeCells>
  <conditionalFormatting sqref="D38:L38">
    <cfRule type="expression" priority="1" dxfId="0">
      <formula>D38="En objetivo"</formula>
    </cfRule>
    <cfRule type="expression" priority="2" dxfId="2">
      <formula>D38="Vigila el coste"</formula>
    </cfRule>
    <cfRule type="expression" priority="3" dxfId="1">
      <formula>D38="Por encima del objetivo"</formula>
    </cfRule>
  </conditionalFormatting>
  <dataValidations count="3">
    <dataValidation sqref="B5 B6 B7 B9 B10 B12 B13" showDropDown="0" showInputMessage="0" showErrorMessage="1" allowBlank="0" errorTitle="Porcentaje no válido" error="Escribe un porcentaje entre 0 y 0,9 (0,1 = 10 %)." type="decimal" operator="between">
      <formula1>0</formula1>
      <formula2>0.9</formula2>
    </dataValidation>
    <dataValidation sqref="B8" showDropDown="0" showInputMessage="0" showErrorMessage="1" allowBlank="0" errorTitle="Objetivo no válido" error="El objetivo no puede ser 0 (se divide entre él): escribe entre 0,01 y 0,9." type="decimal" operator="between">
      <formula1>0.01</formula1>
      <formula2>0.9</formula2>
    </dataValidation>
    <dataValidation sqref="B11 B19 B20 B21 B22 B23 B24 B25 B28 B29 D16 D17 D18 D19 D20 D21 D22 D23 D24 D25 D27 D28 D29 E16 E17 E18 E19 E20 E21 E22 E23 E24 E25 E27 E28 E29 F16 F17 F18 F19 F20 F21 F22 F23 F24 F25 F27 F28 F29 G16 G17 G18 G19 G20 G21 G22 G23 G24 G25 G27 G28 G29 H16 H17 H18 H19 H20 H21 H22 H23 H24 H25 H27 H28 H29 I16 I17 I18 I19 I20 I21 I22 I23 I24 I25 I27 I28 I29 J16 J17 J18 J19 J20 J21 J22 J23 J24 J25 J27 J28 J29 K16 K17 K18 K19 K20 K21 K22 K23 K24 K25 K27 K28 K29 L16 L17 L18 L19 L20 L21 L22 L23 L24 L25 L27 L28 L29" showDropDown="0" showInputMessage="0" showErrorMessage="1" allowBlank="0" errorTitle="Importe no válido" error="Escribe un número mayor o igual que 0." type="decimal" operator="greaterThanOrEqual">
      <formula1>0</formula1>
    </dataValidation>
  </dataValidations>
  <printOptions horizontalCentered="1"/>
  <pageMargins left="0.75" right="0.75" top="1" bottom="1" header="0.5" footer="0.5"/>
  <pageSetup orientation="landscape" paperSize="9" fitToHeight="0" fitToWidth="1"/>
  <headerFooter>
    <oddHeader/>
    <oddFooter>&amp;Caichef.pro/plan-negocio-polleria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27"/>
  <sheetViews>
    <sheetView showGridLines="0" workbookViewId="0">
      <selection activeCell="A1" sqref="A1"/>
    </sheetView>
  </sheetViews>
  <sheetFormatPr baseColWidth="8" defaultRowHeight="15"/>
  <cols>
    <col width="110" customWidth="1" min="1" max="1"/>
  </cols>
  <sheetData>
    <row r="1">
      <c r="A1" s="37" t="inlineStr">
        <is>
          <t>INSTRUCCIONES DE USO — Calculadora del pollo, el asador y el escandallo</t>
        </is>
      </c>
    </row>
    <row r="2" ht="75" customHeight="1">
      <c r="A2" s="2" t="inlineStr">
        <is>
          <t>Tres herramientas en un libro: la hoja «Pollo» te dice cuánto pesa un pollo asado, cuánto cuesta cada kilo y cada ración y cuántos pollos necesitas para un número de personas; la hoja «Asador» compara la capacidad de tus espadas con la punta del domingo y la de agosto; la hoja «Escandallo» calcula el coste, el food cost, el margen y el precio de carta del pollo entero, el medio, el cuarto y 6 combos, con el margen en sala, en el mostrador y en la plataforma. Solo se escribe en las celdas VERDES; lo demás se calcula.</t>
        </is>
      </c>
    </row>
    <row r="3" ht="30" customHeight="1">
      <c r="A3" s="2" t="inlineStr">
        <is>
          <t>Todos los valores por defecto son una estimación del kit, editable: son ejemplos coherentes con el caso del plan de negocio, no precios de nadie. Cámbialos por los de tu proveedor y por lo que midas en tu cocina antes de decidir precios.</t>
        </is>
      </c>
    </row>
    <row r="4">
      <c r="A4" s="29" t="inlineStr">
        <is>
          <t>HOJA «POLLO»</t>
        </is>
      </c>
    </row>
    <row r="6" ht="45" customHeight="1">
      <c r="A6" s="2" t="inlineStr">
        <is>
          <t>1. Cómo medir el rendimiento. Pesa 5 pollos crudos de la misma tanda, asa los 5 juntos y pésalos otra vez al sacarlos, ya escurridos. Divide el peso asado entre el peso en canal y usa la media: es tu rendimiento real. La referencia del USDA es 78 %, con un rango de 68 a 84 %.</t>
        </is>
      </c>
    </row>
    <row r="7" ht="45" customHeight="1">
      <c r="A7" s="2" t="inlineStr">
        <is>
          <t>2. El resultado más útil es el coste por pollo entero y por kilo asado, que alimentan el escandallo, y los pollos que tienes que pedir para un encargo o un evento. Fíjate también en el coste de los sobrantes que se tiran: los pollos que quedan al cerrar y no se reaprovechan son dinero perdido.</t>
        </is>
      </c>
    </row>
    <row r="8" ht="60" customHeight="1">
      <c r="A8" s="2" t="inlineStr">
        <is>
          <t>3. Seguridad alimentaria. Mide la temperatura en el muslo con sonda: 74 °C o más es el criterio de este kit para dar un pollo por hecho, no una temperatura fijada por una norma. En la vitrina caliente, mantén 63 °C o más y fija en tu APPCC una hora límite propia. El sobrante que vayas a reaprovechar se enfría de 60 a 10 °C en menos de 2 horas (RD 1086/2020, art. 30) y se recalienta a 74 °C o más.</t>
        </is>
      </c>
    </row>
    <row r="9">
      <c r="A9" s="29" t="inlineStr">
        <is>
          <t>HOJA «ASADOR»</t>
        </is>
      </c>
    </row>
    <row r="11" ht="45" customHeight="1">
      <c r="A11" s="2" t="inlineStr">
        <is>
          <t>1. Escribe tus espadas, los pollos por espada y los minutos de asado. El tiempo de asado no tiene fuente publicada: cronometra una tanda desde que enciendes hasta que el muslo llega a 74 °C, con el calibre que compras. Suma los minutos de carga y descarga.</t>
        </is>
      </c>
    </row>
    <row r="12" ht="45" customHeight="1">
      <c r="A12" s="2" t="inlineStr">
        <is>
          <t>2. Escribe la hora del primer encendido y la hora límite en que quieres tener los pollos asados (la punta del domingo termina hacia las 15:00). La hoja cuenta las tandas completas que caben, la capacidad y si cubres la punta de un domingo normal y la de agosto.</t>
        </is>
      </c>
    </row>
    <row r="13" ht="45" customHeight="1">
      <c r="A13" s="2" t="inlineStr">
        <is>
          <t>3. El encendido más tardío es la hora a la que tienes que encender el asador para no quedarte corto en la punta. El gas por pollo usa la potencia media y el precio del gas que pongas: es una estimación, compruébala con tu factura o tu bombona.</t>
        </is>
      </c>
    </row>
    <row r="14">
      <c r="A14" s="29" t="inlineStr">
        <is>
          <t>HOJA «ESCANDALLO»</t>
        </is>
      </c>
    </row>
    <row r="16" ht="30" customHeight="1">
      <c r="A16" s="2" t="inlineStr">
        <is>
          <t>1. Escribe el IVA (10 % la comida, 21 % la bebida que sale del local, 4 % el pan vendido suelto), el food cost objetivo, el margen de vigilancia, la merma de las guarniciones, el envase, la comisión y el recargo de la plataforma.</t>
        </is>
      </c>
    </row>
    <row r="17" ht="60" customHeight="1">
      <c r="A17" s="2" t="inlineStr">
        <is>
          <t>2. En la tabla, cada fila es un ingrediente con su precio por kilo sin IVA. Los gramos de cada plato van en su columna. El pollo se mide en fracciones de pollo entero (1, 0,5, 0,25) y toma su coste de la hoja «Pollo». Si un precio de carta incluye bebida que sale del local o pan vendido suelto, escríbelo en las dos filas de debajo del precio para que el IVA se calcule bien.</t>
        </is>
      </c>
    </row>
    <row r="18" ht="60" customHeight="1">
      <c r="A18" s="2" t="inlineStr">
        <is>
          <t>3. Para cada plato ves el coste, el precio sin IVA, el food cost con semáforo, el margen y el precio de carta con IVA que necesitarías para llegar a tu objetivo. Abajo, el margen en sala, en el mostrador y el encargo y en la plataforma, y el puesto de cada plato por margen. El pollo entero suele quedar por encima del objetivo; los combos con guarniciones lo compensan.</t>
        </is>
      </c>
    </row>
    <row r="19">
      <c r="A19" s="29" t="inlineStr">
        <is>
          <t>PRECIOS, IVA Y FUENTES</t>
        </is>
      </c>
    </row>
    <row r="21" ht="60" customHeight="1">
      <c r="A21" s="2" t="inlineStr">
        <is>
          <t>El IVA de la comida preparada para consumir en el local, para llevar o a domicilio es el 10 % (Ley 37/1992, art. 91). La cerveza, el vino y los refrescos con azúcares o edulcorantes añadidos que salen del local llevan el 21 %; el pan común, el 4 %. El alioli, la ensaladilla y las cremas sin cocción se hacen con ovoproducto, a 8 °C como máximo y se consumen en 24 horas, con fecha y hora de elaboración (RD 1021/2022, art. 9).</t>
        </is>
      </c>
    </row>
    <row r="22" ht="45" customHeight="1">
      <c r="A22" s="2" t="inlineStr">
        <is>
          <t>Los precios y rendimientos salen del estudio de mercado del kit (octubre 2026) y de estimaciones del kit; la referencia de rendimiento viene del USDA. Ninguna cifra de esta calculadora es un dato publicado de tu negocio: sustitúyelas por las tuyas.</t>
        </is>
      </c>
    </row>
    <row r="24">
      <c r="A24" s="2" t="inlineStr">
        <is>
          <t>Para editar una celda que no esté en verde: Revisar → Desproteger hoja (no tiene contraseña).</t>
        </is>
      </c>
    </row>
    <row r="25">
      <c r="A25" s="2" t="inlineStr">
        <is>
          <t>Más plantillas y kits del catálogo en aichef.pro/productos-digitales</t>
        </is>
      </c>
    </row>
    <row r="26">
      <c r="A26" s="2" t="inlineStr">
        <is>
          <t>Diseñado por John Guerrero — chef y consultor gastronómico desde 2010, en cocina desde los 17 años · johnguerrero.es</t>
        </is>
      </c>
    </row>
    <row r="27">
      <c r="A27" s="2" t="inlineStr">
        <is>
          <t>Versión 1.0 · noviembre 2026 · aichef.pro/plan-negocio-polleria · info@aichef.pro</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9" fitToHeight="0" fitToWidth="1"/>
  <headerFooter>
    <oddHeader/>
    <oddFooter>&amp;Caichef.pro/plan-negocio-polleria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del pollo, el asador y el escandallo · v1.0</dc:title>
  <dc:description xmlns:dc="http://purl.org/dc/elements/1.1/">aichef.pro/plan-negocio-polleria</dc:description>
  <dc:subject xmlns:dc="http://purl.org/dc/elements/1.1/">Plan de Negocio: Pollería y Asador de Pollos</dc:subject>
  <dcterms:created xmlns:dcterms="http://purl.org/dc/terms/" xmlns:xsi="http://www.w3.org/2001/XMLSchema-instance" xsi:type="dcterms:W3CDTF">2026-10-29T12:49:51Z</dcterms:created>
  <dcterms:modified xmlns:dcterms="http://purl.org/dc/terms/" xmlns:xsi="http://www.w3.org/2001/XMLSchema-instance" xsi:type="dcterms:W3CDTF">2026-10-29T12:49:51Z</dcterms:modified>
  <cp:lastModifiedBy>AI Chef Pro</cp:lastModifiedBy>
  <cp:keywords>plan negocio pollería, calculadora asador de pollos, escandallo pollo asado, AI Chef Pro</cp:keywords>
</cp:coreProperties>
</file>