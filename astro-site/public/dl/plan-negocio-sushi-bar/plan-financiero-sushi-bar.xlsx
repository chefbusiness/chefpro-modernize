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2" fillId="0" borderId="0" pivotButton="0" quotePrefix="0" xfId="0"/>
    <xf numFmtId="165" fontId="9" fillId="0" borderId="3" pivotButton="0" quotePrefix="0" xfId="0"/>
    <xf numFmtId="166" fontId="11"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6" fontId="9" fillId="4" borderId="3" applyProtection="1" pivotButton="0" quotePrefix="0" xfId="0">
      <protection locked="0" hidden="0"/>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Comensales/día (media del año 1)</t>
        </is>
      </c>
      <c r="B4" s="18" t="n">
        <v>79</v>
      </c>
      <c r="C4" t="inlineStr">
        <is>
          <t>Comensales equivalentes al día, media del año: unos 45 en sala (barra y mesas) y unos 34 de para llevar y domicilio, que son los pedidos (unos 8,5 para recoger y 13 de plataforma al día) contando cada pedido como 1,6 comensales. Un sábado, unos 114 con los pedidos; un martes, unos 52. Contrástalo con el paso de gente de tu calle un viernes por la noche y un martes a mediodía</t>
        </is>
      </c>
    </row>
    <row r="5">
      <c r="A5" t="inlineStr">
        <is>
          <t>Ticket medio SIN IVA (€)</t>
        </is>
      </c>
      <c r="B5" s="63" t="n">
        <v>20</v>
      </c>
      <c r="C5" t="inlineStr">
        <is>
          <t>SIN IVA, por comensal: en sala, el menú del día de mediodía (14,90 € con IVA, un 30 % de la sala) y la cena o el fin de semana (28,60 € con IVA) dejan unos 22,26 € sin IVA; el pedido para llevar (de media 27,00 € con IVA: un combinado y algún extra) sale a 15,34 € por comensal equivalente y el de plataforma, con la carta un 15 % más cara y un pedido algo mayor, a 18,47 €. La media de los tres canales da 20,08 €; el caso se queda en 20,00 €. El precio con IVA está en la fila «PVP equivalente con IVA» de abajo</t>
        </is>
      </c>
    </row>
    <row r="6">
      <c r="A6" t="inlineStr">
        <is>
          <t>Días de apertura al año</t>
        </is>
      </c>
      <c r="B6" s="18" t="n">
        <v>300</v>
      </c>
      <c r="C6" t="inlineStr">
        <is>
          <t>365 días menos los 52 lunes de cierre, 10 días de cierre en agosto y 3 festivos sueltos (Navidad, Año Nuevo y Reyes). Es el MISMO dato para la cuenta de resultados, el punto de equilibrio, los escenarios y las horas de personal</t>
        </is>
      </c>
    </row>
    <row r="7">
      <c r="A7" t="inlineStr">
        <is>
          <t>Crecimiento de volumen del año 2</t>
        </is>
      </c>
      <c r="B7" s="64" t="n">
        <v>0.06</v>
      </c>
      <c r="C7" t="inlineStr">
        <is>
          <t>Clientela que repite y más pedidos para llevar el segundo año. Se aplica a los comensales con el mismo ticket; el personal NO sube con este porcentaje: sale de la hoja Personal</t>
        </is>
      </c>
    </row>
    <row r="8">
      <c r="A8" t="inlineStr">
        <is>
          <t>Crecimiento de volumen del año 3</t>
        </is>
      </c>
      <c r="B8" s="64" t="n">
        <v>0.04</v>
      </c>
      <c r="C8" t="inlineStr">
        <is>
          <t>Sobre el año 2. Conservador: el techo lo ponen la barra, las 36 plazas los viernes y los sábados por la noche y lo que puede cortar un solo itamae</t>
        </is>
      </c>
    </row>
    <row r="9">
      <c r="A9" t="inlineStr">
        <is>
          <t>PVP equivalente con IVA (calculado)</t>
        </is>
      </c>
      <c r="B9" s="65">
        <f>IFERROR(IF($B$5="","",$B$5*(1+SUMPRODUCT('PyG 3 Años'!$E$10:$E$11,'PyG 3 Años'!$G$10:$G$11))),"")</f>
        <v>22.023100000000003</v>
      </c>
      <c r="C9" t="str">
        <f>IFERROR("Ticket sin IVA más el IVA medio ponderado de tus líneas de venta: "&amp;TEXT(SUMPRODUCT('PyG 3 Años'!$E$10:$E$11,'PyG 3 Años'!$G$10:$G$11)*100,"0")&amp;" %. En sala todo va al 10 % (art. 91.Uno.2.2.º de la Ley 37/1992, alcohol incluido); la bebida que sale para llevar o a domicilio (columna H de su línea en el P&amp;L) mueve la media. Aquí va redondeado. Compáralo con el rango del sector, que va con IVA.","")</f>
        <v>Ticket sin IVA más el IVA medio ponderado de tus líneas de venta: 10 %. En sala todo va al 10 % (art. 91.Uno.2.2.º de la Ley 37/1992, alcohol incluido); la bebida que sale para llevar o a domicilio (columna H de su línea en el P&amp;L) mueve la media. Aquí va redondeado. Compáralo con el rango del sector, que va con IVA.</v>
      </c>
    </row>
    <row r="10">
      <c r="A10" s="16" t="inlineStr">
        <is>
          <t>MIX Y COSTE DE MERCANCÍA</t>
        </is>
      </c>
    </row>
    <row r="11">
      <c r="A11" t="inlineStr">
        <is>
          <t>Ventas de COMIDA sobre el total</t>
        </is>
      </c>
      <c r="B11" s="64" t="n">
        <v>0.85</v>
      </c>
      <c r="C11" t="inlineStr">
        <is>
          <t>Peso de la COMIDA sobre el total de ventas. Es un INPUT: cámbialo aquí y el P&amp;L, la tesorería y el IVA repercutido se recalculan solos</t>
        </is>
      </c>
    </row>
    <row r="12">
      <c r="A12" t="inlineStr">
        <is>
          <t>Ventas de BEBIDA sobre el total</t>
        </is>
      </c>
      <c r="B12" s="66">
        <f>IFERROR(IF(COUNT(B11)=0,"",1-B11),"")</f>
        <v>0.15000000000000002</v>
      </c>
      <c r="C12" t="inlineStr">
        <is>
          <t>Se calcula como el resto: comida + bebida = 100 %</t>
        </is>
      </c>
    </row>
    <row r="13">
      <c r="A13" t="inlineStr">
        <is>
          <t>Coste de mercancía sobre las ventas de COMIDA</t>
        </is>
      </c>
      <c r="B13" s="64" t="n">
        <v>0.29</v>
      </c>
      <c r="C13" t="inlineStr">
        <is>
          <t>Materia prima de la comida sobre sus ventas: un 29 %, el lado prudente. El escandallo teórico de la calculadora del pack sale en un 16 % de media ponderada (el nigiri de salmón, en un 11 %; el combinado de 24 piezas, en un 16 %), pero la cuenta real es lo que compras frente a lo que vendes: se pierden la merma del pescado que no se vende en la vitrina y del recorte que no se reaprovecha, la neta y el shari que pesan más que en el escandallo, el shari, el nori y las salsas que se tiran al cierre, las comidas del personal, las invitaciones y los errores de pedido y el menú del día, que deja poco margen; y el pescado es un precio estimado por el kit. Un japonés con pescado de calidad trabaja con un 30-35 %. Mide tu consumo el primer trimestre y cambia esta celda: cada punto vale unos 4.000 € al año</t>
        </is>
      </c>
    </row>
    <row r="14">
      <c r="A14" t="inlineStr">
        <is>
          <t>Coste de mercancía sobre las ventas de BEBIDA</t>
        </is>
      </c>
      <c r="B14" s="64" t="n">
        <v>0.28</v>
      </c>
      <c r="C14" t="inlineStr">
        <is>
          <t>Cerveza japonesa al 32 %, sake y vino al 30 %, refrescos y agua al 28 % y té al 10 % de su precio de venta, en una mezcla de 45/20/25/10. Pide el precio del sake y de la cerveza japonesa por escrito: dependen de un importador</t>
        </is>
      </c>
    </row>
    <row r="15">
      <c r="A15" t="inlineStr">
        <is>
          <t>Consumibles sobre ventas</t>
        </is>
      </c>
      <c r="B15" s="64" t="n">
        <v>0.03</v>
      </c>
      <c r="C15" t="inlineStr">
        <is>
          <t>Cajas de sushi, tarrinas de soja, palillos, bolsas, servilletas y toallitas (unos 0,90-1,20 € por pedido que sale del local) y los envases para que el cliente se lleve lo que no consuma (Ley 1/2025, art. 8). El envase de plástico de un solo uso se cobra aparte en el tique (Ley 7/2022, art. 55)</t>
        </is>
      </c>
    </row>
    <row r="16">
      <c r="A16" t="inlineStr">
        <is>
          <t>Ventas por delivery sobre el total</t>
        </is>
      </c>
      <c r="B16" s="64" t="n">
        <v>0.24</v>
      </c>
      <c r="C16" t="inlineStr">
        <is>
          <t>Ventas por PLATAFORMA con su reparto (Glovo, Just Eat, Uber Eats) sobre el total. Lo que se recoge en el local NO paga comisión y no va aquí: empújalo. El combinado viaja bien; la tempura y las gyozas llegan peor: no subas de aquí sin probarlo</t>
        </is>
      </c>
    </row>
    <row r="17">
      <c r="A17" t="inlineStr">
        <is>
          <t>Comisión de la plataforma de delivery</t>
        </is>
      </c>
      <c r="B17" s="64" t="n">
        <v>0.3</v>
      </c>
      <c r="C17" t="inlineStr">
        <is>
          <t>Comisión de la plataforma con su reparto sobre lo que vende ese canal: el plan básico de Uber Eats ronda el 30 % más IVA, Glovo va del 15 al 35 % según la zona y Just Eat, del 13 al 35 %. Compruébala en tu contrato. Si repartes tú, pon 0 y suma el repartidor, con contrato laboral, a la hoja Personal</t>
        </is>
      </c>
    </row>
    <row r="18">
      <c r="A18" t="inlineStr">
        <is>
          <t>Comisión de los medios de pago</t>
        </is>
      </c>
      <c r="B18" s="64" t="n">
        <v>0.008</v>
      </c>
      <c r="C18" t="inlineStr">
        <is>
          <t>Tarjeta y bizum sobre el total facturado</t>
        </is>
      </c>
    </row>
    <row r="19">
      <c r="A19" s="16" t="inlineStr">
        <is>
          <t>PERSONAL</t>
        </is>
      </c>
    </row>
    <row r="20">
      <c r="A20" t="inlineStr">
        <is>
          <t>Seguridad Social a cargo de la empresa</t>
        </is>
      </c>
      <c r="B20" s="64"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LOCAL Y FIJOS</t>
        </is>
      </c>
    </row>
    <row r="24">
      <c r="A24" t="inlineStr">
        <is>
          <t>Alquiler mensual del local (€)</t>
        </is>
      </c>
      <c r="B24" s="23" t="n">
        <v>1600</v>
      </c>
      <c r="C24" t="inlineStr">
        <is>
          <t>Local de 95 m² que ya fue de restauración, con salida de humos a cubierta posible: barra de sushi a la vista con 8 taburetes, sala de 28 plazas, cocina eléctrica, cuarto frío y una zona de empaquetado de pedidos junto a la puerta, en un barrio con vida de noche de una ciudad de 150.000 a 500.000 habitantes, sin traspaso: unos 17 € el m². El peso sobre las ventas lo calcula el propio libro en la fila «Alquiler / Ventas» del P&amp;L</t>
        </is>
      </c>
    </row>
    <row r="25">
      <c r="A25" t="inlineStr">
        <is>
          <t>Fianza del alquiler (meses)</t>
        </is>
      </c>
      <c r="B25" s="18" t="n">
        <v>2</v>
      </c>
      <c r="C25" t="inlineStr">
        <is>
          <t>Dos meses de renta, lo habitual en un contrato de local de negocio: compruébalo con tu abogado</t>
        </is>
      </c>
    </row>
    <row r="26">
      <c r="A26" t="inlineStr">
        <is>
          <t>Suministros mensuales de luz, agua y gas (€)</t>
        </is>
      </c>
      <c r="B26" s="23" t="n">
        <v>1100</v>
      </c>
      <c r="C26" t="inlineStr">
        <is>
          <t>Luz (la cocina es eléctrica: arroceras, inducción, freidora y plancha; el frío del pescado y el congelador de −20 °C, la extracción y la climatización) y agua. Pide el histórico del local</t>
        </is>
      </c>
    </row>
    <row r="27">
      <c r="A27" t="inlineStr">
        <is>
          <t>Seguros (€/año)</t>
        </is>
      </c>
      <c r="B27" s="23" t="n">
        <v>1800</v>
      </c>
      <c r="C27" t="inlineStr">
        <is>
          <t>Responsabilidad civil de al menos 300.000 € y multirriesgo con incendio y avería del frío, que es el pescado de la cámara y del congelador. Dile a la aseguradora que sirves pescado crudo y que trabajas con freidora: cambia la prima y las condiciones</t>
        </is>
      </c>
    </row>
    <row r="28">
      <c r="A28" t="inlineStr">
        <is>
          <t>Varios e imprevistos sobre ventas</t>
        </is>
      </c>
      <c r="B28" s="64" t="n">
        <v>0.02</v>
      </c>
      <c r="C28" t="inlineStr">
        <is>
          <t>Colchón de gasto corriente no presupuestado (pequeñas reparaciones, utillaje que se rompe, pruebas de carta)</t>
        </is>
      </c>
    </row>
    <row r="29">
      <c r="A29" s="16" t="inlineStr">
        <is>
          <t>FINANCIACIÓN</t>
        </is>
      </c>
    </row>
    <row r="30">
      <c r="A30" t="inlineStr">
        <is>
          <t>Recursos propios aportados (€)</t>
        </is>
      </c>
      <c r="B30" s="23" t="n">
        <v>55000</v>
      </c>
      <c r="C30" t="inlineStr">
        <is>
          <t>Aportación de los socios. Un banco pide entre el 25 y el 30 % de la necesidad de caja con dinero propio</t>
        </is>
      </c>
    </row>
    <row r="31">
      <c r="A31" t="inlineStr">
        <is>
          <t>Préstamo bancario solicitado (€)</t>
        </is>
      </c>
      <c r="B31" s="23" t="n">
        <v>131000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4" t="n">
        <v>0.06</v>
      </c>
      <c r="C32" t="inlineStr">
        <is>
          <t>Tipo nominal anual. Pide oferta a dos entidades y a una línea ICO antes de fijarlo; el frío y el equipo de cocina se pueden pagar con leasing o renting: compáralo</t>
        </is>
      </c>
    </row>
    <row r="33">
      <c r="A33" t="inlineStr">
        <is>
          <t>Plazo del préstamo (años)</t>
        </is>
      </c>
      <c r="B33" s="18" t="n">
        <v>7</v>
      </c>
      <c r="C33" t="inlineStr">
        <is>
          <t>Años totales, carencia incluida</t>
        </is>
      </c>
    </row>
    <row r="34">
      <c r="A34" t="inlineStr">
        <is>
          <t>Carencia de principal (años)</t>
        </is>
      </c>
      <c r="B34" s="18" t="n">
        <v>1</v>
      </c>
      <c r="C34" t="inlineStr">
        <is>
          <t>El primer año sólo intereses: la obra de la barra, el conducto de extracción y la cocina antes de facturar. Desde el segundo año se devuelve el principal: mira la holgura de caja de ese año en el Punto de Equilibrio</t>
        </is>
      </c>
    </row>
    <row r="35">
      <c r="A35" t="inlineStr">
        <is>
          <t>Fondo de maniobra (meses de costes fijos)</t>
        </is>
      </c>
      <c r="B35" s="18" t="n">
        <v>3</v>
      </c>
      <c r="C35" t="inlineStr">
        <is>
          <t>Tres meses de costes fijos: el colchón para la rampa del arranque, que con el Mes 1 en enero va de enero a abril, y para agosto, el mes más flojo del año</t>
        </is>
      </c>
    </row>
    <row r="36">
      <c r="A36" s="16" t="inlineStr">
        <is>
          <t>FISCAL</t>
        </is>
      </c>
    </row>
    <row r="37">
      <c r="A37" t="inlineStr">
        <is>
          <t>Impuesto de Sociedades, nueva creación</t>
        </is>
      </c>
      <c r="B37" s="6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4" t="n">
        <v>0.1</v>
      </c>
      <c r="C39" t="inlineStr">
        <is>
          <t>Tipo reducido de hostelería</t>
        </is>
      </c>
    </row>
    <row r="40">
      <c r="A40" t="inlineStr">
        <is>
          <t>IVA repercutido/soportado general</t>
        </is>
      </c>
      <c r="B40" s="64" t="n">
        <v>0.21</v>
      </c>
      <c r="C40" t="inlineStr">
        <is>
          <t>Tipo general. En este libro lo usan dos cosas: el IVA que soportas al comprar el alcohol (el proveedor lo factura al 21 %) y el que repercutes por la bebida que sale para llevar o a domicilio (es una entrega de bienes). El alcohol servido en sala va al reducido, como fija la línea de bebida del P&amp;L. Suministros, equipamiento y servicios tienen su tipo en la celda de abajo. En las compras, el libro manda al general la parte de la bebida que declara la celda «Bebida que compras al 21 %» de esta hoja: la cerveza, el sake, el vino y los refrescos con azúcares o edulcorantes añadidos, cuya factura va al 21 % (art. 91.Uno.1.1.º de la Ley 37/1992)</t>
        </is>
      </c>
    </row>
    <row r="41">
      <c r="A41" t="inlineStr">
        <is>
          <t>IVA soportado en compras e inversión</t>
        </is>
      </c>
      <c r="B41" s="64"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10</v>
      </c>
      <c r="C44" t="inlineStr">
        <is>
          <t>Obra y barra de sushi, conducto de extracción hasta cubierta, instalación eléctrica, fontanería, climatización, rótulo y fachada. Coeficientes de la tabla del art. 12.1 de la Ley del Impuesto sobre Sociedades: confírmalo con tu asesor</t>
        </is>
      </c>
    </row>
    <row r="45">
      <c r="A45" t="inlineStr">
        <is>
          <t>Vida útil de maquinaria y mobiliario (años)</t>
        </is>
      </c>
      <c r="B45" s="18" t="n">
        <v>10</v>
      </c>
      <c r="C45" t="inlineStr">
        <is>
          <t>Vitrina de sushi, arroceras, congelador, cocina caliente, campana extractora, frío, lavavajillas, utillaje, mobiliario y TPV: un 10 % anual, dentro del coeficiente máximo de la tabla del art. 12.1 de la Ley del Impuesto sobre Sociedades para la maquinaria (12 %) y para el mobiliario (10 %). Confírmalo con tu asesor</t>
        </is>
      </c>
    </row>
    <row r="46"/>
    <row r="47">
      <c r="A47" s="16" t="inlineStr">
        <is>
          <t>CRECIMIENTO Y ACTUALIZACIÓN DE COSTES</t>
        </is>
      </c>
    </row>
    <row r="48">
      <c r="A48" t="inlineStr">
        <is>
          <t>Subida anual de los costes fijos</t>
        </is>
      </c>
      <c r="B48" s="64" t="n">
        <v>0</v>
      </c>
      <c r="C48" t="inlineStr">
        <is>
          <t>A CERO: las tres columnas están en euros del año 1 (términos reales). Súbela si quieres proyectar en euros corrientes</t>
        </is>
      </c>
    </row>
    <row r="49">
      <c r="A49" s="16" t="inlineStr">
        <is>
          <t>ARRANQUE Y AFORO</t>
        </is>
      </c>
    </row>
    <row r="50">
      <c r="A50" t="inlineStr">
        <is>
          <t>Rotaciones al día implícitas (calculado)</t>
        </is>
      </c>
      <c r="B50" s="24">
        <f>IFERROR($B$4/$B$51,"")</f>
        <v>2.1944444444444446</v>
      </c>
      <c r="C50" t="str">
        <f>IFERROR("Son "&amp;TEXT(INT(ROUND(B50,1)),"0")&amp;","&amp;TEXT(ROUND(MOD(ROUND(B50,1),1)*10,0),"0")&amp;" servicios por plaza y día sobre las "&amp;TEXT($B$51,"0")&amp;" plazas de la celda de arriba. Incluye los pedidos para llevar y a domicilio (1 pedido = 1,6 comensales), que no ocupan mesa: la rotación real de tu sala ronda 1,25 por plaza y día.","")</f>
        <v>Son 2,2 servicios por plaza y día sobre las 36 plazas de la celda de arriba. Incluye los pedidos para llevar y a domicilio (1 pedido = 1,6 comensales), que no ocupan mesa: la rotación real de tu sala ronda 1,25 por plaza y día.</v>
      </c>
    </row>
    <row r="51">
      <c r="A51" t="inlineStr">
        <is>
          <t>Aforo del local (plazas sentadas, con la barra)</t>
        </is>
      </c>
      <c r="B51" s="18" t="n">
        <v>36</v>
      </c>
      <c r="C51" t="inlineStr">
        <is>
          <t>Plazas interiores: 8 taburetes en la barra de sushi y 28 en mesa. Quien se lleva el pedido o lo recibe en casa no ocupa mesa: por eso la rotación de la fila de arriba es más alta que la real de tu sala</t>
        </is>
      </c>
    </row>
    <row r="52">
      <c r="A52" t="inlineStr">
        <is>
          <t>Actividad del mes 1 sobre la de crucero</t>
        </is>
      </c>
      <c r="B52" s="64" t="n">
        <v>0.75</v>
      </c>
      <c r="C52" t="inlineStr">
        <is>
          <t>Un sushi bar que abre trae curiosos el primer mes, pero la clientela fija y la nota en las plataformas tardan un trimestre: el Mes 1 (enero) factura un 75 % de lo que facturará a los cuatro meses. Con 100 % se elimina la rampa</t>
        </is>
      </c>
    </row>
    <row r="53">
      <c r="A53" t="inlineStr">
        <is>
          <t>Meses hasta alcanzar el régimen de crucero</t>
        </is>
      </c>
      <c r="B53" s="18" t="n">
        <v>4</v>
      </c>
      <c r="C53" t="inlineStr">
        <is>
          <t>Cuatro meses hasta el ritmo de crucero: de enero a abril</t>
        </is>
      </c>
    </row>
    <row r="54">
      <c r="A54" t="inlineStr">
        <is>
          <t>Meses de alquiler ANTES de abrir (obra y licencias)</t>
        </is>
      </c>
      <c r="B54" s="18" t="n">
        <v>2</v>
      </c>
      <c r="C54" t="inlineStr">
        <is>
          <t>Dos meses de renta antes de abrir: la obra de la barra, el conducto de extracción y la licencia. Si el banco te da el préstamo al empezar la obra, súmale los intereses de esos meses, que este libro no cuenta, y ten en cuenta que la carencia corre desde la firma</t>
        </is>
      </c>
    </row>
    <row r="55">
      <c r="A55" t="inlineStr">
        <is>
          <t>Imprevistos sobre las partidas de OBRA del bloque de local (%)</t>
        </is>
      </c>
      <c r="B55" s="64" t="n">
        <v>0.1</v>
      </c>
      <c r="C55" t="inlineStr">
        <is>
          <t>Colchón sobre la obra y las instalaciones del local, que es donde aparecen las sorpresas (el conducto hasta cubierta, la potencia eléctrica de la cocina, el separador de grasas). Un banco no financia una reforma sin él</t>
        </is>
      </c>
    </row>
    <row r="56"/>
    <row r="57">
      <c r="A57" s="16" t="inlineStr">
        <is>
          <t>COBROS, PAGOS Y DESGLOSE DEL IVA</t>
        </is>
      </c>
    </row>
    <row r="58">
      <c r="A58" t="inlineStr">
        <is>
          <t>Días medios de cobro</t>
        </is>
      </c>
      <c r="B58" s="18" t="n">
        <v>2</v>
      </c>
      <c r="C58" t="inlineStr">
        <is>
          <t>Media ponderada: la sala y lo que se recoge en el local cobran al momento y la plataforma liquida cada semana o cada quince días lo que vende por ella (un 24 % de las ventas). Con liquidación semanal salen unos 2 días</t>
        </is>
      </c>
    </row>
    <row r="59">
      <c r="A59" t="inlineStr">
        <is>
          <t>Días medios de pago a proveedor</t>
        </is>
      </c>
      <c r="B59" s="18" t="n">
        <v>30</v>
      </c>
      <c r="C59" t="inlineStr">
        <is>
          <t>Plazo de pago a los proveedores de pescado, arroz, algas y bebida: lo que te financian. Negócialo por escrito: si el proveedor de pescado te pide pago semanal, baja esta cifra</t>
        </is>
      </c>
    </row>
    <row r="60">
      <c r="A60" t="inlineStr">
        <is>
          <t>Mes de la paga extra de verano</t>
        </is>
      </c>
      <c r="B60" s="18" t="n">
        <v>7</v>
      </c>
      <c r="C60" t="inlineStr">
        <is>
          <t>Mes de la TESORERÍA en el que sale la paga extra de verano: julio es el Mes 7, porque el Mes 1 del plan es enero</t>
        </is>
      </c>
    </row>
    <row r="61">
      <c r="A61" t="inlineStr">
        <is>
          <t>Mes de la paga extra de Navidad</t>
        </is>
      </c>
      <c r="B61" s="18" t="n">
        <v>12</v>
      </c>
      <c r="C61" t="inlineStr">
        <is>
          <t>Mes de la TESORERÍA en el que sale la paga extra de Navidad: diciembre es el Mes 12, porque el Mes 1 del plan es enero</t>
        </is>
      </c>
    </row>
    <row r="62">
      <c r="A62" t="inlineStr">
        <is>
          <t>Bebida que compras al 21 % (cerveza, sake, vino y refrescos con azúcares o edulcorantes añadidos) sobre el total de bebida</t>
        </is>
      </c>
      <c r="B62" s="64" t="n">
        <v>0.75</v>
      </c>
      <c r="C62" t="inlineStr">
        <is>
          <t>Sólo mueve el IVA que SOPORTAS al comprar la bebida: la cerveza, el sake, el vino y los refrescos con azúcares o edulcorantes añadidos te los facturan al 21 %; el agua, el té y lo que no lleve azúcares ni edulcorantes añadidos, al 10 %. Con un 75 % sale un 18,3 %. El IVA que REPERCUTES lo fija la línea de bebida del P&amp;L (columna H)</t>
        </is>
      </c>
    </row>
    <row r="63">
      <c r="A63" t="inlineStr">
        <is>
          <t>IVA de la bebida ALCOHÓLICA servida en sala</t>
        </is>
      </c>
      <c r="B63" s="64" t="n">
        <v>0.1</v>
      </c>
      <c r="C63" t="inlineStr">
        <is>
          <t>SIN EFECTO en este libro: el IVA que repercute la bebida lo fija su línea del P&amp;L. En sala, todo al 10 % (art. 91.Uno.2.2.º de la Ley 37/1992); para llevar o a domicilio, la cerveza, el sake, el vino y los refrescos con azúcares o edulcorantes añadidos, al 21 %, en la columna H de esa línea</t>
        </is>
      </c>
    </row>
    <row r="64">
      <c r="A64" s="16" t="inlineStr">
        <is>
          <t>UMBRALES Y SUELOS DE CONTROL</t>
        </is>
      </c>
    </row>
    <row r="65">
      <c r="A65" t="inlineStr">
        <is>
          <t>DSCR mínimo aceptable</t>
        </is>
      </c>
      <c r="B65" s="25" t="n">
        <v>1</v>
      </c>
      <c r="C65" t="inlineStr">
        <is>
          <t>Por debajo de 1 el negocio no genera para pagar el préstamo. Ponlo en el covenant que te exija tu banco</t>
        </is>
      </c>
    </row>
    <row r="66">
      <c r="A66" t="inlineStr">
        <is>
          <t>DSCR objetivo (verde)</t>
        </is>
      </c>
      <c r="B66" s="25" t="n">
        <v>1.25</v>
      </c>
      <c r="C66" t="inlineStr">
        <is>
          <t>Lo que suele pedir una entidad para dar el préstamo sin garantías adicionales</t>
        </is>
      </c>
    </row>
    <row r="67">
      <c r="A67" t="inlineStr">
        <is>
          <t>Holgura mínima sobre el punto de equilibrio</t>
        </is>
      </c>
      <c r="B67" s="64" t="n">
        <v>0.15</v>
      </c>
      <c r="C67" t="inlineStr">
        <is>
          <t>Cuánto deben superar las ventas previstas a las del equilibrio de caja (costes fijos y cuota del préstamo). La caída que aguantas es algo menor: con un 15 % de holgura, un 13 % de lo previsto</t>
        </is>
      </c>
    </row>
    <row r="68">
      <c r="A68" t="inlineStr">
        <is>
          <t>Suelo salarial anual del convenio provincial (€)</t>
        </is>
      </c>
      <c r="B68" s="23" t="n">
        <v>0</v>
      </c>
      <c r="C68" t="inlineStr">
        <is>
          <t>Los sushi bares van al convenio PROVINCIAL de hostelería: el art. 4 del VI Acuerdo Laboral de ámbito Estatal para el sector de Hostelería no nombra el sushi bar, pero incluye los restaurantes y el reparto de comidas preparadas. Copia aquí el salario base del grupo más bajo de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PLAN DE NEGOCIO: SUSHI BAR</t>
        </is>
      </c>
    </row>
    <row r="2">
      <c r="A2" s="2" t="inlineStr">
        <is>
          <t>Inversión inicial estimada — sushi bar con barra a la vista, mesas, para llevar y a domicilio</t>
        </is>
      </c>
    </row>
    <row r="3">
      <c r="A3" s="3" t="inlineStr">
        <is>
          <t>Ajusta las cifras a tu proyecto: son las de un caso tipo en una ciudad media, sin traspaso. Pon tus presupuestos reales en las celdas de importe.</t>
        </is>
      </c>
    </row>
    <row r="4"/>
    <row r="5">
      <c r="A5" s="26" t="inlineStr">
        <is>
          <t>Concepto</t>
        </is>
      </c>
      <c r="B5" s="26" t="inlineStr">
        <is>
          <t>Importe</t>
        </is>
      </c>
      <c r="C5" s="26" t="inlineStr">
        <is>
          <t>% s/inversión</t>
        </is>
      </c>
      <c r="D5" s="26" t="inlineStr">
        <is>
          <t>Notas</t>
        </is>
      </c>
      <c r="E5" s="26" t="inlineStr">
        <is>
          <t>¿Lleva IVA?</t>
        </is>
      </c>
    </row>
    <row r="6">
      <c r="A6" s="26" t="inlineStr">
        <is>
          <t>INVERSIÓN</t>
        </is>
      </c>
      <c r="B6" s="27">
        <f>IFERROR(IF(COUNT(B7:B27)=0,"",SUM(B7:B27)),"")</f>
        <v>109750.0</v>
      </c>
      <c r="C6" s="67">
        <f>IFERROR(B6/$B$30,"")</f>
        <v>0.6706054066743661</v>
      </c>
      <c r="D6" s="29" t="n"/>
      <c r="E6" s="29" t="n"/>
    </row>
    <row r="7">
      <c r="A7" s="29" t="inlineStr">
        <is>
          <t>Proyecto técnico de actividad y de extracción, y dirección de obra</t>
        </is>
      </c>
      <c r="B7" s="30" t="n">
        <v>3500</v>
      </c>
      <c r="C7" s="68">
        <f>IFERROR(B7/$B$30,"")</f>
        <v>0.02138604941558343</v>
      </c>
      <c r="D7" s="29" t="inlineStr">
        <is>
          <t>Proyecto de la actividad y del conducto de extracción, memoria para la licencia o la declaración responsable y certificado final de obra</t>
        </is>
      </c>
      <c r="E7" s="32" t="inlineStr">
        <is>
          <t>Sí</t>
        </is>
      </c>
    </row>
    <row r="8">
      <c r="A8" s="29" t="inlineStr">
        <is>
          <t>Obra del local con barra de sushi a la vista, rótulo y fachada</t>
        </is>
      </c>
      <c r="B8" s="30" t="n">
        <v>28000</v>
      </c>
      <c r="C8" s="68">
        <f>IFERROR(B8/$B$30,"")</f>
        <v>0.17108839532466744</v>
      </c>
      <c r="D8" s="29" t="inlineStr">
        <is>
          <t>Barra de sushi de obra a la vista, cocina alicatada, cuarto frío, suelo antideslizante, aseos (uno adaptado), falsos techos y aislamiento acústico, más el rótulo y la fachada. Estimación del kit: pide dos presupuestos</t>
        </is>
      </c>
      <c r="E8" s="32" t="inlineStr">
        <is>
          <t>Sí</t>
        </is>
      </c>
    </row>
    <row r="9">
      <c r="A9" s="29" t="inlineStr">
        <is>
          <t>Conducto de extracción exclusivo hasta cubierta</t>
        </is>
      </c>
      <c r="B9" s="30" t="n">
        <v>5000</v>
      </c>
      <c r="C9" s="68">
        <f>IFERROR(B9/$B$30,"")</f>
        <v>0.03055149916511918</v>
      </c>
      <c r="D9" s="29" t="inlineStr">
        <is>
          <t>Conducto exclusivo hasta la cubierta para la freidora de tempura y la plancha de las gyozas: Madrid pide superar en 1 m lo que haya en 15 m (Ordenanza 4/2021). Ningún fabricante da precio por metro: pide oferta con tu proyecto</t>
        </is>
      </c>
      <c r="E9" s="32" t="inlineStr">
        <is>
          <t>Sí</t>
        </is>
      </c>
    </row>
    <row r="10">
      <c r="A10" s="29" t="inlineStr">
        <is>
          <t>Instalación eléctrica, cuadro y boletín</t>
        </is>
      </c>
      <c r="B10" s="30" t="n">
        <v>4500</v>
      </c>
      <c r="C10" s="68">
        <f>IFERROR(B10/$B$30,"")</f>
        <v>0.027496349248607263</v>
      </c>
      <c r="D10" s="29" t="inlineStr">
        <is>
          <t>La cocina es eléctrica (arroceras, inducción, freidora y plancha), más el frío, la extracción y la climatización. Pregunta la potencia disponible ANTES de firmar: una acometida nueva tarda</t>
        </is>
      </c>
      <c r="E10" s="32" t="inlineStr">
        <is>
          <t>Sí</t>
        </is>
      </c>
    </row>
    <row r="11">
      <c r="A11" s="29" t="inlineStr">
        <is>
          <t>Fontanería, separador de grasas y climatización</t>
        </is>
      </c>
      <c r="B11" s="30" t="n">
        <v>7500</v>
      </c>
      <c r="C11" s="68">
        <f>IFERROR(B11/$B$30,"")</f>
        <v>0.045827248747678774</v>
      </c>
      <c r="D11" s="29" t="inlineStr">
        <is>
          <t>Agua fría y caliente en la cocina y en la barra, desagües con separador de grasas y climatización de la sala</t>
        </is>
      </c>
      <c r="E11" s="32" t="inlineStr">
        <is>
          <t>Sí</t>
        </is>
      </c>
    </row>
    <row r="12">
      <c r="A12" s="29" t="inlineStr">
        <is>
          <t>Vitrina refrigerada de sushi para la barra</t>
        </is>
      </c>
      <c r="B12" s="30" t="n">
        <v>2500</v>
      </c>
      <c r="C12" s="68">
        <f>IFERROR(B12/$B$30,"")</f>
        <v>0.01527574958255959</v>
      </c>
      <c r="D12" s="29" t="inlineStr">
        <is>
          <t>La vitrina de la neta (el pescado cortado que va sobre el arroz) a la vista del cliente. Una de 6 cubetas GN 1/3 ronda los 999 € sin IVA y la de barra de gama alta pasa de 4.500 €: el caso cuenta una media</t>
        </is>
      </c>
      <c r="E12" s="32" t="inlineStr">
        <is>
          <t>Sí</t>
        </is>
      </c>
    </row>
    <row r="13">
      <c r="A13" s="29" t="inlineStr">
        <is>
          <t>Arroceras industriales, mantenedor de arroz y hangiri</t>
        </is>
      </c>
      <c r="B13" s="30" t="n">
        <v>1500</v>
      </c>
      <c r="C13" s="68">
        <f>IFERROR(B13/$B$30,"")</f>
        <v>0.009165449749535756</v>
      </c>
      <c r="D13" s="29" t="inlineStr">
        <is>
          <t>Dos arroceras (la de 8 litros ronda los 484 € sin IVA), un mantenedor y el hangiri, la tina de madera donde se aliña el shari. Estimación del kit</t>
        </is>
      </c>
      <c r="E13" s="32" t="inlineStr">
        <is>
          <t>Sí</t>
        </is>
      </c>
    </row>
    <row r="14">
      <c r="A14" s="29" t="inlineStr">
        <is>
          <t>Armario congelador de -20 °C con registrador y arcón</t>
        </is>
      </c>
      <c r="B14" s="30" t="n">
        <v>2000</v>
      </c>
      <c r="C14" s="68">
        <f>IFERROR(B14/$B$30,"")</f>
        <v>0.012220599666047674</v>
      </c>
      <c r="D14" s="29" t="inlineStr">
        <is>
          <t>El congelador del anisakis tiene que llevar el pescado a -20 °C o menos en la totalidad del producto durante al menos 24 horas, o a -35 °C o menos 15 horas (RD 1021/2022, art. 8.1), y registrar la temperatura; un congelador que sólo marca -18 °C no sirve para eso. El arcón, para el resto del congelado. Estimación del kit: pide la ficha técnica</t>
        </is>
      </c>
      <c r="E14" s="32" t="inlineStr">
        <is>
          <t>Sí</t>
        </is>
      </c>
    </row>
    <row r="15">
      <c r="A15" s="29" t="inlineStr">
        <is>
          <t>Cocina caliente: inducción, freidora de tempura y plancha</t>
        </is>
      </c>
      <c r="B15" s="30" t="n">
        <v>3500</v>
      </c>
      <c r="C15" s="68">
        <f>IFERROR(B15/$B$30,"")</f>
        <v>0.02138604941558343</v>
      </c>
      <c r="D15" s="29" t="inlineStr">
        <is>
          <t>Placas de inducción para el miso y los caldos, freidora para la tempura y plancha para las gyozas. Estimación del kit</t>
        </is>
      </c>
      <c r="E15" s="32" t="inlineStr">
        <is>
          <t>Sí</t>
        </is>
      </c>
    </row>
    <row r="16">
      <c r="A16" s="29" t="inlineStr">
        <is>
          <t>Campana extractora con motor y filtros</t>
        </is>
      </c>
      <c r="B16" s="30" t="n">
        <v>1500</v>
      </c>
      <c r="C16" s="68">
        <f>IFERROR(B16/$B$30,"")</f>
        <v>0.009165449749535756</v>
      </c>
      <c r="D16" s="29" t="inlineStr">
        <is>
          <t>Campana extractora con motor y filtros de grasa sobre la freidora, la plancha y la inducción (una de 1,5 a 2 m va de unos 543 a 813 € sin IVA)</t>
        </is>
      </c>
      <c r="E16" s="32" t="inlineStr">
        <is>
          <t>Sí</t>
        </is>
      </c>
    </row>
    <row r="17">
      <c r="A17" s="29" t="inlineStr">
        <is>
          <t>Frío: armario de pescado, armarios de cocina, mesa refrigerada y nevera de bebida y sake</t>
        </is>
      </c>
      <c r="B17" s="30" t="n">
        <v>7500</v>
      </c>
      <c r="C17" s="68">
        <f>IFERROR(B17/$B$30,"")</f>
        <v>0.045827248747678774</v>
      </c>
      <c r="D17" s="29" t="inlineStr">
        <is>
          <t>Armario de pescado a 0-2 °C (el pescado fresco va entre 0 y 4 °C: RD 1021/2022, art. 4.1), armarios refrigerados de cocina, mesa refrigerada de trabajo para la barra y nevera de bebida y sake</t>
        </is>
      </c>
      <c r="E17" s="32" t="inlineStr">
        <is>
          <t>Sí</t>
        </is>
      </c>
    </row>
    <row r="18">
      <c r="A18" s="29" t="inlineStr">
        <is>
          <t>Lavavajillas de capota, fregaderos, lavamanos, mesas inox y estanterías</t>
        </is>
      </c>
      <c r="B18" s="30" t="n">
        <v>5500</v>
      </c>
      <c r="C18" s="68">
        <f>IFERROR(B18/$B$30,"")</f>
        <v>0.0336066490816311</v>
      </c>
      <c r="D18" s="29" t="inlineStr">
        <is>
          <t>Lavavajillas, fregaderos, lavamanos de accionamiento no manual, mesas de acero inoxidable y estanterías</t>
        </is>
      </c>
      <c r="E18" s="32" t="inlineStr">
        <is>
          <t>Sí</t>
        </is>
      </c>
    </row>
    <row r="19">
      <c r="A19" s="29" t="inlineStr">
        <is>
          <t>Utillaje: cuchillos japoneses, tablas por colores, sondas, básculas, pH-metro y etiquetadora</t>
        </is>
      </c>
      <c r="B19" s="30" t="n">
        <v>3500</v>
      </c>
      <c r="C19" s="68">
        <f>IFERROR(B19/$B$30,"")</f>
        <v>0.02138604941558343</v>
      </c>
      <c r="D19" s="29" t="inlineStr">
        <is>
          <t>Cuchillos yanagiba y deba, tablas por colores, termómetros sonda, básculas, el pH-metro para medir el shari de cada tanda, la etiquetadora de las bandejas cerradas (RD 126/2015, art. 5), vajilla y la cartelería de alérgenos</t>
        </is>
      </c>
      <c r="E19" s="32" t="inlineStr">
        <is>
          <t>Sí</t>
        </is>
      </c>
    </row>
    <row r="20">
      <c r="A20" s="29" t="inlineStr">
        <is>
          <t>Mobiliario de sala y barra</t>
        </is>
      </c>
      <c r="B20" s="30" t="n">
        <v>9000</v>
      </c>
      <c r="C20" s="68">
        <f>IFERROR(B20/$B$30,"")</f>
        <v>0.054992698497214526</v>
      </c>
      <c r="D20" s="29" t="inlineStr">
        <is>
          <t>Mesas y sillas para 28 plazas y 8 taburetes en la barra de sushi</t>
        </is>
      </c>
      <c r="E20" s="32" t="inlineStr">
        <is>
          <t>Sí</t>
        </is>
      </c>
    </row>
    <row r="21">
      <c r="A21" s="29" t="inlineStr">
        <is>
          <t>TPV con Veri*factu, datáfono, impresora de comandas y tablets</t>
        </is>
      </c>
      <c r="B21" s="30" t="n">
        <v>2500</v>
      </c>
      <c r="C21" s="68">
        <f>IFERROR(B21/$B$30,"")</f>
        <v>0.01527574958255959</v>
      </c>
      <c r="D21" s="29" t="inlineStr">
        <is>
          <t>Software de facturación conforme a Veri*factu, datáfono, impresora de cocina y las tablets de las plataformas</t>
        </is>
      </c>
      <c r="E21" s="32" t="inlineStr">
        <is>
          <t>Sí</t>
        </is>
      </c>
    </row>
    <row r="22">
      <c r="A22" s="29" t="inlineStr">
        <is>
          <t>Constitución de la SL, licencia, tasas, registro sanitario y APPCC</t>
        </is>
      </c>
      <c r="B22" s="30" t="n">
        <v>3000</v>
      </c>
      <c r="C22" s="68">
        <f>IFERROR(B22/$B$30,"")</f>
        <v>0.01833089949907151</v>
      </c>
      <c r="D22" s="29" t="inlineStr">
        <is>
          <t>SL unipersonal, licencia o declaración responsable, tasas municipales, registro sanitario autonómico y redacción del plan APPCC con el anisakis y el shari. Las tasas no llevan IVA; los honorarios sí: cambia la columna de al lado si tu presupuesto es sobre todo de honorarios</t>
        </is>
      </c>
      <c r="E22" s="32" t="inlineStr">
        <is>
          <t>No</t>
        </is>
      </c>
    </row>
    <row r="23">
      <c r="A23" s="29" t="inlineStr">
        <is>
          <t>Marca, web, fotos y lanzamiento</t>
        </is>
      </c>
      <c r="B23" s="30" t="n">
        <v>4500</v>
      </c>
      <c r="C23" s="68">
        <f>IFERROR(B23/$B$30,"")</f>
        <v>0.027496349248607263</v>
      </c>
      <c r="D23" s="29" t="inlineStr">
        <is>
          <t>Identidad, web con la carta y los alérgenos, sesión de fotos y campaña de apertura</t>
        </is>
      </c>
      <c r="E23" s="32" t="inlineStr">
        <is>
          <t>Sí</t>
        </is>
      </c>
    </row>
    <row r="24">
      <c r="A24" s="29" t="inlineStr">
        <is>
          <t>Stock inicial: pescado, arroz, algas, salsas, cajas de pedidos y bebida</t>
        </is>
      </c>
      <c r="B24" s="30" t="n">
        <v>3500</v>
      </c>
      <c r="C24" s="68">
        <f>IFERROR(B24/$B$30,"")</f>
        <v>0.02138604941558343</v>
      </c>
      <c r="D24" s="29" t="inlineStr">
        <is>
          <t>Pescado, arroz para sushi, nori, salsas, el primer pedido de cajas para llevar y a domicilio y la bebida, el sake incluido (pídelo con su plazo: depende de un importador)</t>
        </is>
      </c>
      <c r="E24" s="32" t="inlineStr">
        <is>
          <t>Sí</t>
        </is>
      </c>
    </row>
    <row r="25">
      <c r="A25" s="29" t="inlineStr">
        <is>
          <t>Fianza del alquiler</t>
        </is>
      </c>
      <c r="B25" s="33">
        <f>IFERROR(IF('0. Supuestos'!$B$24="","",'0. Supuestos'!$B$24*'0. Supuestos'!$B$25),"")</f>
        <v>3200.0</v>
      </c>
      <c r="C25" s="68">
        <f>IFERROR(B25/$B$30,"")</f>
        <v>0.019552959465676277</v>
      </c>
      <c r="D25" s="29" t="str">
        <f>IFERROR(""&amp;TEXT('0. Supuestos'!$B$25,"0")&amp;" meses de renta, al tipo de la hoja de Supuestos. Es un activo recuperable al cerrar: ni se amortiza ni lleva IVA","")</f>
        <v>2 meses de renta, al tipo de la hoja de Supuestos. Es un activo recuperable al cerrar: ni se amortiza ni lleva IVA</v>
      </c>
      <c r="E25" s="29" t="inlineStr">
        <is>
          <t>No</t>
        </is>
      </c>
    </row>
    <row r="26">
      <c r="A26" s="29" t="inlineStr">
        <is>
          <t>Alquiler de los meses previos a la apertura</t>
        </is>
      </c>
      <c r="B26" s="33">
        <f>IFERROR(IF('0. Supuestos'!$B$24="","",'0. Supuestos'!$B$24*'0. Supuestos'!$B$54),"")</f>
        <v>3200.0</v>
      </c>
      <c r="C26" s="68">
        <f>IFERROR(B26/$B$30,"")</f>
        <v>0.019552959465676277</v>
      </c>
      <c r="D26" s="29" t="str">
        <f>IFERROR("Renta "&amp;IF('0. Supuestos'!$B$54=1,"del mes","de los "&amp;TEXT('0. Supuestos'!$B$54,"0")&amp;" meses")&amp;" de obra y licencias. NO se solapa con el P&amp;L, que arranca el día de la apertura: los doce meses del P&amp;L son los doce de explotación","")</f>
        <v>Renta de los 2 meses de obra y licencias. NO se solapa con el P&amp;L, que arranca el día de la apertura: los doce meses del P&amp;L son los doce de explotación</v>
      </c>
      <c r="E26" s="29" t="inlineStr">
        <is>
          <t>Sí</t>
        </is>
      </c>
    </row>
    <row r="27">
      <c r="A27" s="29" t="inlineStr">
        <is>
          <t>Imprevistos de obra y acondicionamiento</t>
        </is>
      </c>
      <c r="B27" s="33">
        <f>IFERROR(IF(COUNT(B7,B8,B9,B10,B11)=0,"",ROUND((B7+B8+B9+B10+B11)*'0. Supuestos'!$B$55,0)),"")</f>
        <v>4850.0</v>
      </c>
      <c r="C27" s="68">
        <f>IFERROR(B27/$B$30,"")</f>
        <v>0.029634954190165607</v>
      </c>
      <c r="D27" s="29" t="str">
        <f>IFERROR("Al "&amp;TEXT('0. Supuestos'!$B$55,"0%")&amp;" de las partidas de OBRA Y ACONDICIONAMIENTO de este bloque (Proyecto técnico de actividad y de extracción, y dirección de obra, Obra del local con barra de sushi a la vista, rótulo y fachada, Conducto de extracción exclusivo hasta "&amp;"cubierta, Instalación eléctrica, cuadro y boletín y Fontanería, separador de grasas y climatización), no del bloque entero: el resto de partidas del bloque quedan fuera. Un banco no financia una reforma sin colchón: el porcentaje está en "&amp;"la hoja de Supuestos","")</f>
        <v>Al 10% de las partidas de OBRA Y ACONDICIONAMIENTO de este bloque (Proyecto técnico de actividad y de extracción, y dirección de obra, Obra del local con barra de sushi a la vista, rótulo y fachada, Conducto de extracción exclusivo hasta cubierta, Instalación eléctrica, cuadro y boletín y Fontanería, separador de grasas y climatización), no del bloque entero: el resto de partidas del bloque quedan fuera. Un banco no financia una reforma sin colchón: el porcentaje está en la hoja de Supuestos</v>
      </c>
      <c r="E27" s="29" t="inlineStr">
        <is>
          <t>Sí</t>
        </is>
      </c>
    </row>
    <row r="28">
      <c r="A28" s="26" t="inlineStr">
        <is>
          <t>FONDO DE MANIOBRA</t>
        </is>
      </c>
      <c r="B28" s="27">
        <f>IFERROR(IF(B29="","",B29),"")</f>
        <v>53908.09</v>
      </c>
      <c r="C28" s="67">
        <f>IFERROR(B28/$B$30,"")</f>
        <v>0.3293945933256339</v>
      </c>
      <c r="D28" s="29" t="n"/>
      <c r="E28" s="29" t="n"/>
    </row>
    <row r="29">
      <c r="A29" s="29" t="inlineStr">
        <is>
          <t>Colchón operativo hasta alcanzar el equilibrio</t>
        </is>
      </c>
      <c r="B29" s="33">
        <f>IFERROR(IF('0. Supuestos'!$B$35*('PyG 3 Años'!$B$37-'PyG 3 Años'!$B$35)=0,"",'0. Supuestos'!$B$35*('PyG 3 Años'!$B$37-'PyG 3 Años'!$B$35)/12),"")</f>
        <v>53908.09</v>
      </c>
      <c r="C29" s="68">
        <f>IFERROR(B29/$B$30,"")</f>
        <v>0.3293945933256339</v>
      </c>
      <c r="D29" s="29"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9" s="29" t="inlineStr">
        <is>
          <t>No</t>
        </is>
      </c>
    </row>
    <row r="30">
      <c r="A30" s="26" t="inlineStr">
        <is>
          <t>INVERSIÓN TOTAL (suma de los bloques)</t>
        </is>
      </c>
      <c r="B30" s="27">
        <f>IFERROR(B6+B28,"")</f>
        <v>163658.09</v>
      </c>
      <c r="C30" s="29" t="n"/>
      <c r="D30" s="26" t="str">
        <f>IFERROR("Los porcentajes de la columna C se leen sobre esta cifra, que incluye el fondo de maniobra ("&amp;TEXT(C28,"0%")&amp;" del total). Para comparar el desglose con otro plan, usa la fila de CAPEX de abajo.","")</f>
        <v>Los porcentajes de la columna C se leen sobre esta cifra, que incluye el fondo de maniobra (33% del total). Para comparar el desglose con otro plan, usa la fila de CAPEX de abajo.</v>
      </c>
      <c r="E30" s="29" t="n"/>
    </row>
    <row r="31">
      <c r="A31" s="26" t="inlineStr">
        <is>
          <t>CAPEX (inversión sin el fondo de maniobra)</t>
        </is>
      </c>
      <c r="B31" s="27">
        <f>IFERROR(B30-B28,"")</f>
        <v>109750.0</v>
      </c>
      <c r="C31" s="29" t="n"/>
      <c r="D31" s="26" t="inlineStr">
        <is>
          <t>Es lo que se compra: obra, equipamiento, lanzamiento y gastos de constitución. El colchón de caja no es inversión, es circulante</t>
        </is>
      </c>
      <c r="E31" s="29" t="n"/>
    </row>
    <row r="32">
      <c r="A32" s="29" t="inlineStr">
        <is>
          <t>IVA soportado sobre la inversión (recuperable)</t>
        </is>
      </c>
      <c r="B32" s="33">
        <f>IFERROR(IF(B30="","",SUMIF($E$7:$E$27,"Sí",$B$7:$B$27)*'0. Supuestos'!$B$41),"")</f>
        <v>21745.5</v>
      </c>
      <c r="C32" s="29" t="n"/>
      <c r="D32" s="29"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32" s="29" t="n"/>
    </row>
    <row r="33">
      <c r="A33" s="26" t="inlineStr">
        <is>
          <t>NECESIDAD TOTAL DE CAJA AL ARRANQUE</t>
        </is>
      </c>
      <c r="B33" s="27">
        <f>IFERROR(B30+B32,"")</f>
        <v>185403.59</v>
      </c>
      <c r="C33" s="29" t="n"/>
      <c r="D33" s="26" t="inlineStr">
        <is>
          <t>Es la cifra que tiene que cubrir la hoja de Financiación</t>
        </is>
      </c>
      <c r="E33" s="29" t="n"/>
    </row>
    <row r="34">
      <c r="A34" s="26" t="inlineStr">
        <is>
          <t>BASES DE AMORTIZACIÓN (no suman a la inversión)</t>
        </is>
      </c>
      <c r="B34" s="29" t="n"/>
      <c r="C34" s="29" t="n"/>
      <c r="D34" s="29" t="n"/>
      <c r="E34" s="29" t="n"/>
    </row>
    <row r="35">
      <c r="A35" s="29" t="inlineStr">
        <is>
          <t>Obra, instalaciones y acondicionamiento</t>
        </is>
      </c>
      <c r="B35" s="33">
        <f>IFERROR(IF(B7="","",B7+B8+B9+B10+B11+B27),"")</f>
        <v>53350.0</v>
      </c>
      <c r="C35" s="29" t="n"/>
      <c r="D35" s="29" t="str">
        <f>IFERROR("Se amortiza en "&amp;TEXT('0. Supuestos'!$B$44,"0")&amp;" años","")</f>
        <v>Se amortiza en 10 años</v>
      </c>
      <c r="E35" s="29" t="n"/>
    </row>
    <row r="36">
      <c r="A36" s="29" t="inlineStr">
        <is>
          <t>Maquinaria, mobiliario y equipos</t>
        </is>
      </c>
      <c r="B36" s="33">
        <f>IFERROR(IF(B12="","",B12+B13+B14+B15+B16+B17+B18+B19+B20+B21),"")</f>
        <v>39000.0</v>
      </c>
      <c r="C36" s="29" t="n"/>
      <c r="D36" s="29" t="str">
        <f>IFERROR("Se amortiza en "&amp;TEXT('0. Supuestos'!$B$45,"0")&amp;" años","")</f>
        <v>Se amortiza en 10 años</v>
      </c>
      <c r="E36" s="29" t="n"/>
    </row>
    <row r="37">
      <c r="A37" s="26" t="inlineStr">
        <is>
          <t>Amortización anual del inmovilizado</t>
        </is>
      </c>
      <c r="B37" s="27">
        <f>IFERROR(B35/MAX(1,'0. Supuestos'!$B$44)+B36/MAX(1,'0. Supuestos'!$B$45),"")</f>
        <v>9235.0</v>
      </c>
      <c r="C37" s="29" t="n"/>
      <c r="D37" s="26" t="str">
        <f>IFERROR("No se amortizan, por no ser inmovilizado, Constitución de la SL, licencia, tasas, registro sanitario y APPCC, Marca, web, fotos y lanzamiento, Stock inicial: pescado, arroz, algas, salsas, cajas de pedidos y bebida, Fianza del alquiler, "&amp;"Alquiler de los meses previos a la apertura ni Colchón operativo hasta alcanzar el equilibrio. Suman "&amp;TEXT(B30-B35-B36,"0")&amp;" € de los "&amp;TEXT(B30,"0")&amp;" € de inversión.","")</f>
        <v>No se amortizan, por no ser inmovilizado, Constitución de la SL, licencia, tasas, registro sanitario y APPCC, Marca, web, fotos y lanzamiento, Stock inicial: pescado, arroz, algas, salsas, cajas de pedidos y bebida, Fianza del alquiler, Alquiler de los meses previos a la apertura ni Colchón operativo hasta alcanzar el equilibrio. Suman 71308 € de los 163658 € de inversión.</v>
      </c>
      <c r="E37"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CUENTA DE RESULTADOS PREVISIONAL — 3 AÑOS</t>
        </is>
      </c>
    </row>
    <row r="2">
      <c r="A2" s="3" t="inlineStr">
        <is>
          <t>Escenario realista — sushi bar con barra a la vista, mesas, para llevar y a domicilio</t>
        </is>
      </c>
    </row>
    <row r="3"/>
    <row r="4" ht="45" customHeight="1">
      <c r="A4" s="40" t="inlineStr">
        <is>
          <t>Concepto</t>
        </is>
      </c>
      <c r="B4" s="40" t="inlineStr">
        <is>
          <t>Año 1</t>
        </is>
      </c>
      <c r="C4" s="40" t="inlineStr">
        <is>
          <t>Año 2</t>
        </is>
      </c>
      <c r="D4" s="40" t="inlineStr">
        <is>
          <t>Año 3</t>
        </is>
      </c>
      <c r="E4" s="40" t="inlineStr">
        <is>
          <t>% s/ventas (año 1)</t>
        </is>
      </c>
      <c r="F4" s="40" t="inlineStr">
        <is>
          <t>Notas</t>
        </is>
      </c>
      <c r="G4" s="40" t="inlineStr">
        <is>
          <t>Tipo de IVA de la línea (%)</t>
        </is>
      </c>
      <c r="H4" s="40" t="inlineStr">
        <is>
          <t>Bebida para llevar o a domicilio al 21 % (%)</t>
        </is>
      </c>
    </row>
    <row r="5">
      <c r="A5" s="26" t="inlineStr">
        <is>
          <t>INGRESOS</t>
        </is>
      </c>
      <c r="B5" s="29" t="n"/>
      <c r="C5" s="29" t="n"/>
      <c r="D5" s="29" t="n"/>
      <c r="E5" s="29" t="n"/>
      <c r="F5" s="29" t="n"/>
      <c r="G5" s="29" t="n"/>
      <c r="H5" s="29" t="n"/>
    </row>
    <row r="6">
      <c r="A6" s="29" t="inlineStr">
        <is>
          <t>Comensales/día (media)</t>
        </is>
      </c>
      <c r="B6" s="41">
        <f>IFERROR(IF('0. Supuestos'!$B$4="","",'0. Supuestos'!$B$4),"")</f>
        <v>79.0</v>
      </c>
      <c r="C6" s="41">
        <f>IFERROR(B6*(1+'0. Supuestos'!$B$7),"")</f>
        <v>83.74000000000001</v>
      </c>
      <c r="D6" s="41">
        <f>IFERROR(C6*(1+'0. Supuestos'!$B$8),"")</f>
        <v>87.08960000000002</v>
      </c>
      <c r="E6" s="29" t="n"/>
      <c r="F6" s="29" t="inlineStr">
        <is>
          <t>El crecimiento de los años 2 y 3 está en la hoja de Supuestos</t>
        </is>
      </c>
      <c r="G6" s="29" t="n"/>
      <c r="H6" s="29" t="n"/>
    </row>
    <row r="7">
      <c r="A7" s="29" t="inlineStr">
        <is>
          <t>Ticket medio sin IVA</t>
        </is>
      </c>
      <c r="B7" s="70">
        <f>IFERROR(IF('0. Supuestos'!$B$5="","",'0. Supuestos'!$B$5),"")</f>
        <v>20.0</v>
      </c>
      <c r="C7" s="70">
        <f>IFERROR(IF(B7="","",B7),"")</f>
        <v>20.0</v>
      </c>
      <c r="D7" s="70">
        <f>IFERROR(IF(C7="","",C7),"")</f>
        <v>20.0</v>
      </c>
      <c r="E7" s="29" t="n"/>
      <c r="F7" s="29" t="inlineStr">
        <is>
          <t>Constante en euros del año 1: una subida de precios es una decisión aparte</t>
        </is>
      </c>
      <c r="G7" s="29" t="n"/>
      <c r="H7" s="29" t="n"/>
    </row>
    <row r="8">
      <c r="A8" s="29" t="inlineStr">
        <is>
          <t>Días de apertura al año</t>
        </is>
      </c>
      <c r="B8" s="41">
        <f>IFERROR(IF('0. Supuestos'!$B$6="","",'0. Supuestos'!$B$6),"")</f>
        <v>300.0</v>
      </c>
      <c r="C8" s="41">
        <f>IFERROR(IF(B8="","",B8),"")</f>
        <v>300.0</v>
      </c>
      <c r="D8" s="41">
        <f>IFERROR(IF(C8="","",C8),"")</f>
        <v>300.0</v>
      </c>
      <c r="E8" s="29" t="n"/>
      <c r="F8" s="29" t="n"/>
      <c r="G8" s="29" t="n"/>
      <c r="H8" s="29" t="n"/>
    </row>
    <row r="9">
      <c r="A9" s="26" t="inlineStr">
        <is>
          <t>INGRESOS TOTALES (sin IVA)</t>
        </is>
      </c>
      <c r="B9" s="27">
        <f>IFERROR(IF(B6*B7*B8=0,"",B6*B7*B8),"")</f>
        <v>474000.0</v>
      </c>
      <c r="C9" s="27">
        <f>IFERROR(IF(C6*C7*C8=0,"",C6*C7*C8),"")</f>
        <v>502440.00000000006</v>
      </c>
      <c r="D9" s="27">
        <f>IFERROR(IF(D6*D7*D8=0,"",D6*D7*D8),"")</f>
        <v>522537.6000000001</v>
      </c>
      <c r="E9" s="67">
        <f>IFERROR(IF(B9="","",1),"")</f>
        <v>1.0</v>
      </c>
      <c r="F9" s="29" t="n"/>
      <c r="G9" s="29" t="n"/>
      <c r="H9" s="29" t="n"/>
    </row>
    <row r="10">
      <c r="A10" s="29" t="inlineStr">
        <is>
          <t>Ventas de sushi y cocina (sala, para llevar y a domicilio)</t>
        </is>
      </c>
      <c r="B10" s="33">
        <f>IFERROR(IF(B9="","",B9*$E$10),"")</f>
        <v>402900.0</v>
      </c>
      <c r="C10" s="33">
        <f>IFERROR(IF(C9="","",C9*$E$10),"")</f>
        <v>427074.00000000006</v>
      </c>
      <c r="D10" s="33">
        <f>IFERROR(IF(D9="","",D9*$E$10),"")</f>
        <v>444156.9600000001</v>
      </c>
      <c r="E10" s="68">
        <f>IFERROR(IF('0. Supuestos'!$B$11="","",'0. Supuestos'!$B$11),"")</f>
        <v>0.85</v>
      </c>
      <c r="F10" s="29" t="inlineStr">
        <is>
          <t>Sushi, sashimi y poke, gyozas, tempura, sopa de miso y postres: en sala unos 63 % de las ventas, para llevar unos 13 % y por plataforma unos 24 %. Todo al 10 % de IVA, se coma en la barra o salga del local (art. 91.Uno.1.1.º y 2.2.º de la Ley 37/1992)</t>
        </is>
      </c>
      <c r="G10" s="68">
        <f>IFERROR(IF(B9="","",'0. Supuestos'!$B$39),"")</f>
        <v>0.1</v>
      </c>
      <c r="H10" s="29" t="n"/>
    </row>
    <row r="11">
      <c r="A11" s="29" t="inlineStr">
        <is>
          <t>Ventas de bebida (cerveza, sake, vino, refrescos, agua y té)</t>
        </is>
      </c>
      <c r="B11" s="33">
        <f>IFERROR(IF(B9="","",B9*$E$11),"")</f>
        <v>71100.00000000001</v>
      </c>
      <c r="C11" s="33">
        <f>IFERROR(IF(C9="","",C9*$E$11),"")</f>
        <v>75366.00000000001</v>
      </c>
      <c r="D11" s="33">
        <f>IFERROR(IF(D9="","",D9*$E$11),"")</f>
        <v>78380.64000000003</v>
      </c>
      <c r="E11" s="68">
        <f>IFERROR(IF('0. Supuestos'!$B$12="","",'0. Supuestos'!$B$12),"")</f>
        <v>0.15000000000000002</v>
      </c>
      <c r="F11" s="29" t="inlineStr">
        <is>
          <t>Bebida de sala y la que sale con los pedidos · La columna H es la parte de la bebida que sale del local y va al 21 %: la cerveza, el sake, el vino y los refrescos con azúcares o edulcorantes añadidos (art. 91.Uno.1.1.º a y b de la Ley 37/1992); el agua, el té y lo que no lleve azúcares ni edulcorantes añadidos, y toda la bebida en sala, al 10 %. Un 7 % = un 1,05 % de las ventas</t>
        </is>
      </c>
      <c r="G11" s="68">
        <f>IFERROR(IF(B9="","",H11*0.21+(1-H11)*'0. Supuestos'!$B$39),"")</f>
        <v>0.1077</v>
      </c>
      <c r="H11" s="74" t="n">
        <v>0.07000000000000001</v>
      </c>
    </row>
    <row r="12">
      <c r="A12" s="26" t="inlineStr">
        <is>
          <t>COSTES VARIABLES</t>
        </is>
      </c>
      <c r="B12" s="29" t="n"/>
      <c r="C12" s="29" t="n"/>
      <c r="D12" s="29" t="n"/>
      <c r="E12" s="29" t="n"/>
      <c r="F12" s="29" t="n"/>
      <c r="G12" s="29" t="n"/>
      <c r="H12" s="29" t="n"/>
    </row>
    <row r="13">
      <c r="A13" s="29" t="inlineStr">
        <is>
          <t>Coste de mercancía — comida</t>
        </is>
      </c>
      <c r="B13" s="33">
        <f>IFERROR(IF(B9="","",B9*'0. Supuestos'!$B$11*'0. Supuestos'!$B$13),"")</f>
        <v>116840.99999999999</v>
      </c>
      <c r="C13" s="33">
        <f>IFERROR(IF(C9="","",C9*'0. Supuestos'!$B$11*'0. Supuestos'!$B$13),"")</f>
        <v>123851.46</v>
      </c>
      <c r="D13" s="33">
        <f>IFERROR(IF(D9="","",D9*'0. Supuestos'!$B$11*'0. Supuestos'!$B$13),"")</f>
        <v>128805.51840000002</v>
      </c>
      <c r="E13" s="68">
        <f>IFERROR(B13/$B$9,"")</f>
        <v>0.24649999999999997</v>
      </c>
      <c r="F13" s="29" t="str">
        <f>IFERROR("Al "&amp;TEXT('0. Supuestos'!$B$13,"0%")&amp;" de las ventas de COMIDA, no del total: la bebida tiene su propia línea · Pescado, marisco, algas, salsas y surimi al 10 %; arroz, verdura, aguacate, huevo y queso al 4 % (art. 91.Dos.1.1.º de la Ley 37/1992). Ajústalo a tus facturas","")</f>
        <v>Al 29% de las ventas de COMIDA, no del total: la bebida tiene su propia línea · Pescado, marisco, algas, salsas y surimi al 10 %; arroz, verdura, aguacate, huevo y queso al 4 % (art. 91.Dos.1.1.º de la Ley 37/1992). Ajústalo a tus facturas</v>
      </c>
      <c r="G13" s="74" t="n">
        <v>0.08699999999999999</v>
      </c>
      <c r="H13" s="29" t="n"/>
    </row>
    <row r="14">
      <c r="A14" s="29" t="inlineStr">
        <is>
          <t>Coste de mercancía — bebida</t>
        </is>
      </c>
      <c r="B14" s="33">
        <f>IFERROR(IF(B9="","",B9*'0. Supuestos'!$B$12*'0. Supuestos'!$B$14),"")</f>
        <v>19908.000000000007</v>
      </c>
      <c r="C14" s="33">
        <f>IFERROR(IF(C9="","",C9*'0. Supuestos'!$B$12*'0. Supuestos'!$B$14),"")</f>
        <v>21102.480000000007</v>
      </c>
      <c r="D14" s="33">
        <f>IFERROR(IF(D9="","",D9*'0. Supuestos'!$B$12*'0. Supuestos'!$B$14),"")</f>
        <v>21946.57920000001</v>
      </c>
      <c r="E14" s="68">
        <f>IFERROR(B14/$B$9,"")</f>
        <v>0.042000000000000016</v>
      </c>
      <c r="F14" s="29" t="str">
        <f>IFERROR("Al "&amp;TEXT('0. Supuestos'!$B$14,"0%")&amp;" de las ventas de BEBIDA","")</f>
        <v>Al 28% de las ventas de BEBIDA</v>
      </c>
      <c r="G14" s="68">
        <f>IFERROR(IF(B9="","",('0. Supuestos'!$B$62*'0. Supuestos'!$B$40+(1-'0. Supuestos'!$B$62)*'0. Supuestos'!$B$39)),"")</f>
        <v>0.1825</v>
      </c>
      <c r="H14" s="29" t="n"/>
    </row>
    <row r="15">
      <c r="A15" s="29" t="inlineStr">
        <is>
          <t>Consumibles y envases</t>
        </is>
      </c>
      <c r="B15" s="33">
        <f>IFERROR(IF(B9="","",B9*'0. Supuestos'!$B$15),"")</f>
        <v>14220.0</v>
      </c>
      <c r="C15" s="33">
        <f>IFERROR(IF(C9="","",C9*'0. Supuestos'!$B$15),"")</f>
        <v>15073.2</v>
      </c>
      <c r="D15" s="33">
        <f>IFERROR(IF(D9="","",D9*'0. Supuestos'!$B$15),"")</f>
        <v>15676.128000000002</v>
      </c>
      <c r="E15" s="68">
        <f>IFERROR(B15/$B$9,"")</f>
        <v>0.03</v>
      </c>
      <c r="F15" s="29" t="n"/>
      <c r="G15" s="68">
        <f>IFERROR(IF(B9="","",'0. Supuestos'!$B$41),"")</f>
        <v>0.21</v>
      </c>
      <c r="H15" s="29" t="n"/>
    </row>
    <row r="16">
      <c r="A16" s="29" t="inlineStr">
        <is>
          <t>Comisiones de delivery</t>
        </is>
      </c>
      <c r="B16" s="33">
        <f>IFERROR(IF(B9="","",B9*'0. Supuestos'!$B$16*'0. Supuestos'!$B$17),"")</f>
        <v>34128.0</v>
      </c>
      <c r="C16" s="33">
        <f>IFERROR(IF(C9="","",C9*'0. Supuestos'!$B$16*'0. Supuestos'!$B$17),"")</f>
        <v>36175.68</v>
      </c>
      <c r="D16" s="33">
        <f>IFERROR(IF(D9="","",D9*'0. Supuestos'!$B$16*'0. Supuestos'!$B$17),"")</f>
        <v>37622.707200000004</v>
      </c>
      <c r="E16" s="68">
        <f>IFERROR(B16/$B$9,"")</f>
        <v>0.072</v>
      </c>
      <c r="F16" s="29" t="inlineStr">
        <is>
          <t>Sobre las ventas DEL CANAL. Con 0 % de delivery en Supuestos, esta línea vale cero</t>
        </is>
      </c>
      <c r="G16" s="68">
        <f>IFERROR(IF(B9="","",'0. Supuestos'!$B$41),"")</f>
        <v>0.21</v>
      </c>
      <c r="H16" s="29" t="n"/>
    </row>
    <row r="17">
      <c r="A17" s="29" t="inlineStr">
        <is>
          <t>Comisiones de los medios de pago</t>
        </is>
      </c>
      <c r="B17" s="33">
        <f>IFERROR(IF(B9="","",B9*'0. Supuestos'!$B$18),"")</f>
        <v>3792.0</v>
      </c>
      <c r="C17" s="33">
        <f>IFERROR(IF(C9="","",C9*'0. Supuestos'!$B$18),"")</f>
        <v>4019.5200000000004</v>
      </c>
      <c r="D17" s="33">
        <f>IFERROR(IF(D9="","",D9*'0. Supuestos'!$B$18),"")</f>
        <v>4180.300800000001</v>
      </c>
      <c r="E17" s="68">
        <f>IFERROR(B17/$B$9,"")</f>
        <v>0.008</v>
      </c>
      <c r="F17" s="29" t="inlineStr">
        <is>
          <t>Las comisiones de los medios de pago están EXENTAS de IVA (art. 20.Uno.18 LIVA): no se deduce nada por ellas</t>
        </is>
      </c>
      <c r="G17" s="68" t="n">
        <v>0</v>
      </c>
      <c r="H17" s="29" t="n"/>
    </row>
    <row r="18">
      <c r="A18" s="29" t="inlineStr">
        <is>
          <t>Varios e imprevistos</t>
        </is>
      </c>
      <c r="B18" s="33">
        <f>IFERROR(IF(B9="","",B9*'0. Supuestos'!$B$28),"")</f>
        <v>9480.0</v>
      </c>
      <c r="C18" s="33">
        <f>IFERROR(IF(C9="","",C9*'0. Supuestos'!$B$28),"")</f>
        <v>10048.800000000001</v>
      </c>
      <c r="D18" s="33">
        <f>IFERROR(IF(D9="","",D9*'0. Supuestos'!$B$28),"")</f>
        <v>10450.752000000002</v>
      </c>
      <c r="E18" s="68">
        <f>IFERROR(B18/$B$9,"")</f>
        <v>0.02</v>
      </c>
      <c r="F18" s="29"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8" s="68">
        <f>IFERROR(IF(B9="","",'0. Supuestos'!$B$41),"")</f>
        <v>0.21</v>
      </c>
      <c r="H18" s="29" t="n"/>
    </row>
    <row r="19">
      <c r="A19" s="26" t="inlineStr">
        <is>
          <t>TOTAL COSTES VARIABLES</t>
        </is>
      </c>
      <c r="B19" s="27">
        <f>IFERROR(IF(B9="","",SUM(B13:B18)),"")</f>
        <v>198369.0</v>
      </c>
      <c r="C19" s="27">
        <f>IFERROR(IF(C9="","",SUM(C13:C18)),"")</f>
        <v>210271.14</v>
      </c>
      <c r="D19" s="27">
        <f>IFERROR(IF(D9="","",SUM(D13:D18)),"")</f>
        <v>218681.98560000004</v>
      </c>
      <c r="E19" s="67">
        <f>IFERROR(B19/$B$9,"")</f>
        <v>0.4185</v>
      </c>
      <c r="F19" s="29" t="n"/>
      <c r="G19" s="29" t="n"/>
      <c r="H19" s="29" t="n"/>
    </row>
    <row r="20">
      <c r="A20" s="26" t="inlineStr">
        <is>
          <t>MARGEN BRUTO</t>
        </is>
      </c>
      <c r="B20" s="27">
        <f>IFERROR(IF(B9="","",B9-B19),"")</f>
        <v>275631.0</v>
      </c>
      <c r="C20" s="27">
        <f>IFERROR(IF(C9="","",C9-C19),"")</f>
        <v>292168.86000000004</v>
      </c>
      <c r="D20" s="27">
        <f>IFERROR(IF(D9="","",D9-D19),"")</f>
        <v>303855.6144000001</v>
      </c>
      <c r="E20" s="67">
        <f>IFERROR(B20/$B$9,"")</f>
        <v>0.5815</v>
      </c>
      <c r="F20" s="29" t="n"/>
      <c r="G20" s="29" t="n"/>
      <c r="H20" s="29" t="n"/>
    </row>
    <row r="21">
      <c r="A21" s="26" t="inlineStr">
        <is>
          <t>COSTES FIJOS</t>
        </is>
      </c>
      <c r="B21" s="29" t="n"/>
      <c r="C21" s="29" t="n"/>
      <c r="D21" s="29" t="n"/>
      <c r="E21" s="29" t="n"/>
      <c r="F21" s="29" t="n"/>
      <c r="G21" s="29" t="n"/>
      <c r="H21" s="29" t="n"/>
    </row>
    <row r="22">
      <c r="A22" s="29" t="inlineStr">
        <is>
          <t>Alquiler del local</t>
        </is>
      </c>
      <c r="B22" s="33">
        <f>IFERROR(IF(B9="","",'0. Supuestos'!$B$24*12),"")</f>
        <v>19200.0</v>
      </c>
      <c r="C22" s="33">
        <f>IFERROR(IF(C9="","",B22*(1+'0. Supuestos'!$B$48)),"")</f>
        <v>19200.0</v>
      </c>
      <c r="D22" s="33">
        <f>IFERROR(IF(D9="","",C22*(1+'0. Supuestos'!$B$48)),"")</f>
        <v>19200.0</v>
      </c>
      <c r="E22" s="68">
        <f>IFERROR(B22/$B$9,"")</f>
        <v>0.04050632911392405</v>
      </c>
      <c r="F22" s="29" t="inlineStr">
        <is>
          <t>El importe mensual está en la hoja de Supuestos; aquí se multiplica por doce. Los dos meses de renta previos a la apertura están en la hoja de Inversión y NO se cuentan dos veces</t>
        </is>
      </c>
      <c r="G22" s="68">
        <f>IFERROR(IF(B9="","",'0. Supuestos'!$B$41),"")</f>
        <v>0.21</v>
      </c>
      <c r="H22" s="29" t="n"/>
    </row>
    <row r="23">
      <c r="A23" s="29" t="inlineStr">
        <is>
          <t>Personal (nóminas + Seguridad Social)</t>
        </is>
      </c>
      <c r="B23" s="33">
        <f>IFERROR(IF(B9="","",'Personal'!$G$12),"")</f>
        <v>159722.36</v>
      </c>
      <c r="C23" s="33">
        <f>IFERROR(IF(C9="","",'Personal'!$B$16),"")</f>
        <v>165722.36</v>
      </c>
      <c r="D23" s="33">
        <f>IFERROR(IF(D9="","",'Personal'!$B$17),"")</f>
        <v>171722.36</v>
      </c>
      <c r="E23" s="68">
        <f>IFERROR(B23/$B$9,"")</f>
        <v>0.3369670042194092</v>
      </c>
      <c r="F23" s="29" t="inlineStr">
        <is>
          <t>Sale de la hoja de Personal: es el MISMO número, no una estimación aparte. Los años 2 y 3 suman las INCORPORACIONES declaradas en esa hoja, no un porcentaje de volumen</t>
        </is>
      </c>
      <c r="G23" s="68" t="n">
        <v>0</v>
      </c>
      <c r="H23" s="29" t="n"/>
    </row>
    <row r="24">
      <c r="A24" s="29" t="inlineStr">
        <is>
          <t>Suministros (luz, agua, gas)</t>
        </is>
      </c>
      <c r="B24" s="33">
        <f>IFERROR(IF(B9="","",'0. Supuestos'!$B$26*12),"")</f>
        <v>13200.0</v>
      </c>
      <c r="C24" s="33">
        <f>IFERROR(IF(C9="","",B24*(1+'0. Supuestos'!$B$48)),"")</f>
        <v>13200.0</v>
      </c>
      <c r="D24" s="33">
        <f>IFERROR(IF(D9="","",C24*(1+'0. Supuestos'!$B$48)),"")</f>
        <v>13200.0</v>
      </c>
      <c r="E24" s="68">
        <f>IFERROR(B24/$B$9,"")</f>
        <v>0.027848101265822784</v>
      </c>
      <c r="F24" s="29" t="inlineStr">
        <is>
          <t>Luz y gas van al 21 %; la factura del agua, al 10 %. El libro aplica a toda esta partida el tipo de la columna de al lado (21 %): si el agua pesa mucho en tu local, sepárala en su línea</t>
        </is>
      </c>
      <c r="G24" s="68">
        <f>IFERROR(IF(B9="","",'0. Supuestos'!$B$41),"")</f>
        <v>0.21</v>
      </c>
      <c r="H24" s="29" t="n"/>
    </row>
    <row r="25">
      <c r="A25" s="29" t="inlineStr">
        <is>
          <t>Seguros (RC + multirriesgo)</t>
        </is>
      </c>
      <c r="B25" s="33">
        <f>IFERROR(IF(B9="","",'0. Supuestos'!$B$27),"")</f>
        <v>1800.0</v>
      </c>
      <c r="C25" s="33">
        <f>IFERROR(IF(C9="","",B25*(1+'0. Supuestos'!$B$48)),"")</f>
        <v>1800.0</v>
      </c>
      <c r="D25" s="33">
        <f>IFERROR(IF(D9="","",C25*(1+'0. Supuestos'!$B$48)),"")</f>
        <v>1800.0</v>
      </c>
      <c r="E25" s="68">
        <f>IFERROR(B25/$B$9,"")</f>
        <v>0.0037974683544303796</v>
      </c>
      <c r="F25" s="29" t="inlineStr">
        <is>
          <t>Las operaciones de seguro están EXENTAS de IVA (art. 20.Uno.16 LIVA): la prima no lleva IVA deducible</t>
        </is>
      </c>
      <c r="G25" s="68" t="n">
        <v>0</v>
      </c>
      <c r="H25" s="29" t="n"/>
    </row>
    <row r="26">
      <c r="A26" s="29" t="inlineStr">
        <is>
          <t>Gestoría laboral, fiscal y contable</t>
        </is>
      </c>
      <c r="B26" s="30" t="n">
        <v>2400</v>
      </c>
      <c r="C26" s="33">
        <f>IFERROR(IF(C9="","",B26*(1+'0. Supuestos'!$B$48)),"")</f>
        <v>2400.0</v>
      </c>
      <c r="D26" s="33">
        <f>IFERROR(IF(D9="","",C26*(1+'0. Supuestos'!$B$48)),"")</f>
        <v>2400.0</v>
      </c>
      <c r="E26" s="68">
        <f>IFERROR(B26/$B$9,"")</f>
        <v>0.005063291139240506</v>
      </c>
      <c r="F26" s="29" t="inlineStr">
        <is>
          <t>Contabilidad, impuestos de la SL, nóminas y contratos de la plantilla</t>
        </is>
      </c>
      <c r="G26" s="68">
        <f>IFERROR(IF(B9="","",'0. Supuestos'!$B$41),"")</f>
        <v>0.21</v>
      </c>
      <c r="H26" s="29" t="n"/>
    </row>
    <row r="27">
      <c r="A27" s="29" t="inlineStr">
        <is>
          <t>Mantenimiento del frío, el congelador, la campana extractora y el pH-metro</t>
        </is>
      </c>
      <c r="B27" s="30" t="n">
        <v>1800</v>
      </c>
      <c r="C27" s="33">
        <f>IFERROR(IF(C9="","",B27*(1+'0. Supuestos'!$B$48)),"")</f>
        <v>1800.0</v>
      </c>
      <c r="D27" s="33">
        <f>IFERROR(IF(D9="","",C27*(1+'0. Supuestos'!$B$48)),"")</f>
        <v>1800.0</v>
      </c>
      <c r="E27" s="68">
        <f>IFERROR(B27/$B$9,"")</f>
        <v>0.0037974683544303796</v>
      </c>
      <c r="F27" s="29" t="inlineStr">
        <is>
          <t>El frigorista para la cámara, los armarios y el congelador, que tiene que llegar a −20 °C en el centro del pescado (anisakis); la limpieza de la campana extractora y del conducto al menos una vez al año (Madrid lo exige en su Ordenanza 4/2021, art. 23; mira la de tu ayuntamiento) y las soluciones de calibración del pH-metro</t>
        </is>
      </c>
      <c r="G27" s="68">
        <f>IFERROR(IF(B9="","",'0. Supuestos'!$B$41),"")</f>
        <v>0.21</v>
      </c>
      <c r="H27" s="29" t="n"/>
    </row>
    <row r="28">
      <c r="A28" s="29" t="inlineStr">
        <is>
          <t>Marketing y publicidad</t>
        </is>
      </c>
      <c r="B28" s="30" t="n">
        <v>4000</v>
      </c>
      <c r="C28" s="33">
        <f>IFERROR(IF(C9="","",B28*(1+'0. Supuestos'!$B$48)),"")</f>
        <v>4000.0</v>
      </c>
      <c r="D28" s="33">
        <f>IFERROR(IF(D9="","",C28*(1+'0. Supuestos'!$B$48)),"")</f>
        <v>4000.0</v>
      </c>
      <c r="E28" s="68">
        <f>IFERROR(B28/$B$9,"")</f>
        <v>0.008438818565400843</v>
      </c>
      <c r="F28" s="29" t="inlineStr">
        <is>
          <t>Ficha de Google Business, redes sociales, fotos, las promociones de las plataformas y las fechas fuertes (San Valentín, Nochebuena y Nochevieja); la campaña de apertura va en la inversión</t>
        </is>
      </c>
      <c r="G28" s="68">
        <f>IFERROR(IF(B9="","",'0. Supuestos'!$B$41),"")</f>
        <v>0.21</v>
      </c>
      <c r="H28" s="29" t="n"/>
    </row>
    <row r="29">
      <c r="A29" s="29" t="inlineStr">
        <is>
          <t>Software, TPV, teléfono e internet</t>
        </is>
      </c>
      <c r="B29" s="30" t="n">
        <v>1800</v>
      </c>
      <c r="C29" s="33">
        <f>IFERROR(IF(C9="","",B29*(1+'0. Supuestos'!$B$48)),"")</f>
        <v>1800.0</v>
      </c>
      <c r="D29" s="33">
        <f>IFERROR(IF(D9="","",C29*(1+'0. Supuestos'!$B$48)),"")</f>
        <v>1800.0</v>
      </c>
      <c r="E29" s="68">
        <f>IFERROR(B29/$B$9,"")</f>
        <v>0.0037974683544303796</v>
      </c>
      <c r="F29" s="29" t="inlineStr">
        <is>
          <t>Cuota del TPV con Veri*factu, las tablets de las plataformas, teléfono e internet</t>
        </is>
      </c>
      <c r="G29" s="68">
        <f>IFERROR(IF(B9="","",'0. Supuestos'!$B$41),"")</f>
        <v>0.21</v>
      </c>
      <c r="H29" s="29" t="n"/>
    </row>
    <row r="30">
      <c r="A30" s="29" t="inlineStr">
        <is>
          <t>Limpieza, lavandería, EPI y análisis de autocontrol</t>
        </is>
      </c>
      <c r="B30" s="30" t="n">
        <v>1500</v>
      </c>
      <c r="C30" s="33">
        <f>IFERROR(IF(C9="","",B30*(1+'0. Supuestos'!$B$48)),"")</f>
        <v>1500.0</v>
      </c>
      <c r="D30" s="33">
        <f>IFERROR(IF(D9="","",C30*(1+'0. Supuestos'!$B$48)),"")</f>
        <v>1500.0</v>
      </c>
      <c r="E30" s="68">
        <f>IFERROR(B30/$B$9,"")</f>
        <v>0.0031645569620253164</v>
      </c>
      <c r="F30" s="29" t="inlineStr">
        <is>
          <t>Productos de limpieza, lavado de uniformes y paños, guantes y los análisis de autocontrol que fije tu APPCC</t>
        </is>
      </c>
      <c r="G30" s="68">
        <f>IFERROR(IF(B9="","",'0. Supuestos'!$B$41),"")</f>
        <v>0.21</v>
      </c>
      <c r="H30" s="29" t="n"/>
    </row>
    <row r="31">
      <c r="A31" s="29" t="inlineStr">
        <is>
          <t>Gestión de residuos y del aceite usado de la freidora</t>
        </is>
      </c>
      <c r="B31" s="30" t="n">
        <v>600</v>
      </c>
      <c r="C31" s="33">
        <f>IFERROR(IF(C9="","",B31*(1+'0. Supuestos'!$B$48)),"")</f>
        <v>600.0</v>
      </c>
      <c r="D31" s="33">
        <f>IFERROR(IF(D9="","",C31*(1+'0. Supuestos'!$B$48)),"")</f>
        <v>600.0</v>
      </c>
      <c r="E31" s="68">
        <f>IFERROR(B31/$B$9,"")</f>
        <v>0.0012658227848101266</v>
      </c>
      <c r="F31" s="29" t="inlineStr">
        <is>
          <t>La tasa de basuras, el cartón de las cajas y el aceite usado de la freidora de tempura con gestor autorizado. Pon las de tu ayuntamiento</t>
        </is>
      </c>
      <c r="G31" s="68">
        <f>IFERROR(IF(B9="","",'0. Supuestos'!$B$41),"")</f>
        <v>0.21</v>
      </c>
      <c r="H31" s="29" t="n"/>
    </row>
    <row r="32">
      <c r="A32" s="29" t="inlineStr">
        <is>
          <t>Desinsectación, desratización y desinfección (DDD)</t>
        </is>
      </c>
      <c r="B32" s="30" t="n">
        <v>450</v>
      </c>
      <c r="C32" s="33">
        <f>IFERROR(IF(C9="","",B32*(1+'0. Supuestos'!$B$48)),"")</f>
        <v>450.0</v>
      </c>
      <c r="D32" s="33">
        <f>IFERROR(IF(D9="","",C32*(1+'0. Supuestos'!$B$48)),"")</f>
        <v>450.0</v>
      </c>
      <c r="E32" s="68">
        <f>IFERROR(B32/$B$9,"")</f>
        <v>0.0009493670886075949</v>
      </c>
      <c r="F32" s="29" t="inlineStr">
        <is>
          <t>Contrato con una empresa inscrita en el ROESB: forma parte de los prerrequisitos del APPCC</t>
        </is>
      </c>
      <c r="G32" s="68">
        <f>IFERROR(IF(B9="","",'0. Supuestos'!$B$41),"")</f>
        <v>0.21</v>
      </c>
      <c r="H32" s="29" t="n"/>
    </row>
    <row r="33">
      <c r="A33" s="29" t="inlineStr">
        <is>
          <t>Derechos de autor por música ambiental (SGAE y AGEDI-AIE)</t>
        </is>
      </c>
      <c r="B33" s="30" t="n">
        <v>500</v>
      </c>
      <c r="C33" s="33">
        <f>IFERROR(IF(C9="","",B33*(1+'0. Supuestos'!$B$48)),"")</f>
        <v>500.0</v>
      </c>
      <c r="D33" s="33">
        <f>IFERROR(IF(D9="","",C33*(1+'0. Supuestos'!$B$48)),"")</f>
        <v>500.0</v>
      </c>
      <c r="E33" s="68">
        <f>IFERROR(B33/$B$9,"")</f>
        <v>0.0010548523206751054</v>
      </c>
      <c r="F33" s="29" t="inlineStr">
        <is>
          <t>SGAE y AGEDI-AIE son dos licencias distintas; el importe depende de los metros y del aforo de tu sala</t>
        </is>
      </c>
      <c r="G33" s="68">
        <f>IFERROR(IF(B9="","",'0. Supuestos'!$B$41),"")</f>
        <v>0.21</v>
      </c>
      <c r="H33" s="29" t="n"/>
    </row>
    <row r="34">
      <c r="A34" s="29" t="inlineStr">
        <is>
          <t>Prevención de riesgos laborales, vigilancia de la salud y formación</t>
        </is>
      </c>
      <c r="B34" s="30" t="n">
        <v>800</v>
      </c>
      <c r="C34" s="33">
        <f>IFERROR(IF(C9="","",B34*(1+'0. Supuestos'!$B$48)),"")</f>
        <v>800.0</v>
      </c>
      <c r="D34" s="33">
        <f>IFERROR(IF(D9="","",C34*(1+'0. Supuestos'!$B$48)),"")</f>
        <v>800.0</v>
      </c>
      <c r="E34" s="68">
        <f>IFERROR(B34/$B$9,"")</f>
        <v>0.0016877637130801688</v>
      </c>
      <c r="F34" s="29" t="inlineStr">
        <is>
          <t>El plan de prevención es obligatorio (Ley 31/1995): cortes con los cuchillos de la barra, quemaduras de la freidora y la plancha, el frío del congelador y las cargas; los reconocimientos médicos de la plantilla y la formación en higiene del pescado crudo y en alérgenos</t>
        </is>
      </c>
      <c r="G34" s="68">
        <f>IFERROR(IF(B9="","",'0. Supuestos'!$B$41),"")</f>
        <v>0.21</v>
      </c>
      <c r="H34" s="29" t="n"/>
    </row>
    <row r="35">
      <c r="A35" s="29" t="inlineStr">
        <is>
          <t>Amortización del inmovilizado</t>
        </is>
      </c>
      <c r="B35" s="33">
        <f>IFERROR(IF(B9="","",'Inversión Inicial'!$B$37),"")</f>
        <v>9235.0</v>
      </c>
      <c r="C35" s="33">
        <f>IFERROR(IF(C9="","",B35),"")</f>
        <v>9235.0</v>
      </c>
      <c r="D35" s="33">
        <f>IFERROR(IF(D9="","",B35),"")</f>
        <v>9235.0</v>
      </c>
      <c r="E35" s="68">
        <f>IFERROR(B35/$B$9,"")</f>
        <v>0.0194831223628692</v>
      </c>
      <c r="F35" s="29" t="inlineStr">
        <is>
          <t>Sale de las bases de amortización de la hoja de Inversión: sólo inmovilizado real. NO sube con el IPC: es una cuota sobre el coste HISTÓRICO del inmovilizado</t>
        </is>
      </c>
      <c r="G35" s="68" t="n">
        <v>0</v>
      </c>
      <c r="H35" s="29" t="n"/>
    </row>
    <row r="36">
      <c r="A36" s="29" t="inlineStr">
        <is>
          <t>Gastos financieros (intereses del préstamo)</t>
        </is>
      </c>
      <c r="B36" s="33">
        <f>IFERROR(IF(B9="","",'Financiación'!$B$44),"")</f>
        <v>7860.0</v>
      </c>
      <c r="C36" s="33">
        <f>IFERROR(IF(C9="","",'Financiación'!$B$46),"")</f>
        <v>7860.0</v>
      </c>
      <c r="D36" s="33">
        <f>IFERROR(IF(D9="","",'Financiación'!$B$48),"")</f>
        <v>6733.1697401873225</v>
      </c>
      <c r="E36" s="68">
        <f>IFERROR(B36/$B$9,"")</f>
        <v>0.01658227848101266</v>
      </c>
      <c r="F36" s="29" t="inlineStr">
        <is>
          <t>Sólo los INTERESES son gasto. La devolución del principal va en la hoja de Tesorería</t>
        </is>
      </c>
      <c r="G36" s="68" t="n">
        <v>0</v>
      </c>
      <c r="H36" s="29" t="n"/>
    </row>
    <row r="37">
      <c r="A37" s="26" t="inlineStr">
        <is>
          <t>TOTAL COSTES FIJOS</t>
        </is>
      </c>
      <c r="B37" s="27">
        <f>IFERROR(IF(B9="","",SUM(B22:B36)),"")</f>
        <v>224867.36</v>
      </c>
      <c r="C37" s="27">
        <f>IFERROR(IF(C9="","",SUM(C22:C36)),"")</f>
        <v>230867.36</v>
      </c>
      <c r="D37" s="27">
        <f>IFERROR(IF(D9="","",SUM(D22:D36)),"")</f>
        <v>235740.5297401873</v>
      </c>
      <c r="E37" s="67">
        <f>IFERROR(B37/$B$9,"")</f>
        <v>0.47440371308016877</v>
      </c>
      <c r="F37" s="29" t="n"/>
      <c r="G37" s="29" t="n"/>
      <c r="H37" s="29" t="n"/>
    </row>
    <row r="38">
      <c r="A38" s="29" t="inlineStr">
        <is>
          <t>IVA soportado de los costes variables</t>
        </is>
      </c>
      <c r="B38" s="33">
        <f>IFERROR(IF(B9="","",SUMPRODUCT(B13:B18,G13:G18)),"")</f>
        <v>25942.256999999998</v>
      </c>
      <c r="C38" s="33">
        <f>IFERROR(IF(C9="","",SUMPRODUCT(C13:C18,G13:G18)),"")</f>
        <v>27498.792419999998</v>
      </c>
      <c r="D38" s="33">
        <f>IFERROR(IF(D9="","",SUMPRODUCT(D13:D18,G13:G18)),"")</f>
        <v>28598.744116800004</v>
      </c>
      <c r="E38" s="29" t="n"/>
      <c r="F38" s="29" t="inlineStr">
        <is>
          <t>Cada línea a SU tipo, leído de la columna de al lado. Es lo que la hoja de Tesorería paga de más a los proveedores y luego se deduce</t>
        </is>
      </c>
      <c r="G38" s="29" t="n"/>
      <c r="H38" s="29" t="n"/>
    </row>
    <row r="39">
      <c r="A39" s="29" t="inlineStr">
        <is>
          <t>IVA soportado de los costes fijos</t>
        </is>
      </c>
      <c r="B39" s="33">
        <f>IFERROR(IF(B9="","",SUMPRODUCT(B22:B36,G22:G36)),"")</f>
        <v>9712.5</v>
      </c>
      <c r="C39" s="33">
        <f>IFERROR(IF(C9="","",SUMPRODUCT(C22:C36,G22:G36)),"")</f>
        <v>9712.5</v>
      </c>
      <c r="D39" s="33">
        <f>IFERROR(IF(D9="","",SUMPRODUCT(D22:D36,G22:G36)),"")</f>
        <v>9712.5</v>
      </c>
      <c r="E39" s="29" t="n"/>
      <c r="F39" s="29" t="n"/>
      <c r="G39" s="29" t="n"/>
      <c r="H39" s="29" t="n"/>
    </row>
    <row r="40">
      <c r="A40" s="26" t="inlineStr">
        <is>
          <t>RESULTADO ANTES DE IMPUESTOS</t>
        </is>
      </c>
      <c r="B40" s="27">
        <f>IFERROR(IF(B9="","",B20-B37),"")</f>
        <v>50763.640000000014</v>
      </c>
      <c r="C40" s="27">
        <f>IFERROR(IF(C9="","",C20-C37),"")</f>
        <v>61301.50000000006</v>
      </c>
      <c r="D40" s="27">
        <f>IFERROR(IF(D9="","",D20-D37),"")</f>
        <v>68115.08465981277</v>
      </c>
      <c r="E40" s="67">
        <f>IFERROR(B40/$B$9,"")</f>
        <v>0.10709628691983125</v>
      </c>
      <c r="F40" s="29" t="n"/>
      <c r="G40" s="29" t="n"/>
      <c r="H40" s="29" t="n"/>
    </row>
    <row r="41">
      <c r="A41" s="29" t="inlineStr">
        <is>
          <t>Bases negativas pendientes al inicio</t>
        </is>
      </c>
      <c r="B41" s="33">
        <f>IFERROR(IF(B9="","",'0. Supuestos'!$B$42),"")</f>
        <v>0.0</v>
      </c>
      <c r="C41" s="33">
        <f>IFERROR(IF(C9="","",B46),"")</f>
        <v>0.0</v>
      </c>
      <c r="D41" s="33">
        <f>IFERROR(IF(D9="","",C46),"")</f>
        <v>0.0</v>
      </c>
      <c r="E41" s="29" t="n"/>
      <c r="F41" s="29" t="inlineStr">
        <is>
          <t>Art. 26 LIS: las pérdidas de un ejercicio se compensan con los beneficios de los siguientes</t>
        </is>
      </c>
      <c r="G41" s="29" t="n"/>
      <c r="H41" s="29" t="n"/>
    </row>
    <row r="42">
      <c r="A42" s="29" t="inlineStr">
        <is>
          <t>Base imponible (después de compensar)</t>
        </is>
      </c>
      <c r="B42" s="33">
        <f>IFERROR(IF(B9="","",MAX(0,B40-B41)),"")</f>
        <v>50763.640000000014</v>
      </c>
      <c r="C42" s="33">
        <f>IFERROR(IF(C9="","",MAX(0,C40-C41)),"")</f>
        <v>61301.50000000006</v>
      </c>
      <c r="D42" s="33">
        <f>IFERROR(IF(D9="","",MAX(0,D40-D41)),"")</f>
        <v>68115.08465981277</v>
      </c>
      <c r="E42" s="29" t="n"/>
      <c r="F42" s="29" t="n"/>
      <c r="G42" s="29" t="n"/>
      <c r="H42" s="29" t="n"/>
    </row>
    <row r="43">
      <c r="A43" s="29" t="inlineStr">
        <is>
          <t>Ejercicios con base positiva (acumulado)</t>
        </is>
      </c>
      <c r="B43" s="41">
        <f>IFERROR(IF(B9="","",IF(B42&gt;0,1,0)),"")</f>
        <v>1.0</v>
      </c>
      <c r="C43" s="41">
        <f>IFERROR(IF(C9="","",B43+IF(C42&gt;0,1,0)),"")</f>
        <v>2.0</v>
      </c>
      <c r="D43" s="41">
        <f>IFERROR(IF(D9="","",C43+IF(D42&gt;0,1,0)),"")</f>
        <v>3.0</v>
      </c>
      <c r="E43" s="29" t="n"/>
      <c r="F43" s="29" t="n"/>
      <c r="G43" s="29" t="n"/>
      <c r="H43" s="29" t="n"/>
    </row>
    <row r="44">
      <c r="A44" s="29" t="inlineStr">
        <is>
          <t>Tipo de Impuesto de Sociedades aplicado</t>
        </is>
      </c>
      <c r="B44" s="68">
        <f>IFERROR(IF(B9="","",IF(B42&lt;=0,"",IF(B43&lt;=2,'0. Supuestos'!$B$37,'0. Supuestos'!$B$38))),"")</f>
        <v>0.15</v>
      </c>
      <c r="C44" s="68">
        <f>IFERROR(IF(C9="","",IF(C42&lt;=0,"",IF(C43&lt;=2,'0. Supuestos'!$B$37,'0. Supuestos'!$B$38))),"")</f>
        <v>0.15</v>
      </c>
      <c r="D44" s="68">
        <f>IFERROR(IF(D9="","",IF(D42&lt;=0,"",IF(D43&lt;=2,'0. Supuestos'!$B$37,'0. Supuestos'!$B$38))),"")</f>
        <v>0.25</v>
      </c>
      <c r="E44" s="29" t="n"/>
      <c r="F44" s="29" t="inlineStr">
        <is>
          <t>Art. 29.1 LIS: el 15 % de entidad de nueva creación se aplica al PRIMER ejercicio con base positiva y al SIGUIENTE, no al primer año de vida. El libro lo aproxima contando los dos primeros ejercicios con base positiva</t>
        </is>
      </c>
      <c r="G44" s="29" t="n"/>
      <c r="H44" s="29" t="n"/>
    </row>
    <row r="45">
      <c r="A45" s="29" t="inlineStr">
        <is>
          <t>Impuesto de Sociedades</t>
        </is>
      </c>
      <c r="B45" s="33">
        <f>IFERROR(IF(B9="","",IF(B44="",0,B42*B44)),"")</f>
        <v>7614.546000000002</v>
      </c>
      <c r="C45" s="33">
        <f>IFERROR(IF(C9="","",IF(C44="",0,C42*C44)),"")</f>
        <v>9195.225000000008</v>
      </c>
      <c r="D45" s="33">
        <f>IFERROR(IF(D9="","",IF(D44="",0,D42*D44)),"")</f>
        <v>17028.771164953192</v>
      </c>
      <c r="E45" s="29" t="n"/>
      <c r="F45" s="29" t="n"/>
      <c r="G45" s="29" t="n"/>
      <c r="H45" s="29" t="n"/>
    </row>
    <row r="46">
      <c r="A46" s="29" t="inlineStr">
        <is>
          <t>Bases negativas pendientes al cierre</t>
        </is>
      </c>
      <c r="B46" s="33">
        <f>IFERROR(IF(B9="","",MAX(0,B41-B40)),"")</f>
        <v>0.0</v>
      </c>
      <c r="C46" s="33">
        <f>IFERROR(IF(C9="","",MAX(0,C41-C40)),"")</f>
        <v>0.0</v>
      </c>
      <c r="D46" s="33">
        <f>IFERROR(IF(D9="","",MAX(0,D41-D40)),"")</f>
        <v>0.0</v>
      </c>
      <c r="E46" s="29" t="n"/>
      <c r="F46" s="29" t="n"/>
      <c r="G46" s="29" t="n"/>
      <c r="H46" s="29" t="n"/>
    </row>
    <row r="47">
      <c r="A47" s="26" t="inlineStr">
        <is>
          <t>RESULTADO NETO</t>
        </is>
      </c>
      <c r="B47" s="27">
        <f>IFERROR(IF(B9="","",B40-B45),"")</f>
        <v>43149.09400000001</v>
      </c>
      <c r="C47" s="27">
        <f>IFERROR(IF(C9="","",C40-C45),"")</f>
        <v>52106.27500000005</v>
      </c>
      <c r="D47" s="27">
        <f>IFERROR(IF(D9="","",D40-D45),"")</f>
        <v>51086.313494859576</v>
      </c>
      <c r="E47" s="67">
        <f>IFERROR(B47/$B$9,"")</f>
        <v>0.09103184388185656</v>
      </c>
      <c r="F47" s="29" t="n"/>
      <c r="G47" s="29" t="n"/>
      <c r="H47" s="29" t="n"/>
    </row>
    <row r="48">
      <c r="A48" s="26" t="inlineStr">
        <is>
          <t>RATIOS CLAVE</t>
        </is>
      </c>
      <c r="B48" s="29" t="n"/>
      <c r="C48" s="29" t="n"/>
      <c r="D48" s="29" t="n"/>
      <c r="E48" s="29" t="n"/>
      <c r="F48" s="29" t="n"/>
      <c r="G48" s="29" t="n"/>
      <c r="H48" s="29" t="n"/>
    </row>
    <row r="49">
      <c r="A49" s="26" t="inlineStr">
        <is>
          <t>Ratio</t>
        </is>
      </c>
      <c r="B49" s="26" t="inlineStr">
        <is>
          <t>Año 1</t>
        </is>
      </c>
      <c r="C49" s="26" t="inlineStr">
        <is>
          <t>Año 2</t>
        </is>
      </c>
      <c r="D49" s="26" t="inlineStr">
        <is>
          <t>Año 3</t>
        </is>
      </c>
      <c r="E49" s="26" t="inlineStr">
        <is>
          <t>Umbral</t>
        </is>
      </c>
      <c r="F49" s="26" t="inlineStr">
        <is>
          <t>Comentario</t>
        </is>
      </c>
      <c r="G49" s="29" t="n"/>
      <c r="H49" s="29" t="n"/>
    </row>
    <row r="50">
      <c r="A50" s="29" t="inlineStr">
        <is>
          <t>Margen bruto / Ventas</t>
        </is>
      </c>
      <c r="B50" s="68">
        <f>IFERROR(IF(B9="","",B20/B9),"")</f>
        <v>0.5815</v>
      </c>
      <c r="C50" s="68">
        <f>IFERROR(IF(C9="","",C20/C9),"")</f>
        <v>0.5815</v>
      </c>
      <c r="D50" s="68">
        <f>IFERROR(IF(D9="","",D20/D9),"")</f>
        <v>0.5815</v>
      </c>
      <c r="E50" s="74" t="n">
        <v>0.52</v>
      </c>
      <c r="F50" s="29" t="inlineStr">
        <is>
          <t>Suelo del margen tras TODOS los costes variables (mercancía, envases, plataforma, medios de pago y varios). Con casi un cuarto de las ventas por plataforma, un sushi bar deja menos que una sala sola. Estimación del kit</t>
        </is>
      </c>
      <c r="G50" s="29" t="n"/>
      <c r="H50" s="29" t="n"/>
    </row>
    <row r="51">
      <c r="A51" s="29" t="inlineStr">
        <is>
          <t>Coste de mercancía (comida + bebida)</t>
        </is>
      </c>
      <c r="B51" s="33">
        <f>IFERROR(IF(B9="","",B13+B14),"")</f>
        <v>136749.0</v>
      </c>
      <c r="C51" s="33">
        <f>IFERROR(IF(C9="","",C13+C14),"")</f>
        <v>144953.94</v>
      </c>
      <c r="D51" s="33">
        <f>IFERROR(IF(D9="","",D13+D14),"")</f>
        <v>150752.09760000004</v>
      </c>
      <c r="E51" s="29" t="n"/>
      <c r="F51" s="29" t="n"/>
      <c r="G51" s="29" t="n"/>
      <c r="H51" s="29" t="n"/>
    </row>
    <row r="52">
      <c r="A52" s="29" t="inlineStr">
        <is>
          <t>Coste de mercancía / Ventas</t>
        </is>
      </c>
      <c r="B52" s="68">
        <f>IFERROR(IF(B9="","",B51/B9),"")</f>
        <v>0.2885</v>
      </c>
      <c r="C52" s="68">
        <f>IFERROR(IF(C9="","",C51/C9),"")</f>
        <v>0.2885</v>
      </c>
      <c r="D52" s="68">
        <f>IFERROR(IF(D9="","",D51/D9),"")</f>
        <v>0.28850000000000003</v>
      </c>
      <c r="E52" s="74" t="n">
        <v>0.31</v>
      </c>
      <c r="F52" s="29" t="inlineStr">
        <is>
          <t>Techo de la materia prima sobre ventas: el salmón paga la carta y el atún, el langostino y la merma de la vitrina la encarecen. Estimación del kit</t>
        </is>
      </c>
      <c r="G52" s="29" t="n"/>
      <c r="H52" s="29" t="n"/>
    </row>
    <row r="53">
      <c r="A53" s="29" t="inlineStr">
        <is>
          <t>Coste de personal / Ventas</t>
        </is>
      </c>
      <c r="B53" s="68">
        <f>IFERROR(IF(B9="","",B23/B9),"")</f>
        <v>0.3369670042194092</v>
      </c>
      <c r="C53" s="68">
        <f>IFERROR(IF(C9="","",C23/C9),"")</f>
        <v>0.329835124591991</v>
      </c>
      <c r="D53" s="68">
        <f>IFERROR(IF(D9="","",D23/D9),"")</f>
        <v>0.32863158555480015</v>
      </c>
      <c r="E53" s="74" t="n">
        <v>0.38</v>
      </c>
      <c r="F53" s="29" t="inlineStr">
        <is>
          <t>Techo del personal sobre ventas con itamae, sushiman y una sala de dos servicios. Estimación del kit</t>
        </is>
      </c>
      <c r="G53" s="29" t="n"/>
      <c r="H53" s="29" t="n"/>
    </row>
    <row r="54">
      <c r="A54" s="29" t="inlineStr">
        <is>
          <t>Alquiler / Ventas</t>
        </is>
      </c>
      <c r="B54" s="68">
        <f>IFERROR(IF(B9="","",B22/B9),"")</f>
        <v>0.04050632911392405</v>
      </c>
      <c r="C54" s="68">
        <f>IFERROR(IF(C9="","",C22/C9),"")</f>
        <v>0.03821351803200382</v>
      </c>
      <c r="D54" s="68">
        <f>IFERROR(IF(D9="","",D22/D9),"")</f>
        <v>0.036743767338465204</v>
      </c>
      <c r="E54" s="74" t="n">
        <v>0.1</v>
      </c>
      <c r="F54" s="29" t="inlineStr">
        <is>
          <t>Techo del alquiler sobre ventas para un local con salida de humos a cubierta: estimación del kit</t>
        </is>
      </c>
      <c r="G54" s="29" t="n"/>
      <c r="H54" s="29" t="n"/>
    </row>
    <row r="55">
      <c r="A55" s="29" t="inlineStr">
        <is>
          <t>Resultado neto / Ventas</t>
        </is>
      </c>
      <c r="B55" s="68">
        <f>IFERROR(IF(B9="","",B47/B9),"")</f>
        <v>0.09103184388185656</v>
      </c>
      <c r="C55" s="68">
        <f>IFERROR(IF(C9="","",C47/C9),"")</f>
        <v>0.10370646246317977</v>
      </c>
      <c r="D55" s="68">
        <f>IFERROR(IF(D9="","",D47/D9),"")</f>
        <v>0.09776581339765707</v>
      </c>
      <c r="E55" s="74" t="n">
        <v>0.05</v>
      </c>
      <c r="F55" s="29" t="inlineStr">
        <is>
          <t>Suelo de resultado neto a régimen para que el plan se sostenga. Un sushi bar bien llevado deja en torno a un 8-10 %. Estimación del kit</t>
        </is>
      </c>
      <c r="G55" s="29" t="n"/>
      <c r="H55" s="29" t="n"/>
    </row>
    <row r="56">
      <c r="A56" s="29" t="inlineStr">
        <is>
          <t>Punto de equilibrio alcanzado</t>
        </is>
      </c>
      <c r="B56" s="29" t="str">
        <f>IFERROR(IF(B9="","",IF(B9&gt;='Punto Equilibrio'!$B$16,"Sí","No")),"")</f>
        <v>Sí</v>
      </c>
      <c r="C56" s="29" t="str">
        <f>IFERROR(IF(C9="","",IF(C9&gt;='Punto Equilibrio'!$C$16,"Sí","No")),"")</f>
        <v>Sí</v>
      </c>
      <c r="D56" s="29" t="str">
        <f>IFERROR(IF(D9="","",IF(D9&gt;='Punto Equilibrio'!$D$16,"Sí","No")),"")</f>
        <v>Sí</v>
      </c>
      <c r="E56" s="29" t="n"/>
      <c r="F56" s="29" t="inlineStr">
        <is>
          <t>Compara las ventas de CADA año con el umbral de ese mismo año, que calcula la hoja de Punto de Equilibrio con los costes fijos del año</t>
        </is>
      </c>
      <c r="G56" s="29" t="n"/>
      <c r="H56" s="29" t="n"/>
    </row>
    <row r="57">
      <c r="A57" s="29" t="n"/>
      <c r="B57" s="29" t="n"/>
      <c r="C57" s="29" t="n"/>
      <c r="D57" s="29" t="n"/>
      <c r="E57" s="29" t="n"/>
      <c r="F57" s="29" t="n"/>
      <c r="G57" s="29" t="n"/>
      <c r="H57" s="29" t="n"/>
    </row>
    <row r="58" ht="165" customHeight="1">
      <c r="A58" s="48"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8" s="29" t="n"/>
      <c r="C58" s="29" t="n"/>
      <c r="D58" s="29" t="n"/>
      <c r="E58" s="29" t="n"/>
      <c r="F58" s="29" t="n"/>
      <c r="G58" s="29" t="n"/>
      <c r="H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Sí">
      <formula>NOT(ISERROR(SEARCH("Sí",B56)))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mporte no válido" error="Escribe un número mayor o igual que 0." type="decimal" operator="greaterThanOrEqual">
      <formula1>0</formula1>
    </dataValidation>
    <dataValidation sqref="E50 E52 E53 E54 E55 G13 H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9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Punto de equilibrio mensual y diario — sushi bar con barra a la vista, mesas, para llevar y a domicilio</t>
        </is>
      </c>
    </row>
    <row r="3"/>
    <row r="4">
      <c r="A4" s="26" t="inlineStr">
        <is>
          <t>Variable</t>
        </is>
      </c>
      <c r="B4" s="26" t="inlineStr">
        <is>
          <t>Año 1</t>
        </is>
      </c>
      <c r="C4" s="26" t="inlineStr">
        <is>
          <t>Año 2</t>
        </is>
      </c>
      <c r="D4" s="26" t="inlineStr">
        <is>
          <t>Año 3</t>
        </is>
      </c>
      <c r="E4" s="26" t="inlineStr">
        <is>
          <t>Notas</t>
        </is>
      </c>
      <c r="F4" s="29" t="n"/>
    </row>
    <row r="5">
      <c r="A5" s="26" t="inlineStr">
        <is>
          <t>DATOS BASE POR AÑO</t>
        </is>
      </c>
      <c r="B5" s="29" t="n"/>
      <c r="C5" s="29" t="n"/>
      <c r="D5" s="29" t="n"/>
      <c r="E5" s="29" t="n"/>
      <c r="F5" s="29" t="n"/>
    </row>
    <row r="6">
      <c r="A6" s="29" t="inlineStr">
        <is>
          <t>Costes fijos anuales</t>
        </is>
      </c>
      <c r="B6" s="70">
        <f>IFERROR(IF('PyG 3 Años'!$B$9="","",'PyG 3 Años'!$B$37),"")</f>
        <v>224867.36</v>
      </c>
      <c r="C6" s="70">
        <f>IFERROR(IF('PyG 3 Años'!$C$9="","",'PyG 3 Años'!$C$37),"")</f>
        <v>230867.36</v>
      </c>
      <c r="D6" s="70">
        <f>IFERROR(IF('PyG 3 Años'!$D$9="","",'PyG 3 Años'!$D$37),"")</f>
        <v>235740.5297401873</v>
      </c>
      <c r="E6" s="29" t="inlineStr">
        <is>
          <t>Los MISMOS costes fijos del P&amp;L. Cada año tiene los suyos: por eso el umbral no puede ser uno solo para los tres</t>
        </is>
      </c>
      <c r="F6" s="29" t="n"/>
    </row>
    <row r="7">
      <c r="A7" s="29" t="inlineStr">
        <is>
          <t>Costes fijos mensuales</t>
        </is>
      </c>
      <c r="B7" s="70">
        <f>IFERROR(IF('PyG 3 Años'!$B$9="","",B6/12),"")</f>
        <v>18738.946666666667</v>
      </c>
      <c r="C7" s="70">
        <f>IFERROR(IF('PyG 3 Años'!$C$9="","",C6/12),"")</f>
        <v>19238.946666666667</v>
      </c>
      <c r="D7" s="70">
        <f>IFERROR(IF('PyG 3 Años'!$D$9="","",D6/12),"")</f>
        <v>19645.04414501561</v>
      </c>
      <c r="E7" s="29" t="n"/>
      <c r="F7" s="29" t="n"/>
    </row>
    <row r="8">
      <c r="A8" s="29" t="inlineStr">
        <is>
          <t>Ticket medio sin IVA</t>
        </is>
      </c>
      <c r="B8" s="70">
        <f>IFERROR(IF('PyG 3 Años'!$B$9="","",'PyG 3 Años'!$B$7),"")</f>
        <v>20.0</v>
      </c>
      <c r="C8" s="70">
        <f>IFERROR(IF('PyG 3 Años'!$C$9="","",'PyG 3 Años'!$C$7),"")</f>
        <v>20.0</v>
      </c>
      <c r="D8" s="70">
        <f>IFERROR(IF('PyG 3 Años'!$D$9="","",'PyG 3 Años'!$D$7),"")</f>
        <v>20.0</v>
      </c>
      <c r="E8" s="29" t="n"/>
      <c r="F8" s="29" t="n"/>
    </row>
    <row r="9">
      <c r="A9" s="29" t="inlineStr">
        <is>
          <t>Coste variable por comensal</t>
        </is>
      </c>
      <c r="B9" s="70">
        <f>IFERROR(IF('PyG 3 Años'!$B$9="","",'PyG 3 Años'!$B$19/('PyG 3 Años'!$B$6*'PyG 3 Años'!$B$8)),"")</f>
        <v>8.37</v>
      </c>
      <c r="C9" s="70">
        <f>IFERROR(IF('PyG 3 Años'!$C$9="","",'PyG 3 Años'!$C$19/('PyG 3 Años'!$C$6*'PyG 3 Años'!$C$8)),"")</f>
        <v>8.37</v>
      </c>
      <c r="D9" s="70">
        <f>IFERROR(IF('PyG 3 Años'!$D$9="","",'PyG 3 Años'!$D$19/('PyG 3 Años'!$D$6*'PyG 3 Años'!$D$8)),"")</f>
        <v>8.370000000000001</v>
      </c>
      <c r="E9" s="29" t="inlineStr">
        <is>
          <t>Sale del total de costes variables del P&amp;L, no de una estimación aparte. Incluye los varios e imprevistos, que son un porcentaje de las ventas</t>
        </is>
      </c>
      <c r="F9" s="29" t="n"/>
    </row>
    <row r="10">
      <c r="A10" s="29" t="inlineStr">
        <is>
          <t>Margen de contribución por comensal</t>
        </is>
      </c>
      <c r="B10" s="70">
        <f>IFERROR(IF('PyG 3 Años'!$B$9="","",B8-B9),"")</f>
        <v>11.63</v>
      </c>
      <c r="C10" s="70">
        <f>IFERROR(IF('PyG 3 Años'!$C$9="","",C8-C9),"")</f>
        <v>11.63</v>
      </c>
      <c r="D10" s="70">
        <f>IFERROR(IF('PyG 3 Años'!$D$9="","",D8-D9),"")</f>
        <v>11.629999999999999</v>
      </c>
      <c r="E10" s="29" t="inlineStr">
        <is>
          <t>Ticket menos coste variable unitario</t>
        </is>
      </c>
      <c r="F10" s="29" t="n"/>
    </row>
    <row r="11">
      <c r="A11" s="29" t="inlineStr">
        <is>
          <t>Días de apertura al año</t>
        </is>
      </c>
      <c r="B11" s="41">
        <f>IFERROR(IF('PyG 3 Años'!$B$9="","",'PyG 3 Años'!$B$8),"")</f>
        <v>300.0</v>
      </c>
      <c r="C11" s="41">
        <f>IFERROR(IF('PyG 3 Años'!$C$9="","",'PyG 3 Años'!$C$8),"")</f>
        <v>300.0</v>
      </c>
      <c r="D11" s="41">
        <f>IFERROR(IF('PyG 3 Años'!$D$9="","",'PyG 3 Años'!$D$8),"")</f>
        <v>300.0</v>
      </c>
      <c r="E11" s="29" t="inlineStr">
        <is>
          <t>El mismo calendario que el P&amp;L y que los escenarios</t>
        </is>
      </c>
      <c r="F11" s="29" t="n"/>
    </row>
    <row r="12">
      <c r="A12" s="29" t="inlineStr">
        <is>
          <t>Devolución de principal del año (cuota)</t>
        </is>
      </c>
      <c r="B12" s="70">
        <f>IFERROR(IF('PyG 3 Años'!$B$9="","",'Financiación'!$B$45),"")</f>
        <v>0.0</v>
      </c>
      <c r="C12" s="70">
        <f>IFERROR(IF('PyG 3 Años'!$C$9="","",'Financiación'!$B$47),"")</f>
        <v>18780.50433021129</v>
      </c>
      <c r="D12" s="70">
        <f>IFERROR(IF('PyG 3 Años'!$D$9="","",'Financiación'!$B$49),"")</f>
        <v>19907.334590023966</v>
      </c>
      <c r="E12" s="29" t="inlineStr">
        <is>
          <t>El principal NO es gasto del P&amp;L, pero sale de la caja. Sin él, el umbral de equilibrio se publica por debajo del real</t>
        </is>
      </c>
      <c r="F12" s="29" t="n"/>
    </row>
    <row r="13">
      <c r="A13" s="26" t="inlineStr">
        <is>
          <t>PUNTO DE EQUILIBRIO CONTABLE (incluye amortización)</t>
        </is>
      </c>
      <c r="B13" s="29" t="n"/>
      <c r="C13" s="29" t="n"/>
      <c r="D13" s="29" t="n"/>
      <c r="E13" s="29" t="n"/>
      <c r="F13" s="29" t="n"/>
    </row>
    <row r="14">
      <c r="A14" s="29" t="inlineStr">
        <is>
          <t>Comensales necesarios al año</t>
        </is>
      </c>
      <c r="B14" s="41">
        <f>IFERROR(IF('PyG 3 Años'!$B$9="","",IF(B10&lt;=0,"",B6/B10)),"")</f>
        <v>19335.112639724848</v>
      </c>
      <c r="C14" s="41">
        <f>IFERROR(IF('PyG 3 Años'!$C$9="","",IF(C10&lt;=0,"",C6/C10)),"")</f>
        <v>19851.019776440236</v>
      </c>
      <c r="D14" s="41">
        <f>IFERROR(IF('PyG 3 Años'!$D$9="","",IF(D10&lt;=0,"",D6/D10)),"")</f>
        <v>20270.03695100493</v>
      </c>
      <c r="E14" s="29" t="n"/>
      <c r="F14" s="29" t="n"/>
    </row>
    <row r="15">
      <c r="A15" s="29" t="inlineStr">
        <is>
          <t>Comensales necesarios al día</t>
        </is>
      </c>
      <c r="B15" s="45">
        <f>IFERROR(IF('PyG 3 Años'!$B$9="","",B14/B11),"")</f>
        <v>64.45037546574949</v>
      </c>
      <c r="C15" s="45">
        <f>IFERROR(IF('PyG 3 Años'!$C$9="","",C14/C11),"")</f>
        <v>66.17006592146745</v>
      </c>
      <c r="D15" s="45">
        <f>IFERROR(IF('PyG 3 Años'!$D$9="","",D14/D11),"")</f>
        <v>67.5667898366831</v>
      </c>
      <c r="E15" s="29" t="n"/>
      <c r="F15" s="29" t="n"/>
    </row>
    <row r="16">
      <c r="A16" s="26" t="inlineStr">
        <is>
          <t>Ingresos necesarios al año</t>
        </is>
      </c>
      <c r="B16" s="27">
        <f>IFERROR(IF('PyG 3 Años'!$B$9="","",B14*B8),"")</f>
        <v>386702.25279449695</v>
      </c>
      <c r="C16" s="27">
        <f>IFERROR(IF('PyG 3 Años'!$C$9="","",C14*C8),"")</f>
        <v>397020.39552880474</v>
      </c>
      <c r="D16" s="27">
        <f>IFERROR(IF('PyG 3 Años'!$D$9="","",D14*D8),"")</f>
        <v>405400.73902009864</v>
      </c>
      <c r="E16" s="29" t="n"/>
      <c r="F16" s="29" t="n"/>
    </row>
    <row r="17">
      <c r="A17" s="26" t="inlineStr">
        <is>
          <t>PUNTO DE EQUILIBRIO DE CAJA (incluye la cuota del préstamo)</t>
        </is>
      </c>
      <c r="B17" s="29" t="n"/>
      <c r="C17" s="29" t="n"/>
      <c r="D17" s="29" t="n"/>
      <c r="E17" s="29" t="n"/>
      <c r="F17" s="29" t="n"/>
    </row>
    <row r="18">
      <c r="A18" s="29" t="inlineStr">
        <is>
          <t>Costes fijos de caja + principal del año</t>
        </is>
      </c>
      <c r="B18" s="70">
        <f>IFERROR(IF('PyG 3 Años'!$B$9="","",B6-'PyG 3 Años'!$B$35+B12),"")</f>
        <v>215632.36</v>
      </c>
      <c r="C18" s="70">
        <f>IFERROR(IF('PyG 3 Años'!$C$9="","",C6-'PyG 3 Años'!$C$35+C12),"")</f>
        <v>240412.86433021128</v>
      </c>
      <c r="D18" s="70">
        <f>IFERROR(IF('PyG 3 Años'!$D$9="","",D6-'PyG 3 Años'!$D$35+D12),"")</f>
        <v>246412.86433021128</v>
      </c>
      <c r="E18" s="29" t="inlineStr">
        <is>
          <t>Los fijos del P&amp;L sin la amortización (que no se paga) y CON la devolución de principal (que sí). Es el umbral que decide si la caja aguanta</t>
        </is>
      </c>
      <c r="F18" s="29" t="n"/>
    </row>
    <row r="19">
      <c r="A19" s="29" t="inlineStr">
        <is>
          <t>Comensales necesarios al año (caja)</t>
        </is>
      </c>
      <c r="B19" s="41">
        <f>IFERROR(IF('PyG 3 Años'!$B$9="","",IF(B10&lt;=0,"",B18/B10)),"")</f>
        <v>18541.045571797073</v>
      </c>
      <c r="C19" s="41">
        <f>IFERROR(IF('PyG 3 Años'!$C$9="","",IF(C10&lt;=0,"",C18/C10)),"")</f>
        <v>20671.785411024182</v>
      </c>
      <c r="D19" s="41">
        <f>IFERROR(IF('PyG 3 Años'!$D$9="","",IF(D10&lt;=0,"",D18/D10)),"")</f>
        <v>21187.692547739578</v>
      </c>
      <c r="E19" s="29" t="n"/>
      <c r="F19" s="29" t="n"/>
    </row>
    <row r="20">
      <c r="A20" s="26" t="inlineStr">
        <is>
          <t>Comensales necesarios al día (caja)</t>
        </is>
      </c>
      <c r="B20" s="46">
        <f>IFERROR(IF('PyG 3 Años'!$B$9="","",B19/B11),"")</f>
        <v>61.80348523932358</v>
      </c>
      <c r="C20" s="46">
        <f>IFERROR(IF('PyG 3 Años'!$C$9="","",C19/C11),"")</f>
        <v>68.90595137008061</v>
      </c>
      <c r="D20" s="46">
        <f>IFERROR(IF('PyG 3 Años'!$D$9="","",D19/D11),"")</f>
        <v>70.6256418257986</v>
      </c>
      <c r="E20" s="29" t="n"/>
      <c r="F20" s="29" t="n"/>
    </row>
    <row r="21">
      <c r="A21" s="29" t="inlineStr">
        <is>
          <t>Ingresos necesarios al año (caja)</t>
        </is>
      </c>
      <c r="B21" s="33">
        <f>IFERROR(IF('PyG 3 Años'!$B$9="","",B19*B8),"")</f>
        <v>370820.91143594147</v>
      </c>
      <c r="C21" s="33">
        <f>IFERROR(IF('PyG 3 Años'!$C$9="","",C19*C8),"")</f>
        <v>413435.7082204836</v>
      </c>
      <c r="D21" s="33">
        <f>IFERROR(IF('PyG 3 Años'!$D$9="","",D19*D8),"")</f>
        <v>423753.85095479153</v>
      </c>
      <c r="E21" s="29" t="n"/>
      <c r="F21" s="29" t="n"/>
    </row>
    <row r="22">
      <c r="A22" s="26" t="inlineStr">
        <is>
          <t>CONTRASTE CON EL PLAN</t>
        </is>
      </c>
      <c r="B22" s="29" t="n"/>
      <c r="C22" s="29" t="n"/>
      <c r="D22" s="29" t="n"/>
      <c r="E22" s="29" t="n"/>
      <c r="F22" s="29" t="n"/>
    </row>
    <row r="23">
      <c r="A23" s="29" t="inlineStr">
        <is>
          <t>Comensales/día previstos en el plan</t>
        </is>
      </c>
      <c r="B23" s="41">
        <f>IFERROR(IF('PyG 3 Años'!$B$9="","",'PyG 3 Años'!$B$6),"")</f>
        <v>79.0</v>
      </c>
      <c r="C23" s="41">
        <f>IFERROR(IF('PyG 3 Años'!$C$9="","",'PyG 3 Años'!$C$6),"")</f>
        <v>83.74000000000001</v>
      </c>
      <c r="D23" s="41">
        <f>IFERROR(IF('PyG 3 Años'!$D$9="","",'PyG 3 Años'!$D$6),"")</f>
        <v>87.08960000000002</v>
      </c>
      <c r="E23" s="29" t="n"/>
      <c r="F23" s="29" t="n"/>
    </row>
    <row r="24">
      <c r="A24" s="29" t="inlineStr">
        <is>
          <t>Holgura sobre el equilibrio de CAJA (%)</t>
        </is>
      </c>
      <c r="B24" s="68">
        <f>IFERROR(IF('PyG 3 Años'!$B$9="","",B23/B20-1),"")</f>
        <v>0.2782450648872927</v>
      </c>
      <c r="C24" s="68">
        <f>IFERROR(IF('PyG 3 Años'!$C$9="","",C23/C20-1),"")</f>
        <v>0.21527964326693017</v>
      </c>
      <c r="D24" s="68">
        <f>IFERROR(IF('PyG 3 Años'!$D$9="","",D23/D20-1),"")</f>
        <v>0.2331158733369183</v>
      </c>
      <c r="E24" s="29" t="inlineStr">
        <is>
          <t>Cuánto superan tus ventas previstas a las del equilibrio de caja. La caída que aguantas antes de no poder pagar los costes fijos y la cuota es algo menor: con un 25 % de holgura, un 20 %. El mínimo exigible está en la hoja de Supuestos</t>
        </is>
      </c>
      <c r="F24" s="29" t="n"/>
    </row>
    <row r="25">
      <c r="A25" s="29" t="inlineStr">
        <is>
          <t>Rotaciones al día que da el local como máximo</t>
        </is>
      </c>
      <c r="B25" s="47" t="n">
        <v>3</v>
      </c>
      <c r="C25" s="29" t="n"/>
      <c r="D25" s="29" t="n"/>
      <c r="E25" s="29" t="inlineStr">
        <is>
          <t>Servicios completos por plaza y día que puedes hacer con comidas, cenas y un segundo turno de cena el viernes y el sábado (estancias de 45-60 minutos). Es el techo físico del local, no un objetivo</t>
        </is>
      </c>
      <c r="F25" s="29" t="n"/>
    </row>
    <row r="26">
      <c r="A26" s="29" t="inlineStr">
        <is>
          <t>Rotaciones al día que exige el equilibrio de caja</t>
        </is>
      </c>
      <c r="B26" s="45">
        <f>IFERROR(IF('PyG 3 Años'!$B$9="","",B20/'0. Supuestos'!$B$51),"")</f>
        <v>1.7167634788700994</v>
      </c>
      <c r="C26" s="45">
        <f>IFERROR(IF('PyG 3 Años'!$C$9="","",C20/'0. Supuestos'!$B$51),"")</f>
        <v>1.9140542047244615</v>
      </c>
      <c r="D26" s="45">
        <f>IFERROR(IF('PyG 3 Años'!$D$9="","",D20/'0. Supuestos'!$B$51),"")</f>
        <v>1.961823384049961</v>
      </c>
      <c r="E26" s="29" t="inlineStr">
        <is>
          <t>Comensales de equilibrio entre las plazas que declara la hoja de Supuestos. Por encima del techo de arriba, el punto de equilibrio está fuera del alcance del local</t>
        </is>
      </c>
      <c r="F26" s="29" t="n"/>
    </row>
    <row r="27">
      <c r="A27" s="26" t="inlineStr">
        <is>
          <t>INTERPRETACIÓN</t>
        </is>
      </c>
      <c r="B27" s="29" t="n"/>
      <c r="C27" s="29" t="n"/>
      <c r="D27" s="29" t="n"/>
      <c r="E27" s="29" t="n"/>
      <c r="F27" s="29" t="n"/>
    </row>
    <row r="28" ht="46" customHeight="1">
      <c r="A28" s="29" t="str">
        <f>IFERROR("Con el ticket medio sin IVA de la fila de arriba necesitas "&amp;TEXT(ROUNDUP(B15,0),"0")&amp;" comensales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65 comensales al día durante los 300 días que abres para no perder dinero (equilibrio contable, con la amortización dentro), y 62 para que la caja aguante (equilibrio de caja: sin la amortización, que no se paga, y con la cuota del préstamo del año; este año sólo intereses, porque el préstamo está en carencia). En las filas «Ingresos necesarios al año» tienes esas mismas cifras en euros.</v>
      </c>
      <c r="B28" s="29" t="n"/>
      <c r="C28" s="29" t="n"/>
      <c r="D28" s="29" t="n"/>
      <c r="E28" s="29" t="n"/>
      <c r="F28" s="29" t="n"/>
    </row>
    <row r="29">
      <c r="A29" s="29" t="n"/>
      <c r="B29" s="29" t="n"/>
      <c r="C29" s="29" t="n"/>
      <c r="D29" s="29" t="n"/>
      <c r="E29" s="29" t="n"/>
      <c r="F29" s="29" t="n"/>
    </row>
    <row r="30">
      <c r="A30" s="26" t="inlineStr">
        <is>
          <t>SENSIBILIDAD DEL PUNTO DE EQUILIBRIO</t>
        </is>
      </c>
      <c r="B30" s="29" t="n"/>
      <c r="C30" s="29" t="n"/>
      <c r="D30" s="29" t="n"/>
      <c r="E30" s="29" t="n"/>
      <c r="F30" s="29" t="n"/>
    </row>
    <row r="31" ht="75" customHeight="1">
      <c r="A31" s="48" t="inlineStr">
        <is>
          <t>Comensales/día necesarios para cubrir costes según el ticket medio (columnas) y el coste variable por comensal (filas). En verde, los que están por debajo de los comensales que prevé el plan.</t>
        </is>
      </c>
      <c r="B31" s="29" t="n"/>
      <c r="C31" s="29" t="n"/>
      <c r="D31" s="29" t="n"/>
      <c r="E31" s="29" t="n"/>
      <c r="F31" s="29" t="n"/>
    </row>
    <row r="32">
      <c r="A32" s="29" t="n"/>
      <c r="B32" s="29" t="n"/>
      <c r="C32" s="29" t="n"/>
      <c r="D32" s="29" t="n"/>
      <c r="E32" s="29" t="n"/>
      <c r="F32" s="29" t="n"/>
    </row>
    <row r="33" ht="45" customHeight="1">
      <c r="A33" s="40" t="inlineStr">
        <is>
          <t>Comensales/día necesarios: ticket medio sin IVA (columnas) × coste variable por comensal (filas)</t>
        </is>
      </c>
      <c r="B33" s="72">
        <f>IFERROR($B$8-2,"")</f>
        <v>18.0</v>
      </c>
      <c r="C33" s="72">
        <f>IFERROR(IF($B$8="","",$B$8),"")</f>
        <v>20.0</v>
      </c>
      <c r="D33" s="72">
        <f>IFERROR($B$8+2,"")</f>
        <v>22.0</v>
      </c>
      <c r="E33" s="72">
        <f>IFERROR($B$8+4,"")</f>
        <v>24.0</v>
      </c>
      <c r="F33" s="29" t="n"/>
    </row>
    <row r="34">
      <c r="A34" s="70">
        <f>IFERROR($B$9*0.85,"")</f>
        <v>7.114499999999999</v>
      </c>
      <c r="B34" s="45">
        <f>IFERROR(IF($B$33-$A34&lt;=0,"",$B$6/($B$33-$A34)/$B$11),"")</f>
        <v>68.8583773521351</v>
      </c>
      <c r="C34" s="45">
        <f>IFERROR(IF($C$33-$A34&lt;=0,"",$B$6/($C$33-$A34)/$B$11),"")</f>
        <v>58.170646592423</v>
      </c>
      <c r="D34" s="45">
        <f>IFERROR(IF($D$33-$A34&lt;=0,"",$B$6/($D$33-$A34)/$B$11),"")</f>
        <v>50.354900182504224</v>
      </c>
      <c r="E34" s="45">
        <f>IFERROR(IF($E$33-$A34&lt;=0,"",$B$6/($E$33-$A34)/$B$11),"")</f>
        <v>44.390623118454684</v>
      </c>
      <c r="F34" s="29" t="n"/>
    </row>
    <row r="35">
      <c r="A35" s="70">
        <f>IFERROR($B$9*0.925,"")</f>
        <v>7.742249999999999</v>
      </c>
      <c r="B35" s="45">
        <f>IFERROR(IF($B$33-$A35&lt;=0,"",$B$6/($B$33-$A35)/$B$11),"")</f>
        <v>73.07234692468295</v>
      </c>
      <c r="C35" s="45">
        <f>IFERROR(IF($C$33-$A35&lt;=0,"",$B$6/($C$33-$A35)/$B$11),"")</f>
        <v>61.14971072722698</v>
      </c>
      <c r="D35" s="45">
        <f>IFERROR(IF($D$33-$A35&lt;=0,"",$B$6/($D$33-$A35)/$B$11),"")</f>
        <v>52.57196027891263</v>
      </c>
      <c r="E35" s="45">
        <f>IFERROR(IF($E$33-$A35&lt;=0,"",$B$6/($E$33-$A35)/$B$11),"")</f>
        <v>46.10464957738104</v>
      </c>
      <c r="F35" s="29" t="n"/>
    </row>
    <row r="36">
      <c r="A36" s="70">
        <f>IFERROR($B$9*1.0,"")</f>
        <v>8.37</v>
      </c>
      <c r="B36" s="45">
        <f>IFERROR(IF($B$33-$A36&lt;=0,"",$B$6/($B$33-$A36)/$B$11),"")</f>
        <v>77.83570785739009</v>
      </c>
      <c r="C36" s="45">
        <f>IFERROR(IF($C$33-$A36&lt;=0,"",$B$6/($C$33-$A36)/$B$11),"")</f>
        <v>64.45037546574949</v>
      </c>
      <c r="D36" s="45">
        <f>IFERROR(IF($D$33-$A36&lt;=0,"",$B$6/($D$33-$A36)/$B$11),"")</f>
        <v>54.99324040107605</v>
      </c>
      <c r="E36" s="45">
        <f>IFERROR(IF($E$33-$A36&lt;=0,"",$B$6/($E$33-$A36)/$B$11),"")</f>
        <v>47.95635743228833</v>
      </c>
      <c r="F36" s="29" t="n"/>
    </row>
    <row r="37">
      <c r="A37" s="70">
        <f>IFERROR($B$9*1.075,"")</f>
        <v>8.997749999999998</v>
      </c>
      <c r="B37" s="45">
        <f>IFERROR(IF($B$33-$A37&lt;=0,"",$B$6/($B$33-$A37)/$B$11),"")</f>
        <v>83.2633915595175</v>
      </c>
      <c r="C37" s="45">
        <f>IFERROR(IF($C$33-$A37&lt;=0,"",$B$6/($C$33-$A37)/$B$11),"")</f>
        <v>68.12768903330378</v>
      </c>
      <c r="D37" s="45">
        <f>IFERROR(IF($D$33-$A37&lt;=0,"",$B$6/($D$33-$A37)/$B$11),"")</f>
        <v>57.6483198420786</v>
      </c>
      <c r="E37" s="45">
        <f>IFERROR(IF($E$33-$A37&lt;=0,"",$B$6/($E$33-$A37)/$B$11),"")</f>
        <v>49.963029989945944</v>
      </c>
      <c r="F37" s="29" t="n"/>
    </row>
    <row r="38">
      <c r="A38" s="70">
        <f>IFERROR($B$9*1.15,"")</f>
        <v>9.625499999999999</v>
      </c>
      <c r="B38" s="45">
        <f>IFERROR(IF($B$33-$A38&lt;=0,"",$B$6/($B$33-$A38)/$B$11),"")</f>
        <v>89.50479033574142</v>
      </c>
      <c r="C38" s="45">
        <f>IFERROR(IF($C$33-$A38&lt;=0,"",$B$6/($C$33-$A38)/$B$11),"")</f>
        <v>72.25002329429529</v>
      </c>
      <c r="D38" s="45">
        <f>IFERROR(IF($D$33-$A38&lt;=0,"",$B$6/($D$33-$A38)/$B$11),"")</f>
        <v>60.572780044984974</v>
      </c>
      <c r="E38" s="45">
        <f>IFERROR(IF($E$33-$A38&lt;=0,"",$B$6/($E$33-$A38)/$B$11),"")</f>
        <v>52.14496968010481</v>
      </c>
      <c r="F38" s="29" t="n"/>
    </row>
    <row r="39">
      <c r="A39" s="29" t="n"/>
      <c r="B39" s="29" t="n"/>
      <c r="C39" s="29" t="n"/>
      <c r="D39" s="29" t="n"/>
      <c r="E39" s="29" t="n"/>
      <c r="F39" s="29" t="n"/>
    </row>
    <row r="40">
      <c r="A40" s="29" t="n"/>
      <c r="B40" s="29" t="n"/>
      <c r="C40" s="29" t="n"/>
      <c r="D40" s="29" t="n"/>
      <c r="E40" s="29" t="n"/>
      <c r="F40" s="29" t="n"/>
    </row>
    <row r="41">
      <c r="A41" s="29" t="n"/>
      <c r="B41" s="29" t="n"/>
      <c r="C41" s="29" t="n"/>
      <c r="D41" s="29" t="n"/>
      <c r="E41" s="29" t="n"/>
      <c r="F41" s="29" t="n"/>
    </row>
    <row r="42">
      <c r="A42" s="29" t="n"/>
      <c r="B42" s="29" t="n"/>
      <c r="C42" s="29" t="n"/>
      <c r="D42" s="29" t="n"/>
      <c r="E42" s="29" t="n"/>
      <c r="F42" s="29" t="n"/>
    </row>
    <row r="43">
      <c r="A43" s="29" t="n"/>
      <c r="B43" s="29" t="n"/>
      <c r="C43" s="29" t="n"/>
      <c r="D43" s="29" t="n"/>
      <c r="E43" s="29" t="n"/>
      <c r="F43" s="29" t="n"/>
    </row>
    <row r="44">
      <c r="A44" s="29" t="n"/>
      <c r="B44" s="29" t="n"/>
      <c r="C44" s="29" t="n"/>
      <c r="D44" s="29" t="n"/>
      <c r="E44" s="29" t="n"/>
      <c r="F44" s="29" t="n"/>
    </row>
    <row r="45">
      <c r="A45" s="29" t="n"/>
      <c r="B45" s="29" t="n"/>
      <c r="C45" s="29" t="n"/>
      <c r="D45" s="29" t="n"/>
      <c r="E45" s="29" t="n"/>
      <c r="F45" s="29" t="n"/>
    </row>
    <row r="46">
      <c r="A46" s="29" t="n"/>
      <c r="B46" s="29" t="n"/>
      <c r="C46" s="29" t="n"/>
      <c r="D46" s="29" t="n"/>
      <c r="E46" s="29" t="n"/>
      <c r="F46" s="29" t="n"/>
    </row>
    <row r="47">
      <c r="A47" s="29" t="n"/>
      <c r="B47" s="29" t="n"/>
      <c r="C47" s="29" t="n"/>
      <c r="D47" s="29" t="n"/>
      <c r="E47" s="29" t="n"/>
      <c r="F47" s="29" t="n"/>
    </row>
    <row r="48">
      <c r="A48" s="29" t="n"/>
      <c r="B48" s="29" t="n"/>
      <c r="C48" s="29" t="n"/>
      <c r="D48" s="29" t="n"/>
      <c r="E48" s="29" t="n"/>
      <c r="F48" s="29" t="n"/>
    </row>
    <row r="49">
      <c r="A49" s="29" t="n"/>
      <c r="B49" s="29" t="n"/>
      <c r="C49" s="29" t="n"/>
      <c r="D49" s="29" t="n"/>
      <c r="E49" s="29" t="n"/>
      <c r="F49" s="29" t="n"/>
    </row>
    <row r="50">
      <c r="A50" s="29" t="n"/>
      <c r="B50" s="29" t="n"/>
      <c r="C50" s="29" t="n"/>
      <c r="D50" s="29" t="n"/>
      <c r="E50" s="29" t="n"/>
      <c r="F50" s="29" t="n"/>
    </row>
    <row r="51">
      <c r="A51" s="29" t="n"/>
      <c r="B51" s="29" t="n"/>
      <c r="C51" s="29" t="n"/>
      <c r="D51" s="29" t="n"/>
      <c r="E51" s="29" t="n"/>
      <c r="F51" s="29" t="n"/>
    </row>
    <row r="52">
      <c r="A52" s="29" t="n"/>
      <c r="B52" s="29" t="n"/>
      <c r="C52" s="29" t="n"/>
      <c r="D52" s="29" t="n"/>
      <c r="E52" s="29" t="n"/>
      <c r="F52" s="29" t="n"/>
    </row>
    <row r="53">
      <c r="A53" s="29" t="n"/>
      <c r="B53" s="29" t="n"/>
      <c r="C53" s="29" t="n"/>
      <c r="D53" s="29" t="n"/>
      <c r="E53" s="29" t="n"/>
      <c r="F53" s="29" t="n"/>
    </row>
    <row r="54">
      <c r="A54" s="29" t="n"/>
      <c r="B54" s="29" t="n"/>
      <c r="C54" s="29" t="n"/>
      <c r="D54" s="29" t="n"/>
      <c r="E54" s="29" t="n"/>
      <c r="F54" s="29" t="n"/>
    </row>
    <row r="55">
      <c r="A55" s="29" t="n"/>
      <c r="B55" s="29" t="n"/>
      <c r="C55" s="29" t="n"/>
      <c r="D55" s="29" t="n"/>
      <c r="E55" s="29" t="n"/>
      <c r="F55" s="29" t="n"/>
    </row>
    <row r="56">
      <c r="A56" s="29" t="n"/>
      <c r="B56" s="29" t="n"/>
      <c r="C56" s="29" t="n"/>
      <c r="D56" s="29" t="n"/>
      <c r="E56" s="29" t="n"/>
      <c r="F56" s="29" t="n"/>
    </row>
    <row r="57">
      <c r="A57" s="29" t="n"/>
      <c r="B57" s="29" t="n"/>
      <c r="C57" s="29" t="n"/>
      <c r="D57" s="29" t="n"/>
      <c r="E57" s="29" t="n"/>
      <c r="F57" s="29" t="n"/>
    </row>
    <row r="58">
      <c r="A58" s="29" t="n"/>
      <c r="B58" s="29" t="n"/>
      <c r="C58" s="29" t="n"/>
      <c r="D58" s="29" t="n"/>
      <c r="E58" s="29" t="n"/>
      <c r="F58" s="29" t="n"/>
    </row>
    <row r="59">
      <c r="A59" s="29" t="n"/>
      <c r="B59" s="29" t="n"/>
      <c r="C59" s="29" t="n"/>
      <c r="D59" s="29" t="n"/>
      <c r="E59" s="29" t="n"/>
      <c r="F59" s="29" t="n"/>
    </row>
    <row r="60">
      <c r="A60" s="29" t="n"/>
      <c r="B60" s="29" t="n"/>
      <c r="C60" s="29" t="n"/>
      <c r="D60" s="29" t="n"/>
      <c r="E60" s="29" t="n"/>
      <c r="F60" s="29" t="n"/>
    </row>
    <row r="61">
      <c r="A61" s="29" t="n"/>
      <c r="B61" s="29" t="n"/>
      <c r="C61" s="29" t="n"/>
      <c r="D61" s="29" t="n"/>
      <c r="E61" s="29" t="n"/>
      <c r="F61" s="29" t="n"/>
    </row>
    <row r="62">
      <c r="A62" s="29" t="n"/>
      <c r="B62" s="29" t="n"/>
      <c r="C62" s="29" t="n"/>
      <c r="D62" s="29" t="n"/>
      <c r="E62" s="29" t="n"/>
      <c r="F62" s="29" t="n"/>
    </row>
    <row r="63">
      <c r="A63" s="29" t="n"/>
      <c r="B63" s="29" t="n"/>
      <c r="C63" s="29" t="n"/>
      <c r="D63" s="29" t="n"/>
      <c r="E63" s="29" t="n"/>
      <c r="F63" s="29" t="n"/>
    </row>
    <row r="64">
      <c r="A64" s="29" t="n"/>
      <c r="B64" s="29" t="n"/>
      <c r="C64" s="29" t="n"/>
      <c r="D64" s="29" t="n"/>
      <c r="E64" s="29" t="n"/>
      <c r="F64" s="29" t="n"/>
    </row>
    <row r="65">
      <c r="A65" s="29" t="n"/>
      <c r="B65" s="29" t="n"/>
      <c r="C65" s="29" t="n"/>
      <c r="D65" s="29" t="n"/>
      <c r="E65" s="29" t="n"/>
      <c r="F65" s="29" t="n"/>
    </row>
    <row r="66">
      <c r="A66" s="29" t="n"/>
      <c r="B66" s="29" t="n"/>
      <c r="C66" s="29" t="n"/>
      <c r="D66" s="29" t="n"/>
      <c r="E66" s="29" t="n"/>
      <c r="F66" s="29" t="n"/>
    </row>
    <row r="67">
      <c r="A67" s="29" t="n"/>
      <c r="B67" s="29" t="n"/>
      <c r="C67" s="29" t="n"/>
      <c r="D67" s="29" t="n"/>
      <c r="E67" s="29" t="n"/>
      <c r="F67" s="29" t="n"/>
    </row>
    <row r="68">
      <c r="A68" s="29" t="n"/>
      <c r="B68" s="29" t="n"/>
      <c r="C68" s="29" t="n"/>
      <c r="D68" s="29" t="n"/>
      <c r="E68" s="29" t="n"/>
      <c r="F68" s="29" t="n"/>
    </row>
    <row r="69">
      <c r="A69" s="29" t="n"/>
      <c r="B69" s="29" t="n"/>
      <c r="C69" s="29" t="n"/>
      <c r="D69" s="29" t="n"/>
      <c r="E69" s="29" t="n"/>
      <c r="F69" s="29" t="n"/>
    </row>
    <row r="70">
      <c r="A70" s="29" t="n"/>
      <c r="B70" s="29" t="n"/>
      <c r="C70" s="29" t="n"/>
      <c r="D70" s="29" t="n"/>
      <c r="E70" s="29" t="n"/>
      <c r="F70" s="29" t="n"/>
    </row>
    <row r="71">
      <c r="A71" s="29" t="n"/>
      <c r="B71" s="29" t="n"/>
      <c r="C71" s="29" t="n"/>
      <c r="D71" s="29" t="n"/>
      <c r="E71" s="29" t="n"/>
      <c r="F71" s="29" t="n"/>
    </row>
    <row r="72">
      <c r="A72" s="29" t="n"/>
      <c r="B72" s="29" t="n"/>
      <c r="C72" s="29" t="n"/>
      <c r="D72" s="29" t="n"/>
      <c r="E72" s="29" t="n"/>
      <c r="F72" s="29" t="n"/>
    </row>
    <row r="73">
      <c r="A73" s="29" t="n"/>
      <c r="B73" s="29" t="n"/>
      <c r="C73" s="29" t="n"/>
      <c r="D73" s="29" t="n"/>
      <c r="E73" s="29" t="n"/>
      <c r="F73" s="29" t="n"/>
    </row>
    <row r="74">
      <c r="A74" s="29" t="n"/>
      <c r="B74" s="29" t="n"/>
      <c r="C74" s="29" t="n"/>
      <c r="D74" s="29" t="n"/>
      <c r="E74" s="29" t="n"/>
      <c r="F74" s="29" t="n"/>
    </row>
    <row r="75">
      <c r="A75" s="29" t="n"/>
      <c r="B75" s="29" t="n"/>
      <c r="C75" s="29" t="n"/>
      <c r="D75" s="29" t="n"/>
      <c r="E75" s="29" t="n"/>
      <c r="F75" s="29" t="n"/>
    </row>
    <row r="76">
      <c r="A76" s="29" t="n"/>
      <c r="B76" s="29" t="n"/>
      <c r="C76" s="29" t="n"/>
      <c r="D76" s="29" t="n"/>
      <c r="E76" s="29" t="n"/>
      <c r="F76" s="29" t="n"/>
    </row>
    <row r="77">
      <c r="A77" s="29" t="n"/>
      <c r="B77" s="29" t="n"/>
      <c r="C77" s="29" t="n"/>
      <c r="D77" s="29" t="n"/>
      <c r="E77" s="29" t="n"/>
      <c r="F77" s="29" t="n"/>
    </row>
    <row r="78">
      <c r="A78" s="29" t="n"/>
      <c r="B78" s="29" t="n"/>
      <c r="C78" s="29" t="n"/>
      <c r="D78" s="29" t="n"/>
      <c r="E78" s="29" t="n"/>
      <c r="F78" s="29" t="n"/>
    </row>
    <row r="79">
      <c r="A79" s="29" t="n"/>
      <c r="B79" s="29" t="n"/>
      <c r="C79" s="29" t="n"/>
      <c r="D79" s="29" t="n"/>
      <c r="E79" s="29" t="n"/>
      <c r="F79" s="29" t="n"/>
    </row>
    <row r="80">
      <c r="A80" s="29" t="n"/>
      <c r="B80" s="29" t="n"/>
      <c r="C80" s="29" t="n"/>
      <c r="D80" s="29" t="n"/>
      <c r="E80" s="29" t="n"/>
      <c r="F80" s="29" t="n"/>
    </row>
    <row r="81">
      <c r="A81" s="29" t="n"/>
      <c r="B81" s="29" t="n"/>
      <c r="C81" s="29" t="n"/>
      <c r="D81" s="29" t="n"/>
      <c r="E81" s="29" t="n"/>
      <c r="F81" s="29" t="n"/>
    </row>
    <row r="82">
      <c r="A82" s="29" t="n"/>
      <c r="B82" s="29" t="n"/>
      <c r="C82" s="29" t="n"/>
      <c r="D82" s="29" t="n"/>
      <c r="E82" s="29" t="n"/>
      <c r="F82" s="29" t="n"/>
    </row>
    <row r="83">
      <c r="A83" s="29" t="n"/>
      <c r="B83" s="29" t="n"/>
      <c r="C83" s="29" t="n"/>
      <c r="D83" s="29" t="n"/>
      <c r="E83" s="29" t="n"/>
      <c r="F83" s="29" t="n"/>
    </row>
    <row r="84">
      <c r="A84" s="29" t="n"/>
      <c r="B84" s="29" t="n"/>
      <c r="C84" s="29" t="n"/>
      <c r="D84" s="29" t="n"/>
      <c r="E84" s="29" t="n"/>
      <c r="F84" s="29" t="n"/>
    </row>
    <row r="85">
      <c r="A85" s="29" t="n"/>
      <c r="B85" s="29" t="n"/>
      <c r="C85" s="29" t="n"/>
      <c r="D85" s="29" t="n"/>
      <c r="E85" s="29" t="n"/>
      <c r="F85" s="29" t="n"/>
    </row>
    <row r="86">
      <c r="A86" s="29" t="n"/>
      <c r="B86" s="29" t="n"/>
      <c r="C86" s="29" t="n"/>
      <c r="D86" s="29" t="n"/>
      <c r="E86" s="29" t="n"/>
      <c r="F86" s="29" t="n"/>
    </row>
    <row r="87">
      <c r="A87" s="29" t="n"/>
      <c r="B87" s="29" t="n"/>
      <c r="C87" s="29" t="n"/>
      <c r="D87" s="29" t="n"/>
      <c r="E87" s="29" t="n"/>
      <c r="F87" s="29" t="n"/>
    </row>
    <row r="88">
      <c r="A88" s="29" t="n"/>
      <c r="B88" s="29" t="n"/>
      <c r="C88" s="29" t="n"/>
      <c r="D88" s="29" t="n"/>
      <c r="E88" s="29" t="n"/>
      <c r="F88" s="29" t="n"/>
    </row>
    <row r="89">
      <c r="A89" s="29" t="n"/>
      <c r="B89" s="29" t="n"/>
      <c r="C89" s="29" t="n"/>
      <c r="D89" s="29" t="n"/>
      <c r="E89" s="29" t="n"/>
      <c r="F89" s="29" t="n"/>
    </row>
    <row r="90">
      <c r="A90" s="29" t="n"/>
      <c r="B90" s="29" t="n"/>
      <c r="C90" s="29" t="n"/>
      <c r="D90" s="29" t="n"/>
      <c r="E90" s="29" t="n"/>
      <c r="F90" s="29" t="n"/>
    </row>
    <row r="91">
      <c r="A91" s="29" t="n"/>
      <c r="B91" s="29" t="n"/>
      <c r="C91" s="29" t="n"/>
      <c r="D91" s="29" t="n"/>
      <c r="E91" s="29" t="n"/>
      <c r="F91" s="29" t="n"/>
    </row>
    <row r="92">
      <c r="A92" s="29" t="n"/>
      <c r="B92" s="29" t="n"/>
      <c r="C92" s="29" t="n"/>
      <c r="D92" s="29" t="n"/>
      <c r="E92" s="29" t="n"/>
      <c r="F92" s="29" t="n"/>
    </row>
    <row r="93">
      <c r="A93" s="29" t="n"/>
      <c r="B93" s="29" t="n"/>
      <c r="C93" s="29" t="n"/>
      <c r="D93" s="29" t="n"/>
      <c r="E93" s="29" t="n"/>
      <c r="F93" s="29" t="n"/>
    </row>
    <row r="94">
      <c r="A94" s="29" t="n"/>
      <c r="B94" s="29" t="n"/>
      <c r="C94" s="29" t="n"/>
      <c r="D94" s="29" t="n"/>
      <c r="E94" s="29" t="n"/>
      <c r="F94" s="29" t="n"/>
    </row>
    <row r="95">
      <c r="A95" s="29" t="n"/>
      <c r="B95" s="29" t="n"/>
      <c r="C95" s="29" t="n"/>
      <c r="D95" s="29" t="n"/>
      <c r="E95" s="29" t="n"/>
      <c r="F95" s="29" t="n"/>
    </row>
    <row r="96">
      <c r="A96" s="29" t="n"/>
      <c r="B96" s="29" t="n"/>
      <c r="C96" s="29" t="n"/>
      <c r="D96" s="29" t="n"/>
      <c r="E96" s="29" t="n"/>
      <c r="F96" s="29" t="n"/>
    </row>
    <row r="97">
      <c r="A97" s="29" t="n"/>
      <c r="B97" s="29" t="n"/>
      <c r="C97" s="29" t="n"/>
      <c r="D97" s="29" t="n"/>
      <c r="E97" s="29" t="n"/>
      <c r="F97" s="29" t="n"/>
    </row>
    <row r="98">
      <c r="A98" s="29" t="n"/>
      <c r="B98" s="29" t="n"/>
      <c r="C98" s="29" t="n"/>
      <c r="D98" s="29" t="n"/>
      <c r="E98" s="29" t="n"/>
      <c r="F9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c r="A2" s="3" t="inlineStr">
        <is>
          <t>Pesimista / Realista / Optimista — Año 1</t>
        </is>
      </c>
    </row>
    <row r="3"/>
    <row r="4">
      <c r="A4" s="26" t="inlineStr">
        <is>
          <t>Métrica</t>
        </is>
      </c>
      <c r="B4" s="26" t="inlineStr">
        <is>
          <t>Pesimista</t>
        </is>
      </c>
      <c r="C4" s="26" t="inlineStr">
        <is>
          <t>Realista</t>
        </is>
      </c>
      <c r="D4" s="26" t="inlineStr">
        <is>
          <t>Optimista</t>
        </is>
      </c>
      <c r="E4" s="26" t="inlineStr">
        <is>
          <t>Notas</t>
        </is>
      </c>
      <c r="F4" s="29" t="n"/>
    </row>
    <row r="5">
      <c r="A5" s="29" t="inlineStr">
        <is>
          <t>Comensales/día</t>
        </is>
      </c>
      <c r="B5" s="51" t="n">
        <v>68</v>
      </c>
      <c r="C5" s="41">
        <f>IFERROR(IF('PyG 3 Años'!$B$6="","",'PyG 3 Años'!$B$6),"")</f>
        <v>79.0</v>
      </c>
      <c r="D5" s="51" t="n">
        <v>90</v>
      </c>
      <c r="E5" s="29" t="n"/>
      <c r="F5" s="29" t="n"/>
    </row>
    <row r="6">
      <c r="A6" s="29" t="inlineStr">
        <is>
          <t>Ticket medio sin IVA</t>
        </is>
      </c>
      <c r="B6" s="73" t="n">
        <v>19</v>
      </c>
      <c r="C6" s="70">
        <f>IFERROR(IF('PyG 3 Años'!$B$7="","",'PyG 3 Años'!$B$7),"")</f>
        <v>20.0</v>
      </c>
      <c r="D6" s="73" t="n">
        <v>21</v>
      </c>
      <c r="E6" s="29" t="n"/>
      <c r="F6" s="29" t="n"/>
    </row>
    <row r="7">
      <c r="A7" s="29" t="inlineStr">
        <is>
          <t>Días de apertura al año</t>
        </is>
      </c>
      <c r="B7" s="51" t="n">
        <v>295</v>
      </c>
      <c r="C7" s="41">
        <f>IFERROR(IF('PyG 3 Años'!$B$8="","",'PyG 3 Años'!$B$8),"")</f>
        <v>300.0</v>
      </c>
      <c r="D7" s="51" t="n">
        <v>305</v>
      </c>
      <c r="E7" s="29" t="n"/>
      <c r="F7" s="29" t="n"/>
    </row>
    <row r="8">
      <c r="A8" s="26" t="inlineStr">
        <is>
          <t>INGRESOS ANUALES (sin IVA)</t>
        </is>
      </c>
      <c r="B8" s="27">
        <f>IFERROR(IF(B5*B6*B7=0,"",B5*B6*B7),"")</f>
        <v>381140.0</v>
      </c>
      <c r="C8" s="27">
        <f>IFERROR(IF(C5*C6*C7=0,"",C5*C6*C7),"")</f>
        <v>474000.0</v>
      </c>
      <c r="D8" s="27">
        <f>IFERROR(IF(D5*D6*D7=0,"",D5*D6*D7),"")</f>
        <v>576450.0</v>
      </c>
      <c r="E8" s="29" t="n"/>
      <c r="F8" s="29" t="n"/>
    </row>
    <row r="9">
      <c r="A9" s="29" t="inlineStr">
        <is>
          <t>Coste de mercancía — comida</t>
        </is>
      </c>
      <c r="B9" s="33">
        <f>IFERROR(IF(B8="","",B8*'0. Supuestos'!$B$11*'0. Supuestos'!$B$13),"")</f>
        <v>93951.01</v>
      </c>
      <c r="C9" s="33">
        <f>IFERROR(IF(C8="","",C8*'0. Supuestos'!$B$11*'0. Supuestos'!$B$13),"")</f>
        <v>116840.99999999999</v>
      </c>
      <c r="D9" s="33">
        <f>IFERROR(IF(D8="","",D8*'0. Supuestos'!$B$11*'0. Supuestos'!$B$13),"")</f>
        <v>142094.925</v>
      </c>
      <c r="E9" s="29" t="n"/>
      <c r="F9" s="29" t="n"/>
    </row>
    <row r="10">
      <c r="A10" s="29" t="inlineStr">
        <is>
          <t>Coste de mercancía — bebida</t>
        </is>
      </c>
      <c r="B10" s="33">
        <f>IFERROR(IF(B8="","",B8*'0. Supuestos'!$B$12*'0. Supuestos'!$B$14),"")</f>
        <v>16007.880000000003</v>
      </c>
      <c r="C10" s="33">
        <f>IFERROR(IF(C8="","",C8*'0. Supuestos'!$B$12*'0. Supuestos'!$B$14),"")</f>
        <v>19908.000000000007</v>
      </c>
      <c r="D10" s="33">
        <f>IFERROR(IF(D8="","",D8*'0. Supuestos'!$B$12*'0. Supuestos'!$B$14),"")</f>
        <v>24210.900000000005</v>
      </c>
      <c r="E10" s="29" t="n"/>
      <c r="F10" s="29" t="n"/>
    </row>
    <row r="11">
      <c r="A11" s="29" t="inlineStr">
        <is>
          <t>Consumibles y envases</t>
        </is>
      </c>
      <c r="B11" s="33">
        <f>IFERROR(IF(B8="","",B8*'0. Supuestos'!$B$15),"")</f>
        <v>11434.199999999999</v>
      </c>
      <c r="C11" s="33">
        <f>IFERROR(IF(C8="","",C8*'0. Supuestos'!$B$15),"")</f>
        <v>14220.0</v>
      </c>
      <c r="D11" s="33">
        <f>IFERROR(IF(D8="","",D8*'0. Supuestos'!$B$15),"")</f>
        <v>17293.5</v>
      </c>
      <c r="E11" s="29" t="n"/>
      <c r="F11" s="29" t="n"/>
    </row>
    <row r="12">
      <c r="A12" s="29" t="inlineStr">
        <is>
          <t>Comisiones de delivery</t>
        </is>
      </c>
      <c r="B12" s="33">
        <f>IFERROR(IF(B8="","",B8*'0. Supuestos'!$B$16*'0. Supuestos'!$B$17),"")</f>
        <v>27442.079999999998</v>
      </c>
      <c r="C12" s="33">
        <f>IFERROR(IF(C8="","",C8*'0. Supuestos'!$B$16*'0. Supuestos'!$B$17),"")</f>
        <v>34128.0</v>
      </c>
      <c r="D12" s="33">
        <f>IFERROR(IF(D8="","",D8*'0. Supuestos'!$B$16*'0. Supuestos'!$B$17),"")</f>
        <v>41504.4</v>
      </c>
      <c r="E12" s="29" t="n"/>
      <c r="F12" s="29" t="n"/>
    </row>
    <row r="13">
      <c r="A13" s="29" t="inlineStr">
        <is>
          <t>Comisiones de los medios de pago</t>
        </is>
      </c>
      <c r="B13" s="33">
        <f>IFERROR(IF(B8="","",B8*'0. Supuestos'!$B$18),"")</f>
        <v>3049.12</v>
      </c>
      <c r="C13" s="33">
        <f>IFERROR(IF(C8="","",C8*'0. Supuestos'!$B$18),"")</f>
        <v>3792.0</v>
      </c>
      <c r="D13" s="33">
        <f>IFERROR(IF(D8="","",D8*'0. Supuestos'!$B$18),"")</f>
        <v>4611.6</v>
      </c>
      <c r="E13" s="29" t="n"/>
      <c r="F13" s="29" t="n"/>
    </row>
    <row r="14">
      <c r="A14" s="29" t="inlineStr">
        <is>
          <t>Varios e imprevistos</t>
        </is>
      </c>
      <c r="B14" s="33">
        <f>IFERROR(IF(B8="","",B8*'0. Supuestos'!$B$28),"")</f>
        <v>7622.8</v>
      </c>
      <c r="C14" s="33">
        <f>IFERROR(IF(C8="","",C8*'0. Supuestos'!$B$28),"")</f>
        <v>9480.0</v>
      </c>
      <c r="D14" s="33">
        <f>IFERROR(IF(D8="","",D8*'0. Supuestos'!$B$28),"")</f>
        <v>11529.0</v>
      </c>
      <c r="E14" s="29" t="n"/>
      <c r="F14" s="29" t="n"/>
    </row>
    <row r="15">
      <c r="A15" s="29" t="inlineStr">
        <is>
          <t>TOTAL COSTES VARIABLES</t>
        </is>
      </c>
      <c r="B15" s="33">
        <f>IFERROR(IF(B8="","",SUM(B9:B14)),"")</f>
        <v>159507.09</v>
      </c>
      <c r="C15" s="33">
        <f>IFERROR(IF(C8="","",SUM(C9:C14)),"")</f>
        <v>198369.0</v>
      </c>
      <c r="D15" s="33">
        <f>IFERROR(IF(D8="","",SUM(D9:D14)),"")</f>
        <v>241244.32499999998</v>
      </c>
      <c r="E15" s="29" t="n"/>
      <c r="F15" s="29" t="n"/>
    </row>
    <row r="16">
      <c r="A16" s="29" t="inlineStr">
        <is>
          <t>MARGEN BRUTO</t>
        </is>
      </c>
      <c r="B16" s="33">
        <f>IFERROR(IF(B8="","",B8-B15),"")</f>
        <v>221632.91</v>
      </c>
      <c r="C16" s="33">
        <f>IFERROR(IF(C8="","",C8-C15),"")</f>
        <v>275631.0</v>
      </c>
      <c r="D16" s="33">
        <f>IFERROR(IF(D8="","",D8-D15),"")</f>
        <v>335205.67500000005</v>
      </c>
      <c r="E16" s="29" t="n"/>
      <c r="F16" s="29" t="n"/>
    </row>
    <row r="17">
      <c r="A17" s="29" t="inlineStr">
        <is>
          <t>COSTES FIJOS (los del P&amp;L)</t>
        </is>
      </c>
      <c r="B17" s="33">
        <f>IFERROR(IF(B8="","",'PyG 3 Años'!$B$37),"")</f>
        <v>224867.36</v>
      </c>
      <c r="C17" s="33">
        <f>IFERROR(IF(C8="","",'PyG 3 Años'!$B$37),"")</f>
        <v>224867.36</v>
      </c>
      <c r="D17" s="33">
        <f>IFERROR(IF(D8="","",'PyG 3 Años'!$B$37),"")</f>
        <v>224867.36</v>
      </c>
      <c r="E17" s="29" t="inlineStr">
        <is>
          <t>Los costes fijos no cambian con el escenario: por eso son fijos</t>
        </is>
      </c>
      <c r="F17" s="29" t="n"/>
    </row>
    <row r="18">
      <c r="A18" s="26" t="inlineStr">
        <is>
          <t>RESULTADO ANTES DE IMPUESTOS</t>
        </is>
      </c>
      <c r="B18" s="27">
        <f>IFERROR(IF(B8="","",B16-B17),"")</f>
        <v>-3234.4499999999825</v>
      </c>
      <c r="C18" s="27">
        <f>IFERROR(IF(C8="","",C16-C17),"")</f>
        <v>50763.640000000014</v>
      </c>
      <c r="D18" s="27">
        <f>IFERROR(IF(D8="","",D16-D17),"")</f>
        <v>110338.31500000006</v>
      </c>
      <c r="E18" s="29" t="n"/>
      <c r="F18" s="29" t="n"/>
    </row>
    <row r="19">
      <c r="A19" s="29" t="inlineStr">
        <is>
          <t>Impuesto de Sociedades</t>
        </is>
      </c>
      <c r="B19" s="33">
        <f>IFERROR(IF(B8="","",MAX(0,B18-'0. Supuestos'!$B$42)*'0. Supuestos'!$B$37),"")</f>
        <v>0.0</v>
      </c>
      <c r="C19" s="33">
        <f>IFERROR(IF(C8="","",MAX(0,C18-'0. Supuestos'!$B$42)*'0. Supuestos'!$B$37),"")</f>
        <v>7614.546000000002</v>
      </c>
      <c r="D19" s="33">
        <f>IFERROR(IF(D8="","",MAX(0,D18-'0. Supuestos'!$B$42)*'0. Supuestos'!$B$37),"")</f>
        <v>16550.747250000008</v>
      </c>
      <c r="E19" s="29" t="inlineStr">
        <is>
          <t>Al tipo de entidad de nueva creación, compensando las bases negativas anteriores</t>
        </is>
      </c>
      <c r="F19" s="29" t="n"/>
    </row>
    <row r="20">
      <c r="A20" s="26" t="inlineStr">
        <is>
          <t>RESULTADO NETO</t>
        </is>
      </c>
      <c r="B20" s="27">
        <f>IFERROR(IF(B8="","",B18-B19),"")</f>
        <v>-3234.4499999999825</v>
      </c>
      <c r="C20" s="27">
        <f>IFERROR(IF(C8="","",C18-C19),"")</f>
        <v>43149.09400000001</v>
      </c>
      <c r="D20" s="27">
        <f>IFERROR(IF(D8="","",D18-D19),"")</f>
        <v>93787.56775000005</v>
      </c>
      <c r="E20" s="29" t="n"/>
      <c r="F20" s="29" t="n"/>
    </row>
    <row r="21">
      <c r="A21" s="29" t="inlineStr">
        <is>
          <t>Comensales/día para el equilibrio</t>
        </is>
      </c>
      <c r="B21" s="45">
        <f>IFERROR(IF(B8="","",IF(B6-B15/(B5*B7)&lt;=0,"",B17/(B6-B15/(B5*B7))/B7)),"")</f>
        <v>68.9923733799281</v>
      </c>
      <c r="C21" s="45">
        <f>IFERROR(IF(C8="","",IF(C6-C15/(C5*C7)&lt;=0,"",C17/(C6-C15/(C5*C7))/C7)),"")</f>
        <v>64.45037546574949</v>
      </c>
      <c r="D21" s="45">
        <f>IFERROR(IF(D8="","",IF(D6-D15/(D5*D7)&lt;=0,"",D17/(D6-D15/(D5*D7))/D7)),"")</f>
        <v>60.37505898430865</v>
      </c>
      <c r="E21" s="29" t="n"/>
      <c r="F21" s="29" t="n"/>
    </row>
    <row r="22">
      <c r="A22" s="26" t="inlineStr">
        <is>
          <t>LO QUE CADA ESCENARIO EXIGE</t>
        </is>
      </c>
      <c r="B22" s="29" t="n"/>
      <c r="C22" s="29" t="n"/>
      <c r="D22" s="29" t="n"/>
      <c r="E22" s="29" t="n"/>
      <c r="F22" s="29" t="n"/>
    </row>
    <row r="23">
      <c r="A23" s="29" t="inlineStr">
        <is>
          <t>Coste de personal / Ventas</t>
        </is>
      </c>
      <c r="B23" s="68">
        <f>IFERROR(IF(B8="","",'PyG 3 Años'!$B$23/B8),"")</f>
        <v>0.4190648055832502</v>
      </c>
      <c r="C23" s="68">
        <f>IFERROR(IF(C8="","",'PyG 3 Años'!$B$23/C8),"")</f>
        <v>0.3369670042194092</v>
      </c>
      <c r="D23" s="68">
        <f>IFERROR(IF(D8="","",'PyG 3 Años'!$B$23/D8),"")</f>
        <v>0.27707929568913175</v>
      </c>
      <c r="E23" s="29" t="inlineStr">
        <is>
          <t>La MISMA plantilla en los tres escenarios. Si en el pesimista se dispara, el ajuste hay que hacerlo en la hoja de Personal, no aquí</t>
        </is>
      </c>
      <c r="F23" s="29" t="n"/>
    </row>
    <row r="24">
      <c r="A24" s="29" t="inlineStr">
        <is>
          <t>Comensales al año por jornada equivalente</t>
        </is>
      </c>
      <c r="B24" s="41">
        <f>IFERROR(IF(B8="","",B5*B7/'Personal'!$C$12),"")</f>
        <v>3749.532710280374</v>
      </c>
      <c r="C24" s="41">
        <f>IFERROR(IF(C8="","",C5*C7/'Personal'!$C$12),"")</f>
        <v>4429.906542056075</v>
      </c>
      <c r="D24" s="41">
        <f>IFERROR(IF(D8="","",D5*D7/'Personal'!$C$12),"")</f>
        <v>5130.841121495328</v>
      </c>
      <c r="E24" s="29" t="inlineStr">
        <is>
          <t>Comensales que tendría que sacar cada jornada completa del cuadro de Personal. En el optimista dice si hace falta contratar</t>
        </is>
      </c>
      <c r="F24" s="29" t="n"/>
    </row>
    <row r="25">
      <c r="A25" s="26" t="inlineStr">
        <is>
          <t>Saldo de caja al cierre del año 1 (estimado, el mismo método en los tres escenarios)</t>
        </is>
      </c>
      <c r="B25" s="27">
        <f>IFERROR(IF(B8="","",'Inversión Inicial'!$B$29+B20+'PyG 3 Años'!$B$35-'Financiación'!$B$45),"")</f>
        <v>59908.640000000014</v>
      </c>
      <c r="C25" s="27">
        <f>IFERROR(IF(C8="","",'Inversión Inicial'!$B$29+C20+'PyG 3 Años'!$B$35-'Financiación'!$B$45),"")</f>
        <v>106292.18400000001</v>
      </c>
      <c r="D25" s="27">
        <f>IFERROR(IF(D8="","",'Inversión Inicial'!$B$29+D20+'PyG 3 Años'!$B$35-'Financiación'!$B$45),"")</f>
        <v>156930.65775000004</v>
      </c>
      <c r="E25" s="26"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9" t="n"/>
    </row>
    <row r="26">
      <c r="A26" s="29" t="inlineStr">
        <is>
          <t>Saldo real del mes 12 de la hoja de Tesorería (sólo realista)</t>
        </is>
      </c>
      <c r="B26" s="29" t="n"/>
      <c r="C26" s="33">
        <f>IFERROR(IF(C8="","",'Tesorería 12 meses'!$M$22),"")</f>
        <v>144399.19021085594</v>
      </c>
      <c r="D26" s="29" t="n"/>
      <c r="E26" s="29"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9" t="n"/>
    </row>
    <row r="27">
      <c r="A27" s="29" t="n"/>
      <c r="B27" s="29" t="n"/>
      <c r="C27" s="29" t="n"/>
      <c r="D27" s="29" t="n"/>
      <c r="E27" s="29" t="n"/>
      <c r="F27" s="29" t="n"/>
    </row>
    <row r="28" ht="150" customHeight="1">
      <c r="A28" s="48" t="inlineStr">
        <is>
          <t>La columna «Realista» lee sus tres datos de la hoja de Supuestos, así que reproduce EXACTAMENTE el año 1 del P&amp;L. Los otros dos escenarios usan las mismas tasas de coste: lo único que cambia son los comensales, el ticket y los días. Los COSTES FIJOS sí son los mismos en los tres: los varios e imprevistos, que son un porcentaje de las ventas, van arriba con los variables y cada escenario carga los suyos.</t>
        </is>
      </c>
      <c r="B28" s="29" t="n"/>
      <c r="C28" s="29" t="n"/>
      <c r="D28" s="29" t="n"/>
      <c r="E28" s="29" t="n"/>
      <c r="F2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Años'!$E$53)</formula>
    </cfRule>
    <cfRule type="expression" priority="2" dxfId="0" stopIfTrue="1">
      <formula>AND(ISNUMBER(B23),B23&lt;='PyG 3 Años'!$E$53)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 sqref="B5 D5"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s="3" t="str">
        <f>IFERROR("Convenio Hostelería — "&amp;TEXT('0. Supuestos'!$B$21,"0")&amp;" pagas + SS "&amp;TEXT('0. Supuestos'!$B$20*100,"0")&amp;" %","")</f>
        <v>Convenio Hostelería — 14 pagas + SS 33 %</v>
      </c>
    </row>
    <row r="3"/>
    <row r="4">
      <c r="A4" s="40" t="inlineStr">
        <is>
          <t>Puesto</t>
        </is>
      </c>
      <c r="B4" s="40" t="inlineStr">
        <is>
          <t>Personas</t>
        </is>
      </c>
      <c r="C4" s="40" t="inlineStr">
        <is>
          <t>Jornada</t>
        </is>
      </c>
      <c r="D4" s="40" t="inlineStr">
        <is>
          <t>Bruto mes (€, total del puesto)</t>
        </is>
      </c>
      <c r="E4" s="40" t="inlineStr">
        <is>
          <t>Seg. Social a cargo de la empresa (€)</t>
        </is>
      </c>
      <c r="F4" s="40" t="inlineStr">
        <is>
          <t>Coste mes (€, total del puesto)</t>
        </is>
      </c>
      <c r="G4" s="40" t="inlineStr">
        <is>
          <t>Coste año (€)</t>
        </is>
      </c>
      <c r="H4" s="40" t="inlineStr">
        <is>
          <t>Horas/semana por persona</t>
        </is>
      </c>
      <c r="I4" s="40" t="inlineStr">
        <is>
          <t>Horas/año del puesto</t>
        </is>
      </c>
      <c r="J4" s="40" t="inlineStr">
        <is>
          <t>Notas</t>
        </is>
      </c>
    </row>
    <row r="5">
      <c r="A5" s="29" t="inlineStr">
        <is>
          <t>Titular — itamae y gerente: compra y corte del pescado, carta y gestión</t>
        </is>
      </c>
      <c r="B5" s="51" t="n">
        <v>1</v>
      </c>
      <c r="C5" s="53" t="n">
        <v>1</v>
      </c>
      <c r="D5" s="73" t="n">
        <v>2200</v>
      </c>
      <c r="E5" s="70">
        <f>IFERROR(IF(D5="","",D5*'0. Supuestos'!$B$20),"")</f>
        <v>726.0</v>
      </c>
      <c r="F5" s="70">
        <f>IFERROR(IF(D5="","",D5+E5),"")</f>
        <v>2926.0</v>
      </c>
      <c r="G5" s="70">
        <f>IFERROR(IF(D5="","",F5*MAX(12,'0. Supuestos'!$B$21)),"")</f>
        <v>40964.0</v>
      </c>
      <c r="H5" s="45">
        <f>IFERROR(IF(D5="","",C5*$B$19),"")</f>
        <v>40.0</v>
      </c>
      <c r="I5" s="41">
        <f>IFERROR(IF(D5="","",H5*B5*$B$20),"")</f>
        <v>1840.0</v>
      </c>
      <c r="J5" s="29" t="inlineStr">
        <is>
          <t>El itamae (jefe de barra): compra, limpia y corta el pescado, lleva la barra en el servicio fuerte, firma la carta y el APPCC del anisakis y gestiona. Como administrador de la SL cotiza en el régimen de autónomos: el libro le imputa el 33 % de Seguridad Social sobre 14 pagas como si fuera nómina, que es el lado prudente. Confirma con tu gestoría la cuota real y si te aplica la reducida de inicio</t>
        </is>
      </c>
    </row>
    <row r="6">
      <c r="A6" s="29" t="inlineStr">
        <is>
          <t>Sushiman o sushiwoman: shari, rolls y combinados</t>
        </is>
      </c>
      <c r="B6" s="51" t="n">
        <v>1</v>
      </c>
      <c r="C6" s="53" t="n">
        <v>1</v>
      </c>
      <c r="D6" s="73" t="n">
        <v>1650</v>
      </c>
      <c r="E6" s="70">
        <f>IFERROR(IF(D6="","",D6*'0. Supuestos'!$B$20),"")</f>
        <v>544.5</v>
      </c>
      <c r="F6" s="70">
        <f>IFERROR(IF(D6="","",D6+E6),"")</f>
        <v>2194.5</v>
      </c>
      <c r="G6" s="70">
        <f>IFERROR(IF(D6="","",F6*MAX(12,'0. Supuestos'!$B$21)),"")</f>
        <v>30723.0</v>
      </c>
      <c r="H6" s="45">
        <f>IFERROR(IF(D6="","",C6*$B$19),"")</f>
        <v>40.0</v>
      </c>
      <c r="I6" s="41">
        <f>IFERROR(IF(D6="","",H6*B6*$B$20),"")</f>
        <v>1840.0</v>
      </c>
      <c r="J6" s="29" t="inlineStr">
        <is>
          <t>El shari de cada tanda, los rolls, los combinados de las plataformas y la barra cuando el itamae no está. Es inversión, no gasto: si sólo el titular sabe cortar y montar, una baja cierra la barra</t>
        </is>
      </c>
    </row>
    <row r="7">
      <c r="A7" s="29" t="inlineStr">
        <is>
          <t>Cocinero/a de cocina caliente y arroz</t>
        </is>
      </c>
      <c r="B7" s="51" t="n">
        <v>1</v>
      </c>
      <c r="C7" s="53" t="n">
        <v>1</v>
      </c>
      <c r="D7" s="73" t="n">
        <v>1400</v>
      </c>
      <c r="E7" s="70">
        <f>IFERROR(IF(D7="","",D7*'0. Supuestos'!$B$20),"")</f>
        <v>462.0</v>
      </c>
      <c r="F7" s="70">
        <f>IFERROR(IF(D7="","",D7+E7),"")</f>
        <v>1862.0</v>
      </c>
      <c r="G7" s="70">
        <f>IFERROR(IF(D7="","",F7*MAX(12,'0. Supuestos'!$B$21)),"")</f>
        <v>26068.0</v>
      </c>
      <c r="H7" s="45">
        <f>IFERROR(IF(D7="","",C7*$B$19),"")</f>
        <v>40.0</v>
      </c>
      <c r="I7" s="41">
        <f>IFERROR(IF(D7="","",H7*B7*$B$20),"")</f>
        <v>1840.0</v>
      </c>
      <c r="J7" s="29" t="inlineStr">
        <is>
          <t>Las arroceras, las gyozas, la tempura, la sopa de miso y el office</t>
        </is>
      </c>
    </row>
    <row r="8">
      <c r="A8" s="29" t="inlineStr">
        <is>
          <t>Encargado/a de sala y pedidos</t>
        </is>
      </c>
      <c r="B8" s="51" t="n">
        <v>1</v>
      </c>
      <c r="C8" s="53" t="n">
        <v>1</v>
      </c>
      <c r="D8" s="73" t="n">
        <v>1500</v>
      </c>
      <c r="E8" s="70">
        <f>IFERROR(IF(D8="","",D8*'0. Supuestos'!$B$20),"")</f>
        <v>495.0</v>
      </c>
      <c r="F8" s="70">
        <f>IFERROR(IF(D8="","",D8+E8),"")</f>
        <v>1995.0</v>
      </c>
      <c r="G8" s="70">
        <f>IFERROR(IF(D8="","",F8*MAX(12,'0. Supuestos'!$B$21)),"")</f>
        <v>27930.0</v>
      </c>
      <c r="H8" s="45">
        <f>IFERROR(IF(D8="","",C8*$B$19),"")</f>
        <v>40.0</v>
      </c>
      <c r="I8" s="41">
        <f>IFERROR(IF(D8="","",H8*B8*$B$20),"")</f>
        <v>1840.0</v>
      </c>
      <c r="J8" s="29" t="inlineStr">
        <is>
          <t>Todo el año: sala, caja, los pedidos para llevar, las tablets de las plataformas y la información de alérgenos</t>
        </is>
      </c>
    </row>
    <row r="9">
      <c r="A9" s="29" t="inlineStr">
        <is>
          <t>Camarero/a de cenas y fines de semana</t>
        </is>
      </c>
      <c r="B9" s="51" t="n">
        <v>1</v>
      </c>
      <c r="C9" s="53" t="n">
        <v>0.75</v>
      </c>
      <c r="D9" s="73" t="n">
        <v>1013</v>
      </c>
      <c r="E9" s="70">
        <f>IFERROR(IF(D9="","",D9*'0. Supuestos'!$B$20),"")</f>
        <v>334.29</v>
      </c>
      <c r="F9" s="70">
        <f>IFERROR(IF(D9="","",D9+E9),"")</f>
        <v>1347.29</v>
      </c>
      <c r="G9" s="70">
        <f>IFERROR(IF(D9="","",F9*MAX(12,'0. Supuestos'!$B$21)),"")</f>
        <v>18862.059999999998</v>
      </c>
      <c r="H9" s="45">
        <f>IFERROR(IF(D9="","",C9*$B$19),"")</f>
        <v>30.0</v>
      </c>
      <c r="I9" s="41">
        <f>IFERROR(IF(D9="","",H9*B9*$B$20),"")</f>
        <v>1380.0</v>
      </c>
      <c r="J9" s="29" t="inlineStr">
        <is>
          <t>30 horas a la semana: las cenas y el fin de semana, cuando la sala se llena</t>
        </is>
      </c>
    </row>
    <row r="10">
      <c r="A10" s="29" t="inlineStr">
        <is>
          <t>Refuerzo de viernes a domingo: sala y empaquetado de pedidos</t>
        </is>
      </c>
      <c r="B10" s="51" t="n">
        <v>1</v>
      </c>
      <c r="C10" s="53" t="n">
        <v>0.5</v>
      </c>
      <c r="D10" s="73" t="n">
        <v>675</v>
      </c>
      <c r="E10" s="70">
        <f>IFERROR(IF(D10="","",D10*'0. Supuestos'!$B$20),"")</f>
        <v>222.75</v>
      </c>
      <c r="F10" s="70">
        <f>IFERROR(IF(D10="","",D10+E10),"")</f>
        <v>897.75</v>
      </c>
      <c r="G10" s="70">
        <f>IFERROR(IF(D10="","",F10*MAX(12,'0. Supuestos'!$B$21)),"")</f>
        <v>12568.5</v>
      </c>
      <c r="H10" s="45">
        <f>IFERROR(IF(D10="","",C10*$B$19),"")</f>
        <v>20.0</v>
      </c>
      <c r="I10" s="41">
        <f>IFERROR(IF(D10="","",H10*B10*$B$20),"")</f>
        <v>920.0</v>
      </c>
      <c r="J10" s="29" t="inlineStr">
        <is>
          <t>Sala y empaquetado de los pedidos de las noches fuertes. Este plan NO tiene reparto propio: si lo pones, el repartidor va con contrato laboral del convenio de hostelería, nunca como autónomo</t>
        </is>
      </c>
    </row>
    <row r="11">
      <c r="A11" s="29" t="inlineStr">
        <is>
          <t>Suplencias de vacaciones y descansos</t>
        </is>
      </c>
      <c r="B11" s="51" t="n">
        <v>1</v>
      </c>
      <c r="C11" s="53" t="n">
        <v>0.1</v>
      </c>
      <c r="D11" s="73" t="n">
        <v>140</v>
      </c>
      <c r="E11" s="70">
        <f>IFERROR(IF(D11="","",D11*'0. Supuestos'!$B$20),"")</f>
        <v>46.2</v>
      </c>
      <c r="F11" s="70">
        <f>IFERROR(IF(D11="","",D11+E11),"")</f>
        <v>186.2</v>
      </c>
      <c r="G11" s="70">
        <f>IFERROR(IF(D11="","",F11*MAX(12,'0. Supuestos'!$B$21)),"")</f>
        <v>2606.7999999999997</v>
      </c>
      <c r="H11" s="45">
        <f>IFERROR(IF(D11="","",C11*$B$19),"")</f>
        <v>4.0</v>
      </c>
      <c r="I11" s="41">
        <f>IFERROR(IF(D11="","",H11*B11*$B$20),"")</f>
        <v>184.0</v>
      </c>
      <c r="J11" s="29" t="inlineStr">
        <is>
          <t>Cobertura de los 30 días de vacaciones (art. 38 ET) y del descanso semanal del equipo de todo el año</t>
        </is>
      </c>
    </row>
    <row r="12">
      <c r="A12" s="26" t="inlineStr">
        <is>
          <t>TOTAL PLANTILLA</t>
        </is>
      </c>
      <c r="B12" s="54">
        <f>IFERROR(IF(COUNT(D5:D11)=0,"",SUM(B5:B11)),"")</f>
        <v>7.0</v>
      </c>
      <c r="C12" s="55">
        <f>IFERROR(IF(COUNT(D5:D11)=0,"",SUM(C5:C11)),"")</f>
        <v>5.35</v>
      </c>
      <c r="D12" s="72">
        <f>IFERROR(IF(COUNT(D5:D11)=0,"",SUM(D5:D11)),"")</f>
        <v>8578.0</v>
      </c>
      <c r="E12" s="72">
        <f>IFERROR(IF(COUNT(D5:D11)=0,"",SUM(E5:E11)),"")</f>
        <v>2830.7400000000002</v>
      </c>
      <c r="F12" s="72">
        <f>IFERROR(IF(COUNT(D5:D11)=0,"",SUM(F5:F11)),"")</f>
        <v>11408.74</v>
      </c>
      <c r="G12" s="72">
        <f>IFERROR(IF(COUNT(D5:D11)=0,"",SUM(G5:G11)),"")</f>
        <v>159722.36</v>
      </c>
      <c r="H12" s="29" t="n"/>
      <c r="I12" s="54">
        <f>IFERROR(IF(COUNT(D5:D11)=0,"",SUM(I5:I11)),"")</f>
        <v>9844.0</v>
      </c>
      <c r="J12" s="29" t="n"/>
    </row>
    <row r="13">
      <c r="A13" s="26" t="inlineStr">
        <is>
          <t>CRECIMIENTO DE LA PLANTILLA (coste escalonado)</t>
        </is>
      </c>
      <c r="B13" s="29" t="n"/>
      <c r="C13" s="29" t="n"/>
      <c r="D13" s="29" t="n"/>
      <c r="E13" s="29" t="n"/>
      <c r="F13" s="29" t="n"/>
      <c r="G13" s="29" t="n"/>
      <c r="H13" s="29" t="n"/>
      <c r="I13" s="29" t="n"/>
      <c r="J13" s="29" t="n"/>
    </row>
    <row r="14">
      <c r="A14" s="29" t="inlineStr">
        <is>
          <t>Coste anual de las incorporaciones del año 2 (€)</t>
        </is>
      </c>
      <c r="B14" s="30" t="n">
        <v>6000</v>
      </c>
      <c r="C14" s="29" t="n"/>
      <c r="D14" s="29" t="n"/>
      <c r="E14" s="29" t="n"/>
      <c r="F14" s="29" t="n"/>
      <c r="G14" s="29" t="n"/>
      <c r="H14" s="29" t="n"/>
      <c r="I14" s="29" t="n"/>
      <c r="J14" s="29" t="inlineStr">
        <is>
          <t>Coste ANUAL completo (bruto + Seguridad Social × pagas) de lo que se contrate ese año. El P&amp;L lo suma al coste del año anterior: la plantilla no crece con un porcentaje, crece con personas</t>
        </is>
      </c>
    </row>
    <row r="15">
      <c r="A15" s="29" t="inlineStr">
        <is>
          <t>Coste anual de las incorporaciones del año 3 (€)</t>
        </is>
      </c>
      <c r="B15" s="30" t="n">
        <v>6000</v>
      </c>
      <c r="C15" s="29" t="n"/>
      <c r="D15" s="29" t="n"/>
      <c r="E15" s="29" t="n"/>
      <c r="F15" s="29" t="n"/>
      <c r="G15" s="29" t="n"/>
      <c r="H15" s="29" t="n"/>
      <c r="I15" s="29" t="n"/>
      <c r="J15" s="29" t="inlineStr">
        <is>
          <t>Coste ANUAL completo (bruto + Seguridad Social × pagas) de lo que se contrate ese año. El P&amp;L lo suma al coste del año anterior: la plantilla no crece con un porcentaje, crece con personas</t>
        </is>
      </c>
    </row>
    <row r="16">
      <c r="A16" s="29" t="inlineStr">
        <is>
          <t>Coste de personal del año 2</t>
        </is>
      </c>
      <c r="B16" s="33">
        <f>IFERROR(IF(G12="","",G12*(1+'0. Supuestos'!$B$48)+B14),"")</f>
        <v>165722.36</v>
      </c>
      <c r="C16" s="29" t="n"/>
      <c r="D16" s="29" t="n"/>
      <c r="E16" s="29" t="n"/>
      <c r="F16" s="29" t="n"/>
      <c r="G16" s="29" t="n"/>
      <c r="H16" s="29" t="n"/>
      <c r="I16" s="29" t="n"/>
      <c r="J16" s="29" t="n"/>
    </row>
    <row r="17">
      <c r="A17" s="29" t="inlineStr">
        <is>
          <t>Coste de personal del año 3</t>
        </is>
      </c>
      <c r="B17" s="33">
        <f>IFERROR(IF(B16="","",B16*(1+'0. Supuestos'!$B$48)+B15),"")</f>
        <v>171722.36</v>
      </c>
      <c r="C17" s="29" t="n"/>
      <c r="D17" s="29" t="n"/>
      <c r="E17" s="29" t="n"/>
      <c r="F17" s="29" t="n"/>
      <c r="G17" s="29" t="n"/>
      <c r="H17" s="29" t="n"/>
      <c r="I17" s="29" t="n"/>
      <c r="J17" s="29" t="n"/>
    </row>
    <row r="18">
      <c r="A18" s="26" t="inlineStr">
        <is>
          <t>COBERTURA POR HORAS DE SERVICIO</t>
        </is>
      </c>
      <c r="B18" s="29" t="n"/>
      <c r="C18" s="29" t="n"/>
      <c r="D18" s="29" t="n"/>
      <c r="E18" s="29" t="n"/>
      <c r="F18" s="29" t="n"/>
      <c r="G18" s="29" t="n"/>
      <c r="H18" s="29" t="n"/>
      <c r="I18" s="29" t="n"/>
      <c r="J18" s="29" t="n"/>
    </row>
    <row r="19">
      <c r="A19" s="29" t="inlineStr">
        <is>
          <t>Jornada completa del convenio (horas/semana)</t>
        </is>
      </c>
      <c r="B19" s="51" t="n">
        <v>40</v>
      </c>
      <c r="C19" s="29" t="n"/>
      <c r="D19" s="29" t="n"/>
      <c r="E19" s="29" t="n"/>
      <c r="F19" s="29" t="n"/>
      <c r="G19" s="29" t="n"/>
      <c r="H19" s="29" t="n"/>
      <c r="I19" s="29" t="n"/>
      <c r="J19" s="29" t="inlineStr">
        <is>
          <t>Art. 34.1 del Estatuto de los Trabajadores; tu convenio provincial puede fijar menos</t>
        </is>
      </c>
    </row>
    <row r="20">
      <c r="A20" s="29" t="inlineStr">
        <is>
          <t>Semanas trabajadas al año por persona</t>
        </is>
      </c>
      <c r="B20" s="51" t="n">
        <v>46</v>
      </c>
      <c r="C20" s="29" t="n"/>
      <c r="D20" s="29" t="n"/>
      <c r="E20" s="29" t="n"/>
      <c r="F20" s="29" t="n"/>
      <c r="G20" s="29" t="n"/>
      <c r="H20" s="29" t="n"/>
      <c r="I20" s="29" t="n"/>
      <c r="J20" s="29" t="inlineStr">
        <is>
          <t>46 semanas: 52 menos las vacaciones (30 días naturales, art. 38 ET), los festivos y las ausencias medias</t>
        </is>
      </c>
    </row>
    <row r="21">
      <c r="A21" s="29" t="inlineStr">
        <is>
          <t>Horas de servicio al día que hay que cubrir</t>
        </is>
      </c>
      <c r="B21" s="47" t="n">
        <v>6.5</v>
      </c>
      <c r="C21" s="29" t="n"/>
      <c r="D21" s="29" t="n"/>
      <c r="E21" s="29" t="n"/>
      <c r="F21" s="29" t="n"/>
      <c r="G21" s="29" t="n"/>
      <c r="H21" s="29" t="n"/>
      <c r="I21" s="29" t="n"/>
      <c r="J21" s="29" t="inlineStr">
        <is>
          <t>Horas con el local abierto al público, sumando las comidas (13:00-16:00) y las cenas (20:00-23:30). La tarde de cierre entre los dos servicios no se cuenta</t>
        </is>
      </c>
    </row>
    <row r="22">
      <c r="A22" s="29" t="inlineStr">
        <is>
          <t>Personas necesarias a la vez en cada franja</t>
        </is>
      </c>
      <c r="B22" s="47" t="n">
        <v>3.5</v>
      </c>
      <c r="C22" s="29" t="n"/>
      <c r="D22" s="29" t="n"/>
      <c r="E22" s="29" t="n"/>
      <c r="F22" s="29" t="n"/>
      <c r="G22" s="29" t="n"/>
      <c r="H22" s="29" t="n"/>
      <c r="I22" s="29" t="n"/>
      <c r="J22" s="29" t="inlineStr">
        <is>
          <t>Presencia media a la vez entre la barra, la cocina caliente, la sala y los pedidos. El viernes y el sábado por la noche hacen falta seis (dos en la barra, uno en caliente, dos en sala y uno empaquetando): entran el refuerzo y el camarero de cenas (el cuadrante anual no lo ve: ponlo en el turno)</t>
        </is>
      </c>
    </row>
    <row r="23">
      <c r="A23" s="29" t="inlineStr">
        <is>
          <t>Horas de producción al día ANTES de abrir</t>
        </is>
      </c>
      <c r="B23" s="47" t="n">
        <v>3</v>
      </c>
      <c r="C23" s="29" t="n"/>
      <c r="D23" s="29" t="n"/>
      <c r="E23" s="29" t="n"/>
      <c r="F23" s="29" t="n"/>
      <c r="G23" s="29" t="n"/>
      <c r="H23" s="29" t="n"/>
      <c r="I23" s="29" t="n"/>
      <c r="J23" s="29" t="inlineStr">
        <is>
          <t>El shari del día, el corte y la limpieza del pescado, las salsas y la mise en place antes de abrir</t>
        </is>
      </c>
    </row>
    <row r="24">
      <c r="A24" s="29" t="inlineStr">
        <is>
          <t>Personas en el turno de producción</t>
        </is>
      </c>
      <c r="B24" s="47" t="n">
        <v>2</v>
      </c>
      <c r="C24" s="29" t="n"/>
      <c r="D24" s="29" t="n"/>
      <c r="E24" s="29" t="n"/>
      <c r="F24" s="29" t="n"/>
      <c r="G24" s="29" t="n"/>
      <c r="H24" s="29" t="n"/>
      <c r="I24" s="29" t="n"/>
      <c r="J24" s="29" t="inlineStr">
        <is>
          <t>El itamae con el sushiman o el cocinero. El cierre, la limpieza y las compras quedan fuera de este cuadrante: son el margen entre las horas contratadas y las necesarias</t>
        </is>
      </c>
    </row>
    <row r="25">
      <c r="A25" s="29" t="inlineStr">
        <is>
          <t>Horas de servicio a cubrir al año</t>
        </is>
      </c>
      <c r="B25" s="41">
        <f>IFERROR(IF(OR(B21="",B22="",'0. Supuestos'!$B$6=""),"",B21*B22*'0. Supuestos'!$B$6+B23*B24*'0. Supuestos'!$B$6),"")</f>
        <v>8625.0</v>
      </c>
      <c r="C25" s="29" t="n"/>
      <c r="D25" s="29" t="n"/>
      <c r="E25" s="29" t="n"/>
      <c r="F25" s="29" t="n"/>
      <c r="G25" s="29" t="n"/>
      <c r="H25" s="29" t="n"/>
      <c r="I25" s="29" t="n"/>
      <c r="J25" s="29" t="n"/>
    </row>
    <row r="26">
      <c r="A26" s="29" t="inlineStr">
        <is>
          <t>Horas contratadas al año</t>
        </is>
      </c>
      <c r="B26" s="41">
        <f>IFERROR(IF(I12="","",I12),"")</f>
        <v>9844.0</v>
      </c>
      <c r="C26" s="29" t="n"/>
      <c r="D26" s="29" t="n"/>
      <c r="E26" s="29" t="n"/>
      <c r="F26" s="29" t="n"/>
      <c r="G26" s="29" t="n"/>
      <c r="H26" s="29" t="n"/>
      <c r="I26" s="29" t="n"/>
      <c r="J26" s="29" t="n"/>
    </row>
    <row r="27">
      <c r="A27" s="26" t="inlineStr">
        <is>
          <t>Cobertura (contratadas / necesarias)</t>
        </is>
      </c>
      <c r="B27" s="67">
        <f>IFERROR(B26/B25,"")</f>
        <v>1.1413333333333333</v>
      </c>
      <c r="C27" s="29" t="n"/>
      <c r="D27" s="29" t="n"/>
      <c r="E27" s="29" t="n"/>
      <c r="F27" s="29" t="n"/>
      <c r="G27" s="29" t="n"/>
      <c r="H27" s="29" t="n"/>
      <c r="I27" s="29" t="n"/>
      <c r="J27" s="26" t="inlineStr">
        <is>
          <t>Por debajo del 100 % la plantilla no llega a cubrir el horario que declara el plan: o se contrata más o se recorta el horario</t>
        </is>
      </c>
    </row>
    <row r="28">
      <c r="A28" s="29" t="n"/>
      <c r="B28" s="29" t="n"/>
      <c r="C28" s="29" t="n"/>
      <c r="D28" s="29" t="n"/>
      <c r="E28" s="29" t="n"/>
      <c r="F28" s="29" t="n"/>
      <c r="G28" s="29" t="n"/>
      <c r="H28" s="29" t="n"/>
      <c r="I28" s="29" t="n"/>
      <c r="J28" s="29" t="n"/>
    </row>
    <row r="29" ht="150" customHeight="1">
      <c r="A29" s="48"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9" s="29" t="n"/>
      <c r="C29" s="29" t="n"/>
      <c r="D29" s="29" t="n"/>
      <c r="E29" s="29" t="n"/>
      <c r="F29" s="29" t="n"/>
      <c r="G29" s="29" t="n"/>
      <c r="H29" s="29" t="n"/>
      <c r="I29" s="29" t="n"/>
      <c r="J29" s="29" t="n"/>
    </row>
    <row r="30" ht="150" customHeight="1">
      <c r="A30" s="48"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30" s="29" t="n"/>
      <c r="C30" s="29" t="n"/>
      <c r="D30" s="29" t="n"/>
      <c r="E30" s="29" t="n"/>
      <c r="F30" s="29" t="n"/>
      <c r="G30" s="29" t="n"/>
      <c r="H30" s="29" t="n"/>
      <c r="I30" s="29" t="n"/>
      <c r="J30"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Supuestos'!$B$21&lt;MAX('0. Supuestos'!$B$22,'0. Supuestos'!$B$68)*C5)</formula>
    </cfRule>
  </conditionalFormatting>
  <dataValidations count="3">
    <dataValidation sqref="B5 B6 B7 B8 B9 B10 B11 B14 B15 B19 B20 B21 B23 D5 D6 D7 D8 D9 D10 D11" showDropDown="0" showInputMessage="0" showErrorMessage="1" allowBlank="1" errorTitle="Importe no válido" error="Escribe un número mayor o igual que 0." type="decimal" operator="greaterThanOrEqual">
      <formula1>0</formula1>
    </dataValidation>
    <dataValidation sqref="B22 B24"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C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INSTRUCCIONES DE USO — Plan financiero Sushi Bar</t>
        </is>
      </c>
      <c r="B1" s="29" t="n"/>
      <c r="C1" s="29" t="n"/>
      <c r="D1" s="29" t="n"/>
      <c r="E1" s="29" t="n"/>
    </row>
    <row r="2">
      <c r="A2" s="29" t="n"/>
      <c r="B2" s="29" t="n"/>
      <c r="C2" s="29" t="n"/>
      <c r="D2" s="29" t="n"/>
      <c r="E2" s="29" t="n"/>
    </row>
    <row r="3">
      <c r="A3" s="40" t="inlineStr">
        <is>
          <t>CÓMO SE USA ESTE LIBRO</t>
        </is>
      </c>
      <c r="B3" s="29" t="n"/>
      <c r="C3" s="29" t="n"/>
      <c r="D3" s="29" t="n"/>
      <c r="E3" s="29" t="n"/>
    </row>
    <row r="4" ht="30" customHeight="1">
      <c r="A4" s="48" t="inlineStr">
        <is>
          <t>Este plan financiero es un MODELO: sólo se teclea en las celdas VERDES y el resto se recalcula solo.</t>
        </is>
      </c>
      <c r="B4" s="29" t="n"/>
      <c r="C4" s="29" t="n"/>
      <c r="D4" s="29" t="n"/>
      <c r="E4" s="29" t="n"/>
    </row>
    <row r="5" ht="45" customHeight="1">
      <c r="A5" s="48" t="inlineStr">
        <is>
          <t>1. «0. Supuestos» es la hoja de mando: comensales, ticket sin IVA, días de apertura, mezcla de comida y bebida, coste de mercancía, alquiler, financiación e impuestos.</t>
        </is>
      </c>
      <c r="B5" s="29" t="n"/>
      <c r="C5" s="29" t="n"/>
      <c r="D5" s="29" t="n"/>
      <c r="E5" s="29" t="n"/>
    </row>
    <row r="6" ht="45" customHeight="1">
      <c r="A6" s="48" t="inlineStr">
        <is>
          <t>2. Las partidas de la inversión, los costes fijos y la plantilla se teclean en su propia hoja, también en verde. Ningún número se escribe dos veces.</t>
        </is>
      </c>
      <c r="B6" s="29" t="n"/>
      <c r="C6" s="29" t="n"/>
      <c r="D6" s="29" t="n"/>
      <c r="E6" s="29" t="n"/>
    </row>
    <row r="7" ht="105" customHeight="1">
      <c r="A7" s="48" t="inlineStr">
        <is>
          <t>3. En «Punto Equilibrio» sólo se teclea el techo de rotaciones que da tu local; todo lo demás se deriva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9" t="n"/>
      <c r="C7" s="29" t="n"/>
      <c r="D7" s="29" t="n"/>
      <c r="E7" s="29" t="n"/>
    </row>
    <row r="8" ht="225" customHeight="1">
      <c r="A8" s="48" t="inlineStr">
        <is>
          <t>4. Todas las cifras van SIN IVA. Para pasar un PVP a precio sin IVA, divide por el tipo que le corresponda: entre 1,10 en sala (comida y bebida, alcohol incluido: art. 91.Uno.2.2.º de la Ley 37/1992 del IVA) y, cuando se venden para llevar, los alimentos —el sushi y el poke incluidos—, que son productos alimenticios al tipo reducido por el art. 91.Uno.1.1.º; y entre 1,21 el tipo general, que en hostelería sólo alcanza a lo que sale del local como entrega de bienes excluida del reducido: el alcohol y los refrescos o los zumos con azúcares o edulcorantes añadidos para llevar o a domicilio (la comida para llevar sigue al 10 %); el libro lo aplica a la parte de la bebida que declara la columna H de su línea en el P&amp;L. El tipo de cada línea de venta está en la columna «Tipo de IVA de la línea» del P&amp;L y de ahí salen los cobros, el IVA repercutido y el PVP equivalente. El IVA de la inversión se adelanta y se recupera con el modelo 303.</t>
        </is>
      </c>
      <c r="B8" s="29" t="n"/>
      <c r="C8" s="29" t="n"/>
      <c r="D8" s="29" t="n"/>
      <c r="E8" s="29" t="n"/>
    </row>
    <row r="9" ht="30" customHeight="1">
      <c r="A9" s="48" t="inlineStr">
        <is>
          <t>5. Si cambias la plantilla, el P&amp;L la lee sola: el coste de personal sale de la hoja «Personal», no de una estimación aparte.</t>
        </is>
      </c>
      <c r="B9" s="29" t="n"/>
      <c r="C9" s="29" t="n"/>
      <c r="D9" s="29" t="n"/>
      <c r="E9" s="29" t="n"/>
    </row>
    <row r="10" ht="105" customHeight="1">
      <c r="A10" s="48" t="inlineStr">
        <is>
          <t>6. La hoja «Tesorería 12 meses» responde la pregunta que decide una operación bancaria: en qué mes se agota la caja. Su Mes 1 es ENERO, en el orden del calendario: la rampa del arranque va de enero a abril y agosto, con el cierre de vacaciones, es el mes más flojo; por eso el fondo de maniobra cuenta. Si abres en otro mes, gira la fila de estacionalidad. El saldo mínimo del año nunca puede salir en rojo.</t>
        </is>
      </c>
      <c r="B10" s="29" t="n"/>
      <c r="C10" s="29" t="n"/>
      <c r="D10" s="29" t="n"/>
      <c r="E10" s="29" t="n"/>
    </row>
    <row r="11" ht="45" customHeight="1">
      <c r="A11" s="48" t="inlineStr">
        <is>
          <t>7. La hoja «Financiación» cuadra lo que hace falta con lo que se aporta y monta el cuadro de amortización del préstamo. Si la diferencia sale en rojo, el plan no está financiado.</t>
        </is>
      </c>
      <c r="B11" s="29" t="n"/>
      <c r="C11" s="29" t="n"/>
      <c r="D11" s="29" t="n"/>
      <c r="E11" s="29" t="n"/>
    </row>
    <row r="12" ht="150" customHeight="1">
      <c r="A12" s="48" t="inlineStr">
        <is>
          <t>8. El plan de negocio en Word de este pack cita las cifras de este Excel: si cambias una celda verde, el Excel manda. La calculadora del pescado, el arroz y el escandallo del pack va aparte: mide el rendimiento del salmón, el shari que sale de cada kilo de arroz y ESCANDALLA cada pieza en cada canal. No copies el food cost de un nigiri en la hoja de Supuestos: la celda «Coste de mercancía sobre las ventas de COMIDA» es la media ponderada de TODA la carta más la merma de pescado, el shari tirado y las comidas del personal, y por eso sale más alta que el escandallo teórico. Con los escandallos de tu carta, comprueba que esa media cuadra.</t>
        </is>
      </c>
      <c r="B12" s="29" t="n"/>
      <c r="C12" s="29" t="n"/>
      <c r="D12" s="29" t="n"/>
      <c r="E12" s="29" t="n"/>
    </row>
    <row r="13">
      <c r="A13" s="29" t="n"/>
      <c r="B13" s="29" t="n"/>
      <c r="C13" s="29" t="n"/>
      <c r="D13" s="29" t="n"/>
      <c r="E13" s="29" t="n"/>
    </row>
    <row r="14">
      <c r="A14" s="26" t="inlineStr">
        <is>
          <t>RATIOS QUE AUDITA EL LIBRO</t>
        </is>
      </c>
      <c r="B14" s="29" t="n"/>
      <c r="C14" s="29" t="n"/>
      <c r="D14" s="29" t="n"/>
      <c r="E14" s="29" t="n"/>
    </row>
    <row r="15" ht="30" customHeight="1">
      <c r="A15" s="48" t="inlineStr">
        <is>
          <t>Los umbrales viven en la columna «Umbral» del bloque RATIOS CLAVE del P&amp;L: cámbialos ahí y el semáforo cambia con ellos.</t>
        </is>
      </c>
      <c r="B15" s="29" t="n"/>
      <c r="C15" s="29" t="n"/>
      <c r="D15" s="29" t="n"/>
      <c r="E15" s="29" t="n"/>
    </row>
    <row r="16">
      <c r="A16" s="29" t="n"/>
      <c r="B16" s="29" t="n"/>
      <c r="C16" s="29" t="n"/>
      <c r="D16" s="29" t="n"/>
      <c r="E16" s="29" t="n"/>
    </row>
    <row r="17">
      <c r="A17" s="26" t="inlineStr">
        <is>
          <t>Ratio</t>
        </is>
      </c>
      <c r="B17" s="26" t="inlineStr">
        <is>
          <t>Valor del año 1</t>
        </is>
      </c>
      <c r="C17" s="26" t="inlineStr">
        <is>
          <t>Umbral</t>
        </is>
      </c>
      <c r="D17" s="26" t="inlineStr">
        <is>
          <t>Estado</t>
        </is>
      </c>
      <c r="E17" s="29" t="n"/>
    </row>
    <row r="18">
      <c r="A18" s="29" t="inlineStr">
        <is>
          <t>Coste de mercancía / Ventas</t>
        </is>
      </c>
      <c r="B18" s="68">
        <f>IFERROR(IF('PyG 3 Años'!$B$52="","",'PyG 3 Años'!$B$52),"")</f>
        <v>0.2885</v>
      </c>
      <c r="C18" s="68">
        <f>IFERROR(IF('PyG 3 Años'!$E$52="","",'PyG 3 Años'!$E$52),"")</f>
        <v>0.31</v>
      </c>
      <c r="D18" s="29" t="str">
        <f>IFERROR(IF(OR(B18="",C18=""),"",IF(B18&lt;=C18,"CUMPLE","REVISAR")),"")</f>
        <v>CUMPLE</v>
      </c>
      <c r="E18" s="29" t="n"/>
    </row>
    <row r="19">
      <c r="A19" s="29" t="inlineStr">
        <is>
          <t>Coste de personal / Ventas</t>
        </is>
      </c>
      <c r="B19" s="68">
        <f>IFERROR(IF('PyG 3 Años'!$B$53="","",'PyG 3 Años'!$B$53),"")</f>
        <v>0.3369670042194092</v>
      </c>
      <c r="C19" s="68">
        <f>IFERROR(IF('PyG 3 Años'!$E$53="","",'PyG 3 Años'!$E$53),"")</f>
        <v>0.38</v>
      </c>
      <c r="D19" s="29" t="str">
        <f>IFERROR(IF(OR(B19="",C19=""),"",IF(B19&lt;=C19,"CUMPLE","REVISAR")),"")</f>
        <v>CUMPLE</v>
      </c>
      <c r="E19" s="29" t="n"/>
    </row>
    <row r="20">
      <c r="A20" s="29" t="inlineStr">
        <is>
          <t>Alquiler / Ventas</t>
        </is>
      </c>
      <c r="B20" s="68">
        <f>IFERROR(IF('PyG 3 Años'!$B$54="","",'PyG 3 Años'!$B$54),"")</f>
        <v>0.04050632911392405</v>
      </c>
      <c r="C20" s="68">
        <f>IFERROR(IF('PyG 3 Años'!$E$54="","",'PyG 3 Años'!$E$54),"")</f>
        <v>0.1</v>
      </c>
      <c r="D20" s="29" t="str">
        <f>IFERROR(IF(OR(B20="",C20=""),"",IF(B20&lt;=C20,"CUMPLE","REVISAR")),"")</f>
        <v>CUMPLE</v>
      </c>
      <c r="E20" s="29" t="n"/>
    </row>
    <row r="21">
      <c r="A21" s="29" t="inlineStr">
        <is>
          <t>Resultado neto / Ventas</t>
        </is>
      </c>
      <c r="B21" s="68">
        <f>IFERROR(IF('PyG 3 Años'!$B$55="","",'PyG 3 Años'!$B$55),"")</f>
        <v>0.09103184388185656</v>
      </c>
      <c r="C21" s="68">
        <f>IFERROR(IF('PyG 3 Años'!$E$55="","",'PyG 3 Años'!$E$55),"")</f>
        <v>0.05</v>
      </c>
      <c r="D21" s="29" t="str">
        <f>IFERROR(IF(OR(B21="",C21=""),"",IF(B21&gt;=C21,"CUMPLE","REVISAR")),"")</f>
        <v>CUMPLE</v>
      </c>
      <c r="E21" s="29" t="n"/>
    </row>
    <row r="22">
      <c r="A22" s="29" t="inlineStr">
        <is>
          <t>Margen bruto / Ventas</t>
        </is>
      </c>
      <c r="B22" s="68">
        <f>IFERROR(IF('PyG 3 Años'!$B$50="","",'PyG 3 Años'!$B$50),"")</f>
        <v>0.5815</v>
      </c>
      <c r="C22" s="68">
        <f>IFERROR(IF('PyG 3 Años'!$E$50="","",'PyG 3 Años'!$E$50),"")</f>
        <v>0.52</v>
      </c>
      <c r="D22" s="29" t="str">
        <f>IFERROR(IF(OR(B22="",C22=""),"",IF(B22&gt;=C22,"CUMPLE","REVISAR")),"")</f>
        <v>CUMPLE</v>
      </c>
      <c r="E22" s="29" t="n"/>
    </row>
    <row r="23">
      <c r="A23" s="29" t="n"/>
      <c r="B23" s="29" t="n"/>
      <c r="C23" s="29" t="n"/>
      <c r="D23" s="29" t="n"/>
      <c r="E23" s="29" t="n"/>
    </row>
    <row r="24">
      <c r="A24" s="26" t="inlineStr">
        <is>
          <t>CIFRAS DE ESTE PLAN</t>
        </is>
      </c>
      <c r="B24" s="29" t="n"/>
      <c r="C24" s="29" t="n"/>
      <c r="D24" s="29" t="n"/>
      <c r="E24" s="29" t="n"/>
    </row>
    <row r="25">
      <c r="A25" s="29" t="inlineStr">
        <is>
          <t>Inversión total (suma de los bloques)</t>
        </is>
      </c>
      <c r="B25" s="33">
        <f>IFERROR(IF('Inversión Inicial'!$B$30="","",'Inversión Inicial'!$B$30),"")</f>
        <v>163658.09</v>
      </c>
      <c r="C25" s="29" t="n"/>
      <c r="D25" s="29" t="n"/>
      <c r="E25" s="29" t="n"/>
    </row>
    <row r="26">
      <c r="A26" s="29" t="inlineStr">
        <is>
          <t>Necesidad total de caja al arranque</t>
        </is>
      </c>
      <c r="B26" s="33">
        <f>IFERROR(IF('Inversión Inicial'!$B$33="","",'Inversión Inicial'!$B$33),"")</f>
        <v>185403.59</v>
      </c>
      <c r="C26" s="29" t="n"/>
      <c r="D26" s="29" t="n"/>
      <c r="E26" s="29" t="n"/>
    </row>
    <row r="27">
      <c r="A27" s="29" t="inlineStr">
        <is>
          <t>Fondo de maniobra dotado</t>
        </is>
      </c>
      <c r="B27" s="33">
        <f>IFERROR(IF('Inversión Inicial'!$B$29="","",'Inversión Inicial'!$B$29),"")</f>
        <v>53908.09</v>
      </c>
      <c r="C27" s="29" t="n"/>
      <c r="D27" s="29" t="n"/>
      <c r="E27" s="29" t="n"/>
    </row>
    <row r="28">
      <c r="A28" s="29" t="inlineStr">
        <is>
          <t>Facturación prevista del año 1</t>
        </is>
      </c>
      <c r="B28" s="33">
        <f>IFERROR(IF('PyG 3 Años'!$B$9="","",'PyG 3 Años'!$B$9),"")</f>
        <v>474000.0</v>
      </c>
      <c r="C28" s="29" t="n"/>
      <c r="D28" s="29" t="n"/>
      <c r="E28" s="29" t="n"/>
    </row>
    <row r="29">
      <c r="A29" s="29" t="inlineStr">
        <is>
          <t>Resultado neto del año 1</t>
        </is>
      </c>
      <c r="B29" s="33">
        <f>IFERROR(IF('PyG 3 Años'!$B$47="","",'PyG 3 Años'!$B$47),"")</f>
        <v>43149.09400000001</v>
      </c>
      <c r="C29" s="29" t="n"/>
      <c r="D29" s="29" t="n"/>
      <c r="E29" s="29" t="n"/>
    </row>
    <row r="30">
      <c r="A30" s="29" t="inlineStr">
        <is>
          <t>Comensales/día para el punto de equilibrio CONTABLE (con la amortización dentro)</t>
        </is>
      </c>
      <c r="B30" s="45">
        <f>IFERROR(IF('Punto Equilibrio'!$B$15="","",'Punto Equilibrio'!$B$15),"")</f>
        <v>64.45037546574949</v>
      </c>
      <c r="C30" s="29" t="n"/>
      <c r="D30" s="29" t="n"/>
      <c r="E30" s="29" t="n"/>
    </row>
    <row r="31">
      <c r="A31" s="29" t="inlineStr">
        <is>
          <t>Payback del proyecto (años), antes de la deuda</t>
        </is>
      </c>
      <c r="B31" s="29">
        <f>IFERROR(IF('Tesorería 12 meses'!$B$31="","",'Tesorería 12 meses'!$B$31),"")</f>
        <v>2.5</v>
      </c>
      <c r="C31" s="29" t="n"/>
      <c r="D31" s="29" t="n"/>
      <c r="E31" s="29" t="n"/>
    </row>
    <row r="32">
      <c r="A32" s="29" t="n"/>
      <c r="B32" s="29" t="n"/>
      <c r="C32" s="29" t="n"/>
      <c r="D32" s="29" t="n"/>
      <c r="E32" s="29" t="n"/>
    </row>
    <row r="33">
      <c r="A33" s="26" t="inlineStr">
        <is>
          <t>DATOS DE REFERENCIA DEL SECTOR</t>
        </is>
      </c>
      <c r="B33" s="29" t="n"/>
      <c r="C33" s="29" t="n"/>
      <c r="D33" s="29" t="n"/>
      <c r="E33" s="29" t="n"/>
    </row>
    <row r="34">
      <c r="A34" s="26" t="inlineStr">
        <is>
          <t>Referencia</t>
        </is>
      </c>
      <c r="B34" s="26" t="inlineStr">
        <is>
          <t>Valor</t>
        </is>
      </c>
      <c r="C34" s="26" t="inlineStr">
        <is>
          <t>Fuente</t>
        </is>
      </c>
      <c r="D34" s="26" t="inlineStr">
        <is>
          <t>Nota</t>
        </is>
      </c>
      <c r="E34" s="29" t="n"/>
    </row>
    <row r="35" ht="60" customHeight="1">
      <c r="A35" s="29" t="inlineStr">
        <is>
          <t>Mes 1 del plan</t>
        </is>
      </c>
      <c r="B35" s="29" t="inlineStr">
        <is>
          <t>Enero</t>
        </is>
      </c>
      <c r="C35" s="29" t="inlineStr">
        <is>
          <t>Decisión del plan</t>
        </is>
      </c>
      <c r="D35" s="48" t="inlineStr">
        <is>
          <t>En el orden del calendario: la rampa cae sobre enero-abril y agosto, con el cierre de vacaciones, es el mes más flojo. Si abres en otro mes, gira la fila de estacionalidad de la Tesorería</t>
        </is>
      </c>
      <c r="E35" s="29" t="n"/>
    </row>
    <row r="36" ht="30" customHeight="1">
      <c r="A36" s="29" t="inlineStr">
        <is>
          <t>Sushi en el reparto a domicilio</t>
        </is>
      </c>
      <c r="B36" s="29" t="inlineStr">
        <is>
          <t>El maki, segundo plato más pedido</t>
        </is>
      </c>
      <c r="C36" s="29" t="inlineStr">
        <is>
          <t>Gastrómetro de Just Eat 2025, publicado en prensa en diciembre de 2025</t>
        </is>
      </c>
      <c r="D36" s="48" t="inlineStr">
        <is>
          <t>Sólo lo supera la hamburguesa. Por eso el caso cuenta un 24 % de las ventas por plataforma</t>
        </is>
      </c>
      <c r="E36" s="29" t="n"/>
    </row>
    <row r="37" ht="45" customHeight="1">
      <c r="A37" s="29" t="inlineStr">
        <is>
          <t>Nigiri y combinado en carta</t>
        </is>
      </c>
      <c r="B37" s="29" t="inlineStr">
        <is>
          <t>2,50-2,60 € la pieza de nigiri · 24,90-30,60 € el combinado de 24 piezas</t>
        </is>
      </c>
      <c r="C37" s="29" t="inlineStr">
        <is>
          <t>Cartas de cadenas y restaurantes de sushi leídas en octubre de 2026</t>
        </is>
      </c>
      <c r="D37" s="48" t="inlineStr">
        <is>
          <t>El caso: nigiri de salmón a 2,60 € la pieza (5,20 € las dos), combinado de 24 piezas a 29,00 € y menú del día de mediodía a 14,90 €, todo con IVA</t>
        </is>
      </c>
      <c r="E37" s="29" t="n"/>
    </row>
    <row r="38" ht="60" customHeight="1">
      <c r="A38" s="29" t="inlineStr">
        <is>
          <t>Coste del nigiri de salmón</t>
        </is>
      </c>
      <c r="B38" s="29" t="inlineStr">
        <is>
          <t>Un 11 % de su precio sin IVA</t>
        </is>
      </c>
      <c r="C38" s="29" t="inlineStr">
        <is>
          <t>Estimación del kit con los gramajes de la calculadora del pack (editables)</t>
        </is>
      </c>
      <c r="D38" s="48" t="inlineStr">
        <is>
          <t>15 g de neta de salmón entero de acuicultura a 9,50 €/kg con un 55 % de lomo y un 15 % de recorte reaprovechado, y 20 g de shari. El 29 % del plan es el consumo real de TODA la carta, con la merma</t>
        </is>
      </c>
      <c r="E38" s="29" t="n"/>
    </row>
    <row r="39" ht="30" customHeight="1">
      <c r="A39" s="29" t="inlineStr">
        <is>
          <t>Rendimiento del salmón entero</t>
        </is>
      </c>
      <c r="B39" s="29" t="inlineStr">
        <is>
          <t>Un 50-60 % de lomo limpio</t>
        </is>
      </c>
      <c r="C39" s="29" t="inlineStr">
        <is>
          <t>Guías de gestión de restaurantes (fuente secundaria)</t>
        </is>
      </c>
      <c r="D39" s="48" t="inlineStr">
        <is>
          <t>Mide el tuyo con 3 salmones y llévalo a la hoja «Pescado» de la calculadora del pack</t>
        </is>
      </c>
      <c r="E39" s="29" t="n"/>
    </row>
    <row r="40" ht="45" customHeight="1">
      <c r="A40" s="29" t="inlineStr">
        <is>
          <t>Arroz para sushi</t>
        </is>
      </c>
      <c r="B40" s="29" t="inlineStr">
        <is>
          <t>1,81-1,85 € el kg sin IVA</t>
        </is>
      </c>
      <c r="C40" s="29" t="inlineStr">
        <is>
          <t>Catálogo de Makro, sacos de 5 kg, octubre de 2026</t>
        </is>
      </c>
      <c r="D40" s="48" t="inlineStr">
        <is>
          <t>Un kilo de arroz crudo da unos 2,4 kg de shari, unos 120 nigiris con 20 g (calculadora del pack). El arroz es barato: el coste está en el pescado y en la mano del itamae</t>
        </is>
      </c>
      <c r="E40" s="29" t="n"/>
    </row>
    <row r="41" ht="30" customHeight="1">
      <c r="A41" s="29" t="inlineStr">
        <is>
          <t>Comisión de la plataforma con su reparto</t>
        </is>
      </c>
      <c r="B41" s="29" t="inlineStr">
        <is>
          <t>13-35 % más IVA</t>
        </is>
      </c>
      <c r="C41" s="29" t="inlineStr">
        <is>
          <t>Guías del sector, 2025-2026: compruébalo en tu contrato</t>
        </is>
      </c>
      <c r="D41" s="48" t="inlineStr">
        <is>
          <t>El plan básico de Uber Eats ronda el 30 %. Lo que se recoge en el local no paga comisión</t>
        </is>
      </c>
      <c r="E41" s="29" t="n"/>
    </row>
    <row r="42" ht="60" customHeight="1">
      <c r="A42" s="29" t="inlineStr">
        <is>
          <t>IVA del sushi</t>
        </is>
      </c>
      <c r="B42" s="29" t="inlineStr">
        <is>
          <t>10 % en la venta · 4 % el arroz en la compra</t>
        </is>
      </c>
      <c r="C42" s="29" t="inlineStr">
        <is>
          <t>Ley 37/1992, art. 91.Uno.1.1.º, 91.Uno.2.2.º y 91.Dos.1.1.º</t>
        </is>
      </c>
      <c r="D42" s="48" t="inlineStr">
        <is>
          <t>La comida, al 10 % en sala, para llevar y a domicilio. La cerveza, el sake, el vino y los refrescos con azúcares o edulcorantes añadidos que salen del local, al 21 %. El arroz, la verdura, el huevo y el queso se compran al 4 %</t>
        </is>
      </c>
      <c r="E42" s="29" t="n"/>
    </row>
    <row r="43" ht="60" customHeight="1">
      <c r="A43" s="29" t="inlineStr">
        <is>
          <t>Pescado para consumir crudo (anisakis)</t>
        </is>
      </c>
      <c r="B43" s="29" t="inlineStr">
        <is>
          <t>−20 °C 24 h o −35 °C 15 h en la totalidad del producto</t>
        </is>
      </c>
      <c r="C43" s="29" t="inlineStr">
        <is>
          <t>Real Decreto 1021/2022, art. 8</t>
        </is>
      </c>
      <c r="D43" s="48" t="inlineStr">
        <is>
          <t>O que llegue tratado de una etapa anterior con su documento, o de acuicultura libre de anisakis acreditada por escrito. Y hay que informar al cliente en la carta o en un cartel (art. 8.2)</t>
        </is>
      </c>
      <c r="E43" s="29" t="n"/>
    </row>
    <row r="44" ht="75" customHeight="1">
      <c r="A44" s="29" t="inlineStr">
        <is>
          <t>Shari a temperatura ambiente</t>
        </is>
      </c>
      <c r="B44" s="29" t="inlineStr">
        <is>
          <t>Sólo con una temperatura justificada ante sanidad</t>
        </is>
      </c>
      <c r="C44" s="29" t="inlineStr">
        <is>
          <t>Real Decreto 1086/2020, art. 30.5</t>
        </is>
      </c>
      <c r="D44" s="48" t="inlineStr">
        <is>
          <t>La comida preparada se refrigera, se mantiene a 63 °C o más o se sirve cuanto antes (RD 1086/2020, art. 30.2). El shari a temperatura ambiente sólo si tu APPCC lo justifica con evidencia científica y lo demuestras a sanidad: pH de cada tanda y tiempo máximo. Si no, refrigerado</t>
        </is>
      </c>
      <c r="E44" s="29" t="n"/>
    </row>
    <row r="45">
      <c r="A45" s="29" t="inlineStr">
        <is>
          <t>Salario mínimo interprofesional 2026</t>
        </is>
      </c>
      <c r="B45" s="29" t="inlineStr">
        <is>
          <t>1.221 € al mes en 14 pagas</t>
        </is>
      </c>
      <c r="C45" s="29" t="inlineStr">
        <is>
          <t>Real Decreto 126/2026</t>
        </is>
      </c>
      <c r="D45" s="48" t="inlineStr">
        <is>
          <t>A prorrata en jornada parcial</t>
        </is>
      </c>
      <c r="E45" s="29" t="n"/>
    </row>
    <row r="46" ht="30" customHeight="1">
      <c r="A46" s="29" t="inlineStr">
        <is>
          <t>Convenio colectivo aplicable</t>
        </is>
      </c>
      <c r="B46" s="29" t="inlineStr">
        <is>
          <t>Provincial de hostelería</t>
        </is>
      </c>
      <c r="C46" s="29" t="inlineStr">
        <is>
          <t>VI Acuerdo Laboral de ámbito Estatal para el sector de Hostelería, art. 4</t>
        </is>
      </c>
      <c r="D46" s="48" t="inlineStr">
        <is>
          <t>No nombra el sushi bar: entra como restaurante. Copia tu tabla salarial en la celda de Supuestos</t>
        </is>
      </c>
      <c r="E46" s="29" t="n"/>
    </row>
    <row r="47">
      <c r="A47" s="29" t="n"/>
      <c r="B47" s="29" t="n"/>
      <c r="C47" s="29" t="n"/>
      <c r="D47" s="29" t="n"/>
      <c r="E47" s="29" t="n"/>
    </row>
    <row r="48">
      <c r="A48" s="75" t="inlineStr">
        <is>
          <t>Para editar una celda que no esté en verde: Revisar → Desproteger hoja (no tiene contraseña).</t>
        </is>
      </c>
      <c r="B48" s="29" t="n"/>
      <c r="C48" s="29" t="n"/>
      <c r="D48" s="29" t="n"/>
      <c r="E48" s="29" t="n"/>
    </row>
    <row r="49">
      <c r="A49" s="75" t="inlineStr">
        <is>
          <t>Más plantillas y kits del catálogo en aichef.pro/productos-digitales</t>
        </is>
      </c>
      <c r="B49" s="29" t="n"/>
      <c r="C49" s="29" t="n"/>
      <c r="D49" s="29" t="n"/>
      <c r="E49" s="29" t="n"/>
    </row>
    <row r="50">
      <c r="A50" s="75" t="inlineStr">
        <is>
          <t>Diseñado por John Guerrero — chef y consultor gastronómico desde 2010, en cocina desde los 17 años · johnguerrero.es</t>
        </is>
      </c>
      <c r="B50" s="29" t="n"/>
      <c r="C50" s="29" t="n"/>
      <c r="D50" s="29" t="n"/>
      <c r="E50" s="29" t="n"/>
    </row>
    <row r="51">
      <c r="A51" s="75" t="inlineStr">
        <is>
          <t>Versión 1.0 · noviembre 2026 · aichef.pro/plan-negocio-sushi-bar · info@aichef.pro</t>
        </is>
      </c>
      <c r="B51" s="29" t="n"/>
      <c r="C51" s="29" t="n"/>
      <c r="D51" s="29" t="n"/>
      <c r="E51" s="29" t="n"/>
    </row>
    <row r="52">
      <c r="A52" s="29" t="n"/>
      <c r="B52" s="29" t="n"/>
      <c r="C52" s="29" t="n"/>
      <c r="D52" s="29" t="n"/>
      <c r="E52" s="29" t="n"/>
    </row>
    <row r="53">
      <c r="A53" s="29" t="n"/>
      <c r="B53" s="29" t="n"/>
      <c r="C53" s="29" t="n"/>
      <c r="D53" s="29" t="n"/>
      <c r="E53" s="29" t="n"/>
    </row>
    <row r="54">
      <c r="A54" s="29" t="n"/>
      <c r="B54" s="29" t="n"/>
      <c r="C54" s="29" t="n"/>
      <c r="D54" s="29" t="n"/>
      <c r="E54" s="29" t="n"/>
    </row>
    <row r="55">
      <c r="A55" s="29" t="n"/>
      <c r="B55" s="29" t="n"/>
      <c r="C55" s="29" t="n"/>
      <c r="D55" s="29" t="n"/>
      <c r="E55" s="29" t="n"/>
    </row>
    <row r="56">
      <c r="A56" s="29" t="n"/>
      <c r="B56" s="29" t="n"/>
      <c r="C56" s="29" t="n"/>
      <c r="D56" s="29" t="n"/>
      <c r="E56" s="29" t="n"/>
    </row>
    <row r="57">
      <c r="A57" s="29" t="n"/>
      <c r="B57" s="29" t="n"/>
      <c r="C57" s="29" t="n"/>
      <c r="D57" s="29" t="n"/>
      <c r="E57" s="29" t="n"/>
    </row>
    <row r="58">
      <c r="A58" s="29" t="n"/>
      <c r="B58" s="29" t="n"/>
      <c r="C58" s="29" t="n"/>
      <c r="D58" s="29" t="n"/>
      <c r="E58" s="29" t="n"/>
    </row>
    <row r="59">
      <c r="A59" s="29" t="n"/>
      <c r="B59" s="29" t="n"/>
      <c r="C59" s="29" t="n"/>
      <c r="D59" s="29" t="n"/>
      <c r="E59" s="29" t="n"/>
    </row>
    <row r="60">
      <c r="A60" s="29" t="n"/>
      <c r="B60" s="29" t="n"/>
      <c r="C60" s="29" t="n"/>
      <c r="D60" s="29" t="n"/>
      <c r="E60" s="29" t="n"/>
    </row>
    <row r="61">
      <c r="A61" s="29" t="n"/>
      <c r="B61" s="29" t="n"/>
      <c r="C61" s="29" t="n"/>
      <c r="D61" s="29" t="n"/>
      <c r="E61" s="29" t="n"/>
    </row>
    <row r="62">
      <c r="A62" s="29" t="n"/>
      <c r="B62" s="29" t="n"/>
      <c r="C62" s="29" t="n"/>
      <c r="D62" s="29" t="n"/>
      <c r="E62" s="29" t="n"/>
    </row>
    <row r="63">
      <c r="A63" s="29" t="n"/>
      <c r="B63" s="29" t="n"/>
      <c r="C63" s="29" t="n"/>
      <c r="D63" s="29" t="n"/>
      <c r="E63" s="29" t="n"/>
    </row>
    <row r="64">
      <c r="A64" s="29" t="n"/>
      <c r="B64" s="29" t="n"/>
      <c r="C64" s="29" t="n"/>
      <c r="D64" s="29" t="n"/>
      <c r="E64" s="29" t="n"/>
    </row>
    <row r="65">
      <c r="A65" s="29" t="n"/>
      <c r="B65" s="29" t="n"/>
      <c r="C65" s="29" t="n"/>
      <c r="D65" s="29" t="n"/>
      <c r="E65" s="29" t="n"/>
    </row>
    <row r="66">
      <c r="A66" s="29" t="n"/>
      <c r="B66" s="29" t="n"/>
      <c r="C66" s="29" t="n"/>
      <c r="D66" s="29" t="n"/>
      <c r="E66" s="29" t="n"/>
    </row>
    <row r="67">
      <c r="A67" s="29" t="n"/>
      <c r="B67" s="29" t="n"/>
      <c r="C67" s="29" t="n"/>
      <c r="D67" s="29" t="n"/>
      <c r="E67" s="29" t="n"/>
    </row>
    <row r="68">
      <c r="A68" s="29" t="n"/>
      <c r="B68" s="29" t="n"/>
      <c r="C68" s="29" t="n"/>
      <c r="D68" s="29" t="n"/>
      <c r="E68" s="29" t="n"/>
    </row>
    <row r="69">
      <c r="A69" s="29" t="n"/>
      <c r="B69" s="29" t="n"/>
      <c r="C69" s="29" t="n"/>
      <c r="D69" s="29" t="n"/>
      <c r="E69" s="29" t="n"/>
    </row>
    <row r="70">
      <c r="A70" s="29" t="n"/>
      <c r="B70" s="29" t="n"/>
      <c r="C70" s="29" t="n"/>
      <c r="D70" s="29" t="n"/>
      <c r="E70" s="29" t="n"/>
    </row>
    <row r="71">
      <c r="A71" s="29" t="n"/>
      <c r="B71" s="29" t="n"/>
      <c r="C71" s="29" t="n"/>
      <c r="D71" s="29" t="n"/>
      <c r="E71" s="29" t="n"/>
    </row>
    <row r="72">
      <c r="A72" s="29" t="n"/>
      <c r="B72" s="29" t="n"/>
      <c r="C72" s="29" t="n"/>
      <c r="D72" s="29" t="n"/>
      <c r="E72" s="29" t="n"/>
    </row>
    <row r="73">
      <c r="A73" s="29" t="n"/>
      <c r="B73" s="29" t="n"/>
      <c r="C73" s="29" t="n"/>
      <c r="D73" s="29" t="n"/>
      <c r="E73" s="29" t="n"/>
    </row>
    <row r="74">
      <c r="A74" s="29" t="n"/>
      <c r="B74" s="29" t="n"/>
      <c r="C74" s="29" t="n"/>
      <c r="D74" s="29" t="n"/>
      <c r="E74" s="29"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PREVISIÓN DE TESORERÍA — AÑO 1</t>
        </is>
      </c>
      <c r="B1" s="29" t="n"/>
      <c r="C1" s="29" t="n"/>
      <c r="D1" s="29" t="n"/>
      <c r="E1" s="29" t="n"/>
      <c r="F1" s="29" t="n"/>
      <c r="G1" s="29" t="n"/>
      <c r="H1" s="29" t="n"/>
      <c r="I1" s="29" t="n"/>
      <c r="J1" s="29" t="n"/>
      <c r="K1" s="29" t="n"/>
      <c r="L1" s="29" t="n"/>
      <c r="M1" s="29" t="n"/>
      <c r="N1" s="29" t="n"/>
      <c r="O1" s="29" t="n"/>
    </row>
    <row r="2" ht="45" customHeight="1">
      <c r="A2" s="48" t="inlineStr">
        <is>
          <t>El P&amp;L dice si el negocio gana dinero; esta hoja dice si le queda caja para llegar a fin de mes. Es la primera que mira un banco.</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Concepto</t>
        </is>
      </c>
      <c r="B4" s="26" t="inlineStr">
        <is>
          <t>Mes 1 (€)</t>
        </is>
      </c>
      <c r="C4" s="26" t="inlineStr">
        <is>
          <t>Mes 2 (€)</t>
        </is>
      </c>
      <c r="D4" s="26" t="inlineStr">
        <is>
          <t>Mes 3 (€)</t>
        </is>
      </c>
      <c r="E4" s="26" t="inlineStr">
        <is>
          <t>Mes 4 (€)</t>
        </is>
      </c>
      <c r="F4" s="26" t="inlineStr">
        <is>
          <t>Mes 5 (€)</t>
        </is>
      </c>
      <c r="G4" s="26" t="inlineStr">
        <is>
          <t>Mes 6 (€)</t>
        </is>
      </c>
      <c r="H4" s="26" t="inlineStr">
        <is>
          <t>Mes 7 (€)</t>
        </is>
      </c>
      <c r="I4" s="26" t="inlineStr">
        <is>
          <t>Mes 8 (€)</t>
        </is>
      </c>
      <c r="J4" s="26" t="inlineStr">
        <is>
          <t>Mes 9 (€)</t>
        </is>
      </c>
      <c r="K4" s="26" t="inlineStr">
        <is>
          <t>Mes 10 (€)</t>
        </is>
      </c>
      <c r="L4" s="26" t="inlineStr">
        <is>
          <t>Mes 11 (€)</t>
        </is>
      </c>
      <c r="M4" s="26" t="inlineStr">
        <is>
          <t>Mes 12 (€)</t>
        </is>
      </c>
      <c r="N4" s="26" t="inlineStr">
        <is>
          <t>Año (€)</t>
        </is>
      </c>
      <c r="O4" s="29" t="n"/>
    </row>
    <row r="5">
      <c r="A5" s="29" t="inlineStr">
        <is>
          <t>Estacionalidad del mes (suma 100 %)</t>
        </is>
      </c>
      <c r="B5" s="74" t="n">
        <v>0.082</v>
      </c>
      <c r="C5" s="74" t="n">
        <v>0.08599999999999999</v>
      </c>
      <c r="D5" s="74" t="n">
        <v>0.08599999999999999</v>
      </c>
      <c r="E5" s="74" t="n">
        <v>0.08400000000000001</v>
      </c>
      <c r="F5" s="74" t="n">
        <v>0.08599999999999999</v>
      </c>
      <c r="G5" s="74" t="n">
        <v>0.08400000000000001</v>
      </c>
      <c r="H5" s="74" t="n">
        <v>0.08</v>
      </c>
      <c r="I5" s="74" t="n">
        <v>0.066</v>
      </c>
      <c r="J5" s="74" t="n">
        <v>0.082</v>
      </c>
      <c r="K5" s="74" t="n">
        <v>0.08599999999999999</v>
      </c>
      <c r="L5" s="74" t="n">
        <v>0.08599999999999999</v>
      </c>
      <c r="M5" s="74" t="n">
        <v>0.092</v>
      </c>
      <c r="N5" s="68">
        <f>IFERROR(IF('PyG 3 Años'!$B$9="","",SUM(B5:M5)),"")</f>
        <v>1.0</v>
      </c>
      <c r="O5" s="29" t="inlineStr">
        <is>
          <t>Mes 1 = ENERO, en el orden del calendario: diciembre es el pico (bandejas de Nochebuena y Nochevieja), febrero sube con San Valentín y agosto es el mes más flojo (cierre de 10 días y ciudad vacía). En la costa, agosto sube. Si abres en otro mes, gira la fila. Tiene que sumar 100 %</t>
        </is>
      </c>
    </row>
    <row r="6">
      <c r="A6" s="29" t="inlineStr">
        <is>
          <t>Rampa de arranque (% de la actividad de crucero)</t>
        </is>
      </c>
      <c r="B6" s="68">
        <f>IFERROR(IF('PyG 3 Años'!$B$9="","",MIN(1,'0. Supuestos'!$B$52+(1-'0. Supuestos'!$B$52)*0/MAX(1,'0. Supuestos'!$B$53-1))),"")</f>
        <v>0.75</v>
      </c>
      <c r="C6" s="68">
        <f>IFERROR(IF('PyG 3 Años'!$B$9="","",MIN(1,'0. Supuestos'!$B$52+(1-'0. Supuestos'!$B$52)*1/MAX(1,'0. Supuestos'!$B$53-1))),"")</f>
        <v>0.8333333333333334</v>
      </c>
      <c r="D6" s="68">
        <f>IFERROR(IF('PyG 3 Años'!$B$9="","",MIN(1,'0. Supuestos'!$B$52+(1-'0. Supuestos'!$B$52)*2/MAX(1,'0. Supuestos'!$B$53-1))),"")</f>
        <v>0.9166666666666666</v>
      </c>
      <c r="E6" s="68">
        <f>IFERROR(IF('PyG 3 Años'!$B$9="","",MIN(1,'0. Supuestos'!$B$52+(1-'0. Supuestos'!$B$52)*3/MAX(1,'0. Supuestos'!$B$53-1))),"")</f>
        <v>1.0</v>
      </c>
      <c r="F6" s="68">
        <f>IFERROR(IF('PyG 3 Años'!$B$9="","",MIN(1,'0. Supuestos'!$B$52+(1-'0. Supuestos'!$B$52)*4/MAX(1,'0. Supuestos'!$B$53-1))),"")</f>
        <v>1.0</v>
      </c>
      <c r="G6" s="68">
        <f>IFERROR(IF('PyG 3 Años'!$B$9="","",MIN(1,'0. Supuestos'!$B$52+(1-'0. Supuestos'!$B$52)*5/MAX(1,'0. Supuestos'!$B$53-1))),"")</f>
        <v>1.0</v>
      </c>
      <c r="H6" s="68">
        <f>IFERROR(IF('PyG 3 Años'!$B$9="","",MIN(1,'0. Supuestos'!$B$52+(1-'0. Supuestos'!$B$52)*6/MAX(1,'0. Supuestos'!$B$53-1))),"")</f>
        <v>1.0</v>
      </c>
      <c r="I6" s="68">
        <f>IFERROR(IF('PyG 3 Años'!$B$9="","",MIN(1,'0. Supuestos'!$B$52+(1-'0. Supuestos'!$B$52)*7/MAX(1,'0. Supuestos'!$B$53-1))),"")</f>
        <v>1.0</v>
      </c>
      <c r="J6" s="68">
        <f>IFERROR(IF('PyG 3 Años'!$B$9="","",MIN(1,'0. Supuestos'!$B$52+(1-'0. Supuestos'!$B$52)*8/MAX(1,'0. Supuestos'!$B$53-1))),"")</f>
        <v>1.0</v>
      </c>
      <c r="K6" s="68">
        <f>IFERROR(IF('PyG 3 Años'!$B$9="","",MIN(1,'0. Supuestos'!$B$52+(1-'0. Supuestos'!$B$52)*9/MAX(1,'0. Supuestos'!$B$53-1))),"")</f>
        <v>1.0</v>
      </c>
      <c r="L6" s="68">
        <f>IFERROR(IF('PyG 3 Años'!$B$9="","",MIN(1,'0. Supuestos'!$B$52+(1-'0. Supuestos'!$B$52)*10/MAX(1,'0. Supuestos'!$B$53-1))),"")</f>
        <v>1.0</v>
      </c>
      <c r="M6" s="68">
        <f>IFERROR(IF('PyG 3 Años'!$B$9="","",MIN(1,'0. Supuestos'!$B$52+(1-'0. Supuestos'!$B$52)*11/MAX(1,'0. Supuestos'!$B$53-1))),"")</f>
        <v>1.0</v>
      </c>
      <c r="N6" s="29" t="n"/>
      <c r="O6" s="29" t="inlineStr">
        <is>
          <t>Sube en línea recta desde el porcentaje del mes 1 hasta el 100 % en los meses que digas en Supuestos. Con el mes 1 al 100 % la rampa desaparece</t>
        </is>
      </c>
    </row>
    <row r="7">
      <c r="A7" s="29" t="inlineStr">
        <is>
          <t>Reparto de la actividad por mes (calculado)</t>
        </is>
      </c>
      <c r="B7" s="68">
        <f>IFERROR(IF('PyG 3 Años'!$B$9="","",B5*B6/SUMPRODUCT($B$5:$M$5,$B$6:$M$6)),"")</f>
        <v>0.06419624217119</v>
      </c>
      <c r="C7" s="68">
        <f>IFERROR(IF('PyG 3 Años'!$B$9="","",C5*C6/SUMPRODUCT($B$5:$M$5,$B$6:$M$6)),"")</f>
        <v>0.07480862908837858</v>
      </c>
      <c r="D7" s="68">
        <f>IFERROR(IF('PyG 3 Años'!$B$9="","",D5*D6/SUMPRODUCT($B$5:$M$5,$B$6:$M$6)),"")</f>
        <v>0.08228949199721643</v>
      </c>
      <c r="E7" s="68">
        <f>IFERROR(IF('PyG 3 Años'!$B$9="","",E5*E6/SUMPRODUCT($B$5:$M$5,$B$6:$M$6)),"")</f>
        <v>0.08768267223382048</v>
      </c>
      <c r="F7" s="68">
        <f>IFERROR(IF('PyG 3 Años'!$B$9="","",F5*F6/SUMPRODUCT($B$5:$M$5,$B$6:$M$6)),"")</f>
        <v>0.08977035490605428</v>
      </c>
      <c r="G7" s="68">
        <f>IFERROR(IF('PyG 3 Años'!$B$9="","",G5*G6/SUMPRODUCT($B$5:$M$5,$B$6:$M$6)),"")</f>
        <v>0.08768267223382048</v>
      </c>
      <c r="H7" s="68">
        <f>IFERROR(IF('PyG 3 Años'!$B$9="","",H5*H6/SUMPRODUCT($B$5:$M$5,$B$6:$M$6)),"")</f>
        <v>0.08350730688935283</v>
      </c>
      <c r="I7" s="68">
        <f>IFERROR(IF('PyG 3 Años'!$B$9="","",I5*I6/SUMPRODUCT($B$5:$M$5,$B$6:$M$6)),"")</f>
        <v>0.0688935281837161</v>
      </c>
      <c r="J7" s="68">
        <f>IFERROR(IF('PyG 3 Años'!$B$9="","",J5*J6/SUMPRODUCT($B$5:$M$5,$B$6:$M$6)),"")</f>
        <v>0.08559498956158666</v>
      </c>
      <c r="K7" s="68">
        <f>IFERROR(IF('PyG 3 Años'!$B$9="","",K5*K6/SUMPRODUCT($B$5:$M$5,$B$6:$M$6)),"")</f>
        <v>0.08977035490605428</v>
      </c>
      <c r="L7" s="68">
        <f>IFERROR(IF('PyG 3 Años'!$B$9="","",L5*L6/SUMPRODUCT($B$5:$M$5,$B$6:$M$6)),"")</f>
        <v>0.08977035490605428</v>
      </c>
      <c r="M7" s="68">
        <f>IFERROR(IF('PyG 3 Años'!$B$9="","",M5*M6/SUMPRODUCT($B$5:$M$5,$B$6:$M$6)),"")</f>
        <v>0.09603340292275575</v>
      </c>
      <c r="N7" s="68">
        <f>IFERROR(IF('PyG 3 Años'!$B$9="","",SUM(B7:M7)),"")</f>
        <v>1.0</v>
      </c>
      <c r="O7" s="29" t="inlineStr">
        <is>
          <t>Estacionalidad × rampa, normalizado a 100 %: el AÑO factura lo que dice el P&amp;L, pero repartido como lo reparte un local que acaba de abrir</t>
        </is>
      </c>
    </row>
    <row r="8">
      <c r="A8" s="26" t="inlineStr">
        <is>
          <t>COBROS</t>
        </is>
      </c>
      <c r="B8" s="29" t="n"/>
      <c r="C8" s="29" t="n"/>
      <c r="D8" s="29" t="n"/>
      <c r="E8" s="29" t="n"/>
      <c r="F8" s="29" t="n"/>
      <c r="G8" s="29" t="n"/>
      <c r="H8" s="29" t="n"/>
      <c r="I8" s="29" t="n"/>
      <c r="J8" s="29" t="n"/>
      <c r="K8" s="29" t="n"/>
      <c r="L8" s="29" t="n"/>
      <c r="M8" s="29" t="n"/>
      <c r="N8" s="29" t="n"/>
      <c r="O8" s="29" t="n"/>
    </row>
    <row r="9">
      <c r="A9" s="29" t="inlineStr">
        <is>
          <t>Ventas cobradas (con IVA repercutido)</t>
        </is>
      </c>
      <c r="B9" s="33">
        <f>IFERROR(IF('PyG 3 Años'!$B$9="","",('PyG 3 Años'!$B$9+'PyG 3 Años'!$B$9*SUMPRODUCT('PyG 3 Años'!$E$10:$E$11,'PyG 3 Años'!$G$10:$G$11))*B7*(1-MIN(30,'0. Supuestos'!$B$58)/30)),"")</f>
        <v>31273.26177244259</v>
      </c>
      <c r="C9" s="33">
        <f>IFERROR(IF('PyG 3 Años'!$B$9="","",('PyG 3 Años'!$B$9+'PyG 3 Años'!$B$9*SUMPRODUCT('PyG 3 Años'!$E$10:$E$11,'PyG 3 Años'!$G$10:$G$11))*(C7*(1-MIN(30,'0. Supuestos'!$B$58)/30)+B7*MIN(30,'0. Supuestos'!$B$58)/30)),"")</f>
        <v>38676.90078670843</v>
      </c>
      <c r="D9" s="33">
        <f>IFERROR(IF('PyG 3 Años'!$B$9="","",('PyG 3 Años'!$B$9+'PyG 3 Años'!$B$9*SUMPRODUCT('PyG 3 Años'!$E$10:$E$11,'PyG 3 Años'!$G$10:$G$11))*(D7*(1-MIN(30,'0. Supuestos'!$B$58)/30)+C7*MIN(30,'0. Supuestos'!$B$58)/30)),"")</f>
        <v>42690.48432428671</v>
      </c>
      <c r="E9" s="33">
        <f>IFERROR(IF('PyG 3 Años'!$B$9="","",('PyG 3 Años'!$B$9+'PyG 3 Años'!$B$9*SUMPRODUCT('PyG 3 Años'!$E$10:$E$11,'PyG 3 Años'!$G$10:$G$11))*(E7*(1-MIN(30,'0. Supuestos'!$B$58)/30)+D7*MIN(30,'0. Supuestos'!$B$58)/30)),"")</f>
        <v>45578.08514996522</v>
      </c>
      <c r="F9" s="33">
        <f>IFERROR(IF('PyG 3 Años'!$B$9="","",('PyG 3 Años'!$B$9+'PyG 3 Años'!$B$9*SUMPRODUCT('PyG 3 Años'!$E$10:$E$11,'PyG 3 Años'!$G$10:$G$11))*(F7*(1-MIN(30,'0. Supuestos'!$B$58)/30)+E7*MIN(30,'0. Supuestos'!$B$58)/30)),"")</f>
        <v>46782.7655782881</v>
      </c>
      <c r="G9" s="33">
        <f>IFERROR(IF('PyG 3 Años'!$B$9="","",('PyG 3 Años'!$B$9+'PyG 3 Años'!$B$9*SUMPRODUCT('PyG 3 Años'!$E$10:$E$11,'PyG 3 Años'!$G$10:$G$11))*(G7*(1-MIN(30,'0. Supuestos'!$B$58)/30)+F7*MIN(30,'0. Supuestos'!$B$58)/30)),"")</f>
        <v>45838.39298121087</v>
      </c>
      <c r="H9" s="33">
        <f>IFERROR(IF('PyG 3 Años'!$B$9="","",('PyG 3 Años'!$B$9+'PyG 3 Años'!$B$9*SUMPRODUCT('PyG 3 Años'!$E$10:$E$11,'PyG 3 Años'!$G$10:$G$11))*(H7*(1-MIN(30,'0. Supuestos'!$B$58)/30)+G7*MIN(30,'0. Supuestos'!$B$58)/30)),"")</f>
        <v>43731.71564926931</v>
      </c>
      <c r="I9" s="33">
        <f>IFERROR(IF('PyG 3 Años'!$B$9="","",('PyG 3 Años'!$B$9+'PyG 3 Años'!$B$9*SUMPRODUCT('PyG 3 Años'!$E$10:$E$11,'PyG 3 Años'!$G$10:$G$11))*(I7*(1-MIN(30,'0. Supuestos'!$B$58)/30)+H7*MIN(30,'0. Supuestos'!$B$58)/30)),"")</f>
        <v>36467.31105636744</v>
      </c>
      <c r="J9" s="33">
        <f>IFERROR(IF('PyG 3 Años'!$B$9="","",('PyG 3 Años'!$B$9+'PyG 3 Años'!$B$9*SUMPRODUCT('PyG 3 Años'!$E$10:$E$11,'PyG 3 Años'!$G$10:$G$11))*(J7*(1-MIN(30,'0. Supuestos'!$B$58)/30)+I7*MIN(30,'0. Supuestos'!$B$58)/30)),"")</f>
        <v>44094.93587891442</v>
      </c>
      <c r="K9" s="33">
        <f>IFERROR(IF('PyG 3 Años'!$B$9="","",('PyG 3 Años'!$B$9+'PyG 3 Años'!$B$9*SUMPRODUCT('PyG 3 Años'!$E$10:$E$11,'PyG 3 Años'!$G$10:$G$11))*(K7*(1-MIN(30,'0. Supuestos'!$B$58)/30)+J7*MIN(30,'0. Supuestos'!$B$58)/30)),"")</f>
        <v>46710.12153235908</v>
      </c>
      <c r="L9" s="33">
        <f>IFERROR(IF('PyG 3 Años'!$B$9="","",('PyG 3 Años'!$B$9+'PyG 3 Años'!$B$9*SUMPRODUCT('PyG 3 Años'!$E$10:$E$11,'PyG 3 Años'!$G$10:$G$11))*(L7*(1-MIN(30,'0. Supuestos'!$B$58)/30)+K7*MIN(30,'0. Supuestos'!$B$58)/30)),"")</f>
        <v>46855.40962421712</v>
      </c>
      <c r="M9" s="33">
        <f>IFERROR(IF('PyG 3 Años'!$B$9="","",('PyG 3 Años'!$B$9+'PyG 3 Años'!$B$9*SUMPRODUCT('PyG 3 Años'!$E$10:$E$11,'PyG 3 Años'!$G$10:$G$11))*(M7*(1-MIN(30,'0. Supuestos'!$B$58)/30)+L7*MIN(30,'0. Supuestos'!$B$58)/30)),"")</f>
        <v>49906.45955323591</v>
      </c>
      <c r="N9" s="33">
        <f>IFERROR(IF('PyG 3 Años'!$B$9="","",SUM(B9:M9)),"")</f>
        <v>518605.8438872652</v>
      </c>
      <c r="O9" s="29" t="inlineStr">
        <is>
          <t>Ventas del mes con el IVA repercutido, corregidas por los días medios de cobro de la hoja de Supuestos</t>
        </is>
      </c>
    </row>
    <row r="10">
      <c r="A10" s="26" t="inlineStr">
        <is>
          <t>PAGOS</t>
        </is>
      </c>
      <c r="B10" s="29" t="n"/>
      <c r="C10" s="29" t="n"/>
      <c r="D10" s="29" t="n"/>
      <c r="E10" s="29" t="n"/>
      <c r="F10" s="29" t="n"/>
      <c r="G10" s="29" t="n"/>
      <c r="H10" s="29" t="n"/>
      <c r="I10" s="29" t="n"/>
      <c r="J10" s="29" t="n"/>
      <c r="K10" s="29" t="n"/>
      <c r="L10" s="29" t="n"/>
      <c r="M10" s="29" t="n"/>
      <c r="N10" s="29" t="n"/>
      <c r="O10" s="29" t="n"/>
    </row>
    <row r="11">
      <c r="A11" s="29" t="inlineStr">
        <is>
          <t>Compras y costes variables (IVA incluido)</t>
        </is>
      </c>
      <c r="B11" s="33">
        <f>IFERROR(IF('PyG 3 Años'!$B$9="","",-('PyG 3 Años'!$B$13*(1+'PyG 3 Años'!$G$13)+'PyG 3 Años'!$B$14*(1+'PyG 3 Años'!$G$14)+'PyG 3 Años'!$B$15*(1+'PyG 3 Años'!$G$15)+'PyG 3 Años'!$B$16*(1+'PyG 3 Años'!$G$16)+'PyG 3 Años'!$B$17*(1+'PyG 3 Años'!$G$17)+'PyG 3 Años'!$B$18*(1+'PyG 3 Años'!$G$18))*B7*(1-MIN(30,'0. Supuestos'!$B$59)/30)),"")</f>
        <v>-0.0</v>
      </c>
      <c r="C11" s="33">
        <f>IFERROR(IF('PyG 3 Años'!$B$9="","",-('PyG 3 Años'!$B$13*(1+'PyG 3 Años'!$G$13)+'PyG 3 Años'!$B$14*(1+'PyG 3 Años'!$G$14)+'PyG 3 Años'!$B$15*(1+'PyG 3 Años'!$G$15)+'PyG 3 Años'!$B$16*(1+'PyG 3 Años'!$G$16)+'PyG 3 Años'!$B$17*(1+'PyG 3 Años'!$G$17)+'PyG 3 Años'!$B$18*(1+'PyG 3 Años'!$G$18))*(C7*(1-MIN(30,'0. Supuestos'!$B$59)/30)+B7*MIN(30,'0. Supuestos'!$B$59)/30)),"")</f>
        <v>-14399.939776096038</v>
      </c>
      <c r="D11" s="33">
        <f>IFERROR(IF('PyG 3 Años'!$B$9="","",-('PyG 3 Años'!$B$13*(1+'PyG 3 Años'!$G$13)+'PyG 3 Años'!$B$14*(1+'PyG 3 Años'!$G$14)+'PyG 3 Años'!$B$15*(1+'PyG 3 Años'!$G$15)+'PyG 3 Años'!$B$16*(1+'PyG 3 Años'!$G$16)+'PyG 3 Años'!$B$17*(1+'PyG 3 Años'!$G$17)+'PyG 3 Años'!$B$18*(1+'PyG 3 Años'!$G$18))*(D7*(1-MIN(30,'0. Supuestos'!$B$59)/30)+C7*MIN(30,'0. Supuestos'!$B$59)/30)),"")</f>
        <v>-16780.417625260965</v>
      </c>
      <c r="E11" s="33">
        <f>IFERROR(IF('PyG 3 Años'!$B$9="","",-('PyG 3 Años'!$B$13*(1+'PyG 3 Años'!$G$13)+'PyG 3 Años'!$B$14*(1+'PyG 3 Años'!$G$14)+'PyG 3 Años'!$B$15*(1+'PyG 3 Años'!$G$15)+'PyG 3 Años'!$B$16*(1+'PyG 3 Años'!$G$16)+'PyG 3 Años'!$B$17*(1+'PyG 3 Años'!$G$17)+'PyG 3 Años'!$B$18*(1+'PyG 3 Años'!$G$18))*(E7*(1-MIN(30,'0. Supuestos'!$B$59)/30)+D7*MIN(30,'0. Supuestos'!$B$59)/30)),"")</f>
        <v>-18458.459387787057</v>
      </c>
      <c r="F11" s="33">
        <f>IFERROR(IF('PyG 3 Años'!$B$9="","",-('PyG 3 Años'!$B$13*(1+'PyG 3 Años'!$G$13)+'PyG 3 Años'!$B$14*(1+'PyG 3 Años'!$G$14)+'PyG 3 Años'!$B$15*(1+'PyG 3 Años'!$G$15)+'PyG 3 Años'!$B$16*(1+'PyG 3 Años'!$G$16)+'PyG 3 Años'!$B$17*(1+'PyG 3 Años'!$G$17)+'PyG 3 Años'!$B$18*(1+'PyG 3 Años'!$G$18))*(F7*(1-MIN(30,'0. Supuestos'!$B$59)/30)+E7*MIN(30,'0. Supuestos'!$B$59)/30)),"")</f>
        <v>-19668.21042588727</v>
      </c>
      <c r="G11" s="33">
        <f>IFERROR(IF('PyG 3 Años'!$B$9="","",-('PyG 3 Años'!$B$13*(1+'PyG 3 Años'!$G$13)+'PyG 3 Años'!$B$14*(1+'PyG 3 Años'!$G$14)+'PyG 3 Años'!$B$15*(1+'PyG 3 Años'!$G$15)+'PyG 3 Años'!$B$16*(1+'PyG 3 Años'!$G$16)+'PyG 3 Años'!$B$17*(1+'PyG 3 Años'!$G$17)+'PyG 3 Años'!$B$18*(1+'PyG 3 Años'!$G$18))*(G7*(1-MIN(30,'0. Supuestos'!$B$59)/30)+F7*MIN(30,'0. Supuestos'!$B$59)/30)),"")</f>
        <v>-20136.501150313154</v>
      </c>
      <c r="H11" s="33">
        <f>IFERROR(IF('PyG 3 Años'!$B$9="","",-('PyG 3 Años'!$B$13*(1+'PyG 3 Años'!$G$13)+'PyG 3 Años'!$B$14*(1+'PyG 3 Años'!$G$14)+'PyG 3 Años'!$B$15*(1+'PyG 3 Años'!$G$15)+'PyG 3 Años'!$B$16*(1+'PyG 3 Años'!$G$16)+'PyG 3 Años'!$B$17*(1+'PyG 3 Años'!$G$17)+'PyG 3 Años'!$B$18*(1+'PyG 3 Años'!$G$18))*(H7*(1-MIN(30,'0. Supuestos'!$B$59)/30)+G7*MIN(30,'0. Supuestos'!$B$59)/30)),"")</f>
        <v>-19668.21042588727</v>
      </c>
      <c r="I11" s="33">
        <f>IFERROR(IF('PyG 3 Años'!$B$9="","",-('PyG 3 Años'!$B$13*(1+'PyG 3 Años'!$G$13)+'PyG 3 Años'!$B$14*(1+'PyG 3 Años'!$G$14)+'PyG 3 Años'!$B$15*(1+'PyG 3 Años'!$G$15)+'PyG 3 Años'!$B$16*(1+'PyG 3 Años'!$G$16)+'PyG 3 Años'!$B$17*(1+'PyG 3 Años'!$G$17)+'PyG 3 Años'!$B$18*(1+'PyG 3 Años'!$G$18))*(I7*(1-MIN(30,'0. Supuestos'!$B$59)/30)+H7*MIN(30,'0. Supuestos'!$B$59)/30)),"")</f>
        <v>-18731.628977035496</v>
      </c>
      <c r="J11" s="33">
        <f>IFERROR(IF('PyG 3 Años'!$B$9="","",-('PyG 3 Años'!$B$13*(1+'PyG 3 Años'!$G$13)+'PyG 3 Años'!$B$14*(1+'PyG 3 Años'!$G$14)+'PyG 3 Años'!$B$15*(1+'PyG 3 Años'!$G$15)+'PyG 3 Años'!$B$16*(1+'PyG 3 Años'!$G$16)+'PyG 3 Años'!$B$17*(1+'PyG 3 Años'!$G$17)+'PyG 3 Años'!$B$18*(1+'PyG 3 Años'!$G$18))*(J7*(1-MIN(30,'0. Supuestos'!$B$59)/30)+I7*MIN(30,'0. Supuestos'!$B$59)/30)),"")</f>
        <v>-15453.593906054284</v>
      </c>
      <c r="K11" s="33">
        <f>IFERROR(IF('PyG 3 Años'!$B$9="","",-('PyG 3 Años'!$B$13*(1+'PyG 3 Años'!$G$13)+'PyG 3 Años'!$B$14*(1+'PyG 3 Años'!$G$14)+'PyG 3 Años'!$B$15*(1+'PyG 3 Años'!$G$15)+'PyG 3 Años'!$B$16*(1+'PyG 3 Años'!$G$16)+'PyG 3 Años'!$B$17*(1+'PyG 3 Años'!$G$17)+'PyG 3 Años'!$B$18*(1+'PyG 3 Años'!$G$18))*(K7*(1-MIN(30,'0. Supuestos'!$B$59)/30)+J7*MIN(30,'0. Supuestos'!$B$59)/30)),"")</f>
        <v>-19199.919701461386</v>
      </c>
      <c r="L11" s="33">
        <f>IFERROR(IF('PyG 3 Años'!$B$9="","",-('PyG 3 Años'!$B$13*(1+'PyG 3 Años'!$G$13)+'PyG 3 Años'!$B$14*(1+'PyG 3 Años'!$G$14)+'PyG 3 Años'!$B$15*(1+'PyG 3 Años'!$G$15)+'PyG 3 Años'!$B$16*(1+'PyG 3 Años'!$G$16)+'PyG 3 Años'!$B$17*(1+'PyG 3 Años'!$G$17)+'PyG 3 Años'!$B$18*(1+'PyG 3 Años'!$G$18))*(L7*(1-MIN(30,'0. Supuestos'!$B$59)/30)+K7*MIN(30,'0. Supuestos'!$B$59)/30)),"")</f>
        <v>-20136.501150313154</v>
      </c>
      <c r="M11" s="33">
        <f>IFERROR(IF('PyG 3 Años'!$B$9="","",-('PyG 3 Años'!$B$13*(1+'PyG 3 Años'!$G$13)+'PyG 3 Años'!$B$14*(1+'PyG 3 Años'!$G$14)+'PyG 3 Años'!$B$15*(1+'PyG 3 Años'!$G$15)+'PyG 3 Años'!$B$16*(1+'PyG 3 Años'!$G$16)+'PyG 3 Años'!$B$17*(1+'PyG 3 Años'!$G$17)+'PyG 3 Años'!$B$18*(1+'PyG 3 Años'!$G$18))*(M7*(1-MIN(30,'0. Supuestos'!$B$59)/30)+L7*MIN(30,'0. Supuestos'!$B$59)/30)),"")</f>
        <v>-20136.501150313154</v>
      </c>
      <c r="N11" s="33">
        <f>IFERROR(IF('PyG 3 Años'!$B$9="","",SUM(B11:M11)),"")</f>
        <v>-202769.88367640923</v>
      </c>
      <c r="O11" s="29"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9" t="inlineStr">
        <is>
          <t>Costes fijos de explotación (IVA incluido)</t>
        </is>
      </c>
      <c r="B12" s="33">
        <f>IFERROR(IF('PyG 3 Años'!$B$9="","",-('PyG 3 Años'!$B$37-'PyG 3 Años'!$B$23-'PyG 3 Años'!$B$35-'PyG 3 Años'!$B$36+'PyG 3 Años'!$B$39)/12),"")</f>
        <v>-4813.541666666667</v>
      </c>
      <c r="C12" s="33">
        <f>IFERROR(IF('PyG 3 Años'!$B$9="","",-('PyG 3 Años'!$B$37-'PyG 3 Años'!$B$23-'PyG 3 Años'!$B$35-'PyG 3 Años'!$B$36+'PyG 3 Años'!$B$39)/12),"")</f>
        <v>-4813.541666666667</v>
      </c>
      <c r="D12" s="33">
        <f>IFERROR(IF('PyG 3 Años'!$B$9="","",-('PyG 3 Años'!$B$37-'PyG 3 Años'!$B$23-'PyG 3 Años'!$B$35-'PyG 3 Años'!$B$36+'PyG 3 Años'!$B$39)/12),"")</f>
        <v>-4813.541666666667</v>
      </c>
      <c r="E12" s="33">
        <f>IFERROR(IF('PyG 3 Años'!$B$9="","",-('PyG 3 Años'!$B$37-'PyG 3 Años'!$B$23-'PyG 3 Años'!$B$35-'PyG 3 Años'!$B$36+'PyG 3 Años'!$B$39)/12),"")</f>
        <v>-4813.541666666667</v>
      </c>
      <c r="F12" s="33">
        <f>IFERROR(IF('PyG 3 Años'!$B$9="","",-('PyG 3 Años'!$B$37-'PyG 3 Años'!$B$23-'PyG 3 Años'!$B$35-'PyG 3 Años'!$B$36+'PyG 3 Años'!$B$39)/12),"")</f>
        <v>-4813.541666666667</v>
      </c>
      <c r="G12" s="33">
        <f>IFERROR(IF('PyG 3 Años'!$B$9="","",-('PyG 3 Años'!$B$37-'PyG 3 Años'!$B$23-'PyG 3 Años'!$B$35-'PyG 3 Años'!$B$36+'PyG 3 Años'!$B$39)/12),"")</f>
        <v>-4813.541666666667</v>
      </c>
      <c r="H12" s="33">
        <f>IFERROR(IF('PyG 3 Años'!$B$9="","",-('PyG 3 Años'!$B$37-'PyG 3 Años'!$B$23-'PyG 3 Años'!$B$35-'PyG 3 Años'!$B$36+'PyG 3 Años'!$B$39)/12),"")</f>
        <v>-4813.541666666667</v>
      </c>
      <c r="I12" s="33">
        <f>IFERROR(IF('PyG 3 Años'!$B$9="","",-('PyG 3 Años'!$B$37-'PyG 3 Años'!$B$23-'PyG 3 Años'!$B$35-'PyG 3 Años'!$B$36+'PyG 3 Años'!$B$39)/12),"")</f>
        <v>-4813.541666666667</v>
      </c>
      <c r="J12" s="33">
        <f>IFERROR(IF('PyG 3 Años'!$B$9="","",-('PyG 3 Años'!$B$37-'PyG 3 Años'!$B$23-'PyG 3 Años'!$B$35-'PyG 3 Años'!$B$36+'PyG 3 Años'!$B$39)/12),"")</f>
        <v>-4813.541666666667</v>
      </c>
      <c r="K12" s="33">
        <f>IFERROR(IF('PyG 3 Años'!$B$9="","",-('PyG 3 Años'!$B$37-'PyG 3 Años'!$B$23-'PyG 3 Años'!$B$35-'PyG 3 Años'!$B$36+'PyG 3 Años'!$B$39)/12),"")</f>
        <v>-4813.541666666667</v>
      </c>
      <c r="L12" s="33">
        <f>IFERROR(IF('PyG 3 Años'!$B$9="","",-('PyG 3 Años'!$B$37-'PyG 3 Años'!$B$23-'PyG 3 Años'!$B$35-'PyG 3 Años'!$B$36+'PyG 3 Años'!$B$39)/12),"")</f>
        <v>-4813.541666666667</v>
      </c>
      <c r="M12" s="33">
        <f>IFERROR(IF('PyG 3 Años'!$B$9="","",-('PyG 3 Años'!$B$37-'PyG 3 Años'!$B$23-'PyG 3 Años'!$B$35-'PyG 3 Años'!$B$36+'PyG 3 Años'!$B$39)/12),"")</f>
        <v>-4813.541666666667</v>
      </c>
      <c r="N12" s="33">
        <f>IFERROR(IF('PyG 3 Años'!$B$9="","",SUM(B12:M12)),"")</f>
        <v>-57762.49999999999</v>
      </c>
      <c r="O12" s="29" t="inlineStr">
        <is>
          <t>Los fijos que salen de caja, cada uno con su tipo de IVA: los seguros están exentos y no llevan</t>
        </is>
      </c>
    </row>
    <row r="13">
      <c r="A13" s="29" t="inlineStr">
        <is>
          <t>Nóminas y Seguridad Social</t>
        </is>
      </c>
      <c r="B13" s="33">
        <f>IFERROR(IF('PyG 3 Años'!$B$9="","",-'PyG 3 Años'!$B$23/MAX(12,'0. Supuestos'!$B$21)*(1+IF(1='0. Supuestos'!$B$60,(MAX(12,'0. Supuestos'!$B$21)-12)/2,0)+IF(1='0. Supuestos'!$B$61,(MAX(12,'0. Supuestos'!$B$21)-12)/2,0))),"")</f>
        <v>-11408.74</v>
      </c>
      <c r="C13" s="33">
        <f>IFERROR(IF('PyG 3 Años'!$B$9="","",-'PyG 3 Años'!$B$23/MAX(12,'0. Supuestos'!$B$21)*(1+IF(2='0. Supuestos'!$B$60,(MAX(12,'0. Supuestos'!$B$21)-12)/2,0)+IF(2='0. Supuestos'!$B$61,(MAX(12,'0. Supuestos'!$B$21)-12)/2,0))),"")</f>
        <v>-11408.74</v>
      </c>
      <c r="D13" s="33">
        <f>IFERROR(IF('PyG 3 Años'!$B$9="","",-'PyG 3 Años'!$B$23/MAX(12,'0. Supuestos'!$B$21)*(1+IF(3='0. Supuestos'!$B$60,(MAX(12,'0. Supuestos'!$B$21)-12)/2,0)+IF(3='0. Supuestos'!$B$61,(MAX(12,'0. Supuestos'!$B$21)-12)/2,0))),"")</f>
        <v>-11408.74</v>
      </c>
      <c r="E13" s="33">
        <f>IFERROR(IF('PyG 3 Años'!$B$9="","",-'PyG 3 Años'!$B$23/MAX(12,'0. Supuestos'!$B$21)*(1+IF(4='0. Supuestos'!$B$60,(MAX(12,'0. Supuestos'!$B$21)-12)/2,0)+IF(4='0. Supuestos'!$B$61,(MAX(12,'0. Supuestos'!$B$21)-12)/2,0))),"")</f>
        <v>-11408.74</v>
      </c>
      <c r="F13" s="33">
        <f>IFERROR(IF('PyG 3 Años'!$B$9="","",-'PyG 3 Años'!$B$23/MAX(12,'0. Supuestos'!$B$21)*(1+IF(5='0. Supuestos'!$B$60,(MAX(12,'0. Supuestos'!$B$21)-12)/2,0)+IF(5='0. Supuestos'!$B$61,(MAX(12,'0. Supuestos'!$B$21)-12)/2,0))),"")</f>
        <v>-11408.74</v>
      </c>
      <c r="G13" s="33">
        <f>IFERROR(IF('PyG 3 Años'!$B$9="","",-'PyG 3 Años'!$B$23/MAX(12,'0. Supuestos'!$B$21)*(1+IF(6='0. Supuestos'!$B$60,(MAX(12,'0. Supuestos'!$B$21)-12)/2,0)+IF(6='0. Supuestos'!$B$61,(MAX(12,'0. Supuestos'!$B$21)-12)/2,0))),"")</f>
        <v>-11408.74</v>
      </c>
      <c r="H13" s="33">
        <f>IFERROR(IF('PyG 3 Años'!$B$9="","",-'PyG 3 Años'!$B$23/MAX(12,'0. Supuestos'!$B$21)*(1+IF(7='0. Supuestos'!$B$60,(MAX(12,'0. Supuestos'!$B$21)-12)/2,0)+IF(7='0. Supuestos'!$B$61,(MAX(12,'0. Supuestos'!$B$21)-12)/2,0))),"")</f>
        <v>-22817.48</v>
      </c>
      <c r="I13" s="33">
        <f>IFERROR(IF('PyG 3 Años'!$B$9="","",-'PyG 3 Años'!$B$23/MAX(12,'0. Supuestos'!$B$21)*(1+IF(8='0. Supuestos'!$B$60,(MAX(12,'0. Supuestos'!$B$21)-12)/2,0)+IF(8='0. Supuestos'!$B$61,(MAX(12,'0. Supuestos'!$B$21)-12)/2,0))),"")</f>
        <v>-11408.74</v>
      </c>
      <c r="J13" s="33">
        <f>IFERROR(IF('PyG 3 Años'!$B$9="","",-'PyG 3 Años'!$B$23/MAX(12,'0. Supuestos'!$B$21)*(1+IF(9='0. Supuestos'!$B$60,(MAX(12,'0. Supuestos'!$B$21)-12)/2,0)+IF(9='0. Supuestos'!$B$61,(MAX(12,'0. Supuestos'!$B$21)-12)/2,0))),"")</f>
        <v>-11408.74</v>
      </c>
      <c r="K13" s="33">
        <f>IFERROR(IF('PyG 3 Años'!$B$9="","",-'PyG 3 Años'!$B$23/MAX(12,'0. Supuestos'!$B$21)*(1+IF(10='0. Supuestos'!$B$60,(MAX(12,'0. Supuestos'!$B$21)-12)/2,0)+IF(10='0. Supuestos'!$B$61,(MAX(12,'0. Supuestos'!$B$21)-12)/2,0))),"")</f>
        <v>-11408.74</v>
      </c>
      <c r="L13" s="33">
        <f>IFERROR(IF('PyG 3 Años'!$B$9="","",-'PyG 3 Años'!$B$23/MAX(12,'0. Supuestos'!$B$21)*(1+IF(11='0. Supuestos'!$B$60,(MAX(12,'0. Supuestos'!$B$21)-12)/2,0)+IF(11='0. Supuestos'!$B$61,(MAX(12,'0. Supuestos'!$B$21)-12)/2,0))),"")</f>
        <v>-11408.74</v>
      </c>
      <c r="M13" s="33">
        <f>IFERROR(IF('PyG 3 Años'!$B$9="","",-'PyG 3 Años'!$B$23/MAX(12,'0. Supuestos'!$B$21)*(1+IF(12='0. Supuestos'!$B$60,(MAX(12,'0. Supuestos'!$B$21)-12)/2,0)+IF(12='0. Supuestos'!$B$61,(MAX(12,'0. Supuestos'!$B$21)-12)/2,0))),"")</f>
        <v>-22817.48</v>
      </c>
      <c r="N13" s="33">
        <f>IFERROR(IF('PyG 3 Años'!$B$9="","",SUM(B13:M13)),"")</f>
        <v>-159722.36</v>
      </c>
      <c r="O13" s="29" t="inlineStr">
        <is>
          <t>Doce mensualidades más las pagas extra en los meses que digas en Supuestos. La suma del año es la misma que la del P&amp;L</t>
        </is>
      </c>
    </row>
    <row r="14">
      <c r="A14" s="29" t="inlineStr">
        <is>
          <t>Intereses del préstamo</t>
        </is>
      </c>
      <c r="B14" s="33">
        <f>IFERROR(IF('PyG 3 Años'!$B$9="","",-'Financiación'!$B$44/12),"")</f>
        <v>-655.0</v>
      </c>
      <c r="C14" s="33">
        <f>IFERROR(IF('PyG 3 Años'!$B$9="","",-'Financiación'!$B$44/12),"")</f>
        <v>-655.0</v>
      </c>
      <c r="D14" s="33">
        <f>IFERROR(IF('PyG 3 Años'!$B$9="","",-'Financiación'!$B$44/12),"")</f>
        <v>-655.0</v>
      </c>
      <c r="E14" s="33">
        <f>IFERROR(IF('PyG 3 Años'!$B$9="","",-'Financiación'!$B$44/12),"")</f>
        <v>-655.0</v>
      </c>
      <c r="F14" s="33">
        <f>IFERROR(IF('PyG 3 Años'!$B$9="","",-'Financiación'!$B$44/12),"")</f>
        <v>-655.0</v>
      </c>
      <c r="G14" s="33">
        <f>IFERROR(IF('PyG 3 Años'!$B$9="","",-'Financiación'!$B$44/12),"")</f>
        <v>-655.0</v>
      </c>
      <c r="H14" s="33">
        <f>IFERROR(IF('PyG 3 Años'!$B$9="","",-'Financiación'!$B$44/12),"")</f>
        <v>-655.0</v>
      </c>
      <c r="I14" s="33">
        <f>IFERROR(IF('PyG 3 Años'!$B$9="","",-'Financiación'!$B$44/12),"")</f>
        <v>-655.0</v>
      </c>
      <c r="J14" s="33">
        <f>IFERROR(IF('PyG 3 Años'!$B$9="","",-'Financiación'!$B$44/12),"")</f>
        <v>-655.0</v>
      </c>
      <c r="K14" s="33">
        <f>IFERROR(IF('PyG 3 Años'!$B$9="","",-'Financiación'!$B$44/12),"")</f>
        <v>-655.0</v>
      </c>
      <c r="L14" s="33">
        <f>IFERROR(IF('PyG 3 Años'!$B$9="","",-'Financiación'!$B$44/12),"")</f>
        <v>-655.0</v>
      </c>
      <c r="M14" s="33">
        <f>IFERROR(IF('PyG 3 Años'!$B$9="","",-'Financiación'!$B$44/12),"")</f>
        <v>-655.0</v>
      </c>
      <c r="N14" s="33">
        <f>IFERROR(IF('PyG 3 Años'!$B$9="","",SUM(B14:M14)),"")</f>
        <v>-7860.0</v>
      </c>
      <c r="O14" s="29" t="n"/>
    </row>
    <row r="15">
      <c r="A15" s="29" t="inlineStr">
        <is>
          <t>Devolución de principal del préstamo</t>
        </is>
      </c>
      <c r="B15" s="33">
        <f>IFERROR(IF('PyG 3 Años'!$B$9="","",-'Financiación'!$B$45/12),"")</f>
        <v>0.0</v>
      </c>
      <c r="C15" s="33">
        <f>IFERROR(IF('PyG 3 Años'!$B$9="","",-'Financiación'!$B$45/12),"")</f>
        <v>0.0</v>
      </c>
      <c r="D15" s="33">
        <f>IFERROR(IF('PyG 3 Años'!$B$9="","",-'Financiación'!$B$45/12),"")</f>
        <v>0.0</v>
      </c>
      <c r="E15" s="33">
        <f>IFERROR(IF('PyG 3 Años'!$B$9="","",-'Financiación'!$B$45/12),"")</f>
        <v>0.0</v>
      </c>
      <c r="F15" s="33">
        <f>IFERROR(IF('PyG 3 Años'!$B$9="","",-'Financiación'!$B$45/12),"")</f>
        <v>0.0</v>
      </c>
      <c r="G15" s="33">
        <f>IFERROR(IF('PyG 3 Años'!$B$9="","",-'Financiación'!$B$45/12),"")</f>
        <v>0.0</v>
      </c>
      <c r="H15" s="33">
        <f>IFERROR(IF('PyG 3 Años'!$B$9="","",-'Financiación'!$B$45/12),"")</f>
        <v>0.0</v>
      </c>
      <c r="I15" s="33">
        <f>IFERROR(IF('PyG 3 Años'!$B$9="","",-'Financiación'!$B$45/12),"")</f>
        <v>0.0</v>
      </c>
      <c r="J15" s="33">
        <f>IFERROR(IF('PyG 3 Años'!$B$9="","",-'Financiación'!$B$45/12),"")</f>
        <v>0.0</v>
      </c>
      <c r="K15" s="33">
        <f>IFERROR(IF('PyG 3 Años'!$B$9="","",-'Financiación'!$B$45/12),"")</f>
        <v>0.0</v>
      </c>
      <c r="L15" s="33">
        <f>IFERROR(IF('PyG 3 Años'!$B$9="","",-'Financiación'!$B$45/12),"")</f>
        <v>0.0</v>
      </c>
      <c r="M15" s="33">
        <f>IFERROR(IF('PyG 3 Años'!$B$9="","",-'Financiación'!$B$45/12),"")</f>
        <v>0.0</v>
      </c>
      <c r="N15" s="33">
        <f>IFERROR(IF('PyG 3 Años'!$B$9="","",SUM(B15:M15)),"")</f>
        <v>0.0</v>
      </c>
      <c r="O15" s="29" t="n"/>
    </row>
    <row r="16">
      <c r="A16" s="29" t="inlineStr">
        <is>
          <t>IVA repercutido del mes (memoria)</t>
        </is>
      </c>
      <c r="B16" s="33">
        <f>IFERROR(IF('PyG 3 Años'!$B$9="","",'PyG 3 Años'!$B$9*B7*SUMPRODUCT('PyG 3 Años'!$E$10:$E$11,'PyG 3 Años'!$G$10:$G$11)),"")</f>
        <v>3078.0473956158676</v>
      </c>
      <c r="C16" s="33">
        <f>IFERROR(IF('PyG 3 Años'!$B$9="","",'PyG 3 Años'!$B$9*C7*SUMPRODUCT('PyG 3 Años'!$E$10:$E$11,'PyG 3 Años'!$G$10:$G$11)),"")</f>
        <v>3586.88449895616</v>
      </c>
      <c r="D16" s="33">
        <f>IFERROR(IF('PyG 3 Años'!$B$9="","",'PyG 3 Años'!$B$9*D7*SUMPRODUCT('PyG 3 Años'!$E$10:$E$11,'PyG 3 Años'!$G$10:$G$11)),"")</f>
        <v>3945.572948851775</v>
      </c>
      <c r="E16" s="33">
        <f>IFERROR(IF('PyG 3 Años'!$B$9="","",'PyG 3 Años'!$B$9*E7*SUMPRODUCT('PyG 3 Años'!$E$10:$E$11,'PyG 3 Años'!$G$10:$G$11)),"")</f>
        <v>4204.162296450941</v>
      </c>
      <c r="F16" s="33">
        <f>IFERROR(IF('PyG 3 Años'!$B$9="","",'PyG 3 Años'!$B$9*F7*SUMPRODUCT('PyG 3 Años'!$E$10:$E$11,'PyG 3 Años'!$G$10:$G$11)),"")</f>
        <v>4304.2613987473915</v>
      </c>
      <c r="G16" s="33">
        <f>IFERROR(IF('PyG 3 Años'!$B$9="","",'PyG 3 Años'!$B$9*G7*SUMPRODUCT('PyG 3 Años'!$E$10:$E$11,'PyG 3 Años'!$G$10:$G$11)),"")</f>
        <v>4204.162296450941</v>
      </c>
      <c r="H16" s="33">
        <f>IFERROR(IF('PyG 3 Años'!$B$9="","",'PyG 3 Años'!$B$9*H7*SUMPRODUCT('PyG 3 Años'!$E$10:$E$11,'PyG 3 Años'!$G$10:$G$11)),"")</f>
        <v>4003.9640918580385</v>
      </c>
      <c r="I16" s="33">
        <f>IFERROR(IF('PyG 3 Años'!$B$9="","",'PyG 3 Años'!$B$9*I7*SUMPRODUCT('PyG 3 Años'!$E$10:$E$11,'PyG 3 Años'!$G$10:$G$11)),"")</f>
        <v>3303.270375782882</v>
      </c>
      <c r="J16" s="33">
        <f>IFERROR(IF('PyG 3 Años'!$B$9="","",'PyG 3 Años'!$B$9*J7*SUMPRODUCT('PyG 3 Años'!$E$10:$E$11,'PyG 3 Años'!$G$10:$G$11)),"")</f>
        <v>4104.06319415449</v>
      </c>
      <c r="K16" s="33">
        <f>IFERROR(IF('PyG 3 Años'!$B$9="","",'PyG 3 Años'!$B$9*K7*SUMPRODUCT('PyG 3 Años'!$E$10:$E$11,'PyG 3 Años'!$G$10:$G$11)),"")</f>
        <v>4304.2613987473915</v>
      </c>
      <c r="L16" s="33">
        <f>IFERROR(IF('PyG 3 Años'!$B$9="","",'PyG 3 Años'!$B$9*L7*SUMPRODUCT('PyG 3 Años'!$E$10:$E$11,'PyG 3 Años'!$G$10:$G$11)),"")</f>
        <v>4304.2613987473915</v>
      </c>
      <c r="M16" s="33">
        <f>IFERROR(IF('PyG 3 Años'!$B$9="","",'PyG 3 Años'!$B$9*M7*SUMPRODUCT('PyG 3 Años'!$E$10:$E$11,'PyG 3 Años'!$G$10:$G$11)),"")</f>
        <v>4604.558705636744</v>
      </c>
      <c r="N16" s="33">
        <f>IFERROR(IF('PyG 3 Años'!$B$9="","",SUM(B16:M16)),"")</f>
        <v>47947.47000000001</v>
      </c>
      <c r="O16" s="29" t="inlineStr">
        <is>
          <t>Cada línea de venta a SU tipo, leído de la columna de IVA del P&amp;L: en sala, alcohol incluido, el reducido (art. 91.Uno.2.2.º de la Ley 37/1992 del IVA); la parte de la bebida que sale para llevar o a domicilio y declara la columna H de su línea (cerveza, sake, vino y refrescos con azúcares o edulcorantes añadidos), al general (art. 91.Uno.1.1.º a y b); la comida, también la que sale para llevar o a domicilio, al reducido (art. 91.Uno.1.1.º y 2.2.º)</t>
        </is>
      </c>
    </row>
    <row r="17">
      <c r="A17" s="29" t="inlineStr">
        <is>
          <t>IVA soportado del mes (memoria)</t>
        </is>
      </c>
      <c r="B17" s="33">
        <f>IFERROR(IF('PyG 3 Años'!$B$9="","",'PyG 3 Años'!$B$38*B7+'PyG 3 Años'!$B$39/12),"")</f>
        <v>2474.770412839249</v>
      </c>
      <c r="C17" s="33">
        <f>IFERROR(IF('PyG 3 Años'!$B$9="","",'PyG 3 Años'!$B$38*C7+'PyG 3 Años'!$B$39/12),"")</f>
        <v>2750.079681628393</v>
      </c>
      <c r="D17" s="33">
        <f>IFERROR(IF('PyG 3 Años'!$B$9="","",'PyG 3 Años'!$B$38*D7+'PyG 3 Años'!$B$39/12),"")</f>
        <v>2944.150149791232</v>
      </c>
      <c r="E17" s="33">
        <f>IFERROR(IF('PyG 3 Años'!$B$9="","",'PyG 3 Años'!$B$38*E7+'PyG 3 Años'!$B$39/12),"")</f>
        <v>3084.061417536535</v>
      </c>
      <c r="F17" s="33">
        <f>IFERROR(IF('PyG 3 Años'!$B$9="","",'PyG 3 Años'!$B$38*F7+'PyG 3 Años'!$B$39/12),"")</f>
        <v>3138.220617954071</v>
      </c>
      <c r="G17" s="33">
        <f>IFERROR(IF('PyG 3 Años'!$B$9="","",'PyG 3 Años'!$B$38*G7+'PyG 3 Años'!$B$39/12),"")</f>
        <v>3084.061417536535</v>
      </c>
      <c r="H17" s="33">
        <f>IFERROR(IF('PyG 3 Años'!$B$9="","",'PyG 3 Años'!$B$38*H7+'PyG 3 Años'!$B$39/12),"")</f>
        <v>2975.7430167014613</v>
      </c>
      <c r="I17" s="33">
        <f>IFERROR(IF('PyG 3 Años'!$B$9="","",'PyG 3 Años'!$B$38*I7+'PyG 3 Años'!$B$39/12),"")</f>
        <v>2596.628613778706</v>
      </c>
      <c r="J17" s="33">
        <f>IFERROR(IF('PyG 3 Años'!$B$9="","",'PyG 3 Años'!$B$38*J7+'PyG 3 Años'!$B$39/12),"")</f>
        <v>3029.902217118998</v>
      </c>
      <c r="K17" s="33">
        <f>IFERROR(IF('PyG 3 Años'!$B$9="","",'PyG 3 Años'!$B$38*K7+'PyG 3 Años'!$B$39/12),"")</f>
        <v>3138.220617954071</v>
      </c>
      <c r="L17" s="33">
        <f>IFERROR(IF('PyG 3 Años'!$B$9="","",'PyG 3 Años'!$B$38*L7+'PyG 3 Años'!$B$39/12),"")</f>
        <v>3138.220617954071</v>
      </c>
      <c r="M17" s="33">
        <f>IFERROR(IF('PyG 3 Años'!$B$9="","",'PyG 3 Años'!$B$38*M7+'PyG 3 Años'!$B$39/12),"")</f>
        <v>3300.6982192066807</v>
      </c>
      <c r="N17" s="33">
        <f>IFERROR(IF('PyG 3 Años'!$B$9="","",SUM(B17:M17)),"")</f>
        <v>35654.757</v>
      </c>
      <c r="O17" s="29" t="inlineStr">
        <is>
          <t>Cada partida a su tipo, leído de la columna de IVA del P&amp;L: los seguros y las comisiones de los medios de pago están exentos</t>
        </is>
      </c>
    </row>
    <row r="18">
      <c r="A18" s="29" t="inlineStr">
        <is>
          <t>IVA a compensar arrastrado (inversión incluida)</t>
        </is>
      </c>
      <c r="B18" s="29" t="n"/>
      <c r="C18" s="29" t="n"/>
      <c r="D18" s="29" t="n"/>
      <c r="E18" s="33">
        <f>IFERROR(IF('PyG 3 Años'!$B$9="","",'Inversión Inicial'!$B$32),"")</f>
        <v>21745.5</v>
      </c>
      <c r="F18" s="29" t="n"/>
      <c r="G18" s="29" t="n"/>
      <c r="H18" s="33">
        <f>IFERROR(IF('PyG 3 Años'!$B$9="","",MAX(0,-E19)),"")</f>
        <v>19303.99540083507</v>
      </c>
      <c r="I18" s="29" t="n"/>
      <c r="J18" s="29" t="n"/>
      <c r="K18" s="33">
        <f>IFERROR(IF('PyG 3 Años'!$B$9="","",MAX(0,-H19)),"")</f>
        <v>15897.752862212936</v>
      </c>
      <c r="L18" s="29" t="n"/>
      <c r="M18" s="29" t="n"/>
      <c r="N18" s="29" t="n"/>
      <c r="O18" s="29" t="inlineStr">
        <is>
          <t>El IVA soportado de la INVERSIÓN entra aquí: se compensa contra el repercutido de los trimestres siguientes hasta agotarlo (modelo 303)</t>
        </is>
      </c>
    </row>
    <row r="19">
      <c r="A19" s="29" t="inlineStr">
        <is>
          <t>Resultado de la liquidación trimestral</t>
        </is>
      </c>
      <c r="B19" s="29" t="n"/>
      <c r="C19" s="29" t="n"/>
      <c r="D19" s="29" t="n"/>
      <c r="E19" s="33">
        <f>IFERROR(IF('PyG 3 Años'!$B$9="","",SUM(B16:D16)-SUM(B17:D17)-E18),"")</f>
        <v>-19303.99540083507</v>
      </c>
      <c r="F19" s="29" t="n"/>
      <c r="G19" s="29" t="n"/>
      <c r="H19" s="33">
        <f>IFERROR(IF('PyG 3 Años'!$B$9="","",SUM(E16:G16)-SUM(E17:G17)-H18),"")</f>
        <v>-15897.752862212936</v>
      </c>
      <c r="I19" s="29" t="n"/>
      <c r="J19" s="29" t="n"/>
      <c r="K19" s="33">
        <f>IFERROR(IF('PyG 3 Años'!$B$9="","",SUM(H16:J16)-SUM(H17:J17)-K18),"")</f>
        <v>-13088.729048016688</v>
      </c>
      <c r="L19" s="29" t="n"/>
      <c r="M19" s="29" t="n"/>
      <c r="N19" s="29" t="n"/>
      <c r="O19" s="29" t="inlineStr">
        <is>
          <t>Repercutido menos soportado del trimestre menos lo que venía arrastrado. En negativo NO se paga: se compensa en el trimestre siguiente</t>
        </is>
      </c>
    </row>
    <row r="20">
      <c r="A20" s="29" t="inlineStr">
        <is>
          <t>Pago del IVA (modelo 303)</t>
        </is>
      </c>
      <c r="B20" s="29" t="n"/>
      <c r="C20" s="29" t="n"/>
      <c r="D20" s="29" t="n"/>
      <c r="E20" s="33">
        <f>IFERROR(IF('PyG 3 Años'!$B$9="","",IF(E19&lt;=0,"",-E19)),"")</f>
        <v/>
      </c>
      <c r="F20" s="29" t="n"/>
      <c r="G20" s="29" t="n"/>
      <c r="H20" s="33">
        <f>IFERROR(IF('PyG 3 Años'!$B$9="","",IF(H19&lt;=0,"",-H19)),"")</f>
        <v/>
      </c>
      <c r="I20" s="29" t="n"/>
      <c r="J20" s="29" t="n"/>
      <c r="K20" s="33">
        <f>IFERROR(IF('PyG 3 Años'!$B$9="","",IF(K19&lt;=0,"",-K19)),"")</f>
        <v/>
      </c>
      <c r="L20" s="29" t="n"/>
      <c r="M20" s="29" t="n"/>
      <c r="N20" s="33">
        <f>IFERROR(IF('PyG 3 Años'!$B$9="","",SUM(B20:M20)),"")</f>
        <v>0.0</v>
      </c>
      <c r="O20" s="29" t="inlineStr">
        <is>
          <t>Sólo sale caja cuando el resultado del trimestre es positivo. Los meses sin liquidación van en blanco, no a cero. La celda se pinta en ROJO cuando el pago del 303 se lleva más caja de la que queda ese mes</t>
        </is>
      </c>
    </row>
    <row r="21">
      <c r="A21" s="26" t="inlineStr">
        <is>
          <t>FLUJO DEL MES</t>
        </is>
      </c>
      <c r="B21" s="27">
        <f>IFERROR(IF('PyG 3 Años'!$B$9="","",SUM(B9:B15)+IF(B20="",0,B20)),"")</f>
        <v>14395.980105775923</v>
      </c>
      <c r="C21" s="27">
        <f>IFERROR(IF('PyG 3 Años'!$B$9="","",SUM(C9:C15)+IF(C20="",0,C20)),"")</f>
        <v>7399.679343945723</v>
      </c>
      <c r="D21" s="27">
        <f>IFERROR(IF('PyG 3 Años'!$B$9="","",SUM(D9:D15)+IF(D20="",0,D20)),"")</f>
        <v>9032.785032359074</v>
      </c>
      <c r="E21" s="27">
        <f>IFERROR(IF('PyG 3 Años'!$B$9="","",SUM(E9:E15)+IF(E20="",0,E20)),"")</f>
        <v>10242.344095511495</v>
      </c>
      <c r="F21" s="27">
        <f>IFERROR(IF('PyG 3 Años'!$B$9="","",SUM(F9:F15)+IF(F20="",0,F20)),"")</f>
        <v>10237.273485734158</v>
      </c>
      <c r="G21" s="27">
        <f>IFERROR(IF('PyG 3 Años'!$B$9="","",SUM(G9:G15)+IF(G20="",0,G20)),"")</f>
        <v>8824.610164231048</v>
      </c>
      <c r="H21" s="27">
        <f>IFERROR(IF('PyG 3 Años'!$B$9="","",SUM(H9:H15)+IF(H20="",0,H20)),"")</f>
        <v>-4222.516443284629</v>
      </c>
      <c r="I21" s="27">
        <f>IFERROR(IF('PyG 3 Años'!$B$9="","",SUM(I9:I15)+IF(I20="",0,I20)),"")</f>
        <v>858.400412665278</v>
      </c>
      <c r="J21" s="27">
        <f>IFERROR(IF('PyG 3 Años'!$B$9="","",SUM(J9:J15)+IF(J20="",0,J20)),"")</f>
        <v>11764.060306193465</v>
      </c>
      <c r="K21" s="27">
        <f>IFERROR(IF('PyG 3 Años'!$B$9="","",SUM(K9:K15)+IF(K20="",0,K20)),"")</f>
        <v>10632.920164231027</v>
      </c>
      <c r="L21" s="27">
        <f>IFERROR(IF('PyG 3 Años'!$B$9="","",SUM(L9:L15)+IF(L20="",0,L20)),"")</f>
        <v>9841.6268072373</v>
      </c>
      <c r="M21" s="27">
        <f>IFERROR(IF('PyG 3 Años'!$B$9="","",SUM(M9:M15)+IF(M20="",0,M20)),"")</f>
        <v>1483.936736256088</v>
      </c>
      <c r="N21" s="27">
        <f>IFERROR(IF('PyG 3 Años'!$B$9="","",SUM(B21:M21)),"")</f>
        <v>90491.10021085595</v>
      </c>
      <c r="O21" s="29" t="n"/>
    </row>
    <row r="22">
      <c r="A22" s="26" t="inlineStr">
        <is>
          <t>SALDO ACUMULADO DE CAJA</t>
        </is>
      </c>
      <c r="B22" s="27">
        <f>IFERROR(IF('PyG 3 Años'!$B$9="","",'Inversión Inicial'!$B$29+B21),"")</f>
        <v>68304.07010577591</v>
      </c>
      <c r="C22" s="27">
        <f>IFERROR(IF('PyG 3 Años'!$B$9="","",B22+C21),"")</f>
        <v>75703.74944972164</v>
      </c>
      <c r="D22" s="27">
        <f>IFERROR(IF('PyG 3 Años'!$B$9="","",C22+D21),"")</f>
        <v>84736.53448208071</v>
      </c>
      <c r="E22" s="27">
        <f>IFERROR(IF('PyG 3 Años'!$B$9="","",D22+E21),"")</f>
        <v>94978.8785775922</v>
      </c>
      <c r="F22" s="27">
        <f>IFERROR(IF('PyG 3 Años'!$B$9="","",E22+F21),"")</f>
        <v>105216.15206332636</v>
      </c>
      <c r="G22" s="27">
        <f>IFERROR(IF('PyG 3 Años'!$B$9="","",F22+G21),"")</f>
        <v>114040.76222755741</v>
      </c>
      <c r="H22" s="27">
        <f>IFERROR(IF('PyG 3 Años'!$B$9="","",G22+H21),"")</f>
        <v>109818.24578427279</v>
      </c>
      <c r="I22" s="27">
        <f>IFERROR(IF('PyG 3 Años'!$B$9="","",H22+I21),"")</f>
        <v>110676.64619693806</v>
      </c>
      <c r="J22" s="27">
        <f>IFERROR(IF('PyG 3 Años'!$B$9="","",I22+J21),"")</f>
        <v>122440.70650313153</v>
      </c>
      <c r="K22" s="27">
        <f>IFERROR(IF('PyG 3 Años'!$B$9="","",J22+K21),"")</f>
        <v>133073.62666736255</v>
      </c>
      <c r="L22" s="27">
        <f>IFERROR(IF('PyG 3 Años'!$B$9="","",K22+L21),"")</f>
        <v>142915.25347459986</v>
      </c>
      <c r="M22" s="27">
        <f>IFERROR(IF('PyG 3 Años'!$B$9="","",L22+M21),"")</f>
        <v>144399.19021085594</v>
      </c>
      <c r="N22" s="29" t="n"/>
      <c r="O22" s="29" t="n"/>
    </row>
    <row r="23">
      <c r="A23" s="29" t="inlineStr">
        <is>
          <t>Saldo mínimo del año</t>
        </is>
      </c>
      <c r="B23" s="33">
        <f>IFERROR(IF('PyG 3 Años'!$B$9="","",IF(COUNT(B22:M22)=0,"",MIN(B22:M22))),"")</f>
        <v>68304.07010577591</v>
      </c>
      <c r="C23" s="29" t="n"/>
      <c r="D23" s="29" t="inlineStr">
        <is>
          <t>Si es negativo, sube el fondo de maniobra o el préstamo: te quedas sin caja</t>
        </is>
      </c>
      <c r="E23" s="29" t="n"/>
      <c r="F23" s="29" t="n"/>
      <c r="G23" s="29" t="n"/>
      <c r="H23" s="29" t="n"/>
      <c r="I23" s="29" t="n"/>
      <c r="J23" s="29" t="n"/>
      <c r="K23" s="29" t="n"/>
      <c r="L23" s="29" t="n"/>
      <c r="M23" s="29" t="n"/>
      <c r="N23" s="29" t="n"/>
      <c r="O23" s="29" t="n"/>
    </row>
    <row r="24">
      <c r="A24" s="29" t="inlineStr">
        <is>
          <t>Mes en el que la caja toca fondo</t>
        </is>
      </c>
      <c r="B24" s="41">
        <f>IFERROR(IF('PyG 3 Años'!$B$9="","",IF(COUNT(B22:M22)=0,"",MATCH(MIN(B22:M22),B22:M22,0))),"")</f>
        <v>1.0</v>
      </c>
      <c r="C24" s="29" t="n"/>
      <c r="D24" s="29" t="inlineStr">
        <is>
          <t>Es la respuesta a la pregunta que decide una operación bancaria: en qué mes se agota la caja</t>
        </is>
      </c>
      <c r="E24" s="29" t="n"/>
      <c r="F24" s="29" t="n"/>
      <c r="G24" s="29" t="n"/>
      <c r="H24" s="29" t="n"/>
      <c r="I24" s="29" t="n"/>
      <c r="J24" s="29" t="n"/>
      <c r="K24" s="29" t="n"/>
      <c r="L24" s="29" t="n"/>
      <c r="M24" s="29" t="n"/>
      <c r="N24" s="29" t="n"/>
      <c r="O24" s="29" t="n"/>
    </row>
    <row r="25">
      <c r="A25" s="26" t="inlineStr">
        <is>
          <t>RETORNO DE LA INVERSIÓN</t>
        </is>
      </c>
      <c r="B25" s="29" t="n"/>
      <c r="C25" s="29" t="n"/>
      <c r="D25" s="29" t="n"/>
      <c r="E25" s="29" t="n"/>
      <c r="F25" s="29" t="n"/>
      <c r="G25" s="29" t="n"/>
      <c r="H25" s="29" t="n"/>
      <c r="I25" s="29" t="n"/>
      <c r="J25" s="29" t="n"/>
      <c r="K25" s="29" t="n"/>
      <c r="L25" s="29" t="n"/>
      <c r="M25" s="29" t="n"/>
      <c r="N25" s="29" t="n"/>
      <c r="O25" s="29" t="n"/>
    </row>
    <row r="26">
      <c r="A26" s="29" t="inlineStr">
        <is>
          <t>Flujo de caja libre antes de la deuda, año 1</t>
        </is>
      </c>
      <c r="B26" s="33">
        <f>IFERROR(IF('PyG 3 Años'!$B$9="","",'PyG 3 Años'!$B$47+'PyG 3 Años'!$B$35+'Financiación'!$B$44),"")</f>
        <v>60244.09400000001</v>
      </c>
      <c r="C26" s="29" t="n"/>
      <c r="D26" s="29" t="inlineStr">
        <is>
          <t>Resultado neto más amortización (que no se paga) más los intereses de ese año: el principal no se resta porque este flujo es ANTES de la deuda. La MISMA base que los años 2 y 3, para que el payback compare peras con peras</t>
        </is>
      </c>
      <c r="E26" s="29" t="n"/>
      <c r="F26" s="29" t="n"/>
      <c r="G26" s="29" t="n"/>
      <c r="H26" s="29" t="n"/>
      <c r="I26" s="29" t="n"/>
      <c r="J26" s="29" t="n"/>
      <c r="K26" s="29" t="n"/>
      <c r="L26" s="29" t="n"/>
      <c r="M26" s="29" t="n"/>
      <c r="N26" s="29" t="n"/>
      <c r="O26" s="29" t="n"/>
    </row>
    <row r="27">
      <c r="A27" s="29" t="inlineStr">
        <is>
          <t>Flujo de caja libre antes de la deuda, año 2</t>
        </is>
      </c>
      <c r="B27" s="33">
        <f>IFERROR(IF('PyG 3 Años'!$B$9="","",'PyG 3 Años'!$C$47+'PyG 3 Años'!$C$35+'Financiación'!$B$46),"")</f>
        <v>69201.27500000005</v>
      </c>
      <c r="C27" s="29" t="n"/>
      <c r="D27" s="29" t="inlineStr">
        <is>
          <t>Resultado neto más amortización (que no se paga) más los intereses de ese año: el principal no se resta porque este flujo es ANTES de la deuda. Sin tabla mensual, es una estimación</t>
        </is>
      </c>
      <c r="E27" s="29" t="n"/>
      <c r="F27" s="29" t="n"/>
      <c r="G27" s="29" t="n"/>
      <c r="H27" s="29" t="n"/>
      <c r="I27" s="29" t="n"/>
      <c r="J27" s="29" t="n"/>
      <c r="K27" s="29" t="n"/>
      <c r="L27" s="29" t="n"/>
      <c r="M27" s="29" t="n"/>
      <c r="N27" s="29" t="n"/>
      <c r="O27" s="29" t="n"/>
    </row>
    <row r="28">
      <c r="A28" s="29" t="inlineStr">
        <is>
          <t>Flujo de caja libre antes de la deuda, año 3</t>
        </is>
      </c>
      <c r="B28" s="33">
        <f>IFERROR(IF('PyG 3 Años'!$B$9="","",'PyG 3 Años'!$D$47+'PyG 3 Años'!$D$35+'Financiación'!$B$48),"")</f>
        <v>67054.4832350469</v>
      </c>
      <c r="C28" s="29" t="n"/>
      <c r="D28" s="29" t="inlineStr">
        <is>
          <t>Resultado neto más amortización (que no se paga) más los intereses de ese año: el principal no se resta porque este flujo es ANTES de la deuda. Sin tabla mensual, es una estimación</t>
        </is>
      </c>
      <c r="E28" s="29" t="n"/>
      <c r="F28" s="29" t="n"/>
      <c r="G28" s="29" t="n"/>
      <c r="H28" s="29" t="n"/>
      <c r="I28" s="29" t="n"/>
      <c r="J28" s="29" t="n"/>
      <c r="K28" s="29" t="n"/>
      <c r="L28" s="29" t="n"/>
      <c r="M28" s="29" t="n"/>
      <c r="N28" s="29" t="n"/>
      <c r="O28" s="29" t="n"/>
    </row>
    <row r="29">
      <c r="A29" s="29" t="inlineStr">
        <is>
          <t>Informativo: flujo REAL de caja del año 1 (tabla mensual, antes de la deuda)</t>
        </is>
      </c>
      <c r="B29" s="33">
        <f>IFERROR(IF('PyG 3 Años'!$B$9="","",N21+'Financiación'!$B$44+'Financiación'!$B$45),"")</f>
        <v>98351.10021085595</v>
      </c>
      <c r="C29" s="29" t="n"/>
      <c r="D29" s="29"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9" t="n"/>
      <c r="F29" s="29" t="n"/>
      <c r="G29" s="29" t="n"/>
      <c r="H29" s="29" t="n"/>
      <c r="I29" s="29" t="n"/>
      <c r="J29" s="29" t="n"/>
      <c r="K29" s="29" t="n"/>
      <c r="L29" s="29" t="n"/>
      <c r="M29" s="29" t="n"/>
      <c r="N29" s="29" t="n"/>
      <c r="O29" s="29" t="n"/>
    </row>
    <row r="30">
      <c r="A30" s="29" t="inlineStr">
        <is>
          <t>Inversión a recuperar (sin el IVA, que se recupera por el 303)</t>
        </is>
      </c>
      <c r="B30" s="33">
        <f>IFERROR(IF('PyG 3 Años'!$B$9="","",'Inversión Inicial'!$B$33-'Inversión Inicial'!$B$32),"")</f>
        <v>163658.09</v>
      </c>
      <c r="C30" s="29" t="n"/>
      <c r="D30" s="29"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9" t="n"/>
      <c r="F30" s="29" t="n"/>
      <c r="G30" s="29" t="n"/>
      <c r="H30" s="29" t="n"/>
      <c r="I30" s="29" t="n"/>
      <c r="J30" s="29" t="n"/>
      <c r="K30" s="29" t="n"/>
      <c r="L30" s="29" t="n"/>
      <c r="M30" s="29" t="n"/>
      <c r="N30" s="29" t="n"/>
      <c r="O30" s="29" t="n"/>
    </row>
    <row r="31">
      <c r="A31" s="26" t="inlineStr">
        <is>
          <t>Payback del proyecto (años), antes de la deuda</t>
        </is>
      </c>
      <c r="B31" s="26">
        <f>IFERROR(IF('PyG 3 Años'!$B$9="","",IF(B26&gt;=B30,ROUND(B30/B26,1),IF(B26+B27&gt;=B30,ROUND(1+(B30-B26)/B27,1),IF(B26+B27+B28&gt;=B30,ROUND(2+(B30-B26-B27)/B28,1),"Más de 3 años")))),"")</f>
        <v>2.5</v>
      </c>
      <c r="C31" s="29" t="n"/>
      <c r="D31" s="26"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9" t="n"/>
      <c r="F31" s="29" t="n"/>
      <c r="G31" s="29" t="n"/>
      <c r="H31" s="29" t="n"/>
      <c r="I31" s="29" t="n"/>
      <c r="J31" s="29" t="n"/>
      <c r="K31" s="29" t="n"/>
      <c r="L31" s="29" t="n"/>
      <c r="M31" s="29" t="n"/>
      <c r="N31" s="29" t="n"/>
      <c r="O31" s="29" t="n"/>
    </row>
    <row r="32">
      <c r="A32" s="29" t="inlineStr">
        <is>
          <t>Payback sobre el CAPEX, sin fondo de maniobra (años)</t>
        </is>
      </c>
      <c r="B32" s="29">
        <f>IFERROR(IF('PyG 3 Años'!$B$9="","",IF(B26&gt;='Inversión Inicial'!$B$31,ROUND('Inversión Inicial'!$B$31/B26,1),IF(B26+B27&gt;='Inversión Inicial'!$B$31,ROUND(1+('Inversión Inicial'!$B$31-B26)/B27,1),IF(B26+B27+B28&gt;='Inversión Inicial'!$B$31,ROUND(2+('Inversión Inicial'!$B$31-B26-B27)/B28,1),"Más de 3 años")))),"")</f>
        <v>1.7</v>
      </c>
      <c r="C32" s="29" t="n"/>
      <c r="D32" s="29" t="inlineStr">
        <is>
          <t>El mismo cálculo sobre lo que se COMPRA (obra, equipamiento, lanzamiento y constitución), sin el fondo de maniobra: ese dinero no se gasta, se inmoviliza y vuelve al cerrar el negocio. Informativo: el payback que se publica es el de arriba</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20" customHeight="1">
      <c r="A34" s="48"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PLAN DE FINANCIACIÓN</t>
        </is>
      </c>
      <c r="B1" s="29" t="n"/>
      <c r="C1" s="29" t="n"/>
      <c r="D1" s="29" t="n"/>
      <c r="E1" s="29" t="n"/>
      <c r="F1" s="29" t="n"/>
      <c r="G1" s="29" t="n"/>
      <c r="H1" s="29" t="n"/>
    </row>
    <row r="2" ht="45" customHeight="1">
      <c r="A2" s="48" t="inlineStr">
        <is>
          <t>Qué hace falta, de dónde sale y cuánto cuesta devolverlo. Es la hoja que el banco pide junto con el P&amp;L.</t>
        </is>
      </c>
      <c r="B2" s="29" t="n"/>
      <c r="C2" s="29" t="n"/>
      <c r="D2" s="29" t="n"/>
      <c r="E2" s="29" t="n"/>
      <c r="F2" s="29" t="n"/>
      <c r="G2" s="29" t="n"/>
      <c r="H2" s="29" t="n"/>
    </row>
    <row r="3">
      <c r="A3" s="29" t="n"/>
      <c r="B3" s="29" t="n"/>
      <c r="C3" s="29" t="n"/>
      <c r="D3" s="29" t="n"/>
      <c r="E3" s="29" t="n"/>
      <c r="F3" s="29" t="n"/>
      <c r="G3" s="29" t="n"/>
      <c r="H3" s="29" t="n"/>
    </row>
    <row r="4">
      <c r="A4" s="26" t="inlineStr">
        <is>
          <t>Concepto</t>
        </is>
      </c>
      <c r="B4" s="26" t="inlineStr">
        <is>
          <t>Importe</t>
        </is>
      </c>
      <c r="C4" s="26" t="inlineStr">
        <is>
          <t>Notas</t>
        </is>
      </c>
      <c r="D4" s="29" t="n"/>
      <c r="E4" s="29" t="n"/>
      <c r="F4" s="29" t="n"/>
      <c r="G4" s="29" t="n"/>
      <c r="H4" s="29" t="n"/>
    </row>
    <row r="5">
      <c r="A5" s="26" t="inlineStr">
        <is>
          <t>ORIGEN DE FONDOS</t>
        </is>
      </c>
      <c r="B5" s="29" t="n"/>
      <c r="C5" s="29" t="n"/>
      <c r="D5" s="29" t="n"/>
      <c r="E5" s="29" t="n"/>
      <c r="F5" s="29" t="n"/>
      <c r="G5" s="29" t="n"/>
      <c r="H5" s="29" t="n"/>
    </row>
    <row r="6">
      <c r="A6" s="29" t="inlineStr">
        <is>
          <t>Recursos propios de los socios</t>
        </is>
      </c>
      <c r="B6" s="33">
        <f>IFERROR(IF('0. Supuestos'!$B$30="","",'0. Supuestos'!$B$30),"")</f>
        <v>55000.0</v>
      </c>
      <c r="C6" s="29" t="n"/>
      <c r="D6" s="29" t="n"/>
      <c r="E6" s="29" t="n"/>
      <c r="F6" s="29" t="n"/>
      <c r="G6" s="29" t="n"/>
      <c r="H6" s="29" t="n"/>
    </row>
    <row r="7">
      <c r="A7" s="29" t="inlineStr">
        <is>
          <t>Préstamo bancario</t>
        </is>
      </c>
      <c r="B7" s="33">
        <f>IFERROR(IF('0. Supuestos'!$B$31="","",'0. Supuestos'!$B$31),"")</f>
        <v>131000.0</v>
      </c>
      <c r="C7" s="29" t="n"/>
      <c r="D7" s="29" t="n"/>
      <c r="E7" s="29" t="n"/>
      <c r="F7" s="29" t="n"/>
      <c r="G7" s="29" t="n"/>
      <c r="H7" s="29" t="n"/>
    </row>
    <row r="8">
      <c r="A8" s="29" t="inlineStr">
        <is>
          <t>Línea ICO (avalada por el ICO, la concede tu banco)</t>
        </is>
      </c>
      <c r="B8" s="30" t="n">
        <v>0</v>
      </c>
      <c r="C8" s="29" t="inlineStr">
        <is>
          <t>Consulta las líneas del ejercicio en curso en ico.es</t>
        </is>
      </c>
      <c r="D8" s="29" t="n"/>
      <c r="E8" s="29" t="n"/>
      <c r="F8" s="29" t="n"/>
      <c r="G8" s="29" t="n"/>
      <c r="H8" s="29" t="n"/>
    </row>
    <row r="9">
      <c r="A9" s="29" t="inlineStr">
        <is>
          <t>Préstamo participativo ENISA</t>
        </is>
      </c>
      <c r="B9" s="30" t="n">
        <v>0</v>
      </c>
      <c r="C9" s="29" t="inlineStr">
        <is>
          <t>Para sociedades; sin garantías personales</t>
        </is>
      </c>
      <c r="D9" s="29" t="n"/>
      <c r="E9" s="29" t="n"/>
      <c r="F9" s="29" t="n"/>
      <c r="G9" s="29" t="n"/>
      <c r="H9" s="29" t="n"/>
    </row>
    <row r="10">
      <c r="A10" s="29" t="inlineStr">
        <is>
          <t>Business angels o socios inversores</t>
        </is>
      </c>
      <c r="B10" s="30" t="n">
        <v>0</v>
      </c>
      <c r="C10" s="29" t="inlineStr">
        <is>
          <t>Entra en el capital: diluye, no se devuelve</t>
        </is>
      </c>
      <c r="D10" s="29" t="n"/>
      <c r="E10" s="29" t="n"/>
      <c r="F10" s="29" t="n"/>
      <c r="G10" s="29" t="n"/>
      <c r="H10" s="29" t="n"/>
    </row>
    <row r="11">
      <c r="A11" s="29" t="inlineStr">
        <is>
          <t>Subvenciones autonómicas o locales</t>
        </is>
      </c>
      <c r="B11" s="30" t="n">
        <v>0</v>
      </c>
      <c r="C11" s="29" t="inlineStr">
        <is>
          <t>Suelen cobrarse DESPUÉS de justificar el gasto</t>
        </is>
      </c>
      <c r="D11" s="29" t="n"/>
      <c r="E11" s="29" t="n"/>
      <c r="F11" s="29" t="n"/>
      <c r="G11" s="29" t="n"/>
      <c r="H11" s="29" t="n"/>
    </row>
    <row r="12">
      <c r="A12" s="26" t="inlineStr">
        <is>
          <t>TOTAL ORIGEN DE FONDOS</t>
        </is>
      </c>
      <c r="B12" s="27">
        <f>IFERROR(IF(COUNT(B6:B11)=0,"",SUM(B6:B11)),"")</f>
        <v>186000.0</v>
      </c>
      <c r="C12" s="29" t="n"/>
      <c r="D12" s="29" t="n"/>
      <c r="E12" s="29" t="n"/>
      <c r="F12" s="29" t="n"/>
      <c r="G12" s="29" t="n"/>
      <c r="H12" s="29" t="n"/>
    </row>
    <row r="13">
      <c r="A13" s="26" t="inlineStr">
        <is>
          <t>USOS</t>
        </is>
      </c>
      <c r="B13" s="29" t="n"/>
      <c r="C13" s="29" t="n"/>
      <c r="D13" s="29" t="n"/>
      <c r="E13" s="29" t="n"/>
      <c r="F13" s="29" t="n"/>
      <c r="G13" s="29" t="n"/>
      <c r="H13" s="29" t="n"/>
    </row>
    <row r="14">
      <c r="A14" s="29" t="inlineStr">
        <is>
          <t>Necesidad total de caja al arranque</t>
        </is>
      </c>
      <c r="B14" s="33">
        <f>IFERROR(IF('Inversión Inicial'!$B$33="","",'Inversión Inicial'!$B$33),"")</f>
        <v>185403.59</v>
      </c>
      <c r="C14" s="29" t="inlineStr">
        <is>
          <t>Inversión más el IVA que hay que adelantar</t>
        </is>
      </c>
      <c r="D14" s="29" t="n"/>
      <c r="E14" s="29" t="n"/>
      <c r="F14" s="29" t="n"/>
      <c r="G14" s="29" t="n"/>
      <c r="H14" s="29" t="n"/>
    </row>
    <row r="15">
      <c r="A15" s="26" t="inlineStr">
        <is>
          <t>Diferencia (origen - usos)</t>
        </is>
      </c>
      <c r="B15" s="27">
        <f>IFERROR(B12-B14,"")</f>
        <v>596.4100000000035</v>
      </c>
      <c r="C15" s="26" t="inlineStr">
        <is>
          <t>En rojo (negativa) el plan NO está financiado. Muy por encima de cero tampoco es gratis: se pagan intereses por un dinero que no se usa</t>
        </is>
      </c>
      <c r="D15" s="29" t="n"/>
      <c r="E15" s="29" t="n"/>
      <c r="F15" s="29" t="n"/>
      <c r="G15" s="29" t="n"/>
      <c r="H15" s="29" t="n"/>
    </row>
    <row r="16">
      <c r="A16" s="29" t="inlineStr">
        <is>
          <t>Diferencia sobre los usos (%)</t>
        </is>
      </c>
      <c r="B16" s="68">
        <f>IFERROR(B15/B14,"")</f>
        <v>0.003216820127377272</v>
      </c>
      <c r="C16" s="29" t="inlineStr">
        <is>
          <t>Ámbar por encima del margen que fijes: es deuda que pagas sin necesitarla</t>
        </is>
      </c>
      <c r="D16" s="29" t="n"/>
      <c r="E16" s="29" t="n"/>
      <c r="F16" s="29" t="n"/>
      <c r="G16" s="29" t="n"/>
      <c r="H16" s="29" t="n"/>
    </row>
    <row r="17">
      <c r="A17" s="29" t="inlineStr">
        <is>
          <t>Exceso de financiación admisible (%)</t>
        </is>
      </c>
      <c r="B17" s="74" t="n">
        <v>0.05</v>
      </c>
      <c r="C17" s="29" t="inlineStr">
        <is>
          <t>Un pequeño colchón sobre la necesidad es sano; un 20 % de más son intereses tirados</t>
        </is>
      </c>
      <c r="D17" s="29" t="n"/>
      <c r="E17" s="29" t="n"/>
      <c r="F17" s="29" t="n"/>
      <c r="G17" s="29" t="n"/>
      <c r="H17" s="29" t="n"/>
    </row>
    <row r="18">
      <c r="A18" s="29" t="inlineStr">
        <is>
          <t>Préstamo que ajustaría el origen a la necesidad</t>
        </is>
      </c>
      <c r="B18" s="33">
        <f>IFERROR(MAX(0,B14-B12+B7),"")</f>
        <v>130403.59</v>
      </c>
      <c r="C18" s="29" t="inlineStr">
        <is>
          <t>Cópialo en «Préstamo bancario solicitado» de la hoja de Supuestos y la diferencia se pone a cero</t>
        </is>
      </c>
      <c r="D18" s="29" t="n"/>
      <c r="E18" s="29" t="n"/>
      <c r="F18" s="29" t="n"/>
      <c r="G18" s="29" t="n"/>
      <c r="H18" s="29" t="n"/>
    </row>
    <row r="19">
      <c r="A19" s="26" t="inlineStr">
        <is>
          <t>CONDICIONES DEL PRÉSTAMO</t>
        </is>
      </c>
      <c r="B19" s="29" t="n"/>
      <c r="C19" s="29" t="n"/>
      <c r="D19" s="29" t="n"/>
      <c r="E19" s="29" t="n"/>
      <c r="F19" s="29" t="n"/>
      <c r="G19" s="29" t="n"/>
      <c r="H19" s="29" t="n"/>
    </row>
    <row r="20">
      <c r="A20" s="29" t="inlineStr">
        <is>
          <t>Importe del principal</t>
        </is>
      </c>
      <c r="B20" s="33">
        <f>IFERROR(IF('0. Supuestos'!$B$31=0,"",'0. Supuestos'!$B$31),"")</f>
        <v>131000.0</v>
      </c>
      <c r="C20" s="29" t="n"/>
      <c r="D20" s="29" t="n"/>
      <c r="E20" s="29" t="n"/>
      <c r="F20" s="29" t="n"/>
      <c r="G20" s="29" t="n"/>
      <c r="H20" s="29" t="n"/>
    </row>
    <row r="21">
      <c r="A21" s="29" t="inlineStr">
        <is>
          <t>Tipo de interés nominal anual</t>
        </is>
      </c>
      <c r="B21" s="68">
        <f>IFERROR(IF('0. Supuestos'!$B$32="","",'0. Supuestos'!$B$32),"")</f>
        <v>0.06</v>
      </c>
      <c r="C21" s="29" t="n"/>
      <c r="D21" s="29" t="n"/>
      <c r="E21" s="29" t="n"/>
      <c r="F21" s="29" t="n"/>
      <c r="G21" s="29" t="n"/>
      <c r="H21" s="29" t="n"/>
    </row>
    <row r="22">
      <c r="A22" s="29" t="inlineStr">
        <is>
          <t>Plazo total (años)</t>
        </is>
      </c>
      <c r="B22" s="41">
        <f>IFERROR(IF('0. Supuestos'!$B$33="","",'0. Supuestos'!$B$33),"")</f>
        <v>7.0</v>
      </c>
      <c r="C22" s="29" t="n"/>
      <c r="D22" s="29" t="n"/>
      <c r="E22" s="29" t="n"/>
      <c r="F22" s="29" t="n"/>
      <c r="G22" s="29" t="n"/>
      <c r="H22" s="29" t="n"/>
    </row>
    <row r="23">
      <c r="A23" s="29" t="inlineStr">
        <is>
          <t>Carencia de principal aplicada (años)</t>
        </is>
      </c>
      <c r="B23" s="41">
        <f>IFERROR(IF(OR('0. Supuestos'!$B$34="",'0. Supuestos'!$B$33=""),"",IF('0. Supuestos'!$B$34&gt;='0. Supuestos'!$B$33,0,'0. Supuestos'!$B$34)),"")</f>
        <v>1.0</v>
      </c>
      <c r="C23" s="29" t="inlineStr">
        <is>
          <t>Una carencia igual o mayor que el plazo no existe: la hoja la anula en origen</t>
        </is>
      </c>
      <c r="D23" s="29" t="n"/>
      <c r="E23" s="29" t="n"/>
      <c r="F23" s="29" t="n"/>
      <c r="G23" s="29" t="n"/>
      <c r="H23" s="29" t="n"/>
    </row>
    <row r="24">
      <c r="A24" s="26" t="inlineStr">
        <is>
          <t>Cuota anual durante la amortización</t>
        </is>
      </c>
      <c r="B24" s="72">
        <f>IFERROR(IF(B22-B23&lt;=0,"",IF(B21=0,B20/(B22-B23),B20*B21/(1-(1+B21)^-(B22-B23)))),"")</f>
        <v>26640.50433021129</v>
      </c>
      <c r="C24" s="26" t="inlineStr">
        <is>
          <t>Sistema francés, anualidad algebraica. Con el tipo al 0 % es el principal entre los años de amortización: sin esa rama el cuadro se apagaba entero</t>
        </is>
      </c>
      <c r="D24" s="29" t="n"/>
      <c r="E24" s="29" t="n"/>
      <c r="F24" s="29" t="n"/>
      <c r="G24" s="29" t="n"/>
      <c r="H24" s="29" t="n"/>
    </row>
    <row r="25">
      <c r="A25" s="26" t="inlineStr">
        <is>
          <t>CUADRO DE AMORTIZACIÓN</t>
        </is>
      </c>
      <c r="B25" s="29" t="n"/>
      <c r="C25" s="29" t="n"/>
      <c r="D25" s="29" t="n"/>
      <c r="E25" s="29" t="n"/>
      <c r="F25" s="29" t="n"/>
      <c r="G25" s="29" t="n"/>
      <c r="H25" s="29" t="n"/>
    </row>
    <row r="26">
      <c r="A26" s="26" t="inlineStr">
        <is>
          <t>Año</t>
        </is>
      </c>
      <c r="B26" s="26" t="inlineStr">
        <is>
          <t>Capital pendiente</t>
        </is>
      </c>
      <c r="C26" s="26" t="inlineStr">
        <is>
          <t>Intereses</t>
        </is>
      </c>
      <c r="D26" s="26" t="inlineStr">
        <is>
          <t>Amortización de principal</t>
        </is>
      </c>
      <c r="E26" s="26" t="inlineStr">
        <is>
          <t>Cuota total</t>
        </is>
      </c>
      <c r="F26" s="26" t="inlineStr">
        <is>
          <t>Capital al cierre</t>
        </is>
      </c>
      <c r="G26" s="26" t="inlineStr">
        <is>
          <t>Flujo disponible para la deuda (después de impuestos; del año 4 en adelante, el del año 3 mantenido)</t>
        </is>
      </c>
      <c r="H26" s="26" t="inlineStr">
        <is>
          <t>DSCR del año</t>
        </is>
      </c>
    </row>
    <row r="27">
      <c r="A27" s="41" t="n">
        <v>1</v>
      </c>
      <c r="B27" s="70">
        <f>IFERROR(IF(B20="","",B20),"")</f>
        <v>131000.0</v>
      </c>
      <c r="C27" s="70">
        <f>IFERROR(IF(OR(1&gt;B22,B27=""),"",B27*B21),"")</f>
        <v>7860.0</v>
      </c>
      <c r="D27" s="70">
        <f>IFERROR(IF(OR(1&gt;B22,B27=""),"",IF(1&lt;=B23,0,MIN(B27,B24-C27))),"")</f>
        <v>0.0</v>
      </c>
      <c r="E27" s="70">
        <f>IFERROR(IF(C27="","",C27+D27),"")</f>
        <v>7860.0</v>
      </c>
      <c r="F27" s="70">
        <f>IFERROR(IF(D27="","",B27-D27),"")</f>
        <v>131000.0</v>
      </c>
      <c r="G27" s="70">
        <f>IFERROR(IF(E27="","",'PyG 3 Años'!$B$40-'PyG 3 Años'!$B$45+'PyG 3 Años'!$B$35+'PyG 3 Años'!$B$36),"")</f>
        <v>60244.09400000001</v>
      </c>
      <c r="H27" s="62">
        <f>IFERROR(IF(OR(E27="",E27=0),"",G27/E27),"")</f>
        <v>7.664643002544531</v>
      </c>
    </row>
    <row r="28">
      <c r="A28" s="41" t="n">
        <v>2</v>
      </c>
      <c r="B28" s="70">
        <f>IFERROR(IF(OR(2&gt;B22,F27=""),"",F27),"")</f>
        <v>131000.0</v>
      </c>
      <c r="C28" s="70">
        <f>IFERROR(IF(OR(2&gt;B22,B28=""),"",B28*B21),"")</f>
        <v>7860.0</v>
      </c>
      <c r="D28" s="70">
        <f>IFERROR(IF(OR(2&gt;B22,B28=""),"",IF(2&lt;=B23,0,MIN(B28,B24-C28))),"")</f>
        <v>18780.50433021129</v>
      </c>
      <c r="E28" s="70">
        <f>IFERROR(IF(C28="","",C28+D28),"")</f>
        <v>26640.50433021129</v>
      </c>
      <c r="F28" s="70">
        <f>IFERROR(IF(D28="","",B28-D28),"")</f>
        <v>112219.49566978871</v>
      </c>
      <c r="G28" s="70">
        <f>IFERROR(IF(E28="","",'PyG 3 Años'!$C$40-'PyG 3 Años'!$C$45+'PyG 3 Años'!$C$35+'PyG 3 Años'!$C$36),"")</f>
        <v>69201.27500000005</v>
      </c>
      <c r="H28" s="62">
        <f>IFERROR(IF(OR(E28="",E28=0),"",G28/E28),"")</f>
        <v>2.597596282046482</v>
      </c>
    </row>
    <row r="29">
      <c r="A29" s="41" t="n">
        <v>3</v>
      </c>
      <c r="B29" s="70">
        <f>IFERROR(IF(OR(3&gt;B22,F28=""),"",F28),"")</f>
        <v>112219.49566978871</v>
      </c>
      <c r="C29" s="70">
        <f>IFERROR(IF(OR(3&gt;B22,B29=""),"",B29*B21),"")</f>
        <v>6733.1697401873225</v>
      </c>
      <c r="D29" s="70">
        <f>IFERROR(IF(OR(3&gt;B22,B29=""),"",IF(3&lt;=B23,0,MIN(B29,B24-C29))),"")</f>
        <v>19907.334590023966</v>
      </c>
      <c r="E29" s="70">
        <f>IFERROR(IF(C29="","",C29+D29),"")</f>
        <v>26640.50433021129</v>
      </c>
      <c r="F29" s="70">
        <f>IFERROR(IF(D29="","",B29-D29),"")</f>
        <v>92312.16107976474</v>
      </c>
      <c r="G29" s="70">
        <f>IFERROR(IF(E29="","",'PyG 3 Años'!$D$40-'PyG 3 Años'!$D$45+'PyG 3 Años'!$D$35+'PyG 3 Años'!$D$36),"")</f>
        <v>67054.4832350469</v>
      </c>
      <c r="H29" s="62">
        <f>IFERROR(IF(OR(E29="",E29=0),"",G29/E29),"")</f>
        <v>2.5170125311405873</v>
      </c>
    </row>
    <row r="30">
      <c r="A30" s="41" t="n">
        <v>4</v>
      </c>
      <c r="B30" s="70">
        <f>IFERROR(IF(OR(4&gt;B22,F29=""),"",F29),"")</f>
        <v>92312.16107976474</v>
      </c>
      <c r="C30" s="70">
        <f>IFERROR(IF(OR(4&gt;B22,B30=""),"",B30*B21),"")</f>
        <v>5538.729664785885</v>
      </c>
      <c r="D30" s="70">
        <f>IFERROR(IF(OR(4&gt;B22,B30=""),"",IF(4&lt;=B23,0,MIN(B30,B24-C30))),"")</f>
        <v>21101.774665425404</v>
      </c>
      <c r="E30" s="70">
        <f>IFERROR(IF(C30="","",C30+D30),"")</f>
        <v>26640.50433021129</v>
      </c>
      <c r="F30" s="70">
        <f>IFERROR(IF(D30="","",B30-D30),"")</f>
        <v>71210.38641433934</v>
      </c>
      <c r="G30" s="70">
        <f>IFERROR(IF(E30="","",'PyG 3 Años'!$D$40-'PyG 3 Años'!$D$45+'PyG 3 Años'!$D$35+'PyG 3 Años'!$D$36),"")</f>
        <v>67054.4832350469</v>
      </c>
      <c r="H30" s="62">
        <f>IFERROR(IF(OR(E30="",E30=0),"",G30/E30),"")</f>
        <v>2.5170125311405873</v>
      </c>
    </row>
    <row r="31">
      <c r="A31" s="41" t="n">
        <v>5</v>
      </c>
      <c r="B31" s="70">
        <f>IFERROR(IF(OR(5&gt;B22,F30=""),"",F30),"")</f>
        <v>71210.38641433934</v>
      </c>
      <c r="C31" s="70">
        <f>IFERROR(IF(OR(5&gt;B22,B31=""),"",B31*B21),"")</f>
        <v>4272.62318486036</v>
      </c>
      <c r="D31" s="70">
        <f>IFERROR(IF(OR(5&gt;B22,B31=""),"",IF(5&lt;=B23,0,MIN(B31,B24-C31))),"")</f>
        <v>22367.88114535093</v>
      </c>
      <c r="E31" s="70">
        <f>IFERROR(IF(C31="","",C31+D31),"")</f>
        <v>26640.50433021129</v>
      </c>
      <c r="F31" s="70">
        <f>IFERROR(IF(D31="","",B31-D31),"")</f>
        <v>48842.50526898842</v>
      </c>
      <c r="G31" s="70">
        <f>IFERROR(IF(E31="","",'PyG 3 Años'!$D$40-'PyG 3 Años'!$D$45+'PyG 3 Años'!$D$35+'PyG 3 Años'!$D$36),"")</f>
        <v>67054.4832350469</v>
      </c>
      <c r="H31" s="62">
        <f>IFERROR(IF(OR(E31="",E31=0),"",G31/E31),"")</f>
        <v>2.5170125311405873</v>
      </c>
    </row>
    <row r="32">
      <c r="A32" s="41" t="n">
        <v>6</v>
      </c>
      <c r="B32" s="70">
        <f>IFERROR(IF(OR(6&gt;B22,F31=""),"",F31),"")</f>
        <v>48842.50526898842</v>
      </c>
      <c r="C32" s="70">
        <f>IFERROR(IF(OR(6&gt;B22,B32=""),"",B32*B21),"")</f>
        <v>2930.550316139305</v>
      </c>
      <c r="D32" s="70">
        <f>IFERROR(IF(OR(6&gt;B22,B32=""),"",IF(6&lt;=B23,0,MIN(B32,B24-C32))),"")</f>
        <v>23709.954014071984</v>
      </c>
      <c r="E32" s="70">
        <f>IFERROR(IF(C32="","",C32+D32),"")</f>
        <v>26640.50433021129</v>
      </c>
      <c r="F32" s="70">
        <f>IFERROR(IF(D32="","",B32-D32),"")</f>
        <v>25132.551254916434</v>
      </c>
      <c r="G32" s="70">
        <f>IFERROR(IF(E32="","",'PyG 3 Años'!$D$40-'PyG 3 Años'!$D$45+'PyG 3 Años'!$D$35+'PyG 3 Años'!$D$36),"")</f>
        <v>67054.4832350469</v>
      </c>
      <c r="H32" s="62">
        <f>IFERROR(IF(OR(E32="",E32=0),"",G32/E32),"")</f>
        <v>2.5170125311405873</v>
      </c>
    </row>
    <row r="33">
      <c r="A33" s="41" t="n">
        <v>7</v>
      </c>
      <c r="B33" s="70">
        <f>IFERROR(IF(OR(7&gt;B22,F32=""),"",F32),"")</f>
        <v>25132.551254916434</v>
      </c>
      <c r="C33" s="70">
        <f>IFERROR(IF(OR(7&gt;B22,B33=""),"",B33*B21),"")</f>
        <v>1507.953075294986</v>
      </c>
      <c r="D33" s="70">
        <f>IFERROR(IF(OR(7&gt;B22,B33=""),"",IF(7&lt;=B23,0,MIN(B33,B24-C33))),"")</f>
        <v>25132.551254916303</v>
      </c>
      <c r="E33" s="70">
        <f>IFERROR(IF(C33="","",C33+D33),"")</f>
        <v>26640.50433021129</v>
      </c>
      <c r="F33" s="70">
        <f>IFERROR(IF(D33="","",B33-D33),"")</f>
        <v>1.3096723705530167e-10</v>
      </c>
      <c r="G33" s="70">
        <f>IFERROR(IF(E33="","",'PyG 3 Años'!$D$40-'PyG 3 Años'!$D$45+'PyG 3 Años'!$D$35+'PyG 3 Años'!$D$36),"")</f>
        <v>67054.4832350469</v>
      </c>
      <c r="H33" s="62">
        <f>IFERROR(IF(OR(E33="",E33=0),"",G33/E33),"")</f>
        <v>2.5170125311405873</v>
      </c>
    </row>
    <row r="34">
      <c r="A34" s="41" t="n">
        <v>8</v>
      </c>
      <c r="B34" s="70">
        <f>IFERROR(IF(OR(8&gt;B22,F33=""),"",F33),"")</f>
        <v/>
      </c>
      <c r="C34" s="70">
        <f>IFERROR(IF(OR(8&gt;B22,B34=""),"",B34*B21),"")</f>
        <v/>
      </c>
      <c r="D34" s="70">
        <f>IFERROR(IF(OR(8&gt;B22,B34=""),"",IF(8&lt;=B23,0,MIN(B34,B24-C34))),"")</f>
        <v/>
      </c>
      <c r="E34" s="70">
        <f>IFERROR(IF(C34="","",C34+D34),"")</f>
        <v/>
      </c>
      <c r="F34" s="70">
        <f>IFERROR(IF(D34="","",B34-D34),"")</f>
        <v/>
      </c>
      <c r="G34" s="70">
        <f>IFERROR(IF(E34="","",'PyG 3 Años'!$D$40-'PyG 3 Años'!$D$45+'PyG 3 Años'!$D$35+'PyG 3 Años'!$D$36),"")</f>
        <v/>
      </c>
      <c r="H34" s="62">
        <f>IFERROR(IF(OR(E34="",E34=0),"",G34/E34),"")</f>
        <v/>
      </c>
    </row>
    <row r="35">
      <c r="A35" s="41" t="n">
        <v>9</v>
      </c>
      <c r="B35" s="70">
        <f>IFERROR(IF(OR(9&gt;B22,F34=""),"",F34),"")</f>
        <v/>
      </c>
      <c r="C35" s="70">
        <f>IFERROR(IF(OR(9&gt;B22,B35=""),"",B35*B21),"")</f>
        <v/>
      </c>
      <c r="D35" s="70">
        <f>IFERROR(IF(OR(9&gt;B22,B35=""),"",IF(9&lt;=B23,0,MIN(B35,B24-C35))),"")</f>
        <v/>
      </c>
      <c r="E35" s="70">
        <f>IFERROR(IF(C35="","",C35+D35),"")</f>
        <v/>
      </c>
      <c r="F35" s="70">
        <f>IFERROR(IF(D35="","",B35-D35),"")</f>
        <v/>
      </c>
      <c r="G35" s="70">
        <f>IFERROR(IF(E35="","",'PyG 3 Años'!$D$40-'PyG 3 Años'!$D$45+'PyG 3 Años'!$D$35+'PyG 3 Años'!$D$36),"")</f>
        <v/>
      </c>
      <c r="H35" s="62">
        <f>IFERROR(IF(OR(E35="",E35=0),"",G35/E35),"")</f>
        <v/>
      </c>
    </row>
    <row r="36">
      <c r="A36" s="41" t="n">
        <v>10</v>
      </c>
      <c r="B36" s="70">
        <f>IFERROR(IF(OR(10&gt;B22,F35=""),"",F35),"")</f>
        <v/>
      </c>
      <c r="C36" s="70">
        <f>IFERROR(IF(OR(10&gt;B22,B36=""),"",B36*B21),"")</f>
        <v/>
      </c>
      <c r="D36" s="70">
        <f>IFERROR(IF(OR(10&gt;B22,B36=""),"",IF(10&lt;=B23,0,MIN(B36,B24-C36))),"")</f>
        <v/>
      </c>
      <c r="E36" s="70">
        <f>IFERROR(IF(C36="","",C36+D36),"")</f>
        <v/>
      </c>
      <c r="F36" s="70">
        <f>IFERROR(IF(D36="","",B36-D36),"")</f>
        <v/>
      </c>
      <c r="G36" s="70">
        <f>IFERROR(IF(E36="","",'PyG 3 Años'!$D$40-'PyG 3 Años'!$D$45+'PyG 3 Años'!$D$35+'PyG 3 Años'!$D$36),"")</f>
        <v/>
      </c>
      <c r="H36" s="62">
        <f>IFERROR(IF(OR(E36="",E36=0),"",G36/E36),"")</f>
        <v/>
      </c>
    </row>
    <row r="37">
      <c r="A37" s="41" t="n">
        <v>11</v>
      </c>
      <c r="B37" s="70">
        <f>IFERROR(IF(OR(11&gt;B22,F36=""),"",F36),"")</f>
        <v/>
      </c>
      <c r="C37" s="70">
        <f>IFERROR(IF(OR(11&gt;B22,B37=""),"",B37*B21),"")</f>
        <v/>
      </c>
      <c r="D37" s="70">
        <f>IFERROR(IF(OR(11&gt;B22,B37=""),"",IF(11&lt;=B23,0,MIN(B37,B24-C37))),"")</f>
        <v/>
      </c>
      <c r="E37" s="70">
        <f>IFERROR(IF(C37="","",C37+D37),"")</f>
        <v/>
      </c>
      <c r="F37" s="70">
        <f>IFERROR(IF(D37="","",B37-D37),"")</f>
        <v/>
      </c>
      <c r="G37" s="70">
        <f>IFERROR(IF(E37="","",'PyG 3 Años'!$D$40-'PyG 3 Años'!$D$45+'PyG 3 Años'!$D$35+'PyG 3 Años'!$D$36),"")</f>
        <v/>
      </c>
      <c r="H37" s="62">
        <f>IFERROR(IF(OR(E37="",E37=0),"",G37/E37),"")</f>
        <v/>
      </c>
    </row>
    <row r="38">
      <c r="A38" s="41" t="n">
        <v>12</v>
      </c>
      <c r="B38" s="70">
        <f>IFERROR(IF(OR(12&gt;B22,F37=""),"",F37),"")</f>
        <v/>
      </c>
      <c r="C38" s="70">
        <f>IFERROR(IF(OR(12&gt;B22,B38=""),"",B38*B21),"")</f>
        <v/>
      </c>
      <c r="D38" s="70">
        <f>IFERROR(IF(OR(12&gt;B22,B38=""),"",IF(12&lt;=B23,0,MIN(B38,B24-C38))),"")</f>
        <v/>
      </c>
      <c r="E38" s="70">
        <f>IFERROR(IF(C38="","",C38+D38),"")</f>
        <v/>
      </c>
      <c r="F38" s="70">
        <f>IFERROR(IF(D38="","",B38-D38),"")</f>
        <v/>
      </c>
      <c r="G38" s="70">
        <f>IFERROR(IF(E38="","",'PyG 3 Años'!$D$40-'PyG 3 Años'!$D$45+'PyG 3 Años'!$D$35+'PyG 3 Años'!$D$36),"")</f>
        <v/>
      </c>
      <c r="H38" s="62">
        <f>IFERROR(IF(OR(E38="",E38=0),"",G38/E38),"")</f>
        <v/>
      </c>
    </row>
    <row r="39">
      <c r="A39" s="41" t="n">
        <v>13</v>
      </c>
      <c r="B39" s="70">
        <f>IFERROR(IF(OR(13&gt;B22,F38=""),"",F38),"")</f>
        <v/>
      </c>
      <c r="C39" s="70">
        <f>IFERROR(IF(OR(13&gt;B22,B39=""),"",B39*B21),"")</f>
        <v/>
      </c>
      <c r="D39" s="70">
        <f>IFERROR(IF(OR(13&gt;B22,B39=""),"",IF(13&lt;=B23,0,MIN(B39,B24-C39))),"")</f>
        <v/>
      </c>
      <c r="E39" s="70">
        <f>IFERROR(IF(C39="","",C39+D39),"")</f>
        <v/>
      </c>
      <c r="F39" s="70">
        <f>IFERROR(IF(D39="","",B39-D39),"")</f>
        <v/>
      </c>
      <c r="G39" s="70">
        <f>IFERROR(IF(E39="","",'PyG 3 Años'!$D$40-'PyG 3 Años'!$D$45+'PyG 3 Años'!$D$35+'PyG 3 Años'!$D$36),"")</f>
        <v/>
      </c>
      <c r="H39" s="62">
        <f>IFERROR(IF(OR(E39="",E39=0),"",G39/E39),"")</f>
        <v/>
      </c>
    </row>
    <row r="40">
      <c r="A40" s="41" t="n">
        <v>14</v>
      </c>
      <c r="B40" s="70">
        <f>IFERROR(IF(OR(14&gt;B22,F39=""),"",F39),"")</f>
        <v/>
      </c>
      <c r="C40" s="70">
        <f>IFERROR(IF(OR(14&gt;B22,B40=""),"",B40*B21),"")</f>
        <v/>
      </c>
      <c r="D40" s="70">
        <f>IFERROR(IF(OR(14&gt;B22,B40=""),"",IF(14&lt;=B23,0,MIN(B40,B24-C40))),"")</f>
        <v/>
      </c>
      <c r="E40" s="70">
        <f>IFERROR(IF(C40="","",C40+D40),"")</f>
        <v/>
      </c>
      <c r="F40" s="70">
        <f>IFERROR(IF(D40="","",B40-D40),"")</f>
        <v/>
      </c>
      <c r="G40" s="70">
        <f>IFERROR(IF(E40="","",'PyG 3 Años'!$D$40-'PyG 3 Años'!$D$45+'PyG 3 Años'!$D$35+'PyG 3 Años'!$D$36),"")</f>
        <v/>
      </c>
      <c r="H40" s="62">
        <f>IFERROR(IF(OR(E40="",E40=0),"",G40/E40),"")</f>
        <v/>
      </c>
    </row>
    <row r="41">
      <c r="A41" s="41" t="n">
        <v>15</v>
      </c>
      <c r="B41" s="70">
        <f>IFERROR(IF(OR(15&gt;B22,F40=""),"",F40),"")</f>
        <v/>
      </c>
      <c r="C41" s="70">
        <f>IFERROR(IF(OR(15&gt;B22,B41=""),"",B41*B21),"")</f>
        <v/>
      </c>
      <c r="D41" s="70">
        <f>IFERROR(IF(OR(15&gt;B22,B41=""),"",IF(15&lt;=B23,0,MIN(B41,B24-C41))),"")</f>
        <v/>
      </c>
      <c r="E41" s="70">
        <f>IFERROR(IF(C41="","",C41+D41),"")</f>
        <v/>
      </c>
      <c r="F41" s="70">
        <f>IFERROR(IF(D41="","",B41-D41),"")</f>
        <v/>
      </c>
      <c r="G41" s="70">
        <f>IFERROR(IF(E41="","",'PyG 3 Años'!$D$40-'PyG 3 Años'!$D$45+'PyG 3 Años'!$D$35+'PyG 3 Años'!$D$36),"")</f>
        <v/>
      </c>
      <c r="H41" s="62">
        <f>IFERROR(IF(OR(E41="",E41=0),"",G41/E41),"")</f>
        <v/>
      </c>
    </row>
    <row r="42">
      <c r="A42" s="29" t="inlineStr">
        <is>
          <t>Tolerancia de cierre del cuadro (€)</t>
        </is>
      </c>
      <c r="B42" s="73" t="n">
        <v>0.01</v>
      </c>
      <c r="C42" s="29" t="inlineStr">
        <is>
          <t>Margen por redondeo. Por encima, el cuadro no cierra y hay capital sin devolver</t>
        </is>
      </c>
      <c r="D42" s="29" t="n"/>
      <c r="E42" s="29" t="n"/>
      <c r="F42" s="29" t="n"/>
      <c r="G42" s="29" t="n"/>
      <c r="H42" s="29" t="n"/>
    </row>
    <row r="43">
      <c r="A43" s="29" t="inlineStr">
        <is>
          <t>Capital pendiente al vencimiento</t>
        </is>
      </c>
      <c r="B43" s="70">
        <f>IFERROR(IF(B20="","",ROUND(B20-SUM(D27:D41),2)),"")</f>
        <v>0.0</v>
      </c>
      <c r="C43" s="29" t="inlineStr">
        <is>
          <t>Tiene que ser cero: el principal devuelto en el cuadro tiene que ser el prestado. Si sale positivo, el plazo no llega</t>
        </is>
      </c>
      <c r="D43" s="29" t="n"/>
      <c r="E43" s="29" t="n"/>
      <c r="F43" s="29" t="n"/>
      <c r="G43" s="29" t="n"/>
      <c r="H43" s="29" t="n"/>
    </row>
    <row r="44">
      <c r="A44" s="29" t="inlineStr">
        <is>
          <t>Intereses del año 1</t>
        </is>
      </c>
      <c r="B44" s="33">
        <f>IFERROR(IF(B20="","",IF(C27="",0,C27)),"")</f>
        <v>7860.0</v>
      </c>
      <c r="C44" s="29" t="n"/>
      <c r="D44" s="29" t="n"/>
      <c r="E44" s="29" t="n"/>
      <c r="F44" s="29" t="n"/>
      <c r="G44" s="29" t="n"/>
      <c r="H44" s="29" t="n"/>
    </row>
    <row r="45">
      <c r="A45" s="29" t="inlineStr">
        <is>
          <t>Devolución de principal del año 1</t>
        </is>
      </c>
      <c r="B45" s="33">
        <f>IFERROR(IF(B20="","",IF(D27="",0,D27)),"")</f>
        <v>0.0</v>
      </c>
      <c r="C45" s="29" t="n"/>
      <c r="D45" s="29" t="n"/>
      <c r="E45" s="29" t="n"/>
      <c r="F45" s="29" t="n"/>
      <c r="G45" s="29" t="n"/>
      <c r="H45" s="29" t="n"/>
    </row>
    <row r="46">
      <c r="A46" s="29" t="inlineStr">
        <is>
          <t>Intereses del año 2</t>
        </is>
      </c>
      <c r="B46" s="33">
        <f>IFERROR(IF(B20="","",IF(C28="",0,C28)),"")</f>
        <v>7860.0</v>
      </c>
      <c r="C46" s="29" t="n"/>
      <c r="D46" s="29" t="n"/>
      <c r="E46" s="29" t="n"/>
      <c r="F46" s="29" t="n"/>
      <c r="G46" s="29" t="n"/>
      <c r="H46" s="29" t="n"/>
    </row>
    <row r="47">
      <c r="A47" s="29" t="inlineStr">
        <is>
          <t>Devolución de principal del año 2</t>
        </is>
      </c>
      <c r="B47" s="33">
        <f>IFERROR(IF(B20="","",IF(D28="",0,D28)),"")</f>
        <v>18780.50433021129</v>
      </c>
      <c r="C47" s="29" t="n"/>
      <c r="D47" s="29" t="n"/>
      <c r="E47" s="29" t="n"/>
      <c r="F47" s="29" t="n"/>
      <c r="G47" s="29" t="n"/>
      <c r="H47" s="29" t="n"/>
    </row>
    <row r="48">
      <c r="A48" s="29" t="inlineStr">
        <is>
          <t>Intereses del año 3</t>
        </is>
      </c>
      <c r="B48" s="33">
        <f>IFERROR(IF(B20="","",IF(C29="",0,C29)),"")</f>
        <v>6733.1697401873225</v>
      </c>
      <c r="C48" s="29" t="n"/>
      <c r="D48" s="29" t="n"/>
      <c r="E48" s="29" t="n"/>
      <c r="F48" s="29" t="n"/>
      <c r="G48" s="29" t="n"/>
      <c r="H48" s="29" t="n"/>
    </row>
    <row r="49">
      <c r="A49" s="29" t="inlineStr">
        <is>
          <t>Devolución de principal del año 3</t>
        </is>
      </c>
      <c r="B49" s="33">
        <f>IFERROR(IF(B20="","",IF(D29="",0,D29)),"")</f>
        <v>19907.334590023966</v>
      </c>
      <c r="C49" s="29" t="n"/>
      <c r="D49" s="29" t="n"/>
      <c r="E49" s="29" t="n"/>
      <c r="F49" s="29" t="n"/>
      <c r="G49" s="29" t="n"/>
      <c r="H49" s="29" t="n"/>
    </row>
    <row r="50">
      <c r="A50" s="26" t="inlineStr">
        <is>
          <t>COBERTURA DEL SERVICIO DE LA DEUDA (DSCR)</t>
        </is>
      </c>
      <c r="B50" s="29" t="n"/>
      <c r="C50" s="29" t="n"/>
      <c r="D50" s="29" t="n"/>
      <c r="E50" s="29" t="n"/>
      <c r="F50" s="29" t="n"/>
      <c r="G50" s="29" t="n"/>
      <c r="H50" s="29" t="n"/>
    </row>
    <row r="51">
      <c r="A51" s="29" t="inlineStr">
        <is>
          <t>DSCR del año 1</t>
        </is>
      </c>
      <c r="B51" s="62">
        <f>IFERROR(('PyG 3 Años'!$B$40-'PyG 3 Años'!$B$45+'PyG 3 Años'!$B$35+B44)/(B44+B45),"")</f>
        <v>7.664643002544531</v>
      </c>
      <c r="C51" s="29" t="inlineStr">
        <is>
          <t>Año de CARENCIA si la hay: con sólo intereses en el denominador el ratio se dispara y no mide el negocio</t>
        </is>
      </c>
      <c r="D51" s="29" t="n"/>
      <c r="E51" s="29" t="n"/>
      <c r="F51" s="29" t="n"/>
      <c r="G51" s="29" t="n"/>
      <c r="H51" s="29" t="n"/>
    </row>
    <row r="52">
      <c r="A52" s="29" t="inlineStr">
        <is>
          <t>DSCR del año 2</t>
        </is>
      </c>
      <c r="B52" s="62">
        <f>IFERROR(('PyG 3 Años'!$C$40-'PyG 3 Años'!$C$45+'PyG 3 Años'!$C$35+B46)/(B46+B47),"")</f>
        <v>2.597596282046482</v>
      </c>
      <c r="C52" s="29" t="n"/>
      <c r="D52" s="29" t="n"/>
      <c r="E52" s="29" t="n"/>
      <c r="F52" s="29" t="n"/>
      <c r="G52" s="29" t="n"/>
      <c r="H52" s="29" t="n"/>
    </row>
    <row r="53">
      <c r="A53" s="29" t="inlineStr">
        <is>
          <t>DSCR del año 3</t>
        </is>
      </c>
      <c r="B53" s="62">
        <f>IFERROR(('PyG 3 Años'!$D$40-'PyG 3 Años'!$D$45+'PyG 3 Años'!$D$35+B48)/(B48+B49),"")</f>
        <v>2.5170125311405873</v>
      </c>
      <c r="C53" s="29" t="n"/>
      <c r="D53" s="29" t="n"/>
      <c r="E53" s="29" t="n"/>
      <c r="F53" s="29" t="n"/>
      <c r="G53" s="29" t="n"/>
      <c r="H53" s="29" t="n"/>
    </row>
    <row r="54">
      <c r="A54" s="26" t="inlineStr">
        <is>
          <t>DSCR mínimo de todo el cuadro</t>
        </is>
      </c>
      <c r="B54" s="55">
        <f>IFERROR(IF(COUNT(H27:H41)=0,"",MIN(H27:H41)),"")</f>
        <v>2.5170125311405873</v>
      </c>
      <c r="C54" s="26"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9" t="n"/>
      <c r="E54" s="29" t="n"/>
      <c r="F54" s="29" t="n"/>
      <c r="G54" s="29" t="n"/>
      <c r="H54" s="29" t="n"/>
    </row>
    <row r="55">
      <c r="A55" s="29" t="n"/>
      <c r="B55" s="29" t="n"/>
      <c r="C55" s="29" t="n"/>
      <c r="D55" s="29" t="n"/>
      <c r="E55" s="29" t="n"/>
      <c r="F55" s="29" t="n"/>
      <c r="G55" s="29" t="n"/>
      <c r="H55" s="29" t="n"/>
    </row>
    <row r="56" ht="165" customHeight="1">
      <c r="A56" s="48"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Sushi Bar · v1.0</dc:title>
  <dc:description xmlns:dc="http://purl.org/dc/elements/1.1/">aichef.pro/plan-negocio-sushi-bar</dc:description>
  <dc:subject xmlns:dc="http://purl.org/dc/elements/1.1/">Plan financiero — Sushi Bar · v1.0</dc:subject>
  <dcterms:created xmlns:dcterms="http://purl.org/dc/terms/" xmlns:xsi="http://www.w3.org/2001/XMLSchema-instance" xsi:type="dcterms:W3CDTF">2026-03-26T14:15:52Z</dcterms:created>
  <dcterms:modified xmlns:dcterms="http://purl.org/dc/terms/" xmlns:xsi="http://www.w3.org/2001/XMLSchema-instance" xsi:type="dcterms:W3CDTF">2026-10-31T02:14:15Z</dcterms:modified>
  <cp:lastModifiedBy>AI Chef Pro</cp:lastModifiedBy>
  <cp:category>AI Chef Pro · Productos digitales</cp:category>
  <cp:keywords>plan de negocio sushi bar, restaurante de sushi, sushiman, AI Chef Pro</cp:keywords>
</cp:coreProperties>
</file>