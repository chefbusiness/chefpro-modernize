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scado" sheetId="1" state="visible" r:id="rId1"/>
    <sheet xmlns:r="http://schemas.openxmlformats.org/officeDocument/2006/relationships" name="Arroz" sheetId="2" state="visible" r:id="rId2"/>
    <sheet xmlns:r="http://schemas.openxmlformats.org/officeDocument/2006/relationships" name="Escandallo" sheetId="3" state="visible" r:id="rId3"/>
    <sheet xmlns:r="http://schemas.openxmlformats.org/officeDocument/2006/relationships" name="Instrucciones" sheetId="4" state="visible" r:id="rId4"/>
  </sheets>
  <definedNames/>
  <calcPr calcId="124519" fullCalcOnLoad="1"/>
</workbook>
</file>

<file path=xl/styles.xml><?xml version="1.0" encoding="utf-8"?>
<styleSheet xmlns="http://schemas.openxmlformats.org/spreadsheetml/2006/main">
  <numFmts count="6">
    <numFmt numFmtId="164" formatCode="#,##0.00 €"/>
    <numFmt numFmtId="165" formatCode="0.0%"/>
    <numFmt numFmtId="166" formatCode="#,##0.0"/>
    <numFmt numFmtId="167" formatCode="#,##0.000 €"/>
    <numFmt numFmtId="168" formatCode="#,##0.0;-#,##0.0;&quot;-&quot;"/>
    <numFmt numFmtId="169" formatCode="#,##0.00;-#,##0.00;&quot;-&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vertical="top"/>
    </xf>
    <xf numFmtId="0" fontId="3" fillId="3" borderId="0" applyAlignment="1" applyProtection="1" pivotButton="0" quotePrefix="0" xfId="0">
      <alignment vertical="top" wrapText="1"/>
      <protection locked="0" hidden="0"/>
    </xf>
    <xf numFmtId="0" fontId="2" fillId="0" borderId="0" applyAlignment="1" pivotButton="0" quotePrefix="0" xfId="0">
      <alignment vertical="top"/>
    </xf>
    <xf numFmtId="164"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4" fontId="2" fillId="3" borderId="0" applyAlignment="1" applyProtection="1" pivotButton="0" quotePrefix="0" xfId="0">
      <alignment vertical="top"/>
      <protection locked="0" hidden="0"/>
    </xf>
    <xf numFmtId="0" fontId="2" fillId="3" borderId="0" applyAlignment="1" applyProtection="1" pivotButton="0" quotePrefix="0" xfId="0">
      <alignment vertical="top" wrapText="1"/>
      <protection locked="0" hidden="0"/>
    </xf>
    <xf numFmtId="0" fontId="0" fillId="0" borderId="0" applyProtection="1" pivotButton="0" quotePrefix="0" xfId="0">
      <protection locked="0" hidden="0"/>
    </xf>
    <xf numFmtId="3" fontId="2" fillId="2" borderId="0" applyAlignment="1" pivotButton="0" quotePrefix="0" xfId="0">
      <alignment vertical="top"/>
    </xf>
    <xf numFmtId="165" fontId="2" fillId="0" borderId="0" applyAlignment="1" pivotButton="0" quotePrefix="0" xfId="0">
      <alignment vertical="top"/>
    </xf>
    <xf numFmtId="0" fontId="3" fillId="0" borderId="0" applyAlignment="1" pivotButton="0" quotePrefix="0" xfId="0">
      <alignment vertical="top"/>
    </xf>
    <xf numFmtId="164" fontId="3" fillId="0" borderId="0" applyAlignment="1" pivotButton="0" quotePrefix="0" xfId="0">
      <alignment vertical="top"/>
    </xf>
    <xf numFmtId="167" fontId="2" fillId="0" borderId="0" applyAlignment="1" pivotButton="0" quotePrefix="0" xfId="0">
      <alignment vertical="top"/>
    </xf>
    <xf numFmtId="164" fontId="2" fillId="0" borderId="0" applyAlignment="1" pivotButton="0" quotePrefix="0" xfId="0">
      <alignment vertical="top"/>
    </xf>
    <xf numFmtId="4" fontId="2" fillId="0" borderId="0" applyAlignment="1" pivotButton="0" quotePrefix="0" xfId="0">
      <alignment vertical="top"/>
    </xf>
    <xf numFmtId="0" fontId="3" fillId="0" borderId="0" applyAlignment="1" pivotButton="0" quotePrefix="0" xfId="0">
      <alignment vertical="top" wrapText="1"/>
    </xf>
    <xf numFmtId="3" fontId="2" fillId="3" borderId="0" applyAlignment="1" applyProtection="1" pivotButton="0" quotePrefix="0" xfId="0">
      <alignment vertical="top"/>
      <protection locked="0" hidden="0"/>
    </xf>
    <xf numFmtId="167" fontId="2" fillId="3" borderId="0" applyAlignment="1" applyProtection="1" pivotButton="0" quotePrefix="0" xfId="0">
      <alignment vertical="top"/>
      <protection locked="0" hidden="0"/>
    </xf>
    <xf numFmtId="4" fontId="3" fillId="0" borderId="0" applyAlignment="1" pivotButton="0" quotePrefix="0" xfId="0">
      <alignment vertical="top"/>
    </xf>
    <xf numFmtId="3" fontId="3" fillId="0" borderId="0" applyAlignment="1" pivotButton="0" quotePrefix="0" xfId="0">
      <alignment vertical="top"/>
    </xf>
    <xf numFmtId="0" fontId="3" fillId="3" borderId="0" applyAlignment="1" applyProtection="1" pivotButton="0" quotePrefix="0" xfId="0">
      <alignment vertical="top"/>
      <protection locked="0" hidden="0"/>
    </xf>
    <xf numFmtId="1" fontId="2" fillId="3" borderId="0" applyAlignment="1" applyProtection="1" pivotButton="0" quotePrefix="0" xfId="0">
      <alignment vertical="top"/>
      <protection locked="0" hidden="0"/>
    </xf>
    <xf numFmtId="168" fontId="2" fillId="3" borderId="0" applyAlignment="1" applyProtection="1" pivotButton="0" quotePrefix="0" xfId="0">
      <alignment vertical="top"/>
      <protection locked="0" hidden="0"/>
    </xf>
    <xf numFmtId="169" fontId="2" fillId="3" borderId="0" applyAlignment="1" applyProtection="1" pivotButton="0" quotePrefix="0" xfId="0">
      <alignment vertical="top"/>
      <protection locked="0" hidden="0"/>
    </xf>
    <xf numFmtId="164" fontId="3" fillId="3" borderId="0" applyAlignment="1" applyProtection="1" pivotButton="0" quotePrefix="0" xfId="0">
      <alignment vertical="top"/>
      <protection locked="0" hidden="0"/>
    </xf>
    <xf numFmtId="167" fontId="3" fillId="0" borderId="0" applyAlignment="1" pivotButton="0" quotePrefix="0" xfId="0">
      <alignment vertical="top"/>
    </xf>
    <xf numFmtId="165" fontId="3"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1"/>
  <sheetViews>
    <sheetView showGridLines="0" workbookViewId="0">
      <selection activeCell="A1" sqref="A1"/>
    </sheetView>
  </sheetViews>
  <sheetFormatPr baseColWidth="8" defaultRowHeight="15"/>
  <cols>
    <col width="62" customWidth="1" min="1" max="1"/>
    <col width="19" customWidth="1" min="2" max="2"/>
    <col width="19" customWidth="1" min="3" max="3"/>
    <col width="19" customWidth="1" min="4" max="4"/>
    <col width="19" customWidth="1" min="5" max="5"/>
    <col width="72" customWidth="1" min="6" max="6"/>
  </cols>
  <sheetData>
    <row r="1">
      <c r="A1" s="1" t="inlineStr">
        <is>
          <t>CALCULADORA DEL PESCADO — COSTE POR KILO ÚTIL, POR LONCHA, POR CORTE Y POR ROLL</t>
        </is>
      </c>
    </row>
    <row r="2" ht="32" customHeight="1">
      <c r="A2" s="2" t="inlineStr">
        <is>
          <t>Escribe solo en las celdas VERDES: todo lo demás se calcula. Importes sin IVA. Todos los valores por defecto son una estimación del kit, editable: cámbialos por los de tu proveedor y, sobre todo, por lo que midas en tus propios pescados.</t>
        </is>
      </c>
    </row>
    <row r="3" ht="64" customHeight="1">
      <c r="A3" s="3" t="inlineStr">
        <is>
          <t>AVISO FIJO. Anisakis (RD 1021/2022, art. 8): el pescado que se sirve crudo o casi crudo se congela a −20 °C o menos durante al menos 24 horas, o a −35 °C o menos durante al menos 15 horas, en la totalidad del producto; la acuicultura queda exenta solo con documento escrito del proveedor, y hay que informar al cliente en la carta o en un cartel (art. 8.2). Los minutos de limpieza (25) no tienen fuente: mídelos.</t>
        </is>
      </c>
    </row>
    <row r="5" ht="62" customHeight="1">
      <c r="A5" s="4" t="inlineStr">
        <is>
          <t>A. TRES PESCADOS Y UNO LIBRE</t>
        </is>
      </c>
      <c r="B5" s="5" t="inlineStr">
        <is>
          <t>Salmón entero de acuicultura</t>
        </is>
      </c>
      <c r="C5" s="5" t="inlineStr">
        <is>
          <t>Lomo de salmón comprado limpio</t>
        </is>
      </c>
      <c r="D5" s="5" t="inlineStr">
        <is>
          <t>Atún aleta amarilla en saku ultracongelado</t>
        </is>
      </c>
      <c r="E5" s="5" t="inlineStr">
        <is>
          <t>Otro pescado (escribe el tuyo)</t>
        </is>
      </c>
      <c r="F5" s="4" t="inlineStr">
        <is>
          <t>Notas</t>
        </is>
      </c>
    </row>
    <row r="6" ht="60" customHeight="1">
      <c r="A6" s="6" t="inlineStr">
        <is>
          <t>Precio de compra (€/kg, sin IVA)</t>
        </is>
      </c>
      <c r="B6" s="7" t="n">
        <v>9.5</v>
      </c>
      <c r="C6" s="7" t="n">
        <v>21.8</v>
      </c>
      <c r="D6" s="7" t="n">
        <v>26</v>
      </c>
      <c r="E6" s="7" t="n">
        <v>18</v>
      </c>
      <c r="F6" s="2" t="inlineStr">
        <is>
          <t>Salmón noruego entero de acuicultura: unos 11,95 €/kg en minorista y 6-7,5 € en origen; lomo o filete congelado, de 20,7 a 21,8 €/kg (Makro); el atún aleta amarilla en saku ultracongelado no tiene precio publicado en España. El kit pone 9,50 · 21,80 · 26,00 €/kg. Estimación del kit, editable.</t>
        </is>
      </c>
    </row>
    <row r="7" ht="60" customHeight="1">
      <c r="A7" s="6" t="inlineStr">
        <is>
          <t>Rendimiento: lomo limpio sobre el peso comprado</t>
        </is>
      </c>
      <c r="B7" s="8" t="n">
        <v>0.55</v>
      </c>
      <c r="C7" s="8" t="n">
        <v>0.92</v>
      </c>
      <c r="D7" s="8" t="n">
        <v>0.9</v>
      </c>
      <c r="E7" s="8" t="n">
        <v>0.8</v>
      </c>
      <c r="F7" s="2" t="inlineStr">
        <is>
          <t>Parte del pescado entero que queda como lomo limpio para sushi: de 50 a 60 % en el salmón entero. Mídelo con 3 salmones (hoja «Instrucciones»). En el atún en saku es la parte que se aprovecha al cortar. Estimación del kit, editable.</t>
        </is>
      </c>
    </row>
    <row r="8" ht="30" customHeight="1">
      <c r="A8" s="6" t="inlineStr">
        <is>
          <t>Recorte que reaprovechas (% del peso comprado)</t>
        </is>
      </c>
      <c r="B8" s="8" t="n">
        <v>0.15</v>
      </c>
      <c r="C8" s="8" t="n">
        <v>0.03</v>
      </c>
      <c r="D8" s="8" t="n">
        <v>0.05</v>
      </c>
      <c r="E8" s="8" t="n">
        <v>0.05</v>
      </c>
      <c r="F8" s="2" t="inlineStr">
        <is>
          <t>Recorte que reaprovechas (tartar, maki, poke), en % del peso comprado. Lo que tiras no cuenta aquí. Estimación del kit, editable.</t>
        </is>
      </c>
    </row>
    <row r="10">
      <c r="A10" s="4" t="inlineStr">
        <is>
          <t>B. DATOS COMUNES</t>
        </is>
      </c>
      <c r="B10" s="4" t="inlineStr">
        <is>
          <t>Valor</t>
        </is>
      </c>
      <c r="C10" s="4" t="inlineStr">
        <is>
          <t>Notas</t>
        </is>
      </c>
    </row>
    <row r="11" ht="16" customHeight="1">
      <c r="A11" s="6" t="inlineStr">
        <is>
          <t>Merma de vitrina (% del pescado cortado que no se vende)</t>
        </is>
      </c>
      <c r="B11" s="8" t="n">
        <v>0.05</v>
      </c>
      <c r="C11" s="2" t="inlineStr">
        <is>
          <t>Lo que se queda en la vitrina o en el pase y se tira al cierre. Estimación del kit, editable.</t>
        </is>
      </c>
    </row>
    <row r="12" ht="16" customHeight="1">
      <c r="A12" s="6" t="inlineStr">
        <is>
          <t>Gramos de neta por loncha de nigiri (g)</t>
        </is>
      </c>
      <c r="B12" s="9" t="n">
        <v>15</v>
      </c>
      <c r="C12" s="2" t="inlineStr">
        <is>
          <t>Criterio del plan: pesa 10 lonchas y usa la media. Estimación del kit, editable.</t>
        </is>
      </c>
    </row>
    <row r="13" ht="16" customHeight="1">
      <c r="A13" s="6" t="inlineStr">
        <is>
          <t>Gramos por corte de sashimi (g)</t>
        </is>
      </c>
      <c r="B13" s="9" t="n">
        <v>15</v>
      </c>
      <c r="C13" s="2" t="inlineStr">
        <is>
          <t>Pesa 10 cortes y usa la media. Estimación del kit, editable.</t>
        </is>
      </c>
    </row>
    <row r="14" ht="16" customHeight="1">
      <c r="A14" s="6" t="inlineStr">
        <is>
          <t>Gramos de pescado por roll (g)</t>
        </is>
      </c>
      <c r="B14" s="9" t="n">
        <v>40</v>
      </c>
      <c r="C14" s="2" t="inlineStr">
        <is>
          <t>Un uramaki o un maki de 8 piezas con pescado dentro. Estimación del kit, editable.</t>
        </is>
      </c>
    </row>
    <row r="15" ht="16" customHeight="1">
      <c r="A15" s="6" t="inlineStr">
        <is>
          <t>Minutos de limpieza de un pescado entero (min)</t>
        </is>
      </c>
      <c r="B15" s="9" t="n">
        <v>25</v>
      </c>
      <c r="C15" s="2" t="inlineStr">
        <is>
          <t>Sin fuente: mídelo. Cronometra la limpieza de 3 piezas y usa la media. Estimación del kit, editable.</t>
        </is>
      </c>
    </row>
    <row r="16" ht="16" customHeight="1">
      <c r="A16" s="6" t="inlineStr">
        <is>
          <t>Coste por hora del itamae (€/h)</t>
        </is>
      </c>
      <c r="B16" s="7" t="n">
        <v>22</v>
      </c>
      <c r="C16" s="2" t="inlineStr">
        <is>
          <t>2.200 € brutos × 14 pagas + 33 % de cargas ÷ 1.840 h ≈ 22 €/h. Estimación del kit, editable.</t>
        </is>
      </c>
    </row>
    <row r="17" ht="16" customHeight="1">
      <c r="A17" s="6" t="inlineStr">
        <is>
          <t>Peso de una pieza entera (kg)</t>
        </is>
      </c>
      <c r="B17" s="10" t="n">
        <v>5</v>
      </c>
      <c r="C17" s="2" t="inlineStr">
        <is>
          <t>Salmón entero de acuicultura de unos 5 kg. Estimación del kit, editable.</t>
        </is>
      </c>
    </row>
    <row r="18" ht="32" customHeight="1">
      <c r="A18" s="6" t="inlineStr">
        <is>
          <t>¿Congelación anti-anisakis o documento? (desplegable)</t>
        </is>
      </c>
      <c r="B18" s="11" t="inlineStr">
        <is>
          <t>Congelo yo: −20 °C ≥ 24 h o −35 °C ≥ 15 h</t>
        </is>
      </c>
      <c r="C18" s="12" t="n"/>
      <c r="D18" s="12" t="n"/>
      <c r="E18" s="12" t="n"/>
    </row>
    <row r="19" ht="16" customHeight="1">
      <c r="A19" s="6" t="inlineStr">
        <is>
          <t>Gramos por kilo (constante)</t>
        </is>
      </c>
      <c r="B19" s="13" t="n">
        <v>1000</v>
      </c>
      <c r="C19" s="2" t="inlineStr">
        <is>
          <t>Constante: un kilo son 1.000 gramos. No se edita.</t>
        </is>
      </c>
    </row>
    <row r="20" ht="16" customHeight="1">
      <c r="A20" s="6" t="inlineStr">
        <is>
          <t>Minutos por hora (constante)</t>
        </is>
      </c>
      <c r="B20" s="13" t="n">
        <v>60</v>
      </c>
      <c r="C20" s="2" t="inlineStr">
        <is>
          <t>Constante: una hora son 60 minutos. No se edita.</t>
        </is>
      </c>
    </row>
    <row r="22" ht="62" customHeight="1">
      <c r="A22" s="4" t="inlineStr">
        <is>
          <t>C. COSTE POR KG ÚTIL Y POR PIEZA</t>
        </is>
      </c>
      <c r="B22" s="3" t="str">
        <f>B5</f>
        <v>Salmón entero de acuicultura</v>
      </c>
      <c r="C22" s="3" t="str">
        <f>C5</f>
        <v>Lomo de salmón comprado limpio</v>
      </c>
      <c r="D22" s="3" t="str">
        <f>D5</f>
        <v>Atún aleta amarilla en saku ultracongelado</v>
      </c>
      <c r="E22" s="3" t="str">
        <f>E5</f>
        <v>Otro pescado (escribe el tuyo)</v>
      </c>
      <c r="F22" s="4" t="inlineStr">
        <is>
          <t>Notas</t>
        </is>
      </c>
    </row>
    <row r="23" ht="16" customHeight="1">
      <c r="A23" s="6" t="inlineStr">
        <is>
          <t>Parte aprovechada (rendimiento + recorte)</t>
        </is>
      </c>
      <c r="B23" s="14">
        <f>B$7+B$8</f>
        <v>0.7000000000000001</v>
      </c>
      <c r="C23" s="14">
        <f>C$7+C$8</f>
        <v>0.9500000000000001</v>
      </c>
      <c r="D23" s="14">
        <f>D$7+D$8</f>
        <v>0.9500000000000001</v>
      </c>
      <c r="E23" s="14">
        <f>E$7+E$8</f>
        <v>0.8500000000000001</v>
      </c>
      <c r="F23" s="2" t="inlineStr">
        <is>
          <t>Lomo + recorte que reaprovechas.</t>
        </is>
      </c>
    </row>
    <row r="24" ht="16" customHeight="1">
      <c r="A24" s="15" t="inlineStr">
        <is>
          <t>COSTE POR KG ÚTIL (€)</t>
        </is>
      </c>
      <c r="B24" s="16">
        <f>B$6/B$23/(1-$B$11)</f>
        <v>14.285714285714285</v>
      </c>
      <c r="C24" s="16">
        <f>C$6/C$23/(1-$B$11)</f>
        <v>24.155124653739612</v>
      </c>
      <c r="D24" s="16">
        <f>D$6/D$23/(1-$B$11)</f>
        <v>28.80886426592798</v>
      </c>
      <c r="E24" s="16">
        <f>E$6/E$23/(1-$B$11)</f>
        <v>22.291021671826627</v>
      </c>
      <c r="F24" s="2" t="inlineStr">
        <is>
          <t>Precio ÷ (rendimiento + recorte) ÷ (1 − merma de vitrina).</t>
        </is>
      </c>
    </row>
    <row r="25" ht="16" customHeight="1">
      <c r="A25" s="6" t="inlineStr">
        <is>
          <t>Coste de una loncha de nigiri (€)</t>
        </is>
      </c>
      <c r="B25" s="17">
        <f>B$24*$B$12/$B$19</f>
        <v>0.21428571428571427</v>
      </c>
      <c r="C25" s="17">
        <f>C$24*$B$12/$B$19</f>
        <v>0.3623268698060942</v>
      </c>
      <c r="D25" s="17">
        <f>D$24*$B$12/$B$19</f>
        <v>0.4321329639889197</v>
      </c>
      <c r="E25" s="17">
        <f>E$24*$B$12/$B$19</f>
        <v>0.3343653250773994</v>
      </c>
      <c r="F25" s="2" t="inlineStr">
        <is>
          <t>Coste por kg útil × gramos ÷ 1.000.</t>
        </is>
      </c>
    </row>
    <row r="26" ht="16" customHeight="1">
      <c r="A26" s="6" t="inlineStr">
        <is>
          <t>Coste de un corte de sashimi (€)</t>
        </is>
      </c>
      <c r="B26" s="17">
        <f>B$24*$B$13/$B$19</f>
        <v>0.21428571428571427</v>
      </c>
      <c r="C26" s="17">
        <f>C$24*$B$13/$B$19</f>
        <v>0.3623268698060942</v>
      </c>
      <c r="D26" s="17">
        <f>D$24*$B$13/$B$19</f>
        <v>0.4321329639889197</v>
      </c>
      <c r="E26" s="17">
        <f>E$24*$B$13/$B$19</f>
        <v>0.3343653250773994</v>
      </c>
      <c r="F26" s="2" t="inlineStr">
        <is>
          <t>Coste por kg útil × gramos ÷ 1.000.</t>
        </is>
      </c>
    </row>
    <row r="27" ht="16" customHeight="1">
      <c r="A27" s="6" t="inlineStr">
        <is>
          <t>Coste del pescado de un roll (€)</t>
        </is>
      </c>
      <c r="B27" s="17">
        <f>B$24*$B$14/$B$19</f>
        <v>0.5714285714285713</v>
      </c>
      <c r="C27" s="17">
        <f>C$24*$B$14/$B$19</f>
        <v>0.9662049861495846</v>
      </c>
      <c r="D27" s="17">
        <f>D$24*$B$14/$B$19</f>
        <v>1.1523545706371192</v>
      </c>
      <c r="E27" s="17">
        <f>E$24*$B$14/$B$19</f>
        <v>0.8916408668730651</v>
      </c>
      <c r="F27" s="2" t="inlineStr">
        <is>
          <t>Coste por kg útil × gramos ÷ 1.000.</t>
        </is>
      </c>
    </row>
    <row r="29">
      <c r="A29" s="4" t="inlineStr">
        <is>
          <t>D. ¿ENTERO O LOMO LIMPIO?</t>
        </is>
      </c>
      <c r="B29" s="4" t="inlineStr">
        <is>
          <t>Valor</t>
        </is>
      </c>
      <c r="C29" s="4" t="inlineStr">
        <is>
          <t>Notas</t>
        </is>
      </c>
    </row>
    <row r="30" ht="16" customHeight="1">
      <c r="A30" s="2" t="inlineStr">
        <is>
          <t>Coste de limpiar una pieza entera (€)</t>
        </is>
      </c>
      <c r="B30" s="18">
        <f>$B$15/$B$20*$B$16</f>
        <v>9.166666666666668</v>
      </c>
      <c r="C30" s="2" t="inlineStr">
        <is>
          <t>Minutos de limpieza ÷ 60 × coste por hora del itamae.</t>
        </is>
      </c>
    </row>
    <row r="31" ht="16" customHeight="1">
      <c r="A31" s="2" t="inlineStr">
        <is>
          <t>Kilos útiles de una pieza entera (kg)</t>
        </is>
      </c>
      <c r="B31" s="19">
        <f>$B$17*$B$7</f>
        <v>2.75</v>
      </c>
      <c r="C31" s="2" t="inlineStr">
        <is>
          <t>Peso de la pieza × rendimiento del salmón entero.</t>
        </is>
      </c>
    </row>
    <row r="32" ht="16" customHeight="1">
      <c r="A32" s="20" t="inlineStr">
        <is>
          <t>MANO DE OBRA DE LIMPIEZA POR KG ÚTIL (€)</t>
        </is>
      </c>
      <c r="B32" s="16">
        <f>$B$30/$B$31</f>
        <v>3.333333333333334</v>
      </c>
      <c r="C32" s="2" t="inlineStr">
        <is>
          <t>Coste de limpiar una pieza ÷ kilos útiles.</t>
        </is>
      </c>
    </row>
    <row r="33" ht="16" customHeight="1">
      <c r="A33" s="2" t="inlineStr">
        <is>
          <t>Coste por kg útil del entero con la limpieza incluida (€)</t>
        </is>
      </c>
      <c r="B33" s="18">
        <f>$B$24+$B$32</f>
        <v>17.61904761904762</v>
      </c>
      <c r="C33" s="2" t="inlineStr">
        <is>
          <t>Coste por kg útil + mano de obra por kg útil.</t>
        </is>
      </c>
    </row>
    <row r="34" ht="32" customHeight="1">
      <c r="A34" s="20" t="inlineStr">
        <is>
          <t>EL ENTERO TE COMPENSA MIENTRAS LIMPIARLO CUESTE MENOS DE (€ por kg útil)</t>
        </is>
      </c>
      <c r="B34" s="16">
        <f>$C$24-$B$24</f>
        <v>9.869410368025328</v>
      </c>
      <c r="C34" s="2" t="inlineStr">
        <is>
          <t>Coste por kg útil del lomo comprado − coste por kg útil del entero.</t>
        </is>
      </c>
    </row>
    <row r="35" ht="32" customHeight="1">
      <c r="A35" s="20" t="inlineStr">
        <is>
          <t>Veredicto con tu mano de obra</t>
        </is>
      </c>
      <c r="B35" s="20" t="str">
        <f>IF($B$32&lt;$B$34,"El entero compensa","Compra el lomo limpio")</f>
        <v>El entero compensa</v>
      </c>
      <c r="C35" s="2" t="inlineStr">
        <is>
          <t>El entero compensa si limpiarlo cuesta menos que esa diferencia.</t>
        </is>
      </c>
    </row>
    <row r="36" ht="48" customHeight="1">
      <c r="A36" s="2" t="inlineStr">
        <is>
          <t>Recordatorio de tu caso de congelación</t>
        </is>
      </c>
      <c r="B36" s="2" t="str">
        <f>INDEX($B$39:$B$41,MATCH($B$18,$A$39:$A$41,0))</f>
        <v>RD 1021/2022, art. 8: −20 °C o menos durante al menos 24 h, o −35 °C o menos durante al menos 15 h, en la totalidad del producto. Registra temperatura y horas de cada lote.</v>
      </c>
    </row>
    <row r="38">
      <c r="A38" s="4" t="inlineStr">
        <is>
          <t>LISTA DEL DESPLEGABLE DE CONGELACIÓN</t>
        </is>
      </c>
      <c r="B38" s="4" t="inlineStr">
        <is>
          <t>Recordatorio</t>
        </is>
      </c>
    </row>
    <row r="39" ht="32" customHeight="1">
      <c r="A39" s="2" t="inlineStr">
        <is>
          <t>Congelo yo: −20 °C ≥ 24 h o −35 °C ≥ 15 h</t>
        </is>
      </c>
      <c r="B39" s="2" t="inlineStr">
        <is>
          <t>RD 1021/2022, art. 8: −20 °C o menos durante al menos 24 h, o −35 °C o menos durante al menos 15 h, en la totalidad del producto. Registra temperatura y horas de cada lote.</t>
        </is>
      </c>
    </row>
    <row r="40" ht="32" customHeight="1">
      <c r="A40" s="2" t="inlineStr">
        <is>
          <t>Llega congelado con documento del proveedor</t>
        </is>
      </c>
      <c r="B40" s="2" t="inlineStr">
        <is>
          <t>Guarda el documento del proveedor de cada lote: tiene que acreditar que el pescado se ha congelado a esas temperaturas y horas.</t>
        </is>
      </c>
    </row>
    <row r="41" ht="32" customHeight="1">
      <c r="A41" s="2" t="inlineStr">
        <is>
          <t>Acuicultura con documento escrito</t>
        </is>
      </c>
      <c r="B41" s="2" t="inlineStr">
        <is>
          <t>La acuicultura queda exenta solo con el documento escrito del proveedor. Archívalo con el albarán y pídelo de nuevo si cambia de origen.</t>
        </is>
      </c>
    </row>
  </sheetData>
  <sheetProtection selectLockedCells="0" selectUnlockedCells="0" sheet="1" objects="0" insertRows="1" insertHyperlinks="1" autoFilter="1" scenarios="0" formatColumns="1" deleteColumns="1" insertColumns="1" pivotTables="1" deleteRows="1" formatCells="1" formatRows="1" sort="1"/>
  <mergeCells count="24">
    <mergeCell ref="C17:F17"/>
    <mergeCell ref="C32:F32"/>
    <mergeCell ref="A3:F3"/>
    <mergeCell ref="C19:F19"/>
    <mergeCell ref="B36:E36"/>
    <mergeCell ref="C13:F13"/>
    <mergeCell ref="A2:F2"/>
    <mergeCell ref="C18:F18"/>
    <mergeCell ref="B39:F39"/>
    <mergeCell ref="C34:F34"/>
    <mergeCell ref="C30:F30"/>
    <mergeCell ref="C15:F15"/>
    <mergeCell ref="C33:F33"/>
    <mergeCell ref="B41:F41"/>
    <mergeCell ref="C14:F14"/>
    <mergeCell ref="B18:E18"/>
    <mergeCell ref="C35:F35"/>
    <mergeCell ref="C20:F20"/>
    <mergeCell ref="C16:F16"/>
    <mergeCell ref="B40:F40"/>
    <mergeCell ref="C31:F31"/>
    <mergeCell ref="C12:F12"/>
    <mergeCell ref="C11:F11"/>
    <mergeCell ref="C36:F36"/>
  </mergeCells>
  <conditionalFormatting sqref="B35">
    <cfRule type="expression" priority="1" dxfId="0">
      <formula>$B$35="El entero compensa"</formula>
    </cfRule>
    <cfRule type="expression" priority="2" dxfId="1">
      <formula>$B$35="Compra el lomo limpio"</formula>
    </cfRule>
  </conditionalFormatting>
  <dataValidations count="6">
    <dataValidation sqref="B6 C6 D6 E6" showDropDown="0" showInputMessage="0" showErrorMessage="1" allowBlank="0" errorTitle="Valor no válido" error="Escribe un número mayor que 0." type="decimal" operator="greaterThan">
      <formula1>0</formula1>
    </dataValidation>
    <dataValidation sqref="B7 C7 D7 E7" showDropDown="0" showInputMessage="0" showErrorMessage="1" allowBlank="0" errorTitle="Rendimiento no válido" error="Escribe entre 0,3 y 1 (0,55 = 55 %)." type="decimal" operator="between">
      <formula1>0.3</formula1>
      <formula2>1</formula2>
    </dataValidation>
    <dataValidation sqref="B8 B11 C8 D8 E8" showDropDown="0" showInputMessage="0" showErrorMessage="1" allowBlank="0" errorTitle="Porcentaje no válido" error="Escribe un porcentaje entre 0 y 0,5 (0,05 = 5 %)." type="decimal" operator="between">
      <formula1>0</formula1>
      <formula2>0.5</formula2>
    </dataValidation>
    <dataValidation sqref="B12 B13 B14 B17" showDropDown="0" showInputMessage="0" showErrorMessage="1" allowBlank="0" errorTitle="Valor no válido" error="Escribe un número mayor que 0." type="decimal" operator="greaterThan">
      <formula1>0</formula1>
    </dataValidation>
    <dataValidation sqref="B15 B16" showDropDown="0" showInputMessage="0" showErrorMessage="1" allowBlank="0" errorTitle="Valor no válido" error="Escribe un número mayor o igual que 0." type="decimal" operator="greaterThanOrEqual">
      <formula1>0</formula1>
    </dataValidation>
    <dataValidation sqref="B18" showDropDown="0" showInputMessage="0" showErrorMessage="1" allowBlank="0" errorTitle="Opción no válida" error="Elige una opción de la lista." type="list">
      <formula1>$A$39:$A$41</formula1>
    </dataValidation>
  </dataValidations>
  <printOptions horizontalCentered="1"/>
  <pageMargins left="0.75" right="0.75" top="1" bottom="1" header="0.5" footer="0.5"/>
  <pageSetup orientation="landscape" paperSize="9" fitToHeight="0" fitToWidth="1"/>
  <headerFooter>
    <oddHeader/>
    <oddFooter>&amp;Caichef.pro/plan-negocio-sushi-bar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4"/>
  <sheetViews>
    <sheetView showGridLines="0" workbookViewId="0">
      <selection activeCell="A1" sqref="A1"/>
    </sheetView>
  </sheetViews>
  <sheetFormatPr baseColWidth="8" defaultRowHeight="15"/>
  <cols>
    <col width="60" customWidth="1" min="1" max="1"/>
    <col width="15" customWidth="1" min="2" max="2"/>
    <col width="15" customWidth="1" min="3" max="3"/>
    <col width="16" customWidth="1" min="4" max="4"/>
    <col width="14" customWidth="1" min="5" max="5"/>
    <col width="14" customWidth="1" min="6" max="6"/>
    <col width="14" customWidth="1" min="7" max="7"/>
    <col width="12" customWidth="1" min="8" max="8"/>
    <col width="15" customWidth="1" min="9" max="9"/>
  </cols>
  <sheetData>
    <row r="1">
      <c r="A1" s="1" t="inlineStr">
        <is>
          <t>CALCULADORA DEL ARROZ — CUÁNTO SHARI SALE DE UN KILO, CUÁNTO CUESTA Y CUÁNTO COMPRAR AL DÍA</t>
        </is>
      </c>
    </row>
    <row r="2" ht="32" customHeight="1">
      <c r="A2" s="2" t="inlineStr">
        <is>
          <t>Escribe solo en las celdas VERDES: todo lo demás se calcula. Importes sin IVA. Todos los valores por defecto son una estimación del kit, editable: pesa tus bolas de shari y cambia los gramos por los tuyos.</t>
        </is>
      </c>
    </row>
    <row r="3" ht="36" customHeight="1">
      <c r="A3" s="3" t="inlineStr">
        <is>
          <t>AVISO FIJO. El pH de cada tanda se registra en el Kit de Tareas Sushi Bar (hoja 03). El shari a temperatura ambiente, sólo si tu APPCC lo justifica con el pH de cada tanda y un tiempo máximo y lo demuestras a sanidad (RD 1086/2020, art. 30.5); si no, refrigerado.</t>
        </is>
      </c>
    </row>
    <row r="5">
      <c r="A5" s="4" t="inlineStr">
        <is>
          <t>A. EL ARROZ Y EL SHARI</t>
        </is>
      </c>
      <c r="B5" s="4" t="inlineStr">
        <is>
          <t>Valor</t>
        </is>
      </c>
      <c r="C5" s="4" t="inlineStr">
        <is>
          <t>Notas</t>
        </is>
      </c>
    </row>
    <row r="6" ht="30" customHeight="1">
      <c r="A6" s="6" t="inlineStr">
        <is>
          <t>Arroz crudo para sushi (€/kg, sin IVA)</t>
        </is>
      </c>
      <c r="B6" s="7" t="n">
        <v>1.85</v>
      </c>
      <c r="C6" s="2" t="inlineStr">
        <is>
          <t>Entre 1,81 €/kg (METRO Chef, 5 kg) y 1,85 €/kg (DACSA, 5 kg); otra marca, a 2,50 €/kg en saco de 20 kg. Estimación del kit, editable.</t>
        </is>
      </c>
    </row>
    <row r="7" ht="16" customHeight="1">
      <c r="A7" s="6" t="inlineStr">
        <is>
          <t>Factor de arroz crudo a cocido (×)</t>
        </is>
      </c>
      <c r="B7" s="10" t="n">
        <v>2.2</v>
      </c>
      <c r="C7" s="2" t="inlineStr">
        <is>
          <t>Un kilo de arroz crudo da 2,2 kg de arroz cocido. Estimación del kit, editable.</t>
        </is>
      </c>
    </row>
    <row r="8" ht="16" customHeight="1">
      <c r="A8" s="6" t="inlineStr">
        <is>
          <t>Sushi-zu (aliño de vinagre) por kg de arroz cocido (ml)</t>
        </is>
      </c>
      <c r="B8" s="21" t="n">
        <v>100</v>
      </c>
      <c r="C8" s="2" t="inlineStr">
        <is>
          <t>Vinagre de arroz, azúcar y sal: unos 100 ml por kilo de arroz cocido. Estimación del kit, editable.</t>
        </is>
      </c>
    </row>
    <row r="9" ht="16" customHeight="1">
      <c r="A9" s="6" t="inlineStr">
        <is>
          <t>Sushi-zu (€/l, sin IVA)</t>
        </is>
      </c>
      <c r="B9" s="7" t="n">
        <v>4.4</v>
      </c>
      <c r="C9" s="2" t="inlineStr">
        <is>
          <t>Vinagre, azúcar y sal. Estimación del kit, editable.</t>
        </is>
      </c>
    </row>
    <row r="10" ht="16" customHeight="1">
      <c r="A10" s="6" t="inlineStr">
        <is>
          <t>Gramos de shari por nigiri (g)</t>
        </is>
      </c>
      <c r="B10" s="9" t="n">
        <v>20</v>
      </c>
      <c r="C10" s="2" t="inlineStr">
        <is>
          <t>Shari es el arroz ya aliñado. Pesa 10 bolas y usa la media. Estimación del kit, editable.</t>
        </is>
      </c>
    </row>
    <row r="11" ht="16" customHeight="1">
      <c r="A11" s="6" t="inlineStr">
        <is>
          <t>Gramos de shari por hosomaki (g)</t>
        </is>
      </c>
      <c r="B11" s="9" t="n">
        <v>70</v>
      </c>
      <c r="C11" s="2" t="inlineStr">
        <is>
          <t>Un rollo fino de 6 piezas. Estimación del kit, editable.</t>
        </is>
      </c>
    </row>
    <row r="12" ht="16" customHeight="1">
      <c r="A12" s="6" t="inlineStr">
        <is>
          <t>Gramos de shari por uramaki (g)</t>
        </is>
      </c>
      <c r="B12" s="9" t="n">
        <v>120</v>
      </c>
      <c r="C12" s="2" t="inlineStr">
        <is>
          <t>Un rollo de 8 piezas. Estimación del kit, editable.</t>
        </is>
      </c>
    </row>
    <row r="13" ht="16" customHeight="1">
      <c r="A13" s="6" t="inlineStr">
        <is>
          <t>Gramos de shari por temaki (g)</t>
        </is>
      </c>
      <c r="B13" s="9" t="n">
        <v>60</v>
      </c>
      <c r="C13" s="2" t="inlineStr">
        <is>
          <t>Un cono. Estimación del kit, editable.</t>
        </is>
      </c>
    </row>
    <row r="14" ht="16" customHeight="1">
      <c r="A14" s="6" t="inlineStr">
        <is>
          <t>Gramos de shari por poke (g)</t>
        </is>
      </c>
      <c r="B14" s="9" t="n">
        <v>150</v>
      </c>
      <c r="C14" s="2" t="inlineStr">
        <is>
          <t>Un bol. Estimación del kit, editable.</t>
        </is>
      </c>
    </row>
    <row r="15" ht="16" customHeight="1">
      <c r="A15" s="6" t="inlineStr">
        <is>
          <t>Nori (€ por hoja, sin IVA)</t>
        </is>
      </c>
      <c r="B15" s="22" t="n">
        <v>0.26</v>
      </c>
      <c r="C15" s="2" t="inlineStr">
        <is>
          <t>Nori Gold, 100 hojas por 25,95 € = 0,26 €/hoja. Estimación del kit, editable.</t>
        </is>
      </c>
    </row>
    <row r="16" ht="16" customHeight="1">
      <c r="A16" s="6" t="inlineStr">
        <is>
          <t>Hojas de nori por nigiri</t>
        </is>
      </c>
      <c r="B16" s="10" t="n">
        <v>0.05</v>
      </c>
      <c r="C16" s="2" t="inlineStr">
        <is>
          <t>La tira que ata el nigiri. Estimación del kit, editable.</t>
        </is>
      </c>
    </row>
    <row r="17" ht="16" customHeight="1">
      <c r="A17" s="6" t="inlineStr">
        <is>
          <t>Hojas de nori por hosomaki</t>
        </is>
      </c>
      <c r="B17" s="10" t="n">
        <v>0.5</v>
      </c>
      <c r="C17" s="2" t="inlineStr">
        <is>
          <t>Media hoja por rollo. Estimación del kit, editable.</t>
        </is>
      </c>
    </row>
    <row r="18" ht="16" customHeight="1">
      <c r="A18" s="6" t="inlineStr">
        <is>
          <t>Hojas de nori por uramaki</t>
        </is>
      </c>
      <c r="B18" s="10" t="n">
        <v>0.5</v>
      </c>
      <c r="C18" s="2" t="inlineStr">
        <is>
          <t>Media hoja por rollo. Estimación del kit, editable.</t>
        </is>
      </c>
    </row>
    <row r="19" ht="16" customHeight="1">
      <c r="A19" s="6" t="inlineStr">
        <is>
          <t>Hojas de nori por temaki</t>
        </is>
      </c>
      <c r="B19" s="10" t="n">
        <v>0.5</v>
      </c>
      <c r="C19" s="2" t="inlineStr">
        <is>
          <t>Media hoja por cono. Estimación del kit, editable.</t>
        </is>
      </c>
    </row>
    <row r="20" ht="16" customHeight="1">
      <c r="A20" s="6" t="inlineStr">
        <is>
          <t>Hojas de nori por poke</t>
        </is>
      </c>
      <c r="B20" s="10" t="n">
        <v>0.1</v>
      </c>
      <c r="C20" s="2" t="inlineStr">
        <is>
          <t>Un toque de nori cortado por encima. Estimación del kit, editable.</t>
        </is>
      </c>
    </row>
    <row r="21" ht="16" customHeight="1">
      <c r="A21" s="6" t="inlineStr">
        <is>
          <t>Shari que se tira al cierre (%)</t>
        </is>
      </c>
      <c r="B21" s="8" t="n">
        <v>0.05</v>
      </c>
      <c r="C21" s="2" t="inlineStr">
        <is>
          <t>Lo que sobra y no se puede guardar. Estimación del kit, editable.</t>
        </is>
      </c>
    </row>
    <row r="22" ht="16" customHeight="1">
      <c r="A22" s="6" t="inlineStr">
        <is>
          <t>Comensales al día</t>
        </is>
      </c>
      <c r="B22" s="21" t="n">
        <v>79</v>
      </c>
      <c r="C22" s="2" t="inlineStr">
        <is>
          <t>El del caso del plan de negocio. Cámbialo por el tuyo. Estimación del kit, editable.</t>
        </is>
      </c>
    </row>
    <row r="23" ht="16" customHeight="1">
      <c r="A23" s="6" t="inlineStr">
        <is>
          <t>Gramos de shari por comensal (g)</t>
        </is>
      </c>
      <c r="B23" s="9" t="n">
        <v>150</v>
      </c>
      <c r="C23" s="2" t="inlineStr">
        <is>
          <t>Piezas por comensal × gramos por pieza. Estimación del kit, editable.</t>
        </is>
      </c>
    </row>
    <row r="24" ht="16" customHeight="1">
      <c r="A24" s="6" t="inlineStr">
        <is>
          <t>Gramos por kilo (constante)</t>
        </is>
      </c>
      <c r="B24" s="13" t="n">
        <v>1000</v>
      </c>
      <c r="C24" s="2" t="inlineStr">
        <is>
          <t>Constante: un kilo son 1.000 gramos. No se edita.</t>
        </is>
      </c>
    </row>
    <row r="25" ht="16" customHeight="1">
      <c r="A25" s="6" t="inlineStr">
        <is>
          <t>Mililitros por litro (constante)</t>
        </is>
      </c>
      <c r="B25" s="13" t="n">
        <v>1000</v>
      </c>
      <c r="C25" s="2" t="inlineStr">
        <is>
          <t>Constante: un litro son 1.000 ml. No se edita.</t>
        </is>
      </c>
    </row>
    <row r="27">
      <c r="A27" s="4" t="inlineStr">
        <is>
          <t>RESULTADOS</t>
        </is>
      </c>
      <c r="B27" s="4" t="inlineStr">
        <is>
          <t>Valor</t>
        </is>
      </c>
      <c r="C27" s="4" t="inlineStr">
        <is>
          <t>Notas</t>
        </is>
      </c>
    </row>
    <row r="28" ht="16" customHeight="1">
      <c r="A28" s="15" t="inlineStr">
        <is>
          <t>KG DE SHARI POR KG DE ARROZ CRUDO (kg)</t>
        </is>
      </c>
      <c r="B28" s="23">
        <f>$B$7*(1+$B$8/$B$25)</f>
        <v>2.4200000000000004</v>
      </c>
      <c r="C28" s="2" t="inlineStr">
        <is>
          <t>Factor crudo a cocido × (1 + sushi-zu en litros por kg cocido).</t>
        </is>
      </c>
    </row>
    <row r="29" ht="16" customHeight="1">
      <c r="A29" s="15" t="inlineStr">
        <is>
          <t>COSTE POR KG DE SHARI (€)</t>
        </is>
      </c>
      <c r="B29" s="16">
        <f>($B$6+$B$7*$B$8/$B$25*$B$9)/$B$28</f>
        <v>1.1644628099173553</v>
      </c>
      <c r="C29" s="2" t="inlineStr">
        <is>
          <t>(Arroz + sushi-zu de un kilo de arroz crudo) ÷ kg de shari.</t>
        </is>
      </c>
    </row>
    <row r="30" ht="16" customHeight="1">
      <c r="A30" s="6" t="inlineStr">
        <is>
          <t>Coste por kg de shari con la merma del cierre (€)</t>
        </is>
      </c>
      <c r="B30" s="18">
        <f>$B$29/(1-$B$21)</f>
        <v>1.2257503262287952</v>
      </c>
      <c r="C30" s="2" t="inlineStr">
        <is>
          <t>Coste por kg de shari ÷ (1 − shari que se tira). Alimenta el escandallo.</t>
        </is>
      </c>
    </row>
    <row r="31" ht="16" customHeight="1">
      <c r="A31" s="15" t="inlineStr">
        <is>
          <t>NIGIRIS POR KILO DE ARROZ CRUDO (piezas)</t>
        </is>
      </c>
      <c r="B31" s="24">
        <f>$B$24*$B$28/$B$10</f>
        <v>121.00000000000003</v>
      </c>
      <c r="C31" s="2" t="inlineStr">
        <is>
          <t>1.000 × kg de shari por kg crudo ÷ gramos por nigiri.</t>
        </is>
      </c>
    </row>
    <row r="32" ht="16" customHeight="1">
      <c r="A32" s="6" t="inlineStr">
        <is>
          <t>Coste del shari de un nigiri (€)</t>
        </is>
      </c>
      <c r="B32" s="17">
        <f>$B$10*$B$30/$B$24</f>
        <v>0.024515006524575902</v>
      </c>
      <c r="C32" s="2" t="inlineStr">
        <is>
          <t>Gramos × coste por kg de shari con merma ÷ 1.000.</t>
        </is>
      </c>
    </row>
    <row r="33" ht="16" customHeight="1">
      <c r="A33" s="6" t="inlineStr">
        <is>
          <t>Coste del shari de un hosomaki (€)</t>
        </is>
      </c>
      <c r="B33" s="17">
        <f>$B$11*$B$30/$B$24</f>
        <v>0.08580252283601567</v>
      </c>
      <c r="C33" s="2" t="inlineStr">
        <is>
          <t>Gramos × coste por kg de shari con merma ÷ 1.000.</t>
        </is>
      </c>
    </row>
    <row r="34" ht="16" customHeight="1">
      <c r="A34" s="6" t="inlineStr">
        <is>
          <t>Coste del shari de un uramaki (€)</t>
        </is>
      </c>
      <c r="B34" s="17">
        <f>$B$12*$B$30/$B$24</f>
        <v>0.14709003914745541</v>
      </c>
      <c r="C34" s="2" t="inlineStr">
        <is>
          <t>Gramos × coste por kg de shari con merma ÷ 1.000.</t>
        </is>
      </c>
    </row>
    <row r="35" ht="16" customHeight="1">
      <c r="A35" s="6" t="inlineStr">
        <is>
          <t>Coste del shari de un temaki (€)</t>
        </is>
      </c>
      <c r="B35" s="17">
        <f>$B$13*$B$30/$B$24</f>
        <v>0.07354501957372771</v>
      </c>
      <c r="C35" s="2" t="inlineStr">
        <is>
          <t>Gramos × coste por kg de shari con merma ÷ 1.000.</t>
        </is>
      </c>
    </row>
    <row r="36" ht="16" customHeight="1">
      <c r="A36" s="6" t="inlineStr">
        <is>
          <t>Coste del shari de un poke (€)</t>
        </is>
      </c>
      <c r="B36" s="17">
        <f>$B$14*$B$30/$B$24</f>
        <v>0.18386254893431928</v>
      </c>
      <c r="C36" s="2" t="inlineStr">
        <is>
          <t>Gramos × coste por kg de shari con merma ÷ 1.000.</t>
        </is>
      </c>
    </row>
    <row r="37" ht="16" customHeight="1">
      <c r="A37" s="6" t="inlineStr">
        <is>
          <t>Coste del nori de un nigiri (€)</t>
        </is>
      </c>
      <c r="B37" s="17">
        <f>$B$16*$B$15</f>
        <v>0.013000000000000001</v>
      </c>
      <c r="C37" s="2" t="inlineStr">
        <is>
          <t>Hojas × precio de la hoja.</t>
        </is>
      </c>
    </row>
    <row r="38" ht="16" customHeight="1">
      <c r="A38" s="6" t="inlineStr">
        <is>
          <t>Coste del nori de un hosomaki (€)</t>
        </is>
      </c>
      <c r="B38" s="17">
        <f>$B$17*$B$15</f>
        <v>0.13</v>
      </c>
      <c r="C38" s="2" t="inlineStr">
        <is>
          <t>Hojas × precio de la hoja.</t>
        </is>
      </c>
    </row>
    <row r="39" ht="16" customHeight="1">
      <c r="A39" s="6" t="inlineStr">
        <is>
          <t>Coste del nori de un uramaki (€)</t>
        </is>
      </c>
      <c r="B39" s="17">
        <f>$B$18*$B$15</f>
        <v>0.13</v>
      </c>
      <c r="C39" s="2" t="inlineStr">
        <is>
          <t>Hojas × precio de la hoja.</t>
        </is>
      </c>
    </row>
    <row r="40" ht="16" customHeight="1">
      <c r="A40" s="6" t="inlineStr">
        <is>
          <t>Coste del nori de un temaki (€)</t>
        </is>
      </c>
      <c r="B40" s="17">
        <f>$B$19*$B$15</f>
        <v>0.13</v>
      </c>
      <c r="C40" s="2" t="inlineStr">
        <is>
          <t>Hojas × precio de la hoja.</t>
        </is>
      </c>
    </row>
    <row r="41" ht="16" customHeight="1">
      <c r="A41" s="6" t="inlineStr">
        <is>
          <t>Coste del nori de un poke (€)</t>
        </is>
      </c>
      <c r="B41" s="17">
        <f>$B$20*$B$15</f>
        <v>0.026000000000000002</v>
      </c>
      <c r="C41" s="2" t="inlineStr">
        <is>
          <t>Hojas × precio de la hoja.</t>
        </is>
      </c>
    </row>
    <row r="42" ht="16" customHeight="1">
      <c r="A42" s="6" t="inlineStr">
        <is>
          <t>Shari que vendes al día (kg)</t>
        </is>
      </c>
      <c r="B42" s="19">
        <f>$B$22*$B$23/$B$24</f>
        <v>11.85</v>
      </c>
      <c r="C42" s="2" t="inlineStr">
        <is>
          <t>Comensales × gramos por comensal ÷ 1.000.</t>
        </is>
      </c>
    </row>
    <row r="43" ht="16" customHeight="1">
      <c r="A43" s="15" t="inlineStr">
        <is>
          <t>KG DE ARROZ CRUDO AL DÍA</t>
        </is>
      </c>
      <c r="B43" s="23">
        <f>$B$42/$B$28</f>
        <v>4.896694214876032</v>
      </c>
      <c r="C43" s="2" t="inlineStr">
        <is>
          <t>Shari que vendes ÷ kg de shari por kg de arroz crudo.</t>
        </is>
      </c>
    </row>
    <row r="44" ht="16" customHeight="1">
      <c r="A44" s="6" t="inlineStr">
        <is>
          <t>Kg de arroz crudo al día contando lo que se tira</t>
        </is>
      </c>
      <c r="B44" s="19">
        <f>$B$43/(1-$B$21)</f>
        <v>5.154414963027402</v>
      </c>
      <c r="C44" s="2" t="inlineStr">
        <is>
          <t>Arroz crudo al día ÷ (1 − shari que se tira).</t>
        </is>
      </c>
    </row>
  </sheetData>
  <sheetProtection selectLockedCells="0" selectUnlockedCells="0" sheet="1" objects="0" insertRows="1" insertHyperlinks="1" autoFilter="1" scenarios="0" formatColumns="1" deleteColumns="1" insertColumns="1" pivotTables="1" deleteRows="1" formatCells="1" formatRows="1" sort="1"/>
  <mergeCells count="39">
    <mergeCell ref="C36:I36"/>
    <mergeCell ref="C23:I23"/>
    <mergeCell ref="C17:I17"/>
    <mergeCell ref="C39:I39"/>
    <mergeCell ref="C8:I8"/>
    <mergeCell ref="C32:I32"/>
    <mergeCell ref="C7:I7"/>
    <mergeCell ref="A3:I3"/>
    <mergeCell ref="C38:I38"/>
    <mergeCell ref="C19:I19"/>
    <mergeCell ref="C37:I37"/>
    <mergeCell ref="C28:I28"/>
    <mergeCell ref="C13:I13"/>
    <mergeCell ref="A2:I2"/>
    <mergeCell ref="C18:I18"/>
    <mergeCell ref="C34:I34"/>
    <mergeCell ref="C6:I6"/>
    <mergeCell ref="C24:I24"/>
    <mergeCell ref="C30:I30"/>
    <mergeCell ref="C42:I42"/>
    <mergeCell ref="C15:I15"/>
    <mergeCell ref="C33:I33"/>
    <mergeCell ref="C14:I14"/>
    <mergeCell ref="C35:I35"/>
    <mergeCell ref="C20:I20"/>
    <mergeCell ref="C29:I29"/>
    <mergeCell ref="C10:I10"/>
    <mergeCell ref="C16:I16"/>
    <mergeCell ref="C25:I25"/>
    <mergeCell ref="C41:I41"/>
    <mergeCell ref="C31:I31"/>
    <mergeCell ref="C44:I44"/>
    <mergeCell ref="C22:I22"/>
    <mergeCell ref="C40:I40"/>
    <mergeCell ref="C9:I9"/>
    <mergeCell ref="C21:I21"/>
    <mergeCell ref="C43:I43"/>
    <mergeCell ref="C12:I12"/>
    <mergeCell ref="C11:I11"/>
  </mergeCells>
  <dataValidations count="4">
    <dataValidation sqref="B6 B7 B9 B10 B11 B12 B13 B14 B23" showDropDown="0" showInputMessage="0" showErrorMessage="1" allowBlank="0" errorTitle="Valor no válido" error="Escribe un número mayor que 0." type="decimal" operator="greaterThan">
      <formula1>0</formula1>
    </dataValidation>
    <dataValidation sqref="B8 B15 B16 B17 B18 B19 B20" showDropDown="0" showInputMessage="0" showErrorMessage="1" allowBlank="0" errorTitle="Valor no válido" error="Escribe un número mayor o igual que 0." type="decimal" operator="greaterThanOrEqual">
      <formula1>0</formula1>
    </dataValidation>
    <dataValidation sqref="B21" showDropDown="0" showInputMessage="0" showErrorMessage="1" allowBlank="0" errorTitle="Porcentaje no válido" error="Escribe un porcentaje entre 0 y 0,5 (0,05 = 5 %)." type="decimal" operator="between">
      <formula1>0</formula1>
      <formula2>0.5</formula2>
    </dataValidation>
    <dataValidation sqref="B22" showDropDown="0" showInputMessage="0" showErrorMessage="1" allowBlank="0" errorTitle="Número no válido" error="Escribe un número entero de 1 o más." type="whole" operator="between">
      <formula1>1</formula1>
      <formula2>1000000</formula2>
    </dataValidation>
  </dataValidations>
  <printOptions horizontalCentered="1"/>
  <pageMargins left="0.75" right="0.75" top="1" bottom="1" header="0.5" footer="0.5"/>
  <pageSetup orientation="landscape" paperSize="9" fitToHeight="0" fitToWidth="1"/>
  <headerFooter>
    <oddHeader/>
    <oddFooter>&amp;Caichef.pro/plan-negocio-sushi-bar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Q37"/>
  <sheetViews>
    <sheetView showGridLines="0" workbookViewId="0">
      <pane xSplit="1" ySplit="15" topLeftCell="B16"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1" customWidth="1" min="3" max="3"/>
    <col width="11" customWidth="1" min="4" max="4"/>
    <col width="10" customWidth="1" min="5" max="5"/>
    <col width="13" customWidth="1" min="6" max="6"/>
    <col width="13" customWidth="1" min="7" max="7"/>
    <col width="12" customWidth="1" min="8" max="8"/>
    <col width="12" customWidth="1" min="9" max="9"/>
    <col width="12" customWidth="1" min="10" max="10"/>
    <col width="11" customWidth="1" min="11" max="11"/>
    <col width="17" customWidth="1" min="12" max="12"/>
    <col width="14" customWidth="1" min="13" max="13"/>
    <col width="12" customWidth="1" min="14" max="14"/>
    <col width="12" customWidth="1" min="15" max="15"/>
    <col width="13" customWidth="1" min="16" max="16"/>
    <col width="10" customWidth="1" min="17" max="17"/>
  </cols>
  <sheetData>
    <row r="1">
      <c r="A1" s="1" t="inlineStr">
        <is>
          <t>ESCANDALLO DEL SUSHI BAR — 14 PRODUCTOS, POR PIEZA Y POR CANAL</t>
        </is>
      </c>
    </row>
    <row r="2" ht="32" customHeight="1">
      <c r="A2" s="2" t="inlineStr">
        <is>
          <t>Escribe solo en las celdas VERDES (nombres, pescado, gramos, nori, precios de carta y unidades). Importes sin IVA salvo el precio de carta. Todos los valores por defecto son una estimación del kit, editable: pon los tuyos. El coste del pescado viene de la hoja «Pescado», el del shari y el nori de la hoja «Arroz».</t>
        </is>
      </c>
    </row>
    <row r="4">
      <c r="A4" s="4" t="inlineStr">
        <is>
          <t>DATOS GENERALES</t>
        </is>
      </c>
      <c r="B4" s="4" t="inlineStr">
        <is>
          <t>Valor</t>
        </is>
      </c>
      <c r="D4" s="4" t="inlineStr">
        <is>
          <t>Notas</t>
        </is>
      </c>
    </row>
    <row r="5" ht="16" customHeight="1">
      <c r="A5" s="6" t="inlineStr">
        <is>
          <t>IVA de la comida (%)</t>
        </is>
      </c>
      <c r="B5" s="8" t="n">
        <v>0.1</v>
      </c>
      <c r="D5" s="2" t="inlineStr">
        <is>
          <t>Comida preparada, en sala, para llevar y a domicilio: 10 % (Ley 37/1992, art. 91).</t>
        </is>
      </c>
    </row>
    <row r="6" ht="16" customHeight="1">
      <c r="A6" s="6" t="inlineStr">
        <is>
          <t>Food cost objetivo (% sobre el precio sin IVA)</t>
        </is>
      </c>
      <c r="B6" s="8" t="n">
        <v>0.3</v>
      </c>
      <c r="D6" s="2" t="inlineStr">
        <is>
          <t>Objetivo de la carta del sushi bar. Estimación del kit, editable.</t>
        </is>
      </c>
    </row>
    <row r="7" ht="16" customHeight="1">
      <c r="A7" s="6" t="inlineStr">
        <is>
          <t>Margen de vigilancia sobre el objetivo (puntos)</t>
        </is>
      </c>
      <c r="B7" s="8" t="n">
        <v>0.05</v>
      </c>
      <c r="D7" s="2" t="inlineStr">
        <is>
          <t>Hasta este margen por encima del objetivo, el semáforo dice «Vigila el coste».</t>
        </is>
      </c>
    </row>
    <row r="8" ht="16" customHeight="1">
      <c r="A8" s="6" t="inlineStr">
        <is>
          <t>Caja para llevar por pedido (€, sin IVA)</t>
        </is>
      </c>
      <c r="B8" s="7" t="n">
        <v>0.4</v>
      </c>
      <c r="D8" s="2" t="inlineStr">
        <is>
          <t>Bandeja, cierre, bolsa, salsas y palillos de un pedido para llevar. Estimación del kit, editable.</t>
        </is>
      </c>
    </row>
    <row r="9" ht="16" customHeight="1">
      <c r="A9" s="6" t="inlineStr">
        <is>
          <t>Caja de plataforma por pedido (€, sin IVA)</t>
        </is>
      </c>
      <c r="B9" s="7" t="n">
        <v>0.9</v>
      </c>
      <c r="D9" s="2" t="inlineStr">
        <is>
          <t>Envase de reparto más sellado. Estimación del kit, editable.</t>
        </is>
      </c>
    </row>
    <row r="10" ht="16" customHeight="1">
      <c r="A10" s="6" t="inlineStr">
        <is>
          <t>Recargo de precio en la plataforma (%)</t>
        </is>
      </c>
      <c r="B10" s="8" t="n">
        <v>0.15</v>
      </c>
      <c r="D10" s="2" t="inlineStr">
        <is>
          <t>Lo que subes el precio en la plataforma para compensar. Estimación del kit, editable.</t>
        </is>
      </c>
    </row>
    <row r="11" ht="16" customHeight="1">
      <c r="A11" s="6" t="inlineStr">
        <is>
          <t>Comisión de la plataforma de reparto (%)</t>
        </is>
      </c>
      <c r="B11" s="8" t="n">
        <v>0.3</v>
      </c>
      <c r="D11" s="2" t="inlineStr">
        <is>
          <t>Sobre el precio sin IVA del pedido. Revisa tu contrato. Estimación del kit, editable.</t>
        </is>
      </c>
    </row>
    <row r="12">
      <c r="A12" s="6" t="inlineStr">
        <is>
          <t>Coste por kg de shari con merma (€, de la hoja Arroz)</t>
        </is>
      </c>
      <c r="B12" s="18">
        <f>'Arroz'!$B$30</f>
        <v>1.2257503262287952</v>
      </c>
    </row>
    <row r="13">
      <c r="A13" s="6" t="inlineStr">
        <is>
          <t>Nori (€ por hoja, de la hoja Arroz)</t>
        </is>
      </c>
      <c r="B13" s="17">
        <f>'Arroz'!$B$15</f>
        <v>0.26</v>
      </c>
    </row>
    <row r="15" ht="48" customHeight="1">
      <c r="A15" s="3" t="inlineStr">
        <is>
          <t>PRODUCTO</t>
        </is>
      </c>
      <c r="B15" s="3" t="inlineStr">
        <is>
          <t>Pescado (0 a 4)</t>
        </is>
      </c>
      <c r="C15" s="3" t="inlineStr">
        <is>
          <t>Gramos de neta</t>
        </is>
      </c>
      <c r="D15" s="3" t="inlineStr">
        <is>
          <t>Gramos de shari</t>
        </is>
      </c>
      <c r="E15" s="3" t="inlineStr">
        <is>
          <t>Hojas de nori</t>
        </is>
      </c>
      <c r="F15" s="3" t="inlineStr">
        <is>
          <t>Otros ingredientes (€)</t>
        </is>
      </c>
      <c r="G15" s="3" t="inlineStr">
        <is>
          <t>PVP con IVA de sala (€)</t>
        </is>
      </c>
      <c r="H15" s="3" t="inlineStr">
        <is>
          <t>Unidades a la semana</t>
        </is>
      </c>
      <c r="I15" s="3" t="inlineStr">
        <is>
          <t>COSTE (€)</t>
        </is>
      </c>
      <c r="J15" s="3" t="inlineStr">
        <is>
          <t>PVP sin IVA (€)</t>
        </is>
      </c>
      <c r="K15" s="3" t="inlineStr">
        <is>
          <t>FOOD COST (%)</t>
        </is>
      </c>
      <c r="L15" s="3" t="inlineStr">
        <is>
          <t>Semáforo</t>
        </is>
      </c>
      <c r="M15" s="3" t="inlineStr">
        <is>
          <t>PVP con IVA sugerido (€)</t>
        </is>
      </c>
      <c r="N15" s="3" t="inlineStr">
        <is>
          <t>Margen en sala (€)</t>
        </is>
      </c>
      <c r="O15" s="3" t="inlineStr">
        <is>
          <t>Margen para llevar (€)</t>
        </is>
      </c>
      <c r="P15" s="3" t="inlineStr">
        <is>
          <t>Margen en plataforma (€)</t>
        </is>
      </c>
      <c r="Q15" s="3" t="inlineStr">
        <is>
          <t>Puesto por margen</t>
        </is>
      </c>
    </row>
    <row r="16" ht="32" customHeight="1">
      <c r="A16" s="25" t="inlineStr">
        <is>
          <t>Nigiri de salmón (2 piezas)</t>
        </is>
      </c>
      <c r="B16" s="26" t="n">
        <v>1</v>
      </c>
      <c r="C16" s="27" t="n">
        <v>30</v>
      </c>
      <c r="D16" s="27" t="n">
        <v>40</v>
      </c>
      <c r="E16" s="28" t="n">
        <v>0.1</v>
      </c>
      <c r="F16" s="7" t="n">
        <v>0.03</v>
      </c>
      <c r="G16" s="29" t="n">
        <v>5.2</v>
      </c>
      <c r="H16" s="21" t="n">
        <v>110</v>
      </c>
      <c r="I16" s="30">
        <f>C16/'Pescado'!$B$19*CHOOSE(B16+1,0,'Pescado'!$B$24,'Pescado'!$C$24,'Pescado'!$D$24,'Pescado'!$E$24)+D16/'Pescado'!$B$19*$B$12+E16*$B$13+F16</f>
        <v>0.5336014416205804</v>
      </c>
      <c r="J16" s="18">
        <f>G16/(1+$B$5)</f>
        <v>4.727272727272727</v>
      </c>
      <c r="K16" s="31">
        <f>I16/J16</f>
        <v>0.1128772280351228</v>
      </c>
      <c r="L16" s="2" t="str">
        <f>IF(K16&lt;=$B$6,"En objetivo",IF(K16&lt;=$B$6+$B$7,"Vigila el coste","Por encima del objetivo"))</f>
        <v>En objetivo</v>
      </c>
      <c r="M16" s="18">
        <f>I16/$B$6*(1+$B$5)</f>
        <v>1.9565386192754617</v>
      </c>
      <c r="N16" s="18">
        <f>J16-I16</f>
        <v>4.1936712856521465</v>
      </c>
      <c r="O16" s="18">
        <f>N16-$B$8</f>
        <v>3.7936712856521466</v>
      </c>
      <c r="P16" s="18">
        <f>J16*(1+$B$10)*(1-$B$11)-I16-$B$9</f>
        <v>2.3718531038339643</v>
      </c>
      <c r="Q16" s="24">
        <f>1+COUNTIF($N$16:$N$29,"&gt;"&amp;N16)</f>
        <v>12.0</v>
      </c>
    </row>
    <row r="17" ht="32" customHeight="1">
      <c r="A17" s="25" t="inlineStr">
        <is>
          <t>Nigiri de atún (2 piezas)</t>
        </is>
      </c>
      <c r="B17" s="26" t="n">
        <v>3</v>
      </c>
      <c r="C17" s="27" t="n">
        <v>30</v>
      </c>
      <c r="D17" s="27" t="n">
        <v>40</v>
      </c>
      <c r="E17" s="28" t="n">
        <v>0.1</v>
      </c>
      <c r="F17" s="7" t="n">
        <v>0.03</v>
      </c>
      <c r="G17" s="29" t="n">
        <v>6</v>
      </c>
      <c r="H17" s="21" t="n">
        <v>70</v>
      </c>
      <c r="I17" s="30">
        <f>C17/'Pescado'!$B$19*CHOOSE(B17+1,0,'Pescado'!$B$24,'Pescado'!$C$24,'Pescado'!$D$24,'Pescado'!$E$24)+D17/'Pescado'!$B$19*$B$12+E17*$B$13+F17</f>
        <v>0.9692959410269912</v>
      </c>
      <c r="J17" s="18">
        <f>G17/(1+$B$5)</f>
        <v>5.454545454545454</v>
      </c>
      <c r="K17" s="31">
        <f>I17/J17</f>
        <v>0.1777042558549484</v>
      </c>
      <c r="L17" s="2" t="str">
        <f>IF(K17&lt;=$B$6,"En objetivo",IF(K17&lt;=$B$6+$B$7,"Vigila el coste","Por encima del objetivo"))</f>
        <v>En objetivo</v>
      </c>
      <c r="M17" s="18">
        <f>I17/$B$6*(1+$B$5)</f>
        <v>3.5540851170989685</v>
      </c>
      <c r="N17" s="18">
        <f>J17-I17</f>
        <v>4.485249513518463</v>
      </c>
      <c r="O17" s="18">
        <f>N17-$B$8</f>
        <v>4.0852495135184625</v>
      </c>
      <c r="P17" s="18">
        <f>J17*(1+$B$10)*(1-$B$11)-I17-$B$9</f>
        <v>2.5216131498820986</v>
      </c>
      <c r="Q17" s="24">
        <f>1+COUNTIF($N$16:$N$29,"&gt;"&amp;N17)</f>
        <v>10.0</v>
      </c>
    </row>
    <row r="18" ht="32" customHeight="1">
      <c r="A18" s="25" t="inlineStr">
        <is>
          <t>Sashimi de salmón (5 cortes)</t>
        </is>
      </c>
      <c r="B18" s="26" t="n">
        <v>1</v>
      </c>
      <c r="C18" s="27" t="n">
        <v>75</v>
      </c>
      <c r="D18" s="27" t="n">
        <v>0</v>
      </c>
      <c r="E18" s="28" t="n">
        <v>0</v>
      </c>
      <c r="F18" s="7" t="n">
        <v>0.04</v>
      </c>
      <c r="G18" s="29" t="n">
        <v>7.5</v>
      </c>
      <c r="H18" s="21" t="n">
        <v>50</v>
      </c>
      <c r="I18" s="30">
        <f>C18/'Pescado'!$B$19*CHOOSE(B18+1,0,'Pescado'!$B$24,'Pescado'!$C$24,'Pescado'!$D$24,'Pescado'!$E$24)+D18/'Pescado'!$B$19*$B$12+E18*$B$13+F18</f>
        <v>1.1114285714285714</v>
      </c>
      <c r="J18" s="18">
        <f>G18/(1+$B$5)</f>
        <v>6.8181818181818175</v>
      </c>
      <c r="K18" s="31">
        <f>I18/J18</f>
        <v>0.16300952380952383</v>
      </c>
      <c r="L18" s="2" t="str">
        <f>IF(K18&lt;=$B$6,"En objetivo",IF(K18&lt;=$B$6+$B$7,"Vigila el coste","Por encima del objetivo"))</f>
        <v>En objetivo</v>
      </c>
      <c r="M18" s="18">
        <f>I18/$B$6*(1+$B$5)</f>
        <v>4.075238095238095</v>
      </c>
      <c r="N18" s="18">
        <f>J18-I18</f>
        <v>5.706753246753246</v>
      </c>
      <c r="O18" s="18">
        <f>N18-$B$8</f>
        <v>5.306753246753246</v>
      </c>
      <c r="P18" s="18">
        <f>J18*(1+$B$10)*(1-$B$11)-I18-$B$9</f>
        <v>3.4772077922077913</v>
      </c>
      <c r="Q18" s="24">
        <f>1+COUNTIF($N$16:$N$29,"&gt;"&amp;N18)</f>
        <v>7.0</v>
      </c>
    </row>
    <row r="19" ht="32" customHeight="1">
      <c r="A19" s="25" t="inlineStr">
        <is>
          <t>Hosomaki de salmón (6 piezas)</t>
        </is>
      </c>
      <c r="B19" s="26" t="n">
        <v>1</v>
      </c>
      <c r="C19" s="27" t="n">
        <v>25</v>
      </c>
      <c r="D19" s="27" t="n">
        <v>70</v>
      </c>
      <c r="E19" s="28" t="n">
        <v>0.5</v>
      </c>
      <c r="F19" s="7" t="n">
        <v>0.05</v>
      </c>
      <c r="G19" s="29" t="n">
        <v>5.5</v>
      </c>
      <c r="H19" s="21" t="n">
        <v>20</v>
      </c>
      <c r="I19" s="30">
        <f>C19/'Pescado'!$B$19*CHOOSE(B19+1,0,'Pescado'!$B$24,'Pescado'!$C$24,'Pescado'!$D$24,'Pescado'!$E$24)+D19/'Pescado'!$B$19*$B$12+E19*$B$13+F19</f>
        <v>0.6229453799788729</v>
      </c>
      <c r="J19" s="18">
        <f>G19/(1+$B$5)</f>
        <v>5.0</v>
      </c>
      <c r="K19" s="31">
        <f>I19/J19</f>
        <v>0.12458907599577458</v>
      </c>
      <c r="L19" s="2" t="str">
        <f>IF(K19&lt;=$B$6,"En objetivo",IF(K19&lt;=$B$6+$B$7,"Vigila el coste","Por encima del objetivo"))</f>
        <v>En objetivo</v>
      </c>
      <c r="M19" s="18">
        <f>I19/$B$6*(1+$B$5)</f>
        <v>2.2841330599225342</v>
      </c>
      <c r="N19" s="18">
        <f>J19-I19</f>
        <v>4.377054620021127</v>
      </c>
      <c r="O19" s="18">
        <f>N19-$B$8</f>
        <v>3.977054620021127</v>
      </c>
      <c r="P19" s="18">
        <f>J19*(1+$B$10)*(1-$B$11)-I19-$B$9</f>
        <v>2.5020546200211267</v>
      </c>
      <c r="Q19" s="24">
        <f>1+COUNTIF($N$16:$N$29,"&gt;"&amp;N19)</f>
        <v>11.0</v>
      </c>
    </row>
    <row r="20" ht="32" customHeight="1">
      <c r="A20" s="25" t="inlineStr">
        <is>
          <t>Uramaki California (8 piezas)</t>
        </is>
      </c>
      <c r="B20" s="26" t="n">
        <v>0</v>
      </c>
      <c r="C20" s="27" t="n">
        <v>0</v>
      </c>
      <c r="D20" s="27" t="n">
        <v>120</v>
      </c>
      <c r="E20" s="28" t="n">
        <v>0.5</v>
      </c>
      <c r="F20" s="7" t="n">
        <v>0.52</v>
      </c>
      <c r="G20" s="29" t="n">
        <v>9.6</v>
      </c>
      <c r="H20" s="21" t="n">
        <v>35</v>
      </c>
      <c r="I20" s="30">
        <f>C20/'Pescado'!$B$19*CHOOSE(B20+1,0,'Pescado'!$B$24,'Pescado'!$C$24,'Pescado'!$D$24,'Pescado'!$E$24)+D20/'Pescado'!$B$19*$B$12+E20*$B$13+F20</f>
        <v>0.7970900391474555</v>
      </c>
      <c r="J20" s="18">
        <f>G20/(1+$B$5)</f>
        <v>8.727272727272727</v>
      </c>
      <c r="K20" s="31">
        <f>I20/J20</f>
        <v>0.0913332336523126</v>
      </c>
      <c r="L20" s="2" t="str">
        <f>IF(K20&lt;=$B$6,"En objetivo",IF(K20&lt;=$B$6+$B$7,"Vigila el coste","Por encima del objetivo"))</f>
        <v>En objetivo</v>
      </c>
      <c r="M20" s="18">
        <f>I20/$B$6*(1+$B$5)</f>
        <v>2.922663476874004</v>
      </c>
      <c r="N20" s="18">
        <f>J20-I20</f>
        <v>7.930182688125271</v>
      </c>
      <c r="O20" s="18">
        <f>N20-$B$8</f>
        <v>7.5301826881252705</v>
      </c>
      <c r="P20" s="18">
        <f>J20*(1+$B$10)*(1-$B$11)-I20-$B$9</f>
        <v>5.328364506307088</v>
      </c>
      <c r="Q20" s="24">
        <f>1+COUNTIF($N$16:$N$29,"&gt;"&amp;N20)</f>
        <v>6.0</v>
      </c>
    </row>
    <row r="21" ht="32" customHeight="1">
      <c r="A21" s="25" t="inlineStr">
        <is>
          <t>Uramaki de salmón y aguacate (8 piezas)</t>
        </is>
      </c>
      <c r="B21" s="26" t="n">
        <v>1</v>
      </c>
      <c r="C21" s="27" t="n">
        <v>40</v>
      </c>
      <c r="D21" s="27" t="n">
        <v>120</v>
      </c>
      <c r="E21" s="28" t="n">
        <v>0.5</v>
      </c>
      <c r="F21" s="7" t="n">
        <v>0.45</v>
      </c>
      <c r="G21" s="29" t="n">
        <v>11.5</v>
      </c>
      <c r="H21" s="21" t="n">
        <v>35</v>
      </c>
      <c r="I21" s="30">
        <f>C21/'Pescado'!$B$19*CHOOSE(B21+1,0,'Pescado'!$B$24,'Pescado'!$C$24,'Pescado'!$D$24,'Pescado'!$E$24)+D21/'Pescado'!$B$19*$B$12+E21*$B$13+F21</f>
        <v>1.298518610576027</v>
      </c>
      <c r="J21" s="18">
        <f>G21/(1+$B$5)</f>
        <v>10.454545454545453</v>
      </c>
      <c r="K21" s="31">
        <f>I21/J21</f>
        <v>0.12420612796814172</v>
      </c>
      <c r="L21" s="2" t="str">
        <f>IF(K21&lt;=$B$6,"En objetivo",IF(K21&lt;=$B$6+$B$7,"Vigila el coste","Por encima del objetivo"))</f>
        <v>En objetivo</v>
      </c>
      <c r="M21" s="18">
        <f>I21/$B$6*(1+$B$5)</f>
        <v>4.761234905445432</v>
      </c>
      <c r="N21" s="18">
        <f>J21-I21</f>
        <v>9.156026843969427</v>
      </c>
      <c r="O21" s="18">
        <f>N21-$B$8</f>
        <v>8.756026843969426</v>
      </c>
      <c r="P21" s="18">
        <f>J21*(1+$B$10)*(1-$B$11)-I21-$B$9</f>
        <v>6.21739048033306</v>
      </c>
      <c r="Q21" s="24">
        <f>1+COUNTIF($N$16:$N$29,"&gt;"&amp;N21)</f>
        <v>4.0</v>
      </c>
    </row>
    <row r="22" ht="32" customHeight="1">
      <c r="A22" s="25" t="inlineStr">
        <is>
          <t>Uramaki de langostino en tempura (8 piezas)</t>
        </is>
      </c>
      <c r="B22" s="26" t="n">
        <v>0</v>
      </c>
      <c r="C22" s="27" t="n">
        <v>0</v>
      </c>
      <c r="D22" s="27" t="n">
        <v>120</v>
      </c>
      <c r="E22" s="28" t="n">
        <v>0.5</v>
      </c>
      <c r="F22" s="7" t="n">
        <v>1.37</v>
      </c>
      <c r="G22" s="29" t="n">
        <v>11.5</v>
      </c>
      <c r="H22" s="21" t="n">
        <v>40</v>
      </c>
      <c r="I22" s="30">
        <f>C22/'Pescado'!$B$19*CHOOSE(B22+1,0,'Pescado'!$B$24,'Pescado'!$C$24,'Pescado'!$D$24,'Pescado'!$E$24)+D22/'Pescado'!$B$19*$B$12+E22*$B$13+F22</f>
        <v>1.6470900391474554</v>
      </c>
      <c r="J22" s="18">
        <f>G22/(1+$B$5)</f>
        <v>10.454545454545453</v>
      </c>
      <c r="K22" s="31">
        <f>I22/J22</f>
        <v>0.15754774287497403</v>
      </c>
      <c r="L22" s="2" t="str">
        <f>IF(K22&lt;=$B$6,"En objetivo",IF(K22&lt;=$B$6+$B$7,"Vigila el coste","Por encima del objetivo"))</f>
        <v>En objetivo</v>
      </c>
      <c r="M22" s="18">
        <f>I22/$B$6*(1+$B$5)</f>
        <v>6.0393301435406705</v>
      </c>
      <c r="N22" s="18">
        <f>J22-I22</f>
        <v>8.807455415397998</v>
      </c>
      <c r="O22" s="18">
        <f>N22-$B$8</f>
        <v>8.407455415397997</v>
      </c>
      <c r="P22" s="18">
        <f>J22*(1+$B$10)*(1-$B$11)-I22-$B$9</f>
        <v>5.868819051761632</v>
      </c>
      <c r="Q22" s="24">
        <f>1+COUNTIF($N$16:$N$29,"&gt;"&amp;N22)</f>
        <v>5.0</v>
      </c>
    </row>
    <row r="23" ht="32" customHeight="1">
      <c r="A23" s="25" t="inlineStr">
        <is>
          <t>Temaki de salmón</t>
        </is>
      </c>
      <c r="B23" s="26" t="n">
        <v>1</v>
      </c>
      <c r="C23" s="27" t="n">
        <v>40</v>
      </c>
      <c r="D23" s="27" t="n">
        <v>60</v>
      </c>
      <c r="E23" s="28" t="n">
        <v>0.5</v>
      </c>
      <c r="F23" s="7" t="n">
        <v>0.4</v>
      </c>
      <c r="G23" s="29" t="n">
        <v>6.9</v>
      </c>
      <c r="H23" s="21" t="n">
        <v>30</v>
      </c>
      <c r="I23" s="30">
        <f>C23/'Pescado'!$B$19*CHOOSE(B23+1,0,'Pescado'!$B$24,'Pescado'!$C$24,'Pescado'!$D$24,'Pescado'!$E$24)+D23/'Pescado'!$B$19*$B$12+E23*$B$13+F23</f>
        <v>1.1749735910022991</v>
      </c>
      <c r="J23" s="18">
        <f>G23/(1+$B$5)</f>
        <v>6.2727272727272725</v>
      </c>
      <c r="K23" s="31">
        <f>I23/J23</f>
        <v>0.1873146304496419</v>
      </c>
      <c r="L23" s="2" t="str">
        <f>IF(K23&lt;=$B$6,"En objetivo",IF(K23&lt;=$B$6+$B$7,"Vigila el coste","Por encima del objetivo"))</f>
        <v>En objetivo</v>
      </c>
      <c r="M23" s="18">
        <f>I23/$B$6*(1+$B$5)</f>
        <v>4.3082365003417635</v>
      </c>
      <c r="N23" s="18">
        <f>J23-I23</f>
        <v>5.097753681724973</v>
      </c>
      <c r="O23" s="18">
        <f>N23-$B$8</f>
        <v>4.697753681724973</v>
      </c>
      <c r="P23" s="18">
        <f>J23*(1+$B$10)*(1-$B$11)-I23-$B$9</f>
        <v>2.974571863543155</v>
      </c>
      <c r="Q23" s="24">
        <f>1+COUNTIF($N$16:$N$29,"&gt;"&amp;N23)</f>
        <v>9.0</v>
      </c>
    </row>
    <row r="24" ht="32" customHeight="1">
      <c r="A24" s="25" t="inlineStr">
        <is>
          <t>Poke de salmón</t>
        </is>
      </c>
      <c r="B24" s="26" t="n">
        <v>1</v>
      </c>
      <c r="C24" s="27" t="n">
        <v>100</v>
      </c>
      <c r="D24" s="27" t="n">
        <v>150</v>
      </c>
      <c r="E24" s="28" t="n">
        <v>0.1</v>
      </c>
      <c r="F24" s="7" t="n">
        <v>0.76</v>
      </c>
      <c r="G24" s="29" t="n">
        <v>12.9</v>
      </c>
      <c r="H24" s="21" t="n">
        <v>45</v>
      </c>
      <c r="I24" s="30">
        <f>C24/'Pescado'!$B$19*CHOOSE(B24+1,0,'Pescado'!$B$24,'Pescado'!$C$24,'Pescado'!$D$24,'Pescado'!$E$24)+D24/'Pescado'!$B$19*$B$12+E24*$B$13+F24</f>
        <v>2.398433977505748</v>
      </c>
      <c r="J24" s="18">
        <f>G24/(1+$B$5)</f>
        <v>11.727272727272727</v>
      </c>
      <c r="K24" s="31">
        <f>I24/J24</f>
        <v>0.20451762598886225</v>
      </c>
      <c r="L24" s="2" t="str">
        <f>IF(K24&lt;=$B$6,"En objetivo",IF(K24&lt;=$B$6+$B$7,"Vigila el coste","Por encima del objetivo"))</f>
        <v>En objetivo</v>
      </c>
      <c r="M24" s="18">
        <f>I24/$B$6*(1+$B$5)</f>
        <v>8.794257917521078</v>
      </c>
      <c r="N24" s="18">
        <f>J24-I24</f>
        <v>9.328838749766978</v>
      </c>
      <c r="O24" s="18">
        <f>N24-$B$8</f>
        <v>8.928838749766978</v>
      </c>
      <c r="P24" s="18">
        <f>J24*(1+$B$10)*(1-$B$11)-I24-$B$9</f>
        <v>6.142020567948794</v>
      </c>
      <c r="Q24" s="24">
        <f>1+COUNTIF($N$16:$N$29,"&gt;"&amp;N24)</f>
        <v>3.0</v>
      </c>
    </row>
    <row r="25" ht="32" customHeight="1">
      <c r="A25" s="25" t="inlineStr">
        <is>
          <t>Combinado de 12 piezas</t>
        </is>
      </c>
      <c r="B25" s="26" t="n">
        <v>1</v>
      </c>
      <c r="C25" s="27" t="n">
        <v>100</v>
      </c>
      <c r="D25" s="27" t="n">
        <v>190</v>
      </c>
      <c r="E25" s="28" t="n">
        <v>0.5</v>
      </c>
      <c r="F25" s="7" t="n">
        <v>0.45</v>
      </c>
      <c r="G25" s="29" t="n">
        <v>14.9</v>
      </c>
      <c r="H25" s="21" t="n">
        <v>25</v>
      </c>
      <c r="I25" s="30">
        <f>C25/'Pescado'!$B$19*CHOOSE(B25+1,0,'Pescado'!$B$24,'Pescado'!$C$24,'Pescado'!$D$24,'Pescado'!$E$24)+D25/'Pescado'!$B$19*$B$12+E25*$B$13+F25</f>
        <v>2.2414639905549</v>
      </c>
      <c r="J25" s="18">
        <f>G25/(1+$B$5)</f>
        <v>13.545454545454545</v>
      </c>
      <c r="K25" s="31">
        <f>I25/J25</f>
        <v>0.165477207356402</v>
      </c>
      <c r="L25" s="2" t="str">
        <f>IF(K25&lt;=$B$6,"En objetivo",IF(K25&lt;=$B$6+$B$7,"Vigila el coste","Por encima del objetivo"))</f>
        <v>En objetivo</v>
      </c>
      <c r="M25" s="18">
        <f>I25/$B$6*(1+$B$5)</f>
        <v>8.2187012987013</v>
      </c>
      <c r="N25" s="18">
        <f>J25-I25</f>
        <v>11.303990554899645</v>
      </c>
      <c r="O25" s="18">
        <f>N25-$B$8</f>
        <v>10.903990554899645</v>
      </c>
      <c r="P25" s="18">
        <f>J25*(1+$B$10)*(1-$B$11)-I25-$B$9</f>
        <v>7.762626918536007</v>
      </c>
      <c r="Q25" s="24">
        <f>1+COUNTIF($N$16:$N$29,"&gt;"&amp;N25)</f>
        <v>2.0</v>
      </c>
    </row>
    <row r="26" ht="32" customHeight="1">
      <c r="A26" s="25" t="inlineStr">
        <is>
          <t>Combinado de 24 piezas</t>
        </is>
      </c>
      <c r="B26" s="26" t="n">
        <v>1</v>
      </c>
      <c r="C26" s="27" t="n">
        <v>220</v>
      </c>
      <c r="D26" s="27" t="n">
        <v>380</v>
      </c>
      <c r="E26" s="28" t="n">
        <v>1</v>
      </c>
      <c r="F26" s="7" t="n">
        <v>0.33</v>
      </c>
      <c r="G26" s="29" t="n">
        <v>29</v>
      </c>
      <c r="H26" s="21" t="n">
        <v>15</v>
      </c>
      <c r="I26" s="30">
        <f>C26/'Pescado'!$B$19*CHOOSE(B26+1,0,'Pescado'!$B$24,'Pescado'!$C$24,'Pescado'!$D$24,'Pescado'!$E$24)+D26/'Pescado'!$B$19*$B$12+E26*$B$13+F26</f>
        <v>4.198642266824085</v>
      </c>
      <c r="J26" s="18">
        <f>G26/(1+$B$5)</f>
        <v>26.36363636363636</v>
      </c>
      <c r="K26" s="31">
        <f>I26/J26</f>
        <v>0.1592588446036722</v>
      </c>
      <c r="L26" s="2" t="str">
        <f>IF(K26&lt;=$B$6,"En objetivo",IF(K26&lt;=$B$6+$B$7,"Vigila el coste","Por encima del objetivo"))</f>
        <v>En objetivo</v>
      </c>
      <c r="M26" s="18">
        <f>I26/$B$6*(1+$B$5)</f>
        <v>15.395021645021648</v>
      </c>
      <c r="N26" s="18">
        <f>J26-I26</f>
        <v>22.164994096812276</v>
      </c>
      <c r="O26" s="18">
        <f>N26-$B$8</f>
        <v>21.764994096812277</v>
      </c>
      <c r="P26" s="18">
        <f>J26*(1+$B$10)*(1-$B$11)-I26-$B$9</f>
        <v>16.124085005903186</v>
      </c>
      <c r="Q26" s="24">
        <f>1+COUNTIF($N$16:$N$29,"&gt;"&amp;N26)</f>
        <v>1.0</v>
      </c>
    </row>
    <row r="27" ht="32" customHeight="1">
      <c r="A27" s="25" t="inlineStr">
        <is>
          <t>Gyozas (6 piezas)</t>
        </is>
      </c>
      <c r="B27" s="26" t="n">
        <v>0</v>
      </c>
      <c r="C27" s="27" t="n">
        <v>0</v>
      </c>
      <c r="D27" s="27" t="n">
        <v>0</v>
      </c>
      <c r="E27" s="28" t="n">
        <v>0</v>
      </c>
      <c r="F27" s="7" t="n">
        <v>1.1</v>
      </c>
      <c r="G27" s="29" t="n">
        <v>7</v>
      </c>
      <c r="H27" s="21" t="n">
        <v>60</v>
      </c>
      <c r="I27" s="30">
        <f>C27/'Pescado'!$B$19*CHOOSE(B27+1,0,'Pescado'!$B$24,'Pescado'!$C$24,'Pescado'!$D$24,'Pescado'!$E$24)+D27/'Pescado'!$B$19*$B$12+E27*$B$13+F27</f>
        <v>1.1</v>
      </c>
      <c r="J27" s="18">
        <f>G27/(1+$B$5)</f>
        <v>6.363636363636363</v>
      </c>
      <c r="K27" s="31">
        <f>I27/J27</f>
        <v>0.17285714285714288</v>
      </c>
      <c r="L27" s="2" t="str">
        <f>IF(K27&lt;=$B$6,"En objetivo",IF(K27&lt;=$B$6+$B$7,"Vigila el coste","Por encima del objetivo"))</f>
        <v>En objetivo</v>
      </c>
      <c r="M27" s="18">
        <f>I27/$B$6*(1+$B$5)</f>
        <v>4.033333333333334</v>
      </c>
      <c r="N27" s="18">
        <f>J27-I27</f>
        <v>5.263636363636364</v>
      </c>
      <c r="O27" s="18">
        <f>N27-$B$8</f>
        <v>4.863636363636363</v>
      </c>
      <c r="P27" s="18">
        <f>J27*(1+$B$10)*(1-$B$11)-I27-$B$9</f>
        <v>3.1227272727272717</v>
      </c>
      <c r="Q27" s="24">
        <f>1+COUNTIF($N$16:$N$29,"&gt;"&amp;N27)</f>
        <v>8.0</v>
      </c>
    </row>
    <row r="28" ht="32" customHeight="1">
      <c r="A28" s="25" t="inlineStr">
        <is>
          <t>Edamame (ración)</t>
        </is>
      </c>
      <c r="B28" s="26" t="n">
        <v>0</v>
      </c>
      <c r="C28" s="27" t="n">
        <v>0</v>
      </c>
      <c r="D28" s="27" t="n">
        <v>0</v>
      </c>
      <c r="E28" s="28" t="n">
        <v>0</v>
      </c>
      <c r="F28" s="7" t="n">
        <v>0.7</v>
      </c>
      <c r="G28" s="29" t="n">
        <v>4.5</v>
      </c>
      <c r="H28" s="21" t="n">
        <v>60</v>
      </c>
      <c r="I28" s="30">
        <f>C28/'Pescado'!$B$19*CHOOSE(B28+1,0,'Pescado'!$B$24,'Pescado'!$C$24,'Pescado'!$D$24,'Pescado'!$E$24)+D28/'Pescado'!$B$19*$B$12+E28*$B$13+F28</f>
        <v>0.7</v>
      </c>
      <c r="J28" s="18">
        <f>G28/(1+$B$5)</f>
        <v>4.090909090909091</v>
      </c>
      <c r="K28" s="31">
        <f>I28/J28</f>
        <v>0.1711111111111111</v>
      </c>
      <c r="L28" s="2" t="str">
        <f>IF(K28&lt;=$B$6,"En objetivo",IF(K28&lt;=$B$6+$B$7,"Vigila el coste","Por encima del objetivo"))</f>
        <v>En objetivo</v>
      </c>
      <c r="M28" s="18">
        <f>I28/$B$6*(1+$B$5)</f>
        <v>2.566666666666667</v>
      </c>
      <c r="N28" s="18">
        <f>J28-I28</f>
        <v>3.3909090909090907</v>
      </c>
      <c r="O28" s="18">
        <f>N28-$B$8</f>
        <v>2.9909090909090907</v>
      </c>
      <c r="P28" s="18">
        <f>J28*(1+$B$10)*(1-$B$11)-I28-$B$9</f>
        <v>1.693181818181818</v>
      </c>
      <c r="Q28" s="24">
        <f>1+COUNTIF($N$16:$N$29,"&gt;"&amp;N28)</f>
        <v>14.0</v>
      </c>
    </row>
    <row r="29" ht="32" customHeight="1">
      <c r="A29" s="25" t="inlineStr">
        <is>
          <t>Mochi (2 piezas)</t>
        </is>
      </c>
      <c r="B29" s="26" t="n">
        <v>0</v>
      </c>
      <c r="C29" s="27" t="n">
        <v>0</v>
      </c>
      <c r="D29" s="27" t="n">
        <v>0</v>
      </c>
      <c r="E29" s="28" t="n">
        <v>0</v>
      </c>
      <c r="F29" s="7" t="n">
        <v>1.25</v>
      </c>
      <c r="G29" s="29" t="n">
        <v>5.5</v>
      </c>
      <c r="H29" s="21" t="n">
        <v>45</v>
      </c>
      <c r="I29" s="30">
        <f>C29/'Pescado'!$B$19*CHOOSE(B29+1,0,'Pescado'!$B$24,'Pescado'!$C$24,'Pescado'!$D$24,'Pescado'!$E$24)+D29/'Pescado'!$B$19*$B$12+E29*$B$13+F29</f>
        <v>1.25</v>
      </c>
      <c r="J29" s="18">
        <f>G29/(1+$B$5)</f>
        <v>5.0</v>
      </c>
      <c r="K29" s="31">
        <f>I29/J29</f>
        <v>0.25</v>
      </c>
      <c r="L29" s="2" t="str">
        <f>IF(K29&lt;=$B$6,"En objetivo",IF(K29&lt;=$B$6+$B$7,"Vigila el coste","Por encima del objetivo"))</f>
        <v>En objetivo</v>
      </c>
      <c r="M29" s="18">
        <f>I29/$B$6*(1+$B$5)</f>
        <v>4.583333333333334</v>
      </c>
      <c r="N29" s="18">
        <f>J29-I29</f>
        <v>3.75</v>
      </c>
      <c r="O29" s="18">
        <f>N29-$B$8</f>
        <v>3.35</v>
      </c>
      <c r="P29" s="18">
        <f>J29*(1+$B$10)*(1-$B$11)-I29-$B$9</f>
        <v>1.8749999999999996</v>
      </c>
      <c r="Q29" s="24">
        <f>1+COUNTIF($N$16:$N$29,"&gt;"&amp;N29)</f>
        <v>13.0</v>
      </c>
    </row>
    <row r="31">
      <c r="A31" s="4" t="inlineStr">
        <is>
          <t>FOOD COST PONDERADO DE LA SEMANA (suma de costes × unidades ÷ suma de PVP sin IVA × unidades)</t>
        </is>
      </c>
      <c r="B31" s="4" t="inlineStr">
        <is>
          <t>Valor</t>
        </is>
      </c>
    </row>
    <row r="32">
      <c r="A32" s="6" t="inlineStr">
        <is>
          <t>Ventas de la semana sin IVA (€)</t>
        </is>
      </c>
      <c r="B32" s="18">
        <f>SUMPRODUCT($J$16:$J$29,$H$16:$H$29)</f>
        <v>4734.545454545454</v>
      </c>
    </row>
    <row r="33">
      <c r="A33" s="6" t="inlineStr">
        <is>
          <t>Coste de la comida vendida en la semana (€)</t>
        </is>
      </c>
      <c r="B33" s="18">
        <f>SUMPRODUCT($I$16:$I$29,$H$16:$H$29)</f>
        <v>760.2520854114408</v>
      </c>
    </row>
    <row r="34">
      <c r="A34" s="15" t="inlineStr">
        <is>
          <t>FOOD COST PONDERADO (%)</t>
        </is>
      </c>
      <c r="B34" s="31">
        <f>IF($B$32=0,0,$B$33/$B$32)</f>
        <v>0.16057551727200173</v>
      </c>
    </row>
    <row r="35" ht="32" customHeight="1">
      <c r="A35" s="6" t="inlineStr">
        <is>
          <t>Semáforo del food cost ponderado</t>
        </is>
      </c>
      <c r="B35" s="2" t="str">
        <f>IF($B$34&lt;=$B$6,"En objetivo",IF($B$34&lt;=$B$6+$B$7,"Vigila el coste","Por encima del objetivo"))</f>
        <v>En objetivo</v>
      </c>
    </row>
    <row r="37" ht="82" customHeight="1">
      <c r="A37" s="32" t="inlineStr">
        <is>
          <t>Pescado: 0 = ninguno · 1 = Salmón entero de acuicultura · 2 = Lomo de salmón comprado limpio · 3 = Atún aleta amarilla en saku ultracongelado · 4 = Otro pescado (escribe el tuyo). El food cost de la tabla es el del plato servido en sala, sin contar las bebidas. En el pedido para llevar se descuenta la caja; en la plataforma, además, se sube el precio con el recargo y se descuenta la comisión sobre ese precio. El margen se ordena por el de sala. AVISO FIJO: la tempura y las gyozas viajan mal; en la plataforma, ofrécelas solo con envase ventilado o déjalas fuera de la carta de reparto. Este coste es TEÓRICO: el plan de negocio trabaja con un 29 %, el lado prudente; la diferencia entre la receta y la caja está explicada en la hoja «Instrucciones».</t>
        </is>
      </c>
    </row>
  </sheetData>
  <sheetProtection selectLockedCells="0" selectUnlockedCells="0" sheet="1" objects="0" insertRows="1" insertHyperlinks="1" autoFilter="1" scenarios="0" formatColumns="1" deleteColumns="1" insertColumns="1" pivotTables="1" deleteRows="1" formatCells="1" formatRows="1" sort="1"/>
  <mergeCells count="9">
    <mergeCell ref="D9:Q9"/>
    <mergeCell ref="D8:Q8"/>
    <mergeCell ref="D6:Q6"/>
    <mergeCell ref="D7:Q7"/>
    <mergeCell ref="D10:Q10"/>
    <mergeCell ref="A2:Q2"/>
    <mergeCell ref="D11:Q11"/>
    <mergeCell ref="D5:Q5"/>
    <mergeCell ref="A37:Q37"/>
  </mergeCells>
  <conditionalFormatting sqref="L16:L29">
    <cfRule type="expression" priority="1" dxfId="0">
      <formula>L16="En objetivo"</formula>
    </cfRule>
    <cfRule type="expression" priority="2" dxfId="2">
      <formula>L16="Vigila el coste"</formula>
    </cfRule>
    <cfRule type="expression" priority="3" dxfId="1">
      <formula>L16="Por encima del objetivo"</formula>
    </cfRule>
  </conditionalFormatting>
  <conditionalFormatting sqref="B35">
    <cfRule type="expression" priority="4" dxfId="0">
      <formula>$B$35="En objetivo"</formula>
    </cfRule>
    <cfRule type="expression" priority="5" dxfId="2">
      <formula>$B$35="Vigila el coste"</formula>
    </cfRule>
    <cfRule type="expression" priority="6" dxfId="1">
      <formula>$B$35="Por encima del objetivo"</formula>
    </cfRule>
  </conditionalFormatting>
  <dataValidations count="4">
    <dataValidation sqref="B5 B7 B10 B11" showDropDown="0" showInputMessage="0" showErrorMessage="1" allowBlank="0" errorTitle="Porcentaje no válido" error="Escribe un porcentaje entre 0 y 0,9 (0,1 = 10 %)." type="decimal" operator="between">
      <formula1>0</formula1>
      <formula2>0.9</formula2>
    </dataValidation>
    <dataValidation sqref="B6" showDropDown="0" showInputMessage="0" showErrorMessage="1" allowBlank="0" errorTitle="Objetivo no válido" error="El objetivo no puede ser 0 (se divide entre él): escribe entre 0,01 y 0,9." type="decimal" operator="between">
      <formula1>0.01</formula1>
      <formula2>0.9</formula2>
    </dataValidation>
    <dataValidation sqref="B8 B9 C16 C17 C18 C19 C20 C21 C22 C23 C24 C25 C26 C27 C28 C29 D16 D17 D18 D19 D20 D21 D22 D23 D24 D25 D26 D27 D28 D29 E16 E17 E18 E19 E20 E21 E22 E23 E24 E25 E26 E27 E28 E29 F16 F17 F18 F19 F20 F21 F22 F23 F24 F25 F26 F27 F28 F29 G16 G17 G18 G19 G20 G21 G22 G23 G24 G25 G26 G27 G28 G29 H16 H17 H18 H19 H20 H21 H22 H23 H24 H25 H26 H27 H28 H29" showDropDown="0" showInputMessage="0" showErrorMessage="1" allowBlank="0" errorTitle="Importe no válido" error="Escribe un número mayor o igual que 0." type="decimal" operator="greaterThanOrEqual">
      <formula1>0</formula1>
    </dataValidation>
    <dataValidation sqref="B16 B17 B18 B19 B20 B21 B22 B23 B24 B25 B26 B27 B28 B29" showDropDown="0" showInputMessage="0" showErrorMessage="1" allowBlank="0" errorTitle="Pescado no válido" error="Escribe 0 (ninguno), 1, 2, 3 o 4, el número de la columna de la hoja Pescado." type="whole" operator="between">
      <formula1>0</formula1>
      <formula2>4</formula2>
    </dataValidation>
  </dataValidations>
  <printOptions horizontalCentered="1"/>
  <pageMargins left="0.75" right="0.75" top="1" bottom="1" header="0.5" footer="0.5"/>
  <pageSetup orientation="landscape" paperSize="9" fitToHeight="0" fitToWidth="1"/>
  <headerFooter>
    <oddHeader/>
    <oddFooter>&amp;Caichef.pro/plan-negocio-sushi-bar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32"/>
  <sheetViews>
    <sheetView showGridLines="0" workbookViewId="0">
      <selection activeCell="A1" sqref="A1"/>
    </sheetView>
  </sheetViews>
  <sheetFormatPr baseColWidth="8" defaultRowHeight="15"/>
  <cols>
    <col width="110" customWidth="1" min="1" max="1"/>
  </cols>
  <sheetData>
    <row r="1">
      <c r="A1" s="33" t="inlineStr">
        <is>
          <t>INSTRUCCIONES DE USO — Calculadora del pescado, el arroz y el escandallo</t>
        </is>
      </c>
    </row>
    <row r="2" ht="90" customHeight="1">
      <c r="A2" s="2" t="inlineStr">
        <is>
          <t>Tres herramientas en un libro: la hoja «Pescado» te dice cuánto cuesta el kilo útil de salmón entero, de lomo comprado limpio y de atún, cuánto vale cada loncha, corte y roll y si te compensa comprar el pescado entero; la hoja «Arroz» calcula el shari que sale de un kilo de arroz crudo, su coste, cuántos nigiris das por kilo y cuánto arroz compras al día; la hoja «Escandallo» calcula el coste, el food cost, el margen y el precio de carta de 14 productos, con el margen en sala, para llevar y en plataforma, y el food cost ponderado de tu semana. Solo se escribe en las celdas VERDES; lo demás se calcula.</t>
        </is>
      </c>
    </row>
    <row r="3" ht="30" customHeight="1">
      <c r="A3" s="2" t="inlineStr">
        <is>
          <t>Todos los valores por defecto son estimación del kit, editable: son ejemplos coherentes con el caso del plan de negocio, no precios de nadie. Cámbialos por los de tu proveedor y por lo que midas en tu barra antes de decidir precios.</t>
        </is>
      </c>
    </row>
    <row r="4">
      <c r="A4" s="20" t="inlineStr">
        <is>
          <t>HOJA «PESCADO»</t>
        </is>
      </c>
    </row>
    <row r="6" ht="45" customHeight="1">
      <c r="A6" s="2" t="inlineStr">
        <is>
          <t>1. Mide tu rendimiento. Pesa 3 salmones enteros, límpialos y pesa el lomo que sale de cada uno; divide entre el peso del pescado entero y escribe la media en «Rendimiento». Pesa también el recorte que reaprovechas (tartar, maki, poke) y escríbelo en «Recorte que reaprovechas». Pesa 10 lonchas de nigiri y 10 cortes de sashimi y usa la media en los gramos.</t>
        </is>
      </c>
    </row>
    <row r="7" ht="45" customHeight="1">
      <c r="A7" s="2" t="inlineStr">
        <is>
          <t>2. El coste por kilo útil es el precio ÷ (rendimiento + recorte) ÷ (1 − merma de vitrina). Es el número que alimenta el escandallo: con los valores del kit sale a 14,29 €/kg en el salmón entero, 24,16 en el lomo comprado y 28,81 en el atún en saku.</t>
        </is>
      </c>
    </row>
    <row r="8" ht="60" customHeight="1">
      <c r="A8" s="2" t="inlineStr">
        <is>
          <t>3. La limpieza también cuesta. El kit supone 25 minutos por pieza entera, un dato sin fuente: cronométralo. El coste por hora del itamae (el jefe de barra: compra, limpia y corta el pescado) se estima en 22 €/h: 2.200 € brutos × 14 pagas + 33 % de cargas ÷ 1.840 h ≈ 22 €/h. La hoja te dice hasta qué coste de limpieza por kilo útil te compensa comprar el pescado entero.</t>
        </is>
      </c>
    </row>
    <row r="9" ht="60" customHeight="1">
      <c r="A9" s="2" t="inlineStr">
        <is>
          <t>4. Anisakis (RD 1021/2022, art. 8). El pescado que se sirve crudo o casi crudo se congela a −20 °C o menos durante al menos 24 horas, o a −35 °C o menos durante al menos 15 horas, en la totalidad del producto. La acuicultura queda exenta solo con documento escrito del proveedor. Hay que informar al cliente en la carta o en un cartel (art. 8.2). El desplegable de la hoja es solo un recordatorio: no cambia ningún cálculo.</t>
        </is>
      </c>
    </row>
    <row r="10">
      <c r="A10" s="20" t="inlineStr">
        <is>
          <t>HOJA «ARROZ»</t>
        </is>
      </c>
    </row>
    <row r="12" ht="30" customHeight="1">
      <c r="A12" s="2" t="inlineStr">
        <is>
          <t>1. Pesa 10 bolas de shari (el arroz ya aliñado con sushi-zu) y usa la media en los gramos por nigiri; haz lo mismo con un hosomaki, un uramaki, un temaki y un poke.</t>
        </is>
      </c>
    </row>
    <row r="13" ht="45" customHeight="1">
      <c r="A13" s="2" t="inlineStr">
        <is>
          <t>2. Los resultados clave son los kilos de shari por kilo de arroz crudo (2,42 con los valores del kit), el coste por kilo de shari y los nigiris que das por cada kilo de arroz crudo. Con eso sabes cuánto arroz tienes que comprar al día para tus comensales.</t>
        </is>
      </c>
    </row>
    <row r="14" ht="45" customHeight="1">
      <c r="A14" s="2" t="inlineStr">
        <is>
          <t>3. Seguridad del shari. A temperatura ambiente solo puede mantenerse si tu APPCC lo justifica y lo demuestras a sanidad (RD 1086/2020, art. 30.5); si no, se mantiene refrigerado. El pH de 4,6 o menos es el límite crítico del APPCC del Kit de Tareas Sushi Bar, no una cifra legal. El pH de cada tanda se registra en el Kit de Tareas Sushi Bar (hoja 03).</t>
        </is>
      </c>
    </row>
    <row r="15">
      <c r="A15" s="20" t="inlineStr">
        <is>
          <t>HOJA «ESCANDALLO»</t>
        </is>
      </c>
    </row>
    <row r="17" ht="30" customHeight="1">
      <c r="A17" s="2" t="inlineStr">
        <is>
          <t>1. Escribe el IVA, el food cost objetivo, el margen de vigilancia, las cajas de para llevar y de plataforma, el recargo y la comisión de la plataforma.</t>
        </is>
      </c>
    </row>
    <row r="18" ht="45" customHeight="1">
      <c r="A18" s="2" t="inlineStr">
        <is>
          <t>2. En la tabla, cada fila es un producto. «Pescado» es el número de la columna de la hoja Pescado que usa (1 salmón entero, 2 lomo comprado, 3 atún, 4 libre; 0 si no lleva). Escribe los gramos de neta, los gramos de shari, las hojas de nori y lo que cuestan el resto de ingredientes, el precio de carta con IVA y las unidades que vendes a la semana.</t>
        </is>
      </c>
    </row>
    <row r="19" ht="45" customHeight="1">
      <c r="A19" s="2" t="inlineStr">
        <is>
          <t>3. Para cada producto ves el coste, el precio sin IVA, el food cost con semáforo, el precio de carta con IVA que necesitarías para llegar a tu objetivo y el margen en sala, para llevar y en plataforma, con el puesto de cada producto por margen en sala. Abajo, el food cost ponderado de tu semana. La tempura y las gyozas viajan mal: vigílalas en la plataforma.</t>
        </is>
      </c>
    </row>
    <row r="20">
      <c r="A20" s="20" t="inlineStr">
        <is>
          <t>DEL FOOD COST TEÓRICO AL 29 % DEL PLAN</t>
        </is>
      </c>
    </row>
    <row r="22" ht="105" customHeight="1">
      <c r="A22" s="2" t="inlineStr">
        <is>
          <t>El food cost de esta hoja es teórico: el que saldría si todo lo que compras se vendiera tal como está en el escandallo. Con los valores del kit, la semana ponderada sale en torno a un 16 %. El plan de negocio trabaja con un 29 %, el lado prudente: entre la receta y la caja se pierden la merma del pescado que no se vende en la vitrina y del recorte que no se reaprovecha, la neta y el shari que pesan más que en el escandallo, el shari, el nori y las salsas que se tiran al cierre, las comidas del personal, las invitaciones y los errores de pedido, y el menú del día, que deja poco margen; además, los precios del pescado son estimaciones del kit. Un restaurante japonés con pescado de calidad suele trabajar con un 30-35 %.</t>
        </is>
      </c>
    </row>
    <row r="23" ht="45" customHeight="1">
      <c r="A23" s="2" t="inlineStr">
        <is>
          <t>Tu comparación real es esta: las compras de comida del mes ÷ las ventas de comida sin IVA del mes. Si después del primer trimestre sale por encima o por debajo del 29 %, cambia la celda «Coste de mercancía sobre las ventas de COMIDA» del plan: cada punto vale unos 4.000 € al año.</t>
        </is>
      </c>
    </row>
    <row r="24">
      <c r="A24" s="20" t="inlineStr">
        <is>
          <t>PRECIOS, IVA Y FUENTES</t>
        </is>
      </c>
    </row>
    <row r="26" ht="30" customHeight="1">
      <c r="A26" s="2" t="inlineStr">
        <is>
          <t>El IVA de la comida preparada para consumir en el local, para llevar o a domicilio es el 10 % (Ley 37/1992, art. 91). La compra de arroz lleva el 4 %. Los importes de la calculadora van sin IVA, salvo el precio de carta.</t>
        </is>
      </c>
    </row>
    <row r="27" ht="45" customHeight="1">
      <c r="A27" s="2" t="inlineStr">
        <is>
          <t>Los precios y rendimientos salen del estudio de mercado del kit (octubre de 2026): salmón y arroz de mayorista y minorista, nori de tienda especializada y una carta de cadena de sushi como referencia de precios. Ninguna cifra de esta calculadora es un dato publicado de tu negocio: sustitúyelas por las tuyas.</t>
        </is>
      </c>
    </row>
    <row r="29">
      <c r="A29" s="2" t="inlineStr">
        <is>
          <t>Para editar una celda que no esté en verde: Revisar → Desproteger hoja (no tiene contraseña).</t>
        </is>
      </c>
    </row>
    <row r="30">
      <c r="A30" s="2" t="inlineStr">
        <is>
          <t>Más plantillas y kits del catálogo en aichef.pro/productos-digitales</t>
        </is>
      </c>
    </row>
    <row r="31">
      <c r="A31" s="2" t="inlineStr">
        <is>
          <t>Diseñado por John Guerrero — chef y consultor gastronómico desde 2010, en cocina desde los 17 años · johnguerrero.es</t>
        </is>
      </c>
    </row>
    <row r="32">
      <c r="A32" s="2" t="inlineStr">
        <is>
          <t>Versión 1.0 · noviembre 2026 · aichef.pro/plan-negocio-sushi-bar · info@aichef.pro</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9" fitToHeight="0" fitToWidth="1"/>
  <headerFooter>
    <oddHeader/>
    <oddFooter>&amp;Caichef.pro/plan-negocio-sushi-bar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del pescado, el arroz y el escandallo · v1.0</dc:title>
  <dc:description xmlns:dc="http://purl.org/dc/elements/1.1/">aichef.pro/plan-negocio-sushi-bar</dc:description>
  <dc:subject xmlns:dc="http://purl.org/dc/elements/1.1/">Plan de Negocio: Sushi Bar</dc:subject>
  <dcterms:created xmlns:dcterms="http://purl.org/dc/terms/" xmlns:xsi="http://www.w3.org/2001/XMLSchema-instance" xsi:type="dcterms:W3CDTF">2026-10-31T02:14:38Z</dcterms:created>
  <dcterms:modified xmlns:dcterms="http://purl.org/dc/terms/" xmlns:xsi="http://www.w3.org/2001/XMLSchema-instance" xsi:type="dcterms:W3CDTF">2026-10-31T02:14:38Z</dcterms:modified>
  <cp:lastModifiedBy>AI Chef Pro</cp:lastModifiedBy>
  <cp:keywords>plan de negocio sushi bar, calculadora de pescado y arroz para sushi, escandallo de sushi, AI Chef Pro</cp:keywords>
</cp:coreProperties>
</file>