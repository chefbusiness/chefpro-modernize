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Decisiones" sheetId="2" state="visible" r:id="rId2"/>
    <sheet xmlns:r="http://schemas.openxmlformats.org/officeDocument/2006/relationships" name="Calendario 90 Días" sheetId="3" state="visible" r:id="rId3"/>
    <sheet xmlns:r="http://schemas.openxmlformats.org/officeDocument/2006/relationships" name="KPI de Seguimiento" sheetId="4" state="visible" r:id="rId4"/>
  </sheets>
  <definedNames/>
  <calcPr calcId="124519" fullCalcOnLoad="1"/>
</workbook>
</file>

<file path=xl/styles.xml><?xml version="1.0" encoding="utf-8"?>
<styleSheet xmlns="http://schemas.openxmlformats.org/spreadsheetml/2006/main">
  <numFmts count="4">
    <numFmt numFmtId="164" formatCode="#,##0.00 €"/>
    <numFmt numFmtId="165" formatCode="dd/mm/yyyy"/>
    <numFmt numFmtId="166" formatCode="0.0%"/>
    <numFmt numFmtId="167" formatCode="yyyy-mm-dd"/>
  </numFmts>
  <fonts count="8">
    <font>
      <name val="Calibri"/>
      <family val="2"/>
      <color theme="1"/>
      <sz val="11"/>
      <scheme val="minor"/>
    </font>
    <font>
      <b val="1"/>
      <color theme="1"/>
      <sz val="11"/>
    </font>
    <font>
      <b val="1"/>
      <color rgb="00FFD700"/>
      <sz val="16"/>
    </font>
    <font>
      <color rgb="00888888"/>
      <sz val="10"/>
    </font>
    <font>
      <b val="1"/>
      <color rgb="00FFD700"/>
      <sz val="12"/>
    </font>
    <font>
      <color rgb="00888888"/>
      <sz val="9"/>
    </font>
    <font>
      <b val="1"/>
      <color rgb="00FFFFFF"/>
    </font>
    <font>
      <b val="1"/>
      <color rgb="001565C0"/>
    </font>
  </fonts>
  <fills count="5">
    <fill>
      <patternFill/>
    </fill>
    <fill>
      <patternFill patternType="gray125"/>
    </fill>
    <fill>
      <patternFill patternType="solid">
        <fgColor rgb="00E8F5E9"/>
      </patternFill>
    </fill>
    <fill>
      <patternFill patternType="solid">
        <fgColor rgb="002D2D2D"/>
      </patternFill>
    </fill>
    <fill>
      <patternFill patternType="solid">
        <fgColor rgb="00FFF8E1"/>
      </patternFill>
    </fill>
  </fills>
  <borders count="1">
    <border>
      <left/>
      <right/>
      <top/>
      <bottom/>
      <diagonal/>
    </border>
  </borders>
  <cellStyleXfs count="1">
    <xf numFmtId="0" fontId="0" fillId="0" borderId="0"/>
  </cellStyleXfs>
  <cellXfs count="29">
    <xf numFmtId="0" fontId="0"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horizontal="general" vertical="top" wrapText="1"/>
    </xf>
    <xf numFmtId="0" fontId="0" fillId="2" borderId="0" applyProtection="1" pivotButton="0" quotePrefix="0" xfId="0">
      <protection locked="0" hidden="0"/>
    </xf>
    <xf numFmtId="0" fontId="5" fillId="0" borderId="0" pivotButton="0" quotePrefix="0" xfId="0"/>
    <xf numFmtId="0" fontId="6" fillId="3" borderId="0" applyAlignment="1" pivotButton="0" quotePrefix="0" xfId="0">
      <alignment horizontal="center" vertical="center" wrapText="1"/>
    </xf>
    <xf numFmtId="3" fontId="0" fillId="0" borderId="0" pivotButton="0" quotePrefix="0" xfId="0"/>
    <xf numFmtId="3" fontId="0" fillId="2" borderId="0" applyProtection="1" pivotButton="0" quotePrefix="0" xfId="0">
      <protection locked="0" hidden="0"/>
    </xf>
    <xf numFmtId="165" fontId="0" fillId="0" borderId="0" pivotButton="0" quotePrefix="0" xfId="0"/>
    <xf numFmtId="164" fontId="0" fillId="2" borderId="0" applyProtection="1" pivotButton="0" quotePrefix="0" xfId="0">
      <protection locked="0" hidden="0"/>
    </xf>
    <xf numFmtId="164" fontId="7" fillId="0" borderId="0" pivotButton="0" quotePrefix="0" xfId="0"/>
    <xf numFmtId="0" fontId="1" fillId="0" borderId="0" pivotButton="0" quotePrefix="0" xfId="0"/>
    <xf numFmtId="166" fontId="1" fillId="0" borderId="0" pivotButton="0" quotePrefix="0" xfId="0"/>
    <xf numFmtId="0" fontId="1" fillId="4" borderId="0" pivotButton="0" quotePrefix="0" xfId="0"/>
    <xf numFmtId="164" fontId="1" fillId="4" borderId="0" pivotButton="0" quotePrefix="0" xfId="0"/>
    <xf numFmtId="164" fontId="0" fillId="0" borderId="0" pivotButton="0" quotePrefix="0" xfId="0"/>
    <xf numFmtId="166" fontId="0" fillId="2" borderId="0" applyProtection="1" pivotButton="0" quotePrefix="0" xfId="0">
      <protection locked="0" hidden="0"/>
    </xf>
    <xf numFmtId="165" fontId="0" fillId="2" borderId="0" applyProtection="1" pivotButton="0" quotePrefix="0" xfId="0">
      <protection locked="0" hidden="0"/>
    </xf>
    <xf numFmtId="0" fontId="0" fillId="2" borderId="0" applyAlignment="1" applyProtection="1" pivotButton="0" quotePrefix="0" xfId="0">
      <alignment horizontal="general" vertical="top" wrapText="1"/>
      <protection locked="0" hidden="0"/>
    </xf>
    <xf numFmtId="166" fontId="1" fillId="4" borderId="0" pivotButton="0" quotePrefix="0" xfId="0"/>
    <xf numFmtId="166" fontId="0" fillId="0" borderId="0" pivotButton="0" quotePrefix="0" xfId="0"/>
    <xf numFmtId="166" fontId="7" fillId="0" borderId="0" pivotButton="0" quotePrefix="0" xfId="0"/>
    <xf numFmtId="3" fontId="7" fillId="0" borderId="0" pivotButton="0" quotePrefix="0" xfId="0"/>
    <xf numFmtId="4" fontId="0" fillId="2" borderId="0" applyProtection="1" pivotButton="0" quotePrefix="0" xfId="0">
      <protection locked="0" hidden="0"/>
    </xf>
    <xf numFmtId="4" fontId="0" fillId="0" borderId="0" pivotButton="0" quotePrefix="0" xfId="0"/>
    <xf numFmtId="4" fontId="7" fillId="0" borderId="0" pivotButton="0" quotePrefix="0" xfId="0"/>
    <xf numFmtId="3" fontId="1" fillId="4" borderId="0" pivotButton="0" quotePrefix="0" xfId="0"/>
  </cellXfs>
  <cellStyles count="1">
    <cellStyle name="Normal" xfId="0" builtinId="0" hidden="0"/>
  </cellStyles>
  <dxfs count="4">
    <dxf>
      <font>
        <b val="1"/>
        <color rgb="00006100"/>
      </font>
      <fill>
        <patternFill patternType="solid">
          <fgColor rgb="00C6EFCE"/>
          <bgColor rgb="00C6EFCE"/>
        </patternFill>
      </fill>
    </dxf>
    <dxf>
      <font>
        <b val="1"/>
        <color rgb="009C6500"/>
      </font>
      <fill>
        <patternFill patternType="solid">
          <fgColor rgb="00FFEB9C"/>
          <bgColor rgb="00FFEB9C"/>
        </patternFill>
      </fill>
    </dxf>
    <dxf>
      <font>
        <b val="1"/>
        <color rgb="00595959"/>
      </font>
      <fill>
        <patternFill patternType="solid">
          <fgColor rgb="00F2F2F2"/>
          <bgColor rgb="00F2F2F2"/>
        </patternFill>
      </fill>
    </dxf>
    <dxf>
      <font>
        <b val="1"/>
        <color rgb="009C0006"/>
      </font>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32"/>
  <sheetViews>
    <sheetView workbookViewId="0">
      <selection activeCell="A1" sqref="A1"/>
    </sheetView>
  </sheetViews>
  <sheetFormatPr baseColWidth="8" defaultRowHeight="15"/>
  <cols>
    <col width="118" customWidth="1" min="1" max="1"/>
  </cols>
  <sheetData>
    <row r="1">
      <c r="A1" s="1" t="inlineStr">
        <is>
          <t>Plan de Acción a 90 Días</t>
        </is>
      </c>
    </row>
    <row r="2">
      <c r="A2" s="2" t="inlineStr">
        <is>
          <t>AI Chef Pro · aichef.pro — Guía Food Cost + Ingeniería de Menú</t>
        </is>
      </c>
    </row>
    <row r="3"/>
    <row r="4">
      <c r="A4" s="3" t="inlineStr">
        <is>
          <t>Instrucciones de uso</t>
        </is>
      </c>
    </row>
    <row r="5">
      <c r="A5" s="4" t="inlineStr">
        <is>
          <t>1. Abre «Decisiones» y vuelca ahí lo que han dicho las otras herramientas del pack: qué plato, de qué hoja sale y qué se decide hacer con él.</t>
        </is>
      </c>
    </row>
    <row r="6">
      <c r="A6" s="4" t="inlineStr">
        <is>
          <t>2. Ponle a cada decisión un responsable con nombre y apellido y una semana del plan (1-13). La «Fecha objetivo» la calcula el libro solo desde la «Fecha de inicio del plan» de la celda verde D36: una decisión sin dueño y sin fecha no se ejecuta.</t>
        </is>
      </c>
    </row>
    <row r="7">
      <c r="A7" s="4" t="inlineStr">
        <is>
          <t>3. Estima el impacto en euros al mes. No hace falta precisión: hace falta orden de magnitud para saber por dónde empezar.</t>
        </is>
      </c>
    </row>
    <row r="8">
      <c r="A8" s="4" t="inlineStr">
        <is>
          <t>4. Cambia el «Estado» según avances. El libro cuenta cuántas has cerrado, cuánto impacto llevas conseguido y cuánto queda pendiente.</t>
        </is>
      </c>
    </row>
    <row r="9">
      <c r="A9" s="4" t="inlineStr">
        <is>
          <t>5. En «Calendario 90 Días» tienes 13 semanas con dos hitos cada una. Son una propuesta: reescríbelos con lo que toque en tu casa.</t>
        </is>
      </c>
    </row>
    <row r="10">
      <c r="A10" s="4" t="inlineStr">
        <is>
          <t>6. Marca «Hecho» = Sí a medida que cierras hitos; el avance del plan y el de cada bloque se calculan solos.</t>
        </is>
      </c>
    </row>
    <row r="11">
      <c r="A11" s="4" t="inlineStr">
        <is>
          <t>7. En «KPI de Seguimiento» anota la foto del mes 0 y luego los meses 1, 2 y 3. La lectura te dice si cada KPI mejora o empeora.</t>
        </is>
      </c>
    </row>
    <row r="12">
      <c r="A12" s="4" t="inlineStr">
        <is>
          <t>8. A los 90 días, vuelve a la matriz con las ventas nuevas: los platos habrán cambiado de casilla y el ciclo empieza otra vez.</t>
        </is>
      </c>
    </row>
    <row r="13"/>
    <row r="14">
      <c r="A14" s="5" t="inlineStr">
        <is>
          <t>Celdas verdes = campos editables</t>
        </is>
      </c>
    </row>
    <row r="15"/>
    <row r="16">
      <c r="A16" s="4" t="inlineStr">
        <is>
          <t>ESTE PLAN NO ES EL PLAN DE 4 SEMANAS DEL BONO DEL KIT DE ESCANDALLOS. Aquel es DIARIO y sirve para coger el hábito de escandallar y de medir. Éste es TRIMESTRAL y sirve para decidir qué pasa con cada plato de la carta. Se complementan, pero no se sustituyen ni se solapan: si tienes los dos, primero el de 4 semanas para tener datos, después éste para decidir con ellos.</t>
        </is>
      </c>
    </row>
    <row r="17"/>
    <row r="18">
      <c r="A18" s="4" t="inlineStr">
        <is>
          <t>Las 10 decisiones sembradas son un EJEMPLO de cómo se rellena, salidas de la carta modelada del pack. Bórralas y pon las tuyas.</t>
        </is>
      </c>
    </row>
    <row r="19"/>
    <row r="20">
      <c r="A20" s="4" t="inlineStr">
        <is>
          <t>La columna «Decisión sugerida» de la hoja «Comparativa» de la matriz es una sugerencia automática, no una orden. Aquí decide una persona: puedes retirar un plato que la matriz pedía conservar si te ocupa cámara, mano de obra o sitio en la carta. Lo que no vale es decidirlo sin mirar el dato.</t>
        </is>
      </c>
    </row>
    <row r="21"/>
    <row r="22">
      <c r="A22" s="4" t="inlineStr">
        <is>
          <t>El impacto en euros al mes es una ESTIMACIÓN tuya, no un cálculo del libro: la suma sirve para priorizar, no para presupuestar.</t>
        </is>
      </c>
    </row>
    <row r="23"/>
    <row r="24">
      <c r="A24" s="4" t="inlineStr">
        <is>
          <t>El calendario arranca con todos los hitos en «No». Es correcto: un plan recién abierto tiene el 0 % de avance.</t>
        </is>
      </c>
    </row>
    <row r="25"/>
    <row r="26">
      <c r="A26" s="4" t="inlineStr">
        <is>
          <t>En los KPI expresados en porcentaje, la variación son PUNTOS porcentuales: la resta directa entre el mes y el mes 0, no un porcentaje sobre el mes 0.</t>
        </is>
      </c>
    </row>
    <row r="27"/>
    <row r="28">
      <c r="A28" s="4" t="inlineStr">
        <is>
          <t>Todos los importes de este libro van SIN IVA, igual que en el resto del pack: el food cost y el margen se miden sobre la base imponible. El IVA repercutido no es ingreso y el IVA soportado se deduce en el modelo 303, así que ni uno ni otro entran en estos KPI.</t>
        </is>
      </c>
    </row>
    <row r="29"/>
    <row r="30">
      <c r="A30" s="4" t="inlineStr">
        <is>
          <t>Para editar la estructura o una celda que no esté en verde, desprotege la hoja (sin contraseña).</t>
        </is>
      </c>
    </row>
    <row r="31">
      <c r="A31" s="4" t="inlineStr">
        <is>
          <t>Diseñado por John Guerrero — chef y consultor gastronómico desde 2010 · johnguerrero.es</t>
        </is>
      </c>
    </row>
    <row r="32">
      <c r="A32" s="4" t="inlineStr">
        <is>
          <t>Versión 1.0 · septiembre 2026 · aichef.pro/guia-food-cost-ingenieria-menu · info@aichef.pro</t>
        </is>
      </c>
    </row>
  </sheetData>
  <sheetProtection selectLockedCells="0" selectUnlockedCells="0" sheet="1" objects="0" insertRows="0" insertHyperlinks="1" autoFilter="1" scenarios="0" formatColumns="0" deleteColumns="1" insertColumns="1" pivotTables="1" deleteRows="1" formatCells="1" formatRows="0" sort="0"/>
  <pageMargins left="0.39" right="0.39" top="0.59" bottom="0.59" header="0.5" footer="0.5"/>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K5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40" customWidth="1" min="2" max="2"/>
    <col width="24" customWidth="1" min="3" max="3"/>
    <col width="15" customWidth="1" min="4" max="4"/>
    <col width="18" customWidth="1" min="5" max="5"/>
    <col width="11" customWidth="1" min="6" max="6"/>
    <col width="14" customWidth="1" min="7" max="7"/>
    <col width="14" customWidth="1" min="8" max="8"/>
    <col width="14" customWidth="1" min="9" max="9"/>
    <col width="14" customWidth="1" min="10" max="10"/>
    <col width="40" customWidth="1" min="11" max="11"/>
  </cols>
  <sheetData>
    <row r="1">
      <c r="A1" s="1" t="inlineStr">
        <is>
          <t>Decisiones — qué se hace, quién y cuándo</t>
        </is>
      </c>
    </row>
    <row r="2">
      <c r="A2" s="2" t="inlineStr">
        <is>
          <t>AI Chef Pro · aichef.pro — Guía Food Cost + Ingeniería de Menú</t>
        </is>
      </c>
    </row>
    <row r="3">
      <c r="E3" s="6" t="inlineStr">
        <is>
          <t>Cada fila sale de una hoja del pack. Sin responsable y sin fecha, no es una decisión: es una opinión.</t>
        </is>
      </c>
    </row>
    <row r="4" ht="40" customHeight="1">
      <c r="A4" s="7" t="inlineStr">
        <is>
          <t>#</t>
        </is>
      </c>
      <c r="B4" s="7" t="inlineStr">
        <is>
          <t>Plato o área</t>
        </is>
      </c>
      <c r="C4" s="7" t="inlineStr">
        <is>
          <t>Herramienta de origen</t>
        </is>
      </c>
      <c r="D4" s="7" t="inlineStr">
        <is>
          <t>Decisión</t>
        </is>
      </c>
      <c r="E4" s="7" t="inlineStr">
        <is>
          <t>Responsable</t>
        </is>
      </c>
      <c r="F4" s="7" t="inlineStr">
        <is>
          <t>Semana del plan</t>
        </is>
      </c>
      <c r="G4" s="7" t="inlineStr">
        <is>
          <t>Fecha objetivo</t>
        </is>
      </c>
      <c r="H4" s="7" t="inlineStr">
        <is>
          <t>Estado</t>
        </is>
      </c>
      <c r="I4" s="7" t="inlineStr">
        <is>
          <t>Impacto estimado (€/mes)</t>
        </is>
      </c>
      <c r="J4" s="7" t="inlineStr">
        <is>
          <t>Impacto ya conseguido (€/mes)</t>
        </is>
      </c>
      <c r="K4" s="7" t="inlineStr">
        <is>
          <t>Notas</t>
        </is>
      </c>
    </row>
    <row r="5">
      <c r="A5" s="8" t="n">
        <v>1</v>
      </c>
      <c r="B5" s="5" t="inlineStr">
        <is>
          <t>Gambas al ajillo (E3)</t>
        </is>
      </c>
      <c r="C5" s="5" t="inlineStr">
        <is>
          <t>Matriz multi-método</t>
        </is>
      </c>
      <c r="D5" s="5" t="inlineStr">
        <is>
          <t>Revisar</t>
        </is>
      </c>
      <c r="E5" s="5" t="inlineStr">
        <is>
          <t>Gerente</t>
        </is>
      </c>
      <c r="F5" s="9" t="n">
        <v>2</v>
      </c>
      <c r="G5" s="10">
        <f>IFERROR(IF(OR($F5="",$D$36=""),"",$D$36+7*($F5-1)),"")</f>
        <v>46273.0</v>
      </c>
      <c r="H5" s="5" t="inlineStr">
        <is>
          <t>Pendiente</t>
        </is>
      </c>
      <c r="I5" s="11" t="n">
        <v>180</v>
      </c>
      <c r="J5" s="12">
        <f>IFERROR(IF(OR($B5="",$I5=""),"",IF($H5="Hecha",$I5,0)),"")</f>
        <v>0.0</v>
      </c>
      <c r="K5" s="5" t="n"/>
    </row>
    <row r="6">
      <c r="A6" s="8" t="n">
        <v>2</v>
      </c>
      <c r="B6" s="5" t="inlineStr">
        <is>
          <t>Chuletón de vaca madurada (P5)</t>
        </is>
      </c>
      <c r="C6" s="5" t="inlineStr">
        <is>
          <t>Matriz multi-método</t>
        </is>
      </c>
      <c r="D6" s="5" t="inlineStr">
        <is>
          <t>Rediseñar</t>
        </is>
      </c>
      <c r="E6" s="5" t="inlineStr">
        <is>
          <t>Jefe de cocina</t>
        </is>
      </c>
      <c r="F6" s="9" t="n">
        <v>1</v>
      </c>
      <c r="G6" s="10">
        <f>IFERROR(IF(OR($F6="",$D$36=""),"",$D$36+7*($F6-1)),"")</f>
        <v>46266.0</v>
      </c>
      <c r="H6" s="5" t="inlineStr">
        <is>
          <t>Pendiente</t>
        </is>
      </c>
      <c r="I6" s="11" t="n">
        <v>260</v>
      </c>
      <c r="J6" s="12">
        <f>IFERROR(IF(OR($B6="",$I6=""),"",IF($H6="Hecha",$I6,0)),"")</f>
        <v>0.0</v>
      </c>
      <c r="K6" s="5" t="n"/>
    </row>
    <row r="7">
      <c r="A7" s="8" t="n">
        <v>3</v>
      </c>
      <c r="B7" s="5" t="inlineStr">
        <is>
          <t>Tabla de quesos (E5)</t>
        </is>
      </c>
      <c r="C7" s="5" t="inlineStr">
        <is>
          <t>Matriz multi-método</t>
        </is>
      </c>
      <c r="D7" s="5" t="inlineStr">
        <is>
          <t>Rediseñar</t>
        </is>
      </c>
      <c r="E7" s="5" t="inlineStr">
        <is>
          <t>Gerente</t>
        </is>
      </c>
      <c r="F7" s="9" t="n">
        <v>4</v>
      </c>
      <c r="G7" s="10">
        <f>IFERROR(IF(OR($F7="",$D$36=""),"",$D$36+7*($F7-1)),"")</f>
        <v>46287.0</v>
      </c>
      <c r="H7" s="5" t="inlineStr">
        <is>
          <t>Pendiente</t>
        </is>
      </c>
      <c r="I7" s="11" t="n">
        <v>140</v>
      </c>
      <c r="J7" s="12">
        <f>IFERROR(IF(OR($B7="",$I7=""),"",IF($H7="Hecha",$I7,0)),"")</f>
        <v>0.0</v>
      </c>
      <c r="K7" s="5" t="n"/>
    </row>
    <row r="8">
      <c r="A8" s="8" t="n">
        <v>4</v>
      </c>
      <c r="B8" s="5" t="inlineStr">
        <is>
          <t>Lasaña de verduras (P8)</t>
        </is>
      </c>
      <c r="C8" s="5" t="inlineStr">
        <is>
          <t>Matriz multi-método</t>
        </is>
      </c>
      <c r="D8" s="5" t="inlineStr">
        <is>
          <t>Revisar</t>
        </is>
      </c>
      <c r="E8" s="5" t="inlineStr">
        <is>
          <t>Jefe de cocina</t>
        </is>
      </c>
      <c r="F8" s="9" t="n">
        <v>3</v>
      </c>
      <c r="G8" s="10">
        <f>IFERROR(IF(OR($F8="",$D$36=""),"",$D$36+7*($F8-1)),"")</f>
        <v>46280.0</v>
      </c>
      <c r="H8" s="5" t="inlineStr">
        <is>
          <t>Pendiente</t>
        </is>
      </c>
      <c r="I8" s="11" t="n">
        <v>120</v>
      </c>
      <c r="J8" s="12">
        <f>IFERROR(IF(OR($B8="",$I8=""),"",IF($H8="Hecha",$I8,0)),"")</f>
        <v>0.0</v>
      </c>
      <c r="K8" s="5" t="n"/>
    </row>
    <row r="9">
      <c r="A9" s="8" t="n">
        <v>5</v>
      </c>
      <c r="B9" s="5" t="inlineStr">
        <is>
          <t>Fruta de temporada (D4)</t>
        </is>
      </c>
      <c r="C9" s="5" t="inlineStr">
        <is>
          <t>Matriz multi-método</t>
        </is>
      </c>
      <c r="D9" s="5" t="inlineStr">
        <is>
          <t>Retirar</t>
        </is>
      </c>
      <c r="E9" s="5" t="inlineStr">
        <is>
          <t>Jefe de cocina</t>
        </is>
      </c>
      <c r="F9" s="9" t="n">
        <v>3</v>
      </c>
      <c r="G9" s="10">
        <f>IFERROR(IF(OR($F9="",$D$36=""),"",$D$36+7*($F9-1)),"")</f>
        <v>46280.0</v>
      </c>
      <c r="H9" s="5" t="inlineStr">
        <is>
          <t>Pendiente</t>
        </is>
      </c>
      <c r="I9" s="11" t="n">
        <v>60</v>
      </c>
      <c r="J9" s="12">
        <f>IFERROR(IF(OR($B9="",$I9=""),"",IF($H9="Hecha",$I9,0)),"")</f>
        <v>0.0</v>
      </c>
      <c r="K9" s="5" t="n"/>
    </row>
    <row r="10">
      <c r="A10" s="8" t="n">
        <v>6</v>
      </c>
      <c r="B10" s="5" t="inlineStr">
        <is>
          <t>Lubina a la sal (P6) en delivery</t>
        </is>
      </c>
      <c r="C10" s="5" t="inlineStr">
        <is>
          <t>Simulador multicanal</t>
        </is>
      </c>
      <c r="D10" s="5" t="inlineStr">
        <is>
          <t>Retirar</t>
        </is>
      </c>
      <c r="E10" s="5" t="inlineStr">
        <is>
          <t>Gerente</t>
        </is>
      </c>
      <c r="F10" s="9" t="n">
        <v>2</v>
      </c>
      <c r="G10" s="10">
        <f>IFERROR(IF(OR($F10="",$D$36=""),"",$D$36+7*($F10-1)),"")</f>
        <v>46273.0</v>
      </c>
      <c r="H10" s="5" t="inlineStr">
        <is>
          <t>Pendiente</t>
        </is>
      </c>
      <c r="I10" s="11" t="n">
        <v>90</v>
      </c>
      <c r="J10" s="12">
        <f>IFERROR(IF(OR($B10="",$I10=""),"",IF($H10="Hecha",$I10,0)),"")</f>
        <v>0.0</v>
      </c>
      <c r="K10" s="5" t="n"/>
    </row>
    <row r="11">
      <c r="A11" s="8" t="n">
        <v>7</v>
      </c>
      <c r="B11" s="5" t="inlineStr">
        <is>
          <t>Chuletón (P5) en delivery</t>
        </is>
      </c>
      <c r="C11" s="5" t="inlineStr">
        <is>
          <t>Simulador multicanal</t>
        </is>
      </c>
      <c r="D11" s="5" t="inlineStr">
        <is>
          <t>Retirar</t>
        </is>
      </c>
      <c r="E11" s="5" t="inlineStr">
        <is>
          <t>Gerente</t>
        </is>
      </c>
      <c r="F11" s="9" t="n">
        <v>2</v>
      </c>
      <c r="G11" s="10">
        <f>IFERROR(IF(OR($F11="",$D$36=""),"",$D$36+7*($F11-1)),"")</f>
        <v>46273.0</v>
      </c>
      <c r="H11" s="5" t="inlineStr">
        <is>
          <t>Pendiente</t>
        </is>
      </c>
      <c r="I11" s="11" t="n">
        <v>140</v>
      </c>
      <c r="J11" s="12">
        <f>IFERROR(IF(OR($B11="",$I11=""),"",IF($H11="Hecha",$I11,0)),"")</f>
        <v>0.0</v>
      </c>
      <c r="K11" s="5" t="n"/>
    </row>
    <row r="12">
      <c r="A12" s="8" t="n">
        <v>8</v>
      </c>
      <c r="B12" s="5" t="inlineStr">
        <is>
          <t>Pescado entero: cambiar a lomos</t>
        </is>
      </c>
      <c r="C12" s="5" t="inlineStr">
        <is>
          <t>Test de rendimiento</t>
        </is>
      </c>
      <c r="D12" s="5" t="inlineStr">
        <is>
          <t>Negociar</t>
        </is>
      </c>
      <c r="E12" s="5" t="inlineStr">
        <is>
          <t>Jefe de compras</t>
        </is>
      </c>
      <c r="F12" s="9" t="n">
        <v>5</v>
      </c>
      <c r="G12" s="10">
        <f>IFERROR(IF(OR($F12="",$D$36=""),"",$D$36+7*($F12-1)),"")</f>
        <v>46294.0</v>
      </c>
      <c r="H12" s="5" t="inlineStr">
        <is>
          <t>Pendiente</t>
        </is>
      </c>
      <c r="I12" s="11" t="n">
        <v>260</v>
      </c>
      <c r="J12" s="12">
        <f>IFERROR(IF(OR($B12="",$I12=""),"",IF($H12="Hecha",$I12,0)),"")</f>
        <v>0.0</v>
      </c>
      <c r="K12" s="5" t="n"/>
    </row>
    <row r="13">
      <c r="A13" s="8" t="n">
        <v>9</v>
      </c>
      <c r="B13" s="5" t="inlineStr">
        <is>
          <t>Copa de crianza: PVP</t>
        </is>
      </c>
      <c r="C13" s="5" t="inlineStr">
        <is>
          <t>Carta de bebidas</t>
        </is>
      </c>
      <c r="D13" s="5" t="inlineStr">
        <is>
          <t>Resubir</t>
        </is>
      </c>
      <c r="E13" s="5" t="inlineStr">
        <is>
          <t>Jefe de sala</t>
        </is>
      </c>
      <c r="F13" s="9" t="n">
        <v>2</v>
      </c>
      <c r="G13" s="10">
        <f>IFERROR(IF(OR($F13="",$D$36=""),"",$D$36+7*($F13-1)),"")</f>
        <v>46273.0</v>
      </c>
      <c r="H13" s="5" t="inlineStr">
        <is>
          <t>Pendiente</t>
        </is>
      </c>
      <c r="I13" s="11" t="n">
        <v>210</v>
      </c>
      <c r="J13" s="12">
        <f>IFERROR(IF(OR($B13="",$I13=""),"",IF($H13="Hecha",$I13,0)),"")</f>
        <v>0.0</v>
      </c>
      <c r="K13" s="5" t="n"/>
    </row>
    <row r="14">
      <c r="A14" s="8" t="n">
        <v>10</v>
      </c>
      <c r="B14" s="5" t="inlineStr">
        <is>
          <t>Cuadrante de sala en meses bajos</t>
        </is>
      </c>
      <c r="C14" s="5" t="inlineStr">
        <is>
          <t>Cuadro de mando prime cost</t>
        </is>
      </c>
      <c r="D14" s="5" t="inlineStr">
        <is>
          <t>Reformular</t>
        </is>
      </c>
      <c r="E14" s="5" t="inlineStr">
        <is>
          <t>Gerente</t>
        </is>
      </c>
      <c r="F14" s="9" t="n">
        <v>6</v>
      </c>
      <c r="G14" s="10">
        <f>IFERROR(IF(OR($F14="",$D$36=""),"",$D$36+7*($F14-1)),"")</f>
        <v>46301.0</v>
      </c>
      <c r="H14" s="5" t="inlineStr">
        <is>
          <t>Pendiente</t>
        </is>
      </c>
      <c r="I14" s="11" t="n">
        <v>900</v>
      </c>
      <c r="J14" s="12">
        <f>IFERROR(IF(OR($B14="",$I14=""),"",IF($H14="Hecha",$I14,0)),"")</f>
        <v>0.0</v>
      </c>
      <c r="K14" s="5" t="n"/>
    </row>
    <row r="15">
      <c r="A15" s="8" t="n">
        <v>11</v>
      </c>
      <c r="B15" s="5" t="n"/>
      <c r="C15" s="5" t="n"/>
      <c r="D15" s="5" t="n"/>
      <c r="E15" s="5" t="n"/>
      <c r="F15" s="9" t="n"/>
      <c r="G15" s="10">
        <f>IFERROR(IF(OR($F15="",$D$36=""),"",$D$36+7*($F15-1)),"")</f>
        <v/>
      </c>
      <c r="H15" s="5" t="n"/>
      <c r="I15" s="11" t="n"/>
      <c r="J15" s="12">
        <f>IFERROR(IF(OR($B15="",$I15=""),"",IF($H15="Hecha",$I15,0)),"")</f>
        <v/>
      </c>
      <c r="K15" s="5" t="n"/>
    </row>
    <row r="16">
      <c r="A16" s="8" t="n">
        <v>12</v>
      </c>
      <c r="B16" s="5" t="n"/>
      <c r="C16" s="5" t="n"/>
      <c r="D16" s="5" t="n"/>
      <c r="E16" s="5" t="n"/>
      <c r="F16" s="9" t="n"/>
      <c r="G16" s="10">
        <f>IFERROR(IF(OR($F16="",$D$36=""),"",$D$36+7*($F16-1)),"")</f>
        <v/>
      </c>
      <c r="H16" s="5" t="n"/>
      <c r="I16" s="11" t="n"/>
      <c r="J16" s="12">
        <f>IFERROR(IF(OR($B16="",$I16=""),"",IF($H16="Hecha",$I16,0)),"")</f>
        <v/>
      </c>
      <c r="K16" s="5" t="n"/>
    </row>
    <row r="17">
      <c r="A17" s="8" t="n">
        <v>13</v>
      </c>
      <c r="B17" s="5" t="n"/>
      <c r="C17" s="5" t="n"/>
      <c r="D17" s="5" t="n"/>
      <c r="E17" s="5" t="n"/>
      <c r="F17" s="9" t="n"/>
      <c r="G17" s="10">
        <f>IFERROR(IF(OR($F17="",$D$36=""),"",$D$36+7*($F17-1)),"")</f>
        <v/>
      </c>
      <c r="H17" s="5" t="n"/>
      <c r="I17" s="11" t="n"/>
      <c r="J17" s="12">
        <f>IFERROR(IF(OR($B17="",$I17=""),"",IF($H17="Hecha",$I17,0)),"")</f>
        <v/>
      </c>
      <c r="K17" s="5" t="n"/>
    </row>
    <row r="18">
      <c r="A18" s="8" t="n">
        <v>14</v>
      </c>
      <c r="B18" s="5" t="n"/>
      <c r="C18" s="5" t="n"/>
      <c r="D18" s="5" t="n"/>
      <c r="E18" s="5" t="n"/>
      <c r="F18" s="9" t="n"/>
      <c r="G18" s="10">
        <f>IFERROR(IF(OR($F18="",$D$36=""),"",$D$36+7*($F18-1)),"")</f>
        <v/>
      </c>
      <c r="H18" s="5" t="n"/>
      <c r="I18" s="11" t="n"/>
      <c r="J18" s="12">
        <f>IFERROR(IF(OR($B18="",$I18=""),"",IF($H18="Hecha",$I18,0)),"")</f>
        <v/>
      </c>
      <c r="K18" s="5" t="n"/>
    </row>
    <row r="19">
      <c r="A19" s="8" t="n">
        <v>15</v>
      </c>
      <c r="B19" s="5" t="n"/>
      <c r="C19" s="5" t="n"/>
      <c r="D19" s="5" t="n"/>
      <c r="E19" s="5" t="n"/>
      <c r="F19" s="9" t="n"/>
      <c r="G19" s="10">
        <f>IFERROR(IF(OR($F19="",$D$36=""),"",$D$36+7*($F19-1)),"")</f>
        <v/>
      </c>
      <c r="H19" s="5" t="n"/>
      <c r="I19" s="11" t="n"/>
      <c r="J19" s="12">
        <f>IFERROR(IF(OR($B19="",$I19=""),"",IF($H19="Hecha",$I19,0)),"")</f>
        <v/>
      </c>
      <c r="K19" s="5" t="n"/>
    </row>
    <row r="20">
      <c r="A20" s="8" t="n">
        <v>16</v>
      </c>
      <c r="B20" s="5" t="n"/>
      <c r="C20" s="5" t="n"/>
      <c r="D20" s="5" t="n"/>
      <c r="E20" s="5" t="n"/>
      <c r="F20" s="9" t="n"/>
      <c r="G20" s="10">
        <f>IFERROR(IF(OR($F20="",$D$36=""),"",$D$36+7*($F20-1)),"")</f>
        <v/>
      </c>
      <c r="H20" s="5" t="n"/>
      <c r="I20" s="11" t="n"/>
      <c r="J20" s="12">
        <f>IFERROR(IF(OR($B20="",$I20=""),"",IF($H20="Hecha",$I20,0)),"")</f>
        <v/>
      </c>
      <c r="K20" s="5" t="n"/>
    </row>
    <row r="21">
      <c r="A21" s="8" t="n">
        <v>17</v>
      </c>
      <c r="B21" s="5" t="n"/>
      <c r="C21" s="5" t="n"/>
      <c r="D21" s="5" t="n"/>
      <c r="E21" s="5" t="n"/>
      <c r="F21" s="9" t="n"/>
      <c r="G21" s="10">
        <f>IFERROR(IF(OR($F21="",$D$36=""),"",$D$36+7*($F21-1)),"")</f>
        <v/>
      </c>
      <c r="H21" s="5" t="n"/>
      <c r="I21" s="11" t="n"/>
      <c r="J21" s="12">
        <f>IFERROR(IF(OR($B21="",$I21=""),"",IF($H21="Hecha",$I21,0)),"")</f>
        <v/>
      </c>
      <c r="K21" s="5" t="n"/>
    </row>
    <row r="22">
      <c r="A22" s="8" t="n">
        <v>18</v>
      </c>
      <c r="B22" s="5" t="n"/>
      <c r="C22" s="5" t="n"/>
      <c r="D22" s="5" t="n"/>
      <c r="E22" s="5" t="n"/>
      <c r="F22" s="9" t="n"/>
      <c r="G22" s="10">
        <f>IFERROR(IF(OR($F22="",$D$36=""),"",$D$36+7*($F22-1)),"")</f>
        <v/>
      </c>
      <c r="H22" s="5" t="n"/>
      <c r="I22" s="11" t="n"/>
      <c r="J22" s="12">
        <f>IFERROR(IF(OR($B22="",$I22=""),"",IF($H22="Hecha",$I22,0)),"")</f>
        <v/>
      </c>
      <c r="K22" s="5" t="n"/>
    </row>
    <row r="23">
      <c r="A23" s="8" t="n">
        <v>19</v>
      </c>
      <c r="B23" s="5" t="n"/>
      <c r="C23" s="5" t="n"/>
      <c r="D23" s="5" t="n"/>
      <c r="E23" s="5" t="n"/>
      <c r="F23" s="9" t="n"/>
      <c r="G23" s="10">
        <f>IFERROR(IF(OR($F23="",$D$36=""),"",$D$36+7*($F23-1)),"")</f>
        <v/>
      </c>
      <c r="H23" s="5" t="n"/>
      <c r="I23" s="11" t="n"/>
      <c r="J23" s="12">
        <f>IFERROR(IF(OR($B23="",$I23=""),"",IF($H23="Hecha",$I23,0)),"")</f>
        <v/>
      </c>
      <c r="K23" s="5" t="n"/>
    </row>
    <row r="24">
      <c r="A24" s="8" t="n">
        <v>20</v>
      </c>
      <c r="B24" s="5" t="n"/>
      <c r="C24" s="5" t="n"/>
      <c r="D24" s="5" t="n"/>
      <c r="E24" s="5" t="n"/>
      <c r="F24" s="9" t="n"/>
      <c r="G24" s="10">
        <f>IFERROR(IF(OR($F24="",$D$36=""),"",$D$36+7*($F24-1)),"")</f>
        <v/>
      </c>
      <c r="H24" s="5" t="n"/>
      <c r="I24" s="11" t="n"/>
      <c r="J24" s="12">
        <f>IFERROR(IF(OR($B24="",$I24=""),"",IF($H24="Hecha",$I24,0)),"")</f>
        <v/>
      </c>
      <c r="K24" s="5" t="n"/>
    </row>
    <row r="25"/>
    <row r="26">
      <c r="A26" s="13" t="inlineStr">
        <is>
          <t>RESUMEN Y PARÁMETROS — lo calcula el libro</t>
        </is>
      </c>
    </row>
    <row r="27">
      <c r="B27" t="inlineStr">
        <is>
          <t>Decisiones registradas</t>
        </is>
      </c>
      <c r="D27" s="8">
        <f>COUNTIF($B$5:$B$24,"&lt;&gt;")</f>
        <v>10.0</v>
      </c>
    </row>
    <row r="28">
      <c r="B28" t="inlineStr">
        <is>
          <t>Decisiones cerradas (estado «Hecha»)</t>
        </is>
      </c>
      <c r="D28" s="8">
        <f>COUNTIF($H$5:$H$24,"Hecha")</f>
        <v>0.0</v>
      </c>
    </row>
    <row r="29">
      <c r="B29" t="inlineStr">
        <is>
          <t>Decisiones descartadas</t>
        </is>
      </c>
      <c r="D29" s="8">
        <f>COUNTIF($H$5:$H$24,"Descartada")</f>
        <v>0.0</v>
      </c>
    </row>
    <row r="30">
      <c r="B30" s="13" t="inlineStr">
        <is>
          <t>Decisiones cerradas (%)</t>
        </is>
      </c>
      <c r="D30" s="14">
        <f>IFERROR(IF($D$27=0,"",$D$28/$D$27),"")</f>
        <v>0.0</v>
      </c>
    </row>
    <row r="31">
      <c r="B31" s="15" t="inlineStr">
        <is>
          <t>IMPACTO TOTAL ESTIMADO (€/mes)</t>
        </is>
      </c>
      <c r="D31" s="16">
        <f>IFERROR(SUM($I$5:$I$24),"")</f>
        <v>2360.0</v>
      </c>
    </row>
    <row r="32">
      <c r="B32" t="inlineStr">
        <is>
          <t>Impacto ya conseguido (€/mes)</t>
        </is>
      </c>
      <c r="D32" s="17">
        <f>IFERROR(SUMIF($H$5:$H$24,"Hecha",$I$5:$I$24),"")</f>
        <v>0.0</v>
      </c>
    </row>
    <row r="33">
      <c r="B33" t="inlineStr">
        <is>
          <t>Impacto pendiente (€/mes)</t>
        </is>
      </c>
      <c r="D33" s="17">
        <f>IFERROR(IF(OR($D$31="",$D$32=""),"",$D$31-$D$32),"")</f>
        <v>2360.0</v>
      </c>
    </row>
    <row r="34">
      <c r="B34" t="inlineStr">
        <is>
          <t>Impacto total estimado a 12 meses (€)</t>
        </is>
      </c>
      <c r="D34" s="17">
        <f>IFERROR(IF($D$31="","",$D$31*12),"")</f>
        <v>28320.0</v>
      </c>
    </row>
    <row r="35">
      <c r="B35" t="inlineStr">
        <is>
          <t>Objetivo de cierre a 90 días (%)</t>
        </is>
      </c>
      <c r="D35" s="18" t="n">
        <v>0.8</v>
      </c>
      <c r="F35" t="inlineStr">
        <is>
          <t>Qué parte de las decisiones te comprometes a cerrar en el trimestre. Si el porcentaje cerrado se queda por debajo, la celda se pone en rojo.</t>
        </is>
      </c>
    </row>
    <row r="36">
      <c r="B36" t="inlineStr">
        <is>
          <t>Fecha de inicio del plan</t>
        </is>
      </c>
      <c r="D36" s="19" t="n">
        <v>46266</v>
      </c>
      <c r="F36" t="inlineStr">
        <is>
          <t>La semana 1 empieza este día; de aquí salen las fechas objetivo de las decisiones y del calendario. Cámbiala por tu fecha real.</t>
        </is>
      </c>
    </row>
    <row r="37">
      <c r="A37" s="13" t="inlineStr">
        <is>
          <t>RESUMEN POR TIPO DE DECISIÓN — lo calcula el libro</t>
        </is>
      </c>
    </row>
    <row r="38" ht="34" customHeight="1">
      <c r="B38" s="7" t="inlineStr">
        <is>
          <t>Decisión</t>
        </is>
      </c>
      <c r="C38" s="7" t="inlineStr">
        <is>
          <t>Decisiones</t>
        </is>
      </c>
      <c r="D38" s="7" t="inlineStr">
        <is>
          <t>Impacto estimado (€/mes)</t>
        </is>
      </c>
      <c r="E38" s="7" t="inlineStr">
        <is>
          <t>Impacto conseguido (€/mes)</t>
        </is>
      </c>
    </row>
    <row r="39">
      <c r="B39" s="13" t="inlineStr">
        <is>
          <t>Reformular</t>
        </is>
      </c>
      <c r="C39" s="8">
        <f>COUNTIF($D$5:$D$24,$B39)</f>
        <v>1.0</v>
      </c>
      <c r="D39" s="17">
        <f>IFERROR(SUMIF($D$5:$D$24,$B39,$I$5:$I$24),"")</f>
        <v>900.0</v>
      </c>
      <c r="E39" s="17">
        <f>IFERROR(SUMPRODUCT(--($D$5:$D$24=$B39),--($H$5:$H$24="Hecha"),$I$5:$I$24),"")</f>
        <v>0.0</v>
      </c>
    </row>
    <row r="40">
      <c r="B40" s="13" t="inlineStr">
        <is>
          <t>Resubir</t>
        </is>
      </c>
      <c r="C40" s="8">
        <f>COUNTIF($D$5:$D$24,$B40)</f>
        <v>1.0</v>
      </c>
      <c r="D40" s="17">
        <f>IFERROR(SUMIF($D$5:$D$24,$B40,$I$5:$I$24),"")</f>
        <v>210.0</v>
      </c>
      <c r="E40" s="17">
        <f>IFERROR(SUMPRODUCT(--($D$5:$D$24=$B40),--($H$5:$H$24="Hecha"),$I$5:$I$24),"")</f>
        <v>0.0</v>
      </c>
    </row>
    <row r="41">
      <c r="B41" s="13" t="inlineStr">
        <is>
          <t>Rediseñar</t>
        </is>
      </c>
      <c r="C41" s="8">
        <f>COUNTIF($D$5:$D$24,$B41)</f>
        <v>2.0</v>
      </c>
      <c r="D41" s="17">
        <f>IFERROR(SUMIF($D$5:$D$24,$B41,$I$5:$I$24),"")</f>
        <v>400.0</v>
      </c>
      <c r="E41" s="17">
        <f>IFERROR(SUMPRODUCT(--($D$5:$D$24=$B41),--($H$5:$H$24="Hecha"),$I$5:$I$24),"")</f>
        <v>0.0</v>
      </c>
    </row>
    <row r="42">
      <c r="B42" s="13" t="inlineStr">
        <is>
          <t>Retirar</t>
        </is>
      </c>
      <c r="C42" s="8">
        <f>COUNTIF($D$5:$D$24,$B42)</f>
        <v>3.0</v>
      </c>
      <c r="D42" s="17">
        <f>IFERROR(SUMIF($D$5:$D$24,$B42,$I$5:$I$24),"")</f>
        <v>290.0</v>
      </c>
      <c r="E42" s="17">
        <f>IFERROR(SUMPRODUCT(--($D$5:$D$24=$B42),--($H$5:$H$24="Hecha"),$I$5:$I$24),"")</f>
        <v>0.0</v>
      </c>
    </row>
    <row r="43">
      <c r="B43" s="13" t="inlineStr">
        <is>
          <t>Revisar</t>
        </is>
      </c>
      <c r="C43" s="8">
        <f>COUNTIF($D$5:$D$24,$B43)</f>
        <v>2.0</v>
      </c>
      <c r="D43" s="17">
        <f>IFERROR(SUMIF($D$5:$D$24,$B43,$I$5:$I$24),"")</f>
        <v>300.0</v>
      </c>
      <c r="E43" s="17">
        <f>IFERROR(SUMPRODUCT(--($D$5:$D$24=$B43),--($H$5:$H$24="Hecha"),$I$5:$I$24),"")</f>
        <v>0.0</v>
      </c>
    </row>
    <row r="44">
      <c r="B44" s="13" t="inlineStr">
        <is>
          <t>Negociar</t>
        </is>
      </c>
      <c r="C44" s="8">
        <f>COUNTIF($D$5:$D$24,$B44)</f>
        <v>1.0</v>
      </c>
      <c r="D44" s="17">
        <f>IFERROR(SUMIF($D$5:$D$24,$B44,$I$5:$I$24),"")</f>
        <v>260.0</v>
      </c>
      <c r="E44" s="17">
        <f>IFERROR(SUMPRODUCT(--($D$5:$D$24=$B44),--($H$5:$H$24="Hecha"),$I$5:$I$24),"")</f>
        <v>0.0</v>
      </c>
    </row>
    <row r="45">
      <c r="B45" s="13" t="inlineStr">
        <is>
          <t>Mantener</t>
        </is>
      </c>
      <c r="C45" s="8">
        <f>COUNTIF($D$5:$D$24,$B45)</f>
        <v>0.0</v>
      </c>
      <c r="D45" s="17">
        <f>IFERROR(SUMIF($D$5:$D$24,$B45,$I$5:$I$24),"")</f>
        <v>0.0</v>
      </c>
      <c r="E45" s="17">
        <f>IFERROR(SUMPRODUCT(--($D$5:$D$24=$B45),--($H$5:$H$24="Hecha"),$I$5:$I$24),"")</f>
        <v>0.0</v>
      </c>
    </row>
    <row r="46">
      <c r="A46" s="13" t="inlineStr">
        <is>
          <t>RESUMEN POR HERRAMIENTA DE ORIGEN — lo calcula el libro</t>
        </is>
      </c>
    </row>
    <row r="47" ht="34" customHeight="1">
      <c r="B47" s="7" t="inlineStr">
        <is>
          <t>Herramienta de origen</t>
        </is>
      </c>
      <c r="C47" s="7" t="inlineStr">
        <is>
          <t>Decisiones</t>
        </is>
      </c>
      <c r="D47" s="7" t="inlineStr">
        <is>
          <t>Impacto estimado (€/mes)</t>
        </is>
      </c>
      <c r="E47" s="7" t="inlineStr">
        <is>
          <t>Impacto conseguido (€/mes)</t>
        </is>
      </c>
    </row>
    <row r="48">
      <c r="B48" s="13" t="inlineStr">
        <is>
          <t>Ficha de escandallo</t>
        </is>
      </c>
      <c r="C48" s="8">
        <f>COUNTIF($C$5:$C$24,$B48)</f>
        <v>0.0</v>
      </c>
      <c r="D48" s="17">
        <f>IFERROR(SUMIF($C$5:$C$24,$B48,$I$5:$I$24),"")</f>
        <v>0.0</v>
      </c>
      <c r="E48" s="17">
        <f>IFERROR(SUMPRODUCT(--($C$5:$C$24=$B48),--($H$5:$H$24="Hecha"),$I$5:$I$24),"")</f>
        <v>0.0</v>
      </c>
    </row>
    <row r="49">
      <c r="B49" s="13" t="inlineStr">
        <is>
          <t>Test de rendimiento</t>
        </is>
      </c>
      <c r="C49" s="8">
        <f>COUNTIF($C$5:$C$24,$B49)</f>
        <v>1.0</v>
      </c>
      <c r="D49" s="17">
        <f>IFERROR(SUMIF($C$5:$C$24,$B49,$I$5:$I$24),"")</f>
        <v>260.0</v>
      </c>
      <c r="E49" s="17">
        <f>IFERROR(SUMPRODUCT(--($C$5:$C$24=$B49),--($H$5:$H$24="Hecha"),$I$5:$I$24),"")</f>
        <v>0.0</v>
      </c>
    </row>
    <row r="50">
      <c r="B50" s="13" t="inlineStr">
        <is>
          <t>Precio objetivo</t>
        </is>
      </c>
      <c r="C50" s="8">
        <f>COUNTIF($C$5:$C$24,$B50)</f>
        <v>0.0</v>
      </c>
      <c r="D50" s="17">
        <f>IFERROR(SUMIF($C$5:$C$24,$B50,$I$5:$I$24),"")</f>
        <v>0.0</v>
      </c>
      <c r="E50" s="17">
        <f>IFERROR(SUMPRODUCT(--($C$5:$C$24=$B50),--($H$5:$H$24="Hecha"),$I$5:$I$24),"")</f>
        <v>0.0</v>
      </c>
    </row>
    <row r="51">
      <c r="B51" s="13" t="inlineStr">
        <is>
          <t>Matriz multi-método</t>
        </is>
      </c>
      <c r="C51" s="8">
        <f>COUNTIF($C$5:$C$24,$B51)</f>
        <v>5.0</v>
      </c>
      <c r="D51" s="17">
        <f>IFERROR(SUMIF($C$5:$C$24,$B51,$I$5:$I$24),"")</f>
        <v>760.0</v>
      </c>
      <c r="E51" s="17">
        <f>IFERROR(SUMPRODUCT(--($C$5:$C$24=$B51),--($H$5:$H$24="Hecha"),$I$5:$I$24),"")</f>
        <v>0.0</v>
      </c>
    </row>
    <row r="52">
      <c r="B52" s="13" t="inlineStr">
        <is>
          <t>Simulador multicanal</t>
        </is>
      </c>
      <c r="C52" s="8">
        <f>COUNTIF($C$5:$C$24,$B52)</f>
        <v>2.0</v>
      </c>
      <c r="D52" s="17">
        <f>IFERROR(SUMIF($C$5:$C$24,$B52,$I$5:$I$24),"")</f>
        <v>230.0</v>
      </c>
      <c r="E52" s="17">
        <f>IFERROR(SUMPRODUCT(--($C$5:$C$24=$B52),--($H$5:$H$24="Hecha"),$I$5:$I$24),"")</f>
        <v>0.0</v>
      </c>
    </row>
    <row r="53">
      <c r="B53" s="13" t="inlineStr">
        <is>
          <t>Carta de bebidas</t>
        </is>
      </c>
      <c r="C53" s="8">
        <f>COUNTIF($C$5:$C$24,$B53)</f>
        <v>1.0</v>
      </c>
      <c r="D53" s="17">
        <f>IFERROR(SUMIF($C$5:$C$24,$B53,$I$5:$I$24),"")</f>
        <v>210.0</v>
      </c>
      <c r="E53" s="17">
        <f>IFERROR(SUMPRODUCT(--($C$5:$C$24=$B53),--($H$5:$H$24="Hecha"),$I$5:$I$24),"")</f>
        <v>0.0</v>
      </c>
    </row>
    <row r="54">
      <c r="B54" s="13" t="inlineStr">
        <is>
          <t>Cuadro de mando prime cost</t>
        </is>
      </c>
      <c r="C54" s="8">
        <f>COUNTIF($C$5:$C$24,$B54)</f>
        <v>1.0</v>
      </c>
      <c r="D54" s="17">
        <f>IFERROR(SUMIF($C$5:$C$24,$B54,$I$5:$I$24),"")</f>
        <v>900.0</v>
      </c>
      <c r="E54" s="17">
        <f>IFERROR(SUMPRODUCT(--($C$5:$C$24=$B54),--($H$5:$H$24="Hecha"),$I$5:$I$24),"")</f>
        <v>0.0</v>
      </c>
    </row>
  </sheetData>
  <sheetProtection selectLockedCells="0" selectUnlockedCells="0" sheet="1" objects="0" insertRows="0" insertHyperlinks="1" autoFilter="1" scenarios="0" formatColumns="0" deleteColumns="1" insertColumns="1" pivotTables="1" deleteRows="1" formatCells="1" formatRows="0" sort="0"/>
  <conditionalFormatting sqref="H5:H24">
    <cfRule type="cellIs" priority="1" operator="equal" dxfId="0" stopIfTrue="1">
      <formula>"Hecha"</formula>
    </cfRule>
    <cfRule type="cellIs" priority="2" operator="equal" dxfId="1" stopIfTrue="1">
      <formula>"En curso"</formula>
    </cfRule>
    <cfRule type="cellIs" priority="3" operator="equal" dxfId="2" stopIfTrue="1">
      <formula>"Descartada"</formula>
    </cfRule>
    <cfRule type="cellIs" priority="4" operator="equal" dxfId="2" stopIfTrue="1">
      <formula>"Pendiente"</formula>
    </cfRule>
  </conditionalFormatting>
  <conditionalFormatting sqref="D30">
    <cfRule type="expression" priority="5" dxfId="3" stopIfTrue="1">
      <formula>=AND(ISNUMBER($D$30),$D$30&lt;$D$35)</formula>
    </cfRule>
  </conditionalFormatting>
  <dataValidations count="7">
    <dataValidation sqref="C5 C6 C7 C8 C9 C10 C11 C12 C13 C14 C15 C16 C17 C18 C19 C20 C21 C22 C23 C24" showDropDown="0" showInputMessage="0" showErrorMessage="1" allowBlank="1" errorTitle="Herramienta no válida" error="Elige un valor de la lista: Ficha de escandallo, Test de rendimiento, Precio objetivo, Matriz multi-método, Simulador multicanal, Carta de bebidas, Cuadro de mando prime cost" type="list">
      <formula1>"Ficha de escandallo,Test de rendimiento,Precio objetivo,Matriz multi-método,Simulador multicanal,Carta de bebidas,Cuadro de mando prime cost"</formula1>
    </dataValidation>
    <dataValidation sqref="D5 D6 D7 D8 D9 D10 D11 D12 D13 D14 D15 D16 D17 D18 D19 D20 D21 D22 D23 D24" showDropDown="0" showInputMessage="0" showErrorMessage="1" allowBlank="1" errorTitle="Decisión no válida" error="Elige un valor de la lista: Reformular, Resubir, Rediseñar, Retirar, Revisar, Negociar, Mantener" type="list">
      <formula1>"Reformular,Resubir,Rediseñar,Retirar,Revisar,Negociar,Mantener"</formula1>
    </dataValidation>
    <dataValidation sqref="H5 H6 H7 H8 H9 H10 H11 H12 H13 H14 H15 H16 H17 H18 H19 H20 H21 H22 H23 H24" showDropDown="0" showInputMessage="0" showErrorMessage="1" allowBlank="1" errorTitle="Estado no válido" error="Elige un valor de la lista: Pendiente, En curso, Hecha, Descartada" type="list">
      <formula1>"Pendiente,En curso,Hecha,Descartada"</formula1>
    </dataValidation>
    <dataValidation sqref="F5 F6 F7 F8 F9 F10 F11 F12 F13 F14 F15 F16 F17 F18 F19 F20 F21 F22 F23 F24" showDropDown="0" showInputMessage="0" showErrorMessage="1" allowBlank="1" errorTitle="Semana del plan" error="El plan tiene 13 semanas: escribe un número entre 1 y 13." type="decimal" operator="between">
      <formula1>1</formula1>
      <formula2>13</formula2>
    </dataValidation>
    <dataValidation sqref="I5 I6 I7 I8 I9 I10 I11 I12 I13 I14 I15 I16 I17 I18 I19 I20 I21 I22 I23 I24" showDropDown="0" showInputMessage="0" showErrorMessage="1" allowBlank="1" errorTitle="Impacto estimado" error="Escribe el impacto estimado en euros al mes (0 o más)." type="decimal" operator="greaterThanOrEqual">
      <formula1>0</formula1>
    </dataValidation>
    <dataValidation sqref="D35" showDropDown="0" showInputMessage="1" showErrorMessage="1" allowBlank="1" errorTitle="Objetivo de cierre" error="Escribe un porcentaje entre 0 y 1 (0,20 = 20 %)." promptTitle="Objetivo de cierre" prompt="Se escribe en tanto por uno: 0,80 = 80 %." type="decimal" operator="between">
      <formula1>0</formula1>
      <formula2>1.0</formula2>
    </dataValidation>
    <dataValidation sqref="D36" showDropDown="0" showInputMessage="0" showErrorMessage="1" allowBlank="1" errorTitle="Fecha no válida" error="Escribe una fecha (dd/mm/aaaa) entre 2020 y 2040." type="date" operator="between">
      <formula1>DATE(2020,1,1)</formula1>
      <formula2>DATE(2040,12,31)</formula2>
    </dataValidation>
  </dataValidations>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G4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76" customWidth="1" min="3" max="3"/>
    <col width="18" customWidth="1" min="4" max="4"/>
    <col width="14" customWidth="1" min="5" max="5"/>
    <col width="10" customWidth="1" min="6" max="6"/>
    <col width="32" customWidth="1" min="7" max="7"/>
  </cols>
  <sheetData>
    <row r="1">
      <c r="A1" s="1" t="inlineStr">
        <is>
          <t>Calendario a 90 días — 13 semanas, dos hitos por semana</t>
        </is>
      </c>
    </row>
    <row r="2">
      <c r="A2" s="2" t="inlineStr">
        <is>
          <t>AI Chef Pro · aichef.pro — Guía Food Cost + Ingeniería de Menú</t>
        </is>
      </c>
    </row>
    <row r="3">
      <c r="C3" s="6" t="inlineStr">
        <is>
          <t>Medir · escandallar y clasificar · aplicar · medir el efecto · revisar. Los hitos son una propuesta: reescríbelos con lo que toque en tu casa.</t>
        </is>
      </c>
    </row>
    <row r="4" ht="40" customHeight="1">
      <c r="A4" s="7" t="inlineStr">
        <is>
          <t>Semana</t>
        </is>
      </c>
      <c r="B4" s="7" t="inlineStr">
        <is>
          <t>Bloque</t>
        </is>
      </c>
      <c r="C4" s="7" t="inlineStr">
        <is>
          <t>Hito</t>
        </is>
      </c>
      <c r="D4" s="7" t="inlineStr">
        <is>
          <t>Responsable</t>
        </is>
      </c>
      <c r="E4" s="7" t="inlineStr">
        <is>
          <t>Fecha objetivo</t>
        </is>
      </c>
      <c r="F4" s="7" t="inlineStr">
        <is>
          <t>Hecho</t>
        </is>
      </c>
      <c r="G4" s="7" t="inlineStr">
        <is>
          <t>Nota</t>
        </is>
      </c>
    </row>
    <row r="5">
      <c r="A5" s="9" t="n">
        <v>1</v>
      </c>
      <c r="B5" s="5" t="inlineStr">
        <is>
          <t>Medir</t>
        </is>
      </c>
      <c r="C5" s="20" t="inlineStr">
        <is>
          <t>Sacar el informe de ventas por plato del último mes y volcarlo en la hoja «Datos» de la matriz.</t>
        </is>
      </c>
      <c r="D5" s="5" t="inlineStr">
        <is>
          <t>Gerente</t>
        </is>
      </c>
      <c r="E5" s="10">
        <f>IFERROR(IF(OR($A5="",'Decisiones'!$D$36=""),"",'Decisiones'!$D$36+7*($A5-1)),"")</f>
        <v>46266.0</v>
      </c>
      <c r="F5" s="5" t="inlineStr">
        <is>
          <t>No</t>
        </is>
      </c>
      <c r="G5" s="5" t="n"/>
    </row>
    <row r="6">
      <c r="A6" s="9" t="n">
        <v>1</v>
      </c>
      <c r="B6" s="5" t="inlineStr">
        <is>
          <t>Medir</t>
        </is>
      </c>
      <c r="C6" s="20" t="inlineStr">
        <is>
          <t>Hacer inventario de cierre y anotar stock inicial, compras y stock final del mes.</t>
        </is>
      </c>
      <c r="D6" s="5" t="inlineStr">
        <is>
          <t>Jefe de cocina</t>
        </is>
      </c>
      <c r="E6" s="10">
        <f>IFERROR(IF(OR($A6="",'Decisiones'!$D$36=""),"",'Decisiones'!$D$36+7*($A6-1)),"")</f>
        <v>46266.0</v>
      </c>
      <c r="F6" s="5" t="inlineStr">
        <is>
          <t>No</t>
        </is>
      </c>
      <c r="G6" s="5" t="n"/>
    </row>
    <row r="7">
      <c r="A7" s="9" t="n">
        <v>2</v>
      </c>
      <c r="B7" s="5" t="inlineStr">
        <is>
          <t>Medir</t>
        </is>
      </c>
      <c r="C7" s="20" t="inlineStr">
        <is>
          <t>Test de rendimiento de los 10 productos que más pesan en la compra, con báscula y hoja de rendimiento.</t>
        </is>
      </c>
      <c r="D7" s="5" t="inlineStr">
        <is>
          <t>Jefe de cocina</t>
        </is>
      </c>
      <c r="E7" s="10">
        <f>IFERROR(IF(OR($A7="",'Decisiones'!$D$36=""),"",'Decisiones'!$D$36+7*($A7-1)),"")</f>
        <v>46273.0</v>
      </c>
      <c r="F7" s="5" t="inlineStr">
        <is>
          <t>No</t>
        </is>
      </c>
      <c r="G7" s="5" t="n"/>
    </row>
    <row r="8">
      <c r="A8" s="9" t="n">
        <v>2</v>
      </c>
      <c r="B8" s="5" t="inlineStr">
        <is>
          <t>Medir</t>
        </is>
      </c>
      <c r="C8" s="20" t="inlineStr">
        <is>
          <t>Medir la merma de cocción de las cinco elaboraciones que más se venden.</t>
        </is>
      </c>
      <c r="D8" s="5" t="inlineStr">
        <is>
          <t>Jefe de cocina</t>
        </is>
      </c>
      <c r="E8" s="10">
        <f>IFERROR(IF(OR($A8="",'Decisiones'!$D$36=""),"",'Decisiones'!$D$36+7*($A8-1)),"")</f>
        <v>46273.0</v>
      </c>
      <c r="F8" s="5" t="inlineStr">
        <is>
          <t>No</t>
        </is>
      </c>
      <c r="G8" s="5" t="n"/>
    </row>
    <row r="9">
      <c r="A9" s="9" t="n">
        <v>3</v>
      </c>
      <c r="B9" s="5" t="inlineStr">
        <is>
          <t>Escandallar y clasificar</t>
        </is>
      </c>
      <c r="C9" s="20" t="inlineStr">
        <is>
          <t>Escandallar los platos de más venta con las mermas MEDIDAS, no con las de referencia.</t>
        </is>
      </c>
      <c r="D9" s="5" t="inlineStr">
        <is>
          <t>Jefe de cocina</t>
        </is>
      </c>
      <c r="E9" s="10">
        <f>IFERROR(IF(OR($A9="",'Decisiones'!$D$36=""),"",'Decisiones'!$D$36+7*($A9-1)),"")</f>
        <v>46280.0</v>
      </c>
      <c r="F9" s="5" t="inlineStr">
        <is>
          <t>No</t>
        </is>
      </c>
      <c r="G9" s="5" t="n"/>
    </row>
    <row r="10">
      <c r="A10" s="9" t="n">
        <v>3</v>
      </c>
      <c r="B10" s="5" t="inlineStr">
        <is>
          <t>Escandallar y clasificar</t>
        </is>
      </c>
      <c r="C10" s="20" t="inlineStr">
        <is>
          <t>Rellenar coste por ración y PVP sin IVA de toda la carta en la matriz multi-método.</t>
        </is>
      </c>
      <c r="D10" s="5" t="inlineStr">
        <is>
          <t>Gerente</t>
        </is>
      </c>
      <c r="E10" s="10">
        <f>IFERROR(IF(OR($A10="",'Decisiones'!$D$36=""),"",'Decisiones'!$D$36+7*($A10-1)),"")</f>
        <v>46280.0</v>
      </c>
      <c r="F10" s="5" t="inlineStr">
        <is>
          <t>No</t>
        </is>
      </c>
      <c r="G10" s="5" t="n"/>
    </row>
    <row r="11">
      <c r="A11" s="9" t="n">
        <v>4</v>
      </c>
      <c r="B11" s="5" t="inlineStr">
        <is>
          <t>Escandallar y clasificar</t>
        </is>
      </c>
      <c r="C11" s="20" t="inlineStr">
        <is>
          <t>Leer las cuatro clasificaciones y la hoja «Comparativa» plato a plato.</t>
        </is>
      </c>
      <c r="D11" s="5" t="inlineStr">
        <is>
          <t>Gerente</t>
        </is>
      </c>
      <c r="E11" s="10">
        <f>IFERROR(IF(OR($A11="",'Decisiones'!$D$36=""),"",'Decisiones'!$D$36+7*($A11-1)),"")</f>
        <v>46287.0</v>
      </c>
      <c r="F11" s="5" t="inlineStr">
        <is>
          <t>No</t>
        </is>
      </c>
      <c r="G11" s="5" t="n"/>
    </row>
    <row r="12">
      <c r="A12" s="9" t="n">
        <v>4</v>
      </c>
      <c r="B12" s="5" t="inlineStr">
        <is>
          <t>Escandallar y clasificar</t>
        </is>
      </c>
      <c r="C12" s="20" t="inlineStr">
        <is>
          <t>Pasar a la hoja «Decisiones» los platos con tres o cuatro lecturas fuera de la mejor categoría.</t>
        </is>
      </c>
      <c r="D12" s="5" t="inlineStr">
        <is>
          <t>Gerente</t>
        </is>
      </c>
      <c r="E12" s="10">
        <f>IFERROR(IF(OR($A12="",'Decisiones'!$D$36=""),"",'Decisiones'!$D$36+7*($A12-1)),"")</f>
        <v>46287.0</v>
      </c>
      <c r="F12" s="5" t="inlineStr">
        <is>
          <t>No</t>
        </is>
      </c>
      <c r="G12" s="5" t="n"/>
    </row>
    <row r="13">
      <c r="A13" s="9" t="n">
        <v>5</v>
      </c>
      <c r="B13" s="5" t="inlineStr">
        <is>
          <t>Aplicar decisiones</t>
        </is>
      </c>
      <c r="C13" s="20" t="inlineStr">
        <is>
          <t>Aplicar las subidas de precio decididas y reimprimir la carta.</t>
        </is>
      </c>
      <c r="D13" s="5" t="inlineStr">
        <is>
          <t>Gerente</t>
        </is>
      </c>
      <c r="E13" s="10">
        <f>IFERROR(IF(OR($A13="",'Decisiones'!$D$36=""),"",'Decisiones'!$D$36+7*($A13-1)),"")</f>
        <v>46294.0</v>
      </c>
      <c r="F13" s="5" t="inlineStr">
        <is>
          <t>No</t>
        </is>
      </c>
      <c r="G13" s="5" t="n"/>
    </row>
    <row r="14">
      <c r="A14" s="9" t="n">
        <v>5</v>
      </c>
      <c r="B14" s="5" t="inlineStr">
        <is>
          <t>Aplicar decisiones</t>
        </is>
      </c>
      <c r="C14" s="20" t="inlineStr">
        <is>
          <t>Explicar a sala los cambios de precio y qué platos hay que sugerir.</t>
        </is>
      </c>
      <c r="D14" s="5" t="inlineStr">
        <is>
          <t>Jefe de sala</t>
        </is>
      </c>
      <c r="E14" s="10">
        <f>IFERROR(IF(OR($A14="",'Decisiones'!$D$36=""),"",'Decisiones'!$D$36+7*($A14-1)),"")</f>
        <v>46294.0</v>
      </c>
      <c r="F14" s="5" t="inlineStr">
        <is>
          <t>No</t>
        </is>
      </c>
      <c r="G14" s="5" t="n"/>
    </row>
    <row r="15">
      <c r="A15" s="9" t="n">
        <v>6</v>
      </c>
      <c r="B15" s="5" t="inlineStr">
        <is>
          <t>Aplicar decisiones</t>
        </is>
      </c>
      <c r="C15" s="20" t="inlineStr">
        <is>
          <t>Reformular las recetas marcadas: ficha de escandallo nueva y prueba en cocina.</t>
        </is>
      </c>
      <c r="D15" s="5" t="inlineStr">
        <is>
          <t>Jefe de cocina</t>
        </is>
      </c>
      <c r="E15" s="10">
        <f>IFERROR(IF(OR($A15="",'Decisiones'!$D$36=""),"",'Decisiones'!$D$36+7*($A15-1)),"")</f>
        <v>46301.0</v>
      </c>
      <c r="F15" s="5" t="inlineStr">
        <is>
          <t>No</t>
        </is>
      </c>
      <c r="G15" s="5" t="n"/>
    </row>
    <row r="16">
      <c r="A16" s="9" t="n">
        <v>6</v>
      </c>
      <c r="B16" s="5" t="inlineStr">
        <is>
          <t>Aplicar decisiones</t>
        </is>
      </c>
      <c r="C16" s="20" t="inlineStr">
        <is>
          <t>Negociar con los proveedores de las tres partidas que más pesan en la compra.</t>
        </is>
      </c>
      <c r="D16" s="5" t="inlineStr">
        <is>
          <t>Jefe de compras</t>
        </is>
      </c>
      <c r="E16" s="10">
        <f>IFERROR(IF(OR($A16="",'Decisiones'!$D$36=""),"",'Decisiones'!$D$36+7*($A16-1)),"")</f>
        <v>46301.0</v>
      </c>
      <c r="F16" s="5" t="inlineStr">
        <is>
          <t>No</t>
        </is>
      </c>
      <c r="G16" s="5" t="n"/>
    </row>
    <row r="17">
      <c r="A17" s="9" t="n">
        <v>7</v>
      </c>
      <c r="B17" s="5" t="inlineStr">
        <is>
          <t>Aplicar decisiones</t>
        </is>
      </c>
      <c r="C17" s="20" t="inlineStr">
        <is>
          <t>Rediseñar la carta: orden, agrupación y sitio de los platos que hay que empujar.</t>
        </is>
      </c>
      <c r="D17" s="5" t="inlineStr">
        <is>
          <t>Gerente</t>
        </is>
      </c>
      <c r="E17" s="10">
        <f>IFERROR(IF(OR($A17="",'Decisiones'!$D$36=""),"",'Decisiones'!$D$36+7*($A17-1)),"")</f>
        <v>46308.0</v>
      </c>
      <c r="F17" s="5" t="inlineStr">
        <is>
          <t>No</t>
        </is>
      </c>
      <c r="G17" s="5" t="n"/>
    </row>
    <row r="18">
      <c r="A18" s="9" t="n">
        <v>7</v>
      </c>
      <c r="B18" s="5" t="inlineStr">
        <is>
          <t>Aplicar decisiones</t>
        </is>
      </c>
      <c r="C18" s="20" t="inlineStr">
        <is>
          <t>Excluir del delivery los platos que no son viables al precio techo de la aplicación.</t>
        </is>
      </c>
      <c r="D18" s="5" t="inlineStr">
        <is>
          <t>Gerente</t>
        </is>
      </c>
      <c r="E18" s="10">
        <f>IFERROR(IF(OR($A18="",'Decisiones'!$D$36=""),"",'Decisiones'!$D$36+7*($A18-1)),"")</f>
        <v>46308.0</v>
      </c>
      <c r="F18" s="5" t="inlineStr">
        <is>
          <t>No</t>
        </is>
      </c>
      <c r="G18" s="5" t="n"/>
    </row>
    <row r="19">
      <c r="A19" s="9" t="n">
        <v>8</v>
      </c>
      <c r="B19" s="5" t="inlineStr">
        <is>
          <t>Aplicar decisiones</t>
        </is>
      </c>
      <c r="C19" s="20" t="inlineStr">
        <is>
          <t>Retirar los platos condenados y ajustar la compra de la semana siguiente.</t>
        </is>
      </c>
      <c r="D19" s="5" t="inlineStr">
        <is>
          <t>Jefe de cocina</t>
        </is>
      </c>
      <c r="E19" s="10">
        <f>IFERROR(IF(OR($A19="",'Decisiones'!$D$36=""),"",'Decisiones'!$D$36+7*($A19-1)),"")</f>
        <v>46315.0</v>
      </c>
      <c r="F19" s="5" t="inlineStr">
        <is>
          <t>No</t>
        </is>
      </c>
      <c r="G19" s="5" t="n"/>
    </row>
    <row r="20">
      <c r="A20" s="9" t="n">
        <v>8</v>
      </c>
      <c r="B20" s="5" t="inlineStr">
        <is>
          <t>Aplicar decisiones</t>
        </is>
      </c>
      <c r="C20" s="20" t="inlineStr">
        <is>
          <t>Revisar la carta de bebidas: copa, botella y barril con su beverage cost.</t>
        </is>
      </c>
      <c r="D20" s="5" t="inlineStr">
        <is>
          <t>Jefe de sala</t>
        </is>
      </c>
      <c r="E20" s="10">
        <f>IFERROR(IF(OR($A20="",'Decisiones'!$D$36=""),"",'Decisiones'!$D$36+7*($A20-1)),"")</f>
        <v>46315.0</v>
      </c>
      <c r="F20" s="5" t="inlineStr">
        <is>
          <t>No</t>
        </is>
      </c>
      <c r="G20" s="5" t="n"/>
    </row>
    <row r="21">
      <c r="A21" s="9" t="n">
        <v>9</v>
      </c>
      <c r="B21" s="5" t="inlineStr">
        <is>
          <t>Medir el efecto</t>
        </is>
      </c>
      <c r="C21" s="20" t="inlineStr">
        <is>
          <t>Cerrar el mes 1: ventas, compras e inventario; food cost real y prime cost.</t>
        </is>
      </c>
      <c r="D21" s="5" t="inlineStr">
        <is>
          <t>Gerente</t>
        </is>
      </c>
      <c r="E21" s="10">
        <f>IFERROR(IF(OR($A21="",'Decisiones'!$D$36=""),"",'Decisiones'!$D$36+7*($A21-1)),"")</f>
        <v>46322.0</v>
      </c>
      <c r="F21" s="5" t="inlineStr">
        <is>
          <t>No</t>
        </is>
      </c>
      <c r="G21" s="5" t="n"/>
    </row>
    <row r="22">
      <c r="A22" s="9" t="n">
        <v>9</v>
      </c>
      <c r="B22" s="5" t="inlineStr">
        <is>
          <t>Medir el efecto</t>
        </is>
      </c>
      <c r="C22" s="20" t="inlineStr">
        <is>
          <t>Comparar el mix de ventas con el del mes 0: ¿se ha movido lo que queríamos mover?</t>
        </is>
      </c>
      <c r="D22" s="5" t="inlineStr">
        <is>
          <t>Gerente</t>
        </is>
      </c>
      <c r="E22" s="10">
        <f>IFERROR(IF(OR($A22="",'Decisiones'!$D$36=""),"",'Decisiones'!$D$36+7*($A22-1)),"")</f>
        <v>46322.0</v>
      </c>
      <c r="F22" s="5" t="inlineStr">
        <is>
          <t>No</t>
        </is>
      </c>
      <c r="G22" s="5" t="n"/>
    </row>
    <row r="23">
      <c r="A23" s="9" t="n">
        <v>10</v>
      </c>
      <c r="B23" s="5" t="inlineStr">
        <is>
          <t>Medir el efecto</t>
        </is>
      </c>
      <c r="C23" s="20" t="inlineStr">
        <is>
          <t>Recalcular la matriz con las ventas nuevas y ver qué platos han cambiado de casilla.</t>
        </is>
      </c>
      <c r="D23" s="5" t="inlineStr">
        <is>
          <t>Gerente</t>
        </is>
      </c>
      <c r="E23" s="10">
        <f>IFERROR(IF(OR($A23="",'Decisiones'!$D$36=""),"",'Decisiones'!$D$36+7*($A23-1)),"")</f>
        <v>46329.0</v>
      </c>
      <c r="F23" s="5" t="inlineStr">
        <is>
          <t>No</t>
        </is>
      </c>
      <c r="G23" s="5" t="n"/>
    </row>
    <row r="24">
      <c r="A24" s="9" t="n">
        <v>10</v>
      </c>
      <c r="B24" s="5" t="inlineStr">
        <is>
          <t>Medir el efecto</t>
        </is>
      </c>
      <c r="C24" s="20" t="inlineStr">
        <is>
          <t>Anotar en «Decisiones» el estado real de cada una y el impacto conseguido.</t>
        </is>
      </c>
      <c r="D24" s="5" t="inlineStr">
        <is>
          <t>Gerente</t>
        </is>
      </c>
      <c r="E24" s="10">
        <f>IFERROR(IF(OR($A24="",'Decisiones'!$D$36=""),"",'Decisiones'!$D$36+7*($A24-1)),"")</f>
        <v>46329.0</v>
      </c>
      <c r="F24" s="5" t="inlineStr">
        <is>
          <t>No</t>
        </is>
      </c>
      <c r="G24" s="5" t="n"/>
    </row>
    <row r="25">
      <c r="A25" s="9" t="n">
        <v>11</v>
      </c>
      <c r="B25" s="5" t="inlineStr">
        <is>
          <t>Medir el efecto</t>
        </is>
      </c>
      <c r="C25" s="20" t="inlineStr">
        <is>
          <t>Re-escandallar las partidas cuyo proveedor haya subido precio en el trimestre.</t>
        </is>
      </c>
      <c r="D25" s="5" t="inlineStr">
        <is>
          <t>Jefe de cocina</t>
        </is>
      </c>
      <c r="E25" s="10">
        <f>IFERROR(IF(OR($A25="",'Decisiones'!$D$36=""),"",'Decisiones'!$D$36+7*($A25-1)),"")</f>
        <v>46336.0</v>
      </c>
      <c r="F25" s="5" t="inlineStr">
        <is>
          <t>No</t>
        </is>
      </c>
      <c r="G25" s="5" t="n"/>
    </row>
    <row r="26">
      <c r="A26" s="9" t="n">
        <v>11</v>
      </c>
      <c r="B26" s="5" t="inlineStr">
        <is>
          <t>Medir el efecto</t>
        </is>
      </c>
      <c r="C26" s="20" t="inlineStr">
        <is>
          <t>Revisar packaging y comisión de las plataformas de delivery contra el contrato firmado.</t>
        </is>
      </c>
      <c r="D26" s="5" t="inlineStr">
        <is>
          <t>Jefe de compras</t>
        </is>
      </c>
      <c r="E26" s="10">
        <f>IFERROR(IF(OR($A26="",'Decisiones'!$D$36=""),"",'Decisiones'!$D$36+7*($A26-1)),"")</f>
        <v>46336.0</v>
      </c>
      <c r="F26" s="5" t="inlineStr">
        <is>
          <t>No</t>
        </is>
      </c>
      <c r="G26" s="5" t="n"/>
    </row>
    <row r="27">
      <c r="A27" s="9" t="n">
        <v>12</v>
      </c>
      <c r="B27" s="5" t="inlineStr">
        <is>
          <t>Medir el efecto</t>
        </is>
      </c>
      <c r="C27" s="20" t="inlineStr">
        <is>
          <t>Cerrar el mes 2 y actualizar la hoja de KPI de seguimiento.</t>
        </is>
      </c>
      <c r="D27" s="5" t="inlineStr">
        <is>
          <t>Gerente</t>
        </is>
      </c>
      <c r="E27" s="10">
        <f>IFERROR(IF(OR($A27="",'Decisiones'!$D$36=""),"",'Decisiones'!$D$36+7*($A27-1)),"")</f>
        <v>46343.0</v>
      </c>
      <c r="F27" s="5" t="inlineStr">
        <is>
          <t>No</t>
        </is>
      </c>
      <c r="G27" s="5" t="n"/>
    </row>
    <row r="28">
      <c r="A28" s="9" t="n">
        <v>12</v>
      </c>
      <c r="B28" s="5" t="inlineStr">
        <is>
          <t>Medir el efecto</t>
        </is>
      </c>
      <c r="C28" s="20" t="inlineStr">
        <is>
          <t>Detectar las decisiones bloqueadas y darles fecha nueva o descartarlas con motivo.</t>
        </is>
      </c>
      <c r="D28" s="5" t="inlineStr">
        <is>
          <t>Gerente</t>
        </is>
      </c>
      <c r="E28" s="10">
        <f>IFERROR(IF(OR($A28="",'Decisiones'!$D$36=""),"",'Decisiones'!$D$36+7*($A28-1)),"")</f>
        <v>46343.0</v>
      </c>
      <c r="F28" s="5" t="inlineStr">
        <is>
          <t>No</t>
        </is>
      </c>
      <c r="G28" s="5" t="n"/>
    </row>
    <row r="29">
      <c r="A29" s="9" t="n">
        <v>13</v>
      </c>
      <c r="B29" s="5" t="inlineStr">
        <is>
          <t>Revisión</t>
        </is>
      </c>
      <c r="C29" s="20" t="inlineStr">
        <is>
          <t>Cerrar el mes 3, actualizar los KPI y compararlos con el mes 0.</t>
        </is>
      </c>
      <c r="D29" s="5" t="inlineStr">
        <is>
          <t>Gerente</t>
        </is>
      </c>
      <c r="E29" s="10">
        <f>IFERROR(IF(OR($A29="",'Decisiones'!$D$36=""),"",'Decisiones'!$D$36+7*($A29-1)),"")</f>
        <v>46350.0</v>
      </c>
      <c r="F29" s="5" t="inlineStr">
        <is>
          <t>No</t>
        </is>
      </c>
      <c r="G29" s="5" t="n"/>
    </row>
    <row r="30">
      <c r="A30" s="9" t="n">
        <v>13</v>
      </c>
      <c r="B30" s="5" t="inlineStr">
        <is>
          <t>Revisión</t>
        </is>
      </c>
      <c r="C30" s="20" t="inlineStr">
        <is>
          <t>Decidir el trimestre siguiente: qué se mantiene, qué se repite y qué entra nuevo.</t>
        </is>
      </c>
      <c r="D30" s="5" t="inlineStr">
        <is>
          <t>Gerente</t>
        </is>
      </c>
      <c r="E30" s="10">
        <f>IFERROR(IF(OR($A30="",'Decisiones'!$D$36=""),"",'Decisiones'!$D$36+7*($A30-1)),"")</f>
        <v>46350.0</v>
      </c>
      <c r="F30" s="5" t="inlineStr">
        <is>
          <t>No</t>
        </is>
      </c>
      <c r="G30" s="5" t="n"/>
    </row>
    <row r="31"/>
    <row r="32">
      <c r="A32" s="13" t="inlineStr">
        <is>
          <t>RESUMEN — lo calcula el libro</t>
        </is>
      </c>
    </row>
    <row r="33">
      <c r="C33" t="inlineStr">
        <is>
          <t>Hitos registrados</t>
        </is>
      </c>
      <c r="D33" s="8">
        <f>COUNTIF($C$5:$C$30,"&lt;&gt;")</f>
        <v>26.0</v>
      </c>
    </row>
    <row r="34">
      <c r="C34" t="inlineStr">
        <is>
          <t>Hitos hechos</t>
        </is>
      </c>
      <c r="D34" s="8">
        <f>COUNTIF($F$5:$F$30,"Sí")</f>
        <v>0.0</v>
      </c>
    </row>
    <row r="35">
      <c r="C35" t="inlineStr">
        <is>
          <t>Hitos pendientes</t>
        </is>
      </c>
      <c r="D35" s="8">
        <f>IFERROR(IF(OR($D$33="",$D$34=""),"",$D$33-$D$34),"")</f>
        <v>26.0</v>
      </c>
    </row>
    <row r="36">
      <c r="C36" s="15" t="inlineStr">
        <is>
          <t>AVANCE DEL CALENDARIO (%)</t>
        </is>
      </c>
      <c r="D36" s="21">
        <f>IFERROR(IF($D$33=0,"",$D$34/$D$33),"")</f>
        <v>0.0</v>
      </c>
    </row>
    <row r="37"/>
    <row r="38">
      <c r="A38" s="13" t="inlineStr">
        <is>
          <t>AVANCE POR BLOQUE — lo calcula el libro</t>
        </is>
      </c>
    </row>
    <row r="39" ht="30" customHeight="1">
      <c r="C39" s="7" t="inlineStr">
        <is>
          <t>Bloque</t>
        </is>
      </c>
      <c r="D39" s="7" t="inlineStr">
        <is>
          <t>Hitos</t>
        </is>
      </c>
      <c r="E39" s="7" t="inlineStr">
        <is>
          <t>Hechos</t>
        </is>
      </c>
      <c r="F39" s="7" t="inlineStr">
        <is>
          <t>Avance (%)</t>
        </is>
      </c>
    </row>
    <row r="40">
      <c r="C40" s="13" t="inlineStr">
        <is>
          <t>Medir</t>
        </is>
      </c>
      <c r="D40" s="8">
        <f>COUNTIF($B$5:$B$30,$C40)</f>
        <v>4.0</v>
      </c>
      <c r="E40" s="8">
        <f>IFERROR(SUMPRODUCT(--($B$5:$B$30=$C40),--($F$5:$F$30="Sí")),"")</f>
        <v>0.0</v>
      </c>
      <c r="F40" s="22">
        <f>IFERROR(IF($D40=0,"",$E40/$D40),"")</f>
        <v>0.0</v>
      </c>
    </row>
    <row r="41">
      <c r="C41" s="13" t="inlineStr">
        <is>
          <t>Escandallar y clasificar</t>
        </is>
      </c>
      <c r="D41" s="8">
        <f>COUNTIF($B$5:$B$30,$C41)</f>
        <v>4.0</v>
      </c>
      <c r="E41" s="8">
        <f>IFERROR(SUMPRODUCT(--($B$5:$B$30=$C41),--($F$5:$F$30="Sí")),"")</f>
        <v>0.0</v>
      </c>
      <c r="F41" s="22">
        <f>IFERROR(IF($D41=0,"",$E41/$D41),"")</f>
        <v>0.0</v>
      </c>
    </row>
    <row r="42">
      <c r="C42" s="13" t="inlineStr">
        <is>
          <t>Aplicar decisiones</t>
        </is>
      </c>
      <c r="D42" s="8">
        <f>COUNTIF($B$5:$B$30,$C42)</f>
        <v>8.0</v>
      </c>
      <c r="E42" s="8">
        <f>IFERROR(SUMPRODUCT(--($B$5:$B$30=$C42),--($F$5:$F$30="Sí")),"")</f>
        <v>0.0</v>
      </c>
      <c r="F42" s="22">
        <f>IFERROR(IF($D42=0,"",$E42/$D42),"")</f>
        <v>0.0</v>
      </c>
    </row>
    <row r="43">
      <c r="C43" s="13" t="inlineStr">
        <is>
          <t>Medir el efecto</t>
        </is>
      </c>
      <c r="D43" s="8">
        <f>COUNTIF($B$5:$B$30,$C43)</f>
        <v>8.0</v>
      </c>
      <c r="E43" s="8">
        <f>IFERROR(SUMPRODUCT(--($B$5:$B$30=$C43),--($F$5:$F$30="Sí")),"")</f>
        <v>0.0</v>
      </c>
      <c r="F43" s="22">
        <f>IFERROR(IF($D43=0,"",$E43/$D43),"")</f>
        <v>0.0</v>
      </c>
    </row>
    <row r="44">
      <c r="C44" s="13" t="inlineStr">
        <is>
          <t>Revisión</t>
        </is>
      </c>
      <c r="D44" s="8">
        <f>COUNTIF($B$5:$B$30,$C44)</f>
        <v>2.0</v>
      </c>
      <c r="E44" s="8">
        <f>IFERROR(SUMPRODUCT(--($B$5:$B$30=$C44),--($F$5:$F$30="Sí")),"")</f>
        <v>0.0</v>
      </c>
      <c r="F44" s="22">
        <f>IFERROR(IF($D44=0,"",$E44/$D44),"")</f>
        <v>0.0</v>
      </c>
    </row>
    <row r="45"/>
    <row r="46">
      <c r="C46" t="inlineStr">
        <is>
          <t>Un plan recién abierto marca 0 % de avance: es lo correcto. El avance se gana marcando «Hecho» = Sí.</t>
        </is>
      </c>
    </row>
  </sheetData>
  <sheetProtection selectLockedCells="0" selectUnlockedCells="0" sheet="1" objects="0" insertRows="0" insertHyperlinks="1" autoFilter="1" scenarios="0" formatColumns="0" deleteColumns="1" insertColumns="1" pivotTables="1" deleteRows="1" formatCells="1" formatRows="0" sort="0"/>
  <conditionalFormatting sqref="F5:F30">
    <cfRule type="cellIs" priority="1" operator="equal" dxfId="0" stopIfTrue="1">
      <formula>"Sí"</formula>
    </cfRule>
    <cfRule type="cellIs" priority="2" operator="equal" dxfId="2" stopIfTrue="1">
      <formula>"No"</formula>
    </cfRule>
  </conditionalFormatting>
  <dataValidations count="4">
    <dataValidation sqref="B5 B6 B7 B8 B9 B10 B11 B12 B13 B14 B15 B16 B17 B18 B19 B20 B21 B22 B23 B24 B25 B26 B27 B28 B29 B30" showDropDown="0" showInputMessage="0" showErrorMessage="1" allowBlank="1" errorTitle="Bloque no válido" error="Elige un valor de la lista: Medir, Escandallar y clasificar, Aplicar decisiones, Medir el efecto, Revisión" type="list">
      <formula1>"Medir,Escandallar y clasificar,Aplicar decisiones,Medir el efecto,Revisión"</formula1>
    </dataValidation>
    <dataValidation sqref="D5 D6 D7 D8 D9 D10 D11 D12 D13 D14 D15 D16 D17 D18 D19 D20 D21 D22 D23 D24 D25 D26 D27 D28 D29 D30" showDropDown="0" showInputMessage="0" showErrorMessage="1" allowBlank="1" errorTitle="Responsable no válido" error="Elige un valor de la lista: Gerente, Jefe de cocina, Jefe de sala, Jefe de compras" type="list">
      <formula1>"Gerente,Jefe de cocina,Jefe de sala,Jefe de compras"</formula1>
    </dataValidation>
    <dataValidation sqref="F5 F6 F7 F8 F9 F10 F11 F12 F13 F14 F15 F16 F17 F18 F19 F20 F21 F22 F23 F24 F25 F26 F27 F28 F29 F30" showDropDown="0" showInputMessage="0" showErrorMessage="1" allowBlank="1" errorTitle="Marca Sí o No" error="Elige un valor de la lista: Sí, No" type="list">
      <formula1>"Sí,No"</formula1>
    </dataValidation>
    <dataValidation sqref="A5 A6 A7 A8 A9 A10 A11 A12 A13 A14 A15 A16 A17 A18 A19 A20 A21 A22 A23 A24 A25 A26 A27 A28 A29 A30" showDropDown="0" showInputMessage="0" showErrorMessage="1" allowBlank="1" errorTitle="Semana del plan" error="El plan tiene 13 semanas: escribe un número entre 1 y 13." type="decimal" operator="between">
      <formula1>1</formula1>
      <formula2>13</formula2>
    </dataValidation>
  </dataValidations>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K2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2" customWidth="1" min="1" max="1"/>
    <col width="12" customWidth="1" min="2" max="2"/>
    <col width="12" customWidth="1" min="3" max="3"/>
    <col width="12" customWidth="1" min="4" max="4"/>
    <col width="12" customWidth="1" min="5" max="5"/>
    <col width="14" customWidth="1" min="6" max="6"/>
    <col width="14" customWidth="1" min="7" max="7"/>
    <col width="14" customWidth="1" min="8" max="8"/>
    <col width="13" customWidth="1" min="9" max="9"/>
    <col width="18" customWidth="1" min="10" max="10"/>
    <col width="52" customWidth="1" min="11" max="11"/>
  </cols>
  <sheetData>
    <row r="1">
      <c r="A1" s="1" t="inlineStr">
        <is>
          <t>KPI de seguimiento — mes 0 contra mes 3</t>
        </is>
      </c>
    </row>
    <row r="2">
      <c r="A2" s="2" t="inlineStr">
        <is>
          <t>AI Chef Pro · aichef.pro — Guía Food Cost + Ingeniería de Menú</t>
        </is>
      </c>
    </row>
    <row r="3">
      <c r="C3" s="6" t="inlineStr">
        <is>
          <t>El mes 0 es la foto de salida. En los KPI en porcentaje la variación son PUNTOS porcentuales.</t>
        </is>
      </c>
    </row>
    <row r="4" ht="40" customHeight="1">
      <c r="A4" s="7" t="inlineStr">
        <is>
          <t>KPI</t>
        </is>
      </c>
      <c r="B4" s="7" t="inlineStr">
        <is>
          <t>Mes 0</t>
        </is>
      </c>
      <c r="C4" s="7" t="inlineStr">
        <is>
          <t>Mes 1</t>
        </is>
      </c>
      <c r="D4" s="7" t="inlineStr">
        <is>
          <t>Mes 2</t>
        </is>
      </c>
      <c r="E4" s="7" t="inlineStr">
        <is>
          <t>Mes 3</t>
        </is>
      </c>
      <c r="F4" s="7" t="inlineStr">
        <is>
          <t>Variación mes 1 vs mes 0</t>
        </is>
      </c>
      <c r="G4" s="7" t="inlineStr">
        <is>
          <t>Variación mes 2 vs mes 0</t>
        </is>
      </c>
      <c r="H4" s="7" t="inlineStr">
        <is>
          <t>Variación mes 3 vs mes 0</t>
        </is>
      </c>
      <c r="I4" s="7" t="inlineStr">
        <is>
          <t>¿Bajar es bueno?</t>
        </is>
      </c>
      <c r="J4" s="7" t="inlineStr">
        <is>
          <t>Lectura mes 3 vs mes 0</t>
        </is>
      </c>
      <c r="K4" s="7" t="inlineStr">
        <is>
          <t>Nota</t>
        </is>
      </c>
    </row>
    <row r="5">
      <c r="A5" s="5" t="inlineStr">
        <is>
          <t>Food cost (%)</t>
        </is>
      </c>
      <c r="B5" s="18" t="n">
        <v>0.331</v>
      </c>
      <c r="C5" s="18" t="n">
        <v>0.322</v>
      </c>
      <c r="D5" s="18" t="n">
        <v>0.311</v>
      </c>
      <c r="E5" s="18" t="n">
        <v>0.298</v>
      </c>
      <c r="F5" s="22">
        <f>IFERROR(IF(OR($B5="",$C5=""),"",$C5-$B5),"")</f>
        <v>-0.009000000000000008</v>
      </c>
      <c r="G5" s="22">
        <f>IFERROR(IF(OR($B5="",$D5=""),"",$D5-$B5),"")</f>
        <v>-0.020000000000000018</v>
      </c>
      <c r="H5" s="23">
        <f>IFERROR(IF(OR($B5="",$E5=""),"",$E5-$B5),"")</f>
        <v>-0.03300000000000003</v>
      </c>
      <c r="I5" s="5" t="inlineStr">
        <is>
          <t>Sí</t>
        </is>
      </c>
      <c r="J5" s="13" t="str">
        <f>IFERROR(IF(OR($B5="",$E5="",$I5=""),"",IF($H5=0,"Sin cambio",IF(OR(AND($I5="Sí",$H5&lt;0),AND($I5="No",$H5&gt;0)),"Mejora","Empeora"))),"")</f>
        <v>Mejora</v>
      </c>
      <c r="K5" s="5" t="inlineStr">
        <is>
          <t>Coste de producto sobre ventas netas de comida. Objetivo de la casa en el cuadro de mando.</t>
        </is>
      </c>
    </row>
    <row r="6">
      <c r="A6" s="5" t="inlineStr">
        <is>
          <t>Prime cost (%)</t>
        </is>
      </c>
      <c r="B6" s="18" t="n">
        <v>0.668</v>
      </c>
      <c r="C6" s="18" t="n">
        <v>0.661</v>
      </c>
      <c r="D6" s="18" t="n">
        <v>0.652</v>
      </c>
      <c r="E6" s="18" t="n">
        <v>0.638</v>
      </c>
      <c r="F6" s="22">
        <f>IFERROR(IF(OR($B6="",$C6=""),"",$C6-$B6),"")</f>
        <v>-0.007000000000000006</v>
      </c>
      <c r="G6" s="22">
        <f>IFERROR(IF(OR($B6="",$D6=""),"",$D6-$B6),"")</f>
        <v>-0.016000000000000014</v>
      </c>
      <c r="H6" s="23">
        <f>IFERROR(IF(OR($B6="",$E6=""),"",$E6-$B6),"")</f>
        <v>-0.030000000000000027</v>
      </c>
      <c r="I6" s="5" t="inlineStr">
        <is>
          <t>Sí</t>
        </is>
      </c>
      <c r="J6" s="13" t="str">
        <f>IFERROR(IF(OR($B6="",$E6="",$I6=""),"",IF($H6=0,"Sin cambio",IF(OR(AND($I6="Sí",$H6&lt;0),AND($I6="No",$H6&gt;0)),"Mejora","Empeora"))),"")</f>
        <v>Mejora</v>
      </c>
      <c r="K6" s="5" t="inlineStr">
        <is>
          <t>Producto + personal con Seguridad Social, sobre ventas netas.</t>
        </is>
      </c>
    </row>
    <row r="7">
      <c r="A7" s="5" t="inlineStr">
        <is>
          <t>Ticket medio sin IVA (€)</t>
        </is>
      </c>
      <c r="B7" s="11" t="n">
        <v>27.4</v>
      </c>
      <c r="C7" s="11" t="n">
        <v>27.9</v>
      </c>
      <c r="D7" s="11" t="n">
        <v>28.6</v>
      </c>
      <c r="E7" s="11" t="n">
        <v>29.1</v>
      </c>
      <c r="F7" s="17">
        <f>IFERROR(IF(OR($B7="",$C7=""),"",$C7-$B7),"")</f>
        <v>0.5</v>
      </c>
      <c r="G7" s="17">
        <f>IFERROR(IF(OR($B7="",$D7=""),"",$D7-$B7),"")</f>
        <v>1.2000000000000028</v>
      </c>
      <c r="H7" s="12">
        <f>IFERROR(IF(OR($B7="",$E7=""),"",$E7-$B7),"")</f>
        <v>1.7000000000000028</v>
      </c>
      <c r="I7" s="5" t="inlineStr">
        <is>
          <t>No</t>
        </is>
      </c>
      <c r="J7" s="13" t="str">
        <f>IFERROR(IF(OR($B7="",$E7="",$I7=""),"",IF($H7=0,"Sin cambio",IF(OR(AND($I7="Sí",$H7&lt;0),AND($I7="No",$H7&gt;0)),"Mejora","Empeora"))),"")</f>
        <v>Mejora</v>
      </c>
      <c r="K7" s="5" t="inlineStr">
        <is>
          <t>Ventas netas ÷ cubiertos. Sube si la carta empuja bien.</t>
        </is>
      </c>
    </row>
    <row r="8">
      <c r="A8" s="5" t="inlineStr">
        <is>
          <t>Margen de contribución por cubierto (€)</t>
        </is>
      </c>
      <c r="B8" s="11" t="n">
        <v>18.1</v>
      </c>
      <c r="C8" s="11" t="n">
        <v>18.6</v>
      </c>
      <c r="D8" s="11" t="n">
        <v>19.4</v>
      </c>
      <c r="E8" s="11" t="n">
        <v>20.2</v>
      </c>
      <c r="F8" s="17">
        <f>IFERROR(IF(OR($B8="",$C8=""),"",$C8-$B8),"")</f>
        <v>0.5</v>
      </c>
      <c r="G8" s="17">
        <f>IFERROR(IF(OR($B8="",$D8=""),"",$D8-$B8),"")</f>
        <v>1.2999999999999972</v>
      </c>
      <c r="H8" s="12">
        <f>IFERROR(IF(OR($B8="",$E8=""),"",$E8-$B8),"")</f>
        <v>2.099999999999998</v>
      </c>
      <c r="I8" s="5" t="inlineStr">
        <is>
          <t>No</t>
        </is>
      </c>
      <c r="J8" s="13" t="str">
        <f>IFERROR(IF(OR($B8="",$E8="",$I8=""),"",IF($H8=0,"Sin cambio",IF(OR(AND($I8="Sí",$H8&lt;0),AND($I8="No",$H8&gt;0)),"Mejora","Empeora"))),"")</f>
        <v>Mejora</v>
      </c>
      <c r="K8" s="5" t="inlineStr">
        <is>
          <t>El euro que deja cada comensal para pagar personal, alquiler y luz.</t>
        </is>
      </c>
    </row>
    <row r="9">
      <c r="A9" s="5" t="inlineStr">
        <is>
          <t>Platos en carta (n.º)</t>
        </is>
      </c>
      <c r="B9" s="9" t="n">
        <v>20</v>
      </c>
      <c r="C9" s="9" t="n">
        <v>20</v>
      </c>
      <c r="D9" s="9" t="n">
        <v>19</v>
      </c>
      <c r="E9" s="9" t="n">
        <v>18</v>
      </c>
      <c r="F9" s="8">
        <f>IFERROR(IF(OR($B9="",$C9=""),"",$C9-$B9),"")</f>
        <v>0.0</v>
      </c>
      <c r="G9" s="8">
        <f>IFERROR(IF(OR($B9="",$D9=""),"",$D9-$B9),"")</f>
        <v>-1.0</v>
      </c>
      <c r="H9" s="24">
        <f>IFERROR(IF(OR($B9="",$E9=""),"",$E9-$B9),"")</f>
        <v>-2.0</v>
      </c>
      <c r="I9" s="5" t="inlineStr">
        <is>
          <t>Sí</t>
        </is>
      </c>
      <c r="J9" s="13" t="str">
        <f>IFERROR(IF(OR($B9="",$E9="",$I9=""),"",IF($H9=0,"Sin cambio",IF(OR(AND($I9="Sí",$H9&lt;0),AND($I9="No",$H9&gt;0)),"Mejora","Empeora"))),"")</f>
        <v>Mejora</v>
      </c>
      <c r="K9" s="5" t="inlineStr">
        <is>
          <t>La poda es un objetivo, no un accidente. Cámbialo a «No» si tu plan es ampliar carta.</t>
        </is>
      </c>
    </row>
    <row r="10">
      <c r="A10" s="5" t="n"/>
      <c r="B10" s="25" t="n"/>
      <c r="C10" s="25" t="n"/>
      <c r="D10" s="25" t="n"/>
      <c r="E10" s="25" t="n"/>
      <c r="F10" s="26">
        <f>IFERROR(IF(OR($B10="",$C10=""),"",$C10-$B10),"")</f>
        <v/>
      </c>
      <c r="G10" s="26">
        <f>IFERROR(IF(OR($B10="",$D10=""),"",$D10-$B10),"")</f>
        <v/>
      </c>
      <c r="H10" s="27">
        <f>IFERROR(IF(OR($B10="",$E10=""),"",$E10-$B10),"")</f>
        <v/>
      </c>
      <c r="I10" s="5" t="n"/>
      <c r="J10" s="13">
        <f>IFERROR(IF(OR($B10="",$E10="",$I10=""),"",IF($H10=0,"Sin cambio",IF(OR(AND($I10="Sí",$H10&lt;0),AND($I10="No",$H10&gt;0)),"Mejora","Empeora"))),"")</f>
        <v/>
      </c>
      <c r="K10" s="5" t="n"/>
    </row>
    <row r="11">
      <c r="A11" s="5" t="n"/>
      <c r="B11" s="25" t="n"/>
      <c r="C11" s="25" t="n"/>
      <c r="D11" s="25" t="n"/>
      <c r="E11" s="25" t="n"/>
      <c r="F11" s="26">
        <f>IFERROR(IF(OR($B11="",$C11=""),"",$C11-$B11),"")</f>
        <v/>
      </c>
      <c r="G11" s="26">
        <f>IFERROR(IF(OR($B11="",$D11=""),"",$D11-$B11),"")</f>
        <v/>
      </c>
      <c r="H11" s="27">
        <f>IFERROR(IF(OR($B11="",$E11=""),"",$E11-$B11),"")</f>
        <v/>
      </c>
      <c r="I11" s="5" t="n"/>
      <c r="J11" s="13">
        <f>IFERROR(IF(OR($B11="",$E11="",$I11=""),"",IF($H11=0,"Sin cambio",IF(OR(AND($I11="Sí",$H11&lt;0),AND($I11="No",$H11&gt;0)),"Mejora","Empeora"))),"")</f>
        <v/>
      </c>
      <c r="K11" s="5" t="n"/>
    </row>
    <row r="12">
      <c r="A12" s="5" t="n"/>
      <c r="B12" s="25" t="n"/>
      <c r="C12" s="25" t="n"/>
      <c r="D12" s="25" t="n"/>
      <c r="E12" s="25" t="n"/>
      <c r="F12" s="26">
        <f>IFERROR(IF(OR($B12="",$C12=""),"",$C12-$B12),"")</f>
        <v/>
      </c>
      <c r="G12" s="26">
        <f>IFERROR(IF(OR($B12="",$D12=""),"",$D12-$B12),"")</f>
        <v/>
      </c>
      <c r="H12" s="27">
        <f>IFERROR(IF(OR($B12="",$E12=""),"",$E12-$B12),"")</f>
        <v/>
      </c>
      <c r="I12" s="5" t="n"/>
      <c r="J12" s="13">
        <f>IFERROR(IF(OR($B12="",$E12="",$I12=""),"",IF($H12=0,"Sin cambio",IF(OR(AND($I12="Sí",$H12&lt;0),AND($I12="No",$H12&gt;0)),"Mejora","Empeora"))),"")</f>
        <v/>
      </c>
      <c r="K12" s="5" t="n"/>
    </row>
    <row r="13"/>
    <row r="14">
      <c r="A14" s="13" t="inlineStr">
        <is>
          <t>RESUMEN — lo calcula el libro</t>
        </is>
      </c>
    </row>
    <row r="15">
      <c r="A15" t="inlineStr">
        <is>
          <t>KPI registrados</t>
        </is>
      </c>
      <c r="C15" s="8">
        <f>COUNTIF($A$5:$A$12,"&lt;&gt;")</f>
        <v>5.0</v>
      </c>
    </row>
    <row r="16">
      <c r="A16" s="15" t="inlineStr">
        <is>
          <t>KPI QUE MEJORAN</t>
        </is>
      </c>
      <c r="C16" s="28">
        <f>COUNTIF($J$5:$J$12,"Mejora")</f>
        <v>5.0</v>
      </c>
    </row>
    <row r="17">
      <c r="A17" t="inlineStr">
        <is>
          <t>KPI que empeoran</t>
        </is>
      </c>
      <c r="C17" s="8">
        <f>COUNTIF($J$5:$J$12,"Empeora")</f>
        <v>0.0</v>
      </c>
    </row>
    <row r="18">
      <c r="A18" t="inlineStr">
        <is>
          <t>KPI sin cambio</t>
        </is>
      </c>
      <c r="C18" s="8">
        <f>COUNTIF($J$5:$J$12,"Sin cambio")</f>
        <v>0.0</v>
      </c>
    </row>
    <row r="19">
      <c r="A19" t="inlineStr">
        <is>
          <t>KPI que mejoran (%)</t>
        </is>
      </c>
      <c r="C19" s="22">
        <f>IFERROR(IF($C$15=0,"",$C$16/$C$15),"")</f>
        <v>1.0</v>
      </c>
    </row>
    <row r="20"/>
    <row r="21">
      <c r="A21" t="inlineStr">
        <is>
          <t>Los cuatro primeros KPI se leen juntos: un food cost que baja mientras el margen por cubierto también baja significa que has abaratado el plato, no que hayas ganado dinero.</t>
        </is>
      </c>
    </row>
    <row r="22">
      <c r="A22" t="inlineStr">
        <is>
          <t>Las tres últimas filas están libres para los KPI de tu casa (rotación de mesas, ratio de bebida sobre comida, mermas en euros…). Marca en «¿Bajar es bueno?» el sentido de cada uno.</t>
        </is>
      </c>
    </row>
  </sheetData>
  <sheetProtection selectLockedCells="0" selectUnlockedCells="0" sheet="1" objects="0" insertRows="0" insertHyperlinks="1" autoFilter="1" scenarios="0" formatColumns="0" deleteColumns="1" insertColumns="1" pivotTables="1" deleteRows="1" formatCells="1" formatRows="0" sort="0"/>
  <conditionalFormatting sqref="J5:J12">
    <cfRule type="cellIs" priority="1" operator="equal" dxfId="0" stopIfTrue="1">
      <formula>"Mejora"</formula>
    </cfRule>
    <cfRule type="cellIs" priority="2" operator="equal" dxfId="3" stopIfTrue="1">
      <formula>"Empeora"</formula>
    </cfRule>
    <cfRule type="cellIs" priority="3" operator="equal" dxfId="2" stopIfTrue="1">
      <formula>"Sin cambio"</formula>
    </cfRule>
  </conditionalFormatting>
  <conditionalFormatting sqref="C19">
    <cfRule type="expression" priority="4" dxfId="1" stopIfTrue="1">
      <formula>=AND(ISNUMBER($C$19),$C$19&lt;1)</formula>
    </cfRule>
  </conditionalFormatting>
  <dataValidations count="2">
    <dataValidation sqref="I5 I6 I7 I8 I9 I10 I11 I12" showDropDown="0" showInputMessage="0" showErrorMessage="1" allowBlank="1" errorTitle="Marca Sí o No" error="«Sí» si bajar es una mejora (food cost, prime cost); «No» si lo bueno es subir (ticket medio, margen)." type="list">
      <formula1>"Sí,No"</formula1>
    </dataValidation>
    <dataValidation sqref="B5 B6 B7 B8 B9 B10 B11 B12 C5 C6 C7 C8 C9 C10 C11 C12 D5 D6 D7 D8 D9 D10 D11 D12 E5 E6 E7 E8 E9 E10 E11 E12" showDropDown="0" showInputMessage="0" showErrorMessage="1" allowBlank="1" errorTitle="Valor del KPI" error="Escribe el valor del KPI. Los porcentajes van en tanto por uno: 0,30 = 30 %." type="decimal" operator="greaterThanOrEqual">
      <formula1>-1000000</formula1>
    </dataValidation>
  </dataValidations>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Plan de Acción a 90 Días</dc:title>
  <dc:subject xmlns:dc="http://purl.org/dc/elements/1.1/">Guía Food Cost + Ingeniería de Menú · Versión 1.0 · septiembre 2026</dc:subject>
  <dcterms:created xmlns:dcterms="http://purl.org/dc/terms/" xmlns:xsi="http://www.w3.org/2001/XMLSchema-instance" xsi:type="dcterms:W3CDTF">2026-09-03T21:37:04Z</dcterms:created>
  <dcterms:modified xmlns:dcterms="http://purl.org/dc/terms/" xmlns:xsi="http://www.w3.org/2001/XMLSchema-instance" xsi:type="dcterms:W3CDTF">2026-09-03T21:37:04Z</dcterms:modified>
  <cp:lastModifiedBy>AI Chef Pro</cp:lastModifiedBy>
</cp:coreProperties>
</file>