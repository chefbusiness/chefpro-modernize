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Mensual" sheetId="3" state="visible" r:id="rId3"/>
  </sheets>
  <definedNames>
    <definedName name="_xlnm.Print_Titles" localSheetId="2">'Mensual'!$4:$4</definedName>
  </definedNames>
  <calcPr calcId="124519" fullCalcOnLoad="1"/>
</workbook>
</file>

<file path=xl/styles.xml><?xml version="1.0" encoding="utf-8"?>
<styleSheet xmlns="http://schemas.openxmlformats.org/spreadsheetml/2006/main">
  <numFmts count="2">
    <numFmt numFmtId="164" formatCode="0.0%"/>
    <numFmt numFmtId="165" formatCode="#,##0.00 €"/>
  </numFmts>
  <fonts count="7">
    <font>
      <name val="Calibri"/>
      <family val="2"/>
      <color theme="1"/>
      <sz val="11"/>
      <scheme val="minor"/>
    </font>
    <font>
      <b val="1"/>
      <color rgb="00FFD700"/>
      <sz val="16"/>
    </font>
    <font>
      <b val="1"/>
      <color theme="1"/>
      <sz val="11"/>
    </font>
    <font>
      <b val="1"/>
      <sz val="12"/>
    </font>
    <font>
      <b val="1"/>
      <color rgb="00FFFFFF"/>
    </font>
    <font>
      <i val="1"/>
      <sz val="9"/>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2" fillId="0" borderId="0" pivotButton="0" quotePrefix="0" xfId="0"/>
    <xf numFmtId="0" fontId="4" fillId="3" borderId="0" applyAlignment="1" pivotButton="0" quotePrefix="0" xfId="0">
      <alignment horizontal="center" vertical="center" wrapText="1"/>
    </xf>
    <xf numFmtId="164" fontId="0" fillId="2" borderId="0" applyProtection="1" pivotButton="0" quotePrefix="0" xfId="0">
      <protection locked="0" hidden="0"/>
    </xf>
    <xf numFmtId="164" fontId="0" fillId="4" borderId="0" pivotButton="0" quotePrefix="0" xfId="0"/>
    <xf numFmtId="0" fontId="5" fillId="0" borderId="0" pivotButton="0" quotePrefix="0" xfId="0"/>
    <xf numFmtId="165" fontId="0" fillId="2" borderId="0" applyProtection="1" pivotButton="0" quotePrefix="0" xfId="0">
      <protection locked="0" hidden="0"/>
    </xf>
    <xf numFmtId="165" fontId="0" fillId="0" borderId="0" pivotButton="0" quotePrefix="0" xfId="0"/>
    <xf numFmtId="164" fontId="0" fillId="0" borderId="0" pivotButton="0" quotePrefix="0" xfId="0"/>
    <xf numFmtId="0" fontId="6" fillId="5" borderId="0" pivotButton="0" quotePrefix="0" xfId="0"/>
    <xf numFmtId="165" fontId="6" fillId="5" borderId="0" pivotButton="0" quotePrefix="0" xfId="0"/>
    <xf numFmtId="164" fontId="6" fillId="5" borderId="0" pivotButton="0" quotePrefix="0" xfId="0"/>
    <xf numFmtId="0" fontId="0" fillId="4"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Prime cost mensual frente al objetivo</a:t>
            </a:r>
          </a:p>
        </rich>
      </tx>
    </title>
    <plotArea>
      <lineChart>
        <grouping val="standard"/>
        <ser>
          <idx val="0"/>
          <order val="0"/>
          <tx>
            <strRef>
              <f>'Mensual'!N4</f>
            </strRef>
          </tx>
          <spPr>
            <a:ln xmlns:a="http://schemas.openxmlformats.org/drawingml/2006/main">
              <a:prstDash val="solid"/>
            </a:ln>
          </spPr>
          <marker>
            <symbol val="none"/>
            <spPr>
              <a:ln xmlns:a="http://schemas.openxmlformats.org/drawingml/2006/main">
                <a:prstDash val="solid"/>
              </a:ln>
            </spPr>
          </marker>
          <cat>
            <numRef>
              <f>'Mensual'!$A$5:$A$16</f>
            </numRef>
          </cat>
          <val>
            <numRef>
              <f>'Mensual'!$N$5:$N$16</f>
            </numRef>
          </val>
        </ser>
        <ser>
          <idx val="1"/>
          <order val="1"/>
          <tx>
            <strRef>
              <f>'Mensual'!O4</f>
            </strRef>
          </tx>
          <spPr>
            <a:ln xmlns:a="http://schemas.openxmlformats.org/drawingml/2006/main">
              <a:prstDash val="solid"/>
            </a:ln>
          </spPr>
          <marker>
            <symbol val="none"/>
            <spPr>
              <a:ln xmlns:a="http://schemas.openxmlformats.org/drawingml/2006/main">
                <a:prstDash val="solid"/>
              </a:ln>
            </spPr>
          </marker>
          <cat>
            <numRef>
              <f>'Mensual'!$A$5:$A$16</f>
            </numRef>
          </cat>
          <val>
            <numRef>
              <f>'Mensual'!$O$5:$O$16</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Mes</a:t>
                </a:r>
              </a:p>
            </rich>
          </tx>
        </title>
        <majorTickMark val="none"/>
        <minorTickMark val="none"/>
        <tickLblPos val="low"/>
        <crossAx val="100"/>
        <lblOffset val="100"/>
      </catAx>
      <valAx>
        <axId val="100"/>
        <scaling>
          <orientation val="minMax"/>
        </scaling>
        <delete val="0"/>
        <axPos val="l"/>
        <title>
          <tx>
            <rich>
              <a:bodyPr xmlns:a="http://schemas.openxmlformats.org/drawingml/2006/main"/>
              <a:p xmlns:a="http://schemas.openxmlformats.org/drawingml/2006/main">
                <a:pPr>
                  <a:defRPr/>
                </a:pPr>
                <a:r>
                  <a:t>Prime cost (%)</a:t>
                </a:r>
              </a:p>
            </rich>
          </tx>
        </title>
        <numFmt formatCode="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19</row>
      <rowOff>0</rowOff>
    </from>
    <ext cx="86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23"/>
  <sheetViews>
    <sheetView workbookViewId="0">
      <selection activeCell="A1" sqref="A1"/>
    </sheetView>
  </sheetViews>
  <sheetFormatPr baseColWidth="8" defaultRowHeight="15"/>
  <cols>
    <col width="110" customWidth="1" min="1" max="1"/>
  </cols>
  <sheetData>
    <row r="1" ht="30" customHeight="1">
      <c r="A1" s="1" t="inlineStr">
        <is>
          <t>Cuadro de mando del prime cost</t>
        </is>
      </c>
    </row>
    <row r="2">
      <c r="A2" t="inlineStr">
        <is>
          <t>AI Chef Pro · aichef.pro — Guía Food Cost + Ingeniería de Menú</t>
        </is>
      </c>
    </row>
    <row r="3"/>
    <row r="4">
      <c r="A4" s="2" t="inlineStr">
        <is>
          <t>Instrucciones de uso</t>
        </is>
      </c>
    </row>
    <row r="5" ht="30" customHeight="1">
      <c r="A5" s="3" t="inlineStr">
        <is>
          <t>1. Hoja «Parámetros»: elige tu tipo de negocio. El objetivo de prime cost cambia solo (65 % con servicio en mesa, 55 % en barra o autoservicio) y los dos objetivos son celdas verdes que puedes ajustar.</t>
        </is>
      </c>
    </row>
    <row r="6" ht="30" customHeight="1">
      <c r="A6" s="3" t="inlineStr">
        <is>
          <t>2. Revisa la Seguridad Social a cargo de la empresa y tu food cost objetivo: el libro entero lee esas dos celdas.</t>
        </is>
      </c>
    </row>
    <row r="7" ht="30" customHeight="1">
      <c r="A7" s="3" t="inlineStr">
        <is>
          <t>3. Hoja «Mensual»: por cada mes, ventas netas de comida y de bebida, stock inicial, compras, stock final, salarios brutos y otros costes de personal. Todo SIN IVA.</t>
        </is>
      </c>
    </row>
    <row r="8" ht="30" customHeight="1">
      <c r="A8" s="3" t="inlineStr">
        <is>
          <t>4. El consumo de materia prima se calcula solo: stock inicial + compras − stock final. No es lo mismo que las compras del mes.</t>
        </is>
      </c>
    </row>
    <row r="9" ht="30" customHeight="1">
      <c r="A9" s="3" t="inlineStr">
        <is>
          <t>5. El coste de personal añade la Seguridad Social a los brutos: un salario de 15.400 € cuesta 20.482 € con un 33 % de cotización. Contar sólo los brutos es el error más caro de esta hoja.</t>
        </is>
      </c>
    </row>
    <row r="10" ht="30" customHeight="1">
      <c r="A10" s="3" t="inlineStr">
        <is>
          <t>6. Lee la columna «Prime cost»: si está por encima del objetivo, se pone en rojo. El gráfico de abajo enseña los doce meses contra la línea del objetivo.</t>
        </is>
      </c>
    </row>
    <row r="11" ht="30" customHeight="1">
      <c r="A11" s="3" t="inlineStr">
        <is>
          <t>7. La fila TOTAL/MEDIA es una media PONDERADA: divide el consumo del año entre las ventas del año, no hace la media de los doce porcentajes.</t>
        </is>
      </c>
    </row>
    <row r="12"/>
    <row r="13">
      <c r="A13" s="4" t="inlineStr">
        <is>
          <t>Celdas verdes = campos editables</t>
        </is>
      </c>
    </row>
    <row r="14"/>
    <row r="15" ht="30" customHeight="1">
      <c r="A15" s="3" t="inlineStr">
        <is>
          <t>Todas las cifras van SIN IVA. El food cost y el prime cost se miden sobre la venta NETA (base imponible) y con el coste NETO de IVA soportado: el IVA de las compras se deduce en el modelo 303, es tesorería, no coste.</t>
        </is>
      </c>
    </row>
    <row r="16" ht="30" customHeight="1">
      <c r="A16" s="3" t="inlineStr">
        <is>
          <t>Prime cost = coste de materia prima + coste de personal con Seguridad Social, sobre las ventas netas. Es la métrica que mide la salud del negocio porque junta las dos partidas que de verdad puedes mover.</t>
        </is>
      </c>
    </row>
    <row r="17" ht="30" customHeight="1">
      <c r="A17" s="3" t="inlineStr">
        <is>
          <t>Un food cost «bueno» puede estar tapando un labor cost roto: por eso las dos columnas van juntas y el semáforo mira la suma.</t>
        </is>
      </c>
    </row>
    <row r="18" ht="30" customHeight="1">
      <c r="A18" s="3" t="inlineStr">
        <is>
          <t>El margen tras prime cost no es el beneficio: todavía no ha pagado alquiler, suministros, amortizaciones ni impuestos.</t>
        </is>
      </c>
    </row>
    <row r="19" ht="30" customHeight="1">
      <c r="A19" s="3" t="inlineStr">
        <is>
          <t>La columna «Coste de materia prima sobre ventas totales» de esta hoja NO es el mismo número que el «food cost %» de la carta («matriz-multimetodo-carta.xlsx»): aquí se compara el consumo de TODA la materia prima (comida + bebida) contra las ventas TOTALES, porque es lo que necesita el prime cost. La matriz calcula el food cost SOLO de la comida, sobre las ventas SOLO de comida. Los dos son correctos; miden cosas distintas.</t>
        </is>
      </c>
    </row>
    <row r="20"/>
    <row r="21">
      <c r="A21" t="inlineStr">
        <is>
          <t>Para editar la estructura o una celda que no esté en verde, desprotege la hoja (sin contraseña).</t>
        </is>
      </c>
    </row>
    <row r="22">
      <c r="A22" t="inlineStr">
        <is>
          <t>Diseñado por John Guerrero — chef y consultor gastronómico desde 2010 · johnguerrero.es</t>
        </is>
      </c>
    </row>
    <row r="23">
      <c r="A23" t="inlineStr">
        <is>
          <t>Versión 1.0 · septiembre 2026 · aichef.pro/guia-food-cost-ingenieria-menu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24"/>
  <sheetViews>
    <sheetView workbookViewId="0">
      <selection activeCell="A1" sqref="A1"/>
    </sheetView>
  </sheetViews>
  <sheetFormatPr baseColWidth="8" defaultRowHeight="15"/>
  <cols>
    <col width="42" customWidth="1" min="1" max="1"/>
    <col width="20" customWidth="1" min="2" max="2"/>
    <col width="18" customWidth="1" min="3" max="3"/>
    <col width="18" customWidth="1" min="4" max="4"/>
  </cols>
  <sheetData>
    <row r="1" ht="30" customHeight="1">
      <c r="A1" s="1" t="inlineStr">
        <is>
          <t>Parámetros del cuadro de mando</t>
        </is>
      </c>
    </row>
    <row r="2">
      <c r="A2" t="inlineStr">
        <is>
          <t>AI Chef Pro · aichef.pro — Guía Food Cost + Ingeniería de Menú</t>
        </is>
      </c>
    </row>
    <row r="3"/>
    <row r="4">
      <c r="A4" s="2" t="inlineStr">
        <is>
          <t>TIPO DE NEGOCIO Y OBJETIVO DE PRIME COST</t>
        </is>
      </c>
    </row>
    <row r="5">
      <c r="A5" s="5" t="inlineStr">
        <is>
          <t>Tipo de negocio</t>
        </is>
      </c>
      <c r="B5" s="4" t="inlineStr">
        <is>
          <t>Servicio en mesa</t>
        </is>
      </c>
    </row>
    <row r="6"/>
    <row r="7" ht="32" customHeight="1">
      <c r="A7" s="6" t="inlineStr">
        <is>
          <t>Tipo de negocio</t>
        </is>
      </c>
      <c r="B7" s="6" t="inlineStr">
        <is>
          <t>Objetivo de prime cost (%)</t>
        </is>
      </c>
    </row>
    <row r="8">
      <c r="A8" s="5" t="inlineStr">
        <is>
          <t>Servicio en mesa</t>
        </is>
      </c>
      <c r="B8" s="7" t="n">
        <v>0.65</v>
      </c>
    </row>
    <row r="9">
      <c r="A9" s="5" t="inlineStr">
        <is>
          <t>Barra / autoservicio</t>
        </is>
      </c>
      <c r="B9" s="7" t="n">
        <v>0.55</v>
      </c>
    </row>
    <row r="10"/>
    <row r="11">
      <c r="A11" s="5" t="inlineStr">
        <is>
          <t>Objetivo de prime cost en vigor (%)</t>
        </is>
      </c>
      <c r="B11" s="8">
        <f>IF($B$5=$A$8,$B$8,IF($B$5=$A$9,$B$9,""))</f>
        <v>0.65</v>
      </c>
    </row>
    <row r="12"/>
    <row r="13">
      <c r="A13" t="inlineStr">
        <is>
          <t>Estructura española de referencia: coste de producto en torno al 30 % y coste de personal del 30-35 % con servicio en mesa (15-25 % en barra o autoservicio). De ahí los dos objetivos: 65 % y 55 %.</t>
        </is>
      </c>
    </row>
    <row r="14">
      <c r="A14" t="inlineStr">
        <is>
          <t>Fuente: CaixaBankLab × elBulliFoundation, https://www.caixabanklab.com/elbullifoundation/es/consumos-beneficios-restaurante/</t>
        </is>
      </c>
    </row>
    <row r="15">
      <c r="A15" t="inlineStr">
        <is>
          <t>El 60 % que se cita a menudo como objetivo de prime cost es de Toast y está medido en Estados Unidos, con otra estructura de personal y otras cotizaciones sociales. Sirve de contraste, no de objetivo para un restaurante español.</t>
        </is>
      </c>
    </row>
    <row r="16">
      <c r="A16" t="inlineStr">
        <is>
          <t>Los dos objetivos son celdas verdes: si tu convenio, tu horario o tu modelo de servicio son distintos, cámbialos y el semáforo de la hoja «Mensual» se recalcula.</t>
        </is>
      </c>
    </row>
    <row r="17"/>
    <row r="18">
      <c r="A18" s="2" t="inlineStr">
        <is>
          <t>OTROS PARÁMETROS</t>
        </is>
      </c>
    </row>
    <row r="19" ht="20" customHeight="1">
      <c r="A19" s="6" t="inlineStr">
        <is>
          <t>Parámetro</t>
        </is>
      </c>
      <c r="B19" s="6" t="inlineStr">
        <is>
          <t>Valor</t>
        </is>
      </c>
    </row>
    <row r="20">
      <c r="A20" t="inlineStr">
        <is>
          <t>Seguridad Social a cargo de la empresa (%)</t>
        </is>
      </c>
      <c r="B20" s="7" t="n">
        <v>0.33</v>
      </c>
    </row>
    <row r="21">
      <c r="A21" s="5" t="inlineStr">
        <is>
          <t>Food cost objetivo (%)</t>
        </is>
      </c>
      <c r="B21" s="7" t="n">
        <v>0.3</v>
      </c>
    </row>
    <row r="22"/>
    <row r="23">
      <c r="A23" t="inlineStr">
        <is>
          <t>Cotización empresarial aproximada sobre el salario bruto (contingencias comunes, desempleo, FOGASA y formación). Ajústala a tu convenio y a tus contratos.</t>
        </is>
      </c>
    </row>
    <row r="24">
      <c r="A24" t="inlineStr">
        <is>
          <t>El food cost objetivo es el de tu casa. La media del sector en España ronda el 30 % (misma fuente), con la comida en el 28 % y la bebida en el 34,5 % sobre sus respectivos ingresos.</t>
        </is>
      </c>
    </row>
  </sheetData>
  <sheetProtection selectLockedCells="0" selectUnlockedCells="0" sheet="1" objects="0" insertRows="0" insertHyperlinks="1" autoFilter="1" scenarios="0" formatColumns="0" deleteColumns="1" insertColumns="1" pivotTables="1" deleteRows="1" formatCells="1" formatRows="0" sort="0"/>
  <dataValidations count="2">
    <dataValidation sqref="B5" showDropDown="0" showInputMessage="0" showErrorMessage="1" allowBlank="1" errorTitle="Tipo de negocio" error="Elige un valor de la lista: Servicio en mesa, Barra / autoservicio" type="list">
      <formula1>"Servicio en mesa,Barra / autoservicio"</formula1>
    </dataValidation>
    <dataValidation sqref="B8 B9 B20 B21" showDropDown="0" showInputMessage="1" showErrorMessage="1" allowBlank="1" errorTitle="Porcentaje" error="Escribe un porcentaje entre 0 y 1 (0,20 = 20 %)." promptTitle="Porcentaje" prompt="Se escribe en tanto por uno: 0,65 = 65 %." type="decimal" operator="between">
      <formula1>0</formula1>
      <formula2>1.0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R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5" customWidth="1" min="6" max="6"/>
    <col width="16" customWidth="1" min="7" max="7"/>
    <col width="17" customWidth="1" min="8" max="8"/>
    <col width="12" customWidth="1" min="9" max="9"/>
    <col width="15" customWidth="1" min="10" max="10"/>
    <col width="16" customWidth="1" min="11" max="11"/>
    <col width="18" customWidth="1" min="12" max="12"/>
    <col width="12" customWidth="1" min="13" max="13"/>
    <col width="12" customWidth="1" min="14" max="14"/>
    <col width="14" customWidth="1" min="15" max="15"/>
    <col width="17" customWidth="1" min="16" max="16"/>
    <col width="16" customWidth="1" min="17" max="17"/>
    <col width="24" customWidth="1" min="18" max="18"/>
  </cols>
  <sheetData>
    <row r="1" ht="30" customHeight="1">
      <c r="A1" s="1" t="inlineStr">
        <is>
          <t>Prime cost mes a mes</t>
        </is>
      </c>
    </row>
    <row r="2">
      <c r="A2" t="inlineStr">
        <is>
          <t>AI Chef Pro · aichef.pro — Guía Food Cost + Ingeniería de Menú</t>
        </is>
      </c>
    </row>
    <row r="3">
      <c r="A3" s="9" t="inlineStr">
        <is>
          <t>Todas las cifras van sin IVA. El consumo es stock inicial + compras − stock final, no las compras del mes.</t>
        </is>
      </c>
    </row>
    <row r="4" ht="62" customHeight="1">
      <c r="A4" s="6" t="inlineStr">
        <is>
          <t>Mes</t>
        </is>
      </c>
      <c r="B4" s="6" t="inlineStr">
        <is>
          <t>Ventas netas de comida (€)</t>
        </is>
      </c>
      <c r="C4" s="6" t="inlineStr">
        <is>
          <t>Ventas netas de bebida (€)</t>
        </is>
      </c>
      <c r="D4" s="6" t="inlineStr">
        <is>
          <t>Ventas netas totales (€)</t>
        </is>
      </c>
      <c r="E4" s="6" t="inlineStr">
        <is>
          <t>Stock inicial de materia prima (€)</t>
        </is>
      </c>
      <c r="F4" s="6" t="inlineStr">
        <is>
          <t>Compras del mes (€)</t>
        </is>
      </c>
      <c r="G4" s="6" t="inlineStr">
        <is>
          <t>Stock final de materia prima (€)</t>
        </is>
      </c>
      <c r="H4" s="6" t="inlineStr">
        <is>
          <t>Consumo de materia prima (€)</t>
        </is>
      </c>
      <c r="I4" s="6" t="inlineStr">
        <is>
          <t>Coste de materia prima sobre ventas totales (%)</t>
        </is>
      </c>
      <c r="J4" s="6" t="inlineStr">
        <is>
          <t>Salarios brutos (€)</t>
        </is>
      </c>
      <c r="K4" s="6" t="inlineStr">
        <is>
          <t>Otros costes de personal (€)</t>
        </is>
      </c>
      <c r="L4" s="6" t="inlineStr">
        <is>
          <t>Coste de personal con Seguridad Social (€)</t>
        </is>
      </c>
      <c r="M4" s="6" t="inlineStr">
        <is>
          <t>Labor cost (%)</t>
        </is>
      </c>
      <c r="N4" s="6" t="inlineStr">
        <is>
          <t>Prime cost (%)</t>
        </is>
      </c>
      <c r="O4" s="6" t="inlineStr">
        <is>
          <t>Objetivo de prime cost (%)</t>
        </is>
      </c>
      <c r="P4" s="6" t="inlineStr">
        <is>
          <t>Margen tras prime cost (€)</t>
        </is>
      </c>
      <c r="Q4" s="6" t="inlineStr">
        <is>
          <t>Margen tras prime cost (%)</t>
        </is>
      </c>
      <c r="R4" s="6" t="inlineStr">
        <is>
          <t>Lectura del prime cost</t>
        </is>
      </c>
    </row>
    <row r="5">
      <c r="A5" s="4" t="inlineStr">
        <is>
          <t>Enero</t>
        </is>
      </c>
      <c r="B5" s="10" t="n">
        <v>51500</v>
      </c>
      <c r="C5" s="10" t="n">
        <v>38100</v>
      </c>
      <c r="D5" s="11">
        <f>IFERROR(IF(AND($B5="",$C5=""),"",IF($B5="",0,$B5)+IF($C5="",0,$C5)),"")</f>
        <v>89600.0</v>
      </c>
      <c r="E5" s="10" t="n">
        <v>9700</v>
      </c>
      <c r="F5" s="10" t="n">
        <v>28100</v>
      </c>
      <c r="G5" s="10" t="n">
        <v>9400</v>
      </c>
      <c r="H5" s="11">
        <f>IFERROR(IF(OR($E5="",$F5="",$G5=""),"",$E5+$F5-$G5),"")</f>
        <v>28400.0</v>
      </c>
      <c r="I5" s="12">
        <f>IFERROR(IF(OR($H5="",$D5="",$D5=0),"",$H5/$D5),"")</f>
        <v>0.3169642857142857</v>
      </c>
      <c r="J5" s="10" t="n">
        <v>21600</v>
      </c>
      <c r="K5" s="10" t="n">
        <v>1260</v>
      </c>
      <c r="L5" s="11">
        <f>IFERROR(IF($J5="","",$J5*(1+Parámetros!$B$20)+IF($K5="",0,$K5)),"")</f>
        <v>29988.0</v>
      </c>
      <c r="M5" s="12">
        <f>IFERROR(IF(OR($L5="",$D5="",$D5=0),"",$L5/$D5),"")</f>
        <v>0.3346875</v>
      </c>
      <c r="N5" s="12">
        <f>IFERROR(IF(OR($H5="",$L5="",$D5="",$D5=0),"",($H5+$L5)/$D5),"")</f>
        <v>0.6516517857142857</v>
      </c>
      <c r="O5" s="12">
        <f>IF(Parámetros!$B$11="","",Parámetros!$B$11)</f>
        <v>0.65</v>
      </c>
      <c r="P5" s="11">
        <f>IFERROR(IF(OR($D5="",$H5="",$L5=""),"",$D5-$H5-$L5),"")</f>
        <v>31212.0</v>
      </c>
      <c r="Q5" s="12">
        <f>IFERROR(IF(OR($P5="",$D5="",$D5=0),"",$P5/$D5),"")</f>
        <v>0.3483482142857143</v>
      </c>
      <c r="R5" t="str">
        <f>IF(OR($N5="",$O5=""),"",IF($N5&lt;=$O5,"En objetivo","Por encima del objetivo"))</f>
        <v>Por encima del objetivo</v>
      </c>
    </row>
    <row r="6">
      <c r="A6" s="4" t="inlineStr">
        <is>
          <t>Febrero</t>
        </is>
      </c>
      <c r="B6" s="10" t="n">
        <v>48400</v>
      </c>
      <c r="C6" s="10" t="n">
        <v>35700</v>
      </c>
      <c r="D6" s="11">
        <f>IFERROR(IF(AND($B6="",$C6=""),"",IF($B6="",0,$B6)+IF($C6="",0,$C6)),"")</f>
        <v>84100.0</v>
      </c>
      <c r="E6" s="10" t="n">
        <v>9400</v>
      </c>
      <c r="F6" s="10" t="n">
        <v>27000</v>
      </c>
      <c r="G6" s="10" t="n">
        <v>9100</v>
      </c>
      <c r="H6" s="11">
        <f>IFERROR(IF(OR($E6="",$F6="",$G6=""),"",$E6+$F6-$G6),"")</f>
        <v>27300.0</v>
      </c>
      <c r="I6" s="12">
        <f>IFERROR(IF(OR($H6="",$D6="",$D6=0),"",$H6/$D6),"")</f>
        <v>0.32461355529131986</v>
      </c>
      <c r="J6" s="10" t="n">
        <v>21600</v>
      </c>
      <c r="K6" s="10" t="n">
        <v>1190</v>
      </c>
      <c r="L6" s="11">
        <f>IFERROR(IF($J6="","",$J6*(1+Parámetros!$B$20)+IF($K6="",0,$K6)),"")</f>
        <v>29918.0</v>
      </c>
      <c r="M6" s="12">
        <f>IFERROR(IF(OR($L6="",$D6="",$D6=0),"",$L6/$D6),"")</f>
        <v>0.355743162901308</v>
      </c>
      <c r="N6" s="12">
        <f>IFERROR(IF(OR($H6="",$L6="",$D6="",$D6=0),"",($H6+$L6)/$D6),"")</f>
        <v>0.6803567181926278</v>
      </c>
      <c r="O6" s="12">
        <f>IF(Parámetros!$B$11="","",Parámetros!$B$11)</f>
        <v>0.65</v>
      </c>
      <c r="P6" s="11">
        <f>IFERROR(IF(OR($D6="",$H6="",$L6=""),"",$D6-$H6-$L6),"")</f>
        <v>26882.0</v>
      </c>
      <c r="Q6" s="12">
        <f>IFERROR(IF(OR($P6="",$D6="",$D6=0),"",$P6/$D6),"")</f>
        <v>0.31964328180737217</v>
      </c>
      <c r="R6" t="str">
        <f>IF(OR($N6="",$O6=""),"",IF($N6&lt;=$O6,"En objetivo","Por encima del objetivo"))</f>
        <v>Por encima del objetivo</v>
      </c>
    </row>
    <row r="7">
      <c r="A7" s="4" t="inlineStr">
        <is>
          <t>Marzo</t>
        </is>
      </c>
      <c r="B7" s="10" t="n">
        <v>54700</v>
      </c>
      <c r="C7" s="10" t="n">
        <v>40500</v>
      </c>
      <c r="D7" s="11">
        <f>IFERROR(IF(AND($B7="",$C7=""),"",IF($B7="",0,$B7)+IF($C7="",0,$C7)),"")</f>
        <v>95200.0</v>
      </c>
      <c r="E7" s="10" t="n">
        <v>9100</v>
      </c>
      <c r="F7" s="10" t="n">
        <v>30700</v>
      </c>
      <c r="G7" s="10" t="n">
        <v>9500</v>
      </c>
      <c r="H7" s="11">
        <f>IFERROR(IF(OR($E7="",$F7="",$G7=""),"",$E7+$F7-$G7),"")</f>
        <v>30300.0</v>
      </c>
      <c r="I7" s="12">
        <f>IFERROR(IF(OR($H7="",$D7="",$D7=0),"",$H7/$D7),"")</f>
        <v>0.3182773109243697</v>
      </c>
      <c r="J7" s="10" t="n">
        <v>22300</v>
      </c>
      <c r="K7" s="10" t="n">
        <v>1260</v>
      </c>
      <c r="L7" s="11">
        <f>IFERROR(IF($J7="","",$J7*(1+Parámetros!$B$20)+IF($K7="",0,$K7)),"")</f>
        <v>30919.0</v>
      </c>
      <c r="M7" s="12">
        <f>IFERROR(IF(OR($L7="",$D7="",$D7=0),"",$L7/$D7),"")</f>
        <v>0.32477941176470587</v>
      </c>
      <c r="N7" s="12">
        <f>IFERROR(IF(OR($H7="",$L7="",$D7="",$D7=0),"",($H7+$L7)/$D7),"")</f>
        <v>0.6430567226890757</v>
      </c>
      <c r="O7" s="12">
        <f>IF(Parámetros!$B$11="","",Parámetros!$B$11)</f>
        <v>0.65</v>
      </c>
      <c r="P7" s="11">
        <f>IFERROR(IF(OR($D7="",$H7="",$L7=""),"",$D7-$H7-$L7),"")</f>
        <v>33981.0</v>
      </c>
      <c r="Q7" s="12">
        <f>IFERROR(IF(OR($P7="",$D7="",$D7=0),"",$P7/$D7),"")</f>
        <v>0.35694327731092435</v>
      </c>
      <c r="R7" t="str">
        <f>IF(OR($N7="",$O7=""),"",IF($N7&lt;=$O7,"En objetivo","Por encima del objetivo"))</f>
        <v>En objetivo</v>
      </c>
    </row>
    <row r="8">
      <c r="A8" s="4" t="inlineStr">
        <is>
          <t>Abril</t>
        </is>
      </c>
      <c r="B8" s="10" t="n">
        <v>57700</v>
      </c>
      <c r="C8" s="10" t="n">
        <v>42700</v>
      </c>
      <c r="D8" s="11">
        <f>IFERROR(IF(AND($B8="",$C8=""),"",IF($B8="",0,$B8)+IF($C8="",0,$C8)),"")</f>
        <v>100400.0</v>
      </c>
      <c r="E8" s="10" t="n">
        <v>9500</v>
      </c>
      <c r="F8" s="10" t="n">
        <v>31400</v>
      </c>
      <c r="G8" s="10" t="n">
        <v>9200</v>
      </c>
      <c r="H8" s="11">
        <f>IFERROR(IF(OR($E8="",$F8="",$G8=""),"",$E8+$F8-$G8),"")</f>
        <v>31700.0</v>
      </c>
      <c r="I8" s="12">
        <f>IFERROR(IF(OR($H8="",$D8="",$D8=0),"",$H8/$D8),"")</f>
        <v>0.3157370517928287</v>
      </c>
      <c r="J8" s="10" t="n">
        <v>22500</v>
      </c>
      <c r="K8" s="10" t="n">
        <v>1330</v>
      </c>
      <c r="L8" s="11">
        <f>IFERROR(IF($J8="","",$J8*(1+Parámetros!$B$20)+IF($K8="",0,$K8)),"")</f>
        <v>31255.0</v>
      </c>
      <c r="M8" s="12">
        <f>IFERROR(IF(OR($L8="",$D8="",$D8=0),"",$L8/$D8),"")</f>
        <v>0.31130478087649405</v>
      </c>
      <c r="N8" s="12">
        <f>IFERROR(IF(OR($H8="",$L8="",$D8="",$D8=0),"",($H8+$L8)/$D8),"")</f>
        <v>0.6270418326693227</v>
      </c>
      <c r="O8" s="12">
        <f>IF(Parámetros!$B$11="","",Parámetros!$B$11)</f>
        <v>0.65</v>
      </c>
      <c r="P8" s="11">
        <f>IFERROR(IF(OR($D8="",$H8="",$L8=""),"",$D8-$H8-$L8),"")</f>
        <v>37445.0</v>
      </c>
      <c r="Q8" s="12">
        <f>IFERROR(IF(OR($P8="",$D8="",$D8=0),"",$P8/$D8),"")</f>
        <v>0.37295816733067727</v>
      </c>
      <c r="R8" t="str">
        <f>IF(OR($N8="",$O8=""),"",IF($N8&lt;=$O8,"En objetivo","Por encima del objetivo"))</f>
        <v>En objetivo</v>
      </c>
    </row>
    <row r="9">
      <c r="A9" s="4" t="inlineStr">
        <is>
          <t>Mayo</t>
        </is>
      </c>
      <c r="B9" s="10" t="n">
        <v>62000</v>
      </c>
      <c r="C9" s="10" t="n">
        <v>45900</v>
      </c>
      <c r="D9" s="11">
        <f>IFERROR(IF(AND($B9="",$C9=""),"",IF($B9="",0,$B9)+IF($C9="",0,$C9)),"")</f>
        <v>107900.0</v>
      </c>
      <c r="E9" s="10" t="n">
        <v>9200</v>
      </c>
      <c r="F9" s="10" t="n">
        <v>34700</v>
      </c>
      <c r="G9" s="10" t="n">
        <v>9700</v>
      </c>
      <c r="H9" s="11">
        <f>IFERROR(IF(OR($E9="",$F9="",$G9=""),"",$E9+$F9-$G9),"")</f>
        <v>34200.0</v>
      </c>
      <c r="I9" s="12">
        <f>IFERROR(IF(OR($H9="",$D9="",$D9=0),"",$H9/$D9),"")</f>
        <v>0.3169601482854495</v>
      </c>
      <c r="J9" s="10" t="n">
        <v>23200</v>
      </c>
      <c r="K9" s="10" t="n">
        <v>1400</v>
      </c>
      <c r="L9" s="11">
        <f>IFERROR(IF($J9="","",$J9*(1+Parámetros!$B$20)+IF($K9="",0,$K9)),"")</f>
        <v>32256.0</v>
      </c>
      <c r="M9" s="12">
        <f>IFERROR(IF(OR($L9="",$D9="",$D9=0),"",$L9/$D9),"")</f>
        <v>0.2989434661723818</v>
      </c>
      <c r="N9" s="12">
        <f>IFERROR(IF(OR($H9="",$L9="",$D9="",$D9=0),"",($H9+$L9)/$D9),"")</f>
        <v>0.6159036144578314</v>
      </c>
      <c r="O9" s="12">
        <f>IF(Parámetros!$B$11="","",Parámetros!$B$11)</f>
        <v>0.65</v>
      </c>
      <c r="P9" s="11">
        <f>IFERROR(IF(OR($D9="",$H9="",$L9=""),"",$D9-$H9-$L9),"")</f>
        <v>41444.0</v>
      </c>
      <c r="Q9" s="12">
        <f>IFERROR(IF(OR($P9="",$D9="",$D9=0),"",$P9/$D9),"")</f>
        <v>0.3840963855421687</v>
      </c>
      <c r="R9" t="str">
        <f>IF(OR($N9="",$O9=""),"",IF($N9&lt;=$O9,"En objetivo","Por encima del objetivo"))</f>
        <v>En objetivo</v>
      </c>
    </row>
    <row r="10">
      <c r="A10" s="4" t="inlineStr">
        <is>
          <t>Junio</t>
        </is>
      </c>
      <c r="B10" s="10" t="n">
        <v>63700</v>
      </c>
      <c r="C10" s="10" t="n">
        <v>47000</v>
      </c>
      <c r="D10" s="11">
        <f>IFERROR(IF(AND($B10="",$C10=""),"",IF($B10="",0,$B10)+IF($C10="",0,$C10)),"")</f>
        <v>110700.0</v>
      </c>
      <c r="E10" s="10" t="n">
        <v>9700</v>
      </c>
      <c r="F10" s="10" t="n">
        <v>37700</v>
      </c>
      <c r="G10" s="10" t="n">
        <v>9000</v>
      </c>
      <c r="H10" s="11">
        <f>IFERROR(IF(OR($E10="",$F10="",$G10=""),"",$E10+$F10-$G10),"")</f>
        <v>38400.0</v>
      </c>
      <c r="I10" s="12">
        <f>IFERROR(IF(OR($H10="",$D10="",$D10=0),"",$H10/$D10),"")</f>
        <v>0.34688346883468835</v>
      </c>
      <c r="J10" s="10" t="n">
        <v>24200</v>
      </c>
      <c r="K10" s="10" t="n">
        <v>1470</v>
      </c>
      <c r="L10" s="11">
        <f>IFERROR(IF($J10="","",$J10*(1+Parámetros!$B$20)+IF($K10="",0,$K10)),"")</f>
        <v>33656.0</v>
      </c>
      <c r="M10" s="12">
        <f>IFERROR(IF(OR($L10="",$D10="",$D10=0),"",$L10/$D10),"")</f>
        <v>0.3040289069557362</v>
      </c>
      <c r="N10" s="12">
        <f>IFERROR(IF(OR($H10="",$L10="",$D10="",$D10=0),"",($H10+$L10)/$D10),"")</f>
        <v>0.6509123757904246</v>
      </c>
      <c r="O10" s="12">
        <f>IF(Parámetros!$B$11="","",Parámetros!$B$11)</f>
        <v>0.65</v>
      </c>
      <c r="P10" s="11">
        <f>IFERROR(IF(OR($D10="",$H10="",$L10=""),"",$D10-$H10-$L10),"")</f>
        <v>38644.0</v>
      </c>
      <c r="Q10" s="12">
        <f>IFERROR(IF(OR($P10="",$D10="",$D10=0),"",$P10/$D10),"")</f>
        <v>0.34908762420957545</v>
      </c>
      <c r="R10" t="str">
        <f>IF(OR($N10="",$O10=""),"",IF($N10&lt;=$O10,"En objetivo","Por encima del objetivo"))</f>
        <v>Por encima del objetivo</v>
      </c>
    </row>
    <row r="11">
      <c r="A11" s="4" t="inlineStr">
        <is>
          <t>Julio</t>
        </is>
      </c>
      <c r="B11" s="10" t="n">
        <v>66800</v>
      </c>
      <c r="C11" s="10" t="n">
        <v>49400</v>
      </c>
      <c r="D11" s="11">
        <f>IFERROR(IF(AND($B11="",$C11=""),"",IF($B11="",0,$B11)+IF($C11="",0,$C11)),"")</f>
        <v>116200.0</v>
      </c>
      <c r="E11" s="10" t="n">
        <v>9000</v>
      </c>
      <c r="F11" s="10" t="n">
        <v>38100</v>
      </c>
      <c r="G11" s="10" t="n">
        <v>9400</v>
      </c>
      <c r="H11" s="11">
        <f>IFERROR(IF(OR($E11="",$F11="",$G11=""),"",$E11+$F11-$G11),"")</f>
        <v>37700.0</v>
      </c>
      <c r="I11" s="12">
        <f>IFERROR(IF(OR($H11="",$D11="",$D11=0),"",$H11/$D11),"")</f>
        <v>0.3244406196213425</v>
      </c>
      <c r="J11" s="10" t="n">
        <v>24900</v>
      </c>
      <c r="K11" s="10" t="n">
        <v>1540</v>
      </c>
      <c r="L11" s="11">
        <f>IFERROR(IF($J11="","",$J11*(1+Parámetros!$B$20)+IF($K11="",0,$K11)),"")</f>
        <v>34657.0</v>
      </c>
      <c r="M11" s="12">
        <f>IFERROR(IF(OR($L11="",$D11="",$D11=0),"",$L11/$D11),"")</f>
        <v>0.29825301204819277</v>
      </c>
      <c r="N11" s="12">
        <f>IFERROR(IF(OR($H11="",$L11="",$D11="",$D11=0),"",($H11+$L11)/$D11),"")</f>
        <v>0.6226936316695353</v>
      </c>
      <c r="O11" s="12">
        <f>IF(Parámetros!$B$11="","",Parámetros!$B$11)</f>
        <v>0.65</v>
      </c>
      <c r="P11" s="11">
        <f>IFERROR(IF(OR($D11="",$H11="",$L11=""),"",$D11-$H11-$L11),"")</f>
        <v>43843.0</v>
      </c>
      <c r="Q11" s="12">
        <f>IFERROR(IF(OR($P11="",$D11="",$D11=0),"",$P11/$D11),"")</f>
        <v>0.3773063683304647</v>
      </c>
      <c r="R11" t="str">
        <f>IF(OR($N11="",$O11=""),"",IF($N11&lt;=$O11,"En objetivo","Por encima del objetivo"))</f>
        <v>En objetivo</v>
      </c>
    </row>
    <row r="12">
      <c r="A12" s="4" t="inlineStr">
        <is>
          <t>Agosto</t>
        </is>
      </c>
      <c r="B12" s="10" t="n">
        <v>57300</v>
      </c>
      <c r="C12" s="10" t="n">
        <v>42300</v>
      </c>
      <c r="D12" s="11">
        <f>IFERROR(IF(AND($B12="",$C12=""),"",IF($B12="",0,$B12)+IF($C12="",0,$C12)),"")</f>
        <v>99600.0</v>
      </c>
      <c r="E12" s="10" t="n">
        <v>9400</v>
      </c>
      <c r="F12" s="10" t="n">
        <v>34400</v>
      </c>
      <c r="G12" s="10" t="n">
        <v>8700</v>
      </c>
      <c r="H12" s="11">
        <f>IFERROR(IF(OR($E12="",$F12="",$G12=""),"",$E12+$F12-$G12),"")</f>
        <v>35100.0</v>
      </c>
      <c r="I12" s="12">
        <f>IFERROR(IF(OR($H12="",$D12="",$D12=0),"",$H12/$D12),"")</f>
        <v>0.35240963855421686</v>
      </c>
      <c r="J12" s="10" t="n">
        <v>24900</v>
      </c>
      <c r="K12" s="10" t="n">
        <v>1400</v>
      </c>
      <c r="L12" s="11">
        <f>IFERROR(IF($J12="","",$J12*(1+Parámetros!$B$20)+IF($K12="",0,$K12)),"")</f>
        <v>34517.0</v>
      </c>
      <c r="M12" s="12">
        <f>IFERROR(IF(OR($L12="",$D12="",$D12=0),"",$L12/$D12),"")</f>
        <v>0.3465562248995984</v>
      </c>
      <c r="N12" s="12">
        <f>IFERROR(IF(OR($H12="",$L12="",$D12="",$D12=0),"",($H12+$L12)/$D12),"")</f>
        <v>0.6989658634538153</v>
      </c>
      <c r="O12" s="12">
        <f>IF(Parámetros!$B$11="","",Parámetros!$B$11)</f>
        <v>0.65</v>
      </c>
      <c r="P12" s="11">
        <f>IFERROR(IF(OR($D12="",$H12="",$L12=""),"",$D12-$H12-$L12),"")</f>
        <v>29983.0</v>
      </c>
      <c r="Q12" s="12">
        <f>IFERROR(IF(OR($P12="",$D12="",$D12=0),"",$P12/$D12),"")</f>
        <v>0.3010341365461847</v>
      </c>
      <c r="R12" t="str">
        <f>IF(OR($N12="",$O12=""),"",IF($N12&lt;=$O12,"En objetivo","Por encima del objetivo"))</f>
        <v>Por encima del objetivo</v>
      </c>
    </row>
    <row r="13">
      <c r="A13" s="4" t="inlineStr">
        <is>
          <t>Septiembre</t>
        </is>
      </c>
      <c r="B13" s="10" t="n">
        <v>60600</v>
      </c>
      <c r="C13" s="10" t="n">
        <v>44900</v>
      </c>
      <c r="D13" s="11">
        <f>IFERROR(IF(AND($B13="",$C13=""),"",IF($B13="",0,$B13)+IF($C13="",0,$C13)),"")</f>
        <v>105500.0</v>
      </c>
      <c r="E13" s="10" t="n">
        <v>8700</v>
      </c>
      <c r="F13" s="10" t="n">
        <v>32600</v>
      </c>
      <c r="G13" s="10" t="n">
        <v>9500</v>
      </c>
      <c r="H13" s="11">
        <f>IFERROR(IF(OR($E13="",$F13="",$G13=""),"",$E13+$F13-$G13),"")</f>
        <v>31800.0</v>
      </c>
      <c r="I13" s="12">
        <f>IFERROR(IF(OR($H13="",$D13="",$D13=0),"",$H13/$D13),"")</f>
        <v>0.3014218009478673</v>
      </c>
      <c r="J13" s="10" t="n">
        <v>23000</v>
      </c>
      <c r="K13" s="10" t="n">
        <v>1330</v>
      </c>
      <c r="L13" s="11">
        <f>IFERROR(IF($J13="","",$J13*(1+Parámetros!$B$20)+IF($K13="",0,$K13)),"")</f>
        <v>31920.0</v>
      </c>
      <c r="M13" s="12">
        <f>IFERROR(IF(OR($L13="",$D13="",$D13=0),"",$L13/$D13),"")</f>
        <v>0.30255924170616116</v>
      </c>
      <c r="N13" s="12">
        <f>IFERROR(IF(OR($H13="",$L13="",$D13="",$D13=0),"",($H13+$L13)/$D13),"")</f>
        <v>0.6039810426540284</v>
      </c>
      <c r="O13" s="12">
        <f>IF(Parámetros!$B$11="","",Parámetros!$B$11)</f>
        <v>0.65</v>
      </c>
      <c r="P13" s="11">
        <f>IFERROR(IF(OR($D13="",$H13="",$L13=""),"",$D13-$H13-$L13),"")</f>
        <v>41780.0</v>
      </c>
      <c r="Q13" s="12">
        <f>IFERROR(IF(OR($P13="",$D13="",$D13=0),"",$P13/$D13),"")</f>
        <v>0.3960189573459716</v>
      </c>
      <c r="R13" t="str">
        <f>IF(OR($N13="",$O13=""),"",IF($N13&lt;=$O13,"En objetivo","Por encima del objetivo"))</f>
        <v>En objetivo</v>
      </c>
    </row>
    <row r="14">
      <c r="A14" s="4" t="inlineStr">
        <is>
          <t>Octubre</t>
        </is>
      </c>
      <c r="B14" s="10" t="n">
        <v>59000</v>
      </c>
      <c r="C14" s="10" t="n">
        <v>43700</v>
      </c>
      <c r="D14" s="11">
        <f>IFERROR(IF(AND($B14="",$C14=""),"",IF($B14="",0,$B14)+IF($C14="",0,$C14)),"")</f>
        <v>102700.0</v>
      </c>
      <c r="E14" s="10" t="n">
        <v>9500</v>
      </c>
      <c r="F14" s="10" t="n">
        <v>31800</v>
      </c>
      <c r="G14" s="10" t="n">
        <v>9200</v>
      </c>
      <c r="H14" s="11">
        <f>IFERROR(IF(OR($E14="",$F14="",$G14=""),"",$E14+$F14-$G14),"")</f>
        <v>32100.0</v>
      </c>
      <c r="I14" s="12">
        <f>IFERROR(IF(OR($H14="",$D14="",$D14=0),"",$H14/$D14),"")</f>
        <v>0.31256085686465435</v>
      </c>
      <c r="J14" s="10" t="n">
        <v>22500</v>
      </c>
      <c r="K14" s="10" t="n">
        <v>1330</v>
      </c>
      <c r="L14" s="11">
        <f>IFERROR(IF($J14="","",$J14*(1+Parámetros!$B$20)+IF($K14="",0,$K14)),"")</f>
        <v>31255.0</v>
      </c>
      <c r="M14" s="12">
        <f>IFERROR(IF(OR($L14="",$D14="",$D14=0),"",$L14/$D14),"")</f>
        <v>0.30433300876338854</v>
      </c>
      <c r="N14" s="12">
        <f>IFERROR(IF(OR($H14="",$L14="",$D14="",$D14=0),"",($H14+$L14)/$D14),"")</f>
        <v>0.6168938656280428</v>
      </c>
      <c r="O14" s="12">
        <f>IF(Parámetros!$B$11="","",Parámetros!$B$11)</f>
        <v>0.65</v>
      </c>
      <c r="P14" s="11">
        <f>IFERROR(IF(OR($D14="",$H14="",$L14=""),"",$D14-$H14-$L14),"")</f>
        <v>39345.0</v>
      </c>
      <c r="Q14" s="12">
        <f>IFERROR(IF(OR($P14="",$D14="",$D14=0),"",$P14/$D14),"")</f>
        <v>0.3831061343719572</v>
      </c>
      <c r="R14" t="str">
        <f>IF(OR($N14="",$O14=""),"",IF($N14&lt;=$O14,"En objetivo","Por encima del objetivo"))</f>
        <v>En objetivo</v>
      </c>
    </row>
    <row r="15">
      <c r="A15" s="4" t="inlineStr">
        <is>
          <t>Noviembre</t>
        </is>
      </c>
      <c r="B15" s="10" t="n">
        <v>56200</v>
      </c>
      <c r="C15" s="10" t="n">
        <v>41700</v>
      </c>
      <c r="D15" s="11">
        <f>IFERROR(IF(AND($B15="",$C15=""),"",IF($B15="",0,$B15)+IF($C15="",0,$C15)),"")</f>
        <v>97900.0</v>
      </c>
      <c r="E15" s="10" t="n">
        <v>9200</v>
      </c>
      <c r="F15" s="10" t="n">
        <v>30500</v>
      </c>
      <c r="G15" s="10" t="n">
        <v>9700</v>
      </c>
      <c r="H15" s="11">
        <f>IFERROR(IF(OR($E15="",$F15="",$G15=""),"",$E15+$F15-$G15),"")</f>
        <v>30000.0</v>
      </c>
      <c r="I15" s="12">
        <f>IFERROR(IF(OR($H15="",$D15="",$D15=0),"",$H15/$D15),"")</f>
        <v>0.30643513789581206</v>
      </c>
      <c r="J15" s="10" t="n">
        <v>22300</v>
      </c>
      <c r="K15" s="10" t="n">
        <v>1260</v>
      </c>
      <c r="L15" s="11">
        <f>IFERROR(IF($J15="","",$J15*(1+Parámetros!$B$20)+IF($K15="",0,$K15)),"")</f>
        <v>30919.0</v>
      </c>
      <c r="M15" s="12">
        <f>IFERROR(IF(OR($L15="",$D15="",$D15=0),"",$L15/$D15),"")</f>
        <v>0.3158222676200204</v>
      </c>
      <c r="N15" s="12">
        <f>IFERROR(IF(OR($H15="",$L15="",$D15="",$D15=0),"",($H15+$L15)/$D15),"")</f>
        <v>0.6222574055158325</v>
      </c>
      <c r="O15" s="12">
        <f>IF(Parámetros!$B$11="","",Parámetros!$B$11)</f>
        <v>0.65</v>
      </c>
      <c r="P15" s="11">
        <f>IFERROR(IF(OR($D15="",$H15="",$L15=""),"",$D15-$H15-$L15),"")</f>
        <v>36981.0</v>
      </c>
      <c r="Q15" s="12">
        <f>IFERROR(IF(OR($P15="",$D15="",$D15=0),"",$P15/$D15),"")</f>
        <v>0.3777425944841675</v>
      </c>
      <c r="R15" t="str">
        <f>IF(OR($N15="",$O15=""),"",IF($N15&lt;=$O15,"En objetivo","Por encima del objetivo"))</f>
        <v>En objetivo</v>
      </c>
    </row>
    <row r="16">
      <c r="A16" s="4" t="inlineStr">
        <is>
          <t>Diciembre</t>
        </is>
      </c>
      <c r="B16" s="10" t="n">
        <v>70400</v>
      </c>
      <c r="C16" s="10" t="n">
        <v>52000</v>
      </c>
      <c r="D16" s="11">
        <f>IFERROR(IF(AND($B16="",$C16=""),"",IF($B16="",0,$B16)+IF($C16="",0,$C16)),"")</f>
        <v>122400.0</v>
      </c>
      <c r="E16" s="10" t="n">
        <v>9700</v>
      </c>
      <c r="F16" s="10" t="n">
        <v>39100</v>
      </c>
      <c r="G16" s="10" t="n">
        <v>10400</v>
      </c>
      <c r="H16" s="11">
        <f>IFERROR(IF(OR($E16="",$F16="",$G16=""),"",$E16+$F16-$G16),"")</f>
        <v>38400.0</v>
      </c>
      <c r="I16" s="12">
        <f>IFERROR(IF(OR($H16="",$D16="",$D16=0),"",$H16/$D16),"")</f>
        <v>0.3137254901960784</v>
      </c>
      <c r="J16" s="10" t="n">
        <v>24600</v>
      </c>
      <c r="K16" s="10" t="n">
        <v>1680</v>
      </c>
      <c r="L16" s="11">
        <f>IFERROR(IF($J16="","",$J16*(1+Parámetros!$B$20)+IF($K16="",0,$K16)),"")</f>
        <v>34398.0</v>
      </c>
      <c r="M16" s="12">
        <f>IFERROR(IF(OR($L16="",$D16="",$D16=0),"",$L16/$D16),"")</f>
        <v>0.28102941176470586</v>
      </c>
      <c r="N16" s="12">
        <f>IFERROR(IF(OR($H16="",$L16="",$D16="",$D16=0),"",($H16+$L16)/$D16),"")</f>
        <v>0.5947549019607843</v>
      </c>
      <c r="O16" s="12">
        <f>IF(Parámetros!$B$11="","",Parámetros!$B$11)</f>
        <v>0.65</v>
      </c>
      <c r="P16" s="11">
        <f>IFERROR(IF(OR($D16="",$H16="",$L16=""),"",$D16-$H16-$L16),"")</f>
        <v>49602.0</v>
      </c>
      <c r="Q16" s="12">
        <f>IFERROR(IF(OR($P16="",$D16="",$D16=0),"",$P16/$D16),"")</f>
        <v>0.4052450980392157</v>
      </c>
      <c r="R16" t="str">
        <f>IF(OR($N16="",$O16=""),"",IF($N16&lt;=$O16,"En objetivo","Por encima del objetivo"))</f>
        <v>En objetivo</v>
      </c>
    </row>
    <row r="17">
      <c r="A17" s="13" t="inlineStr">
        <is>
          <t>TOTAL / MEDIA</t>
        </is>
      </c>
      <c r="B17" s="14">
        <f>IF(COUNT(B5:B16)=0,"",SUM(B5:B16))</f>
        <v>708300.0</v>
      </c>
      <c r="C17" s="14">
        <f>IF(COUNT(C5:C16)=0,"",SUM(C5:C16))</f>
        <v>523900.0</v>
      </c>
      <c r="D17" s="14">
        <f>IF(COUNT(D5:D16)=0,"",SUM(D5:D16))</f>
        <v>1232200.0</v>
      </c>
      <c r="E17" s="13" t="n"/>
      <c r="F17" s="14">
        <f>IF(COUNT(F5:F16)=0,"",SUM(F5:F16))</f>
        <v>396100.0</v>
      </c>
      <c r="G17" s="13" t="n"/>
      <c r="H17" s="14">
        <f>IF(COUNT(H5:H16)=0,"",SUM(H5:H16))</f>
        <v>395400.0</v>
      </c>
      <c r="I17" s="15">
        <f>IFERROR(IF(OR($H$17="",$D$17="",$D$17=0),"",$H$17/$D$17),"")</f>
        <v>0.3208894659957799</v>
      </c>
      <c r="J17" s="14">
        <f>IF(COUNT(J5:J16)=0,"",SUM(J5:J16))</f>
        <v>277600.0</v>
      </c>
      <c r="K17" s="14">
        <f>IF(COUNT(K5:K16)=0,"",SUM(K5:K16))</f>
        <v>16450.0</v>
      </c>
      <c r="L17" s="14">
        <f>IF(COUNT(L5:L16)=0,"",SUM(L5:L16))</f>
        <v>385658.0</v>
      </c>
      <c r="M17" s="15">
        <f>IFERROR(IF(OR($L$17="",$D$17="",$D$17=0),"",$L$17/$D$17),"")</f>
        <v>0.31298328193475083</v>
      </c>
      <c r="N17" s="15">
        <f>IFERROR(IF(OR($H$17="",$L$17="",$D$17="",$D$17=0),"",($H$17+$L$17)/$D$17),"")</f>
        <v>0.6338727479305307</v>
      </c>
      <c r="O17" s="15">
        <f>IF(Parámetros!$B$11="","",Parámetros!$B$11)</f>
        <v>0.65</v>
      </c>
      <c r="P17" s="14">
        <f>IF(COUNT(P5:P16)=0,"",SUM(P5:P16))</f>
        <v>451142.0</v>
      </c>
      <c r="Q17" s="15">
        <f>IFERROR(IF(OR($P$17="",$D$17="",$D$17=0),"",$P$17/$D$17),"")</f>
        <v>0.3661272520694692</v>
      </c>
      <c r="R17" s="13" t="str">
        <f>IF(OR($N$17="",$O$17=""),"",IF($N$17&lt;=$O$17,"En objetivo","Por encima del objetivo"))</f>
        <v>En objetivo</v>
      </c>
    </row>
    <row r="18">
      <c r="A18" t="inlineStr">
        <is>
          <t>En la fila TOTAL no se suman los stocks: el consumo del año es la suma de los consumos de los doce meses, y los porcentajes son medias ponderadas sobre las ventas del año.</t>
        </is>
      </c>
    </row>
    <row r="19"/>
    <row r="20">
      <c r="A20" s="2" t="inlineStr">
        <is>
          <t>PARÁMETROS EN VIGOR — se leen de la hoja «Parámetros»; cámbialos allí, no aquí</t>
        </is>
      </c>
    </row>
    <row r="21">
      <c r="A21" t="inlineStr">
        <is>
          <t>Tipo de negocio</t>
        </is>
      </c>
      <c r="E21" s="16" t="str">
        <f>Parámetros!$B$5</f>
        <v>Servicio en mesa</v>
      </c>
    </row>
    <row r="22">
      <c r="A22" t="inlineStr">
        <is>
          <t>Objetivo de prime cost (%)</t>
        </is>
      </c>
      <c r="E22" s="8">
        <f>IF(Parámetros!$B$11="","",Parámetros!$B$11)</f>
        <v>0.65</v>
      </c>
    </row>
    <row r="23">
      <c r="A23" t="inlineStr">
        <is>
          <t>Food cost objetivo (%)</t>
        </is>
      </c>
      <c r="E23" s="8">
        <f>IF(Parámetros!$B$21="","",Parámetros!$B$21)</f>
        <v>0.3</v>
      </c>
    </row>
    <row r="24">
      <c r="A24" t="inlineStr">
        <is>
          <t>Seguridad Social a cargo de la empresa (%)</t>
        </is>
      </c>
      <c r="E24" s="8">
        <f>IF(Parámetros!$B$20="","",Parámetros!$B$20)</f>
        <v>0.33</v>
      </c>
    </row>
  </sheetData>
  <sheetProtection selectLockedCells="0" selectUnlockedCells="0" sheet="1" objects="0" insertRows="0" insertHyperlinks="1" autoFilter="1" scenarios="0" formatColumns="0" deleteColumns="1" insertColumns="1" pivotTables="1" deleteRows="1" formatCells="1" formatRows="0" sort="0"/>
  <conditionalFormatting sqref="N5:N17">
    <cfRule type="expression" priority="1" dxfId="0" stopIfTrue="1">
      <formula>=AND(ISNUMBER($N5),ISNUMBER($O5),$N5&gt;$O5)</formula>
    </cfRule>
    <cfRule type="expression" priority="2" dxfId="1" stopIfTrue="1">
      <formula>=AND(ISNUMBER($N5),ISNUMBER($O5),$N5&lt;=$O5)</formula>
    </cfRule>
  </conditionalFormatting>
  <conditionalFormatting sqref="I5:I17">
    <cfRule type="expression" priority="3" dxfId="0" stopIfTrue="1">
      <formula>=AND(ISNUMBER($I5),ISNUMBER($E$23),$I5&gt;$E$23)</formula>
    </cfRule>
    <cfRule type="expression" priority="4" dxfId="1" stopIfTrue="1">
      <formula>=AND(ISNUMBER($I5),ISNUMBER($E$23),$I5&lt;=$E$23)</formula>
    </cfRule>
  </conditionalFormatting>
  <conditionalFormatting sqref="R5:R17">
    <cfRule type="cellIs" priority="5" operator="equal" dxfId="1" stopIfTrue="1">
      <formula>"En objetivo"</formula>
    </cfRule>
    <cfRule type="cellIs" priority="6" operator="equal" dxfId="0" stopIfTrue="1">
      <formula>"Por encima del objetivo"</formula>
    </cfRule>
  </conditionalFormatting>
  <dataValidations count="1">
    <dataValidation sqref="B5 B6 B7 B8 B9 B10 B11 B12 B13 B14 B15 B16 C5 C6 C7 C8 C9 C10 C11 C12 C13 C14 C15 C16 E5 E6 E7 E8 E9 E10 E11 E12 E13 E14 E15 E16 F5 F6 F7 F8 F9 F10 F11 F12 F13 F14 F15 F16 G5 G6 G7 G8 G9 G10 G11 G12 G13 G14 G15 G16 J5 J6 J7 J8 J9 J10 J11 J12 J13 J14 J15 J16 K5 K6 K7 K8 K9 K10 K11 K12 K13 K14 K15 K16" showDropDown="0" showInputMessage="0" showErrorMessage="1" allowBlank="1" errorTitle="Importe (€)"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Cuadro de mando del prime cost</dc:title>
  <dc:subject xmlns:dc="http://purl.org/dc/elements/1.1/">Guía Food Cost + Ingeniería de Menú · Versión 1.0 · septiembre 2026</dc:subject>
  <dcterms:created xmlns:dcterms="http://purl.org/dc/terms/" xmlns:xsi="http://www.w3.org/2001/XMLSchema-instance" xsi:type="dcterms:W3CDTF">2026-09-03T21:32:04Z</dcterms:created>
  <dcterms:modified xmlns:dcterms="http://purl.org/dc/terms/" xmlns:xsi="http://www.w3.org/2001/XMLSchema-instance" xsi:type="dcterms:W3CDTF">2026-09-03T21:32:04Z</dcterms:modified>
  <cp:lastModifiedBy>AI Chef Pro</cp:lastModifiedBy>
</cp:coreProperties>
</file>