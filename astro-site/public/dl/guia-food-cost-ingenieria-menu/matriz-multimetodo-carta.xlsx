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Datos" sheetId="2" state="visible" r:id="rId2"/>
    <sheet xmlns:r="http://schemas.openxmlformats.org/officeDocument/2006/relationships" name="Kasavana-Smith" sheetId="3" state="visible" r:id="rId3"/>
    <sheet xmlns:r="http://schemas.openxmlformats.org/officeDocument/2006/relationships" name="Miller" sheetId="4" state="visible" r:id="rId4"/>
    <sheet xmlns:r="http://schemas.openxmlformats.org/officeDocument/2006/relationships" name="Pavesic" sheetId="5" state="visible" r:id="rId5"/>
    <sheet xmlns:r="http://schemas.openxmlformats.org/officeDocument/2006/relationships" name="Goal Value" sheetId="6" state="visible" r:id="rId6"/>
    <sheet xmlns:r="http://schemas.openxmlformats.org/officeDocument/2006/relationships" name="Comparativa" sheetId="7" state="visible" r:id="rId7"/>
    <sheet xmlns:r="http://schemas.openxmlformats.org/officeDocument/2006/relationships" name="Menú Precio Fijo" sheetId="8" state="visible" r:id="rId8"/>
  </sheets>
  <definedNames/>
  <calcPr calcId="124519" fullCalcOnLoad="1"/>
</workbook>
</file>

<file path=xl/styles.xml><?xml version="1.0" encoding="utf-8"?>
<styleSheet xmlns="http://schemas.openxmlformats.org/spreadsheetml/2006/main">
  <numFmts count="2">
    <numFmt numFmtId="164" formatCode="#,##0.00 €"/>
    <numFmt numFmtId="165" formatCode="0.0%"/>
  </numFmts>
  <fonts count="8">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
      <b val="1"/>
      <color rgb="001565C0"/>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6" fillId="3" borderId="0" applyAlignment="1" pivotButton="0" quotePrefix="0" xfId="0">
      <alignment horizontal="center" vertical="center" wrapText="1"/>
    </xf>
    <xf numFmtId="3" fontId="0" fillId="0" borderId="0" pivotButton="0" quotePrefix="0" xfId="0"/>
    <xf numFmtId="3" fontId="0" fillId="2" borderId="0" applyProtection="1" pivotButton="0" quotePrefix="0" xfId="0">
      <protection locked="0" hidden="0"/>
    </xf>
    <xf numFmtId="164" fontId="0" fillId="2" borderId="0" applyProtection="1" pivotButton="0" quotePrefix="0" xfId="0">
      <protection locked="0" hidden="0"/>
    </xf>
    <xf numFmtId="164" fontId="7" fillId="0" borderId="0" pivotButton="0" quotePrefix="0" xfId="0"/>
    <xf numFmtId="165" fontId="7" fillId="0" borderId="0" pivotButton="0" quotePrefix="0" xfId="0"/>
    <xf numFmtId="164" fontId="0" fillId="0" borderId="0" pivotButton="0" quotePrefix="0" xfId="0"/>
    <xf numFmtId="165" fontId="0" fillId="0" borderId="0" pivotButton="0" quotePrefix="0" xfId="0"/>
    <xf numFmtId="0" fontId="1" fillId="0" borderId="0" pivotButton="0" quotePrefix="0" xfId="0"/>
    <xf numFmtId="0" fontId="1" fillId="4" borderId="0" pivotButton="0" quotePrefix="0" xfId="0"/>
    <xf numFmtId="3" fontId="1" fillId="4" borderId="0" pivotButton="0" quotePrefix="0" xfId="0"/>
    <xf numFmtId="164" fontId="1" fillId="4" borderId="0" pivotButton="0" quotePrefix="0" xfId="0"/>
    <xf numFmtId="165" fontId="1" fillId="4" borderId="0" pivotButton="0" quotePrefix="0" xfId="0"/>
    <xf numFmtId="9" fontId="0" fillId="2" borderId="0" applyProtection="1" pivotButton="0" quotePrefix="0" xfId="0">
      <protection locked="0" hidden="0"/>
    </xf>
    <xf numFmtId="165" fontId="0" fillId="2" borderId="0" applyProtection="1" pivotButton="0" quotePrefix="0" xfId="0">
      <protection locked="0" hidden="0"/>
    </xf>
    <xf numFmtId="4" fontId="7" fillId="0" borderId="0" pivotButton="0" quotePrefix="0" xfId="0"/>
    <xf numFmtId="4" fontId="0" fillId="0" borderId="0" pivotButton="0" quotePrefix="0" xfId="0"/>
    <xf numFmtId="3" fontId="7" fillId="0" borderId="0" pivotButton="0" quotePrefix="0" xfId="0"/>
    <xf numFmtId="0" fontId="0" fillId="0" borderId="0" applyAlignment="1" pivotButton="0" quotePrefix="0" xfId="0">
      <alignment vertical="top" wrapText="1"/>
    </xf>
    <xf numFmtId="3" fontId="1" fillId="0" borderId="0" pivotButton="0" quotePrefix="0" xfId="0"/>
    <xf numFmtId="164" fontId="1" fillId="0" borderId="0" pivotButton="0" quotePrefix="0" xfId="0"/>
    <xf numFmtId="9" fontId="0" fillId="0" borderId="0" pivotButton="0" quotePrefix="0" xfId="0"/>
    <xf numFmtId="165" fontId="1"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118" customWidth="1" min="1" max="1"/>
  </cols>
  <sheetData>
    <row r="1">
      <c r="A1" s="1" t="inlineStr">
        <is>
          <t>Matriz Multi-Método de la Carta</t>
        </is>
      </c>
    </row>
    <row r="2">
      <c r="A2" s="2" t="inlineStr">
        <is>
          <t>AI Chef Pro · aichef.pro — Guía Food Cost + Ingeniería de Menú</t>
        </is>
      </c>
    </row>
    <row r="3"/>
    <row r="4">
      <c r="A4" s="3" t="inlineStr">
        <is>
          <t>Instrucciones de uso</t>
        </is>
      </c>
    </row>
    <row r="5">
      <c r="A5" s="4" t="inlineStr">
        <is>
          <t>1. Vuelca tu carta en la hoja «Datos»: plato, familia, unidades vendidas del último mes, coste por ración y precio de venta SIN IVA.</t>
        </is>
      </c>
    </row>
    <row r="6">
      <c r="A6" s="4" t="inlineStr">
        <is>
          <t>2. El coste por ración sale de tu ficha de escandallo (libro «ficha-escandallo-base» de este mismo pack). El PVP con IVA de sala lo calcula el libro.</t>
        </is>
      </c>
    </row>
    <row r="7">
      <c r="A7" s="4" t="inlineStr">
        <is>
          <t>3. Las hojas Kasavana-Smith, Miller, Pavesic y Goal Value leen esos datos y clasifican cada plato con su método. En ellas no se teclea nada.</t>
        </is>
      </c>
    </row>
    <row r="8">
      <c r="A8" s="4" t="inlineStr">
        <is>
          <t>4. Cada método se aplica DENTRO de su familia: un postre se compara con los postres, no con los chuletones.</t>
        </is>
      </c>
    </row>
    <row r="9">
      <c r="A9" s="4" t="inlineStr">
        <is>
          <t>5. Abre «Comparativa»: ahí tienes las cuatro lecturas del mismo plato, cuántas se salen de la mejor categoría y un diagnóstico de qué hacer.</t>
        </is>
      </c>
    </row>
    <row r="10">
      <c r="A10" s="4" t="inlineStr">
        <is>
          <t>6. Lleva las decisiones al libro «plan-accion-90-dias» con responsable y fecha. Un análisis sin fecha no cambia nada.</t>
        </is>
      </c>
    </row>
    <row r="11">
      <c r="A11" s="4" t="inlineStr">
        <is>
          <t>7. La hoja «Menú Precio Fijo» va aparte: en un menú cerrado el margen no lo decide el precio, lo decide el mix de elecciones de tus comensales.</t>
        </is>
      </c>
    </row>
    <row r="12">
      <c r="A12" s="4" t="inlineStr">
        <is>
          <t>8. Ajusta el factor del umbral de popularidad y los porcentajes de personal y de otros costes variables si tu casa no se parece al ejemplo.</t>
        </is>
      </c>
    </row>
    <row r="13"/>
    <row r="14">
      <c r="A14" s="5" t="inlineStr">
        <is>
          <t>Celdas verdes = campos editables</t>
        </is>
      </c>
    </row>
    <row r="15"/>
    <row r="16">
      <c r="A16" s="4" t="inlineStr">
        <is>
          <t>Los datos de ejemplo son de un restaurante MODELADO, no de un cliente real. Bórralos y pon los tuyos: hay 20 platos rellenos y 5 filas libres.</t>
        </is>
      </c>
    </row>
    <row r="17"/>
    <row r="18">
      <c r="A18" s="4" t="inlineStr">
        <is>
          <t>Kasavana &amp; Smith cruza popularidad con margen de contribución en euros. Miller cruza popularidad con food cost %. Pavesic cruza food cost % con el margen ponderado por unidades. Goal Value (Hayes &amp; Huffman) añade el peso del personal y de los otros costes variables SIN dejar de contar el food cost %: por eso su factor final es (1 − (personal % + otros variables % + food cost %)) y no sólo personal + otros. Ninguno mide las tres variables a la vez: por eso discrepan.</t>
        </is>
      </c>
    </row>
    <row r="19"/>
    <row r="20">
      <c r="A20" s="4" t="inlineStr">
        <is>
          <t>El umbral de popularidad clásico es el 70 % del mix medio: umbral = factor ÷ número de platos de la familia con ventas. Súbelo si la familia es muy corta.</t>
        </is>
      </c>
    </row>
    <row r="21"/>
    <row r="22">
      <c r="A22" s="4" t="inlineStr">
        <is>
          <t>Que los cuatro métodos coincidan NO significa «más seguridad»: significa que el plato es tan bueno o tan malo que se ve desde cualquier ángulo. Lo interesante está en las filas donde discrepan.</t>
        </is>
      </c>
    </row>
    <row r="23"/>
    <row r="24">
      <c r="A24" s="4" t="inlineStr">
        <is>
          <t>El margen de contribución es el euro que queda para pagar personal, alquiler y luz. El food cost % mide eficiencia. Un plato puede ser eficiente y aportar poco dinero, y al revés.</t>
        </is>
      </c>
    </row>
    <row r="25"/>
    <row r="26">
      <c r="A26" s="4" t="inlineStr">
        <is>
          <t>El precio de venta de la hoja «Datos» va SIN IVA. La columna «PVP con IVA en sala» aplica el 10 % del art. 91.Uno.2.2.º de la Ley del IVA, que en sala cubre también la bebida alcohólica. Para llevar y en delivery el tipo cambia: eso se calcula en el libro «simulador-repricing-multicanal» de este pack.</t>
        </is>
      </c>
    </row>
    <row r="27"/>
    <row r="28">
      <c r="A28" s="4" t="inlineStr">
        <is>
          <t>Para editar la estructura o una celda que no esté en verde, desprotege la hoja (sin contraseña).</t>
        </is>
      </c>
    </row>
    <row r="29">
      <c r="A29" s="4" t="inlineStr">
        <is>
          <t>Diseñado por John Guerrero — chef y consultor gastronómico desde 2010 · johnguerrero.es</t>
        </is>
      </c>
    </row>
    <row r="30">
      <c r="A30" s="4" t="inlineStr">
        <is>
          <t>Versión 1.0 · septiembre 2026 · aichef.pro/guia-food-cost-ingenieria-menu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Q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3" customWidth="1" min="5" max="5"/>
    <col width="12" customWidth="1" min="6" max="6"/>
    <col width="14" customWidth="1" min="7" max="7"/>
    <col width="11" customWidth="1" min="8" max="8"/>
    <col width="13" customWidth="1" min="9" max="9"/>
    <col width="12" customWidth="1" min="10" max="10"/>
    <col width="13" customWidth="1" min="11" max="11"/>
    <col width="13" customWidth="1" min="12" max="12"/>
    <col width="14" customWidth="1" min="13" max="13"/>
    <col width="15" customWidth="1" min="14" max="14"/>
    <col width="15" customWidth="1" min="15" max="15"/>
    <col width="15" customWidth="1" min="16" max="16"/>
    <col width="16" customWidth="1" min="17" max="17"/>
  </cols>
  <sheetData>
    <row r="1">
      <c r="A1" s="1" t="inlineStr">
        <is>
          <t>Datos de la carta</t>
        </is>
      </c>
    </row>
    <row r="2">
      <c r="A2" s="2" t="inlineStr">
        <is>
          <t>AI Chef Pro · aichef.pro — Guía Food Cost + Ingeniería de Menú</t>
        </is>
      </c>
    </row>
    <row r="3">
      <c r="E3" s="6" t="inlineStr">
        <is>
          <t>El coste por ración sale de tu ficha de escandallo; el PVP va SIN IVA.</t>
        </is>
      </c>
    </row>
    <row r="4" ht="46" customHeight="1">
      <c r="A4" s="7" t="inlineStr">
        <is>
          <t>#</t>
        </is>
      </c>
      <c r="B4" s="7" t="inlineStr">
        <is>
          <t>Plato</t>
        </is>
      </c>
      <c r="C4" s="7" t="inlineStr">
        <is>
          <t>Familia</t>
        </is>
      </c>
      <c r="D4" s="7" t="inlineStr">
        <is>
          <t>Uds vendidas (mes)</t>
        </is>
      </c>
      <c r="E4" s="7" t="inlineStr">
        <is>
          <t>Coste por ración (€)</t>
        </is>
      </c>
      <c r="F4" s="7" t="inlineStr">
        <is>
          <t>PVP sin IVA (€)</t>
        </is>
      </c>
      <c r="G4" s="7" t="inlineStr">
        <is>
          <t>Margen de contribución (€)</t>
        </is>
      </c>
      <c r="H4" s="7" t="inlineStr">
        <is>
          <t>Food cost (%)</t>
        </is>
      </c>
      <c r="I4" s="7" t="inlineStr">
        <is>
          <t>PVP con IVA en sala (€)</t>
        </is>
      </c>
      <c r="J4" s="7" t="inlineStr">
        <is>
          <t>Uds de su familia</t>
        </is>
      </c>
      <c r="K4" s="7" t="inlineStr">
        <is>
          <t>Platos de su familia con ventas</t>
        </is>
      </c>
      <c r="L4" s="7" t="inlineStr">
        <is>
          <t>Mix dentro de su familia (%)</t>
        </is>
      </c>
      <c r="M4" s="7" t="inlineStr">
        <is>
          <t>Umbral de popularidad de su familia (%)</t>
        </is>
      </c>
      <c r="N4" s="7" t="inlineStr">
        <is>
          <t>MC medio ponderado de su familia (€)</t>
        </is>
      </c>
      <c r="O4" s="7" t="inlineStr">
        <is>
          <t>Food cost medio ponderado de su familia (%)</t>
        </is>
      </c>
      <c r="P4" s="7" t="inlineStr">
        <is>
          <t>MC ponderado del plato: MC × uds (€)</t>
        </is>
      </c>
      <c r="Q4" s="7" t="inlineStr">
        <is>
          <t>Media del MC ponderado de su familia (€)</t>
        </is>
      </c>
    </row>
    <row r="5">
      <c r="A5" s="8" t="n">
        <v>1</v>
      </c>
      <c r="B5" s="5" t="inlineStr">
        <is>
          <t>Croquetas de jamón ibérico (6 ud)</t>
        </is>
      </c>
      <c r="C5" s="5" t="inlineStr">
        <is>
          <t>Entrantes</t>
        </is>
      </c>
      <c r="D5" s="9" t="n">
        <v>420</v>
      </c>
      <c r="E5" s="10" t="n">
        <v>2.1</v>
      </c>
      <c r="F5" s="10" t="n">
        <v>8.6</v>
      </c>
      <c r="G5" s="11">
        <f>IFERROR(IF(OR($E5="",$F5=""),"",$F5-$E5),"")</f>
        <v>6.5</v>
      </c>
      <c r="H5" s="12">
        <f>IFERROR(IF(OR($E5="",$F5="",$F5=0),"",$E5/$F5),"")</f>
        <v>0.24418604651162792</v>
      </c>
      <c r="I5" s="13">
        <f>IFERROR(IF(OR($F5="",$D$34=""),"",$F5*(1+$D$34)),"")</f>
        <v>9.46</v>
      </c>
      <c r="J5" s="8">
        <f>IFERROR(IF($C5="","",SUMPRODUCT(--($C$5:$C$29=$C5),$D$5:$D$29)),"")</f>
        <v>1730.0</v>
      </c>
      <c r="K5" s="8">
        <f>IFERROR(IF($C5="","",SUMPRODUCT(--($C$5:$C$29=$C5),--($D$5:$D$29&gt;0))),"")</f>
        <v>7.0</v>
      </c>
      <c r="L5" s="14">
        <f>IFERROR(IF(OR($D5="",$J5="",$J5=0),"",$D5/$J5),"")</f>
        <v>0.24277456647398843</v>
      </c>
      <c r="M5" s="14">
        <f>IFERROR(IF(OR($K5="",$K5=0,$D$33=""),"",$D$33/$K5),"")</f>
        <v>0.09999999999999999</v>
      </c>
      <c r="N5" s="13">
        <f>IFERROR(IF(OR($J5="",$J5=0),"",SUMPRODUCT(--($C$5:$C$29=$C5),$D$5:$D$29,$G$5:$G$29)/$J5),"")</f>
        <v>7.463583815028902</v>
      </c>
      <c r="O5" s="14">
        <f>IFERROR(IF(SUMPRODUCT(--($C$5:$C$29=$C5),$D$5:$D$29,$F$5:$F$29)=0,"",SUMPRODUCT(--($C$5:$C$29=$C5),$D$5:$D$29,$E$5:$E$29)/SUMPRODUCT(--($C$5:$C$29=$C5),$D$5:$D$29,$F$5:$F$29)),"")</f>
        <v>0.3071474565357373</v>
      </c>
      <c r="P5" s="13">
        <f>IFERROR(IF(OR($G5="",$D5=""),"",$G5*$D5),"")</f>
        <v>2730.0</v>
      </c>
      <c r="Q5" s="13">
        <f>IFERROR(IF(OR($K5="",$K5=0),"",SUMPRODUCT(--($C$5:$C$29=$C5),$D$5:$D$29,$G$5:$G$29)/$K5),"")</f>
        <v>1844.5714285714287</v>
      </c>
    </row>
    <row r="6">
      <c r="A6" s="8" t="n">
        <v>2</v>
      </c>
      <c r="B6" s="5" t="inlineStr">
        <is>
          <t>Ensalada de tomate rosa, ventresca y cebolleta</t>
        </is>
      </c>
      <c r="C6" s="5" t="inlineStr">
        <is>
          <t>Entrantes</t>
        </is>
      </c>
      <c r="D6" s="9" t="n">
        <v>310</v>
      </c>
      <c r="E6" s="10" t="n">
        <v>3.6</v>
      </c>
      <c r="F6" s="10" t="n">
        <v>11.8</v>
      </c>
      <c r="G6" s="11">
        <f>IFERROR(IF(OR($E6="",$F6=""),"",$F6-$E6),"")</f>
        <v>8.200000000000001</v>
      </c>
      <c r="H6" s="12">
        <f>IFERROR(IF(OR($E6="",$F6="",$F6=0),"",$E6/$F6),"")</f>
        <v>0.30508474576271183</v>
      </c>
      <c r="I6" s="13">
        <f>IFERROR(IF(OR($F6="",$D$34=""),"",$F6*(1+$D$34)),"")</f>
        <v>12.980000000000002</v>
      </c>
      <c r="J6" s="8">
        <f>IFERROR(IF($C6="","",SUMPRODUCT(--($C$5:$C$29=$C6),$D$5:$D$29)),"")</f>
        <v>1730.0</v>
      </c>
      <c r="K6" s="8">
        <f>IFERROR(IF($C6="","",SUMPRODUCT(--($C$5:$C$29=$C6),--($D$5:$D$29&gt;0))),"")</f>
        <v>7.0</v>
      </c>
      <c r="L6" s="14">
        <f>IFERROR(IF(OR($D6="",$J6="",$J6=0),"",$D6/$J6),"")</f>
        <v>0.1791907514450867</v>
      </c>
      <c r="M6" s="14">
        <f>IFERROR(IF(OR($K6="",$K6=0,$D$33=""),"",$D$33/$K6),"")</f>
        <v>0.09999999999999999</v>
      </c>
      <c r="N6" s="13">
        <f>IFERROR(IF(OR($J6="",$J6=0),"",SUMPRODUCT(--($C$5:$C$29=$C6),$D$5:$D$29,$G$5:$G$29)/$J6),"")</f>
        <v>7.463583815028902</v>
      </c>
      <c r="O6" s="14">
        <f>IFERROR(IF(SUMPRODUCT(--($C$5:$C$29=$C6),$D$5:$D$29,$F$5:$F$29)=0,"",SUMPRODUCT(--($C$5:$C$29=$C6),$D$5:$D$29,$E$5:$E$29)/SUMPRODUCT(--($C$5:$C$29=$C6),$D$5:$D$29,$F$5:$F$29)),"")</f>
        <v>0.3071474565357373</v>
      </c>
      <c r="P6" s="13">
        <f>IFERROR(IF(OR($G6="",$D6=""),"",$G6*$D6),"")</f>
        <v>2542.0000000000005</v>
      </c>
      <c r="Q6" s="13">
        <f>IFERROR(IF(OR($K6="",$K6=0),"",SUMPRODUCT(--($C$5:$C$29=$C6),$D$5:$D$29,$G$5:$G$29)/$K6),"")</f>
        <v>1844.5714285714287</v>
      </c>
    </row>
    <row r="7">
      <c r="A7" s="8" t="n">
        <v>3</v>
      </c>
      <c r="B7" s="5" t="inlineStr">
        <is>
          <t>Gambas al ajillo</t>
        </is>
      </c>
      <c r="C7" s="5" t="inlineStr">
        <is>
          <t>Entrantes</t>
        </is>
      </c>
      <c r="D7" s="9" t="n">
        <v>260</v>
      </c>
      <c r="E7" s="10" t="n">
        <v>6.9</v>
      </c>
      <c r="F7" s="10" t="n">
        <v>15.5</v>
      </c>
      <c r="G7" s="11">
        <f>IFERROR(IF(OR($E7="",$F7=""),"",$F7-$E7),"")</f>
        <v>8.6</v>
      </c>
      <c r="H7" s="12">
        <f>IFERROR(IF(OR($E7="",$F7="",$F7=0),"",$E7/$F7),"")</f>
        <v>0.44516129032258067</v>
      </c>
      <c r="I7" s="13">
        <f>IFERROR(IF(OR($F7="",$D$34=""),"",$F7*(1+$D$34)),"")</f>
        <v>17.05</v>
      </c>
      <c r="J7" s="8">
        <f>IFERROR(IF($C7="","",SUMPRODUCT(--($C$5:$C$29=$C7),$D$5:$D$29)),"")</f>
        <v>1730.0</v>
      </c>
      <c r="K7" s="8">
        <f>IFERROR(IF($C7="","",SUMPRODUCT(--($C$5:$C$29=$C7),--($D$5:$D$29&gt;0))),"")</f>
        <v>7.0</v>
      </c>
      <c r="L7" s="14">
        <f>IFERROR(IF(OR($D7="",$J7="",$J7=0),"",$D7/$J7),"")</f>
        <v>0.15028901734104047</v>
      </c>
      <c r="M7" s="14">
        <f>IFERROR(IF(OR($K7="",$K7=0,$D$33=""),"",$D$33/$K7),"")</f>
        <v>0.09999999999999999</v>
      </c>
      <c r="N7" s="13">
        <f>IFERROR(IF(OR($J7="",$J7=0),"",SUMPRODUCT(--($C$5:$C$29=$C7),$D$5:$D$29,$G$5:$G$29)/$J7),"")</f>
        <v>7.463583815028902</v>
      </c>
      <c r="O7" s="14">
        <f>IFERROR(IF(SUMPRODUCT(--($C$5:$C$29=$C7),$D$5:$D$29,$F$5:$F$29)=0,"",SUMPRODUCT(--($C$5:$C$29=$C7),$D$5:$D$29,$E$5:$E$29)/SUMPRODUCT(--($C$5:$C$29=$C7),$D$5:$D$29,$F$5:$F$29)),"")</f>
        <v>0.3071474565357373</v>
      </c>
      <c r="P7" s="13">
        <f>IFERROR(IF(OR($G7="",$D7=""),"",$G7*$D7),"")</f>
        <v>2236.0</v>
      </c>
      <c r="Q7" s="13">
        <f>IFERROR(IF(OR($K7="",$K7=0),"",SUMPRODUCT(--($C$5:$C$29=$C7),$D$5:$D$29,$G$5:$G$29)/$K7),"")</f>
        <v>1844.5714285714287</v>
      </c>
    </row>
    <row r="8">
      <c r="A8" s="8" t="n">
        <v>4</v>
      </c>
      <c r="B8" s="5" t="inlineStr">
        <is>
          <t>Huevos rotos con patatas y chistorra</t>
        </is>
      </c>
      <c r="C8" s="5" t="inlineStr">
        <is>
          <t>Entrantes</t>
        </is>
      </c>
      <c r="D8" s="9" t="n">
        <v>380</v>
      </c>
      <c r="E8" s="10" t="n">
        <v>2.4</v>
      </c>
      <c r="F8" s="10" t="n">
        <v>9.800000000000001</v>
      </c>
      <c r="G8" s="11">
        <f>IFERROR(IF(OR($E8="",$F8=""),"",$F8-$E8),"")</f>
        <v>7.4</v>
      </c>
      <c r="H8" s="12">
        <f>IFERROR(IF(OR($E8="",$F8="",$F8=0),"",$E8/$F8),"")</f>
        <v>0.24489795918367344</v>
      </c>
      <c r="I8" s="13">
        <f>IFERROR(IF(OR($F8="",$D$34=""),"",$F8*(1+$D$34)),"")</f>
        <v>10.780000000000001</v>
      </c>
      <c r="J8" s="8">
        <f>IFERROR(IF($C8="","",SUMPRODUCT(--($C$5:$C$29=$C8),$D$5:$D$29)),"")</f>
        <v>1730.0</v>
      </c>
      <c r="K8" s="8">
        <f>IFERROR(IF($C8="","",SUMPRODUCT(--($C$5:$C$29=$C8),--($D$5:$D$29&gt;0))),"")</f>
        <v>7.0</v>
      </c>
      <c r="L8" s="14">
        <f>IFERROR(IF(OR($D8="",$J8="",$J8=0),"",$D8/$J8),"")</f>
        <v>0.21965317919075145</v>
      </c>
      <c r="M8" s="14">
        <f>IFERROR(IF(OR($K8="",$K8=0,$D$33=""),"",$D$33/$K8),"")</f>
        <v>0.09999999999999999</v>
      </c>
      <c r="N8" s="13">
        <f>IFERROR(IF(OR($J8="",$J8=0),"",SUMPRODUCT(--($C$5:$C$29=$C8),$D$5:$D$29,$G$5:$G$29)/$J8),"")</f>
        <v>7.463583815028902</v>
      </c>
      <c r="O8" s="14">
        <f>IFERROR(IF(SUMPRODUCT(--($C$5:$C$29=$C8),$D$5:$D$29,$F$5:$F$29)=0,"",SUMPRODUCT(--($C$5:$C$29=$C8),$D$5:$D$29,$E$5:$E$29)/SUMPRODUCT(--($C$5:$C$29=$C8),$D$5:$D$29,$F$5:$F$29)),"")</f>
        <v>0.3071474565357373</v>
      </c>
      <c r="P8" s="13">
        <f>IFERROR(IF(OR($G8="",$D8=""),"",$G8*$D8),"")</f>
        <v>2812.0</v>
      </c>
      <c r="Q8" s="13">
        <f>IFERROR(IF(OR($K8="",$K8=0),"",SUMPRODUCT(--($C$5:$C$29=$C8),$D$5:$D$29,$G$5:$G$29)/$K8),"")</f>
        <v>1844.5714285714287</v>
      </c>
    </row>
    <row r="9">
      <c r="A9" s="8" t="n">
        <v>5</v>
      </c>
      <c r="B9" s="5" t="inlineStr">
        <is>
          <t>Tabla de quesos de la zona</t>
        </is>
      </c>
      <c r="C9" s="5" t="inlineStr">
        <is>
          <t>Entrantes</t>
        </is>
      </c>
      <c r="D9" s="9" t="n">
        <v>90</v>
      </c>
      <c r="E9" s="10" t="n">
        <v>5.2</v>
      </c>
      <c r="F9" s="10" t="n">
        <v>13.6</v>
      </c>
      <c r="G9" s="11">
        <f>IFERROR(IF(OR($E9="",$F9=""),"",$F9-$E9),"")</f>
        <v>8.399999999999999</v>
      </c>
      <c r="H9" s="12">
        <f>IFERROR(IF(OR($E9="",$F9="",$F9=0),"",$E9/$F9),"")</f>
        <v>0.3823529411764706</v>
      </c>
      <c r="I9" s="13">
        <f>IFERROR(IF(OR($F9="",$D$34=""),"",$F9*(1+$D$34)),"")</f>
        <v>14.96</v>
      </c>
      <c r="J9" s="8">
        <f>IFERROR(IF($C9="","",SUMPRODUCT(--($C$5:$C$29=$C9),$D$5:$D$29)),"")</f>
        <v>1730.0</v>
      </c>
      <c r="K9" s="8">
        <f>IFERROR(IF($C9="","",SUMPRODUCT(--($C$5:$C$29=$C9),--($D$5:$D$29&gt;0))),"")</f>
        <v>7.0</v>
      </c>
      <c r="L9" s="14">
        <f>IFERROR(IF(OR($D9="",$J9="",$J9=0),"",$D9/$J9),"")</f>
        <v>0.05202312138728324</v>
      </c>
      <c r="M9" s="14">
        <f>IFERROR(IF(OR($K9="",$K9=0,$D$33=""),"",$D$33/$K9),"")</f>
        <v>0.09999999999999999</v>
      </c>
      <c r="N9" s="13">
        <f>IFERROR(IF(OR($J9="",$J9=0),"",SUMPRODUCT(--($C$5:$C$29=$C9),$D$5:$D$29,$G$5:$G$29)/$J9),"")</f>
        <v>7.463583815028902</v>
      </c>
      <c r="O9" s="14">
        <f>IFERROR(IF(SUMPRODUCT(--($C$5:$C$29=$C9),$D$5:$D$29,$F$5:$F$29)=0,"",SUMPRODUCT(--($C$5:$C$29=$C9),$D$5:$D$29,$E$5:$E$29)/SUMPRODUCT(--($C$5:$C$29=$C9),$D$5:$D$29,$F$5:$F$29)),"")</f>
        <v>0.3071474565357373</v>
      </c>
      <c r="P9" s="13">
        <f>IFERROR(IF(OR($G9="",$D9=""),"",$G9*$D9),"")</f>
        <v>755.9999999999999</v>
      </c>
      <c r="Q9" s="13">
        <f>IFERROR(IF(OR($K9="",$K9=0),"",SUMPRODUCT(--($C$5:$C$29=$C9),$D$5:$D$29,$G$5:$G$29)/$K9),"")</f>
        <v>1844.5714285714287</v>
      </c>
    </row>
    <row r="10">
      <c r="A10" s="8" t="n">
        <v>6</v>
      </c>
      <c r="B10" s="5" t="inlineStr">
        <is>
          <t>Alcachofas confitadas con jamón</t>
        </is>
      </c>
      <c r="C10" s="5" t="inlineStr">
        <is>
          <t>Entrantes</t>
        </is>
      </c>
      <c r="D10" s="9" t="n">
        <v>120</v>
      </c>
      <c r="E10" s="10" t="n">
        <v>3.1</v>
      </c>
      <c r="F10" s="10" t="n">
        <v>10.9</v>
      </c>
      <c r="G10" s="11">
        <f>IFERROR(IF(OR($E10="",$F10=""),"",$F10-$E10),"")</f>
        <v>7.800000000000001</v>
      </c>
      <c r="H10" s="12">
        <f>IFERROR(IF(OR($E10="",$F10="",$F10=0),"",$E10/$F10),"")</f>
        <v>0.28440366972477066</v>
      </c>
      <c r="I10" s="13">
        <f>IFERROR(IF(OR($F10="",$D$34=""),"",$F10*(1+$D$34)),"")</f>
        <v>11.990000000000002</v>
      </c>
      <c r="J10" s="8">
        <f>IFERROR(IF($C10="","",SUMPRODUCT(--($C$5:$C$29=$C10),$D$5:$D$29)),"")</f>
        <v>1730.0</v>
      </c>
      <c r="K10" s="8">
        <f>IFERROR(IF($C10="","",SUMPRODUCT(--($C$5:$C$29=$C10),--($D$5:$D$29&gt;0))),"")</f>
        <v>7.0</v>
      </c>
      <c r="L10" s="14">
        <f>IFERROR(IF(OR($D10="",$J10="",$J10=0),"",$D10/$J10),"")</f>
        <v>0.06936416184971098</v>
      </c>
      <c r="M10" s="14">
        <f>IFERROR(IF(OR($K10="",$K10=0,$D$33=""),"",$D$33/$K10),"")</f>
        <v>0.09999999999999999</v>
      </c>
      <c r="N10" s="13">
        <f>IFERROR(IF(OR($J10="",$J10=0),"",SUMPRODUCT(--($C$5:$C$29=$C10),$D$5:$D$29,$G$5:$G$29)/$J10),"")</f>
        <v>7.463583815028902</v>
      </c>
      <c r="O10" s="14">
        <f>IFERROR(IF(SUMPRODUCT(--($C$5:$C$29=$C10),$D$5:$D$29,$F$5:$F$29)=0,"",SUMPRODUCT(--($C$5:$C$29=$C10),$D$5:$D$29,$E$5:$E$29)/SUMPRODUCT(--($C$5:$C$29=$C10),$D$5:$D$29,$F$5:$F$29)),"")</f>
        <v>0.3071474565357373</v>
      </c>
      <c r="P10" s="13">
        <f>IFERROR(IF(OR($G10="",$D10=""),"",$G10*$D10),"")</f>
        <v>936.0000000000001</v>
      </c>
      <c r="Q10" s="13">
        <f>IFERROR(IF(OR($K10="",$K10=0),"",SUMPRODUCT(--($C$5:$C$29=$C10),$D$5:$D$29,$G$5:$G$29)/$K10),"")</f>
        <v>1844.5714285714287</v>
      </c>
    </row>
    <row r="11">
      <c r="A11" s="8" t="n">
        <v>7</v>
      </c>
      <c r="B11" s="5" t="inlineStr">
        <is>
          <t>Sopa de tomate asado con albahaca</t>
        </is>
      </c>
      <c r="C11" s="5" t="inlineStr">
        <is>
          <t>Entrantes</t>
        </is>
      </c>
      <c r="D11" s="9" t="n">
        <v>150</v>
      </c>
      <c r="E11" s="10" t="n">
        <v>1.2</v>
      </c>
      <c r="F11" s="10" t="n">
        <v>7.2</v>
      </c>
      <c r="G11" s="11">
        <f>IFERROR(IF(OR($E11="",$F11=""),"",$F11-$E11),"")</f>
        <v>6.0</v>
      </c>
      <c r="H11" s="12">
        <f>IFERROR(IF(OR($E11="",$F11="",$F11=0),"",$E11/$F11),"")</f>
        <v>0.16666666666666666</v>
      </c>
      <c r="I11" s="13">
        <f>IFERROR(IF(OR($F11="",$D$34=""),"",$F11*(1+$D$34)),"")</f>
        <v>7.920000000000001</v>
      </c>
      <c r="J11" s="8">
        <f>IFERROR(IF($C11="","",SUMPRODUCT(--($C$5:$C$29=$C11),$D$5:$D$29)),"")</f>
        <v>1730.0</v>
      </c>
      <c r="K11" s="8">
        <f>IFERROR(IF($C11="","",SUMPRODUCT(--($C$5:$C$29=$C11),--($D$5:$D$29&gt;0))),"")</f>
        <v>7.0</v>
      </c>
      <c r="L11" s="14">
        <f>IFERROR(IF(OR($D11="",$J11="",$J11=0),"",$D11/$J11),"")</f>
        <v>0.08670520231213873</v>
      </c>
      <c r="M11" s="14">
        <f>IFERROR(IF(OR($K11="",$K11=0,$D$33=""),"",$D$33/$K11),"")</f>
        <v>0.09999999999999999</v>
      </c>
      <c r="N11" s="13">
        <f>IFERROR(IF(OR($J11="",$J11=0),"",SUMPRODUCT(--($C$5:$C$29=$C11),$D$5:$D$29,$G$5:$G$29)/$J11),"")</f>
        <v>7.463583815028902</v>
      </c>
      <c r="O11" s="14">
        <f>IFERROR(IF(SUMPRODUCT(--($C$5:$C$29=$C11),$D$5:$D$29,$F$5:$F$29)=0,"",SUMPRODUCT(--($C$5:$C$29=$C11),$D$5:$D$29,$E$5:$E$29)/SUMPRODUCT(--($C$5:$C$29=$C11),$D$5:$D$29,$F$5:$F$29)),"")</f>
        <v>0.3071474565357373</v>
      </c>
      <c r="P11" s="13">
        <f>IFERROR(IF(OR($G11="",$D11=""),"",$G11*$D11),"")</f>
        <v>900.0</v>
      </c>
      <c r="Q11" s="13">
        <f>IFERROR(IF(OR($K11="",$K11=0),"",SUMPRODUCT(--($C$5:$C$29=$C11),$D$5:$D$29,$G$5:$G$29)/$K11),"")</f>
        <v>1844.5714285714287</v>
      </c>
    </row>
    <row r="12">
      <c r="A12" s="8" t="n">
        <v>8</v>
      </c>
      <c r="B12" s="5" t="inlineStr">
        <is>
          <t>Solomillo de cerdo ibérico con puré de boniato</t>
        </is>
      </c>
      <c r="C12" s="5" t="inlineStr">
        <is>
          <t>Principales</t>
        </is>
      </c>
      <c r="D12" s="9" t="n">
        <v>340</v>
      </c>
      <c r="E12" s="10" t="n">
        <v>5.67</v>
      </c>
      <c r="F12" s="10" t="n">
        <v>17.3</v>
      </c>
      <c r="G12" s="11">
        <f>IFERROR(IF(OR($E12="",$F12=""),"",$F12-$E12),"")</f>
        <v>11.63</v>
      </c>
      <c r="H12" s="12">
        <f>IFERROR(IF(OR($E12="",$F12="",$F12=0),"",$E12/$F12),"")</f>
        <v>0.32774566473988437</v>
      </c>
      <c r="I12" s="13">
        <f>IFERROR(IF(OR($F12="",$D$34=""),"",$F12*(1+$D$34)),"")</f>
        <v>19.03</v>
      </c>
      <c r="J12" s="8">
        <f>IFERROR(IF($C12="","",SUMPRODUCT(--($C$5:$C$29=$C12),$D$5:$D$29)),"")</f>
        <v>2020.0</v>
      </c>
      <c r="K12" s="8">
        <f>IFERROR(IF($C12="","",SUMPRODUCT(--($C$5:$C$29=$C12),--($D$5:$D$29&gt;0))),"")</f>
        <v>9.0</v>
      </c>
      <c r="L12" s="14">
        <f>IFERROR(IF(OR($D12="",$J12="",$J12=0),"",$D12/$J12),"")</f>
        <v>0.16831683168316833</v>
      </c>
      <c r="M12" s="14">
        <f>IFERROR(IF(OR($K12="",$K12=0,$D$33=""),"",$D$33/$K12),"")</f>
        <v>0.07777777777777778</v>
      </c>
      <c r="N12" s="13">
        <f>IFERROR(IF(OR($J12="",$J12=0),"",SUMPRODUCT(--($C$5:$C$29=$C12),$D$5:$D$29,$G$5:$G$29)/$J12),"")</f>
        <v>10.795148514851485</v>
      </c>
      <c r="O12" s="14">
        <f>IFERROR(IF(SUMPRODUCT(--($C$5:$C$29=$C12),$D$5:$D$29,$F$5:$F$29)=0,"",SUMPRODUCT(--($C$5:$C$29=$C12),$D$5:$D$29,$E$5:$E$29)/SUMPRODUCT(--($C$5:$C$29=$C12),$D$5:$D$29,$F$5:$F$29)),"")</f>
        <v>0.3558752289242039</v>
      </c>
      <c r="P12" s="13">
        <f>IFERROR(IF(OR($G12="",$D12=""),"",$G12*$D12),"")</f>
        <v>3954.2000000000003</v>
      </c>
      <c r="Q12" s="13">
        <f>IFERROR(IF(OR($K12="",$K12=0),"",SUMPRODUCT(--($C$5:$C$29=$C12),$D$5:$D$29,$G$5:$G$29)/$K12),"")</f>
        <v>2422.911111111111</v>
      </c>
    </row>
    <row r="13">
      <c r="A13" s="8" t="n">
        <v>9</v>
      </c>
      <c r="B13" s="5" t="inlineStr">
        <is>
          <t>Bacalao confitado al pil-pil</t>
        </is>
      </c>
      <c r="C13" s="5" t="inlineStr">
        <is>
          <t>Principales</t>
        </is>
      </c>
      <c r="D13" s="9" t="n">
        <v>190</v>
      </c>
      <c r="E13" s="10" t="n">
        <v>7.4</v>
      </c>
      <c r="F13" s="10" t="n">
        <v>19.1</v>
      </c>
      <c r="G13" s="11">
        <f>IFERROR(IF(OR($E13="",$F13=""),"",$F13-$E13),"")</f>
        <v>11.700000000000001</v>
      </c>
      <c r="H13" s="12">
        <f>IFERROR(IF(OR($E13="",$F13="",$F13=0),"",$E13/$F13),"")</f>
        <v>0.38743455497382195</v>
      </c>
      <c r="I13" s="13">
        <f>IFERROR(IF(OR($F13="",$D$34=""),"",$F13*(1+$D$34)),"")</f>
        <v>21.01</v>
      </c>
      <c r="J13" s="8">
        <f>IFERROR(IF($C13="","",SUMPRODUCT(--($C$5:$C$29=$C13),$D$5:$D$29)),"")</f>
        <v>2020.0</v>
      </c>
      <c r="K13" s="8">
        <f>IFERROR(IF($C13="","",SUMPRODUCT(--($C$5:$C$29=$C13),--($D$5:$D$29&gt;0))),"")</f>
        <v>9.0</v>
      </c>
      <c r="L13" s="14">
        <f>IFERROR(IF(OR($D13="",$J13="",$J13=0),"",$D13/$J13),"")</f>
        <v>0.09405940594059406</v>
      </c>
      <c r="M13" s="14">
        <f>IFERROR(IF(OR($K13="",$K13=0,$D$33=""),"",$D$33/$K13),"")</f>
        <v>0.07777777777777778</v>
      </c>
      <c r="N13" s="13">
        <f>IFERROR(IF(OR($J13="",$J13=0),"",SUMPRODUCT(--($C$5:$C$29=$C13),$D$5:$D$29,$G$5:$G$29)/$J13),"")</f>
        <v>10.795148514851485</v>
      </c>
      <c r="O13" s="14">
        <f>IFERROR(IF(SUMPRODUCT(--($C$5:$C$29=$C13),$D$5:$D$29,$F$5:$F$29)=0,"",SUMPRODUCT(--($C$5:$C$29=$C13),$D$5:$D$29,$E$5:$E$29)/SUMPRODUCT(--($C$5:$C$29=$C13),$D$5:$D$29,$F$5:$F$29)),"")</f>
        <v>0.3558752289242039</v>
      </c>
      <c r="P13" s="13">
        <f>IFERROR(IF(OR($G13="",$D13=""),"",$G13*$D13),"")</f>
        <v>2223.0</v>
      </c>
      <c r="Q13" s="13">
        <f>IFERROR(IF(OR($K13="",$K13=0),"",SUMPRODUCT(--($C$5:$C$29=$C13),$D$5:$D$29,$G$5:$G$29)/$K13),"")</f>
        <v>2422.911111111111</v>
      </c>
    </row>
    <row r="14">
      <c r="A14" s="8" t="n">
        <v>10</v>
      </c>
      <c r="B14" s="5" t="inlineStr">
        <is>
          <t>Hamburguesa de vaca madurada con patatas</t>
        </is>
      </c>
      <c r="C14" s="5" t="inlineStr">
        <is>
          <t>Principales</t>
        </is>
      </c>
      <c r="D14" s="9" t="n">
        <v>460</v>
      </c>
      <c r="E14" s="10" t="n">
        <v>4.3</v>
      </c>
      <c r="F14" s="10" t="n">
        <v>13.6</v>
      </c>
      <c r="G14" s="11">
        <f>IFERROR(IF(OR($E14="",$F14=""),"",$F14-$E14),"")</f>
        <v>9.3</v>
      </c>
      <c r="H14" s="12">
        <f>IFERROR(IF(OR($E14="",$F14="",$F14=0),"",$E14/$F14),"")</f>
        <v>0.3161764705882353</v>
      </c>
      <c r="I14" s="13">
        <f>IFERROR(IF(OR($F14="",$D$34=""),"",$F14*(1+$D$34)),"")</f>
        <v>14.96</v>
      </c>
      <c r="J14" s="8">
        <f>IFERROR(IF($C14="","",SUMPRODUCT(--($C$5:$C$29=$C14),$D$5:$D$29)),"")</f>
        <v>2020.0</v>
      </c>
      <c r="K14" s="8">
        <f>IFERROR(IF($C14="","",SUMPRODUCT(--($C$5:$C$29=$C14),--($D$5:$D$29&gt;0))),"")</f>
        <v>9.0</v>
      </c>
      <c r="L14" s="14">
        <f>IFERROR(IF(OR($D14="",$J14="",$J14=0),"",$D14/$J14),"")</f>
        <v>0.22772277227722773</v>
      </c>
      <c r="M14" s="14">
        <f>IFERROR(IF(OR($K14="",$K14=0,$D$33=""),"",$D$33/$K14),"")</f>
        <v>0.07777777777777778</v>
      </c>
      <c r="N14" s="13">
        <f>IFERROR(IF(OR($J14="",$J14=0),"",SUMPRODUCT(--($C$5:$C$29=$C14),$D$5:$D$29,$G$5:$G$29)/$J14),"")</f>
        <v>10.795148514851485</v>
      </c>
      <c r="O14" s="14">
        <f>IFERROR(IF(SUMPRODUCT(--($C$5:$C$29=$C14),$D$5:$D$29,$F$5:$F$29)=0,"",SUMPRODUCT(--($C$5:$C$29=$C14),$D$5:$D$29,$E$5:$E$29)/SUMPRODUCT(--($C$5:$C$29=$C14),$D$5:$D$29,$F$5:$F$29)),"")</f>
        <v>0.3558752289242039</v>
      </c>
      <c r="P14" s="13">
        <f>IFERROR(IF(OR($G14="",$D14=""),"",$G14*$D14),"")</f>
        <v>4278.0</v>
      </c>
      <c r="Q14" s="13">
        <f>IFERROR(IF(OR($K14="",$K14=0),"",SUMPRODUCT(--($C$5:$C$29=$C14),$D$5:$D$29,$G$5:$G$29)/$K14),"")</f>
        <v>2422.911111111111</v>
      </c>
    </row>
    <row r="15">
      <c r="A15" s="8" t="n">
        <v>11</v>
      </c>
      <c r="B15" s="5" t="inlineStr">
        <is>
          <t>Arroz meloso de secreto ibérico y setas</t>
        </is>
      </c>
      <c r="C15" s="5" t="inlineStr">
        <is>
          <t>Principales</t>
        </is>
      </c>
      <c r="D15" s="9" t="n">
        <v>270</v>
      </c>
      <c r="E15" s="10" t="n">
        <v>6.2</v>
      </c>
      <c r="F15" s="10" t="n">
        <v>16.4</v>
      </c>
      <c r="G15" s="11">
        <f>IFERROR(IF(OR($E15="",$F15=""),"",$F15-$E15),"")</f>
        <v>10.2</v>
      </c>
      <c r="H15" s="12">
        <f>IFERROR(IF(OR($E15="",$F15="",$F15=0),"",$E15/$F15),"")</f>
        <v>0.37804878048780494</v>
      </c>
      <c r="I15" s="13">
        <f>IFERROR(IF(OR($F15="",$D$34=""),"",$F15*(1+$D$34)),"")</f>
        <v>18.04</v>
      </c>
      <c r="J15" s="8">
        <f>IFERROR(IF($C15="","",SUMPRODUCT(--($C$5:$C$29=$C15),$D$5:$D$29)),"")</f>
        <v>2020.0</v>
      </c>
      <c r="K15" s="8">
        <f>IFERROR(IF($C15="","",SUMPRODUCT(--($C$5:$C$29=$C15),--($D$5:$D$29&gt;0))),"")</f>
        <v>9.0</v>
      </c>
      <c r="L15" s="14">
        <f>IFERROR(IF(OR($D15="",$J15="",$J15=0),"",$D15/$J15),"")</f>
        <v>0.13366336633663367</v>
      </c>
      <c r="M15" s="14">
        <f>IFERROR(IF(OR($K15="",$K15=0,$D$33=""),"",$D$33/$K15),"")</f>
        <v>0.07777777777777778</v>
      </c>
      <c r="N15" s="13">
        <f>IFERROR(IF(OR($J15="",$J15=0),"",SUMPRODUCT(--($C$5:$C$29=$C15),$D$5:$D$29,$G$5:$G$29)/$J15),"")</f>
        <v>10.795148514851485</v>
      </c>
      <c r="O15" s="14">
        <f>IFERROR(IF(SUMPRODUCT(--($C$5:$C$29=$C15),$D$5:$D$29,$F$5:$F$29)=0,"",SUMPRODUCT(--($C$5:$C$29=$C15),$D$5:$D$29,$E$5:$E$29)/SUMPRODUCT(--($C$5:$C$29=$C15),$D$5:$D$29,$F$5:$F$29)),"")</f>
        <v>0.3558752289242039</v>
      </c>
      <c r="P15" s="13">
        <f>IFERROR(IF(OR($G15="",$D15=""),"",$G15*$D15),"")</f>
        <v>2754.0</v>
      </c>
      <c r="Q15" s="13">
        <f>IFERROR(IF(OR($K15="",$K15=0),"",SUMPRODUCT(--($C$5:$C$29=$C15),$D$5:$D$29,$G$5:$G$29)/$K15),"")</f>
        <v>2422.911111111111</v>
      </c>
    </row>
    <row r="16">
      <c r="A16" s="8" t="n">
        <v>12</v>
      </c>
      <c r="B16" s="5" t="inlineStr">
        <is>
          <t>Chuletón de vaca madurada (500 g)</t>
        </is>
      </c>
      <c r="C16" s="5" t="inlineStr">
        <is>
          <t>Principales</t>
        </is>
      </c>
      <c r="D16" s="9" t="n">
        <v>110</v>
      </c>
      <c r="E16" s="10" t="n">
        <v>14.8</v>
      </c>
      <c r="F16" s="10" t="n">
        <v>32.7</v>
      </c>
      <c r="G16" s="11">
        <f>IFERROR(IF(OR($E16="",$F16=""),"",$F16-$E16),"")</f>
        <v>17.900000000000002</v>
      </c>
      <c r="H16" s="12">
        <f>IFERROR(IF(OR($E16="",$F16="",$F16=0),"",$E16/$F16),"")</f>
        <v>0.4525993883792049</v>
      </c>
      <c r="I16" s="13">
        <f>IFERROR(IF(OR($F16="",$D$34=""),"",$F16*(1+$D$34)),"")</f>
        <v>35.970000000000006</v>
      </c>
      <c r="J16" s="8">
        <f>IFERROR(IF($C16="","",SUMPRODUCT(--($C$5:$C$29=$C16),$D$5:$D$29)),"")</f>
        <v>2020.0</v>
      </c>
      <c r="K16" s="8">
        <f>IFERROR(IF($C16="","",SUMPRODUCT(--($C$5:$C$29=$C16),--($D$5:$D$29&gt;0))),"")</f>
        <v>9.0</v>
      </c>
      <c r="L16" s="14">
        <f>IFERROR(IF(OR($D16="",$J16="",$J16=0),"",$D16/$J16),"")</f>
        <v>0.054455445544554455</v>
      </c>
      <c r="M16" s="14">
        <f>IFERROR(IF(OR($K16="",$K16=0,$D$33=""),"",$D$33/$K16),"")</f>
        <v>0.07777777777777778</v>
      </c>
      <c r="N16" s="13">
        <f>IFERROR(IF(OR($J16="",$J16=0),"",SUMPRODUCT(--($C$5:$C$29=$C16),$D$5:$D$29,$G$5:$G$29)/$J16),"")</f>
        <v>10.795148514851485</v>
      </c>
      <c r="O16" s="14">
        <f>IFERROR(IF(SUMPRODUCT(--($C$5:$C$29=$C16),$D$5:$D$29,$F$5:$F$29)=0,"",SUMPRODUCT(--($C$5:$C$29=$C16),$D$5:$D$29,$E$5:$E$29)/SUMPRODUCT(--($C$5:$C$29=$C16),$D$5:$D$29,$F$5:$F$29)),"")</f>
        <v>0.3558752289242039</v>
      </c>
      <c r="P16" s="13">
        <f>IFERROR(IF(OR($G16="",$D16=""),"",$G16*$D16),"")</f>
        <v>1969.0000000000002</v>
      </c>
      <c r="Q16" s="13">
        <f>IFERROR(IF(OR($K16="",$K16=0),"",SUMPRODUCT(--($C$5:$C$29=$C16),$D$5:$D$29,$G$5:$G$29)/$K16),"")</f>
        <v>2422.911111111111</v>
      </c>
    </row>
    <row r="17">
      <c r="A17" s="8" t="n">
        <v>13</v>
      </c>
      <c r="B17" s="5" t="inlineStr">
        <is>
          <t>Lubina a la sal</t>
        </is>
      </c>
      <c r="C17" s="5" t="inlineStr">
        <is>
          <t>Principales</t>
        </is>
      </c>
      <c r="D17" s="9" t="n">
        <v>80</v>
      </c>
      <c r="E17" s="10" t="n">
        <v>8.9</v>
      </c>
      <c r="F17" s="10" t="n">
        <v>21.8</v>
      </c>
      <c r="G17" s="11">
        <f>IFERROR(IF(OR($E17="",$F17=""),"",$F17-$E17),"")</f>
        <v>12.9</v>
      </c>
      <c r="H17" s="12">
        <f>IFERROR(IF(OR($E17="",$F17="",$F17=0),"",$E17/$F17),"")</f>
        <v>0.40825688073394495</v>
      </c>
      <c r="I17" s="13">
        <f>IFERROR(IF(OR($F17="",$D$34=""),"",$F17*(1+$D$34)),"")</f>
        <v>23.980000000000004</v>
      </c>
      <c r="J17" s="8">
        <f>IFERROR(IF($C17="","",SUMPRODUCT(--($C$5:$C$29=$C17),$D$5:$D$29)),"")</f>
        <v>2020.0</v>
      </c>
      <c r="K17" s="8">
        <f>IFERROR(IF($C17="","",SUMPRODUCT(--($C$5:$C$29=$C17),--($D$5:$D$29&gt;0))),"")</f>
        <v>9.0</v>
      </c>
      <c r="L17" s="14">
        <f>IFERROR(IF(OR($D17="",$J17="",$J17=0),"",$D17/$J17),"")</f>
        <v>0.039603960396039604</v>
      </c>
      <c r="M17" s="14">
        <f>IFERROR(IF(OR($K17="",$K17=0,$D$33=""),"",$D$33/$K17),"")</f>
        <v>0.07777777777777778</v>
      </c>
      <c r="N17" s="13">
        <f>IFERROR(IF(OR($J17="",$J17=0),"",SUMPRODUCT(--($C$5:$C$29=$C17),$D$5:$D$29,$G$5:$G$29)/$J17),"")</f>
        <v>10.795148514851485</v>
      </c>
      <c r="O17" s="14">
        <f>IFERROR(IF(SUMPRODUCT(--($C$5:$C$29=$C17),$D$5:$D$29,$F$5:$F$29)=0,"",SUMPRODUCT(--($C$5:$C$29=$C17),$D$5:$D$29,$E$5:$E$29)/SUMPRODUCT(--($C$5:$C$29=$C17),$D$5:$D$29,$F$5:$F$29)),"")</f>
        <v>0.3558752289242039</v>
      </c>
      <c r="P17" s="13">
        <f>IFERROR(IF(OR($G17="",$D17=""),"",$G17*$D17),"")</f>
        <v>1032.0</v>
      </c>
      <c r="Q17" s="13">
        <f>IFERROR(IF(OR($K17="",$K17=0),"",SUMPRODUCT(--($C$5:$C$29=$C17),$D$5:$D$29,$G$5:$G$29)/$K17),"")</f>
        <v>2422.911111111111</v>
      </c>
    </row>
    <row r="18">
      <c r="A18" s="8" t="n">
        <v>14</v>
      </c>
      <c r="B18" s="5" t="inlineStr">
        <is>
          <t>Pollo de corral asado con patatas</t>
        </is>
      </c>
      <c r="C18" s="5" t="inlineStr">
        <is>
          <t>Principales</t>
        </is>
      </c>
      <c r="D18" s="9" t="n">
        <v>300</v>
      </c>
      <c r="E18" s="10" t="n">
        <v>3.7</v>
      </c>
      <c r="F18" s="10" t="n">
        <v>12.7</v>
      </c>
      <c r="G18" s="11">
        <f>IFERROR(IF(OR($E18="",$F18=""),"",$F18-$E18),"")</f>
        <v>9.0</v>
      </c>
      <c r="H18" s="12">
        <f>IFERROR(IF(OR($E18="",$F18="",$F18=0),"",$E18/$F18),"")</f>
        <v>0.2913385826771654</v>
      </c>
      <c r="I18" s="13">
        <f>IFERROR(IF(OR($F18="",$D$34=""),"",$F18*(1+$D$34)),"")</f>
        <v>13.97</v>
      </c>
      <c r="J18" s="8">
        <f>IFERROR(IF($C18="","",SUMPRODUCT(--($C$5:$C$29=$C18),$D$5:$D$29)),"")</f>
        <v>2020.0</v>
      </c>
      <c r="K18" s="8">
        <f>IFERROR(IF($C18="","",SUMPRODUCT(--($C$5:$C$29=$C18),--($D$5:$D$29&gt;0))),"")</f>
        <v>9.0</v>
      </c>
      <c r="L18" s="14">
        <f>IFERROR(IF(OR($D18="",$J18="",$J18=0),"",$D18/$J18),"")</f>
        <v>0.1485148514851485</v>
      </c>
      <c r="M18" s="14">
        <f>IFERROR(IF(OR($K18="",$K18=0,$D$33=""),"",$D$33/$K18),"")</f>
        <v>0.07777777777777778</v>
      </c>
      <c r="N18" s="13">
        <f>IFERROR(IF(OR($J18="",$J18=0),"",SUMPRODUCT(--($C$5:$C$29=$C18),$D$5:$D$29,$G$5:$G$29)/$J18),"")</f>
        <v>10.795148514851485</v>
      </c>
      <c r="O18" s="14">
        <f>IFERROR(IF(SUMPRODUCT(--($C$5:$C$29=$C18),$D$5:$D$29,$F$5:$F$29)=0,"",SUMPRODUCT(--($C$5:$C$29=$C18),$D$5:$D$29,$E$5:$E$29)/SUMPRODUCT(--($C$5:$C$29=$C18),$D$5:$D$29,$F$5:$F$29)),"")</f>
        <v>0.3558752289242039</v>
      </c>
      <c r="P18" s="13">
        <f>IFERROR(IF(OR($G18="",$D18=""),"",$G18*$D18),"")</f>
        <v>2700.0</v>
      </c>
      <c r="Q18" s="13">
        <f>IFERROR(IF(OR($K18="",$K18=0),"",SUMPRODUCT(--($C$5:$C$29=$C18),$D$5:$D$29,$G$5:$G$29)/$K18),"")</f>
        <v>2422.911111111111</v>
      </c>
    </row>
    <row r="19">
      <c r="A19" s="8" t="n">
        <v>15</v>
      </c>
      <c r="B19" s="5" t="inlineStr">
        <is>
          <t>Lasaña de verduras de temporada</t>
        </is>
      </c>
      <c r="C19" s="5" t="inlineStr">
        <is>
          <t>Principales</t>
        </is>
      </c>
      <c r="D19" s="9" t="n">
        <v>140</v>
      </c>
      <c r="E19" s="10" t="n">
        <v>2.6</v>
      </c>
      <c r="F19" s="10" t="n">
        <v>11.4</v>
      </c>
      <c r="G19" s="11">
        <f>IFERROR(IF(OR($E19="",$F19=""),"",$F19-$E19),"")</f>
        <v>8.8</v>
      </c>
      <c r="H19" s="12">
        <f>IFERROR(IF(OR($E19="",$F19="",$F19=0),"",$E19/$F19),"")</f>
        <v>0.22807017543859648</v>
      </c>
      <c r="I19" s="13">
        <f>IFERROR(IF(OR($F19="",$D$34=""),"",$F19*(1+$D$34)),"")</f>
        <v>12.540000000000001</v>
      </c>
      <c r="J19" s="8">
        <f>IFERROR(IF($C19="","",SUMPRODUCT(--($C$5:$C$29=$C19),$D$5:$D$29)),"")</f>
        <v>2020.0</v>
      </c>
      <c r="K19" s="8">
        <f>IFERROR(IF($C19="","",SUMPRODUCT(--($C$5:$C$29=$C19),--($D$5:$D$29&gt;0))),"")</f>
        <v>9.0</v>
      </c>
      <c r="L19" s="14">
        <f>IFERROR(IF(OR($D19="",$J19="",$J19=0),"",$D19/$J19),"")</f>
        <v>0.06930693069306931</v>
      </c>
      <c r="M19" s="14">
        <f>IFERROR(IF(OR($K19="",$K19=0,$D$33=""),"",$D$33/$K19),"")</f>
        <v>0.07777777777777778</v>
      </c>
      <c r="N19" s="13">
        <f>IFERROR(IF(OR($J19="",$J19=0),"",SUMPRODUCT(--($C$5:$C$29=$C19),$D$5:$D$29,$G$5:$G$29)/$J19),"")</f>
        <v>10.795148514851485</v>
      </c>
      <c r="O19" s="14">
        <f>IFERROR(IF(SUMPRODUCT(--($C$5:$C$29=$C19),$D$5:$D$29,$F$5:$F$29)=0,"",SUMPRODUCT(--($C$5:$C$29=$C19),$D$5:$D$29,$E$5:$E$29)/SUMPRODUCT(--($C$5:$C$29=$C19),$D$5:$D$29,$F$5:$F$29)),"")</f>
        <v>0.3558752289242039</v>
      </c>
      <c r="P19" s="13">
        <f>IFERROR(IF(OR($G19="",$D19=""),"",$G19*$D19),"")</f>
        <v>1232.0</v>
      </c>
      <c r="Q19" s="13">
        <f>IFERROR(IF(OR($K19="",$K19=0),"",SUMPRODUCT(--($C$5:$C$29=$C19),$D$5:$D$29,$G$5:$G$29)/$K19),"")</f>
        <v>2422.911111111111</v>
      </c>
    </row>
    <row r="20">
      <c r="A20" s="8" t="n">
        <v>16</v>
      </c>
      <c r="B20" s="5" t="inlineStr">
        <is>
          <t>Tataki de atún rojo con sésamo</t>
        </is>
      </c>
      <c r="C20" s="5" t="inlineStr">
        <is>
          <t>Principales</t>
        </is>
      </c>
      <c r="D20" s="9" t="n">
        <v>130</v>
      </c>
      <c r="E20" s="10" t="n">
        <v>9.6</v>
      </c>
      <c r="F20" s="10" t="n">
        <v>22.4</v>
      </c>
      <c r="G20" s="11">
        <f>IFERROR(IF(OR($E20="",$F20=""),"",$F20-$E20),"")</f>
        <v>12.799999999999999</v>
      </c>
      <c r="H20" s="12">
        <f>IFERROR(IF(OR($E20="",$F20="",$F20=0),"",$E20/$F20),"")</f>
        <v>0.4285714285714286</v>
      </c>
      <c r="I20" s="13">
        <f>IFERROR(IF(OR($F20="",$D$34=""),"",$F20*(1+$D$34)),"")</f>
        <v>24.64</v>
      </c>
      <c r="J20" s="8">
        <f>IFERROR(IF($C20="","",SUMPRODUCT(--($C$5:$C$29=$C20),$D$5:$D$29)),"")</f>
        <v>2020.0</v>
      </c>
      <c r="K20" s="8">
        <f>IFERROR(IF($C20="","",SUMPRODUCT(--($C$5:$C$29=$C20),--($D$5:$D$29&gt;0))),"")</f>
        <v>9.0</v>
      </c>
      <c r="L20" s="14">
        <f>IFERROR(IF(OR($D20="",$J20="",$J20=0),"",$D20/$J20),"")</f>
        <v>0.06435643564356436</v>
      </c>
      <c r="M20" s="14">
        <f>IFERROR(IF(OR($K20="",$K20=0,$D$33=""),"",$D$33/$K20),"")</f>
        <v>0.07777777777777778</v>
      </c>
      <c r="N20" s="13">
        <f>IFERROR(IF(OR($J20="",$J20=0),"",SUMPRODUCT(--($C$5:$C$29=$C20),$D$5:$D$29,$G$5:$G$29)/$J20),"")</f>
        <v>10.795148514851485</v>
      </c>
      <c r="O20" s="14">
        <f>IFERROR(IF(SUMPRODUCT(--($C$5:$C$29=$C20),$D$5:$D$29,$F$5:$F$29)=0,"",SUMPRODUCT(--($C$5:$C$29=$C20),$D$5:$D$29,$E$5:$E$29)/SUMPRODUCT(--($C$5:$C$29=$C20),$D$5:$D$29,$F$5:$F$29)),"")</f>
        <v>0.3558752289242039</v>
      </c>
      <c r="P20" s="13">
        <f>IFERROR(IF(OR($G20="",$D20=""),"",$G20*$D20),"")</f>
        <v>1663.9999999999998</v>
      </c>
      <c r="Q20" s="13">
        <f>IFERROR(IF(OR($K20="",$K20=0),"",SUMPRODUCT(--($C$5:$C$29=$C20),$D$5:$D$29,$G$5:$G$29)/$K20),"")</f>
        <v>2422.911111111111</v>
      </c>
    </row>
    <row r="21">
      <c r="A21" s="8" t="n">
        <v>17</v>
      </c>
      <c r="B21" s="5" t="inlineStr">
        <is>
          <t>Tarta de queso cremosa</t>
        </is>
      </c>
      <c r="C21" s="5" t="inlineStr">
        <is>
          <t>Postres</t>
        </is>
      </c>
      <c r="D21" s="9" t="n">
        <v>520</v>
      </c>
      <c r="E21" s="10" t="n">
        <v>1.3</v>
      </c>
      <c r="F21" s="10" t="n">
        <v>5.9</v>
      </c>
      <c r="G21" s="11">
        <f>IFERROR(IF(OR($E21="",$F21=""),"",$F21-$E21),"")</f>
        <v>4.6000000000000005</v>
      </c>
      <c r="H21" s="12">
        <f>IFERROR(IF(OR($E21="",$F21="",$F21=0),"",$E21/$F21),"")</f>
        <v>0.22033898305084745</v>
      </c>
      <c r="I21" s="13">
        <f>IFERROR(IF(OR($F21="",$D$34=""),"",$F21*(1+$D$34)),"")</f>
        <v>6.490000000000001</v>
      </c>
      <c r="J21" s="8">
        <f>IFERROR(IF($C21="","",SUMPRODUCT(--($C$5:$C$29=$C21),$D$5:$D$29)),"")</f>
        <v>1120.0</v>
      </c>
      <c r="K21" s="8">
        <f>IFERROR(IF($C21="","",SUMPRODUCT(--($C$5:$C$29=$C21),--($D$5:$D$29&gt;0))),"")</f>
        <v>4.0</v>
      </c>
      <c r="L21" s="14">
        <f>IFERROR(IF(OR($D21="",$J21="",$J21=0),"",$D21/$J21),"")</f>
        <v>0.4642857142857143</v>
      </c>
      <c r="M21" s="14">
        <f>IFERROR(IF(OR($K21="",$K21=0,$D$33=""),"",$D$33/$K21),"")</f>
        <v>0.175</v>
      </c>
      <c r="N21" s="13">
        <f>IFERROR(IF(OR($J21="",$J21=0),"",SUMPRODUCT(--($C$5:$C$29=$C21),$D$5:$D$29,$G$5:$G$29)/$J21),"")</f>
        <v>4.482142857142857</v>
      </c>
      <c r="O21" s="14">
        <f>IFERROR(IF(SUMPRODUCT(--($C$5:$C$29=$C21),$D$5:$D$29,$F$5:$F$29)=0,"",SUMPRODUCT(--($C$5:$C$29=$C21),$D$5:$D$29,$E$5:$E$29)/SUMPRODUCT(--($C$5:$C$29=$C21),$D$5:$D$29,$F$5:$F$29)),"")</f>
        <v>0.2322985165927512</v>
      </c>
      <c r="P21" s="13">
        <f>IFERROR(IF(OR($G21="",$D21=""),"",$G21*$D21),"")</f>
        <v>2392.0000000000005</v>
      </c>
      <c r="Q21" s="13">
        <f>IFERROR(IF(OR($K21="",$K21=0),"",SUMPRODUCT(--($C$5:$C$29=$C21),$D$5:$D$29,$G$5:$G$29)/$K21),"")</f>
        <v>1255.0</v>
      </c>
    </row>
    <row r="22">
      <c r="A22" s="8" t="n">
        <v>18</v>
      </c>
      <c r="B22" s="5" t="inlineStr">
        <is>
          <t>Torrija caramelizada con helado</t>
        </is>
      </c>
      <c r="C22" s="5" t="inlineStr">
        <is>
          <t>Postres</t>
        </is>
      </c>
      <c r="D22" s="9" t="n">
        <v>210</v>
      </c>
      <c r="E22" s="10" t="n">
        <v>1.1</v>
      </c>
      <c r="F22" s="10" t="n">
        <v>5.5</v>
      </c>
      <c r="G22" s="11">
        <f>IFERROR(IF(OR($E22="",$F22=""),"",$F22-$E22),"")</f>
        <v>4.4</v>
      </c>
      <c r="H22" s="12">
        <f>IFERROR(IF(OR($E22="",$F22="",$F22=0),"",$E22/$F22),"")</f>
        <v>0.2</v>
      </c>
      <c r="I22" s="13">
        <f>IFERROR(IF(OR($F22="",$D$34=""),"",$F22*(1+$D$34)),"")</f>
        <v>6.050000000000001</v>
      </c>
      <c r="J22" s="8">
        <f>IFERROR(IF($C22="","",SUMPRODUCT(--($C$5:$C$29=$C22),$D$5:$D$29)),"")</f>
        <v>1120.0</v>
      </c>
      <c r="K22" s="8">
        <f>IFERROR(IF($C22="","",SUMPRODUCT(--($C$5:$C$29=$C22),--($D$5:$D$29&gt;0))),"")</f>
        <v>4.0</v>
      </c>
      <c r="L22" s="14">
        <f>IFERROR(IF(OR($D22="",$J22="",$J22=0),"",$D22/$J22),"")</f>
        <v>0.1875</v>
      </c>
      <c r="M22" s="14">
        <f>IFERROR(IF(OR($K22="",$K22=0,$D$33=""),"",$D$33/$K22),"")</f>
        <v>0.175</v>
      </c>
      <c r="N22" s="13">
        <f>IFERROR(IF(OR($J22="",$J22=0),"",SUMPRODUCT(--($C$5:$C$29=$C22),$D$5:$D$29,$G$5:$G$29)/$J22),"")</f>
        <v>4.482142857142857</v>
      </c>
      <c r="O22" s="14">
        <f>IFERROR(IF(SUMPRODUCT(--($C$5:$C$29=$C22),$D$5:$D$29,$F$5:$F$29)=0,"",SUMPRODUCT(--($C$5:$C$29=$C22),$D$5:$D$29,$E$5:$E$29)/SUMPRODUCT(--($C$5:$C$29=$C22),$D$5:$D$29,$F$5:$F$29)),"")</f>
        <v>0.2322985165927512</v>
      </c>
      <c r="P22" s="13">
        <f>IFERROR(IF(OR($G22="",$D22=""),"",$G22*$D22),"")</f>
        <v>924.0000000000001</v>
      </c>
      <c r="Q22" s="13">
        <f>IFERROR(IF(OR($K22="",$K22=0),"",SUMPRODUCT(--($C$5:$C$29=$C22),$D$5:$D$29,$G$5:$G$29)/$K22),"")</f>
        <v>1255.0</v>
      </c>
    </row>
    <row r="23">
      <c r="A23" s="8" t="n">
        <v>19</v>
      </c>
      <c r="B23" s="5" t="inlineStr">
        <is>
          <t>Coulant de chocolate</t>
        </is>
      </c>
      <c r="C23" s="5" t="inlineStr">
        <is>
          <t>Postres</t>
        </is>
      </c>
      <c r="D23" s="9" t="n">
        <v>330</v>
      </c>
      <c r="E23" s="10" t="n">
        <v>1.6</v>
      </c>
      <c r="F23" s="10" t="n">
        <v>6.2</v>
      </c>
      <c r="G23" s="11">
        <f>IFERROR(IF(OR($E23="",$F23=""),"",$F23-$E23),"")</f>
        <v>4.6</v>
      </c>
      <c r="H23" s="12">
        <f>IFERROR(IF(OR($E23="",$F23="",$F23=0),"",$E23/$F23),"")</f>
        <v>0.25806451612903225</v>
      </c>
      <c r="I23" s="13">
        <f>IFERROR(IF(OR($F23="",$D$34=""),"",$F23*(1+$D$34)),"")</f>
        <v>6.820000000000001</v>
      </c>
      <c r="J23" s="8">
        <f>IFERROR(IF($C23="","",SUMPRODUCT(--($C$5:$C$29=$C23),$D$5:$D$29)),"")</f>
        <v>1120.0</v>
      </c>
      <c r="K23" s="8">
        <f>IFERROR(IF($C23="","",SUMPRODUCT(--($C$5:$C$29=$C23),--($D$5:$D$29&gt;0))),"")</f>
        <v>4.0</v>
      </c>
      <c r="L23" s="14">
        <f>IFERROR(IF(OR($D23="",$J23="",$J23=0),"",$D23/$J23),"")</f>
        <v>0.29464285714285715</v>
      </c>
      <c r="M23" s="14">
        <f>IFERROR(IF(OR($K23="",$K23=0,$D$33=""),"",$D$33/$K23),"")</f>
        <v>0.175</v>
      </c>
      <c r="N23" s="13">
        <f>IFERROR(IF(OR($J23="",$J23=0),"",SUMPRODUCT(--($C$5:$C$29=$C23),$D$5:$D$29,$G$5:$G$29)/$J23),"")</f>
        <v>4.482142857142857</v>
      </c>
      <c r="O23" s="14">
        <f>IFERROR(IF(SUMPRODUCT(--($C$5:$C$29=$C23),$D$5:$D$29,$F$5:$F$29)=0,"",SUMPRODUCT(--($C$5:$C$29=$C23),$D$5:$D$29,$E$5:$E$29)/SUMPRODUCT(--($C$5:$C$29=$C23),$D$5:$D$29,$F$5:$F$29)),"")</f>
        <v>0.2322985165927512</v>
      </c>
      <c r="P23" s="13">
        <f>IFERROR(IF(OR($G23="",$D23=""),"",$G23*$D23),"")</f>
        <v>1517.9999999999998</v>
      </c>
      <c r="Q23" s="13">
        <f>IFERROR(IF(OR($K23="",$K23=0),"",SUMPRODUCT(--($C$5:$C$29=$C23),$D$5:$D$29,$G$5:$G$29)/$K23),"")</f>
        <v>1255.0</v>
      </c>
    </row>
    <row r="24">
      <c r="A24" s="8" t="n">
        <v>20</v>
      </c>
      <c r="B24" s="5" t="inlineStr">
        <is>
          <t>Fruta de temporada preparada</t>
        </is>
      </c>
      <c r="C24" s="5" t="inlineStr">
        <is>
          <t>Postres</t>
        </is>
      </c>
      <c r="D24" s="9" t="n">
        <v>60</v>
      </c>
      <c r="E24" s="10" t="n">
        <v>1.4</v>
      </c>
      <c r="F24" s="10" t="n">
        <v>4.5</v>
      </c>
      <c r="G24" s="11">
        <f>IFERROR(IF(OR($E24="",$F24=""),"",$F24-$E24),"")</f>
        <v>3.1</v>
      </c>
      <c r="H24" s="12">
        <f>IFERROR(IF(OR($E24="",$F24="",$F24=0),"",$E24/$F24),"")</f>
        <v>0.3111111111111111</v>
      </c>
      <c r="I24" s="13">
        <f>IFERROR(IF(OR($F24="",$D$34=""),"",$F24*(1+$D$34)),"")</f>
        <v>4.95</v>
      </c>
      <c r="J24" s="8">
        <f>IFERROR(IF($C24="","",SUMPRODUCT(--($C$5:$C$29=$C24),$D$5:$D$29)),"")</f>
        <v>1120.0</v>
      </c>
      <c r="K24" s="8">
        <f>IFERROR(IF($C24="","",SUMPRODUCT(--($C$5:$C$29=$C24),--($D$5:$D$29&gt;0))),"")</f>
        <v>4.0</v>
      </c>
      <c r="L24" s="14">
        <f>IFERROR(IF(OR($D24="",$J24="",$J24=0),"",$D24/$J24),"")</f>
        <v>0.05357142857142857</v>
      </c>
      <c r="M24" s="14">
        <f>IFERROR(IF(OR($K24="",$K24=0,$D$33=""),"",$D$33/$K24),"")</f>
        <v>0.175</v>
      </c>
      <c r="N24" s="13">
        <f>IFERROR(IF(OR($J24="",$J24=0),"",SUMPRODUCT(--($C$5:$C$29=$C24),$D$5:$D$29,$G$5:$G$29)/$J24),"")</f>
        <v>4.482142857142857</v>
      </c>
      <c r="O24" s="14">
        <f>IFERROR(IF(SUMPRODUCT(--($C$5:$C$29=$C24),$D$5:$D$29,$F$5:$F$29)=0,"",SUMPRODUCT(--($C$5:$C$29=$C24),$D$5:$D$29,$E$5:$E$29)/SUMPRODUCT(--($C$5:$C$29=$C24),$D$5:$D$29,$F$5:$F$29)),"")</f>
        <v>0.2322985165927512</v>
      </c>
      <c r="P24" s="13">
        <f>IFERROR(IF(OR($G24="",$D24=""),"",$G24*$D24),"")</f>
        <v>186.0</v>
      </c>
      <c r="Q24" s="13">
        <f>IFERROR(IF(OR($K24="",$K24=0),"",SUMPRODUCT(--($C$5:$C$29=$C24),$D$5:$D$29,$G$5:$G$29)/$K24),"")</f>
        <v>1255.0</v>
      </c>
    </row>
    <row r="25">
      <c r="A25" s="8" t="n">
        <v>21</v>
      </c>
      <c r="B25" s="5" t="n"/>
      <c r="C25" s="5" t="n"/>
      <c r="D25" s="9" t="n"/>
      <c r="E25" s="10" t="n"/>
      <c r="F25" s="10" t="n"/>
      <c r="G25" s="11">
        <f>IFERROR(IF(OR($E25="",$F25=""),"",$F25-$E25),"")</f>
        <v/>
      </c>
      <c r="H25" s="12">
        <f>IFERROR(IF(OR($E25="",$F25="",$F25=0),"",$E25/$F25),"")</f>
        <v/>
      </c>
      <c r="I25" s="13">
        <f>IFERROR(IF(OR($F25="",$D$34=""),"",$F25*(1+$D$34)),"")</f>
        <v/>
      </c>
      <c r="J25" s="8">
        <f>IFERROR(IF($C25="","",SUMPRODUCT(--($C$5:$C$29=$C25),$D$5:$D$29)),"")</f>
        <v/>
      </c>
      <c r="K25" s="8">
        <f>IFERROR(IF($C25="","",SUMPRODUCT(--($C$5:$C$29=$C25),--($D$5:$D$29&gt;0))),"")</f>
        <v/>
      </c>
      <c r="L25" s="14">
        <f>IFERROR(IF(OR($D25="",$J25="",$J25=0),"",$D25/$J25),"")</f>
        <v/>
      </c>
      <c r="M25" s="14">
        <f>IFERROR(IF(OR($K25="",$K25=0,$D$33=""),"",$D$33/$K25),"")</f>
        <v/>
      </c>
      <c r="N25" s="13">
        <f>IFERROR(IF(OR($J25="",$J25=0),"",SUMPRODUCT(--($C$5:$C$29=$C25),$D$5:$D$29,$G$5:$G$29)/$J25),"")</f>
        <v/>
      </c>
      <c r="O25" s="14">
        <f>IFERROR(IF(SUMPRODUCT(--($C$5:$C$29=$C25),$D$5:$D$29,$F$5:$F$29)=0,"",SUMPRODUCT(--($C$5:$C$29=$C25),$D$5:$D$29,$E$5:$E$29)/SUMPRODUCT(--($C$5:$C$29=$C25),$D$5:$D$29,$F$5:$F$29)),"")</f>
        <v/>
      </c>
      <c r="P25" s="13">
        <f>IFERROR(IF(OR($G25="",$D25=""),"",$G25*$D25),"")</f>
        <v/>
      </c>
      <c r="Q25" s="13">
        <f>IFERROR(IF(OR($K25="",$K25=0),"",SUMPRODUCT(--($C$5:$C$29=$C25),$D$5:$D$29,$G$5:$G$29)/$K25),"")</f>
        <v/>
      </c>
    </row>
    <row r="26">
      <c r="A26" s="8" t="n">
        <v>22</v>
      </c>
      <c r="B26" s="5" t="n"/>
      <c r="C26" s="5" t="n"/>
      <c r="D26" s="9" t="n"/>
      <c r="E26" s="10" t="n"/>
      <c r="F26" s="10" t="n"/>
      <c r="G26" s="11">
        <f>IFERROR(IF(OR($E26="",$F26=""),"",$F26-$E26),"")</f>
        <v/>
      </c>
      <c r="H26" s="12">
        <f>IFERROR(IF(OR($E26="",$F26="",$F26=0),"",$E26/$F26),"")</f>
        <v/>
      </c>
      <c r="I26" s="13">
        <f>IFERROR(IF(OR($F26="",$D$34=""),"",$F26*(1+$D$34)),"")</f>
        <v/>
      </c>
      <c r="J26" s="8">
        <f>IFERROR(IF($C26="","",SUMPRODUCT(--($C$5:$C$29=$C26),$D$5:$D$29)),"")</f>
        <v/>
      </c>
      <c r="K26" s="8">
        <f>IFERROR(IF($C26="","",SUMPRODUCT(--($C$5:$C$29=$C26),--($D$5:$D$29&gt;0))),"")</f>
        <v/>
      </c>
      <c r="L26" s="14">
        <f>IFERROR(IF(OR($D26="",$J26="",$J26=0),"",$D26/$J26),"")</f>
        <v/>
      </c>
      <c r="M26" s="14">
        <f>IFERROR(IF(OR($K26="",$K26=0,$D$33=""),"",$D$33/$K26),"")</f>
        <v/>
      </c>
      <c r="N26" s="13">
        <f>IFERROR(IF(OR($J26="",$J26=0),"",SUMPRODUCT(--($C$5:$C$29=$C26),$D$5:$D$29,$G$5:$G$29)/$J26),"")</f>
        <v/>
      </c>
      <c r="O26" s="14">
        <f>IFERROR(IF(SUMPRODUCT(--($C$5:$C$29=$C26),$D$5:$D$29,$F$5:$F$29)=0,"",SUMPRODUCT(--($C$5:$C$29=$C26),$D$5:$D$29,$E$5:$E$29)/SUMPRODUCT(--($C$5:$C$29=$C26),$D$5:$D$29,$F$5:$F$29)),"")</f>
        <v/>
      </c>
      <c r="P26" s="13">
        <f>IFERROR(IF(OR($G26="",$D26=""),"",$G26*$D26),"")</f>
        <v/>
      </c>
      <c r="Q26" s="13">
        <f>IFERROR(IF(OR($K26="",$K26=0),"",SUMPRODUCT(--($C$5:$C$29=$C26),$D$5:$D$29,$G$5:$G$29)/$K26),"")</f>
        <v/>
      </c>
    </row>
    <row r="27">
      <c r="A27" s="8" t="n">
        <v>23</v>
      </c>
      <c r="B27" s="5" t="n"/>
      <c r="C27" s="5" t="n"/>
      <c r="D27" s="9" t="n"/>
      <c r="E27" s="10" t="n"/>
      <c r="F27" s="10" t="n"/>
      <c r="G27" s="11">
        <f>IFERROR(IF(OR($E27="",$F27=""),"",$F27-$E27),"")</f>
        <v/>
      </c>
      <c r="H27" s="12">
        <f>IFERROR(IF(OR($E27="",$F27="",$F27=0),"",$E27/$F27),"")</f>
        <v/>
      </c>
      <c r="I27" s="13">
        <f>IFERROR(IF(OR($F27="",$D$34=""),"",$F27*(1+$D$34)),"")</f>
        <v/>
      </c>
      <c r="J27" s="8">
        <f>IFERROR(IF($C27="","",SUMPRODUCT(--($C$5:$C$29=$C27),$D$5:$D$29)),"")</f>
        <v/>
      </c>
      <c r="K27" s="8">
        <f>IFERROR(IF($C27="","",SUMPRODUCT(--($C$5:$C$29=$C27),--($D$5:$D$29&gt;0))),"")</f>
        <v/>
      </c>
      <c r="L27" s="14">
        <f>IFERROR(IF(OR($D27="",$J27="",$J27=0),"",$D27/$J27),"")</f>
        <v/>
      </c>
      <c r="M27" s="14">
        <f>IFERROR(IF(OR($K27="",$K27=0,$D$33=""),"",$D$33/$K27),"")</f>
        <v/>
      </c>
      <c r="N27" s="13">
        <f>IFERROR(IF(OR($J27="",$J27=0),"",SUMPRODUCT(--($C$5:$C$29=$C27),$D$5:$D$29,$G$5:$G$29)/$J27),"")</f>
        <v/>
      </c>
      <c r="O27" s="14">
        <f>IFERROR(IF(SUMPRODUCT(--($C$5:$C$29=$C27),$D$5:$D$29,$F$5:$F$29)=0,"",SUMPRODUCT(--($C$5:$C$29=$C27),$D$5:$D$29,$E$5:$E$29)/SUMPRODUCT(--($C$5:$C$29=$C27),$D$5:$D$29,$F$5:$F$29)),"")</f>
        <v/>
      </c>
      <c r="P27" s="13">
        <f>IFERROR(IF(OR($G27="",$D27=""),"",$G27*$D27),"")</f>
        <v/>
      </c>
      <c r="Q27" s="13">
        <f>IFERROR(IF(OR($K27="",$K27=0),"",SUMPRODUCT(--($C$5:$C$29=$C27),$D$5:$D$29,$G$5:$G$29)/$K27),"")</f>
        <v/>
      </c>
    </row>
    <row r="28">
      <c r="A28" s="8" t="n">
        <v>24</v>
      </c>
      <c r="B28" s="5" t="n"/>
      <c r="C28" s="5" t="n"/>
      <c r="D28" s="9" t="n"/>
      <c r="E28" s="10" t="n"/>
      <c r="F28" s="10" t="n"/>
      <c r="G28" s="11">
        <f>IFERROR(IF(OR($E28="",$F28=""),"",$F28-$E28),"")</f>
        <v/>
      </c>
      <c r="H28" s="12">
        <f>IFERROR(IF(OR($E28="",$F28="",$F28=0),"",$E28/$F28),"")</f>
        <v/>
      </c>
      <c r="I28" s="13">
        <f>IFERROR(IF(OR($F28="",$D$34=""),"",$F28*(1+$D$34)),"")</f>
        <v/>
      </c>
      <c r="J28" s="8">
        <f>IFERROR(IF($C28="","",SUMPRODUCT(--($C$5:$C$29=$C28),$D$5:$D$29)),"")</f>
        <v/>
      </c>
      <c r="K28" s="8">
        <f>IFERROR(IF($C28="","",SUMPRODUCT(--($C$5:$C$29=$C28),--($D$5:$D$29&gt;0))),"")</f>
        <v/>
      </c>
      <c r="L28" s="14">
        <f>IFERROR(IF(OR($D28="",$J28="",$J28=0),"",$D28/$J28),"")</f>
        <v/>
      </c>
      <c r="M28" s="14">
        <f>IFERROR(IF(OR($K28="",$K28=0,$D$33=""),"",$D$33/$K28),"")</f>
        <v/>
      </c>
      <c r="N28" s="13">
        <f>IFERROR(IF(OR($J28="",$J28=0),"",SUMPRODUCT(--($C$5:$C$29=$C28),$D$5:$D$29,$G$5:$G$29)/$J28),"")</f>
        <v/>
      </c>
      <c r="O28" s="14">
        <f>IFERROR(IF(SUMPRODUCT(--($C$5:$C$29=$C28),$D$5:$D$29,$F$5:$F$29)=0,"",SUMPRODUCT(--($C$5:$C$29=$C28),$D$5:$D$29,$E$5:$E$29)/SUMPRODUCT(--($C$5:$C$29=$C28),$D$5:$D$29,$F$5:$F$29)),"")</f>
        <v/>
      </c>
      <c r="P28" s="13">
        <f>IFERROR(IF(OR($G28="",$D28=""),"",$G28*$D28),"")</f>
        <v/>
      </c>
      <c r="Q28" s="13">
        <f>IFERROR(IF(OR($K28="",$K28=0),"",SUMPRODUCT(--($C$5:$C$29=$C28),$D$5:$D$29,$G$5:$G$29)/$K28),"")</f>
        <v/>
      </c>
    </row>
    <row r="29">
      <c r="A29" s="8" t="n">
        <v>25</v>
      </c>
      <c r="B29" s="5" t="n"/>
      <c r="C29" s="5" t="n"/>
      <c r="D29" s="9" t="n"/>
      <c r="E29" s="10" t="n"/>
      <c r="F29" s="10" t="n"/>
      <c r="G29" s="11">
        <f>IFERROR(IF(OR($E29="",$F29=""),"",$F29-$E29),"")</f>
        <v/>
      </c>
      <c r="H29" s="12">
        <f>IFERROR(IF(OR($E29="",$F29="",$F29=0),"",$E29/$F29),"")</f>
        <v/>
      </c>
      <c r="I29" s="13">
        <f>IFERROR(IF(OR($F29="",$D$34=""),"",$F29*(1+$D$34)),"")</f>
        <v/>
      </c>
      <c r="J29" s="8">
        <f>IFERROR(IF($C29="","",SUMPRODUCT(--($C$5:$C$29=$C29),$D$5:$D$29)),"")</f>
        <v/>
      </c>
      <c r="K29" s="8">
        <f>IFERROR(IF($C29="","",SUMPRODUCT(--($C$5:$C$29=$C29),--($D$5:$D$29&gt;0))),"")</f>
        <v/>
      </c>
      <c r="L29" s="14">
        <f>IFERROR(IF(OR($D29="",$J29="",$J29=0),"",$D29/$J29),"")</f>
        <v/>
      </c>
      <c r="M29" s="14">
        <f>IFERROR(IF(OR($K29="",$K29=0,$D$33=""),"",$D$33/$K29),"")</f>
        <v/>
      </c>
      <c r="N29" s="13">
        <f>IFERROR(IF(OR($J29="",$J29=0),"",SUMPRODUCT(--($C$5:$C$29=$C29),$D$5:$D$29,$G$5:$G$29)/$J29),"")</f>
        <v/>
      </c>
      <c r="O29" s="14">
        <f>IFERROR(IF(SUMPRODUCT(--($C$5:$C$29=$C29),$D$5:$D$29,$F$5:$F$29)=0,"",SUMPRODUCT(--($C$5:$C$29=$C29),$D$5:$D$29,$E$5:$E$29)/SUMPRODUCT(--($C$5:$C$29=$C29),$D$5:$D$29,$F$5:$F$29)),"")</f>
        <v/>
      </c>
      <c r="P29" s="13">
        <f>IFERROR(IF(OR($G29="",$D29=""),"",$G29*$D29),"")</f>
        <v/>
      </c>
      <c r="Q29" s="13">
        <f>IFERROR(IF(OR($K29="",$K29=0),"",SUMPRODUCT(--($C$5:$C$29=$C29),$D$5:$D$29,$G$5:$G$29)/$K29),"")</f>
        <v/>
      </c>
    </row>
    <row r="30"/>
    <row r="31">
      <c r="A31" s="15" t="inlineStr">
        <is>
          <t>RESUMEN Y PARÁMETROS — lo calcula el libro</t>
        </is>
      </c>
    </row>
    <row r="32">
      <c r="B32" s="16" t="inlineStr">
        <is>
          <t>TOTAL DE LA CARTA</t>
        </is>
      </c>
      <c r="D32" s="17">
        <f>IFERROR(SUM($D$5:$D$29),"")</f>
        <v>4870.0</v>
      </c>
      <c r="G32" s="18">
        <f>IFERROR(IF($D$32=0,"",SUMPRODUCT($D$5:$D$29,$G$5:$G$29)/$D$32),"")</f>
        <v>8.159794661190965</v>
      </c>
      <c r="H32" s="19">
        <f>IFERROR(IF(SUMPRODUCT($D$5:$D$29,$F$5:$F$29)=0,"",SUMPRODUCT($D$5:$D$29,$E$5:$E$29)/SUMPRODUCT($D$5:$D$29,$F$5:$F$29)),"")</f>
        <v>0.3268020803333954</v>
      </c>
      <c r="I32" s="18">
        <f>IFERROR(SUMPRODUCT($D$5:$D$29,$F$5:$F$29),"")</f>
        <v>59029.0</v>
      </c>
      <c r="J32" s="6" t="inlineStr">
        <is>
          <t>Uds · MC medio ponderado · food cost medio ponderado · ventas netas del mes</t>
        </is>
      </c>
    </row>
    <row r="33">
      <c r="B33" t="inlineStr">
        <is>
          <t>Factor del umbral de popularidad (%)</t>
        </is>
      </c>
      <c r="D33" s="20" t="n">
        <v>0.7</v>
      </c>
      <c r="F33" t="inlineStr">
        <is>
          <t>El clásico es el 70 % del mix medio: el umbral de cada familia = este factor ÷ número de platos de la familia con ventas. Súbelo si la familia es muy corta.</t>
        </is>
      </c>
    </row>
    <row r="34">
      <c r="B34" t="inlineStr">
        <is>
          <t>Tipo de IVA de restauración (%)</t>
        </is>
      </c>
      <c r="D34" s="21" t="n">
        <v>0.1</v>
      </c>
      <c r="F34" t="inlineStr">
        <is>
          <t>10 % en restauración, INCLUIDA la bebida alcohólica servida en sala: el art. 91.Uno.2.2 de la Ley del IVA grava a ese tipo los servicios de hostelería y «el suministro de comidas y bebidas para consumir en el acto», y no excluye el alcohol. Cámbialo aquí y se recalcula todo el libro.</t>
        </is>
      </c>
    </row>
    <row r="35">
      <c r="B35" t="inlineStr">
        <is>
          <t>Platos con ventas en la carta</t>
        </is>
      </c>
      <c r="D35" s="8">
        <f>COUNTIF($D$5:$D$29,"&gt;0")</f>
        <v>20.0</v>
      </c>
    </row>
    <row r="36">
      <c r="B36" t="inlineStr">
        <is>
          <t>Platos dados de alta en la carta</t>
        </is>
      </c>
      <c r="D36" s="8">
        <f>COUNTIF($B$5:$B$29,"&lt;&gt;")</f>
        <v>20.0</v>
      </c>
    </row>
    <row r="37"/>
    <row r="38">
      <c r="A38" s="15" t="inlineStr">
        <is>
          <t>RESUMEN POR FAMILIA — lo calcula el libro</t>
        </is>
      </c>
    </row>
    <row r="39" ht="34" customHeight="1">
      <c r="B39" s="7" t="inlineStr">
        <is>
          <t>Familia</t>
        </is>
      </c>
      <c r="C39" s="7" t="inlineStr">
        <is>
          <t>Platos en carta</t>
        </is>
      </c>
      <c r="D39" s="7" t="inlineStr">
        <is>
          <t>Platos con ventas</t>
        </is>
      </c>
      <c r="E39" s="7" t="inlineStr">
        <is>
          <t>Uds vendidas</t>
        </is>
      </c>
      <c r="F39" s="7" t="inlineStr">
        <is>
          <t>Mix sobre la carta (%)</t>
        </is>
      </c>
      <c r="G39" s="7" t="inlineStr">
        <is>
          <t>MC medio ponderado (€)</t>
        </is>
      </c>
      <c r="H39" s="7" t="inlineStr">
        <is>
          <t>Food cost medio ponderado (%)</t>
        </is>
      </c>
      <c r="I39" s="7" t="inlineStr">
        <is>
          <t>Ventas netas del mes (€)</t>
        </is>
      </c>
    </row>
    <row r="40">
      <c r="B40" s="15" t="inlineStr">
        <is>
          <t>Entrantes</t>
        </is>
      </c>
      <c r="C40" s="8">
        <f>COUNTIF($C$5:$C$29,$B40)</f>
        <v>7.0</v>
      </c>
      <c r="D40" s="8">
        <f>IFERROR(IF($C40=0,"",SUMPRODUCT(--($C$5:$C$29=$B40),--($D$5:$D$29&gt;0))),"")</f>
        <v>7.0</v>
      </c>
      <c r="E40" s="8">
        <f>IFERROR(IF($C40=0,"",SUMIF($C$5:$C$29,$B40,$D$5:$D$29)),"")</f>
        <v>1730.0</v>
      </c>
      <c r="F40" s="14">
        <f>IFERROR(IF(OR($D$32=0,$C40=0),"",$E40/$D$32),"")</f>
        <v>0.35523613963039014</v>
      </c>
      <c r="G40" s="13">
        <f>IFERROR(IF($E40=0,"",SUMPRODUCT(--($C$5:$C$29=$B40),$D$5:$D$29,$G$5:$G$29)/$E40),"")</f>
        <v>7.463583815028902</v>
      </c>
      <c r="H40" s="14">
        <f>IFERROR(IF(SUMPRODUCT(--($C$5:$C$29=$B40),$D$5:$D$29,$F$5:$F$29)=0,"",SUMPRODUCT(--($C$5:$C$29=$B40),$D$5:$D$29,$E$5:$E$29)/SUMPRODUCT(--($C$5:$C$29=$B40),$D$5:$D$29,$F$5:$F$29)),"")</f>
        <v>0.3071474565357373</v>
      </c>
      <c r="I40" s="13">
        <f>IFERROR(SUMPRODUCT(--($C$5:$C$29=$B40),$D$5:$D$29,$F$5:$F$29),"")</f>
        <v>18636.0</v>
      </c>
    </row>
    <row r="41">
      <c r="B41" s="15" t="inlineStr">
        <is>
          <t>Principales</t>
        </is>
      </c>
      <c r="C41" s="8">
        <f>COUNTIF($C$5:$C$29,$B41)</f>
        <v>9.0</v>
      </c>
      <c r="D41" s="8">
        <f>IFERROR(IF($C41=0,"",SUMPRODUCT(--($C$5:$C$29=$B41),--($D$5:$D$29&gt;0))),"")</f>
        <v>9.0</v>
      </c>
      <c r="E41" s="8">
        <f>IFERROR(IF($C41=0,"",SUMIF($C$5:$C$29,$B41,$D$5:$D$29)),"")</f>
        <v>2020.0</v>
      </c>
      <c r="F41" s="14">
        <f>IFERROR(IF(OR($D$32=0,$C41=0),"",$E41/$D$32),"")</f>
        <v>0.41478439425051333</v>
      </c>
      <c r="G41" s="13">
        <f>IFERROR(IF($E41=0,"",SUMPRODUCT(--($C$5:$C$29=$B41),$D$5:$D$29,$G$5:$G$29)/$E41),"")</f>
        <v>10.795148514851485</v>
      </c>
      <c r="H41" s="14">
        <f>IFERROR(IF(SUMPRODUCT(--($C$5:$C$29=$B41),$D$5:$D$29,$F$5:$F$29)=0,"",SUMPRODUCT(--($C$5:$C$29=$B41),$D$5:$D$29,$E$5:$E$29)/SUMPRODUCT(--($C$5:$C$29=$B41),$D$5:$D$29,$F$5:$F$29)),"")</f>
        <v>0.3558752289242039</v>
      </c>
      <c r="I41" s="13">
        <f>IFERROR(SUMPRODUCT(--($C$5:$C$29=$B41),$D$5:$D$29,$F$5:$F$29),"")</f>
        <v>33854.0</v>
      </c>
    </row>
    <row r="42">
      <c r="B42" s="15" t="inlineStr">
        <is>
          <t>Postres</t>
        </is>
      </c>
      <c r="C42" s="8">
        <f>COUNTIF($C$5:$C$29,$B42)</f>
        <v>4.0</v>
      </c>
      <c r="D42" s="8">
        <f>IFERROR(IF($C42=0,"",SUMPRODUCT(--($C$5:$C$29=$B42),--($D$5:$D$29&gt;0))),"")</f>
        <v>4.0</v>
      </c>
      <c r="E42" s="8">
        <f>IFERROR(IF($C42=0,"",SUMIF($C$5:$C$29,$B42,$D$5:$D$29)),"")</f>
        <v>1120.0</v>
      </c>
      <c r="F42" s="14">
        <f>IFERROR(IF(OR($D$32=0,$C42=0),"",$E42/$D$32),"")</f>
        <v>0.2299794661190965</v>
      </c>
      <c r="G42" s="13">
        <f>IFERROR(IF($E42=0,"",SUMPRODUCT(--($C$5:$C$29=$B42),$D$5:$D$29,$G$5:$G$29)/$E42),"")</f>
        <v>4.482142857142857</v>
      </c>
      <c r="H42" s="14">
        <f>IFERROR(IF(SUMPRODUCT(--($C$5:$C$29=$B42),$D$5:$D$29,$F$5:$F$29)=0,"",SUMPRODUCT(--($C$5:$C$29=$B42),$D$5:$D$29,$E$5:$E$29)/SUMPRODUCT(--($C$5:$C$29=$B42),$D$5:$D$29,$F$5:$F$29)),"")</f>
        <v>0.2322985165927512</v>
      </c>
      <c r="I42" s="13">
        <f>IFERROR(SUMPRODUCT(--($C$5:$C$29=$B42),$D$5:$D$29,$F$5:$F$29),"")</f>
        <v>6539.0</v>
      </c>
    </row>
    <row r="43">
      <c r="B43" s="15" t="inlineStr">
        <is>
          <t>Menú</t>
        </is>
      </c>
      <c r="C43" s="8">
        <f>COUNTIF($C$5:$C$29,$B43)</f>
        <v>0.0</v>
      </c>
      <c r="D43" s="8">
        <f>IFERROR(IF($C43=0,"",SUMPRODUCT(--($C$5:$C$29=$B43),--($D$5:$D$29&gt;0))),"")</f>
        <v/>
      </c>
      <c r="E43" s="8">
        <f>IFERROR(IF($C43=0,"",SUMIF($C$5:$C$29,$B43,$D$5:$D$29)),"")</f>
        <v/>
      </c>
      <c r="F43" s="14">
        <f>IFERROR(IF(OR($D$32=0,$C43=0),"",$E43/$D$32),"")</f>
        <v/>
      </c>
      <c r="G43" s="13">
        <f>IFERROR(IF($E43=0,"",SUMPRODUCT(--($C$5:$C$29=$B43),$D$5:$D$29,$G$5:$G$29)/$E43),"")</f>
        <v/>
      </c>
      <c r="H43" s="14">
        <f>IFERROR(IF(SUMPRODUCT(--($C$5:$C$29=$B43),$D$5:$D$29,$F$5:$F$29)=0,"",SUMPRODUCT(--($C$5:$C$29=$B43),$D$5:$D$29,$E$5:$E$29)/SUMPRODUCT(--($C$5:$C$29=$B43),$D$5:$D$29,$F$5:$F$29)),"")</f>
        <v/>
      </c>
      <c r="I43" s="13">
        <f>IFERROR(SUMPRODUCT(--($C$5:$C$29=$B43),$D$5:$D$29,$F$5:$F$29),"")</f>
        <v>0.0</v>
      </c>
    </row>
  </sheetData>
  <sheetProtection selectLockedCells="0" selectUnlockedCells="0" sheet="1" objects="0" insertRows="0" insertHyperlinks="1" autoFilter="1" scenarios="0" formatColumns="0" deleteColumns="1" insertColumns="1" pivotTables="1" deleteRows="1" formatCells="1" formatRows="0" sort="0"/>
  <dataValidations count="5">
    <dataValidation sqref="C5 C6 C7 C8 C9 C10 C11 C12 C13 C14 C15 C16 C17 C18 C19 C20 C21 C22 C23 C24 C25 C26 C27 C28 C29" showDropDown="0" showInputMessage="0" showErrorMessage="1" allowBlank="1" errorTitle="Familia no válida" error="Elige un valor de la lista: Entrantes, Principales, Postres, Menú" type="list">
      <formula1>"Entrantes,Principales,Postres,Menú"</formula1>
    </dataValidation>
    <dataValidation sqref="D5 D6 D7 D8 D9 D10 D11 D12 D13 D14 D15 D16 D17 D18 D19 D20 D21 D22 D23 D24 D25 D26 D27 D28 D29" showDropDown="0" showInputMessage="0" showErrorMessage="1" allowBlank="1" errorTitle="Unidades no válidas" error="Escribe las unidades vendidas del último mes (0 o más)." type="decimal" operator="greaterThanOrEqual">
      <formula1>0</formula1>
    </dataValidation>
    <dataValidation sqref="E5 E6 E7 E8 E9 E10 E11 E12 E13 E14 E15 E16 E17 E18 E19 E20 E21 E22 E23 E24 E25 E26 E27 E28 E29 F5 F6 F7 F8 F9 F10 F11 F12 F13 F14 F15 F16 F17 F18 F19 F20 F21 F22 F23 F24 F25 F26 F27 F28 F29" showDropDown="0" showInputMessage="0" showErrorMessage="1" allowBlank="1" errorTitle="Importe no válido" error="Escribe un número mayor o igual que 0." type="decimal" operator="greaterThanOrEqual">
      <formula1>0</formula1>
    </dataValidation>
    <dataValidation sqref="D33" showDropDown="0" showInputMessage="1" showErrorMessage="1" allowBlank="1" errorTitle="Factor del umbral" error="Escribe un porcentaje entre 0 y 1 (0,20 = 20 %)." promptTitle="Factor del umbral" prompt="Se escribe en tanto por uno: 0,70 = 70 %." type="decimal" operator="between">
      <formula1>0</formula1>
      <formula2>1.0</formula2>
    </dataValidation>
    <dataValidation sqref="D34"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3" customWidth="1" min="5" max="5"/>
    <col width="14" customWidth="1" min="6" max="6"/>
    <col width="12" customWidth="1" min="7" max="7"/>
    <col width="12" customWidth="1" min="8" max="8"/>
    <col width="15" customWidth="1" min="9" max="9"/>
    <col width="12" customWidth="1" min="10" max="10"/>
    <col width="14" customWidth="1" min="11" max="11"/>
    <col width="46" customWidth="1" min="12" max="12"/>
    <col width="42" customWidth="1" min="13" max="13"/>
  </cols>
  <sheetData>
    <row r="1">
      <c r="A1" s="1" t="inlineStr">
        <is>
          <t>Kasavana &amp; Smith — popularidad × margen de contribución</t>
        </is>
      </c>
    </row>
    <row r="2">
      <c r="A2" s="2" t="inlineStr">
        <is>
          <t>AI Chef Pro · aichef.pro — Guía Food Cost + Ingeniería de Menú</t>
        </is>
      </c>
    </row>
    <row r="3">
      <c r="E3" s="6" t="inlineStr">
        <is>
          <t>Todo se calcula desde la hoja «Datos». Aquí no se teclea nada.</t>
        </is>
      </c>
    </row>
    <row r="4" ht="46" customHeight="1">
      <c r="A4" s="7" t="inlineStr">
        <is>
          <t>#</t>
        </is>
      </c>
      <c r="B4" s="7" t="inlineStr">
        <is>
          <t>Plato</t>
        </is>
      </c>
      <c r="C4" s="7" t="inlineStr">
        <is>
          <t>Familia</t>
        </is>
      </c>
      <c r="D4" s="7" t="inlineStr">
        <is>
          <t>Uds vendidas</t>
        </is>
      </c>
      <c r="E4" s="7" t="inlineStr">
        <is>
          <t>Mix dentro de su familia (%)</t>
        </is>
      </c>
      <c r="F4" s="7" t="inlineStr">
        <is>
          <t>Umbral de popularidad de su familia (%)</t>
        </is>
      </c>
      <c r="G4" s="7" t="inlineStr">
        <is>
          <t>Popularidad</t>
        </is>
      </c>
      <c r="H4" s="7" t="inlineStr">
        <is>
          <t>MC del plato (€)</t>
        </is>
      </c>
      <c r="I4" s="7" t="inlineStr">
        <is>
          <t>MC medio ponderado de su familia (€)</t>
        </is>
      </c>
      <c r="J4" s="7" t="inlineStr">
        <is>
          <t>Nivel de margen</t>
        </is>
      </c>
      <c r="K4" s="7" t="inlineStr">
        <is>
          <t>Clasificación</t>
        </is>
      </c>
      <c r="L4" s="7" t="inlineStr">
        <is>
          <t>Qué significa</t>
        </is>
      </c>
      <c r="M4" s="7" t="inlineStr">
        <is>
          <t>Acción recomendada</t>
        </is>
      </c>
    </row>
    <row r="5">
      <c r="A5" s="8" t="n">
        <v>1</v>
      </c>
      <c r="B5" t="str">
        <f>IFERROR(IF('Datos'!$B5="","",'Datos'!$B5),"")</f>
        <v>Croquetas de jamón ibérico (6 ud)</v>
      </c>
      <c r="C5" t="str">
        <f>IFERROR(IF('Datos'!$C5="","",'Datos'!$C5),"")</f>
        <v>Entrantes</v>
      </c>
      <c r="D5" s="8">
        <f>IFERROR(IF('Datos'!$D5="","",'Datos'!$D5),"")</f>
        <v>420.0</v>
      </c>
      <c r="E5" s="14">
        <f>IFERROR(IF('Datos'!$L5="","",'Datos'!$L5),"")</f>
        <v>0.24277456647398843</v>
      </c>
      <c r="F5" s="14">
        <f>IFERROR(IF('Datos'!$M5="","",'Datos'!$M5),"")</f>
        <v>0.09999999999999999</v>
      </c>
      <c r="G5" t="str">
        <f>IFERROR(IF(OR($E5="",$F5=""),"",IF($E5&gt;=$F5,"Alta","Baja")),"")</f>
        <v>Alta</v>
      </c>
      <c r="H5" s="11">
        <f>IFERROR(IF('Datos'!$G5="","",'Datos'!$G5),"")</f>
        <v>6.5</v>
      </c>
      <c r="I5" s="13">
        <f>IFERROR(IF('Datos'!$N5="","",'Datos'!$N5),"")</f>
        <v>7.463583815028902</v>
      </c>
      <c r="J5" t="str">
        <f>IFERROR(IF(OR($H5="",$I5=""),"",IF($H5&gt;=$I5,"Alto","Bajo")),"")</f>
        <v>Bajo</v>
      </c>
      <c r="K5" s="15" t="str">
        <f>IFERROR(IF(OR($G5="",$J5=""),"",IF(AND($G5="Alta",$J5="Alto"),"Star",IF(AND($G5="Alta",$J5="Bajo"),"Plowhorse",IF(AND($G5="Baja",$J5="Alto"),"Puzzle","Dog")))),"")</f>
        <v>Plowhorse</v>
      </c>
      <c r="L5" t="str">
        <f>IFERROR(IF($K5="","",IF($K5="Star","Se vende y deja margen: es el plato que sostiene a su familia.",IF($K5="Plowhorse","Se vende mucho, pero deja poco margen en euros por unidad.",IF($K5="Puzzle","Deja buen margen en euros, pero se pide poco.","Ni se vende ni deja margen.")))),"")</f>
        <v>Se vende mucho, pero deja poco margen en euros por unidad.</v>
      </c>
      <c r="M5" t="str">
        <f>IFERROR(IF($K5="","",IF($K5="Star","Mantener receta y proveedor, y darle sitio destacado en la carta.",IF($K5="Plowhorse","Subir precio con cuidado o bajar coste sin tocar la ración.",IF($K5="Puzzle","Reubicar en la carta, renombrar y que la sala lo sugiera.","Retirar o reformular: ocupa sitio en la carta y en la cocina.")))),"")</f>
        <v>Subir precio con cuidado o bajar coste sin tocar la ración.</v>
      </c>
    </row>
    <row r="6">
      <c r="A6" s="8" t="n">
        <v>2</v>
      </c>
      <c r="B6" t="str">
        <f>IFERROR(IF('Datos'!$B6="","",'Datos'!$B6),"")</f>
        <v>Ensalada de tomate rosa, ventresca y cebolleta</v>
      </c>
      <c r="C6" t="str">
        <f>IFERROR(IF('Datos'!$C6="","",'Datos'!$C6),"")</f>
        <v>Entrantes</v>
      </c>
      <c r="D6" s="8">
        <f>IFERROR(IF('Datos'!$D6="","",'Datos'!$D6),"")</f>
        <v>310.0</v>
      </c>
      <c r="E6" s="14">
        <f>IFERROR(IF('Datos'!$L6="","",'Datos'!$L6),"")</f>
        <v>0.1791907514450867</v>
      </c>
      <c r="F6" s="14">
        <f>IFERROR(IF('Datos'!$M6="","",'Datos'!$M6),"")</f>
        <v>0.09999999999999999</v>
      </c>
      <c r="G6" t="str">
        <f>IFERROR(IF(OR($E6="",$F6=""),"",IF($E6&gt;=$F6,"Alta","Baja")),"")</f>
        <v>Alta</v>
      </c>
      <c r="H6" s="11">
        <f>IFERROR(IF('Datos'!$G6="","",'Datos'!$G6),"")</f>
        <v>8.200000000000001</v>
      </c>
      <c r="I6" s="13">
        <f>IFERROR(IF('Datos'!$N6="","",'Datos'!$N6),"")</f>
        <v>7.463583815028902</v>
      </c>
      <c r="J6" t="str">
        <f>IFERROR(IF(OR($H6="",$I6=""),"",IF($H6&gt;=$I6,"Alto","Bajo")),"")</f>
        <v>Alto</v>
      </c>
      <c r="K6" s="15" t="str">
        <f>IFERROR(IF(OR($G6="",$J6=""),"",IF(AND($G6="Alta",$J6="Alto"),"Star",IF(AND($G6="Alta",$J6="Bajo"),"Plowhorse",IF(AND($G6="Baja",$J6="Alto"),"Puzzle","Dog")))),"")</f>
        <v>Star</v>
      </c>
      <c r="L6" t="str">
        <f>IFERROR(IF($K6="","",IF($K6="Star","Se vende y deja margen: es el plato que sostiene a su familia.",IF($K6="Plowhorse","Se vende mucho, pero deja poco margen en euros por unidad.",IF($K6="Puzzle","Deja buen margen en euros, pero se pide poco.","Ni se vende ni deja margen.")))),"")</f>
        <v>Se vende y deja margen: es el plato que sostiene a su familia.</v>
      </c>
      <c r="M6" t="str">
        <f>IFERROR(IF($K6="","",IF($K6="Star","Mantener receta y proveedor, y darle sitio destacado en la carta.",IF($K6="Plowhorse","Subir precio con cuidado o bajar coste sin tocar la ración.",IF($K6="Puzzle","Reubicar en la carta, renombrar y que la sala lo sugiera.","Retirar o reformular: ocupa sitio en la carta y en la cocina.")))),"")</f>
        <v>Mantener receta y proveedor, y darle sitio destacado en la carta.</v>
      </c>
    </row>
    <row r="7">
      <c r="A7" s="8" t="n">
        <v>3</v>
      </c>
      <c r="B7" t="str">
        <f>IFERROR(IF('Datos'!$B7="","",'Datos'!$B7),"")</f>
        <v>Gambas al ajillo</v>
      </c>
      <c r="C7" t="str">
        <f>IFERROR(IF('Datos'!$C7="","",'Datos'!$C7),"")</f>
        <v>Entrantes</v>
      </c>
      <c r="D7" s="8">
        <f>IFERROR(IF('Datos'!$D7="","",'Datos'!$D7),"")</f>
        <v>260.0</v>
      </c>
      <c r="E7" s="14">
        <f>IFERROR(IF('Datos'!$L7="","",'Datos'!$L7),"")</f>
        <v>0.15028901734104047</v>
      </c>
      <c r="F7" s="14">
        <f>IFERROR(IF('Datos'!$M7="","",'Datos'!$M7),"")</f>
        <v>0.09999999999999999</v>
      </c>
      <c r="G7" t="str">
        <f>IFERROR(IF(OR($E7="",$F7=""),"",IF($E7&gt;=$F7,"Alta","Baja")),"")</f>
        <v>Alta</v>
      </c>
      <c r="H7" s="11">
        <f>IFERROR(IF('Datos'!$G7="","",'Datos'!$G7),"")</f>
        <v>8.6</v>
      </c>
      <c r="I7" s="13">
        <f>IFERROR(IF('Datos'!$N7="","",'Datos'!$N7),"")</f>
        <v>7.463583815028902</v>
      </c>
      <c r="J7" t="str">
        <f>IFERROR(IF(OR($H7="",$I7=""),"",IF($H7&gt;=$I7,"Alto","Bajo")),"")</f>
        <v>Alto</v>
      </c>
      <c r="K7" s="15" t="str">
        <f>IFERROR(IF(OR($G7="",$J7=""),"",IF(AND($G7="Alta",$J7="Alto"),"Star",IF(AND($G7="Alta",$J7="Bajo"),"Plowhorse",IF(AND($G7="Baja",$J7="Alto"),"Puzzle","Dog")))),"")</f>
        <v>Star</v>
      </c>
      <c r="L7" t="str">
        <f>IFERROR(IF($K7="","",IF($K7="Star","Se vende y deja margen: es el plato que sostiene a su familia.",IF($K7="Plowhorse","Se vende mucho, pero deja poco margen en euros por unidad.",IF($K7="Puzzle","Deja buen margen en euros, pero se pide poco.","Ni se vende ni deja margen.")))),"")</f>
        <v>Se vende y deja margen: es el plato que sostiene a su familia.</v>
      </c>
      <c r="M7" t="str">
        <f>IFERROR(IF($K7="","",IF($K7="Star","Mantener receta y proveedor, y darle sitio destacado en la carta.",IF($K7="Plowhorse","Subir precio con cuidado o bajar coste sin tocar la ración.",IF($K7="Puzzle","Reubicar en la carta, renombrar y que la sala lo sugiera.","Retirar o reformular: ocupa sitio en la carta y en la cocina.")))),"")</f>
        <v>Mantener receta y proveedor, y darle sitio destacado en la carta.</v>
      </c>
    </row>
    <row r="8">
      <c r="A8" s="8" t="n">
        <v>4</v>
      </c>
      <c r="B8" t="str">
        <f>IFERROR(IF('Datos'!$B8="","",'Datos'!$B8),"")</f>
        <v>Huevos rotos con patatas y chistorra</v>
      </c>
      <c r="C8" t="str">
        <f>IFERROR(IF('Datos'!$C8="","",'Datos'!$C8),"")</f>
        <v>Entrantes</v>
      </c>
      <c r="D8" s="8">
        <f>IFERROR(IF('Datos'!$D8="","",'Datos'!$D8),"")</f>
        <v>380.0</v>
      </c>
      <c r="E8" s="14">
        <f>IFERROR(IF('Datos'!$L8="","",'Datos'!$L8),"")</f>
        <v>0.21965317919075145</v>
      </c>
      <c r="F8" s="14">
        <f>IFERROR(IF('Datos'!$M8="","",'Datos'!$M8),"")</f>
        <v>0.09999999999999999</v>
      </c>
      <c r="G8" t="str">
        <f>IFERROR(IF(OR($E8="",$F8=""),"",IF($E8&gt;=$F8,"Alta","Baja")),"")</f>
        <v>Alta</v>
      </c>
      <c r="H8" s="11">
        <f>IFERROR(IF('Datos'!$G8="","",'Datos'!$G8),"")</f>
        <v>7.4</v>
      </c>
      <c r="I8" s="13">
        <f>IFERROR(IF('Datos'!$N8="","",'Datos'!$N8),"")</f>
        <v>7.463583815028902</v>
      </c>
      <c r="J8" t="str">
        <f>IFERROR(IF(OR($H8="",$I8=""),"",IF($H8&gt;=$I8,"Alto","Bajo")),"")</f>
        <v>Bajo</v>
      </c>
      <c r="K8" s="15" t="str">
        <f>IFERROR(IF(OR($G8="",$J8=""),"",IF(AND($G8="Alta",$J8="Alto"),"Star",IF(AND($G8="Alta",$J8="Bajo"),"Plowhorse",IF(AND($G8="Baja",$J8="Alto"),"Puzzle","Dog")))),"")</f>
        <v>Plowhorse</v>
      </c>
      <c r="L8" t="str">
        <f>IFERROR(IF($K8="","",IF($K8="Star","Se vende y deja margen: es el plato que sostiene a su familia.",IF($K8="Plowhorse","Se vende mucho, pero deja poco margen en euros por unidad.",IF($K8="Puzzle","Deja buen margen en euros, pero se pide poco.","Ni se vende ni deja margen.")))),"")</f>
        <v>Se vende mucho, pero deja poco margen en euros por unidad.</v>
      </c>
      <c r="M8" t="str">
        <f>IFERROR(IF($K8="","",IF($K8="Star","Mantener receta y proveedor, y darle sitio destacado en la carta.",IF($K8="Plowhorse","Subir precio con cuidado o bajar coste sin tocar la ración.",IF($K8="Puzzle","Reubicar en la carta, renombrar y que la sala lo sugiera.","Retirar o reformular: ocupa sitio en la carta y en la cocina.")))),"")</f>
        <v>Subir precio con cuidado o bajar coste sin tocar la ración.</v>
      </c>
    </row>
    <row r="9">
      <c r="A9" s="8" t="n">
        <v>5</v>
      </c>
      <c r="B9" t="str">
        <f>IFERROR(IF('Datos'!$B9="","",'Datos'!$B9),"")</f>
        <v>Tabla de quesos de la zona</v>
      </c>
      <c r="C9" t="str">
        <f>IFERROR(IF('Datos'!$C9="","",'Datos'!$C9),"")</f>
        <v>Entrantes</v>
      </c>
      <c r="D9" s="8">
        <f>IFERROR(IF('Datos'!$D9="","",'Datos'!$D9),"")</f>
        <v>90.0</v>
      </c>
      <c r="E9" s="14">
        <f>IFERROR(IF('Datos'!$L9="","",'Datos'!$L9),"")</f>
        <v>0.05202312138728324</v>
      </c>
      <c r="F9" s="14">
        <f>IFERROR(IF('Datos'!$M9="","",'Datos'!$M9),"")</f>
        <v>0.09999999999999999</v>
      </c>
      <c r="G9" t="str">
        <f>IFERROR(IF(OR($E9="",$F9=""),"",IF($E9&gt;=$F9,"Alta","Baja")),"")</f>
        <v>Baja</v>
      </c>
      <c r="H9" s="11">
        <f>IFERROR(IF('Datos'!$G9="","",'Datos'!$G9),"")</f>
        <v>8.399999999999999</v>
      </c>
      <c r="I9" s="13">
        <f>IFERROR(IF('Datos'!$N9="","",'Datos'!$N9),"")</f>
        <v>7.463583815028902</v>
      </c>
      <c r="J9" t="str">
        <f>IFERROR(IF(OR($H9="",$I9=""),"",IF($H9&gt;=$I9,"Alto","Bajo")),"")</f>
        <v>Alto</v>
      </c>
      <c r="K9" s="15" t="str">
        <f>IFERROR(IF(OR($G9="",$J9=""),"",IF(AND($G9="Alta",$J9="Alto"),"Star",IF(AND($G9="Alta",$J9="Bajo"),"Plowhorse",IF(AND($G9="Baja",$J9="Alto"),"Puzzle","Dog")))),"")</f>
        <v>Puzzle</v>
      </c>
      <c r="L9" t="str">
        <f>IFERROR(IF($K9="","",IF($K9="Star","Se vende y deja margen: es el plato que sostiene a su familia.",IF($K9="Plowhorse","Se vende mucho, pero deja poco margen en euros por unidad.",IF($K9="Puzzle","Deja buen margen en euros, pero se pide poco.","Ni se vende ni deja margen.")))),"")</f>
        <v>Deja buen margen en euros, pero se pide poco.</v>
      </c>
      <c r="M9" t="str">
        <f>IFERROR(IF($K9="","",IF($K9="Star","Mantener receta y proveedor, y darle sitio destacado en la carta.",IF($K9="Plowhorse","Subir precio con cuidado o bajar coste sin tocar la ración.",IF($K9="Puzzle","Reubicar en la carta, renombrar y que la sala lo sugiera.","Retirar o reformular: ocupa sitio en la carta y en la cocina.")))),"")</f>
        <v>Reubicar en la carta, renombrar y que la sala lo sugiera.</v>
      </c>
    </row>
    <row r="10">
      <c r="A10" s="8" t="n">
        <v>6</v>
      </c>
      <c r="B10" t="str">
        <f>IFERROR(IF('Datos'!$B10="","",'Datos'!$B10),"")</f>
        <v>Alcachofas confitadas con jamón</v>
      </c>
      <c r="C10" t="str">
        <f>IFERROR(IF('Datos'!$C10="","",'Datos'!$C10),"")</f>
        <v>Entrantes</v>
      </c>
      <c r="D10" s="8">
        <f>IFERROR(IF('Datos'!$D10="","",'Datos'!$D10),"")</f>
        <v>120.0</v>
      </c>
      <c r="E10" s="14">
        <f>IFERROR(IF('Datos'!$L10="","",'Datos'!$L10),"")</f>
        <v>0.06936416184971098</v>
      </c>
      <c r="F10" s="14">
        <f>IFERROR(IF('Datos'!$M10="","",'Datos'!$M10),"")</f>
        <v>0.09999999999999999</v>
      </c>
      <c r="G10" t="str">
        <f>IFERROR(IF(OR($E10="",$F10=""),"",IF($E10&gt;=$F10,"Alta","Baja")),"")</f>
        <v>Baja</v>
      </c>
      <c r="H10" s="11">
        <f>IFERROR(IF('Datos'!$G10="","",'Datos'!$G10),"")</f>
        <v>7.800000000000001</v>
      </c>
      <c r="I10" s="13">
        <f>IFERROR(IF('Datos'!$N10="","",'Datos'!$N10),"")</f>
        <v>7.463583815028902</v>
      </c>
      <c r="J10" t="str">
        <f>IFERROR(IF(OR($H10="",$I10=""),"",IF($H10&gt;=$I10,"Alto","Bajo")),"")</f>
        <v>Alto</v>
      </c>
      <c r="K10" s="15" t="str">
        <f>IFERROR(IF(OR($G10="",$J10=""),"",IF(AND($G10="Alta",$J10="Alto"),"Star",IF(AND($G10="Alta",$J10="Bajo"),"Plowhorse",IF(AND($G10="Baja",$J10="Alto"),"Puzzle","Dog")))),"")</f>
        <v>Puzzle</v>
      </c>
      <c r="L10" t="str">
        <f>IFERROR(IF($K10="","",IF($K10="Star","Se vende y deja margen: es el plato que sostiene a su familia.",IF($K10="Plowhorse","Se vende mucho, pero deja poco margen en euros por unidad.",IF($K10="Puzzle","Deja buen margen en euros, pero se pide poco.","Ni se vende ni deja margen.")))),"")</f>
        <v>Deja buen margen en euros, pero se pide poco.</v>
      </c>
      <c r="M10" t="str">
        <f>IFERROR(IF($K10="","",IF($K10="Star","Mantener receta y proveedor, y darle sitio destacado en la carta.",IF($K10="Plowhorse","Subir precio con cuidado o bajar coste sin tocar la ración.",IF($K10="Puzzle","Reubicar en la carta, renombrar y que la sala lo sugiera.","Retirar o reformular: ocupa sitio en la carta y en la cocina.")))),"")</f>
        <v>Reubicar en la carta, renombrar y que la sala lo sugiera.</v>
      </c>
    </row>
    <row r="11">
      <c r="A11" s="8" t="n">
        <v>7</v>
      </c>
      <c r="B11" t="str">
        <f>IFERROR(IF('Datos'!$B11="","",'Datos'!$B11),"")</f>
        <v>Sopa de tomate asado con albahaca</v>
      </c>
      <c r="C11" t="str">
        <f>IFERROR(IF('Datos'!$C11="","",'Datos'!$C11),"")</f>
        <v>Entrantes</v>
      </c>
      <c r="D11" s="8">
        <f>IFERROR(IF('Datos'!$D11="","",'Datos'!$D11),"")</f>
        <v>150.0</v>
      </c>
      <c r="E11" s="14">
        <f>IFERROR(IF('Datos'!$L11="","",'Datos'!$L11),"")</f>
        <v>0.08670520231213873</v>
      </c>
      <c r="F11" s="14">
        <f>IFERROR(IF('Datos'!$M11="","",'Datos'!$M11),"")</f>
        <v>0.09999999999999999</v>
      </c>
      <c r="G11" t="str">
        <f>IFERROR(IF(OR($E11="",$F11=""),"",IF($E11&gt;=$F11,"Alta","Baja")),"")</f>
        <v>Baja</v>
      </c>
      <c r="H11" s="11">
        <f>IFERROR(IF('Datos'!$G11="","",'Datos'!$G11),"")</f>
        <v>6.0</v>
      </c>
      <c r="I11" s="13">
        <f>IFERROR(IF('Datos'!$N11="","",'Datos'!$N11),"")</f>
        <v>7.463583815028902</v>
      </c>
      <c r="J11" t="str">
        <f>IFERROR(IF(OR($H11="",$I11=""),"",IF($H11&gt;=$I11,"Alto","Bajo")),"")</f>
        <v>Bajo</v>
      </c>
      <c r="K11" s="15" t="str">
        <f>IFERROR(IF(OR($G11="",$J11=""),"",IF(AND($G11="Alta",$J11="Alto"),"Star",IF(AND($G11="Alta",$J11="Bajo"),"Plowhorse",IF(AND($G11="Baja",$J11="Alto"),"Puzzle","Dog")))),"")</f>
        <v>Dog</v>
      </c>
      <c r="L11" t="str">
        <f>IFERROR(IF($K11="","",IF($K11="Star","Se vende y deja margen: es el plato que sostiene a su familia.",IF($K11="Plowhorse","Se vende mucho, pero deja poco margen en euros por unidad.",IF($K11="Puzzle","Deja buen margen en euros, pero se pide poco.","Ni se vende ni deja margen.")))),"")</f>
        <v>Ni se vende ni deja margen.</v>
      </c>
      <c r="M11" t="str">
        <f>IFERROR(IF($K11="","",IF($K11="Star","Mantener receta y proveedor, y darle sitio destacado en la carta.",IF($K11="Plowhorse","Subir precio con cuidado o bajar coste sin tocar la ración.",IF($K11="Puzzle","Reubicar en la carta, renombrar y que la sala lo sugiera.","Retirar o reformular: ocupa sitio en la carta y en la cocina.")))),"")</f>
        <v>Retirar o reformular: ocupa sitio en la carta y en la cocina.</v>
      </c>
    </row>
    <row r="12">
      <c r="A12" s="8" t="n">
        <v>8</v>
      </c>
      <c r="B12" t="str">
        <f>IFERROR(IF('Datos'!$B12="","",'Datos'!$B12),"")</f>
        <v>Solomillo de cerdo ibérico con puré de boniato</v>
      </c>
      <c r="C12" t="str">
        <f>IFERROR(IF('Datos'!$C12="","",'Datos'!$C12),"")</f>
        <v>Principales</v>
      </c>
      <c r="D12" s="8">
        <f>IFERROR(IF('Datos'!$D12="","",'Datos'!$D12),"")</f>
        <v>340.0</v>
      </c>
      <c r="E12" s="14">
        <f>IFERROR(IF('Datos'!$L12="","",'Datos'!$L12),"")</f>
        <v>0.16831683168316833</v>
      </c>
      <c r="F12" s="14">
        <f>IFERROR(IF('Datos'!$M12="","",'Datos'!$M12),"")</f>
        <v>0.07777777777777778</v>
      </c>
      <c r="G12" t="str">
        <f>IFERROR(IF(OR($E12="",$F12=""),"",IF($E12&gt;=$F12,"Alta","Baja")),"")</f>
        <v>Alta</v>
      </c>
      <c r="H12" s="11">
        <f>IFERROR(IF('Datos'!$G12="","",'Datos'!$G12),"")</f>
        <v>11.63</v>
      </c>
      <c r="I12" s="13">
        <f>IFERROR(IF('Datos'!$N12="","",'Datos'!$N12),"")</f>
        <v>10.795148514851485</v>
      </c>
      <c r="J12" t="str">
        <f>IFERROR(IF(OR($H12="",$I12=""),"",IF($H12&gt;=$I12,"Alto","Bajo")),"")</f>
        <v>Alto</v>
      </c>
      <c r="K12" s="15" t="str">
        <f>IFERROR(IF(OR($G12="",$J12=""),"",IF(AND($G12="Alta",$J12="Alto"),"Star",IF(AND($G12="Alta",$J12="Bajo"),"Plowhorse",IF(AND($G12="Baja",$J12="Alto"),"Puzzle","Dog")))),"")</f>
        <v>Star</v>
      </c>
      <c r="L12" t="str">
        <f>IFERROR(IF($K12="","",IF($K12="Star","Se vende y deja margen: es el plato que sostiene a su familia.",IF($K12="Plowhorse","Se vende mucho, pero deja poco margen en euros por unidad.",IF($K12="Puzzle","Deja buen margen en euros, pero se pide poco.","Ni se vende ni deja margen.")))),"")</f>
        <v>Se vende y deja margen: es el plato que sostiene a su familia.</v>
      </c>
      <c r="M12" t="str">
        <f>IFERROR(IF($K12="","",IF($K12="Star","Mantener receta y proveedor, y darle sitio destacado en la carta.",IF($K12="Plowhorse","Subir precio con cuidado o bajar coste sin tocar la ración.",IF($K12="Puzzle","Reubicar en la carta, renombrar y que la sala lo sugiera.","Retirar o reformular: ocupa sitio en la carta y en la cocina.")))),"")</f>
        <v>Mantener receta y proveedor, y darle sitio destacado en la carta.</v>
      </c>
    </row>
    <row r="13">
      <c r="A13" s="8" t="n">
        <v>9</v>
      </c>
      <c r="B13" t="str">
        <f>IFERROR(IF('Datos'!$B13="","",'Datos'!$B13),"")</f>
        <v>Bacalao confitado al pil-pil</v>
      </c>
      <c r="C13" t="str">
        <f>IFERROR(IF('Datos'!$C13="","",'Datos'!$C13),"")</f>
        <v>Principales</v>
      </c>
      <c r="D13" s="8">
        <f>IFERROR(IF('Datos'!$D13="","",'Datos'!$D13),"")</f>
        <v>190.0</v>
      </c>
      <c r="E13" s="14">
        <f>IFERROR(IF('Datos'!$L13="","",'Datos'!$L13),"")</f>
        <v>0.09405940594059406</v>
      </c>
      <c r="F13" s="14">
        <f>IFERROR(IF('Datos'!$M13="","",'Datos'!$M13),"")</f>
        <v>0.07777777777777778</v>
      </c>
      <c r="G13" t="str">
        <f>IFERROR(IF(OR($E13="",$F13=""),"",IF($E13&gt;=$F13,"Alta","Baja")),"")</f>
        <v>Alta</v>
      </c>
      <c r="H13" s="11">
        <f>IFERROR(IF('Datos'!$G13="","",'Datos'!$G13),"")</f>
        <v>11.700000000000001</v>
      </c>
      <c r="I13" s="13">
        <f>IFERROR(IF('Datos'!$N13="","",'Datos'!$N13),"")</f>
        <v>10.795148514851485</v>
      </c>
      <c r="J13" t="str">
        <f>IFERROR(IF(OR($H13="",$I13=""),"",IF($H13&gt;=$I13,"Alto","Bajo")),"")</f>
        <v>Alto</v>
      </c>
      <c r="K13" s="15" t="str">
        <f>IFERROR(IF(OR($G13="",$J13=""),"",IF(AND($G13="Alta",$J13="Alto"),"Star",IF(AND($G13="Alta",$J13="Bajo"),"Plowhorse",IF(AND($G13="Baja",$J13="Alto"),"Puzzle","Dog")))),"")</f>
        <v>Star</v>
      </c>
      <c r="L13" t="str">
        <f>IFERROR(IF($K13="","",IF($K13="Star","Se vende y deja margen: es el plato que sostiene a su familia.",IF($K13="Plowhorse","Se vende mucho, pero deja poco margen en euros por unidad.",IF($K13="Puzzle","Deja buen margen en euros, pero se pide poco.","Ni se vende ni deja margen.")))),"")</f>
        <v>Se vende y deja margen: es el plato que sostiene a su familia.</v>
      </c>
      <c r="M13" t="str">
        <f>IFERROR(IF($K13="","",IF($K13="Star","Mantener receta y proveedor, y darle sitio destacado en la carta.",IF($K13="Plowhorse","Subir precio con cuidado o bajar coste sin tocar la ración.",IF($K13="Puzzle","Reubicar en la carta, renombrar y que la sala lo sugiera.","Retirar o reformular: ocupa sitio en la carta y en la cocina.")))),"")</f>
        <v>Mantener receta y proveedor, y darle sitio destacado en la carta.</v>
      </c>
    </row>
    <row r="14">
      <c r="A14" s="8" t="n">
        <v>10</v>
      </c>
      <c r="B14" t="str">
        <f>IFERROR(IF('Datos'!$B14="","",'Datos'!$B14),"")</f>
        <v>Hamburguesa de vaca madurada con patatas</v>
      </c>
      <c r="C14" t="str">
        <f>IFERROR(IF('Datos'!$C14="","",'Datos'!$C14),"")</f>
        <v>Principales</v>
      </c>
      <c r="D14" s="8">
        <f>IFERROR(IF('Datos'!$D14="","",'Datos'!$D14),"")</f>
        <v>460.0</v>
      </c>
      <c r="E14" s="14">
        <f>IFERROR(IF('Datos'!$L14="","",'Datos'!$L14),"")</f>
        <v>0.22772277227722773</v>
      </c>
      <c r="F14" s="14">
        <f>IFERROR(IF('Datos'!$M14="","",'Datos'!$M14),"")</f>
        <v>0.07777777777777778</v>
      </c>
      <c r="G14" t="str">
        <f>IFERROR(IF(OR($E14="",$F14=""),"",IF($E14&gt;=$F14,"Alta","Baja")),"")</f>
        <v>Alta</v>
      </c>
      <c r="H14" s="11">
        <f>IFERROR(IF('Datos'!$G14="","",'Datos'!$G14),"")</f>
        <v>9.3</v>
      </c>
      <c r="I14" s="13">
        <f>IFERROR(IF('Datos'!$N14="","",'Datos'!$N14),"")</f>
        <v>10.795148514851485</v>
      </c>
      <c r="J14" t="str">
        <f>IFERROR(IF(OR($H14="",$I14=""),"",IF($H14&gt;=$I14,"Alto","Bajo")),"")</f>
        <v>Bajo</v>
      </c>
      <c r="K14" s="15" t="str">
        <f>IFERROR(IF(OR($G14="",$J14=""),"",IF(AND($G14="Alta",$J14="Alto"),"Star",IF(AND($G14="Alta",$J14="Bajo"),"Plowhorse",IF(AND($G14="Baja",$J14="Alto"),"Puzzle","Dog")))),"")</f>
        <v>Plowhorse</v>
      </c>
      <c r="L14" t="str">
        <f>IFERROR(IF($K14="","",IF($K14="Star","Se vende y deja margen: es el plato que sostiene a su familia.",IF($K14="Plowhorse","Se vende mucho, pero deja poco margen en euros por unidad.",IF($K14="Puzzle","Deja buen margen en euros, pero se pide poco.","Ni se vende ni deja margen.")))),"")</f>
        <v>Se vende mucho, pero deja poco margen en euros por unidad.</v>
      </c>
      <c r="M14" t="str">
        <f>IFERROR(IF($K14="","",IF($K14="Star","Mantener receta y proveedor, y darle sitio destacado en la carta.",IF($K14="Plowhorse","Subir precio con cuidado o bajar coste sin tocar la ración.",IF($K14="Puzzle","Reubicar en la carta, renombrar y que la sala lo sugiera.","Retirar o reformular: ocupa sitio en la carta y en la cocina.")))),"")</f>
        <v>Subir precio con cuidado o bajar coste sin tocar la ración.</v>
      </c>
    </row>
    <row r="15">
      <c r="A15" s="8" t="n">
        <v>11</v>
      </c>
      <c r="B15" t="str">
        <f>IFERROR(IF('Datos'!$B15="","",'Datos'!$B15),"")</f>
        <v>Arroz meloso de secreto ibérico y setas</v>
      </c>
      <c r="C15" t="str">
        <f>IFERROR(IF('Datos'!$C15="","",'Datos'!$C15),"")</f>
        <v>Principales</v>
      </c>
      <c r="D15" s="8">
        <f>IFERROR(IF('Datos'!$D15="","",'Datos'!$D15),"")</f>
        <v>270.0</v>
      </c>
      <c r="E15" s="14">
        <f>IFERROR(IF('Datos'!$L15="","",'Datos'!$L15),"")</f>
        <v>0.13366336633663367</v>
      </c>
      <c r="F15" s="14">
        <f>IFERROR(IF('Datos'!$M15="","",'Datos'!$M15),"")</f>
        <v>0.07777777777777778</v>
      </c>
      <c r="G15" t="str">
        <f>IFERROR(IF(OR($E15="",$F15=""),"",IF($E15&gt;=$F15,"Alta","Baja")),"")</f>
        <v>Alta</v>
      </c>
      <c r="H15" s="11">
        <f>IFERROR(IF('Datos'!$G15="","",'Datos'!$G15),"")</f>
        <v>10.2</v>
      </c>
      <c r="I15" s="13">
        <f>IFERROR(IF('Datos'!$N15="","",'Datos'!$N15),"")</f>
        <v>10.795148514851485</v>
      </c>
      <c r="J15" t="str">
        <f>IFERROR(IF(OR($H15="",$I15=""),"",IF($H15&gt;=$I15,"Alto","Bajo")),"")</f>
        <v>Bajo</v>
      </c>
      <c r="K15" s="15" t="str">
        <f>IFERROR(IF(OR($G15="",$J15=""),"",IF(AND($G15="Alta",$J15="Alto"),"Star",IF(AND($G15="Alta",$J15="Bajo"),"Plowhorse",IF(AND($G15="Baja",$J15="Alto"),"Puzzle","Dog")))),"")</f>
        <v>Plowhorse</v>
      </c>
      <c r="L15" t="str">
        <f>IFERROR(IF($K15="","",IF($K15="Star","Se vende y deja margen: es el plato que sostiene a su familia.",IF($K15="Plowhorse","Se vende mucho, pero deja poco margen en euros por unidad.",IF($K15="Puzzle","Deja buen margen en euros, pero se pide poco.","Ni se vende ni deja margen.")))),"")</f>
        <v>Se vende mucho, pero deja poco margen en euros por unidad.</v>
      </c>
      <c r="M15" t="str">
        <f>IFERROR(IF($K15="","",IF($K15="Star","Mantener receta y proveedor, y darle sitio destacado en la carta.",IF($K15="Plowhorse","Subir precio con cuidado o bajar coste sin tocar la ración.",IF($K15="Puzzle","Reubicar en la carta, renombrar y que la sala lo sugiera.","Retirar o reformular: ocupa sitio en la carta y en la cocina.")))),"")</f>
        <v>Subir precio con cuidado o bajar coste sin tocar la ración.</v>
      </c>
    </row>
    <row r="16">
      <c r="A16" s="8" t="n">
        <v>12</v>
      </c>
      <c r="B16" t="str">
        <f>IFERROR(IF('Datos'!$B16="","",'Datos'!$B16),"")</f>
        <v>Chuletón de vaca madurada (500 g)</v>
      </c>
      <c r="C16" t="str">
        <f>IFERROR(IF('Datos'!$C16="","",'Datos'!$C16),"")</f>
        <v>Principales</v>
      </c>
      <c r="D16" s="8">
        <f>IFERROR(IF('Datos'!$D16="","",'Datos'!$D16),"")</f>
        <v>110.0</v>
      </c>
      <c r="E16" s="14">
        <f>IFERROR(IF('Datos'!$L16="","",'Datos'!$L16),"")</f>
        <v>0.054455445544554455</v>
      </c>
      <c r="F16" s="14">
        <f>IFERROR(IF('Datos'!$M16="","",'Datos'!$M16),"")</f>
        <v>0.07777777777777778</v>
      </c>
      <c r="G16" t="str">
        <f>IFERROR(IF(OR($E16="",$F16=""),"",IF($E16&gt;=$F16,"Alta","Baja")),"")</f>
        <v>Baja</v>
      </c>
      <c r="H16" s="11">
        <f>IFERROR(IF('Datos'!$G16="","",'Datos'!$G16),"")</f>
        <v>17.900000000000002</v>
      </c>
      <c r="I16" s="13">
        <f>IFERROR(IF('Datos'!$N16="","",'Datos'!$N16),"")</f>
        <v>10.795148514851485</v>
      </c>
      <c r="J16" t="str">
        <f>IFERROR(IF(OR($H16="",$I16=""),"",IF($H16&gt;=$I16,"Alto","Bajo")),"")</f>
        <v>Alto</v>
      </c>
      <c r="K16" s="15" t="str">
        <f>IFERROR(IF(OR($G16="",$J16=""),"",IF(AND($G16="Alta",$J16="Alto"),"Star",IF(AND($G16="Alta",$J16="Bajo"),"Plowhorse",IF(AND($G16="Baja",$J16="Alto"),"Puzzle","Dog")))),"")</f>
        <v>Puzzle</v>
      </c>
      <c r="L16" t="str">
        <f>IFERROR(IF($K16="","",IF($K16="Star","Se vende y deja margen: es el plato que sostiene a su familia.",IF($K16="Plowhorse","Se vende mucho, pero deja poco margen en euros por unidad.",IF($K16="Puzzle","Deja buen margen en euros, pero se pide poco.","Ni se vende ni deja margen.")))),"")</f>
        <v>Deja buen margen en euros, pero se pide poco.</v>
      </c>
      <c r="M16" t="str">
        <f>IFERROR(IF($K16="","",IF($K16="Star","Mantener receta y proveedor, y darle sitio destacado en la carta.",IF($K16="Plowhorse","Subir precio con cuidado o bajar coste sin tocar la ración.",IF($K16="Puzzle","Reubicar en la carta, renombrar y que la sala lo sugiera.","Retirar o reformular: ocupa sitio en la carta y en la cocina.")))),"")</f>
        <v>Reubicar en la carta, renombrar y que la sala lo sugiera.</v>
      </c>
    </row>
    <row r="17">
      <c r="A17" s="8" t="n">
        <v>13</v>
      </c>
      <c r="B17" t="str">
        <f>IFERROR(IF('Datos'!$B17="","",'Datos'!$B17),"")</f>
        <v>Lubina a la sal</v>
      </c>
      <c r="C17" t="str">
        <f>IFERROR(IF('Datos'!$C17="","",'Datos'!$C17),"")</f>
        <v>Principales</v>
      </c>
      <c r="D17" s="8">
        <f>IFERROR(IF('Datos'!$D17="","",'Datos'!$D17),"")</f>
        <v>80.0</v>
      </c>
      <c r="E17" s="14">
        <f>IFERROR(IF('Datos'!$L17="","",'Datos'!$L17),"")</f>
        <v>0.039603960396039604</v>
      </c>
      <c r="F17" s="14">
        <f>IFERROR(IF('Datos'!$M17="","",'Datos'!$M17),"")</f>
        <v>0.07777777777777778</v>
      </c>
      <c r="G17" t="str">
        <f>IFERROR(IF(OR($E17="",$F17=""),"",IF($E17&gt;=$F17,"Alta","Baja")),"")</f>
        <v>Baja</v>
      </c>
      <c r="H17" s="11">
        <f>IFERROR(IF('Datos'!$G17="","",'Datos'!$G17),"")</f>
        <v>12.9</v>
      </c>
      <c r="I17" s="13">
        <f>IFERROR(IF('Datos'!$N17="","",'Datos'!$N17),"")</f>
        <v>10.795148514851485</v>
      </c>
      <c r="J17" t="str">
        <f>IFERROR(IF(OR($H17="",$I17=""),"",IF($H17&gt;=$I17,"Alto","Bajo")),"")</f>
        <v>Alto</v>
      </c>
      <c r="K17" s="15" t="str">
        <f>IFERROR(IF(OR($G17="",$J17=""),"",IF(AND($G17="Alta",$J17="Alto"),"Star",IF(AND($G17="Alta",$J17="Bajo"),"Plowhorse",IF(AND($G17="Baja",$J17="Alto"),"Puzzle","Dog")))),"")</f>
        <v>Puzzle</v>
      </c>
      <c r="L17" t="str">
        <f>IFERROR(IF($K17="","",IF($K17="Star","Se vende y deja margen: es el plato que sostiene a su familia.",IF($K17="Plowhorse","Se vende mucho, pero deja poco margen en euros por unidad.",IF($K17="Puzzle","Deja buen margen en euros, pero se pide poco.","Ni se vende ni deja margen.")))),"")</f>
        <v>Deja buen margen en euros, pero se pide poco.</v>
      </c>
      <c r="M17" t="str">
        <f>IFERROR(IF($K17="","",IF($K17="Star","Mantener receta y proveedor, y darle sitio destacado en la carta.",IF($K17="Plowhorse","Subir precio con cuidado o bajar coste sin tocar la ración.",IF($K17="Puzzle","Reubicar en la carta, renombrar y que la sala lo sugiera.","Retirar o reformular: ocupa sitio en la carta y en la cocina.")))),"")</f>
        <v>Reubicar en la carta, renombrar y que la sala lo sugiera.</v>
      </c>
    </row>
    <row r="18">
      <c r="A18" s="8" t="n">
        <v>14</v>
      </c>
      <c r="B18" t="str">
        <f>IFERROR(IF('Datos'!$B18="","",'Datos'!$B18),"")</f>
        <v>Pollo de corral asado con patatas</v>
      </c>
      <c r="C18" t="str">
        <f>IFERROR(IF('Datos'!$C18="","",'Datos'!$C18),"")</f>
        <v>Principales</v>
      </c>
      <c r="D18" s="8">
        <f>IFERROR(IF('Datos'!$D18="","",'Datos'!$D18),"")</f>
        <v>300.0</v>
      </c>
      <c r="E18" s="14">
        <f>IFERROR(IF('Datos'!$L18="","",'Datos'!$L18),"")</f>
        <v>0.1485148514851485</v>
      </c>
      <c r="F18" s="14">
        <f>IFERROR(IF('Datos'!$M18="","",'Datos'!$M18),"")</f>
        <v>0.07777777777777778</v>
      </c>
      <c r="G18" t="str">
        <f>IFERROR(IF(OR($E18="",$F18=""),"",IF($E18&gt;=$F18,"Alta","Baja")),"")</f>
        <v>Alta</v>
      </c>
      <c r="H18" s="11">
        <f>IFERROR(IF('Datos'!$G18="","",'Datos'!$G18),"")</f>
        <v>9.0</v>
      </c>
      <c r="I18" s="13">
        <f>IFERROR(IF('Datos'!$N18="","",'Datos'!$N18),"")</f>
        <v>10.795148514851485</v>
      </c>
      <c r="J18" t="str">
        <f>IFERROR(IF(OR($H18="",$I18=""),"",IF($H18&gt;=$I18,"Alto","Bajo")),"")</f>
        <v>Bajo</v>
      </c>
      <c r="K18" s="15" t="str">
        <f>IFERROR(IF(OR($G18="",$J18=""),"",IF(AND($G18="Alta",$J18="Alto"),"Star",IF(AND($G18="Alta",$J18="Bajo"),"Plowhorse",IF(AND($G18="Baja",$J18="Alto"),"Puzzle","Dog")))),"")</f>
        <v>Plowhorse</v>
      </c>
      <c r="L18" t="str">
        <f>IFERROR(IF($K18="","",IF($K18="Star","Se vende y deja margen: es el plato que sostiene a su familia.",IF($K18="Plowhorse","Se vende mucho, pero deja poco margen en euros por unidad.",IF($K18="Puzzle","Deja buen margen en euros, pero se pide poco.","Ni se vende ni deja margen.")))),"")</f>
        <v>Se vende mucho, pero deja poco margen en euros por unidad.</v>
      </c>
      <c r="M18" t="str">
        <f>IFERROR(IF($K18="","",IF($K18="Star","Mantener receta y proveedor, y darle sitio destacado en la carta.",IF($K18="Plowhorse","Subir precio con cuidado o bajar coste sin tocar la ración.",IF($K18="Puzzle","Reubicar en la carta, renombrar y que la sala lo sugiera.","Retirar o reformular: ocupa sitio en la carta y en la cocina.")))),"")</f>
        <v>Subir precio con cuidado o bajar coste sin tocar la ración.</v>
      </c>
    </row>
    <row r="19">
      <c r="A19" s="8" t="n">
        <v>15</v>
      </c>
      <c r="B19" t="str">
        <f>IFERROR(IF('Datos'!$B19="","",'Datos'!$B19),"")</f>
        <v>Lasaña de verduras de temporada</v>
      </c>
      <c r="C19" t="str">
        <f>IFERROR(IF('Datos'!$C19="","",'Datos'!$C19),"")</f>
        <v>Principales</v>
      </c>
      <c r="D19" s="8">
        <f>IFERROR(IF('Datos'!$D19="","",'Datos'!$D19),"")</f>
        <v>140.0</v>
      </c>
      <c r="E19" s="14">
        <f>IFERROR(IF('Datos'!$L19="","",'Datos'!$L19),"")</f>
        <v>0.06930693069306931</v>
      </c>
      <c r="F19" s="14">
        <f>IFERROR(IF('Datos'!$M19="","",'Datos'!$M19),"")</f>
        <v>0.07777777777777778</v>
      </c>
      <c r="G19" t="str">
        <f>IFERROR(IF(OR($E19="",$F19=""),"",IF($E19&gt;=$F19,"Alta","Baja")),"")</f>
        <v>Baja</v>
      </c>
      <c r="H19" s="11">
        <f>IFERROR(IF('Datos'!$G19="","",'Datos'!$G19),"")</f>
        <v>8.8</v>
      </c>
      <c r="I19" s="13">
        <f>IFERROR(IF('Datos'!$N19="","",'Datos'!$N19),"")</f>
        <v>10.795148514851485</v>
      </c>
      <c r="J19" t="str">
        <f>IFERROR(IF(OR($H19="",$I19=""),"",IF($H19&gt;=$I19,"Alto","Bajo")),"")</f>
        <v>Bajo</v>
      </c>
      <c r="K19" s="15" t="str">
        <f>IFERROR(IF(OR($G19="",$J19=""),"",IF(AND($G19="Alta",$J19="Alto"),"Star",IF(AND($G19="Alta",$J19="Bajo"),"Plowhorse",IF(AND($G19="Baja",$J19="Alto"),"Puzzle","Dog")))),"")</f>
        <v>Dog</v>
      </c>
      <c r="L19" t="str">
        <f>IFERROR(IF($K19="","",IF($K19="Star","Se vende y deja margen: es el plato que sostiene a su familia.",IF($K19="Plowhorse","Se vende mucho, pero deja poco margen en euros por unidad.",IF($K19="Puzzle","Deja buen margen en euros, pero se pide poco.","Ni se vende ni deja margen.")))),"")</f>
        <v>Ni se vende ni deja margen.</v>
      </c>
      <c r="M19" t="str">
        <f>IFERROR(IF($K19="","",IF($K19="Star","Mantener receta y proveedor, y darle sitio destacado en la carta.",IF($K19="Plowhorse","Subir precio con cuidado o bajar coste sin tocar la ración.",IF($K19="Puzzle","Reubicar en la carta, renombrar y que la sala lo sugiera.","Retirar o reformular: ocupa sitio en la carta y en la cocina.")))),"")</f>
        <v>Retirar o reformular: ocupa sitio en la carta y en la cocina.</v>
      </c>
    </row>
    <row r="20">
      <c r="A20" s="8" t="n">
        <v>16</v>
      </c>
      <c r="B20" t="str">
        <f>IFERROR(IF('Datos'!$B20="","",'Datos'!$B20),"")</f>
        <v>Tataki de atún rojo con sésamo</v>
      </c>
      <c r="C20" t="str">
        <f>IFERROR(IF('Datos'!$C20="","",'Datos'!$C20),"")</f>
        <v>Principales</v>
      </c>
      <c r="D20" s="8">
        <f>IFERROR(IF('Datos'!$D20="","",'Datos'!$D20),"")</f>
        <v>130.0</v>
      </c>
      <c r="E20" s="14">
        <f>IFERROR(IF('Datos'!$L20="","",'Datos'!$L20),"")</f>
        <v>0.06435643564356436</v>
      </c>
      <c r="F20" s="14">
        <f>IFERROR(IF('Datos'!$M20="","",'Datos'!$M20),"")</f>
        <v>0.07777777777777778</v>
      </c>
      <c r="G20" t="str">
        <f>IFERROR(IF(OR($E20="",$F20=""),"",IF($E20&gt;=$F20,"Alta","Baja")),"")</f>
        <v>Baja</v>
      </c>
      <c r="H20" s="11">
        <f>IFERROR(IF('Datos'!$G20="","",'Datos'!$G20),"")</f>
        <v>12.799999999999999</v>
      </c>
      <c r="I20" s="13">
        <f>IFERROR(IF('Datos'!$N20="","",'Datos'!$N20),"")</f>
        <v>10.795148514851485</v>
      </c>
      <c r="J20" t="str">
        <f>IFERROR(IF(OR($H20="",$I20=""),"",IF($H20&gt;=$I20,"Alto","Bajo")),"")</f>
        <v>Alto</v>
      </c>
      <c r="K20" s="15" t="str">
        <f>IFERROR(IF(OR($G20="",$J20=""),"",IF(AND($G20="Alta",$J20="Alto"),"Star",IF(AND($G20="Alta",$J20="Bajo"),"Plowhorse",IF(AND($G20="Baja",$J20="Alto"),"Puzzle","Dog")))),"")</f>
        <v>Puzzle</v>
      </c>
      <c r="L20" t="str">
        <f>IFERROR(IF($K20="","",IF($K20="Star","Se vende y deja margen: es el plato que sostiene a su familia.",IF($K20="Plowhorse","Se vende mucho, pero deja poco margen en euros por unidad.",IF($K20="Puzzle","Deja buen margen en euros, pero se pide poco.","Ni se vende ni deja margen.")))),"")</f>
        <v>Deja buen margen en euros, pero se pide poco.</v>
      </c>
      <c r="M20" t="str">
        <f>IFERROR(IF($K20="","",IF($K20="Star","Mantener receta y proveedor, y darle sitio destacado en la carta.",IF($K20="Plowhorse","Subir precio con cuidado o bajar coste sin tocar la ración.",IF($K20="Puzzle","Reubicar en la carta, renombrar y que la sala lo sugiera.","Retirar o reformular: ocupa sitio en la carta y en la cocina.")))),"")</f>
        <v>Reubicar en la carta, renombrar y que la sala lo sugiera.</v>
      </c>
    </row>
    <row r="21">
      <c r="A21" s="8" t="n">
        <v>17</v>
      </c>
      <c r="B21" t="str">
        <f>IFERROR(IF('Datos'!$B21="","",'Datos'!$B21),"")</f>
        <v>Tarta de queso cremosa</v>
      </c>
      <c r="C21" t="str">
        <f>IFERROR(IF('Datos'!$C21="","",'Datos'!$C21),"")</f>
        <v>Postres</v>
      </c>
      <c r="D21" s="8">
        <f>IFERROR(IF('Datos'!$D21="","",'Datos'!$D21),"")</f>
        <v>520.0</v>
      </c>
      <c r="E21" s="14">
        <f>IFERROR(IF('Datos'!$L21="","",'Datos'!$L21),"")</f>
        <v>0.4642857142857143</v>
      </c>
      <c r="F21" s="14">
        <f>IFERROR(IF('Datos'!$M21="","",'Datos'!$M21),"")</f>
        <v>0.175</v>
      </c>
      <c r="G21" t="str">
        <f>IFERROR(IF(OR($E21="",$F21=""),"",IF($E21&gt;=$F21,"Alta","Baja")),"")</f>
        <v>Alta</v>
      </c>
      <c r="H21" s="11">
        <f>IFERROR(IF('Datos'!$G21="","",'Datos'!$G21),"")</f>
        <v>4.6000000000000005</v>
      </c>
      <c r="I21" s="13">
        <f>IFERROR(IF('Datos'!$N21="","",'Datos'!$N21),"")</f>
        <v>4.482142857142857</v>
      </c>
      <c r="J21" t="str">
        <f>IFERROR(IF(OR($H21="",$I21=""),"",IF($H21&gt;=$I21,"Alto","Bajo")),"")</f>
        <v>Alto</v>
      </c>
      <c r="K21" s="15" t="str">
        <f>IFERROR(IF(OR($G21="",$J21=""),"",IF(AND($G21="Alta",$J21="Alto"),"Star",IF(AND($G21="Alta",$J21="Bajo"),"Plowhorse",IF(AND($G21="Baja",$J21="Alto"),"Puzzle","Dog")))),"")</f>
        <v>Star</v>
      </c>
      <c r="L21" t="str">
        <f>IFERROR(IF($K21="","",IF($K21="Star","Se vende y deja margen: es el plato que sostiene a su familia.",IF($K21="Plowhorse","Se vende mucho, pero deja poco margen en euros por unidad.",IF($K21="Puzzle","Deja buen margen en euros, pero se pide poco.","Ni se vende ni deja margen.")))),"")</f>
        <v>Se vende y deja margen: es el plato que sostiene a su familia.</v>
      </c>
      <c r="M21" t="str">
        <f>IFERROR(IF($K21="","",IF($K21="Star","Mantener receta y proveedor, y darle sitio destacado en la carta.",IF($K21="Plowhorse","Subir precio con cuidado o bajar coste sin tocar la ración.",IF($K21="Puzzle","Reubicar en la carta, renombrar y que la sala lo sugiera.","Retirar o reformular: ocupa sitio en la carta y en la cocina.")))),"")</f>
        <v>Mantener receta y proveedor, y darle sitio destacado en la carta.</v>
      </c>
    </row>
    <row r="22">
      <c r="A22" s="8" t="n">
        <v>18</v>
      </c>
      <c r="B22" t="str">
        <f>IFERROR(IF('Datos'!$B22="","",'Datos'!$B22),"")</f>
        <v>Torrija caramelizada con helado</v>
      </c>
      <c r="C22" t="str">
        <f>IFERROR(IF('Datos'!$C22="","",'Datos'!$C22),"")</f>
        <v>Postres</v>
      </c>
      <c r="D22" s="8">
        <f>IFERROR(IF('Datos'!$D22="","",'Datos'!$D22),"")</f>
        <v>210.0</v>
      </c>
      <c r="E22" s="14">
        <f>IFERROR(IF('Datos'!$L22="","",'Datos'!$L22),"")</f>
        <v>0.1875</v>
      </c>
      <c r="F22" s="14">
        <f>IFERROR(IF('Datos'!$M22="","",'Datos'!$M22),"")</f>
        <v>0.175</v>
      </c>
      <c r="G22" t="str">
        <f>IFERROR(IF(OR($E22="",$F22=""),"",IF($E22&gt;=$F22,"Alta","Baja")),"")</f>
        <v>Alta</v>
      </c>
      <c r="H22" s="11">
        <f>IFERROR(IF('Datos'!$G22="","",'Datos'!$G22),"")</f>
        <v>4.4</v>
      </c>
      <c r="I22" s="13">
        <f>IFERROR(IF('Datos'!$N22="","",'Datos'!$N22),"")</f>
        <v>4.482142857142857</v>
      </c>
      <c r="J22" t="str">
        <f>IFERROR(IF(OR($H22="",$I22=""),"",IF($H22&gt;=$I22,"Alto","Bajo")),"")</f>
        <v>Bajo</v>
      </c>
      <c r="K22" s="15" t="str">
        <f>IFERROR(IF(OR($G22="",$J22=""),"",IF(AND($G22="Alta",$J22="Alto"),"Star",IF(AND($G22="Alta",$J22="Bajo"),"Plowhorse",IF(AND($G22="Baja",$J22="Alto"),"Puzzle","Dog")))),"")</f>
        <v>Plowhorse</v>
      </c>
      <c r="L22" t="str">
        <f>IFERROR(IF($K22="","",IF($K22="Star","Se vende y deja margen: es el plato que sostiene a su familia.",IF($K22="Plowhorse","Se vende mucho, pero deja poco margen en euros por unidad.",IF($K22="Puzzle","Deja buen margen en euros, pero se pide poco.","Ni se vende ni deja margen.")))),"")</f>
        <v>Se vende mucho, pero deja poco margen en euros por unidad.</v>
      </c>
      <c r="M22" t="str">
        <f>IFERROR(IF($K22="","",IF($K22="Star","Mantener receta y proveedor, y darle sitio destacado en la carta.",IF($K22="Plowhorse","Subir precio con cuidado o bajar coste sin tocar la ración.",IF($K22="Puzzle","Reubicar en la carta, renombrar y que la sala lo sugiera.","Retirar o reformular: ocupa sitio en la carta y en la cocina.")))),"")</f>
        <v>Subir precio con cuidado o bajar coste sin tocar la ración.</v>
      </c>
    </row>
    <row r="23">
      <c r="A23" s="8" t="n">
        <v>19</v>
      </c>
      <c r="B23" t="str">
        <f>IFERROR(IF('Datos'!$B23="","",'Datos'!$B23),"")</f>
        <v>Coulant de chocolate</v>
      </c>
      <c r="C23" t="str">
        <f>IFERROR(IF('Datos'!$C23="","",'Datos'!$C23),"")</f>
        <v>Postres</v>
      </c>
      <c r="D23" s="8">
        <f>IFERROR(IF('Datos'!$D23="","",'Datos'!$D23),"")</f>
        <v>330.0</v>
      </c>
      <c r="E23" s="14">
        <f>IFERROR(IF('Datos'!$L23="","",'Datos'!$L23),"")</f>
        <v>0.29464285714285715</v>
      </c>
      <c r="F23" s="14">
        <f>IFERROR(IF('Datos'!$M23="","",'Datos'!$M23),"")</f>
        <v>0.175</v>
      </c>
      <c r="G23" t="str">
        <f>IFERROR(IF(OR($E23="",$F23=""),"",IF($E23&gt;=$F23,"Alta","Baja")),"")</f>
        <v>Alta</v>
      </c>
      <c r="H23" s="11">
        <f>IFERROR(IF('Datos'!$G23="","",'Datos'!$G23),"")</f>
        <v>4.6</v>
      </c>
      <c r="I23" s="13">
        <f>IFERROR(IF('Datos'!$N23="","",'Datos'!$N23),"")</f>
        <v>4.482142857142857</v>
      </c>
      <c r="J23" t="str">
        <f>IFERROR(IF(OR($H23="",$I23=""),"",IF($H23&gt;=$I23,"Alto","Bajo")),"")</f>
        <v>Alto</v>
      </c>
      <c r="K23" s="15" t="str">
        <f>IFERROR(IF(OR($G23="",$J23=""),"",IF(AND($G23="Alta",$J23="Alto"),"Star",IF(AND($G23="Alta",$J23="Bajo"),"Plowhorse",IF(AND($G23="Baja",$J23="Alto"),"Puzzle","Dog")))),"")</f>
        <v>Star</v>
      </c>
      <c r="L23" t="str">
        <f>IFERROR(IF($K23="","",IF($K23="Star","Se vende y deja margen: es el plato que sostiene a su familia.",IF($K23="Plowhorse","Se vende mucho, pero deja poco margen en euros por unidad.",IF($K23="Puzzle","Deja buen margen en euros, pero se pide poco.","Ni se vende ni deja margen.")))),"")</f>
        <v>Se vende y deja margen: es el plato que sostiene a su familia.</v>
      </c>
      <c r="M23" t="str">
        <f>IFERROR(IF($K23="","",IF($K23="Star","Mantener receta y proveedor, y darle sitio destacado en la carta.",IF($K23="Plowhorse","Subir precio con cuidado o bajar coste sin tocar la ración.",IF($K23="Puzzle","Reubicar en la carta, renombrar y que la sala lo sugiera.","Retirar o reformular: ocupa sitio en la carta y en la cocina.")))),"")</f>
        <v>Mantener receta y proveedor, y darle sitio destacado en la carta.</v>
      </c>
    </row>
    <row r="24">
      <c r="A24" s="8" t="n">
        <v>20</v>
      </c>
      <c r="B24" t="str">
        <f>IFERROR(IF('Datos'!$B24="","",'Datos'!$B24),"")</f>
        <v>Fruta de temporada preparada</v>
      </c>
      <c r="C24" t="str">
        <f>IFERROR(IF('Datos'!$C24="","",'Datos'!$C24),"")</f>
        <v>Postres</v>
      </c>
      <c r="D24" s="8">
        <f>IFERROR(IF('Datos'!$D24="","",'Datos'!$D24),"")</f>
        <v>60.0</v>
      </c>
      <c r="E24" s="14">
        <f>IFERROR(IF('Datos'!$L24="","",'Datos'!$L24),"")</f>
        <v>0.05357142857142857</v>
      </c>
      <c r="F24" s="14">
        <f>IFERROR(IF('Datos'!$M24="","",'Datos'!$M24),"")</f>
        <v>0.175</v>
      </c>
      <c r="G24" t="str">
        <f>IFERROR(IF(OR($E24="",$F24=""),"",IF($E24&gt;=$F24,"Alta","Baja")),"")</f>
        <v>Baja</v>
      </c>
      <c r="H24" s="11">
        <f>IFERROR(IF('Datos'!$G24="","",'Datos'!$G24),"")</f>
        <v>3.1</v>
      </c>
      <c r="I24" s="13">
        <f>IFERROR(IF('Datos'!$N24="","",'Datos'!$N24),"")</f>
        <v>4.482142857142857</v>
      </c>
      <c r="J24" t="str">
        <f>IFERROR(IF(OR($H24="",$I24=""),"",IF($H24&gt;=$I24,"Alto","Bajo")),"")</f>
        <v>Bajo</v>
      </c>
      <c r="K24" s="15" t="str">
        <f>IFERROR(IF(OR($G24="",$J24=""),"",IF(AND($G24="Alta",$J24="Alto"),"Star",IF(AND($G24="Alta",$J24="Bajo"),"Plowhorse",IF(AND($G24="Baja",$J24="Alto"),"Puzzle","Dog")))),"")</f>
        <v>Dog</v>
      </c>
      <c r="L24" t="str">
        <f>IFERROR(IF($K24="","",IF($K24="Star","Se vende y deja margen: es el plato que sostiene a su familia.",IF($K24="Plowhorse","Se vende mucho, pero deja poco margen en euros por unidad.",IF($K24="Puzzle","Deja buen margen en euros, pero se pide poco.","Ni se vende ni deja margen.")))),"")</f>
        <v>Ni se vende ni deja margen.</v>
      </c>
      <c r="M24" t="str">
        <f>IFERROR(IF($K24="","",IF($K24="Star","Mantener receta y proveedor, y darle sitio destacado en la carta.",IF($K24="Plowhorse","Subir precio con cuidado o bajar coste sin tocar la ración.",IF($K24="Puzzle","Reubicar en la carta, renombrar y que la sala lo sugiera.","Retirar o reformular: ocupa sitio en la carta y en la cocina.")))),"")</f>
        <v>Retirar o reformular: ocupa sitio en la carta y en la cocina.</v>
      </c>
    </row>
    <row r="25">
      <c r="A25" s="8" t="n">
        <v>21</v>
      </c>
      <c r="B25">
        <f>IFERROR(IF('Datos'!$B25="","",'Datos'!$B25),"")</f>
        <v/>
      </c>
      <c r="C25">
        <f>IFERROR(IF('Datos'!$C25="","",'Datos'!$C25),"")</f>
        <v/>
      </c>
      <c r="D25" s="8">
        <f>IFERROR(IF('Datos'!$D25="","",'Datos'!$D25),"")</f>
        <v/>
      </c>
      <c r="E25" s="14">
        <f>IFERROR(IF('Datos'!$L25="","",'Datos'!$L25),"")</f>
        <v/>
      </c>
      <c r="F25" s="14">
        <f>IFERROR(IF('Datos'!$M25="","",'Datos'!$M25),"")</f>
        <v/>
      </c>
      <c r="G25">
        <f>IFERROR(IF(OR($E25="",$F25=""),"",IF($E25&gt;=$F25,"Alta","Baja")),"")</f>
        <v/>
      </c>
      <c r="H25" s="11">
        <f>IFERROR(IF('Datos'!$G25="","",'Datos'!$G25),"")</f>
        <v/>
      </c>
      <c r="I25" s="13">
        <f>IFERROR(IF('Datos'!$N25="","",'Datos'!$N25),"")</f>
        <v/>
      </c>
      <c r="J25">
        <f>IFERROR(IF(OR($H25="",$I25=""),"",IF($H25&gt;=$I25,"Alto","Bajo")),"")</f>
        <v/>
      </c>
      <c r="K25" s="15">
        <f>IFERROR(IF(OR($G25="",$J25=""),"",IF(AND($G25="Alta",$J25="Alto"),"Star",IF(AND($G25="Alta",$J25="Bajo"),"Plowhorse",IF(AND($G25="Baja",$J25="Alto"),"Puzzle","Dog")))),"")</f>
        <v/>
      </c>
      <c r="L25">
        <f>IFERROR(IF($K25="","",IF($K25="Star","Se vende y deja margen: es el plato que sostiene a su familia.",IF($K25="Plowhorse","Se vende mucho, pero deja poco margen en euros por unidad.",IF($K25="Puzzle","Deja buen margen en euros, pero se pide poco.","Ni se vende ni deja margen.")))),"")</f>
        <v/>
      </c>
      <c r="M25">
        <f>IFERROR(IF($K25="","",IF($K25="Star","Mantener receta y proveedor, y darle sitio destacado en la carta.",IF($K25="Plowhorse","Subir precio con cuidado o bajar coste sin tocar la ración.",IF($K25="Puzzle","Reubicar en la carta, renombrar y que la sala lo sugiera.","Retirar o reformular: ocupa sitio en la carta y en la cocina.")))),"")</f>
        <v/>
      </c>
    </row>
    <row r="26">
      <c r="A26" s="8" t="n">
        <v>22</v>
      </c>
      <c r="B26">
        <f>IFERROR(IF('Datos'!$B26="","",'Datos'!$B26),"")</f>
        <v/>
      </c>
      <c r="C26">
        <f>IFERROR(IF('Datos'!$C26="","",'Datos'!$C26),"")</f>
        <v/>
      </c>
      <c r="D26" s="8">
        <f>IFERROR(IF('Datos'!$D26="","",'Datos'!$D26),"")</f>
        <v/>
      </c>
      <c r="E26" s="14">
        <f>IFERROR(IF('Datos'!$L26="","",'Datos'!$L26),"")</f>
        <v/>
      </c>
      <c r="F26" s="14">
        <f>IFERROR(IF('Datos'!$M26="","",'Datos'!$M26),"")</f>
        <v/>
      </c>
      <c r="G26">
        <f>IFERROR(IF(OR($E26="",$F26=""),"",IF($E26&gt;=$F26,"Alta","Baja")),"")</f>
        <v/>
      </c>
      <c r="H26" s="11">
        <f>IFERROR(IF('Datos'!$G26="","",'Datos'!$G26),"")</f>
        <v/>
      </c>
      <c r="I26" s="13">
        <f>IFERROR(IF('Datos'!$N26="","",'Datos'!$N26),"")</f>
        <v/>
      </c>
      <c r="J26">
        <f>IFERROR(IF(OR($H26="",$I26=""),"",IF($H26&gt;=$I26,"Alto","Bajo")),"")</f>
        <v/>
      </c>
      <c r="K26" s="15">
        <f>IFERROR(IF(OR($G26="",$J26=""),"",IF(AND($G26="Alta",$J26="Alto"),"Star",IF(AND($G26="Alta",$J26="Bajo"),"Plowhorse",IF(AND($G26="Baja",$J26="Alto"),"Puzzle","Dog")))),"")</f>
        <v/>
      </c>
      <c r="L26">
        <f>IFERROR(IF($K26="","",IF($K26="Star","Se vende y deja margen: es el plato que sostiene a su familia.",IF($K26="Plowhorse","Se vende mucho, pero deja poco margen en euros por unidad.",IF($K26="Puzzle","Deja buen margen en euros, pero se pide poco.","Ni se vende ni deja margen.")))),"")</f>
        <v/>
      </c>
      <c r="M26">
        <f>IFERROR(IF($K26="","",IF($K26="Star","Mantener receta y proveedor, y darle sitio destacado en la carta.",IF($K26="Plowhorse","Subir precio con cuidado o bajar coste sin tocar la ración.",IF($K26="Puzzle","Reubicar en la carta, renombrar y que la sala lo sugiera.","Retirar o reformular: ocupa sitio en la carta y en la cocina.")))),"")</f>
        <v/>
      </c>
    </row>
    <row r="27">
      <c r="A27" s="8" t="n">
        <v>23</v>
      </c>
      <c r="B27">
        <f>IFERROR(IF('Datos'!$B27="","",'Datos'!$B27),"")</f>
        <v/>
      </c>
      <c r="C27">
        <f>IFERROR(IF('Datos'!$C27="","",'Datos'!$C27),"")</f>
        <v/>
      </c>
      <c r="D27" s="8">
        <f>IFERROR(IF('Datos'!$D27="","",'Datos'!$D27),"")</f>
        <v/>
      </c>
      <c r="E27" s="14">
        <f>IFERROR(IF('Datos'!$L27="","",'Datos'!$L27),"")</f>
        <v/>
      </c>
      <c r="F27" s="14">
        <f>IFERROR(IF('Datos'!$M27="","",'Datos'!$M27),"")</f>
        <v/>
      </c>
      <c r="G27">
        <f>IFERROR(IF(OR($E27="",$F27=""),"",IF($E27&gt;=$F27,"Alta","Baja")),"")</f>
        <v/>
      </c>
      <c r="H27" s="11">
        <f>IFERROR(IF('Datos'!$G27="","",'Datos'!$G27),"")</f>
        <v/>
      </c>
      <c r="I27" s="13">
        <f>IFERROR(IF('Datos'!$N27="","",'Datos'!$N27),"")</f>
        <v/>
      </c>
      <c r="J27">
        <f>IFERROR(IF(OR($H27="",$I27=""),"",IF($H27&gt;=$I27,"Alto","Bajo")),"")</f>
        <v/>
      </c>
      <c r="K27" s="15">
        <f>IFERROR(IF(OR($G27="",$J27=""),"",IF(AND($G27="Alta",$J27="Alto"),"Star",IF(AND($G27="Alta",$J27="Bajo"),"Plowhorse",IF(AND($G27="Baja",$J27="Alto"),"Puzzle","Dog")))),"")</f>
        <v/>
      </c>
      <c r="L27">
        <f>IFERROR(IF($K27="","",IF($K27="Star","Se vende y deja margen: es el plato que sostiene a su familia.",IF($K27="Plowhorse","Se vende mucho, pero deja poco margen en euros por unidad.",IF($K27="Puzzle","Deja buen margen en euros, pero se pide poco.","Ni se vende ni deja margen.")))),"")</f>
        <v/>
      </c>
      <c r="M27">
        <f>IFERROR(IF($K27="","",IF($K27="Star","Mantener receta y proveedor, y darle sitio destacado en la carta.",IF($K27="Plowhorse","Subir precio con cuidado o bajar coste sin tocar la ración.",IF($K27="Puzzle","Reubicar en la carta, renombrar y que la sala lo sugiera.","Retirar o reformular: ocupa sitio en la carta y en la cocina.")))),"")</f>
        <v/>
      </c>
    </row>
    <row r="28">
      <c r="A28" s="8" t="n">
        <v>24</v>
      </c>
      <c r="B28">
        <f>IFERROR(IF('Datos'!$B28="","",'Datos'!$B28),"")</f>
        <v/>
      </c>
      <c r="C28">
        <f>IFERROR(IF('Datos'!$C28="","",'Datos'!$C28),"")</f>
        <v/>
      </c>
      <c r="D28" s="8">
        <f>IFERROR(IF('Datos'!$D28="","",'Datos'!$D28),"")</f>
        <v/>
      </c>
      <c r="E28" s="14">
        <f>IFERROR(IF('Datos'!$L28="","",'Datos'!$L28),"")</f>
        <v/>
      </c>
      <c r="F28" s="14">
        <f>IFERROR(IF('Datos'!$M28="","",'Datos'!$M28),"")</f>
        <v/>
      </c>
      <c r="G28">
        <f>IFERROR(IF(OR($E28="",$F28=""),"",IF($E28&gt;=$F28,"Alta","Baja")),"")</f>
        <v/>
      </c>
      <c r="H28" s="11">
        <f>IFERROR(IF('Datos'!$G28="","",'Datos'!$G28),"")</f>
        <v/>
      </c>
      <c r="I28" s="13">
        <f>IFERROR(IF('Datos'!$N28="","",'Datos'!$N28),"")</f>
        <v/>
      </c>
      <c r="J28">
        <f>IFERROR(IF(OR($H28="",$I28=""),"",IF($H28&gt;=$I28,"Alto","Bajo")),"")</f>
        <v/>
      </c>
      <c r="K28" s="15">
        <f>IFERROR(IF(OR($G28="",$J28=""),"",IF(AND($G28="Alta",$J28="Alto"),"Star",IF(AND($G28="Alta",$J28="Bajo"),"Plowhorse",IF(AND($G28="Baja",$J28="Alto"),"Puzzle","Dog")))),"")</f>
        <v/>
      </c>
      <c r="L28">
        <f>IFERROR(IF($K28="","",IF($K28="Star","Se vende y deja margen: es el plato que sostiene a su familia.",IF($K28="Plowhorse","Se vende mucho, pero deja poco margen en euros por unidad.",IF($K28="Puzzle","Deja buen margen en euros, pero se pide poco.","Ni se vende ni deja margen.")))),"")</f>
        <v/>
      </c>
      <c r="M28">
        <f>IFERROR(IF($K28="","",IF($K28="Star","Mantener receta y proveedor, y darle sitio destacado en la carta.",IF($K28="Plowhorse","Subir precio con cuidado o bajar coste sin tocar la ración.",IF($K28="Puzzle","Reubicar en la carta, renombrar y que la sala lo sugiera.","Retirar o reformular: ocupa sitio en la carta y en la cocina.")))),"")</f>
        <v/>
      </c>
    </row>
    <row r="29">
      <c r="A29" s="8" t="n">
        <v>25</v>
      </c>
      <c r="B29">
        <f>IFERROR(IF('Datos'!$B29="","",'Datos'!$B29),"")</f>
        <v/>
      </c>
      <c r="C29">
        <f>IFERROR(IF('Datos'!$C29="","",'Datos'!$C29),"")</f>
        <v/>
      </c>
      <c r="D29" s="8">
        <f>IFERROR(IF('Datos'!$D29="","",'Datos'!$D29),"")</f>
        <v/>
      </c>
      <c r="E29" s="14">
        <f>IFERROR(IF('Datos'!$L29="","",'Datos'!$L29),"")</f>
        <v/>
      </c>
      <c r="F29" s="14">
        <f>IFERROR(IF('Datos'!$M29="","",'Datos'!$M29),"")</f>
        <v/>
      </c>
      <c r="G29">
        <f>IFERROR(IF(OR($E29="",$F29=""),"",IF($E29&gt;=$F29,"Alta","Baja")),"")</f>
        <v/>
      </c>
      <c r="H29" s="11">
        <f>IFERROR(IF('Datos'!$G29="","",'Datos'!$G29),"")</f>
        <v/>
      </c>
      <c r="I29" s="13">
        <f>IFERROR(IF('Datos'!$N29="","",'Datos'!$N29),"")</f>
        <v/>
      </c>
      <c r="J29">
        <f>IFERROR(IF(OR($H29="",$I29=""),"",IF($H29&gt;=$I29,"Alto","Bajo")),"")</f>
        <v/>
      </c>
      <c r="K29" s="15">
        <f>IFERROR(IF(OR($G29="",$J29=""),"",IF(AND($G29="Alta",$J29="Alto"),"Star",IF(AND($G29="Alta",$J29="Bajo"),"Plowhorse",IF(AND($G29="Baja",$J29="Alto"),"Puzzle","Dog")))),"")</f>
        <v/>
      </c>
      <c r="L29">
        <f>IFERROR(IF($K29="","",IF($K29="Star","Se vende y deja margen: es el plato que sostiene a su familia.",IF($K29="Plowhorse","Se vende mucho, pero deja poco margen en euros por unidad.",IF($K29="Puzzle","Deja buen margen en euros, pero se pide poco.","Ni se vende ni deja margen.")))),"")</f>
        <v/>
      </c>
      <c r="M29">
        <f>IFERROR(IF($K29="","",IF($K29="Star","Mantener receta y proveedor, y darle sitio destacado en la carta.",IF($K29="Plowhorse","Subir precio con cuidado o bajar coste sin tocar la ración.",IF($K29="Puzzle","Reubicar en la carta, renombrar y que la sala lo sugiera.","Retirar o reformular: ocupa sitio en la carta y en la cocina.")))),"")</f>
        <v/>
      </c>
    </row>
    <row r="30"/>
    <row r="31">
      <c r="A31" s="15" t="inlineStr">
        <is>
          <t>RESUMEN — lo calcula el libro</t>
        </is>
      </c>
    </row>
    <row r="32" ht="34" customHeight="1">
      <c r="B32" s="7" t="inlineStr">
        <is>
          <t>Clasificación</t>
        </is>
      </c>
      <c r="C32" s="7" t="inlineStr">
        <is>
          <t>Platos</t>
        </is>
      </c>
      <c r="D32" s="7" t="inlineStr">
        <is>
          <t>Uds vendidas</t>
        </is>
      </c>
      <c r="E32" s="7" t="inlineStr">
        <is>
          <t>% de las uds de la carta</t>
        </is>
      </c>
      <c r="F32" s="7" t="inlineStr">
        <is>
          <t>MC total aportado (€)</t>
        </is>
      </c>
    </row>
    <row r="33">
      <c r="B33" s="15" t="inlineStr">
        <is>
          <t>Star</t>
        </is>
      </c>
      <c r="C33" s="8">
        <f>COUNTIF($K$5:$K$29,$B33)</f>
        <v>6.0</v>
      </c>
      <c r="D33" s="8">
        <f>IFERROR(SUMIF($K$5:$K$29,$B33,$D$5:$D$29),"")</f>
        <v>1950.0</v>
      </c>
      <c r="E33" s="14">
        <f>IFERROR(IF(SUM($D$5:$D$29)=0,"",$D33/SUM($D$5:$D$29)),"")</f>
        <v>0.4004106776180698</v>
      </c>
      <c r="F33" s="13">
        <f>IFERROR(SUMPRODUCT(--($K$5:$K$29=$B33),$D$5:$D$29,$H$5:$H$29),"")</f>
        <v>14865.2</v>
      </c>
    </row>
    <row r="34">
      <c r="B34" s="15" t="inlineStr">
        <is>
          <t>Plowhorse</t>
        </is>
      </c>
      <c r="C34" s="8">
        <f>COUNTIF($K$5:$K$29,$B34)</f>
        <v>6.0</v>
      </c>
      <c r="D34" s="8">
        <f>IFERROR(SUMIF($K$5:$K$29,$B34,$D$5:$D$29),"")</f>
        <v>2040.0</v>
      </c>
      <c r="E34" s="14">
        <f>IFERROR(IF(SUM($D$5:$D$29)=0,"",$D34/SUM($D$5:$D$29)),"")</f>
        <v>0.4188911704312115</v>
      </c>
      <c r="F34" s="13">
        <f>IFERROR(SUMPRODUCT(--($K$5:$K$29=$B34),$D$5:$D$29,$H$5:$H$29),"")</f>
        <v>16198.0</v>
      </c>
    </row>
    <row r="35">
      <c r="B35" s="15" t="inlineStr">
        <is>
          <t>Puzzle</t>
        </is>
      </c>
      <c r="C35" s="8">
        <f>COUNTIF($K$5:$K$29,$B35)</f>
        <v>5.0</v>
      </c>
      <c r="D35" s="8">
        <f>IFERROR(SUMIF($K$5:$K$29,$B35,$D$5:$D$29),"")</f>
        <v>530.0</v>
      </c>
      <c r="E35" s="14">
        <f>IFERROR(IF(SUM($D$5:$D$29)=0,"",$D35/SUM($D$5:$D$29)),"")</f>
        <v>0.10882956878850103</v>
      </c>
      <c r="F35" s="13">
        <f>IFERROR(SUMPRODUCT(--($K$5:$K$29=$B35),$D$5:$D$29,$H$5:$H$29),"")</f>
        <v>6357.0</v>
      </c>
    </row>
    <row r="36">
      <c r="B36" s="15" t="inlineStr">
        <is>
          <t>Dog</t>
        </is>
      </c>
      <c r="C36" s="8">
        <f>COUNTIF($K$5:$K$29,$B36)</f>
        <v>3.0</v>
      </c>
      <c r="D36" s="8">
        <f>IFERROR(SUMIF($K$5:$K$29,$B36,$D$5:$D$29),"")</f>
        <v>350.0</v>
      </c>
      <c r="E36" s="14">
        <f>IFERROR(IF(SUM($D$5:$D$29)=0,"",$D36/SUM($D$5:$D$29)),"")</f>
        <v>0.07186858316221766</v>
      </c>
      <c r="F36" s="13">
        <f>IFERROR(SUMPRODUCT(--($K$5:$K$29=$B36),$D$5:$D$29,$H$5:$H$29),"")</f>
        <v>2318.0</v>
      </c>
    </row>
  </sheetData>
  <sheetProtection selectLockedCells="0" selectUnlockedCells="0" sheet="1" objects="0" insertRows="0" insertHyperlinks="1" autoFilter="1" scenarios="0" formatColumns="0" deleteColumns="1" insertColumns="1" pivotTables="1" deleteRows="1" formatCells="1" formatRows="0" sort="0"/>
  <conditionalFormatting sqref="K5:K29">
    <cfRule type="cellIs" priority="1" operator="equal" dxfId="0" stopIfTrue="1">
      <formula>"Star"</formula>
    </cfRule>
    <cfRule type="cellIs" priority="2" operator="equal" dxfId="1" stopIfTrue="1">
      <formula>"Plowhorse"</formula>
    </cfRule>
    <cfRule type="cellIs" priority="3" operator="equal" dxfId="1" stopIfTrue="1">
      <formula>"Puzzle"</formula>
    </cfRule>
    <cfRule type="cellIs" priority="4" operator="equal" dxfId="2" stopIfTrue="1">
      <formula>"Dog"</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3" customWidth="1" min="5" max="5"/>
    <col width="14" customWidth="1" min="6" max="6"/>
    <col width="12" customWidth="1" min="7" max="7"/>
    <col width="12" customWidth="1" min="8" max="8"/>
    <col width="15" customWidth="1" min="9" max="9"/>
    <col width="12" customWidth="1" min="10" max="10"/>
    <col width="14" customWidth="1" min="11" max="11"/>
    <col width="46" customWidth="1" min="12" max="12"/>
    <col width="42" customWidth="1" min="13" max="13"/>
  </cols>
  <sheetData>
    <row r="1">
      <c r="A1" s="1" t="inlineStr">
        <is>
          <t>Miller — popularidad × food cost %</t>
        </is>
      </c>
    </row>
    <row r="2">
      <c r="A2" s="2" t="inlineStr">
        <is>
          <t>AI Chef Pro · aichef.pro — Guía Food Cost + Ingeniería de Menú</t>
        </is>
      </c>
    </row>
    <row r="3">
      <c r="E3" s="6" t="inlineStr">
        <is>
          <t>Miller premia el food cost bajo; Kasavana &amp; Smith premia el margen en euros. No siempre coinciden.</t>
        </is>
      </c>
    </row>
    <row r="4" ht="46" customHeight="1">
      <c r="A4" s="7" t="inlineStr">
        <is>
          <t>#</t>
        </is>
      </c>
      <c r="B4" s="7" t="inlineStr">
        <is>
          <t>Plato</t>
        </is>
      </c>
      <c r="C4" s="7" t="inlineStr">
        <is>
          <t>Familia</t>
        </is>
      </c>
      <c r="D4" s="7" t="inlineStr">
        <is>
          <t>Uds vendidas</t>
        </is>
      </c>
      <c r="E4" s="7" t="inlineStr">
        <is>
          <t>Mix dentro de su familia (%)</t>
        </is>
      </c>
      <c r="F4" s="7" t="inlineStr">
        <is>
          <t>Umbral de popularidad de su familia (%)</t>
        </is>
      </c>
      <c r="G4" s="7" t="inlineStr">
        <is>
          <t>Popularidad</t>
        </is>
      </c>
      <c r="H4" s="7" t="inlineStr">
        <is>
          <t>Food cost del plato (%)</t>
        </is>
      </c>
      <c r="I4" s="7" t="inlineStr">
        <is>
          <t>Food cost medio ponderado de su familia (%)</t>
        </is>
      </c>
      <c r="J4" s="7" t="inlineStr">
        <is>
          <t>Nivel de food cost</t>
        </is>
      </c>
      <c r="K4" s="7" t="inlineStr">
        <is>
          <t>Clasificación</t>
        </is>
      </c>
      <c r="L4" s="7" t="inlineStr">
        <is>
          <t>Qué significa</t>
        </is>
      </c>
      <c r="M4" s="7" t="inlineStr">
        <is>
          <t>Acción recomendada</t>
        </is>
      </c>
    </row>
    <row r="5">
      <c r="A5" s="8" t="n">
        <v>1</v>
      </c>
      <c r="B5" t="str">
        <f>IFERROR(IF('Datos'!$B5="","",'Datos'!$B5),"")</f>
        <v>Croquetas de jamón ibérico (6 ud)</v>
      </c>
      <c r="C5" t="str">
        <f>IFERROR(IF('Datos'!$C5="","",'Datos'!$C5),"")</f>
        <v>Entrantes</v>
      </c>
      <c r="D5" s="8">
        <f>IFERROR(IF('Datos'!$D5="","",'Datos'!$D5),"")</f>
        <v>420.0</v>
      </c>
      <c r="E5" s="14">
        <f>IFERROR(IF('Datos'!$L5="","",'Datos'!$L5),"")</f>
        <v>0.24277456647398843</v>
      </c>
      <c r="F5" s="14">
        <f>IFERROR(IF('Datos'!$M5="","",'Datos'!$M5),"")</f>
        <v>0.09999999999999999</v>
      </c>
      <c r="G5" t="str">
        <f>IFERROR(IF(OR($E5="",$F5=""),"",IF($E5&gt;=$F5,"Alta","Baja")),"")</f>
        <v>Alta</v>
      </c>
      <c r="H5" s="12">
        <f>IFERROR(IF('Datos'!$H5="","",'Datos'!$H5),"")</f>
        <v>0.24418604651162792</v>
      </c>
      <c r="I5" s="14">
        <f>IFERROR(IF('Datos'!$O5="","",'Datos'!$O5),"")</f>
        <v>0.3071474565357373</v>
      </c>
      <c r="J5" t="str">
        <f>IFERROR(IF(OR($H5="",$I5=""),"",IF($H5&lt;=$I5,"Bajo","Alto")),"")</f>
        <v>Bajo</v>
      </c>
      <c r="K5" s="15" t="str">
        <f>IFERROR(IF(OR($G5="",$J5=""),"",IF(AND($G5="Alta",$J5="Bajo"),"Winner",IF(AND($G5="Baja",$J5="Alto"),"Loser","Marginal"))),"")</f>
        <v>Winner</v>
      </c>
      <c r="L5" t="str">
        <f>IFERROR(IF($K5="","",IF($K5="Winner","Popular y con el food cost por debajo de la media de su familia.",IF($K5="Marginal","Cumple en una sola de las dos: o vende, o tiene el food cost sano.","Poco pedido y con el food cost por encima de su familia."))),"")</f>
        <v>Popular y con el food cost por debajo de la media de su familia.</v>
      </c>
      <c r="M5" t="str">
        <f>IFERROR(IF($K5="","",IF($K5="Winner","Mantener y proteger el escandallo: es el que aguanta una subida del proveedor.",IF($K5="Marginal","Mirar las otras lecturas antes de tocarlo: el problema es de precio o es de carta.","Reformular la receta o retirarlo de la carta."))),"")</f>
        <v>Mantener y proteger el escandallo: es el que aguanta una subida del proveedor.</v>
      </c>
    </row>
    <row r="6">
      <c r="A6" s="8" t="n">
        <v>2</v>
      </c>
      <c r="B6" t="str">
        <f>IFERROR(IF('Datos'!$B6="","",'Datos'!$B6),"")</f>
        <v>Ensalada de tomate rosa, ventresca y cebolleta</v>
      </c>
      <c r="C6" t="str">
        <f>IFERROR(IF('Datos'!$C6="","",'Datos'!$C6),"")</f>
        <v>Entrantes</v>
      </c>
      <c r="D6" s="8">
        <f>IFERROR(IF('Datos'!$D6="","",'Datos'!$D6),"")</f>
        <v>310.0</v>
      </c>
      <c r="E6" s="14">
        <f>IFERROR(IF('Datos'!$L6="","",'Datos'!$L6),"")</f>
        <v>0.1791907514450867</v>
      </c>
      <c r="F6" s="14">
        <f>IFERROR(IF('Datos'!$M6="","",'Datos'!$M6),"")</f>
        <v>0.09999999999999999</v>
      </c>
      <c r="G6" t="str">
        <f>IFERROR(IF(OR($E6="",$F6=""),"",IF($E6&gt;=$F6,"Alta","Baja")),"")</f>
        <v>Alta</v>
      </c>
      <c r="H6" s="12">
        <f>IFERROR(IF('Datos'!$H6="","",'Datos'!$H6),"")</f>
        <v>0.30508474576271183</v>
      </c>
      <c r="I6" s="14">
        <f>IFERROR(IF('Datos'!$O6="","",'Datos'!$O6),"")</f>
        <v>0.3071474565357373</v>
      </c>
      <c r="J6" t="str">
        <f>IFERROR(IF(OR($H6="",$I6=""),"",IF($H6&lt;=$I6,"Bajo","Alto")),"")</f>
        <v>Bajo</v>
      </c>
      <c r="K6" s="15" t="str">
        <f>IFERROR(IF(OR($G6="",$J6=""),"",IF(AND($G6="Alta",$J6="Bajo"),"Winner",IF(AND($G6="Baja",$J6="Alto"),"Loser","Marginal"))),"")</f>
        <v>Winner</v>
      </c>
      <c r="L6" t="str">
        <f>IFERROR(IF($K6="","",IF($K6="Winner","Popular y con el food cost por debajo de la media de su familia.",IF($K6="Marginal","Cumple en una sola de las dos: o vende, o tiene el food cost sano.","Poco pedido y con el food cost por encima de su familia."))),"")</f>
        <v>Popular y con el food cost por debajo de la media de su familia.</v>
      </c>
      <c r="M6" t="str">
        <f>IFERROR(IF($K6="","",IF($K6="Winner","Mantener y proteger el escandallo: es el que aguanta una subida del proveedor.",IF($K6="Marginal","Mirar las otras lecturas antes de tocarlo: el problema es de precio o es de carta.","Reformular la receta o retirarlo de la carta."))),"")</f>
        <v>Mantener y proteger el escandallo: es el que aguanta una subida del proveedor.</v>
      </c>
    </row>
    <row r="7">
      <c r="A7" s="8" t="n">
        <v>3</v>
      </c>
      <c r="B7" t="str">
        <f>IFERROR(IF('Datos'!$B7="","",'Datos'!$B7),"")</f>
        <v>Gambas al ajillo</v>
      </c>
      <c r="C7" t="str">
        <f>IFERROR(IF('Datos'!$C7="","",'Datos'!$C7),"")</f>
        <v>Entrantes</v>
      </c>
      <c r="D7" s="8">
        <f>IFERROR(IF('Datos'!$D7="","",'Datos'!$D7),"")</f>
        <v>260.0</v>
      </c>
      <c r="E7" s="14">
        <f>IFERROR(IF('Datos'!$L7="","",'Datos'!$L7),"")</f>
        <v>0.15028901734104047</v>
      </c>
      <c r="F7" s="14">
        <f>IFERROR(IF('Datos'!$M7="","",'Datos'!$M7),"")</f>
        <v>0.09999999999999999</v>
      </c>
      <c r="G7" t="str">
        <f>IFERROR(IF(OR($E7="",$F7=""),"",IF($E7&gt;=$F7,"Alta","Baja")),"")</f>
        <v>Alta</v>
      </c>
      <c r="H7" s="12">
        <f>IFERROR(IF('Datos'!$H7="","",'Datos'!$H7),"")</f>
        <v>0.44516129032258067</v>
      </c>
      <c r="I7" s="14">
        <f>IFERROR(IF('Datos'!$O7="","",'Datos'!$O7),"")</f>
        <v>0.3071474565357373</v>
      </c>
      <c r="J7" t="str">
        <f>IFERROR(IF(OR($H7="",$I7=""),"",IF($H7&lt;=$I7,"Bajo","Alto")),"")</f>
        <v>Alto</v>
      </c>
      <c r="K7" s="15" t="str">
        <f>IFERROR(IF(OR($G7="",$J7=""),"",IF(AND($G7="Alta",$J7="Bajo"),"Winner",IF(AND($G7="Baja",$J7="Alto"),"Loser","Marginal"))),"")</f>
        <v>Marginal</v>
      </c>
      <c r="L7" t="str">
        <f>IFERROR(IF($K7="","",IF($K7="Winner","Popular y con el food cost por debajo de la media de su familia.",IF($K7="Marginal","Cumple en una sola de las dos: o vende, o tiene el food cost sano.","Poco pedido y con el food cost por encima de su familia."))),"")</f>
        <v>Cumple en una sola de las dos: o vende, o tiene el food cost sano.</v>
      </c>
      <c r="M7" t="str">
        <f>IFERROR(IF($K7="","",IF($K7="Winner","Mantener y proteger el escandallo: es el que aguanta una subida del proveedor.",IF($K7="Marginal","Mirar las otras lecturas antes de tocarlo: el problema es de precio o es de carta.","Reformular la receta o retirarlo de la carta."))),"")</f>
        <v>Mirar las otras lecturas antes de tocarlo: el problema es de precio o es de carta.</v>
      </c>
    </row>
    <row r="8">
      <c r="A8" s="8" t="n">
        <v>4</v>
      </c>
      <c r="B8" t="str">
        <f>IFERROR(IF('Datos'!$B8="","",'Datos'!$B8),"")</f>
        <v>Huevos rotos con patatas y chistorra</v>
      </c>
      <c r="C8" t="str">
        <f>IFERROR(IF('Datos'!$C8="","",'Datos'!$C8),"")</f>
        <v>Entrantes</v>
      </c>
      <c r="D8" s="8">
        <f>IFERROR(IF('Datos'!$D8="","",'Datos'!$D8),"")</f>
        <v>380.0</v>
      </c>
      <c r="E8" s="14">
        <f>IFERROR(IF('Datos'!$L8="","",'Datos'!$L8),"")</f>
        <v>0.21965317919075145</v>
      </c>
      <c r="F8" s="14">
        <f>IFERROR(IF('Datos'!$M8="","",'Datos'!$M8),"")</f>
        <v>0.09999999999999999</v>
      </c>
      <c r="G8" t="str">
        <f>IFERROR(IF(OR($E8="",$F8=""),"",IF($E8&gt;=$F8,"Alta","Baja")),"")</f>
        <v>Alta</v>
      </c>
      <c r="H8" s="12">
        <f>IFERROR(IF('Datos'!$H8="","",'Datos'!$H8),"")</f>
        <v>0.24489795918367344</v>
      </c>
      <c r="I8" s="14">
        <f>IFERROR(IF('Datos'!$O8="","",'Datos'!$O8),"")</f>
        <v>0.3071474565357373</v>
      </c>
      <c r="J8" t="str">
        <f>IFERROR(IF(OR($H8="",$I8=""),"",IF($H8&lt;=$I8,"Bajo","Alto")),"")</f>
        <v>Bajo</v>
      </c>
      <c r="K8" s="15" t="str">
        <f>IFERROR(IF(OR($G8="",$J8=""),"",IF(AND($G8="Alta",$J8="Bajo"),"Winner",IF(AND($G8="Baja",$J8="Alto"),"Loser","Marginal"))),"")</f>
        <v>Winner</v>
      </c>
      <c r="L8" t="str">
        <f>IFERROR(IF($K8="","",IF($K8="Winner","Popular y con el food cost por debajo de la media de su familia.",IF($K8="Marginal","Cumple en una sola de las dos: o vende, o tiene el food cost sano.","Poco pedido y con el food cost por encima de su familia."))),"")</f>
        <v>Popular y con el food cost por debajo de la media de su familia.</v>
      </c>
      <c r="M8" t="str">
        <f>IFERROR(IF($K8="","",IF($K8="Winner","Mantener y proteger el escandallo: es el que aguanta una subida del proveedor.",IF($K8="Marginal","Mirar las otras lecturas antes de tocarlo: el problema es de precio o es de carta.","Reformular la receta o retirarlo de la carta."))),"")</f>
        <v>Mantener y proteger el escandallo: es el que aguanta una subida del proveedor.</v>
      </c>
    </row>
    <row r="9">
      <c r="A9" s="8" t="n">
        <v>5</v>
      </c>
      <c r="B9" t="str">
        <f>IFERROR(IF('Datos'!$B9="","",'Datos'!$B9),"")</f>
        <v>Tabla de quesos de la zona</v>
      </c>
      <c r="C9" t="str">
        <f>IFERROR(IF('Datos'!$C9="","",'Datos'!$C9),"")</f>
        <v>Entrantes</v>
      </c>
      <c r="D9" s="8">
        <f>IFERROR(IF('Datos'!$D9="","",'Datos'!$D9),"")</f>
        <v>90.0</v>
      </c>
      <c r="E9" s="14">
        <f>IFERROR(IF('Datos'!$L9="","",'Datos'!$L9),"")</f>
        <v>0.05202312138728324</v>
      </c>
      <c r="F9" s="14">
        <f>IFERROR(IF('Datos'!$M9="","",'Datos'!$M9),"")</f>
        <v>0.09999999999999999</v>
      </c>
      <c r="G9" t="str">
        <f>IFERROR(IF(OR($E9="",$F9=""),"",IF($E9&gt;=$F9,"Alta","Baja")),"")</f>
        <v>Baja</v>
      </c>
      <c r="H9" s="12">
        <f>IFERROR(IF('Datos'!$H9="","",'Datos'!$H9),"")</f>
        <v>0.3823529411764706</v>
      </c>
      <c r="I9" s="14">
        <f>IFERROR(IF('Datos'!$O9="","",'Datos'!$O9),"")</f>
        <v>0.3071474565357373</v>
      </c>
      <c r="J9" t="str">
        <f>IFERROR(IF(OR($H9="",$I9=""),"",IF($H9&lt;=$I9,"Bajo","Alto")),"")</f>
        <v>Alto</v>
      </c>
      <c r="K9" s="15" t="str">
        <f>IFERROR(IF(OR($G9="",$J9=""),"",IF(AND($G9="Alta",$J9="Bajo"),"Winner",IF(AND($G9="Baja",$J9="Alto"),"Loser","Marginal"))),"")</f>
        <v>Loser</v>
      </c>
      <c r="L9" t="str">
        <f>IFERROR(IF($K9="","",IF($K9="Winner","Popular y con el food cost por debajo de la media de su familia.",IF($K9="Marginal","Cumple en una sola de las dos: o vende, o tiene el food cost sano.","Poco pedido y con el food cost por encima de su familia."))),"")</f>
        <v>Poco pedido y con el food cost por encima de su familia.</v>
      </c>
      <c r="M9" t="str">
        <f>IFERROR(IF($K9="","",IF($K9="Winner","Mantener y proteger el escandallo: es el que aguanta una subida del proveedor.",IF($K9="Marginal","Mirar las otras lecturas antes de tocarlo: el problema es de precio o es de carta.","Reformular la receta o retirarlo de la carta."))),"")</f>
        <v>Reformular la receta o retirarlo de la carta.</v>
      </c>
    </row>
    <row r="10">
      <c r="A10" s="8" t="n">
        <v>6</v>
      </c>
      <c r="B10" t="str">
        <f>IFERROR(IF('Datos'!$B10="","",'Datos'!$B10),"")</f>
        <v>Alcachofas confitadas con jamón</v>
      </c>
      <c r="C10" t="str">
        <f>IFERROR(IF('Datos'!$C10="","",'Datos'!$C10),"")</f>
        <v>Entrantes</v>
      </c>
      <c r="D10" s="8">
        <f>IFERROR(IF('Datos'!$D10="","",'Datos'!$D10),"")</f>
        <v>120.0</v>
      </c>
      <c r="E10" s="14">
        <f>IFERROR(IF('Datos'!$L10="","",'Datos'!$L10),"")</f>
        <v>0.06936416184971098</v>
      </c>
      <c r="F10" s="14">
        <f>IFERROR(IF('Datos'!$M10="","",'Datos'!$M10),"")</f>
        <v>0.09999999999999999</v>
      </c>
      <c r="G10" t="str">
        <f>IFERROR(IF(OR($E10="",$F10=""),"",IF($E10&gt;=$F10,"Alta","Baja")),"")</f>
        <v>Baja</v>
      </c>
      <c r="H10" s="12">
        <f>IFERROR(IF('Datos'!$H10="","",'Datos'!$H10),"")</f>
        <v>0.28440366972477066</v>
      </c>
      <c r="I10" s="14">
        <f>IFERROR(IF('Datos'!$O10="","",'Datos'!$O10),"")</f>
        <v>0.3071474565357373</v>
      </c>
      <c r="J10" t="str">
        <f>IFERROR(IF(OR($H10="",$I10=""),"",IF($H10&lt;=$I10,"Bajo","Alto")),"")</f>
        <v>Bajo</v>
      </c>
      <c r="K10" s="15" t="str">
        <f>IFERROR(IF(OR($G10="",$J10=""),"",IF(AND($G10="Alta",$J10="Bajo"),"Winner",IF(AND($G10="Baja",$J10="Alto"),"Loser","Marginal"))),"")</f>
        <v>Marginal</v>
      </c>
      <c r="L10" t="str">
        <f>IFERROR(IF($K10="","",IF($K10="Winner","Popular y con el food cost por debajo de la media de su familia.",IF($K10="Marginal","Cumple en una sola de las dos: o vende, o tiene el food cost sano.","Poco pedido y con el food cost por encima de su familia."))),"")</f>
        <v>Cumple en una sola de las dos: o vende, o tiene el food cost sano.</v>
      </c>
      <c r="M10" t="str">
        <f>IFERROR(IF($K10="","",IF($K10="Winner","Mantener y proteger el escandallo: es el que aguanta una subida del proveedor.",IF($K10="Marginal","Mirar las otras lecturas antes de tocarlo: el problema es de precio o es de carta.","Reformular la receta o retirarlo de la carta."))),"")</f>
        <v>Mirar las otras lecturas antes de tocarlo: el problema es de precio o es de carta.</v>
      </c>
    </row>
    <row r="11">
      <c r="A11" s="8" t="n">
        <v>7</v>
      </c>
      <c r="B11" t="str">
        <f>IFERROR(IF('Datos'!$B11="","",'Datos'!$B11),"")</f>
        <v>Sopa de tomate asado con albahaca</v>
      </c>
      <c r="C11" t="str">
        <f>IFERROR(IF('Datos'!$C11="","",'Datos'!$C11),"")</f>
        <v>Entrantes</v>
      </c>
      <c r="D11" s="8">
        <f>IFERROR(IF('Datos'!$D11="","",'Datos'!$D11),"")</f>
        <v>150.0</v>
      </c>
      <c r="E11" s="14">
        <f>IFERROR(IF('Datos'!$L11="","",'Datos'!$L11),"")</f>
        <v>0.08670520231213873</v>
      </c>
      <c r="F11" s="14">
        <f>IFERROR(IF('Datos'!$M11="","",'Datos'!$M11),"")</f>
        <v>0.09999999999999999</v>
      </c>
      <c r="G11" t="str">
        <f>IFERROR(IF(OR($E11="",$F11=""),"",IF($E11&gt;=$F11,"Alta","Baja")),"")</f>
        <v>Baja</v>
      </c>
      <c r="H11" s="12">
        <f>IFERROR(IF('Datos'!$H11="","",'Datos'!$H11),"")</f>
        <v>0.16666666666666666</v>
      </c>
      <c r="I11" s="14">
        <f>IFERROR(IF('Datos'!$O11="","",'Datos'!$O11),"")</f>
        <v>0.3071474565357373</v>
      </c>
      <c r="J11" t="str">
        <f>IFERROR(IF(OR($H11="",$I11=""),"",IF($H11&lt;=$I11,"Bajo","Alto")),"")</f>
        <v>Bajo</v>
      </c>
      <c r="K11" s="15" t="str">
        <f>IFERROR(IF(OR($G11="",$J11=""),"",IF(AND($G11="Alta",$J11="Bajo"),"Winner",IF(AND($G11="Baja",$J11="Alto"),"Loser","Marginal"))),"")</f>
        <v>Marginal</v>
      </c>
      <c r="L11" t="str">
        <f>IFERROR(IF($K11="","",IF($K11="Winner","Popular y con el food cost por debajo de la media de su familia.",IF($K11="Marginal","Cumple en una sola de las dos: o vende, o tiene el food cost sano.","Poco pedido y con el food cost por encima de su familia."))),"")</f>
        <v>Cumple en una sola de las dos: o vende, o tiene el food cost sano.</v>
      </c>
      <c r="M11" t="str">
        <f>IFERROR(IF($K11="","",IF($K11="Winner","Mantener y proteger el escandallo: es el que aguanta una subida del proveedor.",IF($K11="Marginal","Mirar las otras lecturas antes de tocarlo: el problema es de precio o es de carta.","Reformular la receta o retirarlo de la carta."))),"")</f>
        <v>Mirar las otras lecturas antes de tocarlo: el problema es de precio o es de carta.</v>
      </c>
    </row>
    <row r="12">
      <c r="A12" s="8" t="n">
        <v>8</v>
      </c>
      <c r="B12" t="str">
        <f>IFERROR(IF('Datos'!$B12="","",'Datos'!$B12),"")</f>
        <v>Solomillo de cerdo ibérico con puré de boniato</v>
      </c>
      <c r="C12" t="str">
        <f>IFERROR(IF('Datos'!$C12="","",'Datos'!$C12),"")</f>
        <v>Principales</v>
      </c>
      <c r="D12" s="8">
        <f>IFERROR(IF('Datos'!$D12="","",'Datos'!$D12),"")</f>
        <v>340.0</v>
      </c>
      <c r="E12" s="14">
        <f>IFERROR(IF('Datos'!$L12="","",'Datos'!$L12),"")</f>
        <v>0.16831683168316833</v>
      </c>
      <c r="F12" s="14">
        <f>IFERROR(IF('Datos'!$M12="","",'Datos'!$M12),"")</f>
        <v>0.07777777777777778</v>
      </c>
      <c r="G12" t="str">
        <f>IFERROR(IF(OR($E12="",$F12=""),"",IF($E12&gt;=$F12,"Alta","Baja")),"")</f>
        <v>Alta</v>
      </c>
      <c r="H12" s="12">
        <f>IFERROR(IF('Datos'!$H12="","",'Datos'!$H12),"")</f>
        <v>0.32774566473988437</v>
      </c>
      <c r="I12" s="14">
        <f>IFERROR(IF('Datos'!$O12="","",'Datos'!$O12),"")</f>
        <v>0.3558752289242039</v>
      </c>
      <c r="J12" t="str">
        <f>IFERROR(IF(OR($H12="",$I12=""),"",IF($H12&lt;=$I12,"Bajo","Alto")),"")</f>
        <v>Bajo</v>
      </c>
      <c r="K12" s="15" t="str">
        <f>IFERROR(IF(OR($G12="",$J12=""),"",IF(AND($G12="Alta",$J12="Bajo"),"Winner",IF(AND($G12="Baja",$J12="Alto"),"Loser","Marginal"))),"")</f>
        <v>Winner</v>
      </c>
      <c r="L12" t="str">
        <f>IFERROR(IF($K12="","",IF($K12="Winner","Popular y con el food cost por debajo de la media de su familia.",IF($K12="Marginal","Cumple en una sola de las dos: o vende, o tiene el food cost sano.","Poco pedido y con el food cost por encima de su familia."))),"")</f>
        <v>Popular y con el food cost por debajo de la media de su familia.</v>
      </c>
      <c r="M12" t="str">
        <f>IFERROR(IF($K12="","",IF($K12="Winner","Mantener y proteger el escandallo: es el que aguanta una subida del proveedor.",IF($K12="Marginal","Mirar las otras lecturas antes de tocarlo: el problema es de precio o es de carta.","Reformular la receta o retirarlo de la carta."))),"")</f>
        <v>Mantener y proteger el escandallo: es el que aguanta una subida del proveedor.</v>
      </c>
    </row>
    <row r="13">
      <c r="A13" s="8" t="n">
        <v>9</v>
      </c>
      <c r="B13" t="str">
        <f>IFERROR(IF('Datos'!$B13="","",'Datos'!$B13),"")</f>
        <v>Bacalao confitado al pil-pil</v>
      </c>
      <c r="C13" t="str">
        <f>IFERROR(IF('Datos'!$C13="","",'Datos'!$C13),"")</f>
        <v>Principales</v>
      </c>
      <c r="D13" s="8">
        <f>IFERROR(IF('Datos'!$D13="","",'Datos'!$D13),"")</f>
        <v>190.0</v>
      </c>
      <c r="E13" s="14">
        <f>IFERROR(IF('Datos'!$L13="","",'Datos'!$L13),"")</f>
        <v>0.09405940594059406</v>
      </c>
      <c r="F13" s="14">
        <f>IFERROR(IF('Datos'!$M13="","",'Datos'!$M13),"")</f>
        <v>0.07777777777777778</v>
      </c>
      <c r="G13" t="str">
        <f>IFERROR(IF(OR($E13="",$F13=""),"",IF($E13&gt;=$F13,"Alta","Baja")),"")</f>
        <v>Alta</v>
      </c>
      <c r="H13" s="12">
        <f>IFERROR(IF('Datos'!$H13="","",'Datos'!$H13),"")</f>
        <v>0.38743455497382195</v>
      </c>
      <c r="I13" s="14">
        <f>IFERROR(IF('Datos'!$O13="","",'Datos'!$O13),"")</f>
        <v>0.3558752289242039</v>
      </c>
      <c r="J13" t="str">
        <f>IFERROR(IF(OR($H13="",$I13=""),"",IF($H13&lt;=$I13,"Bajo","Alto")),"")</f>
        <v>Alto</v>
      </c>
      <c r="K13" s="15" t="str">
        <f>IFERROR(IF(OR($G13="",$J13=""),"",IF(AND($G13="Alta",$J13="Bajo"),"Winner",IF(AND($G13="Baja",$J13="Alto"),"Loser","Marginal"))),"")</f>
        <v>Marginal</v>
      </c>
      <c r="L13" t="str">
        <f>IFERROR(IF($K13="","",IF($K13="Winner","Popular y con el food cost por debajo de la media de su familia.",IF($K13="Marginal","Cumple en una sola de las dos: o vende, o tiene el food cost sano.","Poco pedido y con el food cost por encima de su familia."))),"")</f>
        <v>Cumple en una sola de las dos: o vende, o tiene el food cost sano.</v>
      </c>
      <c r="M13" t="str">
        <f>IFERROR(IF($K13="","",IF($K13="Winner","Mantener y proteger el escandallo: es el que aguanta una subida del proveedor.",IF($K13="Marginal","Mirar las otras lecturas antes de tocarlo: el problema es de precio o es de carta.","Reformular la receta o retirarlo de la carta."))),"")</f>
        <v>Mirar las otras lecturas antes de tocarlo: el problema es de precio o es de carta.</v>
      </c>
    </row>
    <row r="14">
      <c r="A14" s="8" t="n">
        <v>10</v>
      </c>
      <c r="B14" t="str">
        <f>IFERROR(IF('Datos'!$B14="","",'Datos'!$B14),"")</f>
        <v>Hamburguesa de vaca madurada con patatas</v>
      </c>
      <c r="C14" t="str">
        <f>IFERROR(IF('Datos'!$C14="","",'Datos'!$C14),"")</f>
        <v>Principales</v>
      </c>
      <c r="D14" s="8">
        <f>IFERROR(IF('Datos'!$D14="","",'Datos'!$D14),"")</f>
        <v>460.0</v>
      </c>
      <c r="E14" s="14">
        <f>IFERROR(IF('Datos'!$L14="","",'Datos'!$L14),"")</f>
        <v>0.22772277227722773</v>
      </c>
      <c r="F14" s="14">
        <f>IFERROR(IF('Datos'!$M14="","",'Datos'!$M14),"")</f>
        <v>0.07777777777777778</v>
      </c>
      <c r="G14" t="str">
        <f>IFERROR(IF(OR($E14="",$F14=""),"",IF($E14&gt;=$F14,"Alta","Baja")),"")</f>
        <v>Alta</v>
      </c>
      <c r="H14" s="12">
        <f>IFERROR(IF('Datos'!$H14="","",'Datos'!$H14),"")</f>
        <v>0.3161764705882353</v>
      </c>
      <c r="I14" s="14">
        <f>IFERROR(IF('Datos'!$O14="","",'Datos'!$O14),"")</f>
        <v>0.3558752289242039</v>
      </c>
      <c r="J14" t="str">
        <f>IFERROR(IF(OR($H14="",$I14=""),"",IF($H14&lt;=$I14,"Bajo","Alto")),"")</f>
        <v>Bajo</v>
      </c>
      <c r="K14" s="15" t="str">
        <f>IFERROR(IF(OR($G14="",$J14=""),"",IF(AND($G14="Alta",$J14="Bajo"),"Winner",IF(AND($G14="Baja",$J14="Alto"),"Loser","Marginal"))),"")</f>
        <v>Winner</v>
      </c>
      <c r="L14" t="str">
        <f>IFERROR(IF($K14="","",IF($K14="Winner","Popular y con el food cost por debajo de la media de su familia.",IF($K14="Marginal","Cumple en una sola de las dos: o vende, o tiene el food cost sano.","Poco pedido y con el food cost por encima de su familia."))),"")</f>
        <v>Popular y con el food cost por debajo de la media de su familia.</v>
      </c>
      <c r="M14" t="str">
        <f>IFERROR(IF($K14="","",IF($K14="Winner","Mantener y proteger el escandallo: es el que aguanta una subida del proveedor.",IF($K14="Marginal","Mirar las otras lecturas antes de tocarlo: el problema es de precio o es de carta.","Reformular la receta o retirarlo de la carta."))),"")</f>
        <v>Mantener y proteger el escandallo: es el que aguanta una subida del proveedor.</v>
      </c>
    </row>
    <row r="15">
      <c r="A15" s="8" t="n">
        <v>11</v>
      </c>
      <c r="B15" t="str">
        <f>IFERROR(IF('Datos'!$B15="","",'Datos'!$B15),"")</f>
        <v>Arroz meloso de secreto ibérico y setas</v>
      </c>
      <c r="C15" t="str">
        <f>IFERROR(IF('Datos'!$C15="","",'Datos'!$C15),"")</f>
        <v>Principales</v>
      </c>
      <c r="D15" s="8">
        <f>IFERROR(IF('Datos'!$D15="","",'Datos'!$D15),"")</f>
        <v>270.0</v>
      </c>
      <c r="E15" s="14">
        <f>IFERROR(IF('Datos'!$L15="","",'Datos'!$L15),"")</f>
        <v>0.13366336633663367</v>
      </c>
      <c r="F15" s="14">
        <f>IFERROR(IF('Datos'!$M15="","",'Datos'!$M15),"")</f>
        <v>0.07777777777777778</v>
      </c>
      <c r="G15" t="str">
        <f>IFERROR(IF(OR($E15="",$F15=""),"",IF($E15&gt;=$F15,"Alta","Baja")),"")</f>
        <v>Alta</v>
      </c>
      <c r="H15" s="12">
        <f>IFERROR(IF('Datos'!$H15="","",'Datos'!$H15),"")</f>
        <v>0.37804878048780494</v>
      </c>
      <c r="I15" s="14">
        <f>IFERROR(IF('Datos'!$O15="","",'Datos'!$O15),"")</f>
        <v>0.3558752289242039</v>
      </c>
      <c r="J15" t="str">
        <f>IFERROR(IF(OR($H15="",$I15=""),"",IF($H15&lt;=$I15,"Bajo","Alto")),"")</f>
        <v>Alto</v>
      </c>
      <c r="K15" s="15" t="str">
        <f>IFERROR(IF(OR($G15="",$J15=""),"",IF(AND($G15="Alta",$J15="Bajo"),"Winner",IF(AND($G15="Baja",$J15="Alto"),"Loser","Marginal"))),"")</f>
        <v>Marginal</v>
      </c>
      <c r="L15" t="str">
        <f>IFERROR(IF($K15="","",IF($K15="Winner","Popular y con el food cost por debajo de la media de su familia.",IF($K15="Marginal","Cumple en una sola de las dos: o vende, o tiene el food cost sano.","Poco pedido y con el food cost por encima de su familia."))),"")</f>
        <v>Cumple en una sola de las dos: o vende, o tiene el food cost sano.</v>
      </c>
      <c r="M15" t="str">
        <f>IFERROR(IF($K15="","",IF($K15="Winner","Mantener y proteger el escandallo: es el que aguanta una subida del proveedor.",IF($K15="Marginal","Mirar las otras lecturas antes de tocarlo: el problema es de precio o es de carta.","Reformular la receta o retirarlo de la carta."))),"")</f>
        <v>Mirar las otras lecturas antes de tocarlo: el problema es de precio o es de carta.</v>
      </c>
    </row>
    <row r="16">
      <c r="A16" s="8" t="n">
        <v>12</v>
      </c>
      <c r="B16" t="str">
        <f>IFERROR(IF('Datos'!$B16="","",'Datos'!$B16),"")</f>
        <v>Chuletón de vaca madurada (500 g)</v>
      </c>
      <c r="C16" t="str">
        <f>IFERROR(IF('Datos'!$C16="","",'Datos'!$C16),"")</f>
        <v>Principales</v>
      </c>
      <c r="D16" s="8">
        <f>IFERROR(IF('Datos'!$D16="","",'Datos'!$D16),"")</f>
        <v>110.0</v>
      </c>
      <c r="E16" s="14">
        <f>IFERROR(IF('Datos'!$L16="","",'Datos'!$L16),"")</f>
        <v>0.054455445544554455</v>
      </c>
      <c r="F16" s="14">
        <f>IFERROR(IF('Datos'!$M16="","",'Datos'!$M16),"")</f>
        <v>0.07777777777777778</v>
      </c>
      <c r="G16" t="str">
        <f>IFERROR(IF(OR($E16="",$F16=""),"",IF($E16&gt;=$F16,"Alta","Baja")),"")</f>
        <v>Baja</v>
      </c>
      <c r="H16" s="12">
        <f>IFERROR(IF('Datos'!$H16="","",'Datos'!$H16),"")</f>
        <v>0.4525993883792049</v>
      </c>
      <c r="I16" s="14">
        <f>IFERROR(IF('Datos'!$O16="","",'Datos'!$O16),"")</f>
        <v>0.3558752289242039</v>
      </c>
      <c r="J16" t="str">
        <f>IFERROR(IF(OR($H16="",$I16=""),"",IF($H16&lt;=$I16,"Bajo","Alto")),"")</f>
        <v>Alto</v>
      </c>
      <c r="K16" s="15" t="str">
        <f>IFERROR(IF(OR($G16="",$J16=""),"",IF(AND($G16="Alta",$J16="Bajo"),"Winner",IF(AND($G16="Baja",$J16="Alto"),"Loser","Marginal"))),"")</f>
        <v>Loser</v>
      </c>
      <c r="L16" t="str">
        <f>IFERROR(IF($K16="","",IF($K16="Winner","Popular y con el food cost por debajo de la media de su familia.",IF($K16="Marginal","Cumple en una sola de las dos: o vende, o tiene el food cost sano.","Poco pedido y con el food cost por encima de su familia."))),"")</f>
        <v>Poco pedido y con el food cost por encima de su familia.</v>
      </c>
      <c r="M16" t="str">
        <f>IFERROR(IF($K16="","",IF($K16="Winner","Mantener y proteger el escandallo: es el que aguanta una subida del proveedor.",IF($K16="Marginal","Mirar las otras lecturas antes de tocarlo: el problema es de precio o es de carta.","Reformular la receta o retirarlo de la carta."))),"")</f>
        <v>Reformular la receta o retirarlo de la carta.</v>
      </c>
    </row>
    <row r="17">
      <c r="A17" s="8" t="n">
        <v>13</v>
      </c>
      <c r="B17" t="str">
        <f>IFERROR(IF('Datos'!$B17="","",'Datos'!$B17),"")</f>
        <v>Lubina a la sal</v>
      </c>
      <c r="C17" t="str">
        <f>IFERROR(IF('Datos'!$C17="","",'Datos'!$C17),"")</f>
        <v>Principales</v>
      </c>
      <c r="D17" s="8">
        <f>IFERROR(IF('Datos'!$D17="","",'Datos'!$D17),"")</f>
        <v>80.0</v>
      </c>
      <c r="E17" s="14">
        <f>IFERROR(IF('Datos'!$L17="","",'Datos'!$L17),"")</f>
        <v>0.039603960396039604</v>
      </c>
      <c r="F17" s="14">
        <f>IFERROR(IF('Datos'!$M17="","",'Datos'!$M17),"")</f>
        <v>0.07777777777777778</v>
      </c>
      <c r="G17" t="str">
        <f>IFERROR(IF(OR($E17="",$F17=""),"",IF($E17&gt;=$F17,"Alta","Baja")),"")</f>
        <v>Baja</v>
      </c>
      <c r="H17" s="12">
        <f>IFERROR(IF('Datos'!$H17="","",'Datos'!$H17),"")</f>
        <v>0.40825688073394495</v>
      </c>
      <c r="I17" s="14">
        <f>IFERROR(IF('Datos'!$O17="","",'Datos'!$O17),"")</f>
        <v>0.3558752289242039</v>
      </c>
      <c r="J17" t="str">
        <f>IFERROR(IF(OR($H17="",$I17=""),"",IF($H17&lt;=$I17,"Bajo","Alto")),"")</f>
        <v>Alto</v>
      </c>
      <c r="K17" s="15" t="str">
        <f>IFERROR(IF(OR($G17="",$J17=""),"",IF(AND($G17="Alta",$J17="Bajo"),"Winner",IF(AND($G17="Baja",$J17="Alto"),"Loser","Marginal"))),"")</f>
        <v>Loser</v>
      </c>
      <c r="L17" t="str">
        <f>IFERROR(IF($K17="","",IF($K17="Winner","Popular y con el food cost por debajo de la media de su familia.",IF($K17="Marginal","Cumple en una sola de las dos: o vende, o tiene el food cost sano.","Poco pedido y con el food cost por encima de su familia."))),"")</f>
        <v>Poco pedido y con el food cost por encima de su familia.</v>
      </c>
      <c r="M17" t="str">
        <f>IFERROR(IF($K17="","",IF($K17="Winner","Mantener y proteger el escandallo: es el que aguanta una subida del proveedor.",IF($K17="Marginal","Mirar las otras lecturas antes de tocarlo: el problema es de precio o es de carta.","Reformular la receta o retirarlo de la carta."))),"")</f>
        <v>Reformular la receta o retirarlo de la carta.</v>
      </c>
    </row>
    <row r="18">
      <c r="A18" s="8" t="n">
        <v>14</v>
      </c>
      <c r="B18" t="str">
        <f>IFERROR(IF('Datos'!$B18="","",'Datos'!$B18),"")</f>
        <v>Pollo de corral asado con patatas</v>
      </c>
      <c r="C18" t="str">
        <f>IFERROR(IF('Datos'!$C18="","",'Datos'!$C18),"")</f>
        <v>Principales</v>
      </c>
      <c r="D18" s="8">
        <f>IFERROR(IF('Datos'!$D18="","",'Datos'!$D18),"")</f>
        <v>300.0</v>
      </c>
      <c r="E18" s="14">
        <f>IFERROR(IF('Datos'!$L18="","",'Datos'!$L18),"")</f>
        <v>0.1485148514851485</v>
      </c>
      <c r="F18" s="14">
        <f>IFERROR(IF('Datos'!$M18="","",'Datos'!$M18),"")</f>
        <v>0.07777777777777778</v>
      </c>
      <c r="G18" t="str">
        <f>IFERROR(IF(OR($E18="",$F18=""),"",IF($E18&gt;=$F18,"Alta","Baja")),"")</f>
        <v>Alta</v>
      </c>
      <c r="H18" s="12">
        <f>IFERROR(IF('Datos'!$H18="","",'Datos'!$H18),"")</f>
        <v>0.2913385826771654</v>
      </c>
      <c r="I18" s="14">
        <f>IFERROR(IF('Datos'!$O18="","",'Datos'!$O18),"")</f>
        <v>0.3558752289242039</v>
      </c>
      <c r="J18" t="str">
        <f>IFERROR(IF(OR($H18="",$I18=""),"",IF($H18&lt;=$I18,"Bajo","Alto")),"")</f>
        <v>Bajo</v>
      </c>
      <c r="K18" s="15" t="str">
        <f>IFERROR(IF(OR($G18="",$J18=""),"",IF(AND($G18="Alta",$J18="Bajo"),"Winner",IF(AND($G18="Baja",$J18="Alto"),"Loser","Marginal"))),"")</f>
        <v>Winner</v>
      </c>
      <c r="L18" t="str">
        <f>IFERROR(IF($K18="","",IF($K18="Winner","Popular y con el food cost por debajo de la media de su familia.",IF($K18="Marginal","Cumple en una sola de las dos: o vende, o tiene el food cost sano.","Poco pedido y con el food cost por encima de su familia."))),"")</f>
        <v>Popular y con el food cost por debajo de la media de su familia.</v>
      </c>
      <c r="M18" t="str">
        <f>IFERROR(IF($K18="","",IF($K18="Winner","Mantener y proteger el escandallo: es el que aguanta una subida del proveedor.",IF($K18="Marginal","Mirar las otras lecturas antes de tocarlo: el problema es de precio o es de carta.","Reformular la receta o retirarlo de la carta."))),"")</f>
        <v>Mantener y proteger el escandallo: es el que aguanta una subida del proveedor.</v>
      </c>
    </row>
    <row r="19">
      <c r="A19" s="8" t="n">
        <v>15</v>
      </c>
      <c r="B19" t="str">
        <f>IFERROR(IF('Datos'!$B19="","",'Datos'!$B19),"")</f>
        <v>Lasaña de verduras de temporada</v>
      </c>
      <c r="C19" t="str">
        <f>IFERROR(IF('Datos'!$C19="","",'Datos'!$C19),"")</f>
        <v>Principales</v>
      </c>
      <c r="D19" s="8">
        <f>IFERROR(IF('Datos'!$D19="","",'Datos'!$D19),"")</f>
        <v>140.0</v>
      </c>
      <c r="E19" s="14">
        <f>IFERROR(IF('Datos'!$L19="","",'Datos'!$L19),"")</f>
        <v>0.06930693069306931</v>
      </c>
      <c r="F19" s="14">
        <f>IFERROR(IF('Datos'!$M19="","",'Datos'!$M19),"")</f>
        <v>0.07777777777777778</v>
      </c>
      <c r="G19" t="str">
        <f>IFERROR(IF(OR($E19="",$F19=""),"",IF($E19&gt;=$F19,"Alta","Baja")),"")</f>
        <v>Baja</v>
      </c>
      <c r="H19" s="12">
        <f>IFERROR(IF('Datos'!$H19="","",'Datos'!$H19),"")</f>
        <v>0.22807017543859648</v>
      </c>
      <c r="I19" s="14">
        <f>IFERROR(IF('Datos'!$O19="","",'Datos'!$O19),"")</f>
        <v>0.3558752289242039</v>
      </c>
      <c r="J19" t="str">
        <f>IFERROR(IF(OR($H19="",$I19=""),"",IF($H19&lt;=$I19,"Bajo","Alto")),"")</f>
        <v>Bajo</v>
      </c>
      <c r="K19" s="15" t="str">
        <f>IFERROR(IF(OR($G19="",$J19=""),"",IF(AND($G19="Alta",$J19="Bajo"),"Winner",IF(AND($G19="Baja",$J19="Alto"),"Loser","Marginal"))),"")</f>
        <v>Marginal</v>
      </c>
      <c r="L19" t="str">
        <f>IFERROR(IF($K19="","",IF($K19="Winner","Popular y con el food cost por debajo de la media de su familia.",IF($K19="Marginal","Cumple en una sola de las dos: o vende, o tiene el food cost sano.","Poco pedido y con el food cost por encima de su familia."))),"")</f>
        <v>Cumple en una sola de las dos: o vende, o tiene el food cost sano.</v>
      </c>
      <c r="M19" t="str">
        <f>IFERROR(IF($K19="","",IF($K19="Winner","Mantener y proteger el escandallo: es el que aguanta una subida del proveedor.",IF($K19="Marginal","Mirar las otras lecturas antes de tocarlo: el problema es de precio o es de carta.","Reformular la receta o retirarlo de la carta."))),"")</f>
        <v>Mirar las otras lecturas antes de tocarlo: el problema es de precio o es de carta.</v>
      </c>
    </row>
    <row r="20">
      <c r="A20" s="8" t="n">
        <v>16</v>
      </c>
      <c r="B20" t="str">
        <f>IFERROR(IF('Datos'!$B20="","",'Datos'!$B20),"")</f>
        <v>Tataki de atún rojo con sésamo</v>
      </c>
      <c r="C20" t="str">
        <f>IFERROR(IF('Datos'!$C20="","",'Datos'!$C20),"")</f>
        <v>Principales</v>
      </c>
      <c r="D20" s="8">
        <f>IFERROR(IF('Datos'!$D20="","",'Datos'!$D20),"")</f>
        <v>130.0</v>
      </c>
      <c r="E20" s="14">
        <f>IFERROR(IF('Datos'!$L20="","",'Datos'!$L20),"")</f>
        <v>0.06435643564356436</v>
      </c>
      <c r="F20" s="14">
        <f>IFERROR(IF('Datos'!$M20="","",'Datos'!$M20),"")</f>
        <v>0.07777777777777778</v>
      </c>
      <c r="G20" t="str">
        <f>IFERROR(IF(OR($E20="",$F20=""),"",IF($E20&gt;=$F20,"Alta","Baja")),"")</f>
        <v>Baja</v>
      </c>
      <c r="H20" s="12">
        <f>IFERROR(IF('Datos'!$H20="","",'Datos'!$H20),"")</f>
        <v>0.4285714285714286</v>
      </c>
      <c r="I20" s="14">
        <f>IFERROR(IF('Datos'!$O20="","",'Datos'!$O20),"")</f>
        <v>0.3558752289242039</v>
      </c>
      <c r="J20" t="str">
        <f>IFERROR(IF(OR($H20="",$I20=""),"",IF($H20&lt;=$I20,"Bajo","Alto")),"")</f>
        <v>Alto</v>
      </c>
      <c r="K20" s="15" t="str">
        <f>IFERROR(IF(OR($G20="",$J20=""),"",IF(AND($G20="Alta",$J20="Bajo"),"Winner",IF(AND($G20="Baja",$J20="Alto"),"Loser","Marginal"))),"")</f>
        <v>Loser</v>
      </c>
      <c r="L20" t="str">
        <f>IFERROR(IF($K20="","",IF($K20="Winner","Popular y con el food cost por debajo de la media de su familia.",IF($K20="Marginal","Cumple en una sola de las dos: o vende, o tiene el food cost sano.","Poco pedido y con el food cost por encima de su familia."))),"")</f>
        <v>Poco pedido y con el food cost por encima de su familia.</v>
      </c>
      <c r="M20" t="str">
        <f>IFERROR(IF($K20="","",IF($K20="Winner","Mantener y proteger el escandallo: es el que aguanta una subida del proveedor.",IF($K20="Marginal","Mirar las otras lecturas antes de tocarlo: el problema es de precio o es de carta.","Reformular la receta o retirarlo de la carta."))),"")</f>
        <v>Reformular la receta o retirarlo de la carta.</v>
      </c>
    </row>
    <row r="21">
      <c r="A21" s="8" t="n">
        <v>17</v>
      </c>
      <c r="B21" t="str">
        <f>IFERROR(IF('Datos'!$B21="","",'Datos'!$B21),"")</f>
        <v>Tarta de queso cremosa</v>
      </c>
      <c r="C21" t="str">
        <f>IFERROR(IF('Datos'!$C21="","",'Datos'!$C21),"")</f>
        <v>Postres</v>
      </c>
      <c r="D21" s="8">
        <f>IFERROR(IF('Datos'!$D21="","",'Datos'!$D21),"")</f>
        <v>520.0</v>
      </c>
      <c r="E21" s="14">
        <f>IFERROR(IF('Datos'!$L21="","",'Datos'!$L21),"")</f>
        <v>0.4642857142857143</v>
      </c>
      <c r="F21" s="14">
        <f>IFERROR(IF('Datos'!$M21="","",'Datos'!$M21),"")</f>
        <v>0.175</v>
      </c>
      <c r="G21" t="str">
        <f>IFERROR(IF(OR($E21="",$F21=""),"",IF($E21&gt;=$F21,"Alta","Baja")),"")</f>
        <v>Alta</v>
      </c>
      <c r="H21" s="12">
        <f>IFERROR(IF('Datos'!$H21="","",'Datos'!$H21),"")</f>
        <v>0.22033898305084745</v>
      </c>
      <c r="I21" s="14">
        <f>IFERROR(IF('Datos'!$O21="","",'Datos'!$O21),"")</f>
        <v>0.2322985165927512</v>
      </c>
      <c r="J21" t="str">
        <f>IFERROR(IF(OR($H21="",$I21=""),"",IF($H21&lt;=$I21,"Bajo","Alto")),"")</f>
        <v>Bajo</v>
      </c>
      <c r="K21" s="15" t="str">
        <f>IFERROR(IF(OR($G21="",$J21=""),"",IF(AND($G21="Alta",$J21="Bajo"),"Winner",IF(AND($G21="Baja",$J21="Alto"),"Loser","Marginal"))),"")</f>
        <v>Winner</v>
      </c>
      <c r="L21" t="str">
        <f>IFERROR(IF($K21="","",IF($K21="Winner","Popular y con el food cost por debajo de la media de su familia.",IF($K21="Marginal","Cumple en una sola de las dos: o vende, o tiene el food cost sano.","Poco pedido y con el food cost por encima de su familia."))),"")</f>
        <v>Popular y con el food cost por debajo de la media de su familia.</v>
      </c>
      <c r="M21" t="str">
        <f>IFERROR(IF($K21="","",IF($K21="Winner","Mantener y proteger el escandallo: es el que aguanta una subida del proveedor.",IF($K21="Marginal","Mirar las otras lecturas antes de tocarlo: el problema es de precio o es de carta.","Reformular la receta o retirarlo de la carta."))),"")</f>
        <v>Mantener y proteger el escandallo: es el que aguanta una subida del proveedor.</v>
      </c>
    </row>
    <row r="22">
      <c r="A22" s="8" t="n">
        <v>18</v>
      </c>
      <c r="B22" t="str">
        <f>IFERROR(IF('Datos'!$B22="","",'Datos'!$B22),"")</f>
        <v>Torrija caramelizada con helado</v>
      </c>
      <c r="C22" t="str">
        <f>IFERROR(IF('Datos'!$C22="","",'Datos'!$C22),"")</f>
        <v>Postres</v>
      </c>
      <c r="D22" s="8">
        <f>IFERROR(IF('Datos'!$D22="","",'Datos'!$D22),"")</f>
        <v>210.0</v>
      </c>
      <c r="E22" s="14">
        <f>IFERROR(IF('Datos'!$L22="","",'Datos'!$L22),"")</f>
        <v>0.1875</v>
      </c>
      <c r="F22" s="14">
        <f>IFERROR(IF('Datos'!$M22="","",'Datos'!$M22),"")</f>
        <v>0.175</v>
      </c>
      <c r="G22" t="str">
        <f>IFERROR(IF(OR($E22="",$F22=""),"",IF($E22&gt;=$F22,"Alta","Baja")),"")</f>
        <v>Alta</v>
      </c>
      <c r="H22" s="12">
        <f>IFERROR(IF('Datos'!$H22="","",'Datos'!$H22),"")</f>
        <v>0.2</v>
      </c>
      <c r="I22" s="14">
        <f>IFERROR(IF('Datos'!$O22="","",'Datos'!$O22),"")</f>
        <v>0.2322985165927512</v>
      </c>
      <c r="J22" t="str">
        <f>IFERROR(IF(OR($H22="",$I22=""),"",IF($H22&lt;=$I22,"Bajo","Alto")),"")</f>
        <v>Bajo</v>
      </c>
      <c r="K22" s="15" t="str">
        <f>IFERROR(IF(OR($G22="",$J22=""),"",IF(AND($G22="Alta",$J22="Bajo"),"Winner",IF(AND($G22="Baja",$J22="Alto"),"Loser","Marginal"))),"")</f>
        <v>Winner</v>
      </c>
      <c r="L22" t="str">
        <f>IFERROR(IF($K22="","",IF($K22="Winner","Popular y con el food cost por debajo de la media de su familia.",IF($K22="Marginal","Cumple en una sola de las dos: o vende, o tiene el food cost sano.","Poco pedido y con el food cost por encima de su familia."))),"")</f>
        <v>Popular y con el food cost por debajo de la media de su familia.</v>
      </c>
      <c r="M22" t="str">
        <f>IFERROR(IF($K22="","",IF($K22="Winner","Mantener y proteger el escandallo: es el que aguanta una subida del proveedor.",IF($K22="Marginal","Mirar las otras lecturas antes de tocarlo: el problema es de precio o es de carta.","Reformular la receta o retirarlo de la carta."))),"")</f>
        <v>Mantener y proteger el escandallo: es el que aguanta una subida del proveedor.</v>
      </c>
    </row>
    <row r="23">
      <c r="A23" s="8" t="n">
        <v>19</v>
      </c>
      <c r="B23" t="str">
        <f>IFERROR(IF('Datos'!$B23="","",'Datos'!$B23),"")</f>
        <v>Coulant de chocolate</v>
      </c>
      <c r="C23" t="str">
        <f>IFERROR(IF('Datos'!$C23="","",'Datos'!$C23),"")</f>
        <v>Postres</v>
      </c>
      <c r="D23" s="8">
        <f>IFERROR(IF('Datos'!$D23="","",'Datos'!$D23),"")</f>
        <v>330.0</v>
      </c>
      <c r="E23" s="14">
        <f>IFERROR(IF('Datos'!$L23="","",'Datos'!$L23),"")</f>
        <v>0.29464285714285715</v>
      </c>
      <c r="F23" s="14">
        <f>IFERROR(IF('Datos'!$M23="","",'Datos'!$M23),"")</f>
        <v>0.175</v>
      </c>
      <c r="G23" t="str">
        <f>IFERROR(IF(OR($E23="",$F23=""),"",IF($E23&gt;=$F23,"Alta","Baja")),"")</f>
        <v>Alta</v>
      </c>
      <c r="H23" s="12">
        <f>IFERROR(IF('Datos'!$H23="","",'Datos'!$H23),"")</f>
        <v>0.25806451612903225</v>
      </c>
      <c r="I23" s="14">
        <f>IFERROR(IF('Datos'!$O23="","",'Datos'!$O23),"")</f>
        <v>0.2322985165927512</v>
      </c>
      <c r="J23" t="str">
        <f>IFERROR(IF(OR($H23="",$I23=""),"",IF($H23&lt;=$I23,"Bajo","Alto")),"")</f>
        <v>Alto</v>
      </c>
      <c r="K23" s="15" t="str">
        <f>IFERROR(IF(OR($G23="",$J23=""),"",IF(AND($G23="Alta",$J23="Bajo"),"Winner",IF(AND($G23="Baja",$J23="Alto"),"Loser","Marginal"))),"")</f>
        <v>Marginal</v>
      </c>
      <c r="L23" t="str">
        <f>IFERROR(IF($K23="","",IF($K23="Winner","Popular y con el food cost por debajo de la media de su familia.",IF($K23="Marginal","Cumple en una sola de las dos: o vende, o tiene el food cost sano.","Poco pedido y con el food cost por encima de su familia."))),"")</f>
        <v>Cumple en una sola de las dos: o vende, o tiene el food cost sano.</v>
      </c>
      <c r="M23" t="str">
        <f>IFERROR(IF($K23="","",IF($K23="Winner","Mantener y proteger el escandallo: es el que aguanta una subida del proveedor.",IF($K23="Marginal","Mirar las otras lecturas antes de tocarlo: el problema es de precio o es de carta.","Reformular la receta o retirarlo de la carta."))),"")</f>
        <v>Mirar las otras lecturas antes de tocarlo: el problema es de precio o es de carta.</v>
      </c>
    </row>
    <row r="24">
      <c r="A24" s="8" t="n">
        <v>20</v>
      </c>
      <c r="B24" t="str">
        <f>IFERROR(IF('Datos'!$B24="","",'Datos'!$B24),"")</f>
        <v>Fruta de temporada preparada</v>
      </c>
      <c r="C24" t="str">
        <f>IFERROR(IF('Datos'!$C24="","",'Datos'!$C24),"")</f>
        <v>Postres</v>
      </c>
      <c r="D24" s="8">
        <f>IFERROR(IF('Datos'!$D24="","",'Datos'!$D24),"")</f>
        <v>60.0</v>
      </c>
      <c r="E24" s="14">
        <f>IFERROR(IF('Datos'!$L24="","",'Datos'!$L24),"")</f>
        <v>0.05357142857142857</v>
      </c>
      <c r="F24" s="14">
        <f>IFERROR(IF('Datos'!$M24="","",'Datos'!$M24),"")</f>
        <v>0.175</v>
      </c>
      <c r="G24" t="str">
        <f>IFERROR(IF(OR($E24="",$F24=""),"",IF($E24&gt;=$F24,"Alta","Baja")),"")</f>
        <v>Baja</v>
      </c>
      <c r="H24" s="12">
        <f>IFERROR(IF('Datos'!$H24="","",'Datos'!$H24),"")</f>
        <v>0.3111111111111111</v>
      </c>
      <c r="I24" s="14">
        <f>IFERROR(IF('Datos'!$O24="","",'Datos'!$O24),"")</f>
        <v>0.2322985165927512</v>
      </c>
      <c r="J24" t="str">
        <f>IFERROR(IF(OR($H24="",$I24=""),"",IF($H24&lt;=$I24,"Bajo","Alto")),"")</f>
        <v>Alto</v>
      </c>
      <c r="K24" s="15" t="str">
        <f>IFERROR(IF(OR($G24="",$J24=""),"",IF(AND($G24="Alta",$J24="Bajo"),"Winner",IF(AND($G24="Baja",$J24="Alto"),"Loser","Marginal"))),"")</f>
        <v>Loser</v>
      </c>
      <c r="L24" t="str">
        <f>IFERROR(IF($K24="","",IF($K24="Winner","Popular y con el food cost por debajo de la media de su familia.",IF($K24="Marginal","Cumple en una sola de las dos: o vende, o tiene el food cost sano.","Poco pedido y con el food cost por encima de su familia."))),"")</f>
        <v>Poco pedido y con el food cost por encima de su familia.</v>
      </c>
      <c r="M24" t="str">
        <f>IFERROR(IF($K24="","",IF($K24="Winner","Mantener y proteger el escandallo: es el que aguanta una subida del proveedor.",IF($K24="Marginal","Mirar las otras lecturas antes de tocarlo: el problema es de precio o es de carta.","Reformular la receta o retirarlo de la carta."))),"")</f>
        <v>Reformular la receta o retirarlo de la carta.</v>
      </c>
    </row>
    <row r="25">
      <c r="A25" s="8" t="n">
        <v>21</v>
      </c>
      <c r="B25">
        <f>IFERROR(IF('Datos'!$B25="","",'Datos'!$B25),"")</f>
        <v/>
      </c>
      <c r="C25">
        <f>IFERROR(IF('Datos'!$C25="","",'Datos'!$C25),"")</f>
        <v/>
      </c>
      <c r="D25" s="8">
        <f>IFERROR(IF('Datos'!$D25="","",'Datos'!$D25),"")</f>
        <v/>
      </c>
      <c r="E25" s="14">
        <f>IFERROR(IF('Datos'!$L25="","",'Datos'!$L25),"")</f>
        <v/>
      </c>
      <c r="F25" s="14">
        <f>IFERROR(IF('Datos'!$M25="","",'Datos'!$M25),"")</f>
        <v/>
      </c>
      <c r="G25">
        <f>IFERROR(IF(OR($E25="",$F25=""),"",IF($E25&gt;=$F25,"Alta","Baja")),"")</f>
        <v/>
      </c>
      <c r="H25" s="12">
        <f>IFERROR(IF('Datos'!$H25="","",'Datos'!$H25),"")</f>
        <v/>
      </c>
      <c r="I25" s="14">
        <f>IFERROR(IF('Datos'!$O25="","",'Datos'!$O25),"")</f>
        <v/>
      </c>
      <c r="J25">
        <f>IFERROR(IF(OR($H25="",$I25=""),"",IF($H25&lt;=$I25,"Bajo","Alto")),"")</f>
        <v/>
      </c>
      <c r="K25" s="15">
        <f>IFERROR(IF(OR($G25="",$J25=""),"",IF(AND($G25="Alta",$J25="Bajo"),"Winner",IF(AND($G25="Baja",$J25="Alto"),"Loser","Marginal"))),"")</f>
        <v/>
      </c>
      <c r="L25">
        <f>IFERROR(IF($K25="","",IF($K25="Winner","Popular y con el food cost por debajo de la media de su familia.",IF($K25="Marginal","Cumple en una sola de las dos: o vende, o tiene el food cost sano.","Poco pedido y con el food cost por encima de su familia."))),"")</f>
        <v/>
      </c>
      <c r="M25">
        <f>IFERROR(IF($K25="","",IF($K25="Winner","Mantener y proteger el escandallo: es el que aguanta una subida del proveedor.",IF($K25="Marginal","Mirar las otras lecturas antes de tocarlo: el problema es de precio o es de carta.","Reformular la receta o retirarlo de la carta."))),"")</f>
        <v/>
      </c>
    </row>
    <row r="26">
      <c r="A26" s="8" t="n">
        <v>22</v>
      </c>
      <c r="B26">
        <f>IFERROR(IF('Datos'!$B26="","",'Datos'!$B26),"")</f>
        <v/>
      </c>
      <c r="C26">
        <f>IFERROR(IF('Datos'!$C26="","",'Datos'!$C26),"")</f>
        <v/>
      </c>
      <c r="D26" s="8">
        <f>IFERROR(IF('Datos'!$D26="","",'Datos'!$D26),"")</f>
        <v/>
      </c>
      <c r="E26" s="14">
        <f>IFERROR(IF('Datos'!$L26="","",'Datos'!$L26),"")</f>
        <v/>
      </c>
      <c r="F26" s="14">
        <f>IFERROR(IF('Datos'!$M26="","",'Datos'!$M26),"")</f>
        <v/>
      </c>
      <c r="G26">
        <f>IFERROR(IF(OR($E26="",$F26=""),"",IF($E26&gt;=$F26,"Alta","Baja")),"")</f>
        <v/>
      </c>
      <c r="H26" s="12">
        <f>IFERROR(IF('Datos'!$H26="","",'Datos'!$H26),"")</f>
        <v/>
      </c>
      <c r="I26" s="14">
        <f>IFERROR(IF('Datos'!$O26="","",'Datos'!$O26),"")</f>
        <v/>
      </c>
      <c r="J26">
        <f>IFERROR(IF(OR($H26="",$I26=""),"",IF($H26&lt;=$I26,"Bajo","Alto")),"")</f>
        <v/>
      </c>
      <c r="K26" s="15">
        <f>IFERROR(IF(OR($G26="",$J26=""),"",IF(AND($G26="Alta",$J26="Bajo"),"Winner",IF(AND($G26="Baja",$J26="Alto"),"Loser","Marginal"))),"")</f>
        <v/>
      </c>
      <c r="L26">
        <f>IFERROR(IF($K26="","",IF($K26="Winner","Popular y con el food cost por debajo de la media de su familia.",IF($K26="Marginal","Cumple en una sola de las dos: o vende, o tiene el food cost sano.","Poco pedido y con el food cost por encima de su familia."))),"")</f>
        <v/>
      </c>
      <c r="M26">
        <f>IFERROR(IF($K26="","",IF($K26="Winner","Mantener y proteger el escandallo: es el que aguanta una subida del proveedor.",IF($K26="Marginal","Mirar las otras lecturas antes de tocarlo: el problema es de precio o es de carta.","Reformular la receta o retirarlo de la carta."))),"")</f>
        <v/>
      </c>
    </row>
    <row r="27">
      <c r="A27" s="8" t="n">
        <v>23</v>
      </c>
      <c r="B27">
        <f>IFERROR(IF('Datos'!$B27="","",'Datos'!$B27),"")</f>
        <v/>
      </c>
      <c r="C27">
        <f>IFERROR(IF('Datos'!$C27="","",'Datos'!$C27),"")</f>
        <v/>
      </c>
      <c r="D27" s="8">
        <f>IFERROR(IF('Datos'!$D27="","",'Datos'!$D27),"")</f>
        <v/>
      </c>
      <c r="E27" s="14">
        <f>IFERROR(IF('Datos'!$L27="","",'Datos'!$L27),"")</f>
        <v/>
      </c>
      <c r="F27" s="14">
        <f>IFERROR(IF('Datos'!$M27="","",'Datos'!$M27),"")</f>
        <v/>
      </c>
      <c r="G27">
        <f>IFERROR(IF(OR($E27="",$F27=""),"",IF($E27&gt;=$F27,"Alta","Baja")),"")</f>
        <v/>
      </c>
      <c r="H27" s="12">
        <f>IFERROR(IF('Datos'!$H27="","",'Datos'!$H27),"")</f>
        <v/>
      </c>
      <c r="I27" s="14">
        <f>IFERROR(IF('Datos'!$O27="","",'Datos'!$O27),"")</f>
        <v/>
      </c>
      <c r="J27">
        <f>IFERROR(IF(OR($H27="",$I27=""),"",IF($H27&lt;=$I27,"Bajo","Alto")),"")</f>
        <v/>
      </c>
      <c r="K27" s="15">
        <f>IFERROR(IF(OR($G27="",$J27=""),"",IF(AND($G27="Alta",$J27="Bajo"),"Winner",IF(AND($G27="Baja",$J27="Alto"),"Loser","Marginal"))),"")</f>
        <v/>
      </c>
      <c r="L27">
        <f>IFERROR(IF($K27="","",IF($K27="Winner","Popular y con el food cost por debajo de la media de su familia.",IF($K27="Marginal","Cumple en una sola de las dos: o vende, o tiene el food cost sano.","Poco pedido y con el food cost por encima de su familia."))),"")</f>
        <v/>
      </c>
      <c r="M27">
        <f>IFERROR(IF($K27="","",IF($K27="Winner","Mantener y proteger el escandallo: es el que aguanta una subida del proveedor.",IF($K27="Marginal","Mirar las otras lecturas antes de tocarlo: el problema es de precio o es de carta.","Reformular la receta o retirarlo de la carta."))),"")</f>
        <v/>
      </c>
    </row>
    <row r="28">
      <c r="A28" s="8" t="n">
        <v>24</v>
      </c>
      <c r="B28">
        <f>IFERROR(IF('Datos'!$B28="","",'Datos'!$B28),"")</f>
        <v/>
      </c>
      <c r="C28">
        <f>IFERROR(IF('Datos'!$C28="","",'Datos'!$C28),"")</f>
        <v/>
      </c>
      <c r="D28" s="8">
        <f>IFERROR(IF('Datos'!$D28="","",'Datos'!$D28),"")</f>
        <v/>
      </c>
      <c r="E28" s="14">
        <f>IFERROR(IF('Datos'!$L28="","",'Datos'!$L28),"")</f>
        <v/>
      </c>
      <c r="F28" s="14">
        <f>IFERROR(IF('Datos'!$M28="","",'Datos'!$M28),"")</f>
        <v/>
      </c>
      <c r="G28">
        <f>IFERROR(IF(OR($E28="",$F28=""),"",IF($E28&gt;=$F28,"Alta","Baja")),"")</f>
        <v/>
      </c>
      <c r="H28" s="12">
        <f>IFERROR(IF('Datos'!$H28="","",'Datos'!$H28),"")</f>
        <v/>
      </c>
      <c r="I28" s="14">
        <f>IFERROR(IF('Datos'!$O28="","",'Datos'!$O28),"")</f>
        <v/>
      </c>
      <c r="J28">
        <f>IFERROR(IF(OR($H28="",$I28=""),"",IF($H28&lt;=$I28,"Bajo","Alto")),"")</f>
        <v/>
      </c>
      <c r="K28" s="15">
        <f>IFERROR(IF(OR($G28="",$J28=""),"",IF(AND($G28="Alta",$J28="Bajo"),"Winner",IF(AND($G28="Baja",$J28="Alto"),"Loser","Marginal"))),"")</f>
        <v/>
      </c>
      <c r="L28">
        <f>IFERROR(IF($K28="","",IF($K28="Winner","Popular y con el food cost por debajo de la media de su familia.",IF($K28="Marginal","Cumple en una sola de las dos: o vende, o tiene el food cost sano.","Poco pedido y con el food cost por encima de su familia."))),"")</f>
        <v/>
      </c>
      <c r="M28">
        <f>IFERROR(IF($K28="","",IF($K28="Winner","Mantener y proteger el escandallo: es el que aguanta una subida del proveedor.",IF($K28="Marginal","Mirar las otras lecturas antes de tocarlo: el problema es de precio o es de carta.","Reformular la receta o retirarlo de la carta."))),"")</f>
        <v/>
      </c>
    </row>
    <row r="29">
      <c r="A29" s="8" t="n">
        <v>25</v>
      </c>
      <c r="B29">
        <f>IFERROR(IF('Datos'!$B29="","",'Datos'!$B29),"")</f>
        <v/>
      </c>
      <c r="C29">
        <f>IFERROR(IF('Datos'!$C29="","",'Datos'!$C29),"")</f>
        <v/>
      </c>
      <c r="D29" s="8">
        <f>IFERROR(IF('Datos'!$D29="","",'Datos'!$D29),"")</f>
        <v/>
      </c>
      <c r="E29" s="14">
        <f>IFERROR(IF('Datos'!$L29="","",'Datos'!$L29),"")</f>
        <v/>
      </c>
      <c r="F29" s="14">
        <f>IFERROR(IF('Datos'!$M29="","",'Datos'!$M29),"")</f>
        <v/>
      </c>
      <c r="G29">
        <f>IFERROR(IF(OR($E29="",$F29=""),"",IF($E29&gt;=$F29,"Alta","Baja")),"")</f>
        <v/>
      </c>
      <c r="H29" s="12">
        <f>IFERROR(IF('Datos'!$H29="","",'Datos'!$H29),"")</f>
        <v/>
      </c>
      <c r="I29" s="14">
        <f>IFERROR(IF('Datos'!$O29="","",'Datos'!$O29),"")</f>
        <v/>
      </c>
      <c r="J29">
        <f>IFERROR(IF(OR($H29="",$I29=""),"",IF($H29&lt;=$I29,"Bajo","Alto")),"")</f>
        <v/>
      </c>
      <c r="K29" s="15">
        <f>IFERROR(IF(OR($G29="",$J29=""),"",IF(AND($G29="Alta",$J29="Bajo"),"Winner",IF(AND($G29="Baja",$J29="Alto"),"Loser","Marginal"))),"")</f>
        <v/>
      </c>
      <c r="L29">
        <f>IFERROR(IF($K29="","",IF($K29="Winner","Popular y con el food cost por debajo de la media de su familia.",IF($K29="Marginal","Cumple en una sola de las dos: o vende, o tiene el food cost sano.","Poco pedido y con el food cost por encima de su familia."))),"")</f>
        <v/>
      </c>
      <c r="M29">
        <f>IFERROR(IF($K29="","",IF($K29="Winner","Mantener y proteger el escandallo: es el que aguanta una subida del proveedor.",IF($K29="Marginal","Mirar las otras lecturas antes de tocarlo: el problema es de precio o es de carta.","Reformular la receta o retirarlo de la carta."))),"")</f>
        <v/>
      </c>
    </row>
    <row r="30"/>
    <row r="31">
      <c r="A31" s="15" t="inlineStr">
        <is>
          <t>RESUMEN — lo calcula el libro</t>
        </is>
      </c>
    </row>
    <row r="32" ht="34" customHeight="1">
      <c r="B32" s="7" t="inlineStr">
        <is>
          <t>Clasificación</t>
        </is>
      </c>
      <c r="C32" s="7" t="inlineStr">
        <is>
          <t>Platos</t>
        </is>
      </c>
      <c r="D32" s="7" t="inlineStr">
        <is>
          <t>Uds vendidas</t>
        </is>
      </c>
      <c r="E32" s="7" t="inlineStr">
        <is>
          <t>% de las uds de la carta</t>
        </is>
      </c>
      <c r="F32" s="7" t="inlineStr">
        <is>
          <t>Food cost medio ponderado del grupo (%)</t>
        </is>
      </c>
    </row>
    <row r="33">
      <c r="B33" s="15" t="inlineStr">
        <is>
          <t>Winner</t>
        </is>
      </c>
      <c r="C33" s="8">
        <f>COUNTIF($K$5:$K$29,$B33)</f>
        <v>8.0</v>
      </c>
      <c r="D33" s="8">
        <f>IFERROR(SUMIF($K$5:$K$29,$B33,$D$5:$D$29),"")</f>
        <v>2940.0</v>
      </c>
      <c r="E33" s="14">
        <f>IFERROR(IF(SUM($D$5:$D$29)=0,"",$D33/SUM($D$5:$D$29)),"")</f>
        <v>0.6036960985626283</v>
      </c>
      <c r="F33" s="14">
        <f>IFERROR(IF($D33=0,"",SUMPRODUCT(--($K$5:$K$29=$B33),$D$5:$D$29,$H$5:$H$29)/$D33),"")</f>
        <v>0.26906400805539443</v>
      </c>
    </row>
    <row r="34">
      <c r="B34" s="15" t="inlineStr">
        <is>
          <t>Marginal</t>
        </is>
      </c>
      <c r="C34" s="8">
        <f>COUNTIF($K$5:$K$29,$B34)</f>
        <v>7.0</v>
      </c>
      <c r="D34" s="8">
        <f>IFERROR(SUMIF($K$5:$K$29,$B34,$D$5:$D$29),"")</f>
        <v>1460.0</v>
      </c>
      <c r="E34" s="14">
        <f>IFERROR(IF(SUM($D$5:$D$29)=0,"",$D34/SUM($D$5:$D$29)),"")</f>
        <v>0.2997946611909651</v>
      </c>
      <c r="F34" s="14">
        <f>IFERROR(IF($D34=0,"",SUMPRODUCT(--($K$5:$K$29=$B34),$D$5:$D$29,$H$5:$H$29)/$D34),"")</f>
        <v>0.3203063198024391</v>
      </c>
    </row>
    <row r="35">
      <c r="B35" s="15" t="inlineStr">
        <is>
          <t>Loser</t>
        </is>
      </c>
      <c r="C35" s="8">
        <f>COUNTIF($K$5:$K$29,$B35)</f>
        <v>5.0</v>
      </c>
      <c r="D35" s="8">
        <f>IFERROR(SUMIF($K$5:$K$29,$B35,$D$5:$D$29),"")</f>
        <v>470.0</v>
      </c>
      <c r="E35" s="14">
        <f>IFERROR(IF(SUM($D$5:$D$29)=0,"",$D35/SUM($D$5:$D$29)),"")</f>
        <v>0.09650924024640657</v>
      </c>
      <c r="F35" s="14">
        <f>IFERROR(IF($D35=0,"",SUMPRODUCT(--($K$5:$K$29=$B35),$D$5:$D$29,$H$5:$H$29)/$D35),"")</f>
        <v>0.4068919154622614</v>
      </c>
    </row>
  </sheetData>
  <sheetProtection selectLockedCells="0" selectUnlockedCells="0" sheet="1" objects="0" insertRows="0" insertHyperlinks="1" autoFilter="1" scenarios="0" formatColumns="0" deleteColumns="1" insertColumns="1" pivotTables="1" deleteRows="1" formatCells="1" formatRows="0" sort="0"/>
  <conditionalFormatting sqref="K5:K29">
    <cfRule type="cellIs" priority="1" operator="equal" dxfId="0" stopIfTrue="1">
      <formula>"Winner"</formula>
    </cfRule>
    <cfRule type="cellIs" priority="2" operator="equal" dxfId="1" stopIfTrue="1">
      <formula>"Marginal"</formula>
    </cfRule>
    <cfRule type="cellIs" priority="3" operator="equal" dxfId="2" stopIfTrue="1">
      <formula>"Loser"</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2" customWidth="1" min="5" max="5"/>
    <col width="15" customWidth="1" min="6" max="6"/>
    <col width="12" customWidth="1" min="7" max="7"/>
    <col width="14" customWidth="1" min="8" max="8"/>
    <col width="15" customWidth="1" min="9" max="9"/>
    <col width="13" customWidth="1" min="10" max="10"/>
    <col width="14" customWidth="1" min="11" max="11"/>
    <col width="46" customWidth="1" min="12" max="12"/>
    <col width="42" customWidth="1" min="13" max="13"/>
  </cols>
  <sheetData>
    <row r="1">
      <c r="A1" s="1" t="inlineStr">
        <is>
          <t>Pavesic — food cost % × margen ponderado por unidades</t>
        </is>
      </c>
    </row>
    <row r="2">
      <c r="A2" s="2" t="inlineStr">
        <is>
          <t>AI Chef Pro · aichef.pro — Guía Food Cost + Ingeniería de Menú</t>
        </is>
      </c>
    </row>
    <row r="3">
      <c r="E3" s="6" t="inlineStr">
        <is>
          <t>El margen ponderado (MC × uds) mide cuánto dinero aporta el plato al total, no cuánto deja por unidad.</t>
        </is>
      </c>
    </row>
    <row r="4" ht="46" customHeight="1">
      <c r="A4" s="7" t="inlineStr">
        <is>
          <t>#</t>
        </is>
      </c>
      <c r="B4" s="7" t="inlineStr">
        <is>
          <t>Plato</t>
        </is>
      </c>
      <c r="C4" s="7" t="inlineStr">
        <is>
          <t>Familia</t>
        </is>
      </c>
      <c r="D4" s="7" t="inlineStr">
        <is>
          <t>Uds vendidas</t>
        </is>
      </c>
      <c r="E4" s="7" t="inlineStr">
        <is>
          <t>Food cost del plato (%)</t>
        </is>
      </c>
      <c r="F4" s="7" t="inlineStr">
        <is>
          <t>Food cost medio ponderado de su familia (%)</t>
        </is>
      </c>
      <c r="G4" s="7" t="inlineStr">
        <is>
          <t>Nivel de food cost</t>
        </is>
      </c>
      <c r="H4" s="7" t="inlineStr">
        <is>
          <t>MC ponderado: MC × uds (€)</t>
        </is>
      </c>
      <c r="I4" s="7" t="inlineStr">
        <is>
          <t>Media del MC ponderado de su familia (€)</t>
        </is>
      </c>
      <c r="J4" s="7" t="inlineStr">
        <is>
          <t>Nivel de MC ponderado</t>
        </is>
      </c>
      <c r="K4" s="7" t="inlineStr">
        <is>
          <t>Clasificación</t>
        </is>
      </c>
      <c r="L4" s="7" t="inlineStr">
        <is>
          <t>Qué significa</t>
        </is>
      </c>
      <c r="M4" s="7" t="inlineStr">
        <is>
          <t>Acción recomendada</t>
        </is>
      </c>
    </row>
    <row r="5">
      <c r="A5" s="8" t="n">
        <v>1</v>
      </c>
      <c r="B5" t="str">
        <f>IFERROR(IF('Datos'!$B5="","",'Datos'!$B5),"")</f>
        <v>Croquetas de jamón ibérico (6 ud)</v>
      </c>
      <c r="C5" t="str">
        <f>IFERROR(IF('Datos'!$C5="","",'Datos'!$C5),"")</f>
        <v>Entrantes</v>
      </c>
      <c r="D5" s="8">
        <f>IFERROR(IF('Datos'!$D5="","",'Datos'!$D5),"")</f>
        <v>420.0</v>
      </c>
      <c r="E5" s="14">
        <f>IFERROR(IF('Datos'!$H5="","",'Datos'!$H5),"")</f>
        <v>0.24418604651162792</v>
      </c>
      <c r="F5" s="14">
        <f>IFERROR(IF('Datos'!$O5="","",'Datos'!$O5),"")</f>
        <v>0.3071474565357373</v>
      </c>
      <c r="G5" t="str">
        <f>IFERROR(IF(OR($E5="",$F5=""),"",IF($E5&lt;=$F5,"Bajo","Alto")),"")</f>
        <v>Bajo</v>
      </c>
      <c r="H5" s="11">
        <f>IFERROR(IF('Datos'!$P5="","",'Datos'!$P5),"")</f>
        <v>2730.0</v>
      </c>
      <c r="I5" s="13">
        <f>IFERROR(IF('Datos'!$Q5="","",'Datos'!$Q5),"")</f>
        <v>1844.5714285714287</v>
      </c>
      <c r="J5" t="str">
        <f>IFERROR(IF(OR($H5="",$I5=""),"",IF($H5&gt;=$I5,"Alto","Bajo")),"")</f>
        <v>Alto</v>
      </c>
      <c r="K5" s="15" t="str">
        <f>IFERROR(IF(OR($G5="",$J5=""),"",IF(AND($G5="Bajo",$J5="Alto"),"Prime",IF(AND($G5="Alto",$J5="Alto"),"Standard",IF(AND($G5="Bajo",$J5="Bajo"),"Sleeper","Problem")))),"")</f>
        <v>Prime</v>
      </c>
      <c r="L5" t="str">
        <f>IFERROR(IF($K5="","",IF($K5="Prime","Food cost bajo y aporta mucho margen en euros al total.",IF($K5="Standard","Aporta mucho margen en euros pese a tener el food cost alto.",IF($K5="Sleeper","Food cost sano, pero aporta poco margen en euros al total.","Food cost alto y aporta poco margen en euros al total.")))),"")</f>
        <v>Food cost bajo y aporta mucho margen en euros al total.</v>
      </c>
      <c r="M5" t="str">
        <f>IFERROR(IF($K5="","",IF($K5="Prime","Mantener y promocionar: aquí está el dinero de la familia.",IF($K5="Standard","Vigilar el escandallo: gana por volumen, no por eficiencia.",IF($K5="Sleeper","Darle visibilidad: el margen está, falta que se pida.","Reformular la receta o retirarlo de la carta.")))),"")</f>
        <v>Mantener y promocionar: aquí está el dinero de la familia.</v>
      </c>
    </row>
    <row r="6">
      <c r="A6" s="8" t="n">
        <v>2</v>
      </c>
      <c r="B6" t="str">
        <f>IFERROR(IF('Datos'!$B6="","",'Datos'!$B6),"")</f>
        <v>Ensalada de tomate rosa, ventresca y cebolleta</v>
      </c>
      <c r="C6" t="str">
        <f>IFERROR(IF('Datos'!$C6="","",'Datos'!$C6),"")</f>
        <v>Entrantes</v>
      </c>
      <c r="D6" s="8">
        <f>IFERROR(IF('Datos'!$D6="","",'Datos'!$D6),"")</f>
        <v>310.0</v>
      </c>
      <c r="E6" s="14">
        <f>IFERROR(IF('Datos'!$H6="","",'Datos'!$H6),"")</f>
        <v>0.30508474576271183</v>
      </c>
      <c r="F6" s="14">
        <f>IFERROR(IF('Datos'!$O6="","",'Datos'!$O6),"")</f>
        <v>0.3071474565357373</v>
      </c>
      <c r="G6" t="str">
        <f>IFERROR(IF(OR($E6="",$F6=""),"",IF($E6&lt;=$F6,"Bajo","Alto")),"")</f>
        <v>Bajo</v>
      </c>
      <c r="H6" s="11">
        <f>IFERROR(IF('Datos'!$P6="","",'Datos'!$P6),"")</f>
        <v>2542.0000000000005</v>
      </c>
      <c r="I6" s="13">
        <f>IFERROR(IF('Datos'!$Q6="","",'Datos'!$Q6),"")</f>
        <v>1844.5714285714287</v>
      </c>
      <c r="J6" t="str">
        <f>IFERROR(IF(OR($H6="",$I6=""),"",IF($H6&gt;=$I6,"Alto","Bajo")),"")</f>
        <v>Alto</v>
      </c>
      <c r="K6" s="15" t="str">
        <f>IFERROR(IF(OR($G6="",$J6=""),"",IF(AND($G6="Bajo",$J6="Alto"),"Prime",IF(AND($G6="Alto",$J6="Alto"),"Standard",IF(AND($G6="Bajo",$J6="Bajo"),"Sleeper","Problem")))),"")</f>
        <v>Prime</v>
      </c>
      <c r="L6" t="str">
        <f>IFERROR(IF($K6="","",IF($K6="Prime","Food cost bajo y aporta mucho margen en euros al total.",IF($K6="Standard","Aporta mucho margen en euros pese a tener el food cost alto.",IF($K6="Sleeper","Food cost sano, pero aporta poco margen en euros al total.","Food cost alto y aporta poco margen en euros al total.")))),"")</f>
        <v>Food cost bajo y aporta mucho margen en euros al total.</v>
      </c>
      <c r="M6" t="str">
        <f>IFERROR(IF($K6="","",IF($K6="Prime","Mantener y promocionar: aquí está el dinero de la familia.",IF($K6="Standard","Vigilar el escandallo: gana por volumen, no por eficiencia.",IF($K6="Sleeper","Darle visibilidad: el margen está, falta que se pida.","Reformular la receta o retirarlo de la carta.")))),"")</f>
        <v>Mantener y promocionar: aquí está el dinero de la familia.</v>
      </c>
    </row>
    <row r="7">
      <c r="A7" s="8" t="n">
        <v>3</v>
      </c>
      <c r="B7" t="str">
        <f>IFERROR(IF('Datos'!$B7="","",'Datos'!$B7),"")</f>
        <v>Gambas al ajillo</v>
      </c>
      <c r="C7" t="str">
        <f>IFERROR(IF('Datos'!$C7="","",'Datos'!$C7),"")</f>
        <v>Entrantes</v>
      </c>
      <c r="D7" s="8">
        <f>IFERROR(IF('Datos'!$D7="","",'Datos'!$D7),"")</f>
        <v>260.0</v>
      </c>
      <c r="E7" s="14">
        <f>IFERROR(IF('Datos'!$H7="","",'Datos'!$H7),"")</f>
        <v>0.44516129032258067</v>
      </c>
      <c r="F7" s="14">
        <f>IFERROR(IF('Datos'!$O7="","",'Datos'!$O7),"")</f>
        <v>0.3071474565357373</v>
      </c>
      <c r="G7" t="str">
        <f>IFERROR(IF(OR($E7="",$F7=""),"",IF($E7&lt;=$F7,"Bajo","Alto")),"")</f>
        <v>Alto</v>
      </c>
      <c r="H7" s="11">
        <f>IFERROR(IF('Datos'!$P7="","",'Datos'!$P7),"")</f>
        <v>2236.0</v>
      </c>
      <c r="I7" s="13">
        <f>IFERROR(IF('Datos'!$Q7="","",'Datos'!$Q7),"")</f>
        <v>1844.5714285714287</v>
      </c>
      <c r="J7" t="str">
        <f>IFERROR(IF(OR($H7="",$I7=""),"",IF($H7&gt;=$I7,"Alto","Bajo")),"")</f>
        <v>Alto</v>
      </c>
      <c r="K7" s="15" t="str">
        <f>IFERROR(IF(OR($G7="",$J7=""),"",IF(AND($G7="Bajo",$J7="Alto"),"Prime",IF(AND($G7="Alto",$J7="Alto"),"Standard",IF(AND($G7="Bajo",$J7="Bajo"),"Sleeper","Problem")))),"")</f>
        <v>Standard</v>
      </c>
      <c r="L7" t="str">
        <f>IFERROR(IF($K7="","",IF($K7="Prime","Food cost bajo y aporta mucho margen en euros al total.",IF($K7="Standard","Aporta mucho margen en euros pese a tener el food cost alto.",IF($K7="Sleeper","Food cost sano, pero aporta poco margen en euros al total.","Food cost alto y aporta poco margen en euros al total.")))),"")</f>
        <v>Aporta mucho margen en euros pese a tener el food cost alto.</v>
      </c>
      <c r="M7" t="str">
        <f>IFERROR(IF($K7="","",IF($K7="Prime","Mantener y promocionar: aquí está el dinero de la familia.",IF($K7="Standard","Vigilar el escandallo: gana por volumen, no por eficiencia.",IF($K7="Sleeper","Darle visibilidad: el margen está, falta que se pida.","Reformular la receta o retirarlo de la carta.")))),"")</f>
        <v>Vigilar el escandallo: gana por volumen, no por eficiencia.</v>
      </c>
    </row>
    <row r="8">
      <c r="A8" s="8" t="n">
        <v>4</v>
      </c>
      <c r="B8" t="str">
        <f>IFERROR(IF('Datos'!$B8="","",'Datos'!$B8),"")</f>
        <v>Huevos rotos con patatas y chistorra</v>
      </c>
      <c r="C8" t="str">
        <f>IFERROR(IF('Datos'!$C8="","",'Datos'!$C8),"")</f>
        <v>Entrantes</v>
      </c>
      <c r="D8" s="8">
        <f>IFERROR(IF('Datos'!$D8="","",'Datos'!$D8),"")</f>
        <v>380.0</v>
      </c>
      <c r="E8" s="14">
        <f>IFERROR(IF('Datos'!$H8="","",'Datos'!$H8),"")</f>
        <v>0.24489795918367344</v>
      </c>
      <c r="F8" s="14">
        <f>IFERROR(IF('Datos'!$O8="","",'Datos'!$O8),"")</f>
        <v>0.3071474565357373</v>
      </c>
      <c r="G8" t="str">
        <f>IFERROR(IF(OR($E8="",$F8=""),"",IF($E8&lt;=$F8,"Bajo","Alto")),"")</f>
        <v>Bajo</v>
      </c>
      <c r="H8" s="11">
        <f>IFERROR(IF('Datos'!$P8="","",'Datos'!$P8),"")</f>
        <v>2812.0</v>
      </c>
      <c r="I8" s="13">
        <f>IFERROR(IF('Datos'!$Q8="","",'Datos'!$Q8),"")</f>
        <v>1844.5714285714287</v>
      </c>
      <c r="J8" t="str">
        <f>IFERROR(IF(OR($H8="",$I8=""),"",IF($H8&gt;=$I8,"Alto","Bajo")),"")</f>
        <v>Alto</v>
      </c>
      <c r="K8" s="15" t="str">
        <f>IFERROR(IF(OR($G8="",$J8=""),"",IF(AND($G8="Bajo",$J8="Alto"),"Prime",IF(AND($G8="Alto",$J8="Alto"),"Standard",IF(AND($G8="Bajo",$J8="Bajo"),"Sleeper","Problem")))),"")</f>
        <v>Prime</v>
      </c>
      <c r="L8" t="str">
        <f>IFERROR(IF($K8="","",IF($K8="Prime","Food cost bajo y aporta mucho margen en euros al total.",IF($K8="Standard","Aporta mucho margen en euros pese a tener el food cost alto.",IF($K8="Sleeper","Food cost sano, pero aporta poco margen en euros al total.","Food cost alto y aporta poco margen en euros al total.")))),"")</f>
        <v>Food cost bajo y aporta mucho margen en euros al total.</v>
      </c>
      <c r="M8" t="str">
        <f>IFERROR(IF($K8="","",IF($K8="Prime","Mantener y promocionar: aquí está el dinero de la familia.",IF($K8="Standard","Vigilar el escandallo: gana por volumen, no por eficiencia.",IF($K8="Sleeper","Darle visibilidad: el margen está, falta que se pida.","Reformular la receta o retirarlo de la carta.")))),"")</f>
        <v>Mantener y promocionar: aquí está el dinero de la familia.</v>
      </c>
    </row>
    <row r="9">
      <c r="A9" s="8" t="n">
        <v>5</v>
      </c>
      <c r="B9" t="str">
        <f>IFERROR(IF('Datos'!$B9="","",'Datos'!$B9),"")</f>
        <v>Tabla de quesos de la zona</v>
      </c>
      <c r="C9" t="str">
        <f>IFERROR(IF('Datos'!$C9="","",'Datos'!$C9),"")</f>
        <v>Entrantes</v>
      </c>
      <c r="D9" s="8">
        <f>IFERROR(IF('Datos'!$D9="","",'Datos'!$D9),"")</f>
        <v>90.0</v>
      </c>
      <c r="E9" s="14">
        <f>IFERROR(IF('Datos'!$H9="","",'Datos'!$H9),"")</f>
        <v>0.3823529411764706</v>
      </c>
      <c r="F9" s="14">
        <f>IFERROR(IF('Datos'!$O9="","",'Datos'!$O9),"")</f>
        <v>0.3071474565357373</v>
      </c>
      <c r="G9" t="str">
        <f>IFERROR(IF(OR($E9="",$F9=""),"",IF($E9&lt;=$F9,"Bajo","Alto")),"")</f>
        <v>Alto</v>
      </c>
      <c r="H9" s="11">
        <f>IFERROR(IF('Datos'!$P9="","",'Datos'!$P9),"")</f>
        <v>755.9999999999999</v>
      </c>
      <c r="I9" s="13">
        <f>IFERROR(IF('Datos'!$Q9="","",'Datos'!$Q9),"")</f>
        <v>1844.5714285714287</v>
      </c>
      <c r="J9" t="str">
        <f>IFERROR(IF(OR($H9="",$I9=""),"",IF($H9&gt;=$I9,"Alto","Bajo")),"")</f>
        <v>Bajo</v>
      </c>
      <c r="K9" s="15" t="str">
        <f>IFERROR(IF(OR($G9="",$J9=""),"",IF(AND($G9="Bajo",$J9="Alto"),"Prime",IF(AND($G9="Alto",$J9="Alto"),"Standard",IF(AND($G9="Bajo",$J9="Bajo"),"Sleeper","Problem")))),"")</f>
        <v>Problem</v>
      </c>
      <c r="L9" t="str">
        <f>IFERROR(IF($K9="","",IF($K9="Prime","Food cost bajo y aporta mucho margen en euros al total.",IF($K9="Standard","Aporta mucho margen en euros pese a tener el food cost alto.",IF($K9="Sleeper","Food cost sano, pero aporta poco margen en euros al total.","Food cost alto y aporta poco margen en euros al total.")))),"")</f>
        <v>Food cost alto y aporta poco margen en euros al total.</v>
      </c>
      <c r="M9" t="str">
        <f>IFERROR(IF($K9="","",IF($K9="Prime","Mantener y promocionar: aquí está el dinero de la familia.",IF($K9="Standard","Vigilar el escandallo: gana por volumen, no por eficiencia.",IF($K9="Sleeper","Darle visibilidad: el margen está, falta que se pida.","Reformular la receta o retirarlo de la carta.")))),"")</f>
        <v>Reformular la receta o retirarlo de la carta.</v>
      </c>
    </row>
    <row r="10">
      <c r="A10" s="8" t="n">
        <v>6</v>
      </c>
      <c r="B10" t="str">
        <f>IFERROR(IF('Datos'!$B10="","",'Datos'!$B10),"")</f>
        <v>Alcachofas confitadas con jamón</v>
      </c>
      <c r="C10" t="str">
        <f>IFERROR(IF('Datos'!$C10="","",'Datos'!$C10),"")</f>
        <v>Entrantes</v>
      </c>
      <c r="D10" s="8">
        <f>IFERROR(IF('Datos'!$D10="","",'Datos'!$D10),"")</f>
        <v>120.0</v>
      </c>
      <c r="E10" s="14">
        <f>IFERROR(IF('Datos'!$H10="","",'Datos'!$H10),"")</f>
        <v>0.28440366972477066</v>
      </c>
      <c r="F10" s="14">
        <f>IFERROR(IF('Datos'!$O10="","",'Datos'!$O10),"")</f>
        <v>0.3071474565357373</v>
      </c>
      <c r="G10" t="str">
        <f>IFERROR(IF(OR($E10="",$F10=""),"",IF($E10&lt;=$F10,"Bajo","Alto")),"")</f>
        <v>Bajo</v>
      </c>
      <c r="H10" s="11">
        <f>IFERROR(IF('Datos'!$P10="","",'Datos'!$P10),"")</f>
        <v>936.0000000000001</v>
      </c>
      <c r="I10" s="13">
        <f>IFERROR(IF('Datos'!$Q10="","",'Datos'!$Q10),"")</f>
        <v>1844.5714285714287</v>
      </c>
      <c r="J10" t="str">
        <f>IFERROR(IF(OR($H10="",$I10=""),"",IF($H10&gt;=$I10,"Alto","Bajo")),"")</f>
        <v>Bajo</v>
      </c>
      <c r="K10" s="15" t="str">
        <f>IFERROR(IF(OR($G10="",$J10=""),"",IF(AND($G10="Bajo",$J10="Alto"),"Prime",IF(AND($G10="Alto",$J10="Alto"),"Standard",IF(AND($G10="Bajo",$J10="Bajo"),"Sleeper","Problem")))),"")</f>
        <v>Sleeper</v>
      </c>
      <c r="L10" t="str">
        <f>IFERROR(IF($K10="","",IF($K10="Prime","Food cost bajo y aporta mucho margen en euros al total.",IF($K10="Standard","Aporta mucho margen en euros pese a tener el food cost alto.",IF($K10="Sleeper","Food cost sano, pero aporta poco margen en euros al total.","Food cost alto y aporta poco margen en euros al total.")))),"")</f>
        <v>Food cost sano, pero aporta poco margen en euros al total.</v>
      </c>
      <c r="M10" t="str">
        <f>IFERROR(IF($K10="","",IF($K10="Prime","Mantener y promocionar: aquí está el dinero de la familia.",IF($K10="Standard","Vigilar el escandallo: gana por volumen, no por eficiencia.",IF($K10="Sleeper","Darle visibilidad: el margen está, falta que se pida.","Reformular la receta o retirarlo de la carta.")))),"")</f>
        <v>Darle visibilidad: el margen está, falta que se pida.</v>
      </c>
    </row>
    <row r="11">
      <c r="A11" s="8" t="n">
        <v>7</v>
      </c>
      <c r="B11" t="str">
        <f>IFERROR(IF('Datos'!$B11="","",'Datos'!$B11),"")</f>
        <v>Sopa de tomate asado con albahaca</v>
      </c>
      <c r="C11" t="str">
        <f>IFERROR(IF('Datos'!$C11="","",'Datos'!$C11),"")</f>
        <v>Entrantes</v>
      </c>
      <c r="D11" s="8">
        <f>IFERROR(IF('Datos'!$D11="","",'Datos'!$D11),"")</f>
        <v>150.0</v>
      </c>
      <c r="E11" s="14">
        <f>IFERROR(IF('Datos'!$H11="","",'Datos'!$H11),"")</f>
        <v>0.16666666666666666</v>
      </c>
      <c r="F11" s="14">
        <f>IFERROR(IF('Datos'!$O11="","",'Datos'!$O11),"")</f>
        <v>0.3071474565357373</v>
      </c>
      <c r="G11" t="str">
        <f>IFERROR(IF(OR($E11="",$F11=""),"",IF($E11&lt;=$F11,"Bajo","Alto")),"")</f>
        <v>Bajo</v>
      </c>
      <c r="H11" s="11">
        <f>IFERROR(IF('Datos'!$P11="","",'Datos'!$P11),"")</f>
        <v>900.0</v>
      </c>
      <c r="I11" s="13">
        <f>IFERROR(IF('Datos'!$Q11="","",'Datos'!$Q11),"")</f>
        <v>1844.5714285714287</v>
      </c>
      <c r="J11" t="str">
        <f>IFERROR(IF(OR($H11="",$I11=""),"",IF($H11&gt;=$I11,"Alto","Bajo")),"")</f>
        <v>Bajo</v>
      </c>
      <c r="K11" s="15" t="str">
        <f>IFERROR(IF(OR($G11="",$J11=""),"",IF(AND($G11="Bajo",$J11="Alto"),"Prime",IF(AND($G11="Alto",$J11="Alto"),"Standard",IF(AND($G11="Bajo",$J11="Bajo"),"Sleeper","Problem")))),"")</f>
        <v>Sleeper</v>
      </c>
      <c r="L11" t="str">
        <f>IFERROR(IF($K11="","",IF($K11="Prime","Food cost bajo y aporta mucho margen en euros al total.",IF($K11="Standard","Aporta mucho margen en euros pese a tener el food cost alto.",IF($K11="Sleeper","Food cost sano, pero aporta poco margen en euros al total.","Food cost alto y aporta poco margen en euros al total.")))),"")</f>
        <v>Food cost sano, pero aporta poco margen en euros al total.</v>
      </c>
      <c r="M11" t="str">
        <f>IFERROR(IF($K11="","",IF($K11="Prime","Mantener y promocionar: aquí está el dinero de la familia.",IF($K11="Standard","Vigilar el escandallo: gana por volumen, no por eficiencia.",IF($K11="Sleeper","Darle visibilidad: el margen está, falta que se pida.","Reformular la receta o retirarlo de la carta.")))),"")</f>
        <v>Darle visibilidad: el margen está, falta que se pida.</v>
      </c>
    </row>
    <row r="12">
      <c r="A12" s="8" t="n">
        <v>8</v>
      </c>
      <c r="B12" t="str">
        <f>IFERROR(IF('Datos'!$B12="","",'Datos'!$B12),"")</f>
        <v>Solomillo de cerdo ibérico con puré de boniato</v>
      </c>
      <c r="C12" t="str">
        <f>IFERROR(IF('Datos'!$C12="","",'Datos'!$C12),"")</f>
        <v>Principales</v>
      </c>
      <c r="D12" s="8">
        <f>IFERROR(IF('Datos'!$D12="","",'Datos'!$D12),"")</f>
        <v>340.0</v>
      </c>
      <c r="E12" s="14">
        <f>IFERROR(IF('Datos'!$H12="","",'Datos'!$H12),"")</f>
        <v>0.32774566473988437</v>
      </c>
      <c r="F12" s="14">
        <f>IFERROR(IF('Datos'!$O12="","",'Datos'!$O12),"")</f>
        <v>0.3558752289242039</v>
      </c>
      <c r="G12" t="str">
        <f>IFERROR(IF(OR($E12="",$F12=""),"",IF($E12&lt;=$F12,"Bajo","Alto")),"")</f>
        <v>Bajo</v>
      </c>
      <c r="H12" s="11">
        <f>IFERROR(IF('Datos'!$P12="","",'Datos'!$P12),"")</f>
        <v>3954.2000000000003</v>
      </c>
      <c r="I12" s="13">
        <f>IFERROR(IF('Datos'!$Q12="","",'Datos'!$Q12),"")</f>
        <v>2422.911111111111</v>
      </c>
      <c r="J12" t="str">
        <f>IFERROR(IF(OR($H12="",$I12=""),"",IF($H12&gt;=$I12,"Alto","Bajo")),"")</f>
        <v>Alto</v>
      </c>
      <c r="K12" s="15" t="str">
        <f>IFERROR(IF(OR($G12="",$J12=""),"",IF(AND($G12="Bajo",$J12="Alto"),"Prime",IF(AND($G12="Alto",$J12="Alto"),"Standard",IF(AND($G12="Bajo",$J12="Bajo"),"Sleeper","Problem")))),"")</f>
        <v>Prime</v>
      </c>
      <c r="L12" t="str">
        <f>IFERROR(IF($K12="","",IF($K12="Prime","Food cost bajo y aporta mucho margen en euros al total.",IF($K12="Standard","Aporta mucho margen en euros pese a tener el food cost alto.",IF($K12="Sleeper","Food cost sano, pero aporta poco margen en euros al total.","Food cost alto y aporta poco margen en euros al total.")))),"")</f>
        <v>Food cost bajo y aporta mucho margen en euros al total.</v>
      </c>
      <c r="M12" t="str">
        <f>IFERROR(IF($K12="","",IF($K12="Prime","Mantener y promocionar: aquí está el dinero de la familia.",IF($K12="Standard","Vigilar el escandallo: gana por volumen, no por eficiencia.",IF($K12="Sleeper","Darle visibilidad: el margen está, falta que se pida.","Reformular la receta o retirarlo de la carta.")))),"")</f>
        <v>Mantener y promocionar: aquí está el dinero de la familia.</v>
      </c>
    </row>
    <row r="13">
      <c r="A13" s="8" t="n">
        <v>9</v>
      </c>
      <c r="B13" t="str">
        <f>IFERROR(IF('Datos'!$B13="","",'Datos'!$B13),"")</f>
        <v>Bacalao confitado al pil-pil</v>
      </c>
      <c r="C13" t="str">
        <f>IFERROR(IF('Datos'!$C13="","",'Datos'!$C13),"")</f>
        <v>Principales</v>
      </c>
      <c r="D13" s="8">
        <f>IFERROR(IF('Datos'!$D13="","",'Datos'!$D13),"")</f>
        <v>190.0</v>
      </c>
      <c r="E13" s="14">
        <f>IFERROR(IF('Datos'!$H13="","",'Datos'!$H13),"")</f>
        <v>0.38743455497382195</v>
      </c>
      <c r="F13" s="14">
        <f>IFERROR(IF('Datos'!$O13="","",'Datos'!$O13),"")</f>
        <v>0.3558752289242039</v>
      </c>
      <c r="G13" t="str">
        <f>IFERROR(IF(OR($E13="",$F13=""),"",IF($E13&lt;=$F13,"Bajo","Alto")),"")</f>
        <v>Alto</v>
      </c>
      <c r="H13" s="11">
        <f>IFERROR(IF('Datos'!$P13="","",'Datos'!$P13),"")</f>
        <v>2223.0</v>
      </c>
      <c r="I13" s="13">
        <f>IFERROR(IF('Datos'!$Q13="","",'Datos'!$Q13),"")</f>
        <v>2422.911111111111</v>
      </c>
      <c r="J13" t="str">
        <f>IFERROR(IF(OR($H13="",$I13=""),"",IF($H13&gt;=$I13,"Alto","Bajo")),"")</f>
        <v>Bajo</v>
      </c>
      <c r="K13" s="15" t="str">
        <f>IFERROR(IF(OR($G13="",$J13=""),"",IF(AND($G13="Bajo",$J13="Alto"),"Prime",IF(AND($G13="Alto",$J13="Alto"),"Standard",IF(AND($G13="Bajo",$J13="Bajo"),"Sleeper","Problem")))),"")</f>
        <v>Problem</v>
      </c>
      <c r="L13" t="str">
        <f>IFERROR(IF($K13="","",IF($K13="Prime","Food cost bajo y aporta mucho margen en euros al total.",IF($K13="Standard","Aporta mucho margen en euros pese a tener el food cost alto.",IF($K13="Sleeper","Food cost sano, pero aporta poco margen en euros al total.","Food cost alto y aporta poco margen en euros al total.")))),"")</f>
        <v>Food cost alto y aporta poco margen en euros al total.</v>
      </c>
      <c r="M13" t="str">
        <f>IFERROR(IF($K13="","",IF($K13="Prime","Mantener y promocionar: aquí está el dinero de la familia.",IF($K13="Standard","Vigilar el escandallo: gana por volumen, no por eficiencia.",IF($K13="Sleeper","Darle visibilidad: el margen está, falta que se pida.","Reformular la receta o retirarlo de la carta.")))),"")</f>
        <v>Reformular la receta o retirarlo de la carta.</v>
      </c>
    </row>
    <row r="14">
      <c r="A14" s="8" t="n">
        <v>10</v>
      </c>
      <c r="B14" t="str">
        <f>IFERROR(IF('Datos'!$B14="","",'Datos'!$B14),"")</f>
        <v>Hamburguesa de vaca madurada con patatas</v>
      </c>
      <c r="C14" t="str">
        <f>IFERROR(IF('Datos'!$C14="","",'Datos'!$C14),"")</f>
        <v>Principales</v>
      </c>
      <c r="D14" s="8">
        <f>IFERROR(IF('Datos'!$D14="","",'Datos'!$D14),"")</f>
        <v>460.0</v>
      </c>
      <c r="E14" s="14">
        <f>IFERROR(IF('Datos'!$H14="","",'Datos'!$H14),"")</f>
        <v>0.3161764705882353</v>
      </c>
      <c r="F14" s="14">
        <f>IFERROR(IF('Datos'!$O14="","",'Datos'!$O14),"")</f>
        <v>0.3558752289242039</v>
      </c>
      <c r="G14" t="str">
        <f>IFERROR(IF(OR($E14="",$F14=""),"",IF($E14&lt;=$F14,"Bajo","Alto")),"")</f>
        <v>Bajo</v>
      </c>
      <c r="H14" s="11">
        <f>IFERROR(IF('Datos'!$P14="","",'Datos'!$P14),"")</f>
        <v>4278.0</v>
      </c>
      <c r="I14" s="13">
        <f>IFERROR(IF('Datos'!$Q14="","",'Datos'!$Q14),"")</f>
        <v>2422.911111111111</v>
      </c>
      <c r="J14" t="str">
        <f>IFERROR(IF(OR($H14="",$I14=""),"",IF($H14&gt;=$I14,"Alto","Bajo")),"")</f>
        <v>Alto</v>
      </c>
      <c r="K14" s="15" t="str">
        <f>IFERROR(IF(OR($G14="",$J14=""),"",IF(AND($G14="Bajo",$J14="Alto"),"Prime",IF(AND($G14="Alto",$J14="Alto"),"Standard",IF(AND($G14="Bajo",$J14="Bajo"),"Sleeper","Problem")))),"")</f>
        <v>Prime</v>
      </c>
      <c r="L14" t="str">
        <f>IFERROR(IF($K14="","",IF($K14="Prime","Food cost bajo y aporta mucho margen en euros al total.",IF($K14="Standard","Aporta mucho margen en euros pese a tener el food cost alto.",IF($K14="Sleeper","Food cost sano, pero aporta poco margen en euros al total.","Food cost alto y aporta poco margen en euros al total.")))),"")</f>
        <v>Food cost bajo y aporta mucho margen en euros al total.</v>
      </c>
      <c r="M14" t="str">
        <f>IFERROR(IF($K14="","",IF($K14="Prime","Mantener y promocionar: aquí está el dinero de la familia.",IF($K14="Standard","Vigilar el escandallo: gana por volumen, no por eficiencia.",IF($K14="Sleeper","Darle visibilidad: el margen está, falta que se pida.","Reformular la receta o retirarlo de la carta.")))),"")</f>
        <v>Mantener y promocionar: aquí está el dinero de la familia.</v>
      </c>
    </row>
    <row r="15">
      <c r="A15" s="8" t="n">
        <v>11</v>
      </c>
      <c r="B15" t="str">
        <f>IFERROR(IF('Datos'!$B15="","",'Datos'!$B15),"")</f>
        <v>Arroz meloso de secreto ibérico y setas</v>
      </c>
      <c r="C15" t="str">
        <f>IFERROR(IF('Datos'!$C15="","",'Datos'!$C15),"")</f>
        <v>Principales</v>
      </c>
      <c r="D15" s="8">
        <f>IFERROR(IF('Datos'!$D15="","",'Datos'!$D15),"")</f>
        <v>270.0</v>
      </c>
      <c r="E15" s="14">
        <f>IFERROR(IF('Datos'!$H15="","",'Datos'!$H15),"")</f>
        <v>0.37804878048780494</v>
      </c>
      <c r="F15" s="14">
        <f>IFERROR(IF('Datos'!$O15="","",'Datos'!$O15),"")</f>
        <v>0.3558752289242039</v>
      </c>
      <c r="G15" t="str">
        <f>IFERROR(IF(OR($E15="",$F15=""),"",IF($E15&lt;=$F15,"Bajo","Alto")),"")</f>
        <v>Alto</v>
      </c>
      <c r="H15" s="11">
        <f>IFERROR(IF('Datos'!$P15="","",'Datos'!$P15),"")</f>
        <v>2754.0</v>
      </c>
      <c r="I15" s="13">
        <f>IFERROR(IF('Datos'!$Q15="","",'Datos'!$Q15),"")</f>
        <v>2422.911111111111</v>
      </c>
      <c r="J15" t="str">
        <f>IFERROR(IF(OR($H15="",$I15=""),"",IF($H15&gt;=$I15,"Alto","Bajo")),"")</f>
        <v>Alto</v>
      </c>
      <c r="K15" s="15" t="str">
        <f>IFERROR(IF(OR($G15="",$J15=""),"",IF(AND($G15="Bajo",$J15="Alto"),"Prime",IF(AND($G15="Alto",$J15="Alto"),"Standard",IF(AND($G15="Bajo",$J15="Bajo"),"Sleeper","Problem")))),"")</f>
        <v>Standard</v>
      </c>
      <c r="L15" t="str">
        <f>IFERROR(IF($K15="","",IF($K15="Prime","Food cost bajo y aporta mucho margen en euros al total.",IF($K15="Standard","Aporta mucho margen en euros pese a tener el food cost alto.",IF($K15="Sleeper","Food cost sano, pero aporta poco margen en euros al total.","Food cost alto y aporta poco margen en euros al total.")))),"")</f>
        <v>Aporta mucho margen en euros pese a tener el food cost alto.</v>
      </c>
      <c r="M15" t="str">
        <f>IFERROR(IF($K15="","",IF($K15="Prime","Mantener y promocionar: aquí está el dinero de la familia.",IF($K15="Standard","Vigilar el escandallo: gana por volumen, no por eficiencia.",IF($K15="Sleeper","Darle visibilidad: el margen está, falta que se pida.","Reformular la receta o retirarlo de la carta.")))),"")</f>
        <v>Vigilar el escandallo: gana por volumen, no por eficiencia.</v>
      </c>
    </row>
    <row r="16">
      <c r="A16" s="8" t="n">
        <v>12</v>
      </c>
      <c r="B16" t="str">
        <f>IFERROR(IF('Datos'!$B16="","",'Datos'!$B16),"")</f>
        <v>Chuletón de vaca madurada (500 g)</v>
      </c>
      <c r="C16" t="str">
        <f>IFERROR(IF('Datos'!$C16="","",'Datos'!$C16),"")</f>
        <v>Principales</v>
      </c>
      <c r="D16" s="8">
        <f>IFERROR(IF('Datos'!$D16="","",'Datos'!$D16),"")</f>
        <v>110.0</v>
      </c>
      <c r="E16" s="14">
        <f>IFERROR(IF('Datos'!$H16="","",'Datos'!$H16),"")</f>
        <v>0.4525993883792049</v>
      </c>
      <c r="F16" s="14">
        <f>IFERROR(IF('Datos'!$O16="","",'Datos'!$O16),"")</f>
        <v>0.3558752289242039</v>
      </c>
      <c r="G16" t="str">
        <f>IFERROR(IF(OR($E16="",$F16=""),"",IF($E16&lt;=$F16,"Bajo","Alto")),"")</f>
        <v>Alto</v>
      </c>
      <c r="H16" s="11">
        <f>IFERROR(IF('Datos'!$P16="","",'Datos'!$P16),"")</f>
        <v>1969.0000000000002</v>
      </c>
      <c r="I16" s="13">
        <f>IFERROR(IF('Datos'!$Q16="","",'Datos'!$Q16),"")</f>
        <v>2422.911111111111</v>
      </c>
      <c r="J16" t="str">
        <f>IFERROR(IF(OR($H16="",$I16=""),"",IF($H16&gt;=$I16,"Alto","Bajo")),"")</f>
        <v>Bajo</v>
      </c>
      <c r="K16" s="15" t="str">
        <f>IFERROR(IF(OR($G16="",$J16=""),"",IF(AND($G16="Bajo",$J16="Alto"),"Prime",IF(AND($G16="Alto",$J16="Alto"),"Standard",IF(AND($G16="Bajo",$J16="Bajo"),"Sleeper","Problem")))),"")</f>
        <v>Problem</v>
      </c>
      <c r="L16" t="str">
        <f>IFERROR(IF($K16="","",IF($K16="Prime","Food cost bajo y aporta mucho margen en euros al total.",IF($K16="Standard","Aporta mucho margen en euros pese a tener el food cost alto.",IF($K16="Sleeper","Food cost sano, pero aporta poco margen en euros al total.","Food cost alto y aporta poco margen en euros al total.")))),"")</f>
        <v>Food cost alto y aporta poco margen en euros al total.</v>
      </c>
      <c r="M16" t="str">
        <f>IFERROR(IF($K16="","",IF($K16="Prime","Mantener y promocionar: aquí está el dinero de la familia.",IF($K16="Standard","Vigilar el escandallo: gana por volumen, no por eficiencia.",IF($K16="Sleeper","Darle visibilidad: el margen está, falta que se pida.","Reformular la receta o retirarlo de la carta.")))),"")</f>
        <v>Reformular la receta o retirarlo de la carta.</v>
      </c>
    </row>
    <row r="17">
      <c r="A17" s="8" t="n">
        <v>13</v>
      </c>
      <c r="B17" t="str">
        <f>IFERROR(IF('Datos'!$B17="","",'Datos'!$B17),"")</f>
        <v>Lubina a la sal</v>
      </c>
      <c r="C17" t="str">
        <f>IFERROR(IF('Datos'!$C17="","",'Datos'!$C17),"")</f>
        <v>Principales</v>
      </c>
      <c r="D17" s="8">
        <f>IFERROR(IF('Datos'!$D17="","",'Datos'!$D17),"")</f>
        <v>80.0</v>
      </c>
      <c r="E17" s="14">
        <f>IFERROR(IF('Datos'!$H17="","",'Datos'!$H17),"")</f>
        <v>0.40825688073394495</v>
      </c>
      <c r="F17" s="14">
        <f>IFERROR(IF('Datos'!$O17="","",'Datos'!$O17),"")</f>
        <v>0.3558752289242039</v>
      </c>
      <c r="G17" t="str">
        <f>IFERROR(IF(OR($E17="",$F17=""),"",IF($E17&lt;=$F17,"Bajo","Alto")),"")</f>
        <v>Alto</v>
      </c>
      <c r="H17" s="11">
        <f>IFERROR(IF('Datos'!$P17="","",'Datos'!$P17),"")</f>
        <v>1032.0</v>
      </c>
      <c r="I17" s="13">
        <f>IFERROR(IF('Datos'!$Q17="","",'Datos'!$Q17),"")</f>
        <v>2422.911111111111</v>
      </c>
      <c r="J17" t="str">
        <f>IFERROR(IF(OR($H17="",$I17=""),"",IF($H17&gt;=$I17,"Alto","Bajo")),"")</f>
        <v>Bajo</v>
      </c>
      <c r="K17" s="15" t="str">
        <f>IFERROR(IF(OR($G17="",$J17=""),"",IF(AND($G17="Bajo",$J17="Alto"),"Prime",IF(AND($G17="Alto",$J17="Alto"),"Standard",IF(AND($G17="Bajo",$J17="Bajo"),"Sleeper","Problem")))),"")</f>
        <v>Problem</v>
      </c>
      <c r="L17" t="str">
        <f>IFERROR(IF($K17="","",IF($K17="Prime","Food cost bajo y aporta mucho margen en euros al total.",IF($K17="Standard","Aporta mucho margen en euros pese a tener el food cost alto.",IF($K17="Sleeper","Food cost sano, pero aporta poco margen en euros al total.","Food cost alto y aporta poco margen en euros al total.")))),"")</f>
        <v>Food cost alto y aporta poco margen en euros al total.</v>
      </c>
      <c r="M17" t="str">
        <f>IFERROR(IF($K17="","",IF($K17="Prime","Mantener y promocionar: aquí está el dinero de la familia.",IF($K17="Standard","Vigilar el escandallo: gana por volumen, no por eficiencia.",IF($K17="Sleeper","Darle visibilidad: el margen está, falta que se pida.","Reformular la receta o retirarlo de la carta.")))),"")</f>
        <v>Reformular la receta o retirarlo de la carta.</v>
      </c>
    </row>
    <row r="18">
      <c r="A18" s="8" t="n">
        <v>14</v>
      </c>
      <c r="B18" t="str">
        <f>IFERROR(IF('Datos'!$B18="","",'Datos'!$B18),"")</f>
        <v>Pollo de corral asado con patatas</v>
      </c>
      <c r="C18" t="str">
        <f>IFERROR(IF('Datos'!$C18="","",'Datos'!$C18),"")</f>
        <v>Principales</v>
      </c>
      <c r="D18" s="8">
        <f>IFERROR(IF('Datos'!$D18="","",'Datos'!$D18),"")</f>
        <v>300.0</v>
      </c>
      <c r="E18" s="14">
        <f>IFERROR(IF('Datos'!$H18="","",'Datos'!$H18),"")</f>
        <v>0.2913385826771654</v>
      </c>
      <c r="F18" s="14">
        <f>IFERROR(IF('Datos'!$O18="","",'Datos'!$O18),"")</f>
        <v>0.3558752289242039</v>
      </c>
      <c r="G18" t="str">
        <f>IFERROR(IF(OR($E18="",$F18=""),"",IF($E18&lt;=$F18,"Bajo","Alto")),"")</f>
        <v>Bajo</v>
      </c>
      <c r="H18" s="11">
        <f>IFERROR(IF('Datos'!$P18="","",'Datos'!$P18),"")</f>
        <v>2700.0</v>
      </c>
      <c r="I18" s="13">
        <f>IFERROR(IF('Datos'!$Q18="","",'Datos'!$Q18),"")</f>
        <v>2422.911111111111</v>
      </c>
      <c r="J18" t="str">
        <f>IFERROR(IF(OR($H18="",$I18=""),"",IF($H18&gt;=$I18,"Alto","Bajo")),"")</f>
        <v>Alto</v>
      </c>
      <c r="K18" s="15" t="str">
        <f>IFERROR(IF(OR($G18="",$J18=""),"",IF(AND($G18="Bajo",$J18="Alto"),"Prime",IF(AND($G18="Alto",$J18="Alto"),"Standard",IF(AND($G18="Bajo",$J18="Bajo"),"Sleeper","Problem")))),"")</f>
        <v>Prime</v>
      </c>
      <c r="L18" t="str">
        <f>IFERROR(IF($K18="","",IF($K18="Prime","Food cost bajo y aporta mucho margen en euros al total.",IF($K18="Standard","Aporta mucho margen en euros pese a tener el food cost alto.",IF($K18="Sleeper","Food cost sano, pero aporta poco margen en euros al total.","Food cost alto y aporta poco margen en euros al total.")))),"")</f>
        <v>Food cost bajo y aporta mucho margen en euros al total.</v>
      </c>
      <c r="M18" t="str">
        <f>IFERROR(IF($K18="","",IF($K18="Prime","Mantener y promocionar: aquí está el dinero de la familia.",IF($K18="Standard","Vigilar el escandallo: gana por volumen, no por eficiencia.",IF($K18="Sleeper","Darle visibilidad: el margen está, falta que se pida.","Reformular la receta o retirarlo de la carta.")))),"")</f>
        <v>Mantener y promocionar: aquí está el dinero de la familia.</v>
      </c>
    </row>
    <row r="19">
      <c r="A19" s="8" t="n">
        <v>15</v>
      </c>
      <c r="B19" t="str">
        <f>IFERROR(IF('Datos'!$B19="","",'Datos'!$B19),"")</f>
        <v>Lasaña de verduras de temporada</v>
      </c>
      <c r="C19" t="str">
        <f>IFERROR(IF('Datos'!$C19="","",'Datos'!$C19),"")</f>
        <v>Principales</v>
      </c>
      <c r="D19" s="8">
        <f>IFERROR(IF('Datos'!$D19="","",'Datos'!$D19),"")</f>
        <v>140.0</v>
      </c>
      <c r="E19" s="14">
        <f>IFERROR(IF('Datos'!$H19="","",'Datos'!$H19),"")</f>
        <v>0.22807017543859648</v>
      </c>
      <c r="F19" s="14">
        <f>IFERROR(IF('Datos'!$O19="","",'Datos'!$O19),"")</f>
        <v>0.3558752289242039</v>
      </c>
      <c r="G19" t="str">
        <f>IFERROR(IF(OR($E19="",$F19=""),"",IF($E19&lt;=$F19,"Bajo","Alto")),"")</f>
        <v>Bajo</v>
      </c>
      <c r="H19" s="11">
        <f>IFERROR(IF('Datos'!$P19="","",'Datos'!$P19),"")</f>
        <v>1232.0</v>
      </c>
      <c r="I19" s="13">
        <f>IFERROR(IF('Datos'!$Q19="","",'Datos'!$Q19),"")</f>
        <v>2422.911111111111</v>
      </c>
      <c r="J19" t="str">
        <f>IFERROR(IF(OR($H19="",$I19=""),"",IF($H19&gt;=$I19,"Alto","Bajo")),"")</f>
        <v>Bajo</v>
      </c>
      <c r="K19" s="15" t="str">
        <f>IFERROR(IF(OR($G19="",$J19=""),"",IF(AND($G19="Bajo",$J19="Alto"),"Prime",IF(AND($G19="Alto",$J19="Alto"),"Standard",IF(AND($G19="Bajo",$J19="Bajo"),"Sleeper","Problem")))),"")</f>
        <v>Sleeper</v>
      </c>
      <c r="L19" t="str">
        <f>IFERROR(IF($K19="","",IF($K19="Prime","Food cost bajo y aporta mucho margen en euros al total.",IF($K19="Standard","Aporta mucho margen en euros pese a tener el food cost alto.",IF($K19="Sleeper","Food cost sano, pero aporta poco margen en euros al total.","Food cost alto y aporta poco margen en euros al total.")))),"")</f>
        <v>Food cost sano, pero aporta poco margen en euros al total.</v>
      </c>
      <c r="M19" t="str">
        <f>IFERROR(IF($K19="","",IF($K19="Prime","Mantener y promocionar: aquí está el dinero de la familia.",IF($K19="Standard","Vigilar el escandallo: gana por volumen, no por eficiencia.",IF($K19="Sleeper","Darle visibilidad: el margen está, falta que se pida.","Reformular la receta o retirarlo de la carta.")))),"")</f>
        <v>Darle visibilidad: el margen está, falta que se pida.</v>
      </c>
    </row>
    <row r="20">
      <c r="A20" s="8" t="n">
        <v>16</v>
      </c>
      <c r="B20" t="str">
        <f>IFERROR(IF('Datos'!$B20="","",'Datos'!$B20),"")</f>
        <v>Tataki de atún rojo con sésamo</v>
      </c>
      <c r="C20" t="str">
        <f>IFERROR(IF('Datos'!$C20="","",'Datos'!$C20),"")</f>
        <v>Principales</v>
      </c>
      <c r="D20" s="8">
        <f>IFERROR(IF('Datos'!$D20="","",'Datos'!$D20),"")</f>
        <v>130.0</v>
      </c>
      <c r="E20" s="14">
        <f>IFERROR(IF('Datos'!$H20="","",'Datos'!$H20),"")</f>
        <v>0.4285714285714286</v>
      </c>
      <c r="F20" s="14">
        <f>IFERROR(IF('Datos'!$O20="","",'Datos'!$O20),"")</f>
        <v>0.3558752289242039</v>
      </c>
      <c r="G20" t="str">
        <f>IFERROR(IF(OR($E20="",$F20=""),"",IF($E20&lt;=$F20,"Bajo","Alto")),"")</f>
        <v>Alto</v>
      </c>
      <c r="H20" s="11">
        <f>IFERROR(IF('Datos'!$P20="","",'Datos'!$P20),"")</f>
        <v>1663.9999999999998</v>
      </c>
      <c r="I20" s="13">
        <f>IFERROR(IF('Datos'!$Q20="","",'Datos'!$Q20),"")</f>
        <v>2422.911111111111</v>
      </c>
      <c r="J20" t="str">
        <f>IFERROR(IF(OR($H20="",$I20=""),"",IF($H20&gt;=$I20,"Alto","Bajo")),"")</f>
        <v>Bajo</v>
      </c>
      <c r="K20" s="15" t="str">
        <f>IFERROR(IF(OR($G20="",$J20=""),"",IF(AND($G20="Bajo",$J20="Alto"),"Prime",IF(AND($G20="Alto",$J20="Alto"),"Standard",IF(AND($G20="Bajo",$J20="Bajo"),"Sleeper","Problem")))),"")</f>
        <v>Problem</v>
      </c>
      <c r="L20" t="str">
        <f>IFERROR(IF($K20="","",IF($K20="Prime","Food cost bajo y aporta mucho margen en euros al total.",IF($K20="Standard","Aporta mucho margen en euros pese a tener el food cost alto.",IF($K20="Sleeper","Food cost sano, pero aporta poco margen en euros al total.","Food cost alto y aporta poco margen en euros al total.")))),"")</f>
        <v>Food cost alto y aporta poco margen en euros al total.</v>
      </c>
      <c r="M20" t="str">
        <f>IFERROR(IF($K20="","",IF($K20="Prime","Mantener y promocionar: aquí está el dinero de la familia.",IF($K20="Standard","Vigilar el escandallo: gana por volumen, no por eficiencia.",IF($K20="Sleeper","Darle visibilidad: el margen está, falta que se pida.","Reformular la receta o retirarlo de la carta.")))),"")</f>
        <v>Reformular la receta o retirarlo de la carta.</v>
      </c>
    </row>
    <row r="21">
      <c r="A21" s="8" t="n">
        <v>17</v>
      </c>
      <c r="B21" t="str">
        <f>IFERROR(IF('Datos'!$B21="","",'Datos'!$B21),"")</f>
        <v>Tarta de queso cremosa</v>
      </c>
      <c r="C21" t="str">
        <f>IFERROR(IF('Datos'!$C21="","",'Datos'!$C21),"")</f>
        <v>Postres</v>
      </c>
      <c r="D21" s="8">
        <f>IFERROR(IF('Datos'!$D21="","",'Datos'!$D21),"")</f>
        <v>520.0</v>
      </c>
      <c r="E21" s="14">
        <f>IFERROR(IF('Datos'!$H21="","",'Datos'!$H21),"")</f>
        <v>0.22033898305084745</v>
      </c>
      <c r="F21" s="14">
        <f>IFERROR(IF('Datos'!$O21="","",'Datos'!$O21),"")</f>
        <v>0.2322985165927512</v>
      </c>
      <c r="G21" t="str">
        <f>IFERROR(IF(OR($E21="",$F21=""),"",IF($E21&lt;=$F21,"Bajo","Alto")),"")</f>
        <v>Bajo</v>
      </c>
      <c r="H21" s="11">
        <f>IFERROR(IF('Datos'!$P21="","",'Datos'!$P21),"")</f>
        <v>2392.0000000000005</v>
      </c>
      <c r="I21" s="13">
        <f>IFERROR(IF('Datos'!$Q21="","",'Datos'!$Q21),"")</f>
        <v>1255.0</v>
      </c>
      <c r="J21" t="str">
        <f>IFERROR(IF(OR($H21="",$I21=""),"",IF($H21&gt;=$I21,"Alto","Bajo")),"")</f>
        <v>Alto</v>
      </c>
      <c r="K21" s="15" t="str">
        <f>IFERROR(IF(OR($G21="",$J21=""),"",IF(AND($G21="Bajo",$J21="Alto"),"Prime",IF(AND($G21="Alto",$J21="Alto"),"Standard",IF(AND($G21="Bajo",$J21="Bajo"),"Sleeper","Problem")))),"")</f>
        <v>Prime</v>
      </c>
      <c r="L21" t="str">
        <f>IFERROR(IF($K21="","",IF($K21="Prime","Food cost bajo y aporta mucho margen en euros al total.",IF($K21="Standard","Aporta mucho margen en euros pese a tener el food cost alto.",IF($K21="Sleeper","Food cost sano, pero aporta poco margen en euros al total.","Food cost alto y aporta poco margen en euros al total.")))),"")</f>
        <v>Food cost bajo y aporta mucho margen en euros al total.</v>
      </c>
      <c r="M21" t="str">
        <f>IFERROR(IF($K21="","",IF($K21="Prime","Mantener y promocionar: aquí está el dinero de la familia.",IF($K21="Standard","Vigilar el escandallo: gana por volumen, no por eficiencia.",IF($K21="Sleeper","Darle visibilidad: el margen está, falta que se pida.","Reformular la receta o retirarlo de la carta.")))),"")</f>
        <v>Mantener y promocionar: aquí está el dinero de la familia.</v>
      </c>
    </row>
    <row r="22">
      <c r="A22" s="8" t="n">
        <v>18</v>
      </c>
      <c r="B22" t="str">
        <f>IFERROR(IF('Datos'!$B22="","",'Datos'!$B22),"")</f>
        <v>Torrija caramelizada con helado</v>
      </c>
      <c r="C22" t="str">
        <f>IFERROR(IF('Datos'!$C22="","",'Datos'!$C22),"")</f>
        <v>Postres</v>
      </c>
      <c r="D22" s="8">
        <f>IFERROR(IF('Datos'!$D22="","",'Datos'!$D22),"")</f>
        <v>210.0</v>
      </c>
      <c r="E22" s="14">
        <f>IFERROR(IF('Datos'!$H22="","",'Datos'!$H22),"")</f>
        <v>0.2</v>
      </c>
      <c r="F22" s="14">
        <f>IFERROR(IF('Datos'!$O22="","",'Datos'!$O22),"")</f>
        <v>0.2322985165927512</v>
      </c>
      <c r="G22" t="str">
        <f>IFERROR(IF(OR($E22="",$F22=""),"",IF($E22&lt;=$F22,"Bajo","Alto")),"")</f>
        <v>Bajo</v>
      </c>
      <c r="H22" s="11">
        <f>IFERROR(IF('Datos'!$P22="","",'Datos'!$P22),"")</f>
        <v>924.0000000000001</v>
      </c>
      <c r="I22" s="13">
        <f>IFERROR(IF('Datos'!$Q22="","",'Datos'!$Q22),"")</f>
        <v>1255.0</v>
      </c>
      <c r="J22" t="str">
        <f>IFERROR(IF(OR($H22="",$I22=""),"",IF($H22&gt;=$I22,"Alto","Bajo")),"")</f>
        <v>Bajo</v>
      </c>
      <c r="K22" s="15" t="str">
        <f>IFERROR(IF(OR($G22="",$J22=""),"",IF(AND($G22="Bajo",$J22="Alto"),"Prime",IF(AND($G22="Alto",$J22="Alto"),"Standard",IF(AND($G22="Bajo",$J22="Bajo"),"Sleeper","Problem")))),"")</f>
        <v>Sleeper</v>
      </c>
      <c r="L22" t="str">
        <f>IFERROR(IF($K22="","",IF($K22="Prime","Food cost bajo y aporta mucho margen en euros al total.",IF($K22="Standard","Aporta mucho margen en euros pese a tener el food cost alto.",IF($K22="Sleeper","Food cost sano, pero aporta poco margen en euros al total.","Food cost alto y aporta poco margen en euros al total.")))),"")</f>
        <v>Food cost sano, pero aporta poco margen en euros al total.</v>
      </c>
      <c r="M22" t="str">
        <f>IFERROR(IF($K22="","",IF($K22="Prime","Mantener y promocionar: aquí está el dinero de la familia.",IF($K22="Standard","Vigilar el escandallo: gana por volumen, no por eficiencia.",IF($K22="Sleeper","Darle visibilidad: el margen está, falta que se pida.","Reformular la receta o retirarlo de la carta.")))),"")</f>
        <v>Darle visibilidad: el margen está, falta que se pida.</v>
      </c>
    </row>
    <row r="23">
      <c r="A23" s="8" t="n">
        <v>19</v>
      </c>
      <c r="B23" t="str">
        <f>IFERROR(IF('Datos'!$B23="","",'Datos'!$B23),"")</f>
        <v>Coulant de chocolate</v>
      </c>
      <c r="C23" t="str">
        <f>IFERROR(IF('Datos'!$C23="","",'Datos'!$C23),"")</f>
        <v>Postres</v>
      </c>
      <c r="D23" s="8">
        <f>IFERROR(IF('Datos'!$D23="","",'Datos'!$D23),"")</f>
        <v>330.0</v>
      </c>
      <c r="E23" s="14">
        <f>IFERROR(IF('Datos'!$H23="","",'Datos'!$H23),"")</f>
        <v>0.25806451612903225</v>
      </c>
      <c r="F23" s="14">
        <f>IFERROR(IF('Datos'!$O23="","",'Datos'!$O23),"")</f>
        <v>0.2322985165927512</v>
      </c>
      <c r="G23" t="str">
        <f>IFERROR(IF(OR($E23="",$F23=""),"",IF($E23&lt;=$F23,"Bajo","Alto")),"")</f>
        <v>Alto</v>
      </c>
      <c r="H23" s="11">
        <f>IFERROR(IF('Datos'!$P23="","",'Datos'!$P23),"")</f>
        <v>1517.9999999999998</v>
      </c>
      <c r="I23" s="13">
        <f>IFERROR(IF('Datos'!$Q23="","",'Datos'!$Q23),"")</f>
        <v>1255.0</v>
      </c>
      <c r="J23" t="str">
        <f>IFERROR(IF(OR($H23="",$I23=""),"",IF($H23&gt;=$I23,"Alto","Bajo")),"")</f>
        <v>Alto</v>
      </c>
      <c r="K23" s="15" t="str">
        <f>IFERROR(IF(OR($G23="",$J23=""),"",IF(AND($G23="Bajo",$J23="Alto"),"Prime",IF(AND($G23="Alto",$J23="Alto"),"Standard",IF(AND($G23="Bajo",$J23="Bajo"),"Sleeper","Problem")))),"")</f>
        <v>Standard</v>
      </c>
      <c r="L23" t="str">
        <f>IFERROR(IF($K23="","",IF($K23="Prime","Food cost bajo y aporta mucho margen en euros al total.",IF($K23="Standard","Aporta mucho margen en euros pese a tener el food cost alto.",IF($K23="Sleeper","Food cost sano, pero aporta poco margen en euros al total.","Food cost alto y aporta poco margen en euros al total.")))),"")</f>
        <v>Aporta mucho margen en euros pese a tener el food cost alto.</v>
      </c>
      <c r="M23" t="str">
        <f>IFERROR(IF($K23="","",IF($K23="Prime","Mantener y promocionar: aquí está el dinero de la familia.",IF($K23="Standard","Vigilar el escandallo: gana por volumen, no por eficiencia.",IF($K23="Sleeper","Darle visibilidad: el margen está, falta que se pida.","Reformular la receta o retirarlo de la carta.")))),"")</f>
        <v>Vigilar el escandallo: gana por volumen, no por eficiencia.</v>
      </c>
    </row>
    <row r="24">
      <c r="A24" s="8" t="n">
        <v>20</v>
      </c>
      <c r="B24" t="str">
        <f>IFERROR(IF('Datos'!$B24="","",'Datos'!$B24),"")</f>
        <v>Fruta de temporada preparada</v>
      </c>
      <c r="C24" t="str">
        <f>IFERROR(IF('Datos'!$C24="","",'Datos'!$C24),"")</f>
        <v>Postres</v>
      </c>
      <c r="D24" s="8">
        <f>IFERROR(IF('Datos'!$D24="","",'Datos'!$D24),"")</f>
        <v>60.0</v>
      </c>
      <c r="E24" s="14">
        <f>IFERROR(IF('Datos'!$H24="","",'Datos'!$H24),"")</f>
        <v>0.3111111111111111</v>
      </c>
      <c r="F24" s="14">
        <f>IFERROR(IF('Datos'!$O24="","",'Datos'!$O24),"")</f>
        <v>0.2322985165927512</v>
      </c>
      <c r="G24" t="str">
        <f>IFERROR(IF(OR($E24="",$F24=""),"",IF($E24&lt;=$F24,"Bajo","Alto")),"")</f>
        <v>Alto</v>
      </c>
      <c r="H24" s="11">
        <f>IFERROR(IF('Datos'!$P24="","",'Datos'!$P24),"")</f>
        <v>186.0</v>
      </c>
      <c r="I24" s="13">
        <f>IFERROR(IF('Datos'!$Q24="","",'Datos'!$Q24),"")</f>
        <v>1255.0</v>
      </c>
      <c r="J24" t="str">
        <f>IFERROR(IF(OR($H24="",$I24=""),"",IF($H24&gt;=$I24,"Alto","Bajo")),"")</f>
        <v>Bajo</v>
      </c>
      <c r="K24" s="15" t="str">
        <f>IFERROR(IF(OR($G24="",$J24=""),"",IF(AND($G24="Bajo",$J24="Alto"),"Prime",IF(AND($G24="Alto",$J24="Alto"),"Standard",IF(AND($G24="Bajo",$J24="Bajo"),"Sleeper","Problem")))),"")</f>
        <v>Problem</v>
      </c>
      <c r="L24" t="str">
        <f>IFERROR(IF($K24="","",IF($K24="Prime","Food cost bajo y aporta mucho margen en euros al total.",IF($K24="Standard","Aporta mucho margen en euros pese a tener el food cost alto.",IF($K24="Sleeper","Food cost sano, pero aporta poco margen en euros al total.","Food cost alto y aporta poco margen en euros al total.")))),"")</f>
        <v>Food cost alto y aporta poco margen en euros al total.</v>
      </c>
      <c r="M24" t="str">
        <f>IFERROR(IF($K24="","",IF($K24="Prime","Mantener y promocionar: aquí está el dinero de la familia.",IF($K24="Standard","Vigilar el escandallo: gana por volumen, no por eficiencia.",IF($K24="Sleeper","Darle visibilidad: el margen está, falta que se pida.","Reformular la receta o retirarlo de la carta.")))),"")</f>
        <v>Reformular la receta o retirarlo de la carta.</v>
      </c>
    </row>
    <row r="25">
      <c r="A25" s="8" t="n">
        <v>21</v>
      </c>
      <c r="B25">
        <f>IFERROR(IF('Datos'!$B25="","",'Datos'!$B25),"")</f>
        <v/>
      </c>
      <c r="C25">
        <f>IFERROR(IF('Datos'!$C25="","",'Datos'!$C25),"")</f>
        <v/>
      </c>
      <c r="D25" s="8">
        <f>IFERROR(IF('Datos'!$D25="","",'Datos'!$D25),"")</f>
        <v/>
      </c>
      <c r="E25" s="14">
        <f>IFERROR(IF('Datos'!$H25="","",'Datos'!$H25),"")</f>
        <v/>
      </c>
      <c r="F25" s="14">
        <f>IFERROR(IF('Datos'!$O25="","",'Datos'!$O25),"")</f>
        <v/>
      </c>
      <c r="G25">
        <f>IFERROR(IF(OR($E25="",$F25=""),"",IF($E25&lt;=$F25,"Bajo","Alto")),"")</f>
        <v/>
      </c>
      <c r="H25" s="11">
        <f>IFERROR(IF('Datos'!$P25="","",'Datos'!$P25),"")</f>
        <v/>
      </c>
      <c r="I25" s="13">
        <f>IFERROR(IF('Datos'!$Q25="","",'Datos'!$Q25),"")</f>
        <v/>
      </c>
      <c r="J25">
        <f>IFERROR(IF(OR($H25="",$I25=""),"",IF($H25&gt;=$I25,"Alto","Bajo")),"")</f>
        <v/>
      </c>
      <c r="K25" s="15">
        <f>IFERROR(IF(OR($G25="",$J25=""),"",IF(AND($G25="Bajo",$J25="Alto"),"Prime",IF(AND($G25="Alto",$J25="Alto"),"Standard",IF(AND($G25="Bajo",$J25="Bajo"),"Sleeper","Problem")))),"")</f>
        <v/>
      </c>
      <c r="L25">
        <f>IFERROR(IF($K25="","",IF($K25="Prime","Food cost bajo y aporta mucho margen en euros al total.",IF($K25="Standard","Aporta mucho margen en euros pese a tener el food cost alto.",IF($K25="Sleeper","Food cost sano, pero aporta poco margen en euros al total.","Food cost alto y aporta poco margen en euros al total.")))),"")</f>
        <v/>
      </c>
      <c r="M25">
        <f>IFERROR(IF($K25="","",IF($K25="Prime","Mantener y promocionar: aquí está el dinero de la familia.",IF($K25="Standard","Vigilar el escandallo: gana por volumen, no por eficiencia.",IF($K25="Sleeper","Darle visibilidad: el margen está, falta que se pida.","Reformular la receta o retirarlo de la carta.")))),"")</f>
        <v/>
      </c>
    </row>
    <row r="26">
      <c r="A26" s="8" t="n">
        <v>22</v>
      </c>
      <c r="B26">
        <f>IFERROR(IF('Datos'!$B26="","",'Datos'!$B26),"")</f>
        <v/>
      </c>
      <c r="C26">
        <f>IFERROR(IF('Datos'!$C26="","",'Datos'!$C26),"")</f>
        <v/>
      </c>
      <c r="D26" s="8">
        <f>IFERROR(IF('Datos'!$D26="","",'Datos'!$D26),"")</f>
        <v/>
      </c>
      <c r="E26" s="14">
        <f>IFERROR(IF('Datos'!$H26="","",'Datos'!$H26),"")</f>
        <v/>
      </c>
      <c r="F26" s="14">
        <f>IFERROR(IF('Datos'!$O26="","",'Datos'!$O26),"")</f>
        <v/>
      </c>
      <c r="G26">
        <f>IFERROR(IF(OR($E26="",$F26=""),"",IF($E26&lt;=$F26,"Bajo","Alto")),"")</f>
        <v/>
      </c>
      <c r="H26" s="11">
        <f>IFERROR(IF('Datos'!$P26="","",'Datos'!$P26),"")</f>
        <v/>
      </c>
      <c r="I26" s="13">
        <f>IFERROR(IF('Datos'!$Q26="","",'Datos'!$Q26),"")</f>
        <v/>
      </c>
      <c r="J26">
        <f>IFERROR(IF(OR($H26="",$I26=""),"",IF($H26&gt;=$I26,"Alto","Bajo")),"")</f>
        <v/>
      </c>
      <c r="K26" s="15">
        <f>IFERROR(IF(OR($G26="",$J26=""),"",IF(AND($G26="Bajo",$J26="Alto"),"Prime",IF(AND($G26="Alto",$J26="Alto"),"Standard",IF(AND($G26="Bajo",$J26="Bajo"),"Sleeper","Problem")))),"")</f>
        <v/>
      </c>
      <c r="L26">
        <f>IFERROR(IF($K26="","",IF($K26="Prime","Food cost bajo y aporta mucho margen en euros al total.",IF($K26="Standard","Aporta mucho margen en euros pese a tener el food cost alto.",IF($K26="Sleeper","Food cost sano, pero aporta poco margen en euros al total.","Food cost alto y aporta poco margen en euros al total.")))),"")</f>
        <v/>
      </c>
      <c r="M26">
        <f>IFERROR(IF($K26="","",IF($K26="Prime","Mantener y promocionar: aquí está el dinero de la familia.",IF($K26="Standard","Vigilar el escandallo: gana por volumen, no por eficiencia.",IF($K26="Sleeper","Darle visibilidad: el margen está, falta que se pida.","Reformular la receta o retirarlo de la carta.")))),"")</f>
        <v/>
      </c>
    </row>
    <row r="27">
      <c r="A27" s="8" t="n">
        <v>23</v>
      </c>
      <c r="B27">
        <f>IFERROR(IF('Datos'!$B27="","",'Datos'!$B27),"")</f>
        <v/>
      </c>
      <c r="C27">
        <f>IFERROR(IF('Datos'!$C27="","",'Datos'!$C27),"")</f>
        <v/>
      </c>
      <c r="D27" s="8">
        <f>IFERROR(IF('Datos'!$D27="","",'Datos'!$D27),"")</f>
        <v/>
      </c>
      <c r="E27" s="14">
        <f>IFERROR(IF('Datos'!$H27="","",'Datos'!$H27),"")</f>
        <v/>
      </c>
      <c r="F27" s="14">
        <f>IFERROR(IF('Datos'!$O27="","",'Datos'!$O27),"")</f>
        <v/>
      </c>
      <c r="G27">
        <f>IFERROR(IF(OR($E27="",$F27=""),"",IF($E27&lt;=$F27,"Bajo","Alto")),"")</f>
        <v/>
      </c>
      <c r="H27" s="11">
        <f>IFERROR(IF('Datos'!$P27="","",'Datos'!$P27),"")</f>
        <v/>
      </c>
      <c r="I27" s="13">
        <f>IFERROR(IF('Datos'!$Q27="","",'Datos'!$Q27),"")</f>
        <v/>
      </c>
      <c r="J27">
        <f>IFERROR(IF(OR($H27="",$I27=""),"",IF($H27&gt;=$I27,"Alto","Bajo")),"")</f>
        <v/>
      </c>
      <c r="K27" s="15">
        <f>IFERROR(IF(OR($G27="",$J27=""),"",IF(AND($G27="Bajo",$J27="Alto"),"Prime",IF(AND($G27="Alto",$J27="Alto"),"Standard",IF(AND($G27="Bajo",$J27="Bajo"),"Sleeper","Problem")))),"")</f>
        <v/>
      </c>
      <c r="L27">
        <f>IFERROR(IF($K27="","",IF($K27="Prime","Food cost bajo y aporta mucho margen en euros al total.",IF($K27="Standard","Aporta mucho margen en euros pese a tener el food cost alto.",IF($K27="Sleeper","Food cost sano, pero aporta poco margen en euros al total.","Food cost alto y aporta poco margen en euros al total.")))),"")</f>
        <v/>
      </c>
      <c r="M27">
        <f>IFERROR(IF($K27="","",IF($K27="Prime","Mantener y promocionar: aquí está el dinero de la familia.",IF($K27="Standard","Vigilar el escandallo: gana por volumen, no por eficiencia.",IF($K27="Sleeper","Darle visibilidad: el margen está, falta que se pida.","Reformular la receta o retirarlo de la carta.")))),"")</f>
        <v/>
      </c>
    </row>
    <row r="28">
      <c r="A28" s="8" t="n">
        <v>24</v>
      </c>
      <c r="B28">
        <f>IFERROR(IF('Datos'!$B28="","",'Datos'!$B28),"")</f>
        <v/>
      </c>
      <c r="C28">
        <f>IFERROR(IF('Datos'!$C28="","",'Datos'!$C28),"")</f>
        <v/>
      </c>
      <c r="D28" s="8">
        <f>IFERROR(IF('Datos'!$D28="","",'Datos'!$D28),"")</f>
        <v/>
      </c>
      <c r="E28" s="14">
        <f>IFERROR(IF('Datos'!$H28="","",'Datos'!$H28),"")</f>
        <v/>
      </c>
      <c r="F28" s="14">
        <f>IFERROR(IF('Datos'!$O28="","",'Datos'!$O28),"")</f>
        <v/>
      </c>
      <c r="G28">
        <f>IFERROR(IF(OR($E28="",$F28=""),"",IF($E28&lt;=$F28,"Bajo","Alto")),"")</f>
        <v/>
      </c>
      <c r="H28" s="11">
        <f>IFERROR(IF('Datos'!$P28="","",'Datos'!$P28),"")</f>
        <v/>
      </c>
      <c r="I28" s="13">
        <f>IFERROR(IF('Datos'!$Q28="","",'Datos'!$Q28),"")</f>
        <v/>
      </c>
      <c r="J28">
        <f>IFERROR(IF(OR($H28="",$I28=""),"",IF($H28&gt;=$I28,"Alto","Bajo")),"")</f>
        <v/>
      </c>
      <c r="K28" s="15">
        <f>IFERROR(IF(OR($G28="",$J28=""),"",IF(AND($G28="Bajo",$J28="Alto"),"Prime",IF(AND($G28="Alto",$J28="Alto"),"Standard",IF(AND($G28="Bajo",$J28="Bajo"),"Sleeper","Problem")))),"")</f>
        <v/>
      </c>
      <c r="L28">
        <f>IFERROR(IF($K28="","",IF($K28="Prime","Food cost bajo y aporta mucho margen en euros al total.",IF($K28="Standard","Aporta mucho margen en euros pese a tener el food cost alto.",IF($K28="Sleeper","Food cost sano, pero aporta poco margen en euros al total.","Food cost alto y aporta poco margen en euros al total.")))),"")</f>
        <v/>
      </c>
      <c r="M28">
        <f>IFERROR(IF($K28="","",IF($K28="Prime","Mantener y promocionar: aquí está el dinero de la familia.",IF($K28="Standard","Vigilar el escandallo: gana por volumen, no por eficiencia.",IF($K28="Sleeper","Darle visibilidad: el margen está, falta que se pida.","Reformular la receta o retirarlo de la carta.")))),"")</f>
        <v/>
      </c>
    </row>
    <row r="29">
      <c r="A29" s="8" t="n">
        <v>25</v>
      </c>
      <c r="B29">
        <f>IFERROR(IF('Datos'!$B29="","",'Datos'!$B29),"")</f>
        <v/>
      </c>
      <c r="C29">
        <f>IFERROR(IF('Datos'!$C29="","",'Datos'!$C29),"")</f>
        <v/>
      </c>
      <c r="D29" s="8">
        <f>IFERROR(IF('Datos'!$D29="","",'Datos'!$D29),"")</f>
        <v/>
      </c>
      <c r="E29" s="14">
        <f>IFERROR(IF('Datos'!$H29="","",'Datos'!$H29),"")</f>
        <v/>
      </c>
      <c r="F29" s="14">
        <f>IFERROR(IF('Datos'!$O29="","",'Datos'!$O29),"")</f>
        <v/>
      </c>
      <c r="G29">
        <f>IFERROR(IF(OR($E29="",$F29=""),"",IF($E29&lt;=$F29,"Bajo","Alto")),"")</f>
        <v/>
      </c>
      <c r="H29" s="11">
        <f>IFERROR(IF('Datos'!$P29="","",'Datos'!$P29),"")</f>
        <v/>
      </c>
      <c r="I29" s="13">
        <f>IFERROR(IF('Datos'!$Q29="","",'Datos'!$Q29),"")</f>
        <v/>
      </c>
      <c r="J29">
        <f>IFERROR(IF(OR($H29="",$I29=""),"",IF($H29&gt;=$I29,"Alto","Bajo")),"")</f>
        <v/>
      </c>
      <c r="K29" s="15">
        <f>IFERROR(IF(OR($G29="",$J29=""),"",IF(AND($G29="Bajo",$J29="Alto"),"Prime",IF(AND($G29="Alto",$J29="Alto"),"Standard",IF(AND($G29="Bajo",$J29="Bajo"),"Sleeper","Problem")))),"")</f>
        <v/>
      </c>
      <c r="L29">
        <f>IFERROR(IF($K29="","",IF($K29="Prime","Food cost bajo y aporta mucho margen en euros al total.",IF($K29="Standard","Aporta mucho margen en euros pese a tener el food cost alto.",IF($K29="Sleeper","Food cost sano, pero aporta poco margen en euros al total.","Food cost alto y aporta poco margen en euros al total.")))),"")</f>
        <v/>
      </c>
      <c r="M29">
        <f>IFERROR(IF($K29="","",IF($K29="Prime","Mantener y promocionar: aquí está el dinero de la familia.",IF($K29="Standard","Vigilar el escandallo: gana por volumen, no por eficiencia.",IF($K29="Sleeper","Darle visibilidad: el margen está, falta que se pida.","Reformular la receta o retirarlo de la carta.")))),"")</f>
        <v/>
      </c>
    </row>
    <row r="30"/>
    <row r="31">
      <c r="A31" s="15" t="inlineStr">
        <is>
          <t>RESUMEN — lo calcula el libro</t>
        </is>
      </c>
    </row>
    <row r="32" ht="34" customHeight="1">
      <c r="B32" s="7" t="inlineStr">
        <is>
          <t>Clasificación</t>
        </is>
      </c>
      <c r="C32" s="7" t="inlineStr">
        <is>
          <t>Platos</t>
        </is>
      </c>
      <c r="D32" s="7" t="inlineStr">
        <is>
          <t>Uds vendidas</t>
        </is>
      </c>
      <c r="E32" s="7" t="inlineStr">
        <is>
          <t>% de las uds de la carta</t>
        </is>
      </c>
      <c r="F32" s="7" t="inlineStr">
        <is>
          <t>MC ponderado total del grupo (€)</t>
        </is>
      </c>
    </row>
    <row r="33">
      <c r="B33" s="15" t="inlineStr">
        <is>
          <t>Prime</t>
        </is>
      </c>
      <c r="C33" s="8">
        <f>COUNTIF($K$5:$K$29,$B33)</f>
        <v>7.0</v>
      </c>
      <c r="D33" s="8">
        <f>IFERROR(SUMIF($K$5:$K$29,$B33,$D$5:$D$29),"")</f>
        <v>2730.0</v>
      </c>
      <c r="E33" s="14">
        <f>IFERROR(IF(SUM($D$5:$D$29)=0,"",$D33/SUM($D$5:$D$29)),"")</f>
        <v>0.5605749486652978</v>
      </c>
      <c r="F33" s="13">
        <f>IFERROR(SUMIF($K$5:$K$29,$B33,$H$5:$H$29),"")</f>
        <v>21408.2</v>
      </c>
    </row>
    <row r="34">
      <c r="B34" s="15" t="inlineStr">
        <is>
          <t>Standard</t>
        </is>
      </c>
      <c r="C34" s="8">
        <f>COUNTIF($K$5:$K$29,$B34)</f>
        <v>3.0</v>
      </c>
      <c r="D34" s="8">
        <f>IFERROR(SUMIF($K$5:$K$29,$B34,$D$5:$D$29),"")</f>
        <v>860.0</v>
      </c>
      <c r="E34" s="14">
        <f>IFERROR(IF(SUM($D$5:$D$29)=0,"",$D34/SUM($D$5:$D$29)),"")</f>
        <v>0.17659137577002054</v>
      </c>
      <c r="F34" s="13">
        <f>IFERROR(SUMIF($K$5:$K$29,$B34,$H$5:$H$29),"")</f>
        <v>6508.0</v>
      </c>
    </row>
    <row r="35">
      <c r="B35" s="15" t="inlineStr">
        <is>
          <t>Sleeper</t>
        </is>
      </c>
      <c r="C35" s="8">
        <f>COUNTIF($K$5:$K$29,$B35)</f>
        <v>4.0</v>
      </c>
      <c r="D35" s="8">
        <f>IFERROR(SUMIF($K$5:$K$29,$B35,$D$5:$D$29),"")</f>
        <v>620.0</v>
      </c>
      <c r="E35" s="14">
        <f>IFERROR(IF(SUM($D$5:$D$29)=0,"",$D35/SUM($D$5:$D$29)),"")</f>
        <v>0.1273100616016427</v>
      </c>
      <c r="F35" s="13">
        <f>IFERROR(SUMIF($K$5:$K$29,$B35,$H$5:$H$29),"")</f>
        <v>3992.0</v>
      </c>
    </row>
    <row r="36">
      <c r="B36" s="15" t="inlineStr">
        <is>
          <t>Problem</t>
        </is>
      </c>
      <c r="C36" s="8">
        <f>COUNTIF($K$5:$K$29,$B36)</f>
        <v>6.0</v>
      </c>
      <c r="D36" s="8">
        <f>IFERROR(SUMIF($K$5:$K$29,$B36,$D$5:$D$29),"")</f>
        <v>660.0</v>
      </c>
      <c r="E36" s="14">
        <f>IFERROR(IF(SUM($D$5:$D$29)=0,"",$D36/SUM($D$5:$D$29)),"")</f>
        <v>0.13552361396303902</v>
      </c>
      <c r="F36" s="13">
        <f>IFERROR(SUMIF($K$5:$K$29,$B36,$H$5:$H$29),"")</f>
        <v>7830.0</v>
      </c>
    </row>
  </sheetData>
  <sheetProtection selectLockedCells="0" selectUnlockedCells="0" sheet="1" objects="0" insertRows="0" insertHyperlinks="1" autoFilter="1" scenarios="0" formatColumns="0" deleteColumns="1" insertColumns="1" pivotTables="1" deleteRows="1" formatCells="1" formatRows="0" sort="0"/>
  <conditionalFormatting sqref="K5:K29">
    <cfRule type="cellIs" priority="1" operator="equal" dxfId="0" stopIfTrue="1">
      <formula>"Prime"</formula>
    </cfRule>
    <cfRule type="cellIs" priority="2" operator="equal" dxfId="1" stopIfTrue="1">
      <formula>"Standard"</formula>
    </cfRule>
    <cfRule type="cellIs" priority="3" operator="equal" dxfId="3" stopIfTrue="1">
      <formula>"Sleeper"</formula>
    </cfRule>
    <cfRule type="cellIs" priority="4" operator="equal" dxfId="2" stopIfTrue="1">
      <formula>"Problem"</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2" customWidth="1" min="4" max="4"/>
    <col width="12" customWidth="1" min="5" max="5"/>
    <col width="12" customWidth="1" min="6" max="6"/>
    <col width="14" customWidth="1" min="7" max="7"/>
    <col width="13" customWidth="1" min="8" max="8"/>
    <col width="15" customWidth="1" min="9" max="9"/>
    <col width="15" customWidth="1" min="10" max="10"/>
    <col width="15" customWidth="1" min="11" max="11"/>
    <col width="22" customWidth="1" min="12" max="12"/>
    <col width="14" customWidth="1" min="13" max="13"/>
    <col width="62" customWidth="1" min="14" max="14"/>
  </cols>
  <sheetData>
    <row r="1">
      <c r="A1" s="1" t="inlineStr">
        <is>
          <t>Goal Value (Hayes &amp; Huffman) — el método que mete el personal</t>
        </is>
      </c>
    </row>
    <row r="2">
      <c r="A2" s="2" t="inlineStr">
        <is>
          <t>AI Chef Pro · aichef.pro — Guía Food Cost + Ingeniería de Menú</t>
        </is>
      </c>
    </row>
    <row r="3">
      <c r="E3" s="6" t="inlineStr">
        <is>
          <t>Goal Value = (1 − food cost %) × uds × PVP × (1 − (personal % + otros variables % + food cost %)) — el food cost pesa dos veces: es lo que separa a Goal Value de Pavesic y penaliza al plato caro de producir.</t>
        </is>
      </c>
    </row>
    <row r="4" ht="46" customHeight="1">
      <c r="A4" s="7" t="inlineStr">
        <is>
          <t>#</t>
        </is>
      </c>
      <c r="B4" s="7" t="inlineStr">
        <is>
          <t>Plato</t>
        </is>
      </c>
      <c r="C4" s="7" t="inlineStr">
        <is>
          <t>Familia</t>
        </is>
      </c>
      <c r="D4" s="7" t="inlineStr">
        <is>
          <t>Uds vendidas</t>
        </is>
      </c>
      <c r="E4" s="7" t="inlineStr">
        <is>
          <t>Food cost del plato (%)</t>
        </is>
      </c>
      <c r="F4" s="7" t="inlineStr">
        <is>
          <t>PVP sin IVA (€)</t>
        </is>
      </c>
      <c r="G4" s="7" t="inlineStr">
        <is>
          <t>Goal Value del plato</t>
        </is>
      </c>
      <c r="H4" s="7" t="inlineStr">
        <is>
          <t>Uds medias de su familia</t>
        </is>
      </c>
      <c r="I4" s="7" t="inlineStr">
        <is>
          <t>PVP medio ponderado de su familia (€)</t>
        </is>
      </c>
      <c r="J4" s="7" t="inlineStr">
        <is>
          <t>Food cost medio ponderado de su familia (%)</t>
        </is>
      </c>
      <c r="K4" s="7" t="inlineStr">
        <is>
          <t>Goal Value objetivo de su familia</t>
        </is>
      </c>
      <c r="L4" s="7" t="inlineStr">
        <is>
          <t>Lectura</t>
        </is>
      </c>
      <c r="M4" s="7" t="inlineStr">
        <is>
          <t>Distancia al objetivo (índice)</t>
        </is>
      </c>
      <c r="N4" s="7" t="inlineStr">
        <is>
          <t>Qué revisar</t>
        </is>
      </c>
    </row>
    <row r="5">
      <c r="A5" s="8" t="n">
        <v>1</v>
      </c>
      <c r="B5" t="str">
        <f>IFERROR(IF('Datos'!$B5="","",'Datos'!$B5),"")</f>
        <v>Croquetas de jamón ibérico (6 ud)</v>
      </c>
      <c r="C5" t="str">
        <f>IFERROR(IF('Datos'!$C5="","",'Datos'!$C5),"")</f>
        <v>Entrantes</v>
      </c>
      <c r="D5" s="8">
        <f>IFERROR(IF('Datos'!$D5="","",'Datos'!$D5),"")</f>
        <v>420.0</v>
      </c>
      <c r="E5" s="14">
        <f>IFERROR(IF('Datos'!$H5="","",'Datos'!$H5),"")</f>
        <v>0.24418604651162792</v>
      </c>
      <c r="F5" s="13">
        <f>IFERROR(IF('Datos'!$F5="","",'Datos'!$F5),"")</f>
        <v>8.6</v>
      </c>
      <c r="G5" s="22">
        <f>IFERROR(IF(OR($D5="",$E5="",$F5="",$D$33+$D$34+$E5&gt;=1),"",(1-$E5)*$D5*$F5*(1-($D$33+$D$34+$E5))),"")</f>
        <v>916.7720930232557</v>
      </c>
      <c r="H5" s="8">
        <f>IFERROR(IF(OR('Datos'!$K5="",'Datos'!$K5=0),"",'Datos'!$J5/'Datos'!$K5),"")</f>
        <v>247.14285714285714</v>
      </c>
      <c r="I5" s="13">
        <f>IFERROR(IF(OR('Datos'!$J5="",'Datos'!$J5=0),"",SUMPRODUCT(--('Datos'!$C$5:$C$29='Datos'!$C5),'Datos'!$D$5:$D$29,'Datos'!$F$5:$F$29)/'Datos'!$J5),"")</f>
        <v>10.772254335260115</v>
      </c>
      <c r="J5" s="14">
        <f>IFERROR(IF('Datos'!$O5="","",'Datos'!$O5),"")</f>
        <v>0.3071474565357373</v>
      </c>
      <c r="K5" s="23">
        <f>IFERROR(IF(OR($H5="",$I5="",$J5="",$D$33+$D$34+$J5&gt;=1),"",(1-$J5)*$H5*$I5*(1-($D$33+$D$34+$J5))),"")</f>
        <v>503.29600588722286</v>
      </c>
      <c r="L5" s="15" t="str">
        <f>IFERROR(IF(OR($G5="",$K5=""),"",IF($G5&gt;=$K5,"Por encima del objetivo","Por debajo del objetivo")),"")</f>
        <v>Por encima del objetivo</v>
      </c>
      <c r="M5" s="23">
        <f>IFERROR(IF(OR($G5="",$K5=""),"",$G5-$K5),"")</f>
        <v>413.47608713603285</v>
      </c>
      <c r="N5" t="str">
        <f>IFERROR(IF($L5="","",IF($L5="Por encima del objetivo","Cumple el objetivo de su familia: mantenlo y protégelo.",IF($E5&gt;$J5,"Su food cost está por encima de la media de la familia: baja coste o sube precio.",IF($D5&lt;$H5,"Vende menos que la media de su familia: es problema de carta y de sala, no de coste.","Su precio está por debajo de la media de su familia: revísalo antes de tocar la receta.")))),"")</f>
        <v>Cumple el objetivo de su familia: mantenlo y protégelo.</v>
      </c>
    </row>
    <row r="6">
      <c r="A6" s="8" t="n">
        <v>2</v>
      </c>
      <c r="B6" t="str">
        <f>IFERROR(IF('Datos'!$B6="","",'Datos'!$B6),"")</f>
        <v>Ensalada de tomate rosa, ventresca y cebolleta</v>
      </c>
      <c r="C6" t="str">
        <f>IFERROR(IF('Datos'!$C6="","",'Datos'!$C6),"")</f>
        <v>Entrantes</v>
      </c>
      <c r="D6" s="8">
        <f>IFERROR(IF('Datos'!$D6="","",'Datos'!$D6),"")</f>
        <v>310.0</v>
      </c>
      <c r="E6" s="14">
        <f>IFERROR(IF('Datos'!$H6="","",'Datos'!$H6),"")</f>
        <v>0.30508474576271183</v>
      </c>
      <c r="F6" s="13">
        <f>IFERROR(IF('Datos'!$F6="","",'Datos'!$F6),"")</f>
        <v>11.8</v>
      </c>
      <c r="G6" s="22">
        <f>IFERROR(IF(OR($D6="",$E6="",$F6="",$D$33+$D$34+$E6&gt;=1),"",(1-$E6)*$D6*$F6*(1-($D$33+$D$34+$E6))),"")</f>
        <v>698.8345762711865</v>
      </c>
      <c r="H6" s="8">
        <f>IFERROR(IF(OR('Datos'!$K6="",'Datos'!$K6=0),"",'Datos'!$J6/'Datos'!$K6),"")</f>
        <v>247.14285714285714</v>
      </c>
      <c r="I6" s="13">
        <f>IFERROR(IF(OR('Datos'!$J6="",'Datos'!$J6=0),"",SUMPRODUCT(--('Datos'!$C$5:$C$29='Datos'!$C6),'Datos'!$D$5:$D$29,'Datos'!$F$5:$F$29)/'Datos'!$J6),"")</f>
        <v>10.772254335260115</v>
      </c>
      <c r="J6" s="14">
        <f>IFERROR(IF('Datos'!$O6="","",'Datos'!$O6),"")</f>
        <v>0.3071474565357373</v>
      </c>
      <c r="K6" s="23">
        <f>IFERROR(IF(OR($H6="",$I6="",$J6="",$D$33+$D$34+$J6&gt;=1),"",(1-$J6)*$H6*$I6*(1-($D$33+$D$34+$J6))),"")</f>
        <v>503.29600588722286</v>
      </c>
      <c r="L6" s="15" t="str">
        <f>IFERROR(IF(OR($G6="",$K6=""),"",IF($G6&gt;=$K6,"Por encima del objetivo","Por debajo del objetivo")),"")</f>
        <v>Por encima del objetivo</v>
      </c>
      <c r="M6" s="23">
        <f>IFERROR(IF(OR($G6="",$K6=""),"",$G6-$K6),"")</f>
        <v>195.53857038396364</v>
      </c>
      <c r="N6" t="str">
        <f>IFERROR(IF($L6="","",IF($L6="Por encima del objetivo","Cumple el objetivo de su familia: mantenlo y protégelo.",IF($E6&gt;$J6,"Su food cost está por encima de la media de la familia: baja coste o sube precio.",IF($D6&lt;$H6,"Vende menos que la media de su familia: es problema de carta y de sala, no de coste.","Su precio está por debajo de la media de su familia: revísalo antes de tocar la receta.")))),"")</f>
        <v>Cumple el objetivo de su familia: mantenlo y protégelo.</v>
      </c>
    </row>
    <row r="7">
      <c r="A7" s="8" t="n">
        <v>3</v>
      </c>
      <c r="B7" t="str">
        <f>IFERROR(IF('Datos'!$B7="","",'Datos'!$B7),"")</f>
        <v>Gambas al ajillo</v>
      </c>
      <c r="C7" t="str">
        <f>IFERROR(IF('Datos'!$C7="","",'Datos'!$C7),"")</f>
        <v>Entrantes</v>
      </c>
      <c r="D7" s="8">
        <f>IFERROR(IF('Datos'!$D7="","",'Datos'!$D7),"")</f>
        <v>260.0</v>
      </c>
      <c r="E7" s="14">
        <f>IFERROR(IF('Datos'!$H7="","",'Datos'!$H7),"")</f>
        <v>0.44516129032258067</v>
      </c>
      <c r="F7" s="13">
        <f>IFERROR(IF('Datos'!$F7="","",'Datos'!$F7),"")</f>
        <v>15.5</v>
      </c>
      <c r="G7" s="22">
        <f>IFERROR(IF(OR($D7="",$E7="",$F7="",$D$33+$D$34+$E7&gt;=1),"",(1-$E7)*$D7*$F7*(1-($D$33+$D$34+$E7))),"")</f>
        <v>301.4993548387095</v>
      </c>
      <c r="H7" s="8">
        <f>IFERROR(IF(OR('Datos'!$K7="",'Datos'!$K7=0),"",'Datos'!$J7/'Datos'!$K7),"")</f>
        <v>247.14285714285714</v>
      </c>
      <c r="I7" s="13">
        <f>IFERROR(IF(OR('Datos'!$J7="",'Datos'!$J7=0),"",SUMPRODUCT(--('Datos'!$C$5:$C$29='Datos'!$C7),'Datos'!$D$5:$D$29,'Datos'!$F$5:$F$29)/'Datos'!$J7),"")</f>
        <v>10.772254335260115</v>
      </c>
      <c r="J7" s="14">
        <f>IFERROR(IF('Datos'!$O7="","",'Datos'!$O7),"")</f>
        <v>0.3071474565357373</v>
      </c>
      <c r="K7" s="23">
        <f>IFERROR(IF(OR($H7="",$I7="",$J7="",$D$33+$D$34+$J7&gt;=1),"",(1-$J7)*$H7*$I7*(1-($D$33+$D$34+$J7))),"")</f>
        <v>503.29600588722286</v>
      </c>
      <c r="L7" s="15" t="str">
        <f>IFERROR(IF(OR($G7="",$K7=""),"",IF($G7&gt;=$K7,"Por encima del objetivo","Por debajo del objetivo")),"")</f>
        <v>Por debajo del objetivo</v>
      </c>
      <c r="M7" s="23">
        <f>IFERROR(IF(OR($G7="",$K7=""),"",$G7-$K7),"")</f>
        <v>-201.79665104851335</v>
      </c>
      <c r="N7" t="str">
        <f>IFERROR(IF($L7="","",IF($L7="Por encima del objetivo","Cumple el objetivo de su familia: mantenlo y protégelo.",IF($E7&gt;$J7,"Su food cost está por encima de la media de la familia: baja coste o sube precio.",IF($D7&lt;$H7,"Vende menos que la media de su familia: es problema de carta y de sala, no de coste.","Su precio está por debajo de la media de su familia: revísalo antes de tocar la receta.")))),"")</f>
        <v>Su food cost está por encima de la media de la familia: baja coste o sube precio.</v>
      </c>
    </row>
    <row r="8">
      <c r="A8" s="8" t="n">
        <v>4</v>
      </c>
      <c r="B8" t="str">
        <f>IFERROR(IF('Datos'!$B8="","",'Datos'!$B8),"")</f>
        <v>Huevos rotos con patatas y chistorra</v>
      </c>
      <c r="C8" t="str">
        <f>IFERROR(IF('Datos'!$C8="","",'Datos'!$C8),"")</f>
        <v>Entrantes</v>
      </c>
      <c r="D8" s="8">
        <f>IFERROR(IF('Datos'!$D8="","",'Datos'!$D8),"")</f>
        <v>380.0</v>
      </c>
      <c r="E8" s="14">
        <f>IFERROR(IF('Datos'!$H8="","",'Datos'!$H8),"")</f>
        <v>0.24489795918367344</v>
      </c>
      <c r="F8" s="13">
        <f>IFERROR(IF('Datos'!$F8="","",'Datos'!$F8),"")</f>
        <v>9.8</v>
      </c>
      <c r="G8" s="22">
        <f>IFERROR(IF(OR($D8="",$E8="",$F8="",$D$33+$D$34+$E8&gt;=1),"",(1-$E8)*$D8*$F8*(1-($D$33+$D$34+$E8))),"")</f>
        <v>942.3069387755104</v>
      </c>
      <c r="H8" s="8">
        <f>IFERROR(IF(OR('Datos'!$K8="",'Datos'!$K8=0),"",'Datos'!$J8/'Datos'!$K8),"")</f>
        <v>247.14285714285714</v>
      </c>
      <c r="I8" s="13">
        <f>IFERROR(IF(OR('Datos'!$J8="",'Datos'!$J8=0),"",SUMPRODUCT(--('Datos'!$C$5:$C$29='Datos'!$C8),'Datos'!$D$5:$D$29,'Datos'!$F$5:$F$29)/'Datos'!$J8),"")</f>
        <v>10.772254335260115</v>
      </c>
      <c r="J8" s="14">
        <f>IFERROR(IF('Datos'!$O8="","",'Datos'!$O8),"")</f>
        <v>0.3071474565357373</v>
      </c>
      <c r="K8" s="23">
        <f>IFERROR(IF(OR($H8="",$I8="",$J8="",$D$33+$D$34+$J8&gt;=1),"",(1-$J8)*$H8*$I8*(1-($D$33+$D$34+$J8))),"")</f>
        <v>503.29600588722286</v>
      </c>
      <c r="L8" s="15" t="str">
        <f>IFERROR(IF(OR($G8="",$K8=""),"",IF($G8&gt;=$K8,"Por encima del objetivo","Por debajo del objetivo")),"")</f>
        <v>Por encima del objetivo</v>
      </c>
      <c r="M8" s="23">
        <f>IFERROR(IF(OR($G8="",$K8=""),"",$G8-$K8),"")</f>
        <v>439.0109328882875</v>
      </c>
      <c r="N8" t="str">
        <f>IFERROR(IF($L8="","",IF($L8="Por encima del objetivo","Cumple el objetivo de su familia: mantenlo y protégelo.",IF($E8&gt;$J8,"Su food cost está por encima de la media de la familia: baja coste o sube precio.",IF($D8&lt;$H8,"Vende menos que la media de su familia: es problema de carta y de sala, no de coste.","Su precio está por debajo de la media de su familia: revísalo antes de tocar la receta.")))),"")</f>
        <v>Cumple el objetivo de su familia: mantenlo y protégelo.</v>
      </c>
    </row>
    <row r="9">
      <c r="A9" s="8" t="n">
        <v>5</v>
      </c>
      <c r="B9" t="str">
        <f>IFERROR(IF('Datos'!$B9="","",'Datos'!$B9),"")</f>
        <v>Tabla de quesos de la zona</v>
      </c>
      <c r="C9" t="str">
        <f>IFERROR(IF('Datos'!$C9="","",'Datos'!$C9),"")</f>
        <v>Entrantes</v>
      </c>
      <c r="D9" s="8">
        <f>IFERROR(IF('Datos'!$D9="","",'Datos'!$D9),"")</f>
        <v>90.0</v>
      </c>
      <c r="E9" s="14">
        <f>IFERROR(IF('Datos'!$H9="","",'Datos'!$H9),"")</f>
        <v>0.3823529411764706</v>
      </c>
      <c r="F9" s="13">
        <f>IFERROR(IF('Datos'!$F9="","",'Datos'!$F9),"")</f>
        <v>13.6</v>
      </c>
      <c r="G9" s="22">
        <f>IFERROR(IF(OR($D9="",$E9="",$F9="",$D$33+$D$34+$E9&gt;=1),"",(1-$E9)*$D9*$F9*(1-($D$33+$D$34+$E9))),"")</f>
        <v>149.42117647058814</v>
      </c>
      <c r="H9" s="8">
        <f>IFERROR(IF(OR('Datos'!$K9="",'Datos'!$K9=0),"",'Datos'!$J9/'Datos'!$K9),"")</f>
        <v>247.14285714285714</v>
      </c>
      <c r="I9" s="13">
        <f>IFERROR(IF(OR('Datos'!$J9="",'Datos'!$J9=0),"",SUMPRODUCT(--('Datos'!$C$5:$C$29='Datos'!$C9),'Datos'!$D$5:$D$29,'Datos'!$F$5:$F$29)/'Datos'!$J9),"")</f>
        <v>10.772254335260115</v>
      </c>
      <c r="J9" s="14">
        <f>IFERROR(IF('Datos'!$O9="","",'Datos'!$O9),"")</f>
        <v>0.3071474565357373</v>
      </c>
      <c r="K9" s="23">
        <f>IFERROR(IF(OR($H9="",$I9="",$J9="",$D$33+$D$34+$J9&gt;=1),"",(1-$J9)*$H9*$I9*(1-($D$33+$D$34+$J9))),"")</f>
        <v>503.29600588722286</v>
      </c>
      <c r="L9" s="15" t="str">
        <f>IFERROR(IF(OR($G9="",$K9=""),"",IF($G9&gt;=$K9,"Por encima del objetivo","Por debajo del objetivo")),"")</f>
        <v>Por debajo del objetivo</v>
      </c>
      <c r="M9" s="23">
        <f>IFERROR(IF(OR($G9="",$K9=""),"",$G9-$K9),"")</f>
        <v>-353.8748294166347</v>
      </c>
      <c r="N9" t="str">
        <f>IFERROR(IF($L9="","",IF($L9="Por encima del objetivo","Cumple el objetivo de su familia: mantenlo y protégelo.",IF($E9&gt;$J9,"Su food cost está por encima de la media de la familia: baja coste o sube precio.",IF($D9&lt;$H9,"Vende menos que la media de su familia: es problema de carta y de sala, no de coste.","Su precio está por debajo de la media de su familia: revísalo antes de tocar la receta.")))),"")</f>
        <v>Su food cost está por encima de la media de la familia: baja coste o sube precio.</v>
      </c>
    </row>
    <row r="10">
      <c r="A10" s="8" t="n">
        <v>6</v>
      </c>
      <c r="B10" t="str">
        <f>IFERROR(IF('Datos'!$B10="","",'Datos'!$B10),"")</f>
        <v>Alcachofas confitadas con jamón</v>
      </c>
      <c r="C10" t="str">
        <f>IFERROR(IF('Datos'!$C10="","",'Datos'!$C10),"")</f>
        <v>Entrantes</v>
      </c>
      <c r="D10" s="8">
        <f>IFERROR(IF('Datos'!$D10="","",'Datos'!$D10),"")</f>
        <v>120.0</v>
      </c>
      <c r="E10" s="14">
        <f>IFERROR(IF('Datos'!$H10="","",'Datos'!$H10),"")</f>
        <v>0.28440366972477066</v>
      </c>
      <c r="F10" s="13">
        <f>IFERROR(IF('Datos'!$F10="","",'Datos'!$F10),"")</f>
        <v>10.9</v>
      </c>
      <c r="G10" s="22">
        <f>IFERROR(IF(OR($D10="",$E10="",$F10="",$D$33+$D$34+$E10&gt;=1),"",(1-$E10)*$D10*$F10*(1-($D$33+$D$34+$E10))),"")</f>
        <v>276.67816513761466</v>
      </c>
      <c r="H10" s="8">
        <f>IFERROR(IF(OR('Datos'!$K10="",'Datos'!$K10=0),"",'Datos'!$J10/'Datos'!$K10),"")</f>
        <v>247.14285714285714</v>
      </c>
      <c r="I10" s="13">
        <f>IFERROR(IF(OR('Datos'!$J10="",'Datos'!$J10=0),"",SUMPRODUCT(--('Datos'!$C$5:$C$29='Datos'!$C10),'Datos'!$D$5:$D$29,'Datos'!$F$5:$F$29)/'Datos'!$J10),"")</f>
        <v>10.772254335260115</v>
      </c>
      <c r="J10" s="14">
        <f>IFERROR(IF('Datos'!$O10="","",'Datos'!$O10),"")</f>
        <v>0.3071474565357373</v>
      </c>
      <c r="K10" s="23">
        <f>IFERROR(IF(OR($H10="",$I10="",$J10="",$D$33+$D$34+$J10&gt;=1),"",(1-$J10)*$H10*$I10*(1-($D$33+$D$34+$J10))),"")</f>
        <v>503.29600588722286</v>
      </c>
      <c r="L10" s="15" t="str">
        <f>IFERROR(IF(OR($G10="",$K10=""),"",IF($G10&gt;=$K10,"Por encima del objetivo","Por debajo del objetivo")),"")</f>
        <v>Por debajo del objetivo</v>
      </c>
      <c r="M10" s="23">
        <f>IFERROR(IF(OR($G10="",$K10=""),"",$G10-$K10),"")</f>
        <v>-226.6178407496082</v>
      </c>
      <c r="N10" t="str">
        <f>IFERROR(IF($L10="","",IF($L10="Por encima del objetivo","Cumple el objetivo de su familia: mantenlo y protégelo.",IF($E10&gt;$J10,"Su food cost está por encima de la media de la familia: baja coste o sube precio.",IF($D10&lt;$H10,"Vende menos que la media de su familia: es problema de carta y de sala, no de coste.","Su precio está por debajo de la media de su familia: revísalo antes de tocar la receta.")))),"")</f>
        <v>Vende menos que la media de su familia: es problema de carta y de sala, no de coste.</v>
      </c>
    </row>
    <row r="11">
      <c r="A11" s="8" t="n">
        <v>7</v>
      </c>
      <c r="B11" t="str">
        <f>IFERROR(IF('Datos'!$B11="","",'Datos'!$B11),"")</f>
        <v>Sopa de tomate asado con albahaca</v>
      </c>
      <c r="C11" t="str">
        <f>IFERROR(IF('Datos'!$C11="","",'Datos'!$C11),"")</f>
        <v>Entrantes</v>
      </c>
      <c r="D11" s="8">
        <f>IFERROR(IF('Datos'!$D11="","",'Datos'!$D11),"")</f>
        <v>150.0</v>
      </c>
      <c r="E11" s="14">
        <f>IFERROR(IF('Datos'!$H11="","",'Datos'!$H11),"")</f>
        <v>0.16666666666666666</v>
      </c>
      <c r="F11" s="13">
        <f>IFERROR(IF('Datos'!$F11="","",'Datos'!$F11),"")</f>
        <v>7.2</v>
      </c>
      <c r="G11" s="22">
        <f>IFERROR(IF(OR($D11="",$E11="",$F11="",$D$33+$D$34+$E11&gt;=1),"",(1-$E11)*$D11*$F11*(1-($D$33+$D$34+$E11))),"")</f>
        <v>372.0</v>
      </c>
      <c r="H11" s="8">
        <f>IFERROR(IF(OR('Datos'!$K11="",'Datos'!$K11=0),"",'Datos'!$J11/'Datos'!$K11),"")</f>
        <v>247.14285714285714</v>
      </c>
      <c r="I11" s="13">
        <f>IFERROR(IF(OR('Datos'!$J11="",'Datos'!$J11=0),"",SUMPRODUCT(--('Datos'!$C$5:$C$29='Datos'!$C11),'Datos'!$D$5:$D$29,'Datos'!$F$5:$F$29)/'Datos'!$J11),"")</f>
        <v>10.772254335260115</v>
      </c>
      <c r="J11" s="14">
        <f>IFERROR(IF('Datos'!$O11="","",'Datos'!$O11),"")</f>
        <v>0.3071474565357373</v>
      </c>
      <c r="K11" s="23">
        <f>IFERROR(IF(OR($H11="",$I11="",$J11="",$D$33+$D$34+$J11&gt;=1),"",(1-$J11)*$H11*$I11*(1-($D$33+$D$34+$J11))),"")</f>
        <v>503.29600588722286</v>
      </c>
      <c r="L11" s="15" t="str">
        <f>IFERROR(IF(OR($G11="",$K11=""),"",IF($G11&gt;=$K11,"Por encima del objetivo","Por debajo del objetivo")),"")</f>
        <v>Por debajo del objetivo</v>
      </c>
      <c r="M11" s="23">
        <f>IFERROR(IF(OR($G11="",$K11=""),"",$G11-$K11),"")</f>
        <v>-131.29600588722286</v>
      </c>
      <c r="N11" t="str">
        <f>IFERROR(IF($L11="","",IF($L11="Por encima del objetivo","Cumple el objetivo de su familia: mantenlo y protégelo.",IF($E11&gt;$J11,"Su food cost está por encima de la media de la familia: baja coste o sube precio.",IF($D11&lt;$H11,"Vende menos que la media de su familia: es problema de carta y de sala, no de coste.","Su precio está por debajo de la media de su familia: revísalo antes de tocar la receta.")))),"")</f>
        <v>Vende menos que la media de su familia: es problema de carta y de sala, no de coste.</v>
      </c>
    </row>
    <row r="12">
      <c r="A12" s="8" t="n">
        <v>8</v>
      </c>
      <c r="B12" t="str">
        <f>IFERROR(IF('Datos'!$B12="","",'Datos'!$B12),"")</f>
        <v>Solomillo de cerdo ibérico con puré de boniato</v>
      </c>
      <c r="C12" t="str">
        <f>IFERROR(IF('Datos'!$C12="","",'Datos'!$C12),"")</f>
        <v>Principales</v>
      </c>
      <c r="D12" s="8">
        <f>IFERROR(IF('Datos'!$D12="","",'Datos'!$D12),"")</f>
        <v>340.0</v>
      </c>
      <c r="E12" s="14">
        <f>IFERROR(IF('Datos'!$H12="","",'Datos'!$H12),"")</f>
        <v>0.32774566473988437</v>
      </c>
      <c r="F12" s="13">
        <f>IFERROR(IF('Datos'!$F12="","",'Datos'!$F12),"")</f>
        <v>17.3</v>
      </c>
      <c r="G12" s="22">
        <f>IFERROR(IF(OR($D12="",$E12="",$F12="",$D$33+$D$34+$E12&gt;=1),"",(1-$E12)*$D12*$F12*(1-($D$33+$D$34+$E12))),"")</f>
        <v>997.4640924855493</v>
      </c>
      <c r="H12" s="8">
        <f>IFERROR(IF(OR('Datos'!$K12="",'Datos'!$K12=0),"",'Datos'!$J12/'Datos'!$K12),"")</f>
        <v>224.44444444444446</v>
      </c>
      <c r="I12" s="13">
        <f>IFERROR(IF(OR('Datos'!$J12="",'Datos'!$J12=0),"",SUMPRODUCT(--('Datos'!$C$5:$C$29='Datos'!$C12),'Datos'!$D$5:$D$29,'Datos'!$F$5:$F$29)/'Datos'!$J12),"")</f>
        <v>16.75940594059406</v>
      </c>
      <c r="J12" s="14">
        <f>IFERROR(IF('Datos'!$O12="","",'Datos'!$O12),"")</f>
        <v>0.3558752289242039</v>
      </c>
      <c r="K12" s="23">
        <f>IFERROR(IF(OR($H12="",$I12="",$J12="",$D$33+$D$34+$J12&gt;=1),"",(1-$J12)*$H12*$I12*(1-($D$33+$D$34+$J12))),"")</f>
        <v>543.0343981147805</v>
      </c>
      <c r="L12" s="15" t="str">
        <f>IFERROR(IF(OR($G12="",$K12=""),"",IF($G12&gt;=$K12,"Por encima del objetivo","Por debajo del objetivo")),"")</f>
        <v>Por encima del objetivo</v>
      </c>
      <c r="M12" s="23">
        <f>IFERROR(IF(OR($G12="",$K12=""),"",$G12-$K12),"")</f>
        <v>454.42969437076874</v>
      </c>
      <c r="N12" t="str">
        <f>IFERROR(IF($L12="","",IF($L12="Por encima del objetivo","Cumple el objetivo de su familia: mantenlo y protégelo.",IF($E12&gt;$J12,"Su food cost está por encima de la media de la familia: baja coste o sube precio.",IF($D12&lt;$H12,"Vende menos que la media de su familia: es problema de carta y de sala, no de coste.","Su precio está por debajo de la media de su familia: revísalo antes de tocar la receta.")))),"")</f>
        <v>Cumple el objetivo de su familia: mantenlo y protégelo.</v>
      </c>
    </row>
    <row r="13">
      <c r="A13" s="8" t="n">
        <v>9</v>
      </c>
      <c r="B13" t="str">
        <f>IFERROR(IF('Datos'!$B13="","",'Datos'!$B13),"")</f>
        <v>Bacalao confitado al pil-pil</v>
      </c>
      <c r="C13" t="str">
        <f>IFERROR(IF('Datos'!$C13="","",'Datos'!$C13),"")</f>
        <v>Principales</v>
      </c>
      <c r="D13" s="8">
        <f>IFERROR(IF('Datos'!$D13="","",'Datos'!$D13),"")</f>
        <v>190.0</v>
      </c>
      <c r="E13" s="14">
        <f>IFERROR(IF('Datos'!$H13="","",'Datos'!$H13),"")</f>
        <v>0.38743455497382195</v>
      </c>
      <c r="F13" s="13">
        <f>IFERROR(IF('Datos'!$F13="","",'Datos'!$F13),"")</f>
        <v>19.1</v>
      </c>
      <c r="G13" s="22">
        <f>IFERROR(IF(OR($D13="",$E13="",$F13="",$D$33+$D$34+$E13&gt;=1),"",(1-$E13)*$D13*$F13*(1-($D$33+$D$34+$E13))),"")</f>
        <v>428.0729842931937</v>
      </c>
      <c r="H13" s="8">
        <f>IFERROR(IF(OR('Datos'!$K13="",'Datos'!$K13=0),"",'Datos'!$J13/'Datos'!$K13),"")</f>
        <v>224.44444444444446</v>
      </c>
      <c r="I13" s="13">
        <f>IFERROR(IF(OR('Datos'!$J13="",'Datos'!$J13=0),"",SUMPRODUCT(--('Datos'!$C$5:$C$29='Datos'!$C13),'Datos'!$D$5:$D$29,'Datos'!$F$5:$F$29)/'Datos'!$J13),"")</f>
        <v>16.75940594059406</v>
      </c>
      <c r="J13" s="14">
        <f>IFERROR(IF('Datos'!$O13="","",'Datos'!$O13),"")</f>
        <v>0.3558752289242039</v>
      </c>
      <c r="K13" s="23">
        <f>IFERROR(IF(OR($H13="",$I13="",$J13="",$D$33+$D$34+$J13&gt;=1),"",(1-$J13)*$H13*$I13*(1-($D$33+$D$34+$J13))),"")</f>
        <v>543.0343981147805</v>
      </c>
      <c r="L13" s="15" t="str">
        <f>IFERROR(IF(OR($G13="",$K13=""),"",IF($G13&gt;=$K13,"Por encima del objetivo","Por debajo del objetivo")),"")</f>
        <v>Por debajo del objetivo</v>
      </c>
      <c r="M13" s="23">
        <f>IFERROR(IF(OR($G13="",$K13=""),"",$G13-$K13),"")</f>
        <v>-114.9614138215868</v>
      </c>
      <c r="N13" t="str">
        <f>IFERROR(IF($L13="","",IF($L13="Por encima del objetivo","Cumple el objetivo de su familia: mantenlo y protégelo.",IF($E13&gt;$J13,"Su food cost está por encima de la media de la familia: baja coste o sube precio.",IF($D13&lt;$H13,"Vende menos que la media de su familia: es problema de carta y de sala, no de coste.","Su precio está por debajo de la media de su familia: revísalo antes de tocar la receta.")))),"")</f>
        <v>Su food cost está por encima de la media de la familia: baja coste o sube precio.</v>
      </c>
    </row>
    <row r="14">
      <c r="A14" s="8" t="n">
        <v>10</v>
      </c>
      <c r="B14" t="str">
        <f>IFERROR(IF('Datos'!$B14="","",'Datos'!$B14),"")</f>
        <v>Hamburguesa de vaca madurada con patatas</v>
      </c>
      <c r="C14" t="str">
        <f>IFERROR(IF('Datos'!$C14="","",'Datos'!$C14),"")</f>
        <v>Principales</v>
      </c>
      <c r="D14" s="8">
        <f>IFERROR(IF('Datos'!$D14="","",'Datos'!$D14),"")</f>
        <v>460.0</v>
      </c>
      <c r="E14" s="14">
        <f>IFERROR(IF('Datos'!$H14="","",'Datos'!$H14),"")</f>
        <v>0.3161764705882353</v>
      </c>
      <c r="F14" s="13">
        <f>IFERROR(IF('Datos'!$F14="","",'Datos'!$F14),"")</f>
        <v>13.6</v>
      </c>
      <c r="G14" s="22">
        <f>IFERROR(IF(OR($D14="",$E14="",$F14="",$D$33+$D$34+$E14&gt;=1),"",(1-$E14)*$D14*$F14*(1-($D$33+$D$34+$E14))),"")</f>
        <v>1128.6370588235293</v>
      </c>
      <c r="H14" s="8">
        <f>IFERROR(IF(OR('Datos'!$K14="",'Datos'!$K14=0),"",'Datos'!$J14/'Datos'!$K14),"")</f>
        <v>224.44444444444446</v>
      </c>
      <c r="I14" s="13">
        <f>IFERROR(IF(OR('Datos'!$J14="",'Datos'!$J14=0),"",SUMPRODUCT(--('Datos'!$C$5:$C$29='Datos'!$C14),'Datos'!$D$5:$D$29,'Datos'!$F$5:$F$29)/'Datos'!$J14),"")</f>
        <v>16.75940594059406</v>
      </c>
      <c r="J14" s="14">
        <f>IFERROR(IF('Datos'!$O14="","",'Datos'!$O14),"")</f>
        <v>0.3558752289242039</v>
      </c>
      <c r="K14" s="23">
        <f>IFERROR(IF(OR($H14="",$I14="",$J14="",$D$33+$D$34+$J14&gt;=1),"",(1-$J14)*$H14*$I14*(1-($D$33+$D$34+$J14))),"")</f>
        <v>543.0343981147805</v>
      </c>
      <c r="L14" s="15" t="str">
        <f>IFERROR(IF(OR($G14="",$K14=""),"",IF($G14&gt;=$K14,"Por encima del objetivo","Por debajo del objetivo")),"")</f>
        <v>Por encima del objetivo</v>
      </c>
      <c r="M14" s="23">
        <f>IFERROR(IF(OR($G14="",$K14=""),"",$G14-$K14),"")</f>
        <v>585.6026607087488</v>
      </c>
      <c r="N14" t="str">
        <f>IFERROR(IF($L14="","",IF($L14="Por encima del objetivo","Cumple el objetivo de su familia: mantenlo y protégelo.",IF($E14&gt;$J14,"Su food cost está por encima de la media de la familia: baja coste o sube precio.",IF($D14&lt;$H14,"Vende menos que la media de su familia: es problema de carta y de sala, no de coste.","Su precio está por debajo de la media de su familia: revísalo antes de tocar la receta.")))),"")</f>
        <v>Cumple el objetivo de su familia: mantenlo y protégelo.</v>
      </c>
    </row>
    <row r="15">
      <c r="A15" s="8" t="n">
        <v>11</v>
      </c>
      <c r="B15" t="str">
        <f>IFERROR(IF('Datos'!$B15="","",'Datos'!$B15),"")</f>
        <v>Arroz meloso de secreto ibérico y setas</v>
      </c>
      <c r="C15" t="str">
        <f>IFERROR(IF('Datos'!$C15="","",'Datos'!$C15),"")</f>
        <v>Principales</v>
      </c>
      <c r="D15" s="8">
        <f>IFERROR(IF('Datos'!$D15="","",'Datos'!$D15),"")</f>
        <v>270.0</v>
      </c>
      <c r="E15" s="14">
        <f>IFERROR(IF('Datos'!$H15="","",'Datos'!$H15),"")</f>
        <v>0.37804878048780494</v>
      </c>
      <c r="F15" s="13">
        <f>IFERROR(IF('Datos'!$F15="","",'Datos'!$F15),"")</f>
        <v>16.4</v>
      </c>
      <c r="G15" s="22">
        <f>IFERROR(IF(OR($D15="",$E15="",$F15="",$D$33+$D$34+$E15&gt;=1),"",(1-$E15)*$D15*$F15*(1-($D$33+$D$34+$E15))),"")</f>
        <v>556.1736585365852</v>
      </c>
      <c r="H15" s="8">
        <f>IFERROR(IF(OR('Datos'!$K15="",'Datos'!$K15=0),"",'Datos'!$J15/'Datos'!$K15),"")</f>
        <v>224.44444444444446</v>
      </c>
      <c r="I15" s="13">
        <f>IFERROR(IF(OR('Datos'!$J15="",'Datos'!$J15=0),"",SUMPRODUCT(--('Datos'!$C$5:$C$29='Datos'!$C15),'Datos'!$D$5:$D$29,'Datos'!$F$5:$F$29)/'Datos'!$J15),"")</f>
        <v>16.75940594059406</v>
      </c>
      <c r="J15" s="14">
        <f>IFERROR(IF('Datos'!$O15="","",'Datos'!$O15),"")</f>
        <v>0.3558752289242039</v>
      </c>
      <c r="K15" s="23">
        <f>IFERROR(IF(OR($H15="",$I15="",$J15="",$D$33+$D$34+$J15&gt;=1),"",(1-$J15)*$H15*$I15*(1-($D$33+$D$34+$J15))),"")</f>
        <v>543.0343981147805</v>
      </c>
      <c r="L15" s="15" t="str">
        <f>IFERROR(IF(OR($G15="",$K15=""),"",IF($G15&gt;=$K15,"Por encima del objetivo","Por debajo del objetivo")),"")</f>
        <v>Por encima del objetivo</v>
      </c>
      <c r="M15" s="23">
        <f>IFERROR(IF(OR($G15="",$K15=""),"",$G15-$K15),"")</f>
        <v>13.139260421804693</v>
      </c>
      <c r="N15" t="str">
        <f>IFERROR(IF($L15="","",IF($L15="Por encima del objetivo","Cumple el objetivo de su familia: mantenlo y protégelo.",IF($E15&gt;$J15,"Su food cost está por encima de la media de la familia: baja coste o sube precio.",IF($D15&lt;$H15,"Vende menos que la media de su familia: es problema de carta y de sala, no de coste.","Su precio está por debajo de la media de su familia: revísalo antes de tocar la receta.")))),"")</f>
        <v>Cumple el objetivo de su familia: mantenlo y protégelo.</v>
      </c>
    </row>
    <row r="16">
      <c r="A16" s="8" t="n">
        <v>12</v>
      </c>
      <c r="B16" t="str">
        <f>IFERROR(IF('Datos'!$B16="","",'Datos'!$B16),"")</f>
        <v>Chuletón de vaca madurada (500 g)</v>
      </c>
      <c r="C16" t="str">
        <f>IFERROR(IF('Datos'!$C16="","",'Datos'!$C16),"")</f>
        <v>Principales</v>
      </c>
      <c r="D16" s="8">
        <f>IFERROR(IF('Datos'!$D16="","",'Datos'!$D16),"")</f>
        <v>110.0</v>
      </c>
      <c r="E16" s="14">
        <f>IFERROR(IF('Datos'!$H16="","",'Datos'!$H16),"")</f>
        <v>0.4525993883792049</v>
      </c>
      <c r="F16" s="13">
        <f>IFERROR(IF('Datos'!$F16="","",'Datos'!$F16),"")</f>
        <v>32.7</v>
      </c>
      <c r="G16" s="22">
        <f>IFERROR(IF(OR($D16="",$E16="",$F16="",$D$33+$D$34+$E16&gt;=1),"",(1-$E16)*$D16*$F16*(1-($D$33+$D$34+$E16))),"")</f>
        <v>250.85180428134555</v>
      </c>
      <c r="H16" s="8">
        <f>IFERROR(IF(OR('Datos'!$K16="",'Datos'!$K16=0),"",'Datos'!$J16/'Datos'!$K16),"")</f>
        <v>224.44444444444446</v>
      </c>
      <c r="I16" s="13">
        <f>IFERROR(IF(OR('Datos'!$J16="",'Datos'!$J16=0),"",SUMPRODUCT(--('Datos'!$C$5:$C$29='Datos'!$C16),'Datos'!$D$5:$D$29,'Datos'!$F$5:$F$29)/'Datos'!$J16),"")</f>
        <v>16.75940594059406</v>
      </c>
      <c r="J16" s="14">
        <f>IFERROR(IF('Datos'!$O16="","",'Datos'!$O16),"")</f>
        <v>0.3558752289242039</v>
      </c>
      <c r="K16" s="23">
        <f>IFERROR(IF(OR($H16="",$I16="",$J16="",$D$33+$D$34+$J16&gt;=1),"",(1-$J16)*$H16*$I16*(1-($D$33+$D$34+$J16))),"")</f>
        <v>543.0343981147805</v>
      </c>
      <c r="L16" s="15" t="str">
        <f>IFERROR(IF(OR($G16="",$K16=""),"",IF($G16&gt;=$K16,"Por encima del objetivo","Por debajo del objetivo")),"")</f>
        <v>Por debajo del objetivo</v>
      </c>
      <c r="M16" s="23">
        <f>IFERROR(IF(OR($G16="",$K16=""),"",$G16-$K16),"")</f>
        <v>-292.18259383343496</v>
      </c>
      <c r="N16" t="str">
        <f>IFERROR(IF($L16="","",IF($L16="Por encima del objetivo","Cumple el objetivo de su familia: mantenlo y protégelo.",IF($E16&gt;$J16,"Su food cost está por encima de la media de la familia: baja coste o sube precio.",IF($D16&lt;$H16,"Vende menos que la media de su familia: es problema de carta y de sala, no de coste.","Su precio está por debajo de la media de su familia: revísalo antes de tocar la receta.")))),"")</f>
        <v>Su food cost está por encima de la media de la familia: baja coste o sube precio.</v>
      </c>
    </row>
    <row r="17">
      <c r="A17" s="8" t="n">
        <v>13</v>
      </c>
      <c r="B17" t="str">
        <f>IFERROR(IF('Datos'!$B17="","",'Datos'!$B17),"")</f>
        <v>Lubina a la sal</v>
      </c>
      <c r="C17" t="str">
        <f>IFERROR(IF('Datos'!$C17="","",'Datos'!$C17),"")</f>
        <v>Principales</v>
      </c>
      <c r="D17" s="8">
        <f>IFERROR(IF('Datos'!$D17="","",'Datos'!$D17),"")</f>
        <v>80.0</v>
      </c>
      <c r="E17" s="14">
        <f>IFERROR(IF('Datos'!$H17="","",'Datos'!$H17),"")</f>
        <v>0.40825688073394495</v>
      </c>
      <c r="F17" s="13">
        <f>IFERROR(IF('Datos'!$F17="","",'Datos'!$F17),"")</f>
        <v>21.8</v>
      </c>
      <c r="G17" s="22">
        <f>IFERROR(IF(OR($D17="",$E17="",$F17="",$D$33+$D$34+$E17&gt;=1),"",(1-$E17)*$D17*$F17*(1-($D$33+$D$34+$E17))),"")</f>
        <v>177.23889908256876</v>
      </c>
      <c r="H17" s="8">
        <f>IFERROR(IF(OR('Datos'!$K17="",'Datos'!$K17=0),"",'Datos'!$J17/'Datos'!$K17),"")</f>
        <v>224.44444444444446</v>
      </c>
      <c r="I17" s="13">
        <f>IFERROR(IF(OR('Datos'!$J17="",'Datos'!$J17=0),"",SUMPRODUCT(--('Datos'!$C$5:$C$29='Datos'!$C17),'Datos'!$D$5:$D$29,'Datos'!$F$5:$F$29)/'Datos'!$J17),"")</f>
        <v>16.75940594059406</v>
      </c>
      <c r="J17" s="14">
        <f>IFERROR(IF('Datos'!$O17="","",'Datos'!$O17),"")</f>
        <v>0.3558752289242039</v>
      </c>
      <c r="K17" s="23">
        <f>IFERROR(IF(OR($H17="",$I17="",$J17="",$D$33+$D$34+$J17&gt;=1),"",(1-$J17)*$H17*$I17*(1-($D$33+$D$34+$J17))),"")</f>
        <v>543.0343981147805</v>
      </c>
      <c r="L17" s="15" t="str">
        <f>IFERROR(IF(OR($G17="",$K17=""),"",IF($G17&gt;=$K17,"Por encima del objetivo","Por debajo del objetivo")),"")</f>
        <v>Por debajo del objetivo</v>
      </c>
      <c r="M17" s="23">
        <f>IFERROR(IF(OR($G17="",$K17=""),"",$G17-$K17),"")</f>
        <v>-365.79549903221175</v>
      </c>
      <c r="N17" t="str">
        <f>IFERROR(IF($L17="","",IF($L17="Por encima del objetivo","Cumple el objetivo de su familia: mantenlo y protégelo.",IF($E17&gt;$J17,"Su food cost está por encima de la media de la familia: baja coste o sube precio.",IF($D17&lt;$H17,"Vende menos que la media de su familia: es problema de carta y de sala, no de coste.","Su precio está por debajo de la media de su familia: revísalo antes de tocar la receta.")))),"")</f>
        <v>Su food cost está por encima de la media de la familia: baja coste o sube precio.</v>
      </c>
    </row>
    <row r="18">
      <c r="A18" s="8" t="n">
        <v>14</v>
      </c>
      <c r="B18" t="str">
        <f>IFERROR(IF('Datos'!$B18="","",'Datos'!$B18),"")</f>
        <v>Pollo de corral asado con patatas</v>
      </c>
      <c r="C18" t="str">
        <f>IFERROR(IF('Datos'!$C18="","",'Datos'!$C18),"")</f>
        <v>Principales</v>
      </c>
      <c r="D18" s="8">
        <f>IFERROR(IF('Datos'!$D18="","",'Datos'!$D18),"")</f>
        <v>300.0</v>
      </c>
      <c r="E18" s="14">
        <f>IFERROR(IF('Datos'!$H18="","",'Datos'!$H18),"")</f>
        <v>0.2913385826771654</v>
      </c>
      <c r="F18" s="13">
        <f>IFERROR(IF('Datos'!$F18="","",'Datos'!$F18),"")</f>
        <v>12.7</v>
      </c>
      <c r="G18" s="22">
        <f>IFERROR(IF(OR($D18="",$E18="",$F18="",$D$33+$D$34+$E18&gt;=1),"",(1-$E18)*$D18*$F18*(1-($D$33+$D$34+$E18))),"")</f>
        <v>779.3858267716532</v>
      </c>
      <c r="H18" s="8">
        <f>IFERROR(IF(OR('Datos'!$K18="",'Datos'!$K18=0),"",'Datos'!$J18/'Datos'!$K18),"")</f>
        <v>224.44444444444446</v>
      </c>
      <c r="I18" s="13">
        <f>IFERROR(IF(OR('Datos'!$J18="",'Datos'!$J18=0),"",SUMPRODUCT(--('Datos'!$C$5:$C$29='Datos'!$C18),'Datos'!$D$5:$D$29,'Datos'!$F$5:$F$29)/'Datos'!$J18),"")</f>
        <v>16.75940594059406</v>
      </c>
      <c r="J18" s="14">
        <f>IFERROR(IF('Datos'!$O18="","",'Datos'!$O18),"")</f>
        <v>0.3558752289242039</v>
      </c>
      <c r="K18" s="23">
        <f>IFERROR(IF(OR($H18="",$I18="",$J18="",$D$33+$D$34+$J18&gt;=1),"",(1-$J18)*$H18*$I18*(1-($D$33+$D$34+$J18))),"")</f>
        <v>543.0343981147805</v>
      </c>
      <c r="L18" s="15" t="str">
        <f>IFERROR(IF(OR($G18="",$K18=""),"",IF($G18&gt;=$K18,"Por encima del objetivo","Por debajo del objetivo")),"")</f>
        <v>Por encima del objetivo</v>
      </c>
      <c r="M18" s="23">
        <f>IFERROR(IF(OR($G18="",$K18=""),"",$G18-$K18),"")</f>
        <v>236.3514286568727</v>
      </c>
      <c r="N18" t="str">
        <f>IFERROR(IF($L18="","",IF($L18="Por encima del objetivo","Cumple el objetivo de su familia: mantenlo y protégelo.",IF($E18&gt;$J18,"Su food cost está por encima de la media de la familia: baja coste o sube precio.",IF($D18&lt;$H18,"Vende menos que la media de su familia: es problema de carta y de sala, no de coste.","Su precio está por debajo de la media de su familia: revísalo antes de tocar la receta.")))),"")</f>
        <v>Cumple el objetivo de su familia: mantenlo y protégelo.</v>
      </c>
    </row>
    <row r="19">
      <c r="A19" s="8" t="n">
        <v>15</v>
      </c>
      <c r="B19" t="str">
        <f>IFERROR(IF('Datos'!$B19="","",'Datos'!$B19),"")</f>
        <v>Lasaña de verduras de temporada</v>
      </c>
      <c r="C19" t="str">
        <f>IFERROR(IF('Datos'!$C19="","",'Datos'!$C19),"")</f>
        <v>Principales</v>
      </c>
      <c r="D19" s="8">
        <f>IFERROR(IF('Datos'!$D19="","",'Datos'!$D19),"")</f>
        <v>140.0</v>
      </c>
      <c r="E19" s="14">
        <f>IFERROR(IF('Datos'!$H19="","",'Datos'!$H19),"")</f>
        <v>0.22807017543859648</v>
      </c>
      <c r="F19" s="13">
        <f>IFERROR(IF('Datos'!$F19="","",'Datos'!$F19),"")</f>
        <v>11.4</v>
      </c>
      <c r="G19" s="22">
        <f>IFERROR(IF(OR($D19="",$E19="",$F19="",$D$33+$D$34+$E19&gt;=1),"",(1-$E19)*$D19*$F19*(1-($D$33+$D$34+$E19))),"")</f>
        <v>433.57754385964915</v>
      </c>
      <c r="H19" s="8">
        <f>IFERROR(IF(OR('Datos'!$K19="",'Datos'!$K19=0),"",'Datos'!$J19/'Datos'!$K19),"")</f>
        <v>224.44444444444446</v>
      </c>
      <c r="I19" s="13">
        <f>IFERROR(IF(OR('Datos'!$J19="",'Datos'!$J19=0),"",SUMPRODUCT(--('Datos'!$C$5:$C$29='Datos'!$C19),'Datos'!$D$5:$D$29,'Datos'!$F$5:$F$29)/'Datos'!$J19),"")</f>
        <v>16.75940594059406</v>
      </c>
      <c r="J19" s="14">
        <f>IFERROR(IF('Datos'!$O19="","",'Datos'!$O19),"")</f>
        <v>0.3558752289242039</v>
      </c>
      <c r="K19" s="23">
        <f>IFERROR(IF(OR($H19="",$I19="",$J19="",$D$33+$D$34+$J19&gt;=1),"",(1-$J19)*$H19*$I19*(1-($D$33+$D$34+$J19))),"")</f>
        <v>543.0343981147805</v>
      </c>
      <c r="L19" s="15" t="str">
        <f>IFERROR(IF(OR($G19="",$K19=""),"",IF($G19&gt;=$K19,"Por encima del objetivo","Por debajo del objetivo")),"")</f>
        <v>Por debajo del objetivo</v>
      </c>
      <c r="M19" s="23">
        <f>IFERROR(IF(OR($G19="",$K19=""),"",$G19-$K19),"")</f>
        <v>-109.45685425513136</v>
      </c>
      <c r="N19" t="str">
        <f>IFERROR(IF($L19="","",IF($L19="Por encima del objetivo","Cumple el objetivo de su familia: mantenlo y protégelo.",IF($E19&gt;$J19,"Su food cost está por encima de la media de la familia: baja coste o sube precio.",IF($D19&lt;$H19,"Vende menos que la media de su familia: es problema de carta y de sala, no de coste.","Su precio está por debajo de la media de su familia: revísalo antes de tocar la receta.")))),"")</f>
        <v>Vende menos que la media de su familia: es problema de carta y de sala, no de coste.</v>
      </c>
    </row>
    <row r="20">
      <c r="A20" s="8" t="n">
        <v>16</v>
      </c>
      <c r="B20" t="str">
        <f>IFERROR(IF('Datos'!$B20="","",'Datos'!$B20),"")</f>
        <v>Tataki de atún rojo con sésamo</v>
      </c>
      <c r="C20" t="str">
        <f>IFERROR(IF('Datos'!$C20="","",'Datos'!$C20),"")</f>
        <v>Principales</v>
      </c>
      <c r="D20" s="8">
        <f>IFERROR(IF('Datos'!$D20="","",'Datos'!$D20),"")</f>
        <v>130.0</v>
      </c>
      <c r="E20" s="14">
        <f>IFERROR(IF('Datos'!$H20="","",'Datos'!$H20),"")</f>
        <v>0.4285714285714286</v>
      </c>
      <c r="F20" s="13">
        <f>IFERROR(IF('Datos'!$F20="","",'Datos'!$F20),"")</f>
        <v>22.4</v>
      </c>
      <c r="G20" s="22">
        <f>IFERROR(IF(OR($D20="",$E20="",$F20="",$D$33+$D$34+$E20&gt;=1),"",(1-$E20)*$D20*$F20*(1-($D$33+$D$34+$E20))),"")</f>
        <v>251.9771428571427</v>
      </c>
      <c r="H20" s="8">
        <f>IFERROR(IF(OR('Datos'!$K20="",'Datos'!$K20=0),"",'Datos'!$J20/'Datos'!$K20),"")</f>
        <v>224.44444444444446</v>
      </c>
      <c r="I20" s="13">
        <f>IFERROR(IF(OR('Datos'!$J20="",'Datos'!$J20=0),"",SUMPRODUCT(--('Datos'!$C$5:$C$29='Datos'!$C20),'Datos'!$D$5:$D$29,'Datos'!$F$5:$F$29)/'Datos'!$J20),"")</f>
        <v>16.75940594059406</v>
      </c>
      <c r="J20" s="14">
        <f>IFERROR(IF('Datos'!$O20="","",'Datos'!$O20),"")</f>
        <v>0.3558752289242039</v>
      </c>
      <c r="K20" s="23">
        <f>IFERROR(IF(OR($H20="",$I20="",$J20="",$D$33+$D$34+$J20&gt;=1),"",(1-$J20)*$H20*$I20*(1-($D$33+$D$34+$J20))),"")</f>
        <v>543.0343981147805</v>
      </c>
      <c r="L20" s="15" t="str">
        <f>IFERROR(IF(OR($G20="",$K20=""),"",IF($G20&gt;=$K20,"Por encima del objetivo","Por debajo del objetivo")),"")</f>
        <v>Por debajo del objetivo</v>
      </c>
      <c r="M20" s="23">
        <f>IFERROR(IF(OR($G20="",$K20=""),"",$G20-$K20),"")</f>
        <v>-291.05725525763785</v>
      </c>
      <c r="N20" t="str">
        <f>IFERROR(IF($L20="","",IF($L20="Por encima del objetivo","Cumple el objetivo de su familia: mantenlo y protégelo.",IF($E20&gt;$J20,"Su food cost está por encima de la media de la familia: baja coste o sube precio.",IF($D20&lt;$H20,"Vende menos que la media de su familia: es problema de carta y de sala, no de coste.","Su precio está por debajo de la media de su familia: revísalo antes de tocar la receta.")))),"")</f>
        <v>Su food cost está por encima de la media de la familia: baja coste o sube precio.</v>
      </c>
    </row>
    <row r="21">
      <c r="A21" s="8" t="n">
        <v>17</v>
      </c>
      <c r="B21" t="str">
        <f>IFERROR(IF('Datos'!$B21="","",'Datos'!$B21),"")</f>
        <v>Tarta de queso cremosa</v>
      </c>
      <c r="C21" t="str">
        <f>IFERROR(IF('Datos'!$C21="","",'Datos'!$C21),"")</f>
        <v>Postres</v>
      </c>
      <c r="D21" s="8">
        <f>IFERROR(IF('Datos'!$D21="","",'Datos'!$D21),"")</f>
        <v>520.0</v>
      </c>
      <c r="E21" s="14">
        <f>IFERROR(IF('Datos'!$H21="","",'Datos'!$H21),"")</f>
        <v>0.22033898305084745</v>
      </c>
      <c r="F21" s="13">
        <f>IFERROR(IF('Datos'!$F21="","",'Datos'!$F21),"")</f>
        <v>5.9</v>
      </c>
      <c r="G21" s="22">
        <f>IFERROR(IF(OR($D21="",$E21="",$F21="",$D$33+$D$34+$E21&gt;=1),"",(1-$E21)*$D21*$F21*(1-($D$33+$D$34+$E21))),"")</f>
        <v>860.309152542373</v>
      </c>
      <c r="H21" s="8">
        <f>IFERROR(IF(OR('Datos'!$K21="",'Datos'!$K21=0),"",'Datos'!$J21/'Datos'!$K21),"")</f>
        <v>280.0</v>
      </c>
      <c r="I21" s="13">
        <f>IFERROR(IF(OR('Datos'!$J21="",'Datos'!$J21=0),"",SUMPRODUCT(--('Datos'!$C$5:$C$29='Datos'!$C21),'Datos'!$D$5:$D$29,'Datos'!$F$5:$F$29)/'Datos'!$J21),"")</f>
        <v>5.838392857142857</v>
      </c>
      <c r="J21" s="14">
        <f>IFERROR(IF('Datos'!$O21="","",'Datos'!$O21),"")</f>
        <v>0.2322985165927512</v>
      </c>
      <c r="K21" s="23">
        <f>IFERROR(IF(OR($H21="",$I21="",$J21="",$D$33+$D$34+$J21&gt;=1),"",(1-$J21)*$H21*$I21*(1-($D$33+$D$34+$J21))),"")</f>
        <v>436.3653616760971</v>
      </c>
      <c r="L21" s="15" t="str">
        <f>IFERROR(IF(OR($G21="",$K21=""),"",IF($G21&gt;=$K21,"Por encima del objetivo","Por debajo del objetivo")),"")</f>
        <v>Por encima del objetivo</v>
      </c>
      <c r="M21" s="23">
        <f>IFERROR(IF(OR($G21="",$K21=""),"",$G21-$K21),"")</f>
        <v>423.9437908662759</v>
      </c>
      <c r="N21" t="str">
        <f>IFERROR(IF($L21="","",IF($L21="Por encima del objetivo","Cumple el objetivo de su familia: mantenlo y protégelo.",IF($E21&gt;$J21,"Su food cost está por encima de la media de la familia: baja coste o sube precio.",IF($D21&lt;$H21,"Vende menos que la media de su familia: es problema de carta y de sala, no de coste.","Su precio está por debajo de la media de su familia: revísalo antes de tocar la receta.")))),"")</f>
        <v>Cumple el objetivo de su familia: mantenlo y protégelo.</v>
      </c>
    </row>
    <row r="22">
      <c r="A22" s="8" t="n">
        <v>18</v>
      </c>
      <c r="B22" t="str">
        <f>IFERROR(IF('Datos'!$B22="","",'Datos'!$B22),"")</f>
        <v>Torrija caramelizada con helado</v>
      </c>
      <c r="C22" t="str">
        <f>IFERROR(IF('Datos'!$C22="","",'Datos'!$C22),"")</f>
        <v>Postres</v>
      </c>
      <c r="D22" s="8">
        <f>IFERROR(IF('Datos'!$D22="","",'Datos'!$D22),"")</f>
        <v>210.0</v>
      </c>
      <c r="E22" s="14">
        <f>IFERROR(IF('Datos'!$H22="","",'Datos'!$H22),"")</f>
        <v>0.2</v>
      </c>
      <c r="F22" s="13">
        <f>IFERROR(IF('Datos'!$F22="","",'Datos'!$F22),"")</f>
        <v>5.5</v>
      </c>
      <c r="G22" s="22">
        <f>IFERROR(IF(OR($D22="",$E22="",$F22="",$D$33+$D$34+$E22&gt;=1),"",(1-$E22)*$D22*$F22*(1-($D$33+$D$34+$E22))),"")</f>
        <v>351.1199999999999</v>
      </c>
      <c r="H22" s="8">
        <f>IFERROR(IF(OR('Datos'!$K22="",'Datos'!$K22=0),"",'Datos'!$J22/'Datos'!$K22),"")</f>
        <v>280.0</v>
      </c>
      <c r="I22" s="13">
        <f>IFERROR(IF(OR('Datos'!$J22="",'Datos'!$J22=0),"",SUMPRODUCT(--('Datos'!$C$5:$C$29='Datos'!$C22),'Datos'!$D$5:$D$29,'Datos'!$F$5:$F$29)/'Datos'!$J22),"")</f>
        <v>5.838392857142857</v>
      </c>
      <c r="J22" s="14">
        <f>IFERROR(IF('Datos'!$O22="","",'Datos'!$O22),"")</f>
        <v>0.2322985165927512</v>
      </c>
      <c r="K22" s="23">
        <f>IFERROR(IF(OR($H22="",$I22="",$J22="",$D$33+$D$34+$J22&gt;=1),"",(1-$J22)*$H22*$I22*(1-($D$33+$D$34+$J22))),"")</f>
        <v>436.3653616760971</v>
      </c>
      <c r="L22" s="15" t="str">
        <f>IFERROR(IF(OR($G22="",$K22=""),"",IF($G22&gt;=$K22,"Por encima del objetivo","Por debajo del objetivo")),"")</f>
        <v>Por debajo del objetivo</v>
      </c>
      <c r="M22" s="23">
        <f>IFERROR(IF(OR($G22="",$K22=""),"",$G22-$K22),"")</f>
        <v>-85.24536167609722</v>
      </c>
      <c r="N22" t="str">
        <f>IFERROR(IF($L22="","",IF($L22="Por encima del objetivo","Cumple el objetivo de su familia: mantenlo y protégelo.",IF($E22&gt;$J22,"Su food cost está por encima de la media de la familia: baja coste o sube precio.",IF($D22&lt;$H22,"Vende menos que la media de su familia: es problema de carta y de sala, no de coste.","Su precio está por debajo de la media de su familia: revísalo antes de tocar la receta.")))),"")</f>
        <v>Vende menos que la media de su familia: es problema de carta y de sala, no de coste.</v>
      </c>
    </row>
    <row r="23">
      <c r="A23" s="8" t="n">
        <v>19</v>
      </c>
      <c r="B23" t="str">
        <f>IFERROR(IF('Datos'!$B23="","",'Datos'!$B23),"")</f>
        <v>Coulant de chocolate</v>
      </c>
      <c r="C23" t="str">
        <f>IFERROR(IF('Datos'!$C23="","",'Datos'!$C23),"")</f>
        <v>Postres</v>
      </c>
      <c r="D23" s="8">
        <f>IFERROR(IF('Datos'!$D23="","",'Datos'!$D23),"")</f>
        <v>330.0</v>
      </c>
      <c r="E23" s="14">
        <f>IFERROR(IF('Datos'!$H23="","",'Datos'!$H23),"")</f>
        <v>0.25806451612903225</v>
      </c>
      <c r="F23" s="13">
        <f>IFERROR(IF('Datos'!$F23="","",'Datos'!$F23),"")</f>
        <v>6.2</v>
      </c>
      <c r="G23" s="22">
        <f>IFERROR(IF(OR($D23="",$E23="",$F23="",$D$33+$D$34+$E23&gt;=1),"",(1-$E23)*$D23*$F23*(1-($D$33+$D$34+$E23))),"")</f>
        <v>488.69806451612897</v>
      </c>
      <c r="H23" s="8">
        <f>IFERROR(IF(OR('Datos'!$K23="",'Datos'!$K23=0),"",'Datos'!$J23/'Datos'!$K23),"")</f>
        <v>280.0</v>
      </c>
      <c r="I23" s="13">
        <f>IFERROR(IF(OR('Datos'!$J23="",'Datos'!$J23=0),"",SUMPRODUCT(--('Datos'!$C$5:$C$29='Datos'!$C23),'Datos'!$D$5:$D$29,'Datos'!$F$5:$F$29)/'Datos'!$J23),"")</f>
        <v>5.838392857142857</v>
      </c>
      <c r="J23" s="14">
        <f>IFERROR(IF('Datos'!$O23="","",'Datos'!$O23),"")</f>
        <v>0.2322985165927512</v>
      </c>
      <c r="K23" s="23">
        <f>IFERROR(IF(OR($H23="",$I23="",$J23="",$D$33+$D$34+$J23&gt;=1),"",(1-$J23)*$H23*$I23*(1-($D$33+$D$34+$J23))),"")</f>
        <v>436.3653616760971</v>
      </c>
      <c r="L23" s="15" t="str">
        <f>IFERROR(IF(OR($G23="",$K23=""),"",IF($G23&gt;=$K23,"Por encima del objetivo","Por debajo del objetivo")),"")</f>
        <v>Por encima del objetivo</v>
      </c>
      <c r="M23" s="23">
        <f>IFERROR(IF(OR($G23="",$K23=""),"",$G23-$K23),"")</f>
        <v>52.33270284003186</v>
      </c>
      <c r="N23" t="str">
        <f>IFERROR(IF($L23="","",IF($L23="Por encima del objetivo","Cumple el objetivo de su familia: mantenlo y protégelo.",IF($E23&gt;$J23,"Su food cost está por encima de la media de la familia: baja coste o sube precio.",IF($D23&lt;$H23,"Vende menos que la media de su familia: es problema de carta y de sala, no de coste.","Su precio está por debajo de la media de su familia: revísalo antes de tocar la receta.")))),"")</f>
        <v>Cumple el objetivo de su familia: mantenlo y protégelo.</v>
      </c>
    </row>
    <row r="24">
      <c r="A24" s="8" t="n">
        <v>20</v>
      </c>
      <c r="B24" t="str">
        <f>IFERROR(IF('Datos'!$B24="","",'Datos'!$B24),"")</f>
        <v>Fruta de temporada preparada</v>
      </c>
      <c r="C24" t="str">
        <f>IFERROR(IF('Datos'!$C24="","",'Datos'!$C24),"")</f>
        <v>Postres</v>
      </c>
      <c r="D24" s="8">
        <f>IFERROR(IF('Datos'!$D24="","",'Datos'!$D24),"")</f>
        <v>60.0</v>
      </c>
      <c r="E24" s="14">
        <f>IFERROR(IF('Datos'!$H24="","",'Datos'!$H24),"")</f>
        <v>0.3111111111111111</v>
      </c>
      <c r="F24" s="13">
        <f>IFERROR(IF('Datos'!$F24="","",'Datos'!$F24),"")</f>
        <v>4.5</v>
      </c>
      <c r="G24" s="22">
        <f>IFERROR(IF(OR($D24="",$E24="",$F24="",$D$33+$D$34+$E24&gt;=1),"",(1-$E24)*$D24*$F24*(1-($D$33+$D$34+$E24))),"")</f>
        <v>50.01333333333333</v>
      </c>
      <c r="H24" s="8">
        <f>IFERROR(IF(OR('Datos'!$K24="",'Datos'!$K24=0),"",'Datos'!$J24/'Datos'!$K24),"")</f>
        <v>280.0</v>
      </c>
      <c r="I24" s="13">
        <f>IFERROR(IF(OR('Datos'!$J24="",'Datos'!$J24=0),"",SUMPRODUCT(--('Datos'!$C$5:$C$29='Datos'!$C24),'Datos'!$D$5:$D$29,'Datos'!$F$5:$F$29)/'Datos'!$J24),"")</f>
        <v>5.838392857142857</v>
      </c>
      <c r="J24" s="14">
        <f>IFERROR(IF('Datos'!$O24="","",'Datos'!$O24),"")</f>
        <v>0.2322985165927512</v>
      </c>
      <c r="K24" s="23">
        <f>IFERROR(IF(OR($H24="",$I24="",$J24="",$D$33+$D$34+$J24&gt;=1),"",(1-$J24)*$H24*$I24*(1-($D$33+$D$34+$J24))),"")</f>
        <v>436.3653616760971</v>
      </c>
      <c r="L24" s="15" t="str">
        <f>IFERROR(IF(OR($G24="",$K24=""),"",IF($G24&gt;=$K24,"Por encima del objetivo","Por debajo del objetivo")),"")</f>
        <v>Por debajo del objetivo</v>
      </c>
      <c r="M24" s="23">
        <f>IFERROR(IF(OR($G24="",$K24=""),"",$G24-$K24),"")</f>
        <v>-386.3520283427638</v>
      </c>
      <c r="N24" t="str">
        <f>IFERROR(IF($L24="","",IF($L24="Por encima del objetivo","Cumple el objetivo de su familia: mantenlo y protégelo.",IF($E24&gt;$J24,"Su food cost está por encima de la media de la familia: baja coste o sube precio.",IF($D24&lt;$H24,"Vende menos que la media de su familia: es problema de carta y de sala, no de coste.","Su precio está por debajo de la media de su familia: revísalo antes de tocar la receta.")))),"")</f>
        <v>Su food cost está por encima de la media de la familia: baja coste o sube precio.</v>
      </c>
    </row>
    <row r="25">
      <c r="A25" s="8" t="n">
        <v>21</v>
      </c>
      <c r="B25">
        <f>IFERROR(IF('Datos'!$B25="","",'Datos'!$B25),"")</f>
        <v/>
      </c>
      <c r="C25">
        <f>IFERROR(IF('Datos'!$C25="","",'Datos'!$C25),"")</f>
        <v/>
      </c>
      <c r="D25" s="8">
        <f>IFERROR(IF('Datos'!$D25="","",'Datos'!$D25),"")</f>
        <v/>
      </c>
      <c r="E25" s="14">
        <f>IFERROR(IF('Datos'!$H25="","",'Datos'!$H25),"")</f>
        <v/>
      </c>
      <c r="F25" s="13">
        <f>IFERROR(IF('Datos'!$F25="","",'Datos'!$F25),"")</f>
        <v/>
      </c>
      <c r="G25" s="22">
        <f>IFERROR(IF(OR($D25="",$E25="",$F25="",$D$33+$D$34+$E25&gt;=1),"",(1-$E25)*$D25*$F25*(1-($D$33+$D$34+$E25))),"")</f>
        <v/>
      </c>
      <c r="H25" s="8">
        <f>IFERROR(IF(OR('Datos'!$K25="",'Datos'!$K25=0),"",'Datos'!$J25/'Datos'!$K25),"")</f>
        <v/>
      </c>
      <c r="I25" s="13">
        <f>IFERROR(IF(OR('Datos'!$J25="",'Datos'!$J25=0),"",SUMPRODUCT(--('Datos'!$C$5:$C$29='Datos'!$C25),'Datos'!$D$5:$D$29,'Datos'!$F$5:$F$29)/'Datos'!$J25),"")</f>
        <v/>
      </c>
      <c r="J25" s="14">
        <f>IFERROR(IF('Datos'!$O25="","",'Datos'!$O25),"")</f>
        <v/>
      </c>
      <c r="K25" s="23">
        <f>IFERROR(IF(OR($H25="",$I25="",$J25="",$D$33+$D$34+$J25&gt;=1),"",(1-$J25)*$H25*$I25*(1-($D$33+$D$34+$J25))),"")</f>
        <v/>
      </c>
      <c r="L25" s="15">
        <f>IFERROR(IF(OR($G25="",$K25=""),"",IF($G25&gt;=$K25,"Por encima del objetivo","Por debajo del objetivo")),"")</f>
        <v/>
      </c>
      <c r="M25" s="23">
        <f>IFERROR(IF(OR($G25="",$K25=""),"",$G25-$K25),"")</f>
        <v/>
      </c>
      <c r="N25">
        <f>IFERROR(IF($L25="","",IF($L25="Por encima del objetivo","Cumple el objetivo de su familia: mantenlo y protégelo.",IF($E25&gt;$J25,"Su food cost está por encima de la media de la familia: baja coste o sube precio.",IF($D25&lt;$H25,"Vende menos que la media de su familia: es problema de carta y de sala, no de coste.","Su precio está por debajo de la media de su familia: revísalo antes de tocar la receta.")))),"")</f>
        <v/>
      </c>
    </row>
    <row r="26">
      <c r="A26" s="8" t="n">
        <v>22</v>
      </c>
      <c r="B26">
        <f>IFERROR(IF('Datos'!$B26="","",'Datos'!$B26),"")</f>
        <v/>
      </c>
      <c r="C26">
        <f>IFERROR(IF('Datos'!$C26="","",'Datos'!$C26),"")</f>
        <v/>
      </c>
      <c r="D26" s="8">
        <f>IFERROR(IF('Datos'!$D26="","",'Datos'!$D26),"")</f>
        <v/>
      </c>
      <c r="E26" s="14">
        <f>IFERROR(IF('Datos'!$H26="","",'Datos'!$H26),"")</f>
        <v/>
      </c>
      <c r="F26" s="13">
        <f>IFERROR(IF('Datos'!$F26="","",'Datos'!$F26),"")</f>
        <v/>
      </c>
      <c r="G26" s="22">
        <f>IFERROR(IF(OR($D26="",$E26="",$F26="",$D$33+$D$34+$E26&gt;=1),"",(1-$E26)*$D26*$F26*(1-($D$33+$D$34+$E26))),"")</f>
        <v/>
      </c>
      <c r="H26" s="8">
        <f>IFERROR(IF(OR('Datos'!$K26="",'Datos'!$K26=0),"",'Datos'!$J26/'Datos'!$K26),"")</f>
        <v/>
      </c>
      <c r="I26" s="13">
        <f>IFERROR(IF(OR('Datos'!$J26="",'Datos'!$J26=0),"",SUMPRODUCT(--('Datos'!$C$5:$C$29='Datos'!$C26),'Datos'!$D$5:$D$29,'Datos'!$F$5:$F$29)/'Datos'!$J26),"")</f>
        <v/>
      </c>
      <c r="J26" s="14">
        <f>IFERROR(IF('Datos'!$O26="","",'Datos'!$O26),"")</f>
        <v/>
      </c>
      <c r="K26" s="23">
        <f>IFERROR(IF(OR($H26="",$I26="",$J26="",$D$33+$D$34+$J26&gt;=1),"",(1-$J26)*$H26*$I26*(1-($D$33+$D$34+$J26))),"")</f>
        <v/>
      </c>
      <c r="L26" s="15">
        <f>IFERROR(IF(OR($G26="",$K26=""),"",IF($G26&gt;=$K26,"Por encima del objetivo","Por debajo del objetivo")),"")</f>
        <v/>
      </c>
      <c r="M26" s="23">
        <f>IFERROR(IF(OR($G26="",$K26=""),"",$G26-$K26),"")</f>
        <v/>
      </c>
      <c r="N26">
        <f>IFERROR(IF($L26="","",IF($L26="Por encima del objetivo","Cumple el objetivo de su familia: mantenlo y protégelo.",IF($E26&gt;$J26,"Su food cost está por encima de la media de la familia: baja coste o sube precio.",IF($D26&lt;$H26,"Vende menos que la media de su familia: es problema de carta y de sala, no de coste.","Su precio está por debajo de la media de su familia: revísalo antes de tocar la receta.")))),"")</f>
        <v/>
      </c>
    </row>
    <row r="27">
      <c r="A27" s="8" t="n">
        <v>23</v>
      </c>
      <c r="B27">
        <f>IFERROR(IF('Datos'!$B27="","",'Datos'!$B27),"")</f>
        <v/>
      </c>
      <c r="C27">
        <f>IFERROR(IF('Datos'!$C27="","",'Datos'!$C27),"")</f>
        <v/>
      </c>
      <c r="D27" s="8">
        <f>IFERROR(IF('Datos'!$D27="","",'Datos'!$D27),"")</f>
        <v/>
      </c>
      <c r="E27" s="14">
        <f>IFERROR(IF('Datos'!$H27="","",'Datos'!$H27),"")</f>
        <v/>
      </c>
      <c r="F27" s="13">
        <f>IFERROR(IF('Datos'!$F27="","",'Datos'!$F27),"")</f>
        <v/>
      </c>
      <c r="G27" s="22">
        <f>IFERROR(IF(OR($D27="",$E27="",$F27="",$D$33+$D$34+$E27&gt;=1),"",(1-$E27)*$D27*$F27*(1-($D$33+$D$34+$E27))),"")</f>
        <v/>
      </c>
      <c r="H27" s="8">
        <f>IFERROR(IF(OR('Datos'!$K27="",'Datos'!$K27=0),"",'Datos'!$J27/'Datos'!$K27),"")</f>
        <v/>
      </c>
      <c r="I27" s="13">
        <f>IFERROR(IF(OR('Datos'!$J27="",'Datos'!$J27=0),"",SUMPRODUCT(--('Datos'!$C$5:$C$29='Datos'!$C27),'Datos'!$D$5:$D$29,'Datos'!$F$5:$F$29)/'Datos'!$J27),"")</f>
        <v/>
      </c>
      <c r="J27" s="14">
        <f>IFERROR(IF('Datos'!$O27="","",'Datos'!$O27),"")</f>
        <v/>
      </c>
      <c r="K27" s="23">
        <f>IFERROR(IF(OR($H27="",$I27="",$J27="",$D$33+$D$34+$J27&gt;=1),"",(1-$J27)*$H27*$I27*(1-($D$33+$D$34+$J27))),"")</f>
        <v/>
      </c>
      <c r="L27" s="15">
        <f>IFERROR(IF(OR($G27="",$K27=""),"",IF($G27&gt;=$K27,"Por encima del objetivo","Por debajo del objetivo")),"")</f>
        <v/>
      </c>
      <c r="M27" s="23">
        <f>IFERROR(IF(OR($G27="",$K27=""),"",$G27-$K27),"")</f>
        <v/>
      </c>
      <c r="N27">
        <f>IFERROR(IF($L27="","",IF($L27="Por encima del objetivo","Cumple el objetivo de su familia: mantenlo y protégelo.",IF($E27&gt;$J27,"Su food cost está por encima de la media de la familia: baja coste o sube precio.",IF($D27&lt;$H27,"Vende menos que la media de su familia: es problema de carta y de sala, no de coste.","Su precio está por debajo de la media de su familia: revísalo antes de tocar la receta.")))),"")</f>
        <v/>
      </c>
    </row>
    <row r="28">
      <c r="A28" s="8" t="n">
        <v>24</v>
      </c>
      <c r="B28">
        <f>IFERROR(IF('Datos'!$B28="","",'Datos'!$B28),"")</f>
        <v/>
      </c>
      <c r="C28">
        <f>IFERROR(IF('Datos'!$C28="","",'Datos'!$C28),"")</f>
        <v/>
      </c>
      <c r="D28" s="8">
        <f>IFERROR(IF('Datos'!$D28="","",'Datos'!$D28),"")</f>
        <v/>
      </c>
      <c r="E28" s="14">
        <f>IFERROR(IF('Datos'!$H28="","",'Datos'!$H28),"")</f>
        <v/>
      </c>
      <c r="F28" s="13">
        <f>IFERROR(IF('Datos'!$F28="","",'Datos'!$F28),"")</f>
        <v/>
      </c>
      <c r="G28" s="22">
        <f>IFERROR(IF(OR($D28="",$E28="",$F28="",$D$33+$D$34+$E28&gt;=1),"",(1-$E28)*$D28*$F28*(1-($D$33+$D$34+$E28))),"")</f>
        <v/>
      </c>
      <c r="H28" s="8">
        <f>IFERROR(IF(OR('Datos'!$K28="",'Datos'!$K28=0),"",'Datos'!$J28/'Datos'!$K28),"")</f>
        <v/>
      </c>
      <c r="I28" s="13">
        <f>IFERROR(IF(OR('Datos'!$J28="",'Datos'!$J28=0),"",SUMPRODUCT(--('Datos'!$C$5:$C$29='Datos'!$C28),'Datos'!$D$5:$D$29,'Datos'!$F$5:$F$29)/'Datos'!$J28),"")</f>
        <v/>
      </c>
      <c r="J28" s="14">
        <f>IFERROR(IF('Datos'!$O28="","",'Datos'!$O28),"")</f>
        <v/>
      </c>
      <c r="K28" s="23">
        <f>IFERROR(IF(OR($H28="",$I28="",$J28="",$D$33+$D$34+$J28&gt;=1),"",(1-$J28)*$H28*$I28*(1-($D$33+$D$34+$J28))),"")</f>
        <v/>
      </c>
      <c r="L28" s="15">
        <f>IFERROR(IF(OR($G28="",$K28=""),"",IF($G28&gt;=$K28,"Por encima del objetivo","Por debajo del objetivo")),"")</f>
        <v/>
      </c>
      <c r="M28" s="23">
        <f>IFERROR(IF(OR($G28="",$K28=""),"",$G28-$K28),"")</f>
        <v/>
      </c>
      <c r="N28">
        <f>IFERROR(IF($L28="","",IF($L28="Por encima del objetivo","Cumple el objetivo de su familia: mantenlo y protégelo.",IF($E28&gt;$J28,"Su food cost está por encima de la media de la familia: baja coste o sube precio.",IF($D28&lt;$H28,"Vende menos que la media de su familia: es problema de carta y de sala, no de coste.","Su precio está por debajo de la media de su familia: revísalo antes de tocar la receta.")))),"")</f>
        <v/>
      </c>
    </row>
    <row r="29">
      <c r="A29" s="8" t="n">
        <v>25</v>
      </c>
      <c r="B29">
        <f>IFERROR(IF('Datos'!$B29="","",'Datos'!$B29),"")</f>
        <v/>
      </c>
      <c r="C29">
        <f>IFERROR(IF('Datos'!$C29="","",'Datos'!$C29),"")</f>
        <v/>
      </c>
      <c r="D29" s="8">
        <f>IFERROR(IF('Datos'!$D29="","",'Datos'!$D29),"")</f>
        <v/>
      </c>
      <c r="E29" s="14">
        <f>IFERROR(IF('Datos'!$H29="","",'Datos'!$H29),"")</f>
        <v/>
      </c>
      <c r="F29" s="13">
        <f>IFERROR(IF('Datos'!$F29="","",'Datos'!$F29),"")</f>
        <v/>
      </c>
      <c r="G29" s="22">
        <f>IFERROR(IF(OR($D29="",$E29="",$F29="",$D$33+$D$34+$E29&gt;=1),"",(1-$E29)*$D29*$F29*(1-($D$33+$D$34+$E29))),"")</f>
        <v/>
      </c>
      <c r="H29" s="8">
        <f>IFERROR(IF(OR('Datos'!$K29="",'Datos'!$K29=0),"",'Datos'!$J29/'Datos'!$K29),"")</f>
        <v/>
      </c>
      <c r="I29" s="13">
        <f>IFERROR(IF(OR('Datos'!$J29="",'Datos'!$J29=0),"",SUMPRODUCT(--('Datos'!$C$5:$C$29='Datos'!$C29),'Datos'!$D$5:$D$29,'Datos'!$F$5:$F$29)/'Datos'!$J29),"")</f>
        <v/>
      </c>
      <c r="J29" s="14">
        <f>IFERROR(IF('Datos'!$O29="","",'Datos'!$O29),"")</f>
        <v/>
      </c>
      <c r="K29" s="23">
        <f>IFERROR(IF(OR($H29="",$I29="",$J29="",$D$33+$D$34+$J29&gt;=1),"",(1-$J29)*$H29*$I29*(1-($D$33+$D$34+$J29))),"")</f>
        <v/>
      </c>
      <c r="L29" s="15">
        <f>IFERROR(IF(OR($G29="",$K29=""),"",IF($G29&gt;=$K29,"Por encima del objetivo","Por debajo del objetivo")),"")</f>
        <v/>
      </c>
      <c r="M29" s="23">
        <f>IFERROR(IF(OR($G29="",$K29=""),"",$G29-$K29),"")</f>
        <v/>
      </c>
      <c r="N29">
        <f>IFERROR(IF($L29="","",IF($L29="Por encima del objetivo","Cumple el objetivo de su familia: mantenlo y protégelo.",IF($E29&gt;$J29,"Su food cost está por encima de la media de la familia: baja coste o sube precio.",IF($D29&lt;$H29,"Vende menos que la media de su familia: es problema de carta y de sala, no de coste.","Su precio está por debajo de la media de su familia: revísalo antes de tocar la receta.")))),"")</f>
        <v/>
      </c>
    </row>
    <row r="30"/>
    <row r="31"/>
    <row r="32">
      <c r="A32" s="15" t="inlineStr">
        <is>
          <t>PARÁMETROS Y RESUMEN — lo calcula el libro</t>
        </is>
      </c>
    </row>
    <row r="33">
      <c r="B33" t="inlineStr">
        <is>
          <t>Coste de personal sobre ventas (%)</t>
        </is>
      </c>
      <c r="D33" s="21" t="n">
        <v>0.32</v>
      </c>
      <c r="F33" t="inlineStr">
        <is>
          <t>Personal con Seguridad Social incluida, sobre ventas netas. El 32 % es el punto medio de la horquilla 30-35 % del servicio en mesa en España; en barra o autoservicio baja. Cámbialo por el tuyo.</t>
        </is>
      </c>
    </row>
    <row r="34">
      <c r="B34" t="inlineStr">
        <is>
          <t>Otros costes variables sobre ventas (%)</t>
        </is>
      </c>
      <c r="D34" s="21" t="n">
        <v>0.1</v>
      </c>
      <c r="F34" t="inlineStr">
        <is>
          <t>Lo que se mueve con la venta y no es producto ni personal: energía de cocina, consumibles y comisiones de tarjeta y de plataformas. Cámbialo por el tuyo.</t>
        </is>
      </c>
    </row>
    <row r="35">
      <c r="B35" t="inlineStr">
        <is>
          <t>Goal Value medio de la carta (índice)</t>
        </is>
      </c>
      <c r="D35" s="23">
        <f>IFERROR(AVERAGE($G$5:$G$29),"")</f>
        <v>520.5515932949959</v>
      </c>
    </row>
    <row r="36">
      <c r="B36" t="inlineStr">
        <is>
          <t>Platos por encima del objetivo de su familia</t>
        </is>
      </c>
      <c r="D36" s="8">
        <f>COUNTIF($L$5:$L$29,"Por encima del objetivo")</f>
        <v>9.0</v>
      </c>
    </row>
    <row r="37">
      <c r="B37" t="inlineStr">
        <is>
          <t>Platos por debajo del objetivo de su familia</t>
        </is>
      </c>
      <c r="D37" s="8">
        <f>COUNTIF($L$5:$L$29,"Por debajo del objetivo")</f>
        <v>11.0</v>
      </c>
    </row>
  </sheetData>
  <sheetProtection selectLockedCells="0" selectUnlockedCells="0" sheet="1" objects="0" insertRows="0" insertHyperlinks="1" autoFilter="1" scenarios="0" formatColumns="0" deleteColumns="1" insertColumns="1" pivotTables="1" deleteRows="1" formatCells="1" formatRows="0" sort="0"/>
  <conditionalFormatting sqref="L5:L29">
    <cfRule type="cellIs" priority="1" operator="equal" dxfId="0" stopIfTrue="1">
      <formula>"Por encima del objetivo"</formula>
    </cfRule>
    <cfRule type="cellIs" priority="2" operator="equal" dxfId="2" stopIfTrue="1">
      <formula>"Por debajo del objetivo"</formula>
    </cfRule>
  </conditionalFormatting>
  <dataValidations count="1">
    <dataValidation sqref="D33 D34" showDropDown="0" showInputMessage="1" showErrorMessage="1" allowBlank="1" errorTitle="Porcentaje sobre ventas" error="Escribe un porcentaje entre 0 y 1 (0,20 = 20 %)." promptTitle="Porcentaje sobre ventas" prompt="Se escribe en tanto por uno: 0,32 = 32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5" customWidth="1" min="4" max="4"/>
    <col width="13" customWidth="1" min="5" max="5"/>
    <col width="13" customWidth="1" min="6" max="6"/>
    <col width="22" customWidth="1" min="7" max="7"/>
    <col width="14" customWidth="1" min="8" max="8"/>
    <col width="78" customWidth="1" min="9" max="9"/>
    <col width="16" customWidth="1" min="10" max="10"/>
  </cols>
  <sheetData>
    <row r="1">
      <c r="A1" s="1" t="inlineStr">
        <is>
          <t>Comparativa — dónde discrepan los cuatro métodos</t>
        </is>
      </c>
    </row>
    <row r="2">
      <c r="A2" s="2" t="inlineStr">
        <is>
          <t>AI Chef Pro · aichef.pro — Guía Food Cost + Ingeniería de Menú</t>
        </is>
      </c>
    </row>
    <row r="3">
      <c r="E3" s="6" t="inlineStr">
        <is>
          <t>Coincidir no da más seguridad: sólo dice que el plato se ve igual desde cualquier ángulo. El valor está en las filas que discrepan.</t>
        </is>
      </c>
    </row>
    <row r="4" ht="46" customHeight="1">
      <c r="A4" s="7" t="inlineStr">
        <is>
          <t>#</t>
        </is>
      </c>
      <c r="B4" s="7" t="inlineStr">
        <is>
          <t>Plato</t>
        </is>
      </c>
      <c r="C4" s="7" t="inlineStr">
        <is>
          <t>Familia</t>
        </is>
      </c>
      <c r="D4" s="7" t="inlineStr">
        <is>
          <t>Kasavana &amp; Smith</t>
        </is>
      </c>
      <c r="E4" s="7" t="inlineStr">
        <is>
          <t>Miller</t>
        </is>
      </c>
      <c r="F4" s="7" t="inlineStr">
        <is>
          <t>Pavesic</t>
        </is>
      </c>
      <c r="G4" s="7" t="inlineStr">
        <is>
          <t>Goal Value</t>
        </is>
      </c>
      <c r="H4" s="7" t="inlineStr">
        <is>
          <t>Lecturas fuera de la mejor categoría</t>
        </is>
      </c>
      <c r="I4" s="7" t="inlineStr">
        <is>
          <t>Diagnóstico</t>
        </is>
      </c>
      <c r="J4" s="7" t="inlineStr">
        <is>
          <t>Decisión sugerida</t>
        </is>
      </c>
    </row>
    <row r="5">
      <c r="A5" s="8" t="n">
        <v>1</v>
      </c>
      <c r="B5" t="str">
        <f>IFERROR(IF('Datos'!$B5="","",'Datos'!$B5),"")</f>
        <v>Croquetas de jamón ibérico (6 ud)</v>
      </c>
      <c r="C5" t="str">
        <f>IFERROR(IF('Datos'!$C5="","",'Datos'!$C5),"")</f>
        <v>Entrantes</v>
      </c>
      <c r="D5" s="15" t="str">
        <f>IFERROR(IF('Kasavana-Smith'!$K5="","",'Kasavana-Smith'!$K5),"")</f>
        <v>Plowhorse</v>
      </c>
      <c r="E5" s="15" t="str">
        <f>IFERROR(IF('Miller'!$K5="","",'Miller'!$K5),"")</f>
        <v>Winner</v>
      </c>
      <c r="F5" s="15" t="str">
        <f>IFERROR(IF('Pavesic'!$K5="","",'Pavesic'!$K5),"")</f>
        <v>Prime</v>
      </c>
      <c r="G5" s="15" t="str">
        <f>IFERROR(IF('Goal Value'!$L5="","",'Goal Value'!$L5),"")</f>
        <v>Por encima del objetivo</v>
      </c>
      <c r="H5" s="24">
        <f>IFERROR(IF($B5="","",IF($D5="Star",0,1)+IF($E5="Winner",0,1)+IF($F5="Prime",0,1)+IF($G5="Por encima del objetivo",0,1)),"")</f>
        <v>1.0</v>
      </c>
      <c r="I5" s="25" t="str">
        <f>IFERROR(IF($B5="","",IF($H5=0,"Las cuatro lecturas coinciden en lo mejor: mantener, destacar en carta y proteger receta y proveedor.",IF(AND($D5="Dog",$E5="Loser",$F5="Problem"),"Poco pedido, food cost alto y aporta poco margen al total: candidato a retirar o a reformular de raíz.",IF(AND($D5="Plowhorse",$E5="Winner"),"Popular con margen bajo: subir precio o bajar coste.",IF(AND($D5="Plowhorse",$E5="Loser"),"Popular pero caro de producir y de margen corto: reformular la receta antes de tocar el precio.",IF(AND('Datos'!$G5&gt;='Datos'!$N5,'Datos'!$H5&gt;'Datos'!$O5),"MC alto con food cost pobre: proteger el margen en euros, revisar precio, no retirar.",IF(AND($D5="Puzzle",$E5="Winner"),"Rentable y con food cost sano, pero poco pedido: es problema de carta, no de cocina. Renómbralo, súbelo de posición o que lo sugiera la sala.",IF($F5="Sleeper","Food cost sano pero aporta poco margen al total: dale visibilidad antes de retirarlo.",IF(AND($G5="Por debajo del objetivo",$D5="Star"),"Vende y deja margen, pero se queda por debajo del Goal Value de su familia: va justo de recorrido, revisa el precio.",IF($D5="Dog","Poco pedido: antes de retirarlo comprueba si es de temporada o si acompaña a otro plato que sí vende.","Las lecturas discrepan: cada método mide dos de las tres variables (popularidad, margen en euros y food cost). Decide con la que más te duela este mes.")))))))))),"")</f>
        <v>Popular con margen bajo: subir precio o bajar coste.</v>
      </c>
      <c r="J5" s="15" t="str">
        <f>IFERROR(IF($B5="","",IF($H5=0,"Mantener",IF(AND($D5="Dog",$E5="Loser"),"Retirar",IF($D5="Plowhorse","Resubir",IF($D5="Puzzle","Rediseñar",IF($F5="Problem","Reformular","Revisar")))))),"")</f>
        <v>Resubir</v>
      </c>
    </row>
    <row r="6">
      <c r="A6" s="8" t="n">
        <v>2</v>
      </c>
      <c r="B6" t="str">
        <f>IFERROR(IF('Datos'!$B6="","",'Datos'!$B6),"")</f>
        <v>Ensalada de tomate rosa, ventresca y cebolleta</v>
      </c>
      <c r="C6" t="str">
        <f>IFERROR(IF('Datos'!$C6="","",'Datos'!$C6),"")</f>
        <v>Entrantes</v>
      </c>
      <c r="D6" s="15" t="str">
        <f>IFERROR(IF('Kasavana-Smith'!$K6="","",'Kasavana-Smith'!$K6),"")</f>
        <v>Star</v>
      </c>
      <c r="E6" s="15" t="str">
        <f>IFERROR(IF('Miller'!$K6="","",'Miller'!$K6),"")</f>
        <v>Winner</v>
      </c>
      <c r="F6" s="15" t="str">
        <f>IFERROR(IF('Pavesic'!$K6="","",'Pavesic'!$K6),"")</f>
        <v>Prime</v>
      </c>
      <c r="G6" s="15" t="str">
        <f>IFERROR(IF('Goal Value'!$L6="","",'Goal Value'!$L6),"")</f>
        <v>Por encima del objetivo</v>
      </c>
      <c r="H6" s="24">
        <f>IFERROR(IF($B6="","",IF($D6="Star",0,1)+IF($E6="Winner",0,1)+IF($F6="Prime",0,1)+IF($G6="Por encima del objetivo",0,1)),"")</f>
        <v>0.0</v>
      </c>
      <c r="I6" s="25" t="str">
        <f>IFERROR(IF($B6="","",IF($H6=0,"Las cuatro lecturas coinciden en lo mejor: mantener, destacar en carta y proteger receta y proveedor.",IF(AND($D6="Dog",$E6="Loser",$F6="Problem"),"Poco pedido, food cost alto y aporta poco margen al total: candidato a retirar o a reformular de raíz.",IF(AND($D6="Plowhorse",$E6="Winner"),"Popular con margen bajo: subir precio o bajar coste.",IF(AND($D6="Plowhorse",$E6="Loser"),"Popular pero caro de producir y de margen corto: reformular la receta antes de tocar el precio.",IF(AND('Datos'!$G6&gt;='Datos'!$N6,'Datos'!$H6&gt;'Datos'!$O6),"MC alto con food cost pobre: proteger el margen en euros, revisar precio, no retirar.",IF(AND($D6="Puzzle",$E6="Winner"),"Rentable y con food cost sano, pero poco pedido: es problema de carta, no de cocina. Renómbralo, súbelo de posición o que lo sugiera la sala.",IF($F6="Sleeper","Food cost sano pero aporta poco margen al total: dale visibilidad antes de retirarlo.",IF(AND($G6="Por debajo del objetivo",$D6="Star"),"Vende y deja margen, pero se queda por debajo del Goal Value de su familia: va justo de recorrido, revisa el precio.",IF($D6="Dog","Poco pedido: antes de retirarlo comprueba si es de temporada o si acompaña a otro plato que sí vende.","Las lecturas discrepan: cada método mide dos de las tres variables (popularidad, margen en euros y food cost). Decide con la que más te duela este mes.")))))))))),"")</f>
        <v>Las cuatro lecturas coinciden en lo mejor: mantener, destacar en carta y proteger receta y proveedor.</v>
      </c>
      <c r="J6" s="15" t="str">
        <f>IFERROR(IF($B6="","",IF($H6=0,"Mantener",IF(AND($D6="Dog",$E6="Loser"),"Retirar",IF($D6="Plowhorse","Resubir",IF($D6="Puzzle","Rediseñar",IF($F6="Problem","Reformular","Revisar")))))),"")</f>
        <v>Mantener</v>
      </c>
    </row>
    <row r="7">
      <c r="A7" s="8" t="n">
        <v>3</v>
      </c>
      <c r="B7" t="str">
        <f>IFERROR(IF('Datos'!$B7="","",'Datos'!$B7),"")</f>
        <v>Gambas al ajillo</v>
      </c>
      <c r="C7" t="str">
        <f>IFERROR(IF('Datos'!$C7="","",'Datos'!$C7),"")</f>
        <v>Entrantes</v>
      </c>
      <c r="D7" s="15" t="str">
        <f>IFERROR(IF('Kasavana-Smith'!$K7="","",'Kasavana-Smith'!$K7),"")</f>
        <v>Star</v>
      </c>
      <c r="E7" s="15" t="str">
        <f>IFERROR(IF('Miller'!$K7="","",'Miller'!$K7),"")</f>
        <v>Marginal</v>
      </c>
      <c r="F7" s="15" t="str">
        <f>IFERROR(IF('Pavesic'!$K7="","",'Pavesic'!$K7),"")</f>
        <v>Standard</v>
      </c>
      <c r="G7" s="15" t="str">
        <f>IFERROR(IF('Goal Value'!$L7="","",'Goal Value'!$L7),"")</f>
        <v>Por debajo del objetivo</v>
      </c>
      <c r="H7" s="24">
        <f>IFERROR(IF($B7="","",IF($D7="Star",0,1)+IF($E7="Winner",0,1)+IF($F7="Prime",0,1)+IF($G7="Por encima del objetivo",0,1)),"")</f>
        <v>3.0</v>
      </c>
      <c r="I7" s="25" t="str">
        <f>IFERROR(IF($B7="","",IF($H7=0,"Las cuatro lecturas coinciden en lo mejor: mantener, destacar en carta y proteger receta y proveedor.",IF(AND($D7="Dog",$E7="Loser",$F7="Problem"),"Poco pedido, food cost alto y aporta poco margen al total: candidato a retirar o a reformular de raíz.",IF(AND($D7="Plowhorse",$E7="Winner"),"Popular con margen bajo: subir precio o bajar coste.",IF(AND($D7="Plowhorse",$E7="Loser"),"Popular pero caro de producir y de margen corto: reformular la receta antes de tocar el precio.",IF(AND('Datos'!$G7&gt;='Datos'!$N7,'Datos'!$H7&gt;'Datos'!$O7),"MC alto con food cost pobre: proteger el margen en euros, revisar precio, no retirar.",IF(AND($D7="Puzzle",$E7="Winner"),"Rentable y con food cost sano, pero poco pedido: es problema de carta, no de cocina. Renómbralo, súbelo de posición o que lo sugiera la sala.",IF($F7="Sleeper","Food cost sano pero aporta poco margen al total: dale visibilidad antes de retirarlo.",IF(AND($G7="Por debajo del objetivo",$D7="Star"),"Vende y deja margen, pero se queda por debajo del Goal Value de su familia: va justo de recorrido, revisa el precio.",IF($D7="Dog","Poco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7" s="15" t="str">
        <f>IFERROR(IF($B7="","",IF($H7=0,"Mantener",IF(AND($D7="Dog",$E7="Loser"),"Retirar",IF($D7="Plowhorse","Resubir",IF($D7="Puzzle","Rediseñar",IF($F7="Problem","Reformular","Revisar")))))),"")</f>
        <v>Revisar</v>
      </c>
    </row>
    <row r="8">
      <c r="A8" s="8" t="n">
        <v>4</v>
      </c>
      <c r="B8" t="str">
        <f>IFERROR(IF('Datos'!$B8="","",'Datos'!$B8),"")</f>
        <v>Huevos rotos con patatas y chistorra</v>
      </c>
      <c r="C8" t="str">
        <f>IFERROR(IF('Datos'!$C8="","",'Datos'!$C8),"")</f>
        <v>Entrantes</v>
      </c>
      <c r="D8" s="15" t="str">
        <f>IFERROR(IF('Kasavana-Smith'!$K8="","",'Kasavana-Smith'!$K8),"")</f>
        <v>Plowhorse</v>
      </c>
      <c r="E8" s="15" t="str">
        <f>IFERROR(IF('Miller'!$K8="","",'Miller'!$K8),"")</f>
        <v>Winner</v>
      </c>
      <c r="F8" s="15" t="str">
        <f>IFERROR(IF('Pavesic'!$K8="","",'Pavesic'!$K8),"")</f>
        <v>Prime</v>
      </c>
      <c r="G8" s="15" t="str">
        <f>IFERROR(IF('Goal Value'!$L8="","",'Goal Value'!$L8),"")</f>
        <v>Por encima del objetivo</v>
      </c>
      <c r="H8" s="24">
        <f>IFERROR(IF($B8="","",IF($D8="Star",0,1)+IF($E8="Winner",0,1)+IF($F8="Prime",0,1)+IF($G8="Por encima del objetivo",0,1)),"")</f>
        <v>1.0</v>
      </c>
      <c r="I8" s="25" t="str">
        <f>IFERROR(IF($B8="","",IF($H8=0,"Las cuatro lecturas coinciden en lo mejor: mantener, destacar en carta y proteger receta y proveedor.",IF(AND($D8="Dog",$E8="Loser",$F8="Problem"),"Poco pedido, food cost alto y aporta poco margen al total: candidato a retirar o a reformular de raíz.",IF(AND($D8="Plowhorse",$E8="Winner"),"Popular con margen bajo: subir precio o bajar coste.",IF(AND($D8="Plowhorse",$E8="Loser"),"Popular pero caro de producir y de margen corto: reformular la receta antes de tocar el precio.",IF(AND('Datos'!$G8&gt;='Datos'!$N8,'Datos'!$H8&gt;'Datos'!$O8),"MC alto con food cost pobre: proteger el margen en euros, revisar precio, no retirar.",IF(AND($D8="Puzzle",$E8="Winner"),"Rentable y con food cost sano, pero poco pedido: es problema de carta, no de cocina. Renómbralo, súbelo de posición o que lo sugiera la sala.",IF($F8="Sleeper","Food cost sano pero aporta poco margen al total: dale visibilidad antes de retirarlo.",IF(AND($G8="Por debajo del objetivo",$D8="Star"),"Vende y deja margen, pero se queda por debajo del Goal Value de su familia: va justo de recorrido, revisa el precio.",IF($D8="Dog","Poco pedido: antes de retirarlo comprueba si es de temporada o si acompaña a otro plato que sí vende.","Las lecturas discrepan: cada método mide dos de las tres variables (popularidad, margen en euros y food cost). Decide con la que más te duela este mes.")))))))))),"")</f>
        <v>Popular con margen bajo: subir precio o bajar coste.</v>
      </c>
      <c r="J8" s="15" t="str">
        <f>IFERROR(IF($B8="","",IF($H8=0,"Mantener",IF(AND($D8="Dog",$E8="Loser"),"Retirar",IF($D8="Plowhorse","Resubir",IF($D8="Puzzle","Rediseñar",IF($F8="Problem","Reformular","Revisar")))))),"")</f>
        <v>Resubir</v>
      </c>
    </row>
    <row r="9">
      <c r="A9" s="8" t="n">
        <v>5</v>
      </c>
      <c r="B9" t="str">
        <f>IFERROR(IF('Datos'!$B9="","",'Datos'!$B9),"")</f>
        <v>Tabla de quesos de la zona</v>
      </c>
      <c r="C9" t="str">
        <f>IFERROR(IF('Datos'!$C9="","",'Datos'!$C9),"")</f>
        <v>Entrantes</v>
      </c>
      <c r="D9" s="15" t="str">
        <f>IFERROR(IF('Kasavana-Smith'!$K9="","",'Kasavana-Smith'!$K9),"")</f>
        <v>Puzzle</v>
      </c>
      <c r="E9" s="15" t="str">
        <f>IFERROR(IF('Miller'!$K9="","",'Miller'!$K9),"")</f>
        <v>Loser</v>
      </c>
      <c r="F9" s="15" t="str">
        <f>IFERROR(IF('Pavesic'!$K9="","",'Pavesic'!$K9),"")</f>
        <v>Problem</v>
      </c>
      <c r="G9" s="15" t="str">
        <f>IFERROR(IF('Goal Value'!$L9="","",'Goal Value'!$L9),"")</f>
        <v>Por debajo del objetivo</v>
      </c>
      <c r="H9" s="24">
        <f>IFERROR(IF($B9="","",IF($D9="Star",0,1)+IF($E9="Winner",0,1)+IF($F9="Prime",0,1)+IF($G9="Por encima del objetivo",0,1)),"")</f>
        <v>4.0</v>
      </c>
      <c r="I9" s="25" t="str">
        <f>IFERROR(IF($B9="","",IF($H9=0,"Las cuatro lecturas coinciden en lo mejor: mantener, destacar en carta y proteger receta y proveedor.",IF(AND($D9="Dog",$E9="Loser",$F9="Problem"),"Poco pedido, food cost alto y aporta poco margen al total: candidato a retirar o a reformular de raíz.",IF(AND($D9="Plowhorse",$E9="Winner"),"Popular con margen bajo: subir precio o bajar coste.",IF(AND($D9="Plowhorse",$E9="Loser"),"Popular pero caro de producir y de margen corto: reformular la receta antes de tocar el precio.",IF(AND('Datos'!$G9&gt;='Datos'!$N9,'Datos'!$H9&gt;'Datos'!$O9),"MC alto con food cost pobre: proteger el margen en euros, revisar precio, no retirar.",IF(AND($D9="Puzzle",$E9="Winner"),"Rentable y con food cost sano, pero poco pedido: es problema de carta, no de cocina. Renómbralo, súbelo de posición o que lo sugiera la sala.",IF($F9="Sleeper","Food cost sano pero aporta poco margen al total: dale visibilidad antes de retirarlo.",IF(AND($G9="Por debajo del objetivo",$D9="Star"),"Vende y deja margen, pero se queda por debajo del Goal Value de su familia: va justo de recorrido, revisa el precio.",IF($D9="Dog","Poco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9" s="15" t="str">
        <f>IFERROR(IF($B9="","",IF($H9=0,"Mantener",IF(AND($D9="Dog",$E9="Loser"),"Retirar",IF($D9="Plowhorse","Resubir",IF($D9="Puzzle","Rediseñar",IF($F9="Problem","Reformular","Revisar")))))),"")</f>
        <v>Rediseñar</v>
      </c>
    </row>
    <row r="10">
      <c r="A10" s="8" t="n">
        <v>6</v>
      </c>
      <c r="B10" t="str">
        <f>IFERROR(IF('Datos'!$B10="","",'Datos'!$B10),"")</f>
        <v>Alcachofas confitadas con jamón</v>
      </c>
      <c r="C10" t="str">
        <f>IFERROR(IF('Datos'!$C10="","",'Datos'!$C10),"")</f>
        <v>Entrantes</v>
      </c>
      <c r="D10" s="15" t="str">
        <f>IFERROR(IF('Kasavana-Smith'!$K10="","",'Kasavana-Smith'!$K10),"")</f>
        <v>Puzzle</v>
      </c>
      <c r="E10" s="15" t="str">
        <f>IFERROR(IF('Miller'!$K10="","",'Miller'!$K10),"")</f>
        <v>Marginal</v>
      </c>
      <c r="F10" s="15" t="str">
        <f>IFERROR(IF('Pavesic'!$K10="","",'Pavesic'!$K10),"")</f>
        <v>Sleeper</v>
      </c>
      <c r="G10" s="15" t="str">
        <f>IFERROR(IF('Goal Value'!$L10="","",'Goal Value'!$L10),"")</f>
        <v>Por debajo del objetivo</v>
      </c>
      <c r="H10" s="24">
        <f>IFERROR(IF($B10="","",IF($D10="Star",0,1)+IF($E10="Winner",0,1)+IF($F10="Prime",0,1)+IF($G10="Por encima del objetivo",0,1)),"")</f>
        <v>4.0</v>
      </c>
      <c r="I10" s="25" t="str">
        <f>IFERROR(IF($B10="","",IF($H10=0,"Las cuatro lecturas coinciden en lo mejor: mantener, destacar en carta y proteger receta y proveedor.",IF(AND($D10="Dog",$E10="Loser",$F10="Problem"),"Poco pedido, food cost alto y aporta poco margen al total: candidato a retirar o a reformular de raíz.",IF(AND($D10="Plowhorse",$E10="Winner"),"Popular con margen bajo: subir precio o bajar coste.",IF(AND($D10="Plowhorse",$E10="Loser"),"Popular pero caro de producir y de margen corto: reformular la receta antes de tocar el precio.",IF(AND('Datos'!$G10&gt;='Datos'!$N10,'Datos'!$H10&gt;'Datos'!$O10),"MC alto con food cost pobre: proteger el margen en euros, revisar precio, no retirar.",IF(AND($D10="Puzzle",$E10="Winner"),"Rentable y con food cost sano, pero poco pedido: es problema de carta, no de cocina. Renómbralo, súbelo de posición o que lo sugiera la sala.",IF($F10="Sleeper","Food cost sano pero aporta poco margen al total: dale visibilidad antes de retirarlo.",IF(AND($G10="Por debajo del objetivo",$D10="Star"),"Vende y deja margen, pero se queda por debajo del Goal Value de su familia: va justo de recorrido, revisa el precio.",IF($D10="Dog","Poco pedido: antes de retirarlo comprueba si es de temporada o si acompaña a otro plato que sí vende.","Las lecturas discrepan: cada método mide dos de las tres variables (popularidad, margen en euros y food cost). Decide con la que más te duela este mes.")))))))))),"")</f>
        <v>Food cost sano pero aporta poco margen al total: dale visibilidad antes de retirarlo.</v>
      </c>
      <c r="J10" s="15" t="str">
        <f>IFERROR(IF($B10="","",IF($H10=0,"Mantener",IF(AND($D10="Dog",$E10="Loser"),"Retirar",IF($D10="Plowhorse","Resubir",IF($D10="Puzzle","Rediseñar",IF($F10="Problem","Reformular","Revisar")))))),"")</f>
        <v>Rediseñar</v>
      </c>
    </row>
    <row r="11">
      <c r="A11" s="8" t="n">
        <v>7</v>
      </c>
      <c r="B11" t="str">
        <f>IFERROR(IF('Datos'!$B11="","",'Datos'!$B11),"")</f>
        <v>Sopa de tomate asado con albahaca</v>
      </c>
      <c r="C11" t="str">
        <f>IFERROR(IF('Datos'!$C11="","",'Datos'!$C11),"")</f>
        <v>Entrantes</v>
      </c>
      <c r="D11" s="15" t="str">
        <f>IFERROR(IF('Kasavana-Smith'!$K11="","",'Kasavana-Smith'!$K11),"")</f>
        <v>Dog</v>
      </c>
      <c r="E11" s="15" t="str">
        <f>IFERROR(IF('Miller'!$K11="","",'Miller'!$K11),"")</f>
        <v>Marginal</v>
      </c>
      <c r="F11" s="15" t="str">
        <f>IFERROR(IF('Pavesic'!$K11="","",'Pavesic'!$K11),"")</f>
        <v>Sleeper</v>
      </c>
      <c r="G11" s="15" t="str">
        <f>IFERROR(IF('Goal Value'!$L11="","",'Goal Value'!$L11),"")</f>
        <v>Por debajo del objetivo</v>
      </c>
      <c r="H11" s="24">
        <f>IFERROR(IF($B11="","",IF($D11="Star",0,1)+IF($E11="Winner",0,1)+IF($F11="Prime",0,1)+IF($G11="Por encima del objetivo",0,1)),"")</f>
        <v>4.0</v>
      </c>
      <c r="I11" s="25" t="str">
        <f>IFERROR(IF($B11="","",IF($H11=0,"Las cuatro lecturas coinciden en lo mejor: mantener, destacar en carta y proteger receta y proveedor.",IF(AND($D11="Dog",$E11="Loser",$F11="Problem"),"Poco pedido, food cost alto y aporta poco margen al total: candidato a retirar o a reformular de raíz.",IF(AND($D11="Plowhorse",$E11="Winner"),"Popular con margen bajo: subir precio o bajar coste.",IF(AND($D11="Plowhorse",$E11="Loser"),"Popular pero caro de producir y de margen corto: reformular la receta antes de tocar el precio.",IF(AND('Datos'!$G11&gt;='Datos'!$N11,'Datos'!$H11&gt;'Datos'!$O11),"MC alto con food cost pobre: proteger el margen en euros, revisar precio, no retirar.",IF(AND($D11="Puzzle",$E11="Winner"),"Rentable y con food cost sano, pero poco pedido: es problema de carta, no de cocina. Renómbralo, súbelo de posición o que lo sugiera la sala.",IF($F11="Sleeper","Food cost sano pero aporta poco margen al total: dale visibilidad antes de retirarlo.",IF(AND($G11="Por debajo del objetivo",$D11="Star"),"Vende y deja margen, pero se queda por debajo del Goal Value de su familia: va justo de recorrido, revisa el precio.",IF($D11="Dog","Poco pedido: antes de retirarlo comprueba si es de temporada o si acompaña a otro plato que sí vende.","Las lecturas discrepan: cada método mide dos de las tres variables (popularidad, margen en euros y food cost). Decide con la que más te duela este mes.")))))))))),"")</f>
        <v>Food cost sano pero aporta poco margen al total: dale visibilidad antes de retirarlo.</v>
      </c>
      <c r="J11" s="15" t="str">
        <f>IFERROR(IF($B11="","",IF($H11=0,"Mantener",IF(AND($D11="Dog",$E11="Loser"),"Retirar",IF($D11="Plowhorse","Resubir",IF($D11="Puzzle","Rediseñar",IF($F11="Problem","Reformular","Revisar")))))),"")</f>
        <v>Revisar</v>
      </c>
    </row>
    <row r="12">
      <c r="A12" s="8" t="n">
        <v>8</v>
      </c>
      <c r="B12" t="str">
        <f>IFERROR(IF('Datos'!$B12="","",'Datos'!$B12),"")</f>
        <v>Solomillo de cerdo ibérico con puré de boniato</v>
      </c>
      <c r="C12" t="str">
        <f>IFERROR(IF('Datos'!$C12="","",'Datos'!$C12),"")</f>
        <v>Principales</v>
      </c>
      <c r="D12" s="15" t="str">
        <f>IFERROR(IF('Kasavana-Smith'!$K12="","",'Kasavana-Smith'!$K12),"")</f>
        <v>Star</v>
      </c>
      <c r="E12" s="15" t="str">
        <f>IFERROR(IF('Miller'!$K12="","",'Miller'!$K12),"")</f>
        <v>Winner</v>
      </c>
      <c r="F12" s="15" t="str">
        <f>IFERROR(IF('Pavesic'!$K12="","",'Pavesic'!$K12),"")</f>
        <v>Prime</v>
      </c>
      <c r="G12" s="15" t="str">
        <f>IFERROR(IF('Goal Value'!$L12="","",'Goal Value'!$L12),"")</f>
        <v>Por encima del objetivo</v>
      </c>
      <c r="H12" s="24">
        <f>IFERROR(IF($B12="","",IF($D12="Star",0,1)+IF($E12="Winner",0,1)+IF($F12="Prime",0,1)+IF($G12="Por encima del objetivo",0,1)),"")</f>
        <v>0.0</v>
      </c>
      <c r="I12" s="25" t="str">
        <f>IFERROR(IF($B12="","",IF($H12=0,"Las cuatro lecturas coinciden en lo mejor: mantener, destacar en carta y proteger receta y proveedor.",IF(AND($D12="Dog",$E12="Loser",$F12="Problem"),"Poco pedido, food cost alto y aporta poco margen al total: candidato a retirar o a reformular de raíz.",IF(AND($D12="Plowhorse",$E12="Winner"),"Popular con margen bajo: subir precio o bajar coste.",IF(AND($D12="Plowhorse",$E12="Loser"),"Popular pero caro de producir y de margen corto: reformular la receta antes de tocar el precio.",IF(AND('Datos'!$G12&gt;='Datos'!$N12,'Datos'!$H12&gt;'Datos'!$O12),"MC alto con food cost pobre: proteger el margen en euros, revisar precio, no retirar.",IF(AND($D12="Puzzle",$E12="Winner"),"Rentable y con food cost sano, pero poco pedido: es problema de carta, no de cocina. Renómbralo, súbelo de posición o que lo sugiera la sala.",IF($F12="Sleeper","Food cost sano pero aporta poco margen al total: dale visibilidad antes de retirarlo.",IF(AND($G12="Por debajo del objetivo",$D12="Star"),"Vende y deja margen, pero se queda por debajo del Goal Value de su familia: va justo de recorrido, revisa el precio.",IF($D12="Dog","Poco pedido: antes de retirarlo comprueba si es de temporada o si acompaña a otro plato que sí vende.","Las lecturas discrepan: cada método mide dos de las tres variables (popularidad, margen en euros y food cost). Decide con la que más te duela este mes.")))))))))),"")</f>
        <v>Las cuatro lecturas coinciden en lo mejor: mantener, destacar en carta y proteger receta y proveedor.</v>
      </c>
      <c r="J12" s="15" t="str">
        <f>IFERROR(IF($B12="","",IF($H12=0,"Mantener",IF(AND($D12="Dog",$E12="Loser"),"Retirar",IF($D12="Plowhorse","Resubir",IF($D12="Puzzle","Rediseñar",IF($F12="Problem","Reformular","Revisar")))))),"")</f>
        <v>Mantener</v>
      </c>
    </row>
    <row r="13">
      <c r="A13" s="8" t="n">
        <v>9</v>
      </c>
      <c r="B13" t="str">
        <f>IFERROR(IF('Datos'!$B13="","",'Datos'!$B13),"")</f>
        <v>Bacalao confitado al pil-pil</v>
      </c>
      <c r="C13" t="str">
        <f>IFERROR(IF('Datos'!$C13="","",'Datos'!$C13),"")</f>
        <v>Principales</v>
      </c>
      <c r="D13" s="15" t="str">
        <f>IFERROR(IF('Kasavana-Smith'!$K13="","",'Kasavana-Smith'!$K13),"")</f>
        <v>Star</v>
      </c>
      <c r="E13" s="15" t="str">
        <f>IFERROR(IF('Miller'!$K13="","",'Miller'!$K13),"")</f>
        <v>Marginal</v>
      </c>
      <c r="F13" s="15" t="str">
        <f>IFERROR(IF('Pavesic'!$K13="","",'Pavesic'!$K13),"")</f>
        <v>Problem</v>
      </c>
      <c r="G13" s="15" t="str">
        <f>IFERROR(IF('Goal Value'!$L13="","",'Goal Value'!$L13),"")</f>
        <v>Por debajo del objetivo</v>
      </c>
      <c r="H13" s="24">
        <f>IFERROR(IF($B13="","",IF($D13="Star",0,1)+IF($E13="Winner",0,1)+IF($F13="Prime",0,1)+IF($G13="Por encima del objetivo",0,1)),"")</f>
        <v>3.0</v>
      </c>
      <c r="I13" s="25" t="str">
        <f>IFERROR(IF($B13="","",IF($H13=0,"Las cuatro lecturas coinciden en lo mejor: mantener, destacar en carta y proteger receta y proveedor.",IF(AND($D13="Dog",$E13="Loser",$F13="Problem"),"Poco pedido, food cost alto y aporta poco margen al total: candidato a retirar o a reformular de raíz.",IF(AND($D13="Plowhorse",$E13="Winner"),"Popular con margen bajo: subir precio o bajar coste.",IF(AND($D13="Plowhorse",$E13="Loser"),"Popular pero caro de producir y de margen corto: reformular la receta antes de tocar el precio.",IF(AND('Datos'!$G13&gt;='Datos'!$N13,'Datos'!$H13&gt;'Datos'!$O13),"MC alto con food cost pobre: proteger el margen en euros, revisar precio, no retirar.",IF(AND($D13="Puzzle",$E13="Winner"),"Rentable y con food cost sano, pero poco pedido: es problema de carta, no de cocina. Renómbralo, súbelo de posición o que lo sugiera la sala.",IF($F13="Sleeper","Food cost sano pero aporta poco margen al total: dale visibilidad antes de retirarlo.",IF(AND($G13="Por debajo del objetivo",$D13="Star"),"Vende y deja margen, pero se queda por debajo del Goal Value de su familia: va justo de recorrido, revisa el precio.",IF($D13="Dog","Poco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13" s="15" t="str">
        <f>IFERROR(IF($B13="","",IF($H13=0,"Mantener",IF(AND($D13="Dog",$E13="Loser"),"Retirar",IF($D13="Plowhorse","Resubir",IF($D13="Puzzle","Rediseñar",IF($F13="Problem","Reformular","Revisar")))))),"")</f>
        <v>Reformular</v>
      </c>
    </row>
    <row r="14">
      <c r="A14" s="8" t="n">
        <v>10</v>
      </c>
      <c r="B14" t="str">
        <f>IFERROR(IF('Datos'!$B14="","",'Datos'!$B14),"")</f>
        <v>Hamburguesa de vaca madurada con patatas</v>
      </c>
      <c r="C14" t="str">
        <f>IFERROR(IF('Datos'!$C14="","",'Datos'!$C14),"")</f>
        <v>Principales</v>
      </c>
      <c r="D14" s="15" t="str">
        <f>IFERROR(IF('Kasavana-Smith'!$K14="","",'Kasavana-Smith'!$K14),"")</f>
        <v>Plowhorse</v>
      </c>
      <c r="E14" s="15" t="str">
        <f>IFERROR(IF('Miller'!$K14="","",'Miller'!$K14),"")</f>
        <v>Winner</v>
      </c>
      <c r="F14" s="15" t="str">
        <f>IFERROR(IF('Pavesic'!$K14="","",'Pavesic'!$K14),"")</f>
        <v>Prime</v>
      </c>
      <c r="G14" s="15" t="str">
        <f>IFERROR(IF('Goal Value'!$L14="","",'Goal Value'!$L14),"")</f>
        <v>Por encima del objetivo</v>
      </c>
      <c r="H14" s="24">
        <f>IFERROR(IF($B14="","",IF($D14="Star",0,1)+IF($E14="Winner",0,1)+IF($F14="Prime",0,1)+IF($G14="Por encima del objetivo",0,1)),"")</f>
        <v>1.0</v>
      </c>
      <c r="I14" s="25" t="str">
        <f>IFERROR(IF($B14="","",IF($H14=0,"Las cuatro lecturas coinciden en lo mejor: mantener, destacar en carta y proteger receta y proveedor.",IF(AND($D14="Dog",$E14="Loser",$F14="Problem"),"Poco pedido, food cost alto y aporta poco margen al total: candidato a retirar o a reformular de raíz.",IF(AND($D14="Plowhorse",$E14="Winner"),"Popular con margen bajo: subir precio o bajar coste.",IF(AND($D14="Plowhorse",$E14="Loser"),"Popular pero caro de producir y de margen corto: reformular la receta antes de tocar el precio.",IF(AND('Datos'!$G14&gt;='Datos'!$N14,'Datos'!$H14&gt;'Datos'!$O14),"MC alto con food cost pobre: proteger el margen en euros, revisar precio, no retirar.",IF(AND($D14="Puzzle",$E14="Winner"),"Rentable y con food cost sano, pero poco pedido: es problema de carta, no de cocina. Renómbralo, súbelo de posición o que lo sugiera la sala.",IF($F14="Sleeper","Food cost sano pero aporta poco margen al total: dale visibilidad antes de retirarlo.",IF(AND($G14="Por debajo del objetivo",$D14="Star"),"Vende y deja margen, pero se queda por debajo del Goal Value de su familia: va justo de recorrido, revisa el precio.",IF($D14="Dog","Poco pedido: antes de retirarlo comprueba si es de temporada o si acompaña a otro plato que sí vende.","Las lecturas discrepan: cada método mide dos de las tres variables (popularidad, margen en euros y food cost). Decide con la que más te duela este mes.")))))))))),"")</f>
        <v>Popular con margen bajo: subir precio o bajar coste.</v>
      </c>
      <c r="J14" s="15" t="str">
        <f>IFERROR(IF($B14="","",IF($H14=0,"Mantener",IF(AND($D14="Dog",$E14="Loser"),"Retirar",IF($D14="Plowhorse","Resubir",IF($D14="Puzzle","Rediseñar",IF($F14="Problem","Reformular","Revisar")))))),"")</f>
        <v>Resubir</v>
      </c>
    </row>
    <row r="15">
      <c r="A15" s="8" t="n">
        <v>11</v>
      </c>
      <c r="B15" t="str">
        <f>IFERROR(IF('Datos'!$B15="","",'Datos'!$B15),"")</f>
        <v>Arroz meloso de secreto ibérico y setas</v>
      </c>
      <c r="C15" t="str">
        <f>IFERROR(IF('Datos'!$C15="","",'Datos'!$C15),"")</f>
        <v>Principales</v>
      </c>
      <c r="D15" s="15" t="str">
        <f>IFERROR(IF('Kasavana-Smith'!$K15="","",'Kasavana-Smith'!$K15),"")</f>
        <v>Plowhorse</v>
      </c>
      <c r="E15" s="15" t="str">
        <f>IFERROR(IF('Miller'!$K15="","",'Miller'!$K15),"")</f>
        <v>Marginal</v>
      </c>
      <c r="F15" s="15" t="str">
        <f>IFERROR(IF('Pavesic'!$K15="","",'Pavesic'!$K15),"")</f>
        <v>Standard</v>
      </c>
      <c r="G15" s="15" t="str">
        <f>IFERROR(IF('Goal Value'!$L15="","",'Goal Value'!$L15),"")</f>
        <v>Por encima del objetivo</v>
      </c>
      <c r="H15" s="24">
        <f>IFERROR(IF($B15="","",IF($D15="Star",0,1)+IF($E15="Winner",0,1)+IF($F15="Prime",0,1)+IF($G15="Por encima del objetivo",0,1)),"")</f>
        <v>3.0</v>
      </c>
      <c r="I15" s="25" t="str">
        <f>IFERROR(IF($B15="","",IF($H15=0,"Las cuatro lecturas coinciden en lo mejor: mantener, destacar en carta y proteger receta y proveedor.",IF(AND($D15="Dog",$E15="Loser",$F15="Problem"),"Poco pedido, food cost alto y aporta poco margen al total: candidato a retirar o a reformular de raíz.",IF(AND($D15="Plowhorse",$E15="Winner"),"Popular con margen bajo: subir precio o bajar coste.",IF(AND($D15="Plowhorse",$E15="Loser"),"Popular pero caro de producir y de margen corto: reformular la receta antes de tocar el precio.",IF(AND('Datos'!$G15&gt;='Datos'!$N15,'Datos'!$H15&gt;'Datos'!$O15),"MC alto con food cost pobre: proteger el margen en euros, revisar precio, no retirar.",IF(AND($D15="Puzzle",$E15="Winner"),"Rentable y con food cost sano, pero poco pedido: es problema de carta, no de cocina. Renómbralo, súbelo de posición o que lo sugiera la sala.",IF($F15="Sleeper","Food cost sano pero aporta poco margen al total: dale visibilidad antes de retirarlo.",IF(AND($G15="Por debajo del objetivo",$D15="Star"),"Vende y deja margen, pero se queda por debajo del Goal Value de su familia: va justo de recorrido, revisa el precio.",IF($D15="Dog","Poco pedido: antes de retirarlo comprueba si es de temporada o si acompaña a otro plato que sí vende.","Las lecturas discrepan: cada método mide dos de las tres variables (popularidad, margen en euros y food cost). Decide con la que más te duela este mes.")))))))))),"")</f>
        <v>Las lecturas discrepan: cada método mide dos de las tres variables (popularidad, margen en euros y food cost). Decide con la que más te duela este mes.</v>
      </c>
      <c r="J15" s="15" t="str">
        <f>IFERROR(IF($B15="","",IF($H15=0,"Mantener",IF(AND($D15="Dog",$E15="Loser"),"Retirar",IF($D15="Plowhorse","Resubir",IF($D15="Puzzle","Rediseñar",IF($F15="Problem","Reformular","Revisar")))))),"")</f>
        <v>Resubir</v>
      </c>
    </row>
    <row r="16">
      <c r="A16" s="8" t="n">
        <v>12</v>
      </c>
      <c r="B16" t="str">
        <f>IFERROR(IF('Datos'!$B16="","",'Datos'!$B16),"")</f>
        <v>Chuletón de vaca madurada (500 g)</v>
      </c>
      <c r="C16" t="str">
        <f>IFERROR(IF('Datos'!$C16="","",'Datos'!$C16),"")</f>
        <v>Principales</v>
      </c>
      <c r="D16" s="15" t="str">
        <f>IFERROR(IF('Kasavana-Smith'!$K16="","",'Kasavana-Smith'!$K16),"")</f>
        <v>Puzzle</v>
      </c>
      <c r="E16" s="15" t="str">
        <f>IFERROR(IF('Miller'!$K16="","",'Miller'!$K16),"")</f>
        <v>Loser</v>
      </c>
      <c r="F16" s="15" t="str">
        <f>IFERROR(IF('Pavesic'!$K16="","",'Pavesic'!$K16),"")</f>
        <v>Problem</v>
      </c>
      <c r="G16" s="15" t="str">
        <f>IFERROR(IF('Goal Value'!$L16="","",'Goal Value'!$L16),"")</f>
        <v>Por debajo del objetivo</v>
      </c>
      <c r="H16" s="24">
        <f>IFERROR(IF($B16="","",IF($D16="Star",0,1)+IF($E16="Winner",0,1)+IF($F16="Prime",0,1)+IF($G16="Por encima del objetivo",0,1)),"")</f>
        <v>4.0</v>
      </c>
      <c r="I16" s="25" t="str">
        <f>IFERROR(IF($B16="","",IF($H16=0,"Las cuatro lecturas coinciden en lo mejor: mantener, destacar en carta y proteger receta y proveedor.",IF(AND($D16="Dog",$E16="Loser",$F16="Problem"),"Poco pedido, food cost alto y aporta poco margen al total: candidato a retirar o a reformular de raíz.",IF(AND($D16="Plowhorse",$E16="Winner"),"Popular con margen bajo: subir precio o bajar coste.",IF(AND($D16="Plowhorse",$E16="Loser"),"Popular pero caro de producir y de margen corto: reformular la receta antes de tocar el precio.",IF(AND('Datos'!$G16&gt;='Datos'!$N16,'Datos'!$H16&gt;'Datos'!$O16),"MC alto con food cost pobre: proteger el margen en euros, revisar precio, no retirar.",IF(AND($D16="Puzzle",$E16="Winner"),"Rentable y con food cost sano, pero poco pedido: es problema de carta, no de cocina. Renómbralo, súbelo de posición o que lo sugiera la sala.",IF($F16="Sleeper","Food cost sano pero aporta poco margen al total: dale visibilidad antes de retirarlo.",IF(AND($G16="Por debajo del objetivo",$D16="Star"),"Vende y deja margen, pero se queda por debajo del Goal Value de su familia: va justo de recorrido, revisa el precio.",IF($D16="Dog","Poco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16" s="15" t="str">
        <f>IFERROR(IF($B16="","",IF($H16=0,"Mantener",IF(AND($D16="Dog",$E16="Loser"),"Retirar",IF($D16="Plowhorse","Resubir",IF($D16="Puzzle","Rediseñar",IF($F16="Problem","Reformular","Revisar")))))),"")</f>
        <v>Rediseñar</v>
      </c>
    </row>
    <row r="17">
      <c r="A17" s="8" t="n">
        <v>13</v>
      </c>
      <c r="B17" t="str">
        <f>IFERROR(IF('Datos'!$B17="","",'Datos'!$B17),"")</f>
        <v>Lubina a la sal</v>
      </c>
      <c r="C17" t="str">
        <f>IFERROR(IF('Datos'!$C17="","",'Datos'!$C17),"")</f>
        <v>Principales</v>
      </c>
      <c r="D17" s="15" t="str">
        <f>IFERROR(IF('Kasavana-Smith'!$K17="","",'Kasavana-Smith'!$K17),"")</f>
        <v>Puzzle</v>
      </c>
      <c r="E17" s="15" t="str">
        <f>IFERROR(IF('Miller'!$K17="","",'Miller'!$K17),"")</f>
        <v>Loser</v>
      </c>
      <c r="F17" s="15" t="str">
        <f>IFERROR(IF('Pavesic'!$K17="","",'Pavesic'!$K17),"")</f>
        <v>Problem</v>
      </c>
      <c r="G17" s="15" t="str">
        <f>IFERROR(IF('Goal Value'!$L17="","",'Goal Value'!$L17),"")</f>
        <v>Por debajo del objetivo</v>
      </c>
      <c r="H17" s="24">
        <f>IFERROR(IF($B17="","",IF($D17="Star",0,1)+IF($E17="Winner",0,1)+IF($F17="Prime",0,1)+IF($G17="Por encima del objetivo",0,1)),"")</f>
        <v>4.0</v>
      </c>
      <c r="I17" s="25" t="str">
        <f>IFERROR(IF($B17="","",IF($H17=0,"Las cuatro lecturas coinciden en lo mejor: mantener, destacar en carta y proteger receta y proveedor.",IF(AND($D17="Dog",$E17="Loser",$F17="Problem"),"Poco pedido, food cost alto y aporta poco margen al total: candidato a retirar o a reformular de raíz.",IF(AND($D17="Plowhorse",$E17="Winner"),"Popular con margen bajo: subir precio o bajar coste.",IF(AND($D17="Plowhorse",$E17="Loser"),"Popular pero caro de producir y de margen corto: reformular la receta antes de tocar el precio.",IF(AND('Datos'!$G17&gt;='Datos'!$N17,'Datos'!$H17&gt;'Datos'!$O17),"MC alto con food cost pobre: proteger el margen en euros, revisar precio, no retirar.",IF(AND($D17="Puzzle",$E17="Winner"),"Rentable y con food cost sano, pero poco pedido: es problema de carta, no de cocina. Renómbralo, súbelo de posición o que lo sugiera la sala.",IF($F17="Sleeper","Food cost sano pero aporta poco margen al total: dale visibilidad antes de retirarlo.",IF(AND($G17="Por debajo del objetivo",$D17="Star"),"Vende y deja margen, pero se queda por debajo del Goal Value de su familia: va justo de recorrido, revisa el precio.",IF($D17="Dog","Poco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17" s="15" t="str">
        <f>IFERROR(IF($B17="","",IF($H17=0,"Mantener",IF(AND($D17="Dog",$E17="Loser"),"Retirar",IF($D17="Plowhorse","Resubir",IF($D17="Puzzle","Rediseñar",IF($F17="Problem","Reformular","Revisar")))))),"")</f>
        <v>Rediseñar</v>
      </c>
    </row>
    <row r="18">
      <c r="A18" s="8" t="n">
        <v>14</v>
      </c>
      <c r="B18" t="str">
        <f>IFERROR(IF('Datos'!$B18="","",'Datos'!$B18),"")</f>
        <v>Pollo de corral asado con patatas</v>
      </c>
      <c r="C18" t="str">
        <f>IFERROR(IF('Datos'!$C18="","",'Datos'!$C18),"")</f>
        <v>Principales</v>
      </c>
      <c r="D18" s="15" t="str">
        <f>IFERROR(IF('Kasavana-Smith'!$K18="","",'Kasavana-Smith'!$K18),"")</f>
        <v>Plowhorse</v>
      </c>
      <c r="E18" s="15" t="str">
        <f>IFERROR(IF('Miller'!$K18="","",'Miller'!$K18),"")</f>
        <v>Winner</v>
      </c>
      <c r="F18" s="15" t="str">
        <f>IFERROR(IF('Pavesic'!$K18="","",'Pavesic'!$K18),"")</f>
        <v>Prime</v>
      </c>
      <c r="G18" s="15" t="str">
        <f>IFERROR(IF('Goal Value'!$L18="","",'Goal Value'!$L18),"")</f>
        <v>Por encima del objetivo</v>
      </c>
      <c r="H18" s="24">
        <f>IFERROR(IF($B18="","",IF($D18="Star",0,1)+IF($E18="Winner",0,1)+IF($F18="Prime",0,1)+IF($G18="Por encima del objetivo",0,1)),"")</f>
        <v>1.0</v>
      </c>
      <c r="I18" s="25" t="str">
        <f>IFERROR(IF($B18="","",IF($H18=0,"Las cuatro lecturas coinciden en lo mejor: mantener, destacar en carta y proteger receta y proveedor.",IF(AND($D18="Dog",$E18="Loser",$F18="Problem"),"Poco pedido, food cost alto y aporta poco margen al total: candidato a retirar o a reformular de raíz.",IF(AND($D18="Plowhorse",$E18="Winner"),"Popular con margen bajo: subir precio o bajar coste.",IF(AND($D18="Plowhorse",$E18="Loser"),"Popular pero caro de producir y de margen corto: reformular la receta antes de tocar el precio.",IF(AND('Datos'!$G18&gt;='Datos'!$N18,'Datos'!$H18&gt;'Datos'!$O18),"MC alto con food cost pobre: proteger el margen en euros, revisar precio, no retirar.",IF(AND($D18="Puzzle",$E18="Winner"),"Rentable y con food cost sano, pero poco pedido: es problema de carta, no de cocina. Renómbralo, súbelo de posición o que lo sugiera la sala.",IF($F18="Sleeper","Food cost sano pero aporta poco margen al total: dale visibilidad antes de retirarlo.",IF(AND($G18="Por debajo del objetivo",$D18="Star"),"Vende y deja margen, pero se queda por debajo del Goal Value de su familia: va justo de recorrido, revisa el precio.",IF($D18="Dog","Poco pedido: antes de retirarlo comprueba si es de temporada o si acompaña a otro plato que sí vende.","Las lecturas discrepan: cada método mide dos de las tres variables (popularidad, margen en euros y food cost). Decide con la que más te duela este mes.")))))))))),"")</f>
        <v>Popular con margen bajo: subir precio o bajar coste.</v>
      </c>
      <c r="J18" s="15" t="str">
        <f>IFERROR(IF($B18="","",IF($H18=0,"Mantener",IF(AND($D18="Dog",$E18="Loser"),"Retirar",IF($D18="Plowhorse","Resubir",IF($D18="Puzzle","Rediseñar",IF($F18="Problem","Reformular","Revisar")))))),"")</f>
        <v>Resubir</v>
      </c>
    </row>
    <row r="19">
      <c r="A19" s="8" t="n">
        <v>15</v>
      </c>
      <c r="B19" t="str">
        <f>IFERROR(IF('Datos'!$B19="","",'Datos'!$B19),"")</f>
        <v>Lasaña de verduras de temporada</v>
      </c>
      <c r="C19" t="str">
        <f>IFERROR(IF('Datos'!$C19="","",'Datos'!$C19),"")</f>
        <v>Principales</v>
      </c>
      <c r="D19" s="15" t="str">
        <f>IFERROR(IF('Kasavana-Smith'!$K19="","",'Kasavana-Smith'!$K19),"")</f>
        <v>Dog</v>
      </c>
      <c r="E19" s="15" t="str">
        <f>IFERROR(IF('Miller'!$K19="","",'Miller'!$K19),"")</f>
        <v>Marginal</v>
      </c>
      <c r="F19" s="15" t="str">
        <f>IFERROR(IF('Pavesic'!$K19="","",'Pavesic'!$K19),"")</f>
        <v>Sleeper</v>
      </c>
      <c r="G19" s="15" t="str">
        <f>IFERROR(IF('Goal Value'!$L19="","",'Goal Value'!$L19),"")</f>
        <v>Por debajo del objetivo</v>
      </c>
      <c r="H19" s="24">
        <f>IFERROR(IF($B19="","",IF($D19="Star",0,1)+IF($E19="Winner",0,1)+IF($F19="Prime",0,1)+IF($G19="Por encima del objetivo",0,1)),"")</f>
        <v>4.0</v>
      </c>
      <c r="I19" s="25" t="str">
        <f>IFERROR(IF($B19="","",IF($H19=0,"Las cuatro lecturas coinciden en lo mejor: mantener, destacar en carta y proteger receta y proveedor.",IF(AND($D19="Dog",$E19="Loser",$F19="Problem"),"Poco pedido, food cost alto y aporta poco margen al total: candidato a retirar o a reformular de raíz.",IF(AND($D19="Plowhorse",$E19="Winner"),"Popular con margen bajo: subir precio o bajar coste.",IF(AND($D19="Plowhorse",$E19="Loser"),"Popular pero caro de producir y de margen corto: reformular la receta antes de tocar el precio.",IF(AND('Datos'!$G19&gt;='Datos'!$N19,'Datos'!$H19&gt;'Datos'!$O19),"MC alto con food cost pobre: proteger el margen en euros, revisar precio, no retirar.",IF(AND($D19="Puzzle",$E19="Winner"),"Rentable y con food cost sano, pero poco pedido: es problema de carta, no de cocina. Renómbralo, súbelo de posición o que lo sugiera la sala.",IF($F19="Sleeper","Food cost sano pero aporta poco margen al total: dale visibilidad antes de retirarlo.",IF(AND($G19="Por debajo del objetivo",$D19="Star"),"Vende y deja margen, pero se queda por debajo del Goal Value de su familia: va justo de recorrido, revisa el precio.",IF($D19="Dog","Poco pedido: antes de retirarlo comprueba si es de temporada o si acompaña a otro plato que sí vende.","Las lecturas discrepan: cada método mide dos de las tres variables (popularidad, margen en euros y food cost). Decide con la que más te duela este mes.")))))))))),"")</f>
        <v>Food cost sano pero aporta poco margen al total: dale visibilidad antes de retirarlo.</v>
      </c>
      <c r="J19" s="15" t="str">
        <f>IFERROR(IF($B19="","",IF($H19=0,"Mantener",IF(AND($D19="Dog",$E19="Loser"),"Retirar",IF($D19="Plowhorse","Resubir",IF($D19="Puzzle","Rediseñar",IF($F19="Problem","Reformular","Revisar")))))),"")</f>
        <v>Revisar</v>
      </c>
    </row>
    <row r="20">
      <c r="A20" s="8" t="n">
        <v>16</v>
      </c>
      <c r="B20" t="str">
        <f>IFERROR(IF('Datos'!$B20="","",'Datos'!$B20),"")</f>
        <v>Tataki de atún rojo con sésamo</v>
      </c>
      <c r="C20" t="str">
        <f>IFERROR(IF('Datos'!$C20="","",'Datos'!$C20),"")</f>
        <v>Principales</v>
      </c>
      <c r="D20" s="15" t="str">
        <f>IFERROR(IF('Kasavana-Smith'!$K20="","",'Kasavana-Smith'!$K20),"")</f>
        <v>Puzzle</v>
      </c>
      <c r="E20" s="15" t="str">
        <f>IFERROR(IF('Miller'!$K20="","",'Miller'!$K20),"")</f>
        <v>Loser</v>
      </c>
      <c r="F20" s="15" t="str">
        <f>IFERROR(IF('Pavesic'!$K20="","",'Pavesic'!$K20),"")</f>
        <v>Problem</v>
      </c>
      <c r="G20" s="15" t="str">
        <f>IFERROR(IF('Goal Value'!$L20="","",'Goal Value'!$L20),"")</f>
        <v>Por debajo del objetivo</v>
      </c>
      <c r="H20" s="24">
        <f>IFERROR(IF($B20="","",IF($D20="Star",0,1)+IF($E20="Winner",0,1)+IF($F20="Prime",0,1)+IF($G20="Por encima del objetivo",0,1)),"")</f>
        <v>4.0</v>
      </c>
      <c r="I20" s="25" t="str">
        <f>IFERROR(IF($B20="","",IF($H20=0,"Las cuatro lecturas coinciden en lo mejor: mantener, destacar en carta y proteger receta y proveedor.",IF(AND($D20="Dog",$E20="Loser",$F20="Problem"),"Poco pedido, food cost alto y aporta poco margen al total: candidato a retirar o a reformular de raíz.",IF(AND($D20="Plowhorse",$E20="Winner"),"Popular con margen bajo: subir precio o bajar coste.",IF(AND($D20="Plowhorse",$E20="Loser"),"Popular pero caro de producir y de margen corto: reformular la receta antes de tocar el precio.",IF(AND('Datos'!$G20&gt;='Datos'!$N20,'Datos'!$H20&gt;'Datos'!$O20),"MC alto con food cost pobre: proteger el margen en euros, revisar precio, no retirar.",IF(AND($D20="Puzzle",$E20="Winner"),"Rentable y con food cost sano, pero poco pedido: es problema de carta, no de cocina. Renómbralo, súbelo de posición o que lo sugiera la sala.",IF($F20="Sleeper","Food cost sano pero aporta poco margen al total: dale visibilidad antes de retirarlo.",IF(AND($G20="Por debajo del objetivo",$D20="Star"),"Vende y deja margen, pero se queda por debajo del Goal Value de su familia: va justo de recorrido, revisa el precio.",IF($D20="Dog","Poco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20" s="15" t="str">
        <f>IFERROR(IF($B20="","",IF($H20=0,"Mantener",IF(AND($D20="Dog",$E20="Loser"),"Retirar",IF($D20="Plowhorse","Resubir",IF($D20="Puzzle","Rediseñar",IF($F20="Problem","Reformular","Revisar")))))),"")</f>
        <v>Rediseñar</v>
      </c>
    </row>
    <row r="21">
      <c r="A21" s="8" t="n">
        <v>17</v>
      </c>
      <c r="B21" t="str">
        <f>IFERROR(IF('Datos'!$B21="","",'Datos'!$B21),"")</f>
        <v>Tarta de queso cremosa</v>
      </c>
      <c r="C21" t="str">
        <f>IFERROR(IF('Datos'!$C21="","",'Datos'!$C21),"")</f>
        <v>Postres</v>
      </c>
      <c r="D21" s="15" t="str">
        <f>IFERROR(IF('Kasavana-Smith'!$K21="","",'Kasavana-Smith'!$K21),"")</f>
        <v>Star</v>
      </c>
      <c r="E21" s="15" t="str">
        <f>IFERROR(IF('Miller'!$K21="","",'Miller'!$K21),"")</f>
        <v>Winner</v>
      </c>
      <c r="F21" s="15" t="str">
        <f>IFERROR(IF('Pavesic'!$K21="","",'Pavesic'!$K21),"")</f>
        <v>Prime</v>
      </c>
      <c r="G21" s="15" t="str">
        <f>IFERROR(IF('Goal Value'!$L21="","",'Goal Value'!$L21),"")</f>
        <v>Por encima del objetivo</v>
      </c>
      <c r="H21" s="24">
        <f>IFERROR(IF($B21="","",IF($D21="Star",0,1)+IF($E21="Winner",0,1)+IF($F21="Prime",0,1)+IF($G21="Por encima del objetivo",0,1)),"")</f>
        <v>0.0</v>
      </c>
      <c r="I21" s="25" t="str">
        <f>IFERROR(IF($B21="","",IF($H21=0,"Las cuatro lecturas coinciden en lo mejor: mantener, destacar en carta y proteger receta y proveedor.",IF(AND($D21="Dog",$E21="Loser",$F21="Problem"),"Poco pedido, food cost alto y aporta poco margen al total: candidato a retirar o a reformular de raíz.",IF(AND($D21="Plowhorse",$E21="Winner"),"Popular con margen bajo: subir precio o bajar coste.",IF(AND($D21="Plowhorse",$E21="Loser"),"Popular pero caro de producir y de margen corto: reformular la receta antes de tocar el precio.",IF(AND('Datos'!$G21&gt;='Datos'!$N21,'Datos'!$H21&gt;'Datos'!$O21),"MC alto con food cost pobre: proteger el margen en euros, revisar precio, no retirar.",IF(AND($D21="Puzzle",$E21="Winner"),"Rentable y con food cost sano, pero poco pedido: es problema de carta, no de cocina. Renómbralo, súbelo de posición o que lo sugiera la sala.",IF($F21="Sleeper","Food cost sano pero aporta poco margen al total: dale visibilidad antes de retirarlo.",IF(AND($G21="Por debajo del objetivo",$D21="Star"),"Vende y deja margen, pero se queda por debajo del Goal Value de su familia: va justo de recorrido, revisa el precio.",IF($D21="Dog","Poco pedido: antes de retirarlo comprueba si es de temporada o si acompaña a otro plato que sí vende.","Las lecturas discrepan: cada método mide dos de las tres variables (popularidad, margen en euros y food cost). Decide con la que más te duela este mes.")))))))))),"")</f>
        <v>Las cuatro lecturas coinciden en lo mejor: mantener, destacar en carta y proteger receta y proveedor.</v>
      </c>
      <c r="J21" s="15" t="str">
        <f>IFERROR(IF($B21="","",IF($H21=0,"Mantener",IF(AND($D21="Dog",$E21="Loser"),"Retirar",IF($D21="Plowhorse","Resubir",IF($D21="Puzzle","Rediseñar",IF($F21="Problem","Reformular","Revisar")))))),"")</f>
        <v>Mantener</v>
      </c>
    </row>
    <row r="22">
      <c r="A22" s="8" t="n">
        <v>18</v>
      </c>
      <c r="B22" t="str">
        <f>IFERROR(IF('Datos'!$B22="","",'Datos'!$B22),"")</f>
        <v>Torrija caramelizada con helado</v>
      </c>
      <c r="C22" t="str">
        <f>IFERROR(IF('Datos'!$C22="","",'Datos'!$C22),"")</f>
        <v>Postres</v>
      </c>
      <c r="D22" s="15" t="str">
        <f>IFERROR(IF('Kasavana-Smith'!$K22="","",'Kasavana-Smith'!$K22),"")</f>
        <v>Plowhorse</v>
      </c>
      <c r="E22" s="15" t="str">
        <f>IFERROR(IF('Miller'!$K22="","",'Miller'!$K22),"")</f>
        <v>Winner</v>
      </c>
      <c r="F22" s="15" t="str">
        <f>IFERROR(IF('Pavesic'!$K22="","",'Pavesic'!$K22),"")</f>
        <v>Sleeper</v>
      </c>
      <c r="G22" s="15" t="str">
        <f>IFERROR(IF('Goal Value'!$L22="","",'Goal Value'!$L22),"")</f>
        <v>Por debajo del objetivo</v>
      </c>
      <c r="H22" s="24">
        <f>IFERROR(IF($B22="","",IF($D22="Star",0,1)+IF($E22="Winner",0,1)+IF($F22="Prime",0,1)+IF($G22="Por encima del objetivo",0,1)),"")</f>
        <v>3.0</v>
      </c>
      <c r="I22" s="25" t="str">
        <f>IFERROR(IF($B22="","",IF($H22=0,"Las cuatro lecturas coinciden en lo mejor: mantener, destacar en carta y proteger receta y proveedor.",IF(AND($D22="Dog",$E22="Loser",$F22="Problem"),"Poco pedido, food cost alto y aporta poco margen al total: candidato a retirar o a reformular de raíz.",IF(AND($D22="Plowhorse",$E22="Winner"),"Popular con margen bajo: subir precio o bajar coste.",IF(AND($D22="Plowhorse",$E22="Loser"),"Popular pero caro de producir y de margen corto: reformular la receta antes de tocar el precio.",IF(AND('Datos'!$G22&gt;='Datos'!$N22,'Datos'!$H22&gt;'Datos'!$O22),"MC alto con food cost pobre: proteger el margen en euros, revisar precio, no retirar.",IF(AND($D22="Puzzle",$E22="Winner"),"Rentable y con food cost sano, pero poco pedido: es problema de carta, no de cocina. Renómbralo, súbelo de posición o que lo sugiera la sala.",IF($F22="Sleeper","Food cost sano pero aporta poco margen al total: dale visibilidad antes de retirarlo.",IF(AND($G22="Por debajo del objetivo",$D22="Star"),"Vende y deja margen, pero se queda por debajo del Goal Value de su familia: va justo de recorrido, revisa el precio.",IF($D22="Dog","Poco pedido: antes de retirarlo comprueba si es de temporada o si acompaña a otro plato que sí vende.","Las lecturas discrepan: cada método mide dos de las tres variables (popularidad, margen en euros y food cost). Decide con la que más te duela este mes.")))))))))),"")</f>
        <v>Popular con margen bajo: subir precio o bajar coste.</v>
      </c>
      <c r="J22" s="15" t="str">
        <f>IFERROR(IF($B22="","",IF($H22=0,"Mantener",IF(AND($D22="Dog",$E22="Loser"),"Retirar",IF($D22="Plowhorse","Resubir",IF($D22="Puzzle","Rediseñar",IF($F22="Problem","Reformular","Revisar")))))),"")</f>
        <v>Resubir</v>
      </c>
    </row>
    <row r="23">
      <c r="A23" s="8" t="n">
        <v>19</v>
      </c>
      <c r="B23" t="str">
        <f>IFERROR(IF('Datos'!$B23="","",'Datos'!$B23),"")</f>
        <v>Coulant de chocolate</v>
      </c>
      <c r="C23" t="str">
        <f>IFERROR(IF('Datos'!$C23="","",'Datos'!$C23),"")</f>
        <v>Postres</v>
      </c>
      <c r="D23" s="15" t="str">
        <f>IFERROR(IF('Kasavana-Smith'!$K23="","",'Kasavana-Smith'!$K23),"")</f>
        <v>Star</v>
      </c>
      <c r="E23" s="15" t="str">
        <f>IFERROR(IF('Miller'!$K23="","",'Miller'!$K23),"")</f>
        <v>Marginal</v>
      </c>
      <c r="F23" s="15" t="str">
        <f>IFERROR(IF('Pavesic'!$K23="","",'Pavesic'!$K23),"")</f>
        <v>Standard</v>
      </c>
      <c r="G23" s="15" t="str">
        <f>IFERROR(IF('Goal Value'!$L23="","",'Goal Value'!$L23),"")</f>
        <v>Por encima del objetivo</v>
      </c>
      <c r="H23" s="24">
        <f>IFERROR(IF($B23="","",IF($D23="Star",0,1)+IF($E23="Winner",0,1)+IF($F23="Prime",0,1)+IF($G23="Por encima del objetivo",0,1)),"")</f>
        <v>2.0</v>
      </c>
      <c r="I23" s="25" t="str">
        <f>IFERROR(IF($B23="","",IF($H23=0,"Las cuatro lecturas coinciden en lo mejor: mantener, destacar en carta y proteger receta y proveedor.",IF(AND($D23="Dog",$E23="Loser",$F23="Problem"),"Poco pedido, food cost alto y aporta poco margen al total: candidato a retirar o a reformular de raíz.",IF(AND($D23="Plowhorse",$E23="Winner"),"Popular con margen bajo: subir precio o bajar coste.",IF(AND($D23="Plowhorse",$E23="Loser"),"Popular pero caro de producir y de margen corto: reformular la receta antes de tocar el precio.",IF(AND('Datos'!$G23&gt;='Datos'!$N23,'Datos'!$H23&gt;'Datos'!$O23),"MC alto con food cost pobre: proteger el margen en euros, revisar precio, no retirar.",IF(AND($D23="Puzzle",$E23="Winner"),"Rentable y con food cost sano, pero poco pedido: es problema de carta, no de cocina. Renómbralo, súbelo de posición o que lo sugiera la sala.",IF($F23="Sleeper","Food cost sano pero aporta poco margen al total: dale visibilidad antes de retirarlo.",IF(AND($G23="Por debajo del objetivo",$D23="Star"),"Vende y deja margen, pero se queda por debajo del Goal Value de su familia: va justo de recorrido, revisa el precio.",IF($D23="Dog","Poco pedido: antes de retirarlo comprueba si es de temporada o si acompaña a otro plato que sí vende.","Las lecturas discrepan: cada método mide dos de las tres variables (popularidad, margen en euros y food cost). Decide con la que más te duela este mes.")))))))))),"")</f>
        <v>MC alto con food cost pobre: proteger el margen en euros, revisar precio, no retirar.</v>
      </c>
      <c r="J23" s="15" t="str">
        <f>IFERROR(IF($B23="","",IF($H23=0,"Mantener",IF(AND($D23="Dog",$E23="Loser"),"Retirar",IF($D23="Plowhorse","Resubir",IF($D23="Puzzle","Rediseñar",IF($F23="Problem","Reformular","Revisar")))))),"")</f>
        <v>Revisar</v>
      </c>
    </row>
    <row r="24">
      <c r="A24" s="8" t="n">
        <v>20</v>
      </c>
      <c r="B24" t="str">
        <f>IFERROR(IF('Datos'!$B24="","",'Datos'!$B24),"")</f>
        <v>Fruta de temporada preparada</v>
      </c>
      <c r="C24" t="str">
        <f>IFERROR(IF('Datos'!$C24="","",'Datos'!$C24),"")</f>
        <v>Postres</v>
      </c>
      <c r="D24" s="15" t="str">
        <f>IFERROR(IF('Kasavana-Smith'!$K24="","",'Kasavana-Smith'!$K24),"")</f>
        <v>Dog</v>
      </c>
      <c r="E24" s="15" t="str">
        <f>IFERROR(IF('Miller'!$K24="","",'Miller'!$K24),"")</f>
        <v>Loser</v>
      </c>
      <c r="F24" s="15" t="str">
        <f>IFERROR(IF('Pavesic'!$K24="","",'Pavesic'!$K24),"")</f>
        <v>Problem</v>
      </c>
      <c r="G24" s="15" t="str">
        <f>IFERROR(IF('Goal Value'!$L24="","",'Goal Value'!$L24),"")</f>
        <v>Por debajo del objetivo</v>
      </c>
      <c r="H24" s="24">
        <f>IFERROR(IF($B24="","",IF($D24="Star",0,1)+IF($E24="Winner",0,1)+IF($F24="Prime",0,1)+IF($G24="Por encima del objetivo",0,1)),"")</f>
        <v>4.0</v>
      </c>
      <c r="I24" s="25" t="str">
        <f>IFERROR(IF($B24="","",IF($H24=0,"Las cuatro lecturas coinciden en lo mejor: mantener, destacar en carta y proteger receta y proveedor.",IF(AND($D24="Dog",$E24="Loser",$F24="Problem"),"Poco pedido, food cost alto y aporta poco margen al total: candidato a retirar o a reformular de raíz.",IF(AND($D24="Plowhorse",$E24="Winner"),"Popular con margen bajo: subir precio o bajar coste.",IF(AND($D24="Plowhorse",$E24="Loser"),"Popular pero caro de producir y de margen corto: reformular la receta antes de tocar el precio.",IF(AND('Datos'!$G24&gt;='Datos'!$N24,'Datos'!$H24&gt;'Datos'!$O24),"MC alto con food cost pobre: proteger el margen en euros, revisar precio, no retirar.",IF(AND($D24="Puzzle",$E24="Winner"),"Rentable y con food cost sano, pero poco pedido: es problema de carta, no de cocina. Renómbralo, súbelo de posición o que lo sugiera la sala.",IF($F24="Sleeper","Food cost sano pero aporta poco margen al total: dale visibilidad antes de retirarlo.",IF(AND($G24="Por debajo del objetivo",$D24="Star"),"Vende y deja margen, pero se queda por debajo del Goal Value de su familia: va justo de recorrido, revisa el precio.",IF($D24="Dog","Poco pedido: antes de retirarlo comprueba si es de temporada o si acompaña a otro plato que sí vende.","Las lecturas discrepan: cada método mide dos de las tres variables (popularidad, margen en euros y food cost). Decide con la que más te duela este mes.")))))))))),"")</f>
        <v>Poco pedido, food cost alto y aporta poco margen al total: candidato a retirar o a reformular de raíz.</v>
      </c>
      <c r="J24" s="15" t="str">
        <f>IFERROR(IF($B24="","",IF($H24=0,"Mantener",IF(AND($D24="Dog",$E24="Loser"),"Retirar",IF($D24="Plowhorse","Resubir",IF($D24="Puzzle","Rediseñar",IF($F24="Problem","Reformular","Revisar")))))),"")</f>
        <v>Retirar</v>
      </c>
    </row>
    <row r="25">
      <c r="A25" s="8" t="n">
        <v>21</v>
      </c>
      <c r="B25">
        <f>IFERROR(IF('Datos'!$B25="","",'Datos'!$B25),"")</f>
        <v/>
      </c>
      <c r="C25">
        <f>IFERROR(IF('Datos'!$C25="","",'Datos'!$C25),"")</f>
        <v/>
      </c>
      <c r="D25" s="15">
        <f>IFERROR(IF('Kasavana-Smith'!$K25="","",'Kasavana-Smith'!$K25),"")</f>
        <v/>
      </c>
      <c r="E25" s="15">
        <f>IFERROR(IF('Miller'!$K25="","",'Miller'!$K25),"")</f>
        <v/>
      </c>
      <c r="F25" s="15">
        <f>IFERROR(IF('Pavesic'!$K25="","",'Pavesic'!$K25),"")</f>
        <v/>
      </c>
      <c r="G25" s="15">
        <f>IFERROR(IF('Goal Value'!$L25="","",'Goal Value'!$L25),"")</f>
        <v/>
      </c>
      <c r="H25" s="24">
        <f>IFERROR(IF($B25="","",IF($D25="Star",0,1)+IF($E25="Winner",0,1)+IF($F25="Prime",0,1)+IF($G25="Por encima del objetivo",0,1)),"")</f>
        <v/>
      </c>
      <c r="I25" s="25">
        <f>IFERROR(IF($B25="","",IF($H25=0,"Las cuatro lecturas coinciden en lo mejor: mantener, destacar en carta y proteger receta y proveedor.",IF(AND($D25="Dog",$E25="Loser",$F25="Problem"),"Poco pedido, food cost alto y aporta poco margen al total: candidato a retirar o a reformular de raíz.",IF(AND($D25="Plowhorse",$E25="Winner"),"Popular con margen bajo: subir precio o bajar coste.",IF(AND($D25="Plowhorse",$E25="Loser"),"Popular pero caro de producir y de margen corto: reformular la receta antes de tocar el precio.",IF(AND('Datos'!$G25&gt;='Datos'!$N25,'Datos'!$H25&gt;'Datos'!$O25),"MC alto con food cost pobre: proteger el margen en euros, revisar precio, no retirar.",IF(AND($D25="Puzzle",$E25="Winner"),"Rentable y con food cost sano, pero poco pedido: es problema de carta, no de cocina. Renómbralo, súbelo de posición o que lo sugiera la sala.",IF($F25="Sleeper","Food cost sano pero aporta poco margen al total: dale visibilidad antes de retirarlo.",IF(AND($G25="Por debajo del objetivo",$D25="Star"),"Vende y deja margen, pero se queda por debajo del Goal Value de su familia: va justo de recorrido, revisa el precio.",IF($D25="Dog","Poco pedido: antes de retirarlo comprueba si es de temporada o si acompaña a otro plato que sí vende.","Las lecturas discrepan: cada método mide dos de las tres variables (popularidad, margen en euros y food cost). Decide con la que más te duela este mes.")))))))))),"")</f>
        <v/>
      </c>
      <c r="J25" s="15">
        <f>IFERROR(IF($B25="","",IF($H25=0,"Mantener",IF(AND($D25="Dog",$E25="Loser"),"Retirar",IF($D25="Plowhorse","Resubir",IF($D25="Puzzle","Rediseñar",IF($F25="Problem","Reformular","Revisar")))))),"")</f>
        <v/>
      </c>
    </row>
    <row r="26">
      <c r="A26" s="8" t="n">
        <v>22</v>
      </c>
      <c r="B26">
        <f>IFERROR(IF('Datos'!$B26="","",'Datos'!$B26),"")</f>
        <v/>
      </c>
      <c r="C26">
        <f>IFERROR(IF('Datos'!$C26="","",'Datos'!$C26),"")</f>
        <v/>
      </c>
      <c r="D26" s="15">
        <f>IFERROR(IF('Kasavana-Smith'!$K26="","",'Kasavana-Smith'!$K26),"")</f>
        <v/>
      </c>
      <c r="E26" s="15">
        <f>IFERROR(IF('Miller'!$K26="","",'Miller'!$K26),"")</f>
        <v/>
      </c>
      <c r="F26" s="15">
        <f>IFERROR(IF('Pavesic'!$K26="","",'Pavesic'!$K26),"")</f>
        <v/>
      </c>
      <c r="G26" s="15">
        <f>IFERROR(IF('Goal Value'!$L26="","",'Goal Value'!$L26),"")</f>
        <v/>
      </c>
      <c r="H26" s="24">
        <f>IFERROR(IF($B26="","",IF($D26="Star",0,1)+IF($E26="Winner",0,1)+IF($F26="Prime",0,1)+IF($G26="Por encima del objetivo",0,1)),"")</f>
        <v/>
      </c>
      <c r="I26" s="25">
        <f>IFERROR(IF($B26="","",IF($H26=0,"Las cuatro lecturas coinciden en lo mejor: mantener, destacar en carta y proteger receta y proveedor.",IF(AND($D26="Dog",$E26="Loser",$F26="Problem"),"Poco pedido, food cost alto y aporta poco margen al total: candidato a retirar o a reformular de raíz.",IF(AND($D26="Plowhorse",$E26="Winner"),"Popular con margen bajo: subir precio o bajar coste.",IF(AND($D26="Plowhorse",$E26="Loser"),"Popular pero caro de producir y de margen corto: reformular la receta antes de tocar el precio.",IF(AND('Datos'!$G26&gt;='Datos'!$N26,'Datos'!$H26&gt;'Datos'!$O26),"MC alto con food cost pobre: proteger el margen en euros, revisar precio, no retirar.",IF(AND($D26="Puzzle",$E26="Winner"),"Rentable y con food cost sano, pero poco pedido: es problema de carta, no de cocina. Renómbralo, súbelo de posición o que lo sugiera la sala.",IF($F26="Sleeper","Food cost sano pero aporta poco margen al total: dale visibilidad antes de retirarlo.",IF(AND($G26="Por debajo del objetivo",$D26="Star"),"Vende y deja margen, pero se queda por debajo del Goal Value de su familia: va justo de recorrido, revisa el precio.",IF($D26="Dog","Poco pedido: antes de retirarlo comprueba si es de temporada o si acompaña a otro plato que sí vende.","Las lecturas discrepan: cada método mide dos de las tres variables (popularidad, margen en euros y food cost). Decide con la que más te duela este mes.")))))))))),"")</f>
        <v/>
      </c>
      <c r="J26" s="15">
        <f>IFERROR(IF($B26="","",IF($H26=0,"Mantener",IF(AND($D26="Dog",$E26="Loser"),"Retirar",IF($D26="Plowhorse","Resubir",IF($D26="Puzzle","Rediseñar",IF($F26="Problem","Reformular","Revisar")))))),"")</f>
        <v/>
      </c>
    </row>
    <row r="27">
      <c r="A27" s="8" t="n">
        <v>23</v>
      </c>
      <c r="B27">
        <f>IFERROR(IF('Datos'!$B27="","",'Datos'!$B27),"")</f>
        <v/>
      </c>
      <c r="C27">
        <f>IFERROR(IF('Datos'!$C27="","",'Datos'!$C27),"")</f>
        <v/>
      </c>
      <c r="D27" s="15">
        <f>IFERROR(IF('Kasavana-Smith'!$K27="","",'Kasavana-Smith'!$K27),"")</f>
        <v/>
      </c>
      <c r="E27" s="15">
        <f>IFERROR(IF('Miller'!$K27="","",'Miller'!$K27),"")</f>
        <v/>
      </c>
      <c r="F27" s="15">
        <f>IFERROR(IF('Pavesic'!$K27="","",'Pavesic'!$K27),"")</f>
        <v/>
      </c>
      <c r="G27" s="15">
        <f>IFERROR(IF('Goal Value'!$L27="","",'Goal Value'!$L27),"")</f>
        <v/>
      </c>
      <c r="H27" s="24">
        <f>IFERROR(IF($B27="","",IF($D27="Star",0,1)+IF($E27="Winner",0,1)+IF($F27="Prime",0,1)+IF($G27="Por encima del objetivo",0,1)),"")</f>
        <v/>
      </c>
      <c r="I27" s="25">
        <f>IFERROR(IF($B27="","",IF($H27=0,"Las cuatro lecturas coinciden en lo mejor: mantener, destacar en carta y proteger receta y proveedor.",IF(AND($D27="Dog",$E27="Loser",$F27="Problem"),"Poco pedido, food cost alto y aporta poco margen al total: candidato a retirar o a reformular de raíz.",IF(AND($D27="Plowhorse",$E27="Winner"),"Popular con margen bajo: subir precio o bajar coste.",IF(AND($D27="Plowhorse",$E27="Loser"),"Popular pero caro de producir y de margen corto: reformular la receta antes de tocar el precio.",IF(AND('Datos'!$G27&gt;='Datos'!$N27,'Datos'!$H27&gt;'Datos'!$O27),"MC alto con food cost pobre: proteger el margen en euros, revisar precio, no retirar.",IF(AND($D27="Puzzle",$E27="Winner"),"Rentable y con food cost sano, pero poco pedido: es problema de carta, no de cocina. Renómbralo, súbelo de posición o que lo sugiera la sala.",IF($F27="Sleeper","Food cost sano pero aporta poco margen al total: dale visibilidad antes de retirarlo.",IF(AND($G27="Por debajo del objetivo",$D27="Star"),"Vende y deja margen, pero se queda por debajo del Goal Value de su familia: va justo de recorrido, revisa el precio.",IF($D27="Dog","Poco pedido: antes de retirarlo comprueba si es de temporada o si acompaña a otro plato que sí vende.","Las lecturas discrepan: cada método mide dos de las tres variables (popularidad, margen en euros y food cost). Decide con la que más te duela este mes.")))))))))),"")</f>
        <v/>
      </c>
      <c r="J27" s="15">
        <f>IFERROR(IF($B27="","",IF($H27=0,"Mantener",IF(AND($D27="Dog",$E27="Loser"),"Retirar",IF($D27="Plowhorse","Resubir",IF($D27="Puzzle","Rediseñar",IF($F27="Problem","Reformular","Revisar")))))),"")</f>
        <v/>
      </c>
    </row>
    <row r="28">
      <c r="A28" s="8" t="n">
        <v>24</v>
      </c>
      <c r="B28">
        <f>IFERROR(IF('Datos'!$B28="","",'Datos'!$B28),"")</f>
        <v/>
      </c>
      <c r="C28">
        <f>IFERROR(IF('Datos'!$C28="","",'Datos'!$C28),"")</f>
        <v/>
      </c>
      <c r="D28" s="15">
        <f>IFERROR(IF('Kasavana-Smith'!$K28="","",'Kasavana-Smith'!$K28),"")</f>
        <v/>
      </c>
      <c r="E28" s="15">
        <f>IFERROR(IF('Miller'!$K28="","",'Miller'!$K28),"")</f>
        <v/>
      </c>
      <c r="F28" s="15">
        <f>IFERROR(IF('Pavesic'!$K28="","",'Pavesic'!$K28),"")</f>
        <v/>
      </c>
      <c r="G28" s="15">
        <f>IFERROR(IF('Goal Value'!$L28="","",'Goal Value'!$L28),"")</f>
        <v/>
      </c>
      <c r="H28" s="24">
        <f>IFERROR(IF($B28="","",IF($D28="Star",0,1)+IF($E28="Winner",0,1)+IF($F28="Prime",0,1)+IF($G28="Por encima del objetivo",0,1)),"")</f>
        <v/>
      </c>
      <c r="I28" s="25">
        <f>IFERROR(IF($B28="","",IF($H28=0,"Las cuatro lecturas coinciden en lo mejor: mantener, destacar en carta y proteger receta y proveedor.",IF(AND($D28="Dog",$E28="Loser",$F28="Problem"),"Poco pedido, food cost alto y aporta poco margen al total: candidato a retirar o a reformular de raíz.",IF(AND($D28="Plowhorse",$E28="Winner"),"Popular con margen bajo: subir precio o bajar coste.",IF(AND($D28="Plowhorse",$E28="Loser"),"Popular pero caro de producir y de margen corto: reformular la receta antes de tocar el precio.",IF(AND('Datos'!$G28&gt;='Datos'!$N28,'Datos'!$H28&gt;'Datos'!$O28),"MC alto con food cost pobre: proteger el margen en euros, revisar precio, no retirar.",IF(AND($D28="Puzzle",$E28="Winner"),"Rentable y con food cost sano, pero poco pedido: es problema de carta, no de cocina. Renómbralo, súbelo de posición o que lo sugiera la sala.",IF($F28="Sleeper","Food cost sano pero aporta poco margen al total: dale visibilidad antes de retirarlo.",IF(AND($G28="Por debajo del objetivo",$D28="Star"),"Vende y deja margen, pero se queda por debajo del Goal Value de su familia: va justo de recorrido, revisa el precio.",IF($D28="Dog","Poco pedido: antes de retirarlo comprueba si es de temporada o si acompaña a otro plato que sí vende.","Las lecturas discrepan: cada método mide dos de las tres variables (popularidad, margen en euros y food cost). Decide con la que más te duela este mes.")))))))))),"")</f>
        <v/>
      </c>
      <c r="J28" s="15">
        <f>IFERROR(IF($B28="","",IF($H28=0,"Mantener",IF(AND($D28="Dog",$E28="Loser"),"Retirar",IF($D28="Plowhorse","Resubir",IF($D28="Puzzle","Rediseñar",IF($F28="Problem","Reformular","Revisar")))))),"")</f>
        <v/>
      </c>
    </row>
    <row r="29">
      <c r="A29" s="8" t="n">
        <v>25</v>
      </c>
      <c r="B29">
        <f>IFERROR(IF('Datos'!$B29="","",'Datos'!$B29),"")</f>
        <v/>
      </c>
      <c r="C29">
        <f>IFERROR(IF('Datos'!$C29="","",'Datos'!$C29),"")</f>
        <v/>
      </c>
      <c r="D29" s="15">
        <f>IFERROR(IF('Kasavana-Smith'!$K29="","",'Kasavana-Smith'!$K29),"")</f>
        <v/>
      </c>
      <c r="E29" s="15">
        <f>IFERROR(IF('Miller'!$K29="","",'Miller'!$K29),"")</f>
        <v/>
      </c>
      <c r="F29" s="15">
        <f>IFERROR(IF('Pavesic'!$K29="","",'Pavesic'!$K29),"")</f>
        <v/>
      </c>
      <c r="G29" s="15">
        <f>IFERROR(IF('Goal Value'!$L29="","",'Goal Value'!$L29),"")</f>
        <v/>
      </c>
      <c r="H29" s="24">
        <f>IFERROR(IF($B29="","",IF($D29="Star",0,1)+IF($E29="Winner",0,1)+IF($F29="Prime",0,1)+IF($G29="Por encima del objetivo",0,1)),"")</f>
        <v/>
      </c>
      <c r="I29" s="25">
        <f>IFERROR(IF($B29="","",IF($H29=0,"Las cuatro lecturas coinciden en lo mejor: mantener, destacar en carta y proteger receta y proveedor.",IF(AND($D29="Dog",$E29="Loser",$F29="Problem"),"Poco pedido, food cost alto y aporta poco margen al total: candidato a retirar o a reformular de raíz.",IF(AND($D29="Plowhorse",$E29="Winner"),"Popular con margen bajo: subir precio o bajar coste.",IF(AND($D29="Plowhorse",$E29="Loser"),"Popular pero caro de producir y de margen corto: reformular la receta antes de tocar el precio.",IF(AND('Datos'!$G29&gt;='Datos'!$N29,'Datos'!$H29&gt;'Datos'!$O29),"MC alto con food cost pobre: proteger el margen en euros, revisar precio, no retirar.",IF(AND($D29="Puzzle",$E29="Winner"),"Rentable y con food cost sano, pero poco pedido: es problema de carta, no de cocina. Renómbralo, súbelo de posición o que lo sugiera la sala.",IF($F29="Sleeper","Food cost sano pero aporta poco margen al total: dale visibilidad antes de retirarlo.",IF(AND($G29="Por debajo del objetivo",$D29="Star"),"Vende y deja margen, pero se queda por debajo del Goal Value de su familia: va justo de recorrido, revisa el precio.",IF($D29="Dog","Poco pedido: antes de retirarlo comprueba si es de temporada o si acompaña a otro plato que sí vende.","Las lecturas discrepan: cada método mide dos de las tres variables (popularidad, margen en euros y food cost). Decide con la que más te duela este mes.")))))))))),"")</f>
        <v/>
      </c>
      <c r="J29" s="15">
        <f>IFERROR(IF($B29="","",IF($H29=0,"Mantener",IF(AND($D29="Dog",$E29="Loser"),"Retirar",IF($D29="Plowhorse","Resubir",IF($D29="Puzzle","Rediseñar",IF($F29="Problem","Reformular","Revisar")))))),"")</f>
        <v/>
      </c>
    </row>
    <row r="30"/>
    <row r="31">
      <c r="A31" s="15" t="inlineStr">
        <is>
          <t>RESUMEN — lo calcula el libro</t>
        </is>
      </c>
    </row>
    <row r="32" ht="34" customHeight="1">
      <c r="B32" s="7" t="inlineStr">
        <is>
          <t>Lecturas fuera de la mejor categoría</t>
        </is>
      </c>
      <c r="C32" s="7" t="inlineStr">
        <is>
          <t>Platos</t>
        </is>
      </c>
      <c r="D32" s="7" t="inlineStr">
        <is>
          <t>% de la carta</t>
        </is>
      </c>
    </row>
    <row r="33">
      <c r="B33" s="26" t="n">
        <v>0</v>
      </c>
      <c r="C33" s="8">
        <f>COUNTIF($H$5:$H$29,$B33)</f>
        <v>3.0</v>
      </c>
      <c r="D33" s="14">
        <f>IFERROR(IF(COUNTIF($B$5:$B$29,"&lt;&gt;")=0,"",$C33/COUNTIF($B$5:$B$29,"&lt;&gt;")),"")</f>
        <v>0.15</v>
      </c>
    </row>
    <row r="34">
      <c r="B34" s="26" t="n">
        <v>1</v>
      </c>
      <c r="C34" s="8">
        <f>COUNTIF($H$5:$H$29,$B34)</f>
        <v>4.0</v>
      </c>
      <c r="D34" s="14">
        <f>IFERROR(IF(COUNTIF($B$5:$B$29,"&lt;&gt;")=0,"",$C34/COUNTIF($B$5:$B$29,"&lt;&gt;")),"")</f>
        <v>0.2</v>
      </c>
    </row>
    <row r="35">
      <c r="B35" s="26" t="n">
        <v>2</v>
      </c>
      <c r="C35" s="8">
        <f>COUNTIF($H$5:$H$29,$B35)</f>
        <v>1.0</v>
      </c>
      <c r="D35" s="14">
        <f>IFERROR(IF(COUNTIF($B$5:$B$29,"&lt;&gt;")=0,"",$C35/COUNTIF($B$5:$B$29,"&lt;&gt;")),"")</f>
        <v>0.05</v>
      </c>
    </row>
    <row r="36">
      <c r="B36" s="26" t="n">
        <v>3</v>
      </c>
      <c r="C36" s="8">
        <f>COUNTIF($H$5:$H$29,$B36)</f>
        <v>4.0</v>
      </c>
      <c r="D36" s="14">
        <f>IFERROR(IF(COUNTIF($B$5:$B$29,"&lt;&gt;")=0,"",$C36/COUNTIF($B$5:$B$29,"&lt;&gt;")),"")</f>
        <v>0.2</v>
      </c>
    </row>
    <row r="37">
      <c r="B37" s="26" t="n">
        <v>4</v>
      </c>
      <c r="C37" s="8">
        <f>COUNTIF($H$5:$H$29,$B37)</f>
        <v>8.0</v>
      </c>
      <c r="D37" s="14">
        <f>IFERROR(IF(COUNTIF($B$5:$B$29,"&lt;&gt;")=0,"",$C37/COUNTIF($B$5:$B$29,"&lt;&gt;")),"")</f>
        <v>0.4</v>
      </c>
    </row>
    <row r="38"/>
    <row r="39">
      <c r="B39" s="15" t="inlineStr">
        <is>
          <t>Platos con las cuatro lecturas en la mejor categoría</t>
        </is>
      </c>
      <c r="C39" s="8">
        <f>COUNTIF($H$5:$H$29,0)</f>
        <v>3.0</v>
      </c>
    </row>
    <row r="40">
      <c r="B40" s="15" t="inlineStr">
        <is>
          <t>Platos con tres o cuatro lecturas fuera</t>
        </is>
      </c>
      <c r="C40" s="8">
        <f>COUNTIF($H$5:$H$29,3)+COUNTIF($H$5:$H$29,4)</f>
        <v>12.0</v>
      </c>
    </row>
  </sheetData>
  <sheetProtection selectLockedCells="0" selectUnlockedCells="0" sheet="1" objects="0" insertRows="0" insertHyperlinks="1" autoFilter="1" scenarios="0" formatColumns="0" deleteColumns="1" insertColumns="1" pivotTables="1" deleteRows="1" formatCells="1" formatRows="0" sort="0"/>
  <conditionalFormatting sqref="H5:H29">
    <cfRule type="expression" priority="1" dxfId="0" stopIfTrue="1">
      <formula>=AND(ISNUMBER($H5),$H5=0)</formula>
    </cfRule>
    <cfRule type="expression" priority="2" dxfId="2" stopIfTrue="1">
      <formula>=AND(ISNUMBER($H5),$H5&gt;=3)</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44"/>
  <sheetViews>
    <sheetView workbookViewId="0">
      <pane ySplit="4" topLeftCell="A5" activePane="bottomLeft" state="frozen"/>
      <selection pane="bottomLeft" activeCell="A1" sqref="A1"/>
    </sheetView>
  </sheetViews>
  <sheetFormatPr baseColWidth="8" defaultRowHeight="15"/>
  <cols>
    <col width="34" customWidth="1" min="1" max="1"/>
    <col width="34" customWidth="1" min="2" max="2"/>
    <col width="16" customWidth="1" min="3" max="3"/>
    <col width="16" customWidth="1" min="4" max="4"/>
    <col width="17" customWidth="1" min="5" max="5"/>
    <col width="17" customWidth="1" min="6" max="6"/>
    <col width="52" customWidth="1" min="7" max="7"/>
  </cols>
  <sheetData>
    <row r="1">
      <c r="A1" s="1" t="inlineStr">
        <is>
          <t>Menú de precio fijo — el margen lo decide el mix</t>
        </is>
      </c>
    </row>
    <row r="2">
      <c r="A2" s="2" t="inlineStr">
        <is>
          <t>AI Chef Pro · aichef.pro — Guía Food Cost + Ingeniería de Menú</t>
        </is>
      </c>
    </row>
    <row r="3">
      <c r="D3" s="6" t="inlineStr">
        <is>
          <t>En un menú cerrado el precio ya está puesto: lo que mueve el margen es qué elige la gente.</t>
        </is>
      </c>
    </row>
    <row r="4" ht="34" customHeight="1">
      <c r="A4" s="7" t="inlineStr">
        <is>
          <t>Curso</t>
        </is>
      </c>
      <c r="B4" s="7" t="inlineStr">
        <is>
          <t>Opción</t>
        </is>
      </c>
      <c r="C4" s="7" t="inlineStr">
        <is>
          <t>Coste por ración (€)</t>
        </is>
      </c>
      <c r="D4" s="7" t="inlineStr">
        <is>
          <t>Mix base (%)</t>
        </is>
      </c>
      <c r="E4" s="7" t="inlineStr">
        <is>
          <t>Mix escenario A (%)</t>
        </is>
      </c>
      <c r="F4" s="7" t="inlineStr">
        <is>
          <t>Mix escenario B (%)</t>
        </is>
      </c>
      <c r="G4" s="7" t="inlineStr">
        <is>
          <t>Nota</t>
        </is>
      </c>
    </row>
    <row r="5">
      <c r="A5" s="5" t="inlineStr">
        <is>
          <t>Primeros</t>
        </is>
      </c>
      <c r="B5" s="5" t="inlineStr">
        <is>
          <t>Ensalada de la huerta</t>
        </is>
      </c>
      <c r="C5" s="10" t="n">
        <v>1.1</v>
      </c>
      <c r="D5" s="20" t="n">
        <v>0.4</v>
      </c>
      <c r="E5" s="20" t="n">
        <v>0.25</v>
      </c>
      <c r="F5" s="20" t="n">
        <v>0.35</v>
      </c>
      <c r="G5" t="inlineStr">
        <is>
          <t>Cada curso suma 100 %: es el reparto de elecciones, no un descuento.</t>
        </is>
      </c>
    </row>
    <row r="6">
      <c r="A6" s="5" t="inlineStr">
        <is>
          <t>Primeros</t>
        </is>
      </c>
      <c r="B6" s="5" t="inlineStr">
        <is>
          <t>Crema de calabaza</t>
        </is>
      </c>
      <c r="C6" s="10" t="n">
        <v>1.05</v>
      </c>
      <c r="D6" s="20" t="n">
        <v>0.25</v>
      </c>
      <c r="E6" s="20" t="n">
        <v>0.2</v>
      </c>
      <c r="F6" s="20" t="n">
        <v>0.45</v>
      </c>
    </row>
    <row r="7">
      <c r="A7" s="5" t="inlineStr">
        <is>
          <t>Primeros</t>
        </is>
      </c>
      <c r="B7" s="5" t="inlineStr">
        <is>
          <t>Pasta al pesto</t>
        </is>
      </c>
      <c r="C7" s="10" t="n">
        <v>1.6</v>
      </c>
      <c r="D7" s="20" t="n">
        <v>0.35</v>
      </c>
      <c r="E7" s="20" t="n">
        <v>0.55</v>
      </c>
      <c r="F7" s="20" t="n">
        <v>0.2</v>
      </c>
    </row>
    <row r="8">
      <c r="A8" s="5" t="inlineStr">
        <is>
          <t>Primeros</t>
        </is>
      </c>
      <c r="B8" s="5" t="n"/>
      <c r="C8" s="10" t="n"/>
      <c r="D8" s="20" t="n"/>
      <c r="E8" s="20" t="n"/>
      <c r="F8" s="20" t="n"/>
    </row>
    <row r="9">
      <c r="A9" s="5" t="inlineStr">
        <is>
          <t>Segundos</t>
        </is>
      </c>
      <c r="B9" s="5" t="inlineStr">
        <is>
          <t>Pollo asado con patatas</t>
        </is>
      </c>
      <c r="C9" s="10" t="n">
        <v>2.8</v>
      </c>
      <c r="D9" s="20" t="n">
        <v>0.45</v>
      </c>
      <c r="E9" s="20" t="n">
        <v>0.3</v>
      </c>
      <c r="F9" s="20" t="n">
        <v>0.6</v>
      </c>
      <c r="G9" t="inlineStr">
        <is>
          <t>Escenario A: el comensal se va a la opción más cara. Escenario B: se va a la más barata.</t>
        </is>
      </c>
    </row>
    <row r="10">
      <c r="A10" s="5" t="inlineStr">
        <is>
          <t>Segundos</t>
        </is>
      </c>
      <c r="B10" s="5" t="inlineStr">
        <is>
          <t>Merluza a la romana</t>
        </is>
      </c>
      <c r="C10" s="10" t="n">
        <v>3.9</v>
      </c>
      <c r="D10" s="20" t="n">
        <v>0.3</v>
      </c>
      <c r="E10" s="20" t="n">
        <v>0.45</v>
      </c>
      <c r="F10" s="20" t="n">
        <v>0.15</v>
      </c>
    </row>
    <row r="11">
      <c r="A11" s="5" t="inlineStr">
        <is>
          <t>Segundos</t>
        </is>
      </c>
      <c r="B11" s="5" t="inlineStr">
        <is>
          <t>Albóndigas de ternera</t>
        </is>
      </c>
      <c r="C11" s="10" t="n">
        <v>3.2</v>
      </c>
      <c r="D11" s="20" t="n">
        <v>0.25</v>
      </c>
      <c r="E11" s="20" t="n">
        <v>0.25</v>
      </c>
      <c r="F11" s="20" t="n">
        <v>0.25</v>
      </c>
    </row>
    <row r="12">
      <c r="A12" s="5" t="inlineStr">
        <is>
          <t>Segundos</t>
        </is>
      </c>
      <c r="B12" s="5" t="n"/>
      <c r="C12" s="10" t="n"/>
      <c r="D12" s="20" t="n"/>
      <c r="E12" s="20" t="n"/>
      <c r="F12" s="20" t="n"/>
    </row>
    <row r="13">
      <c r="A13" s="5" t="inlineStr">
        <is>
          <t>Postres</t>
        </is>
      </c>
      <c r="B13" s="5" t="inlineStr">
        <is>
          <t>Flan casero</t>
        </is>
      </c>
      <c r="C13" s="10" t="n">
        <v>0.5</v>
      </c>
      <c r="D13" s="20" t="n">
        <v>0.55</v>
      </c>
      <c r="E13" s="20" t="n">
        <v>0.4</v>
      </c>
      <c r="F13" s="20" t="n">
        <v>0.7</v>
      </c>
    </row>
    <row r="14">
      <c r="A14" s="5" t="inlineStr">
        <is>
          <t>Postres</t>
        </is>
      </c>
      <c r="B14" s="5" t="inlineStr">
        <is>
          <t>Fruta del tiempo</t>
        </is>
      </c>
      <c r="C14" s="10" t="n">
        <v>0.7</v>
      </c>
      <c r="D14" s="20" t="n">
        <v>0.45</v>
      </c>
      <c r="E14" s="20" t="n">
        <v>0.6</v>
      </c>
      <c r="F14" s="20" t="n">
        <v>0.3</v>
      </c>
    </row>
    <row r="15">
      <c r="A15" s="5" t="inlineStr">
        <is>
          <t>Postres</t>
        </is>
      </c>
      <c r="B15" s="5" t="n"/>
      <c r="C15" s="10" t="n"/>
      <c r="D15" s="20" t="n"/>
      <c r="E15" s="20" t="n"/>
      <c r="F15" s="20" t="n"/>
    </row>
    <row r="16">
      <c r="A16" s="5" t="n"/>
      <c r="B16" s="5" t="n"/>
      <c r="C16" s="10" t="n"/>
      <c r="D16" s="20" t="n"/>
      <c r="E16" s="20" t="n"/>
      <c r="F16" s="20" t="n"/>
    </row>
    <row r="17"/>
    <row r="18">
      <c r="A18" s="15" t="inlineStr">
        <is>
          <t>PARÁMETROS DEL MENÚ</t>
        </is>
      </c>
    </row>
    <row r="19">
      <c r="A19" t="inlineStr">
        <is>
          <t>PVP del menú, con IVA (€)</t>
        </is>
      </c>
      <c r="C19" s="10" t="n">
        <v>14.5</v>
      </c>
      <c r="E19" t="inlineStr">
        <is>
          <t>El precio que ve el comensal en la pizarra o en la carta.</t>
        </is>
      </c>
    </row>
    <row r="20">
      <c r="A20" t="inlineStr">
        <is>
          <t>Tipo de IVA de restauración (%)</t>
        </is>
      </c>
      <c r="C20" s="21" t="n">
        <v>0.1</v>
      </c>
      <c r="E20" t="inlineStr">
        <is>
          <t>10 % en restauración, INCLUIDA la bebida alcohólica servida en sala: el art. 91.Uno.2.2 de la Ley del IVA grava a ese tipo los servicios de hostelería y «el suministro de comidas y bebidas para consumir en el acto», y no excluye el alcohol. Cámbialo aquí y se recalcula todo el libro.</t>
        </is>
      </c>
    </row>
    <row r="21">
      <c r="A21" s="15" t="inlineStr">
        <is>
          <t>PVP del menú, sin IVA (€)</t>
        </is>
      </c>
      <c r="C21" s="27">
        <f>IFERROR(IF(OR($C$19="",$C$20=""),"",$C$19/(1+$C$20)),"")</f>
        <v>13.18181818181818</v>
      </c>
    </row>
    <row r="22">
      <c r="A22" t="inlineStr">
        <is>
          <t>Costes fijos por menú (€)</t>
        </is>
      </c>
      <c r="C22" s="10" t="n">
        <v>0.55</v>
      </c>
      <c r="E22" t="inlineStr">
        <is>
          <t>Pan, agua o copa de vino de la casa y café si van incluidos, prorrateados por menú servido.</t>
        </is>
      </c>
    </row>
    <row r="23">
      <c r="A23" t="inlineStr">
        <is>
          <t>Food cost objetivo del menú (%)</t>
        </is>
      </c>
      <c r="C23" s="21" t="n">
        <v>0.3</v>
      </c>
      <c r="E23" t="inlineStr">
        <is>
          <t>Objetivo de la casa. Si el menú se pasa de aquí, la fila «Food cost del menú» se pone en rojo.</t>
        </is>
      </c>
    </row>
    <row r="24">
      <c r="A24" t="inlineStr">
        <is>
          <t>Menús servidos al mes</t>
        </is>
      </c>
      <c r="C24" s="9" t="n">
        <v>100</v>
      </c>
      <c r="E24" t="inlineStr">
        <is>
          <t>Cuántos menús de este tipo sirves al mes: escala el margen por menú al margen del mes.</t>
        </is>
      </c>
    </row>
    <row r="25">
      <c r="A25" s="15" t="inlineStr">
        <is>
          <t>COSTE MEDIO PONDERADO POR CURSO — lo calcula el libro</t>
        </is>
      </c>
    </row>
    <row r="26" ht="34" customHeight="1">
      <c r="A26" s="7" t="inlineStr">
        <is>
          <t>Curso</t>
        </is>
      </c>
      <c r="B26" s="7" t="inlineStr">
        <is>
          <t>Suma del mix base (%)</t>
        </is>
      </c>
      <c r="C26" s="7" t="inlineStr">
        <is>
          <t>Coste medio base (€)</t>
        </is>
      </c>
      <c r="D26" s="7" t="inlineStr">
        <is>
          <t>Suma del mix A (%)</t>
        </is>
      </c>
      <c r="E26" s="7" t="inlineStr">
        <is>
          <t>Coste medio A (€)</t>
        </is>
      </c>
      <c r="F26" s="7" t="inlineStr">
        <is>
          <t>Suma del mix B (%)</t>
        </is>
      </c>
      <c r="G26" s="7" t="inlineStr">
        <is>
          <t>Coste medio B (€)</t>
        </is>
      </c>
    </row>
    <row r="27">
      <c r="A27" s="15" t="inlineStr">
        <is>
          <t>Primeros</t>
        </is>
      </c>
      <c r="B27" s="28">
        <f>IFERROR(SUMIF($A$5:$A$16,$A27,$D$5:$D$16),"")</f>
        <v>1.0</v>
      </c>
      <c r="C27" s="13">
        <f>IFERROR(SUMPRODUCT(--($A$5:$A$16=$A27),$C$5:$C$16,$D$5:$D$16),"")</f>
        <v>1.2625000000000002</v>
      </c>
      <c r="D27" s="28">
        <f>IFERROR(SUMIF($A$5:$A$16,$A27,$E$5:$E$16),"")</f>
        <v>1.0</v>
      </c>
      <c r="E27" s="13">
        <f>IFERROR(SUMPRODUCT(--($A$5:$A$16=$A27),$C$5:$C$16,$E$5:$E$16),"")</f>
        <v>1.3650000000000002</v>
      </c>
      <c r="F27" s="28">
        <f>IFERROR(SUMIF($A$5:$A$16,$A27,$F$5:$F$16),"")</f>
        <v>1.0</v>
      </c>
      <c r="G27" s="13">
        <f>IFERROR(SUMPRODUCT(--($A$5:$A$16=$A27),$C$5:$C$16,$F$5:$F$16),"")</f>
        <v>1.1775000000000002</v>
      </c>
    </row>
    <row r="28">
      <c r="A28" s="15" t="inlineStr">
        <is>
          <t>Segundos</t>
        </is>
      </c>
      <c r="B28" s="28">
        <f>IFERROR(SUMIF($A$5:$A$16,$A28,$D$5:$D$16),"")</f>
        <v>1.0</v>
      </c>
      <c r="C28" s="13">
        <f>IFERROR(SUMPRODUCT(--($A$5:$A$16=$A28),$C$5:$C$16,$D$5:$D$16),"")</f>
        <v>3.2299999999999995</v>
      </c>
      <c r="D28" s="28">
        <f>IFERROR(SUMIF($A$5:$A$16,$A28,$E$5:$E$16),"")</f>
        <v>1.0</v>
      </c>
      <c r="E28" s="13">
        <f>IFERROR(SUMPRODUCT(--($A$5:$A$16=$A28),$C$5:$C$16,$E$5:$E$16),"")</f>
        <v>3.3949999999999996</v>
      </c>
      <c r="F28" s="28">
        <f>IFERROR(SUMIF($A$5:$A$16,$A28,$F$5:$F$16),"")</f>
        <v>1.0</v>
      </c>
      <c r="G28" s="13">
        <f>IFERROR(SUMPRODUCT(--($A$5:$A$16=$A28),$C$5:$C$16,$F$5:$F$16),"")</f>
        <v>3.0649999999999995</v>
      </c>
    </row>
    <row r="29">
      <c r="A29" s="15" t="inlineStr">
        <is>
          <t>Postres</t>
        </is>
      </c>
      <c r="B29" s="28">
        <f>IFERROR(SUMIF($A$5:$A$16,$A29,$D$5:$D$16),"")</f>
        <v>1.0</v>
      </c>
      <c r="C29" s="13">
        <f>IFERROR(SUMPRODUCT(--($A$5:$A$16=$A29),$C$5:$C$16,$D$5:$D$16),"")</f>
        <v>0.5900000000000001</v>
      </c>
      <c r="D29" s="28">
        <f>IFERROR(SUMIF($A$5:$A$16,$A29,$E$5:$E$16),"")</f>
        <v>1.0</v>
      </c>
      <c r="E29" s="13">
        <f>IFERROR(SUMPRODUCT(--($A$5:$A$16=$A29),$C$5:$C$16,$E$5:$E$16),"")</f>
        <v>0.62</v>
      </c>
      <c r="F29" s="28">
        <f>IFERROR(SUMIF($A$5:$A$16,$A29,$F$5:$F$16),"")</f>
        <v>1.0</v>
      </c>
      <c r="G29" s="13">
        <f>IFERROR(SUMPRODUCT(--($A$5:$A$16=$A29),$C$5:$C$16,$F$5:$F$16),"")</f>
        <v>0.5599999999999999</v>
      </c>
    </row>
    <row r="30">
      <c r="A30" t="inlineStr">
        <is>
          <t>Si una suma de mix no da 100 % se pone en rojo: el reparto de ese curso está mal repartido.</t>
        </is>
      </c>
    </row>
    <row r="31"/>
    <row r="32">
      <c r="A32" s="15" t="inlineStr">
        <is>
          <t>RESULTADO DEL MENÚ — lo calcula el libro</t>
        </is>
      </c>
    </row>
    <row r="33" ht="24" customHeight="1">
      <c r="A33" s="7" t="inlineStr">
        <is>
          <t>Concepto</t>
        </is>
      </c>
      <c r="B33" s="7" t="inlineStr">
        <is>
          <t>Mix base</t>
        </is>
      </c>
      <c r="C33" s="7" t="inlineStr">
        <is>
          <t>Escenario A</t>
        </is>
      </c>
      <c r="D33" s="7" t="inlineStr">
        <is>
          <t>Escenario B</t>
        </is>
      </c>
    </row>
    <row r="34">
      <c r="A34" t="inlineStr">
        <is>
          <t>Coste medio de los primeros (€)</t>
        </is>
      </c>
      <c r="B34" s="13">
        <f>IFERROR($C$27,"")</f>
        <v>1.2625000000000002</v>
      </c>
      <c r="C34" s="13">
        <f>IFERROR($E$27,"")</f>
        <v>1.3650000000000002</v>
      </c>
      <c r="D34" s="13">
        <f>IFERROR($G$27,"")</f>
        <v>1.1775000000000002</v>
      </c>
    </row>
    <row r="35">
      <c r="A35" t="inlineStr">
        <is>
          <t>Coste medio de los segundos (€)</t>
        </is>
      </c>
      <c r="B35" s="13">
        <f>IFERROR($C$28,"")</f>
        <v>3.2299999999999995</v>
      </c>
      <c r="C35" s="13">
        <f>IFERROR($E$28,"")</f>
        <v>3.3949999999999996</v>
      </c>
      <c r="D35" s="13">
        <f>IFERROR($G$28,"")</f>
        <v>3.0649999999999995</v>
      </c>
    </row>
    <row r="36">
      <c r="A36" t="inlineStr">
        <is>
          <t>Coste medio de los postres (€)</t>
        </is>
      </c>
      <c r="B36" s="13">
        <f>IFERROR($C$29,"")</f>
        <v>0.5900000000000001</v>
      </c>
      <c r="C36" s="13">
        <f>IFERROR($E$29,"")</f>
        <v>0.62</v>
      </c>
      <c r="D36" s="13">
        <f>IFERROR($G$29,"")</f>
        <v>0.5599999999999999</v>
      </c>
    </row>
    <row r="37">
      <c r="A37" t="inlineStr">
        <is>
          <t>Costes fijos por menú (€)</t>
        </is>
      </c>
      <c r="B37" s="13">
        <f>IFERROR($C$22,"")</f>
        <v>0.55</v>
      </c>
      <c r="C37" s="13">
        <f>IFERROR($C$22,"")</f>
        <v>0.55</v>
      </c>
      <c r="D37" s="13">
        <f>IFERROR($C$22,"")</f>
        <v>0.55</v>
      </c>
    </row>
    <row r="38">
      <c r="A38" s="16" t="inlineStr">
        <is>
          <t>Coste medio total del menú (€)</t>
        </is>
      </c>
      <c r="B38" s="18">
        <f>IFERROR(SUM(B34:B37),"")</f>
        <v>5.632499999999999</v>
      </c>
      <c r="C38" s="18">
        <f>IFERROR(SUM(C34:C37),"")</f>
        <v>5.93</v>
      </c>
      <c r="D38" s="18">
        <f>IFERROR(SUM(D34:D37),"")</f>
        <v>5.352499999999999</v>
      </c>
    </row>
    <row r="39">
      <c r="A39" s="15" t="inlineStr">
        <is>
          <t>Food cost del menú (%)</t>
        </is>
      </c>
      <c r="B39" s="29">
        <f>IFERROR(IF(OR($C$21="",$C$21=0,B38=""),"",B38/$C$21),"")</f>
        <v>0.42729310344827587</v>
      </c>
      <c r="C39" s="29">
        <f>IFERROR(IF(OR($C$21="",$C$21=0,C38=""),"",C38/$C$21),"")</f>
        <v>0.4498620689655173</v>
      </c>
      <c r="D39" s="29">
        <f>IFERROR(IF(OR($C$21="",$C$21=0,D38=""),"",D38/$C$21),"")</f>
        <v>0.406051724137931</v>
      </c>
      <c r="F39" t="inlineStr">
        <is>
          <t>Rojo = por encima del food cost objetivo del menú.</t>
        </is>
      </c>
    </row>
    <row r="40">
      <c r="A40" s="15" t="inlineStr">
        <is>
          <t>Margen de contribución por menú (€)</t>
        </is>
      </c>
      <c r="B40" s="27">
        <f>IFERROR(IF(OR($C$21="",B38=""),"",$C$21-B38),"")</f>
        <v>7.5493181818181805</v>
      </c>
      <c r="C40" s="27">
        <f>IFERROR(IF(OR($C$21="",C38=""),"",$C$21-C38),"")</f>
        <v>7.25181818181818</v>
      </c>
      <c r="D40" s="27">
        <f>IFERROR(IF(OR($C$21="",D38=""),"",$C$21-D38),"")</f>
        <v>7.829318181818181</v>
      </c>
    </row>
    <row r="41">
      <c r="A41" t="inlineStr">
        <is>
          <t>Margen sobre los menús servidos al mes (€)</t>
        </is>
      </c>
      <c r="B41" s="13">
        <f>IFERROR(IF(B40="","",B40*$C$24),"")</f>
        <v>754.931818181818</v>
      </c>
      <c r="C41" s="13">
        <f>IFERROR(IF(C40="","",C40*$C$24),"")</f>
        <v>725.181818181818</v>
      </c>
      <c r="D41" s="13">
        <f>IFERROR(IF(D40="","",D40*$C$24),"")</f>
        <v>782.931818181818</v>
      </c>
    </row>
    <row r="42"/>
    <row r="43">
      <c r="A43" t="inlineStr">
        <is>
          <t>Los tres escenarios usan el MISMO precio y los MISMOS costes: lo único que cambia es el reparto de elecciones. Esa diferencia es el margen que te juegas cada día en el menú.</t>
        </is>
      </c>
    </row>
    <row r="44">
      <c r="A44" t="inlineStr">
        <is>
          <t>En el ejemplo el menú se queda POR ENCIMA del food cost objetivo de la casa. Es lo habitual en un menú de precio cerrado: o subes el precio, o cambias las opciones que ofreces, o asumes que el menú trae clientela y el margen lo hace la carta. Lo que no vale es no saberlo.</t>
        </is>
      </c>
    </row>
  </sheetData>
  <sheetProtection selectLockedCells="0" selectUnlockedCells="0" sheet="1" objects="0" insertRows="0" insertHyperlinks="1" autoFilter="1" scenarios="0" formatColumns="0" deleteColumns="1" insertColumns="1" pivotTables="1" deleteRows="1" formatCells="1" formatRows="0" sort="0"/>
  <conditionalFormatting sqref="B27:B29">
    <cfRule type="expression" priority="1" dxfId="2" stopIfTrue="1">
      <formula>=AND(ISNUMBER(B27),ROUND(B27,4)&lt;&gt;1)</formula>
    </cfRule>
  </conditionalFormatting>
  <conditionalFormatting sqref="D27:D29">
    <cfRule type="expression" priority="2" dxfId="2" stopIfTrue="1">
      <formula>=AND(ISNUMBER(D27),ROUND(D27,4)&lt;&gt;1)</formula>
    </cfRule>
  </conditionalFormatting>
  <conditionalFormatting sqref="F27:F29">
    <cfRule type="expression" priority="3" dxfId="2" stopIfTrue="1">
      <formula>=AND(ISNUMBER(F27),ROUND(F27,4)&lt;&gt;1)</formula>
    </cfRule>
  </conditionalFormatting>
  <conditionalFormatting sqref="B39:D39">
    <cfRule type="expression" priority="4" dxfId="2" stopIfTrue="1">
      <formula>=AND(ISNUMBER(B$39),B$39&gt;$C$23)</formula>
    </cfRule>
  </conditionalFormatting>
  <dataValidations count="6">
    <dataValidation sqref="A5 A6 A7 A8 A9 A10 A11 A12 A13 A14 A15 A16" showDropDown="0" showInputMessage="0" showErrorMessage="1" allowBlank="1" errorTitle="Curso no válido" error="Elige un valor de la lista: Primeros, Segundos, Postres" type="list">
      <formula1>"Primeros,Segundos,Postres"</formula1>
    </dataValidation>
    <dataValidation sqref="C5 C6 C7 C8 C9 C10 C11 C12 C13 C14 C15 C16" showDropDown="0" showInputMessage="0" showErrorMessage="1" allowBlank="1" errorTitle="Importe no válido" error="Escribe un número mayor o igual que 0." type="decimal" operator="greaterThanOrEqual">
      <formula1>0</formula1>
    </dataValidation>
    <dataValidation sqref="D5 D6 D7 D8 D9 D10 D11 D12 D13 D14 D15 D16 E5 E6 E7 E8 E9 E10 E11 E12 E13 E14 E15 E16 F5 F6 F7 F8 F9 F10 F11 F12 F13 F14 F15 F16" showDropDown="0" showInputMessage="1" showErrorMessage="1" allowBlank="1" errorTitle="Mix del curso" error="Escribe un porcentaje entre 0 y 1 (0,20 = 20 %)." promptTitle="Mix del curso" prompt="Porcentaje de comensales que eligen esta opción. El mix de cada curso tiene que sumar 100 %." type="decimal" operator="between">
      <formula1>0</formula1>
      <formula2>1.0</formula2>
    </dataValidation>
    <dataValidation sqref="C20"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 sqref="C23" showDropDown="0" showInputMessage="1" showErrorMessage="1" allowBlank="1" errorTitle="Food cost objetivo" error="Escribe un porcentaje entre 0 y 1 (0,20 = 20 %)." promptTitle="Food cost objetivo" prompt="Se escribe en tanto por uno: 0,30 = 30 %." type="decimal" operator="between">
      <formula1>0</formula1>
      <formula2>1.0</formula2>
    </dataValidation>
    <dataValidation sqref="C24" showDropDown="0" showInputMessage="0" showErrorMessage="1" allowBlank="1" errorTitle="Menús servidos" error="Escribe un número entero de menús servidos al mes (0 o más)." type="decimal" operator="greaterThanOrEqual">
      <formula1>0</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Matriz Multi-Método de la Carta</dc:title>
  <dc:subject xmlns:dc="http://purl.org/dc/elements/1.1/">Guía Food Cost + Ingeniería de Menú · Versión 1.0 · septiembre 2026</dc:subject>
  <dcterms:created xmlns:dcterms="http://purl.org/dc/terms/" xmlns:xsi="http://www.w3.org/2001/XMLSchema-instance" xsi:type="dcterms:W3CDTF">2026-09-03T22:35:06Z</dcterms:created>
  <dcterms:modified xmlns:dcterms="http://purl.org/dc/terms/" xmlns:xsi="http://www.w3.org/2001/XMLSchema-instance" xsi:type="dcterms:W3CDTF">2026-09-03T22:35:06Z</dcterms:modified>
  <cp:lastModifiedBy>AI Chef Pro</cp:lastModifiedBy>
</cp:coreProperties>
</file>