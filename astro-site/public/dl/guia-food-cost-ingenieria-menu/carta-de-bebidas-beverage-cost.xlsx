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Parámetros" sheetId="2" state="visible" r:id="rId2"/>
    <sheet xmlns:r="http://schemas.openxmlformats.org/officeDocument/2006/relationships" name="Vinos" sheetId="3" state="visible" r:id="rId3"/>
    <sheet xmlns:r="http://schemas.openxmlformats.org/officeDocument/2006/relationships" name="Cervezas y Refrescos" sheetId="4" state="visible" r:id="rId4"/>
    <sheet xmlns:r="http://schemas.openxmlformats.org/officeDocument/2006/relationships" name="Destilados y Cócteles" sheetId="5" state="visible" r:id="rId5"/>
    <sheet xmlns:r="http://schemas.openxmlformats.org/officeDocument/2006/relationships" name="Resumen Bodega" sheetId="6" state="visible" r:id="rId6"/>
  </sheets>
  <definedNames>
    <definedName name="_xlnm.Print_Titles" localSheetId="2">'Vinos'!$4:$4</definedName>
    <definedName name="_xlnm.Print_Titles" localSheetId="3">'Cervezas y Refrescos'!$4:$4</definedName>
    <definedName name="_xlnm.Print_Titles" localSheetId="4">'Destilados y Cócteles'!$4:$4</definedName>
  </definedNames>
  <calcPr calcId="124519" fullCalcOnLoad="1"/>
</workbook>
</file>

<file path=xl/styles.xml><?xml version="1.0" encoding="utf-8"?>
<styleSheet xmlns="http://schemas.openxmlformats.org/spreadsheetml/2006/main">
  <numFmts count="3">
    <numFmt numFmtId="164" formatCode="0.0%"/>
    <numFmt numFmtId="165" formatCode="#,##0.00 €"/>
    <numFmt numFmtId="166" formatCode="0.000"/>
  </numFmts>
  <fonts count="7">
    <font>
      <name val="Calibri"/>
      <family val="2"/>
      <color theme="1"/>
      <sz val="11"/>
      <scheme val="minor"/>
    </font>
    <font>
      <b val="1"/>
      <color rgb="00FFD700"/>
      <sz val="16"/>
    </font>
    <font>
      <b val="1"/>
      <color theme="1"/>
      <sz val="11"/>
    </font>
    <font>
      <b val="1"/>
      <sz val="12"/>
    </font>
    <font>
      <b val="1"/>
      <color rgb="00FFFFFF"/>
    </font>
    <font>
      <i val="1"/>
      <sz val="9"/>
    </font>
    <font>
      <b val="1"/>
    </font>
  </fonts>
  <fills count="6">
    <fill>
      <patternFill/>
    </fill>
    <fill>
      <patternFill patternType="gray125"/>
    </fill>
    <fill>
      <patternFill patternType="solid">
        <fgColor rgb="00E8F5E9"/>
      </patternFill>
    </fill>
    <fill>
      <patternFill patternType="solid">
        <fgColor rgb="002D2D2D"/>
      </patternFill>
    </fill>
    <fill>
      <patternFill patternType="solid">
        <fgColor rgb="00FFF6DC"/>
      </patternFill>
    </fill>
    <fill>
      <patternFill patternType="solid">
        <fgColor rgb="00F2F2F2"/>
      </patternFill>
    </fill>
  </fills>
  <borders count="1">
    <border>
      <left/>
      <right/>
      <top/>
      <bottom/>
      <diagonal/>
    </border>
  </borders>
  <cellStyleXfs count="1">
    <xf numFmtId="0" fontId="0" fillId="0" borderId="0"/>
  </cellStyleXfs>
  <cellXfs count="21">
    <xf numFmtId="0" fontId="0" fillId="0" borderId="0" pivotButton="0" quotePrefix="0" xfId="0"/>
    <xf numFmtId="0" fontId="1" fillId="0" borderId="0" pivotButton="0" quotePrefix="0" xfId="0"/>
    <xf numFmtId="0" fontId="3" fillId="0" borderId="0" pivotButton="0" quotePrefix="0" xfId="0"/>
    <xf numFmtId="0" fontId="0" fillId="0" borderId="0" applyAlignment="1" pivotButton="0" quotePrefix="0" xfId="0">
      <alignment horizontal="general" vertical="top" wrapText="1"/>
    </xf>
    <xf numFmtId="0" fontId="0" fillId="2" borderId="0" applyProtection="1" pivotButton="0" quotePrefix="0" xfId="0">
      <protection locked="0" hidden="0"/>
    </xf>
    <xf numFmtId="0" fontId="4" fillId="3" borderId="0" applyAlignment="1" pivotButton="0" quotePrefix="0" xfId="0">
      <alignment horizontal="center" vertical="center" wrapText="1"/>
    </xf>
    <xf numFmtId="0" fontId="2" fillId="0" borderId="0" pivotButton="0" quotePrefix="0" xfId="0"/>
    <xf numFmtId="164" fontId="0" fillId="2" borderId="0" applyProtection="1" pivotButton="0" quotePrefix="0" xfId="0">
      <protection locked="0" hidden="0"/>
    </xf>
    <xf numFmtId="0" fontId="5" fillId="0" borderId="0" pivotButton="0" quotePrefix="0" xfId="0"/>
    <xf numFmtId="3" fontId="0" fillId="0" borderId="0" pivotButton="0" quotePrefix="0" xfId="0"/>
    <xf numFmtId="165" fontId="0" fillId="2" borderId="0" applyProtection="1" pivotButton="0" quotePrefix="0" xfId="0">
      <protection locked="0" hidden="0"/>
    </xf>
    <xf numFmtId="166" fontId="0" fillId="2" borderId="0" applyProtection="1" pivotButton="0" quotePrefix="0" xfId="0">
      <protection locked="0" hidden="0"/>
    </xf>
    <xf numFmtId="166" fontId="0" fillId="0" borderId="0" pivotButton="0" quotePrefix="0" xfId="0"/>
    <xf numFmtId="3" fontId="0" fillId="2" borderId="0" applyProtection="1" pivotButton="0" quotePrefix="0" xfId="0">
      <protection locked="0" hidden="0"/>
    </xf>
    <xf numFmtId="165" fontId="0" fillId="0" borderId="0" pivotButton="0" quotePrefix="0" xfId="0"/>
    <xf numFmtId="164" fontId="0" fillId="0" borderId="0" pivotButton="0" quotePrefix="0" xfId="0"/>
    <xf numFmtId="0" fontId="6" fillId="4" borderId="0" pivotButton="0" quotePrefix="0" xfId="0"/>
    <xf numFmtId="3" fontId="6" fillId="4" borderId="0" pivotButton="0" quotePrefix="0" xfId="0"/>
    <xf numFmtId="165" fontId="6" fillId="4" borderId="0" pivotButton="0" quotePrefix="0" xfId="0"/>
    <xf numFmtId="164" fontId="6" fillId="4" borderId="0" pivotButton="0" quotePrefix="0" xfId="0"/>
    <xf numFmtId="164" fontId="0" fillId="5" borderId="0" pivotButton="0" quotePrefix="0" xfId="0"/>
  </cellXfs>
  <cellStyles count="1">
    <cellStyle name="Normal" xfId="0" builtinId="0" hidden="0"/>
  </cellStyles>
  <dxfs count="2">
    <dxf>
      <font>
        <b val="1"/>
        <color rgb="009C0006"/>
      </font>
      <fill>
        <patternFill patternType="solid">
          <fgColor rgb="00FFC7CE"/>
          <bgColor rgb="00FFC7CE"/>
        </patternFill>
      </fill>
    </dxf>
    <dxf>
      <font>
        <b val="1"/>
        <color rgb="00006100"/>
      </font>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22"/>
  <sheetViews>
    <sheetView workbookViewId="0">
      <selection activeCell="A1" sqref="A1"/>
    </sheetView>
  </sheetViews>
  <sheetFormatPr baseColWidth="8" defaultRowHeight="15"/>
  <cols>
    <col width="110" customWidth="1" min="1" max="1"/>
  </cols>
  <sheetData>
    <row r="1" ht="30" customHeight="1">
      <c r="A1" s="1" t="inlineStr">
        <is>
          <t>Carta de bebidas y beverage cost</t>
        </is>
      </c>
    </row>
    <row r="2">
      <c r="A2" t="inlineStr">
        <is>
          <t>AI Chef Pro · aichef.pro — Guía Food Cost + Ingeniería de Menú</t>
        </is>
      </c>
    </row>
    <row r="3"/>
    <row r="4">
      <c r="A4" s="2" t="inlineStr">
        <is>
          <t>Instrucciones de uso</t>
        </is>
      </c>
    </row>
    <row r="5" ht="30" customHeight="1">
      <c r="A5" s="3" t="inlineStr">
        <is>
          <t>1. Hoja «Parámetros»: revisa la matriz de IVA repercutido y pon tu objetivo de beverage cost para cada categoría. Los tres objetivos vienen sembrados con las referencias del sector y su fuente.</t>
        </is>
      </c>
    </row>
    <row r="6" ht="30" customHeight="1">
      <c r="A6" s="3" t="inlineStr">
        <is>
          <t>2. Hoja «Vinos»: por cada referencia, el precio de compra de la botella sin IVA, el formato, los centilitros que sirves por copa y los PVP de botella y de copa. El libro calcula las copas por botella, el coste por copa y el beverage cost de las dos formas de venderlo. Hay 30 filas (8 de ejemplo, 22 libres): una carta de vinos real tiene 30-60 referencias.</t>
        </is>
      </c>
    </row>
    <row r="7" ht="30" customHeight="1">
      <c r="A7" s="3" t="inlineStr">
        <is>
          <t>3. Hoja «Cervezas y Refrescos»: el coste por servicio sale del precio de la unidad de compra por la parte que sirves (barril de 30 L → caña de 25 cl). La «unidad de medida» dice si el contenido y el servicio van en cl o en ml. Hay 15 filas (7 de ejemplo, 8 libres).</t>
        </is>
      </c>
    </row>
    <row r="8" ht="30" customHeight="1">
      <c r="A8" s="3" t="inlineStr">
        <is>
          <t>4. Hoja «Destilados y Cócteles»: arriba, el combinado sencillo (destilado + mezcla, 12 filas: 5 de ejemplo y 7 libres); abajo, los cócteles desglosados ingrediente a ingrediente (8 cócteles con hasta 4 líneas cada uno: 4 de ejemplo y 4 libres), con el precio de cada uno en euros por litro.</t>
        </is>
      </c>
    </row>
    <row r="9" ht="30" customHeight="1">
      <c r="A9" s="3" t="inlineStr">
        <is>
          <t>5. Escribe las unidades vendidas al mes de cada referencia: sin ellas hay coste por copa, pero no hay beverage cost ponderado ni margen del mes.</t>
        </is>
      </c>
    </row>
    <row r="10" ht="30" customHeight="1">
      <c r="A10" s="3" t="inlineStr">
        <is>
          <t>6. Hoja «Resumen Bodega»: ventas, coste, beverage cost ponderado y margen de contribución por categoría, con semáforo contra tu objetivo y el total de la bodega.</t>
        </is>
      </c>
    </row>
    <row r="11" ht="30" customHeight="1">
      <c r="A11" s="3" t="inlineStr">
        <is>
          <t>7. Los precios con IVA se calculan solos por canal: en sala todo va al 10 %; para llevar, el alcohol y los refrescos azucarados al 21 %.</t>
        </is>
      </c>
    </row>
    <row r="12"/>
    <row r="13">
      <c r="A13" s="4" t="inlineStr">
        <is>
          <t>Celdas verdes = campos editables</t>
        </is>
      </c>
    </row>
    <row r="14"/>
    <row r="15" ht="30" customHeight="1">
      <c r="A15" s="3" t="inlineStr">
        <is>
          <t>Todos los precios de compra y de venta van SIN IVA salvo las columnas que dicen «con IVA»: son las que van en la carta.</t>
        </is>
      </c>
    </row>
    <row r="16" ht="30" customHeight="1">
      <c r="A16" s="3" t="inlineStr">
        <is>
          <t>El IVA repercutido depende del canal Y del tipo de producto. En sala todo el consumo va al 10 %, alcohol incluido (art. 91.Uno.2.2.º de la Ley del IVA). Para llevar es entrega de bienes: las bebidas alcohólicas y los refrescos, zumos y gaseosas con azúcares o edulcorantes añadidos van al 21 %; el agua, los zumos naturales y la cerveza sin alcohol se quedan en el tipo reducido, que es la casilla «Comida» de la matriz.</t>
        </is>
      </c>
    </row>
    <row r="17" ht="30" customHeight="1">
      <c r="A17" s="3" t="inlineStr">
        <is>
          <t>El beverage cost se mide sobre la venta NETA (base imponible) y con el coste NETO de IVA soportado: el IVA de las compras se deduce en el modelo 303, es tesorería, no coste.</t>
        </is>
      </c>
    </row>
    <row r="18" ht="30" customHeight="1">
      <c r="A18" s="3" t="inlineStr">
        <is>
          <t>La bodega no se gestiona con la media: se gestiona referencia a referencia. Un vino de la casa al 29 % y un albariño al 35 % pueden dar la misma media que dos vinos al 32 % y no significan lo mismo.</t>
        </is>
      </c>
    </row>
    <row r="19"/>
    <row r="20">
      <c r="A20" t="inlineStr">
        <is>
          <t>Para editar la estructura o una celda que no esté en verde, desprotege la hoja (sin contraseña).</t>
        </is>
      </c>
    </row>
    <row r="21">
      <c r="A21" t="inlineStr">
        <is>
          <t>Diseñado por John Guerrero — chef y consultor gastronómico desde 2010 · johnguerrero.es</t>
        </is>
      </c>
    </row>
    <row r="22">
      <c r="A22" t="inlineStr">
        <is>
          <t>Versión 1.0 · septiembre 2026 · aichef.pro/guia-food-cost-ingenieria-menu · info@aichef.pro</t>
        </is>
      </c>
    </row>
  </sheetData>
  <sheetProtection selectLockedCells="0" selectUnlockedCells="0" sheet="1" objects="0" insertRows="0" insertHyperlinks="1" autoFilter="1" scenarios="0" formatColumns="0" deleteColumns="1" insertColumns="1" pivotTables="1" deleteRows="1" formatCells="1" formatRows="0" sort="0"/>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D24"/>
  <sheetViews>
    <sheetView workbookViewId="0">
      <selection activeCell="A1" sqref="A1"/>
    </sheetView>
  </sheetViews>
  <sheetFormatPr baseColWidth="8" defaultRowHeight="15"/>
  <cols>
    <col width="26" customWidth="1" min="1" max="1"/>
    <col width="22" customWidth="1" min="2" max="2"/>
    <col width="22" customWidth="1" min="3" max="3"/>
    <col width="24" customWidth="1" min="4" max="4"/>
    <col width="20" customWidth="1" min="5" max="5"/>
  </cols>
  <sheetData>
    <row r="1" ht="30" customHeight="1">
      <c r="A1" s="1" t="inlineStr">
        <is>
          <t>Parámetros de la bodega</t>
        </is>
      </c>
    </row>
    <row r="2">
      <c r="A2" t="inlineStr">
        <is>
          <t>AI Chef Pro · aichef.pro — Guía Food Cost + Ingeniería de Menú</t>
        </is>
      </c>
    </row>
    <row r="3"/>
    <row r="4">
      <c r="A4" s="2" t="inlineStr">
        <is>
          <t>MATRIZ DE IVA REPERCUTIDO POR CANAL Y TIPO DE PRODUCTO</t>
        </is>
      </c>
    </row>
    <row r="5" ht="32" customHeight="1">
      <c r="A5" s="5" t="inlineStr">
        <is>
          <t>Canal</t>
        </is>
      </c>
      <c r="B5" s="5" t="inlineStr">
        <is>
          <t>Comida</t>
        </is>
      </c>
      <c r="C5" s="5" t="inlineStr">
        <is>
          <t>Refresco/azucarada</t>
        </is>
      </c>
      <c r="D5" s="5" t="inlineStr">
        <is>
          <t>Bebida alcohólica</t>
        </is>
      </c>
    </row>
    <row r="6">
      <c r="A6" s="6" t="inlineStr">
        <is>
          <t>Sala</t>
        </is>
      </c>
      <c r="B6" s="7" t="n">
        <v>0.1</v>
      </c>
      <c r="C6" s="7" t="n">
        <v>0.1</v>
      </c>
      <c r="D6" s="7" t="n">
        <v>0.1</v>
      </c>
    </row>
    <row r="7">
      <c r="A7" s="6" t="inlineStr">
        <is>
          <t>Take away</t>
        </is>
      </c>
      <c r="B7" s="7" t="n">
        <v>0.1</v>
      </c>
      <c r="C7" s="7" t="n">
        <v>0.21</v>
      </c>
      <c r="D7" s="7" t="n">
        <v>0.21</v>
      </c>
    </row>
    <row r="8">
      <c r="A8" s="6" t="inlineStr">
        <is>
          <t>Delivery</t>
        </is>
      </c>
      <c r="B8" s="7" t="n">
        <v>0.1</v>
      </c>
      <c r="C8" s="7" t="n">
        <v>0.21</v>
      </c>
      <c r="D8" s="7" t="n">
        <v>0.21</v>
      </c>
    </row>
    <row r="9">
      <c r="A9" t="inlineStr">
        <is>
          <t>Sala — 10 % para todo el consumo en el local, alcohol incluido: art. 91.Uno.2.2.º de la Ley del IVA (servicios de hostelería y suministro de comidas y bebidas para consumir en el acto).</t>
        </is>
      </c>
    </row>
    <row r="10">
      <c r="A10" t="inlineStr">
        <is>
          <t>Take away — Sin servicio es entrega de bienes y manda el tipo del producto: comida elaborada 10 % (art. 91.Uno.1.1.º); bebidas alcohólicas y refrescos, zumos y gaseosas con azúcares o edulcorantes añadidos, 21 % (excluidos del tipo reducido desde el 1-ene-2021).</t>
        </is>
      </c>
    </row>
    <row r="11">
      <c r="A11" t="inlineStr">
        <is>
          <t>Delivery — Misma regla que el take away: es entrega de bienes, no servicio de hostelería.</t>
        </is>
      </c>
    </row>
    <row r="12">
      <c r="A12" t="inlineStr">
        <is>
          <t>Fuente: Ley 37/1992 del IVA, texto consolidado: https://www.boe.es/buscar/act.php?id=BOE-A-1992-28740</t>
        </is>
      </c>
    </row>
    <row r="13">
      <c r="A13" t="inlineStr">
        <is>
          <t>El agua, los zumos naturales sin azúcares añadidos y la cerveza sin alcohol no son bebidas alcohólicas ni llevan edulcorantes añadidos: para llevar van al tipo reducido, es decir, a la columna «Comida» de esta matriz.</t>
        </is>
      </c>
    </row>
    <row r="14"/>
    <row r="15">
      <c r="A15" s="2" t="inlineStr">
        <is>
          <t>OBJETIVO DE BEVERAGE COST POR CATEGORÍA</t>
        </is>
      </c>
    </row>
    <row r="16" ht="20" customHeight="1">
      <c r="A16" s="5" t="inlineStr">
        <is>
          <t>Categoría</t>
        </is>
      </c>
      <c r="B16" s="5" t="inlineStr">
        <is>
          <t>Objetivo (%)</t>
        </is>
      </c>
    </row>
    <row r="17">
      <c r="A17" s="6" t="inlineStr">
        <is>
          <t>Vinos</t>
        </is>
      </c>
      <c r="B17" s="7" t="n">
        <v>0.3</v>
      </c>
    </row>
    <row r="18">
      <c r="A18" s="6" t="inlineStr">
        <is>
          <t>Cervezas y refrescos</t>
        </is>
      </c>
      <c r="B18" s="7" t="n">
        <v>0.22</v>
      </c>
    </row>
    <row r="19">
      <c r="A19" s="6" t="inlineStr">
        <is>
          <t>Destilados y cócteles</t>
        </is>
      </c>
      <c r="B19" s="7" t="n">
        <v>0.2</v>
      </c>
    </row>
    <row r="20">
      <c r="A20" t="inlineStr">
        <is>
          <t>Vinos — Media española de bebida 34,5 % sobre ingresos de bebida (CaixaBankLab × elBulliFoundation); objetivo de la casa 30 %</t>
        </is>
      </c>
    </row>
    <row r="21">
      <c r="A21" t="inlineStr">
        <is>
          <t>Cervezas y refrescos — Referencia España 15-25 % en bebidas estándar (qamarero.com); barril 20-26 % y botella 24-28 % (referencias EE. UU., purimax.com)</t>
        </is>
      </c>
    </row>
    <row r="22">
      <c r="A22" t="inlineStr">
        <is>
          <t>Destilados y cócteles — Referencia EE. UU. 15-22 % (purimax.com); pour cost objetivo del sector 18-24 %</t>
        </is>
      </c>
    </row>
    <row r="23">
      <c r="A23" t="inlineStr">
        <is>
          <t>Fuente: CaixaBankLab × elBulliFoundation (https://www.caixabanklab.com/elbullifoundation/es/consumos-beneficios-restaurante/), qamarero.com y purimax.com, consultados el 2026-09-03.</t>
        </is>
      </c>
    </row>
    <row r="24">
      <c r="A24" t="inlineStr">
        <is>
          <t>Son objetivos de la casa, no una norma: súbelos o bájalos según tu carta y tu clientela. Todo el libro los lee de estas tres celdas.</t>
        </is>
      </c>
    </row>
  </sheetData>
  <sheetProtection selectLockedCells="0" selectUnlockedCells="0" sheet="1" objects="0" insertRows="0" insertHyperlinks="1" autoFilter="1" scenarios="0" formatColumns="0" deleteColumns="1" insertColumns="1" pivotTables="1" deleteRows="1" formatCells="1" formatRows="0" sort="0"/>
  <dataValidations count="2">
    <dataValidation sqref="B6 B7 B8 C6 C7 C8 D6 D7 D8" showDropDown="0" showInputMessage="1" showErrorMessage="1" allowBlank="1" errorTitle="Tipo de IVA" error="Escribe un porcentaje entre 0 y 1 (0,20 = 20 %)." promptTitle="Tipo de IVA" prompt="Se escribe en tanto por uno: 0,10 = 10 %." type="decimal" operator="between">
      <formula1>0</formula1>
      <formula2>1.0</formula2>
    </dataValidation>
    <dataValidation sqref="B17 B18 B19" showDropDown="0" showInputMessage="1" showErrorMessage="1" allowBlank="1" errorTitle="Beverage cost objetivo" error="Escribe un porcentaje entre 0 y 0,95 (0,20 = 20 %)." promptTitle="Beverage cost objetivo" prompt="Se escribe en tanto por uno: 0,30 = 30 %." type="decimal" operator="between">
      <formula1>0</formula1>
      <formula2>0.95</formula2>
    </dataValidation>
  </dataValidation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Y39"/>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5" customWidth="1" min="1" max="1"/>
    <col width="34" customWidth="1" min="2" max="2"/>
    <col width="18" customWidth="1" min="3" max="3"/>
    <col width="15" customWidth="1" min="4" max="4"/>
    <col width="13" customWidth="1" min="5" max="5"/>
    <col width="13" customWidth="1" min="6" max="6"/>
    <col width="12" customWidth="1" min="7" max="7"/>
    <col width="15" customWidth="1" min="8" max="8"/>
    <col width="14" customWidth="1" min="9" max="9"/>
    <col width="13" customWidth="1" min="10" max="10"/>
    <col width="13" customWidth="1" min="11" max="11"/>
    <col width="12" customWidth="1" min="12" max="12"/>
    <col width="13" customWidth="1" min="13" max="13"/>
    <col width="12" customWidth="1" min="14" max="14"/>
    <col width="14" customWidth="1" min="15" max="15"/>
    <col width="13" customWidth="1" min="16" max="16"/>
    <col width="14" customWidth="1" min="17" max="17"/>
    <col width="13" customWidth="1" min="18" max="18"/>
    <col width="15" customWidth="1" min="19" max="19"/>
    <col width="13" customWidth="1" min="20" max="20"/>
    <col width="12" customWidth="1" min="21" max="21"/>
    <col width="15" customWidth="1" min="22" max="22"/>
    <col width="15" customWidth="1" min="23" max="23"/>
    <col width="13" customWidth="1" min="24" max="24"/>
    <col width="16" customWidth="1" min="25" max="25"/>
  </cols>
  <sheetData>
    <row r="1" ht="30" customHeight="1">
      <c r="A1" s="1" t="inlineStr">
        <is>
          <t>Vinos: botella y copa</t>
        </is>
      </c>
    </row>
    <row r="2">
      <c r="A2" t="inlineStr">
        <is>
          <t>AI Chef Pro · aichef.pro — Guía Food Cost + Ingeniería de Menú</t>
        </is>
      </c>
    </row>
    <row r="3">
      <c r="A3" s="8" t="inlineStr">
        <is>
          <t>La misma botella deja un margen distinto según la vendas entera o por copas. Aquí se ven las dos.</t>
        </is>
      </c>
    </row>
    <row r="4" ht="62" customHeight="1">
      <c r="A4" s="5" t="inlineStr">
        <is>
          <t>#</t>
        </is>
      </c>
      <c r="B4" s="5" t="inlineStr">
        <is>
          <t>Vino</t>
        </is>
      </c>
      <c r="C4" s="5" t="inlineStr">
        <is>
          <t>Tipo a efectos de IVA</t>
        </is>
      </c>
      <c r="D4" s="5" t="inlineStr">
        <is>
          <t>Precio de compra de la botella, sin IVA (€)</t>
        </is>
      </c>
      <c r="E4" s="5" t="inlineStr">
        <is>
          <t>Formato de la botella (cl)</t>
        </is>
      </c>
      <c r="F4" s="5" t="inlineStr">
        <is>
          <t>Servicio de copa (cl)</t>
        </is>
      </c>
      <c r="G4" s="5" t="inlineStr">
        <is>
          <t>Copas por botella (n.º)</t>
        </is>
      </c>
      <c r="H4" s="5" t="inlineStr">
        <is>
          <t>PVP de la botella en sala, sin IVA (€)</t>
        </is>
      </c>
      <c r="I4" s="5" t="inlineStr">
        <is>
          <t>PVP de la copa en sala, sin IVA (€)</t>
        </is>
      </c>
      <c r="J4" s="5" t="inlineStr">
        <is>
          <t>Botellas vendidas al mes (n.º)</t>
        </is>
      </c>
      <c r="K4" s="5" t="inlineStr">
        <is>
          <t>Copas vendidas al mes (n.º)</t>
        </is>
      </c>
      <c r="L4" s="5" t="inlineStr">
        <is>
          <t>Coste por copa (€)</t>
        </is>
      </c>
      <c r="M4" s="5" t="inlineStr">
        <is>
          <t>Margen por botella (€)</t>
        </is>
      </c>
      <c r="N4" s="5" t="inlineStr">
        <is>
          <t>Margen por copa (€)</t>
        </is>
      </c>
      <c r="O4" s="5" t="inlineStr">
        <is>
          <t>Beverage cost de la botella (%)</t>
        </is>
      </c>
      <c r="P4" s="5" t="inlineStr">
        <is>
          <t>Beverage cost de la copa (%)</t>
        </is>
      </c>
      <c r="Q4" s="5" t="inlineStr">
        <is>
          <t>Ventas del mes, sin IVA (€)</t>
        </is>
      </c>
      <c r="R4" s="5" t="inlineStr">
        <is>
          <t>Coste del mes (€)</t>
        </is>
      </c>
      <c r="S4" s="5" t="inlineStr">
        <is>
          <t>Margen de contribución del mes (€)</t>
        </is>
      </c>
      <c r="T4" s="5" t="inlineStr">
        <is>
          <t>Beverage cost del mes (%)</t>
        </is>
      </c>
      <c r="U4" s="5" t="inlineStr">
        <is>
          <t>IVA repercutido en sala (%)</t>
        </is>
      </c>
      <c r="V4" s="5" t="inlineStr">
        <is>
          <t>PVP de la botella con IVA en sala (€)</t>
        </is>
      </c>
      <c r="W4" s="5" t="inlineStr">
        <is>
          <t>PVP de la copa con IVA en sala (€)</t>
        </is>
      </c>
      <c r="X4" s="5" t="inlineStr">
        <is>
          <t>IVA repercutido para llevar (%)</t>
        </is>
      </c>
      <c r="Y4" s="5" t="inlineStr">
        <is>
          <t>PVP de la botella con IVA para llevar (€)</t>
        </is>
      </c>
    </row>
    <row r="5">
      <c r="A5" s="9" t="n">
        <v>1</v>
      </c>
      <c r="B5" s="4" t="inlineStr">
        <is>
          <t>Tinto de la casa (Tempranillo joven)</t>
        </is>
      </c>
      <c r="C5" s="4" t="inlineStr">
        <is>
          <t>Bebida alcohólica</t>
        </is>
      </c>
      <c r="D5" s="10" t="n">
        <v>3.9</v>
      </c>
      <c r="E5" s="11" t="n">
        <v>75</v>
      </c>
      <c r="F5" s="11" t="n">
        <v>15</v>
      </c>
      <c r="G5" s="12">
        <f>IFERROR(IF(OR($E5="",$F5="",$F5=0),"",$E5/$F5),"")</f>
        <v>5.0</v>
      </c>
      <c r="H5" s="10" t="n">
        <v>13.6</v>
      </c>
      <c r="I5" s="10" t="n">
        <v>3</v>
      </c>
      <c r="J5" s="13" t="n">
        <v>120</v>
      </c>
      <c r="K5" s="13" t="n">
        <v>780</v>
      </c>
      <c r="L5" s="14">
        <f>IFERROR(IF(OR($D5="",$G5="",$G5=0),"",$D5/$G5),"")</f>
        <v>0.78</v>
      </c>
      <c r="M5" s="14">
        <f>IFERROR(IF(OR($H5="",$D5=""),"",$H5-$D5),"")</f>
        <v>9.7</v>
      </c>
      <c r="N5" s="14">
        <f>IFERROR(IF(OR($I5="",$L5=""),"",$I5-$L5),"")</f>
        <v>2.2199999999999998</v>
      </c>
      <c r="O5" s="15">
        <f>IFERROR(IF(OR($D5="",$H5="",$H5=0),"",$D5/$H5),"")</f>
        <v>0.2867647058823529</v>
      </c>
      <c r="P5" s="15">
        <f>IFERROR(IF(OR($L5="",$I5="",$I5=0),"",$L5/$I5),"")</f>
        <v>0.26</v>
      </c>
      <c r="Q5" s="14">
        <f>IFERROR(IF(OR($H5="",$I5="",$J5="",$K5=""),"",$H5*$J5+$I5*$K5),"")</f>
        <v>3972.0</v>
      </c>
      <c r="R5" s="14">
        <f>IFERROR(IF(OR($D5="",$L5="",$J5="",$K5=""),"",$D5*$J5+$L5*$K5),"")</f>
        <v>1076.4</v>
      </c>
      <c r="S5" s="14">
        <f>IFERROR(IF(OR($Q5="",$R5=""),"",$Q5-$R5),"")</f>
        <v>2895.6</v>
      </c>
      <c r="T5" s="15">
        <f>IFERROR(IF(OR($Q5="",$Q5=0,$R5=""),"",$R5/$Q5),"")</f>
        <v>0.2709969788519638</v>
      </c>
      <c r="U5" s="15">
        <f>IFERROR(IF($C5="","",INDEX(Parámetros!$B$6:$D$8,MATCH(Parámetros!$A$6,Parámetros!$A$6:$A$8,0),MATCH($C5,Parámetros!$B$5:$D$5,0))),"")</f>
        <v>0.1</v>
      </c>
      <c r="V5" s="14">
        <f>IFERROR(IF(OR($H5="",$U5=""),"",$H5*(1+$U5)),"")</f>
        <v>14.96</v>
      </c>
      <c r="W5" s="14">
        <f>IFERROR(IF(OR($I5="",$U5=""),"",$I5*(1+$U5)),"")</f>
        <v>3.3000000000000003</v>
      </c>
      <c r="X5" s="15">
        <f>IFERROR(IF($C5="","",INDEX(Parámetros!$B$6:$D$8,MATCH(Parámetros!$A$7,Parámetros!$A$6:$A$8,0),MATCH($C5,Parámetros!$B$5:$D$5,0))),"")</f>
        <v>0.21</v>
      </c>
      <c r="Y5" s="14">
        <f>IFERROR(IF(OR($H5="",$X5=""),"",$H5*(1+$X5)),"")</f>
        <v>16.456</v>
      </c>
    </row>
    <row r="6">
      <c r="A6" s="9" t="n">
        <v>2</v>
      </c>
      <c r="B6" s="4" t="inlineStr">
        <is>
          <t>Crianza Rioja</t>
        </is>
      </c>
      <c r="C6" s="4" t="inlineStr">
        <is>
          <t>Bebida alcohólica</t>
        </is>
      </c>
      <c r="D6" s="10" t="n">
        <v>6.1</v>
      </c>
      <c r="E6" s="11" t="n">
        <v>75</v>
      </c>
      <c r="F6" s="11" t="n">
        <v>15</v>
      </c>
      <c r="G6" s="12">
        <f>IFERROR(IF(OR($E6="",$F6="",$F6=0),"",$E6/$F6),"")</f>
        <v>5.0</v>
      </c>
      <c r="H6" s="10" t="n">
        <v>19.1</v>
      </c>
      <c r="I6" s="10" t="n">
        <v>4.1</v>
      </c>
      <c r="J6" s="13" t="n">
        <v>95</v>
      </c>
      <c r="K6" s="13" t="n">
        <v>320</v>
      </c>
      <c r="L6" s="14">
        <f>IFERROR(IF(OR($D6="",$G6="",$G6=0),"",$D6/$G6),"")</f>
        <v>1.22</v>
      </c>
      <c r="M6" s="14">
        <f>IFERROR(IF(OR($H6="",$D6=""),"",$H6-$D6),"")</f>
        <v>13.000000000000002</v>
      </c>
      <c r="N6" s="14">
        <f>IFERROR(IF(OR($I6="",$L6=""),"",$I6-$L6),"")</f>
        <v>2.88</v>
      </c>
      <c r="O6" s="15">
        <f>IFERROR(IF(OR($D6="",$H6="",$H6=0),"",$D6/$H6),"")</f>
        <v>0.31937172774869105</v>
      </c>
      <c r="P6" s="15">
        <f>IFERROR(IF(OR($L6="",$I6="",$I6=0),"",$L6/$I6),"")</f>
        <v>0.29756097560975614</v>
      </c>
      <c r="Q6" s="14">
        <f>IFERROR(IF(OR($H6="",$I6="",$J6="",$K6=""),"",$H6*$J6+$I6*$K6),"")</f>
        <v>3126.5</v>
      </c>
      <c r="R6" s="14">
        <f>IFERROR(IF(OR($D6="",$L6="",$J6="",$K6=""),"",$D6*$J6+$L6*$K6),"")</f>
        <v>969.9</v>
      </c>
      <c r="S6" s="14">
        <f>IFERROR(IF(OR($Q6="",$R6=""),"",$Q6-$R6),"")</f>
        <v>2156.6</v>
      </c>
      <c r="T6" s="15">
        <f>IFERROR(IF(OR($Q6="",$Q6=0,$R6=""),"",$R6/$Q6),"")</f>
        <v>0.31021909483447946</v>
      </c>
      <c r="U6" s="15">
        <f>IFERROR(IF($C6="","",INDEX(Parámetros!$B$6:$D$8,MATCH(Parámetros!$A$6,Parámetros!$A$6:$A$8,0),MATCH($C6,Parámetros!$B$5:$D$5,0))),"")</f>
        <v>0.1</v>
      </c>
      <c r="V6" s="14">
        <f>IFERROR(IF(OR($H6="",$U6=""),"",$H6*(1+$U6)),"")</f>
        <v>21.01</v>
      </c>
      <c r="W6" s="14">
        <f>IFERROR(IF(OR($I6="",$U6=""),"",$I6*(1+$U6)),"")</f>
        <v>4.51</v>
      </c>
      <c r="X6" s="15">
        <f>IFERROR(IF($C6="","",INDEX(Parámetros!$B$6:$D$8,MATCH(Parámetros!$A$7,Parámetros!$A$6:$A$8,0),MATCH($C6,Parámetros!$B$5:$D$5,0))),"")</f>
        <v>0.21</v>
      </c>
      <c r="Y6" s="14">
        <f>IFERROR(IF(OR($H6="",$X6=""),"",$H6*(1+$X6)),"")</f>
        <v>23.111</v>
      </c>
    </row>
    <row r="7">
      <c r="A7" s="9" t="n">
        <v>3</v>
      </c>
      <c r="B7" s="4" t="inlineStr">
        <is>
          <t>Ribera del Duero roble</t>
        </is>
      </c>
      <c r="C7" s="4" t="inlineStr">
        <is>
          <t>Bebida alcohólica</t>
        </is>
      </c>
      <c r="D7" s="10" t="n">
        <v>7.4</v>
      </c>
      <c r="E7" s="11" t="n">
        <v>75</v>
      </c>
      <c r="F7" s="11" t="n">
        <v>15</v>
      </c>
      <c r="G7" s="12">
        <f>IFERROR(IF(OR($E7="",$F7="",$F7=0),"",$E7/$F7),"")</f>
        <v>5.0</v>
      </c>
      <c r="H7" s="10" t="n">
        <v>21.8</v>
      </c>
      <c r="I7" s="10" t="n">
        <v>4.5</v>
      </c>
      <c r="J7" s="13" t="n">
        <v>70</v>
      </c>
      <c r="K7" s="13" t="n">
        <v>210</v>
      </c>
      <c r="L7" s="14">
        <f>IFERROR(IF(OR($D7="",$G7="",$G7=0),"",$D7/$G7),"")</f>
        <v>1.48</v>
      </c>
      <c r="M7" s="14">
        <f>IFERROR(IF(OR($H7="",$D7=""),"",$H7-$D7),"")</f>
        <v>14.4</v>
      </c>
      <c r="N7" s="14">
        <f>IFERROR(IF(OR($I7="",$L7=""),"",$I7-$L7),"")</f>
        <v>3.02</v>
      </c>
      <c r="O7" s="15">
        <f>IFERROR(IF(OR($D7="",$H7="",$H7=0),"",$D7/$H7),"")</f>
        <v>0.3394495412844037</v>
      </c>
      <c r="P7" s="15">
        <f>IFERROR(IF(OR($L7="",$I7="",$I7=0),"",$L7/$I7),"")</f>
        <v>0.3288888888888889</v>
      </c>
      <c r="Q7" s="14">
        <f>IFERROR(IF(OR($H7="",$I7="",$J7="",$K7=""),"",$H7*$J7+$I7*$K7),"")</f>
        <v>2471.0</v>
      </c>
      <c r="R7" s="14">
        <f>IFERROR(IF(OR($D7="",$L7="",$J7="",$K7=""),"",$D7*$J7+$L7*$K7),"")</f>
        <v>828.8</v>
      </c>
      <c r="S7" s="14">
        <f>IFERROR(IF(OR($Q7="",$R7=""),"",$Q7-$R7),"")</f>
        <v>1642.2</v>
      </c>
      <c r="T7" s="15">
        <f>IFERROR(IF(OR($Q7="",$Q7=0,$R7=""),"",$R7/$Q7),"")</f>
        <v>0.33541076487252125</v>
      </c>
      <c r="U7" s="15">
        <f>IFERROR(IF($C7="","",INDEX(Parámetros!$B$6:$D$8,MATCH(Parámetros!$A$6,Parámetros!$A$6:$A$8,0),MATCH($C7,Parámetros!$B$5:$D$5,0))),"")</f>
        <v>0.1</v>
      </c>
      <c r="V7" s="14">
        <f>IFERROR(IF(OR($H7="",$U7=""),"",$H7*(1+$U7)),"")</f>
        <v>23.980000000000004</v>
      </c>
      <c r="W7" s="14">
        <f>IFERROR(IF(OR($I7="",$U7=""),"",$I7*(1+$U7)),"")</f>
        <v>4.95</v>
      </c>
      <c r="X7" s="15">
        <f>IFERROR(IF($C7="","",INDEX(Parámetros!$B$6:$D$8,MATCH(Parámetros!$A$7,Parámetros!$A$6:$A$8,0),MATCH($C7,Parámetros!$B$5:$D$5,0))),"")</f>
        <v>0.21</v>
      </c>
      <c r="Y7" s="14">
        <f>IFERROR(IF(OR($H7="",$X7=""),"",$H7*(1+$X7)),"")</f>
        <v>26.378</v>
      </c>
    </row>
    <row r="8">
      <c r="A8" s="9" t="n">
        <v>4</v>
      </c>
      <c r="B8" s="4" t="inlineStr">
        <is>
          <t>Verdejo Rueda</t>
        </is>
      </c>
      <c r="C8" s="4" t="inlineStr">
        <is>
          <t>Bebida alcohólica</t>
        </is>
      </c>
      <c r="D8" s="10" t="n">
        <v>4.2</v>
      </c>
      <c r="E8" s="11" t="n">
        <v>75</v>
      </c>
      <c r="F8" s="11" t="n">
        <v>15</v>
      </c>
      <c r="G8" s="12">
        <f>IFERROR(IF(OR($E8="",$F8="",$F8=0),"",$E8/$F8),"")</f>
        <v>5.0</v>
      </c>
      <c r="H8" s="10" t="n">
        <v>14.5</v>
      </c>
      <c r="I8" s="10" t="n">
        <v>3.2</v>
      </c>
      <c r="J8" s="13" t="n">
        <v>110</v>
      </c>
      <c r="K8" s="13" t="n">
        <v>640</v>
      </c>
      <c r="L8" s="14">
        <f>IFERROR(IF(OR($D8="",$G8="",$G8=0),"",$D8/$G8),"")</f>
        <v>0.8400000000000001</v>
      </c>
      <c r="M8" s="14">
        <f>IFERROR(IF(OR($H8="",$D8=""),"",$H8-$D8),"")</f>
        <v>10.3</v>
      </c>
      <c r="N8" s="14">
        <f>IFERROR(IF(OR($I8="",$L8=""),"",$I8-$L8),"")</f>
        <v>2.3600000000000003</v>
      </c>
      <c r="O8" s="15">
        <f>IFERROR(IF(OR($D8="",$H8="",$H8=0),"",$D8/$H8),"")</f>
        <v>0.2896551724137931</v>
      </c>
      <c r="P8" s="15">
        <f>IFERROR(IF(OR($L8="",$I8="",$I8=0),"",$L8/$I8),"")</f>
        <v>0.2625</v>
      </c>
      <c r="Q8" s="14">
        <f>IFERROR(IF(OR($H8="",$I8="",$J8="",$K8=""),"",$H8*$J8+$I8*$K8),"")</f>
        <v>3643.0</v>
      </c>
      <c r="R8" s="14">
        <f>IFERROR(IF(OR($D8="",$L8="",$J8="",$K8=""),"",$D8*$J8+$L8*$K8),"")</f>
        <v>999.6</v>
      </c>
      <c r="S8" s="14">
        <f>IFERROR(IF(OR($Q8="",$R8=""),"",$Q8-$R8),"")</f>
        <v>2643.4</v>
      </c>
      <c r="T8" s="15">
        <f>IFERROR(IF(OR($Q8="",$Q8=0,$R8=""),"",$R8/$Q8),"")</f>
        <v>0.27438923963766126</v>
      </c>
      <c r="U8" s="15">
        <f>IFERROR(IF($C8="","",INDEX(Parámetros!$B$6:$D$8,MATCH(Parámetros!$A$6,Parámetros!$A$6:$A$8,0),MATCH($C8,Parámetros!$B$5:$D$5,0))),"")</f>
        <v>0.1</v>
      </c>
      <c r="V8" s="14">
        <f>IFERROR(IF(OR($H8="",$U8=""),"",$H8*(1+$U8)),"")</f>
        <v>15.950000000000001</v>
      </c>
      <c r="W8" s="14">
        <f>IFERROR(IF(OR($I8="",$U8=""),"",$I8*(1+$U8)),"")</f>
        <v>3.5200000000000005</v>
      </c>
      <c r="X8" s="15">
        <f>IFERROR(IF($C8="","",INDEX(Parámetros!$B$6:$D$8,MATCH(Parámetros!$A$7,Parámetros!$A$6:$A$8,0),MATCH($C8,Parámetros!$B$5:$D$5,0))),"")</f>
        <v>0.21</v>
      </c>
      <c r="Y8" s="14">
        <f>IFERROR(IF(OR($H8="",$X8=""),"",$H8*(1+$X8)),"")</f>
        <v>17.544999999999998</v>
      </c>
    </row>
    <row r="9">
      <c r="A9" s="9" t="n">
        <v>5</v>
      </c>
      <c r="B9" s="4" t="inlineStr">
        <is>
          <t>Albariño Rías Baixas</t>
        </is>
      </c>
      <c r="C9" s="4" t="inlineStr">
        <is>
          <t>Bebida alcohólica</t>
        </is>
      </c>
      <c r="D9" s="10" t="n">
        <v>7.9</v>
      </c>
      <c r="E9" s="11" t="n">
        <v>75</v>
      </c>
      <c r="F9" s="11" t="n">
        <v>15</v>
      </c>
      <c r="G9" s="12">
        <f>IFERROR(IF(OR($E9="",$F9="",$F9=0),"",$E9/$F9),"")</f>
        <v>5.0</v>
      </c>
      <c r="H9" s="10" t="n">
        <v>22.7</v>
      </c>
      <c r="I9" s="10" t="n">
        <v>4.8</v>
      </c>
      <c r="J9" s="13" t="n">
        <v>55</v>
      </c>
      <c r="K9" s="13" t="n">
        <v>150</v>
      </c>
      <c r="L9" s="14">
        <f>IFERROR(IF(OR($D9="",$G9="",$G9=0),"",$D9/$G9),"")</f>
        <v>1.58</v>
      </c>
      <c r="M9" s="14">
        <f>IFERROR(IF(OR($H9="",$D9=""),"",$H9-$D9),"")</f>
        <v>14.799999999999999</v>
      </c>
      <c r="N9" s="14">
        <f>IFERROR(IF(OR($I9="",$L9=""),"",$I9-$L9),"")</f>
        <v>3.2199999999999998</v>
      </c>
      <c r="O9" s="15">
        <f>IFERROR(IF(OR($D9="",$H9="",$H9=0),"",$D9/$H9),"")</f>
        <v>0.3480176211453745</v>
      </c>
      <c r="P9" s="15">
        <f>IFERROR(IF(OR($L9="",$I9="",$I9=0),"",$L9/$I9),"")</f>
        <v>0.3291666666666667</v>
      </c>
      <c r="Q9" s="14">
        <f>IFERROR(IF(OR($H9="",$I9="",$J9="",$K9=""),"",$H9*$J9+$I9*$K9),"")</f>
        <v>1968.5</v>
      </c>
      <c r="R9" s="14">
        <f>IFERROR(IF(OR($D9="",$L9="",$J9="",$K9=""),"",$D9*$J9+$L9*$K9),"")</f>
        <v>671.5</v>
      </c>
      <c r="S9" s="14">
        <f>IFERROR(IF(OR($Q9="",$R9=""),"",$Q9-$R9),"")</f>
        <v>1297.0</v>
      </c>
      <c r="T9" s="15">
        <f>IFERROR(IF(OR($Q9="",$Q9=0,$R9=""),"",$R9/$Q9),"")</f>
        <v>0.3411226822453645</v>
      </c>
      <c r="U9" s="15">
        <f>IFERROR(IF($C9="","",INDEX(Parámetros!$B$6:$D$8,MATCH(Parámetros!$A$6,Parámetros!$A$6:$A$8,0),MATCH($C9,Parámetros!$B$5:$D$5,0))),"")</f>
        <v>0.1</v>
      </c>
      <c r="V9" s="14">
        <f>IFERROR(IF(OR($H9="",$U9=""),"",$H9*(1+$U9)),"")</f>
        <v>24.970000000000002</v>
      </c>
      <c r="W9" s="14">
        <f>IFERROR(IF(OR($I9="",$U9=""),"",$I9*(1+$U9)),"")</f>
        <v>5.28</v>
      </c>
      <c r="X9" s="15">
        <f>IFERROR(IF($C9="","",INDEX(Parámetros!$B$6:$D$8,MATCH(Parámetros!$A$7,Parámetros!$A$6:$A$8,0),MATCH($C9,Parámetros!$B$5:$D$5,0))),"")</f>
        <v>0.21</v>
      </c>
      <c r="Y9" s="14">
        <f>IFERROR(IF(OR($H9="",$X9=""),"",$H9*(1+$X9)),"")</f>
        <v>27.467</v>
      </c>
    </row>
    <row r="10">
      <c r="A10" s="9" t="n">
        <v>6</v>
      </c>
      <c r="B10" s="4" t="inlineStr">
        <is>
          <t>Cava brut nature</t>
        </is>
      </c>
      <c r="C10" s="4" t="inlineStr">
        <is>
          <t>Bebida alcohólica</t>
        </is>
      </c>
      <c r="D10" s="10" t="n">
        <v>5.6</v>
      </c>
      <c r="E10" s="11" t="n">
        <v>75</v>
      </c>
      <c r="F10" s="11" t="n">
        <v>15</v>
      </c>
      <c r="G10" s="12">
        <f>IFERROR(IF(OR($E10="",$F10="",$F10=0),"",$E10/$F10),"")</f>
        <v>5.0</v>
      </c>
      <c r="H10" s="10" t="n">
        <v>18.2</v>
      </c>
      <c r="I10" s="10" t="n">
        <v>3.9</v>
      </c>
      <c r="J10" s="13" t="n">
        <v>40</v>
      </c>
      <c r="K10" s="13" t="n">
        <v>180</v>
      </c>
      <c r="L10" s="14">
        <f>IFERROR(IF(OR($D10="",$G10="",$G10=0),"",$D10/$G10),"")</f>
        <v>1.1199999999999999</v>
      </c>
      <c r="M10" s="14">
        <f>IFERROR(IF(OR($H10="",$D10=""),"",$H10-$D10),"")</f>
        <v>12.6</v>
      </c>
      <c r="N10" s="14">
        <f>IFERROR(IF(OR($I10="",$L10=""),"",$I10-$L10),"")</f>
        <v>2.7800000000000002</v>
      </c>
      <c r="O10" s="15">
        <f>IFERROR(IF(OR($D10="",$H10="",$H10=0),"",$D10/$H10),"")</f>
        <v>0.3076923076923077</v>
      </c>
      <c r="P10" s="15">
        <f>IFERROR(IF(OR($L10="",$I10="",$I10=0),"",$L10/$I10),"")</f>
        <v>0.28717948717948716</v>
      </c>
      <c r="Q10" s="14">
        <f>IFERROR(IF(OR($H10="",$I10="",$J10="",$K10=""),"",$H10*$J10+$I10*$K10),"")</f>
        <v>1430.0</v>
      </c>
      <c r="R10" s="14">
        <f>IFERROR(IF(OR($D10="",$L10="",$J10="",$K10=""),"",$D10*$J10+$L10*$K10),"")</f>
        <v>425.59999999999997</v>
      </c>
      <c r="S10" s="14">
        <f>IFERROR(IF(OR($Q10="",$R10=""),"",$Q10-$R10),"")</f>
        <v>1004.4000000000001</v>
      </c>
      <c r="T10" s="15">
        <f>IFERROR(IF(OR($Q10="",$Q10=0,$R10=""),"",$R10/$Q10),"")</f>
        <v>0.2976223776223776</v>
      </c>
      <c r="U10" s="15">
        <f>IFERROR(IF($C10="","",INDEX(Parámetros!$B$6:$D$8,MATCH(Parámetros!$A$6,Parámetros!$A$6:$A$8,0),MATCH($C10,Parámetros!$B$5:$D$5,0))),"")</f>
        <v>0.1</v>
      </c>
      <c r="V10" s="14">
        <f>IFERROR(IF(OR($H10="",$U10=""),"",$H10*(1+$U10)),"")</f>
        <v>20.02</v>
      </c>
      <c r="W10" s="14">
        <f>IFERROR(IF(OR($I10="",$U10=""),"",$I10*(1+$U10)),"")</f>
        <v>4.29</v>
      </c>
      <c r="X10" s="15">
        <f>IFERROR(IF($C10="","",INDEX(Parámetros!$B$6:$D$8,MATCH(Parámetros!$A$7,Parámetros!$A$6:$A$8,0),MATCH($C10,Parámetros!$B$5:$D$5,0))),"")</f>
        <v>0.21</v>
      </c>
      <c r="Y10" s="14">
        <f>IFERROR(IF(OR($H10="",$X10=""),"",$H10*(1+$X10)),"")</f>
        <v>22.022</v>
      </c>
    </row>
    <row r="11">
      <c r="A11" s="9" t="n">
        <v>7</v>
      </c>
      <c r="B11" s="4" t="inlineStr">
        <is>
          <t>Rosado Navarra</t>
        </is>
      </c>
      <c r="C11" s="4" t="inlineStr">
        <is>
          <t>Bebida alcohólica</t>
        </is>
      </c>
      <c r="D11" s="10" t="n">
        <v>3.7</v>
      </c>
      <c r="E11" s="11" t="n">
        <v>75</v>
      </c>
      <c r="F11" s="11" t="n">
        <v>15</v>
      </c>
      <c r="G11" s="12">
        <f>IFERROR(IF(OR($E11="",$F11="",$F11=0),"",$E11/$F11),"")</f>
        <v>5.0</v>
      </c>
      <c r="H11" s="10" t="n">
        <v>12.7</v>
      </c>
      <c r="I11" s="10" t="n">
        <v>2.9</v>
      </c>
      <c r="J11" s="13" t="n">
        <v>30</v>
      </c>
      <c r="K11" s="13" t="n">
        <v>140</v>
      </c>
      <c r="L11" s="14">
        <f>IFERROR(IF(OR($D11="",$G11="",$G11=0),"",$D11/$G11),"")</f>
        <v>0.74</v>
      </c>
      <c r="M11" s="14">
        <f>IFERROR(IF(OR($H11="",$D11=""),"",$H11-$D11),"")</f>
        <v>9.0</v>
      </c>
      <c r="N11" s="14">
        <f>IFERROR(IF(OR($I11="",$L11=""),"",$I11-$L11),"")</f>
        <v>2.16</v>
      </c>
      <c r="O11" s="15">
        <f>IFERROR(IF(OR($D11="",$H11="",$H11=0),"",$D11/$H11),"")</f>
        <v>0.2913385826771654</v>
      </c>
      <c r="P11" s="15">
        <f>IFERROR(IF(OR($L11="",$I11="",$I11=0),"",$L11/$I11),"")</f>
        <v>0.25517241379310346</v>
      </c>
      <c r="Q11" s="14">
        <f>IFERROR(IF(OR($H11="",$I11="",$J11="",$K11=""),"",$H11*$J11+$I11*$K11),"")</f>
        <v>787.0</v>
      </c>
      <c r="R11" s="14">
        <f>IFERROR(IF(OR($D11="",$L11="",$J11="",$K11=""),"",$D11*$J11+$L11*$K11),"")</f>
        <v>214.6</v>
      </c>
      <c r="S11" s="14">
        <f>IFERROR(IF(OR($Q11="",$R11=""),"",$Q11-$R11),"")</f>
        <v>572.4</v>
      </c>
      <c r="T11" s="15">
        <f>IFERROR(IF(OR($Q11="",$Q11=0,$R11=""),"",$R11/$Q11),"")</f>
        <v>0.2726810673443456</v>
      </c>
      <c r="U11" s="15">
        <f>IFERROR(IF($C11="","",INDEX(Parámetros!$B$6:$D$8,MATCH(Parámetros!$A$6,Parámetros!$A$6:$A$8,0),MATCH($C11,Parámetros!$B$5:$D$5,0))),"")</f>
        <v>0.1</v>
      </c>
      <c r="V11" s="14">
        <f>IFERROR(IF(OR($H11="",$U11=""),"",$H11*(1+$U11)),"")</f>
        <v>13.97</v>
      </c>
      <c r="W11" s="14">
        <f>IFERROR(IF(OR($I11="",$U11=""),"",$I11*(1+$U11)),"")</f>
        <v>3.19</v>
      </c>
      <c r="X11" s="15">
        <f>IFERROR(IF($C11="","",INDEX(Parámetros!$B$6:$D$8,MATCH(Parámetros!$A$7,Parámetros!$A$6:$A$8,0),MATCH($C11,Parámetros!$B$5:$D$5,0))),"")</f>
        <v>0.21</v>
      </c>
      <c r="Y11" s="14">
        <f>IFERROR(IF(OR($H11="",$X11=""),"",$H11*(1+$X11)),"")</f>
        <v>15.366999999999999</v>
      </c>
    </row>
    <row r="12">
      <c r="A12" s="9" t="n">
        <v>8</v>
      </c>
      <c r="B12" s="4" t="inlineStr">
        <is>
          <t>Vino dulce Pedro Ximénez</t>
        </is>
      </c>
      <c r="C12" s="4" t="inlineStr">
        <is>
          <t>Bebida alcohólica</t>
        </is>
      </c>
      <c r="D12" s="10" t="n">
        <v>11.5</v>
      </c>
      <c r="E12" s="11" t="n">
        <v>50</v>
      </c>
      <c r="F12" s="11" t="n">
        <v>6.25</v>
      </c>
      <c r="G12" s="12">
        <f>IFERROR(IF(OR($E12="",$F12="",$F12=0),"",$E12/$F12),"")</f>
        <v>8.0</v>
      </c>
      <c r="H12" s="10" t="n">
        <v>27.3</v>
      </c>
      <c r="I12" s="10" t="n">
        <v>4</v>
      </c>
      <c r="J12" s="13" t="n">
        <v>10</v>
      </c>
      <c r="K12" s="13" t="n">
        <v>120</v>
      </c>
      <c r="L12" s="14">
        <f>IFERROR(IF(OR($D12="",$G12="",$G12=0),"",$D12/$G12),"")</f>
        <v>1.4375</v>
      </c>
      <c r="M12" s="14">
        <f>IFERROR(IF(OR($H12="",$D12=""),"",$H12-$D12),"")</f>
        <v>15.8</v>
      </c>
      <c r="N12" s="14">
        <f>IFERROR(IF(OR($I12="",$L12=""),"",$I12-$L12),"")</f>
        <v>2.5625</v>
      </c>
      <c r="O12" s="15">
        <f>IFERROR(IF(OR($D12="",$H12="",$H12=0),"",$D12/$H12),"")</f>
        <v>0.42124542124542125</v>
      </c>
      <c r="P12" s="15">
        <f>IFERROR(IF(OR($L12="",$I12="",$I12=0),"",$L12/$I12),"")</f>
        <v>0.359375</v>
      </c>
      <c r="Q12" s="14">
        <f>IFERROR(IF(OR($H12="",$I12="",$J12="",$K12=""),"",$H12*$J12+$I12*$K12),"")</f>
        <v>753.0</v>
      </c>
      <c r="R12" s="14">
        <f>IFERROR(IF(OR($D12="",$L12="",$J12="",$K12=""),"",$D12*$J12+$L12*$K12),"")</f>
        <v>287.5</v>
      </c>
      <c r="S12" s="14">
        <f>IFERROR(IF(OR($Q12="",$R12=""),"",$Q12-$R12),"")</f>
        <v>465.5</v>
      </c>
      <c r="T12" s="15">
        <f>IFERROR(IF(OR($Q12="",$Q12=0,$R12=""),"",$R12/$Q12),"")</f>
        <v>0.38180610889774236</v>
      </c>
      <c r="U12" s="15">
        <f>IFERROR(IF($C12="","",INDEX(Parámetros!$B$6:$D$8,MATCH(Parámetros!$A$6,Parámetros!$A$6:$A$8,0),MATCH($C12,Parámetros!$B$5:$D$5,0))),"")</f>
        <v>0.1</v>
      </c>
      <c r="V12" s="14">
        <f>IFERROR(IF(OR($H12="",$U12=""),"",$H12*(1+$U12)),"")</f>
        <v>30.030000000000005</v>
      </c>
      <c r="W12" s="14">
        <f>IFERROR(IF(OR($I12="",$U12=""),"",$I12*(1+$U12)),"")</f>
        <v>4.4</v>
      </c>
      <c r="X12" s="15">
        <f>IFERROR(IF($C12="","",INDEX(Parámetros!$B$6:$D$8,MATCH(Parámetros!$A$7,Parámetros!$A$6:$A$8,0),MATCH($C12,Parámetros!$B$5:$D$5,0))),"")</f>
        <v>0.21</v>
      </c>
      <c r="Y12" s="14">
        <f>IFERROR(IF(OR($H12="",$X12=""),"",$H12*(1+$X12)),"")</f>
        <v>33.033</v>
      </c>
    </row>
    <row r="13">
      <c r="A13" s="9" t="n">
        <v>9</v>
      </c>
      <c r="B13" s="4" t="n"/>
      <c r="C13" s="4" t="n"/>
      <c r="D13" s="10" t="n"/>
      <c r="E13" s="11" t="n"/>
      <c r="F13" s="11" t="n"/>
      <c r="G13" s="12">
        <f>IFERROR(IF(OR($E13="",$F13="",$F13=0),"",$E13/$F13),"")</f>
        <v/>
      </c>
      <c r="H13" s="10" t="n"/>
      <c r="I13" s="10" t="n"/>
      <c r="J13" s="13" t="n"/>
      <c r="K13" s="13" t="n"/>
      <c r="L13" s="14">
        <f>IFERROR(IF(OR($D13="",$G13="",$G13=0),"",$D13/$G13),"")</f>
        <v/>
      </c>
      <c r="M13" s="14">
        <f>IFERROR(IF(OR($H13="",$D13=""),"",$H13-$D13),"")</f>
        <v/>
      </c>
      <c r="N13" s="14">
        <f>IFERROR(IF(OR($I13="",$L13=""),"",$I13-$L13),"")</f>
        <v/>
      </c>
      <c r="O13" s="15">
        <f>IFERROR(IF(OR($D13="",$H13="",$H13=0),"",$D13/$H13),"")</f>
        <v/>
      </c>
      <c r="P13" s="15">
        <f>IFERROR(IF(OR($L13="",$I13="",$I13=0),"",$L13/$I13),"")</f>
        <v/>
      </c>
      <c r="Q13" s="14">
        <f>IFERROR(IF(OR($H13="",$I13="",$J13="",$K13=""),"",$H13*$J13+$I13*$K13),"")</f>
        <v/>
      </c>
      <c r="R13" s="14">
        <f>IFERROR(IF(OR($D13="",$L13="",$J13="",$K13=""),"",$D13*$J13+$L13*$K13),"")</f>
        <v/>
      </c>
      <c r="S13" s="14">
        <f>IFERROR(IF(OR($Q13="",$R13=""),"",$Q13-$R13),"")</f>
        <v/>
      </c>
      <c r="T13" s="15">
        <f>IFERROR(IF(OR($Q13="",$Q13=0,$R13=""),"",$R13/$Q13),"")</f>
        <v/>
      </c>
      <c r="U13" s="15">
        <f>IFERROR(IF($C13="","",INDEX(Parámetros!$B$6:$D$8,MATCH(Parámetros!$A$6,Parámetros!$A$6:$A$8,0),MATCH($C13,Parámetros!$B$5:$D$5,0))),"")</f>
        <v/>
      </c>
      <c r="V13" s="14">
        <f>IFERROR(IF(OR($H13="",$U13=""),"",$H13*(1+$U13)),"")</f>
        <v/>
      </c>
      <c r="W13" s="14">
        <f>IFERROR(IF(OR($I13="",$U13=""),"",$I13*(1+$U13)),"")</f>
        <v/>
      </c>
      <c r="X13" s="15">
        <f>IFERROR(IF($C13="","",INDEX(Parámetros!$B$6:$D$8,MATCH(Parámetros!$A$7,Parámetros!$A$6:$A$8,0),MATCH($C13,Parámetros!$B$5:$D$5,0))),"")</f>
        <v/>
      </c>
      <c r="Y13" s="14">
        <f>IFERROR(IF(OR($H13="",$X13=""),"",$H13*(1+$X13)),"")</f>
        <v/>
      </c>
    </row>
    <row r="14">
      <c r="A14" s="9" t="n">
        <v>10</v>
      </c>
      <c r="B14" s="4" t="n"/>
      <c r="C14" s="4" t="n"/>
      <c r="D14" s="10" t="n"/>
      <c r="E14" s="11" t="n"/>
      <c r="F14" s="11" t="n"/>
      <c r="G14" s="12">
        <f>IFERROR(IF(OR($E14="",$F14="",$F14=0),"",$E14/$F14),"")</f>
        <v/>
      </c>
      <c r="H14" s="10" t="n"/>
      <c r="I14" s="10" t="n"/>
      <c r="J14" s="13" t="n"/>
      <c r="K14" s="13" t="n"/>
      <c r="L14" s="14">
        <f>IFERROR(IF(OR($D14="",$G14="",$G14=0),"",$D14/$G14),"")</f>
        <v/>
      </c>
      <c r="M14" s="14">
        <f>IFERROR(IF(OR($H14="",$D14=""),"",$H14-$D14),"")</f>
        <v/>
      </c>
      <c r="N14" s="14">
        <f>IFERROR(IF(OR($I14="",$L14=""),"",$I14-$L14),"")</f>
        <v/>
      </c>
      <c r="O14" s="15">
        <f>IFERROR(IF(OR($D14="",$H14="",$H14=0),"",$D14/$H14),"")</f>
        <v/>
      </c>
      <c r="P14" s="15">
        <f>IFERROR(IF(OR($L14="",$I14="",$I14=0),"",$L14/$I14),"")</f>
        <v/>
      </c>
      <c r="Q14" s="14">
        <f>IFERROR(IF(OR($H14="",$I14="",$J14="",$K14=""),"",$H14*$J14+$I14*$K14),"")</f>
        <v/>
      </c>
      <c r="R14" s="14">
        <f>IFERROR(IF(OR($D14="",$L14="",$J14="",$K14=""),"",$D14*$J14+$L14*$K14),"")</f>
        <v/>
      </c>
      <c r="S14" s="14">
        <f>IFERROR(IF(OR($Q14="",$R14=""),"",$Q14-$R14),"")</f>
        <v/>
      </c>
      <c r="T14" s="15">
        <f>IFERROR(IF(OR($Q14="",$Q14=0,$R14=""),"",$R14/$Q14),"")</f>
        <v/>
      </c>
      <c r="U14" s="15">
        <f>IFERROR(IF($C14="","",INDEX(Parámetros!$B$6:$D$8,MATCH(Parámetros!$A$6,Parámetros!$A$6:$A$8,0),MATCH($C14,Parámetros!$B$5:$D$5,0))),"")</f>
        <v/>
      </c>
      <c r="V14" s="14">
        <f>IFERROR(IF(OR($H14="",$U14=""),"",$H14*(1+$U14)),"")</f>
        <v/>
      </c>
      <c r="W14" s="14">
        <f>IFERROR(IF(OR($I14="",$U14=""),"",$I14*(1+$U14)),"")</f>
        <v/>
      </c>
      <c r="X14" s="15">
        <f>IFERROR(IF($C14="","",INDEX(Parámetros!$B$6:$D$8,MATCH(Parámetros!$A$7,Parámetros!$A$6:$A$8,0),MATCH($C14,Parámetros!$B$5:$D$5,0))),"")</f>
        <v/>
      </c>
      <c r="Y14" s="14">
        <f>IFERROR(IF(OR($H14="",$X14=""),"",$H14*(1+$X14)),"")</f>
        <v/>
      </c>
    </row>
    <row r="15">
      <c r="A15" s="9" t="n">
        <v>11</v>
      </c>
      <c r="B15" s="4" t="n"/>
      <c r="C15" s="4" t="n"/>
      <c r="D15" s="10" t="n"/>
      <c r="E15" s="11" t="n"/>
      <c r="F15" s="11" t="n"/>
      <c r="G15" s="12">
        <f>IFERROR(IF(OR($E15="",$F15="",$F15=0),"",$E15/$F15),"")</f>
        <v/>
      </c>
      <c r="H15" s="10" t="n"/>
      <c r="I15" s="10" t="n"/>
      <c r="J15" s="13" t="n"/>
      <c r="K15" s="13" t="n"/>
      <c r="L15" s="14">
        <f>IFERROR(IF(OR($D15="",$G15="",$G15=0),"",$D15/$G15),"")</f>
        <v/>
      </c>
      <c r="M15" s="14">
        <f>IFERROR(IF(OR($H15="",$D15=""),"",$H15-$D15),"")</f>
        <v/>
      </c>
      <c r="N15" s="14">
        <f>IFERROR(IF(OR($I15="",$L15=""),"",$I15-$L15),"")</f>
        <v/>
      </c>
      <c r="O15" s="15">
        <f>IFERROR(IF(OR($D15="",$H15="",$H15=0),"",$D15/$H15),"")</f>
        <v/>
      </c>
      <c r="P15" s="15">
        <f>IFERROR(IF(OR($L15="",$I15="",$I15=0),"",$L15/$I15),"")</f>
        <v/>
      </c>
      <c r="Q15" s="14">
        <f>IFERROR(IF(OR($H15="",$I15="",$J15="",$K15=""),"",$H15*$J15+$I15*$K15),"")</f>
        <v/>
      </c>
      <c r="R15" s="14">
        <f>IFERROR(IF(OR($D15="",$L15="",$J15="",$K15=""),"",$D15*$J15+$L15*$K15),"")</f>
        <v/>
      </c>
      <c r="S15" s="14">
        <f>IFERROR(IF(OR($Q15="",$R15=""),"",$Q15-$R15),"")</f>
        <v/>
      </c>
      <c r="T15" s="15">
        <f>IFERROR(IF(OR($Q15="",$Q15=0,$R15=""),"",$R15/$Q15),"")</f>
        <v/>
      </c>
      <c r="U15" s="15">
        <f>IFERROR(IF($C15="","",INDEX(Parámetros!$B$6:$D$8,MATCH(Parámetros!$A$6,Parámetros!$A$6:$A$8,0),MATCH($C15,Parámetros!$B$5:$D$5,0))),"")</f>
        <v/>
      </c>
      <c r="V15" s="14">
        <f>IFERROR(IF(OR($H15="",$U15=""),"",$H15*(1+$U15)),"")</f>
        <v/>
      </c>
      <c r="W15" s="14">
        <f>IFERROR(IF(OR($I15="",$U15=""),"",$I15*(1+$U15)),"")</f>
        <v/>
      </c>
      <c r="X15" s="15">
        <f>IFERROR(IF($C15="","",INDEX(Parámetros!$B$6:$D$8,MATCH(Parámetros!$A$7,Parámetros!$A$6:$A$8,0),MATCH($C15,Parámetros!$B$5:$D$5,0))),"")</f>
        <v/>
      </c>
      <c r="Y15" s="14">
        <f>IFERROR(IF(OR($H15="",$X15=""),"",$H15*(1+$X15)),"")</f>
        <v/>
      </c>
    </row>
    <row r="16">
      <c r="A16" s="9" t="n">
        <v>12</v>
      </c>
      <c r="B16" s="4" t="n"/>
      <c r="C16" s="4" t="n"/>
      <c r="D16" s="10" t="n"/>
      <c r="E16" s="11" t="n"/>
      <c r="F16" s="11" t="n"/>
      <c r="G16" s="12">
        <f>IFERROR(IF(OR($E16="",$F16="",$F16=0),"",$E16/$F16),"")</f>
        <v/>
      </c>
      <c r="H16" s="10" t="n"/>
      <c r="I16" s="10" t="n"/>
      <c r="J16" s="13" t="n"/>
      <c r="K16" s="13" t="n"/>
      <c r="L16" s="14">
        <f>IFERROR(IF(OR($D16="",$G16="",$G16=0),"",$D16/$G16),"")</f>
        <v/>
      </c>
      <c r="M16" s="14">
        <f>IFERROR(IF(OR($H16="",$D16=""),"",$H16-$D16),"")</f>
        <v/>
      </c>
      <c r="N16" s="14">
        <f>IFERROR(IF(OR($I16="",$L16=""),"",$I16-$L16),"")</f>
        <v/>
      </c>
      <c r="O16" s="15">
        <f>IFERROR(IF(OR($D16="",$H16="",$H16=0),"",$D16/$H16),"")</f>
        <v/>
      </c>
      <c r="P16" s="15">
        <f>IFERROR(IF(OR($L16="",$I16="",$I16=0),"",$L16/$I16),"")</f>
        <v/>
      </c>
      <c r="Q16" s="14">
        <f>IFERROR(IF(OR($H16="",$I16="",$J16="",$K16=""),"",$H16*$J16+$I16*$K16),"")</f>
        <v/>
      </c>
      <c r="R16" s="14">
        <f>IFERROR(IF(OR($D16="",$L16="",$J16="",$K16=""),"",$D16*$J16+$L16*$K16),"")</f>
        <v/>
      </c>
      <c r="S16" s="14">
        <f>IFERROR(IF(OR($Q16="",$R16=""),"",$Q16-$R16),"")</f>
        <v/>
      </c>
      <c r="T16" s="15">
        <f>IFERROR(IF(OR($Q16="",$Q16=0,$R16=""),"",$R16/$Q16),"")</f>
        <v/>
      </c>
      <c r="U16" s="15">
        <f>IFERROR(IF($C16="","",INDEX(Parámetros!$B$6:$D$8,MATCH(Parámetros!$A$6,Parámetros!$A$6:$A$8,0),MATCH($C16,Parámetros!$B$5:$D$5,0))),"")</f>
        <v/>
      </c>
      <c r="V16" s="14">
        <f>IFERROR(IF(OR($H16="",$U16=""),"",$H16*(1+$U16)),"")</f>
        <v/>
      </c>
      <c r="W16" s="14">
        <f>IFERROR(IF(OR($I16="",$U16=""),"",$I16*(1+$U16)),"")</f>
        <v/>
      </c>
      <c r="X16" s="15">
        <f>IFERROR(IF($C16="","",INDEX(Parámetros!$B$6:$D$8,MATCH(Parámetros!$A$7,Parámetros!$A$6:$A$8,0),MATCH($C16,Parámetros!$B$5:$D$5,0))),"")</f>
        <v/>
      </c>
      <c r="Y16" s="14">
        <f>IFERROR(IF(OR($H16="",$X16=""),"",$H16*(1+$X16)),"")</f>
        <v/>
      </c>
    </row>
    <row r="17">
      <c r="A17" s="9" t="n">
        <v>13</v>
      </c>
      <c r="B17" s="4" t="n"/>
      <c r="C17" s="4" t="n"/>
      <c r="D17" s="10" t="n"/>
      <c r="E17" s="11" t="n"/>
      <c r="F17" s="11" t="n"/>
      <c r="G17" s="12">
        <f>IFERROR(IF(OR($E17="",$F17="",$F17=0),"",$E17/$F17),"")</f>
        <v/>
      </c>
      <c r="H17" s="10" t="n"/>
      <c r="I17" s="10" t="n"/>
      <c r="J17" s="13" t="n"/>
      <c r="K17" s="13" t="n"/>
      <c r="L17" s="14">
        <f>IFERROR(IF(OR($D17="",$G17="",$G17=0),"",$D17/$G17),"")</f>
        <v/>
      </c>
      <c r="M17" s="14">
        <f>IFERROR(IF(OR($H17="",$D17=""),"",$H17-$D17),"")</f>
        <v/>
      </c>
      <c r="N17" s="14">
        <f>IFERROR(IF(OR($I17="",$L17=""),"",$I17-$L17),"")</f>
        <v/>
      </c>
      <c r="O17" s="15">
        <f>IFERROR(IF(OR($D17="",$H17="",$H17=0),"",$D17/$H17),"")</f>
        <v/>
      </c>
      <c r="P17" s="15">
        <f>IFERROR(IF(OR($L17="",$I17="",$I17=0),"",$L17/$I17),"")</f>
        <v/>
      </c>
      <c r="Q17" s="14">
        <f>IFERROR(IF(OR($H17="",$I17="",$J17="",$K17=""),"",$H17*$J17+$I17*$K17),"")</f>
        <v/>
      </c>
      <c r="R17" s="14">
        <f>IFERROR(IF(OR($D17="",$L17="",$J17="",$K17=""),"",$D17*$J17+$L17*$K17),"")</f>
        <v/>
      </c>
      <c r="S17" s="14">
        <f>IFERROR(IF(OR($Q17="",$R17=""),"",$Q17-$R17),"")</f>
        <v/>
      </c>
      <c r="T17" s="15">
        <f>IFERROR(IF(OR($Q17="",$Q17=0,$R17=""),"",$R17/$Q17),"")</f>
        <v/>
      </c>
      <c r="U17" s="15">
        <f>IFERROR(IF($C17="","",INDEX(Parámetros!$B$6:$D$8,MATCH(Parámetros!$A$6,Parámetros!$A$6:$A$8,0),MATCH($C17,Parámetros!$B$5:$D$5,0))),"")</f>
        <v/>
      </c>
      <c r="V17" s="14">
        <f>IFERROR(IF(OR($H17="",$U17=""),"",$H17*(1+$U17)),"")</f>
        <v/>
      </c>
      <c r="W17" s="14">
        <f>IFERROR(IF(OR($I17="",$U17=""),"",$I17*(1+$U17)),"")</f>
        <v/>
      </c>
      <c r="X17" s="15">
        <f>IFERROR(IF($C17="","",INDEX(Parámetros!$B$6:$D$8,MATCH(Parámetros!$A$7,Parámetros!$A$6:$A$8,0),MATCH($C17,Parámetros!$B$5:$D$5,0))),"")</f>
        <v/>
      </c>
      <c r="Y17" s="14">
        <f>IFERROR(IF(OR($H17="",$X17=""),"",$H17*(1+$X17)),"")</f>
        <v/>
      </c>
    </row>
    <row r="18">
      <c r="A18" s="9" t="n">
        <v>14</v>
      </c>
      <c r="B18" s="4" t="n"/>
      <c r="C18" s="4" t="n"/>
      <c r="D18" s="10" t="n"/>
      <c r="E18" s="11" t="n"/>
      <c r="F18" s="11" t="n"/>
      <c r="G18" s="12">
        <f>IFERROR(IF(OR($E18="",$F18="",$F18=0),"",$E18/$F18),"")</f>
        <v/>
      </c>
      <c r="H18" s="10" t="n"/>
      <c r="I18" s="10" t="n"/>
      <c r="J18" s="13" t="n"/>
      <c r="K18" s="13" t="n"/>
      <c r="L18" s="14">
        <f>IFERROR(IF(OR($D18="",$G18="",$G18=0),"",$D18/$G18),"")</f>
        <v/>
      </c>
      <c r="M18" s="14">
        <f>IFERROR(IF(OR($H18="",$D18=""),"",$H18-$D18),"")</f>
        <v/>
      </c>
      <c r="N18" s="14">
        <f>IFERROR(IF(OR($I18="",$L18=""),"",$I18-$L18),"")</f>
        <v/>
      </c>
      <c r="O18" s="15">
        <f>IFERROR(IF(OR($D18="",$H18="",$H18=0),"",$D18/$H18),"")</f>
        <v/>
      </c>
      <c r="P18" s="15">
        <f>IFERROR(IF(OR($L18="",$I18="",$I18=0),"",$L18/$I18),"")</f>
        <v/>
      </c>
      <c r="Q18" s="14">
        <f>IFERROR(IF(OR($H18="",$I18="",$J18="",$K18=""),"",$H18*$J18+$I18*$K18),"")</f>
        <v/>
      </c>
      <c r="R18" s="14">
        <f>IFERROR(IF(OR($D18="",$L18="",$J18="",$K18=""),"",$D18*$J18+$L18*$K18),"")</f>
        <v/>
      </c>
      <c r="S18" s="14">
        <f>IFERROR(IF(OR($Q18="",$R18=""),"",$Q18-$R18),"")</f>
        <v/>
      </c>
      <c r="T18" s="15">
        <f>IFERROR(IF(OR($Q18="",$Q18=0,$R18=""),"",$R18/$Q18),"")</f>
        <v/>
      </c>
      <c r="U18" s="15">
        <f>IFERROR(IF($C18="","",INDEX(Parámetros!$B$6:$D$8,MATCH(Parámetros!$A$6,Parámetros!$A$6:$A$8,0),MATCH($C18,Parámetros!$B$5:$D$5,0))),"")</f>
        <v/>
      </c>
      <c r="V18" s="14">
        <f>IFERROR(IF(OR($H18="",$U18=""),"",$H18*(1+$U18)),"")</f>
        <v/>
      </c>
      <c r="W18" s="14">
        <f>IFERROR(IF(OR($I18="",$U18=""),"",$I18*(1+$U18)),"")</f>
        <v/>
      </c>
      <c r="X18" s="15">
        <f>IFERROR(IF($C18="","",INDEX(Parámetros!$B$6:$D$8,MATCH(Parámetros!$A$7,Parámetros!$A$6:$A$8,0),MATCH($C18,Parámetros!$B$5:$D$5,0))),"")</f>
        <v/>
      </c>
      <c r="Y18" s="14">
        <f>IFERROR(IF(OR($H18="",$X18=""),"",$H18*(1+$X18)),"")</f>
        <v/>
      </c>
    </row>
    <row r="19">
      <c r="A19" s="9" t="n">
        <v>15</v>
      </c>
      <c r="B19" s="4" t="n"/>
      <c r="C19" s="4" t="n"/>
      <c r="D19" s="10" t="n"/>
      <c r="E19" s="11" t="n"/>
      <c r="F19" s="11" t="n"/>
      <c r="G19" s="12">
        <f>IFERROR(IF(OR($E19="",$F19="",$F19=0),"",$E19/$F19),"")</f>
        <v/>
      </c>
      <c r="H19" s="10" t="n"/>
      <c r="I19" s="10" t="n"/>
      <c r="J19" s="13" t="n"/>
      <c r="K19" s="13" t="n"/>
      <c r="L19" s="14">
        <f>IFERROR(IF(OR($D19="",$G19="",$G19=0),"",$D19/$G19),"")</f>
        <v/>
      </c>
      <c r="M19" s="14">
        <f>IFERROR(IF(OR($H19="",$D19=""),"",$H19-$D19),"")</f>
        <v/>
      </c>
      <c r="N19" s="14">
        <f>IFERROR(IF(OR($I19="",$L19=""),"",$I19-$L19),"")</f>
        <v/>
      </c>
      <c r="O19" s="15">
        <f>IFERROR(IF(OR($D19="",$H19="",$H19=0),"",$D19/$H19),"")</f>
        <v/>
      </c>
      <c r="P19" s="15">
        <f>IFERROR(IF(OR($L19="",$I19="",$I19=0),"",$L19/$I19),"")</f>
        <v/>
      </c>
      <c r="Q19" s="14">
        <f>IFERROR(IF(OR($H19="",$I19="",$J19="",$K19=""),"",$H19*$J19+$I19*$K19),"")</f>
        <v/>
      </c>
      <c r="R19" s="14">
        <f>IFERROR(IF(OR($D19="",$L19="",$J19="",$K19=""),"",$D19*$J19+$L19*$K19),"")</f>
        <v/>
      </c>
      <c r="S19" s="14">
        <f>IFERROR(IF(OR($Q19="",$R19=""),"",$Q19-$R19),"")</f>
        <v/>
      </c>
      <c r="T19" s="15">
        <f>IFERROR(IF(OR($Q19="",$Q19=0,$R19=""),"",$R19/$Q19),"")</f>
        <v/>
      </c>
      <c r="U19" s="15">
        <f>IFERROR(IF($C19="","",INDEX(Parámetros!$B$6:$D$8,MATCH(Parámetros!$A$6,Parámetros!$A$6:$A$8,0),MATCH($C19,Parámetros!$B$5:$D$5,0))),"")</f>
        <v/>
      </c>
      <c r="V19" s="14">
        <f>IFERROR(IF(OR($H19="",$U19=""),"",$H19*(1+$U19)),"")</f>
        <v/>
      </c>
      <c r="W19" s="14">
        <f>IFERROR(IF(OR($I19="",$U19=""),"",$I19*(1+$U19)),"")</f>
        <v/>
      </c>
      <c r="X19" s="15">
        <f>IFERROR(IF($C19="","",INDEX(Parámetros!$B$6:$D$8,MATCH(Parámetros!$A$7,Parámetros!$A$6:$A$8,0),MATCH($C19,Parámetros!$B$5:$D$5,0))),"")</f>
        <v/>
      </c>
      <c r="Y19" s="14">
        <f>IFERROR(IF(OR($H19="",$X19=""),"",$H19*(1+$X19)),"")</f>
        <v/>
      </c>
    </row>
    <row r="20">
      <c r="A20" s="9" t="n">
        <v>16</v>
      </c>
      <c r="B20" s="4" t="n"/>
      <c r="C20" s="4" t="n"/>
      <c r="D20" s="10" t="n"/>
      <c r="E20" s="11" t="n"/>
      <c r="F20" s="11" t="n"/>
      <c r="G20" s="12">
        <f>IFERROR(IF(OR($E20="",$F20="",$F20=0),"",$E20/$F20),"")</f>
        <v/>
      </c>
      <c r="H20" s="10" t="n"/>
      <c r="I20" s="10" t="n"/>
      <c r="J20" s="13" t="n"/>
      <c r="K20" s="13" t="n"/>
      <c r="L20" s="14">
        <f>IFERROR(IF(OR($D20="",$G20="",$G20=0),"",$D20/$G20),"")</f>
        <v/>
      </c>
      <c r="M20" s="14">
        <f>IFERROR(IF(OR($H20="",$D20=""),"",$H20-$D20),"")</f>
        <v/>
      </c>
      <c r="N20" s="14">
        <f>IFERROR(IF(OR($I20="",$L20=""),"",$I20-$L20),"")</f>
        <v/>
      </c>
      <c r="O20" s="15">
        <f>IFERROR(IF(OR($D20="",$H20="",$H20=0),"",$D20/$H20),"")</f>
        <v/>
      </c>
      <c r="P20" s="15">
        <f>IFERROR(IF(OR($L20="",$I20="",$I20=0),"",$L20/$I20),"")</f>
        <v/>
      </c>
      <c r="Q20" s="14">
        <f>IFERROR(IF(OR($H20="",$I20="",$J20="",$K20=""),"",$H20*$J20+$I20*$K20),"")</f>
        <v/>
      </c>
      <c r="R20" s="14">
        <f>IFERROR(IF(OR($D20="",$L20="",$J20="",$K20=""),"",$D20*$J20+$L20*$K20),"")</f>
        <v/>
      </c>
      <c r="S20" s="14">
        <f>IFERROR(IF(OR($Q20="",$R20=""),"",$Q20-$R20),"")</f>
        <v/>
      </c>
      <c r="T20" s="15">
        <f>IFERROR(IF(OR($Q20="",$Q20=0,$R20=""),"",$R20/$Q20),"")</f>
        <v/>
      </c>
      <c r="U20" s="15">
        <f>IFERROR(IF($C20="","",INDEX(Parámetros!$B$6:$D$8,MATCH(Parámetros!$A$6,Parámetros!$A$6:$A$8,0),MATCH($C20,Parámetros!$B$5:$D$5,0))),"")</f>
        <v/>
      </c>
      <c r="V20" s="14">
        <f>IFERROR(IF(OR($H20="",$U20=""),"",$H20*(1+$U20)),"")</f>
        <v/>
      </c>
      <c r="W20" s="14">
        <f>IFERROR(IF(OR($I20="",$U20=""),"",$I20*(1+$U20)),"")</f>
        <v/>
      </c>
      <c r="X20" s="15">
        <f>IFERROR(IF($C20="","",INDEX(Parámetros!$B$6:$D$8,MATCH(Parámetros!$A$7,Parámetros!$A$6:$A$8,0),MATCH($C20,Parámetros!$B$5:$D$5,0))),"")</f>
        <v/>
      </c>
      <c r="Y20" s="14">
        <f>IFERROR(IF(OR($H20="",$X20=""),"",$H20*(1+$X20)),"")</f>
        <v/>
      </c>
    </row>
    <row r="21">
      <c r="A21" s="9" t="n">
        <v>17</v>
      </c>
      <c r="B21" s="4" t="n"/>
      <c r="C21" s="4" t="n"/>
      <c r="D21" s="10" t="n"/>
      <c r="E21" s="11" t="n"/>
      <c r="F21" s="11" t="n"/>
      <c r="G21" s="12">
        <f>IFERROR(IF(OR($E21="",$F21="",$F21=0),"",$E21/$F21),"")</f>
        <v/>
      </c>
      <c r="H21" s="10" t="n"/>
      <c r="I21" s="10" t="n"/>
      <c r="J21" s="13" t="n"/>
      <c r="K21" s="13" t="n"/>
      <c r="L21" s="14">
        <f>IFERROR(IF(OR($D21="",$G21="",$G21=0),"",$D21/$G21),"")</f>
        <v/>
      </c>
      <c r="M21" s="14">
        <f>IFERROR(IF(OR($H21="",$D21=""),"",$H21-$D21),"")</f>
        <v/>
      </c>
      <c r="N21" s="14">
        <f>IFERROR(IF(OR($I21="",$L21=""),"",$I21-$L21),"")</f>
        <v/>
      </c>
      <c r="O21" s="15">
        <f>IFERROR(IF(OR($D21="",$H21="",$H21=0),"",$D21/$H21),"")</f>
        <v/>
      </c>
      <c r="P21" s="15">
        <f>IFERROR(IF(OR($L21="",$I21="",$I21=0),"",$L21/$I21),"")</f>
        <v/>
      </c>
      <c r="Q21" s="14">
        <f>IFERROR(IF(OR($H21="",$I21="",$J21="",$K21=""),"",$H21*$J21+$I21*$K21),"")</f>
        <v/>
      </c>
      <c r="R21" s="14">
        <f>IFERROR(IF(OR($D21="",$L21="",$J21="",$K21=""),"",$D21*$J21+$L21*$K21),"")</f>
        <v/>
      </c>
      <c r="S21" s="14">
        <f>IFERROR(IF(OR($Q21="",$R21=""),"",$Q21-$R21),"")</f>
        <v/>
      </c>
      <c r="T21" s="15">
        <f>IFERROR(IF(OR($Q21="",$Q21=0,$R21=""),"",$R21/$Q21),"")</f>
        <v/>
      </c>
      <c r="U21" s="15">
        <f>IFERROR(IF($C21="","",INDEX(Parámetros!$B$6:$D$8,MATCH(Parámetros!$A$6,Parámetros!$A$6:$A$8,0),MATCH($C21,Parámetros!$B$5:$D$5,0))),"")</f>
        <v/>
      </c>
      <c r="V21" s="14">
        <f>IFERROR(IF(OR($H21="",$U21=""),"",$H21*(1+$U21)),"")</f>
        <v/>
      </c>
      <c r="W21" s="14">
        <f>IFERROR(IF(OR($I21="",$U21=""),"",$I21*(1+$U21)),"")</f>
        <v/>
      </c>
      <c r="X21" s="15">
        <f>IFERROR(IF($C21="","",INDEX(Parámetros!$B$6:$D$8,MATCH(Parámetros!$A$7,Parámetros!$A$6:$A$8,0),MATCH($C21,Parámetros!$B$5:$D$5,0))),"")</f>
        <v/>
      </c>
      <c r="Y21" s="14">
        <f>IFERROR(IF(OR($H21="",$X21=""),"",$H21*(1+$X21)),"")</f>
        <v/>
      </c>
    </row>
    <row r="22">
      <c r="A22" s="9" t="n">
        <v>18</v>
      </c>
      <c r="B22" s="4" t="n"/>
      <c r="C22" s="4" t="n"/>
      <c r="D22" s="10" t="n"/>
      <c r="E22" s="11" t="n"/>
      <c r="F22" s="11" t="n"/>
      <c r="G22" s="12">
        <f>IFERROR(IF(OR($E22="",$F22="",$F22=0),"",$E22/$F22),"")</f>
        <v/>
      </c>
      <c r="H22" s="10" t="n"/>
      <c r="I22" s="10" t="n"/>
      <c r="J22" s="13" t="n"/>
      <c r="K22" s="13" t="n"/>
      <c r="L22" s="14">
        <f>IFERROR(IF(OR($D22="",$G22="",$G22=0),"",$D22/$G22),"")</f>
        <v/>
      </c>
      <c r="M22" s="14">
        <f>IFERROR(IF(OR($H22="",$D22=""),"",$H22-$D22),"")</f>
        <v/>
      </c>
      <c r="N22" s="14">
        <f>IFERROR(IF(OR($I22="",$L22=""),"",$I22-$L22),"")</f>
        <v/>
      </c>
      <c r="O22" s="15">
        <f>IFERROR(IF(OR($D22="",$H22="",$H22=0),"",$D22/$H22),"")</f>
        <v/>
      </c>
      <c r="P22" s="15">
        <f>IFERROR(IF(OR($L22="",$I22="",$I22=0),"",$L22/$I22),"")</f>
        <v/>
      </c>
      <c r="Q22" s="14">
        <f>IFERROR(IF(OR($H22="",$I22="",$J22="",$K22=""),"",$H22*$J22+$I22*$K22),"")</f>
        <v/>
      </c>
      <c r="R22" s="14">
        <f>IFERROR(IF(OR($D22="",$L22="",$J22="",$K22=""),"",$D22*$J22+$L22*$K22),"")</f>
        <v/>
      </c>
      <c r="S22" s="14">
        <f>IFERROR(IF(OR($Q22="",$R22=""),"",$Q22-$R22),"")</f>
        <v/>
      </c>
      <c r="T22" s="15">
        <f>IFERROR(IF(OR($Q22="",$Q22=0,$R22=""),"",$R22/$Q22),"")</f>
        <v/>
      </c>
      <c r="U22" s="15">
        <f>IFERROR(IF($C22="","",INDEX(Parámetros!$B$6:$D$8,MATCH(Parámetros!$A$6,Parámetros!$A$6:$A$8,0),MATCH($C22,Parámetros!$B$5:$D$5,0))),"")</f>
        <v/>
      </c>
      <c r="V22" s="14">
        <f>IFERROR(IF(OR($H22="",$U22=""),"",$H22*(1+$U22)),"")</f>
        <v/>
      </c>
      <c r="W22" s="14">
        <f>IFERROR(IF(OR($I22="",$U22=""),"",$I22*(1+$U22)),"")</f>
        <v/>
      </c>
      <c r="X22" s="15">
        <f>IFERROR(IF($C22="","",INDEX(Parámetros!$B$6:$D$8,MATCH(Parámetros!$A$7,Parámetros!$A$6:$A$8,0),MATCH($C22,Parámetros!$B$5:$D$5,0))),"")</f>
        <v/>
      </c>
      <c r="Y22" s="14">
        <f>IFERROR(IF(OR($H22="",$X22=""),"",$H22*(1+$X22)),"")</f>
        <v/>
      </c>
    </row>
    <row r="23">
      <c r="A23" s="9" t="n">
        <v>19</v>
      </c>
      <c r="B23" s="4" t="n"/>
      <c r="C23" s="4" t="n"/>
      <c r="D23" s="10" t="n"/>
      <c r="E23" s="11" t="n"/>
      <c r="F23" s="11" t="n"/>
      <c r="G23" s="12">
        <f>IFERROR(IF(OR($E23="",$F23="",$F23=0),"",$E23/$F23),"")</f>
        <v/>
      </c>
      <c r="H23" s="10" t="n"/>
      <c r="I23" s="10" t="n"/>
      <c r="J23" s="13" t="n"/>
      <c r="K23" s="13" t="n"/>
      <c r="L23" s="14">
        <f>IFERROR(IF(OR($D23="",$G23="",$G23=0),"",$D23/$G23),"")</f>
        <v/>
      </c>
      <c r="M23" s="14">
        <f>IFERROR(IF(OR($H23="",$D23=""),"",$H23-$D23),"")</f>
        <v/>
      </c>
      <c r="N23" s="14">
        <f>IFERROR(IF(OR($I23="",$L23=""),"",$I23-$L23),"")</f>
        <v/>
      </c>
      <c r="O23" s="15">
        <f>IFERROR(IF(OR($D23="",$H23="",$H23=0),"",$D23/$H23),"")</f>
        <v/>
      </c>
      <c r="P23" s="15">
        <f>IFERROR(IF(OR($L23="",$I23="",$I23=0),"",$L23/$I23),"")</f>
        <v/>
      </c>
      <c r="Q23" s="14">
        <f>IFERROR(IF(OR($H23="",$I23="",$J23="",$K23=""),"",$H23*$J23+$I23*$K23),"")</f>
        <v/>
      </c>
      <c r="R23" s="14">
        <f>IFERROR(IF(OR($D23="",$L23="",$J23="",$K23=""),"",$D23*$J23+$L23*$K23),"")</f>
        <v/>
      </c>
      <c r="S23" s="14">
        <f>IFERROR(IF(OR($Q23="",$R23=""),"",$Q23-$R23),"")</f>
        <v/>
      </c>
      <c r="T23" s="15">
        <f>IFERROR(IF(OR($Q23="",$Q23=0,$R23=""),"",$R23/$Q23),"")</f>
        <v/>
      </c>
      <c r="U23" s="15">
        <f>IFERROR(IF($C23="","",INDEX(Parámetros!$B$6:$D$8,MATCH(Parámetros!$A$6,Parámetros!$A$6:$A$8,0),MATCH($C23,Parámetros!$B$5:$D$5,0))),"")</f>
        <v/>
      </c>
      <c r="V23" s="14">
        <f>IFERROR(IF(OR($H23="",$U23=""),"",$H23*(1+$U23)),"")</f>
        <v/>
      </c>
      <c r="W23" s="14">
        <f>IFERROR(IF(OR($I23="",$U23=""),"",$I23*(1+$U23)),"")</f>
        <v/>
      </c>
      <c r="X23" s="15">
        <f>IFERROR(IF($C23="","",INDEX(Parámetros!$B$6:$D$8,MATCH(Parámetros!$A$7,Parámetros!$A$6:$A$8,0),MATCH($C23,Parámetros!$B$5:$D$5,0))),"")</f>
        <v/>
      </c>
      <c r="Y23" s="14">
        <f>IFERROR(IF(OR($H23="",$X23=""),"",$H23*(1+$X23)),"")</f>
        <v/>
      </c>
    </row>
    <row r="24">
      <c r="A24" s="9" t="n">
        <v>20</v>
      </c>
      <c r="B24" s="4" t="n"/>
      <c r="C24" s="4" t="n"/>
      <c r="D24" s="10" t="n"/>
      <c r="E24" s="11" t="n"/>
      <c r="F24" s="11" t="n"/>
      <c r="G24" s="12">
        <f>IFERROR(IF(OR($E24="",$F24="",$F24=0),"",$E24/$F24),"")</f>
        <v/>
      </c>
      <c r="H24" s="10" t="n"/>
      <c r="I24" s="10" t="n"/>
      <c r="J24" s="13" t="n"/>
      <c r="K24" s="13" t="n"/>
      <c r="L24" s="14">
        <f>IFERROR(IF(OR($D24="",$G24="",$G24=0),"",$D24/$G24),"")</f>
        <v/>
      </c>
      <c r="M24" s="14">
        <f>IFERROR(IF(OR($H24="",$D24=""),"",$H24-$D24),"")</f>
        <v/>
      </c>
      <c r="N24" s="14">
        <f>IFERROR(IF(OR($I24="",$L24=""),"",$I24-$L24),"")</f>
        <v/>
      </c>
      <c r="O24" s="15">
        <f>IFERROR(IF(OR($D24="",$H24="",$H24=0),"",$D24/$H24),"")</f>
        <v/>
      </c>
      <c r="P24" s="15">
        <f>IFERROR(IF(OR($L24="",$I24="",$I24=0),"",$L24/$I24),"")</f>
        <v/>
      </c>
      <c r="Q24" s="14">
        <f>IFERROR(IF(OR($H24="",$I24="",$J24="",$K24=""),"",$H24*$J24+$I24*$K24),"")</f>
        <v/>
      </c>
      <c r="R24" s="14">
        <f>IFERROR(IF(OR($D24="",$L24="",$J24="",$K24=""),"",$D24*$J24+$L24*$K24),"")</f>
        <v/>
      </c>
      <c r="S24" s="14">
        <f>IFERROR(IF(OR($Q24="",$R24=""),"",$Q24-$R24),"")</f>
        <v/>
      </c>
      <c r="T24" s="15">
        <f>IFERROR(IF(OR($Q24="",$Q24=0,$R24=""),"",$R24/$Q24),"")</f>
        <v/>
      </c>
      <c r="U24" s="15">
        <f>IFERROR(IF($C24="","",INDEX(Parámetros!$B$6:$D$8,MATCH(Parámetros!$A$6,Parámetros!$A$6:$A$8,0),MATCH($C24,Parámetros!$B$5:$D$5,0))),"")</f>
        <v/>
      </c>
      <c r="V24" s="14">
        <f>IFERROR(IF(OR($H24="",$U24=""),"",$H24*(1+$U24)),"")</f>
        <v/>
      </c>
      <c r="W24" s="14">
        <f>IFERROR(IF(OR($I24="",$U24=""),"",$I24*(1+$U24)),"")</f>
        <v/>
      </c>
      <c r="X24" s="15">
        <f>IFERROR(IF($C24="","",INDEX(Parámetros!$B$6:$D$8,MATCH(Parámetros!$A$7,Parámetros!$A$6:$A$8,0),MATCH($C24,Parámetros!$B$5:$D$5,0))),"")</f>
        <v/>
      </c>
      <c r="Y24" s="14">
        <f>IFERROR(IF(OR($H24="",$X24=""),"",$H24*(1+$X24)),"")</f>
        <v/>
      </c>
    </row>
    <row r="25">
      <c r="A25" s="9" t="n">
        <v>21</v>
      </c>
      <c r="B25" s="4" t="n"/>
      <c r="C25" s="4" t="n"/>
      <c r="D25" s="10" t="n"/>
      <c r="E25" s="11" t="n"/>
      <c r="F25" s="11" t="n"/>
      <c r="G25" s="12">
        <f>IFERROR(IF(OR($E25="",$F25="",$F25=0),"",$E25/$F25),"")</f>
        <v/>
      </c>
      <c r="H25" s="10" t="n"/>
      <c r="I25" s="10" t="n"/>
      <c r="J25" s="13" t="n"/>
      <c r="K25" s="13" t="n"/>
      <c r="L25" s="14">
        <f>IFERROR(IF(OR($D25="",$G25="",$G25=0),"",$D25/$G25),"")</f>
        <v/>
      </c>
      <c r="M25" s="14">
        <f>IFERROR(IF(OR($H25="",$D25=""),"",$H25-$D25),"")</f>
        <v/>
      </c>
      <c r="N25" s="14">
        <f>IFERROR(IF(OR($I25="",$L25=""),"",$I25-$L25),"")</f>
        <v/>
      </c>
      <c r="O25" s="15">
        <f>IFERROR(IF(OR($D25="",$H25="",$H25=0),"",$D25/$H25),"")</f>
        <v/>
      </c>
      <c r="P25" s="15">
        <f>IFERROR(IF(OR($L25="",$I25="",$I25=0),"",$L25/$I25),"")</f>
        <v/>
      </c>
      <c r="Q25" s="14">
        <f>IFERROR(IF(OR($H25="",$I25="",$J25="",$K25=""),"",$H25*$J25+$I25*$K25),"")</f>
        <v/>
      </c>
      <c r="R25" s="14">
        <f>IFERROR(IF(OR($D25="",$L25="",$J25="",$K25=""),"",$D25*$J25+$L25*$K25),"")</f>
        <v/>
      </c>
      <c r="S25" s="14">
        <f>IFERROR(IF(OR($Q25="",$R25=""),"",$Q25-$R25),"")</f>
        <v/>
      </c>
      <c r="T25" s="15">
        <f>IFERROR(IF(OR($Q25="",$Q25=0,$R25=""),"",$R25/$Q25),"")</f>
        <v/>
      </c>
      <c r="U25" s="15">
        <f>IFERROR(IF($C25="","",INDEX(Parámetros!$B$6:$D$8,MATCH(Parámetros!$A$6,Parámetros!$A$6:$A$8,0),MATCH($C25,Parámetros!$B$5:$D$5,0))),"")</f>
        <v/>
      </c>
      <c r="V25" s="14">
        <f>IFERROR(IF(OR($H25="",$U25=""),"",$H25*(1+$U25)),"")</f>
        <v/>
      </c>
      <c r="W25" s="14">
        <f>IFERROR(IF(OR($I25="",$U25=""),"",$I25*(1+$U25)),"")</f>
        <v/>
      </c>
      <c r="X25" s="15">
        <f>IFERROR(IF($C25="","",INDEX(Parámetros!$B$6:$D$8,MATCH(Parámetros!$A$7,Parámetros!$A$6:$A$8,0),MATCH($C25,Parámetros!$B$5:$D$5,0))),"")</f>
        <v/>
      </c>
      <c r="Y25" s="14">
        <f>IFERROR(IF(OR($H25="",$X25=""),"",$H25*(1+$X25)),"")</f>
        <v/>
      </c>
    </row>
    <row r="26">
      <c r="A26" s="9" t="n">
        <v>22</v>
      </c>
      <c r="B26" s="4" t="n"/>
      <c r="C26" s="4" t="n"/>
      <c r="D26" s="10" t="n"/>
      <c r="E26" s="11" t="n"/>
      <c r="F26" s="11" t="n"/>
      <c r="G26" s="12">
        <f>IFERROR(IF(OR($E26="",$F26="",$F26=0),"",$E26/$F26),"")</f>
        <v/>
      </c>
      <c r="H26" s="10" t="n"/>
      <c r="I26" s="10" t="n"/>
      <c r="J26" s="13" t="n"/>
      <c r="K26" s="13" t="n"/>
      <c r="L26" s="14">
        <f>IFERROR(IF(OR($D26="",$G26="",$G26=0),"",$D26/$G26),"")</f>
        <v/>
      </c>
      <c r="M26" s="14">
        <f>IFERROR(IF(OR($H26="",$D26=""),"",$H26-$D26),"")</f>
        <v/>
      </c>
      <c r="N26" s="14">
        <f>IFERROR(IF(OR($I26="",$L26=""),"",$I26-$L26),"")</f>
        <v/>
      </c>
      <c r="O26" s="15">
        <f>IFERROR(IF(OR($D26="",$H26="",$H26=0),"",$D26/$H26),"")</f>
        <v/>
      </c>
      <c r="P26" s="15">
        <f>IFERROR(IF(OR($L26="",$I26="",$I26=0),"",$L26/$I26),"")</f>
        <v/>
      </c>
      <c r="Q26" s="14">
        <f>IFERROR(IF(OR($H26="",$I26="",$J26="",$K26=""),"",$H26*$J26+$I26*$K26),"")</f>
        <v/>
      </c>
      <c r="R26" s="14">
        <f>IFERROR(IF(OR($D26="",$L26="",$J26="",$K26=""),"",$D26*$J26+$L26*$K26),"")</f>
        <v/>
      </c>
      <c r="S26" s="14">
        <f>IFERROR(IF(OR($Q26="",$R26=""),"",$Q26-$R26),"")</f>
        <v/>
      </c>
      <c r="T26" s="15">
        <f>IFERROR(IF(OR($Q26="",$Q26=0,$R26=""),"",$R26/$Q26),"")</f>
        <v/>
      </c>
      <c r="U26" s="15">
        <f>IFERROR(IF($C26="","",INDEX(Parámetros!$B$6:$D$8,MATCH(Parámetros!$A$6,Parámetros!$A$6:$A$8,0),MATCH($C26,Parámetros!$B$5:$D$5,0))),"")</f>
        <v/>
      </c>
      <c r="V26" s="14">
        <f>IFERROR(IF(OR($H26="",$U26=""),"",$H26*(1+$U26)),"")</f>
        <v/>
      </c>
      <c r="W26" s="14">
        <f>IFERROR(IF(OR($I26="",$U26=""),"",$I26*(1+$U26)),"")</f>
        <v/>
      </c>
      <c r="X26" s="15">
        <f>IFERROR(IF($C26="","",INDEX(Parámetros!$B$6:$D$8,MATCH(Parámetros!$A$7,Parámetros!$A$6:$A$8,0),MATCH($C26,Parámetros!$B$5:$D$5,0))),"")</f>
        <v/>
      </c>
      <c r="Y26" s="14">
        <f>IFERROR(IF(OR($H26="",$X26=""),"",$H26*(1+$X26)),"")</f>
        <v/>
      </c>
    </row>
    <row r="27">
      <c r="A27" s="9" t="n">
        <v>23</v>
      </c>
      <c r="B27" s="4" t="n"/>
      <c r="C27" s="4" t="n"/>
      <c r="D27" s="10" t="n"/>
      <c r="E27" s="11" t="n"/>
      <c r="F27" s="11" t="n"/>
      <c r="G27" s="12">
        <f>IFERROR(IF(OR($E27="",$F27="",$F27=0),"",$E27/$F27),"")</f>
        <v/>
      </c>
      <c r="H27" s="10" t="n"/>
      <c r="I27" s="10" t="n"/>
      <c r="J27" s="13" t="n"/>
      <c r="K27" s="13" t="n"/>
      <c r="L27" s="14">
        <f>IFERROR(IF(OR($D27="",$G27="",$G27=0),"",$D27/$G27),"")</f>
        <v/>
      </c>
      <c r="M27" s="14">
        <f>IFERROR(IF(OR($H27="",$D27=""),"",$H27-$D27),"")</f>
        <v/>
      </c>
      <c r="N27" s="14">
        <f>IFERROR(IF(OR($I27="",$L27=""),"",$I27-$L27),"")</f>
        <v/>
      </c>
      <c r="O27" s="15">
        <f>IFERROR(IF(OR($D27="",$H27="",$H27=0),"",$D27/$H27),"")</f>
        <v/>
      </c>
      <c r="P27" s="15">
        <f>IFERROR(IF(OR($L27="",$I27="",$I27=0),"",$L27/$I27),"")</f>
        <v/>
      </c>
      <c r="Q27" s="14">
        <f>IFERROR(IF(OR($H27="",$I27="",$J27="",$K27=""),"",$H27*$J27+$I27*$K27),"")</f>
        <v/>
      </c>
      <c r="R27" s="14">
        <f>IFERROR(IF(OR($D27="",$L27="",$J27="",$K27=""),"",$D27*$J27+$L27*$K27),"")</f>
        <v/>
      </c>
      <c r="S27" s="14">
        <f>IFERROR(IF(OR($Q27="",$R27=""),"",$Q27-$R27),"")</f>
        <v/>
      </c>
      <c r="T27" s="15">
        <f>IFERROR(IF(OR($Q27="",$Q27=0,$R27=""),"",$R27/$Q27),"")</f>
        <v/>
      </c>
      <c r="U27" s="15">
        <f>IFERROR(IF($C27="","",INDEX(Parámetros!$B$6:$D$8,MATCH(Parámetros!$A$6,Parámetros!$A$6:$A$8,0),MATCH($C27,Parámetros!$B$5:$D$5,0))),"")</f>
        <v/>
      </c>
      <c r="V27" s="14">
        <f>IFERROR(IF(OR($H27="",$U27=""),"",$H27*(1+$U27)),"")</f>
        <v/>
      </c>
      <c r="W27" s="14">
        <f>IFERROR(IF(OR($I27="",$U27=""),"",$I27*(1+$U27)),"")</f>
        <v/>
      </c>
      <c r="X27" s="15">
        <f>IFERROR(IF($C27="","",INDEX(Parámetros!$B$6:$D$8,MATCH(Parámetros!$A$7,Parámetros!$A$6:$A$8,0),MATCH($C27,Parámetros!$B$5:$D$5,0))),"")</f>
        <v/>
      </c>
      <c r="Y27" s="14">
        <f>IFERROR(IF(OR($H27="",$X27=""),"",$H27*(1+$X27)),"")</f>
        <v/>
      </c>
    </row>
    <row r="28">
      <c r="A28" s="9" t="n">
        <v>24</v>
      </c>
      <c r="B28" s="4" t="n"/>
      <c r="C28" s="4" t="n"/>
      <c r="D28" s="10" t="n"/>
      <c r="E28" s="11" t="n"/>
      <c r="F28" s="11" t="n"/>
      <c r="G28" s="12">
        <f>IFERROR(IF(OR($E28="",$F28="",$F28=0),"",$E28/$F28),"")</f>
        <v/>
      </c>
      <c r="H28" s="10" t="n"/>
      <c r="I28" s="10" t="n"/>
      <c r="J28" s="13" t="n"/>
      <c r="K28" s="13" t="n"/>
      <c r="L28" s="14">
        <f>IFERROR(IF(OR($D28="",$G28="",$G28=0),"",$D28/$G28),"")</f>
        <v/>
      </c>
      <c r="M28" s="14">
        <f>IFERROR(IF(OR($H28="",$D28=""),"",$H28-$D28),"")</f>
        <v/>
      </c>
      <c r="N28" s="14">
        <f>IFERROR(IF(OR($I28="",$L28=""),"",$I28-$L28),"")</f>
        <v/>
      </c>
      <c r="O28" s="15">
        <f>IFERROR(IF(OR($D28="",$H28="",$H28=0),"",$D28/$H28),"")</f>
        <v/>
      </c>
      <c r="P28" s="15">
        <f>IFERROR(IF(OR($L28="",$I28="",$I28=0),"",$L28/$I28),"")</f>
        <v/>
      </c>
      <c r="Q28" s="14">
        <f>IFERROR(IF(OR($H28="",$I28="",$J28="",$K28=""),"",$H28*$J28+$I28*$K28),"")</f>
        <v/>
      </c>
      <c r="R28" s="14">
        <f>IFERROR(IF(OR($D28="",$L28="",$J28="",$K28=""),"",$D28*$J28+$L28*$K28),"")</f>
        <v/>
      </c>
      <c r="S28" s="14">
        <f>IFERROR(IF(OR($Q28="",$R28=""),"",$Q28-$R28),"")</f>
        <v/>
      </c>
      <c r="T28" s="15">
        <f>IFERROR(IF(OR($Q28="",$Q28=0,$R28=""),"",$R28/$Q28),"")</f>
        <v/>
      </c>
      <c r="U28" s="15">
        <f>IFERROR(IF($C28="","",INDEX(Parámetros!$B$6:$D$8,MATCH(Parámetros!$A$6,Parámetros!$A$6:$A$8,0),MATCH($C28,Parámetros!$B$5:$D$5,0))),"")</f>
        <v/>
      </c>
      <c r="V28" s="14">
        <f>IFERROR(IF(OR($H28="",$U28=""),"",$H28*(1+$U28)),"")</f>
        <v/>
      </c>
      <c r="W28" s="14">
        <f>IFERROR(IF(OR($I28="",$U28=""),"",$I28*(1+$U28)),"")</f>
        <v/>
      </c>
      <c r="X28" s="15">
        <f>IFERROR(IF($C28="","",INDEX(Parámetros!$B$6:$D$8,MATCH(Parámetros!$A$7,Parámetros!$A$6:$A$8,0),MATCH($C28,Parámetros!$B$5:$D$5,0))),"")</f>
        <v/>
      </c>
      <c r="Y28" s="14">
        <f>IFERROR(IF(OR($H28="",$X28=""),"",$H28*(1+$X28)),"")</f>
        <v/>
      </c>
    </row>
    <row r="29">
      <c r="A29" s="9" t="n">
        <v>25</v>
      </c>
      <c r="B29" s="4" t="n"/>
      <c r="C29" s="4" t="n"/>
      <c r="D29" s="10" t="n"/>
      <c r="E29" s="11" t="n"/>
      <c r="F29" s="11" t="n"/>
      <c r="G29" s="12">
        <f>IFERROR(IF(OR($E29="",$F29="",$F29=0),"",$E29/$F29),"")</f>
        <v/>
      </c>
      <c r="H29" s="10" t="n"/>
      <c r="I29" s="10" t="n"/>
      <c r="J29" s="13" t="n"/>
      <c r="K29" s="13" t="n"/>
      <c r="L29" s="14">
        <f>IFERROR(IF(OR($D29="",$G29="",$G29=0),"",$D29/$G29),"")</f>
        <v/>
      </c>
      <c r="M29" s="14">
        <f>IFERROR(IF(OR($H29="",$D29=""),"",$H29-$D29),"")</f>
        <v/>
      </c>
      <c r="N29" s="14">
        <f>IFERROR(IF(OR($I29="",$L29=""),"",$I29-$L29),"")</f>
        <v/>
      </c>
      <c r="O29" s="15">
        <f>IFERROR(IF(OR($D29="",$H29="",$H29=0),"",$D29/$H29),"")</f>
        <v/>
      </c>
      <c r="P29" s="15">
        <f>IFERROR(IF(OR($L29="",$I29="",$I29=0),"",$L29/$I29),"")</f>
        <v/>
      </c>
      <c r="Q29" s="14">
        <f>IFERROR(IF(OR($H29="",$I29="",$J29="",$K29=""),"",$H29*$J29+$I29*$K29),"")</f>
        <v/>
      </c>
      <c r="R29" s="14">
        <f>IFERROR(IF(OR($D29="",$L29="",$J29="",$K29=""),"",$D29*$J29+$L29*$K29),"")</f>
        <v/>
      </c>
      <c r="S29" s="14">
        <f>IFERROR(IF(OR($Q29="",$R29=""),"",$Q29-$R29),"")</f>
        <v/>
      </c>
      <c r="T29" s="15">
        <f>IFERROR(IF(OR($Q29="",$Q29=0,$R29=""),"",$R29/$Q29),"")</f>
        <v/>
      </c>
      <c r="U29" s="15">
        <f>IFERROR(IF($C29="","",INDEX(Parámetros!$B$6:$D$8,MATCH(Parámetros!$A$6,Parámetros!$A$6:$A$8,0),MATCH($C29,Parámetros!$B$5:$D$5,0))),"")</f>
        <v/>
      </c>
      <c r="V29" s="14">
        <f>IFERROR(IF(OR($H29="",$U29=""),"",$H29*(1+$U29)),"")</f>
        <v/>
      </c>
      <c r="W29" s="14">
        <f>IFERROR(IF(OR($I29="",$U29=""),"",$I29*(1+$U29)),"")</f>
        <v/>
      </c>
      <c r="X29" s="15">
        <f>IFERROR(IF($C29="","",INDEX(Parámetros!$B$6:$D$8,MATCH(Parámetros!$A$7,Parámetros!$A$6:$A$8,0),MATCH($C29,Parámetros!$B$5:$D$5,0))),"")</f>
        <v/>
      </c>
      <c r="Y29" s="14">
        <f>IFERROR(IF(OR($H29="",$X29=""),"",$H29*(1+$X29)),"")</f>
        <v/>
      </c>
    </row>
    <row r="30">
      <c r="A30" s="9" t="n">
        <v>26</v>
      </c>
      <c r="B30" s="4" t="n"/>
      <c r="C30" s="4" t="n"/>
      <c r="D30" s="10" t="n"/>
      <c r="E30" s="11" t="n"/>
      <c r="F30" s="11" t="n"/>
      <c r="G30" s="12">
        <f>IFERROR(IF(OR($E30="",$F30="",$F30=0),"",$E30/$F30),"")</f>
        <v/>
      </c>
      <c r="H30" s="10" t="n"/>
      <c r="I30" s="10" t="n"/>
      <c r="J30" s="13" t="n"/>
      <c r="K30" s="13" t="n"/>
      <c r="L30" s="14">
        <f>IFERROR(IF(OR($D30="",$G30="",$G30=0),"",$D30/$G30),"")</f>
        <v/>
      </c>
      <c r="M30" s="14">
        <f>IFERROR(IF(OR($H30="",$D30=""),"",$H30-$D30),"")</f>
        <v/>
      </c>
      <c r="N30" s="14">
        <f>IFERROR(IF(OR($I30="",$L30=""),"",$I30-$L30),"")</f>
        <v/>
      </c>
      <c r="O30" s="15">
        <f>IFERROR(IF(OR($D30="",$H30="",$H30=0),"",$D30/$H30),"")</f>
        <v/>
      </c>
      <c r="P30" s="15">
        <f>IFERROR(IF(OR($L30="",$I30="",$I30=0),"",$L30/$I30),"")</f>
        <v/>
      </c>
      <c r="Q30" s="14">
        <f>IFERROR(IF(OR($H30="",$I30="",$J30="",$K30=""),"",$H30*$J30+$I30*$K30),"")</f>
        <v/>
      </c>
      <c r="R30" s="14">
        <f>IFERROR(IF(OR($D30="",$L30="",$J30="",$K30=""),"",$D30*$J30+$L30*$K30),"")</f>
        <v/>
      </c>
      <c r="S30" s="14">
        <f>IFERROR(IF(OR($Q30="",$R30=""),"",$Q30-$R30),"")</f>
        <v/>
      </c>
      <c r="T30" s="15">
        <f>IFERROR(IF(OR($Q30="",$Q30=0,$R30=""),"",$R30/$Q30),"")</f>
        <v/>
      </c>
      <c r="U30" s="15">
        <f>IFERROR(IF($C30="","",INDEX(Parámetros!$B$6:$D$8,MATCH(Parámetros!$A$6,Parámetros!$A$6:$A$8,0),MATCH($C30,Parámetros!$B$5:$D$5,0))),"")</f>
        <v/>
      </c>
      <c r="V30" s="14">
        <f>IFERROR(IF(OR($H30="",$U30=""),"",$H30*(1+$U30)),"")</f>
        <v/>
      </c>
      <c r="W30" s="14">
        <f>IFERROR(IF(OR($I30="",$U30=""),"",$I30*(1+$U30)),"")</f>
        <v/>
      </c>
      <c r="X30" s="15">
        <f>IFERROR(IF($C30="","",INDEX(Parámetros!$B$6:$D$8,MATCH(Parámetros!$A$7,Parámetros!$A$6:$A$8,0),MATCH($C30,Parámetros!$B$5:$D$5,0))),"")</f>
        <v/>
      </c>
      <c r="Y30" s="14">
        <f>IFERROR(IF(OR($H30="",$X30=""),"",$H30*(1+$X30)),"")</f>
        <v/>
      </c>
    </row>
    <row r="31">
      <c r="A31" s="9" t="n">
        <v>27</v>
      </c>
      <c r="B31" s="4" t="n"/>
      <c r="C31" s="4" t="n"/>
      <c r="D31" s="10" t="n"/>
      <c r="E31" s="11" t="n"/>
      <c r="F31" s="11" t="n"/>
      <c r="G31" s="12">
        <f>IFERROR(IF(OR($E31="",$F31="",$F31=0),"",$E31/$F31),"")</f>
        <v/>
      </c>
      <c r="H31" s="10" t="n"/>
      <c r="I31" s="10" t="n"/>
      <c r="J31" s="13" t="n"/>
      <c r="K31" s="13" t="n"/>
      <c r="L31" s="14">
        <f>IFERROR(IF(OR($D31="",$G31="",$G31=0),"",$D31/$G31),"")</f>
        <v/>
      </c>
      <c r="M31" s="14">
        <f>IFERROR(IF(OR($H31="",$D31=""),"",$H31-$D31),"")</f>
        <v/>
      </c>
      <c r="N31" s="14">
        <f>IFERROR(IF(OR($I31="",$L31=""),"",$I31-$L31),"")</f>
        <v/>
      </c>
      <c r="O31" s="15">
        <f>IFERROR(IF(OR($D31="",$H31="",$H31=0),"",$D31/$H31),"")</f>
        <v/>
      </c>
      <c r="P31" s="15">
        <f>IFERROR(IF(OR($L31="",$I31="",$I31=0),"",$L31/$I31),"")</f>
        <v/>
      </c>
      <c r="Q31" s="14">
        <f>IFERROR(IF(OR($H31="",$I31="",$J31="",$K31=""),"",$H31*$J31+$I31*$K31),"")</f>
        <v/>
      </c>
      <c r="R31" s="14">
        <f>IFERROR(IF(OR($D31="",$L31="",$J31="",$K31=""),"",$D31*$J31+$L31*$K31),"")</f>
        <v/>
      </c>
      <c r="S31" s="14">
        <f>IFERROR(IF(OR($Q31="",$R31=""),"",$Q31-$R31),"")</f>
        <v/>
      </c>
      <c r="T31" s="15">
        <f>IFERROR(IF(OR($Q31="",$Q31=0,$R31=""),"",$R31/$Q31),"")</f>
        <v/>
      </c>
      <c r="U31" s="15">
        <f>IFERROR(IF($C31="","",INDEX(Parámetros!$B$6:$D$8,MATCH(Parámetros!$A$6,Parámetros!$A$6:$A$8,0),MATCH($C31,Parámetros!$B$5:$D$5,0))),"")</f>
        <v/>
      </c>
      <c r="V31" s="14">
        <f>IFERROR(IF(OR($H31="",$U31=""),"",$H31*(1+$U31)),"")</f>
        <v/>
      </c>
      <c r="W31" s="14">
        <f>IFERROR(IF(OR($I31="",$U31=""),"",$I31*(1+$U31)),"")</f>
        <v/>
      </c>
      <c r="X31" s="15">
        <f>IFERROR(IF($C31="","",INDEX(Parámetros!$B$6:$D$8,MATCH(Parámetros!$A$7,Parámetros!$A$6:$A$8,0),MATCH($C31,Parámetros!$B$5:$D$5,0))),"")</f>
        <v/>
      </c>
      <c r="Y31" s="14">
        <f>IFERROR(IF(OR($H31="",$X31=""),"",$H31*(1+$X31)),"")</f>
        <v/>
      </c>
    </row>
    <row r="32">
      <c r="A32" s="9" t="n">
        <v>28</v>
      </c>
      <c r="B32" s="4" t="n"/>
      <c r="C32" s="4" t="n"/>
      <c r="D32" s="10" t="n"/>
      <c r="E32" s="11" t="n"/>
      <c r="F32" s="11" t="n"/>
      <c r="G32" s="12">
        <f>IFERROR(IF(OR($E32="",$F32="",$F32=0),"",$E32/$F32),"")</f>
        <v/>
      </c>
      <c r="H32" s="10" t="n"/>
      <c r="I32" s="10" t="n"/>
      <c r="J32" s="13" t="n"/>
      <c r="K32" s="13" t="n"/>
      <c r="L32" s="14">
        <f>IFERROR(IF(OR($D32="",$G32="",$G32=0),"",$D32/$G32),"")</f>
        <v/>
      </c>
      <c r="M32" s="14">
        <f>IFERROR(IF(OR($H32="",$D32=""),"",$H32-$D32),"")</f>
        <v/>
      </c>
      <c r="N32" s="14">
        <f>IFERROR(IF(OR($I32="",$L32=""),"",$I32-$L32),"")</f>
        <v/>
      </c>
      <c r="O32" s="15">
        <f>IFERROR(IF(OR($D32="",$H32="",$H32=0),"",$D32/$H32),"")</f>
        <v/>
      </c>
      <c r="P32" s="15">
        <f>IFERROR(IF(OR($L32="",$I32="",$I32=0),"",$L32/$I32),"")</f>
        <v/>
      </c>
      <c r="Q32" s="14">
        <f>IFERROR(IF(OR($H32="",$I32="",$J32="",$K32=""),"",$H32*$J32+$I32*$K32),"")</f>
        <v/>
      </c>
      <c r="R32" s="14">
        <f>IFERROR(IF(OR($D32="",$L32="",$J32="",$K32=""),"",$D32*$J32+$L32*$K32),"")</f>
        <v/>
      </c>
      <c r="S32" s="14">
        <f>IFERROR(IF(OR($Q32="",$R32=""),"",$Q32-$R32),"")</f>
        <v/>
      </c>
      <c r="T32" s="15">
        <f>IFERROR(IF(OR($Q32="",$Q32=0,$R32=""),"",$R32/$Q32),"")</f>
        <v/>
      </c>
      <c r="U32" s="15">
        <f>IFERROR(IF($C32="","",INDEX(Parámetros!$B$6:$D$8,MATCH(Parámetros!$A$6,Parámetros!$A$6:$A$8,0),MATCH($C32,Parámetros!$B$5:$D$5,0))),"")</f>
        <v/>
      </c>
      <c r="V32" s="14">
        <f>IFERROR(IF(OR($H32="",$U32=""),"",$H32*(1+$U32)),"")</f>
        <v/>
      </c>
      <c r="W32" s="14">
        <f>IFERROR(IF(OR($I32="",$U32=""),"",$I32*(1+$U32)),"")</f>
        <v/>
      </c>
      <c r="X32" s="15">
        <f>IFERROR(IF($C32="","",INDEX(Parámetros!$B$6:$D$8,MATCH(Parámetros!$A$7,Parámetros!$A$6:$A$8,0),MATCH($C32,Parámetros!$B$5:$D$5,0))),"")</f>
        <v/>
      </c>
      <c r="Y32" s="14">
        <f>IFERROR(IF(OR($H32="",$X32=""),"",$H32*(1+$X32)),"")</f>
        <v/>
      </c>
    </row>
    <row r="33">
      <c r="A33" s="9" t="n">
        <v>29</v>
      </c>
      <c r="B33" s="4" t="n"/>
      <c r="C33" s="4" t="n"/>
      <c r="D33" s="10" t="n"/>
      <c r="E33" s="11" t="n"/>
      <c r="F33" s="11" t="n"/>
      <c r="G33" s="12">
        <f>IFERROR(IF(OR($E33="",$F33="",$F33=0),"",$E33/$F33),"")</f>
        <v/>
      </c>
      <c r="H33" s="10" t="n"/>
      <c r="I33" s="10" t="n"/>
      <c r="J33" s="13" t="n"/>
      <c r="K33" s="13" t="n"/>
      <c r="L33" s="14">
        <f>IFERROR(IF(OR($D33="",$G33="",$G33=0),"",$D33/$G33),"")</f>
        <v/>
      </c>
      <c r="M33" s="14">
        <f>IFERROR(IF(OR($H33="",$D33=""),"",$H33-$D33),"")</f>
        <v/>
      </c>
      <c r="N33" s="14">
        <f>IFERROR(IF(OR($I33="",$L33=""),"",$I33-$L33),"")</f>
        <v/>
      </c>
      <c r="O33" s="15">
        <f>IFERROR(IF(OR($D33="",$H33="",$H33=0),"",$D33/$H33),"")</f>
        <v/>
      </c>
      <c r="P33" s="15">
        <f>IFERROR(IF(OR($L33="",$I33="",$I33=0),"",$L33/$I33),"")</f>
        <v/>
      </c>
      <c r="Q33" s="14">
        <f>IFERROR(IF(OR($H33="",$I33="",$J33="",$K33=""),"",$H33*$J33+$I33*$K33),"")</f>
        <v/>
      </c>
      <c r="R33" s="14">
        <f>IFERROR(IF(OR($D33="",$L33="",$J33="",$K33=""),"",$D33*$J33+$L33*$K33),"")</f>
        <v/>
      </c>
      <c r="S33" s="14">
        <f>IFERROR(IF(OR($Q33="",$R33=""),"",$Q33-$R33),"")</f>
        <v/>
      </c>
      <c r="T33" s="15">
        <f>IFERROR(IF(OR($Q33="",$Q33=0,$R33=""),"",$R33/$Q33),"")</f>
        <v/>
      </c>
      <c r="U33" s="15">
        <f>IFERROR(IF($C33="","",INDEX(Parámetros!$B$6:$D$8,MATCH(Parámetros!$A$6,Parámetros!$A$6:$A$8,0),MATCH($C33,Parámetros!$B$5:$D$5,0))),"")</f>
        <v/>
      </c>
      <c r="V33" s="14">
        <f>IFERROR(IF(OR($H33="",$U33=""),"",$H33*(1+$U33)),"")</f>
        <v/>
      </c>
      <c r="W33" s="14">
        <f>IFERROR(IF(OR($I33="",$U33=""),"",$I33*(1+$U33)),"")</f>
        <v/>
      </c>
      <c r="X33" s="15">
        <f>IFERROR(IF($C33="","",INDEX(Parámetros!$B$6:$D$8,MATCH(Parámetros!$A$7,Parámetros!$A$6:$A$8,0),MATCH($C33,Parámetros!$B$5:$D$5,0))),"")</f>
        <v/>
      </c>
      <c r="Y33" s="14">
        <f>IFERROR(IF(OR($H33="",$X33=""),"",$H33*(1+$X33)),"")</f>
        <v/>
      </c>
    </row>
    <row r="34">
      <c r="A34" s="9" t="n">
        <v>30</v>
      </c>
      <c r="B34" s="4" t="n"/>
      <c r="C34" s="4" t="n"/>
      <c r="D34" s="10" t="n"/>
      <c r="E34" s="11" t="n"/>
      <c r="F34" s="11" t="n"/>
      <c r="G34" s="12">
        <f>IFERROR(IF(OR($E34="",$F34="",$F34=0),"",$E34/$F34),"")</f>
        <v/>
      </c>
      <c r="H34" s="10" t="n"/>
      <c r="I34" s="10" t="n"/>
      <c r="J34" s="13" t="n"/>
      <c r="K34" s="13" t="n"/>
      <c r="L34" s="14">
        <f>IFERROR(IF(OR($D34="",$G34="",$G34=0),"",$D34/$G34),"")</f>
        <v/>
      </c>
      <c r="M34" s="14">
        <f>IFERROR(IF(OR($H34="",$D34=""),"",$H34-$D34),"")</f>
        <v/>
      </c>
      <c r="N34" s="14">
        <f>IFERROR(IF(OR($I34="",$L34=""),"",$I34-$L34),"")</f>
        <v/>
      </c>
      <c r="O34" s="15">
        <f>IFERROR(IF(OR($D34="",$H34="",$H34=0),"",$D34/$H34),"")</f>
        <v/>
      </c>
      <c r="P34" s="15">
        <f>IFERROR(IF(OR($L34="",$I34="",$I34=0),"",$L34/$I34),"")</f>
        <v/>
      </c>
      <c r="Q34" s="14">
        <f>IFERROR(IF(OR($H34="",$I34="",$J34="",$K34=""),"",$H34*$J34+$I34*$K34),"")</f>
        <v/>
      </c>
      <c r="R34" s="14">
        <f>IFERROR(IF(OR($D34="",$L34="",$J34="",$K34=""),"",$D34*$J34+$L34*$K34),"")</f>
        <v/>
      </c>
      <c r="S34" s="14">
        <f>IFERROR(IF(OR($Q34="",$R34=""),"",$Q34-$R34),"")</f>
        <v/>
      </c>
      <c r="T34" s="15">
        <f>IFERROR(IF(OR($Q34="",$Q34=0,$R34=""),"",$R34/$Q34),"")</f>
        <v/>
      </c>
      <c r="U34" s="15">
        <f>IFERROR(IF($C34="","",INDEX(Parámetros!$B$6:$D$8,MATCH(Parámetros!$A$6,Parámetros!$A$6:$A$8,0),MATCH($C34,Parámetros!$B$5:$D$5,0))),"")</f>
        <v/>
      </c>
      <c r="V34" s="14">
        <f>IFERROR(IF(OR($H34="",$U34=""),"",$H34*(1+$U34)),"")</f>
        <v/>
      </c>
      <c r="W34" s="14">
        <f>IFERROR(IF(OR($I34="",$U34=""),"",$I34*(1+$U34)),"")</f>
        <v/>
      </c>
      <c r="X34" s="15">
        <f>IFERROR(IF($C34="","",INDEX(Parámetros!$B$6:$D$8,MATCH(Parámetros!$A$7,Parámetros!$A$6:$A$8,0),MATCH($C34,Parámetros!$B$5:$D$5,0))),"")</f>
        <v/>
      </c>
      <c r="Y34" s="14">
        <f>IFERROR(IF(OR($H34="",$X34=""),"",$H34*(1+$X34)),"")</f>
        <v/>
      </c>
    </row>
    <row r="35">
      <c r="A35" s="16" t="n"/>
      <c r="B35" s="16" t="inlineStr">
        <is>
          <t>TOTAL VINOS</t>
        </is>
      </c>
      <c r="C35" s="16" t="n"/>
      <c r="D35" s="16" t="n"/>
      <c r="E35" s="16" t="n"/>
      <c r="F35" s="16" t="n"/>
      <c r="G35" s="16" t="n"/>
      <c r="H35" s="16" t="n"/>
      <c r="I35" s="16" t="n"/>
      <c r="J35" s="17">
        <f>IF(COUNT(J5:J34)=0,"",SUM(J5:J34))</f>
        <v>530.0</v>
      </c>
      <c r="K35" s="17">
        <f>IF(COUNT(K5:K34)=0,"",SUM(K5:K34))</f>
        <v>2540.0</v>
      </c>
      <c r="L35" s="16" t="n"/>
      <c r="M35" s="16" t="n"/>
      <c r="N35" s="16" t="n"/>
      <c r="O35" s="16" t="n"/>
      <c r="P35" s="16" t="n"/>
      <c r="Q35" s="18">
        <f>IF(COUNT(Q5:Q34)=0,"",SUM(Q5:Q34))</f>
        <v>18151.0</v>
      </c>
      <c r="R35" s="18">
        <f>IF(COUNT(R5:R34)=0,"",SUM(R5:R34))</f>
        <v>5473.9000000000015</v>
      </c>
      <c r="S35" s="18">
        <f>IF(COUNT(S5:S34)=0,"",SUM(S5:S34))</f>
        <v>12677.099999999999</v>
      </c>
      <c r="T35" s="19">
        <f>IFERROR(IF(OR($Q$35="",$Q$35=0,$R$35=""),"",$R$35/$Q$35),"")</f>
        <v>0.3015756707619416</v>
      </c>
      <c r="U35" s="16" t="n"/>
      <c r="V35" s="16" t="n"/>
      <c r="W35" s="16" t="n"/>
      <c r="X35" s="16" t="n"/>
      <c r="Y35" s="16" t="n"/>
    </row>
    <row r="36"/>
    <row r="37">
      <c r="B37" s="6" t="inlineStr">
        <is>
          <t>Objetivo de beverage cost de los vinos (%)</t>
        </is>
      </c>
      <c r="E37" s="20">
        <f>IF(Parámetros!$B$17="","",Parámetros!$B$17)</f>
        <v>0.3</v>
      </c>
    </row>
    <row r="38"/>
    <row r="39">
      <c r="B39" t="inlineStr">
        <is>
          <t>El servicio de copa es lo que sirves de verdad: cámbialo y cambian las copas por botella, el coste por copa y el beverage cost. Es la palanca más barata de toda la bodega.</t>
        </is>
      </c>
    </row>
  </sheetData>
  <sheetProtection selectLockedCells="0" selectUnlockedCells="0" sheet="1" objects="0" insertRows="0" insertHyperlinks="1" autoFilter="1" scenarios="0" formatColumns="0" deleteColumns="1" insertColumns="1" pivotTables="1" deleteRows="1" formatCells="1" formatRows="0" sort="0"/>
  <conditionalFormatting sqref="T5:T34">
    <cfRule type="expression" priority="1" dxfId="0" stopIfTrue="1">
      <formula>=AND(ISNUMBER($T5),ISNUMBER($E$37),$T5&gt;$E$37)</formula>
    </cfRule>
    <cfRule type="expression" priority="2" dxfId="1" stopIfTrue="1">
      <formula>=AND(ISNUMBER($T5),ISNUMBER($E$37),$T5&lt;=$E$37)</formula>
    </cfRule>
  </conditionalFormatting>
  <conditionalFormatting sqref="T35">
    <cfRule type="expression" priority="3" dxfId="0" stopIfTrue="1">
      <formula>=AND(ISNUMBER($T35),ISNUMBER($E$37),$T35&gt;$E$37)</formula>
    </cfRule>
    <cfRule type="expression" priority="4" dxfId="1" stopIfTrue="1">
      <formula>=AND(ISNUMBER($T35),ISNUMBER($E$37),$T35&lt;=$E$37)</formula>
    </cfRule>
  </conditionalFormatting>
  <dataValidations count="4">
    <dataValidation sqref="C5 C6 C7 C8 C9 C10 C11 C12 C13 C14 C15 C16 C17 C18 C19 C20 C21 C22 C23 C24 C25 C26 C27 C28 C29 C30 C31 C32 C33 C34" showDropDown="0" showInputMessage="0" showErrorMessage="1" allowBlank="1" errorTitle="Tipo a efectos de IVA" error="Elige un valor de la lista: Comida, Refresco/azucarada, Bebida alcohólica" type="list">
      <formula1>"Comida,Refresco/azucarada,Bebida alcohólica"</formula1>
    </dataValidation>
    <dataValidation sqref="D5 D6 D7 D8 D9 D10 D11 D12 D13 D14 D15 D16 D17 D18 D19 D20 D21 D22 D23 D24 D25 D26 D27 D28 D29 D30 D31 D32 D33 D34 H5 H6 H7 H8 H9 H10 H11 H12 H13 H14 H15 H16 H17 H18 H19 H20 H21 H22 H23 H24 H25 H26 H27 H28 H29 H30 H31 H32 H33 H34 I5 I6 I7 I8 I9 I10 I11 I12 I13 I14 I15 I16 I17 I18 I19 I20 I21 I22 I23 I24 I25 I26 I27 I28 I29 I30 I31 I32 I33 I34" showDropDown="0" showInputMessage="0" showErrorMessage="1" allowBlank="1" errorTitle="Importe (€)" error="Escribe un número mayor o igual que 0." type="decimal" operator="greaterThanOrEqual">
      <formula1>0</formula1>
    </dataValidation>
    <dataValidation sqref="E5 E6 E7 E8 E9 E10 E11 E12 E13 E14 E15 E16 E17 E18 E19 E20 E21 E22 E23 E24 E25 E26 E27 E28 E29 E30 E31 E32 E33 E34 F5 F6 F7 F8 F9 F10 F11 F12 F13 F14 F15 F16 F17 F18 F19 F20 F21 F22 F23 F24 F25 F26 F27 F28 F29 F30 F31 F32 F33 F34" showDropDown="0" showInputMessage="0" showErrorMessage="1" allowBlank="1" errorTitle="Centilitros" error="Escribe un valor entre 0.1 y 10000." type="decimal" operator="between">
      <formula1>0.1</formula1>
      <formula2>10000</formula2>
    </dataValidation>
    <dataValidation sqref="J5 J6 J7 J8 J9 J10 J11 J12 J13 J14 J15 J16 J17 J18 J19 J20 J21 J22 J23 J24 J25 J26 J27 J28 J29 J30 J31 J32 J33 J34 K5 K6 K7 K8 K9 K10 K11 K12 K13 K14 K15 K16 K17 K18 K19 K20 K21 K22 K23 K24 K25 K26 K27 K28 K29 K30 K31 K32 K33 K34" showDropDown="0" showInputMessage="0" showErrorMessage="1" allowBlank="1" errorTitle="Unidades vendidas" error="Escribe un número mayor o igual que 0." type="decimal" operator="greaterThanOrEqual">
      <formula1>0</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U25"/>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5" customWidth="1" min="1" max="1"/>
    <col width="30" customWidth="1" min="2" max="2"/>
    <col width="16" customWidth="1" min="3" max="3"/>
    <col width="18" customWidth="1" min="4" max="4"/>
    <col width="14" customWidth="1" min="5" max="5"/>
    <col width="16" customWidth="1" min="6" max="6"/>
    <col width="17" customWidth="1" min="7" max="7"/>
    <col width="12" customWidth="1" min="8" max="8"/>
    <col width="15" customWidth="1" min="9" max="9"/>
    <col width="14" customWidth="1" min="10" max="10"/>
    <col width="16" customWidth="1" min="11" max="11"/>
    <col width="13" customWidth="1" min="12" max="12"/>
    <col width="13" customWidth="1" min="13" max="13"/>
    <col width="13" customWidth="1" min="14" max="14"/>
    <col width="14" customWidth="1" min="15" max="15"/>
    <col width="13" customWidth="1" min="16" max="16"/>
    <col width="15" customWidth="1" min="17" max="17"/>
    <col width="13" customWidth="1" min="18" max="18"/>
    <col width="16" customWidth="1" min="19" max="19"/>
    <col width="13" customWidth="1" min="20" max="20"/>
    <col width="17" customWidth="1" min="21" max="21"/>
  </cols>
  <sheetData>
    <row r="1" ht="30" customHeight="1">
      <c r="A1" s="1" t="inlineStr">
        <is>
          <t>Cervezas y refrescos</t>
        </is>
      </c>
    </row>
    <row r="2">
      <c r="A2" t="inlineStr">
        <is>
          <t>AI Chef Pro · aichef.pro — Guía Food Cost + Ingeniería de Menú</t>
        </is>
      </c>
    </row>
    <row r="3">
      <c r="A3" s="8" t="inlineStr">
        <is>
          <t>El coste por servicio sale del precio de la unidad de compra por la parte que sirves: un barril de 30 L da 120 cañas de 25 cl.</t>
        </is>
      </c>
    </row>
    <row r="4" ht="62" customHeight="1">
      <c r="A4" s="5" t="inlineStr">
        <is>
          <t>#</t>
        </is>
      </c>
      <c r="B4" s="5" t="inlineStr">
        <is>
          <t>Referencia</t>
        </is>
      </c>
      <c r="C4" s="5" t="inlineStr">
        <is>
          <t>Formato de compra</t>
        </is>
      </c>
      <c r="D4" s="5" t="inlineStr">
        <is>
          <t>Tipo a efectos de IVA</t>
        </is>
      </c>
      <c r="E4" s="5" t="inlineStr">
        <is>
          <t>Unidad de medida</t>
        </is>
      </c>
      <c r="F4" s="5" t="inlineStr">
        <is>
          <t>Precio de compra de la unidad, sin IVA (€)</t>
        </is>
      </c>
      <c r="G4" s="5" t="inlineStr">
        <is>
          <t>Contenido de la unidad de compra</t>
        </is>
      </c>
      <c r="H4" s="5" t="inlineStr">
        <is>
          <t>Servicio</t>
        </is>
      </c>
      <c r="I4" s="5" t="inlineStr">
        <is>
          <t>PVP del servicio en sala, sin IVA (€)</t>
        </is>
      </c>
      <c r="J4" s="5" t="inlineStr">
        <is>
          <t>Servicios vendidos al mes (n.º)</t>
        </is>
      </c>
      <c r="K4" s="5" t="inlineStr">
        <is>
          <t>Servicios por unidad de compra (n.º)</t>
        </is>
      </c>
      <c r="L4" s="5" t="inlineStr">
        <is>
          <t>Coste por servicio (€)</t>
        </is>
      </c>
      <c r="M4" s="5" t="inlineStr">
        <is>
          <t>Margen por servicio (€)</t>
        </is>
      </c>
      <c r="N4" s="5" t="inlineStr">
        <is>
          <t>Beverage cost (%)</t>
        </is>
      </c>
      <c r="O4" s="5" t="inlineStr">
        <is>
          <t>Ventas del mes, sin IVA (€)</t>
        </is>
      </c>
      <c r="P4" s="5" t="inlineStr">
        <is>
          <t>Coste del mes (€)</t>
        </is>
      </c>
      <c r="Q4" s="5" t="inlineStr">
        <is>
          <t>Margen de contribución del mes (€)</t>
        </is>
      </c>
      <c r="R4" s="5" t="inlineStr">
        <is>
          <t>IVA repercutido en sala (%)</t>
        </is>
      </c>
      <c r="S4" s="5" t="inlineStr">
        <is>
          <t>PVP del servicio con IVA en sala (€)</t>
        </is>
      </c>
      <c r="T4" s="5" t="inlineStr">
        <is>
          <t>IVA repercutido para llevar (%)</t>
        </is>
      </c>
      <c r="U4" s="5" t="inlineStr">
        <is>
          <t>PVP del servicio con IVA para llevar (€)</t>
        </is>
      </c>
    </row>
    <row r="5">
      <c r="A5" s="9" t="n">
        <v>1</v>
      </c>
      <c r="B5" s="4" t="inlineStr">
        <is>
          <t>Cerveza de barril (30 L)</t>
        </is>
      </c>
      <c r="C5" s="4" t="inlineStr">
        <is>
          <t>barril</t>
        </is>
      </c>
      <c r="D5" s="4" t="inlineStr">
        <is>
          <t>Bebida alcohólica</t>
        </is>
      </c>
      <c r="E5" s="4" t="inlineStr">
        <is>
          <t>cl</t>
        </is>
      </c>
      <c r="F5" s="10" t="n">
        <v>78</v>
      </c>
      <c r="G5" s="11" t="n">
        <v>3000</v>
      </c>
      <c r="H5" s="11" t="n">
        <v>25</v>
      </c>
      <c r="I5" s="10" t="n">
        <v>2.3</v>
      </c>
      <c r="J5" s="13" t="n">
        <v>2900</v>
      </c>
      <c r="K5" s="12">
        <f>IFERROR(IF(OR($G5="",$H5="",$H5=0),"",$G5/$H5),"")</f>
        <v>120.0</v>
      </c>
      <c r="L5" s="14">
        <f>IFERROR(IF(OR($F5="",$G5="",$G5=0,$H5=""),"",$F5*$H5/$G5),"")</f>
        <v>0.65</v>
      </c>
      <c r="M5" s="14">
        <f>IFERROR(IF(OR($I5="",$L5=""),"",$I5-$L5),"")</f>
        <v>1.65</v>
      </c>
      <c r="N5" s="15">
        <f>IFERROR(IF(OR($L5="",$I5="",$I5=0),"",$L5/$I5),"")</f>
        <v>0.28260869565217395</v>
      </c>
      <c r="O5" s="14">
        <f>IFERROR(IF(OR($I5="",$J5=""),"",$I5*$J5),"")</f>
        <v>6669.999999999999</v>
      </c>
      <c r="P5" s="14">
        <f>IFERROR(IF(OR($L5="",$J5=""),"",$L5*$J5),"")</f>
        <v>1885.0</v>
      </c>
      <c r="Q5" s="14">
        <f>IFERROR(IF(OR($O5="",$P5=""),"",$O5-$P5),"")</f>
        <v>4784.999999999999</v>
      </c>
      <c r="R5" s="15">
        <f>IFERROR(IF($D5="","",INDEX(Parámetros!$B$6:$D$8,MATCH(Parámetros!$A$6,Parámetros!$A$6:$A$8,0),MATCH($D5,Parámetros!$B$5:$D$5,0))),"")</f>
        <v>0.1</v>
      </c>
      <c r="S5" s="14">
        <f>IFERROR(IF(OR($I5="",$R5=""),"",$I5*(1+$R5)),"")</f>
        <v>2.53</v>
      </c>
      <c r="T5" s="15">
        <f>IFERROR(IF($D5="","",INDEX(Parámetros!$B$6:$D$8,MATCH(Parámetros!$A$7,Parámetros!$A$6:$A$8,0),MATCH($D5,Parámetros!$B$5:$D$5,0))),"")</f>
        <v>0.21</v>
      </c>
      <c r="U5" s="14">
        <f>IFERROR(IF(OR($I5="",$T5=""),"",$I5*(1+$T5)),"")</f>
        <v>2.783</v>
      </c>
    </row>
    <row r="6">
      <c r="A6" s="9" t="n">
        <v>2</v>
      </c>
      <c r="B6" s="4" t="inlineStr">
        <is>
          <t>Cerveza de barril (30 L)</t>
        </is>
      </c>
      <c r="C6" s="4" t="inlineStr">
        <is>
          <t>barril</t>
        </is>
      </c>
      <c r="D6" s="4" t="inlineStr">
        <is>
          <t>Bebida alcohólica</t>
        </is>
      </c>
      <c r="E6" s="4" t="inlineStr">
        <is>
          <t>cl</t>
        </is>
      </c>
      <c r="F6" s="10" t="n">
        <v>78</v>
      </c>
      <c r="G6" s="11" t="n">
        <v>3000</v>
      </c>
      <c r="H6" s="11" t="n">
        <v>50</v>
      </c>
      <c r="I6" s="10" t="n">
        <v>4.1</v>
      </c>
      <c r="J6" s="13" t="n">
        <v>620</v>
      </c>
      <c r="K6" s="12">
        <f>IFERROR(IF(OR($G6="",$H6="",$H6=0),"",$G6/$H6),"")</f>
        <v>60.0</v>
      </c>
      <c r="L6" s="14">
        <f>IFERROR(IF(OR($F6="",$G6="",$G6=0,$H6=""),"",$F6*$H6/$G6),"")</f>
        <v>1.3</v>
      </c>
      <c r="M6" s="14">
        <f>IFERROR(IF(OR($I6="",$L6=""),"",$I6-$L6),"")</f>
        <v>2.8</v>
      </c>
      <c r="N6" s="15">
        <f>IFERROR(IF(OR($L6="",$I6="",$I6=0),"",$L6/$I6),"")</f>
        <v>0.3170731707317074</v>
      </c>
      <c r="O6" s="14">
        <f>IFERROR(IF(OR($I6="",$J6=""),"",$I6*$J6),"")</f>
        <v>2542.0</v>
      </c>
      <c r="P6" s="14">
        <f>IFERROR(IF(OR($L6="",$J6=""),"",$L6*$J6),"")</f>
        <v>806.0</v>
      </c>
      <c r="Q6" s="14">
        <f>IFERROR(IF(OR($O6="",$P6=""),"",$O6-$P6),"")</f>
        <v>1736.0</v>
      </c>
      <c r="R6" s="15">
        <f>IFERROR(IF($D6="","",INDEX(Parámetros!$B$6:$D$8,MATCH(Parámetros!$A$6,Parámetros!$A$6:$A$8,0),MATCH($D6,Parámetros!$B$5:$D$5,0))),"")</f>
        <v>0.1</v>
      </c>
      <c r="S6" s="14">
        <f>IFERROR(IF(OR($I6="",$R6=""),"",$I6*(1+$R6)),"")</f>
        <v>4.51</v>
      </c>
      <c r="T6" s="15">
        <f>IFERROR(IF($D6="","",INDEX(Parámetros!$B$6:$D$8,MATCH(Parámetros!$A$7,Parámetros!$A$6:$A$8,0),MATCH($D6,Parámetros!$B$5:$D$5,0))),"")</f>
        <v>0.21</v>
      </c>
      <c r="U6" s="14">
        <f>IFERROR(IF(OR($I6="",$T6=""),"",$I6*(1+$T6)),"")</f>
        <v>4.960999999999999</v>
      </c>
    </row>
    <row r="7">
      <c r="A7" s="9" t="n">
        <v>3</v>
      </c>
      <c r="B7" s="4" t="inlineStr">
        <is>
          <t>Cerveza tercio (33 cl)</t>
        </is>
      </c>
      <c r="C7" s="4" t="inlineStr">
        <is>
          <t>botella</t>
        </is>
      </c>
      <c r="D7" s="4" t="inlineStr">
        <is>
          <t>Bebida alcohólica</t>
        </is>
      </c>
      <c r="E7" s="4" t="inlineStr">
        <is>
          <t>cl</t>
        </is>
      </c>
      <c r="F7" s="10" t="n">
        <v>0.62</v>
      </c>
      <c r="G7" s="11" t="n">
        <v>33</v>
      </c>
      <c r="H7" s="11" t="n">
        <v>33</v>
      </c>
      <c r="I7" s="10" t="n">
        <v>2.5</v>
      </c>
      <c r="J7" s="13" t="n">
        <v>540</v>
      </c>
      <c r="K7" s="12">
        <f>IFERROR(IF(OR($G7="",$H7="",$H7=0),"",$G7/$H7),"")</f>
        <v>1.0</v>
      </c>
      <c r="L7" s="14">
        <f>IFERROR(IF(OR($F7="",$G7="",$G7=0,$H7=""),"",$F7*$H7/$G7),"")</f>
        <v>0.62</v>
      </c>
      <c r="M7" s="14">
        <f>IFERROR(IF(OR($I7="",$L7=""),"",$I7-$L7),"")</f>
        <v>1.88</v>
      </c>
      <c r="N7" s="15">
        <f>IFERROR(IF(OR($L7="",$I7="",$I7=0),"",$L7/$I7),"")</f>
        <v>0.248</v>
      </c>
      <c r="O7" s="14">
        <f>IFERROR(IF(OR($I7="",$J7=""),"",$I7*$J7),"")</f>
        <v>1350.0</v>
      </c>
      <c r="P7" s="14">
        <f>IFERROR(IF(OR($L7="",$J7=""),"",$L7*$J7),"")</f>
        <v>334.8</v>
      </c>
      <c r="Q7" s="14">
        <f>IFERROR(IF(OR($O7="",$P7=""),"",$O7-$P7),"")</f>
        <v>1015.2</v>
      </c>
      <c r="R7" s="15">
        <f>IFERROR(IF($D7="","",INDEX(Parámetros!$B$6:$D$8,MATCH(Parámetros!$A$6,Parámetros!$A$6:$A$8,0),MATCH($D7,Parámetros!$B$5:$D$5,0))),"")</f>
        <v>0.1</v>
      </c>
      <c r="S7" s="14">
        <f>IFERROR(IF(OR($I7="",$R7=""),"",$I7*(1+$R7)),"")</f>
        <v>2.75</v>
      </c>
      <c r="T7" s="15">
        <f>IFERROR(IF($D7="","",INDEX(Parámetros!$B$6:$D$8,MATCH(Parámetros!$A$7,Parámetros!$A$6:$A$8,0),MATCH($D7,Parámetros!$B$5:$D$5,0))),"")</f>
        <v>0.21</v>
      </c>
      <c r="U7" s="14">
        <f>IFERROR(IF(OR($I7="",$T7=""),"",$I7*(1+$T7)),"")</f>
        <v>3.025</v>
      </c>
    </row>
    <row r="8">
      <c r="A8" s="9" t="n">
        <v>4</v>
      </c>
      <c r="B8" s="4" t="inlineStr">
        <is>
          <t>Cerveza sin alcohol (33 cl)</t>
        </is>
      </c>
      <c r="C8" s="4" t="inlineStr">
        <is>
          <t>botella</t>
        </is>
      </c>
      <c r="D8" s="4" t="inlineStr">
        <is>
          <t>Comida</t>
        </is>
      </c>
      <c r="E8" s="4" t="inlineStr">
        <is>
          <t>cl</t>
        </is>
      </c>
      <c r="F8" s="10" t="n">
        <v>0.58</v>
      </c>
      <c r="G8" s="11" t="n">
        <v>33</v>
      </c>
      <c r="H8" s="11" t="n">
        <v>33</v>
      </c>
      <c r="I8" s="10" t="n">
        <v>2.4</v>
      </c>
      <c r="J8" s="13" t="n">
        <v>180</v>
      </c>
      <c r="K8" s="12">
        <f>IFERROR(IF(OR($G8="",$H8="",$H8=0),"",$G8/$H8),"")</f>
        <v>1.0</v>
      </c>
      <c r="L8" s="14">
        <f>IFERROR(IF(OR($F8="",$G8="",$G8=0,$H8=""),"",$F8*$H8/$G8),"")</f>
        <v>0.58</v>
      </c>
      <c r="M8" s="14">
        <f>IFERROR(IF(OR($I8="",$L8=""),"",$I8-$L8),"")</f>
        <v>1.8199999999999998</v>
      </c>
      <c r="N8" s="15">
        <f>IFERROR(IF(OR($L8="",$I8="",$I8=0),"",$L8/$I8),"")</f>
        <v>0.24166666666666667</v>
      </c>
      <c r="O8" s="14">
        <f>IFERROR(IF(OR($I8="",$J8=""),"",$I8*$J8),"")</f>
        <v>432.0</v>
      </c>
      <c r="P8" s="14">
        <f>IFERROR(IF(OR($L8="",$J8=""),"",$L8*$J8),"")</f>
        <v>104.39999999999999</v>
      </c>
      <c r="Q8" s="14">
        <f>IFERROR(IF(OR($O8="",$P8=""),"",$O8-$P8),"")</f>
        <v>327.6</v>
      </c>
      <c r="R8" s="15">
        <f>IFERROR(IF($D8="","",INDEX(Parámetros!$B$6:$D$8,MATCH(Parámetros!$A$6,Parámetros!$A$6:$A$8,0),MATCH($D8,Parámetros!$B$5:$D$5,0))),"")</f>
        <v>0.1</v>
      </c>
      <c r="S8" s="14">
        <f>IFERROR(IF(OR($I8="",$R8=""),"",$I8*(1+$R8)),"")</f>
        <v>2.64</v>
      </c>
      <c r="T8" s="15">
        <f>IFERROR(IF($D8="","",INDEX(Parámetros!$B$6:$D$8,MATCH(Parámetros!$A$7,Parámetros!$A$6:$A$8,0),MATCH($D8,Parámetros!$B$5:$D$5,0))),"")</f>
        <v>0.1</v>
      </c>
      <c r="U8" s="14">
        <f>IFERROR(IF(OR($I8="",$T8=""),"",$I8*(1+$T8)),"")</f>
        <v>2.64</v>
      </c>
    </row>
    <row r="9">
      <c r="A9" s="9" t="n">
        <v>5</v>
      </c>
      <c r="B9" s="4" t="inlineStr">
        <is>
          <t>Refresco de cola (lata 33 cl)</t>
        </is>
      </c>
      <c r="C9" s="4" t="inlineStr">
        <is>
          <t>lata</t>
        </is>
      </c>
      <c r="D9" s="4" t="inlineStr">
        <is>
          <t>Refresco/azucarada</t>
        </is>
      </c>
      <c r="E9" s="4" t="inlineStr">
        <is>
          <t>cl</t>
        </is>
      </c>
      <c r="F9" s="10" t="n">
        <v>0.55</v>
      </c>
      <c r="G9" s="11" t="n">
        <v>33</v>
      </c>
      <c r="H9" s="11" t="n">
        <v>33</v>
      </c>
      <c r="I9" s="10" t="n">
        <v>2.3</v>
      </c>
      <c r="J9" s="13" t="n">
        <v>760</v>
      </c>
      <c r="K9" s="12">
        <f>IFERROR(IF(OR($G9="",$H9="",$H9=0),"",$G9/$H9),"")</f>
        <v>1.0</v>
      </c>
      <c r="L9" s="14">
        <f>IFERROR(IF(OR($F9="",$G9="",$G9=0,$H9=""),"",$F9*$H9/$G9),"")</f>
        <v>0.55</v>
      </c>
      <c r="M9" s="14">
        <f>IFERROR(IF(OR($I9="",$L9=""),"",$I9-$L9),"")</f>
        <v>1.7499999999999998</v>
      </c>
      <c r="N9" s="15">
        <f>IFERROR(IF(OR($L9="",$I9="",$I9=0),"",$L9/$I9),"")</f>
        <v>0.23913043478260873</v>
      </c>
      <c r="O9" s="14">
        <f>IFERROR(IF(OR($I9="",$J9=""),"",$I9*$J9),"")</f>
        <v>1747.9999999999998</v>
      </c>
      <c r="P9" s="14">
        <f>IFERROR(IF(OR($L9="",$J9=""),"",$L9*$J9),"")</f>
        <v>418.00000000000006</v>
      </c>
      <c r="Q9" s="14">
        <f>IFERROR(IF(OR($O9="",$P9=""),"",$O9-$P9),"")</f>
        <v>1329.9999999999998</v>
      </c>
      <c r="R9" s="15">
        <f>IFERROR(IF($D9="","",INDEX(Parámetros!$B$6:$D$8,MATCH(Parámetros!$A$6,Parámetros!$A$6:$A$8,0),MATCH($D9,Parámetros!$B$5:$D$5,0))),"")</f>
        <v>0.1</v>
      </c>
      <c r="S9" s="14">
        <f>IFERROR(IF(OR($I9="",$R9=""),"",$I9*(1+$R9)),"")</f>
        <v>2.53</v>
      </c>
      <c r="T9" s="15">
        <f>IFERROR(IF($D9="","",INDEX(Parámetros!$B$6:$D$8,MATCH(Parámetros!$A$7,Parámetros!$A$6:$A$8,0),MATCH($D9,Parámetros!$B$5:$D$5,0))),"")</f>
        <v>0.21</v>
      </c>
      <c r="U9" s="14">
        <f>IFERROR(IF(OR($I9="",$T9=""),"",$I9*(1+$T9)),"")</f>
        <v>2.783</v>
      </c>
    </row>
    <row r="10">
      <c r="A10" s="9" t="n">
        <v>6</v>
      </c>
      <c r="B10" s="4" t="inlineStr">
        <is>
          <t>Agua mineral (50 cl)</t>
        </is>
      </c>
      <c r="C10" s="4" t="inlineStr">
        <is>
          <t>botella</t>
        </is>
      </c>
      <c r="D10" s="4" t="inlineStr">
        <is>
          <t>Comida</t>
        </is>
      </c>
      <c r="E10" s="4" t="inlineStr">
        <is>
          <t>cl</t>
        </is>
      </c>
      <c r="F10" s="10" t="n">
        <v>0.28</v>
      </c>
      <c r="G10" s="11" t="n">
        <v>50</v>
      </c>
      <c r="H10" s="11" t="n">
        <v>50</v>
      </c>
      <c r="I10" s="10" t="n">
        <v>1.8</v>
      </c>
      <c r="J10" s="13" t="n">
        <v>1100</v>
      </c>
      <c r="K10" s="12">
        <f>IFERROR(IF(OR($G10="",$H10="",$H10=0),"",$G10/$H10),"")</f>
        <v>1.0</v>
      </c>
      <c r="L10" s="14">
        <f>IFERROR(IF(OR($F10="",$G10="",$G10=0,$H10=""),"",$F10*$H10/$G10),"")</f>
        <v>0.28</v>
      </c>
      <c r="M10" s="14">
        <f>IFERROR(IF(OR($I10="",$L10=""),"",$I10-$L10),"")</f>
        <v>1.52</v>
      </c>
      <c r="N10" s="15">
        <f>IFERROR(IF(OR($L10="",$I10="",$I10=0),"",$L10/$I10),"")</f>
        <v>0.15555555555555556</v>
      </c>
      <c r="O10" s="14">
        <f>IFERROR(IF(OR($I10="",$J10=""),"",$I10*$J10),"")</f>
        <v>1980.0</v>
      </c>
      <c r="P10" s="14">
        <f>IFERROR(IF(OR($L10="",$J10=""),"",$L10*$J10),"")</f>
        <v>308.00000000000006</v>
      </c>
      <c r="Q10" s="14">
        <f>IFERROR(IF(OR($O10="",$P10=""),"",$O10-$P10),"")</f>
        <v>1672.0</v>
      </c>
      <c r="R10" s="15">
        <f>IFERROR(IF($D10="","",INDEX(Parámetros!$B$6:$D$8,MATCH(Parámetros!$A$6,Parámetros!$A$6:$A$8,0),MATCH($D10,Parámetros!$B$5:$D$5,0))),"")</f>
        <v>0.1</v>
      </c>
      <c r="S10" s="14">
        <f>IFERROR(IF(OR($I10="",$R10=""),"",$I10*(1+$R10)),"")</f>
        <v>1.9800000000000002</v>
      </c>
      <c r="T10" s="15">
        <f>IFERROR(IF($D10="","",INDEX(Parámetros!$B$6:$D$8,MATCH(Parámetros!$A$7,Parámetros!$A$6:$A$8,0),MATCH($D10,Parámetros!$B$5:$D$5,0))),"")</f>
        <v>0.1</v>
      </c>
      <c r="U10" s="14">
        <f>IFERROR(IF(OR($I10="",$T10=""),"",$I10*(1+$T10)),"")</f>
        <v>1.9800000000000002</v>
      </c>
    </row>
    <row r="11">
      <c r="A11" s="9" t="n">
        <v>7</v>
      </c>
      <c r="B11" s="4" t="inlineStr">
        <is>
          <t>Zumo de naranja natural</t>
        </is>
      </c>
      <c r="C11" s="4" t="inlineStr">
        <is>
          <t>kg naranjas</t>
        </is>
      </c>
      <c r="D11" s="4" t="inlineStr">
        <is>
          <t>Comida</t>
        </is>
      </c>
      <c r="E11" s="4" t="inlineStr">
        <is>
          <t>ml</t>
        </is>
      </c>
      <c r="F11" s="10" t="n">
        <v>1.4</v>
      </c>
      <c r="G11" s="11" t="n">
        <v>1000</v>
      </c>
      <c r="H11" s="11" t="n">
        <v>250</v>
      </c>
      <c r="I11" s="10" t="n">
        <v>3.2</v>
      </c>
      <c r="J11" s="13" t="n">
        <v>260</v>
      </c>
      <c r="K11" s="12">
        <f>IFERROR(IF(OR($G11="",$H11="",$H11=0),"",$G11/$H11),"")</f>
        <v>4.0</v>
      </c>
      <c r="L11" s="14">
        <f>IFERROR(IF(OR($F11="",$G11="",$G11=0,$H11=""),"",$F11*$H11/$G11),"")</f>
        <v>0.35</v>
      </c>
      <c r="M11" s="14">
        <f>IFERROR(IF(OR($I11="",$L11=""),"",$I11-$L11),"")</f>
        <v>2.85</v>
      </c>
      <c r="N11" s="15">
        <f>IFERROR(IF(OR($L11="",$I11="",$I11=0),"",$L11/$I11),"")</f>
        <v>0.10937499999999999</v>
      </c>
      <c r="O11" s="14">
        <f>IFERROR(IF(OR($I11="",$J11=""),"",$I11*$J11),"")</f>
        <v>832.0</v>
      </c>
      <c r="P11" s="14">
        <f>IFERROR(IF(OR($L11="",$J11=""),"",$L11*$J11),"")</f>
        <v>91.0</v>
      </c>
      <c r="Q11" s="14">
        <f>IFERROR(IF(OR($O11="",$P11=""),"",$O11-$P11),"")</f>
        <v>741.0</v>
      </c>
      <c r="R11" s="15">
        <f>IFERROR(IF($D11="","",INDEX(Parámetros!$B$6:$D$8,MATCH(Parámetros!$A$6,Parámetros!$A$6:$A$8,0),MATCH($D11,Parámetros!$B$5:$D$5,0))),"")</f>
        <v>0.1</v>
      </c>
      <c r="S11" s="14">
        <f>IFERROR(IF(OR($I11="",$R11=""),"",$I11*(1+$R11)),"")</f>
        <v>3.5200000000000005</v>
      </c>
      <c r="T11" s="15">
        <f>IFERROR(IF($D11="","",INDEX(Parámetros!$B$6:$D$8,MATCH(Parámetros!$A$7,Parámetros!$A$6:$A$8,0),MATCH($D11,Parámetros!$B$5:$D$5,0))),"")</f>
        <v>0.1</v>
      </c>
      <c r="U11" s="14">
        <f>IFERROR(IF(OR($I11="",$T11=""),"",$I11*(1+$T11)),"")</f>
        <v>3.5200000000000005</v>
      </c>
    </row>
    <row r="12">
      <c r="A12" s="9" t="n">
        <v>8</v>
      </c>
      <c r="B12" s="4" t="n"/>
      <c r="C12" s="4" t="n"/>
      <c r="D12" s="4" t="n"/>
      <c r="E12" s="4" t="n"/>
      <c r="F12" s="10" t="n"/>
      <c r="G12" s="11" t="n"/>
      <c r="H12" s="11" t="n"/>
      <c r="I12" s="10" t="n"/>
      <c r="J12" s="13" t="n"/>
      <c r="K12" s="12">
        <f>IFERROR(IF(OR($G12="",$H12="",$H12=0),"",$G12/$H12),"")</f>
        <v/>
      </c>
      <c r="L12" s="14">
        <f>IFERROR(IF(OR($F12="",$G12="",$G12=0,$H12=""),"",$F12*$H12/$G12),"")</f>
        <v/>
      </c>
      <c r="M12" s="14">
        <f>IFERROR(IF(OR($I12="",$L12=""),"",$I12-$L12),"")</f>
        <v/>
      </c>
      <c r="N12" s="15">
        <f>IFERROR(IF(OR($L12="",$I12="",$I12=0),"",$L12/$I12),"")</f>
        <v/>
      </c>
      <c r="O12" s="14">
        <f>IFERROR(IF(OR($I12="",$J12=""),"",$I12*$J12),"")</f>
        <v/>
      </c>
      <c r="P12" s="14">
        <f>IFERROR(IF(OR($L12="",$J12=""),"",$L12*$J12),"")</f>
        <v/>
      </c>
      <c r="Q12" s="14">
        <f>IFERROR(IF(OR($O12="",$P12=""),"",$O12-$P12),"")</f>
        <v/>
      </c>
      <c r="R12" s="15">
        <f>IFERROR(IF($D12="","",INDEX(Parámetros!$B$6:$D$8,MATCH(Parámetros!$A$6,Parámetros!$A$6:$A$8,0),MATCH($D12,Parámetros!$B$5:$D$5,0))),"")</f>
        <v/>
      </c>
      <c r="S12" s="14">
        <f>IFERROR(IF(OR($I12="",$R12=""),"",$I12*(1+$R12)),"")</f>
        <v/>
      </c>
      <c r="T12" s="15">
        <f>IFERROR(IF($D12="","",INDEX(Parámetros!$B$6:$D$8,MATCH(Parámetros!$A$7,Parámetros!$A$6:$A$8,0),MATCH($D12,Parámetros!$B$5:$D$5,0))),"")</f>
        <v/>
      </c>
      <c r="U12" s="14">
        <f>IFERROR(IF(OR($I12="",$T12=""),"",$I12*(1+$T12)),"")</f>
        <v/>
      </c>
    </row>
    <row r="13">
      <c r="A13" s="9" t="n">
        <v>9</v>
      </c>
      <c r="B13" s="4" t="n"/>
      <c r="C13" s="4" t="n"/>
      <c r="D13" s="4" t="n"/>
      <c r="E13" s="4" t="n"/>
      <c r="F13" s="10" t="n"/>
      <c r="G13" s="11" t="n"/>
      <c r="H13" s="11" t="n"/>
      <c r="I13" s="10" t="n"/>
      <c r="J13" s="13" t="n"/>
      <c r="K13" s="12">
        <f>IFERROR(IF(OR($G13="",$H13="",$H13=0),"",$G13/$H13),"")</f>
        <v/>
      </c>
      <c r="L13" s="14">
        <f>IFERROR(IF(OR($F13="",$G13="",$G13=0,$H13=""),"",$F13*$H13/$G13),"")</f>
        <v/>
      </c>
      <c r="M13" s="14">
        <f>IFERROR(IF(OR($I13="",$L13=""),"",$I13-$L13),"")</f>
        <v/>
      </c>
      <c r="N13" s="15">
        <f>IFERROR(IF(OR($L13="",$I13="",$I13=0),"",$L13/$I13),"")</f>
        <v/>
      </c>
      <c r="O13" s="14">
        <f>IFERROR(IF(OR($I13="",$J13=""),"",$I13*$J13),"")</f>
        <v/>
      </c>
      <c r="P13" s="14">
        <f>IFERROR(IF(OR($L13="",$J13=""),"",$L13*$J13),"")</f>
        <v/>
      </c>
      <c r="Q13" s="14">
        <f>IFERROR(IF(OR($O13="",$P13=""),"",$O13-$P13),"")</f>
        <v/>
      </c>
      <c r="R13" s="15">
        <f>IFERROR(IF($D13="","",INDEX(Parámetros!$B$6:$D$8,MATCH(Parámetros!$A$6,Parámetros!$A$6:$A$8,0),MATCH($D13,Parámetros!$B$5:$D$5,0))),"")</f>
        <v/>
      </c>
      <c r="S13" s="14">
        <f>IFERROR(IF(OR($I13="",$R13=""),"",$I13*(1+$R13)),"")</f>
        <v/>
      </c>
      <c r="T13" s="15">
        <f>IFERROR(IF($D13="","",INDEX(Parámetros!$B$6:$D$8,MATCH(Parámetros!$A$7,Parámetros!$A$6:$A$8,0),MATCH($D13,Parámetros!$B$5:$D$5,0))),"")</f>
        <v/>
      </c>
      <c r="U13" s="14">
        <f>IFERROR(IF(OR($I13="",$T13=""),"",$I13*(1+$T13)),"")</f>
        <v/>
      </c>
    </row>
    <row r="14">
      <c r="A14" s="9" t="n">
        <v>10</v>
      </c>
      <c r="B14" s="4" t="n"/>
      <c r="C14" s="4" t="n"/>
      <c r="D14" s="4" t="n"/>
      <c r="E14" s="4" t="n"/>
      <c r="F14" s="10" t="n"/>
      <c r="G14" s="11" t="n"/>
      <c r="H14" s="11" t="n"/>
      <c r="I14" s="10" t="n"/>
      <c r="J14" s="13" t="n"/>
      <c r="K14" s="12">
        <f>IFERROR(IF(OR($G14="",$H14="",$H14=0),"",$G14/$H14),"")</f>
        <v/>
      </c>
      <c r="L14" s="14">
        <f>IFERROR(IF(OR($F14="",$G14="",$G14=0,$H14=""),"",$F14*$H14/$G14),"")</f>
        <v/>
      </c>
      <c r="M14" s="14">
        <f>IFERROR(IF(OR($I14="",$L14=""),"",$I14-$L14),"")</f>
        <v/>
      </c>
      <c r="N14" s="15">
        <f>IFERROR(IF(OR($L14="",$I14="",$I14=0),"",$L14/$I14),"")</f>
        <v/>
      </c>
      <c r="O14" s="14">
        <f>IFERROR(IF(OR($I14="",$J14=""),"",$I14*$J14),"")</f>
        <v/>
      </c>
      <c r="P14" s="14">
        <f>IFERROR(IF(OR($L14="",$J14=""),"",$L14*$J14),"")</f>
        <v/>
      </c>
      <c r="Q14" s="14">
        <f>IFERROR(IF(OR($O14="",$P14=""),"",$O14-$P14),"")</f>
        <v/>
      </c>
      <c r="R14" s="15">
        <f>IFERROR(IF($D14="","",INDEX(Parámetros!$B$6:$D$8,MATCH(Parámetros!$A$6,Parámetros!$A$6:$A$8,0),MATCH($D14,Parámetros!$B$5:$D$5,0))),"")</f>
        <v/>
      </c>
      <c r="S14" s="14">
        <f>IFERROR(IF(OR($I14="",$R14=""),"",$I14*(1+$R14)),"")</f>
        <v/>
      </c>
      <c r="T14" s="15">
        <f>IFERROR(IF($D14="","",INDEX(Parámetros!$B$6:$D$8,MATCH(Parámetros!$A$7,Parámetros!$A$6:$A$8,0),MATCH($D14,Parámetros!$B$5:$D$5,0))),"")</f>
        <v/>
      </c>
      <c r="U14" s="14">
        <f>IFERROR(IF(OR($I14="",$T14=""),"",$I14*(1+$T14)),"")</f>
        <v/>
      </c>
    </row>
    <row r="15">
      <c r="A15" s="9" t="n">
        <v>11</v>
      </c>
      <c r="B15" s="4" t="n"/>
      <c r="C15" s="4" t="n"/>
      <c r="D15" s="4" t="n"/>
      <c r="E15" s="4" t="n"/>
      <c r="F15" s="10" t="n"/>
      <c r="G15" s="11" t="n"/>
      <c r="H15" s="11" t="n"/>
      <c r="I15" s="10" t="n"/>
      <c r="J15" s="13" t="n"/>
      <c r="K15" s="12">
        <f>IFERROR(IF(OR($G15="",$H15="",$H15=0),"",$G15/$H15),"")</f>
        <v/>
      </c>
      <c r="L15" s="14">
        <f>IFERROR(IF(OR($F15="",$G15="",$G15=0,$H15=""),"",$F15*$H15/$G15),"")</f>
        <v/>
      </c>
      <c r="M15" s="14">
        <f>IFERROR(IF(OR($I15="",$L15=""),"",$I15-$L15),"")</f>
        <v/>
      </c>
      <c r="N15" s="15">
        <f>IFERROR(IF(OR($L15="",$I15="",$I15=0),"",$L15/$I15),"")</f>
        <v/>
      </c>
      <c r="O15" s="14">
        <f>IFERROR(IF(OR($I15="",$J15=""),"",$I15*$J15),"")</f>
        <v/>
      </c>
      <c r="P15" s="14">
        <f>IFERROR(IF(OR($L15="",$J15=""),"",$L15*$J15),"")</f>
        <v/>
      </c>
      <c r="Q15" s="14">
        <f>IFERROR(IF(OR($O15="",$P15=""),"",$O15-$P15),"")</f>
        <v/>
      </c>
      <c r="R15" s="15">
        <f>IFERROR(IF($D15="","",INDEX(Parámetros!$B$6:$D$8,MATCH(Parámetros!$A$6,Parámetros!$A$6:$A$8,0),MATCH($D15,Parámetros!$B$5:$D$5,0))),"")</f>
        <v/>
      </c>
      <c r="S15" s="14">
        <f>IFERROR(IF(OR($I15="",$R15=""),"",$I15*(1+$R15)),"")</f>
        <v/>
      </c>
      <c r="T15" s="15">
        <f>IFERROR(IF($D15="","",INDEX(Parámetros!$B$6:$D$8,MATCH(Parámetros!$A$7,Parámetros!$A$6:$A$8,0),MATCH($D15,Parámetros!$B$5:$D$5,0))),"")</f>
        <v/>
      </c>
      <c r="U15" s="14">
        <f>IFERROR(IF(OR($I15="",$T15=""),"",$I15*(1+$T15)),"")</f>
        <v/>
      </c>
    </row>
    <row r="16">
      <c r="A16" s="9" t="n">
        <v>12</v>
      </c>
      <c r="B16" s="4" t="n"/>
      <c r="C16" s="4" t="n"/>
      <c r="D16" s="4" t="n"/>
      <c r="E16" s="4" t="n"/>
      <c r="F16" s="10" t="n"/>
      <c r="G16" s="11" t="n"/>
      <c r="H16" s="11" t="n"/>
      <c r="I16" s="10" t="n"/>
      <c r="J16" s="13" t="n"/>
      <c r="K16" s="12">
        <f>IFERROR(IF(OR($G16="",$H16="",$H16=0),"",$G16/$H16),"")</f>
        <v/>
      </c>
      <c r="L16" s="14">
        <f>IFERROR(IF(OR($F16="",$G16="",$G16=0,$H16=""),"",$F16*$H16/$G16),"")</f>
        <v/>
      </c>
      <c r="M16" s="14">
        <f>IFERROR(IF(OR($I16="",$L16=""),"",$I16-$L16),"")</f>
        <v/>
      </c>
      <c r="N16" s="15">
        <f>IFERROR(IF(OR($L16="",$I16="",$I16=0),"",$L16/$I16),"")</f>
        <v/>
      </c>
      <c r="O16" s="14">
        <f>IFERROR(IF(OR($I16="",$J16=""),"",$I16*$J16),"")</f>
        <v/>
      </c>
      <c r="P16" s="14">
        <f>IFERROR(IF(OR($L16="",$J16=""),"",$L16*$J16),"")</f>
        <v/>
      </c>
      <c r="Q16" s="14">
        <f>IFERROR(IF(OR($O16="",$P16=""),"",$O16-$P16),"")</f>
        <v/>
      </c>
      <c r="R16" s="15">
        <f>IFERROR(IF($D16="","",INDEX(Parámetros!$B$6:$D$8,MATCH(Parámetros!$A$6,Parámetros!$A$6:$A$8,0),MATCH($D16,Parámetros!$B$5:$D$5,0))),"")</f>
        <v/>
      </c>
      <c r="S16" s="14">
        <f>IFERROR(IF(OR($I16="",$R16=""),"",$I16*(1+$R16)),"")</f>
        <v/>
      </c>
      <c r="T16" s="15">
        <f>IFERROR(IF($D16="","",INDEX(Parámetros!$B$6:$D$8,MATCH(Parámetros!$A$7,Parámetros!$A$6:$A$8,0),MATCH($D16,Parámetros!$B$5:$D$5,0))),"")</f>
        <v/>
      </c>
      <c r="U16" s="14">
        <f>IFERROR(IF(OR($I16="",$T16=""),"",$I16*(1+$T16)),"")</f>
        <v/>
      </c>
    </row>
    <row r="17">
      <c r="A17" s="9" t="n">
        <v>13</v>
      </c>
      <c r="B17" s="4" t="n"/>
      <c r="C17" s="4" t="n"/>
      <c r="D17" s="4" t="n"/>
      <c r="E17" s="4" t="n"/>
      <c r="F17" s="10" t="n"/>
      <c r="G17" s="11" t="n"/>
      <c r="H17" s="11" t="n"/>
      <c r="I17" s="10" t="n"/>
      <c r="J17" s="13" t="n"/>
      <c r="K17" s="12">
        <f>IFERROR(IF(OR($G17="",$H17="",$H17=0),"",$G17/$H17),"")</f>
        <v/>
      </c>
      <c r="L17" s="14">
        <f>IFERROR(IF(OR($F17="",$G17="",$G17=0,$H17=""),"",$F17*$H17/$G17),"")</f>
        <v/>
      </c>
      <c r="M17" s="14">
        <f>IFERROR(IF(OR($I17="",$L17=""),"",$I17-$L17),"")</f>
        <v/>
      </c>
      <c r="N17" s="15">
        <f>IFERROR(IF(OR($L17="",$I17="",$I17=0),"",$L17/$I17),"")</f>
        <v/>
      </c>
      <c r="O17" s="14">
        <f>IFERROR(IF(OR($I17="",$J17=""),"",$I17*$J17),"")</f>
        <v/>
      </c>
      <c r="P17" s="14">
        <f>IFERROR(IF(OR($L17="",$J17=""),"",$L17*$J17),"")</f>
        <v/>
      </c>
      <c r="Q17" s="14">
        <f>IFERROR(IF(OR($O17="",$P17=""),"",$O17-$P17),"")</f>
        <v/>
      </c>
      <c r="R17" s="15">
        <f>IFERROR(IF($D17="","",INDEX(Parámetros!$B$6:$D$8,MATCH(Parámetros!$A$6,Parámetros!$A$6:$A$8,0),MATCH($D17,Parámetros!$B$5:$D$5,0))),"")</f>
        <v/>
      </c>
      <c r="S17" s="14">
        <f>IFERROR(IF(OR($I17="",$R17=""),"",$I17*(1+$R17)),"")</f>
        <v/>
      </c>
      <c r="T17" s="15">
        <f>IFERROR(IF($D17="","",INDEX(Parámetros!$B$6:$D$8,MATCH(Parámetros!$A$7,Parámetros!$A$6:$A$8,0),MATCH($D17,Parámetros!$B$5:$D$5,0))),"")</f>
        <v/>
      </c>
      <c r="U17" s="14">
        <f>IFERROR(IF(OR($I17="",$T17=""),"",$I17*(1+$T17)),"")</f>
        <v/>
      </c>
    </row>
    <row r="18">
      <c r="A18" s="9" t="n">
        <v>14</v>
      </c>
      <c r="B18" s="4" t="n"/>
      <c r="C18" s="4" t="n"/>
      <c r="D18" s="4" t="n"/>
      <c r="E18" s="4" t="n"/>
      <c r="F18" s="10" t="n"/>
      <c r="G18" s="11" t="n"/>
      <c r="H18" s="11" t="n"/>
      <c r="I18" s="10" t="n"/>
      <c r="J18" s="13" t="n"/>
      <c r="K18" s="12">
        <f>IFERROR(IF(OR($G18="",$H18="",$H18=0),"",$G18/$H18),"")</f>
        <v/>
      </c>
      <c r="L18" s="14">
        <f>IFERROR(IF(OR($F18="",$G18="",$G18=0,$H18=""),"",$F18*$H18/$G18),"")</f>
        <v/>
      </c>
      <c r="M18" s="14">
        <f>IFERROR(IF(OR($I18="",$L18=""),"",$I18-$L18),"")</f>
        <v/>
      </c>
      <c r="N18" s="15">
        <f>IFERROR(IF(OR($L18="",$I18="",$I18=0),"",$L18/$I18),"")</f>
        <v/>
      </c>
      <c r="O18" s="14">
        <f>IFERROR(IF(OR($I18="",$J18=""),"",$I18*$J18),"")</f>
        <v/>
      </c>
      <c r="P18" s="14">
        <f>IFERROR(IF(OR($L18="",$J18=""),"",$L18*$J18),"")</f>
        <v/>
      </c>
      <c r="Q18" s="14">
        <f>IFERROR(IF(OR($O18="",$P18=""),"",$O18-$P18),"")</f>
        <v/>
      </c>
      <c r="R18" s="15">
        <f>IFERROR(IF($D18="","",INDEX(Parámetros!$B$6:$D$8,MATCH(Parámetros!$A$6,Parámetros!$A$6:$A$8,0),MATCH($D18,Parámetros!$B$5:$D$5,0))),"")</f>
        <v/>
      </c>
      <c r="S18" s="14">
        <f>IFERROR(IF(OR($I18="",$R18=""),"",$I18*(1+$R18)),"")</f>
        <v/>
      </c>
      <c r="T18" s="15">
        <f>IFERROR(IF($D18="","",INDEX(Parámetros!$B$6:$D$8,MATCH(Parámetros!$A$7,Parámetros!$A$6:$A$8,0),MATCH($D18,Parámetros!$B$5:$D$5,0))),"")</f>
        <v/>
      </c>
      <c r="U18" s="14">
        <f>IFERROR(IF(OR($I18="",$T18=""),"",$I18*(1+$T18)),"")</f>
        <v/>
      </c>
    </row>
    <row r="19">
      <c r="A19" s="9" t="n">
        <v>15</v>
      </c>
      <c r="B19" s="4" t="n"/>
      <c r="C19" s="4" t="n"/>
      <c r="D19" s="4" t="n"/>
      <c r="E19" s="4" t="n"/>
      <c r="F19" s="10" t="n"/>
      <c r="G19" s="11" t="n"/>
      <c r="H19" s="11" t="n"/>
      <c r="I19" s="10" t="n"/>
      <c r="J19" s="13" t="n"/>
      <c r="K19" s="12">
        <f>IFERROR(IF(OR($G19="",$H19="",$H19=0),"",$G19/$H19),"")</f>
        <v/>
      </c>
      <c r="L19" s="14">
        <f>IFERROR(IF(OR($F19="",$G19="",$G19=0,$H19=""),"",$F19*$H19/$G19),"")</f>
        <v/>
      </c>
      <c r="M19" s="14">
        <f>IFERROR(IF(OR($I19="",$L19=""),"",$I19-$L19),"")</f>
        <v/>
      </c>
      <c r="N19" s="15">
        <f>IFERROR(IF(OR($L19="",$I19="",$I19=0),"",$L19/$I19),"")</f>
        <v/>
      </c>
      <c r="O19" s="14">
        <f>IFERROR(IF(OR($I19="",$J19=""),"",$I19*$J19),"")</f>
        <v/>
      </c>
      <c r="P19" s="14">
        <f>IFERROR(IF(OR($L19="",$J19=""),"",$L19*$J19),"")</f>
        <v/>
      </c>
      <c r="Q19" s="14">
        <f>IFERROR(IF(OR($O19="",$P19=""),"",$O19-$P19),"")</f>
        <v/>
      </c>
      <c r="R19" s="15">
        <f>IFERROR(IF($D19="","",INDEX(Parámetros!$B$6:$D$8,MATCH(Parámetros!$A$6,Parámetros!$A$6:$A$8,0),MATCH($D19,Parámetros!$B$5:$D$5,0))),"")</f>
        <v/>
      </c>
      <c r="S19" s="14">
        <f>IFERROR(IF(OR($I19="",$R19=""),"",$I19*(1+$R19)),"")</f>
        <v/>
      </c>
      <c r="T19" s="15">
        <f>IFERROR(IF($D19="","",INDEX(Parámetros!$B$6:$D$8,MATCH(Parámetros!$A$7,Parámetros!$A$6:$A$8,0),MATCH($D19,Parámetros!$B$5:$D$5,0))),"")</f>
        <v/>
      </c>
      <c r="U19" s="14">
        <f>IFERROR(IF(OR($I19="",$T19=""),"",$I19*(1+$T19)),"")</f>
        <v/>
      </c>
    </row>
    <row r="20">
      <c r="A20" s="16" t="n"/>
      <c r="B20" s="16" t="inlineStr">
        <is>
          <t>TOTAL CERVEZAS Y REFRESCOS</t>
        </is>
      </c>
      <c r="C20" s="16" t="n"/>
      <c r="D20" s="16" t="n"/>
      <c r="E20" s="16" t="n"/>
      <c r="F20" s="16" t="n"/>
      <c r="G20" s="16" t="n"/>
      <c r="H20" s="16" t="n"/>
      <c r="I20" s="16" t="n"/>
      <c r="J20" s="17">
        <f>IF(COUNT(J5:J19)=0,"",SUM(J5:J19))</f>
        <v>6360.0</v>
      </c>
      <c r="K20" s="16" t="n"/>
      <c r="L20" s="16" t="n"/>
      <c r="M20" s="16" t="n"/>
      <c r="N20" s="19">
        <f>IFERROR(IF(OR($O$20="",$O$20=0,$P$20=""),"",$P$20/$O$20),"")</f>
        <v>0.2537739488234538</v>
      </c>
      <c r="O20" s="18">
        <f>IF(COUNT(O5:O19)=0,"",SUM(O5:O19))</f>
        <v>15554.0</v>
      </c>
      <c r="P20" s="18">
        <f>IF(COUNT(P5:P19)=0,"",SUM(P5:P19))</f>
        <v>3947.2000000000003</v>
      </c>
      <c r="Q20" s="18">
        <f>IF(COUNT(Q5:Q19)=0,"",SUM(Q5:Q19))</f>
        <v>11606.8</v>
      </c>
      <c r="R20" s="16" t="n"/>
      <c r="S20" s="16" t="n"/>
      <c r="T20" s="16" t="n"/>
      <c r="U20" s="16" t="n"/>
    </row>
    <row r="21"/>
    <row r="22">
      <c r="B22" s="6" t="inlineStr">
        <is>
          <t>Objetivo de beverage cost de cervezas y refrescos (%)</t>
        </is>
      </c>
      <c r="E22" s="20">
        <f>IF(Parámetros!$B$18="","",Parámetros!$B$18)</f>
        <v>0.22</v>
      </c>
    </row>
    <row r="23"/>
    <row r="24">
      <c r="B24" t="inlineStr">
        <is>
          <t>Las dos primeras filas son el MISMO barril servido en caña de 25 cl y en jarra de 50 cl: el coste por servicio se dobla, el precio no siempre. Míralo antes de poner la jarra en la carta.</t>
        </is>
      </c>
    </row>
    <row r="25">
      <c r="B25" t="inlineStr">
        <is>
          <t>El zumo natural se mide en mililitros porque su unidad de compra son kilos de naranja: 1 kg da unos 1.000 ml de zumo y el servicio es de 250 ml. Ajusta el rendimiento con tu exprimidor.</t>
        </is>
      </c>
    </row>
  </sheetData>
  <sheetProtection selectLockedCells="0" selectUnlockedCells="0" sheet="1" objects="0" insertRows="0" insertHyperlinks="1" autoFilter="1" scenarios="0" formatColumns="0" deleteColumns="1" insertColumns="1" pivotTables="1" deleteRows="1" formatCells="1" formatRows="0" sort="0"/>
  <conditionalFormatting sqref="N5:N19">
    <cfRule type="expression" priority="1" dxfId="0" stopIfTrue="1">
      <formula>=AND(ISNUMBER($N5),ISNUMBER($E$22),$N5&gt;$E$22)</formula>
    </cfRule>
    <cfRule type="expression" priority="2" dxfId="1" stopIfTrue="1">
      <formula>=AND(ISNUMBER($N5),ISNUMBER($E$22),$N5&lt;=$E$22)</formula>
    </cfRule>
  </conditionalFormatting>
  <conditionalFormatting sqref="N20">
    <cfRule type="expression" priority="3" dxfId="0" stopIfTrue="1">
      <formula>=AND(ISNUMBER($N20),ISNUMBER($E$22),$N20&gt;$E$22)</formula>
    </cfRule>
    <cfRule type="expression" priority="4" dxfId="1" stopIfTrue="1">
      <formula>=AND(ISNUMBER($N20),ISNUMBER($E$22),$N20&lt;=$E$22)</formula>
    </cfRule>
  </conditionalFormatting>
  <dataValidations count="5">
    <dataValidation sqref="D5 D6 D7 D8 D9 D10 D11 D12 D13 D14 D15 D16 D17 D18 D19" showDropDown="0" showInputMessage="0" showErrorMessage="1" allowBlank="1" errorTitle="Tipo a efectos de IVA" error="Elige un valor de la lista: Comida, Refresco/azucarada, Bebida alcohólica" type="list">
      <formula1>"Comida,Refresco/azucarada,Bebida alcohólica"</formula1>
    </dataValidation>
    <dataValidation sqref="E5 E6 E7 E8 E9 E10 E11 E12 E13 E14 E15 E16 E17 E18 E19" showDropDown="0" showInputMessage="0" showErrorMessage="1" allowBlank="1" errorTitle="Unidad de medida" error="Elige un valor de la lista: cl, ml, g" type="list">
      <formula1>"cl,ml,g"</formula1>
    </dataValidation>
    <dataValidation sqref="F5 F6 F7 F8 F9 F10 F11 F12 F13 F14 F15 F16 F17 F18 F19 I5 I6 I7 I8 I9 I10 I11 I12 I13 I14 I15 I16 I17 I18 I19" showDropDown="0" showInputMessage="0" showErrorMessage="1" allowBlank="1" errorTitle="Importe (€)" error="Escribe un número mayor o igual que 0." type="decimal" operator="greaterThanOrEqual">
      <formula1>0</formula1>
    </dataValidation>
    <dataValidation sqref="G5 G6 G7 G8 G9 G10 G11 G12 G13 G14 G15 G16 G17 G18 G19 H5 H6 H7 H8 H9 H10 H11 H12 H13 H14 H15 H16 H17 H18 H19" showDropDown="0" showInputMessage="0" showErrorMessage="1" allowBlank="1" errorTitle="Cantidad" error="Escribe un valor entre 0.1 y 100000." type="decimal" operator="between">
      <formula1>0.1</formula1>
      <formula2>100000</formula2>
    </dataValidation>
    <dataValidation sqref="J5 J6 J7 J8 J9 J10 J11 J12 J13 J14 J15 J16 J17 J18 J19" showDropDown="0" showInputMessage="0" showErrorMessage="1" allowBlank="1" errorTitle="Servicios vendidos" error="Escribe un número mayor o igual que 0." type="decimal" operator="greaterThanOrEqual">
      <formula1>0</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S69"/>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5" customWidth="1" min="1" max="1"/>
    <col width="30" customWidth="1" min="2" max="2"/>
    <col width="22" customWidth="1" min="3" max="3"/>
    <col width="16" customWidth="1" min="4" max="4"/>
    <col width="14" customWidth="1" min="5" max="5"/>
    <col width="15" customWidth="1" min="6" max="6"/>
    <col width="18" customWidth="1" min="7" max="7"/>
    <col width="16" customWidth="1" min="8" max="8"/>
    <col width="14" customWidth="1" min="9" max="9"/>
    <col width="15" customWidth="1" min="10" max="10"/>
    <col width="16" customWidth="1" min="11" max="11"/>
    <col width="15" customWidth="1" min="12" max="12"/>
    <col width="14" customWidth="1" min="13" max="13"/>
    <col width="14" customWidth="1" min="14" max="14"/>
    <col width="15" customWidth="1" min="15" max="15"/>
    <col width="14" customWidth="1" min="16" max="16"/>
    <col width="18" customWidth="1" min="17" max="17"/>
    <col width="13" customWidth="1" min="18" max="18"/>
    <col width="16" customWidth="1" min="19" max="19"/>
  </cols>
  <sheetData>
    <row r="1" ht="30" customHeight="1">
      <c r="A1" s="1" t="inlineStr">
        <is>
          <t>Destilados y cócteles</t>
        </is>
      </c>
    </row>
    <row r="2">
      <c r="A2" t="inlineStr">
        <is>
          <t>AI Chef Pro · aichef.pro — Guía Food Cost + Ingeniería de Menú</t>
        </is>
      </c>
    </row>
    <row r="3">
      <c r="A3" s="2" t="inlineStr">
        <is>
          <t>COMBINADOS: DESTILADO + MEZCLA</t>
        </is>
      </c>
    </row>
    <row r="4" ht="62" customHeight="1">
      <c r="A4" s="5" t="inlineStr">
        <is>
          <t>#</t>
        </is>
      </c>
      <c r="B4" s="5" t="inlineStr">
        <is>
          <t>Destilado</t>
        </is>
      </c>
      <c r="C4" s="5" t="inlineStr">
        <is>
          <t>Tipo a efectos de IVA</t>
        </is>
      </c>
      <c r="D4" s="5" t="inlineStr">
        <is>
          <t>Precio de compra de la botella, sin IVA (€)</t>
        </is>
      </c>
      <c r="E4" s="5" t="inlineStr">
        <is>
          <t>Formato de la botella (cl)</t>
        </is>
      </c>
      <c r="F4" s="5" t="inlineStr">
        <is>
          <t>Servicio de copa (cl)</t>
        </is>
      </c>
      <c r="G4" s="5" t="inlineStr">
        <is>
          <t>Coste de la mezcla por copa (€)</t>
        </is>
      </c>
      <c r="H4" s="5" t="inlineStr">
        <is>
          <t>PVP del combinado en sala, sin IVA (€)</t>
        </is>
      </c>
      <c r="I4" s="5" t="inlineStr">
        <is>
          <t>Copas vendidas al mes (n.º)</t>
        </is>
      </c>
      <c r="J4" s="5" t="inlineStr">
        <is>
          <t>Copas por botella (n.º)</t>
        </is>
      </c>
      <c r="K4" s="5" t="inlineStr">
        <is>
          <t>Coste del destilado por copa (€)</t>
        </is>
      </c>
      <c r="L4" s="5" t="inlineStr">
        <is>
          <t>Coste total por copa (€)</t>
        </is>
      </c>
      <c r="M4" s="5" t="inlineStr">
        <is>
          <t>Margen por copa (€)</t>
        </is>
      </c>
      <c r="N4" s="5" t="inlineStr">
        <is>
          <t>Beverage cost (%)</t>
        </is>
      </c>
      <c r="O4" s="5" t="inlineStr">
        <is>
          <t>Ventas del mes, sin IVA (€)</t>
        </is>
      </c>
      <c r="P4" s="5" t="inlineStr">
        <is>
          <t>Coste del mes (€)</t>
        </is>
      </c>
      <c r="Q4" s="5" t="inlineStr">
        <is>
          <t>Margen de contribución del mes (€)</t>
        </is>
      </c>
      <c r="R4" s="5" t="inlineStr">
        <is>
          <t>IVA repercutido en sala (%)</t>
        </is>
      </c>
      <c r="S4" s="5" t="inlineStr">
        <is>
          <t>PVP del combinado con IVA en sala (€)</t>
        </is>
      </c>
    </row>
    <row r="5">
      <c r="A5" s="9" t="n">
        <v>1</v>
      </c>
      <c r="B5" s="4" t="inlineStr">
        <is>
          <t>Ginebra premium</t>
        </is>
      </c>
      <c r="C5" s="4" t="inlineStr">
        <is>
          <t>Bebida alcohólica</t>
        </is>
      </c>
      <c r="D5" s="10" t="n">
        <v>16.9</v>
      </c>
      <c r="E5" s="11" t="n">
        <v>70</v>
      </c>
      <c r="F5" s="11" t="n">
        <v>5</v>
      </c>
      <c r="G5" s="10" t="n">
        <v>0.6</v>
      </c>
      <c r="H5" s="10" t="n">
        <v>8.199999999999999</v>
      </c>
      <c r="I5" s="13" t="n">
        <v>310</v>
      </c>
      <c r="J5" s="12">
        <f>IFERROR(IF(OR($E5="",$F5="",$F5=0),"",$E5/$F5),"")</f>
        <v>14.0</v>
      </c>
      <c r="K5" s="14">
        <f>IFERROR(IF(OR($D5="",$E5="",$E5=0,$F5=""),"",$D5*$F5/$E5),"")</f>
        <v>1.207142857142857</v>
      </c>
      <c r="L5" s="14">
        <f>IFERROR(IF($K5="","",$K5+IF($G5="",0,$G5)),"")</f>
        <v>1.807142857142857</v>
      </c>
      <c r="M5" s="14">
        <f>IFERROR(IF(OR($H5="",$L5=""),"",$H5-$L5),"")</f>
        <v>6.392857142857142</v>
      </c>
      <c r="N5" s="15">
        <f>IFERROR(IF(OR($L5="",$H5="",$H5=0),"",$L5/$H5),"")</f>
        <v>0.22038327526132404</v>
      </c>
      <c r="O5" s="14">
        <f>IFERROR(IF(OR($H5="",$I5=""),"",$H5*$I5),"")</f>
        <v>2542.0</v>
      </c>
      <c r="P5" s="14">
        <f>IFERROR(IF(OR($L5="",$I5=""),"",$L5*$I5),"")</f>
        <v>560.2142857142857</v>
      </c>
      <c r="Q5" s="14">
        <f>IFERROR(IF(OR($O5="",$P5=""),"",$O5-$P5),"")</f>
        <v>1981.7857142857142</v>
      </c>
      <c r="R5" s="15">
        <f>IFERROR(IF($C5="","",INDEX(Parámetros!$B$6:$D$8,MATCH(Parámetros!$A$6,Parámetros!$A$6:$A$8,0),MATCH($C5,Parámetros!$B$5:$D$5,0))),"")</f>
        <v>0.1</v>
      </c>
      <c r="S5" s="14">
        <f>IFERROR(IF(OR($H5="",$R5=""),"",$H5*(1+$R5)),"")</f>
        <v>9.02</v>
      </c>
    </row>
    <row r="6">
      <c r="A6" s="9" t="n">
        <v>2</v>
      </c>
      <c r="B6" s="4" t="inlineStr">
        <is>
          <t>Ron añejo</t>
        </is>
      </c>
      <c r="C6" s="4" t="inlineStr">
        <is>
          <t>Bebida alcohólica</t>
        </is>
      </c>
      <c r="D6" s="10" t="n">
        <v>14.2</v>
      </c>
      <c r="E6" s="11" t="n">
        <v>70</v>
      </c>
      <c r="F6" s="11" t="n">
        <v>5</v>
      </c>
      <c r="G6" s="10" t="n">
        <v>0.55</v>
      </c>
      <c r="H6" s="10" t="n">
        <v>7.5</v>
      </c>
      <c r="I6" s="13" t="n">
        <v>140</v>
      </c>
      <c r="J6" s="12">
        <f>IFERROR(IF(OR($E6="",$F6="",$F6=0),"",$E6/$F6),"")</f>
        <v>14.0</v>
      </c>
      <c r="K6" s="14">
        <f>IFERROR(IF(OR($D6="",$E6="",$E6=0,$F6=""),"",$D6*$F6/$E6),"")</f>
        <v>1.0142857142857142</v>
      </c>
      <c r="L6" s="14">
        <f>IFERROR(IF($K6="","",$K6+IF($G6="",0,$G6)),"")</f>
        <v>1.5642857142857143</v>
      </c>
      <c r="M6" s="14">
        <f>IFERROR(IF(OR($H6="",$L6=""),"",$H6-$L6),"")</f>
        <v>5.935714285714286</v>
      </c>
      <c r="N6" s="15">
        <f>IFERROR(IF(OR($L6="",$H6="",$H6=0),"",$L6/$H6),"")</f>
        <v>0.20857142857142857</v>
      </c>
      <c r="O6" s="14">
        <f>IFERROR(IF(OR($H6="",$I6=""),"",$H6*$I6),"")</f>
        <v>1050.0</v>
      </c>
      <c r="P6" s="14">
        <f>IFERROR(IF(OR($L6="",$I6=""),"",$L6*$I6),"")</f>
        <v>219.0</v>
      </c>
      <c r="Q6" s="14">
        <f>IFERROR(IF(OR($O6="",$P6=""),"",$O6-$P6),"")</f>
        <v>831.0</v>
      </c>
      <c r="R6" s="15">
        <f>IFERROR(IF($C6="","",INDEX(Parámetros!$B$6:$D$8,MATCH(Parámetros!$A$6,Parámetros!$A$6:$A$8,0),MATCH($C6,Parámetros!$B$5:$D$5,0))),"")</f>
        <v>0.1</v>
      </c>
      <c r="S6" s="14">
        <f>IFERROR(IF(OR($H6="",$R6=""),"",$H6*(1+$R6)),"")</f>
        <v>8.25</v>
      </c>
    </row>
    <row r="7">
      <c r="A7" s="9" t="n">
        <v>3</v>
      </c>
      <c r="B7" s="4" t="inlineStr">
        <is>
          <t>Whisky escocés 12 años</t>
        </is>
      </c>
      <c r="C7" s="4" t="inlineStr">
        <is>
          <t>Bebida alcohólica</t>
        </is>
      </c>
      <c r="D7" s="10" t="n">
        <v>22.4</v>
      </c>
      <c r="E7" s="11" t="n">
        <v>70</v>
      </c>
      <c r="F7" s="11" t="n">
        <v>5</v>
      </c>
      <c r="G7" s="10" t="n">
        <v>0.55</v>
      </c>
      <c r="H7" s="10" t="n">
        <v>8.6</v>
      </c>
      <c r="I7" s="13" t="n">
        <v>95</v>
      </c>
      <c r="J7" s="12">
        <f>IFERROR(IF(OR($E7="",$F7="",$F7=0),"",$E7/$F7),"")</f>
        <v>14.0</v>
      </c>
      <c r="K7" s="14">
        <f>IFERROR(IF(OR($D7="",$E7="",$E7=0,$F7=""),"",$D7*$F7/$E7),"")</f>
        <v>1.6</v>
      </c>
      <c r="L7" s="14">
        <f>IFERROR(IF($K7="","",$K7+IF($G7="",0,$G7)),"")</f>
        <v>2.1500000000000004</v>
      </c>
      <c r="M7" s="14">
        <f>IFERROR(IF(OR($H7="",$L7=""),"",$H7-$L7),"")</f>
        <v>6.449999999999999</v>
      </c>
      <c r="N7" s="15">
        <f>IFERROR(IF(OR($L7="",$H7="",$H7=0),"",$L7/$H7),"")</f>
        <v>0.25000000000000006</v>
      </c>
      <c r="O7" s="14">
        <f>IFERROR(IF(OR($H7="",$I7=""),"",$H7*$I7),"")</f>
        <v>817.0</v>
      </c>
      <c r="P7" s="14">
        <f>IFERROR(IF(OR($L7="",$I7=""),"",$L7*$I7),"")</f>
        <v>204.25000000000003</v>
      </c>
      <c r="Q7" s="14">
        <f>IFERROR(IF(OR($O7="",$P7=""),"",$O7-$P7),"")</f>
        <v>612.75</v>
      </c>
      <c r="R7" s="15">
        <f>IFERROR(IF($C7="","",INDEX(Parámetros!$B$6:$D$8,MATCH(Parámetros!$A$6,Parámetros!$A$6:$A$8,0),MATCH($C7,Parámetros!$B$5:$D$5,0))),"")</f>
        <v>0.1</v>
      </c>
      <c r="S7" s="14">
        <f>IFERROR(IF(OR($H7="",$R7=""),"",$H7*(1+$R7)),"")</f>
        <v>9.46</v>
      </c>
    </row>
    <row r="8">
      <c r="A8" s="9" t="n">
        <v>4</v>
      </c>
      <c r="B8" s="4" t="inlineStr">
        <is>
          <t>Vodka</t>
        </is>
      </c>
      <c r="C8" s="4" t="inlineStr">
        <is>
          <t>Bebida alcohólica</t>
        </is>
      </c>
      <c r="D8" s="10" t="n">
        <v>11.8</v>
      </c>
      <c r="E8" s="11" t="n">
        <v>70</v>
      </c>
      <c r="F8" s="11" t="n">
        <v>5</v>
      </c>
      <c r="G8" s="10" t="n">
        <v>0.55</v>
      </c>
      <c r="H8" s="10" t="n">
        <v>7.2</v>
      </c>
      <c r="I8" s="13" t="n">
        <v>80</v>
      </c>
      <c r="J8" s="12">
        <f>IFERROR(IF(OR($E8="",$F8="",$F8=0),"",$E8/$F8),"")</f>
        <v>14.0</v>
      </c>
      <c r="K8" s="14">
        <f>IFERROR(IF(OR($D8="",$E8="",$E8=0,$F8=""),"",$D8*$F8/$E8),"")</f>
        <v>0.8428571428571429</v>
      </c>
      <c r="L8" s="14">
        <f>IFERROR(IF($K8="","",$K8+IF($G8="",0,$G8)),"")</f>
        <v>1.3928571428571428</v>
      </c>
      <c r="M8" s="14">
        <f>IFERROR(IF(OR($H8="",$L8=""),"",$H8-$L8),"")</f>
        <v>5.807142857142857</v>
      </c>
      <c r="N8" s="15">
        <f>IFERROR(IF(OR($L8="",$H8="",$H8=0),"",$L8/$H8),"")</f>
        <v>0.19345238095238093</v>
      </c>
      <c r="O8" s="14">
        <f>IFERROR(IF(OR($H8="",$I8=""),"",$H8*$I8),"")</f>
        <v>576.0</v>
      </c>
      <c r="P8" s="14">
        <f>IFERROR(IF(OR($L8="",$I8=""),"",$L8*$I8),"")</f>
        <v>111.42857142857142</v>
      </c>
      <c r="Q8" s="14">
        <f>IFERROR(IF(OR($O8="",$P8=""),"",$O8-$P8),"")</f>
        <v>464.57142857142856</v>
      </c>
      <c r="R8" s="15">
        <f>IFERROR(IF($C8="","",INDEX(Parámetros!$B$6:$D$8,MATCH(Parámetros!$A$6,Parámetros!$A$6:$A$8,0),MATCH($C8,Parámetros!$B$5:$D$5,0))),"")</f>
        <v>0.1</v>
      </c>
      <c r="S8" s="14">
        <f>IFERROR(IF(OR($H8="",$R8=""),"",$H8*(1+$R8)),"")</f>
        <v>7.920000000000001</v>
      </c>
    </row>
    <row r="9">
      <c r="A9" s="9" t="n">
        <v>5</v>
      </c>
      <c r="B9" s="4" t="inlineStr">
        <is>
          <t>Vermut de grifo (1 L)</t>
        </is>
      </c>
      <c r="C9" s="4" t="inlineStr">
        <is>
          <t>Bebida alcohólica</t>
        </is>
      </c>
      <c r="D9" s="10" t="n">
        <v>7.9</v>
      </c>
      <c r="E9" s="11" t="n">
        <v>100</v>
      </c>
      <c r="F9" s="11" t="n">
        <v>8</v>
      </c>
      <c r="G9" s="10" t="n">
        <v>0.1</v>
      </c>
      <c r="H9" s="10" t="n">
        <v>3.6</v>
      </c>
      <c r="I9" s="13" t="n">
        <v>420</v>
      </c>
      <c r="J9" s="12">
        <f>IFERROR(IF(OR($E9="",$F9="",$F9=0),"",$E9/$F9),"")</f>
        <v>12.5</v>
      </c>
      <c r="K9" s="14">
        <f>IFERROR(IF(OR($D9="",$E9="",$E9=0,$F9=""),"",$D9*$F9/$E9),"")</f>
        <v>0.632</v>
      </c>
      <c r="L9" s="14">
        <f>IFERROR(IF($K9="","",$K9+IF($G9="",0,$G9)),"")</f>
        <v>0.732</v>
      </c>
      <c r="M9" s="14">
        <f>IFERROR(IF(OR($H9="",$L9=""),"",$H9-$L9),"")</f>
        <v>2.8680000000000003</v>
      </c>
      <c r="N9" s="15">
        <f>IFERROR(IF(OR($L9="",$H9="",$H9=0),"",$L9/$H9),"")</f>
        <v>0.2033333333333333</v>
      </c>
      <c r="O9" s="14">
        <f>IFERROR(IF(OR($H9="",$I9=""),"",$H9*$I9),"")</f>
        <v>1512.0</v>
      </c>
      <c r="P9" s="14">
        <f>IFERROR(IF(OR($L9="",$I9=""),"",$L9*$I9),"")</f>
        <v>307.44</v>
      </c>
      <c r="Q9" s="14">
        <f>IFERROR(IF(OR($O9="",$P9=""),"",$O9-$P9),"")</f>
        <v>1204.56</v>
      </c>
      <c r="R9" s="15">
        <f>IFERROR(IF($C9="","",INDEX(Parámetros!$B$6:$D$8,MATCH(Parámetros!$A$6,Parámetros!$A$6:$A$8,0),MATCH($C9,Parámetros!$B$5:$D$5,0))),"")</f>
        <v>0.1</v>
      </c>
      <c r="S9" s="14">
        <f>IFERROR(IF(OR($H9="",$R9=""),"",$H9*(1+$R9)),"")</f>
        <v>3.9600000000000004</v>
      </c>
    </row>
    <row r="10">
      <c r="A10" s="9" t="n">
        <v>6</v>
      </c>
      <c r="B10" s="4" t="n"/>
      <c r="C10" s="4" t="n"/>
      <c r="D10" s="10" t="n"/>
      <c r="E10" s="11" t="n"/>
      <c r="F10" s="11" t="n"/>
      <c r="G10" s="10" t="n"/>
      <c r="H10" s="10" t="n"/>
      <c r="I10" s="13" t="n"/>
      <c r="J10" s="12">
        <f>IFERROR(IF(OR($E10="",$F10="",$F10=0),"",$E10/$F10),"")</f>
        <v/>
      </c>
      <c r="K10" s="14">
        <f>IFERROR(IF(OR($D10="",$E10="",$E10=0,$F10=""),"",$D10*$F10/$E10),"")</f>
        <v/>
      </c>
      <c r="L10" s="14">
        <f>IFERROR(IF($K10="","",$K10+IF($G10="",0,$G10)),"")</f>
        <v/>
      </c>
      <c r="M10" s="14">
        <f>IFERROR(IF(OR($H10="",$L10=""),"",$H10-$L10),"")</f>
        <v/>
      </c>
      <c r="N10" s="15">
        <f>IFERROR(IF(OR($L10="",$H10="",$H10=0),"",$L10/$H10),"")</f>
        <v/>
      </c>
      <c r="O10" s="14">
        <f>IFERROR(IF(OR($H10="",$I10=""),"",$H10*$I10),"")</f>
        <v/>
      </c>
      <c r="P10" s="14">
        <f>IFERROR(IF(OR($L10="",$I10=""),"",$L10*$I10),"")</f>
        <v/>
      </c>
      <c r="Q10" s="14">
        <f>IFERROR(IF(OR($O10="",$P10=""),"",$O10-$P10),"")</f>
        <v/>
      </c>
      <c r="R10" s="15">
        <f>IFERROR(IF($C10="","",INDEX(Parámetros!$B$6:$D$8,MATCH(Parámetros!$A$6,Parámetros!$A$6:$A$8,0),MATCH($C10,Parámetros!$B$5:$D$5,0))),"")</f>
        <v/>
      </c>
      <c r="S10" s="14">
        <f>IFERROR(IF(OR($H10="",$R10=""),"",$H10*(1+$R10)),"")</f>
        <v/>
      </c>
    </row>
    <row r="11">
      <c r="A11" s="9" t="n">
        <v>7</v>
      </c>
      <c r="B11" s="4" t="n"/>
      <c r="C11" s="4" t="n"/>
      <c r="D11" s="10" t="n"/>
      <c r="E11" s="11" t="n"/>
      <c r="F11" s="11" t="n"/>
      <c r="G11" s="10" t="n"/>
      <c r="H11" s="10" t="n"/>
      <c r="I11" s="13" t="n"/>
      <c r="J11" s="12">
        <f>IFERROR(IF(OR($E11="",$F11="",$F11=0),"",$E11/$F11),"")</f>
        <v/>
      </c>
      <c r="K11" s="14">
        <f>IFERROR(IF(OR($D11="",$E11="",$E11=0,$F11=""),"",$D11*$F11/$E11),"")</f>
        <v/>
      </c>
      <c r="L11" s="14">
        <f>IFERROR(IF($K11="","",$K11+IF($G11="",0,$G11)),"")</f>
        <v/>
      </c>
      <c r="M11" s="14">
        <f>IFERROR(IF(OR($H11="",$L11=""),"",$H11-$L11),"")</f>
        <v/>
      </c>
      <c r="N11" s="15">
        <f>IFERROR(IF(OR($L11="",$H11="",$H11=0),"",$L11/$H11),"")</f>
        <v/>
      </c>
      <c r="O11" s="14">
        <f>IFERROR(IF(OR($H11="",$I11=""),"",$H11*$I11),"")</f>
        <v/>
      </c>
      <c r="P11" s="14">
        <f>IFERROR(IF(OR($L11="",$I11=""),"",$L11*$I11),"")</f>
        <v/>
      </c>
      <c r="Q11" s="14">
        <f>IFERROR(IF(OR($O11="",$P11=""),"",$O11-$P11),"")</f>
        <v/>
      </c>
      <c r="R11" s="15">
        <f>IFERROR(IF($C11="","",INDEX(Parámetros!$B$6:$D$8,MATCH(Parámetros!$A$6,Parámetros!$A$6:$A$8,0),MATCH($C11,Parámetros!$B$5:$D$5,0))),"")</f>
        <v/>
      </c>
      <c r="S11" s="14">
        <f>IFERROR(IF(OR($H11="",$R11=""),"",$H11*(1+$R11)),"")</f>
        <v/>
      </c>
    </row>
    <row r="12">
      <c r="A12" s="9" t="n">
        <v>8</v>
      </c>
      <c r="B12" s="4" t="n"/>
      <c r="C12" s="4" t="n"/>
      <c r="D12" s="10" t="n"/>
      <c r="E12" s="11" t="n"/>
      <c r="F12" s="11" t="n"/>
      <c r="G12" s="10" t="n"/>
      <c r="H12" s="10" t="n"/>
      <c r="I12" s="13" t="n"/>
      <c r="J12" s="12">
        <f>IFERROR(IF(OR($E12="",$F12="",$F12=0),"",$E12/$F12),"")</f>
        <v/>
      </c>
      <c r="K12" s="14">
        <f>IFERROR(IF(OR($D12="",$E12="",$E12=0,$F12=""),"",$D12*$F12/$E12),"")</f>
        <v/>
      </c>
      <c r="L12" s="14">
        <f>IFERROR(IF($K12="","",$K12+IF($G12="",0,$G12)),"")</f>
        <v/>
      </c>
      <c r="M12" s="14">
        <f>IFERROR(IF(OR($H12="",$L12=""),"",$H12-$L12),"")</f>
        <v/>
      </c>
      <c r="N12" s="15">
        <f>IFERROR(IF(OR($L12="",$H12="",$H12=0),"",$L12/$H12),"")</f>
        <v/>
      </c>
      <c r="O12" s="14">
        <f>IFERROR(IF(OR($H12="",$I12=""),"",$H12*$I12),"")</f>
        <v/>
      </c>
      <c r="P12" s="14">
        <f>IFERROR(IF(OR($L12="",$I12=""),"",$L12*$I12),"")</f>
        <v/>
      </c>
      <c r="Q12" s="14">
        <f>IFERROR(IF(OR($O12="",$P12=""),"",$O12-$P12),"")</f>
        <v/>
      </c>
      <c r="R12" s="15">
        <f>IFERROR(IF($C12="","",INDEX(Parámetros!$B$6:$D$8,MATCH(Parámetros!$A$6,Parámetros!$A$6:$A$8,0),MATCH($C12,Parámetros!$B$5:$D$5,0))),"")</f>
        <v/>
      </c>
      <c r="S12" s="14">
        <f>IFERROR(IF(OR($H12="",$R12=""),"",$H12*(1+$R12)),"")</f>
        <v/>
      </c>
    </row>
    <row r="13">
      <c r="A13" s="9" t="n">
        <v>9</v>
      </c>
      <c r="B13" s="4" t="n"/>
      <c r="C13" s="4" t="n"/>
      <c r="D13" s="10" t="n"/>
      <c r="E13" s="11" t="n"/>
      <c r="F13" s="11" t="n"/>
      <c r="G13" s="10" t="n"/>
      <c r="H13" s="10" t="n"/>
      <c r="I13" s="13" t="n"/>
      <c r="J13" s="12">
        <f>IFERROR(IF(OR($E13="",$F13="",$F13=0),"",$E13/$F13),"")</f>
        <v/>
      </c>
      <c r="K13" s="14">
        <f>IFERROR(IF(OR($D13="",$E13="",$E13=0,$F13=""),"",$D13*$F13/$E13),"")</f>
        <v/>
      </c>
      <c r="L13" s="14">
        <f>IFERROR(IF($K13="","",$K13+IF($G13="",0,$G13)),"")</f>
        <v/>
      </c>
      <c r="M13" s="14">
        <f>IFERROR(IF(OR($H13="",$L13=""),"",$H13-$L13),"")</f>
        <v/>
      </c>
      <c r="N13" s="15">
        <f>IFERROR(IF(OR($L13="",$H13="",$H13=0),"",$L13/$H13),"")</f>
        <v/>
      </c>
      <c r="O13" s="14">
        <f>IFERROR(IF(OR($H13="",$I13=""),"",$H13*$I13),"")</f>
        <v/>
      </c>
      <c r="P13" s="14">
        <f>IFERROR(IF(OR($L13="",$I13=""),"",$L13*$I13),"")</f>
        <v/>
      </c>
      <c r="Q13" s="14">
        <f>IFERROR(IF(OR($O13="",$P13=""),"",$O13-$P13),"")</f>
        <v/>
      </c>
      <c r="R13" s="15">
        <f>IFERROR(IF($C13="","",INDEX(Parámetros!$B$6:$D$8,MATCH(Parámetros!$A$6,Parámetros!$A$6:$A$8,0),MATCH($C13,Parámetros!$B$5:$D$5,0))),"")</f>
        <v/>
      </c>
      <c r="S13" s="14">
        <f>IFERROR(IF(OR($H13="",$R13=""),"",$H13*(1+$R13)),"")</f>
        <v/>
      </c>
    </row>
    <row r="14">
      <c r="A14" s="9" t="n">
        <v>10</v>
      </c>
      <c r="B14" s="4" t="n"/>
      <c r="C14" s="4" t="n"/>
      <c r="D14" s="10" t="n"/>
      <c r="E14" s="11" t="n"/>
      <c r="F14" s="11" t="n"/>
      <c r="G14" s="10" t="n"/>
      <c r="H14" s="10" t="n"/>
      <c r="I14" s="13" t="n"/>
      <c r="J14" s="12">
        <f>IFERROR(IF(OR($E14="",$F14="",$F14=0),"",$E14/$F14),"")</f>
        <v/>
      </c>
      <c r="K14" s="14">
        <f>IFERROR(IF(OR($D14="",$E14="",$E14=0,$F14=""),"",$D14*$F14/$E14),"")</f>
        <v/>
      </c>
      <c r="L14" s="14">
        <f>IFERROR(IF($K14="","",$K14+IF($G14="",0,$G14)),"")</f>
        <v/>
      </c>
      <c r="M14" s="14">
        <f>IFERROR(IF(OR($H14="",$L14=""),"",$H14-$L14),"")</f>
        <v/>
      </c>
      <c r="N14" s="15">
        <f>IFERROR(IF(OR($L14="",$H14="",$H14=0),"",$L14/$H14),"")</f>
        <v/>
      </c>
      <c r="O14" s="14">
        <f>IFERROR(IF(OR($H14="",$I14=""),"",$H14*$I14),"")</f>
        <v/>
      </c>
      <c r="P14" s="14">
        <f>IFERROR(IF(OR($L14="",$I14=""),"",$L14*$I14),"")</f>
        <v/>
      </c>
      <c r="Q14" s="14">
        <f>IFERROR(IF(OR($O14="",$P14=""),"",$O14-$P14),"")</f>
        <v/>
      </c>
      <c r="R14" s="15">
        <f>IFERROR(IF($C14="","",INDEX(Parámetros!$B$6:$D$8,MATCH(Parámetros!$A$6,Parámetros!$A$6:$A$8,0),MATCH($C14,Parámetros!$B$5:$D$5,0))),"")</f>
        <v/>
      </c>
      <c r="S14" s="14">
        <f>IFERROR(IF(OR($H14="",$R14=""),"",$H14*(1+$R14)),"")</f>
        <v/>
      </c>
    </row>
    <row r="15">
      <c r="A15" s="9" t="n">
        <v>11</v>
      </c>
      <c r="B15" s="4" t="n"/>
      <c r="C15" s="4" t="n"/>
      <c r="D15" s="10" t="n"/>
      <c r="E15" s="11" t="n"/>
      <c r="F15" s="11" t="n"/>
      <c r="G15" s="10" t="n"/>
      <c r="H15" s="10" t="n"/>
      <c r="I15" s="13" t="n"/>
      <c r="J15" s="12">
        <f>IFERROR(IF(OR($E15="",$F15="",$F15=0),"",$E15/$F15),"")</f>
        <v/>
      </c>
      <c r="K15" s="14">
        <f>IFERROR(IF(OR($D15="",$E15="",$E15=0,$F15=""),"",$D15*$F15/$E15),"")</f>
        <v/>
      </c>
      <c r="L15" s="14">
        <f>IFERROR(IF($K15="","",$K15+IF($G15="",0,$G15)),"")</f>
        <v/>
      </c>
      <c r="M15" s="14">
        <f>IFERROR(IF(OR($H15="",$L15=""),"",$H15-$L15),"")</f>
        <v/>
      </c>
      <c r="N15" s="15">
        <f>IFERROR(IF(OR($L15="",$H15="",$H15=0),"",$L15/$H15),"")</f>
        <v/>
      </c>
      <c r="O15" s="14">
        <f>IFERROR(IF(OR($H15="",$I15=""),"",$H15*$I15),"")</f>
        <v/>
      </c>
      <c r="P15" s="14">
        <f>IFERROR(IF(OR($L15="",$I15=""),"",$L15*$I15),"")</f>
        <v/>
      </c>
      <c r="Q15" s="14">
        <f>IFERROR(IF(OR($O15="",$P15=""),"",$O15-$P15),"")</f>
        <v/>
      </c>
      <c r="R15" s="15">
        <f>IFERROR(IF($C15="","",INDEX(Parámetros!$B$6:$D$8,MATCH(Parámetros!$A$6,Parámetros!$A$6:$A$8,0),MATCH($C15,Parámetros!$B$5:$D$5,0))),"")</f>
        <v/>
      </c>
      <c r="S15" s="14">
        <f>IFERROR(IF(OR($H15="",$R15=""),"",$H15*(1+$R15)),"")</f>
        <v/>
      </c>
    </row>
    <row r="16">
      <c r="A16" s="9" t="n">
        <v>12</v>
      </c>
      <c r="B16" s="4" t="n"/>
      <c r="C16" s="4" t="n"/>
      <c r="D16" s="10" t="n"/>
      <c r="E16" s="11" t="n"/>
      <c r="F16" s="11" t="n"/>
      <c r="G16" s="10" t="n"/>
      <c r="H16" s="10" t="n"/>
      <c r="I16" s="13" t="n"/>
      <c r="J16" s="12">
        <f>IFERROR(IF(OR($E16="",$F16="",$F16=0),"",$E16/$F16),"")</f>
        <v/>
      </c>
      <c r="K16" s="14">
        <f>IFERROR(IF(OR($D16="",$E16="",$E16=0,$F16=""),"",$D16*$F16/$E16),"")</f>
        <v/>
      </c>
      <c r="L16" s="14">
        <f>IFERROR(IF($K16="","",$K16+IF($G16="",0,$G16)),"")</f>
        <v/>
      </c>
      <c r="M16" s="14">
        <f>IFERROR(IF(OR($H16="",$L16=""),"",$H16-$L16),"")</f>
        <v/>
      </c>
      <c r="N16" s="15">
        <f>IFERROR(IF(OR($L16="",$H16="",$H16=0),"",$L16/$H16),"")</f>
        <v/>
      </c>
      <c r="O16" s="14">
        <f>IFERROR(IF(OR($H16="",$I16=""),"",$H16*$I16),"")</f>
        <v/>
      </c>
      <c r="P16" s="14">
        <f>IFERROR(IF(OR($L16="",$I16=""),"",$L16*$I16),"")</f>
        <v/>
      </c>
      <c r="Q16" s="14">
        <f>IFERROR(IF(OR($O16="",$P16=""),"",$O16-$P16),"")</f>
        <v/>
      </c>
      <c r="R16" s="15">
        <f>IFERROR(IF($C16="","",INDEX(Parámetros!$B$6:$D$8,MATCH(Parámetros!$A$6,Parámetros!$A$6:$A$8,0),MATCH($C16,Parámetros!$B$5:$D$5,0))),"")</f>
        <v/>
      </c>
      <c r="S16" s="14">
        <f>IFERROR(IF(OR($H16="",$R16=""),"",$H16*(1+$R16)),"")</f>
        <v/>
      </c>
    </row>
    <row r="17">
      <c r="A17" s="16" t="n"/>
      <c r="B17" s="16" t="inlineStr">
        <is>
          <t>TOTAL COMBINADOS</t>
        </is>
      </c>
      <c r="C17" s="16" t="n"/>
      <c r="D17" s="16" t="n"/>
      <c r="E17" s="16" t="n"/>
      <c r="F17" s="16" t="n"/>
      <c r="G17" s="16" t="n"/>
      <c r="H17" s="16" t="n"/>
      <c r="I17" s="17">
        <f>IF(COUNT(I5:I16)=0,"",SUM(I5:I16))</f>
        <v>1045.0</v>
      </c>
      <c r="J17" s="16" t="n"/>
      <c r="K17" s="16" t="n"/>
      <c r="L17" s="16" t="n"/>
      <c r="M17" s="16" t="n"/>
      <c r="N17" s="19">
        <f>IFERROR(IF(OR($O$17="",$O$17=0,$P$17=""),"",$P$17/$O$17),"")</f>
        <v>0.21584313639262076</v>
      </c>
      <c r="O17" s="18">
        <f>IF(COUNT(O5:O16)=0,"",SUM(O5:O16))</f>
        <v>6497.0</v>
      </c>
      <c r="P17" s="18">
        <f>IF(COUNT(P5:P16)=0,"",SUM(P5:P16))</f>
        <v>1402.3328571428572</v>
      </c>
      <c r="Q17" s="18">
        <f>IF(COUNT(Q5:Q16)=0,"",SUM(Q5:Q16))</f>
        <v>5094.667142857143</v>
      </c>
      <c r="R17" s="16" t="n"/>
      <c r="S17" s="16" t="n"/>
    </row>
    <row r="18"/>
    <row r="19">
      <c r="A19" s="2" t="inlineStr">
        <is>
          <t>CÓCTELES: COSTE INGREDIENTE A INGREDIENTE</t>
        </is>
      </c>
    </row>
    <row r="20" ht="44" customHeight="1">
      <c r="A20" s="5" t="inlineStr">
        <is>
          <t>#</t>
        </is>
      </c>
      <c r="B20" s="5" t="inlineStr">
        <is>
          <t>Cóctel</t>
        </is>
      </c>
      <c r="C20" s="5" t="inlineStr">
        <is>
          <t>Ingrediente</t>
        </is>
      </c>
      <c r="D20" s="5" t="inlineStr">
        <is>
          <t>Cantidad (cl)</t>
        </is>
      </c>
      <c r="E20" s="5" t="inlineStr">
        <is>
          <t>Precio del ingrediente (€/L)</t>
        </is>
      </c>
      <c r="F20" s="5" t="inlineStr">
        <is>
          <t>Coste de la línea (€)</t>
        </is>
      </c>
    </row>
    <row r="21">
      <c r="A21" s="9" t="n">
        <v>1</v>
      </c>
      <c r="B21" s="4" t="inlineStr">
        <is>
          <t>Gin tonic de la casa</t>
        </is>
      </c>
      <c r="C21" s="4" t="inlineStr">
        <is>
          <t>Ginebra premium</t>
        </is>
      </c>
      <c r="D21" s="11" t="n">
        <v>5</v>
      </c>
      <c r="E21" s="10" t="n">
        <v>24.14</v>
      </c>
      <c r="F21" s="14">
        <f>IFERROR(IF(OR($D21="",$E21=""),"",$D21*$E21/100),"")</f>
        <v>1.207</v>
      </c>
    </row>
    <row r="22">
      <c r="A22" s="9" t="n">
        <v>2</v>
      </c>
      <c r="B22" s="4" t="inlineStr">
        <is>
          <t>Gin tonic de la casa</t>
        </is>
      </c>
      <c r="C22" s="4" t="inlineStr">
        <is>
          <t>Tónica premium</t>
        </is>
      </c>
      <c r="D22" s="11" t="n">
        <v>20</v>
      </c>
      <c r="E22" s="10" t="n">
        <v>3</v>
      </c>
      <c r="F22" s="14">
        <f>IFERROR(IF(OR($D22="",$E22=""),"",$D22*$E22/100),"")</f>
        <v>0.6</v>
      </c>
    </row>
    <row r="23">
      <c r="A23" s="9" t="n">
        <v>3</v>
      </c>
      <c r="B23" s="4" t="inlineStr">
        <is>
          <t>Gin tonic de la casa</t>
        </is>
      </c>
      <c r="C23" s="4" t="inlineStr">
        <is>
          <t>Lima y botánicos</t>
        </is>
      </c>
      <c r="D23" s="11" t="n">
        <v>1</v>
      </c>
      <c r="E23" s="10" t="n">
        <v>12</v>
      </c>
      <c r="F23" s="14">
        <f>IFERROR(IF(OR($D23="",$E23=""),"",$D23*$E23/100),"")</f>
        <v>0.12</v>
      </c>
    </row>
    <row r="24">
      <c r="A24" s="9" t="n">
        <v>4</v>
      </c>
      <c r="B24" s="4" t="inlineStr">
        <is>
          <t>Gin tonic de la casa</t>
        </is>
      </c>
      <c r="C24" s="4" t="n"/>
      <c r="D24" s="11" t="n"/>
      <c r="E24" s="10" t="n"/>
      <c r="F24" s="14">
        <f>IFERROR(IF(OR($D24="",$E24=""),"",$D24*$E24/100),"")</f>
        <v/>
      </c>
    </row>
    <row r="25">
      <c r="A25" s="9" t="n">
        <v>1</v>
      </c>
      <c r="B25" s="4" t="inlineStr">
        <is>
          <t>Mojito</t>
        </is>
      </c>
      <c r="C25" s="4" t="inlineStr">
        <is>
          <t>Ron blanco</t>
        </is>
      </c>
      <c r="D25" s="11" t="n">
        <v>5</v>
      </c>
      <c r="E25" s="10" t="n">
        <v>17</v>
      </c>
      <c r="F25" s="14">
        <f>IFERROR(IF(OR($D25="",$E25=""),"",$D25*$E25/100),"")</f>
        <v>0.85</v>
      </c>
    </row>
    <row r="26">
      <c r="A26" s="9" t="n">
        <v>2</v>
      </c>
      <c r="B26" s="4" t="inlineStr">
        <is>
          <t>Mojito</t>
        </is>
      </c>
      <c r="C26" s="4" t="inlineStr">
        <is>
          <t>Lima</t>
        </is>
      </c>
      <c r="D26" s="11" t="n">
        <v>3</v>
      </c>
      <c r="E26" s="10" t="n">
        <v>4</v>
      </c>
      <c r="F26" s="14">
        <f>IFERROR(IF(OR($D26="",$E26=""),"",$D26*$E26/100),"")</f>
        <v>0.12</v>
      </c>
    </row>
    <row r="27">
      <c r="A27" s="9" t="n">
        <v>3</v>
      </c>
      <c r="B27" s="4" t="inlineStr">
        <is>
          <t>Mojito</t>
        </is>
      </c>
      <c r="C27" s="4" t="inlineStr">
        <is>
          <t>Azúcar y hierbabuena</t>
        </is>
      </c>
      <c r="D27" s="11" t="n">
        <v>2</v>
      </c>
      <c r="E27" s="10" t="n">
        <v>6</v>
      </c>
      <c r="F27" s="14">
        <f>IFERROR(IF(OR($D27="",$E27=""),"",$D27*$E27/100),"")</f>
        <v>0.12</v>
      </c>
    </row>
    <row r="28">
      <c r="A28" s="9" t="n">
        <v>4</v>
      </c>
      <c r="B28" s="4" t="inlineStr">
        <is>
          <t>Mojito</t>
        </is>
      </c>
      <c r="C28" s="4" t="inlineStr">
        <is>
          <t>Soda</t>
        </is>
      </c>
      <c r="D28" s="11" t="n">
        <v>10</v>
      </c>
      <c r="E28" s="10" t="n">
        <v>1.2</v>
      </c>
      <c r="F28" s="14">
        <f>IFERROR(IF(OR($D28="",$E28=""),"",$D28*$E28/100),"")</f>
        <v>0.12</v>
      </c>
    </row>
    <row r="29">
      <c r="A29" s="9" t="n">
        <v>1</v>
      </c>
      <c r="B29" s="4" t="inlineStr">
        <is>
          <t>Aperol spritz</t>
        </is>
      </c>
      <c r="C29" s="4" t="inlineStr">
        <is>
          <t>Aperol</t>
        </is>
      </c>
      <c r="D29" s="11" t="n">
        <v>6</v>
      </c>
      <c r="E29" s="10" t="n">
        <v>18.5</v>
      </c>
      <c r="F29" s="14">
        <f>IFERROR(IF(OR($D29="",$E29=""),"",$D29*$E29/100),"")</f>
        <v>1.11</v>
      </c>
    </row>
    <row r="30">
      <c r="A30" s="9" t="n">
        <v>2</v>
      </c>
      <c r="B30" s="4" t="inlineStr">
        <is>
          <t>Aperol spritz</t>
        </is>
      </c>
      <c r="C30" s="4" t="inlineStr">
        <is>
          <t>Cava brut</t>
        </is>
      </c>
      <c r="D30" s="11" t="n">
        <v>9</v>
      </c>
      <c r="E30" s="10" t="n">
        <v>7.47</v>
      </c>
      <c r="F30" s="14">
        <f>IFERROR(IF(OR($D30="",$E30=""),"",$D30*$E30/100),"")</f>
        <v>0.6723</v>
      </c>
    </row>
    <row r="31">
      <c r="A31" s="9" t="n">
        <v>3</v>
      </c>
      <c r="B31" s="4" t="inlineStr">
        <is>
          <t>Aperol spritz</t>
        </is>
      </c>
      <c r="C31" s="4" t="inlineStr">
        <is>
          <t>Soda</t>
        </is>
      </c>
      <c r="D31" s="11" t="n">
        <v>3</v>
      </c>
      <c r="E31" s="10" t="n">
        <v>1.2</v>
      </c>
      <c r="F31" s="14">
        <f>IFERROR(IF(OR($D31="",$E31=""),"",$D31*$E31/100),"")</f>
        <v>0.036</v>
      </c>
    </row>
    <row r="32">
      <c r="A32" s="9" t="n">
        <v>4</v>
      </c>
      <c r="B32" s="4" t="inlineStr">
        <is>
          <t>Aperol spritz</t>
        </is>
      </c>
      <c r="C32" s="4" t="n"/>
      <c r="D32" s="11" t="n"/>
      <c r="E32" s="10" t="n"/>
      <c r="F32" s="14">
        <f>IFERROR(IF(OR($D32="",$E32=""),"",$D32*$E32/100),"")</f>
        <v/>
      </c>
    </row>
    <row r="33">
      <c r="A33" s="9" t="n">
        <v>1</v>
      </c>
      <c r="B33" s="4" t="inlineStr">
        <is>
          <t>Negroni</t>
        </is>
      </c>
      <c r="C33" s="4" t="inlineStr">
        <is>
          <t>Ginebra</t>
        </is>
      </c>
      <c r="D33" s="11" t="n">
        <v>3</v>
      </c>
      <c r="E33" s="10" t="n">
        <v>24.14</v>
      </c>
      <c r="F33" s="14">
        <f>IFERROR(IF(OR($D33="",$E33=""),"",$D33*$E33/100),"")</f>
        <v>0.7242000000000001</v>
      </c>
    </row>
    <row r="34">
      <c r="A34" s="9" t="n">
        <v>2</v>
      </c>
      <c r="B34" s="4" t="inlineStr">
        <is>
          <t>Negroni</t>
        </is>
      </c>
      <c r="C34" s="4" t="inlineStr">
        <is>
          <t>Vermut rojo</t>
        </is>
      </c>
      <c r="D34" s="11" t="n">
        <v>3</v>
      </c>
      <c r="E34" s="10" t="n">
        <v>7.9</v>
      </c>
      <c r="F34" s="14">
        <f>IFERROR(IF(OR($D34="",$E34=""),"",$D34*$E34/100),"")</f>
        <v>0.23700000000000002</v>
      </c>
    </row>
    <row r="35">
      <c r="A35" s="9" t="n">
        <v>3</v>
      </c>
      <c r="B35" s="4" t="inlineStr">
        <is>
          <t>Negroni</t>
        </is>
      </c>
      <c r="C35" s="4" t="inlineStr">
        <is>
          <t>Bitter</t>
        </is>
      </c>
      <c r="D35" s="11" t="n">
        <v>3</v>
      </c>
      <c r="E35" s="10" t="n">
        <v>18</v>
      </c>
      <c r="F35" s="14">
        <f>IFERROR(IF(OR($D35="",$E35=""),"",$D35*$E35/100),"")</f>
        <v>0.54</v>
      </c>
    </row>
    <row r="36">
      <c r="A36" s="9" t="n">
        <v>4</v>
      </c>
      <c r="B36" s="4" t="inlineStr">
        <is>
          <t>Negroni</t>
        </is>
      </c>
      <c r="C36" s="4" t="n"/>
      <c r="D36" s="11" t="n"/>
      <c r="E36" s="10" t="n"/>
      <c r="F36" s="14">
        <f>IFERROR(IF(OR($D36="",$E36=""),"",$D36*$E36/100),"")</f>
        <v/>
      </c>
    </row>
    <row r="37">
      <c r="A37" s="9" t="n">
        <v>1</v>
      </c>
      <c r="B37" s="4" t="n"/>
      <c r="C37" s="4" t="n"/>
      <c r="D37" s="11" t="n"/>
      <c r="E37" s="10" t="n"/>
      <c r="F37" s="14">
        <f>IFERROR(IF(OR($D37="",$E37=""),"",$D37*$E37/100),"")</f>
        <v/>
      </c>
    </row>
    <row r="38">
      <c r="A38" s="9" t="n">
        <v>2</v>
      </c>
      <c r="B38" s="4" t="n"/>
      <c r="C38" s="4" t="n"/>
      <c r="D38" s="11" t="n"/>
      <c r="E38" s="10" t="n"/>
      <c r="F38" s="14">
        <f>IFERROR(IF(OR($D38="",$E38=""),"",$D38*$E38/100),"")</f>
        <v/>
      </c>
    </row>
    <row r="39">
      <c r="A39" s="9" t="n">
        <v>3</v>
      </c>
      <c r="B39" s="4" t="n"/>
      <c r="C39" s="4" t="n"/>
      <c r="D39" s="11" t="n"/>
      <c r="E39" s="10" t="n"/>
      <c r="F39" s="14">
        <f>IFERROR(IF(OR($D39="",$E39=""),"",$D39*$E39/100),"")</f>
        <v/>
      </c>
    </row>
    <row r="40">
      <c r="A40" s="9" t="n">
        <v>4</v>
      </c>
      <c r="B40" s="4" t="n"/>
      <c r="C40" s="4" t="n"/>
      <c r="D40" s="11" t="n"/>
      <c r="E40" s="10" t="n"/>
      <c r="F40" s="14">
        <f>IFERROR(IF(OR($D40="",$E40=""),"",$D40*$E40/100),"")</f>
        <v/>
      </c>
    </row>
    <row r="41">
      <c r="A41" s="9" t="n">
        <v>1</v>
      </c>
      <c r="B41" s="4" t="n"/>
      <c r="C41" s="4" t="n"/>
      <c r="D41" s="11" t="n"/>
      <c r="E41" s="10" t="n"/>
      <c r="F41" s="14">
        <f>IFERROR(IF(OR($D41="",$E41=""),"",$D41*$E41/100),"")</f>
        <v/>
      </c>
    </row>
    <row r="42">
      <c r="A42" s="9" t="n">
        <v>2</v>
      </c>
      <c r="B42" s="4" t="n"/>
      <c r="C42" s="4" t="n"/>
      <c r="D42" s="11" t="n"/>
      <c r="E42" s="10" t="n"/>
      <c r="F42" s="14">
        <f>IFERROR(IF(OR($D42="",$E42=""),"",$D42*$E42/100),"")</f>
        <v/>
      </c>
    </row>
    <row r="43">
      <c r="A43" s="9" t="n">
        <v>3</v>
      </c>
      <c r="B43" s="4" t="n"/>
      <c r="C43" s="4" t="n"/>
      <c r="D43" s="11" t="n"/>
      <c r="E43" s="10" t="n"/>
      <c r="F43" s="14">
        <f>IFERROR(IF(OR($D43="",$E43=""),"",$D43*$E43/100),"")</f>
        <v/>
      </c>
    </row>
    <row r="44">
      <c r="A44" s="9" t="n">
        <v>4</v>
      </c>
      <c r="B44" s="4" t="n"/>
      <c r="C44" s="4" t="n"/>
      <c r="D44" s="11" t="n"/>
      <c r="E44" s="10" t="n"/>
      <c r="F44" s="14">
        <f>IFERROR(IF(OR($D44="",$E44=""),"",$D44*$E44/100),"")</f>
        <v/>
      </c>
    </row>
    <row r="45">
      <c r="A45" s="9" t="n">
        <v>1</v>
      </c>
      <c r="B45" s="4" t="n"/>
      <c r="C45" s="4" t="n"/>
      <c r="D45" s="11" t="n"/>
      <c r="E45" s="10" t="n"/>
      <c r="F45" s="14">
        <f>IFERROR(IF(OR($D45="",$E45=""),"",$D45*$E45/100),"")</f>
        <v/>
      </c>
    </row>
    <row r="46">
      <c r="A46" s="9" t="n">
        <v>2</v>
      </c>
      <c r="B46" s="4" t="n"/>
      <c r="C46" s="4" t="n"/>
      <c r="D46" s="11" t="n"/>
      <c r="E46" s="10" t="n"/>
      <c r="F46" s="14">
        <f>IFERROR(IF(OR($D46="",$E46=""),"",$D46*$E46/100),"")</f>
        <v/>
      </c>
    </row>
    <row r="47">
      <c r="A47" s="9" t="n">
        <v>3</v>
      </c>
      <c r="B47" s="4" t="n"/>
      <c r="C47" s="4" t="n"/>
      <c r="D47" s="11" t="n"/>
      <c r="E47" s="10" t="n"/>
      <c r="F47" s="14">
        <f>IFERROR(IF(OR($D47="",$E47=""),"",$D47*$E47/100),"")</f>
        <v/>
      </c>
    </row>
    <row r="48">
      <c r="A48" s="9" t="n">
        <v>4</v>
      </c>
      <c r="B48" s="4" t="n"/>
      <c r="C48" s="4" t="n"/>
      <c r="D48" s="11" t="n"/>
      <c r="E48" s="10" t="n"/>
      <c r="F48" s="14">
        <f>IFERROR(IF(OR($D48="",$E48=""),"",$D48*$E48/100),"")</f>
        <v/>
      </c>
    </row>
    <row r="49">
      <c r="A49" s="9" t="n">
        <v>1</v>
      </c>
      <c r="B49" s="4" t="n"/>
      <c r="C49" s="4" t="n"/>
      <c r="D49" s="11" t="n"/>
      <c r="E49" s="10" t="n"/>
      <c r="F49" s="14">
        <f>IFERROR(IF(OR($D49="",$E49=""),"",$D49*$E49/100),"")</f>
        <v/>
      </c>
    </row>
    <row r="50">
      <c r="A50" s="9" t="n">
        <v>2</v>
      </c>
      <c r="B50" s="4" t="n"/>
      <c r="C50" s="4" t="n"/>
      <c r="D50" s="11" t="n"/>
      <c r="E50" s="10" t="n"/>
      <c r="F50" s="14">
        <f>IFERROR(IF(OR($D50="",$E50=""),"",$D50*$E50/100),"")</f>
        <v/>
      </c>
    </row>
    <row r="51">
      <c r="A51" s="9" t="n">
        <v>3</v>
      </c>
      <c r="B51" s="4" t="n"/>
      <c r="C51" s="4" t="n"/>
      <c r="D51" s="11" t="n"/>
      <c r="E51" s="10" t="n"/>
      <c r="F51" s="14">
        <f>IFERROR(IF(OR($D51="",$E51=""),"",$D51*$E51/100),"")</f>
        <v/>
      </c>
    </row>
    <row r="52">
      <c r="A52" s="9" t="n">
        <v>4</v>
      </c>
      <c r="B52" s="4" t="n"/>
      <c r="C52" s="4" t="n"/>
      <c r="D52" s="11" t="n"/>
      <c r="E52" s="10" t="n"/>
      <c r="F52" s="14">
        <f>IFERROR(IF(OR($D52="",$E52=""),"",$D52*$E52/100),"")</f>
        <v/>
      </c>
    </row>
    <row r="53">
      <c r="B53" t="inlineStr">
        <is>
          <t>La cantidad va en centilitros y el precio en euros por litro, así que el coste de la línea es cantidad × precio ÷ 100.</t>
        </is>
      </c>
    </row>
    <row r="54">
      <c r="A54" s="2" t="inlineStr">
        <is>
          <t>CÓCTELES: RESUMEN POR CÓCTEL</t>
        </is>
      </c>
    </row>
    <row r="55" ht="62" customHeight="1">
      <c r="A55" s="5" t="inlineStr">
        <is>
          <t>#</t>
        </is>
      </c>
      <c r="B55" s="5" t="inlineStr">
        <is>
          <t>Cóctel</t>
        </is>
      </c>
      <c r="C55" s="5" t="inlineStr">
        <is>
          <t>Tipo a efectos de IVA</t>
        </is>
      </c>
      <c r="D55" s="5" t="inlineStr">
        <is>
          <t>Coste por copa (€)</t>
        </is>
      </c>
      <c r="E55" s="5" t="inlineStr">
        <is>
          <t>PVP en sala, sin IVA (€)</t>
        </is>
      </c>
      <c r="F55" s="5" t="inlineStr">
        <is>
          <t>Copas vendidas al mes (n.º)</t>
        </is>
      </c>
      <c r="G55" s="5" t="inlineStr">
        <is>
          <t>¿Suma al total de la bodega?</t>
        </is>
      </c>
      <c r="H55" s="5" t="inlineStr">
        <is>
          <t>Margen por copa (€)</t>
        </is>
      </c>
      <c r="I55" s="5" t="inlineStr">
        <is>
          <t>Beverage cost (%)</t>
        </is>
      </c>
      <c r="J55" s="5" t="inlineStr">
        <is>
          <t>Ventas del mes, sin IVA (€)</t>
        </is>
      </c>
      <c r="K55" s="5" t="inlineStr">
        <is>
          <t>Coste del mes (€)</t>
        </is>
      </c>
      <c r="L55" s="5" t="inlineStr">
        <is>
          <t>Margen de contribución del mes (€)</t>
        </is>
      </c>
      <c r="M55" s="5" t="inlineStr">
        <is>
          <t>IVA repercutido en sala (%)</t>
        </is>
      </c>
      <c r="N55" s="5" t="inlineStr">
        <is>
          <t>PVP con IVA en sala (€)</t>
        </is>
      </c>
    </row>
    <row r="56">
      <c r="A56" s="9" t="n">
        <v>1</v>
      </c>
      <c r="B56" s="4" t="inlineStr">
        <is>
          <t>Gin tonic de la casa</t>
        </is>
      </c>
      <c r="C56" s="4" t="inlineStr">
        <is>
          <t>Bebida alcohólica</t>
        </is>
      </c>
      <c r="D56" s="14">
        <f>IFERROR(IF(OR($B56="",SUMPRODUCT(--($B$21:$B$52=$B56))=0),"",SUMPRODUCT(--($B$21:$B$52=$B56),$F$21:$F$52)),"")</f>
        <v>1.927</v>
      </c>
      <c r="E56" s="10" t="n">
        <v>8.199999999999999</v>
      </c>
      <c r="F56" s="13" t="n">
        <v>310</v>
      </c>
      <c r="G56" s="4" t="inlineStr">
        <is>
          <t>No</t>
        </is>
      </c>
      <c r="H56" s="14">
        <f>IFERROR(IF(OR($E56="",$D56=""),"",$E56-$D56),"")</f>
        <v>6.273</v>
      </c>
      <c r="I56" s="15">
        <f>IFERROR(IF(OR($D56="",$E56="",$E56=0),"",$D56/$E56),"")</f>
        <v>0.23500000000000001</v>
      </c>
      <c r="J56" s="14">
        <f>IFERROR(IF(OR($E56="",$F56=""),"",$E56*$F56),"")</f>
        <v>2542.0</v>
      </c>
      <c r="K56" s="14">
        <f>IFERROR(IF(OR($D56="",$F56=""),"",$D56*$F56),"")</f>
        <v>597.37</v>
      </c>
      <c r="L56" s="14">
        <f>IFERROR(IF(OR($J56="",$K56=""),"",$J56-$K56),"")</f>
        <v>1944.63</v>
      </c>
      <c r="M56" s="15">
        <f>IFERROR(IF($C56="","",INDEX(Parámetros!$B$6:$D$8,MATCH(Parámetros!$A$6,Parámetros!$A$6:$A$8,0),MATCH($C56,Parámetros!$B$5:$D$5,0))),"")</f>
        <v>0.1</v>
      </c>
      <c r="N56" s="14">
        <f>IFERROR(IF(OR($E56="",$M56=""),"",$E56*(1+$M56)),"")</f>
        <v>9.02</v>
      </c>
    </row>
    <row r="57">
      <c r="A57" s="9" t="n">
        <v>2</v>
      </c>
      <c r="B57" s="4" t="inlineStr">
        <is>
          <t>Mojito</t>
        </is>
      </c>
      <c r="C57" s="4" t="inlineStr">
        <is>
          <t>Bebida alcohólica</t>
        </is>
      </c>
      <c r="D57" s="14">
        <f>IFERROR(IF(OR($B57="",SUMPRODUCT(--($B$21:$B$52=$B57))=0),"",SUMPRODUCT(--($B$21:$B$52=$B57),$F$21:$F$52)),"")</f>
        <v>1.21</v>
      </c>
      <c r="E57" s="10" t="n">
        <v>7.9</v>
      </c>
      <c r="F57" s="13" t="n">
        <v>160</v>
      </c>
      <c r="G57" s="4" t="inlineStr">
        <is>
          <t>Sí</t>
        </is>
      </c>
      <c r="H57" s="14">
        <f>IFERROR(IF(OR($E57="",$D57=""),"",$E57-$D57),"")</f>
        <v>6.69</v>
      </c>
      <c r="I57" s="15">
        <f>IFERROR(IF(OR($D57="",$E57="",$E57=0),"",$D57/$E57),"")</f>
        <v>0.1531645569620253</v>
      </c>
      <c r="J57" s="14">
        <f>IFERROR(IF(OR($E57="",$F57=""),"",$E57*$F57),"")</f>
        <v>1264.0</v>
      </c>
      <c r="K57" s="14">
        <f>IFERROR(IF(OR($D57="",$F57=""),"",$D57*$F57),"")</f>
        <v>193.6</v>
      </c>
      <c r="L57" s="14">
        <f>IFERROR(IF(OR($J57="",$K57=""),"",$J57-$K57),"")</f>
        <v>1070.4</v>
      </c>
      <c r="M57" s="15">
        <f>IFERROR(IF($C57="","",INDEX(Parámetros!$B$6:$D$8,MATCH(Parámetros!$A$6,Parámetros!$A$6:$A$8,0),MATCH($C57,Parámetros!$B$5:$D$5,0))),"")</f>
        <v>0.1</v>
      </c>
      <c r="N57" s="14">
        <f>IFERROR(IF(OR($E57="",$M57=""),"",$E57*(1+$M57)),"")</f>
        <v>8.690000000000001</v>
      </c>
    </row>
    <row r="58">
      <c r="A58" s="9" t="n">
        <v>3</v>
      </c>
      <c r="B58" s="4" t="inlineStr">
        <is>
          <t>Aperol spritz</t>
        </is>
      </c>
      <c r="C58" s="4" t="inlineStr">
        <is>
          <t>Bebida alcohólica</t>
        </is>
      </c>
      <c r="D58" s="14">
        <f>IFERROR(IF(OR($B58="",SUMPRODUCT(--($B$21:$B$52=$B58))=0),"",SUMPRODUCT(--($B$21:$B$52=$B58),$F$21:$F$52)),"")</f>
        <v>1.8183000000000002</v>
      </c>
      <c r="E58" s="10" t="n">
        <v>7.5</v>
      </c>
      <c r="F58" s="13" t="n">
        <v>210</v>
      </c>
      <c r="G58" s="4" t="inlineStr">
        <is>
          <t>Sí</t>
        </is>
      </c>
      <c r="H58" s="14">
        <f>IFERROR(IF(OR($E58="",$D58=""),"",$E58-$D58),"")</f>
        <v>5.681699999999999</v>
      </c>
      <c r="I58" s="15">
        <f>IFERROR(IF(OR($D58="",$E58="",$E58=0),"",$D58/$E58),"")</f>
        <v>0.24244000000000004</v>
      </c>
      <c r="J58" s="14">
        <f>IFERROR(IF(OR($E58="",$F58=""),"",$E58*$F58),"")</f>
        <v>1575.0</v>
      </c>
      <c r="K58" s="14">
        <f>IFERROR(IF(OR($D58="",$F58=""),"",$D58*$F58),"")</f>
        <v>381.8430000000001</v>
      </c>
      <c r="L58" s="14">
        <f>IFERROR(IF(OR($J58="",$K58=""),"",$J58-$K58),"")</f>
        <v>1193.157</v>
      </c>
      <c r="M58" s="15">
        <f>IFERROR(IF($C58="","",INDEX(Parámetros!$B$6:$D$8,MATCH(Parámetros!$A$6,Parámetros!$A$6:$A$8,0),MATCH($C58,Parámetros!$B$5:$D$5,0))),"")</f>
        <v>0.1</v>
      </c>
      <c r="N58" s="14">
        <f>IFERROR(IF(OR($E58="",$M58=""),"",$E58*(1+$M58)),"")</f>
        <v>8.25</v>
      </c>
    </row>
    <row r="59">
      <c r="A59" s="9" t="n">
        <v>4</v>
      </c>
      <c r="B59" s="4" t="inlineStr">
        <is>
          <t>Negroni</t>
        </is>
      </c>
      <c r="C59" s="4" t="inlineStr">
        <is>
          <t>Bebida alcohólica</t>
        </is>
      </c>
      <c r="D59" s="14">
        <f>IFERROR(IF(OR($B59="",SUMPRODUCT(--($B$21:$B$52=$B59))=0),"",SUMPRODUCT(--($B$21:$B$52=$B59),$F$21:$F$52)),"")</f>
        <v>1.5012</v>
      </c>
      <c r="E59" s="10" t="n">
        <v>8.800000000000001</v>
      </c>
      <c r="F59" s="13" t="n">
        <v>70</v>
      </c>
      <c r="G59" s="4" t="inlineStr">
        <is>
          <t>Sí</t>
        </is>
      </c>
      <c r="H59" s="14">
        <f>IFERROR(IF(OR($E59="",$D59=""),"",$E59-$D59),"")</f>
        <v>7.298800000000001</v>
      </c>
      <c r="I59" s="15">
        <f>IFERROR(IF(OR($D59="",$E59="",$E59=0),"",$D59/$E59),"")</f>
        <v>0.1705909090909091</v>
      </c>
      <c r="J59" s="14">
        <f>IFERROR(IF(OR($E59="",$F59=""),"",$E59*$F59),"")</f>
        <v>616.0</v>
      </c>
      <c r="K59" s="14">
        <f>IFERROR(IF(OR($D59="",$F59=""),"",$D59*$F59),"")</f>
        <v>105.084</v>
      </c>
      <c r="L59" s="14">
        <f>IFERROR(IF(OR($J59="",$K59=""),"",$J59-$K59),"")</f>
        <v>510.916</v>
      </c>
      <c r="M59" s="15">
        <f>IFERROR(IF($C59="","",INDEX(Parámetros!$B$6:$D$8,MATCH(Parámetros!$A$6,Parámetros!$A$6:$A$8,0),MATCH($C59,Parámetros!$B$5:$D$5,0))),"")</f>
        <v>0.1</v>
      </c>
      <c r="N59" s="14">
        <f>IFERROR(IF(OR($E59="",$M59=""),"",$E59*(1+$M59)),"")</f>
        <v>9.680000000000001</v>
      </c>
    </row>
    <row r="60">
      <c r="A60" s="9" t="n">
        <v>5</v>
      </c>
      <c r="B60" s="4" t="n"/>
      <c r="C60" s="4" t="n"/>
      <c r="D60" s="14">
        <f>IFERROR(IF(OR($B60="",SUMPRODUCT(--($B$21:$B$52=$B60))=0),"",SUMPRODUCT(--($B$21:$B$52=$B60),$F$21:$F$52)),"")</f>
        <v/>
      </c>
      <c r="E60" s="10" t="n"/>
      <c r="F60" s="13" t="n"/>
      <c r="G60" s="4" t="n"/>
      <c r="H60" s="14">
        <f>IFERROR(IF(OR($E60="",$D60=""),"",$E60-$D60),"")</f>
        <v/>
      </c>
      <c r="I60" s="15">
        <f>IFERROR(IF(OR($D60="",$E60="",$E60=0),"",$D60/$E60),"")</f>
        <v/>
      </c>
      <c r="J60" s="14">
        <f>IFERROR(IF(OR($E60="",$F60=""),"",$E60*$F60),"")</f>
        <v/>
      </c>
      <c r="K60" s="14">
        <f>IFERROR(IF(OR($D60="",$F60=""),"",$D60*$F60),"")</f>
        <v/>
      </c>
      <c r="L60" s="14">
        <f>IFERROR(IF(OR($J60="",$K60=""),"",$J60-$K60),"")</f>
        <v/>
      </c>
      <c r="M60" s="15">
        <f>IFERROR(IF($C60="","",INDEX(Parámetros!$B$6:$D$8,MATCH(Parámetros!$A$6,Parámetros!$A$6:$A$8,0),MATCH($C60,Parámetros!$B$5:$D$5,0))),"")</f>
        <v/>
      </c>
      <c r="N60" s="14">
        <f>IFERROR(IF(OR($E60="",$M60=""),"",$E60*(1+$M60)),"")</f>
        <v/>
      </c>
    </row>
    <row r="61">
      <c r="A61" s="9" t="n">
        <v>6</v>
      </c>
      <c r="B61" s="4" t="n"/>
      <c r="C61" s="4" t="n"/>
      <c r="D61" s="14">
        <f>IFERROR(IF(OR($B61="",SUMPRODUCT(--($B$21:$B$52=$B61))=0),"",SUMPRODUCT(--($B$21:$B$52=$B61),$F$21:$F$52)),"")</f>
        <v/>
      </c>
      <c r="E61" s="10" t="n"/>
      <c r="F61" s="13" t="n"/>
      <c r="G61" s="4" t="n"/>
      <c r="H61" s="14">
        <f>IFERROR(IF(OR($E61="",$D61=""),"",$E61-$D61),"")</f>
        <v/>
      </c>
      <c r="I61" s="15">
        <f>IFERROR(IF(OR($D61="",$E61="",$E61=0),"",$D61/$E61),"")</f>
        <v/>
      </c>
      <c r="J61" s="14">
        <f>IFERROR(IF(OR($E61="",$F61=""),"",$E61*$F61),"")</f>
        <v/>
      </c>
      <c r="K61" s="14">
        <f>IFERROR(IF(OR($D61="",$F61=""),"",$D61*$F61),"")</f>
        <v/>
      </c>
      <c r="L61" s="14">
        <f>IFERROR(IF(OR($J61="",$K61=""),"",$J61-$K61),"")</f>
        <v/>
      </c>
      <c r="M61" s="15">
        <f>IFERROR(IF($C61="","",INDEX(Parámetros!$B$6:$D$8,MATCH(Parámetros!$A$6,Parámetros!$A$6:$A$8,0),MATCH($C61,Parámetros!$B$5:$D$5,0))),"")</f>
        <v/>
      </c>
      <c r="N61" s="14">
        <f>IFERROR(IF(OR($E61="",$M61=""),"",$E61*(1+$M61)),"")</f>
        <v/>
      </c>
    </row>
    <row r="62">
      <c r="A62" s="9" t="n">
        <v>7</v>
      </c>
      <c r="B62" s="4" t="n"/>
      <c r="C62" s="4" t="n"/>
      <c r="D62" s="14">
        <f>IFERROR(IF(OR($B62="",SUMPRODUCT(--($B$21:$B$52=$B62))=0),"",SUMPRODUCT(--($B$21:$B$52=$B62),$F$21:$F$52)),"")</f>
        <v/>
      </c>
      <c r="E62" s="10" t="n"/>
      <c r="F62" s="13" t="n"/>
      <c r="G62" s="4" t="n"/>
      <c r="H62" s="14">
        <f>IFERROR(IF(OR($E62="",$D62=""),"",$E62-$D62),"")</f>
        <v/>
      </c>
      <c r="I62" s="15">
        <f>IFERROR(IF(OR($D62="",$E62="",$E62=0),"",$D62/$E62),"")</f>
        <v/>
      </c>
      <c r="J62" s="14">
        <f>IFERROR(IF(OR($E62="",$F62=""),"",$E62*$F62),"")</f>
        <v/>
      </c>
      <c r="K62" s="14">
        <f>IFERROR(IF(OR($D62="",$F62=""),"",$D62*$F62),"")</f>
        <v/>
      </c>
      <c r="L62" s="14">
        <f>IFERROR(IF(OR($J62="",$K62=""),"",$J62-$K62),"")</f>
        <v/>
      </c>
      <c r="M62" s="15">
        <f>IFERROR(IF($C62="","",INDEX(Parámetros!$B$6:$D$8,MATCH(Parámetros!$A$6,Parámetros!$A$6:$A$8,0),MATCH($C62,Parámetros!$B$5:$D$5,0))),"")</f>
        <v/>
      </c>
      <c r="N62" s="14">
        <f>IFERROR(IF(OR($E62="",$M62=""),"",$E62*(1+$M62)),"")</f>
        <v/>
      </c>
    </row>
    <row r="63">
      <c r="A63" s="9" t="n">
        <v>8</v>
      </c>
      <c r="B63" s="4" t="n"/>
      <c r="C63" s="4" t="n"/>
      <c r="D63" s="14">
        <f>IFERROR(IF(OR($B63="",SUMPRODUCT(--($B$21:$B$52=$B63))=0),"",SUMPRODUCT(--($B$21:$B$52=$B63),$F$21:$F$52)),"")</f>
        <v/>
      </c>
      <c r="E63" s="10" t="n"/>
      <c r="F63" s="13" t="n"/>
      <c r="G63" s="4" t="n"/>
      <c r="H63" s="14">
        <f>IFERROR(IF(OR($E63="",$D63=""),"",$E63-$D63),"")</f>
        <v/>
      </c>
      <c r="I63" s="15">
        <f>IFERROR(IF(OR($D63="",$E63="",$E63=0),"",$D63/$E63),"")</f>
        <v/>
      </c>
      <c r="J63" s="14">
        <f>IFERROR(IF(OR($E63="",$F63=""),"",$E63*$F63),"")</f>
        <v/>
      </c>
      <c r="K63" s="14">
        <f>IFERROR(IF(OR($D63="",$F63=""),"",$D63*$F63),"")</f>
        <v/>
      </c>
      <c r="L63" s="14">
        <f>IFERROR(IF(OR($J63="",$K63=""),"",$J63-$K63),"")</f>
        <v/>
      </c>
      <c r="M63" s="15">
        <f>IFERROR(IF($C63="","",INDEX(Parámetros!$B$6:$D$8,MATCH(Parámetros!$A$6,Parámetros!$A$6:$A$8,0),MATCH($C63,Parámetros!$B$5:$D$5,0))),"")</f>
        <v/>
      </c>
      <c r="N63" s="14">
        <f>IFERROR(IF(OR($E63="",$M63=""),"",$E63*(1+$M63)),"")</f>
        <v/>
      </c>
    </row>
    <row r="64">
      <c r="A64" s="16" t="n"/>
      <c r="B64" s="16" t="inlineStr">
        <is>
          <t>TOTAL CÓCTELES QUE SUMAN A LA BODEGA</t>
        </is>
      </c>
      <c r="C64" s="16" t="n"/>
      <c r="D64" s="16" t="n"/>
      <c r="E64" s="16" t="n"/>
      <c r="F64" s="16" t="n"/>
      <c r="G64" s="16" t="n"/>
      <c r="H64" s="16" t="n"/>
      <c r="I64" s="19">
        <f>IFERROR(IF(OR($J$64="",$J$64=0,$K$64=""),"",$K$64/$J$64),"")</f>
        <v>0.1969687409551375</v>
      </c>
      <c r="J64" s="18">
        <f>IFERROR(IF(COUNTIF($G$56:$G$63,"Sí")=0,"",SUMIF($G$56:$G$63,"Sí",$J$56:$J$63)),"")</f>
        <v>3455.0</v>
      </c>
      <c r="K64" s="18">
        <f>IFERROR(IF(COUNTIF($G$56:$G$63,"Sí")=0,"",SUMIF($G$56:$G$63,"Sí",$K$56:$K$63)),"")</f>
        <v>680.527</v>
      </c>
      <c r="L64" s="18">
        <f>IFERROR(IF(COUNTIF($G$56:$G$63,"Sí")=0,"",SUMIF($G$56:$G$63,"Sí",$L$56:$L$63)),"")</f>
        <v>2774.473</v>
      </c>
      <c r="M64" s="16" t="n"/>
      <c r="N64" s="16" t="n"/>
    </row>
    <row r="65"/>
    <row r="66">
      <c r="B66" s="6" t="inlineStr">
        <is>
          <t>Objetivo de beverage cost de destilados y cócteles (%)</t>
        </is>
      </c>
      <c r="E66" s="20">
        <f>IF(Parámetros!$B$19="","",Parámetros!$B$19)</f>
        <v>0.2</v>
      </c>
    </row>
    <row r="67"/>
    <row r="68">
      <c r="B68" t="inlineStr">
        <is>
          <t>El gin tonic aparece en las dos tablas a propósito: arriba costeado como destilado + mezcla y abajo desglosado ingrediente a ingrediente. Compara los dos costes; para que no se cuente dos veces, abajo está marcado como «No» en «¿Suma al total de la bodega?».</t>
        </is>
      </c>
    </row>
    <row r="69">
      <c r="B69" t="inlineStr">
        <is>
          <t>Si un vino se usa como ingrediente de un cóctel (el cava del spritz), cuéntalo aquí y deja en la hoja «Vinos» sólo lo que vendas COMO vino: si no, la misma botella se paga dos veces.</t>
        </is>
      </c>
    </row>
  </sheetData>
  <sheetProtection selectLockedCells="0" selectUnlockedCells="0" sheet="1" objects="0" insertRows="0" insertHyperlinks="1" autoFilter="1" scenarios="0" formatColumns="0" deleteColumns="1" insertColumns="1" pivotTables="1" deleteRows="1" formatCells="1" formatRows="0" sort="0"/>
  <conditionalFormatting sqref="N5:N16">
    <cfRule type="expression" priority="1" dxfId="0" stopIfTrue="1">
      <formula>=AND(ISNUMBER($N5),ISNUMBER($E$66),$N5&gt;$E$66)</formula>
    </cfRule>
    <cfRule type="expression" priority="2" dxfId="1" stopIfTrue="1">
      <formula>=AND(ISNUMBER($N5),ISNUMBER($E$66),$N5&lt;=$E$66)</formula>
    </cfRule>
  </conditionalFormatting>
  <conditionalFormatting sqref="N17">
    <cfRule type="expression" priority="3" dxfId="0" stopIfTrue="1">
      <formula>=AND(ISNUMBER($N17),ISNUMBER($E$66),$N17&gt;$E$66)</formula>
    </cfRule>
    <cfRule type="expression" priority="4" dxfId="1" stopIfTrue="1">
      <formula>=AND(ISNUMBER($N17),ISNUMBER($E$66),$N17&lt;=$E$66)</formula>
    </cfRule>
  </conditionalFormatting>
  <conditionalFormatting sqref="I56:I63">
    <cfRule type="expression" priority="5" dxfId="0" stopIfTrue="1">
      <formula>=AND(ISNUMBER($I56),ISNUMBER($E$66),$I56&gt;$E$66)</formula>
    </cfRule>
    <cfRule type="expression" priority="6" dxfId="1" stopIfTrue="1">
      <formula>=AND(ISNUMBER($I56),ISNUMBER($E$66),$I56&lt;=$E$66)</formula>
    </cfRule>
  </conditionalFormatting>
  <conditionalFormatting sqref="I64">
    <cfRule type="expression" priority="7" dxfId="0" stopIfTrue="1">
      <formula>=AND(ISNUMBER($I64),ISNUMBER($E$66),$I64&gt;$E$66)</formula>
    </cfRule>
    <cfRule type="expression" priority="8" dxfId="1" stopIfTrue="1">
      <formula>=AND(ISNUMBER($I64),ISNUMBER($E$66),$I64&lt;=$E$66)</formula>
    </cfRule>
  </conditionalFormatting>
  <dataValidations count="5">
    <dataValidation sqref="C5 C6 C7 C8 C9 C10 C11 C12 C13 C14 C15 C16 C56 C57 C58 C59 C60 C61 C62 C63" showDropDown="0" showInputMessage="0" showErrorMessage="1" allowBlank="1" errorTitle="Tipo a efectos de IVA" error="Elige un valor de la lista: Comida, Refresco/azucarada, Bebida alcohólica" type="list">
      <formula1>"Comida,Refresco/azucarada,Bebida alcohólica"</formula1>
    </dataValidation>
    <dataValidation sqref="G56 G57 G58 G59 G60 G61 G62 G63" showDropDown="0" showInputMessage="0" showErrorMessage="1" allowBlank="1" errorTitle="¿Suma al total?" error="Elige un valor de la lista: Sí, No" type="list">
      <formula1>"Sí,No"</formula1>
    </dataValidation>
    <dataValidation sqref="D5 D6 D7 D8 D9 D10 D11 D12 D13 D14 D15 D16 E21 E22 E23 E24 E25 E26 E27 E28 E29 E30 E31 E32 E33 E34 E35 E36 E37 E38 E39 E40 E41 E42 E43 E44 E45 E46 E47 E48 E49 E50 E51 E52 E56 E57 E58 E59 E60 E61 E62 E63 G5 G6 G7 G8 G9 G10 G11 G12 G13 G14 G15 G16 H5 H6 H7 H8 H9 H10 H11 H12 H13 H14 H15 H16" showDropDown="0" showInputMessage="0" showErrorMessage="1" allowBlank="1" errorTitle="Importe (€)" error="Escribe un número mayor o igual que 0." type="decimal" operator="greaterThanOrEqual">
      <formula1>0</formula1>
    </dataValidation>
    <dataValidation sqref="D21 D22 D23 D24 D25 D26 D27 D28 D29 D30 D31 D32 D33 D34 D35 D36 D37 D38 D39 D40 D41 D42 D43 D44 D45 D46 D47 D48 D49 D50 D51 D52 E5 E6 E7 E8 E9 E10 E11 E12 E13 E14 E15 E16 F5 F6 F7 F8 F9 F10 F11 F12 F13 F14 F15 F16" showDropDown="0" showInputMessage="0" showErrorMessage="1" allowBlank="1" errorTitle="Centilitros" error="Escribe un valor entre 0.1 y 10000." type="decimal" operator="between">
      <formula1>0.1</formula1>
      <formula2>10000</formula2>
    </dataValidation>
    <dataValidation sqref="F56 F57 F58 F59 F60 F61 F62 F63 I5 I6 I7 I8 I9 I10 I11 I12 I13 I14 I15 I16" showDropDown="0" showInputMessage="0" showErrorMessage="1" allowBlank="1" errorTitle="Copas vendidas" error="Escribe un número mayor o igual que 0." type="decimal" operator="greaterThanOrEqual">
      <formula1>0</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H14"/>
  <sheetViews>
    <sheetView workbookViewId="0">
      <selection activeCell="A1" sqref="A1"/>
    </sheetView>
  </sheetViews>
  <sheetFormatPr baseColWidth="8" defaultRowHeight="15"/>
  <cols>
    <col width="26" customWidth="1" min="1" max="1"/>
    <col width="18" customWidth="1" min="2" max="2"/>
    <col width="16" customWidth="1" min="3" max="3"/>
    <col width="18" customWidth="1" min="4" max="4"/>
    <col width="18" customWidth="1" min="5" max="5"/>
    <col width="20" customWidth="1" min="6" max="6"/>
    <col width="20" customWidth="1" min="7" max="7"/>
    <col width="22" customWidth="1" min="8" max="8"/>
  </cols>
  <sheetData>
    <row r="1" ht="30" customHeight="1">
      <c r="A1" s="1" t="inlineStr">
        <is>
          <t>Resumen de la bodega</t>
        </is>
      </c>
    </row>
    <row r="2">
      <c r="A2" t="inlineStr">
        <is>
          <t>AI Chef Pro · aichef.pro — Guía Food Cost + Ingeniería de Menú</t>
        </is>
      </c>
    </row>
    <row r="3">
      <c r="A3" s="8" t="inlineStr">
        <is>
          <t>Todo se calcula desde las tres hojas de producto: aquí no se teclea nada.</t>
        </is>
      </c>
    </row>
    <row r="4" ht="62" customHeight="1">
      <c r="A4" s="5" t="inlineStr">
        <is>
          <t>Categoría</t>
        </is>
      </c>
      <c r="B4" s="5" t="inlineStr">
        <is>
          <t>Ventas del mes, sin IVA (€)</t>
        </is>
      </c>
      <c r="C4" s="5" t="inlineStr">
        <is>
          <t>Coste del mes (€)</t>
        </is>
      </c>
      <c r="D4" s="5" t="inlineStr">
        <is>
          <t>Beverage cost ponderado (%)</t>
        </is>
      </c>
      <c r="E4" s="5" t="inlineStr">
        <is>
          <t>Objetivo de beverage cost (%)</t>
        </is>
      </c>
      <c r="F4" s="5" t="inlineStr">
        <is>
          <t>Margen de contribución del mes (€)</t>
        </is>
      </c>
      <c r="G4" s="5" t="inlineStr">
        <is>
          <t>Peso sobre las ventas de bodega (%)</t>
        </is>
      </c>
      <c r="H4" s="5" t="inlineStr">
        <is>
          <t>Margen que ganarías si llegaras al objetivo (€/mes)</t>
        </is>
      </c>
    </row>
    <row r="5">
      <c r="A5" s="6" t="str">
        <f>Parámetros!$A$17</f>
        <v>Vinos</v>
      </c>
      <c r="B5" s="14">
        <f>IF(Vinos!$Q$35="","",Vinos!$Q$35)</f>
        <v>18151.0</v>
      </c>
      <c r="C5" s="14">
        <f>IF(Vinos!$R$35="","",Vinos!$R$35)</f>
        <v>5473.9000000000015</v>
      </c>
      <c r="D5" s="15">
        <f>IFERROR(IF(OR($B5="",$B5=0,$C5=""),"",$C5/$B5),"")</f>
        <v>0.3015756707619416</v>
      </c>
      <c r="E5" s="15">
        <f>IF(Parámetros!$B$17="","",Parámetros!$B$17)</f>
        <v>0.3</v>
      </c>
      <c r="F5" s="14">
        <f>IFERROR(IF(OR($B5="",$C5=""),"",$B5-$C5),"")</f>
        <v>12677.099999999999</v>
      </c>
      <c r="G5" s="15">
        <f>IFERROR(IF(OR($B5="",$B$8="",$B$8=0),"",$B5/$B$8),"")</f>
        <v>0.41576379503859634</v>
      </c>
      <c r="H5" s="14">
        <f>IFERROR(IF(OR($B5="",$C5="",$E5=""),"",MAX(0,$C5-$B5*$E5)),"")</f>
        <v>28.600000000001273</v>
      </c>
    </row>
    <row r="6">
      <c r="A6" s="6" t="str">
        <f>Parámetros!$A$18</f>
        <v>Cervezas y refrescos</v>
      </c>
      <c r="B6" s="14">
        <f>IF('Cervezas y Refrescos'!$O$20="","",'Cervezas y Refrescos'!$O$20)</f>
        <v>15554.0</v>
      </c>
      <c r="C6" s="14">
        <f>IF('Cervezas y Refrescos'!$P$20="","",'Cervezas y Refrescos'!$P$20)</f>
        <v>3947.2000000000003</v>
      </c>
      <c r="D6" s="15">
        <f>IFERROR(IF(OR($B6="",$B6=0,$C6=""),"",$C6/$B6),"")</f>
        <v>0.2537739488234538</v>
      </c>
      <c r="E6" s="15">
        <f>IF(Parámetros!$B$18="","",Parámetros!$B$18)</f>
        <v>0.22</v>
      </c>
      <c r="F6" s="14">
        <f>IFERROR(IF(OR($B6="",$C6=""),"",$B6-$C6),"")</f>
        <v>11606.8</v>
      </c>
      <c r="G6" s="15">
        <f>IFERROR(IF(OR($B6="",$B$8="",$B$8=0),"",$B6/$B$8),"")</f>
        <v>0.3562773438394759</v>
      </c>
      <c r="H6" s="14">
        <f>IFERROR(IF(OR($B6="",$C6="",$E6=""),"",MAX(0,$C6-$B6*$E6)),"")</f>
        <v>525.3200000000002</v>
      </c>
    </row>
    <row r="7">
      <c r="A7" s="6" t="str">
        <f>Parámetros!$A$19</f>
        <v>Destilados y cócteles</v>
      </c>
      <c r="B7" s="14">
        <f>IFERROR(IF(AND('Destilados y Cócteles'!$O$17="",'Destilados y Cócteles'!$J$64=""),"",IF('Destilados y Cócteles'!$O$17="",0,'Destilados y Cócteles'!$O$17)+IF('Destilados y Cócteles'!$J$64="",0,'Destilados y Cócteles'!$J$64)),"")</f>
        <v>9952.0</v>
      </c>
      <c r="C7" s="14">
        <f>IFERROR(IF(AND('Destilados y Cócteles'!$P$17="",'Destilados y Cócteles'!$K$64=""),"",IF('Destilados y Cócteles'!$P$17="",0,'Destilados y Cócteles'!$P$17)+IF('Destilados y Cócteles'!$K$64="",0,'Destilados y Cócteles'!$K$64)),"")</f>
        <v>2082.8598571428574</v>
      </c>
      <c r="D7" s="15">
        <f>IFERROR(IF(OR($B7="",$B7=0,$C7=""),"",$C7/$B7),"")</f>
        <v>0.20929058050068905</v>
      </c>
      <c r="E7" s="15">
        <f>IF(Parámetros!$B$19="","",Parámetros!$B$19)</f>
        <v>0.2</v>
      </c>
      <c r="F7" s="14">
        <f>IFERROR(IF(OR($B7="",$C7=""),"",$B7-$C7),"")</f>
        <v>7869.140142857143</v>
      </c>
      <c r="G7" s="15">
        <f>IFERROR(IF(OR($B7="",$B$8="",$B$8=0),"",$B7/$B$8),"")</f>
        <v>0.22795886112192776</v>
      </c>
      <c r="H7" s="14">
        <f>IFERROR(IF(OR($B7="",$C7="",$E7=""),"",MAX(0,$C7-$B7*$E7)),"")</f>
        <v>92.45985714285735</v>
      </c>
    </row>
    <row r="8">
      <c r="A8" s="16" t="inlineStr">
        <is>
          <t>TOTAL BODEGA</t>
        </is>
      </c>
      <c r="B8" s="18">
        <f>IF(COUNT(B5:B7)=0,"",SUM(B5:B7))</f>
        <v>43657.0</v>
      </c>
      <c r="C8" s="18">
        <f>IF(COUNT(C5:C7)=0,"",SUM(C5:C7))</f>
        <v>11503.95985714286</v>
      </c>
      <c r="D8" s="19">
        <f>IFERROR(IF(OR($B$8="",$B$8=0,$C$8=""),"",$C$8/$B$8),"")</f>
        <v>0.2635077961642545</v>
      </c>
      <c r="E8" s="16" t="n"/>
      <c r="F8" s="18">
        <f>IF(COUNT(F5:F7)=0,"",SUM(F5:F7))</f>
        <v>32153.040142857142</v>
      </c>
      <c r="G8" s="19">
        <f>IF($B$8="","",1)</f>
        <v>1.0</v>
      </c>
      <c r="H8" s="18">
        <f>IF(COUNT(H5:H7)=0,"",SUM(H5:H7))</f>
        <v>646.3798571428588</v>
      </c>
    </row>
    <row r="9"/>
    <row r="10">
      <c r="A10" s="2" t="inlineStr">
        <is>
          <t>CÓMO SE LEE</t>
        </is>
      </c>
    </row>
    <row r="11" ht="30" customHeight="1">
      <c r="A11" s="3" t="inlineStr">
        <is>
          <t>La última columna es la traducción a euros del semáforo: lo que dejas de ganar cada mes por estar por encima del objetivo en esa categoría. Si estás en objetivo o por debajo, es cero.</t>
        </is>
      </c>
    </row>
    <row r="12" ht="30" customHeight="1">
      <c r="A12" s="3" t="inlineStr">
        <is>
          <t>La fila TOTAL BODEGA no tiene objetivo propio a propósito: la media de la bodega depende de tu mix de ventas, no de tu política de precios. Se gestiona categoría a categoría.</t>
        </is>
      </c>
    </row>
    <row r="13" ht="30" customHeight="1">
      <c r="A13" s="3" t="inlineStr">
        <is>
          <t>El margen de esta hoja es margen de CONTRIBUCIÓN de la bebida: no descuenta personal de barra ni estructura. Eso lo mide el libro «cuadro-de-mando-prime-cost.xlsx».</t>
        </is>
      </c>
    </row>
    <row r="14" ht="30" customHeight="1">
      <c r="A14" s="3" t="inlineStr">
        <is>
          <t>Referencia española: la bebida pesa alrededor del 34,5 % de coste sobre los ingresos de bebida frente al 28 % de la comida (CaixaBankLab × elBulliFoundation). Por eso la bodega se lleva como una cuenta de resultados propia y no como un apéndice de la cocina.</t>
        </is>
      </c>
    </row>
  </sheetData>
  <sheetProtection selectLockedCells="0" selectUnlockedCells="0" sheet="1" objects="0" insertRows="0" insertHyperlinks="1" autoFilter="1" scenarios="0" formatColumns="0" deleteColumns="1" insertColumns="1" pivotTables="1" deleteRows="1" formatCells="1" formatRows="0" sort="0"/>
  <conditionalFormatting sqref="D5:D8">
    <cfRule type="expression" priority="1" dxfId="0" stopIfTrue="1">
      <formula>=AND(ISNUMBER($D5),ISNUMBER($E5),$D5&gt;$E5)</formula>
    </cfRule>
    <cfRule type="expression" priority="2" dxfId="1" stopIfTrue="1">
      <formula>=AND(ISNUMBER($D5),ISNUMBER($E5),$D5&lt;=$E5)</formula>
    </cfRule>
  </conditionalFormatting>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Carta de bebidas y beverage cost</dc:title>
  <dc:subject xmlns:dc="http://purl.org/dc/elements/1.1/">Guía Food Cost + Ingeniería de Menú · Versión 1.0 · septiembre 2026</dc:subject>
  <dcterms:created xmlns:dcterms="http://purl.org/dc/terms/" xmlns:xsi="http://www.w3.org/2001/XMLSchema-instance" xsi:type="dcterms:W3CDTF">2026-09-03T21:42:06Z</dcterms:created>
  <dcterms:modified xmlns:dcterms="http://purl.org/dc/terms/" xmlns:xsi="http://www.w3.org/2001/XMLSchema-instance" xsi:type="dcterms:W3CDTF">2026-09-03T21:42:06Z</dcterms:modified>
  <cp:lastModifiedBy>AI Chef Pro</cp:lastModifiedBy>
</cp:coreProperties>
</file>