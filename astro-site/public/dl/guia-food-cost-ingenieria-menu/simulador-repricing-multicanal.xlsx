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Parámetros" sheetId="2" state="visible" r:id="rId2"/>
    <sheet xmlns:r="http://schemas.openxmlformats.org/officeDocument/2006/relationships" name="Carta" sheetId="3" state="visible" r:id="rId3"/>
    <sheet xmlns:r="http://schemas.openxmlformats.org/officeDocument/2006/relationships" name="Resumen" sheetId="4" state="visible" r:id="rId4"/>
  </sheets>
  <definedNames>
    <definedName name="_xlnm.Print_Titles" localSheetId="2">'Carta'!$3:$4</definedName>
  </definedNames>
  <calcPr calcId="124519" fullCalcOnLoad="1"/>
</workbook>
</file>

<file path=xl/styles.xml><?xml version="1.0" encoding="utf-8"?>
<styleSheet xmlns="http://schemas.openxmlformats.org/spreadsheetml/2006/main">
  <numFmts count="3">
    <numFmt numFmtId="164" formatCode="0.0%"/>
    <numFmt numFmtId="165" formatCode="#,##0.00 €"/>
    <numFmt numFmtId="166" formatCode="0.000"/>
  </numFmts>
  <fonts count="7">
    <font>
      <name val="Calibri"/>
      <family val="2"/>
      <color theme="1"/>
      <sz val="11"/>
      <scheme val="minor"/>
    </font>
    <font>
      <b val="1"/>
      <color rgb="00FFD700"/>
      <sz val="16"/>
    </font>
    <font>
      <b val="1"/>
      <color theme="1"/>
      <sz val="11"/>
    </font>
    <font>
      <b val="1"/>
      <sz val="12"/>
    </font>
    <font>
      <b val="1"/>
      <color rgb="00FFFFFF"/>
    </font>
    <font>
      <i val="1"/>
      <sz val="9"/>
    </font>
    <font>
      <b val="1"/>
    </font>
  </fonts>
  <fills count="6">
    <fill>
      <patternFill/>
    </fill>
    <fill>
      <patternFill patternType="gray125"/>
    </fill>
    <fill>
      <patternFill patternType="solid">
        <fgColor rgb="00E8F5E9"/>
      </patternFill>
    </fill>
    <fill>
      <patternFill patternType="solid">
        <fgColor rgb="002D2D2D"/>
      </patternFill>
    </fill>
    <fill>
      <patternFill patternType="solid">
        <fgColor rgb="00FFF6DC"/>
      </patternFill>
    </fill>
    <fill>
      <patternFill patternType="solid">
        <fgColor rgb="00F2F2F2"/>
      </patternFill>
    </fill>
  </fills>
  <borders count="1">
    <border>
      <left/>
      <right/>
      <top/>
      <bottom/>
      <diagonal/>
    </border>
  </borders>
  <cellStyleXfs count="1">
    <xf numFmtId="0" fontId="0" fillId="0" borderId="0"/>
  </cellStyleXfs>
  <cellXfs count="23">
    <xf numFmtId="0" fontId="0" fillId="0" borderId="0" pivotButton="0" quotePrefix="0" xfId="0"/>
    <xf numFmtId="0" fontId="1" fillId="0" borderId="0" pivotButton="0" quotePrefix="0" xfId="0"/>
    <xf numFmtId="0" fontId="3" fillId="0" borderId="0" pivotButton="0" quotePrefix="0" xfId="0"/>
    <xf numFmtId="0" fontId="0" fillId="0" borderId="0" applyAlignment="1" pivotButton="0" quotePrefix="0" xfId="0">
      <alignment horizontal="general" vertical="top" wrapText="1"/>
    </xf>
    <xf numFmtId="0" fontId="0" fillId="2" borderId="0" applyProtection="1" pivotButton="0" quotePrefix="0" xfId="0">
      <protection locked="0" hidden="0"/>
    </xf>
    <xf numFmtId="0" fontId="4" fillId="3" borderId="0" applyAlignment="1" pivotButton="0" quotePrefix="0" xfId="0">
      <alignment horizontal="center" vertical="center" wrapText="1"/>
    </xf>
    <xf numFmtId="0" fontId="2" fillId="0" borderId="0" pivotButton="0" quotePrefix="0" xfId="0"/>
    <xf numFmtId="164" fontId="0" fillId="2" borderId="0" applyProtection="1" pivotButton="0" quotePrefix="0" xfId="0">
      <protection locked="0" hidden="0"/>
    </xf>
    <xf numFmtId="165" fontId="0" fillId="2" borderId="0" applyProtection="1" pivotButton="0" quotePrefix="0" xfId="0">
      <protection locked="0" hidden="0"/>
    </xf>
    <xf numFmtId="166" fontId="0" fillId="2" borderId="0" applyProtection="1" pivotButton="0" quotePrefix="0" xfId="0">
      <protection locked="0" hidden="0"/>
    </xf>
    <xf numFmtId="165" fontId="0" fillId="0" borderId="0" pivotButton="0" quotePrefix="0" xfId="0"/>
    <xf numFmtId="0" fontId="5" fillId="0" borderId="0" pivotButton="0" quotePrefix="0" xfId="0"/>
    <xf numFmtId="0" fontId="2" fillId="4" borderId="0" applyAlignment="1" pivotButton="0" quotePrefix="0" xfId="0">
      <alignment horizontal="center"/>
    </xf>
    <xf numFmtId="3" fontId="0" fillId="0" borderId="0" pivotButton="0" quotePrefix="0" xfId="0"/>
    <xf numFmtId="3" fontId="0" fillId="2" borderId="0" applyProtection="1" pivotButton="0" quotePrefix="0" xfId="0">
      <protection locked="0" hidden="0"/>
    </xf>
    <xf numFmtId="164" fontId="0" fillId="0" borderId="0" pivotButton="0" quotePrefix="0" xfId="0"/>
    <xf numFmtId="0" fontId="6" fillId="4" borderId="0" pivotButton="0" quotePrefix="0" xfId="0"/>
    <xf numFmtId="3" fontId="6" fillId="4" borderId="0" pivotButton="0" quotePrefix="0" xfId="0"/>
    <xf numFmtId="164" fontId="6" fillId="4" borderId="0" pivotButton="0" quotePrefix="0" xfId="0"/>
    <xf numFmtId="165" fontId="6" fillId="4" borderId="0" pivotButton="0" quotePrefix="0" xfId="0"/>
    <xf numFmtId="0" fontId="2" fillId="5" borderId="0" pivotButton="0" quotePrefix="0" xfId="0"/>
    <xf numFmtId="164" fontId="0" fillId="5" borderId="0" pivotButton="0" quotePrefix="0" xfId="0"/>
    <xf numFmtId="165" fontId="0" fillId="5" borderId="0" pivotButton="0" quotePrefix="0" xfId="0"/>
  </cellXfs>
  <cellStyles count="1">
    <cellStyle name="Normal" xfId="0" builtinId="0" hidden="0"/>
  </cellStyles>
  <dxfs count="2">
    <dxf>
      <font>
        <b val="1"/>
        <color rgb="009C0006"/>
      </font>
      <fill>
        <patternFill patternType="solid">
          <fgColor rgb="00FFC7CE"/>
          <bgColor rgb="00FFC7CE"/>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23"/>
  <sheetViews>
    <sheetView workbookViewId="0">
      <selection activeCell="A1" sqref="A1"/>
    </sheetView>
  </sheetViews>
  <sheetFormatPr baseColWidth="8" defaultRowHeight="15"/>
  <cols>
    <col width="110" customWidth="1" min="1" max="1"/>
  </cols>
  <sheetData>
    <row r="1" ht="30" customHeight="1">
      <c r="A1" s="1" t="inlineStr">
        <is>
          <t>Simulador de repricing multicanal</t>
        </is>
      </c>
    </row>
    <row r="2">
      <c r="A2" t="inlineStr">
        <is>
          <t>AI Chef Pro · aichef.pro — Guía Food Cost + Ingeniería de Menú</t>
        </is>
      </c>
    </row>
    <row r="3"/>
    <row r="4">
      <c r="A4" s="2" t="inlineStr">
        <is>
          <t>Instrucciones de uso</t>
        </is>
      </c>
    </row>
    <row r="5" ht="28" customHeight="1">
      <c r="A5" s="3" t="inlineStr">
        <is>
          <t>1. Hoja «Carta»: escribe en las celdas verdes cada plato con su coste por ración, el PVP que tiene HOY en el comedor (sin IVA), el tipo de producto, el precio techo que acepta el mercado y las unidades que vendes al mes.</t>
        </is>
      </c>
    </row>
    <row r="6" ht="28" customHeight="1">
      <c r="A6" s="3" t="inlineStr">
        <is>
          <t>2. Hoja «Parámetros»: pon la comisión, el packaging por pedido, los platos por pedido y el food cost objetivo de CADA canal. Son los de tu contrato, no una tarifa oficial.</t>
        </is>
      </c>
    </row>
    <row r="7" ht="28" customHeight="1">
      <c r="A7" s="3" t="inlineStr">
        <is>
          <t>3. Revisa la matriz de IVA repercutido: manda el canal y el tipo de producto, y las fórmulas la leen con INDEX/MATCH.</t>
        </is>
      </c>
    </row>
    <row r="8" ht="28" customHeight="1">
      <c r="A8" s="3" t="inlineStr">
        <is>
          <t>4. Lee «Food cost efectivo al PVP de sala»: es en lo que se convierte tu food cost si publicas en la app el mismo precio que tienes en el comedor.</t>
        </is>
      </c>
    </row>
    <row r="9" ht="28" customHeight="1">
      <c r="A9" s="3" t="inlineStr">
        <is>
          <t>5. Compara el «PVP sin IVA necesario» con tu precio techo. La columna «¿Viable?» marca los platos que no caben en ese canal a tu objetivo.</t>
        </is>
      </c>
    </row>
    <row r="10" ht="28" customHeight="1">
      <c r="A10" s="3" t="inlineStr">
        <is>
          <t>6. «PVP que puedes cobrar» es el menor de los dos: si el precio necesario pasa del techo, cobras el techo y el food cost se te va; ahí está el margen mensual real de cada canal.</t>
        </is>
      </c>
    </row>
    <row r="11" ht="28" customHeight="1">
      <c r="A11" s="3" t="inlineStr">
        <is>
          <t>7. Hoja «Resumen»: platos viables, food cost medio, margen mensual por canal y diferencia frente a la sala.</t>
        </is>
      </c>
    </row>
    <row r="12" ht="28" customHeight="1">
      <c r="A12" s="3" t="inlineStr">
        <is>
          <t>8. Las unidades vendidas son las mismas en los tres canales a propósito: la pregunta que responde el libro es qué margen daría ESE volumen en cada canal, no cuánto venderías en cada uno.</t>
        </is>
      </c>
    </row>
    <row r="13"/>
    <row r="14">
      <c r="A14" s="4" t="inlineStr">
        <is>
          <t>Celdas verdes = campos editables</t>
        </is>
      </c>
    </row>
    <row r="15"/>
    <row r="16" ht="28" customHeight="1">
      <c r="A16" s="3" t="inlineStr">
        <is>
          <t>Todos los importes van SIN IVA salvo la columna «PVP con IVA para el cliente», que es el precio que el comensal ve en la carta o en la app.</t>
        </is>
      </c>
    </row>
    <row r="17" ht="28" customHeight="1">
      <c r="A17" s="3" t="inlineStr">
        <is>
          <t>El IVA repercutido depende del canal Y del tipo de producto: en sala todo va al 10 % (art. 91.Uno.2.2.º de la Ley del IVA, alcohol incluido); para llevar y en reparto es entrega de bienes, así que la comida va al 10 % (art. 91.Uno.1.1.º) y las bebidas alcohólicas y los refrescos con azúcares o edulcorantes añadidos, al 21 %.</t>
        </is>
      </c>
    </row>
    <row r="18" ht="28" customHeight="1">
      <c r="A18" s="3" t="inlineStr">
        <is>
          <t>El food cost se mide sobre la venta NETA (base imponible) y con el coste NETO de IVA soportado: el IVA de las compras se deduce en el modelo 303, es tesorería, no coste.</t>
        </is>
      </c>
    </row>
    <row r="19" ht="28" customHeight="1">
      <c r="A19" s="3" t="inlineStr">
        <is>
          <t>El coste por ración sale de la ficha de escandallo (libro «ficha-escandallo-base.xlsx» de este mismo pack).</t>
        </is>
      </c>
    </row>
    <row r="20"/>
    <row r="21">
      <c r="A21" t="inlineStr">
        <is>
          <t>Para editar la estructura o una celda que no esté en verde, desprotege la hoja (sin contraseña).</t>
        </is>
      </c>
    </row>
    <row r="22">
      <c r="A22" t="inlineStr">
        <is>
          <t>Diseñado por John Guerrero — chef y consultor gastronómico desde 2010 · johnguerrero.es</t>
        </is>
      </c>
    </row>
    <row r="23">
      <c r="A23" t="inlineStr">
        <is>
          <t>Versión 1.0 · septiembre 2026 · aichef.pro/guia-food-cost-ingenieria-menu · info@aichef.pro</t>
        </is>
      </c>
    </row>
  </sheetData>
  <sheetProtection selectLockedCells="0" selectUnlockedCells="0" sheet="1" objects="0" insertRows="0" insertHyperlinks="1" autoFilter="1" scenarios="0" formatColumns="0" deleteColumns="1" insertColumns="1" pivotTables="1" deleteRows="1" formatCells="1" formatRows="0" sort="0"/>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F29"/>
  <sheetViews>
    <sheetView workbookViewId="0">
      <selection activeCell="A1" sqref="A1"/>
    </sheetView>
  </sheetViews>
  <sheetFormatPr baseColWidth="8" defaultRowHeight="15"/>
  <cols>
    <col width="24" customWidth="1" min="1" max="1"/>
    <col width="30" customWidth="1" min="2" max="2"/>
    <col width="22" customWidth="1" min="3" max="3"/>
    <col width="20" customWidth="1" min="4" max="4"/>
    <col width="22" customWidth="1" min="5" max="5"/>
    <col width="22" customWidth="1" min="6" max="6"/>
  </cols>
  <sheetData>
    <row r="1" ht="30" customHeight="1">
      <c r="A1" s="1" t="inlineStr">
        <is>
          <t>Parámetros del simulador</t>
        </is>
      </c>
    </row>
    <row r="2">
      <c r="A2" t="inlineStr">
        <is>
          <t>AI Chef Pro · aichef.pro — Guía Food Cost + Ingeniería de Menú</t>
        </is>
      </c>
    </row>
    <row r="3"/>
    <row r="4">
      <c r="A4" s="2" t="inlineStr">
        <is>
          <t>MATRIZ DE IVA REPERCUTIDO POR CANAL Y TIPO DE PRODUCTO</t>
        </is>
      </c>
    </row>
    <row r="5" ht="34" customHeight="1">
      <c r="A5" s="5" t="inlineStr">
        <is>
          <t>Canal</t>
        </is>
      </c>
      <c r="B5" s="5" t="inlineStr">
        <is>
          <t>Comida</t>
        </is>
      </c>
      <c r="C5" s="5" t="inlineStr">
        <is>
          <t>Refresco/azucarada</t>
        </is>
      </c>
      <c r="D5" s="5" t="inlineStr">
        <is>
          <t>Bebida alcohólica</t>
        </is>
      </c>
    </row>
    <row r="6">
      <c r="A6" s="6" t="inlineStr">
        <is>
          <t>Sala</t>
        </is>
      </c>
      <c r="B6" s="7" t="n">
        <v>0.1</v>
      </c>
      <c r="C6" s="7" t="n">
        <v>0.1</v>
      </c>
      <c r="D6" s="7" t="n">
        <v>0.1</v>
      </c>
    </row>
    <row r="7">
      <c r="A7" s="6" t="inlineStr">
        <is>
          <t>Take away</t>
        </is>
      </c>
      <c r="B7" s="7" t="n">
        <v>0.1</v>
      </c>
      <c r="C7" s="7" t="n">
        <v>0.21</v>
      </c>
      <c r="D7" s="7" t="n">
        <v>0.21</v>
      </c>
    </row>
    <row r="8">
      <c r="A8" s="6" t="inlineStr">
        <is>
          <t>Delivery</t>
        </is>
      </c>
      <c r="B8" s="7" t="n">
        <v>0.1</v>
      </c>
      <c r="C8" s="7" t="n">
        <v>0.21</v>
      </c>
      <c r="D8" s="7" t="n">
        <v>0.21</v>
      </c>
    </row>
    <row r="9">
      <c r="A9" t="inlineStr">
        <is>
          <t>Sala — 10 % para todo el consumo en el local, alcohol incluido: art. 91.Uno.2.2.º de la Ley del IVA (servicios de hostelería y suministro de comidas y bebidas para consumir en el acto).</t>
        </is>
      </c>
    </row>
    <row r="10">
      <c r="A10" t="inlineStr">
        <is>
          <t>Take away — Sin servicio es entrega de bienes y manda el tipo del producto: comida elaborada 10 % (art. 91.Uno.1.1.º); bebidas alcohólicas y refrescos, zumos y gaseosas con azúcares o edulcorantes añadidos, 21 % (excluidos del tipo reducido desde el 1-ene-2021).</t>
        </is>
      </c>
    </row>
    <row r="11">
      <c r="A11" t="inlineStr">
        <is>
          <t>Delivery — Misma regla que el take away: es entrega de bienes, no servicio de hostelería.</t>
        </is>
      </c>
    </row>
    <row r="12">
      <c r="A12" t="inlineStr">
        <is>
          <t>Fuente: Ley 37/1992 del IVA, texto consolidado: https://www.boe.es/buscar/act.php?id=BOE-A-1992-28740</t>
        </is>
      </c>
    </row>
    <row r="13"/>
    <row r="14">
      <c r="A14" s="2" t="inlineStr">
        <is>
          <t>PARÁMETROS DEL SIMULADOR POR CANAL</t>
        </is>
      </c>
    </row>
    <row r="15" ht="34" customHeight="1">
      <c r="A15" s="5" t="inlineStr">
        <is>
          <t>Canal</t>
        </is>
      </c>
      <c r="B15" s="5" t="inlineStr">
        <is>
          <t>Comisión de la plataforma (%)</t>
        </is>
      </c>
      <c r="C15" s="5" t="inlineStr">
        <is>
          <t>Packaging (€/pedido)</t>
        </is>
      </c>
      <c r="D15" s="5" t="inlineStr">
        <is>
          <t>Platos por pedido (n.º)</t>
        </is>
      </c>
      <c r="E15" s="5" t="inlineStr">
        <is>
          <t>Food cost objetivo (%)</t>
        </is>
      </c>
      <c r="F15" s="5" t="inlineStr">
        <is>
          <t>Packaging por plato (€)</t>
        </is>
      </c>
    </row>
    <row r="16">
      <c r="A16" s="6" t="inlineStr">
        <is>
          <t>Sala</t>
        </is>
      </c>
      <c r="B16" s="7" t="n">
        <v>0</v>
      </c>
      <c r="C16" s="8" t="n">
        <v>0</v>
      </c>
      <c r="D16" s="9" t="n">
        <v>1</v>
      </c>
      <c r="E16" s="7" t="n">
        <v>0.3</v>
      </c>
      <c r="F16" s="10">
        <f>IFERROR(IF(OR($C16="",$D16="",$D16=0),"",$C16/$D16),"")</f>
        <v>0.0</v>
      </c>
    </row>
    <row r="17">
      <c r="A17" s="6" t="inlineStr">
        <is>
          <t>Take away</t>
        </is>
      </c>
      <c r="B17" s="7" t="n">
        <v>0</v>
      </c>
      <c r="C17" s="8" t="n">
        <v>1.75</v>
      </c>
      <c r="D17" s="9" t="n">
        <v>2.5</v>
      </c>
      <c r="E17" s="7" t="n">
        <v>0.3</v>
      </c>
      <c r="F17" s="10">
        <f>IFERROR(IF(OR($C17="",$D17="",$D17=0),"",$C17/$D17),"")</f>
        <v>0.7</v>
      </c>
    </row>
    <row r="18">
      <c r="A18" s="6" t="inlineStr">
        <is>
          <t>Delivery</t>
        </is>
      </c>
      <c r="B18" s="7" t="n">
        <v>0.3</v>
      </c>
      <c r="C18" s="8" t="n">
        <v>1.75</v>
      </c>
      <c r="D18" s="9" t="n">
        <v>2.5</v>
      </c>
      <c r="E18" s="7" t="n">
        <v>0.4</v>
      </c>
      <c r="F18" s="10">
        <f>IFERROR(IF(OR($C18="",$D18="",$D18=0),"",$C18/$D18),"")</f>
        <v>0.7</v>
      </c>
    </row>
    <row r="19">
      <c r="A19" t="inlineStr">
        <is>
          <t>En sala no hay packaging ni comisión: el packaging por plato sale de dividir el envase de un pedido entre los platos que lleva ese pedido.</t>
        </is>
      </c>
    </row>
    <row r="20">
      <c r="A20" t="inlineStr">
        <is>
          <t>La comisión se aplica sobre el precio CON el que vendes en la plataforma; el food cost objetivo puede ser distinto en cada canal si decides que el delivery trabaje con otro margen.</t>
        </is>
      </c>
    </row>
    <row r="21"/>
    <row r="22">
      <c r="A22" s="2" t="inlineStr">
        <is>
          <t>COMISIONES DE LAS PLATAFORMAS — ORDEN DE MAGNITUD (INFORMATIVO, NO ES UN TARIFARIO)</t>
        </is>
      </c>
    </row>
    <row r="23" ht="20" customHeight="1">
      <c r="A23" s="5" t="inlineStr">
        <is>
          <t>Plataforma</t>
        </is>
      </c>
      <c r="B23" s="5" t="inlineStr">
        <is>
          <t>Comisión y cuotas de referencia</t>
        </is>
      </c>
    </row>
    <row r="24">
      <c r="A24" s="6" t="inlineStr">
        <is>
          <t>Glovo</t>
        </is>
      </c>
      <c r="B24" t="inlineStr">
        <is>
          <t>15-35 % + IVA según zona y si la plataforma reparte; cuota mensual aprox. 39 €</t>
        </is>
      </c>
    </row>
    <row r="25">
      <c r="A25" s="6" t="inlineStr">
        <is>
          <t>Uber Eats</t>
        </is>
      </c>
      <c r="B25" t="inlineStr">
        <is>
          <t>30 % / 25 % / 15-20 % + IVA según plan</t>
        </is>
      </c>
    </row>
    <row r="26">
      <c r="A26" s="6" t="inlineStr">
        <is>
          <t>Just Eat</t>
        </is>
      </c>
      <c r="B26" t="inlineStr">
        <is>
          <t>13 % + IVA solo marketing (reparto propio) · 25-35 % + IVA servicio completo · 0,30 €/pedido</t>
        </is>
      </c>
    </row>
    <row r="27">
      <c r="A27" s="6" t="inlineStr">
        <is>
          <t>Deliveroo</t>
        </is>
      </c>
      <c r="B27" t="inlineStr">
        <is>
          <t>30 % + IVA estándar · 25 % + IVA a partir de 500 pedidos/mes · cuota tecnológica 50 €/mes</t>
        </is>
      </c>
    </row>
    <row r="28">
      <c r="A28" t="inlineStr">
        <is>
          <t>Fuente: Orden de magnitud de mercado 2025-2026 según qamarero.com (consultado el 2026-09-03). Las plataformas no publican tarifario: usa el porcentaje de TU contrato.</t>
        </is>
      </c>
    </row>
    <row r="29">
      <c r="A29" t="inlineStr">
        <is>
          <t>Packaging de referencia: 1,35-2,15 €/pedido (misma fuente). Usa el coste real de TU envase.</t>
        </is>
      </c>
    </row>
  </sheetData>
  <sheetProtection selectLockedCells="0" selectUnlockedCells="0" sheet="1" objects="0" insertRows="0" insertHyperlinks="1" autoFilter="1" scenarios="0" formatColumns="0" deleteColumns="1" insertColumns="1" pivotTables="1" deleteRows="1" formatCells="1" formatRows="0" sort="0"/>
  <dataValidations count="5">
    <dataValidation sqref="B6 B7 B8 C6 C7 C8 D6 D7 D8" showDropDown="0" showInputMessage="1" showErrorMessage="1" allowBlank="1" errorTitle="Tipo de IVA" error="Escribe un porcentaje entre 0 y 1 (0,20 = 20 %)." promptTitle="Tipo de IVA" prompt="Se escribe en tanto por uno: 0,10 = 10 %." type="decimal" operator="between">
      <formula1>0</formula1>
      <formula2>1.0</formula2>
    </dataValidation>
    <dataValidation sqref="B16 B17 B18" showDropDown="0" showInputMessage="1" showErrorMessage="1" allowBlank="1" errorTitle="Comisión" error="Escribe un porcentaje entre 0 y 0,95 (0,20 = 20 %)." promptTitle="Comisión" prompt="Se escribe en tanto por uno: 0,30 = 30 %." type="decimal" operator="between">
      <formula1>0</formula1>
      <formula2>0.95</formula2>
    </dataValidation>
    <dataValidation sqref="E16 E17 E18" showDropDown="0" showInputMessage="1" showErrorMessage="1" allowBlank="1" errorTitle="Food cost objetivo" error="Escribe un porcentaje entre 0 y 0,95 (0,20 = 20 %)." promptTitle="Food cost objetivo" prompt="Se escribe en tanto por uno: 0,30 = 30 %." type="decimal" operator="between">
      <formula1>0</formula1>
      <formula2>0.95</formula2>
    </dataValidation>
    <dataValidation sqref="C16 C17 C18" showDropDown="0" showInputMessage="0" showErrorMessage="1" allowBlank="1" errorTitle="Packaging (€/pedido)" error="Escribe un número mayor o igual que 0." type="decimal" operator="greaterThanOrEqual">
      <formula1>0</formula1>
    </dataValidation>
    <dataValidation sqref="D16 D17 D18" showDropDown="0" showInputMessage="0" showErrorMessage="1" allowBlank="1" errorTitle="Platos por pedido" error="Escribe un valor entre 0.1 y 50." type="decimal" operator="between">
      <formula1>0.1</formula1>
      <formula2>50</formula2>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AB36"/>
  <sheetViews>
    <sheetView workbookViewId="0">
      <pane xSplit="7" ySplit="4" topLeftCell="H5" activePane="bottomRight" state="frozen"/>
      <selection pane="topRight"/>
      <selection pane="bottomLeft"/>
      <selection pane="bottomRight" activeCell="A1" sqref="A1"/>
    </sheetView>
  </sheetViews>
  <sheetFormatPr baseColWidth="8" defaultRowHeight="15"/>
  <cols>
    <col width="5" customWidth="1" min="1" max="1"/>
    <col width="40" customWidth="1" min="2" max="2"/>
    <col width="13" customWidth="1" min="3" max="3"/>
    <col width="13" customWidth="1" min="4" max="4"/>
    <col width="17" customWidth="1" min="5" max="5"/>
    <col width="15" customWidth="1" min="6" max="6"/>
    <col width="12" customWidth="1" min="7" max="7"/>
    <col width="14" customWidth="1" min="8" max="8"/>
    <col width="16" customWidth="1" min="9" max="9"/>
    <col width="15" customWidth="1" min="10" max="10"/>
    <col width="20" customWidth="1" min="11" max="11"/>
    <col width="15" customWidth="1" min="12" max="12"/>
    <col width="15" customWidth="1" min="13" max="13"/>
    <col width="15" customWidth="1" min="14" max="14"/>
    <col width="14" customWidth="1" min="15" max="15"/>
    <col width="16" customWidth="1" min="16" max="16"/>
    <col width="15" customWidth="1" min="17" max="17"/>
    <col width="20" customWidth="1" min="18" max="18"/>
    <col width="15" customWidth="1" min="19" max="19"/>
    <col width="15" customWidth="1" min="20" max="20"/>
    <col width="15" customWidth="1" min="21" max="21"/>
    <col width="14" customWidth="1" min="22" max="22"/>
    <col width="16" customWidth="1" min="23" max="23"/>
    <col width="15" customWidth="1" min="24" max="24"/>
    <col width="20" customWidth="1" min="25" max="25"/>
    <col width="15" customWidth="1" min="26" max="26"/>
    <col width="15" customWidth="1" min="27" max="27"/>
    <col width="15" customWidth="1" min="28" max="28"/>
  </cols>
  <sheetData>
    <row r="1" ht="30" customHeight="1">
      <c r="A1" s="1" t="inlineStr">
        <is>
          <t>Carta: el mismo plato en sala, take away y delivery</t>
        </is>
      </c>
    </row>
    <row r="2">
      <c r="A2" t="inlineStr">
        <is>
          <t>AI Chef Pro · aichef.pro — Guía Food Cost + Ingeniería de Menú</t>
        </is>
      </c>
    </row>
    <row r="3">
      <c r="A3" s="11" t="inlineStr">
        <is>
          <t>El coste por ración sale de la ficha de escandallo; el PVP de sala es el que tienes hoy en la carta, sin IVA.</t>
        </is>
      </c>
      <c r="H3" s="12" t="inlineStr">
        <is>
          <t>Sala</t>
        </is>
      </c>
      <c r="O3" s="12" t="inlineStr">
        <is>
          <t>Take away</t>
        </is>
      </c>
      <c r="V3" s="12" t="inlineStr">
        <is>
          <t>Delivery</t>
        </is>
      </c>
    </row>
    <row r="4" ht="48" customHeight="1">
      <c r="A4" s="5" t="inlineStr">
        <is>
          <t>#</t>
        </is>
      </c>
      <c r="B4" s="5" t="inlineStr">
        <is>
          <t>Plato</t>
        </is>
      </c>
      <c r="C4" s="5" t="inlineStr">
        <is>
          <t>Coste por ración, sin IVA (€)</t>
        </is>
      </c>
      <c r="D4" s="5" t="inlineStr">
        <is>
          <t>PVP en sala, sin IVA (€)</t>
        </is>
      </c>
      <c r="E4" s="5" t="inlineStr">
        <is>
          <t>Tipo de producto (IVA)</t>
        </is>
      </c>
      <c r="F4" s="5" t="inlineStr">
        <is>
          <t>Precio techo del mercado, sin IVA (€)</t>
        </is>
      </c>
      <c r="G4" s="5" t="inlineStr">
        <is>
          <t>Uds vendidas al mes (n.º)</t>
        </is>
      </c>
      <c r="H4" s="5" t="inlineStr">
        <is>
          <t>Food cost efectivo al PVP de sala (%)</t>
        </is>
      </c>
      <c r="I4" s="5" t="inlineStr">
        <is>
          <t>PVP sin IVA necesario para el food cost objetivo (€)</t>
        </is>
      </c>
      <c r="J4" s="5" t="inlineStr">
        <is>
          <t>PVP con IVA para el cliente (€)</t>
        </is>
      </c>
      <c r="K4" s="5" t="inlineStr">
        <is>
          <t>¿Viable? (PVP necesario vs precio techo)</t>
        </is>
      </c>
      <c r="L4" s="5" t="inlineStr">
        <is>
          <t>PVP que puedes cobrar, sin IVA (€)</t>
        </is>
      </c>
      <c r="M4" s="5" t="inlineStr">
        <is>
          <t>Ingreso neto por plato (€)</t>
        </is>
      </c>
      <c r="N4" s="5" t="inlineStr">
        <is>
          <t>Margen mensual (€)</t>
        </is>
      </c>
      <c r="O4" s="5" t="inlineStr">
        <is>
          <t>Food cost efectivo al PVP de sala (%)</t>
        </is>
      </c>
      <c r="P4" s="5" t="inlineStr">
        <is>
          <t>PVP sin IVA necesario para el food cost objetivo (€)</t>
        </is>
      </c>
      <c r="Q4" s="5" t="inlineStr">
        <is>
          <t>PVP con IVA para el cliente (€)</t>
        </is>
      </c>
      <c r="R4" s="5" t="inlineStr">
        <is>
          <t>¿Viable? (PVP necesario vs precio techo)</t>
        </is>
      </c>
      <c r="S4" s="5" t="inlineStr">
        <is>
          <t>PVP que puedes cobrar, sin IVA (€)</t>
        </is>
      </c>
      <c r="T4" s="5" t="inlineStr">
        <is>
          <t>Ingreso neto por plato (€)</t>
        </is>
      </c>
      <c r="U4" s="5" t="inlineStr">
        <is>
          <t>Margen mensual (€)</t>
        </is>
      </c>
      <c r="V4" s="5" t="inlineStr">
        <is>
          <t>Food cost efectivo al PVP de sala (%)</t>
        </is>
      </c>
      <c r="W4" s="5" t="inlineStr">
        <is>
          <t>PVP sin IVA necesario para el food cost objetivo (€)</t>
        </is>
      </c>
      <c r="X4" s="5" t="inlineStr">
        <is>
          <t>PVP con IVA para el cliente (€)</t>
        </is>
      </c>
      <c r="Y4" s="5" t="inlineStr">
        <is>
          <t>¿Viable? (PVP necesario vs precio techo)</t>
        </is>
      </c>
      <c r="Z4" s="5" t="inlineStr">
        <is>
          <t>PVP que puedes cobrar, sin IVA (€)</t>
        </is>
      </c>
      <c r="AA4" s="5" t="inlineStr">
        <is>
          <t>Ingreso neto por plato (€)</t>
        </is>
      </c>
      <c r="AB4" s="5" t="inlineStr">
        <is>
          <t>Margen mensual (€)</t>
        </is>
      </c>
    </row>
    <row r="5">
      <c r="A5" s="13" t="n">
        <v>1</v>
      </c>
      <c r="B5" s="4" t="inlineStr">
        <is>
          <t>Croquetas de jamón ibérico (6 ud)</t>
        </is>
      </c>
      <c r="C5" s="8" t="n">
        <v>2.1</v>
      </c>
      <c r="D5" s="8" t="n">
        <v>8.6</v>
      </c>
      <c r="E5" s="4" t="inlineStr">
        <is>
          <t>Comida</t>
        </is>
      </c>
      <c r="F5" s="8" t="n">
        <v>11.6</v>
      </c>
      <c r="G5" s="14" t="n">
        <v>420</v>
      </c>
      <c r="H5" s="15">
        <f>IFERROR(IF(OR($C5="",$D5=""),"",($C5+$D$34)/($D5*(1-$C$34))),"")</f>
        <v>0.24418604651162792</v>
      </c>
      <c r="I5" s="10">
        <f>IFERROR(IF($C5="","",($C5+$D$34)/($E$34*(1-$C$34))),"")</f>
        <v>7.000000000000001</v>
      </c>
      <c r="J5" s="10">
        <f>IFERROR(IF(OR($I5="",$E5=""),"",$I5*(1+INDEX(Parámetros!$B$6:$D$8,MATCH($B$34,Parámetros!$A$6:$A$8,0),MATCH($E5,Parámetros!$B$5:$D$5,0)))),"")</f>
        <v>7.700000000000002</v>
      </c>
      <c r="K5" t="str">
        <f>IF(OR($I5="",$F5=""),"",IF($I5&lt;=$F5,"Sí","No: no llega al precio que acepta el mercado"))</f>
        <v>Sí</v>
      </c>
      <c r="L5" s="10">
        <f>IFERROR(IF(OR($I5="",$F5=""),"",MIN($I5,$F5)),"")</f>
        <v>7.000000000000001</v>
      </c>
      <c r="M5" s="10">
        <f>IFERROR(IF($L5="","",$L5*(1-$C$34)-$D$34),"")</f>
        <v>7.000000000000001</v>
      </c>
      <c r="N5" s="10">
        <f>IFERROR(IF(OR($M5="",$C5="",$G5=""),"",($M5-$C5)*$G5),"")</f>
        <v>2058.0</v>
      </c>
      <c r="O5" s="15">
        <f>IFERROR(IF(OR($C5="",$D5=""),"",($C5+$D$35)/($D5*(1-$C$35))),"")</f>
        <v>0.3255813953488372</v>
      </c>
      <c r="P5" s="10">
        <f>IFERROR(IF($C5="","",($C5+$D$35)/($E$35*(1-$C$35))),"")</f>
        <v>9.333333333333334</v>
      </c>
      <c r="Q5" s="10">
        <f>IFERROR(IF(OR($P5="",$E5=""),"",$P5*(1+INDEX(Parámetros!$B$6:$D$8,MATCH($B$35,Parámetros!$A$6:$A$8,0),MATCH($E5,Parámetros!$B$5:$D$5,0)))),"")</f>
        <v>10.266666666666667</v>
      </c>
      <c r="R5" t="str">
        <f>IF(OR($P5="",$F5=""),"",IF($P5&lt;=$F5,"Sí","No: excluir o reformular"))</f>
        <v>Sí</v>
      </c>
      <c r="S5" s="10">
        <f>IFERROR(IF(OR($P5="",$F5=""),"",MIN($P5,$F5)),"")</f>
        <v>9.333333333333334</v>
      </c>
      <c r="T5" s="10">
        <f>IFERROR(IF($S5="","",$S5*(1-$C$35)-$D$35),"")</f>
        <v>8.633333333333335</v>
      </c>
      <c r="U5" s="10">
        <f>IFERROR(IF(OR($T5="",$C5="",$G5=""),"",($T5-$C5)*$G5),"")</f>
        <v>2744.000000000001</v>
      </c>
      <c r="V5" s="15">
        <f>IFERROR(IF(OR($C5="",$D5=""),"",($C5+$D$36)/($D5*(1-$C$36))),"")</f>
        <v>0.46511627906976744</v>
      </c>
      <c r="W5" s="10">
        <f>IFERROR(IF($C5="","",($C5+$D$36)/($E$36*(1-$C$36))),"")</f>
        <v>10.0</v>
      </c>
      <c r="X5" s="10">
        <f>IFERROR(IF(OR($W5="",$E5=""),"",$W5*(1+INDEX(Parámetros!$B$6:$D$8,MATCH($B$36,Parámetros!$A$6:$A$8,0),MATCH($E5,Parámetros!$B$5:$D$5,0)))),"")</f>
        <v>11.0</v>
      </c>
      <c r="Y5" t="str">
        <f>IF(OR($W5="",$F5=""),"",IF($W5&lt;=$F5,"Sí","No: excluir o reformular"))</f>
        <v>Sí</v>
      </c>
      <c r="Z5" s="10">
        <f>IFERROR(IF(OR($W5="",$F5=""),"",MIN($W5,$F5)),"")</f>
        <v>10.0</v>
      </c>
      <c r="AA5" s="10">
        <f>IFERROR(IF($Z5="","",$Z5*(1-$C$36)-$D$36),"")</f>
        <v>6.3</v>
      </c>
      <c r="AB5" s="10">
        <f>IFERROR(IF(OR($AA5="",$C5="",$G5=""),"",($AA5-$C5)*$G5),"")</f>
        <v>1763.9999999999998</v>
      </c>
    </row>
    <row r="6">
      <c r="A6" s="13" t="n">
        <v>2</v>
      </c>
      <c r="B6" s="4" t="inlineStr">
        <is>
          <t>Ensalada de tomate rosa, ventresca y cebolleta</t>
        </is>
      </c>
      <c r="C6" s="8" t="n">
        <v>3.6</v>
      </c>
      <c r="D6" s="8" t="n">
        <v>11.8</v>
      </c>
      <c r="E6" s="4" t="inlineStr">
        <is>
          <t>Comida</t>
        </is>
      </c>
      <c r="F6" s="8" t="n">
        <v>15.9</v>
      </c>
      <c r="G6" s="14" t="n">
        <v>310</v>
      </c>
      <c r="H6" s="15">
        <f>IFERROR(IF(OR($C6="",$D6=""),"",($C6+$D$34)/($D6*(1-$C$34))),"")</f>
        <v>0.30508474576271183</v>
      </c>
      <c r="I6" s="10">
        <f>IFERROR(IF($C6="","",($C6+$D$34)/($E$34*(1-$C$34))),"")</f>
        <v>12.0</v>
      </c>
      <c r="J6" s="10">
        <f>IFERROR(IF(OR($I6="",$E6=""),"",$I6*(1+INDEX(Parámetros!$B$6:$D$8,MATCH($B$34,Parámetros!$A$6:$A$8,0),MATCH($E6,Parámetros!$B$5:$D$5,0)))),"")</f>
        <v>13.200000000000001</v>
      </c>
      <c r="K6" t="str">
        <f>IF(OR($I6="",$F6=""),"",IF($I6&lt;=$F6,"Sí","No: no llega al precio que acepta el mercado"))</f>
        <v>Sí</v>
      </c>
      <c r="L6" s="10">
        <f>IFERROR(IF(OR($I6="",$F6=""),"",MIN($I6,$F6)),"")</f>
        <v>12.0</v>
      </c>
      <c r="M6" s="10">
        <f>IFERROR(IF($L6="","",$L6*(1-$C$34)-$D$34),"")</f>
        <v>12.0</v>
      </c>
      <c r="N6" s="10">
        <f>IFERROR(IF(OR($M6="",$C6="",$G6=""),"",($M6-$C6)*$G6),"")</f>
        <v>2604.0</v>
      </c>
      <c r="O6" s="15">
        <f>IFERROR(IF(OR($C6="",$D6=""),"",($C6+$D$35)/($D6*(1-$C$35))),"")</f>
        <v>0.3644067796610169</v>
      </c>
      <c r="P6" s="10">
        <f>IFERROR(IF($C6="","",($C6+$D$35)/($E$35*(1-$C$35))),"")</f>
        <v>14.333333333333334</v>
      </c>
      <c r="Q6" s="10">
        <f>IFERROR(IF(OR($P6="",$E6=""),"",$P6*(1+INDEX(Parámetros!$B$6:$D$8,MATCH($B$35,Parámetros!$A$6:$A$8,0),MATCH($E6,Parámetros!$B$5:$D$5,0)))),"")</f>
        <v>15.76666666666667</v>
      </c>
      <c r="R6" t="str">
        <f>IF(OR($P6="",$F6=""),"",IF($P6&lt;=$F6,"Sí","No: excluir o reformular"))</f>
        <v>Sí</v>
      </c>
      <c r="S6" s="10">
        <f>IFERROR(IF(OR($P6="",$F6=""),"",MIN($P6,$F6)),"")</f>
        <v>14.333333333333334</v>
      </c>
      <c r="T6" s="10">
        <f>IFERROR(IF($S6="","",$S6*(1-$C$35)-$D$35),"")</f>
        <v>13.633333333333335</v>
      </c>
      <c r="U6" s="10">
        <f>IFERROR(IF(OR($T6="",$C6="",$G6=""),"",($T6-$C6)*$G6),"")</f>
        <v>3110.333333333334</v>
      </c>
      <c r="V6" s="15">
        <f>IFERROR(IF(OR($C6="",$D6=""),"",($C6+$D$36)/($D6*(1-$C$36))),"")</f>
        <v>0.5205811138014528</v>
      </c>
      <c r="W6" s="10">
        <f>IFERROR(IF($C6="","",($C6+$D$36)/($E$36*(1-$C$36))),"")</f>
        <v>15.357142857142858</v>
      </c>
      <c r="X6" s="10">
        <f>IFERROR(IF(OR($W6="",$E6=""),"",$W6*(1+INDEX(Parámetros!$B$6:$D$8,MATCH($B$36,Parámetros!$A$6:$A$8,0),MATCH($E6,Parámetros!$B$5:$D$5,0)))),"")</f>
        <v>16.892857142857146</v>
      </c>
      <c r="Y6" t="str">
        <f>IF(OR($W6="",$F6=""),"",IF($W6&lt;=$F6,"Sí","No: excluir o reformular"))</f>
        <v>Sí</v>
      </c>
      <c r="Z6" s="10">
        <f>IFERROR(IF(OR($W6="",$F6=""),"",MIN($W6,$F6)),"")</f>
        <v>15.357142857142858</v>
      </c>
      <c r="AA6" s="10">
        <f>IFERROR(IF($Z6="","",$Z6*(1-$C$36)-$D$36),"")</f>
        <v>10.05</v>
      </c>
      <c r="AB6" s="10">
        <f>IFERROR(IF(OR($AA6="",$C6="",$G6=""),"",($AA6-$C6)*$G6),"")</f>
        <v>1999.5000000000002</v>
      </c>
    </row>
    <row r="7">
      <c r="A7" s="13" t="n">
        <v>3</v>
      </c>
      <c r="B7" s="4" t="inlineStr">
        <is>
          <t>Gambas al ajillo</t>
        </is>
      </c>
      <c r="C7" s="8" t="n">
        <v>6.9</v>
      </c>
      <c r="D7" s="8" t="n">
        <v>15.5</v>
      </c>
      <c r="E7" s="4" t="inlineStr">
        <is>
          <t>Comida</t>
        </is>
      </c>
      <c r="F7" s="8" t="n">
        <v>20.9</v>
      </c>
      <c r="G7" s="14" t="n">
        <v>260</v>
      </c>
      <c r="H7" s="15">
        <f>IFERROR(IF(OR($C7="",$D7=""),"",($C7+$D$34)/($D7*(1-$C$34))),"")</f>
        <v>0.44516129032258067</v>
      </c>
      <c r="I7" s="10">
        <f>IFERROR(IF($C7="","",($C7+$D$34)/($E$34*(1-$C$34))),"")</f>
        <v>23.000000000000004</v>
      </c>
      <c r="J7" s="10">
        <f>IFERROR(IF(OR($I7="",$E7=""),"",$I7*(1+INDEX(Parámetros!$B$6:$D$8,MATCH($B$34,Parámetros!$A$6:$A$8,0),MATCH($E7,Parámetros!$B$5:$D$5,0)))),"")</f>
        <v>25.300000000000004</v>
      </c>
      <c r="K7" t="str">
        <f>IF(OR($I7="",$F7=""),"",IF($I7&lt;=$F7,"Sí","No: no llega al precio que acepta el mercado"))</f>
        <v>No: no llega al precio que acepta el mercado</v>
      </c>
      <c r="L7" s="10">
        <f>IFERROR(IF(OR($I7="",$F7=""),"",MIN($I7,$F7)),"")</f>
        <v>20.9</v>
      </c>
      <c r="M7" s="10">
        <f>IFERROR(IF($L7="","",$L7*(1-$C$34)-$D$34),"")</f>
        <v>20.9</v>
      </c>
      <c r="N7" s="10">
        <f>IFERROR(IF(OR($M7="",$C7="",$G7=""),"",($M7-$C7)*$G7),"")</f>
        <v>3639.9999999999995</v>
      </c>
      <c r="O7" s="15">
        <f>IFERROR(IF(OR($C7="",$D7=""),"",($C7+$D$35)/($D7*(1-$C$35))),"")</f>
        <v>0.4903225806451613</v>
      </c>
      <c r="P7" s="10">
        <f>IFERROR(IF($C7="","",($C7+$D$35)/($E$35*(1-$C$35))),"")</f>
        <v>25.333333333333336</v>
      </c>
      <c r="Q7" s="10">
        <f>IFERROR(IF(OR($P7="",$E7=""),"",$P7*(1+INDEX(Parámetros!$B$6:$D$8,MATCH($B$35,Parámetros!$A$6:$A$8,0),MATCH($E7,Parámetros!$B$5:$D$5,0)))),"")</f>
        <v>27.86666666666667</v>
      </c>
      <c r="R7" t="str">
        <f>IF(OR($P7="",$F7=""),"",IF($P7&lt;=$F7,"Sí","No: excluir o reformular"))</f>
        <v>No: excluir o reformular</v>
      </c>
      <c r="S7" s="10">
        <f>IFERROR(IF(OR($P7="",$F7=""),"",MIN($P7,$F7)),"")</f>
        <v>20.9</v>
      </c>
      <c r="T7" s="10">
        <f>IFERROR(IF($S7="","",$S7*(1-$C$35)-$D$35),"")</f>
        <v>20.2</v>
      </c>
      <c r="U7" s="10">
        <f>IFERROR(IF(OR($T7="",$C7="",$G7=""),"",($T7-$C7)*$G7),"")</f>
        <v>3457.9999999999995</v>
      </c>
      <c r="V7" s="15">
        <f>IFERROR(IF(OR($C7="",$D7=""),"",($C7+$D$36)/($D7*(1-$C$36))),"")</f>
        <v>0.7004608294930876</v>
      </c>
      <c r="W7" s="10">
        <f>IFERROR(IF($C7="","",($C7+$D$36)/($E$36*(1-$C$36))),"")</f>
        <v>27.142857142857146</v>
      </c>
      <c r="X7" s="10">
        <f>IFERROR(IF(OR($W7="",$E7=""),"",$W7*(1+INDEX(Parámetros!$B$6:$D$8,MATCH($B$36,Parámetros!$A$6:$A$8,0),MATCH($E7,Parámetros!$B$5:$D$5,0)))),"")</f>
        <v>29.85714285714286</v>
      </c>
      <c r="Y7" t="str">
        <f>IF(OR($W7="",$F7=""),"",IF($W7&lt;=$F7,"Sí","No: excluir o reformular"))</f>
        <v>No: excluir o reformular</v>
      </c>
      <c r="Z7" s="10">
        <f>IFERROR(IF(OR($W7="",$F7=""),"",MIN($W7,$F7)),"")</f>
        <v>20.9</v>
      </c>
      <c r="AA7" s="10">
        <f>IFERROR(IF($Z7="","",$Z7*(1-$C$36)-$D$36),"")</f>
        <v>13.929999999999998</v>
      </c>
      <c r="AB7" s="10">
        <f>IFERROR(IF(OR($AA7="",$C7="",$G7=""),"",($AA7-$C7)*$G7),"")</f>
        <v>1827.7999999999993</v>
      </c>
    </row>
    <row r="8">
      <c r="A8" s="13" t="n">
        <v>4</v>
      </c>
      <c r="B8" s="4" t="inlineStr">
        <is>
          <t>Huevos rotos con patatas y chistorra</t>
        </is>
      </c>
      <c r="C8" s="8" t="n">
        <v>2.4</v>
      </c>
      <c r="D8" s="8" t="n">
        <v>9.800000000000001</v>
      </c>
      <c r="E8" s="4" t="inlineStr">
        <is>
          <t>Comida</t>
        </is>
      </c>
      <c r="F8" s="8" t="n">
        <v>13.2</v>
      </c>
      <c r="G8" s="14" t="n">
        <v>380</v>
      </c>
      <c r="H8" s="15">
        <f>IFERROR(IF(OR($C8="",$D8=""),"",($C8+$D$34)/($D8*(1-$C$34))),"")</f>
        <v>0.24489795918367344</v>
      </c>
      <c r="I8" s="10">
        <f>IFERROR(IF($C8="","",($C8+$D$34)/($E$34*(1-$C$34))),"")</f>
        <v>8.0</v>
      </c>
      <c r="J8" s="10">
        <f>IFERROR(IF(OR($I8="",$E8=""),"",$I8*(1+INDEX(Parámetros!$B$6:$D$8,MATCH($B$34,Parámetros!$A$6:$A$8,0),MATCH($E8,Parámetros!$B$5:$D$5,0)))),"")</f>
        <v>8.8</v>
      </c>
      <c r="K8" t="str">
        <f>IF(OR($I8="",$F8=""),"",IF($I8&lt;=$F8,"Sí","No: no llega al precio que acepta el mercado"))</f>
        <v>Sí</v>
      </c>
      <c r="L8" s="10">
        <f>IFERROR(IF(OR($I8="",$F8=""),"",MIN($I8,$F8)),"")</f>
        <v>8.0</v>
      </c>
      <c r="M8" s="10">
        <f>IFERROR(IF($L8="","",$L8*(1-$C$34)-$D$34),"")</f>
        <v>8.0</v>
      </c>
      <c r="N8" s="10">
        <f>IFERROR(IF(OR($M8="",$C8="",$G8=""),"",($M8-$C8)*$G8),"")</f>
        <v>2128.0</v>
      </c>
      <c r="O8" s="15">
        <f>IFERROR(IF(OR($C8="",$D8=""),"",($C8+$D$35)/($D8*(1-$C$35))),"")</f>
        <v>0.31632653061224486</v>
      </c>
      <c r="P8" s="10">
        <f>IFERROR(IF($C8="","",($C8+$D$35)/($E$35*(1-$C$35))),"")</f>
        <v>10.333333333333332</v>
      </c>
      <c r="Q8" s="10">
        <f>IFERROR(IF(OR($P8="",$E8=""),"",$P8*(1+INDEX(Parámetros!$B$6:$D$8,MATCH($B$35,Parámetros!$A$6:$A$8,0),MATCH($E8,Parámetros!$B$5:$D$5,0)))),"")</f>
        <v>11.366666666666667</v>
      </c>
      <c r="R8" t="str">
        <f>IF(OR($P8="",$F8=""),"",IF($P8&lt;=$F8,"Sí","No: excluir o reformular"))</f>
        <v>Sí</v>
      </c>
      <c r="S8" s="10">
        <f>IFERROR(IF(OR($P8="",$F8=""),"",MIN($P8,$F8)),"")</f>
        <v>10.333333333333332</v>
      </c>
      <c r="T8" s="10">
        <f>IFERROR(IF($S8="","",$S8*(1-$C$35)-$D$35),"")</f>
        <v>9.633333333333333</v>
      </c>
      <c r="U8" s="10">
        <f>IFERROR(IF(OR($T8="",$C8="",$G8=""),"",($T8-$C8)*$G8),"")</f>
        <v>2748.6666666666665</v>
      </c>
      <c r="V8" s="15">
        <f>IFERROR(IF(OR($C8="",$D8=""),"",($C8+$D$36)/($D8*(1-$C$36))),"")</f>
        <v>0.45189504373177836</v>
      </c>
      <c r="W8" s="10">
        <f>IFERROR(IF($C8="","",($C8+$D$36)/($E$36*(1-$C$36))),"")</f>
        <v>11.071428571428571</v>
      </c>
      <c r="X8" s="10">
        <f>IFERROR(IF(OR($W8="",$E8=""),"",$W8*(1+INDEX(Parámetros!$B$6:$D$8,MATCH($B$36,Parámetros!$A$6:$A$8,0),MATCH($E8,Parámetros!$B$5:$D$5,0)))),"")</f>
        <v>12.178571428571429</v>
      </c>
      <c r="Y8" t="str">
        <f>IF(OR($W8="",$F8=""),"",IF($W8&lt;=$F8,"Sí","No: excluir o reformular"))</f>
        <v>Sí</v>
      </c>
      <c r="Z8" s="10">
        <f>IFERROR(IF(OR($W8="",$F8=""),"",MIN($W8,$F8)),"")</f>
        <v>11.071428571428571</v>
      </c>
      <c r="AA8" s="10">
        <f>IFERROR(IF($Z8="","",$Z8*(1-$C$36)-$D$36),"")</f>
        <v>7.049999999999999</v>
      </c>
      <c r="AB8" s="10">
        <f>IFERROR(IF(OR($AA8="",$C8="",$G8=""),"",($AA8-$C8)*$G8),"")</f>
        <v>1766.9999999999995</v>
      </c>
    </row>
    <row r="9">
      <c r="A9" s="13" t="n">
        <v>5</v>
      </c>
      <c r="B9" s="4" t="inlineStr">
        <is>
          <t>Tabla de quesos de la zona</t>
        </is>
      </c>
      <c r="C9" s="8" t="n">
        <v>5.2</v>
      </c>
      <c r="D9" s="8" t="n">
        <v>13.6</v>
      </c>
      <c r="E9" s="4" t="inlineStr">
        <is>
          <t>Comida</t>
        </is>
      </c>
      <c r="F9" s="8" t="n">
        <v>18.4</v>
      </c>
      <c r="G9" s="14" t="n">
        <v>90</v>
      </c>
      <c r="H9" s="15">
        <f>IFERROR(IF(OR($C9="",$D9=""),"",($C9+$D$34)/($D9*(1-$C$34))),"")</f>
        <v>0.3823529411764706</v>
      </c>
      <c r="I9" s="10">
        <f>IFERROR(IF($C9="","",($C9+$D$34)/($E$34*(1-$C$34))),"")</f>
        <v>17.333333333333336</v>
      </c>
      <c r="J9" s="10">
        <f>IFERROR(IF(OR($I9="",$E9=""),"",$I9*(1+INDEX(Parámetros!$B$6:$D$8,MATCH($B$34,Parámetros!$A$6:$A$8,0),MATCH($E9,Parámetros!$B$5:$D$5,0)))),"")</f>
        <v>19.06666666666667</v>
      </c>
      <c r="K9" t="str">
        <f>IF(OR($I9="",$F9=""),"",IF($I9&lt;=$F9,"Sí","No: no llega al precio que acepta el mercado"))</f>
        <v>Sí</v>
      </c>
      <c r="L9" s="10">
        <f>IFERROR(IF(OR($I9="",$F9=""),"",MIN($I9,$F9)),"")</f>
        <v>17.333333333333336</v>
      </c>
      <c r="M9" s="10">
        <f>IFERROR(IF($L9="","",$L9*(1-$C$34)-$D$34),"")</f>
        <v>17.333333333333336</v>
      </c>
      <c r="N9" s="10">
        <f>IFERROR(IF(OR($M9="",$C9="",$G9=""),"",($M9-$C9)*$G9),"")</f>
        <v>1092.0000000000002</v>
      </c>
      <c r="O9" s="15">
        <f>IFERROR(IF(OR($C9="",$D9=""),"",($C9+$D$35)/($D9*(1-$C$35))),"")</f>
        <v>0.4338235294117647</v>
      </c>
      <c r="P9" s="10">
        <f>IFERROR(IF($C9="","",($C9+$D$35)/($E$35*(1-$C$35))),"")</f>
        <v>19.666666666666668</v>
      </c>
      <c r="Q9" s="10">
        <f>IFERROR(IF(OR($P9="",$E9=""),"",$P9*(1+INDEX(Parámetros!$B$6:$D$8,MATCH($B$35,Parámetros!$A$6:$A$8,0),MATCH($E9,Parámetros!$B$5:$D$5,0)))),"")</f>
        <v>21.633333333333336</v>
      </c>
      <c r="R9" t="str">
        <f>IF(OR($P9="",$F9=""),"",IF($P9&lt;=$F9,"Sí","No: excluir o reformular"))</f>
        <v>No: excluir o reformular</v>
      </c>
      <c r="S9" s="10">
        <f>IFERROR(IF(OR($P9="",$F9=""),"",MIN($P9,$F9)),"")</f>
        <v>18.4</v>
      </c>
      <c r="T9" s="10">
        <f>IFERROR(IF($S9="","",$S9*(1-$C$35)-$D$35),"")</f>
        <v>17.7</v>
      </c>
      <c r="U9" s="10">
        <f>IFERROR(IF(OR($T9="",$C9="",$G9=""),"",($T9-$C9)*$G9),"")</f>
        <v>1125.0</v>
      </c>
      <c r="V9" s="15">
        <f>IFERROR(IF(OR($C9="",$D9=""),"",($C9+$D$36)/($D9*(1-$C$36))),"")</f>
        <v>0.6197478991596639</v>
      </c>
      <c r="W9" s="10">
        <f>IFERROR(IF($C9="","",($C9+$D$36)/($E$36*(1-$C$36))),"")</f>
        <v>21.071428571428577</v>
      </c>
      <c r="X9" s="10">
        <f>IFERROR(IF(OR($W9="",$E9=""),"",$W9*(1+INDEX(Parámetros!$B$6:$D$8,MATCH($B$36,Parámetros!$A$6:$A$8,0),MATCH($E9,Parámetros!$B$5:$D$5,0)))),"")</f>
        <v>23.178571428571438</v>
      </c>
      <c r="Y9" t="str">
        <f>IF(OR($W9="",$F9=""),"",IF($W9&lt;=$F9,"Sí","No: excluir o reformular"))</f>
        <v>No: excluir o reformular</v>
      </c>
      <c r="Z9" s="10">
        <f>IFERROR(IF(OR($W9="",$F9=""),"",MIN($W9,$F9)),"")</f>
        <v>18.4</v>
      </c>
      <c r="AA9" s="10">
        <f>IFERROR(IF($Z9="","",$Z9*(1-$C$36)-$D$36),"")</f>
        <v>12.18</v>
      </c>
      <c r="AB9" s="10">
        <f>IFERROR(IF(OR($AA9="",$C9="",$G9=""),"",($AA9-$C9)*$G9),"")</f>
        <v>628.1999999999999</v>
      </c>
    </row>
    <row r="10">
      <c r="A10" s="13" t="n">
        <v>6</v>
      </c>
      <c r="B10" s="4" t="inlineStr">
        <is>
          <t>Alcachofas confitadas con jamón</t>
        </is>
      </c>
      <c r="C10" s="8" t="n">
        <v>3.1</v>
      </c>
      <c r="D10" s="8" t="n">
        <v>10.9</v>
      </c>
      <c r="E10" s="4" t="inlineStr">
        <is>
          <t>Comida</t>
        </is>
      </c>
      <c r="F10" s="8" t="n">
        <v>14.7</v>
      </c>
      <c r="G10" s="14" t="n">
        <v>120</v>
      </c>
      <c r="H10" s="15">
        <f>IFERROR(IF(OR($C10="",$D10=""),"",($C10+$D$34)/($D10*(1-$C$34))),"")</f>
        <v>0.28440366972477066</v>
      </c>
      <c r="I10" s="10">
        <f>IFERROR(IF($C10="","",($C10+$D$34)/($E$34*(1-$C$34))),"")</f>
        <v>10.333333333333334</v>
      </c>
      <c r="J10" s="10">
        <f>IFERROR(IF(OR($I10="",$E10=""),"",$I10*(1+INDEX(Parámetros!$B$6:$D$8,MATCH($B$34,Parámetros!$A$6:$A$8,0),MATCH($E10,Parámetros!$B$5:$D$5,0)))),"")</f>
        <v>11.366666666666669</v>
      </c>
      <c r="K10" t="str">
        <f>IF(OR($I10="",$F10=""),"",IF($I10&lt;=$F10,"Sí","No: no llega al precio que acepta el mercado"))</f>
        <v>Sí</v>
      </c>
      <c r="L10" s="10">
        <f>IFERROR(IF(OR($I10="",$F10=""),"",MIN($I10,$F10)),"")</f>
        <v>10.333333333333334</v>
      </c>
      <c r="M10" s="10">
        <f>IFERROR(IF($L10="","",$L10*(1-$C$34)-$D$34),"")</f>
        <v>10.333333333333334</v>
      </c>
      <c r="N10" s="10">
        <f>IFERROR(IF(OR($M10="",$C10="",$G10=""),"",($M10-$C10)*$G10),"")</f>
        <v>868.0000000000001</v>
      </c>
      <c r="O10" s="15">
        <f>IFERROR(IF(OR($C10="",$D10=""),"",($C10+$D$35)/($D10*(1-$C$35))),"")</f>
        <v>0.34862385321100914</v>
      </c>
      <c r="P10" s="10">
        <f>IFERROR(IF($C10="","",($C10+$D$35)/($E$35*(1-$C$35))),"")</f>
        <v>12.666666666666666</v>
      </c>
      <c r="Q10" s="10">
        <f>IFERROR(IF(OR($P10="",$E10=""),"",$P10*(1+INDEX(Parámetros!$B$6:$D$8,MATCH($B$35,Parámetros!$A$6:$A$8,0),MATCH($E10,Parámetros!$B$5:$D$5,0)))),"")</f>
        <v>13.933333333333334</v>
      </c>
      <c r="R10" t="str">
        <f>IF(OR($P10="",$F10=""),"",IF($P10&lt;=$F10,"Sí","No: excluir o reformular"))</f>
        <v>Sí</v>
      </c>
      <c r="S10" s="10">
        <f>IFERROR(IF(OR($P10="",$F10=""),"",MIN($P10,$F10)),"")</f>
        <v>12.666666666666666</v>
      </c>
      <c r="T10" s="10">
        <f>IFERROR(IF($S10="","",$S10*(1-$C$35)-$D$35),"")</f>
        <v>11.966666666666667</v>
      </c>
      <c r="U10" s="10">
        <f>IFERROR(IF(OR($T10="",$C10="",$G10=""),"",($T10-$C10)*$G10),"")</f>
        <v>1064.0</v>
      </c>
      <c r="V10" s="15">
        <f>IFERROR(IF(OR($C10="",$D10=""),"",($C10+$D$36)/($D10*(1-$C$36))),"")</f>
        <v>0.49803407601572736</v>
      </c>
      <c r="W10" s="10">
        <f>IFERROR(IF($C10="","",($C10+$D$36)/($E$36*(1-$C$36))),"")</f>
        <v>13.571428571428573</v>
      </c>
      <c r="X10" s="10">
        <f>IFERROR(IF(OR($W10="",$E10=""),"",$W10*(1+INDEX(Parámetros!$B$6:$D$8,MATCH($B$36,Parámetros!$A$6:$A$8,0),MATCH($E10,Parámetros!$B$5:$D$5,0)))),"")</f>
        <v>14.92857142857143</v>
      </c>
      <c r="Y10" t="str">
        <f>IF(OR($W10="",$F10=""),"",IF($W10&lt;=$F10,"Sí","No: excluir o reformular"))</f>
        <v>Sí</v>
      </c>
      <c r="Z10" s="10">
        <f>IFERROR(IF(OR($W10="",$F10=""),"",MIN($W10,$F10)),"")</f>
        <v>13.571428571428573</v>
      </c>
      <c r="AA10" s="10">
        <f>IFERROR(IF($Z10="","",$Z10*(1-$C$36)-$D$36),"")</f>
        <v>8.8</v>
      </c>
      <c r="AB10" s="10">
        <f>IFERROR(IF(OR($AA10="",$C10="",$G10=""),"",($AA10-$C10)*$G10),"")</f>
        <v>684.0000000000001</v>
      </c>
    </row>
    <row r="11">
      <c r="A11" s="13" t="n">
        <v>7</v>
      </c>
      <c r="B11" s="4" t="inlineStr">
        <is>
          <t>Sopa de tomate asado con albahaca</t>
        </is>
      </c>
      <c r="C11" s="8" t="n">
        <v>1.2</v>
      </c>
      <c r="D11" s="8" t="n">
        <v>7.2</v>
      </c>
      <c r="E11" s="4" t="inlineStr">
        <is>
          <t>Comida</t>
        </is>
      </c>
      <c r="F11" s="8" t="n">
        <v>9.699999999999999</v>
      </c>
      <c r="G11" s="14" t="n">
        <v>150</v>
      </c>
      <c r="H11" s="15">
        <f>IFERROR(IF(OR($C11="",$D11=""),"",($C11+$D$34)/($D11*(1-$C$34))),"")</f>
        <v>0.16666666666666666</v>
      </c>
      <c r="I11" s="10">
        <f>IFERROR(IF($C11="","",($C11+$D$34)/($E$34*(1-$C$34))),"")</f>
        <v>4.0</v>
      </c>
      <c r="J11" s="10">
        <f>IFERROR(IF(OR($I11="",$E11=""),"",$I11*(1+INDEX(Parámetros!$B$6:$D$8,MATCH($B$34,Parámetros!$A$6:$A$8,0),MATCH($E11,Parámetros!$B$5:$D$5,0)))),"")</f>
        <v>4.4</v>
      </c>
      <c r="K11" t="str">
        <f>IF(OR($I11="",$F11=""),"",IF($I11&lt;=$F11,"Sí","No: no llega al precio que acepta el mercado"))</f>
        <v>Sí</v>
      </c>
      <c r="L11" s="10">
        <f>IFERROR(IF(OR($I11="",$F11=""),"",MIN($I11,$F11)),"")</f>
        <v>4.0</v>
      </c>
      <c r="M11" s="10">
        <f>IFERROR(IF($L11="","",$L11*(1-$C$34)-$D$34),"")</f>
        <v>4.0</v>
      </c>
      <c r="N11" s="10">
        <f>IFERROR(IF(OR($M11="",$C11="",$G11=""),"",($M11-$C11)*$G11),"")</f>
        <v>420.0</v>
      </c>
      <c r="O11" s="15">
        <f>IFERROR(IF(OR($C11="",$D11=""),"",($C11+$D$35)/($D11*(1-$C$35))),"")</f>
        <v>0.2638888888888889</v>
      </c>
      <c r="P11" s="10">
        <f>IFERROR(IF($C11="","",($C11+$D$35)/($E$35*(1-$C$35))),"")</f>
        <v>6.333333333333333</v>
      </c>
      <c r="Q11" s="10">
        <f>IFERROR(IF(OR($P11="",$E11=""),"",$P11*(1+INDEX(Parámetros!$B$6:$D$8,MATCH($B$35,Parámetros!$A$6:$A$8,0),MATCH($E11,Parámetros!$B$5:$D$5,0)))),"")</f>
        <v>6.966666666666667</v>
      </c>
      <c r="R11" t="str">
        <f>IF(OR($P11="",$F11=""),"",IF($P11&lt;=$F11,"Sí","No: excluir o reformular"))</f>
        <v>Sí</v>
      </c>
      <c r="S11" s="10">
        <f>IFERROR(IF(OR($P11="",$F11=""),"",MIN($P11,$F11)),"")</f>
        <v>6.333333333333333</v>
      </c>
      <c r="T11" s="10">
        <f>IFERROR(IF($S11="","",$S11*(1-$C$35)-$D$35),"")</f>
        <v>5.633333333333333</v>
      </c>
      <c r="U11" s="10">
        <f>IFERROR(IF(OR($T11="",$C11="",$G11=""),"",($T11-$C11)*$G11),"")</f>
        <v>664.9999999999999</v>
      </c>
      <c r="V11" s="15">
        <f>IFERROR(IF(OR($C11="",$D11=""),"",($C11+$D$36)/($D11*(1-$C$36))),"")</f>
        <v>0.376984126984127</v>
      </c>
      <c r="W11" s="10">
        <f>IFERROR(IF($C11="","",($C11+$D$36)/($E$36*(1-$C$36))),"")</f>
        <v>6.7857142857142865</v>
      </c>
      <c r="X11" s="10">
        <f>IFERROR(IF(OR($W11="",$E11=""),"",$W11*(1+INDEX(Parámetros!$B$6:$D$8,MATCH($B$36,Parámetros!$A$6:$A$8,0),MATCH($E11,Parámetros!$B$5:$D$5,0)))),"")</f>
        <v>7.464285714285715</v>
      </c>
      <c r="Y11" t="str">
        <f>IF(OR($W11="",$F11=""),"",IF($W11&lt;=$F11,"Sí","No: excluir o reformular"))</f>
        <v>Sí</v>
      </c>
      <c r="Z11" s="10">
        <f>IFERROR(IF(OR($W11="",$F11=""),"",MIN($W11,$F11)),"")</f>
        <v>6.7857142857142865</v>
      </c>
      <c r="AA11" s="10">
        <f>IFERROR(IF($Z11="","",$Z11*(1-$C$36)-$D$36),"")</f>
        <v>4.05</v>
      </c>
      <c r="AB11" s="10">
        <f>IFERROR(IF(OR($AA11="",$C11="",$G11=""),"",($AA11-$C11)*$G11),"")</f>
        <v>427.49999999999994</v>
      </c>
    </row>
    <row r="12">
      <c r="A12" s="13" t="n">
        <v>8</v>
      </c>
      <c r="B12" s="4" t="inlineStr">
        <is>
          <t>Solomillo de cerdo ibérico con puré de boniato</t>
        </is>
      </c>
      <c r="C12" s="8" t="n">
        <v>5.67</v>
      </c>
      <c r="D12" s="8" t="n">
        <v>17.3</v>
      </c>
      <c r="E12" s="4" t="inlineStr">
        <is>
          <t>Comida</t>
        </is>
      </c>
      <c r="F12" s="8" t="n">
        <v>23.4</v>
      </c>
      <c r="G12" s="14" t="n">
        <v>340</v>
      </c>
      <c r="H12" s="15">
        <f>IFERROR(IF(OR($C12="",$D12=""),"",($C12+$D$34)/($D12*(1-$C$34))),"")</f>
        <v>0.32774566473988437</v>
      </c>
      <c r="I12" s="10">
        <f>IFERROR(IF($C12="","",($C12+$D$34)/($E$34*(1-$C$34))),"")</f>
        <v>18.900000000000002</v>
      </c>
      <c r="J12" s="10">
        <f>IFERROR(IF(OR($I12="",$E12=""),"",$I12*(1+INDEX(Parámetros!$B$6:$D$8,MATCH($B$34,Parámetros!$A$6:$A$8,0),MATCH($E12,Parámetros!$B$5:$D$5,0)))),"")</f>
        <v>20.790000000000003</v>
      </c>
      <c r="K12" t="str">
        <f>IF(OR($I12="",$F12=""),"",IF($I12&lt;=$F12,"Sí","No: no llega al precio que acepta el mercado"))</f>
        <v>Sí</v>
      </c>
      <c r="L12" s="10">
        <f>IFERROR(IF(OR($I12="",$F12=""),"",MIN($I12,$F12)),"")</f>
        <v>18.900000000000002</v>
      </c>
      <c r="M12" s="10">
        <f>IFERROR(IF($L12="","",$L12*(1-$C$34)-$D$34),"")</f>
        <v>18.900000000000002</v>
      </c>
      <c r="N12" s="10">
        <f>IFERROR(IF(OR($M12="",$C12="",$G12=""),"",($M12-$C12)*$G12),"")</f>
        <v>4498.200000000001</v>
      </c>
      <c r="O12" s="15">
        <f>IFERROR(IF(OR($C12="",$D12=""),"",($C12+$D$35)/($D12*(1-$C$35))),"")</f>
        <v>0.36820809248554914</v>
      </c>
      <c r="P12" s="10">
        <f>IFERROR(IF($C12="","",($C12+$D$35)/($E$35*(1-$C$35))),"")</f>
        <v>21.233333333333334</v>
      </c>
      <c r="Q12" s="10">
        <f>IFERROR(IF(OR($P12="",$E12=""),"",$P12*(1+INDEX(Parámetros!$B$6:$D$8,MATCH($B$35,Parámetros!$A$6:$A$8,0),MATCH($E12,Parámetros!$B$5:$D$5,0)))),"")</f>
        <v>23.35666666666667</v>
      </c>
      <c r="R12" t="str">
        <f>IF(OR($P12="",$F12=""),"",IF($P12&lt;=$F12,"Sí","No: excluir o reformular"))</f>
        <v>Sí</v>
      </c>
      <c r="S12" s="10">
        <f>IFERROR(IF(OR($P12="",$F12=""),"",MIN($P12,$F12)),"")</f>
        <v>21.233333333333334</v>
      </c>
      <c r="T12" s="10">
        <f>IFERROR(IF($S12="","",$S12*(1-$C$35)-$D$35),"")</f>
        <v>20.533333333333335</v>
      </c>
      <c r="U12" s="10">
        <f>IFERROR(IF(OR($T12="",$C12="",$G12=""),"",($T12-$C12)*$G12),"")</f>
        <v>5053.533333333334</v>
      </c>
      <c r="V12" s="15">
        <f>IFERROR(IF(OR($C12="",$D12=""),"",($C12+$D$36)/($D12*(1-$C$36))),"")</f>
        <v>0.5260115606936416</v>
      </c>
      <c r="W12" s="10">
        <f>IFERROR(IF($C12="","",($C12+$D$36)/($E$36*(1-$C$36))),"")</f>
        <v>22.750000000000004</v>
      </c>
      <c r="X12" s="10">
        <f>IFERROR(IF(OR($W12="",$E12=""),"",$W12*(1+INDEX(Parámetros!$B$6:$D$8,MATCH($B$36,Parámetros!$A$6:$A$8,0),MATCH($E12,Parámetros!$B$5:$D$5,0)))),"")</f>
        <v>25.025000000000006</v>
      </c>
      <c r="Y12" t="str">
        <f>IF(OR($W12="",$F12=""),"",IF($W12&lt;=$F12,"Sí","No: excluir o reformular"))</f>
        <v>Sí</v>
      </c>
      <c r="Z12" s="10">
        <f>IFERROR(IF(OR($W12="",$F12=""),"",MIN($W12,$F12)),"")</f>
        <v>22.750000000000004</v>
      </c>
      <c r="AA12" s="10">
        <f>IFERROR(IF($Z12="","",$Z12*(1-$C$36)-$D$36),"")</f>
        <v>15.225000000000001</v>
      </c>
      <c r="AB12" s="10">
        <f>IFERROR(IF(OR($AA12="",$C12="",$G12=""),"",($AA12-$C12)*$G12),"")</f>
        <v>3248.7000000000007</v>
      </c>
    </row>
    <row r="13">
      <c r="A13" s="13" t="n">
        <v>9</v>
      </c>
      <c r="B13" s="4" t="inlineStr">
        <is>
          <t>Bacalao confitado al pil-pil</t>
        </is>
      </c>
      <c r="C13" s="8" t="n">
        <v>7.4</v>
      </c>
      <c r="D13" s="8" t="n">
        <v>19.1</v>
      </c>
      <c r="E13" s="4" t="inlineStr">
        <is>
          <t>Comida</t>
        </is>
      </c>
      <c r="F13" s="8" t="n">
        <v>25.8</v>
      </c>
      <c r="G13" s="14" t="n">
        <v>190</v>
      </c>
      <c r="H13" s="15">
        <f>IFERROR(IF(OR($C13="",$D13=""),"",($C13+$D$34)/($D13*(1-$C$34))),"")</f>
        <v>0.38743455497382195</v>
      </c>
      <c r="I13" s="10">
        <f>IFERROR(IF($C13="","",($C13+$D$34)/($E$34*(1-$C$34))),"")</f>
        <v>24.666666666666668</v>
      </c>
      <c r="J13" s="10">
        <f>IFERROR(IF(OR($I13="",$E13=""),"",$I13*(1+INDEX(Parámetros!$B$6:$D$8,MATCH($B$34,Parámetros!$A$6:$A$8,0),MATCH($E13,Parámetros!$B$5:$D$5,0)))),"")</f>
        <v>27.133333333333336</v>
      </c>
      <c r="K13" t="str">
        <f>IF(OR($I13="",$F13=""),"",IF($I13&lt;=$F13,"Sí","No: no llega al precio que acepta el mercado"))</f>
        <v>Sí</v>
      </c>
      <c r="L13" s="10">
        <f>IFERROR(IF(OR($I13="",$F13=""),"",MIN($I13,$F13)),"")</f>
        <v>24.666666666666668</v>
      </c>
      <c r="M13" s="10">
        <f>IFERROR(IF($L13="","",$L13*(1-$C$34)-$D$34),"")</f>
        <v>24.666666666666668</v>
      </c>
      <c r="N13" s="10">
        <f>IFERROR(IF(OR($M13="",$C13="",$G13=""),"",($M13-$C13)*$G13),"")</f>
        <v>3280.6666666666665</v>
      </c>
      <c r="O13" s="15">
        <f>IFERROR(IF(OR($C13="",$D13=""),"",($C13+$D$35)/($D13*(1-$C$35))),"")</f>
        <v>0.4240837696335078</v>
      </c>
      <c r="P13" s="10">
        <f>IFERROR(IF($C13="","",($C13+$D$35)/($E$35*(1-$C$35))),"")</f>
        <v>27.0</v>
      </c>
      <c r="Q13" s="10">
        <f>IFERROR(IF(OR($P13="",$E13=""),"",$P13*(1+INDEX(Parámetros!$B$6:$D$8,MATCH($B$35,Parámetros!$A$6:$A$8,0),MATCH($E13,Parámetros!$B$5:$D$5,0)))),"")</f>
        <v>29.700000000000003</v>
      </c>
      <c r="R13" t="str">
        <f>IF(OR($P13="",$F13=""),"",IF($P13&lt;=$F13,"Sí","No: excluir o reformular"))</f>
        <v>No: excluir o reformular</v>
      </c>
      <c r="S13" s="10">
        <f>IFERROR(IF(OR($P13="",$F13=""),"",MIN($P13,$F13)),"")</f>
        <v>25.8</v>
      </c>
      <c r="T13" s="10">
        <f>IFERROR(IF($S13="","",$S13*(1-$C$35)-$D$35),"")</f>
        <v>25.1</v>
      </c>
      <c r="U13" s="10">
        <f>IFERROR(IF(OR($T13="",$C13="",$G13=""),"",($T13-$C13)*$G13),"")</f>
        <v>3363.0000000000005</v>
      </c>
      <c r="V13" s="15">
        <f>IFERROR(IF(OR($C13="",$D13=""),"",($C13+$D$36)/($D13*(1-$C$36))),"")</f>
        <v>0.6058339566192968</v>
      </c>
      <c r="W13" s="10">
        <f>IFERROR(IF($C13="","",($C13+$D$36)/($E$36*(1-$C$36))),"")</f>
        <v>28.92857142857143</v>
      </c>
      <c r="X13" s="10">
        <f>IFERROR(IF(OR($W13="",$E13=""),"",$W13*(1+INDEX(Parámetros!$B$6:$D$8,MATCH($B$36,Parámetros!$A$6:$A$8,0),MATCH($E13,Parámetros!$B$5:$D$5,0)))),"")</f>
        <v>31.821428571428577</v>
      </c>
      <c r="Y13" t="str">
        <f>IF(OR($W13="",$F13=""),"",IF($W13&lt;=$F13,"Sí","No: excluir o reformular"))</f>
        <v>No: excluir o reformular</v>
      </c>
      <c r="Z13" s="10">
        <f>IFERROR(IF(OR($W13="",$F13=""),"",MIN($W13,$F13)),"")</f>
        <v>25.8</v>
      </c>
      <c r="AA13" s="10">
        <f>IFERROR(IF($Z13="","",$Z13*(1-$C$36)-$D$36),"")</f>
        <v>17.36</v>
      </c>
      <c r="AB13" s="10">
        <f>IFERROR(IF(OR($AA13="",$C13="",$G13=""),"",($AA13-$C13)*$G13),"")</f>
        <v>1892.3999999999999</v>
      </c>
    </row>
    <row r="14">
      <c r="A14" s="13" t="n">
        <v>10</v>
      </c>
      <c r="B14" s="4" t="inlineStr">
        <is>
          <t>Hamburguesa de vaca madurada con patatas</t>
        </is>
      </c>
      <c r="C14" s="8" t="n">
        <v>4.3</v>
      </c>
      <c r="D14" s="8" t="n">
        <v>13.6</v>
      </c>
      <c r="E14" s="4" t="inlineStr">
        <is>
          <t>Comida</t>
        </is>
      </c>
      <c r="F14" s="8" t="n">
        <v>18.4</v>
      </c>
      <c r="G14" s="14" t="n">
        <v>460</v>
      </c>
      <c r="H14" s="15">
        <f>IFERROR(IF(OR($C14="",$D14=""),"",($C14+$D$34)/($D14*(1-$C$34))),"")</f>
        <v>0.3161764705882353</v>
      </c>
      <c r="I14" s="10">
        <f>IFERROR(IF($C14="","",($C14+$D$34)/($E$34*(1-$C$34))),"")</f>
        <v>14.333333333333334</v>
      </c>
      <c r="J14" s="10">
        <f>IFERROR(IF(OR($I14="",$E14=""),"",$I14*(1+INDEX(Parámetros!$B$6:$D$8,MATCH($B$34,Parámetros!$A$6:$A$8,0),MATCH($E14,Parámetros!$B$5:$D$5,0)))),"")</f>
        <v>15.76666666666667</v>
      </c>
      <c r="K14" t="str">
        <f>IF(OR($I14="",$F14=""),"",IF($I14&lt;=$F14,"Sí","No: no llega al precio que acepta el mercado"))</f>
        <v>Sí</v>
      </c>
      <c r="L14" s="10">
        <f>IFERROR(IF(OR($I14="",$F14=""),"",MIN($I14,$F14)),"")</f>
        <v>14.333333333333334</v>
      </c>
      <c r="M14" s="10">
        <f>IFERROR(IF($L14="","",$L14*(1-$C$34)-$D$34),"")</f>
        <v>14.333333333333334</v>
      </c>
      <c r="N14" s="10">
        <f>IFERROR(IF(OR($M14="",$C14="",$G14=""),"",($M14-$C14)*$G14),"")</f>
        <v>4615.333333333334</v>
      </c>
      <c r="O14" s="15">
        <f>IFERROR(IF(OR($C14="",$D14=""),"",($C14+$D$35)/($D14*(1-$C$35))),"")</f>
        <v>0.36764705882352944</v>
      </c>
      <c r="P14" s="10">
        <f>IFERROR(IF($C14="","",($C14+$D$35)/($E$35*(1-$C$35))),"")</f>
        <v>16.666666666666668</v>
      </c>
      <c r="Q14" s="10">
        <f>IFERROR(IF(OR($P14="",$E14=""),"",$P14*(1+INDEX(Parámetros!$B$6:$D$8,MATCH($B$35,Parámetros!$A$6:$A$8,0),MATCH($E14,Parámetros!$B$5:$D$5,0)))),"")</f>
        <v>18.333333333333336</v>
      </c>
      <c r="R14" t="str">
        <f>IF(OR($P14="",$F14=""),"",IF($P14&lt;=$F14,"Sí","No: excluir o reformular"))</f>
        <v>Sí</v>
      </c>
      <c r="S14" s="10">
        <f>IFERROR(IF(OR($P14="",$F14=""),"",MIN($P14,$F14)),"")</f>
        <v>16.666666666666668</v>
      </c>
      <c r="T14" s="10">
        <f>IFERROR(IF($S14="","",$S14*(1-$C$35)-$D$35),"")</f>
        <v>15.966666666666669</v>
      </c>
      <c r="U14" s="10">
        <f>IFERROR(IF(OR($T14="",$C14="",$G14=""),"",($T14-$C14)*$G14),"")</f>
        <v>5366.666666666667</v>
      </c>
      <c r="V14" s="15">
        <f>IFERROR(IF(OR($C14="",$D14=""),"",($C14+$D$36)/($D14*(1-$C$36))),"")</f>
        <v>0.5252100840336135</v>
      </c>
      <c r="W14" s="10">
        <f>IFERROR(IF($C14="","",($C14+$D$36)/($E$36*(1-$C$36))),"")</f>
        <v>17.857142857142858</v>
      </c>
      <c r="X14" s="10">
        <f>IFERROR(IF(OR($W14="",$E14=""),"",$W14*(1+INDEX(Parámetros!$B$6:$D$8,MATCH($B$36,Parámetros!$A$6:$A$8,0),MATCH($E14,Parámetros!$B$5:$D$5,0)))),"")</f>
        <v>19.642857142857146</v>
      </c>
      <c r="Y14" t="str">
        <f>IF(OR($W14="",$F14=""),"",IF($W14&lt;=$F14,"Sí","No: excluir o reformular"))</f>
        <v>Sí</v>
      </c>
      <c r="Z14" s="10">
        <f>IFERROR(IF(OR($W14="",$F14=""),"",MIN($W14,$F14)),"")</f>
        <v>17.857142857142858</v>
      </c>
      <c r="AA14" s="10">
        <f>IFERROR(IF($Z14="","",$Z14*(1-$C$36)-$D$36),"")</f>
        <v>11.8</v>
      </c>
      <c r="AB14" s="10">
        <f>IFERROR(IF(OR($AA14="",$C14="",$G14=""),"",($AA14-$C14)*$G14),"")</f>
        <v>3450.0000000000005</v>
      </c>
    </row>
    <row r="15">
      <c r="A15" s="13" t="n">
        <v>11</v>
      </c>
      <c r="B15" s="4" t="inlineStr">
        <is>
          <t>Arroz meloso de secreto ibérico y setas</t>
        </is>
      </c>
      <c r="C15" s="8" t="n">
        <v>6.2</v>
      </c>
      <c r="D15" s="8" t="n">
        <v>16.4</v>
      </c>
      <c r="E15" s="4" t="inlineStr">
        <is>
          <t>Comida</t>
        </is>
      </c>
      <c r="F15" s="8" t="n">
        <v>22.1</v>
      </c>
      <c r="G15" s="14" t="n">
        <v>270</v>
      </c>
      <c r="H15" s="15">
        <f>IFERROR(IF(OR($C15="",$D15=""),"",($C15+$D$34)/($D15*(1-$C$34))),"")</f>
        <v>0.37804878048780494</v>
      </c>
      <c r="I15" s="10">
        <f>IFERROR(IF($C15="","",($C15+$D$34)/($E$34*(1-$C$34))),"")</f>
        <v>20.666666666666668</v>
      </c>
      <c r="J15" s="10">
        <f>IFERROR(IF(OR($I15="",$E15=""),"",$I15*(1+INDEX(Parámetros!$B$6:$D$8,MATCH($B$34,Parámetros!$A$6:$A$8,0),MATCH($E15,Parámetros!$B$5:$D$5,0)))),"")</f>
        <v>22.733333333333338</v>
      </c>
      <c r="K15" t="str">
        <f>IF(OR($I15="",$F15=""),"",IF($I15&lt;=$F15,"Sí","No: no llega al precio que acepta el mercado"))</f>
        <v>Sí</v>
      </c>
      <c r="L15" s="10">
        <f>IFERROR(IF(OR($I15="",$F15=""),"",MIN($I15,$F15)),"")</f>
        <v>20.666666666666668</v>
      </c>
      <c r="M15" s="10">
        <f>IFERROR(IF($L15="","",$L15*(1-$C$34)-$D$34),"")</f>
        <v>20.666666666666668</v>
      </c>
      <c r="N15" s="10">
        <f>IFERROR(IF(OR($M15="",$C15="",$G15=""),"",($M15-$C15)*$G15),"")</f>
        <v>3906.0000000000005</v>
      </c>
      <c r="O15" s="15">
        <f>IFERROR(IF(OR($C15="",$D15=""),"",($C15+$D$35)/($D15*(1-$C$35))),"")</f>
        <v>0.4207317073170732</v>
      </c>
      <c r="P15" s="10">
        <f>IFERROR(IF($C15="","",($C15+$D$35)/($E$35*(1-$C$35))),"")</f>
        <v>23.000000000000004</v>
      </c>
      <c r="Q15" s="10">
        <f>IFERROR(IF(OR($P15="",$E15=""),"",$P15*(1+INDEX(Parámetros!$B$6:$D$8,MATCH($B$35,Parámetros!$A$6:$A$8,0),MATCH($E15,Parámetros!$B$5:$D$5,0)))),"")</f>
        <v>25.300000000000004</v>
      </c>
      <c r="R15" t="str">
        <f>IF(OR($P15="",$F15=""),"",IF($P15&lt;=$F15,"Sí","No: excluir o reformular"))</f>
        <v>No: excluir o reformular</v>
      </c>
      <c r="S15" s="10">
        <f>IFERROR(IF(OR($P15="",$F15=""),"",MIN($P15,$F15)),"")</f>
        <v>22.1</v>
      </c>
      <c r="T15" s="10">
        <f>IFERROR(IF($S15="","",$S15*(1-$C$35)-$D$35),"")</f>
        <v>21.400000000000002</v>
      </c>
      <c r="U15" s="10">
        <f>IFERROR(IF(OR($T15="",$C15="",$G15=""),"",($T15-$C15)*$G15),"")</f>
        <v>4104.000000000001</v>
      </c>
      <c r="V15" s="15">
        <f>IFERROR(IF(OR($C15="",$D15=""),"",($C15+$D$36)/($D15*(1-$C$36))),"")</f>
        <v>0.6010452961672474</v>
      </c>
      <c r="W15" s="10">
        <f>IFERROR(IF($C15="","",($C15+$D$36)/($E$36*(1-$C$36))),"")</f>
        <v>24.642857142857146</v>
      </c>
      <c r="X15" s="10">
        <f>IFERROR(IF(OR($W15="",$E15=""),"",$W15*(1+INDEX(Parámetros!$B$6:$D$8,MATCH($B$36,Parámetros!$A$6:$A$8,0),MATCH($E15,Parámetros!$B$5:$D$5,0)))),"")</f>
        <v>27.10714285714286</v>
      </c>
      <c r="Y15" t="str">
        <f>IF(OR($W15="",$F15=""),"",IF($W15&lt;=$F15,"Sí","No: excluir o reformular"))</f>
        <v>No: excluir o reformular</v>
      </c>
      <c r="Z15" s="10">
        <f>IFERROR(IF(OR($W15="",$F15=""),"",MIN($W15,$F15)),"")</f>
        <v>22.1</v>
      </c>
      <c r="AA15" s="10">
        <f>IFERROR(IF($Z15="","",$Z15*(1-$C$36)-$D$36),"")</f>
        <v>14.770000000000001</v>
      </c>
      <c r="AB15" s="10">
        <f>IFERROR(IF(OR($AA15="",$C15="",$G15=""),"",($AA15-$C15)*$G15),"")</f>
        <v>2313.9</v>
      </c>
    </row>
    <row r="16">
      <c r="A16" s="13" t="n">
        <v>12</v>
      </c>
      <c r="B16" s="4" t="inlineStr">
        <is>
          <t>Chuletón de vaca madurada (500 g)</t>
        </is>
      </c>
      <c r="C16" s="8" t="n">
        <v>14.8</v>
      </c>
      <c r="D16" s="8" t="n">
        <v>32.7</v>
      </c>
      <c r="E16" s="4" t="inlineStr">
        <is>
          <t>Comida</t>
        </is>
      </c>
      <c r="F16" s="8" t="n">
        <v>44.1</v>
      </c>
      <c r="G16" s="14" t="n">
        <v>110</v>
      </c>
      <c r="H16" s="15">
        <f>IFERROR(IF(OR($C16="",$D16=""),"",($C16+$D$34)/($D16*(1-$C$34))),"")</f>
        <v>0.4525993883792049</v>
      </c>
      <c r="I16" s="10">
        <f>IFERROR(IF($C16="","",($C16+$D$34)/($E$34*(1-$C$34))),"")</f>
        <v>49.333333333333336</v>
      </c>
      <c r="J16" s="10">
        <f>IFERROR(IF(OR($I16="",$E16=""),"",$I16*(1+INDEX(Parámetros!$B$6:$D$8,MATCH($B$34,Parámetros!$A$6:$A$8,0),MATCH($E16,Parámetros!$B$5:$D$5,0)))),"")</f>
        <v>54.26666666666667</v>
      </c>
      <c r="K16" t="str">
        <f>IF(OR($I16="",$F16=""),"",IF($I16&lt;=$F16,"Sí","No: no llega al precio que acepta el mercado"))</f>
        <v>No: no llega al precio que acepta el mercado</v>
      </c>
      <c r="L16" s="10">
        <f>IFERROR(IF(OR($I16="",$F16=""),"",MIN($I16,$F16)),"")</f>
        <v>44.1</v>
      </c>
      <c r="M16" s="10">
        <f>IFERROR(IF($L16="","",$L16*(1-$C$34)-$D$34),"")</f>
        <v>44.1</v>
      </c>
      <c r="N16" s="10">
        <f>IFERROR(IF(OR($M16="",$C16="",$G16=""),"",($M16-$C16)*$G16),"")</f>
        <v>3223.0</v>
      </c>
      <c r="O16" s="15">
        <f>IFERROR(IF(OR($C16="",$D16=""),"",($C16+$D$35)/($D16*(1-$C$35))),"")</f>
        <v>0.474006116207951</v>
      </c>
      <c r="P16" s="10">
        <f>IFERROR(IF($C16="","",($C16+$D$35)/($E$35*(1-$C$35))),"")</f>
        <v>51.66666666666667</v>
      </c>
      <c r="Q16" s="10">
        <f>IFERROR(IF(OR($P16="",$E16=""),"",$P16*(1+INDEX(Parámetros!$B$6:$D$8,MATCH($B$35,Parámetros!$A$6:$A$8,0),MATCH($E16,Parámetros!$B$5:$D$5,0)))),"")</f>
        <v>56.83333333333334</v>
      </c>
      <c r="R16" t="str">
        <f>IF(OR($P16="",$F16=""),"",IF($P16&lt;=$F16,"Sí","No: excluir o reformular"))</f>
        <v>No: excluir o reformular</v>
      </c>
      <c r="S16" s="10">
        <f>IFERROR(IF(OR($P16="",$F16=""),"",MIN($P16,$F16)),"")</f>
        <v>44.1</v>
      </c>
      <c r="T16" s="10">
        <f>IFERROR(IF($S16="","",$S16*(1-$C$35)-$D$35),"")</f>
        <v>43.4</v>
      </c>
      <c r="U16" s="10">
        <f>IFERROR(IF(OR($T16="",$C16="",$G16=""),"",($T16-$C16)*$G16),"")</f>
        <v>3145.9999999999995</v>
      </c>
      <c r="V16" s="15">
        <f>IFERROR(IF(OR($C16="",$D16=""),"",($C16+$D$36)/($D16*(1-$C$36))),"")</f>
        <v>0.6771515945827872</v>
      </c>
      <c r="W16" s="10">
        <f>IFERROR(IF($C16="","",($C16+$D$36)/($E$36*(1-$C$36))),"")</f>
        <v>55.35714285714286</v>
      </c>
      <c r="X16" s="10">
        <f>IFERROR(IF(OR($W16="",$E16=""),"",$W16*(1+INDEX(Parámetros!$B$6:$D$8,MATCH($B$36,Parámetros!$A$6:$A$8,0),MATCH($E16,Parámetros!$B$5:$D$5,0)))),"")</f>
        <v>60.89285714285715</v>
      </c>
      <c r="Y16" t="str">
        <f>IF(OR($W16="",$F16=""),"",IF($W16&lt;=$F16,"Sí","No: excluir o reformular"))</f>
        <v>No: excluir o reformular</v>
      </c>
      <c r="Z16" s="10">
        <f>IFERROR(IF(OR($W16="",$F16=""),"",MIN($W16,$F16)),"")</f>
        <v>44.1</v>
      </c>
      <c r="AA16" s="10">
        <f>IFERROR(IF($Z16="","",$Z16*(1-$C$36)-$D$36),"")</f>
        <v>30.169999999999998</v>
      </c>
      <c r="AB16" s="10">
        <f>IFERROR(IF(OR($AA16="",$C16="",$G16=""),"",($AA16-$C16)*$G16),"")</f>
        <v>1690.6999999999998</v>
      </c>
    </row>
    <row r="17">
      <c r="A17" s="13" t="n">
        <v>13</v>
      </c>
      <c r="B17" s="4" t="inlineStr">
        <is>
          <t>Lubina a la sal</t>
        </is>
      </c>
      <c r="C17" s="8" t="n">
        <v>8.9</v>
      </c>
      <c r="D17" s="8" t="n">
        <v>21.8</v>
      </c>
      <c r="E17" s="4" t="inlineStr">
        <is>
          <t>Comida</t>
        </is>
      </c>
      <c r="F17" s="8" t="n">
        <v>29.4</v>
      </c>
      <c r="G17" s="14" t="n">
        <v>80</v>
      </c>
      <c r="H17" s="15">
        <f>IFERROR(IF(OR($C17="",$D17=""),"",($C17+$D$34)/($D17*(1-$C$34))),"")</f>
        <v>0.40825688073394495</v>
      </c>
      <c r="I17" s="10">
        <f>IFERROR(IF($C17="","",($C17+$D$34)/($E$34*(1-$C$34))),"")</f>
        <v>29.666666666666668</v>
      </c>
      <c r="J17" s="10">
        <f>IFERROR(IF(OR($I17="",$E17=""),"",$I17*(1+INDEX(Parámetros!$B$6:$D$8,MATCH($B$34,Parámetros!$A$6:$A$8,0),MATCH($E17,Parámetros!$B$5:$D$5,0)))),"")</f>
        <v>32.63333333333334</v>
      </c>
      <c r="K17" t="str">
        <f>IF(OR($I17="",$F17=""),"",IF($I17&lt;=$F17,"Sí","No: no llega al precio que acepta el mercado"))</f>
        <v>No: no llega al precio que acepta el mercado</v>
      </c>
      <c r="L17" s="10">
        <f>IFERROR(IF(OR($I17="",$F17=""),"",MIN($I17,$F17)),"")</f>
        <v>29.4</v>
      </c>
      <c r="M17" s="10">
        <f>IFERROR(IF($L17="","",$L17*(1-$C$34)-$D$34),"")</f>
        <v>29.4</v>
      </c>
      <c r="N17" s="10">
        <f>IFERROR(IF(OR($M17="",$C17="",$G17=""),"",($M17-$C17)*$G17),"")</f>
        <v>1640.0</v>
      </c>
      <c r="O17" s="15">
        <f>IFERROR(IF(OR($C17="",$D17=""),"",($C17+$D$35)/($D17*(1-$C$35))),"")</f>
        <v>0.4403669724770642</v>
      </c>
      <c r="P17" s="10">
        <f>IFERROR(IF($C17="","",($C17+$D$35)/($E$35*(1-$C$35))),"")</f>
        <v>32.0</v>
      </c>
      <c r="Q17" s="10">
        <f>IFERROR(IF(OR($P17="",$E17=""),"",$P17*(1+INDEX(Parámetros!$B$6:$D$8,MATCH($B$35,Parámetros!$A$6:$A$8,0),MATCH($E17,Parámetros!$B$5:$D$5,0)))),"")</f>
        <v>35.2</v>
      </c>
      <c r="R17" t="str">
        <f>IF(OR($P17="",$F17=""),"",IF($P17&lt;=$F17,"Sí","No: excluir o reformular"))</f>
        <v>No: excluir o reformular</v>
      </c>
      <c r="S17" s="10">
        <f>IFERROR(IF(OR($P17="",$F17=""),"",MIN($P17,$F17)),"")</f>
        <v>29.4</v>
      </c>
      <c r="T17" s="10">
        <f>IFERROR(IF($S17="","",$S17*(1-$C$35)-$D$35),"")</f>
        <v>28.7</v>
      </c>
      <c r="U17" s="10">
        <f>IFERROR(IF(OR($T17="",$C17="",$G17=""),"",($T17-$C17)*$G17),"")</f>
        <v>1583.9999999999998</v>
      </c>
      <c r="V17" s="15">
        <f>IFERROR(IF(OR($C17="",$D17=""),"",($C17+$D$36)/($D17*(1-$C$36))),"")</f>
        <v>0.6290956749672346</v>
      </c>
      <c r="W17" s="10">
        <f>IFERROR(IF($C17="","",($C17+$D$36)/($E$36*(1-$C$36))),"")</f>
        <v>34.285714285714285</v>
      </c>
      <c r="X17" s="10">
        <f>IFERROR(IF(OR($W17="",$E17=""),"",$W17*(1+INDEX(Parámetros!$B$6:$D$8,MATCH($B$36,Parámetros!$A$6:$A$8,0),MATCH($E17,Parámetros!$B$5:$D$5,0)))),"")</f>
        <v>37.714285714285715</v>
      </c>
      <c r="Y17" t="str">
        <f>IF(OR($W17="",$F17=""),"",IF($W17&lt;=$F17,"Sí","No: excluir o reformular"))</f>
        <v>No: excluir o reformular</v>
      </c>
      <c r="Z17" s="10">
        <f>IFERROR(IF(OR($W17="",$F17=""),"",MIN($W17,$F17)),"")</f>
        <v>29.4</v>
      </c>
      <c r="AA17" s="10">
        <f>IFERROR(IF($Z17="","",$Z17*(1-$C$36)-$D$36),"")</f>
        <v>19.88</v>
      </c>
      <c r="AB17" s="10">
        <f>IFERROR(IF(OR($AA17="",$C17="",$G17=""),"",($AA17-$C17)*$G17),"")</f>
        <v>878.3999999999999</v>
      </c>
    </row>
    <row r="18">
      <c r="A18" s="13" t="n">
        <v>14</v>
      </c>
      <c r="B18" s="4" t="inlineStr">
        <is>
          <t>Pollo de corral asado con patatas</t>
        </is>
      </c>
      <c r="C18" s="8" t="n">
        <v>3.7</v>
      </c>
      <c r="D18" s="8" t="n">
        <v>12.7</v>
      </c>
      <c r="E18" s="4" t="inlineStr">
        <is>
          <t>Comida</t>
        </is>
      </c>
      <c r="F18" s="8" t="n">
        <v>17.1</v>
      </c>
      <c r="G18" s="14" t="n">
        <v>300</v>
      </c>
      <c r="H18" s="15">
        <f>IFERROR(IF(OR($C18="",$D18=""),"",($C18+$D$34)/($D18*(1-$C$34))),"")</f>
        <v>0.2913385826771654</v>
      </c>
      <c r="I18" s="10">
        <f>IFERROR(IF($C18="","",($C18+$D$34)/($E$34*(1-$C$34))),"")</f>
        <v>12.333333333333334</v>
      </c>
      <c r="J18" s="10">
        <f>IFERROR(IF(OR($I18="",$E18=""),"",$I18*(1+INDEX(Parámetros!$B$6:$D$8,MATCH($B$34,Parámetros!$A$6:$A$8,0),MATCH($E18,Parámetros!$B$5:$D$5,0)))),"")</f>
        <v>13.566666666666668</v>
      </c>
      <c r="K18" t="str">
        <f>IF(OR($I18="",$F18=""),"",IF($I18&lt;=$F18,"Sí","No: no llega al precio que acepta el mercado"))</f>
        <v>Sí</v>
      </c>
      <c r="L18" s="10">
        <f>IFERROR(IF(OR($I18="",$F18=""),"",MIN($I18,$F18)),"")</f>
        <v>12.333333333333334</v>
      </c>
      <c r="M18" s="10">
        <f>IFERROR(IF($L18="","",$L18*(1-$C$34)-$D$34),"")</f>
        <v>12.333333333333334</v>
      </c>
      <c r="N18" s="10">
        <f>IFERROR(IF(OR($M18="",$C18="",$G18=""),"",($M18-$C18)*$G18),"")</f>
        <v>2590.0</v>
      </c>
      <c r="O18" s="15">
        <f>IFERROR(IF(OR($C18="",$D18=""),"",($C18+$D$35)/($D18*(1-$C$35))),"")</f>
        <v>0.3464566929133859</v>
      </c>
      <c r="P18" s="10">
        <f>IFERROR(IF($C18="","",($C18+$D$35)/($E$35*(1-$C$35))),"")</f>
        <v>14.666666666666668</v>
      </c>
      <c r="Q18" s="10">
        <f>IFERROR(IF(OR($P18="",$E18=""),"",$P18*(1+INDEX(Parámetros!$B$6:$D$8,MATCH($B$35,Parámetros!$A$6:$A$8,0),MATCH($E18,Parámetros!$B$5:$D$5,0)))),"")</f>
        <v>16.133333333333336</v>
      </c>
      <c r="R18" t="str">
        <f>IF(OR($P18="",$F18=""),"",IF($P18&lt;=$F18,"Sí","No: excluir o reformular"))</f>
        <v>Sí</v>
      </c>
      <c r="S18" s="10">
        <f>IFERROR(IF(OR($P18="",$F18=""),"",MIN($P18,$F18)),"")</f>
        <v>14.666666666666668</v>
      </c>
      <c r="T18" s="10">
        <f>IFERROR(IF($S18="","",$S18*(1-$C$35)-$D$35),"")</f>
        <v>13.966666666666669</v>
      </c>
      <c r="U18" s="10">
        <f>IFERROR(IF(OR($T18="",$C18="",$G18=""),"",($T18-$C18)*$G18),"")</f>
        <v>3080.000000000001</v>
      </c>
      <c r="V18" s="15">
        <f>IFERROR(IF(OR($C18="",$D18=""),"",($C18+$D$36)/($D18*(1-$C$36))),"")</f>
        <v>0.4949381327334084</v>
      </c>
      <c r="W18" s="10">
        <f>IFERROR(IF($C18="","",($C18+$D$36)/($E$36*(1-$C$36))),"")</f>
        <v>15.714285714285717</v>
      </c>
      <c r="X18" s="10">
        <f>IFERROR(IF(OR($W18="",$E18=""),"",$W18*(1+INDEX(Parámetros!$B$6:$D$8,MATCH($B$36,Parámetros!$A$6:$A$8,0),MATCH($E18,Parámetros!$B$5:$D$5,0)))),"")</f>
        <v>17.285714285714292</v>
      </c>
      <c r="Y18" t="str">
        <f>IF(OR($W18="",$F18=""),"",IF($W18&lt;=$F18,"Sí","No: excluir o reformular"))</f>
        <v>Sí</v>
      </c>
      <c r="Z18" s="10">
        <f>IFERROR(IF(OR($W18="",$F18=""),"",MIN($W18,$F18)),"")</f>
        <v>15.714285714285717</v>
      </c>
      <c r="AA18" s="10">
        <f>IFERROR(IF($Z18="","",$Z18*(1-$C$36)-$D$36),"")</f>
        <v>10.300000000000002</v>
      </c>
      <c r="AB18" s="10">
        <f>IFERROR(IF(OR($AA18="",$C18="",$G18=""),"",($AA18-$C18)*$G18),"")</f>
        <v>1980.0000000000007</v>
      </c>
    </row>
    <row r="19">
      <c r="A19" s="13" t="n">
        <v>15</v>
      </c>
      <c r="B19" s="4" t="inlineStr">
        <is>
          <t>Lasaña de verduras de temporada</t>
        </is>
      </c>
      <c r="C19" s="8" t="n">
        <v>2.6</v>
      </c>
      <c r="D19" s="8" t="n">
        <v>11.4</v>
      </c>
      <c r="E19" s="4" t="inlineStr">
        <is>
          <t>Comida</t>
        </is>
      </c>
      <c r="F19" s="8" t="n">
        <v>15.4</v>
      </c>
      <c r="G19" s="14" t="n">
        <v>140</v>
      </c>
      <c r="H19" s="15">
        <f>IFERROR(IF(OR($C19="",$D19=""),"",($C19+$D$34)/($D19*(1-$C$34))),"")</f>
        <v>0.22807017543859648</v>
      </c>
      <c r="I19" s="10">
        <f>IFERROR(IF($C19="","",($C19+$D$34)/($E$34*(1-$C$34))),"")</f>
        <v>8.666666666666668</v>
      </c>
      <c r="J19" s="10">
        <f>IFERROR(IF(OR($I19="",$E19=""),"",$I19*(1+INDEX(Parámetros!$B$6:$D$8,MATCH($B$34,Parámetros!$A$6:$A$8,0),MATCH($E19,Parámetros!$B$5:$D$5,0)))),"")</f>
        <v>9.533333333333335</v>
      </c>
      <c r="K19" t="str">
        <f>IF(OR($I19="",$F19=""),"",IF($I19&lt;=$F19,"Sí","No: no llega al precio que acepta el mercado"))</f>
        <v>Sí</v>
      </c>
      <c r="L19" s="10">
        <f>IFERROR(IF(OR($I19="",$F19=""),"",MIN($I19,$F19)),"")</f>
        <v>8.666666666666668</v>
      </c>
      <c r="M19" s="10">
        <f>IFERROR(IF($L19="","",$L19*(1-$C$34)-$D$34),"")</f>
        <v>8.666666666666668</v>
      </c>
      <c r="N19" s="10">
        <f>IFERROR(IF(OR($M19="",$C19="",$G19=""),"",($M19-$C19)*$G19),"")</f>
        <v>849.3333333333336</v>
      </c>
      <c r="O19" s="15">
        <f>IFERROR(IF(OR($C19="",$D19=""),"",($C19+$D$35)/($D19*(1-$C$35))),"")</f>
        <v>0.28947368421052627</v>
      </c>
      <c r="P19" s="10">
        <f>IFERROR(IF($C19="","",($C19+$D$35)/($E$35*(1-$C$35))),"")</f>
        <v>11.0</v>
      </c>
      <c r="Q19" s="10">
        <f>IFERROR(IF(OR($P19="",$E19=""),"",$P19*(1+INDEX(Parámetros!$B$6:$D$8,MATCH($B$35,Parámetros!$A$6:$A$8,0),MATCH($E19,Parámetros!$B$5:$D$5,0)))),"")</f>
        <v>12.100000000000001</v>
      </c>
      <c r="R19" t="str">
        <f>IF(OR($P19="",$F19=""),"",IF($P19&lt;=$F19,"Sí","No: excluir o reformular"))</f>
        <v>Sí</v>
      </c>
      <c r="S19" s="10">
        <f>IFERROR(IF(OR($P19="",$F19=""),"",MIN($P19,$F19)),"")</f>
        <v>11.0</v>
      </c>
      <c r="T19" s="10">
        <f>IFERROR(IF($S19="","",$S19*(1-$C$35)-$D$35),"")</f>
        <v>10.3</v>
      </c>
      <c r="U19" s="10">
        <f>IFERROR(IF(OR($T19="",$C19="",$G19=""),"",($T19-$C19)*$G19),"")</f>
        <v>1078.0000000000002</v>
      </c>
      <c r="V19" s="15">
        <f>IFERROR(IF(OR($C19="",$D19=""),"",($C19+$D$36)/($D19*(1-$C$36))),"")</f>
        <v>0.41353383458646614</v>
      </c>
      <c r="W19" s="10">
        <f>IFERROR(IF($C19="","",($C19+$D$36)/($E$36*(1-$C$36))),"")</f>
        <v>11.785714285714286</v>
      </c>
      <c r="X19" s="10">
        <f>IFERROR(IF(OR($W19="",$E19=""),"",$W19*(1+INDEX(Parámetros!$B$6:$D$8,MATCH($B$36,Parámetros!$A$6:$A$8,0),MATCH($E19,Parámetros!$B$5:$D$5,0)))),"")</f>
        <v>12.964285714285715</v>
      </c>
      <c r="Y19" t="str">
        <f>IF(OR($W19="",$F19=""),"",IF($W19&lt;=$F19,"Sí","No: excluir o reformular"))</f>
        <v>Sí</v>
      </c>
      <c r="Z19" s="10">
        <f>IFERROR(IF(OR($W19="",$F19=""),"",MIN($W19,$F19)),"")</f>
        <v>11.785714285714286</v>
      </c>
      <c r="AA19" s="10">
        <f>IFERROR(IF($Z19="","",$Z19*(1-$C$36)-$D$36),"")</f>
        <v>7.55</v>
      </c>
      <c r="AB19" s="10">
        <f>IFERROR(IF(OR($AA19="",$C19="",$G19=""),"",($AA19-$C19)*$G19),"")</f>
        <v>692.9999999999999</v>
      </c>
    </row>
    <row r="20">
      <c r="A20" s="13" t="n">
        <v>16</v>
      </c>
      <c r="B20" s="4" t="inlineStr">
        <is>
          <t>Tataki de atún rojo con sésamo</t>
        </is>
      </c>
      <c r="C20" s="8" t="n">
        <v>9.6</v>
      </c>
      <c r="D20" s="8" t="n">
        <v>22.4</v>
      </c>
      <c r="E20" s="4" t="inlineStr">
        <is>
          <t>Comida</t>
        </is>
      </c>
      <c r="F20" s="8" t="n">
        <v>30.2</v>
      </c>
      <c r="G20" s="14" t="n">
        <v>130</v>
      </c>
      <c r="H20" s="15">
        <f>IFERROR(IF(OR($C20="",$D20=""),"",($C20+$D$34)/($D20*(1-$C$34))),"")</f>
        <v>0.4285714285714286</v>
      </c>
      <c r="I20" s="10">
        <f>IFERROR(IF($C20="","",($C20+$D$34)/($E$34*(1-$C$34))),"")</f>
        <v>32.0</v>
      </c>
      <c r="J20" s="10">
        <f>IFERROR(IF(OR($I20="",$E20=""),"",$I20*(1+INDEX(Parámetros!$B$6:$D$8,MATCH($B$34,Parámetros!$A$6:$A$8,0),MATCH($E20,Parámetros!$B$5:$D$5,0)))),"")</f>
        <v>35.2</v>
      </c>
      <c r="K20" t="str">
        <f>IF(OR($I20="",$F20=""),"",IF($I20&lt;=$F20,"Sí","No: no llega al precio que acepta el mercado"))</f>
        <v>No: no llega al precio que acepta el mercado</v>
      </c>
      <c r="L20" s="10">
        <f>IFERROR(IF(OR($I20="",$F20=""),"",MIN($I20,$F20)),"")</f>
        <v>30.2</v>
      </c>
      <c r="M20" s="10">
        <f>IFERROR(IF($L20="","",$L20*(1-$C$34)-$D$34),"")</f>
        <v>30.2</v>
      </c>
      <c r="N20" s="10">
        <f>IFERROR(IF(OR($M20="",$C20="",$G20=""),"",($M20-$C20)*$G20),"")</f>
        <v>2678.0</v>
      </c>
      <c r="O20" s="15">
        <f>IFERROR(IF(OR($C20="",$D20=""),"",($C20+$D$35)/($D20*(1-$C$35))),"")</f>
        <v>0.45982142857142855</v>
      </c>
      <c r="P20" s="10">
        <f>IFERROR(IF($C20="","",($C20+$D$35)/($E$35*(1-$C$35))),"")</f>
        <v>34.33333333333333</v>
      </c>
      <c r="Q20" s="10">
        <f>IFERROR(IF(OR($P20="",$E20=""),"",$P20*(1+INDEX(Parámetros!$B$6:$D$8,MATCH($B$35,Parámetros!$A$6:$A$8,0),MATCH($E20,Parámetros!$B$5:$D$5,0)))),"")</f>
        <v>37.766666666666666</v>
      </c>
      <c r="R20" t="str">
        <f>IF(OR($P20="",$F20=""),"",IF($P20&lt;=$F20,"Sí","No: excluir o reformular"))</f>
        <v>No: excluir o reformular</v>
      </c>
      <c r="S20" s="10">
        <f>IFERROR(IF(OR($P20="",$F20=""),"",MIN($P20,$F20)),"")</f>
        <v>30.2</v>
      </c>
      <c r="T20" s="10">
        <f>IFERROR(IF($S20="","",$S20*(1-$C$35)-$D$35),"")</f>
        <v>29.5</v>
      </c>
      <c r="U20" s="10">
        <f>IFERROR(IF(OR($T20="",$C20="",$G20=""),"",($T20-$C20)*$G20),"")</f>
        <v>2587.0</v>
      </c>
      <c r="V20" s="15">
        <f>IFERROR(IF(OR($C20="",$D20=""),"",($C20+$D$36)/($D20*(1-$C$36))),"")</f>
        <v>0.6568877551020408</v>
      </c>
      <c r="W20" s="10">
        <f>IFERROR(IF($C20="","",($C20+$D$36)/($E$36*(1-$C$36))),"")</f>
        <v>36.785714285714285</v>
      </c>
      <c r="X20" s="10">
        <f>IFERROR(IF(OR($W20="",$E20=""),"",$W20*(1+INDEX(Parámetros!$B$6:$D$8,MATCH($B$36,Parámetros!$A$6:$A$8,0),MATCH($E20,Parámetros!$B$5:$D$5,0)))),"")</f>
        <v>40.464285714285715</v>
      </c>
      <c r="Y20" t="str">
        <f>IF(OR($W20="",$F20=""),"",IF($W20&lt;=$F20,"Sí","No: excluir o reformular"))</f>
        <v>No: excluir o reformular</v>
      </c>
      <c r="Z20" s="10">
        <f>IFERROR(IF(OR($W20="",$F20=""),"",MIN($W20,$F20)),"")</f>
        <v>30.2</v>
      </c>
      <c r="AA20" s="10">
        <f>IFERROR(IF($Z20="","",$Z20*(1-$C$36)-$D$36),"")</f>
        <v>20.439999999999998</v>
      </c>
      <c r="AB20" s="10">
        <f>IFERROR(IF(OR($AA20="",$C20="",$G20=""),"",($AA20-$C20)*$G20),"")</f>
        <v>1409.1999999999998</v>
      </c>
    </row>
    <row r="21">
      <c r="A21" s="13" t="n">
        <v>17</v>
      </c>
      <c r="B21" s="4" t="inlineStr">
        <is>
          <t>Tarta de queso cremosa</t>
        </is>
      </c>
      <c r="C21" s="8" t="n">
        <v>1.3</v>
      </c>
      <c r="D21" s="8" t="n">
        <v>5.9</v>
      </c>
      <c r="E21" s="4" t="inlineStr">
        <is>
          <t>Comida</t>
        </is>
      </c>
      <c r="F21" s="8" t="n">
        <v>8</v>
      </c>
      <c r="G21" s="14" t="n">
        <v>520</v>
      </c>
      <c r="H21" s="15">
        <f>IFERROR(IF(OR($C21="",$D21=""),"",($C21+$D$34)/($D21*(1-$C$34))),"")</f>
        <v>0.22033898305084745</v>
      </c>
      <c r="I21" s="10">
        <f>IFERROR(IF($C21="","",($C21+$D$34)/($E$34*(1-$C$34))),"")</f>
        <v>4.333333333333334</v>
      </c>
      <c r="J21" s="10">
        <f>IFERROR(IF(OR($I21="",$E21=""),"",$I21*(1+INDEX(Parámetros!$B$6:$D$8,MATCH($B$34,Parámetros!$A$6:$A$8,0),MATCH($E21,Parámetros!$B$5:$D$5,0)))),"")</f>
        <v>4.7666666666666675</v>
      </c>
      <c r="K21" t="str">
        <f>IF(OR($I21="",$F21=""),"",IF($I21&lt;=$F21,"Sí","No: no llega al precio que acepta el mercado"))</f>
        <v>Sí</v>
      </c>
      <c r="L21" s="10">
        <f>IFERROR(IF(OR($I21="",$F21=""),"",MIN($I21,$F21)),"")</f>
        <v>4.333333333333334</v>
      </c>
      <c r="M21" s="10">
        <f>IFERROR(IF($L21="","",$L21*(1-$C$34)-$D$34),"")</f>
        <v>4.333333333333334</v>
      </c>
      <c r="N21" s="10">
        <f>IFERROR(IF(OR($M21="",$C21="",$G21=""),"",($M21-$C21)*$G21),"")</f>
        <v>1577.3333333333337</v>
      </c>
      <c r="O21" s="15">
        <f>IFERROR(IF(OR($C21="",$D21=""),"",($C21+$D$35)/($D21*(1-$C$35))),"")</f>
        <v>0.3389830508474576</v>
      </c>
      <c r="P21" s="10">
        <f>IFERROR(IF($C21="","",($C21+$D$35)/($E$35*(1-$C$35))),"")</f>
        <v>6.666666666666667</v>
      </c>
      <c r="Q21" s="10">
        <f>IFERROR(IF(OR($P21="",$E21=""),"",$P21*(1+INDEX(Parámetros!$B$6:$D$8,MATCH($B$35,Parámetros!$A$6:$A$8,0),MATCH($E21,Parámetros!$B$5:$D$5,0)))),"")</f>
        <v>7.333333333333334</v>
      </c>
      <c r="R21" t="str">
        <f>IF(OR($P21="",$F21=""),"",IF($P21&lt;=$F21,"Sí","No: excluir o reformular"))</f>
        <v>Sí</v>
      </c>
      <c r="S21" s="10">
        <f>IFERROR(IF(OR($P21="",$F21=""),"",MIN($P21,$F21)),"")</f>
        <v>6.666666666666667</v>
      </c>
      <c r="T21" s="10">
        <f>IFERROR(IF($S21="","",$S21*(1-$C$35)-$D$35),"")</f>
        <v>5.966666666666667</v>
      </c>
      <c r="U21" s="10">
        <f>IFERROR(IF(OR($T21="",$C21="",$G21=""),"",($T21-$C21)*$G21),"")</f>
        <v>2426.666666666667</v>
      </c>
      <c r="V21" s="15">
        <f>IFERROR(IF(OR($C21="",$D21=""),"",($C21+$D$36)/($D21*(1-$C$36))),"")</f>
        <v>0.48426150121065376</v>
      </c>
      <c r="W21" s="10">
        <f>IFERROR(IF($C21="","",($C21+$D$36)/($E$36*(1-$C$36))),"")</f>
        <v>7.142857142857143</v>
      </c>
      <c r="X21" s="10">
        <f>IFERROR(IF(OR($W21="",$E21=""),"",$W21*(1+INDEX(Parámetros!$B$6:$D$8,MATCH($B$36,Parámetros!$A$6:$A$8,0),MATCH($E21,Parámetros!$B$5:$D$5,0)))),"")</f>
        <v>7.8571428571428585</v>
      </c>
      <c r="Y21" t="str">
        <f>IF(OR($W21="",$F21=""),"",IF($W21&lt;=$F21,"Sí","No: excluir o reformular"))</f>
        <v>Sí</v>
      </c>
      <c r="Z21" s="10">
        <f>IFERROR(IF(OR($W21="",$F21=""),"",MIN($W21,$F21)),"")</f>
        <v>7.142857142857143</v>
      </c>
      <c r="AA21" s="10">
        <f>IFERROR(IF($Z21="","",$Z21*(1-$C$36)-$D$36),"")</f>
        <v>4.3</v>
      </c>
      <c r="AB21" s="10">
        <f>IFERROR(IF(OR($AA21="",$C21="",$G21=""),"",($AA21-$C21)*$G21),"")</f>
        <v>1560.0</v>
      </c>
    </row>
    <row r="22">
      <c r="A22" s="13" t="n">
        <v>18</v>
      </c>
      <c r="B22" s="4" t="inlineStr">
        <is>
          <t>Torrija caramelizada con helado</t>
        </is>
      </c>
      <c r="C22" s="8" t="n">
        <v>1.1</v>
      </c>
      <c r="D22" s="8" t="n">
        <v>5.5</v>
      </c>
      <c r="E22" s="4" t="inlineStr">
        <is>
          <t>Comida</t>
        </is>
      </c>
      <c r="F22" s="8" t="n">
        <v>7.4</v>
      </c>
      <c r="G22" s="14" t="n">
        <v>210</v>
      </c>
      <c r="H22" s="15">
        <f>IFERROR(IF(OR($C22="",$D22=""),"",($C22+$D$34)/($D22*(1-$C$34))),"")</f>
        <v>0.2</v>
      </c>
      <c r="I22" s="10">
        <f>IFERROR(IF($C22="","",($C22+$D$34)/($E$34*(1-$C$34))),"")</f>
        <v>3.666666666666667</v>
      </c>
      <c r="J22" s="10">
        <f>IFERROR(IF(OR($I22="",$E22=""),"",$I22*(1+INDEX(Parámetros!$B$6:$D$8,MATCH($B$34,Parámetros!$A$6:$A$8,0),MATCH($E22,Parámetros!$B$5:$D$5,0)))),"")</f>
        <v>4.033333333333334</v>
      </c>
      <c r="K22" t="str">
        <f>IF(OR($I22="",$F22=""),"",IF($I22&lt;=$F22,"Sí","No: no llega al precio que acepta el mercado"))</f>
        <v>Sí</v>
      </c>
      <c r="L22" s="10">
        <f>IFERROR(IF(OR($I22="",$F22=""),"",MIN($I22,$F22)),"")</f>
        <v>3.666666666666667</v>
      </c>
      <c r="M22" s="10">
        <f>IFERROR(IF($L22="","",$L22*(1-$C$34)-$D$34),"")</f>
        <v>3.666666666666667</v>
      </c>
      <c r="N22" s="10">
        <f>IFERROR(IF(OR($M22="",$C22="",$G22=""),"",($M22-$C22)*$G22),"")</f>
        <v>539.0</v>
      </c>
      <c r="O22" s="15">
        <f>IFERROR(IF(OR($C22="",$D22=""),"",($C22+$D$35)/($D22*(1-$C$35))),"")</f>
        <v>0.32727272727272727</v>
      </c>
      <c r="P22" s="10">
        <f>IFERROR(IF($C22="","",($C22+$D$35)/($E$35*(1-$C$35))),"")</f>
        <v>6.0</v>
      </c>
      <c r="Q22" s="10">
        <f>IFERROR(IF(OR($P22="",$E22=""),"",$P22*(1+INDEX(Parámetros!$B$6:$D$8,MATCH($B$35,Parámetros!$A$6:$A$8,0),MATCH($E22,Parámetros!$B$5:$D$5,0)))),"")</f>
        <v>6.6000000000000005</v>
      </c>
      <c r="R22" t="str">
        <f>IF(OR($P22="",$F22=""),"",IF($P22&lt;=$F22,"Sí","No: excluir o reformular"))</f>
        <v>Sí</v>
      </c>
      <c r="S22" s="10">
        <f>IFERROR(IF(OR($P22="",$F22=""),"",MIN($P22,$F22)),"")</f>
        <v>6.0</v>
      </c>
      <c r="T22" s="10">
        <f>IFERROR(IF($S22="","",$S22*(1-$C$35)-$D$35),"")</f>
        <v>5.3</v>
      </c>
      <c r="U22" s="10">
        <f>IFERROR(IF(OR($T22="",$C22="",$G22=""),"",($T22-$C22)*$G22),"")</f>
        <v>881.9999999999999</v>
      </c>
      <c r="V22" s="15">
        <f>IFERROR(IF(OR($C22="",$D22=""),"",($C22+$D$36)/($D22*(1-$C$36))),"")</f>
        <v>0.4675324675324676</v>
      </c>
      <c r="W22" s="10">
        <f>IFERROR(IF($C22="","",($C22+$D$36)/($E$36*(1-$C$36))),"")</f>
        <v>6.42857142857143</v>
      </c>
      <c r="X22" s="10">
        <f>IFERROR(IF(OR($W22="",$E22=""),"",$W22*(1+INDEX(Parámetros!$B$6:$D$8,MATCH($B$36,Parámetros!$A$6:$A$8,0),MATCH($E22,Parámetros!$B$5:$D$5,0)))),"")</f>
        <v>7.071428571428573</v>
      </c>
      <c r="Y22" t="str">
        <f>IF(OR($W22="",$F22=""),"",IF($W22&lt;=$F22,"Sí","No: excluir o reformular"))</f>
        <v>Sí</v>
      </c>
      <c r="Z22" s="10">
        <f>IFERROR(IF(OR($W22="",$F22=""),"",MIN($W22,$F22)),"")</f>
        <v>6.42857142857143</v>
      </c>
      <c r="AA22" s="10">
        <f>IFERROR(IF($Z22="","",$Z22*(1-$C$36)-$D$36),"")</f>
        <v>3.8000000000000007</v>
      </c>
      <c r="AB22" s="10">
        <f>IFERROR(IF(OR($AA22="",$C22="",$G22=""),"",($AA22-$C22)*$G22),"")</f>
        <v>567.0000000000001</v>
      </c>
    </row>
    <row r="23">
      <c r="A23" s="13" t="n">
        <v>19</v>
      </c>
      <c r="B23" s="4" t="inlineStr">
        <is>
          <t>Coulant de chocolate</t>
        </is>
      </c>
      <c r="C23" s="8" t="n">
        <v>1.6</v>
      </c>
      <c r="D23" s="8" t="n">
        <v>6.2</v>
      </c>
      <c r="E23" s="4" t="inlineStr">
        <is>
          <t>Comida</t>
        </is>
      </c>
      <c r="F23" s="8" t="n">
        <v>8.4</v>
      </c>
      <c r="G23" s="14" t="n">
        <v>330</v>
      </c>
      <c r="H23" s="15">
        <f>IFERROR(IF(OR($C23="",$D23=""),"",($C23+$D$34)/($D23*(1-$C$34))),"")</f>
        <v>0.25806451612903225</v>
      </c>
      <c r="I23" s="10">
        <f>IFERROR(IF($C23="","",($C23+$D$34)/($E$34*(1-$C$34))),"")</f>
        <v>5.333333333333334</v>
      </c>
      <c r="J23" s="10">
        <f>IFERROR(IF(OR($I23="",$E23=""),"",$I23*(1+INDEX(Parámetros!$B$6:$D$8,MATCH($B$34,Parámetros!$A$6:$A$8,0),MATCH($E23,Parámetros!$B$5:$D$5,0)))),"")</f>
        <v>5.866666666666668</v>
      </c>
      <c r="K23" t="str">
        <f>IF(OR($I23="",$F23=""),"",IF($I23&lt;=$F23,"Sí","No: no llega al precio que acepta el mercado"))</f>
        <v>Sí</v>
      </c>
      <c r="L23" s="10">
        <f>IFERROR(IF(OR($I23="",$F23=""),"",MIN($I23,$F23)),"")</f>
        <v>5.333333333333334</v>
      </c>
      <c r="M23" s="10">
        <f>IFERROR(IF($L23="","",$L23*(1-$C$34)-$D$34),"")</f>
        <v>5.333333333333334</v>
      </c>
      <c r="N23" s="10">
        <f>IFERROR(IF(OR($M23="",$C23="",$G23=""),"",($M23-$C23)*$G23),"")</f>
        <v>1232.0000000000002</v>
      </c>
      <c r="O23" s="15">
        <f>IFERROR(IF(OR($C23="",$D23=""),"",($C23+$D$35)/($D23*(1-$C$35))),"")</f>
        <v>0.3709677419354838</v>
      </c>
      <c r="P23" s="10">
        <f>IFERROR(IF($C23="","",($C23+$D$35)/($E$35*(1-$C$35))),"")</f>
        <v>7.666666666666666</v>
      </c>
      <c r="Q23" s="10">
        <f>IFERROR(IF(OR($P23="",$E23=""),"",$P23*(1+INDEX(Parámetros!$B$6:$D$8,MATCH($B$35,Parámetros!$A$6:$A$8,0),MATCH($E23,Parámetros!$B$5:$D$5,0)))),"")</f>
        <v>8.433333333333334</v>
      </c>
      <c r="R23" t="str">
        <f>IF(OR($P23="",$F23=""),"",IF($P23&lt;=$F23,"Sí","No: excluir o reformular"))</f>
        <v>Sí</v>
      </c>
      <c r="S23" s="10">
        <f>IFERROR(IF(OR($P23="",$F23=""),"",MIN($P23,$F23)),"")</f>
        <v>7.666666666666666</v>
      </c>
      <c r="T23" s="10">
        <f>IFERROR(IF($S23="","",$S23*(1-$C$35)-$D$35),"")</f>
        <v>6.966666666666666</v>
      </c>
      <c r="U23" s="10">
        <f>IFERROR(IF(OR($T23="",$C23="",$G23=""),"",($T23-$C23)*$G23),"")</f>
        <v>1770.9999999999995</v>
      </c>
      <c r="V23" s="15">
        <f>IFERROR(IF(OR($C23="",$D23=""),"",($C23+$D$36)/($D23*(1-$C$36))),"")</f>
        <v>0.5299539170506912</v>
      </c>
      <c r="W23" s="10">
        <f>IFERROR(IF($C23="","",($C23+$D$36)/($E$36*(1-$C$36))),"")</f>
        <v>8.214285714285715</v>
      </c>
      <c r="X23" s="10">
        <f>IFERROR(IF(OR($W23="",$E23=""),"",$W23*(1+INDEX(Parámetros!$B$6:$D$8,MATCH($B$36,Parámetros!$A$6:$A$8,0),MATCH($E23,Parámetros!$B$5:$D$5,0)))),"")</f>
        <v>9.035714285714288</v>
      </c>
      <c r="Y23" t="str">
        <f>IF(OR($W23="",$F23=""),"",IF($W23&lt;=$F23,"Sí","No: excluir o reformular"))</f>
        <v>Sí</v>
      </c>
      <c r="Z23" s="10">
        <f>IFERROR(IF(OR($W23="",$F23=""),"",MIN($W23,$F23)),"")</f>
        <v>8.214285714285715</v>
      </c>
      <c r="AA23" s="10">
        <f>IFERROR(IF($Z23="","",$Z23*(1-$C$36)-$D$36),"")</f>
        <v>5.05</v>
      </c>
      <c r="AB23" s="10">
        <f>IFERROR(IF(OR($AA23="",$C23="",$G23=""),"",($AA23-$C23)*$G23),"")</f>
        <v>1138.5</v>
      </c>
    </row>
    <row r="24">
      <c r="A24" s="13" t="n">
        <v>20</v>
      </c>
      <c r="B24" s="4" t="inlineStr">
        <is>
          <t>Fruta de temporada preparada</t>
        </is>
      </c>
      <c r="C24" s="8" t="n">
        <v>1.4</v>
      </c>
      <c r="D24" s="8" t="n">
        <v>4.5</v>
      </c>
      <c r="E24" s="4" t="inlineStr">
        <is>
          <t>Comida</t>
        </is>
      </c>
      <c r="F24" s="8" t="n">
        <v>6.1</v>
      </c>
      <c r="G24" s="14" t="n">
        <v>60</v>
      </c>
      <c r="H24" s="15">
        <f>IFERROR(IF(OR($C24="",$D24=""),"",($C24+$D$34)/($D24*(1-$C$34))),"")</f>
        <v>0.3111111111111111</v>
      </c>
      <c r="I24" s="10">
        <f>IFERROR(IF($C24="","",($C24+$D$34)/($E$34*(1-$C$34))),"")</f>
        <v>4.666666666666667</v>
      </c>
      <c r="J24" s="10">
        <f>IFERROR(IF(OR($I24="",$E24=""),"",$I24*(1+INDEX(Parámetros!$B$6:$D$8,MATCH($B$34,Parámetros!$A$6:$A$8,0),MATCH($E24,Parámetros!$B$5:$D$5,0)))),"")</f>
        <v>5.133333333333334</v>
      </c>
      <c r="K24" t="str">
        <f>IF(OR($I24="",$F24=""),"",IF($I24&lt;=$F24,"Sí","No: no llega al precio que acepta el mercado"))</f>
        <v>Sí</v>
      </c>
      <c r="L24" s="10">
        <f>IFERROR(IF(OR($I24="",$F24=""),"",MIN($I24,$F24)),"")</f>
        <v>4.666666666666667</v>
      </c>
      <c r="M24" s="10">
        <f>IFERROR(IF($L24="","",$L24*(1-$C$34)-$D$34),"")</f>
        <v>4.666666666666667</v>
      </c>
      <c r="N24" s="10">
        <f>IFERROR(IF(OR($M24="",$C24="",$G24=""),"",($M24-$C24)*$G24),"")</f>
        <v>196.00000000000003</v>
      </c>
      <c r="O24" s="15">
        <f>IFERROR(IF(OR($C24="",$D24=""),"",($C24+$D$35)/($D24*(1-$C$35))),"")</f>
        <v>0.46666666666666656</v>
      </c>
      <c r="P24" s="10">
        <f>IFERROR(IF($C24="","",($C24+$D$35)/($E$35*(1-$C$35))),"")</f>
        <v>6.999999999999999</v>
      </c>
      <c r="Q24" s="10">
        <f>IFERROR(IF(OR($P24="",$E24=""),"",$P24*(1+INDEX(Parámetros!$B$6:$D$8,MATCH($B$35,Parámetros!$A$6:$A$8,0),MATCH($E24,Parámetros!$B$5:$D$5,0)))),"")</f>
        <v>7.699999999999999</v>
      </c>
      <c r="R24" t="str">
        <f>IF(OR($P24="",$F24=""),"",IF($P24&lt;=$F24,"Sí","No: excluir o reformular"))</f>
        <v>No: excluir o reformular</v>
      </c>
      <c r="S24" s="10">
        <f>IFERROR(IF(OR($P24="",$F24=""),"",MIN($P24,$F24)),"")</f>
        <v>6.1</v>
      </c>
      <c r="T24" s="10">
        <f>IFERROR(IF($S24="","",$S24*(1-$C$35)-$D$35),"")</f>
        <v>5.3999999999999995</v>
      </c>
      <c r="U24" s="10">
        <f>IFERROR(IF(OR($T24="",$C24="",$G24=""),"",($T24-$C24)*$G24),"")</f>
        <v>239.99999999999997</v>
      </c>
      <c r="V24" s="15">
        <f>IFERROR(IF(OR($C24="",$D24=""),"",($C24+$D$36)/($D24*(1-$C$36))),"")</f>
        <v>0.6666666666666665</v>
      </c>
      <c r="W24" s="10">
        <f>IFERROR(IF($C24="","",($C24+$D$36)/($E$36*(1-$C$36))),"")</f>
        <v>7.499999999999999</v>
      </c>
      <c r="X24" s="10">
        <f>IFERROR(IF(OR($W24="",$E24=""),"",$W24*(1+INDEX(Parámetros!$B$6:$D$8,MATCH($B$36,Parámetros!$A$6:$A$8,0),MATCH($E24,Parámetros!$B$5:$D$5,0)))),"")</f>
        <v>8.25</v>
      </c>
      <c r="Y24" t="str">
        <f>IF(OR($W24="",$F24=""),"",IF($W24&lt;=$F24,"Sí","No: excluir o reformular"))</f>
        <v>No: excluir o reformular</v>
      </c>
      <c r="Z24" s="10">
        <f>IFERROR(IF(OR($W24="",$F24=""),"",MIN($W24,$F24)),"")</f>
        <v>6.1</v>
      </c>
      <c r="AA24" s="10">
        <f>IFERROR(IF($Z24="","",$Z24*(1-$C$36)-$D$36),"")</f>
        <v>3.5699999999999994</v>
      </c>
      <c r="AB24" s="10">
        <f>IFERROR(IF(OR($AA24="",$C24="",$G24=""),"",($AA24-$C24)*$G24),"")</f>
        <v>130.19999999999996</v>
      </c>
    </row>
    <row r="25">
      <c r="A25" s="13" t="n">
        <v>21</v>
      </c>
      <c r="B25" s="4" t="n"/>
      <c r="C25" s="8" t="n"/>
      <c r="D25" s="8" t="n"/>
      <c r="E25" s="4" t="n"/>
      <c r="F25" s="8" t="n"/>
      <c r="G25" s="14" t="n"/>
      <c r="H25" s="15">
        <f>IFERROR(IF(OR($C25="",$D25=""),"",($C25+$D$34)/($D25*(1-$C$34))),"")</f>
        <v/>
      </c>
      <c r="I25" s="10">
        <f>IFERROR(IF($C25="","",($C25+$D$34)/($E$34*(1-$C$34))),"")</f>
        <v/>
      </c>
      <c r="J25" s="10">
        <f>IFERROR(IF(OR($I25="",$E25=""),"",$I25*(1+INDEX(Parámetros!$B$6:$D$8,MATCH($B$34,Parámetros!$A$6:$A$8,0),MATCH($E25,Parámetros!$B$5:$D$5,0)))),"")</f>
        <v/>
      </c>
      <c r="K25">
        <f>IF(OR($I25="",$F25=""),"",IF($I25&lt;=$F25,"Sí","No: no llega al precio que acepta el mercado"))</f>
        <v/>
      </c>
      <c r="L25" s="10">
        <f>IFERROR(IF(OR($I25="",$F25=""),"",MIN($I25,$F25)),"")</f>
        <v/>
      </c>
      <c r="M25" s="10">
        <f>IFERROR(IF($L25="","",$L25*(1-$C$34)-$D$34),"")</f>
        <v/>
      </c>
      <c r="N25" s="10">
        <f>IFERROR(IF(OR($M25="",$C25="",$G25=""),"",($M25-$C25)*$G25),"")</f>
        <v/>
      </c>
      <c r="O25" s="15">
        <f>IFERROR(IF(OR($C25="",$D25=""),"",($C25+$D$35)/($D25*(1-$C$35))),"")</f>
        <v/>
      </c>
      <c r="P25" s="10">
        <f>IFERROR(IF($C25="","",($C25+$D$35)/($E$35*(1-$C$35))),"")</f>
        <v/>
      </c>
      <c r="Q25" s="10">
        <f>IFERROR(IF(OR($P25="",$E25=""),"",$P25*(1+INDEX(Parámetros!$B$6:$D$8,MATCH($B$35,Parámetros!$A$6:$A$8,0),MATCH($E25,Parámetros!$B$5:$D$5,0)))),"")</f>
        <v/>
      </c>
      <c r="R25">
        <f>IF(OR($P25="",$F25=""),"",IF($P25&lt;=$F25,"Sí","No: excluir o reformular"))</f>
        <v/>
      </c>
      <c r="S25" s="10">
        <f>IFERROR(IF(OR($P25="",$F25=""),"",MIN($P25,$F25)),"")</f>
        <v/>
      </c>
      <c r="T25" s="10">
        <f>IFERROR(IF($S25="","",$S25*(1-$C$35)-$D$35),"")</f>
        <v/>
      </c>
      <c r="U25" s="10">
        <f>IFERROR(IF(OR($T25="",$C25="",$G25=""),"",($T25-$C25)*$G25),"")</f>
        <v/>
      </c>
      <c r="V25" s="15">
        <f>IFERROR(IF(OR($C25="",$D25=""),"",($C25+$D$36)/($D25*(1-$C$36))),"")</f>
        <v/>
      </c>
      <c r="W25" s="10">
        <f>IFERROR(IF($C25="","",($C25+$D$36)/($E$36*(1-$C$36))),"")</f>
        <v/>
      </c>
      <c r="X25" s="10">
        <f>IFERROR(IF(OR($W25="",$E25=""),"",$W25*(1+INDEX(Parámetros!$B$6:$D$8,MATCH($B$36,Parámetros!$A$6:$A$8,0),MATCH($E25,Parámetros!$B$5:$D$5,0)))),"")</f>
        <v/>
      </c>
      <c r="Y25">
        <f>IF(OR($W25="",$F25=""),"",IF($W25&lt;=$F25,"Sí","No: excluir o reformular"))</f>
        <v/>
      </c>
      <c r="Z25" s="10">
        <f>IFERROR(IF(OR($W25="",$F25=""),"",MIN($W25,$F25)),"")</f>
        <v/>
      </c>
      <c r="AA25" s="10">
        <f>IFERROR(IF($Z25="","",$Z25*(1-$C$36)-$D$36),"")</f>
        <v/>
      </c>
      <c r="AB25" s="10">
        <f>IFERROR(IF(OR($AA25="",$C25="",$G25=""),"",($AA25-$C25)*$G25),"")</f>
        <v/>
      </c>
    </row>
    <row r="26">
      <c r="A26" s="13" t="n">
        <v>22</v>
      </c>
      <c r="B26" s="4" t="n"/>
      <c r="C26" s="8" t="n"/>
      <c r="D26" s="8" t="n"/>
      <c r="E26" s="4" t="n"/>
      <c r="F26" s="8" t="n"/>
      <c r="G26" s="14" t="n"/>
      <c r="H26" s="15">
        <f>IFERROR(IF(OR($C26="",$D26=""),"",($C26+$D$34)/($D26*(1-$C$34))),"")</f>
        <v/>
      </c>
      <c r="I26" s="10">
        <f>IFERROR(IF($C26="","",($C26+$D$34)/($E$34*(1-$C$34))),"")</f>
        <v/>
      </c>
      <c r="J26" s="10">
        <f>IFERROR(IF(OR($I26="",$E26=""),"",$I26*(1+INDEX(Parámetros!$B$6:$D$8,MATCH($B$34,Parámetros!$A$6:$A$8,0),MATCH($E26,Parámetros!$B$5:$D$5,0)))),"")</f>
        <v/>
      </c>
      <c r="K26">
        <f>IF(OR($I26="",$F26=""),"",IF($I26&lt;=$F26,"Sí","No: no llega al precio que acepta el mercado"))</f>
        <v/>
      </c>
      <c r="L26" s="10">
        <f>IFERROR(IF(OR($I26="",$F26=""),"",MIN($I26,$F26)),"")</f>
        <v/>
      </c>
      <c r="M26" s="10">
        <f>IFERROR(IF($L26="","",$L26*(1-$C$34)-$D$34),"")</f>
        <v/>
      </c>
      <c r="N26" s="10">
        <f>IFERROR(IF(OR($M26="",$C26="",$G26=""),"",($M26-$C26)*$G26),"")</f>
        <v/>
      </c>
      <c r="O26" s="15">
        <f>IFERROR(IF(OR($C26="",$D26=""),"",($C26+$D$35)/($D26*(1-$C$35))),"")</f>
        <v/>
      </c>
      <c r="P26" s="10">
        <f>IFERROR(IF($C26="","",($C26+$D$35)/($E$35*(1-$C$35))),"")</f>
        <v/>
      </c>
      <c r="Q26" s="10">
        <f>IFERROR(IF(OR($P26="",$E26=""),"",$P26*(1+INDEX(Parámetros!$B$6:$D$8,MATCH($B$35,Parámetros!$A$6:$A$8,0),MATCH($E26,Parámetros!$B$5:$D$5,0)))),"")</f>
        <v/>
      </c>
      <c r="R26">
        <f>IF(OR($P26="",$F26=""),"",IF($P26&lt;=$F26,"Sí","No: excluir o reformular"))</f>
        <v/>
      </c>
      <c r="S26" s="10">
        <f>IFERROR(IF(OR($P26="",$F26=""),"",MIN($P26,$F26)),"")</f>
        <v/>
      </c>
      <c r="T26" s="10">
        <f>IFERROR(IF($S26="","",$S26*(1-$C$35)-$D$35),"")</f>
        <v/>
      </c>
      <c r="U26" s="10">
        <f>IFERROR(IF(OR($T26="",$C26="",$G26=""),"",($T26-$C26)*$G26),"")</f>
        <v/>
      </c>
      <c r="V26" s="15">
        <f>IFERROR(IF(OR($C26="",$D26=""),"",($C26+$D$36)/($D26*(1-$C$36))),"")</f>
        <v/>
      </c>
      <c r="W26" s="10">
        <f>IFERROR(IF($C26="","",($C26+$D$36)/($E$36*(1-$C$36))),"")</f>
        <v/>
      </c>
      <c r="X26" s="10">
        <f>IFERROR(IF(OR($W26="",$E26=""),"",$W26*(1+INDEX(Parámetros!$B$6:$D$8,MATCH($B$36,Parámetros!$A$6:$A$8,0),MATCH($E26,Parámetros!$B$5:$D$5,0)))),"")</f>
        <v/>
      </c>
      <c r="Y26">
        <f>IF(OR($W26="",$F26=""),"",IF($W26&lt;=$F26,"Sí","No: excluir o reformular"))</f>
        <v/>
      </c>
      <c r="Z26" s="10">
        <f>IFERROR(IF(OR($W26="",$F26=""),"",MIN($W26,$F26)),"")</f>
        <v/>
      </c>
      <c r="AA26" s="10">
        <f>IFERROR(IF($Z26="","",$Z26*(1-$C$36)-$D$36),"")</f>
        <v/>
      </c>
      <c r="AB26" s="10">
        <f>IFERROR(IF(OR($AA26="",$C26="",$G26=""),"",($AA26-$C26)*$G26),"")</f>
        <v/>
      </c>
    </row>
    <row r="27">
      <c r="A27" s="13" t="n">
        <v>23</v>
      </c>
      <c r="B27" s="4" t="n"/>
      <c r="C27" s="8" t="n"/>
      <c r="D27" s="8" t="n"/>
      <c r="E27" s="4" t="n"/>
      <c r="F27" s="8" t="n"/>
      <c r="G27" s="14" t="n"/>
      <c r="H27" s="15">
        <f>IFERROR(IF(OR($C27="",$D27=""),"",($C27+$D$34)/($D27*(1-$C$34))),"")</f>
        <v/>
      </c>
      <c r="I27" s="10">
        <f>IFERROR(IF($C27="","",($C27+$D$34)/($E$34*(1-$C$34))),"")</f>
        <v/>
      </c>
      <c r="J27" s="10">
        <f>IFERROR(IF(OR($I27="",$E27=""),"",$I27*(1+INDEX(Parámetros!$B$6:$D$8,MATCH($B$34,Parámetros!$A$6:$A$8,0),MATCH($E27,Parámetros!$B$5:$D$5,0)))),"")</f>
        <v/>
      </c>
      <c r="K27">
        <f>IF(OR($I27="",$F27=""),"",IF($I27&lt;=$F27,"Sí","No: no llega al precio que acepta el mercado"))</f>
        <v/>
      </c>
      <c r="L27" s="10">
        <f>IFERROR(IF(OR($I27="",$F27=""),"",MIN($I27,$F27)),"")</f>
        <v/>
      </c>
      <c r="M27" s="10">
        <f>IFERROR(IF($L27="","",$L27*(1-$C$34)-$D$34),"")</f>
        <v/>
      </c>
      <c r="N27" s="10">
        <f>IFERROR(IF(OR($M27="",$C27="",$G27=""),"",($M27-$C27)*$G27),"")</f>
        <v/>
      </c>
      <c r="O27" s="15">
        <f>IFERROR(IF(OR($C27="",$D27=""),"",($C27+$D$35)/($D27*(1-$C$35))),"")</f>
        <v/>
      </c>
      <c r="P27" s="10">
        <f>IFERROR(IF($C27="","",($C27+$D$35)/($E$35*(1-$C$35))),"")</f>
        <v/>
      </c>
      <c r="Q27" s="10">
        <f>IFERROR(IF(OR($P27="",$E27=""),"",$P27*(1+INDEX(Parámetros!$B$6:$D$8,MATCH($B$35,Parámetros!$A$6:$A$8,0),MATCH($E27,Parámetros!$B$5:$D$5,0)))),"")</f>
        <v/>
      </c>
      <c r="R27">
        <f>IF(OR($P27="",$F27=""),"",IF($P27&lt;=$F27,"Sí","No: excluir o reformular"))</f>
        <v/>
      </c>
      <c r="S27" s="10">
        <f>IFERROR(IF(OR($P27="",$F27=""),"",MIN($P27,$F27)),"")</f>
        <v/>
      </c>
      <c r="T27" s="10">
        <f>IFERROR(IF($S27="","",$S27*(1-$C$35)-$D$35),"")</f>
        <v/>
      </c>
      <c r="U27" s="10">
        <f>IFERROR(IF(OR($T27="",$C27="",$G27=""),"",($T27-$C27)*$G27),"")</f>
        <v/>
      </c>
      <c r="V27" s="15">
        <f>IFERROR(IF(OR($C27="",$D27=""),"",($C27+$D$36)/($D27*(1-$C$36))),"")</f>
        <v/>
      </c>
      <c r="W27" s="10">
        <f>IFERROR(IF($C27="","",($C27+$D$36)/($E$36*(1-$C$36))),"")</f>
        <v/>
      </c>
      <c r="X27" s="10">
        <f>IFERROR(IF(OR($W27="",$E27=""),"",$W27*(1+INDEX(Parámetros!$B$6:$D$8,MATCH($B$36,Parámetros!$A$6:$A$8,0),MATCH($E27,Parámetros!$B$5:$D$5,0)))),"")</f>
        <v/>
      </c>
      <c r="Y27">
        <f>IF(OR($W27="",$F27=""),"",IF($W27&lt;=$F27,"Sí","No: excluir o reformular"))</f>
        <v/>
      </c>
      <c r="Z27" s="10">
        <f>IFERROR(IF(OR($W27="",$F27=""),"",MIN($W27,$F27)),"")</f>
        <v/>
      </c>
      <c r="AA27" s="10">
        <f>IFERROR(IF($Z27="","",$Z27*(1-$C$36)-$D$36),"")</f>
        <v/>
      </c>
      <c r="AB27" s="10">
        <f>IFERROR(IF(OR($AA27="",$C27="",$G27=""),"",($AA27-$C27)*$G27),"")</f>
        <v/>
      </c>
    </row>
    <row r="28">
      <c r="A28" s="13" t="n">
        <v>24</v>
      </c>
      <c r="B28" s="4" t="n"/>
      <c r="C28" s="8" t="n"/>
      <c r="D28" s="8" t="n"/>
      <c r="E28" s="4" t="n"/>
      <c r="F28" s="8" t="n"/>
      <c r="G28" s="14" t="n"/>
      <c r="H28" s="15">
        <f>IFERROR(IF(OR($C28="",$D28=""),"",($C28+$D$34)/($D28*(1-$C$34))),"")</f>
        <v/>
      </c>
      <c r="I28" s="10">
        <f>IFERROR(IF($C28="","",($C28+$D$34)/($E$34*(1-$C$34))),"")</f>
        <v/>
      </c>
      <c r="J28" s="10">
        <f>IFERROR(IF(OR($I28="",$E28=""),"",$I28*(1+INDEX(Parámetros!$B$6:$D$8,MATCH($B$34,Parámetros!$A$6:$A$8,0),MATCH($E28,Parámetros!$B$5:$D$5,0)))),"")</f>
        <v/>
      </c>
      <c r="K28">
        <f>IF(OR($I28="",$F28=""),"",IF($I28&lt;=$F28,"Sí","No: no llega al precio que acepta el mercado"))</f>
        <v/>
      </c>
      <c r="L28" s="10">
        <f>IFERROR(IF(OR($I28="",$F28=""),"",MIN($I28,$F28)),"")</f>
        <v/>
      </c>
      <c r="M28" s="10">
        <f>IFERROR(IF($L28="","",$L28*(1-$C$34)-$D$34),"")</f>
        <v/>
      </c>
      <c r="N28" s="10">
        <f>IFERROR(IF(OR($M28="",$C28="",$G28=""),"",($M28-$C28)*$G28),"")</f>
        <v/>
      </c>
      <c r="O28" s="15">
        <f>IFERROR(IF(OR($C28="",$D28=""),"",($C28+$D$35)/($D28*(1-$C$35))),"")</f>
        <v/>
      </c>
      <c r="P28" s="10">
        <f>IFERROR(IF($C28="","",($C28+$D$35)/($E$35*(1-$C$35))),"")</f>
        <v/>
      </c>
      <c r="Q28" s="10">
        <f>IFERROR(IF(OR($P28="",$E28=""),"",$P28*(1+INDEX(Parámetros!$B$6:$D$8,MATCH($B$35,Parámetros!$A$6:$A$8,0),MATCH($E28,Parámetros!$B$5:$D$5,0)))),"")</f>
        <v/>
      </c>
      <c r="R28">
        <f>IF(OR($P28="",$F28=""),"",IF($P28&lt;=$F28,"Sí","No: excluir o reformular"))</f>
        <v/>
      </c>
      <c r="S28" s="10">
        <f>IFERROR(IF(OR($P28="",$F28=""),"",MIN($P28,$F28)),"")</f>
        <v/>
      </c>
      <c r="T28" s="10">
        <f>IFERROR(IF($S28="","",$S28*(1-$C$35)-$D$35),"")</f>
        <v/>
      </c>
      <c r="U28" s="10">
        <f>IFERROR(IF(OR($T28="",$C28="",$G28=""),"",($T28-$C28)*$G28),"")</f>
        <v/>
      </c>
      <c r="V28" s="15">
        <f>IFERROR(IF(OR($C28="",$D28=""),"",($C28+$D$36)/($D28*(1-$C$36))),"")</f>
        <v/>
      </c>
      <c r="W28" s="10">
        <f>IFERROR(IF($C28="","",($C28+$D$36)/($E$36*(1-$C$36))),"")</f>
        <v/>
      </c>
      <c r="X28" s="10">
        <f>IFERROR(IF(OR($W28="",$E28=""),"",$W28*(1+INDEX(Parámetros!$B$6:$D$8,MATCH($B$36,Parámetros!$A$6:$A$8,0),MATCH($E28,Parámetros!$B$5:$D$5,0)))),"")</f>
        <v/>
      </c>
      <c r="Y28">
        <f>IF(OR($W28="",$F28=""),"",IF($W28&lt;=$F28,"Sí","No: excluir o reformular"))</f>
        <v/>
      </c>
      <c r="Z28" s="10">
        <f>IFERROR(IF(OR($W28="",$F28=""),"",MIN($W28,$F28)),"")</f>
        <v/>
      </c>
      <c r="AA28" s="10">
        <f>IFERROR(IF($Z28="","",$Z28*(1-$C$36)-$D$36),"")</f>
        <v/>
      </c>
      <c r="AB28" s="10">
        <f>IFERROR(IF(OR($AA28="",$C28="",$G28=""),"",($AA28-$C28)*$G28),"")</f>
        <v/>
      </c>
    </row>
    <row r="29">
      <c r="A29" s="13" t="n">
        <v>25</v>
      </c>
      <c r="B29" s="4" t="n"/>
      <c r="C29" s="8" t="n"/>
      <c r="D29" s="8" t="n"/>
      <c r="E29" s="4" t="n"/>
      <c r="F29" s="8" t="n"/>
      <c r="G29" s="14" t="n"/>
      <c r="H29" s="15">
        <f>IFERROR(IF(OR($C29="",$D29=""),"",($C29+$D$34)/($D29*(1-$C$34))),"")</f>
        <v/>
      </c>
      <c r="I29" s="10">
        <f>IFERROR(IF($C29="","",($C29+$D$34)/($E$34*(1-$C$34))),"")</f>
        <v/>
      </c>
      <c r="J29" s="10">
        <f>IFERROR(IF(OR($I29="",$E29=""),"",$I29*(1+INDEX(Parámetros!$B$6:$D$8,MATCH($B$34,Parámetros!$A$6:$A$8,0),MATCH($E29,Parámetros!$B$5:$D$5,0)))),"")</f>
        <v/>
      </c>
      <c r="K29">
        <f>IF(OR($I29="",$F29=""),"",IF($I29&lt;=$F29,"Sí","No: no llega al precio que acepta el mercado"))</f>
        <v/>
      </c>
      <c r="L29" s="10">
        <f>IFERROR(IF(OR($I29="",$F29=""),"",MIN($I29,$F29)),"")</f>
        <v/>
      </c>
      <c r="M29" s="10">
        <f>IFERROR(IF($L29="","",$L29*(1-$C$34)-$D$34),"")</f>
        <v/>
      </c>
      <c r="N29" s="10">
        <f>IFERROR(IF(OR($M29="",$C29="",$G29=""),"",($M29-$C29)*$G29),"")</f>
        <v/>
      </c>
      <c r="O29" s="15">
        <f>IFERROR(IF(OR($C29="",$D29=""),"",($C29+$D$35)/($D29*(1-$C$35))),"")</f>
        <v/>
      </c>
      <c r="P29" s="10">
        <f>IFERROR(IF($C29="","",($C29+$D$35)/($E$35*(1-$C$35))),"")</f>
        <v/>
      </c>
      <c r="Q29" s="10">
        <f>IFERROR(IF(OR($P29="",$E29=""),"",$P29*(1+INDEX(Parámetros!$B$6:$D$8,MATCH($B$35,Parámetros!$A$6:$A$8,0),MATCH($E29,Parámetros!$B$5:$D$5,0)))),"")</f>
        <v/>
      </c>
      <c r="R29">
        <f>IF(OR($P29="",$F29=""),"",IF($P29&lt;=$F29,"Sí","No: excluir o reformular"))</f>
        <v/>
      </c>
      <c r="S29" s="10">
        <f>IFERROR(IF(OR($P29="",$F29=""),"",MIN($P29,$F29)),"")</f>
        <v/>
      </c>
      <c r="T29" s="10">
        <f>IFERROR(IF($S29="","",$S29*(1-$C$35)-$D$35),"")</f>
        <v/>
      </c>
      <c r="U29" s="10">
        <f>IFERROR(IF(OR($T29="",$C29="",$G29=""),"",($T29-$C29)*$G29),"")</f>
        <v/>
      </c>
      <c r="V29" s="15">
        <f>IFERROR(IF(OR($C29="",$D29=""),"",($C29+$D$36)/($D29*(1-$C$36))),"")</f>
        <v/>
      </c>
      <c r="W29" s="10">
        <f>IFERROR(IF($C29="","",($C29+$D$36)/($E$36*(1-$C$36))),"")</f>
        <v/>
      </c>
      <c r="X29" s="10">
        <f>IFERROR(IF(OR($W29="",$E29=""),"",$W29*(1+INDEX(Parámetros!$B$6:$D$8,MATCH($B$36,Parámetros!$A$6:$A$8,0),MATCH($E29,Parámetros!$B$5:$D$5,0)))),"")</f>
        <v/>
      </c>
      <c r="Y29">
        <f>IF(OR($W29="",$F29=""),"",IF($W29&lt;=$F29,"Sí","No: excluir o reformular"))</f>
        <v/>
      </c>
      <c r="Z29" s="10">
        <f>IFERROR(IF(OR($W29="",$F29=""),"",MIN($W29,$F29)),"")</f>
        <v/>
      </c>
      <c r="AA29" s="10">
        <f>IFERROR(IF($Z29="","",$Z29*(1-$C$36)-$D$36),"")</f>
        <v/>
      </c>
      <c r="AB29" s="10">
        <f>IFERROR(IF(OR($AA29="",$C29="",$G29=""),"",($AA29-$C29)*$G29),"")</f>
        <v/>
      </c>
    </row>
    <row r="30">
      <c r="A30" s="16" t="n"/>
      <c r="B30" s="16" t="inlineStr">
        <is>
          <t>TOTAL / MEDIA</t>
        </is>
      </c>
      <c r="C30" s="16" t="n"/>
      <c r="D30" s="16" t="n"/>
      <c r="E30" s="16" t="n"/>
      <c r="F30" s="16" t="n"/>
      <c r="G30" s="17">
        <f>IF(COUNT(G5:G29)=0,"",SUM(G5:G29))</f>
        <v>4870.0</v>
      </c>
      <c r="H30" s="18">
        <f>IFERROR(IF(COUNT(H5:H29)=0,"",AVERAGE(H5:H29)),"")</f>
        <v>0.314025492811479</v>
      </c>
      <c r="I30" s="16" t="n"/>
      <c r="J30" s="16" t="n"/>
      <c r="K30" s="16" t="n"/>
      <c r="L30" s="16" t="n"/>
      <c r="M30" s="16" t="n"/>
      <c r="N30" s="19">
        <f>IF(COUNT(N5:N29)=0,"",SUM(N5:N29))</f>
        <v>43634.866666666676</v>
      </c>
      <c r="O30" s="18">
        <f>IFERROR(IF(COUNT(O5:O29)=0,"",AVERAGE(O5:O29)),"")</f>
        <v>0.38188296335706373</v>
      </c>
      <c r="P30" s="16" t="n"/>
      <c r="Q30" s="16" t="n"/>
      <c r="R30" s="16" t="n"/>
      <c r="S30" s="16" t="n"/>
      <c r="T30" s="16" t="n"/>
      <c r="U30" s="19">
        <f>IF(COUNT(U5:U29)=0,"",SUM(U5:U29))</f>
        <v>49596.86666666667</v>
      </c>
      <c r="V30" s="18">
        <f>IFERROR(IF(COUNT(V5:V29)=0,"",AVERAGE(V5:V29)),"")</f>
        <v>0.545547090510091</v>
      </c>
      <c r="W30" s="16" t="n"/>
      <c r="X30" s="16" t="n"/>
      <c r="Y30" s="16" t="n"/>
      <c r="Z30" s="16" t="n"/>
      <c r="AA30" s="16" t="n"/>
      <c r="AB30" s="19">
        <f>IF(COUNT(AB5:AB29)=0,"",SUM(AB5:AB29))</f>
        <v>30050.000000000007</v>
      </c>
    </row>
    <row r="31"/>
    <row r="32">
      <c r="B32" s="2" t="inlineStr">
        <is>
          <t>PARÁMETROS EN VIGOR — se leen de la hoja «Parámetros»; cámbialos allí, no aquí</t>
        </is>
      </c>
    </row>
    <row r="33" ht="32" customHeight="1">
      <c r="B33" s="5" t="inlineStr">
        <is>
          <t>Canal</t>
        </is>
      </c>
      <c r="C33" s="5" t="inlineStr">
        <is>
          <t>Comisión (%)</t>
        </is>
      </c>
      <c r="D33" s="5" t="inlineStr">
        <is>
          <t>Packaging por plato (€)</t>
        </is>
      </c>
      <c r="E33" s="5" t="inlineStr">
        <is>
          <t>Food cost objetivo (%)</t>
        </is>
      </c>
    </row>
    <row r="34">
      <c r="B34" s="20" t="str">
        <f>Parámetros!$A$16</f>
        <v>Sala</v>
      </c>
      <c r="C34" s="21">
        <f>IF(Parámetros!$B$16="","",Parámetros!$B$16)</f>
        <v>0.0</v>
      </c>
      <c r="D34" s="22">
        <f>IF(Parámetros!$F$16="","",Parámetros!$F$16)</f>
        <v>0.0</v>
      </c>
      <c r="E34" s="21">
        <f>IF(Parámetros!$E$16="","",Parámetros!$E$16)</f>
        <v>0.3</v>
      </c>
    </row>
    <row r="35">
      <c r="B35" s="20" t="str">
        <f>Parámetros!$A$17</f>
        <v>Take away</v>
      </c>
      <c r="C35" s="21">
        <f>IF(Parámetros!$B$17="","",Parámetros!$B$17)</f>
        <v>0.0</v>
      </c>
      <c r="D35" s="22">
        <f>IF(Parámetros!$F$17="","",Parámetros!$F$17)</f>
        <v>0.7</v>
      </c>
      <c r="E35" s="21">
        <f>IF(Parámetros!$E$17="","",Parámetros!$E$17)</f>
        <v>0.3</v>
      </c>
    </row>
    <row r="36">
      <c r="B36" s="20" t="str">
        <f>Parámetros!$A$18</f>
        <v>Delivery</v>
      </c>
      <c r="C36" s="21">
        <f>IF(Parámetros!$B$18="","",Parámetros!$B$18)</f>
        <v>0.3</v>
      </c>
      <c r="D36" s="22">
        <f>IF(Parámetros!$F$18="","",Parámetros!$F$18)</f>
        <v>0.7</v>
      </c>
      <c r="E36" s="21">
        <f>IF(Parámetros!$E$18="","",Parámetros!$E$18)</f>
        <v>0.4</v>
      </c>
    </row>
  </sheetData>
  <sheetProtection selectLockedCells="0" selectUnlockedCells="0" sheet="1" objects="0" insertRows="0" insertHyperlinks="1" autoFilter="1" scenarios="0" formatColumns="0" deleteColumns="1" insertColumns="1" pivotTables="1" deleteRows="1" formatCells="1" formatRows="0" sort="0"/>
  <conditionalFormatting sqref="H5:H29">
    <cfRule type="expression" priority="1" dxfId="0" stopIfTrue="1">
      <formula>=AND(ISNUMBER($H5),ISNUMBER($E$34),$H5&gt;$E$34)</formula>
    </cfRule>
    <cfRule type="expression" priority="2" dxfId="1" stopIfTrue="1">
      <formula>=AND(ISNUMBER($H5),ISNUMBER($E$34),$H5&lt;=$E$34)</formula>
    </cfRule>
  </conditionalFormatting>
  <conditionalFormatting sqref="K5:K29">
    <cfRule type="cellIs" priority="3" operator="equal" dxfId="1" stopIfTrue="1">
      <formula>"Sí"</formula>
    </cfRule>
    <cfRule type="cellIs" priority="4" operator="equal" dxfId="0" stopIfTrue="1">
      <formula>"No: no llega al precio que acepta el mercado"</formula>
    </cfRule>
  </conditionalFormatting>
  <conditionalFormatting sqref="O5:O29">
    <cfRule type="expression" priority="5" dxfId="0" stopIfTrue="1">
      <formula>=AND(ISNUMBER($O5),ISNUMBER($E$35),$O5&gt;$E$35)</formula>
    </cfRule>
    <cfRule type="expression" priority="6" dxfId="1" stopIfTrue="1">
      <formula>=AND(ISNUMBER($O5),ISNUMBER($E$35),$O5&lt;=$E$35)</formula>
    </cfRule>
  </conditionalFormatting>
  <conditionalFormatting sqref="R5:R29">
    <cfRule type="cellIs" priority="7" operator="equal" dxfId="1" stopIfTrue="1">
      <formula>"Sí"</formula>
    </cfRule>
    <cfRule type="cellIs" priority="8" operator="equal" dxfId="0" stopIfTrue="1">
      <formula>"No: excluir o reformular"</formula>
    </cfRule>
  </conditionalFormatting>
  <conditionalFormatting sqref="V5:V29">
    <cfRule type="expression" priority="9" dxfId="0" stopIfTrue="1">
      <formula>=AND(ISNUMBER($V5),ISNUMBER($E$36),$V5&gt;$E$36)</formula>
    </cfRule>
    <cfRule type="expression" priority="10" dxfId="1" stopIfTrue="1">
      <formula>=AND(ISNUMBER($V5),ISNUMBER($E$36),$V5&lt;=$E$36)</formula>
    </cfRule>
  </conditionalFormatting>
  <conditionalFormatting sqref="Y5:Y29">
    <cfRule type="cellIs" priority="11" operator="equal" dxfId="1" stopIfTrue="1">
      <formula>"Sí"</formula>
    </cfRule>
    <cfRule type="cellIs" priority="12" operator="equal" dxfId="0" stopIfTrue="1">
      <formula>"No: excluir o reformular"</formula>
    </cfRule>
  </conditionalFormatting>
  <dataValidations count="3">
    <dataValidation sqref="E5 E6 E7 E8 E9 E10 E11 E12 E13 E14 E15 E16 E17 E18 E19 E20 E21 E22 E23 E24 E25 E26 E27 E28 E29" showDropDown="0" showInputMessage="0" showErrorMessage="1" allowBlank="1" errorTitle="Tipo de producto" error="Elige un valor de la lista: Comida, Refresco/azucarada, Bebida alcohólica" type="list">
      <formula1>"Comida,Refresco/azucarada,Bebida alcohólica"</formula1>
    </dataValidation>
    <dataValidation sqref="C5 C6 C7 C8 C9 C10 C11 C12 C13 C14 C15 C16 C17 C18 C19 C20 C21 C22 C23 C24 C25 C26 C27 C28 C29 D5 D6 D7 D8 D9 D10 D11 D12 D13 D14 D15 D16 D17 D18 D19 D20 D21 D22 D23 D24 D25 D26 D27 D28 D29 F5 F6 F7 F8 F9 F10 F11 F12 F13 F14 F15 F16 F17 F18 F19 F20 F21 F22 F23 F24 F25 F26 F27 F28 F29" showDropDown="0" showInputMessage="0" showErrorMessage="1" allowBlank="1" errorTitle="Importe (€)" error="Escribe un número mayor o igual que 0." type="decimal" operator="greaterThanOrEqual">
      <formula1>0</formula1>
    </dataValidation>
    <dataValidation sqref="G5 G6 G7 G8 G9 G10 G11 G12 G13 G14 G15 G16 G17 G18 G19 G20 G21 G22 G23 G24 G25 G26 G27 G28 G29" showDropDown="0" showInputMessage="0" showErrorMessage="1" allowBlank="1" errorTitle="Unidades vendidas" error="Escribe un número mayor o igual que 0." type="decimal" operator="greaterThanOrEqual">
      <formula1>0</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I15"/>
  <sheetViews>
    <sheetView workbookViewId="0">
      <selection activeCell="A1" sqref="A1"/>
    </sheetView>
  </sheetViews>
  <sheetFormatPr baseColWidth="8" defaultRowHeight="15"/>
  <cols>
    <col width="18" customWidth="1" min="1" max="1"/>
    <col width="14" customWidth="1" min="2" max="2"/>
    <col width="18" customWidth="1" min="3" max="3"/>
    <col width="20" customWidth="1" min="4" max="4"/>
    <col width="16" customWidth="1" min="5" max="5"/>
    <col width="16" customWidth="1" min="6" max="6"/>
    <col width="18" customWidth="1" min="7" max="7"/>
    <col width="18" customWidth="1" min="8" max="8"/>
    <col width="20" customWidth="1" min="9" max="9"/>
  </cols>
  <sheetData>
    <row r="1" ht="30" customHeight="1">
      <c r="A1" s="1" t="inlineStr">
        <is>
          <t>Resumen por canal</t>
        </is>
      </c>
    </row>
    <row r="2">
      <c r="A2" t="inlineStr">
        <is>
          <t>AI Chef Pro · aichef.pro — Guía Food Cost + Ingeniería de Menú</t>
        </is>
      </c>
    </row>
    <row r="3">
      <c r="A3" s="11" t="inlineStr">
        <is>
          <t>Todo se calcula desde la hoja «Carta»: aquí no se teclea nada.</t>
        </is>
      </c>
    </row>
    <row r="4" ht="60" customHeight="1">
      <c r="A4" s="5" t="inlineStr">
        <is>
          <t>Canal</t>
        </is>
      </c>
      <c r="B4" s="5" t="inlineStr">
        <is>
          <t>Platos viables (n.º)</t>
        </is>
      </c>
      <c r="C4" s="5" t="inlineStr">
        <is>
          <t>Platos a excluir o reformular (n.º)</t>
        </is>
      </c>
      <c r="D4" s="5" t="inlineStr">
        <is>
          <t>Food cost efectivo medio al PVP de sala (media simple, %)</t>
        </is>
      </c>
      <c r="E4" s="5" t="inlineStr">
        <is>
          <t>Food cost objetivo del canal (%)</t>
        </is>
      </c>
      <c r="F4" s="5" t="inlineStr">
        <is>
          <t>PVP medio necesario, sin IVA (€)</t>
        </is>
      </c>
      <c r="G4" s="5" t="inlineStr">
        <is>
          <t>Margen mensual total (€)</t>
        </is>
      </c>
      <c r="H4" s="5" t="inlineStr">
        <is>
          <t>Margen mensual medio por plato (€)</t>
        </is>
      </c>
      <c r="I4" s="5" t="inlineStr">
        <is>
          <t>Diferencia de margen frente a la sala (€/mes)</t>
        </is>
      </c>
    </row>
    <row r="5">
      <c r="A5" s="6" t="str">
        <f>Carta!$B$34</f>
        <v>Sala</v>
      </c>
      <c r="B5" s="13">
        <f>COUNTIF(Carta!$K$5:$K$29,"Sí")</f>
        <v>16.0</v>
      </c>
      <c r="C5" s="13">
        <f>IFERROR(COUNT(Carta!$C$5:$C$29)-$B5,"")</f>
        <v>4.0</v>
      </c>
      <c r="D5" s="15">
        <f>IFERROR(IF(COUNT(Carta!$H$5:$H$29)=0,"",AVERAGE(Carta!$H$5:$H$29)),"")</f>
        <v>0.314025492811479</v>
      </c>
      <c r="E5" s="15">
        <f>IF(Carta!$E$34="","",Carta!$E$34)</f>
        <v>0.3</v>
      </c>
      <c r="F5" s="10">
        <f>IFERROR(IF(COUNT(Carta!$I$5:$I$29)=0,"",AVERAGE(Carta!$I$5:$I$29)),"")</f>
        <v>15.511666666666667</v>
      </c>
      <c r="G5" s="10">
        <f>IF(Carta!$N$30="","",Carta!$N$30)</f>
        <v>43634.866666666676</v>
      </c>
      <c r="H5" s="10">
        <f>IFERROR(IF(OR($G5="",COUNT(Carta!$N$5:$N$29)=0),"",$G5/COUNT(Carta!$N$5:$N$29)),"")</f>
        <v>2181.743333333334</v>
      </c>
      <c r="I5" t="inlineStr">
        <is>
          <t>Canal de referencia</t>
        </is>
      </c>
    </row>
    <row r="6">
      <c r="A6" s="6" t="str">
        <f>Carta!$B$35</f>
        <v>Take away</v>
      </c>
      <c r="B6" s="13">
        <f>COUNTIF(Carta!$R$5:$R$29,"Sí")</f>
        <v>12.0</v>
      </c>
      <c r="C6" s="13">
        <f>IFERROR(COUNT(Carta!$C$5:$C$29)-$B6,"")</f>
        <v>8.0</v>
      </c>
      <c r="D6" s="15">
        <f>IFERROR(IF(COUNT(Carta!$O$5:$O$29)=0,"",AVERAGE(Carta!$O$5:$O$29)),"")</f>
        <v>0.38188296335706373</v>
      </c>
      <c r="E6" s="15">
        <f>IF(Carta!$E$35="","",Carta!$E$35)</f>
        <v>0.3</v>
      </c>
      <c r="F6" s="10">
        <f>IFERROR(IF(COUNT(Carta!$P$5:$P$29)=0,"",AVERAGE(Carta!$P$5:$P$29)),"")</f>
        <v>17.845000000000002</v>
      </c>
      <c r="G6" s="10">
        <f>IF(Carta!$U$30="","",Carta!$U$30)</f>
        <v>49596.86666666667</v>
      </c>
      <c r="H6" s="10">
        <f>IFERROR(IF(OR($G6="",COUNT(Carta!$U$5:$U$29)=0),"",$G6/COUNT(Carta!$U$5:$U$29)),"")</f>
        <v>2479.8433333333332</v>
      </c>
      <c r="I6" s="10">
        <f>IFERROR(IF(OR($G6="",$G$5=""),"",$G6-$G$5),"")</f>
        <v>5961.999999999993</v>
      </c>
    </row>
    <row r="7">
      <c r="A7" s="6" t="str">
        <f>Carta!$B$36</f>
        <v>Delivery</v>
      </c>
      <c r="B7" s="13">
        <f>COUNTIF(Carta!$Y$5:$Y$29,"Sí")</f>
        <v>12.0</v>
      </c>
      <c r="C7" s="13">
        <f>IFERROR(COUNT(Carta!$C$5:$C$29)-$B7,"")</f>
        <v>8.0</v>
      </c>
      <c r="D7" s="15">
        <f>IFERROR(IF(COUNT(Carta!$V$5:$V$29)=0,"",AVERAGE(Carta!$V$5:$V$29)),"")</f>
        <v>0.545547090510091</v>
      </c>
      <c r="E7" s="15">
        <f>IF(Carta!$E$36="","",Carta!$E$36)</f>
        <v>0.4</v>
      </c>
      <c r="F7" s="10">
        <f>IFERROR(IF(COUNT(Carta!$W$5:$W$29)=0,"",AVERAGE(Carta!$W$5:$W$29)),"")</f>
        <v>19.11964285714286</v>
      </c>
      <c r="G7" s="10">
        <f>IF(Carta!$AB$30="","",Carta!$AB$30)</f>
        <v>30050.000000000007</v>
      </c>
      <c r="H7" s="10">
        <f>IFERROR(IF(OR($G7="",COUNT(Carta!$AB$5:$AB$29)=0),"",$G7/COUNT(Carta!$AB$5:$AB$29)),"")</f>
        <v>1502.5000000000005</v>
      </c>
      <c r="I7" s="10">
        <f>IFERROR(IF(OR($G7="",$G$5=""),"",$G7-$G$5),"")</f>
        <v>-13584.866666666669</v>
      </c>
    </row>
    <row r="8"/>
    <row r="9">
      <c r="A9" s="2" t="inlineStr">
        <is>
          <t>CÓMO SE LEE</t>
        </is>
      </c>
    </row>
    <row r="10" ht="30" customHeight="1">
      <c r="A10" s="3" t="inlineStr">
        <is>
          <t>Un food cost medio muy por encima del objetivo en take away o delivery no significa que el canal sea malo: significa que estás vendiendo con el precio del comedor en un canal que cobra comisión y envase.</t>
        </is>
      </c>
    </row>
    <row r="11" ht="30" customHeight="1">
      <c r="A11" s="3" t="inlineStr">
        <is>
          <t>Con los datos de ejemplo, NINGÚN plato es viable en delivery: al 30 % de comisión y con un food cost objetivo del 30 %, el precio que haría falta se sale del techo en los veinte. Es el resultado normal de llevar la carta del comedor a una app sin rediseñarla, y la salida no es bajar el objetivo a ojo, sino una carta de delivery más corta, con platos de coste bajo y con el envase ya metido en el precio.</t>
        </is>
      </c>
    </row>
    <row r="12" ht="30" customHeight="1">
      <c r="A12" s="3" t="inlineStr">
        <is>
          <t>En sala, un «No» no quiere decir que retires el plato: quiere decir que ese plato no llega a tu food cost objetivo al precio que acepta el mercado. Los platos de coste alto (chuletón, pescado de lonja) se ponen a precio por MARGEN, no por factor: eso lo resuelve el libro «precio-objetivo-multi-metodo.xlsx».</t>
        </is>
      </c>
    </row>
    <row r="13" ht="30" customHeight="1">
      <c r="A13" s="3" t="inlineStr">
        <is>
          <t>Si un plato necesita un precio que el mercado no paga, tienes cuatro salidas: reformularlo para bajar el coste, subirlo hasta donde llegue el techo y aceptar peor food cost, sacarlo de ese canal, o sustituirlo por otro plato pensado para ese canal.</t>
        </is>
      </c>
    </row>
    <row r="14" ht="30" customHeight="1">
      <c r="A14" s="3" t="inlineStr">
        <is>
          <t>La columna «Margen mensual» ya cobra el precio que puedes cobrar de verdad (el menor entre el necesario y el techo): por eso el margen de delivery puede quedarse muy por debajo del de sala aunque vendas lo mismo.</t>
        </is>
      </c>
    </row>
    <row r="15" ht="30" customHeight="1">
      <c r="A15" s="3" t="inlineStr">
        <is>
          <t>El margen de esta hoja es margen de CONTRIBUCIÓN (precio neto menos coste de producto). No descuenta personal ni estructura: eso lo mide el libro «cuadro-de-mando-prime-cost.xlsx».</t>
        </is>
      </c>
    </row>
  </sheetData>
  <sheetProtection selectLockedCells="0" selectUnlockedCells="0" sheet="1" objects="0" insertRows="0" insertHyperlinks="1" autoFilter="1" scenarios="0" formatColumns="0" deleteColumns="1" insertColumns="1" pivotTables="1" deleteRows="1" formatCells="1" formatRows="0" sort="0"/>
  <conditionalFormatting sqref="D5:D7">
    <cfRule type="expression" priority="1" dxfId="0" stopIfTrue="1">
      <formula>=AND(ISNUMBER($D5),ISNUMBER($E5),$D5&gt;$E5)</formula>
    </cfRule>
    <cfRule type="expression" priority="2" dxfId="1" stopIfTrue="1">
      <formula>=AND(ISNUMBER($D5),ISNUMBER($E5),$D5&lt;=$E5)</formula>
    </cfRule>
  </conditionalFormatting>
  <conditionalFormatting sqref="I6:I7">
    <cfRule type="expression" priority="3" dxfId="0" stopIfTrue="1">
      <formula>=AND(ISNUMBER($I6),$I6&lt;0)</formula>
    </cfRule>
  </conditionalFormatting>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Simulador de repricing multicanal</dc:title>
  <dc:subject xmlns:dc="http://purl.org/dc/elements/1.1/">Guía Food Cost + Ingeniería de Menú · Versión 1.0 · septiembre 2026</dc:subject>
  <dcterms:created xmlns:dcterms="http://purl.org/dc/terms/" xmlns:xsi="http://www.w3.org/2001/XMLSchema-instance" xsi:type="dcterms:W3CDTF">2026-09-03T21:53:44Z</dcterms:created>
  <dcterms:modified xmlns:dcterms="http://purl.org/dc/terms/" xmlns:xsi="http://www.w3.org/2001/XMLSchema-instance" xsi:type="dcterms:W3CDTF">2026-09-03T21:53:44Z</dcterms:modified>
  <cp:lastModifiedBy>AI Chef Pro</cp:lastModifiedBy>
</cp:coreProperties>
</file>