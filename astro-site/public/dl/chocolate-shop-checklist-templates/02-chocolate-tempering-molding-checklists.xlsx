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mpering" sheetId="2" state="visible" r:id="rId2"/>
    <sheet xmlns:r="http://schemas.openxmlformats.org/officeDocument/2006/relationships" name="Molding &amp; Bars" sheetId="3" state="visible" r:id="rId3"/>
  </sheets>
  <definedNames>
    <definedName name="_xlnm.Print_Titles" localSheetId="1">'Tempering'!$5:$5</definedName>
    <definedName name="_xlnm.Print_Titles" localSheetId="2">'Molding &amp; Bars'!$5:$5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F8E1"/>
        <bgColor rgb="00FFF8E1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4" t="inlineStr">
        <is>
          <t>02 · Chocolate Tempering &amp; Molding Checklists: Dark, Milk &amp; White, Bonbons &amp; Bars</t>
        </is>
      </c>
    </row>
    <row r="4">
      <c r="B4" s="2" t="inlineStr">
        <is>
          <t>How to use this template:</t>
        </is>
      </c>
    </row>
    <row r="5">
      <c r="B5" s="3" t="inlineStr">
        <is>
          <t>▸ Control of craft production: tempering, molding, bonbons, bars.</t>
        </is>
      </c>
    </row>
    <row r="6">
      <c r="B6" s="3" t="inlineStr">
        <is>
          <t>▸ Log batches, temperatures and times for each process.</t>
        </is>
      </c>
    </row>
    <row r="7">
      <c r="B7" s="3" t="inlineStr">
        <is>
          <t>▸ Adapt the base recipes to your own formulas.</t>
        </is>
      </c>
    </row>
    <row r="9">
      <c r="B9" s="2" t="inlineStr">
        <is>
          <t>Customization:</t>
        </is>
      </c>
    </row>
    <row r="10">
      <c r="B10" s="3" t="inlineStr">
        <is>
          <t>▸ Green cells are editable: assigned to, time, notes.</t>
        </is>
      </c>
    </row>
    <row r="11">
      <c r="B11" s="3" t="inlineStr">
        <is>
          <t>▸ Set temper temps by couverture, per the manufacturer's curve.</t>
        </is>
      </c>
    </row>
    <row r="12">
      <c r="B12" s="3" t="inlineStr">
        <is>
          <t>▸ Print and keep in the kitchen next to the tempering machine.</t>
        </is>
      </c>
    </row>
    <row r="14">
      <c r="B14" s="2" t="inlineStr">
        <is>
          <t>Tempering and storage:</t>
        </is>
      </c>
    </row>
    <row r="15">
      <c r="B15" s="25" t="inlineStr">
        <is>
          <t>▸ Before tempering, check the kitchen AIR: 64–68 °F and 50–60% humidity. The three couverture curves on this sheet only work inside that window.</t>
        </is>
      </c>
    </row>
    <row r="16">
      <c r="B16" s="25" t="inlineStr">
        <is>
          <t>▸ At the bottom of "Molding &amp; Bars" is an editable shelf life table by product type: adjust it to your formula. It sits outside the counter because it is a reference, not a task.</t>
        </is>
      </c>
    </row>
    <row r="17">
      <c r="B17" s="25" t="inlineStr">
        <is>
          <t>▸ Finished chocolate is NEVER frozen: it condenses on thawing, the water dissolves surface sugar and leaves sugar bloom. Only bulk ganache can be frozen, at 0 °F or below.</t>
        </is>
      </c>
    </row>
    <row r="19">
      <c r="B19" s="25" t="inlineStr">
        <is>
          <t>Designed by John Guerrero — chef and restaurant consultant since 2010, in professional kitchens since age 17 · johnguerrero.es</t>
        </is>
      </c>
    </row>
    <row r="20">
      <c r="B20" s="25" t="inlineStr">
        <is>
          <t>Version 2.1 · October 2026 · aichef.pro/en/digital-products/chocolate-shop-checklist-templates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Tempering Control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Couverture prep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dark couverture stock (55–70% cocoa)</t>
        </is>
      </c>
      <c r="C6" s="10" t="inlineStr">
        <is>
          <t>Dry storage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milk couverture stock (30–40% cocoa)</t>
        </is>
      </c>
      <c r="C7" s="10" t="inlineStr">
        <is>
          <t>Dry storage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Check white couverture stock (28–33% cocoa)</t>
        </is>
      </c>
      <c r="C8" s="10" t="inlineStr">
        <is>
          <t>Dry storage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kitchen temperature and humidity BEFORE tempering: target 64–68 °F and 50–60% humidity (warmer than that, the cocoa butter will not crystallize and bloom appears) — log reading: ____ °F</t>
        </is>
      </c>
      <c r="C9" s="14" t="inlineStr">
        <is>
          <t>Kitchen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Weigh couverture per the day's production order</t>
        </is>
      </c>
      <c r="C10" s="14" t="inlineStr">
        <is>
          <t>Kitchen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Chop the couverture and load it into the tempering machine</t>
        </is>
      </c>
      <c r="C11" s="14" t="inlineStr">
        <is>
          <t>Tempering</t>
        </is>
      </c>
      <c r="D11" s="11" t="n"/>
      <c r="E11" s="12" t="n"/>
      <c r="F11" s="11" t="n"/>
      <c r="G11" s="13" t="n"/>
    </row>
    <row r="13">
      <c r="A13" s="6" t="inlineStr">
        <is>
          <t>Tempering Process — Dark Chocolate (typical curve; your couverture's chart rules)</t>
        </is>
      </c>
    </row>
    <row r="14">
      <c r="A14" s="7" t="inlineStr">
        <is>
          <t>#</t>
        </is>
      </c>
      <c r="B14" s="7" t="inlineStr">
        <is>
          <t>Task</t>
        </is>
      </c>
      <c r="C14" s="7" t="inlineStr">
        <is>
          <t>Area</t>
        </is>
      </c>
      <c r="D14" s="7" t="inlineStr">
        <is>
          <t>Assigned to</t>
        </is>
      </c>
      <c r="E14" s="7" t="inlineStr">
        <is>
          <t>✓</t>
        </is>
      </c>
      <c r="F14" s="7" t="inlineStr">
        <is>
          <t>Time</t>
        </is>
      </c>
      <c r="G14" s="7" t="inlineStr">
        <is>
          <t>Notes</t>
        </is>
      </c>
    </row>
    <row r="15">
      <c r="A15" s="8" t="n">
        <v>1</v>
      </c>
      <c r="B15" s="9" t="inlineStr">
        <is>
          <t>Melt to 122–131 °F — log temperature</t>
        </is>
      </c>
      <c r="C15" s="14" t="inlineStr">
        <is>
          <t>Tempering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Cool to 81–82 °F on the marble slab or by seeding</t>
        </is>
      </c>
      <c r="C16" s="14" t="inlineStr">
        <is>
          <t>Tempering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Rewarm to 88–90 °F — working temperature</t>
        </is>
      </c>
      <c r="C17" s="14" t="inlineStr">
        <is>
          <t>Tempering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Tempering test on a spatula tip: it should set in 3–5 min at 68 °F, with shine, a clean snap and shrinkage in the mold. If not, remelt and retemper — never mold "and hope for the best"</t>
        </is>
      </c>
      <c r="C18" s="14" t="inlineStr">
        <is>
          <t>Tempering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Log batch, time and final temperature</t>
        </is>
      </c>
      <c r="C19" s="15" t="inlineStr">
        <is>
          <t>Office</t>
        </is>
      </c>
      <c r="D19" s="11" t="n"/>
      <c r="E19" s="12" t="n"/>
      <c r="F19" s="11" t="n"/>
      <c r="G19" s="13" t="n"/>
    </row>
    <row r="21">
      <c r="A21" s="6" t="inlineStr">
        <is>
          <t>Tempering Process — Milk Chocolate (typical curve; your couverture's chart rules)</t>
        </is>
      </c>
    </row>
    <row r="22">
      <c r="A22" s="7" t="inlineStr">
        <is>
          <t>#</t>
        </is>
      </c>
      <c r="B22" s="7" t="inlineStr">
        <is>
          <t>Task</t>
        </is>
      </c>
      <c r="C22" s="7" t="inlineStr">
        <is>
          <t>Area</t>
        </is>
      </c>
      <c r="D22" s="7" t="inlineStr">
        <is>
          <t>Assigned to</t>
        </is>
      </c>
      <c r="E22" s="7" t="inlineStr">
        <is>
          <t>✓</t>
        </is>
      </c>
      <c r="F22" s="7" t="inlineStr">
        <is>
          <t>Time</t>
        </is>
      </c>
      <c r="G22" s="7" t="inlineStr">
        <is>
          <t>Notes</t>
        </is>
      </c>
    </row>
    <row r="23">
      <c r="A23" s="8" t="n">
        <v>1</v>
      </c>
      <c r="B23" s="9" t="inlineStr">
        <is>
          <t>Melt to 113–122 °F — log temperature</t>
        </is>
      </c>
      <c r="C23" s="14" t="inlineStr">
        <is>
          <t>Tempering</t>
        </is>
      </c>
      <c r="D23" s="11" t="n"/>
      <c r="E23" s="12" t="n"/>
      <c r="F23" s="11" t="n"/>
      <c r="G23" s="13" t="n"/>
    </row>
    <row r="24">
      <c r="A24" s="8" t="n">
        <v>2</v>
      </c>
      <c r="B24" s="9" t="inlineStr">
        <is>
          <t>Cool to 79–81 °F on the marble slab or by seeding</t>
        </is>
      </c>
      <c r="C24" s="14" t="inlineStr">
        <is>
          <t>Tempering</t>
        </is>
      </c>
      <c r="D24" s="11" t="n"/>
      <c r="E24" s="12" t="n"/>
      <c r="F24" s="11" t="n"/>
      <c r="G24" s="13" t="n"/>
    </row>
    <row r="25">
      <c r="A25" s="8" t="n">
        <v>3</v>
      </c>
      <c r="B25" s="9" t="inlineStr">
        <is>
          <t>Rewarm to 84–86 °F — working temperature</t>
        </is>
      </c>
      <c r="C25" s="14" t="inlineStr">
        <is>
          <t>Tempering</t>
        </is>
      </c>
      <c r="D25" s="11" t="n"/>
      <c r="E25" s="12" t="n"/>
      <c r="F25" s="11" t="n"/>
      <c r="G25" s="13" t="n"/>
    </row>
    <row r="26">
      <c r="A26" s="8" t="n">
        <v>4</v>
      </c>
      <c r="B26" s="9" t="inlineStr">
        <is>
          <t>Tempering test, thin layer on paper: at 64–68 °F it should set in 3–5 min, with even shine and no streaks, starting from the working temperature of 84–86 °F. If not, remelt and retemper — never mold "and hope for the best". Log the batch, time and final temperature</t>
        </is>
      </c>
      <c r="C26" s="15" t="inlineStr">
        <is>
          <t>Office</t>
        </is>
      </c>
      <c r="D26" s="11" t="n"/>
      <c r="E26" s="12" t="n"/>
      <c r="F26" s="11" t="n"/>
      <c r="G26" s="13" t="n"/>
    </row>
    <row r="28">
      <c r="A28" s="6" t="inlineStr">
        <is>
          <t>Tempering Process — White Chocolate (typical curve; your couverture's chart rules)</t>
        </is>
      </c>
    </row>
    <row r="29">
      <c r="A29" s="7" t="inlineStr">
        <is>
          <t>#</t>
        </is>
      </c>
      <c r="B29" s="7" t="inlineStr">
        <is>
          <t>Task</t>
        </is>
      </c>
      <c r="C29" s="7" t="inlineStr">
        <is>
          <t>Area</t>
        </is>
      </c>
      <c r="D29" s="7" t="inlineStr">
        <is>
          <t>Assigned to</t>
        </is>
      </c>
      <c r="E29" s="7" t="inlineStr">
        <is>
          <t>✓</t>
        </is>
      </c>
      <c r="F29" s="7" t="inlineStr">
        <is>
          <t>Time</t>
        </is>
      </c>
      <c r="G29" s="7" t="inlineStr">
        <is>
          <t>Notes</t>
        </is>
      </c>
    </row>
    <row r="30">
      <c r="A30" s="8" t="n">
        <v>1</v>
      </c>
      <c r="B30" s="9" t="inlineStr">
        <is>
          <t>Melt to 104–113 °F — log temperature</t>
        </is>
      </c>
      <c r="C30" s="14" t="inlineStr">
        <is>
          <t>Tempering</t>
        </is>
      </c>
      <c r="D30" s="11" t="n"/>
      <c r="E30" s="12" t="n"/>
      <c r="F30" s="11" t="n"/>
      <c r="G30" s="13" t="n"/>
    </row>
    <row r="31">
      <c r="A31" s="8" t="n">
        <v>2</v>
      </c>
      <c r="B31" s="9" t="inlineStr">
        <is>
          <t>Cool to 77–79 °F on the marble slab or by seeding</t>
        </is>
      </c>
      <c r="C31" s="14" t="inlineStr">
        <is>
          <t>Tempering</t>
        </is>
      </c>
      <c r="D31" s="11" t="n"/>
      <c r="E31" s="12" t="n"/>
      <c r="F31" s="11" t="n"/>
      <c r="G31" s="13" t="n"/>
    </row>
    <row r="32">
      <c r="A32" s="8" t="n">
        <v>3</v>
      </c>
      <c r="B32" s="9" t="inlineStr">
        <is>
          <t>Rewarm to 82–84 °F — working temperature</t>
        </is>
      </c>
      <c r="C32" s="14" t="inlineStr">
        <is>
          <t>Tempering</t>
        </is>
      </c>
      <c r="D32" s="11" t="n"/>
      <c r="E32" s="12" t="n"/>
      <c r="F32" s="11" t="n"/>
      <c r="G32" s="13" t="n"/>
    </row>
    <row r="33">
      <c r="A33" s="8" t="n">
        <v>4</v>
      </c>
      <c r="B33" s="9" t="inlineStr">
        <is>
          <t>Tempering test, thin layer on paper: at 64–68 °F it should set in 3–5 min, with even shine and no streaks, starting from the working temperature of 82–84 °F. If not, remelt and retemper — never mold "and hope for the best". Log the batch, time and final temperature</t>
        </is>
      </c>
      <c r="C33" s="15" t="inlineStr">
        <is>
          <t>Office</t>
        </is>
      </c>
      <c r="D33" s="11" t="n"/>
      <c r="E33" s="12" t="n"/>
      <c r="F33" s="11" t="n"/>
      <c r="G33" s="13" t="n"/>
    </row>
    <row r="34">
      <c r="B34" s="18" t="inlineStr">
        <is>
          <t>Tasks done:</t>
        </is>
      </c>
      <c r="C34">
        <f>COUNTIFS(B6:B33,"?*",E6:E33,"✓")-COUNTIFS(B6:B33,"Task",E6:E33,"✓")</f>
        <v>0.0</v>
      </c>
      <c r="D34" t="inlineStr">
        <is>
          <t>of</t>
        </is>
      </c>
      <c r="E34">
        <f>COUNTIF(B6:B33,"?*")-COUNTIF(B6:B33,"Task")-COUNTIF(E6:E33,"N/A")</f>
        <v>19.0</v>
      </c>
    </row>
    <row r="35">
      <c r="A35" s="16" t="inlineStr">
        <is>
          <t>Signed off by: _________________  Date: ___/___/______</t>
        </is>
      </c>
    </row>
    <row r="36">
      <c r="A36" s="16" t="inlineStr">
        <is>
          <t>© 2026 AI Chef Pro · aichef.pro</t>
        </is>
      </c>
    </row>
  </sheetData>
  <mergeCells count="8">
    <mergeCell ref="A36:G36"/>
    <mergeCell ref="A13:G13"/>
    <mergeCell ref="A1:G1"/>
    <mergeCell ref="A21:G21"/>
    <mergeCell ref="A35:G35"/>
    <mergeCell ref="A4:G4"/>
    <mergeCell ref="A2:G2"/>
    <mergeCell ref="A28:G28"/>
  </mergeCells>
  <conditionalFormatting sqref="A6:G33">
    <cfRule type="expression" priority="1" dxfId="0">
      <formula>AND($E6="✓",$B6&lt;&gt;"Task")</formula>
    </cfRule>
  </conditionalFormatting>
  <dataValidations count="1">
    <dataValidation sqref="E6 E7 E8 E9 E10 E11 E15 E16 E17 E18 E19 E23 E24 E25 E26 E30 E31 E32 E33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Production: Molding &amp; Bonbons</t>
        </is>
      </c>
    </row>
    <row r="2">
      <c r="A2" s="5" t="inlineStr">
        <is>
          <t>AI Chef Pro · aichef.pro — Chocolate Shop Checklists Kit Pro</t>
        </is>
      </c>
    </row>
    <row r="4">
      <c r="A4" s="6" t="inlineStr">
        <is>
          <t>Molding bonbons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Prep clean molds, slightly warmer than the room (68–72 °F)</t>
        </is>
      </c>
      <c r="C6" s="14" t="inlineStr">
        <is>
          <t>Molding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Pour tempered chocolate into the molds — tap to remove air bubbles</t>
        </is>
      </c>
      <c r="C7" s="14" t="inlineStr">
        <is>
          <t>Molding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Pour out the excess — leave an even shell of 1/16–1/8 in</t>
        </is>
      </c>
      <c r="C8" s="14" t="inlineStr">
        <is>
          <t>Molding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Invert molds over a rack and let drain</t>
        </is>
      </c>
      <c r="C9" s="14" t="inlineStr">
        <is>
          <t>Molding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Chill 10–15 min in a cooling cabinet or fridge set to 54–57 °F</t>
        </is>
      </c>
      <c r="C10" s="17" t="inlineStr">
        <is>
          <t>Fridge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Prepare the day's fillings/ganaches per recipe</t>
        </is>
      </c>
      <c r="C11" s="14" t="inlineStr">
        <is>
          <t>Kitchen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Fill bonbons to 80%, leaving room for the cap; let the filling set before capping (ganache: usually overnight — if it is TCS, in the fridge)</t>
        </is>
      </c>
      <c r="C12" s="14" t="inlineStr">
        <is>
          <t>Molding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Cap with tempered chocolate — smooth with a spatula</t>
        </is>
      </c>
      <c r="C13" s="14" t="inlineStr">
        <is>
          <t>Molding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Chill 15–20 min until the chocolate contracts</t>
        </is>
      </c>
      <c r="C14" s="17" t="inlineStr">
        <is>
          <t>Fridge</t>
        </is>
      </c>
      <c r="D14" s="11" t="n"/>
      <c r="E14" s="12" t="n"/>
      <c r="F14" s="11" t="n"/>
      <c r="G14" s="13" t="n"/>
    </row>
    <row r="15">
      <c r="A15" s="8" t="n">
        <v>10</v>
      </c>
      <c r="B15" s="9" t="inlineStr">
        <is>
          <t>Unmold, check shine and store on trays</t>
        </is>
      </c>
      <c r="C15" s="14" t="inlineStr">
        <is>
          <t>Molding</t>
        </is>
      </c>
      <c r="D15" s="11" t="n"/>
      <c r="E15" s="12" t="n"/>
      <c r="F15" s="11" t="n"/>
      <c r="G15" s="13" t="n"/>
    </row>
    <row r="17">
      <c r="A17" s="6" t="inlineStr">
        <is>
          <t>Bar production</t>
        </is>
      </c>
    </row>
    <row r="18">
      <c r="A18" s="7" t="inlineStr">
        <is>
          <t>#</t>
        </is>
      </c>
      <c r="B18" s="7" t="inlineStr">
        <is>
          <t>Task</t>
        </is>
      </c>
      <c r="C18" s="7" t="inlineStr">
        <is>
          <t>Area</t>
        </is>
      </c>
      <c r="D18" s="7" t="inlineStr">
        <is>
          <t>Assigned to</t>
        </is>
      </c>
      <c r="E18" s="7" t="inlineStr">
        <is>
          <t>✓</t>
        </is>
      </c>
      <c r="F18" s="7" t="inlineStr">
        <is>
          <t>Time</t>
        </is>
      </c>
      <c r="G18" s="7" t="inlineStr">
        <is>
          <t>Notes</t>
        </is>
      </c>
    </row>
    <row r="19">
      <c r="A19" s="8" t="n">
        <v>1</v>
      </c>
      <c r="B19" s="9" t="inlineStr">
        <is>
          <t>Prep clean bar molds, slightly warmer than the room (68–72 °F)</t>
        </is>
      </c>
      <c r="C19" s="14" t="inlineStr">
        <is>
          <t>Molding</t>
        </is>
      </c>
      <c r="D19" s="11" t="n"/>
      <c r="E19" s="12" t="n"/>
      <c r="F19" s="11" t="n"/>
      <c r="G19" s="13" t="n"/>
    </row>
    <row r="20">
      <c r="A20" s="8" t="n">
        <v>2</v>
      </c>
      <c r="B20" s="9" t="inlineStr">
        <is>
          <t>Pour tempered chocolate and tap/vibrate</t>
        </is>
      </c>
      <c r="C20" s="14" t="inlineStr">
        <is>
          <t>Molding</t>
        </is>
      </c>
      <c r="D20" s="11" t="n"/>
      <c r="E20" s="12" t="n"/>
      <c r="F20" s="11" t="n"/>
      <c r="G20" s="13" t="n"/>
    </row>
    <row r="21">
      <c r="A21" s="8" t="n">
        <v>3</v>
      </c>
      <c r="B21" s="9" t="inlineStr">
        <is>
          <t>Add inclusions if needed: nuts, dried fruit, salt — run nut and peanut bars LAST, then clean molds, tools and the tempering machine before plain bars (allergen cross-contact)</t>
        </is>
      </c>
      <c r="C21" s="14" t="inlineStr">
        <is>
          <t>Molding</t>
        </is>
      </c>
      <c r="D21" s="11" t="n"/>
      <c r="E21" s="12" t="n"/>
      <c r="F21" s="11" t="n"/>
      <c r="G21" s="13" t="n"/>
    </row>
    <row r="22">
      <c r="A22" s="8" t="n">
        <v>4</v>
      </c>
      <c r="B22" s="9" t="inlineStr">
        <is>
          <t>Smooth the surface with a spatula</t>
        </is>
      </c>
      <c r="C22" s="14" t="inlineStr">
        <is>
          <t>Molding</t>
        </is>
      </c>
      <c r="D22" s="11" t="n"/>
      <c r="E22" s="12" t="n"/>
      <c r="F22" s="11" t="n"/>
      <c r="G22" s="13" t="n"/>
    </row>
    <row r="23">
      <c r="A23" s="8" t="n">
        <v>5</v>
      </c>
      <c r="B23" s="9" t="inlineStr">
        <is>
          <t>Chill 20–30 min in a cooling cabinet or fridge set to 54–57 °F</t>
        </is>
      </c>
      <c r="C23" s="17" t="inlineStr">
        <is>
          <t>Fridge</t>
        </is>
      </c>
      <c r="D23" s="11" t="n"/>
      <c r="E23" s="12" t="n"/>
      <c r="F23" s="11" t="n"/>
      <c r="G23" s="13" t="n"/>
    </row>
    <row r="24">
      <c r="A24" s="8" t="n">
        <v>6</v>
      </c>
      <c r="B24" s="9" t="inlineStr">
        <is>
          <t>Unmold, check the finish and weigh each bar</t>
        </is>
      </c>
      <c r="C24" s="14" t="inlineStr">
        <is>
          <t>Molding</t>
        </is>
      </c>
      <c r="D24" s="11" t="n"/>
      <c r="E24" s="12" t="n"/>
      <c r="F24" s="11" t="n"/>
      <c r="G24" s="13" t="n"/>
    </row>
    <row r="25">
      <c r="A25" s="8" t="n">
        <v>7</v>
      </c>
      <c r="B25" s="9" t="inlineStr">
        <is>
          <t>Wrap in paper/foil and label: product name, ingredients, net weight (oz and g), allergens, business name and address (FDA 3-602.11), plus lot and best-by</t>
        </is>
      </c>
      <c r="C25" s="14" t="inlineStr">
        <is>
          <t>Wrapping</t>
        </is>
      </c>
      <c r="D25" s="11" t="n"/>
      <c r="E25" s="12" t="n"/>
      <c r="F25" s="11" t="n"/>
      <c r="G25" s="13" t="n"/>
    </row>
    <row r="27">
      <c r="A27" s="6" t="inlineStr">
        <is>
          <t>Quality control and records</t>
        </is>
      </c>
    </row>
    <row r="28">
      <c r="A28" s="7" t="inlineStr">
        <is>
          <t>#</t>
        </is>
      </c>
      <c r="B28" s="7" t="inlineStr">
        <is>
          <t>Task</t>
        </is>
      </c>
      <c r="C28" s="7" t="inlineStr">
        <is>
          <t>Area</t>
        </is>
      </c>
      <c r="D28" s="7" t="inlineStr">
        <is>
          <t>Assigned to</t>
        </is>
      </c>
      <c r="E28" s="7" t="inlineStr">
        <is>
          <t>✓</t>
        </is>
      </c>
      <c r="F28" s="7" t="inlineStr">
        <is>
          <t>Time</t>
        </is>
      </c>
      <c r="G28" s="7" t="inlineStr">
        <is>
          <t>Notes</t>
        </is>
      </c>
    </row>
    <row r="29">
      <c r="A29" s="8" t="n">
        <v>1</v>
      </c>
      <c r="B29" s="9" t="inlineStr">
        <is>
          <t>Check shine, texture and snap of products</t>
        </is>
      </c>
      <c r="C29" s="14" t="inlineStr">
        <is>
          <t>Kitchen</t>
        </is>
      </c>
      <c r="D29" s="11" t="n"/>
      <c r="E29" s="12" t="n"/>
      <c r="F29" s="11" t="n"/>
      <c r="G29" s="13" t="n"/>
    </row>
    <row r="30">
      <c r="A30" s="8" t="n">
        <v>2</v>
      </c>
      <c r="B30" s="9" t="inlineStr">
        <is>
          <t>Log production batches: product, quantity, date</t>
        </is>
      </c>
      <c r="C30" s="15" t="inlineStr">
        <is>
          <t>Office</t>
        </is>
      </c>
      <c r="D30" s="11" t="n"/>
      <c r="E30" s="12" t="n"/>
      <c r="F30" s="11" t="n"/>
      <c r="G30" s="13" t="n"/>
    </row>
    <row r="31">
      <c r="A31" s="8" t="n">
        <v>3</v>
      </c>
      <c r="B31" s="9" t="inlineStr">
        <is>
          <t>Label each batch with its production date and best-by date by product type (table at the bottom of the sheet); fresh-cream ganache and high water-activity fillings (TCS): 7-day date mark at 41 °F or below, production day = day 1 (FDA 3-501.17)</t>
        </is>
      </c>
      <c r="C31" s="15" t="inlineStr">
        <is>
          <t>Office</t>
        </is>
      </c>
      <c r="D31" s="11" t="n"/>
      <c r="E31" s="12" t="n"/>
      <c r="F31" s="11" t="n"/>
      <c r="G31" s="13" t="n"/>
    </row>
    <row r="32">
      <c r="A32" s="8" t="n">
        <v>4</v>
      </c>
      <c r="B32" s="9" t="inlineStr">
        <is>
          <t>Log the day's waste: product, quantity and reason (breakage, bad temper, bloom, test). Plain chocolate that is uncontaminated can be remelted; anything with ganache or fruit goes in the trash</t>
        </is>
      </c>
      <c r="C32" s="15" t="inlineStr">
        <is>
          <t>Office</t>
        </is>
      </c>
      <c r="D32" s="11" t="n"/>
      <c r="E32" s="12" t="n"/>
      <c r="F32" s="11" t="n"/>
      <c r="G32" s="13" t="n"/>
    </row>
    <row r="33">
      <c r="A33" s="8" t="n">
        <v>5</v>
      </c>
      <c r="B33" s="9" t="inlineStr">
        <is>
          <t>Store finished product at 59–64 °F and 50–60% humidity, in the dark and away from strong odors (cocoa absorbs them); TCS fresh-cream items in the fridge at 41 °F or below — log reading: ____ °F</t>
        </is>
      </c>
      <c r="C33" s="17" t="inlineStr">
        <is>
          <t>Cool room</t>
        </is>
      </c>
      <c r="D33" s="11" t="n"/>
      <c r="E33" s="12" t="n"/>
      <c r="F33" s="11" t="n"/>
      <c r="G33" s="13" t="n"/>
    </row>
    <row r="34">
      <c r="B34" s="18" t="inlineStr">
        <is>
          <t>Tasks done:</t>
        </is>
      </c>
      <c r="C34">
        <f>COUNTIFS(B6:B33,"?*",E6:E33,"✓")-COUNTIFS(B6:B33,"Task",E6:E33,"✓")</f>
        <v>0.0</v>
      </c>
      <c r="D34" t="inlineStr">
        <is>
          <t>of</t>
        </is>
      </c>
      <c r="E34">
        <f>COUNTIF(B6:B33,"?*")-COUNTIF(B6:B33,"Task")-COUNTIF(E6:E33,"N/A")</f>
        <v>22.0</v>
      </c>
    </row>
    <row r="35">
      <c r="A35" s="16" t="inlineStr">
        <is>
          <t>Signed off by: _________________  Date: ___/___/______</t>
        </is>
      </c>
    </row>
    <row r="36">
      <c r="A36" s="16" t="n"/>
    </row>
    <row r="37">
      <c r="A37" s="6" t="inlineStr">
        <is>
          <t>TYPICAL SHELF LIFE AT 59–64 °F AND 50–60% HUMIDITY — adjust it to your recipes and your kitchen</t>
        </is>
      </c>
    </row>
    <row r="38">
      <c r="A38" s="7" t="n"/>
      <c r="B38" s="7" t="inlineStr">
        <is>
          <t>Product type</t>
        </is>
      </c>
      <c r="C38" s="7" t="inlineStr">
        <is>
          <t>Shelf life</t>
        </is>
      </c>
      <c r="D38" s="7" t="inlineStr">
        <is>
          <t>Notes</t>
        </is>
      </c>
      <c r="E38" s="19" t="n"/>
      <c r="F38" s="19" t="n"/>
      <c r="G38" s="20" t="n"/>
    </row>
    <row r="39" ht="30" customHeight="1">
      <c r="A39" s="8" t="n"/>
      <c r="B39" s="21" t="inlineStr">
        <is>
          <t>Bars and unfilled chocolate</t>
        </is>
      </c>
      <c r="C39" s="22" t="inlineStr">
        <is>
          <t>12–18 months</t>
        </is>
      </c>
      <c r="D39" s="23" t="inlineStr">
        <is>
          <t>The enemy is not time: it is moisture, light and odors. Keep sealed and in the dark</t>
        </is>
      </c>
      <c r="E39" s="19" t="n"/>
      <c r="F39" s="19" t="n"/>
      <c r="G39" s="20" t="n"/>
    </row>
    <row r="40" ht="30" customHeight="1">
      <c r="A40" s="8" t="n"/>
      <c r="B40" s="21" t="inlineStr">
        <is>
          <t>Hollow figures and solid pieces</t>
        </is>
      </c>
      <c r="C40" s="22" t="inlineStr">
        <is>
          <t>6–12 months</t>
        </is>
      </c>
      <c r="D40" s="23" t="inlineStr">
        <is>
          <t>Same as the bar, but a hollow piece cracks with sudden temperature changes</t>
        </is>
      </c>
      <c r="E40" s="19" t="n"/>
      <c r="F40" s="19" t="n"/>
      <c r="G40" s="20" t="n"/>
    </row>
    <row r="41" ht="75" customHeight="1">
      <c r="A41" s="8" t="n"/>
      <c r="B41" s="21" t="inlineStr">
        <is>
          <t>Fresh-cream ganache bonbons</t>
        </is>
      </c>
      <c r="C41" s="22" t="inlineStr">
        <is>
          <t>7 days at 41 °F</t>
        </is>
      </c>
      <c r="D41" s="23" t="inlineStr">
        <is>
          <t>Treat it as TCS until a lab test (water activity and pH; FDA 1-201.10) shows it is not: 41 °F or below, 7 days max (date marking), so NOT in the 60–64 °F display case or the cool room — use a refrigerated case or the fridge. Let the box warm up CLOSED before opening, or it sweats</t>
        </is>
      </c>
      <c r="E41" s="19" t="n"/>
      <c r="F41" s="19" t="n"/>
      <c r="G41" s="20" t="n"/>
    </row>
    <row r="42" ht="60" customHeight="1">
      <c r="A42" s="8" t="n"/>
      <c r="B42" s="21" t="inlineStr">
        <is>
          <t>Bonbons with UHT cream, sorbate or alcohol</t>
        </is>
      </c>
      <c r="C42" s="22" t="inlineStr">
        <is>
          <t>4–8 weeks</t>
        </is>
      </c>
      <c r="D42" s="23" t="inlineStr">
        <is>
          <t>Preservative and alcohol lower water activity; without them you will not reach even half of this. Only with a lab test of water activity and pH showing it is not TCS; otherwise, treat it as fresh-cream ganache</t>
        </is>
      </c>
      <c r="E42" s="19" t="n"/>
      <c r="F42" s="19" t="n"/>
      <c r="G42" s="20" t="n"/>
    </row>
    <row r="43" ht="30" customHeight="1">
      <c r="A43" s="8" t="n"/>
      <c r="B43" s="21" t="inlineStr">
        <is>
          <t>Praline, gianduja and nut bonbons</t>
        </is>
      </c>
      <c r="C43" s="22" t="inlineStr">
        <is>
          <t>2–4 months</t>
        </is>
      </c>
      <c r="D43" s="23" t="inlineStr">
        <is>
          <t>Nut fat goes rancid and refrigeration does not prevent it: go by the date, not the look</t>
        </is>
      </c>
      <c r="E43" s="19" t="n"/>
      <c r="F43" s="19" t="n"/>
      <c r="G43" s="20" t="n"/>
    </row>
    <row r="44" ht="45" customHeight="1">
      <c r="A44" s="8" t="n"/>
      <c r="B44" s="21" t="inlineStr">
        <is>
          <t>Truffles and coated clusters</t>
        </is>
      </c>
      <c r="C44" s="22" t="inlineStr">
        <is>
          <t>3–4 weeks</t>
        </is>
      </c>
      <c r="D44" s="23" t="inlineStr">
        <is>
          <t>Truffles with fresh cream or butter follow the fresh-cream row (TCS unless lab-tested); nut or praline centers, this row</t>
        </is>
      </c>
      <c r="E44" s="19" t="n"/>
      <c r="F44" s="19" t="n"/>
      <c r="G44" s="20" t="n"/>
    </row>
    <row r="45" ht="60" customHeight="1">
      <c r="A45" s="8" t="n"/>
      <c r="B45" s="21" t="inlineStr">
        <is>
          <t>Liqueur and sugar-crystallized bonbons</t>
        </is>
      </c>
      <c r="C45" s="22" t="inlineStr">
        <is>
          <t>3–6 months</t>
        </is>
      </c>
      <c r="D45" s="23" t="inlineStr">
        <is>
          <t>Watch for sugar crystallization in the shell: it cracks and leaks. Alcohol: above 0.5% only where state law allows; ship only to states that allow it (FD&amp;C Act §402(d)); some states set 21+ — check your state rules</t>
        </is>
      </c>
      <c r="E45" s="19" t="n"/>
      <c r="F45" s="19" t="n"/>
      <c r="G45" s="20" t="n"/>
    </row>
    <row r="46" ht="30" customHeight="1">
      <c r="A46" s="8" t="n"/>
      <c r="B46" s="21" t="inlineStr">
        <is>
          <t>Candied nuts and chocolate-dipped candied fruit</t>
        </is>
      </c>
      <c r="C46" s="22" t="inlineStr">
        <is>
          <t>1–3 months</t>
        </is>
      </c>
      <c r="D46" s="23" t="inlineStr">
        <is>
          <t>They clump with moisture; airtight packaging with a desiccant if your kitchen is humid</t>
        </is>
      </c>
      <c r="E46" s="19" t="n"/>
      <c r="F46" s="19" t="n"/>
      <c r="G46" s="20" t="n"/>
    </row>
    <row r="47" ht="30" customHeight="1">
      <c r="A47" s="8" t="n"/>
      <c r="B47" s="21" t="inlineStr">
        <is>
          <t>Chocolate-dipped wafers and crisps</t>
        </is>
      </c>
      <c r="C47" s="22" t="inlineStr">
        <is>
          <t>3–4 weeks</t>
        </is>
      </c>
      <c r="D47" s="23" t="inlineStr">
        <is>
          <t>They lose their crunch long before they become unsafe: pull them for quality</t>
        </is>
      </c>
      <c r="E47" s="19" t="n"/>
      <c r="F47" s="19" t="n"/>
      <c r="G47" s="20" t="n"/>
    </row>
    <row r="48" ht="60" customHeight="1">
      <c r="A48" s="8" t="n"/>
      <c r="B48" s="21" t="inlineStr">
        <is>
          <t>Finished chocolate: do NOT freeze</t>
        </is>
      </c>
      <c r="C48" s="22" t="inlineStr">
        <is>
          <t>Never</t>
        </is>
      </c>
      <c r="D48" s="23" t="inlineStr">
        <is>
          <t>On thawing it condenses, the water dissolves surface sugar and leaves sugar bloom. Only bulk ganache can be frozen, at 0 °F or below for 1–2 months, thawed 24 h in the fridge and unopened</t>
        </is>
      </c>
      <c r="E48" s="19" t="n"/>
      <c r="F48" s="19" t="n"/>
      <c r="G48" s="20" t="n"/>
    </row>
    <row r="49">
      <c r="A49" s="16" t="inlineStr">
        <is>
          <t>© 2026 AI Chef Pro · aichef.pro</t>
        </is>
      </c>
    </row>
  </sheetData>
  <mergeCells count="19">
    <mergeCell ref="A17:G17"/>
    <mergeCell ref="D39:G39"/>
    <mergeCell ref="A35:G35"/>
    <mergeCell ref="A4:G4"/>
    <mergeCell ref="D42:G42"/>
    <mergeCell ref="D38:G38"/>
    <mergeCell ref="D44:G44"/>
    <mergeCell ref="A49:G49"/>
    <mergeCell ref="D46:G46"/>
    <mergeCell ref="D40:G40"/>
    <mergeCell ref="A1:G1"/>
    <mergeCell ref="D45:G45"/>
    <mergeCell ref="A37:G37"/>
    <mergeCell ref="D41:G41"/>
    <mergeCell ref="D48:G48"/>
    <mergeCell ref="A27:G27"/>
    <mergeCell ref="D47:G47"/>
    <mergeCell ref="A2:G2"/>
    <mergeCell ref="D43:G43"/>
  </mergeCells>
  <conditionalFormatting sqref="A6:G33">
    <cfRule type="expression" priority="1" dxfId="0">
      <formula>AND($E6="✓",$B6&lt;&gt;"Task")</formula>
    </cfRule>
  </conditionalFormatting>
  <dataValidations count="1">
    <dataValidation sqref="E6 E7 E8 E9 E10 E11 E12 E13 E14 E15 E19 E20 E21 E22 E23 E24 E25 E29 E30 E31 E32 E33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Chocolate Tempering &amp; Molding Checklists: Dark, Milk &amp; White, Bonbons &amp; Bars</dc:title>
  <dc:description xmlns:dc="http://purl.org/dc/elements/1.1/">aichef.pro/en/digital-products/chocolate-shop-checklist-templates</dc:description>
  <dc:subject xmlns:dc="http://purl.org/dc/elements/1.1/">Chocolate Shop Checklists Kit Pro · v2.1</dc:subject>
  <dcterms:created xmlns:dcterms="http://purl.org/dc/terms/" xmlns:xsi="http://www.w3.org/2001/XMLSchema-instance" xsi:type="dcterms:W3CDTF">2026-03-23T10:26:56Z</dcterms:created>
  <dcterms:modified xmlns:dcterms="http://purl.org/dc/terms/" xmlns:xsi="http://www.w3.org/2001/XMLSchema-instance" xsi:type="dcterms:W3CDTF">2026-10-24T10:59:46Z</dcterms:modified>
  <cp:lastModifiedBy>AI Chef Pro</cp:lastModifiedBy>
  <cp:category>AI Chef Pro · Digital products</cp:category>
  <cp:keywords>chocolate shop checklist, chocolate shop opening checklist, chocolatier, chocolate tempering, bonbons, chocolate truffles, chocolate molds, chocolate store, AI Chef Pro</cp:keywords>
</cp:coreProperties>
</file>