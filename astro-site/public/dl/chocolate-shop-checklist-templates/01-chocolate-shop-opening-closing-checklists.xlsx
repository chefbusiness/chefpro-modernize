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pening" sheetId="2" state="visible" r:id="rId2"/>
    <sheet xmlns:r="http://schemas.openxmlformats.org/officeDocument/2006/relationships" name="Closing" sheetId="3" state="visible" r:id="rId3"/>
  </sheets>
  <definedNames>
    <definedName name="_xlnm.Print_Titles" localSheetId="1">'Opening'!$5:$5</definedName>
    <definedName name="_xlnm.Print_Titles" localSheetId="2">'Closing'!$5:$5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4" t="inlineStr">
        <is>
          <t>01 · Chocolate Shop Opening &amp; Closing Checklists: Kitchen, Display Case &amp; Counter</t>
        </is>
      </c>
    </row>
    <row r="4">
      <c r="B4" s="2" t="inlineStr">
        <is>
          <t>How to use this template:</t>
        </is>
      </c>
    </row>
    <row r="5">
      <c r="B5" s="25" t="inlineStr">
        <is>
          <t>▸ Complete checklist for the daily opening and closing of your chocolate shop or kitchen.</t>
        </is>
      </c>
    </row>
    <row r="6">
      <c r="B6" s="3" t="inlineStr">
        <is>
          <t>▸ Covers tempering equipment start-up, display cases, shop setup and closing.</t>
        </is>
      </c>
    </row>
    <row r="7">
      <c r="B7" s="3" t="inlineStr">
        <is>
          <t>▸ Mark ✓ on each completed task. Adjust the times to your shop.</t>
        </is>
      </c>
    </row>
    <row r="9">
      <c r="B9" s="2" t="inlineStr">
        <is>
          <t>Customization:</t>
        </is>
      </c>
    </row>
    <row r="10">
      <c r="B10" s="3" t="inlineStr">
        <is>
          <t>▸ Green cells are editable: assigned to, time, notes.</t>
        </is>
      </c>
    </row>
    <row r="11">
      <c r="B11" s="3" t="inlineStr">
        <is>
          <t>▸ Adjust temperatures to your equipment and local rules.</t>
        </is>
      </c>
    </row>
    <row r="12">
      <c r="B12" s="3" t="inlineStr">
        <is>
          <t>▸ Print on US Letter and keep it in the kitchen and at the counter.</t>
        </is>
      </c>
    </row>
    <row r="14">
      <c r="B14" s="2" t="inlineStr">
        <is>
          <t>Hygiene and temperatures:</t>
        </is>
      </c>
    </row>
    <row r="15">
      <c r="B15" s="25" t="inlineStr">
        <is>
          <t>▸ The first section of "Opening" is personal hygiene and a safe start: exhaust fan first, gas check next (if you have gas equipment), and only then the tempering machine, display cases and climate control.</t>
        </is>
      </c>
    </row>
    <row r="16">
      <c r="B16" s="25" t="inlineStr">
        <is>
          <t>▸ The cool room and fridges are not "turned on": check that they ran all night and log the reading. Targets for this trade: kitchen 64–68 °F, cool room 59–64 °F at 50–60% humidity, fillings and ganaches 41 °F or below, bonbon display case 60–64 °F. Fresh-cream ganache is TCS unless a lab test says otherwise: it does not go in the 60–64 °F case.</t>
        </is>
      </c>
    </row>
    <row r="17">
      <c r="B17" s="25" t="inlineStr">
        <is>
          <t>▸ Above 68 °F chocolate softens and bloom risk climbs: the bonbon sweats, loses its shine and within two days fat bloom shows up. That is why the display case gets its own check.</t>
        </is>
      </c>
    </row>
    <row r="19">
      <c r="B19" s="25" t="inlineStr">
        <is>
          <t>Designed by John Guerrero — chef and restaurant consultant since 2010, in professional kitchens since age 17 · johnguerrero.es</t>
        </is>
      </c>
    </row>
    <row r="20">
      <c r="B20" s="25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Chocolate Shop Opening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Personal hygiene and safe kitchen start-up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Clean uniform and work shoes, fresh apron, hair tied back under a cap or hairnet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No rings (a plain band is OK), bracelets, watch or dangling earrings; nails short and clean, no polish or false nails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Wash hands at the handwashing sink (water at least 100 °F, soap, single-use paper towel) and again at every change of task; no bare-hand contact with bonbons, truffles or samples: gloves, tongs or tissue (FDA 3-301.11)</t>
        </is>
      </c>
      <c r="C8" s="10" t="inlineStr">
        <is>
          <t>Kitchen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Cover cuts and wounds with a waterproof, brightly colored bandage and a glove on top</t>
        </is>
      </c>
      <c r="C9" s="10" t="inlineStr">
        <is>
          <t>Kitchen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Vomiting, diarrhea or jaundice: that person does NOT work today — send them home (exclusion) and the person in charge reports jaundice or a diagnosed illness to the health department; sore throat with fever or an uncovered infected wound: reassign away from unwrapped food (FDA 2-201.11, 2-201.12)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Turn on the kitchen exhaust fan BEFORE any other equipment</t>
        </is>
      </c>
      <c r="C11" s="10" t="inlineStr">
        <is>
          <t>Kitchen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If the kitchen has gas equipment: check there is no gas smell, then light it (the main valve stays open; know where it is). If you smell gas: switch nothing on or off, get out and call the gas company or 911 from outside</t>
        </is>
      </c>
      <c r="C12" s="10" t="inlineStr">
        <is>
          <t>Kitchen</t>
        </is>
      </c>
      <c r="D12" s="11" t="n"/>
      <c r="E12" s="12" t="n"/>
      <c r="F12" s="11" t="n"/>
      <c r="G12" s="13" t="n"/>
    </row>
    <row r="13">
      <c r="A13" s="6" t="inlineStr">
        <is>
          <t>Equipment startup and checks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Turn on the tempering machine and preheat per the manufacturer (typically 113 °F)</t>
        </is>
      </c>
      <c r="C15" s="10" t="inlineStr">
        <is>
          <t>Tempering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Check the cool room ran all night (no outages or alarms) and log the temperature: target 59–64 °F and 50–60% humidity — log reading: ____ °F</t>
        </is>
      </c>
      <c r="C16" s="14" t="inlineStr">
        <is>
          <t>Cool room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Check the fillings and ganache fridge ran all night and log the temperature: target 41 °F or below — log reading: ____ °F</t>
        </is>
      </c>
      <c r="C17" s="14" t="inlineStr">
        <is>
          <t>Fridge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Turn on display case lighting and shop floor lights</t>
        </is>
      </c>
      <c r="C18" s="15" t="inlineStr">
        <is>
          <t>Display case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Check the bonbon display case has reached 60–64 °F (it is switched on when you arrive) and is not fogging up before setting out product (above 68 °F chocolate softens and bonbons lose their shine) — log reading: ____ °F</t>
        </is>
      </c>
      <c r="C19" s="15" t="inlineStr">
        <is>
          <t>Display case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Turn on the A/C — keep the shop at 68–72 °F (unwrapped bonbons stay in the 60–64 °F case)</t>
        </is>
      </c>
      <c r="C20" s="16" t="inlineStr">
        <is>
          <t>Shop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Log kitchen, cool room and fridge temperatures: in the temperature log of the HACCP Food Safety Kit Pro if you have it; if not, right here in "Notes"</t>
        </is>
      </c>
      <c r="C21" s="17" t="inlineStr">
        <is>
          <t>Office</t>
        </is>
      </c>
      <c r="D21" s="11" t="n"/>
      <c r="E21" s="12" t="n"/>
      <c r="F21" s="11" t="n"/>
      <c r="G21" s="13" t="n"/>
    </row>
    <row r="23">
      <c r="A23" s="6" t="inlineStr">
        <is>
          <t>Shop and display setup</t>
        </is>
      </c>
    </row>
    <row r="24">
      <c r="A24" s="7" t="inlineStr">
        <is>
          <t>#</t>
        </is>
      </c>
      <c r="B24" s="7" t="inlineStr">
        <is>
          <t>Task</t>
        </is>
      </c>
      <c r="C24" s="7" t="inlineStr">
        <is>
          <t>Area</t>
        </is>
      </c>
      <c r="D24" s="7" t="inlineStr">
        <is>
          <t>Assigned to</t>
        </is>
      </c>
      <c r="E24" s="7" t="inlineStr">
        <is>
          <t>✓</t>
        </is>
      </c>
      <c r="F24" s="7" t="inlineStr">
        <is>
          <t>Time</t>
        </is>
      </c>
      <c r="G24" s="7" t="inlineStr">
        <is>
          <t>Notes</t>
        </is>
      </c>
    </row>
    <row r="25">
      <c r="A25" s="8" t="n">
        <v>1</v>
      </c>
      <c r="B25" s="9" t="inlineStr">
        <is>
          <t>Set up the display case: bonbons, bars, molded figures, truffles — fresh-cream (TCS) items only if lab-tested as non-TCS; otherwise in a refrigerated case at 41 °F or below (shelf life table in file 02)</t>
        </is>
      </c>
      <c r="C25" s="15" t="inlineStr">
        <is>
          <t>Display case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Check the sign on every display tray: product name, price (and price per lb if sold by weight) and a written allergen notice for unwrapped items (the 9 majors: milk, egg, wheat, soy, peanuts, tree nuts, sesame, fish, shellfish; UK: 14) plus any "may contain" statements; FDA Food Code 2022 3-602.12(C), where adopted</t>
        </is>
      </c>
      <c r="C26" s="15" t="inlineStr">
        <is>
          <t>Display case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Restock bags, gift boxes, tissue paper, ribbons</t>
        </is>
      </c>
      <c r="C27" s="18" t="inlineStr">
        <is>
          <t>Packaging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Check stock of assorted bonbon gift boxes</t>
        </is>
      </c>
      <c r="C28" s="18" t="inlineStr">
        <is>
          <t>Packaging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Set up the sample station with the day's samples: one set of tongs per tray (nut and peanut items never share tongs), toothpicks or single-use cups, never bare hands (FDA 3-301.11)</t>
        </is>
      </c>
      <c r="C29" s="16" t="inlineStr">
        <is>
          <t>Counter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Check the POS is active and the starting bank was already counted and logged before you unlock the door: no recount here, it is done on the "Cash Drawer Opening" tab of file 09 (milestone in files 08/09)</t>
        </is>
      </c>
      <c r="C30" s="16" t="inlineStr">
        <is>
          <t>Register</t>
        </is>
      </c>
      <c r="D30" s="11" t="n"/>
      <c r="E30" s="12" t="n"/>
      <c r="F30" s="11" t="n"/>
      <c r="G30" s="13" t="n"/>
    </row>
    <row r="31">
      <c r="A31" s="8" t="n">
        <v>7</v>
      </c>
      <c r="B31" s="9" t="inlineStr">
        <is>
          <t>Put out the chalkboard with new items and featured products</t>
        </is>
      </c>
      <c r="C31" s="16" t="inlineStr">
        <is>
          <t>Shop</t>
        </is>
      </c>
      <c r="D31" s="11" t="n"/>
      <c r="E31" s="12" t="n"/>
      <c r="F31" s="11" t="n"/>
      <c r="G31" s="13" t="n"/>
    </row>
    <row r="33">
      <c r="A33" s="6" t="inlineStr">
        <is>
          <t>Final checks</t>
        </is>
      </c>
    </row>
    <row r="34">
      <c r="A34" s="7" t="inlineStr">
        <is>
          <t>#</t>
        </is>
      </c>
      <c r="B34" s="7" t="inlineStr">
        <is>
          <t>Task</t>
        </is>
      </c>
      <c r="C34" s="7" t="inlineStr">
        <is>
          <t>Area</t>
        </is>
      </c>
      <c r="D34" s="7" t="inlineStr">
        <is>
          <t>Assigned to</t>
        </is>
      </c>
      <c r="E34" s="7" t="inlineStr">
        <is>
          <t>✓</t>
        </is>
      </c>
      <c r="F34" s="7" t="inlineStr">
        <is>
          <t>Time</t>
        </is>
      </c>
      <c r="G34" s="7" t="inlineStr">
        <is>
          <t>Notes</t>
        </is>
      </c>
    </row>
    <row r="35">
      <c r="A35" s="8" t="n">
        <v>1</v>
      </c>
      <c r="B35" s="9" t="inlineStr">
        <is>
          <t>Check the background music works</t>
        </is>
      </c>
      <c r="C35" s="16" t="inlineStr">
        <is>
          <t>Shop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Check the display case glass is clean</t>
        </is>
      </c>
      <c r="C36" s="15" t="inlineStr">
        <is>
          <t>Display case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Confirm online orders waiting to be prepared</t>
        </is>
      </c>
      <c r="C37" s="17" t="inlineStr">
        <is>
          <t>Office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Review the calendar: special orders, events, pre-orders</t>
        </is>
      </c>
      <c r="C38" s="17" t="inlineStr">
        <is>
          <t>Office</t>
        </is>
      </c>
      <c r="D38" s="11" t="n"/>
      <c r="E38" s="12" t="n"/>
      <c r="F38" s="11" t="n"/>
      <c r="G38" s="13" t="n"/>
    </row>
    <row r="39">
      <c r="B39" s="23" t="inlineStr">
        <is>
          <t>Tasks done:</t>
        </is>
      </c>
      <c r="C39">
        <f>COUNTIFS(B6:B38,"?*",E6:E38,"✓")-COUNTIFS(B6:B38,"Task",E6:E38,"✓")</f>
        <v>0.0</v>
      </c>
      <c r="D39" t="inlineStr">
        <is>
          <t>of</t>
        </is>
      </c>
      <c r="E39">
        <f>COUNTIF(B6:B38,"?*")-COUNTIF(B6:B38,"Task")-COUNTIF(E6:E38,"N/A")</f>
        <v>25.0</v>
      </c>
    </row>
    <row r="40">
      <c r="A40" s="19" t="inlineStr">
        <is>
          <t>Signed off by: _________________  Date: ___/___/______</t>
        </is>
      </c>
    </row>
    <row r="41">
      <c r="A41" s="19" t="inlineStr">
        <is>
          <t>© 2026 AI Chef Pro · aichef.pro</t>
        </is>
      </c>
    </row>
  </sheetData>
  <mergeCells count="8">
    <mergeCell ref="A13:G13"/>
    <mergeCell ref="A1:G1"/>
    <mergeCell ref="A40:G40"/>
    <mergeCell ref="A4:G4"/>
    <mergeCell ref="A2:G2"/>
    <mergeCell ref="A41:G41"/>
    <mergeCell ref="A33:G33"/>
    <mergeCell ref="A23:G23"/>
  </mergeCells>
  <conditionalFormatting sqref="A6:G38">
    <cfRule type="expression" priority="1" dxfId="0">
      <formula>AND($E6="✓",$B6&lt;&gt;"Task")</formula>
    </cfRule>
  </conditionalFormatting>
  <dataValidations count="1">
    <dataValidation sqref="E6 E7 E8 E9 E10 E11 E12 E15 E16 E17 E18 E19 E20 E21 E25 E26 E27 E28 E29 E30 E31 E35 E36 E37 E3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FEB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Chocolate Shop Closing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Shop closing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Take product out of the display case: bonbons and bars to the cool room; any TCS fresh-cream item to the fridge (41 °F or below)</t>
        </is>
      </c>
      <c r="C6" s="15" t="inlineStr">
        <is>
          <t>Display case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Cover any bonbons left out with plastic wrap</t>
        </is>
      </c>
      <c r="C7" s="15" t="inlineStr">
        <is>
          <t>Display case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the day's cash count is closed and signed and sales are recorded: the reconcile is not repeated here, it is done on the "Cash Drawer Closing" tab of file 09 (milestone in files 08/09)</t>
        </is>
      </c>
      <c r="C8" s="16" t="inlineStr">
        <is>
          <t>Register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POS and card terminal are closed AFTER the cash count, never before: the terminal batch is sent on the "Shop Closing" tab of file 08 (milestone in files 08/09)</t>
        </is>
      </c>
      <c r="C9" s="16" t="inlineStr">
        <is>
          <t>Register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Clean, then sanitize the counter (approved sanitizer at label strength, test strip; FDA 4-501.114); glass cleaner on the display case glass</t>
        </is>
      </c>
      <c r="C10" s="16" t="inlineStr">
        <is>
          <t>Counter</t>
        </is>
      </c>
      <c r="D10" s="11" t="n"/>
      <c r="E10" s="12" t="n"/>
      <c r="F10" s="11" t="n"/>
      <c r="G10" s="13" t="n"/>
    </row>
    <row r="12">
      <c r="A12" s="6" t="inlineStr">
        <is>
          <t>Kitchen closing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Clean and dry the tempering machine</t>
        </is>
      </c>
      <c r="C14" s="10" t="inlineStr">
        <is>
          <t>Tempering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Wash used molds and leave them to dry</t>
        </is>
      </c>
      <c r="C15" s="10" t="inlineStr">
        <is>
          <t>Molding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Store open couverture in airtight containers</t>
        </is>
      </c>
      <c r="C16" s="20" t="inlineStr">
        <is>
          <t>Dry storage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Check and log temperatures before closing: cool room 59–64 °F and fillings fridge 41 °F or below — log readings: ____ °F / ____ °F</t>
        </is>
      </c>
      <c r="C17" s="14" t="inlineStr">
        <is>
          <t>Cool room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Clean, then sanitize the kitchen's marble/granite surfaces (approved sanitizer at label strength, test strip; FDA 4-501.114) and dry them well: water must never touch the chocolate</t>
        </is>
      </c>
      <c r="C18" s="10" t="inlineStr">
        <is>
          <t>Kitchen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Log the day's waste: product, quantity and reason (breakage, bad temper, bloom, expiry, samples or test batch)</t>
        </is>
      </c>
      <c r="C19" s="17" t="inlineStr">
        <is>
          <t>Office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Sweep and mop the kitchen floor</t>
        </is>
      </c>
      <c r="C20" s="21" t="inlineStr">
        <is>
          <t>Cleaning</t>
        </is>
      </c>
      <c r="D20" s="11" t="n"/>
      <c r="E20" s="12" t="n"/>
      <c r="F20" s="11" t="n"/>
      <c r="G20" s="13" t="n"/>
    </row>
    <row r="22">
      <c r="A22" s="6" t="inlineStr">
        <is>
          <t>Security and lock-up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Turn off equipment except the cool room and fridges</t>
        </is>
      </c>
      <c r="C24" s="22" t="inlineStr">
        <is>
          <t>General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Make sure gas burners are off (the main valve is for emergencies only), no taps are left running and lights are off</t>
        </is>
      </c>
      <c r="C25" s="22" t="inlineStr">
        <is>
          <t>General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Take out the trash and recycle cardboard/plastic</t>
        </is>
      </c>
      <c r="C26" s="21" t="inlineStr">
        <is>
          <t>Cleaning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Set the alarm and lock up</t>
        </is>
      </c>
      <c r="C27" s="22" t="inlineStr">
        <is>
          <t>General</t>
        </is>
      </c>
      <c r="D27" s="11" t="n"/>
      <c r="E27" s="12" t="n"/>
      <c r="F27" s="11" t="n"/>
      <c r="G27" s="13" t="n"/>
    </row>
    <row r="28">
      <c r="B28" s="23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9" t="inlineStr">
        <is>
          <t>Signed off by: _________________  Date: ___/___/______</t>
        </is>
      </c>
    </row>
    <row r="30">
      <c r="A30" s="19" t="inlineStr">
        <is>
          <t>© 2026 AI Chef Pro · aichef.pro</t>
        </is>
      </c>
    </row>
  </sheetData>
  <mergeCells count="7">
    <mergeCell ref="A1:G1"/>
    <mergeCell ref="A22:G22"/>
    <mergeCell ref="A12:G1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4 E15 E16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Chocolate Shop Opening &amp; Closing Checklists: Kitchen, Display Case &amp; Counter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2026-10-24T10:59:46Z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