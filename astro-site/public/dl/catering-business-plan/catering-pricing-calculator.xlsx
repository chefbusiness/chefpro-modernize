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lculator" sheetId="1" state="visible" r:id="rId1"/>
    <sheet xmlns:r="http://schemas.openxmlformats.org/officeDocument/2006/relationships" name="3 Example Quot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Calibri"/>
      <b val="1"/>
      <sz val="14"/>
    </font>
    <font>
      <name val="Calibri"/>
      <sz val="11"/>
    </font>
    <font>
      <name val="Calibri"/>
      <b val="1"/>
      <sz val="11"/>
    </font>
    <font>
      <name val="Calibri"/>
      <b val="1"/>
      <sz val="13"/>
    </font>
    <font>
      <name val="Calibri"/>
      <i val="1"/>
      <sz val="11"/>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3" fontId="2"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4"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3" fontId="2" fillId="0" borderId="0" applyAlignment="1" pivotButton="0" quotePrefix="0" xfId="0">
      <alignment vertical="top"/>
    </xf>
    <xf numFmtId="4" fontId="2" fillId="0" borderId="0" applyAlignment="1" pivotButton="0" quotePrefix="0" xfId="0">
      <alignment vertical="top"/>
    </xf>
    <xf numFmtId="0" fontId="3" fillId="0" borderId="0" applyAlignment="1" pivotButton="0" quotePrefix="0" xfId="0">
      <alignment vertical="top"/>
    </xf>
    <xf numFmtId="4" fontId="3" fillId="0" borderId="0" applyAlignment="1" pivotButton="0" quotePrefix="0" xfId="0">
      <alignment vertical="top"/>
    </xf>
    <xf numFmtId="165" fontId="3" fillId="0" borderId="0" applyAlignment="1" pivotButton="0" quotePrefix="0" xfId="0">
      <alignment vertical="top"/>
    </xf>
    <xf numFmtId="0" fontId="3" fillId="2" borderId="0" applyAlignment="1" pivotButton="0" quotePrefix="0" xfId="0">
      <alignment vertical="top" wrapText="1"/>
    </xf>
    <xf numFmtId="164" fontId="2" fillId="0" borderId="0" applyAlignment="1" pivotButton="0" quotePrefix="0" xfId="0">
      <alignment vertical="top"/>
    </xf>
    <xf numFmtId="9" fontId="2" fillId="0" borderId="0" applyAlignment="1" pivotButton="0" quotePrefix="0" xfId="0">
      <alignment vertical="top"/>
    </xf>
    <xf numFmtId="165" fontId="2" fillId="0" borderId="0" applyAlignment="1" pivotButton="0" quotePrefix="0" xfId="0">
      <alignment vertical="top"/>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9"/>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78" customWidth="1" min="3" max="3"/>
  </cols>
  <sheetData>
    <row r="1">
      <c r="A1" s="1" t="inlineStr">
        <is>
          <t>CATERING PRICING CALCULATOR — COST PER GUEST TO QUOTE</t>
        </is>
      </c>
    </row>
    <row r="2" ht="32" customHeight="1">
      <c r="A2" s="2" t="inlineStr">
        <is>
          <t>Type in the GREEN cells; everything else is calculated. Amounts are in your currency and exclude sales tax unless the row says otherwise. Every default value is a kit estimate: replace it with your own numbers.</t>
        </is>
      </c>
    </row>
    <row r="4">
      <c r="A4" s="3" t="inlineStr">
        <is>
          <t>INPUTS</t>
        </is>
      </c>
      <c r="B4" s="3" t="inlineStr">
        <is>
          <t>Value</t>
        </is>
      </c>
      <c r="C4" s="3" t="inlineStr">
        <is>
          <t>Notes</t>
        </is>
      </c>
    </row>
    <row r="5">
      <c r="A5" s="4" t="inlineStr">
        <is>
          <t>Guests expected</t>
        </is>
      </c>
      <c r="B5" s="5" t="n">
        <v>60</v>
      </c>
      <c r="C5" s="2" t="inlineStr">
        <is>
          <t>Whole number. Food, beverage and disposables are costed on these guests.</t>
        </is>
      </c>
    </row>
    <row r="6">
      <c r="A6" s="4" t="inlineStr">
        <is>
          <t>Guest minimum in your contract</t>
        </is>
      </c>
      <c r="B6" s="5" t="n">
        <v>25</v>
      </c>
      <c r="C6" s="2" t="inlineStr">
        <is>
          <t>If fewer guests confirm, you bill the minimum (billable guests below). 0 = no minimum.</t>
        </is>
      </c>
    </row>
    <row r="7">
      <c r="A7" s="4" t="inlineStr">
        <is>
          <t>Service style</t>
        </is>
      </c>
      <c r="B7" s="6" t="inlineStr">
        <is>
          <t>Buffet</t>
        </is>
      </c>
      <c r="C7" s="2" t="inlineStr">
        <is>
          <t>Drop-off, Buffet, Family-style, Plated or Stations. It sets the suggested event staff (table at the bottom).</t>
        </is>
      </c>
    </row>
    <row r="8">
      <c r="A8" s="4" t="inlineStr">
        <is>
          <t>Food cost per guest (from your recipe costing)</t>
        </is>
      </c>
      <c r="B8" s="7" t="n">
        <v>18</v>
      </c>
      <c r="C8" s="2" t="inlineStr">
        <is>
          <t>Ingredient cost of the menu per guest. Kit estimate: use your own recipe costing.</t>
        </is>
      </c>
    </row>
    <row r="9">
      <c r="A9" s="4" t="inlineStr">
        <is>
          <t>Non-alcoholic beverage package per guest</t>
        </is>
      </c>
      <c r="B9" s="7" t="n">
        <v>2.5</v>
      </c>
      <c r="C9" s="2" t="inlineStr">
        <is>
          <t>Kit estimate. Alcohol is not included: the client buys it and certified bartenders serve it.</t>
        </is>
      </c>
    </row>
    <row r="10">
      <c r="A10" s="4" t="inlineStr">
        <is>
          <t>Disposables per guest (plates, cutlery, packaging)</t>
        </is>
      </c>
      <c r="B10" s="7" t="n">
        <v>0.5</v>
      </c>
      <c r="C10" s="2" t="inlineStr">
        <is>
          <t>Kit estimate.</t>
        </is>
      </c>
    </row>
    <row r="11">
      <c r="A11" s="4" t="inlineStr">
        <is>
          <t>Event staff — people</t>
        </is>
      </c>
      <c r="B11" s="5" t="n">
        <v>5</v>
      </c>
      <c r="C11" s="2" t="inlineStr">
        <is>
          <t>Servers, bartenders, attendants and the chef on site.</t>
        </is>
      </c>
    </row>
    <row r="12">
      <c r="A12" s="4" t="inlineStr">
        <is>
          <t>Event staff — hours each (travel, setup, service, pack-down)</t>
        </is>
      </c>
      <c r="B12" s="8" t="n">
        <v>7</v>
      </c>
      <c r="C12" s="2" t="inlineStr">
        <is>
          <t>Kit estimate.</t>
        </is>
      </c>
    </row>
    <row r="13">
      <c r="A13" s="4" t="inlineStr">
        <is>
          <t>Event staff — average hourly wage</t>
        </is>
      </c>
      <c r="B13" s="7" t="n">
        <v>20</v>
      </c>
      <c r="C13" s="2" t="inlineStr">
        <is>
          <t>Kit estimate (servers and bartenders usually earn $18-$25 an hour: restroworks.com).</t>
        </is>
      </c>
    </row>
    <row r="14">
      <c r="A14" s="4" t="inlineStr">
        <is>
          <t>Employer payroll taxes and workers' comp (% of wages)</t>
        </is>
      </c>
      <c r="B14" s="9" t="n">
        <v>0.1</v>
      </c>
      <c r="C14" s="2" t="inlineStr">
        <is>
          <t>Kit estimate. Event staff are W-2 employees, not 1099 contractors.</t>
        </is>
      </c>
    </row>
    <row r="15">
      <c r="A15" s="4" t="inlineStr">
        <is>
          <t>Rentals passed through (tables, linens, china)</t>
        </is>
      </c>
      <c r="B15" s="7" t="n">
        <v>0</v>
      </c>
      <c r="C15" s="2" t="inlineStr">
        <is>
          <t>What the rental company charges you for this event.</t>
        </is>
      </c>
    </row>
    <row r="16">
      <c r="A16" s="4" t="inlineStr">
        <is>
          <t>Round-trip miles</t>
        </is>
      </c>
      <c r="B16" s="5" t="n">
        <v>30</v>
      </c>
      <c r="C16" s="2" t="inlineStr">
        <is>
          <t>Commissary → venue → commissary.</t>
        </is>
      </c>
    </row>
    <row r="17">
      <c r="A17" s="4" t="inlineStr">
        <is>
          <t>Cost per mile</t>
        </is>
      </c>
      <c r="B17" s="7" t="n">
        <v>0.7</v>
      </c>
      <c r="C17" s="2" t="inlineStr">
        <is>
          <t>Kit estimate: use your real cost per mile or the current IRS standard mileage rate.</t>
        </is>
      </c>
    </row>
    <row r="18">
      <c r="A18" s="4" t="inlineStr">
        <is>
          <t>Target gross margin on the food &amp; service subtotal</t>
        </is>
      </c>
      <c r="B18" s="9" t="n">
        <v>0.5</v>
      </c>
      <c r="C18" s="2" t="inlineStr">
        <is>
          <t>Share of the subtotal left after the direct costs above. Kit estimate.</t>
        </is>
      </c>
    </row>
    <row r="19">
      <c r="A19" s="4" t="inlineStr">
        <is>
          <t>Service charge (% of subtotal)</t>
        </is>
      </c>
      <c r="B19" s="9" t="n">
        <v>0.2</v>
      </c>
      <c r="C19" s="2" t="inlineStr">
        <is>
          <t>A mandatory service charge is wages, not a tip (IRS Rev. Rul. 2012-18). Kit estimate.</t>
        </is>
      </c>
    </row>
    <row r="20">
      <c r="A20" s="4" t="inlineStr">
        <is>
          <t>Sales tax rate (state + local)</t>
        </is>
      </c>
      <c r="B20" s="10" t="n">
        <v>0.08</v>
      </c>
      <c r="C20" s="2" t="inlineStr">
        <is>
          <t>Kit estimate: use your own state + local rate.</t>
        </is>
      </c>
    </row>
    <row r="21">
      <c r="A21" s="4" t="inlineStr">
        <is>
          <t>Does your state tax the service charge?</t>
        </is>
      </c>
      <c r="B21" s="6" t="inlineStr">
        <is>
          <t>Yes</t>
        </is>
      </c>
      <c r="C21" s="2" t="inlineStr">
        <is>
          <t>CA: a mandatory service charge is taxable. NY: not taxable only if it is separately stated as a gratuity and all of it goes to the staff. TX: not taxable up to 20% if separately stated and distributed to qualified employees. Check your state.</t>
        </is>
      </c>
    </row>
    <row r="22">
      <c r="A22" s="4" t="inlineStr">
        <is>
          <t>Suggested voluntary gratuity (% of subtotal; NOT in the price)</t>
        </is>
      </c>
      <c r="B22" s="9" t="n">
        <v>0</v>
      </c>
      <c r="C22" s="2" t="inlineStr">
        <is>
          <t>Optional. A voluntary tip is the client's decision and goes to the staff: it stays out of the total.</t>
        </is>
      </c>
    </row>
    <row r="23">
      <c r="A23" s="4" t="inlineStr">
        <is>
          <t>Deposit to book the date (% of total)</t>
        </is>
      </c>
      <c r="B23" s="9" t="n">
        <v>0.35</v>
      </c>
      <c r="C23" s="2" t="inlineStr">
        <is>
          <t>Kit estimate (25-50% at signing is common); the balance is due before the event.</t>
        </is>
      </c>
    </row>
    <row r="25">
      <c r="A25" s="3" t="inlineStr">
        <is>
          <t>CALCULATION</t>
        </is>
      </c>
      <c r="B25" s="3" t="inlineStr">
        <is>
          <t>Value</t>
        </is>
      </c>
      <c r="C25" s="3" t="inlineStr">
        <is>
          <t>Notes</t>
        </is>
      </c>
    </row>
    <row r="26">
      <c r="A26" s="4" t="inlineStr">
        <is>
          <t>Billable guests</t>
        </is>
      </c>
      <c r="B26" s="11">
        <f>MAX($B$5,$B$6)</f>
        <v>60.0</v>
      </c>
      <c r="C26" s="2" t="inlineStr">
        <is>
          <t>The larger of guests expected and the minimum.</t>
        </is>
      </c>
    </row>
    <row r="27">
      <c r="A27" s="4" t="inlineStr">
        <is>
          <t>Food, beverage and disposables</t>
        </is>
      </c>
      <c r="B27" s="12">
        <f>($B$8+$B$9+$B$10)*$B$5</f>
        <v>1260.0</v>
      </c>
    </row>
    <row r="28">
      <c r="A28" s="4" t="inlineStr">
        <is>
          <t>Event staff cost (wages + payroll taxes)</t>
        </is>
      </c>
      <c r="B28" s="12">
        <f>$B$11*$B$12*$B$13*(1+$B$14)</f>
        <v>770.0000000000001</v>
      </c>
    </row>
    <row r="29">
      <c r="A29" s="4" t="inlineStr">
        <is>
          <t>Rentals and mileage</t>
        </is>
      </c>
      <c r="B29" s="12">
        <f>$B$15+$B$16*$B$17</f>
        <v>21.0</v>
      </c>
    </row>
    <row r="30">
      <c r="A30" s="4" t="inlineStr">
        <is>
          <t>Total direct cost</t>
        </is>
      </c>
      <c r="B30" s="12">
        <f>$B$27+$B$28+$B$29</f>
        <v>2051.0</v>
      </c>
    </row>
    <row r="31">
      <c r="A31" s="4" t="inlineStr">
        <is>
          <t>Direct cost per billable guest</t>
        </is>
      </c>
      <c r="B31" s="12">
        <f>$B$30/$B$26</f>
        <v>34.18333333333333</v>
      </c>
    </row>
    <row r="32">
      <c r="A32" s="13" t="inlineStr">
        <is>
          <t>PRICE PER GUEST (rounded up to the next 0.50)</t>
        </is>
      </c>
      <c r="B32" s="14">
        <f>ROUNDUP($B$30/(1-$B$18)/$B$26*2,0)/2</f>
        <v>68.5</v>
      </c>
      <c r="C32" s="2" t="inlineStr">
        <is>
          <t>Excl. service charge and sales tax.</t>
        </is>
      </c>
    </row>
    <row r="33">
      <c r="A33" s="4" t="inlineStr">
        <is>
          <t>Food &amp; service subtotal</t>
        </is>
      </c>
      <c r="B33" s="12">
        <f>$B$32*$B$26</f>
        <v>4110.0</v>
      </c>
      <c r="C33" s="2" t="inlineStr">
        <is>
          <t>Price per guest × billable guests.</t>
        </is>
      </c>
    </row>
    <row r="34">
      <c r="A34" s="4" t="inlineStr">
        <is>
          <t>Service charge</t>
        </is>
      </c>
      <c r="B34" s="12">
        <f>$B$33*$B$19</f>
        <v>822.0</v>
      </c>
    </row>
    <row r="35">
      <c r="A35" s="4" t="inlineStr">
        <is>
          <t>Sales tax</t>
        </is>
      </c>
      <c r="B35" s="12">
        <f>($B$33+IF($B$21="Yes",$B$34,0))*$B$20</f>
        <v>394.56</v>
      </c>
      <c r="C35" s="2" t="inlineStr">
        <is>
          <t>On the subtotal, plus the service charge if your state taxes it.</t>
        </is>
      </c>
    </row>
    <row r="36">
      <c r="A36" s="13" t="inlineStr">
        <is>
          <t>TOTAL TO QUOTE</t>
        </is>
      </c>
      <c r="B36" s="14">
        <f>$B$33+$B$34+$B$35</f>
        <v>5326.56</v>
      </c>
    </row>
    <row r="37">
      <c r="A37" s="4" t="inlineStr">
        <is>
          <t>Deposit to book the date</t>
        </is>
      </c>
      <c r="B37" s="12">
        <f>$B$36*$B$23</f>
        <v>1864.296</v>
      </c>
    </row>
    <row r="38">
      <c r="A38" s="4" t="inlineStr">
        <is>
          <t>Balance due before the event</t>
        </is>
      </c>
      <c r="B38" s="12">
        <f>$B$36-$B$37</f>
        <v>3462.264</v>
      </c>
    </row>
    <row r="39">
      <c r="A39" s="4" t="inlineStr">
        <is>
          <t>Gross profit on the subtotal</t>
        </is>
      </c>
      <c r="B39" s="12">
        <f>$B$33-$B$30</f>
        <v>2059.0</v>
      </c>
    </row>
    <row r="40">
      <c r="A40" s="13" t="inlineStr">
        <is>
          <t>Gross margin (calculated)</t>
        </is>
      </c>
      <c r="B40" s="15">
        <f>IF($B$33=0,0,$B$39/$B$33)</f>
        <v>0.5009732360097323</v>
      </c>
      <c r="C40" s="2" t="inlineStr">
        <is>
          <t>Calculated from the costs above, never typed. It is at or above the target because the price is rounded up.</t>
        </is>
      </c>
    </row>
    <row r="41">
      <c r="A41" s="4" t="inlineStr">
        <is>
          <t>Suggested voluntary gratuity (not in the total)</t>
        </is>
      </c>
      <c r="B41" s="12">
        <f>$B$33*$B$22</f>
        <v>0.0</v>
      </c>
    </row>
    <row r="42">
      <c r="A42" s="4" t="inlineStr">
        <is>
          <t>Suggested event staff for this style (Kit estimate)</t>
        </is>
      </c>
      <c r="B42" s="11">
        <f>IFERROR(IF(INDEX('Pricing Calculator'!$B$45:$B$49,MATCH($B$7,'Pricing Calculator'!$A$45:$A$49,0))=0,1,ROUNDUP($B$5/INDEX('Pricing Calculator'!$B$45:$B$49,MATCH($B$7,'Pricing Calculator'!$A$45:$A$49,0)),0)),"—")</f>
        <v>3.0</v>
      </c>
      <c r="C42" s="2" t="inlineStr">
        <is>
          <t>From the table below.</t>
        </is>
      </c>
    </row>
    <row r="44">
      <c r="A44" s="3" t="inlineStr">
        <is>
          <t>GUESTS PER SERVER BY SERVICE STYLE (Kit estimate — edit)</t>
        </is>
      </c>
      <c r="B44" s="3" t="inlineStr">
        <is>
          <t>Guests</t>
        </is>
      </c>
      <c r="C44" s="3" t="inlineStr">
        <is>
          <t>Notes</t>
        </is>
      </c>
    </row>
    <row r="45">
      <c r="A45" s="4" t="inlineStr">
        <is>
          <t>Drop-off</t>
        </is>
      </c>
      <c r="B45" s="5" t="n">
        <v>0</v>
      </c>
      <c r="C45" s="2" t="inlineStr">
        <is>
          <t>0 = no servers: one person delivers and sets up.</t>
        </is>
      </c>
    </row>
    <row r="46">
      <c r="A46" s="4" t="inlineStr">
        <is>
          <t>Buffet</t>
        </is>
      </c>
      <c r="B46" s="5" t="n">
        <v>25</v>
      </c>
      <c r="C46" s="2" t="inlineStr">
        <is>
          <t>About 1 server per 20-25 guests.</t>
        </is>
      </c>
    </row>
    <row r="47">
      <c r="A47" s="4" t="inlineStr">
        <is>
          <t>Family-style</t>
        </is>
      </c>
      <c r="B47" s="5" t="n">
        <v>15</v>
      </c>
    </row>
    <row r="48">
      <c r="A48" s="4" t="inlineStr">
        <is>
          <t>Plated</t>
        </is>
      </c>
      <c r="B48" s="5" t="n">
        <v>12</v>
      </c>
      <c r="C48" s="2" t="inlineStr">
        <is>
          <t>About 1 server per 10-12 guests.</t>
        </is>
      </c>
    </row>
    <row r="49">
      <c r="A49" s="4" t="inlineStr">
        <is>
          <t>Stations</t>
        </is>
      </c>
      <c r="B49" s="5" t="n">
        <v>20</v>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dataValidations count="7">
    <dataValidation sqref="B7" showDropDown="0" showInputMessage="0" showErrorMessage="1" allowBlank="0" errorTitle="Invalid style" error="Choose a service style from the list." type="list">
      <formula1>"Drop-off,Buffet,Family-style,Plated,Stations"</formula1>
    </dataValidation>
    <dataValidation sqref="B21" showDropDown="0" showInputMessage="0" showErrorMessage="1" allowBlank="0" errorTitle="Invalid entry" error="Choose Yes or No." type="list">
      <formula1>"Yes,No"</formula1>
    </dataValidation>
    <dataValidation sqref="B5" showDropDown="0" showInputMessage="0" showErrorMessage="1" allowBlank="0" errorTitle="Invalid count" error="Enter a whole number of 1 or more." type="whole" operator="between">
      <formula1>1</formula1>
      <formula2>100000</formula2>
    </dataValidation>
    <dataValidation sqref="B6 B11 B45 B46 B47 B48 B49" showDropDown="0" showInputMessage="0" showErrorMessage="1" allowBlank="0" errorTitle="Invalid count" error="Enter a whole number of 0 or more." type="whole" operator="between">
      <formula1>0</formula1>
      <formula2>100000</formula2>
    </dataValidation>
    <dataValidation sqref="B8 B9 B10 B12 B13 B15 B16 B17" showDropDown="0" showInputMessage="0" showErrorMessage="1" allowBlank="0" errorTitle="Invalid amount" error="Enter a number greater than or equal to 0." type="decimal" operator="greaterThanOrEqual">
      <formula1>0</formula1>
    </dataValidation>
    <dataValidation sqref="B14 B19 B20 B22 B23" showDropDown="0" showInputMessage="0" showErrorMessage="1" allowBlank="0" errorTitle="Invalid percentage" error="Enter a percentage between 0 and 1 (0.20 = 20%)." type="decimal" operator="between">
      <formula1>0</formula1>
      <formula2>1</formula2>
    </dataValidation>
    <dataValidation sqref="B18" showDropDown="0" showInputMessage="0" showErrorMessage="1" allowBlank="0" errorTitle="Invalid percentage" error="Enter a target margin between 0 and 95% (0.50 = 50%)." type="decimal" operator="between">
      <formula1>0</formula1>
      <formula2>0.95</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4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24" customWidth="1" min="2" max="2"/>
    <col width="24" customWidth="1" min="3" max="3"/>
    <col width="24" customWidth="1" min="4" max="4"/>
  </cols>
  <sheetData>
    <row r="1">
      <c r="A1" s="1" t="inlineStr">
        <is>
          <t>3 EXAMPLE QUOTES — calculated with the same formulas as the "Pricing Calculator" tab</t>
        </is>
      </c>
    </row>
    <row r="2" ht="32" customHeight="1">
      <c r="A2" s="2" t="inlineStr">
        <is>
          <t>Kit estimates for illustration only, not market prices: change the inputs in "Pricing Calculator" to price your own events.</t>
        </is>
      </c>
    </row>
    <row r="4">
      <c r="A4" s="3" t="inlineStr">
        <is>
          <t>INPUTS</t>
        </is>
      </c>
      <c r="B4" s="16" t="inlineStr">
        <is>
          <t>Corporate drop-off lunch</t>
        </is>
      </c>
      <c r="C4" s="16" t="inlineStr">
        <is>
          <t>Wedding buffet</t>
        </is>
      </c>
      <c r="D4" s="16" t="inlineStr">
        <is>
          <t>Plated dinner</t>
        </is>
      </c>
    </row>
    <row r="5">
      <c r="A5" s="4" t="inlineStr">
        <is>
          <t>Guests expected</t>
        </is>
      </c>
      <c r="B5" s="11" t="n">
        <v>40</v>
      </c>
      <c r="C5" s="11" t="n">
        <v>120</v>
      </c>
      <c r="D5" s="11" t="n">
        <v>60</v>
      </c>
    </row>
    <row r="6">
      <c r="A6" s="4" t="inlineStr">
        <is>
          <t>Guest minimum in your contract</t>
        </is>
      </c>
      <c r="B6" s="11" t="n">
        <v>20</v>
      </c>
      <c r="C6" s="11" t="n">
        <v>75</v>
      </c>
      <c r="D6" s="11" t="n">
        <v>40</v>
      </c>
    </row>
    <row r="7">
      <c r="A7" s="4" t="inlineStr">
        <is>
          <t>Service style</t>
        </is>
      </c>
      <c r="B7" s="4" t="inlineStr">
        <is>
          <t>Drop-off</t>
        </is>
      </c>
      <c r="C7" s="4" t="inlineStr">
        <is>
          <t>Buffet</t>
        </is>
      </c>
      <c r="D7" s="4" t="inlineStr">
        <is>
          <t>Plated</t>
        </is>
      </c>
    </row>
    <row r="8">
      <c r="A8" s="4" t="inlineStr">
        <is>
          <t>Food cost per guest (from your recipe costing)</t>
        </is>
      </c>
      <c r="B8" s="12" t="n">
        <v>9</v>
      </c>
      <c r="C8" s="12" t="n">
        <v>24</v>
      </c>
      <c r="D8" s="12" t="n">
        <v>16</v>
      </c>
    </row>
    <row r="9">
      <c r="A9" s="4" t="inlineStr">
        <is>
          <t>Non-alcoholic beverage package per guest</t>
        </is>
      </c>
      <c r="B9" s="12" t="n">
        <v>1.5</v>
      </c>
      <c r="C9" s="12" t="n">
        <v>3</v>
      </c>
      <c r="D9" s="12" t="n">
        <v>3</v>
      </c>
    </row>
    <row r="10">
      <c r="A10" s="4" t="inlineStr">
        <is>
          <t>Disposables per guest (plates, cutlery, packaging)</t>
        </is>
      </c>
      <c r="B10" s="12" t="n">
        <v>1.25</v>
      </c>
      <c r="C10" s="12" t="n">
        <v>0.5</v>
      </c>
      <c r="D10" s="12" t="n">
        <v>0</v>
      </c>
    </row>
    <row r="11">
      <c r="A11" s="4" t="inlineStr">
        <is>
          <t>Event staff — people</t>
        </is>
      </c>
      <c r="B11" s="11" t="n">
        <v>1</v>
      </c>
      <c r="C11" s="11" t="n">
        <v>8</v>
      </c>
      <c r="D11" s="11" t="n">
        <v>6</v>
      </c>
    </row>
    <row r="12">
      <c r="A12" s="4" t="inlineStr">
        <is>
          <t>Event staff — hours each (travel, setup, service, pack-down)</t>
        </is>
      </c>
      <c r="B12" s="17" t="n">
        <v>3</v>
      </c>
      <c r="C12" s="17" t="n">
        <v>7</v>
      </c>
      <c r="D12" s="17" t="n">
        <v>6</v>
      </c>
    </row>
    <row r="13">
      <c r="A13" s="4" t="inlineStr">
        <is>
          <t>Event staff — average hourly wage</t>
        </is>
      </c>
      <c r="B13" s="12" t="n">
        <v>18</v>
      </c>
      <c r="C13" s="12" t="n">
        <v>20</v>
      </c>
      <c r="D13" s="12" t="n">
        <v>20</v>
      </c>
    </row>
    <row r="14">
      <c r="A14" s="4" t="inlineStr">
        <is>
          <t>Employer payroll taxes and workers' comp (% of wages)</t>
        </is>
      </c>
      <c r="B14" s="18" t="n">
        <v>0.1</v>
      </c>
      <c r="C14" s="18" t="n">
        <v>0.1</v>
      </c>
      <c r="D14" s="18" t="n">
        <v>0.1</v>
      </c>
    </row>
    <row r="15">
      <c r="A15" s="4" t="inlineStr">
        <is>
          <t>Rentals passed through (tables, linens, china)</t>
        </is>
      </c>
      <c r="B15" s="12" t="n">
        <v>0</v>
      </c>
      <c r="C15" s="12" t="n">
        <v>1800</v>
      </c>
      <c r="D15" s="12" t="n">
        <v>600</v>
      </c>
    </row>
    <row r="16">
      <c r="A16" s="4" t="inlineStr">
        <is>
          <t>Round-trip miles</t>
        </is>
      </c>
      <c r="B16" s="11" t="n">
        <v>20</v>
      </c>
      <c r="C16" s="11" t="n">
        <v>60</v>
      </c>
      <c r="D16" s="11" t="n">
        <v>30</v>
      </c>
    </row>
    <row r="17">
      <c r="A17" s="4" t="inlineStr">
        <is>
          <t>Cost per mile</t>
        </is>
      </c>
      <c r="B17" s="12" t="n">
        <v>0.7</v>
      </c>
      <c r="C17" s="12" t="n">
        <v>0.7</v>
      </c>
      <c r="D17" s="12" t="n">
        <v>0.7</v>
      </c>
    </row>
    <row r="18">
      <c r="A18" s="4" t="inlineStr">
        <is>
          <t>Target gross margin on the food &amp; service subtotal</t>
        </is>
      </c>
      <c r="B18" s="18" t="n">
        <v>0.55</v>
      </c>
      <c r="C18" s="18" t="n">
        <v>0.5</v>
      </c>
      <c r="D18" s="18" t="n">
        <v>0.5</v>
      </c>
    </row>
    <row r="19">
      <c r="A19" s="4" t="inlineStr">
        <is>
          <t>Service charge (% of subtotal)</t>
        </is>
      </c>
      <c r="B19" s="18" t="n">
        <v>0</v>
      </c>
      <c r="C19" s="18" t="n">
        <v>0.2</v>
      </c>
      <c r="D19" s="18" t="n">
        <v>0.2</v>
      </c>
    </row>
    <row r="20">
      <c r="A20" s="4" t="inlineStr">
        <is>
          <t>Sales tax rate (state + local)</t>
        </is>
      </c>
      <c r="B20" s="19" t="n">
        <v>0.08</v>
      </c>
      <c r="C20" s="19" t="n">
        <v>0.08</v>
      </c>
      <c r="D20" s="19" t="n">
        <v>0.08</v>
      </c>
    </row>
    <row r="21">
      <c r="A21" s="4" t="inlineStr">
        <is>
          <t>Does your state tax the service charge?</t>
        </is>
      </c>
      <c r="B21" s="4" t="inlineStr">
        <is>
          <t>Yes</t>
        </is>
      </c>
      <c r="C21" s="4" t="inlineStr">
        <is>
          <t>Yes</t>
        </is>
      </c>
      <c r="D21" s="4" t="inlineStr">
        <is>
          <t>No</t>
        </is>
      </c>
    </row>
    <row r="22">
      <c r="A22" s="4" t="inlineStr">
        <is>
          <t>Suggested voluntary gratuity (% of subtotal; NOT in the price)</t>
        </is>
      </c>
      <c r="B22" s="18" t="n">
        <v>0</v>
      </c>
      <c r="C22" s="18" t="n">
        <v>0</v>
      </c>
      <c r="D22" s="18" t="n">
        <v>0</v>
      </c>
    </row>
    <row r="23">
      <c r="A23" s="4" t="inlineStr">
        <is>
          <t>Deposit to book the date (% of total)</t>
        </is>
      </c>
      <c r="B23" s="18" t="n">
        <v>0</v>
      </c>
      <c r="C23" s="18" t="n">
        <v>0.35</v>
      </c>
      <c r="D23" s="18" t="n">
        <v>0.35</v>
      </c>
    </row>
    <row r="25">
      <c r="A25" s="3" t="inlineStr">
        <is>
          <t>RESULT</t>
        </is>
      </c>
      <c r="B25" s="16" t="inlineStr">
        <is>
          <t>Corporate drop-off lunch</t>
        </is>
      </c>
      <c r="C25" s="16" t="inlineStr">
        <is>
          <t>Wedding buffet</t>
        </is>
      </c>
      <c r="D25" s="16" t="inlineStr">
        <is>
          <t>Plated dinner</t>
        </is>
      </c>
    </row>
    <row r="26">
      <c r="A26" s="4" t="inlineStr">
        <is>
          <t>Billable guests</t>
        </is>
      </c>
      <c r="B26" s="11">
        <f>MAX($B$5,$B$6)</f>
        <v>40.0</v>
      </c>
      <c r="C26" s="11">
        <f>MAX($C$5,$C$6)</f>
        <v>120.0</v>
      </c>
      <c r="D26" s="11">
        <f>MAX($D$5,$D$6)</f>
        <v>60.0</v>
      </c>
    </row>
    <row r="27">
      <c r="A27" s="4" t="inlineStr">
        <is>
          <t>Food, beverage and disposables</t>
        </is>
      </c>
      <c r="B27" s="12">
        <f>($B$8+$B$9+$B$10)*$B$5</f>
        <v>470.0</v>
      </c>
      <c r="C27" s="12">
        <f>($C$8+$C$9+$C$10)*$C$5</f>
        <v>3300.0</v>
      </c>
      <c r="D27" s="12">
        <f>($D$8+$D$9+$D$10)*$D$5</f>
        <v>1140.0</v>
      </c>
    </row>
    <row r="28">
      <c r="A28" s="4" t="inlineStr">
        <is>
          <t>Event staff cost (wages + payroll taxes)</t>
        </is>
      </c>
      <c r="B28" s="12">
        <f>$B$11*$B$12*$B$13*(1+$B$14)</f>
        <v>59.400000000000006</v>
      </c>
      <c r="C28" s="12">
        <f>$C$11*$C$12*$C$13*(1+$C$14)</f>
        <v>1232.0</v>
      </c>
      <c r="D28" s="12">
        <f>$D$11*$D$12*$D$13*(1+$D$14)</f>
        <v>792.0000000000001</v>
      </c>
    </row>
    <row r="29">
      <c r="A29" s="4" t="inlineStr">
        <is>
          <t>Rentals and mileage</t>
        </is>
      </c>
      <c r="B29" s="12">
        <f>$B$15+$B$16*$B$17</f>
        <v>14.0</v>
      </c>
      <c r="C29" s="12">
        <f>$C$15+$C$16*$C$17</f>
        <v>1842.0</v>
      </c>
      <c r="D29" s="12">
        <f>$D$15+$D$16*$D$17</f>
        <v>621.0</v>
      </c>
    </row>
    <row r="30">
      <c r="A30" s="4" t="inlineStr">
        <is>
          <t>Total direct cost</t>
        </is>
      </c>
      <c r="B30" s="12">
        <f>$B$27+$B$28+$B$29</f>
        <v>543.4</v>
      </c>
      <c r="C30" s="12">
        <f>$C$27+$C$28+$C$29</f>
        <v>6374.0</v>
      </c>
      <c r="D30" s="12">
        <f>$D$27+$D$28+$D$29</f>
        <v>2553.0</v>
      </c>
    </row>
    <row r="31">
      <c r="A31" s="4" t="inlineStr">
        <is>
          <t>Direct cost per billable guest</t>
        </is>
      </c>
      <c r="B31" s="12">
        <f>$B$30/$B$26</f>
        <v>13.584999999999999</v>
      </c>
      <c r="C31" s="12">
        <f>$C$30/$C$26</f>
        <v>53.11666666666667</v>
      </c>
      <c r="D31" s="12">
        <f>$D$30/$D$26</f>
        <v>42.55</v>
      </c>
    </row>
    <row r="32">
      <c r="A32" s="13" t="inlineStr">
        <is>
          <t>PRICE PER GUEST (rounded up to the next 0.50)</t>
        </is>
      </c>
      <c r="B32" s="14">
        <f>ROUNDUP($B$30/(1-$B$18)/$B$26*2,0)/2</f>
        <v>30.5</v>
      </c>
      <c r="C32" s="14">
        <f>ROUNDUP($C$30/(1-$C$18)/$C$26*2,0)/2</f>
        <v>106.5</v>
      </c>
      <c r="D32" s="14">
        <f>ROUNDUP($D$30/(1-$D$18)/$D$26*2,0)/2</f>
        <v>85.5</v>
      </c>
    </row>
    <row r="33">
      <c r="A33" s="4" t="inlineStr">
        <is>
          <t>Food &amp; service subtotal</t>
        </is>
      </c>
      <c r="B33" s="12">
        <f>$B$32*$B$26</f>
        <v>1220.0</v>
      </c>
      <c r="C33" s="12">
        <f>$C$32*$C$26</f>
        <v>12780.0</v>
      </c>
      <c r="D33" s="12">
        <f>$D$32*$D$26</f>
        <v>5130.0</v>
      </c>
    </row>
    <row r="34">
      <c r="A34" s="4" t="inlineStr">
        <is>
          <t>Service charge</t>
        </is>
      </c>
      <c r="B34" s="12">
        <f>$B$33*$B$19</f>
        <v>0.0</v>
      </c>
      <c r="C34" s="12">
        <f>$C$33*$C$19</f>
        <v>2556.0</v>
      </c>
      <c r="D34" s="12">
        <f>$D$33*$D$19</f>
        <v>1026.0</v>
      </c>
    </row>
    <row r="35">
      <c r="A35" s="4" t="inlineStr">
        <is>
          <t>Sales tax</t>
        </is>
      </c>
      <c r="B35" s="12">
        <f>($B$33+IF($B$21="Yes",$B$34,0))*$B$20</f>
        <v>97.60000000000001</v>
      </c>
      <c r="C35" s="12">
        <f>($C$33+IF($C$21="Yes",$C$34,0))*$C$20</f>
        <v>1226.88</v>
      </c>
      <c r="D35" s="12">
        <f>($D$33+IF($D$21="Yes",$D$34,0))*$D$20</f>
        <v>410.40000000000003</v>
      </c>
    </row>
    <row r="36">
      <c r="A36" s="13" t="inlineStr">
        <is>
          <t>TOTAL TO QUOTE</t>
        </is>
      </c>
      <c r="B36" s="14">
        <f>$B$33+$B$34+$B$35</f>
        <v>1317.6</v>
      </c>
      <c r="C36" s="14">
        <f>$C$33+$C$34+$C$35</f>
        <v>16562.88</v>
      </c>
      <c r="D36" s="14">
        <f>$D$33+$D$34+$D$35</f>
        <v>6566.4</v>
      </c>
    </row>
    <row r="37">
      <c r="A37" s="4" t="inlineStr">
        <is>
          <t>Deposit to book the date</t>
        </is>
      </c>
      <c r="B37" s="12">
        <f>$B$36*$B$23</f>
        <v>0.0</v>
      </c>
      <c r="C37" s="12">
        <f>$C$36*$C$23</f>
        <v>5797.008</v>
      </c>
      <c r="D37" s="12">
        <f>$D$36*$D$23</f>
        <v>2298.24</v>
      </c>
    </row>
    <row r="38">
      <c r="A38" s="4" t="inlineStr">
        <is>
          <t>Balance due before the event</t>
        </is>
      </c>
      <c r="B38" s="12">
        <f>$B$36-$B$37</f>
        <v>1317.6</v>
      </c>
      <c r="C38" s="12">
        <f>$C$36-$C$37</f>
        <v>10765.872000000001</v>
      </c>
      <c r="D38" s="12">
        <f>$D$36-$D$37</f>
        <v>4268.16</v>
      </c>
    </row>
    <row r="39">
      <c r="A39" s="4" t="inlineStr">
        <is>
          <t>Gross profit on the subtotal</t>
        </is>
      </c>
      <c r="B39" s="12">
        <f>$B$33-$B$30</f>
        <v>676.6</v>
      </c>
      <c r="C39" s="12">
        <f>$C$33-$C$30</f>
        <v>6406.0</v>
      </c>
      <c r="D39" s="12">
        <f>$D$33-$D$30</f>
        <v>2577.0</v>
      </c>
    </row>
    <row r="40">
      <c r="A40" s="13" t="inlineStr">
        <is>
          <t>Gross margin (calculated)</t>
        </is>
      </c>
      <c r="B40" s="15">
        <f>IF($B$33=0,0,$B$39/$B$33)</f>
        <v>0.5545901639344263</v>
      </c>
      <c r="C40" s="15">
        <f>IF($C$33=0,0,$C$39/$C$33)</f>
        <v>0.5012519561815336</v>
      </c>
      <c r="D40" s="15">
        <f>IF($D$33=0,0,$D$39/$D$33)</f>
        <v>0.5023391812865498</v>
      </c>
    </row>
    <row r="41">
      <c r="A41" s="4" t="inlineStr">
        <is>
          <t>Suggested voluntary gratuity (not in the total)</t>
        </is>
      </c>
      <c r="B41" s="12">
        <f>$B$33*$B$22</f>
        <v>0.0</v>
      </c>
      <c r="C41" s="12">
        <f>$C$33*$C$22</f>
        <v>0.0</v>
      </c>
      <c r="D41" s="12">
        <f>$D$33*$D$22</f>
        <v>0.0</v>
      </c>
    </row>
    <row r="42">
      <c r="A42" s="4" t="inlineStr">
        <is>
          <t>Suggested event staff for this style (Kit estimate)</t>
        </is>
      </c>
      <c r="B42" s="11">
        <f>IFERROR(IF(INDEX('Pricing Calculator'!$B$45:$B$49,MATCH($B$7,'Pricing Calculator'!$A$45:$A$49,0))=0,1,ROUNDUP($B$5/INDEX('Pricing Calculator'!$B$45:$B$49,MATCH($B$7,'Pricing Calculator'!$A$45:$A$49,0)),0)),"—")</f>
        <v>1.0</v>
      </c>
      <c r="C42" s="11">
        <f>IFERROR(IF(INDEX('Pricing Calculator'!$B$45:$B$49,MATCH($C$7,'Pricing Calculator'!$A$45:$A$49,0))=0,1,ROUNDUP($C$5/INDEX('Pricing Calculator'!$B$45:$B$49,MATCH($C$7,'Pricing Calculator'!$A$45:$A$49,0)),0)),"—")</f>
        <v>5.0</v>
      </c>
      <c r="D42" s="11">
        <f>IFERROR(IF(INDEX('Pricing Calculator'!$B$45:$B$49,MATCH($D$7,'Pricing Calculator'!$A$45:$A$49,0))=0,1,ROUNDUP($D$5/INDEX('Pricing Calculator'!$B$45:$B$49,MATCH($D$7,'Pricing Calculator'!$A$45:$A$49,0)),0)),"—")</f>
        <v>5.0</v>
      </c>
    </row>
    <row r="44">
      <c r="A44" s="3" t="inlineStr">
        <is>
          <t>WHAT EACH EXAMPLE SHOWS</t>
        </is>
      </c>
    </row>
    <row r="45" ht="30" customHeight="1">
      <c r="A45" s="13" t="inlineStr">
        <is>
          <t>Corporate drop-off lunch</t>
        </is>
      </c>
      <c r="B45" s="2" t="inlineStr">
        <is>
          <t>Drop-off: one driver delivers and sets up; no service charge; the company pays the invoice, often within 30 days (no deposit).</t>
        </is>
      </c>
    </row>
    <row r="46" ht="30" customHeight="1">
      <c r="A46" s="13" t="inlineStr">
        <is>
          <t>Wedding buffet</t>
        </is>
      </c>
      <c r="B46" s="2" t="inlineStr">
        <is>
          <t>Buffet with servers and a bartender for the client's alcohol; rentals passed through; 35% deposit to book the date.</t>
        </is>
      </c>
    </row>
    <row r="47" ht="30" customHeight="1">
      <c r="A47" s="13" t="inlineStr">
        <is>
          <t>Plated dinner</t>
        </is>
      </c>
      <c r="B47" s="2" t="inlineStr">
        <is>
          <t>Plated service needs more servers per guest; this example assumes a state that does not tax the service charge (switch set to No).</t>
        </is>
      </c>
    </row>
  </sheetData>
  <sheetProtection selectLockedCells="0" selectUnlockedCells="0" sheet="1" objects="0" insertRows="1" insertHyperlinks="1" autoFilter="1" scenarios="0" formatColumns="1" deleteColumns="1" insertColumns="1" pivotTables="1" deleteRows="1" formatCells="1" formatRows="1" sort="1"/>
  <mergeCells count="4">
    <mergeCell ref="B45:D45"/>
    <mergeCell ref="B46:D46"/>
    <mergeCell ref="B47:D47"/>
    <mergeCell ref="A2:D2"/>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23"/>
  <sheetViews>
    <sheetView showGridLines="0" workbookViewId="0">
      <selection activeCell="A1" sqref="A1"/>
    </sheetView>
  </sheetViews>
  <sheetFormatPr baseColWidth="8" defaultRowHeight="15"/>
  <cols>
    <col width="110" customWidth="1" min="1" max="1"/>
  </cols>
  <sheetData>
    <row r="1">
      <c r="A1" s="20" t="inlineStr">
        <is>
          <t>HOW TO USE THE CATERING PRICING CALCULATOR</t>
        </is>
      </c>
    </row>
    <row r="2" ht="30" customHeight="1">
      <c r="A2" s="2" t="inlineStr">
        <is>
          <t>This calculator turns your costs into a price per guest and a full quote: subtotal, service charge, sales tax, total, deposit and balance. You type only in the GREEN cells; the gross margin is calculated, never typed.</t>
        </is>
      </c>
    </row>
    <row r="3" ht="16" customHeight="1">
      <c r="A3" s="2" t="inlineStr">
        <is>
          <t>1. Enter the guests expected and the guest minimum in your contract: below the minimum you bill the minimum.</t>
        </is>
      </c>
    </row>
    <row r="4" ht="30" customHeight="1">
      <c r="A4" s="2" t="inlineStr">
        <is>
          <t>2. Choose the service style. It sets the suggested event staff from the table at the bottom of the first tab (guests per server by style: edit it to match your own standards).</t>
        </is>
      </c>
    </row>
    <row r="5" ht="30" customHeight="1">
      <c r="A5" s="2" t="inlineStr">
        <is>
          <t>3. Enter your food cost per guest from your recipe costing, the non-alcoholic beverage package and the disposables. Alcohol is not included: by default the client buys it and certified bartenders serve it.</t>
        </is>
      </c>
    </row>
    <row r="6" ht="30" customHeight="1">
      <c r="A6" s="2" t="inlineStr">
        <is>
          <t>4. Enter the event staff (people, hours each, average hourly wage, payroll taxes) and the rentals and mileage of the event.</t>
        </is>
      </c>
    </row>
    <row r="7" ht="30" customHeight="1">
      <c r="A7" s="2" t="inlineStr">
        <is>
          <t>5. Set your target gross margin on the food &amp; service subtotal. The price per guest is the direct cost divided by (1 - target margin), rounded up to the next 0.50, so the calculated margin is at or above your target.</t>
        </is>
      </c>
    </row>
    <row r="8" ht="16" customHeight="1">
      <c r="A8" s="2" t="inlineStr">
        <is>
          <t>6. Set the service charge, your sales tax rate and the switch "Does your state tax the service charge?".</t>
        </is>
      </c>
    </row>
    <row r="9" ht="30" customHeight="1">
      <c r="A9" s="2" t="inlineStr">
        <is>
          <t>7. The deposit books the date; the balance is due before the event. The "3 Example Quotes" tab shows three complete quotes calculated with the same formulas.</t>
        </is>
      </c>
    </row>
    <row r="10">
      <c r="A10" s="21" t="inlineStr">
        <is>
          <t>SERVICE CHARGE, GRATUITY AND SALES TAX (US)</t>
        </is>
      </c>
    </row>
    <row r="12" ht="30" customHeight="1">
      <c r="A12" s="2" t="inlineStr">
        <is>
          <t>A mandatory service charge is not a tip: the IRS treats it as wages paid to the staff, with payroll taxes (Rev. Rul. 2012-18). A voluntary gratuity is the client's decision: this calculator keeps it out of the price and the total.</t>
        </is>
      </c>
    </row>
    <row r="13" ht="60" customHeight="1">
      <c r="A13" s="2" t="inlineStr">
        <is>
          <t>Sales tax on catering: in many states it applies to the whole catering invoice (food, staff, rentals). Whether it also applies to the service charge depends on the state: in California a mandatory service charge is taxable; in New York it is not taxable only when it is separately stated as a gratuity and all of it goes to the staff; in Texas it is not taxable up to 20% if separately stated and distributed to qualified employees. Check your state's rules and set the switch.</t>
        </is>
      </c>
    </row>
    <row r="14" ht="30" customHeight="1">
      <c r="A14" s="2" t="inlineStr">
        <is>
          <t>UK: catering for events and functions is standard-rated for VAT (20%, HMRC VAT Notice 709/1): enter 0.20 as the tax rate and include it in your quotes.</t>
        </is>
      </c>
    </row>
    <row r="15">
      <c r="A15" s="21" t="inlineStr">
        <is>
          <t>KIT ESTIMATES</t>
        </is>
      </c>
    </row>
    <row r="17" ht="30" customHeight="1">
      <c r="A17" s="2" t="inlineStr">
        <is>
          <t>Every default value and the three example quotes are kit estimates for illustration, not market prices. Replace them with your own recipe costing, wages, rentals and tax rate before you quote.</t>
        </is>
      </c>
    </row>
    <row r="19">
      <c r="A19" s="2" t="inlineStr">
        <is>
          <t>To edit a cell that is not green: Review → Unprotect Sheet (there is no password).</t>
        </is>
      </c>
    </row>
    <row r="20">
      <c r="A20" s="2" t="inlineStr">
        <is>
          <t>More templates and kits in the catalog at aichef.pro/en/digital-products</t>
        </is>
      </c>
    </row>
    <row r="21">
      <c r="A21" s="2" t="inlineStr">
        <is>
          <t>Designed by John Guerrero — chef and restaurant consultant since 2010, in the kitchen since age 17 · johnguerrero.es</t>
        </is>
      </c>
    </row>
    <row r="22">
      <c r="A22" s="2" t="inlineStr">
        <is>
          <t>Version 2.2 · October 2026 · aichef.pro/en/digital-products/catering-business-plan · info@aichef.pro</t>
        </is>
      </c>
    </row>
    <row r="23">
      <c r="A23" s="2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Pricing Calculator (Cost per Guest to Quote) · Catering Business Plan Kit</dc:title>
  <dc:description xmlns:dc="http://purl.org/dc/elements/1.1/">aichef.pro/en/digital-products/catering-business-plan</dc:description>
  <dc:subject xmlns:dc="http://purl.org/dc/elements/1.1/">Catering Business Plan Kit · v2.2</dc:subject>
  <dcterms:created xmlns:dcterms="http://purl.org/dc/terms/" xmlns:xsi="http://www.w3.org/2001/XMLSchema-instance" xsi:type="dcterms:W3CDTF">2026-10-11T14:35:21Z</dcterms:created>
  <dcterms:modified xmlns:dcterms="http://purl.org/dc/terms/" xmlns:xsi="http://www.w3.org/2001/XMLSchema-instance" xsi:type="dcterms:W3CDTF">2026-10-11T14:35:21Z</dcterms:modified>
  <cp:lastModifiedBy>AI Chef Pro</cp:lastModifiedBy>
  <cp:category>AI Chef Pro · Digital products</cp:category>
  <cp:keywords>catering business plan, catering business plan template, how to start a catering business, catering startup costs, catering pricing per person, AI Chef Pro</cp:keywords>
</cp:coreProperties>
</file>