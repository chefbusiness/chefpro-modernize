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Events per year (year-1 average)</t>
        </is>
      </c>
      <c r="B4" s="18" t="n">
        <v>180</v>
      </c>
      <c r="C4" t="inlineStr">
        <is>
          <t>Average number of events you cater per year, counting every drop-off, buffet, wedding and party. It is the main volume driver of the whole workbook: the P&amp;L, break-even and scenarios all read it, and years 2 and 3 grow in events. Compare it with the capacity row further down.</t>
        </is>
      </c>
    </row>
    <row r="5">
      <c r="A5" t="inlineStr">
        <is>
          <t>Average price per guest (excl. sales tax, service included)</t>
        </is>
      </c>
      <c r="B5" s="24" t="n">
        <v>60</v>
      </c>
      <c r="C5" t="inlineStr">
        <is>
          <t>EXCL. sales tax, with staffing and the service charge included and the voluntary gratuity left out: the price per guest you quote before tax. Price per guest incl. sales tax = this value × (1 + your sales tax rate). The example sits inside the per-guest range in the benchmarks table on the "Instructions" tab (Kit estimate); the Pricing Calculator in this kit builds the price per guest for each service style.</t>
        </is>
      </c>
    </row>
    <row r="6">
      <c r="A6" t="inlineStr">
        <is>
          <t>Average guests per event</t>
        </is>
      </c>
      <c r="B6" s="18" t="n">
        <v>60</v>
      </c>
      <c r="C6" t="inlineStr">
        <is>
          <t>Average number of guests per event across your whole mix, from drop-off lunches for a few dozen people to weddings of over a hundred. A typical event runs 50-75 guests (Kit estimate). Sales per event = guests × price per guest. One cell for the whole workbook: the P&amp;L, break-even and scenarios all read it, so they always agree.</t>
        </is>
      </c>
    </row>
    <row r="7">
      <c r="A7" t="inlineStr">
        <is>
          <t>Volume growth in year 2</t>
        </is>
      </c>
      <c r="B7" s="63" t="n">
        <v>0.15</v>
      </c>
      <c r="C7" t="inlineStr">
        <is>
          <t>Growth in events in year 2 over year 1 (enter 0.15 for 15%). Kept conservative on purpose: in its first year a caterer has few repeat clients and referrals, and weddings are booked months ahead.</t>
        </is>
      </c>
    </row>
    <row r="8">
      <c r="A8" t="inlineStr">
        <is>
          <t>Volume growth in year 3</t>
        </is>
      </c>
      <c r="B8" s="63" t="n">
        <v>0.1</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64.80000000000001</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FOOD share of total sales</t>
        </is>
      </c>
      <c r="B11" s="63" t="n">
        <v>0.88</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0.12</v>
      </c>
      <c r="C12" t="inlineStr">
        <is>
          <t>Calculated as the remainder: food + beverage = 100%</t>
        </is>
      </c>
    </row>
    <row r="13">
      <c r="A13" t="inlineStr">
        <is>
          <t>Cost of goods sold on FOOD sales</t>
        </is>
      </c>
      <c r="B13" s="63" t="n">
        <v>0.3</v>
      </c>
      <c r="C13" t="inlineStr">
        <is>
          <t>Cost of goods sold on food sales. The example (30%) sits inside the 28-35% range for caterers in the benchmarks table on the "Instructions" tab; the menu matters (a drop-off sandwich lunch runs lower than a carving station). It is the most sensitive lever in the plan: test it at the top of the range before you trust the result.</t>
        </is>
      </c>
    </row>
    <row r="14">
      <c r="A14" t="inlineStr">
        <is>
          <t>Cost of goods sold on BEVERAGE sales</t>
        </is>
      </c>
      <c r="B14" s="63" t="n">
        <v>0.25</v>
      </c>
      <c r="C14" t="inlineStr">
        <is>
          <t>Coffee, iced tea, lemonade and soft drinks served with the menu: a high-margin line, set below the food rate. There is no alcohol in this line: the client buys it separately.</t>
        </is>
      </c>
    </row>
    <row r="15">
      <c r="A15" t="inlineStr">
        <is>
          <t>Disposables and packaging as % of sales</t>
        </is>
      </c>
      <c r="B15" s="63" t="n">
        <v>0.03</v>
      </c>
      <c r="C15" t="inlineStr">
        <is>
          <t>Disposable plates, cutlery, napkins and containers for drop-off orders, as a % of sales. It sits next to cost of goods sold instead of hiding in miscellaneous. Some cities restrict foam and single-use plastics, so check your local rules.</t>
        </is>
      </c>
    </row>
    <row r="16">
      <c r="A16" t="inlineStr">
        <is>
          <t>Corporate catering marketplace share of sales (e.g. ezCater)</t>
        </is>
      </c>
      <c r="B16" s="63" t="n">
        <v>0.1</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0.025</v>
      </c>
      <c r="C18" t="inlineStr">
        <is>
          <t>Card and ACH fees on total sales. Many companies pay by ACH or check, which lowers the cost; cards cost more. The example (2.5%)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AND FIXED COSTS</t>
        </is>
      </c>
    </row>
    <row r="24">
      <c r="A24" t="inlineStr">
        <is>
          <t>Commissary kitchen (hours + storage) &amp; van parking, per month</t>
        </is>
      </c>
      <c r="B24" s="18" t="n">
        <v>2500</v>
      </c>
      <c r="C24" t="inlineStr">
        <is>
          <t>Monthly cost of your commissary kitchen (hours + storage) and the van's parking spot: one cell for everything you pay the kitchen. The deposit and the months before opening are calculated from it. Shared kitchens charge roughly 15-45 per hour (The Food Corridor, 2023 Shared Kitchen Operator Survey): multiply by your prep hours and add storage and parking. A permitted commissary is required: catering from a home kitchen is not allowed,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(electricity, water, gas)</t>
        </is>
      </c>
      <c r="B26" s="18" t="n">
        <v>250</v>
      </c>
      <c r="C26" t="inlineStr">
        <is>
          <t>Fuel for the generator and the portable burners, plus water and utility costs that the commissary fee does not cover. It is the one cell for this cost, so you change it in one place and the rest of the workbook follows.</t>
        </is>
      </c>
    </row>
    <row r="27">
      <c r="A27" t="inlineStr">
        <is>
          <t>Insurance (per year)</t>
        </is>
      </c>
      <c r="B27" s="18" t="n">
        <v>6000</v>
      </c>
      <c r="C27" t="inlineStr">
        <is>
          <t>General liability (venues and planners often require 1M per occurrence), commercial auto for the van and liquor liability for events where bartenders pour the client's alcohol.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Van fuel to drive to venues, plus a cushion for unbudgeted running costs. It is a VARIABLE cost: it rises and falls with the number of events, so it cannot sit among the fixed costs or it would move the break-even without anyone noticing.</t>
        </is>
      </c>
    </row>
    <row r="29">
      <c r="A29" s="16" t="inlineStr">
        <is>
          <t>FINANCING</t>
        </is>
      </c>
    </row>
    <row r="30">
      <c r="A30" t="inlineStr">
        <is>
          <t>Owner's equity contributed</t>
        </is>
      </c>
      <c r="B30" s="18" t="n">
        <v>40000</v>
      </c>
      <c r="C30" t="inlineStr">
        <is>
          <t>Your own money. Lenders usually expect an owner equity injection (often around 10% for SBA start-ups; many want 20-30%) on the total cash needed in this plan.</t>
        </is>
      </c>
    </row>
    <row r="31">
      <c r="A31" t="inlineStr">
        <is>
          <t>Loan requested</t>
        </is>
      </c>
      <c r="B31" s="18" t="n">
        <v>146000</v>
      </c>
      <c r="C31" t="inlineStr">
        <is>
          <t>Principal requested: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van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 a used van and kitchen equipment as collateral often prices above a storefront loan: ask two lenders for quotes, and ask about SBA-guaranteed loans, before you set it.</t>
        </is>
      </c>
    </row>
    <row r="33">
      <c r="A33" t="inlineStr">
        <is>
          <t>Loan term (years)</t>
        </is>
      </c>
      <c r="B33" s="18" t="n">
        <v>7</v>
      </c>
      <c r="C33" t="inlineStr">
        <is>
          <t>Total years, interest-only period included. A van and kitchen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van and its upfit (years)</t>
        </is>
      </c>
      <c r="B44" s="18" t="n">
        <v>5</v>
      </c>
      <c r="C44" t="inlineStr">
        <is>
          <t>The refrigerated van, its upfit (racks, shelving, wrap) and its refrigeration unit: everything mounted on the van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and refrigeration equipment, portable cooking and power, POS, smallwares and serving ware.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kitchen and crew can handle</t>
        </is>
      </c>
      <c r="B51" s="18" t="n">
        <v>250</v>
      </c>
      <c r="C51" t="inlineStr">
        <is>
          <t>INFORMATION ONLY: it does not enter any calculation in this workbook. It is your estimate of the most events a year your kitchen hours and crew can handle. Compare it with the events per year you plan and with the optimistic scenario: if the plan goes above it, you need more commissary hours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catering permit and the van ready takes weeks (see Phase 2 of your checklist), so you pay commissary rent before your first event. It belongs in startup costs, not in the P&amp;L.</t>
        </is>
      </c>
    </row>
    <row r="55">
      <c r="A55" t="inlineStr">
        <is>
          <t>Contingency on the van, upfit and fit-out lines (%)</t>
        </is>
      </c>
      <c r="B55" s="63" t="n">
        <v>0.1</v>
      </c>
      <c r="C55" t="inlineStr">
        <is>
          <t>Calculated by formula on the van, upfit and fit-out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14</v>
      </c>
      <c r="C58" t="inlineStr">
        <is>
          <t>Average days between the event and the money in your bank. Weddings are usually prepaid and many companies pay at 30 days, so the example sits in between. Raise it if clients or marketplaces pay later. The workbook does not model deposits (25-50% at signing is common: Kit estimate):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ZERO by default: the client buys the alcohol and certified bartenders serve it, so you sell none. Selling alcohol requires a liquor license (and, in some states, an event-by-event caterer's permit): check your state before adding it. Keep liquor liability coverage whenever bartenders pour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FULL-SERVICE EVENT CATERER</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107200.0</v>
      </c>
      <c r="C6" s="67">
        <f>IFERROR(B6/$B$26,"")</f>
        <v>0.5780440327198805</v>
      </c>
      <c r="D6" s="28" t="n"/>
      <c r="E6" s="28" t="n"/>
    </row>
    <row r="7">
      <c r="A7" s="28" t="inlineStr">
        <is>
          <t>Refrigerated cargo van (used)</t>
        </is>
      </c>
      <c r="B7" s="49" t="n">
        <v>32000</v>
      </c>
      <c r="C7" s="68">
        <f>IFERROR(B7/$B$26,"")</f>
        <v>0.17255045752832254</v>
      </c>
      <c r="D7" s="28" t="inlineStr">
        <is>
          <t>A used refrigerated cargo van. Prices vary widely with size, mileage and condition, so get several quotes. A Transit-size van does not need a CDL (that starts at 26,001 lb GVWR).</t>
        </is>
      </c>
      <c r="E7" s="31" t="inlineStr">
        <is>
          <t>Yes</t>
        </is>
      </c>
    </row>
    <row r="8">
      <c r="A8" s="28" t="inlineStr">
        <is>
          <t>Van upfit (racks, shelving, wrap)</t>
        </is>
      </c>
      <c r="B8" s="49" t="n">
        <v>4000</v>
      </c>
      <c r="C8" s="68">
        <f>IFERROR(B8/$B$26,"")</f>
        <v>0.021568807191040318</v>
      </c>
      <c r="D8" s="28" t="inlineStr">
        <is>
          <t>Racks, shelving, tie-downs for hot boxes and carriers, and the vehicle wrap.</t>
        </is>
      </c>
      <c r="E8" s="31" t="inlineStr">
        <is>
          <t>Yes</t>
        </is>
      </c>
    </row>
    <row r="9">
      <c r="A9" s="28" t="inlineStr">
        <is>
          <t>Kitchen and refrigeration equipment (own)</t>
        </is>
      </c>
      <c r="B9" s="49" t="n">
        <v>12000</v>
      </c>
      <c r="C9" s="68">
        <f>IFERROR(B9/$B$26,"")</f>
        <v>0.06470642157312095</v>
      </c>
      <c r="D9" s="28" t="inlineStr">
        <is>
          <t>Ovens, range, reach-in refrigeration, prep tables and sinks that you own. If your commissary supplies its own equipment, lower this line.</t>
        </is>
      </c>
      <c r="E9" s="31" t="inlineStr">
        <is>
          <t>Yes</t>
        </is>
      </c>
    </row>
    <row r="10">
      <c r="A10" s="28" t="inlineStr">
        <is>
          <t>Portable cooking and power (induction, burners, generator)</t>
        </is>
      </c>
      <c r="B10" s="49" t="n">
        <v>5000</v>
      </c>
      <c r="C10" s="68">
        <f>IFERROR(B10/$B$26,"")</f>
        <v>0.026961008988800397</v>
      </c>
      <c r="D10" s="28" t="inlineStr">
        <is>
          <t>Induction units and burners for stations, plus a quiet generator or battery power for venues without hookups.</t>
        </is>
      </c>
      <c r="E10" s="31" t="inlineStr">
        <is>
          <t>Yes</t>
        </is>
      </c>
    </row>
    <row r="11">
      <c r="A11" s="28" t="inlineStr">
        <is>
          <t>Van refrigeration unit + install</t>
        </is>
      </c>
      <c r="B11" s="49" t="n">
        <v>9000</v>
      </c>
      <c r="C11" s="68">
        <f>IFERROR(B11/$B$26,"")</f>
        <v>0.048529816179840715</v>
      </c>
      <c r="D11" s="28" t="inlineStr">
        <is>
          <t>Refrigeration unit for the cargo area, installed, to hold cold food at 41°F or below in transit.</t>
        </is>
      </c>
      <c r="E11" s="31" t="inlineStr">
        <is>
          <t>Yes</t>
        </is>
      </c>
    </row>
    <row r="12">
      <c r="A12" s="28" t="inlineStr">
        <is>
          <t>Commissary storage fit-out</t>
        </is>
      </c>
      <c r="B12" s="49" t="n">
        <v>1500</v>
      </c>
      <c r="C12" s="68">
        <f>IFERROR(B12/$B$26,"")</f>
        <v>0.00808830269664012</v>
      </c>
      <c r="D12" s="28" t="inlineStr">
        <is>
          <t>Shelving, lockers and labeled bins for your dry and cold storage inside the commissary. Ask the kitchen what it already provides before you budget this line.</t>
        </is>
      </c>
      <c r="E12" s="31" t="inlineStr">
        <is>
          <t>Yes</t>
        </is>
      </c>
    </row>
    <row r="13">
      <c r="A13" s="28" t="inlineStr">
        <is>
          <t>LLC formation and legal</t>
        </is>
      </c>
      <c r="B13" s="49" t="n">
        <v>2000</v>
      </c>
      <c r="C13" s="68">
        <f>IFERROR(B13/$B$26,"")</f>
        <v>0.010784403595520159</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2500</v>
      </c>
      <c r="C14" s="68">
        <f>IFERROR(B14/$B$26,"")</f>
        <v>0.013480504494400199</v>
      </c>
      <c r="D14" s="28" t="inlineStr">
        <is>
          <t>Varies a lot by city and county: get the amounts for yours before you close the budget. Expect the catering or health permit, the business license and the van inspection; temporary food event permits are charged per event on top.</t>
        </is>
      </c>
      <c r="E14" s="31" t="inlineStr">
        <is>
          <t>No</t>
        </is>
      </c>
    </row>
    <row r="15">
      <c r="A15" s="28" t="inlineStr">
        <is>
          <t>Health plan review (only if you lease your own kitchen)</t>
        </is>
      </c>
      <c r="B15" s="49" t="n">
        <v>500</v>
      </c>
      <c r="C15" s="68">
        <f>IFERROR(B15/$B$26,"")</f>
        <v>0.0026961008988800397</v>
      </c>
      <c r="D15" s="28" t="inlineStr">
        <is>
          <t>Only if you lease your own kitchen: most health departments require a plan review with drawings of the layout and workflow. If you cook in a permitted commissary you usually skip it, so set this line to 0.</t>
        </is>
      </c>
      <c r="E15" s="31" t="inlineStr">
        <is>
          <t>Yes</t>
        </is>
      </c>
    </row>
    <row r="16">
      <c r="A16" s="28" t="inlineStr">
        <is>
          <t>Catering software + card reader</t>
        </is>
      </c>
      <c r="B16" s="49" t="n">
        <v>2000</v>
      </c>
      <c r="C16" s="68">
        <f>IFERROR(B16/$B$26,"")</f>
        <v>0.010784403595520159</v>
      </c>
      <c r="D16" s="28" t="inlineStr">
        <is>
          <t>Catering software for quotes, contracts and invoices, plus a card reader to take deposits and final balances.</t>
        </is>
      </c>
      <c r="E16" s="31" t="inlineStr">
        <is>
          <t>Yes</t>
        </is>
      </c>
    </row>
    <row r="17">
      <c r="A17" s="28" t="inlineStr">
        <is>
          <t>Smallwares, hotel and sheet pans</t>
        </is>
      </c>
      <c r="B17" s="49" t="n">
        <v>5000</v>
      </c>
      <c r="C17" s="68">
        <f>IFERROR(B17/$B$26,"")</f>
        <v>0.026961008988800397</v>
      </c>
      <c r="D17" s="28" t="inlineStr">
        <is>
          <t>Hotel pans, sheet pans, utensils and cooking tools: the equipment that gets depreciated. Daily disposables are NOT depreciated: they go in the disposables line of the P&amp;L, at the % of sales set in the "0. Assumptions" tab.</t>
        </is>
      </c>
      <c r="E17" s="31" t="inlineStr">
        <is>
          <t>Yes</t>
        </is>
      </c>
    </row>
    <row r="18">
      <c r="A18" s="28" t="inlineStr">
        <is>
          <t>Opening inventory</t>
        </is>
      </c>
      <c r="B18" s="49" t="n">
        <v>6000</v>
      </c>
      <c r="C18" s="68">
        <f>IFERROR(B18/$B$26,"")</f>
        <v>0.03235321078656048</v>
      </c>
      <c r="D18" s="28" t="inlineStr">
        <is>
          <t>Food and supplies for your first events. With 0% recoverable input tax (the US default), any sales tax you pay on this purchase is treated as a cost.</t>
        </is>
      </c>
      <c r="E18" s="31" t="inlineStr">
        <is>
          <t>Yes</t>
        </is>
      </c>
    </row>
    <row r="19">
      <c r="A19" s="28" t="inlineStr">
        <is>
          <t>Website, photography, launch marketing</t>
        </is>
      </c>
      <c r="B19" s="49" t="n">
        <v>7000</v>
      </c>
      <c r="C19" s="68">
        <f>IFERROR(B19/$B$26,"")</f>
        <v>0.037745412584320556</v>
      </c>
      <c r="D19" s="28" t="inlineStr">
        <is>
          <t>Website, event photography, listings on The Knot, WeddingWire and ezCater, Google Business Profile and a launch tasting.</t>
        </is>
      </c>
      <c r="E19" s="31" t="inlineStr">
        <is>
          <t>Yes</t>
        </is>
      </c>
    </row>
    <row r="20">
      <c r="A20" s="28" t="inlineStr">
        <is>
          <t>Chafing dishes, insulated carriers, serving ware</t>
        </is>
      </c>
      <c r="B20" s="49" t="n">
        <v>9000</v>
      </c>
      <c r="C20" s="68">
        <f>IFERROR(B20/$B$26,"")</f>
        <v>0.048529816179840715</v>
      </c>
      <c r="D20" s="28" t="inlineStr">
        <is>
          <t>Chafing dishes, insulated food carriers, platters, serving utensils, linens and signage for buffets and stations.</t>
        </is>
      </c>
      <c r="E20" s="31" t="inlineStr">
        <is>
          <t>Yes</t>
        </is>
      </c>
    </row>
    <row r="21">
      <c r="A21" s="28" t="inlineStr">
        <is>
          <t>Commissary deposit</t>
        </is>
      </c>
      <c r="B21" s="40">
        <f>IFERROR(IF('0. Assumptions'!$B$24="","",'0. Assumptions'!$B$24*'0. Assumptions'!$B$25),"")</f>
        <v>2500.0</v>
      </c>
      <c r="C21" s="68">
        <f>IFERROR(B21/$B$26,"")</f>
        <v>0.013480504494400199</v>
      </c>
      <c r="D21" s="28" t="str">
        <f>IFERROR(""&amp;TEXT('0. Assumptions'!$B$25,"0")&amp;IF('0. Assumptions'!$B$25=1," month"," months")&amp;" of rent, from ""0. Assumptions"". Refundable when the lease ends: it is not depreciated and carries no tax","")</f>
        <v>1 month of rent, from "0. Assumptions". Refundable when the lease ends: it is not depreciated and carries no tax</v>
      </c>
      <c r="E21" s="28" t="inlineStr">
        <is>
          <t>No</t>
        </is>
      </c>
    </row>
    <row r="22">
      <c r="A22" s="28" t="inlineStr">
        <is>
          <t>Commissary rent before opening</t>
        </is>
      </c>
      <c r="B22" s="40">
        <f>IFERROR(IF('0. Assumptions'!$B$24="","",'0. Assumptions'!$B$24*'0. Assumptions'!$B$54),"")</f>
        <v>2500.0</v>
      </c>
      <c r="C22" s="68">
        <f>IFERROR(B22/$B$26,"")</f>
        <v>0.013480504494400199</v>
      </c>
      <c r="D22"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2" s="28" t="inlineStr">
        <is>
          <t>Yes</t>
        </is>
      </c>
    </row>
    <row r="23">
      <c r="A23" s="28" t="inlineStr">
        <is>
          <t>Van and fit-out contingency</t>
        </is>
      </c>
      <c r="B23" s="40">
        <f>IFERROR(IF(COUNT(B7,B8,B11,B12,B15)=0,"",ROUND((B7+B8+B11+B12+B15)*'0. Assumptions'!$B$55,0)),"")</f>
        <v>4700.0</v>
      </c>
      <c r="C23" s="68">
        <f>IFERROR(B23/$B$26,"")</f>
        <v>0.025343348449472374</v>
      </c>
      <c r="D23" s="28" t="str">
        <f>IFERROR("At "&amp;TEXT('0. Assumptions'!$B$55,"0%")&amp;" of the BUILD-OUT items of this block (used refrigerated van, van upfit, van refrigeration unit, commissary storage fit-out and health plan review), not of the whole block: the other items are left out. No lender funds a build-out without a cushion: the percentage is in ""0. Assumptions""","")</f>
        <v>At 10% of the BUILD-OUT items of this block (used refrigerated van, van upfit, van refrigeration unit, commissary storage fit-out and health plan review), not of the whole block: the other items are left out. No lender funds a build-out without a cushion: the percentage is in "0. Assumptions"</v>
      </c>
      <c r="E23" s="28" t="inlineStr">
        <is>
          <t>Yes</t>
        </is>
      </c>
    </row>
    <row r="24">
      <c r="A24" s="16" t="inlineStr">
        <is>
          <t>WORKING CAPITAL</t>
        </is>
      </c>
      <c r="B24" s="52">
        <f>IFERROR(IF(B25="","",B25),"")</f>
        <v>78253.0</v>
      </c>
      <c r="C24" s="69">
        <f>IFERROR(B24/$B$26,"")</f>
        <v>0.42195596728011947</v>
      </c>
    </row>
    <row r="25">
      <c r="A25" s="35" t="inlineStr">
        <is>
          <t>Operating cushion until break-even</t>
        </is>
      </c>
      <c r="B25" s="42">
        <f>IFERROR(IF('0. Assumptions'!$B$35*('3-Year P&amp;L'!$B$38-'3-Year P&amp;L'!$B$36)=0,"",'0. Assumptions'!$B$35*('3-Year P&amp;L'!$B$38-'3-Year P&amp;L'!$B$36)/12),"")</f>
        <v>78253.0</v>
      </c>
      <c r="C25" s="65">
        <f>IFERROR(B25/$B$26,"")</f>
        <v>0.42195596728011947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185453.0</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(42% of the total). To compare the breakdown with another plan, use the CAPEX row below.</v>
      </c>
    </row>
    <row r="27">
      <c r="A27" s="16" t="inlineStr">
        <is>
          <t>CAPEX (startup costs excluding working capital)</t>
        </is>
      </c>
      <c r="B27" s="52">
        <f>IFERROR(B26-B24,"")</f>
        <v>107200.0</v>
      </c>
      <c r="D27" s="16" t="inlineStr">
        <is>
          <t>What you buy: van, upfit,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185453.0</v>
      </c>
      <c r="D29" s="16" t="inlineStr">
        <is>
          <t>This is the figure the Financing tab has to cover</t>
        </is>
      </c>
    </row>
    <row r="30">
      <c r="A30" s="16" t="inlineStr">
        <is>
          <t>DEPRECIATION BASES (not added to startup costs)</t>
        </is>
      </c>
    </row>
    <row r="31">
      <c r="A31" s="35" t="inlineStr">
        <is>
          <t>Van, upfit and fit-out (depreciated over the van life)</t>
        </is>
      </c>
      <c r="B31" s="42">
        <f>IFERROR(IF(B7="","",B7+B8+B11+B12+B15+B23),"")</f>
        <v>51700.0</v>
      </c>
      <c r="D31" t="str">
        <f>IFERROR("Depreciated over "&amp;TEXT('0. Assumptions'!$B$44,"0")&amp;" years","")</f>
        <v>Depreciated over 5 years</v>
      </c>
    </row>
    <row r="32">
      <c r="A32" s="35" t="inlineStr">
        <is>
          <t>Machinery, furniture and equipment</t>
        </is>
      </c>
      <c r="B32" s="42">
        <f>IFERROR(IF(B9="","",B9+B10+B16+B17+B20),"")</f>
        <v>33000.0</v>
      </c>
      <c r="D32" t="str">
        <f>IFERROR("Depreciated over "&amp;TEXT('0. Assumptions'!$B$45,"0")&amp;" years","")</f>
        <v>Depreciated over 7 years</v>
      </c>
    </row>
    <row r="33">
      <c r="A33" s="16" t="inlineStr">
        <is>
          <t>Annual depreciation of fixed assets</t>
        </is>
      </c>
      <c r="B33" s="52">
        <f>IFERROR(B31/MAX(1,'0. Assumptions'!$B$44)+B32/MAX(1,'0. Assumptions'!$B$45),"")</f>
        <v>15054.285714285714</v>
      </c>
      <c r="D33" s="37" t="str">
        <f>IFERROR("Not depreciated, because they are not fixed assets: LLC formation and legal, first-year permits, opening inventory, website, photography and launch marketing, the commissary deposit, pre-opening commissary rent and the working capital reserve. They add up to "&amp;TEXT(B26-B31-B32,"#,##0")&amp;" of the "&amp;TEXT(B26,"#,##0")&amp;" total investment.","")</f>
        <v>Not depreciated, because they are not fixed assets: LLC formation and legal, first-year permits, opening inventory, website, photography and launch marketing, the commissary deposit, pre-opening commissary rent and the working capital reserve. They add up to 100753 of the 185453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full-service event caterer</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180.0</v>
      </c>
      <c r="C6" s="40">
        <f>IFERROR(B6*(1+'0. Assumptions'!$B$7),"")</f>
        <v>206.99999999999997</v>
      </c>
      <c r="D6" s="40">
        <f>IFERROR(C6*(1+'0. Assumptions'!$B$8),"")</f>
        <v>227.7</v>
      </c>
      <c r="E6" s="28" t="n"/>
      <c r="F6" s="28" t="inlineStr">
        <is>
          <t>Growth for years 2 and 3 is set in "0. Assumptions"</t>
        </is>
      </c>
      <c r="G6" s="28" t="n"/>
      <c r="H6" s="28" t="n"/>
    </row>
    <row r="7">
      <c r="A7" s="28" t="inlineStr">
        <is>
          <t>Average price per guest (excl. sales tax)</t>
        </is>
      </c>
      <c r="B7" s="61">
        <f>IFERROR(IF('0. Assumptions'!$B$5="","",'0. Assumptions'!$B$5),"")</f>
        <v>60.0</v>
      </c>
      <c r="C7" s="61">
        <f>IFERROR(IF(B7="","",B7),"")</f>
        <v>60.0</v>
      </c>
      <c r="D7" s="61">
        <f>IFERROR(IF(C7="","",C7),"")</f>
        <v>60.0</v>
      </c>
      <c r="E7" s="28" t="n"/>
      <c r="F7" s="28" t="inlineStr">
        <is>
          <t>Held constant at year-1 prices: a price increase is a separate decision</t>
        </is>
      </c>
      <c r="G7" s="28" t="n"/>
      <c r="H7" s="28" t="n"/>
    </row>
    <row r="8">
      <c r="A8" s="28" t="inlineStr">
        <is>
          <t>Average guests per event</t>
        </is>
      </c>
      <c r="B8" s="40">
        <f>IFERROR(IF('0. Assumptions'!$B$6="","",'0. Assumptions'!$B$6),"")</f>
        <v>60.0</v>
      </c>
      <c r="C8" s="40">
        <f>IFERROR(IF(B8="","",B8),"")</f>
        <v>60.0</v>
      </c>
      <c r="D8" s="40">
        <f>IFERROR(IF(C8="","",C8),"")</f>
        <v>60.0</v>
      </c>
      <c r="E8" s="28" t="n"/>
      <c r="F8" s="28" t="n"/>
      <c r="G8" s="28" t="n"/>
      <c r="H8" s="28" t="n"/>
    </row>
    <row r="9">
      <c r="A9" s="25" t="inlineStr">
        <is>
          <t>TOTAL REVENUE (excl. sales tax)</t>
        </is>
      </c>
      <c r="B9" s="66">
        <f>IFERROR(IF(B6*B7*B8=0,"",B6*B7*B8),"")</f>
        <v>648000.0</v>
      </c>
      <c r="C9" s="66">
        <f>IFERROR(IF(C6*C7*C8=0,"",C6*C7*C8),"")</f>
        <v>745199.9999999999</v>
      </c>
      <c r="D9" s="66">
        <f>IFERROR(IF(D6*D7*D8=0,"",D6*D7*D8),"")</f>
        <v>819720.0</v>
      </c>
      <c r="E9" s="67">
        <f>IFERROR(IF(B9="","",1),"")</f>
        <v>1.0</v>
      </c>
      <c r="F9" s="28" t="n"/>
      <c r="G9" s="28" t="n"/>
      <c r="H9" s="28" t="n"/>
    </row>
    <row r="10">
      <c r="A10" s="28" t="inlineStr">
        <is>
          <t>Food sales (drop-off, buffets, plated and stations)</t>
        </is>
      </c>
      <c r="B10" s="40">
        <f>IFERROR(IF(B9="","",B9*$E$10),"")</f>
        <v>570240.0</v>
      </c>
      <c r="C10" s="40">
        <f>IFERROR(IF(C9="","",C9*$E$10),"")</f>
        <v>655775.9999999999</v>
      </c>
      <c r="D10" s="40">
        <f>IFERROR(IF(D9="","",D9*$E$10),"")</f>
        <v>721353.6</v>
      </c>
      <c r="E10" s="68">
        <f>IFERROR(IF('0. Assumptions'!$B$11="","",'0. Assumptions'!$B$11),"")</f>
        <v>0.88</v>
      </c>
      <c r="F10" s="28" t="inlineStr">
        <is>
          <t>Food sold at your events: corporate drop-offs and buffets, weddings, parties and chef-attended stations. All of it carries cost of goods sold at the same food rate.</t>
        </is>
      </c>
      <c r="G10" s="68">
        <f>IFERROR(IF(B9="","",'0. Assumptions'!$B$39),"")</f>
        <v>0.08</v>
      </c>
      <c r="H10" s="28" t="n"/>
    </row>
    <row r="11">
      <c r="A11" s="28" t="inlineStr">
        <is>
          <t>Beverage sales (coffee, iced tea, lemonade and soft drinks)</t>
        </is>
      </c>
      <c r="B11" s="40">
        <f>IFERROR(IF(B9="","",B9*$E$11),"")</f>
        <v>77760.0</v>
      </c>
      <c r="C11" s="40">
        <f>IFERROR(IF(C9="","",C9*$E$11),"")</f>
        <v>89423.99999999999</v>
      </c>
      <c r="D11" s="40">
        <f>IFERROR(IF(D9="","",D9*$E$11),"")</f>
        <v>98366.4</v>
      </c>
      <c r="E11" s="68">
        <f>IFERROR(IF('0. Assumptions'!$B$12="","",'0. Assumptions'!$B$12),"")</f>
        <v>0.12</v>
      </c>
      <c r="F11" s="28" t="inlineStr">
        <is>
          <t>Non-alcoholic drinks sold with the menu. The client buys any alcohol, so there is no bar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171072.0</v>
      </c>
      <c r="C13" s="40">
        <f>IFERROR(IF(C9="","",C9*'0. Assumptions'!$B$11*'0. Assumptions'!$B$13),"")</f>
        <v>196732.79999999996</v>
      </c>
      <c r="D13" s="40">
        <f>IFERROR(IF(D9="","",D9*'0. Assumptions'!$B$11*'0. Assumptions'!$B$13),"")</f>
        <v>216406.08</v>
      </c>
      <c r="E13" s="68">
        <f>IFERROR(B13/$B$9,"")</f>
        <v>0.264</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19440.0</v>
      </c>
      <c r="C14" s="40">
        <f>IFERROR(IF(C9="","",C9*'0. Assumptions'!$B$12*'0. Assumptions'!$B$14),"")</f>
        <v>22355.999999999996</v>
      </c>
      <c r="D14" s="40">
        <f>IFERROR(IF(D9="","",D9*'0. Assumptions'!$B$12*'0. Assumptions'!$B$14),"")</f>
        <v>24591.6</v>
      </c>
      <c r="E14" s="68">
        <f>IFERROR(B14/$B$9,"")</f>
        <v>0.03</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19440.0</v>
      </c>
      <c r="C15" s="40">
        <f>IFERROR(IF(C9="","",C9*'0. Assumptions'!$B$15),"")</f>
        <v>22355.999999999996</v>
      </c>
      <c r="D15" s="40">
        <f>IFERROR(IF(D9="","",D9*'0. Assumptions'!$B$15),"")</f>
        <v>24591.6</v>
      </c>
      <c r="E15" s="68">
        <f>IFERROR(B15/$B$9,"")</f>
        <v>0.03</v>
      </c>
      <c r="F15" s="28" t="n"/>
      <c r="G15" s="68">
        <f>IFERROR(IF(B9="","",'0. Assumptions'!$B$41),"")</f>
        <v>0.0</v>
      </c>
      <c r="H15" s="28" t="n"/>
    </row>
    <row r="16">
      <c r="A16" s="28" t="inlineStr">
        <is>
          <t>Corporate marketplace commissions</t>
        </is>
      </c>
      <c r="B16" s="40">
        <f>IFERROR(IF(B9="","",B9*'0. Assumptions'!$B$16*'0. Assumptions'!$B$17),"")</f>
        <v>9720.0</v>
      </c>
      <c r="C16" s="40">
        <f>IFERROR(IF(C9="","",C9*'0. Assumptions'!$B$16*'0. Assumptions'!$B$17),"")</f>
        <v>11177.999999999998</v>
      </c>
      <c r="D16" s="40">
        <f>IFERROR(IF(D9="","",D9*'0. Assumptions'!$B$16*'0. Assumptions'!$B$17),"")</f>
        <v>12295.8</v>
      </c>
      <c r="E16" s="68">
        <f>IFERROR(B16/$B$9,"")</f>
        <v>0.015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16200.0</v>
      </c>
      <c r="C17" s="40">
        <f>IFERROR(IF(C9="","",C9*'0. Assumptions'!$B$18),"")</f>
        <v>18629.999999999996</v>
      </c>
      <c r="D17" s="40">
        <f>IFERROR(IF(D9="","",D9*'0. Assumptions'!$B$18),"")</f>
        <v>20493.0</v>
      </c>
      <c r="E17" s="68">
        <f>IFERROR(B17/$B$9,"")</f>
        <v>0.025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19440.0</v>
      </c>
      <c r="C18" s="40">
        <f>IFERROR(IF(C9="","",C9*'0. Assumptions'!$B$28),"")</f>
        <v>22355.999999999996</v>
      </c>
      <c r="D18" s="40">
        <f>IFERROR(IF(D9="","",D9*'0. Assumptions'!$B$28),"")</f>
        <v>24591.6</v>
      </c>
      <c r="E18" s="68">
        <f>IFERROR(B18/$B$9,"")</f>
        <v>0.03</v>
      </c>
      <c r="F18" s="28" t="str">
        <f>IFERROR("At "&amp;TEXT('0. Assumptions'!$B$28,"0%")&amp;" of sales. It is a VARIABLE cost: it moves with revenue, so it cannot sit in fixed costs","")</f>
        <v>At 3% of sales. It is a VARIABLE cost: it moves with revenue, so it cannot sit in fixed costs</v>
      </c>
      <c r="G18" s="68">
        <f>IFERROR(IF(B9="","",'0. Assumptions'!$B$41),"")</f>
        <v>0.0</v>
      </c>
      <c r="H18" s="28" t="n"/>
    </row>
    <row r="19">
      <c r="A19" s="25" t="inlineStr">
        <is>
          <t>TOTAL VARIABLE COSTS</t>
        </is>
      </c>
      <c r="B19" s="66">
        <f>IFERROR(IF(B9="","",SUM(B13:B18)),"")</f>
        <v>255312.0</v>
      </c>
      <c r="C19" s="66">
        <f>IFERROR(IF(C9="","",SUM(C13:C18)),"")</f>
        <v>293608.79999999993</v>
      </c>
      <c r="D19" s="66">
        <f>IFERROR(IF(D9="","",SUM(D13:D18)),"")</f>
        <v>322969.68</v>
      </c>
      <c r="E19" s="67">
        <f>IFERROR(B19/$B$9,"")</f>
        <v>0.394</v>
      </c>
      <c r="F19" s="28" t="n"/>
      <c r="G19" s="28" t="n"/>
      <c r="H19" s="28" t="n"/>
    </row>
    <row r="20">
      <c r="A20" s="25" t="inlineStr">
        <is>
          <t>GROSS MARGIN</t>
        </is>
      </c>
      <c r="B20" s="66">
        <f>IFERROR(IF(B9="","",B9-B19),"")</f>
        <v>392688.0</v>
      </c>
      <c r="C20" s="66">
        <f>IFERROR(IF(C9="","",C9-C19),"")</f>
        <v>451591.19999999995</v>
      </c>
      <c r="D20" s="66">
        <f>IFERROR(IF(D9="","",D9-D19),"")</f>
        <v>496750.32</v>
      </c>
      <c r="E20" s="67">
        <f>IFERROR(B20/$B$9,"")</f>
        <v>0.606</v>
      </c>
      <c r="F20" s="28" t="n"/>
      <c r="G20" s="28" t="n"/>
      <c r="H20" s="28" t="n"/>
    </row>
    <row r="21">
      <c r="A21" s="25" t="inlineStr">
        <is>
          <t>FIXED COSTS</t>
        </is>
      </c>
      <c r="B21" s="28" t="n"/>
      <c r="C21" s="28" t="n"/>
      <c r="D21" s="28" t="n"/>
      <c r="E21" s="28" t="n"/>
      <c r="F21" s="28" t="n"/>
      <c r="G21" s="28" t="n"/>
      <c r="H21" s="28" t="n"/>
    </row>
    <row r="22">
      <c r="A22" s="28" t="inlineStr">
        <is>
          <t>Commissary kitchen rent &amp; van parking</t>
        </is>
      </c>
      <c r="B22" s="40">
        <f>IFERROR(IF(B9="","",'0. Assumptions'!$B$24*12),"")</f>
        <v>30000.0</v>
      </c>
      <c r="C22" s="40">
        <f>IFERROR(IF(C9="","",B22*(1+'0. Assumptions'!$B$48)),"")</f>
        <v>30000.0</v>
      </c>
      <c r="D22" s="40">
        <f>IFERROR(IF(D9="","",C22*(1+'0. Assumptions'!$B$48)),"")</f>
        <v>30000.0</v>
      </c>
      <c r="E22" s="68">
        <f>IFERROR(B22/$B$9,"")</f>
        <v>0.046296296296296294</v>
      </c>
      <c r="F22" s="28" t="inlineStr">
        <is>
          <t>The monthly amount is typed in "0. Assumptions"; here it is multiplied by twelve. It covers your commissary hours, storage and the van's parking spot,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223212.0</v>
      </c>
      <c r="C23" s="40">
        <f>IFERROR(IF(C9="","",Staffing!$B$13),"")</f>
        <v>231212.0</v>
      </c>
      <c r="D23" s="40">
        <f>IFERROR(IF(D9="","",Staffing!$B$14),"")</f>
        <v>239212.0</v>
      </c>
      <c r="E23" s="68">
        <f>IFERROR(B23/$B$9,"")</f>
        <v>0.34446296296296297</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3000.0</v>
      </c>
      <c r="C24" s="40">
        <f>IFERROR(IF(C9="","",B24*(1+'0. Assumptions'!$B$48)),"")</f>
        <v>3000.0</v>
      </c>
      <c r="D24" s="40">
        <f>IFERROR(IF(D9="","",C24*(1+'0. Assumptions'!$B$48)),"")</f>
        <v>3000.0</v>
      </c>
      <c r="E24" s="68">
        <f>IFERROR(B24/$B$9,"")</f>
        <v>0.004629629629629629</v>
      </c>
      <c r="F24" s="28" t="inlineStr">
        <is>
          <t>Generator and portable-burner fuel, plus water and utility costs that the commissary fee does not cover.</t>
        </is>
      </c>
      <c r="G24" s="68">
        <f>IFERROR(IF(B9="","",'0. Assumptions'!$B$41),"")</f>
        <v>0.0</v>
      </c>
      <c r="H24" s="28" t="n"/>
    </row>
    <row r="25">
      <c r="A25" s="28" t="inlineStr">
        <is>
          <t>Insurance (general liability + property / auto)</t>
        </is>
      </c>
      <c r="B25" s="40">
        <f>IFERROR(IF(B9="","",'0. Assumptions'!$B$27),"")</f>
        <v>6000.0</v>
      </c>
      <c r="C25" s="40">
        <f>IFERROR(IF(C9="","",B25*(1+'0. Assumptions'!$B$48)),"")</f>
        <v>6000.0</v>
      </c>
      <c r="D25" s="40">
        <f>IFERROR(IF(D9="","",C25*(1+'0. Assumptions'!$B$48)),"")</f>
        <v>6000.0</v>
      </c>
      <c r="E25" s="68">
        <f>IFERROR(B25/$B$9,"")</f>
        <v>0.009259259259259259</v>
      </c>
      <c r="F25" s="28" t="inlineStr">
        <is>
          <t>Insurance premiums are not subject to sales tax: there is no recoverable tax on them</t>
        </is>
      </c>
      <c r="G25" s="68" t="n">
        <v>0</v>
      </c>
      <c r="H25" s="28" t="n"/>
    </row>
    <row r="26">
      <c r="A26" s="28" t="inlineStr">
        <is>
          <t>Annual permits and licenses (catering permit, business license)</t>
        </is>
      </c>
      <c r="B26" s="49" t="n">
        <v>1500</v>
      </c>
      <c r="C26" s="40">
        <f>IFERROR(IF(C9="","",B26*(1+'0. Assumptions'!$B$48)),"")</f>
        <v>1500.0</v>
      </c>
      <c r="D26" s="40">
        <f>IFERROR(IF(D9="","",C26*(1+'0. Assumptions'!$B$48)),"")</f>
        <v>1500.0</v>
      </c>
      <c r="E26" s="68">
        <f>IFERROR(B26/$B$9,"")</f>
        <v>0.0023148148148148147</v>
      </c>
      <c r="F26" s="28" t="n"/>
      <c r="G26" s="68">
        <f>IFERROR(IF(B9="","",'0. Assumptions'!$B$41),"")</f>
        <v>0.0</v>
      </c>
      <c r="H26" s="28" t="n"/>
    </row>
    <row r="27">
      <c r="A27" s="28" t="inlineStr">
        <is>
          <t>Van fuel, maintenance and inspections</t>
        </is>
      </c>
      <c r="B27" s="49" t="n">
        <v>6000</v>
      </c>
      <c r="C27" s="40">
        <f>IFERROR(IF(C9="","",B27*(1+'0. Assumptions'!$B$48)),"")</f>
        <v>6000.0</v>
      </c>
      <c r="D27" s="40">
        <f>IFERROR(IF(D9="","",C27*(1+'0. Assumptions'!$B$48)),"")</f>
        <v>6000.0</v>
      </c>
      <c r="E27" s="68">
        <f>IFERROR(B27/$B$9,"")</f>
        <v>0.009259259259259259</v>
      </c>
      <c r="F27" s="28" t="n"/>
      <c r="G27" s="68">
        <f>IFERROR(IF(B9="","",'0. Assumptions'!$B$41),"")</f>
        <v>0.0</v>
      </c>
      <c r="H27" s="28" t="n"/>
    </row>
    <row r="28">
      <c r="A28" s="28" t="inlineStr">
        <is>
          <t>Marketing and advertising</t>
        </is>
      </c>
      <c r="B28" s="49" t="n">
        <v>12000</v>
      </c>
      <c r="C28" s="40">
        <f>IFERROR(IF(C9="","",B28*(1+'0. Assumptions'!$B$48)),"")</f>
        <v>12000.0</v>
      </c>
      <c r="D28" s="40">
        <f>IFERROR(IF(D9="","",C28*(1+'0. Assumptions'!$B$48)),"")</f>
        <v>12000.0</v>
      </c>
      <c r="E28" s="68">
        <f>IFERROR(B28/$B$9,"")</f>
        <v>0.018518518518518517</v>
      </c>
      <c r="F28" s="28" t="n"/>
      <c r="G28" s="68">
        <f>IFERROR(IF(B9="","",'0. Assumptions'!$B$41),"")</f>
        <v>0.0</v>
      </c>
      <c r="H28" s="28" t="n"/>
    </row>
    <row r="29">
      <c r="A29" s="28" t="inlineStr">
        <is>
          <t>Accounting / bookkeeping</t>
        </is>
      </c>
      <c r="B29" s="49" t="n">
        <v>3600</v>
      </c>
      <c r="C29" s="40">
        <f>IFERROR(IF(C9="","",B29*(1+'0. Assumptions'!$B$48)),"")</f>
        <v>3600.0</v>
      </c>
      <c r="D29" s="40">
        <f>IFERROR(IF(D9="","",C29*(1+'0. Assumptions'!$B$48)),"")</f>
        <v>3600.0</v>
      </c>
      <c r="E29" s="68">
        <f>IFERROR(B29/$B$9,"")</f>
        <v>0.005555555555555556</v>
      </c>
      <c r="F29" s="28" t="n"/>
      <c r="G29" s="68">
        <f>IFERROR(IF(B9="","",'0. Assumptions'!$B$41),"")</f>
        <v>0.0</v>
      </c>
      <c r="H29" s="28" t="n"/>
    </row>
    <row r="30">
      <c r="A30" s="28" t="inlineStr">
        <is>
          <t>Software (catering, POS, website, social)</t>
        </is>
      </c>
      <c r="B30" s="49" t="n">
        <v>3000</v>
      </c>
      <c r="C30" s="40">
        <f>IFERROR(IF(C9="","",B30*(1+'0. Assumptions'!$B$48)),"")</f>
        <v>3000.0</v>
      </c>
      <c r="D30" s="40">
        <f>IFERROR(IF(D9="","",C30*(1+'0. Assumptions'!$B$48)),"")</f>
        <v>3000.0</v>
      </c>
      <c r="E30" s="68">
        <f>IFERROR(B30/$B$9,"")</f>
        <v>0.004629629629629629</v>
      </c>
      <c r="F30" s="28" t="n"/>
      <c r="G30" s="68">
        <f>IFERROR(IF(B9="","",'0. Assumptions'!$B$41),"")</f>
        <v>0.0</v>
      </c>
      <c r="H30" s="28" t="n"/>
    </row>
    <row r="31">
      <c r="A31" s="28" t="inlineStr">
        <is>
          <t>Cleaning supplies</t>
        </is>
      </c>
      <c r="B31" s="49" t="n">
        <v>4800</v>
      </c>
      <c r="C31" s="40">
        <f>IFERROR(IF(C9="","",B31*(1+'0. Assumptions'!$B$48)),"")</f>
        <v>4800.0</v>
      </c>
      <c r="D31" s="40">
        <f>IFERROR(IF(D9="","",C31*(1+'0. Assumptions'!$B$48)),"")</f>
        <v>4800.0</v>
      </c>
      <c r="E31" s="68">
        <f>IFERROR(B31/$B$9,"")</f>
        <v>0.007407407407407408</v>
      </c>
      <c r="F31" s="28" t="n"/>
      <c r="G31" s="68">
        <f>IFERROR(IF(B9="","",'0. Assumptions'!$B$41),"")</f>
        <v>0.0</v>
      </c>
      <c r="H31" s="28" t="n"/>
    </row>
    <row r="32">
      <c r="A32" s="28" t="inlineStr">
        <is>
          <t>Waste and grease disposal (organic waste, cardboard and used cooking oil)</t>
        </is>
      </c>
      <c r="B32" s="49" t="n">
        <v>1200</v>
      </c>
      <c r="C32" s="40">
        <f>IFERROR(IF(C9="","",B32*(1+'0. Assumptions'!$B$48)),"")</f>
        <v>1200.0</v>
      </c>
      <c r="D32" s="40">
        <f>IFERROR(IF(D9="","",C32*(1+'0. Assumptions'!$B$48)),"")</f>
        <v>1200.0</v>
      </c>
      <c r="E32" s="68">
        <f>IFERROR(B32/$B$9,"")</f>
        <v>0.001851851851851852</v>
      </c>
      <c r="F32" s="28" t="inlineStr">
        <is>
          <t>Licensed hauler. Ask the commissary first: many include trash and grease pickup in the fee. If yours does not, get a quote in your area.</t>
        </is>
      </c>
      <c r="G32" s="68">
        <f>IFERROR(IF(B9="","",'0. Assumptions'!$B$41),"")</f>
        <v>0.0</v>
      </c>
      <c r="H32" s="28" t="n"/>
    </row>
    <row r="33">
      <c r="A33" s="28" t="inlineStr">
        <is>
          <t>Pest control</t>
        </is>
      </c>
      <c r="B33" s="49" t="n">
        <v>300</v>
      </c>
      <c r="C33" s="40">
        <f>IFERROR(IF(C9="","",B33*(1+'0. Assumptions'!$B$48)),"")</f>
        <v>300.0</v>
      </c>
      <c r="D33" s="40">
        <f>IFERROR(IF(D9="","",C33*(1+'0. Assumptions'!$B$48)),"")</f>
        <v>300.0</v>
      </c>
      <c r="E33" s="68">
        <f>IFERROR(B33/$B$9,"")</f>
        <v>0.000462962962962963</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Food safety and alcohol service training (ServSafe, TIPS)</t>
        </is>
      </c>
      <c r="B34" s="49" t="n">
        <v>800</v>
      </c>
      <c r="C34" s="40">
        <f>IFERROR(IF(C9="","",B34*(1+'0. Assumptions'!$B$48)),"")</f>
        <v>800.0</v>
      </c>
      <c r="D34" s="40">
        <f>IFERROR(IF(D9="","",C34*(1+'0. Assumptions'!$B$48)),"")</f>
        <v>800.0</v>
      </c>
      <c r="E34" s="68">
        <f>IFERROR(B34/$B$9,"")</f>
        <v>0.0012345679012345679</v>
      </c>
      <c r="F34" s="28" t="inlineStr">
        <is>
          <t>Food handler cards and a Certified Food Protection Manager course for you and your team, alcohol server certification (TIPS or TABC) for the bartenders you staff, plus OSHA basics. The required cards vary by state.</t>
        </is>
      </c>
      <c r="G34" s="68">
        <f>IFERROR(IF(B9="","",'0. Assumptions'!$B$41),"")</f>
        <v>0.0</v>
      </c>
      <c r="H34" s="28" t="n"/>
    </row>
    <row r="35">
      <c r="A35" s="28" t="inlineStr">
        <is>
          <t>Tastings for prospects</t>
        </is>
      </c>
      <c r="B35" s="49" t="n">
        <v>3000</v>
      </c>
      <c r="C35" s="40">
        <f>IFERROR(IF(C9="","",B35*(1+'0. Assumptions'!$B$48)),"")</f>
        <v>3000.0</v>
      </c>
      <c r="D35" s="40">
        <f>IFERROR(IF(D9="","",C35*(1+'0. Assumptions'!$B$48)),"")</f>
        <v>3000.0</v>
      </c>
      <c r="E35" s="68">
        <f>IFERROR(B35/$B$9,"")</f>
        <v>0.004629629629629629</v>
      </c>
      <c r="F35" s="28" t="inlineStr">
        <is>
          <t>Food cost and labor for the tastings you offer wedding and corporate prospects. Many caterers charge a fee and credit it toward the booking: if you do, lower this line.</t>
        </is>
      </c>
      <c r="G35" s="68">
        <f>IFERROR(IF(B9="","",'0. Assumptions'!$B$41),"")</f>
        <v>0.0</v>
      </c>
      <c r="H35" s="28" t="n"/>
    </row>
    <row r="36">
      <c r="A36" s="28" t="inlineStr">
        <is>
          <t>Depreciation of fixed assets</t>
        </is>
      </c>
      <c r="B36" s="40">
        <f>IFERROR(IF(B9="","",'Startup Costs'!$B$33),"")</f>
        <v>15054.285714285714</v>
      </c>
      <c r="C36" s="40">
        <f>IFERROR(IF(C9="","",B36),"")</f>
        <v>15054.285714285714</v>
      </c>
      <c r="D36" s="40">
        <f>IFERROR(IF(D9="","",B36),"")</f>
        <v>15054.285714285714</v>
      </c>
      <c r="E36" s="68">
        <f>IFERROR(B36/$B$9,"")</f>
        <v>0.023231922398589063</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14600.0</v>
      </c>
      <c r="C37" s="40">
        <f>IFERROR(IF(C9="","",Financing!$B$46),"")</f>
        <v>13061.079704371305</v>
      </c>
      <c r="D37" s="40">
        <f>IFERROR(IF(D9="","",Financing!$B$48),"")</f>
        <v>11368.26737917974</v>
      </c>
      <c r="E37" s="68">
        <f>IFERROR(B37/$B$9,"")</f>
        <v>0.022530864197530864</v>
      </c>
      <c r="F37" s="28" t="inlineStr">
        <is>
          <t>Only INTEREST is an expense. Principal repaid appears on the cash flow tab</t>
        </is>
      </c>
      <c r="G37" s="68" t="n">
        <v>0</v>
      </c>
      <c r="H37" s="28" t="n"/>
    </row>
    <row r="38">
      <c r="A38" s="16" t="inlineStr">
        <is>
          <t>TOTAL FIXED COSTS</t>
        </is>
      </c>
      <c r="B38" s="52">
        <f>IFERROR(IF(B9="","",SUM(B22:B37)),"")</f>
        <v>328066.28571428574</v>
      </c>
      <c r="C38" s="52">
        <f>IFERROR(IF(C9="","",SUM(C22:C37)),"")</f>
        <v>334527.365418657</v>
      </c>
      <c r="D38" s="52">
        <f>IFERROR(IF(D9="","",SUM(D22:D37)),"")</f>
        <v>340834.55309346545</v>
      </c>
      <c r="E38" s="69">
        <f>IFERROR(B38/$B$9,"")</f>
        <v>0.5062751322751323</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64621.71428571426</v>
      </c>
      <c r="C41" s="52">
        <f>IFERROR(IF(C9="","",C20-C38),"")</f>
        <v>117063.83458134293</v>
      </c>
      <c r="D41" s="52">
        <f>IFERROR(IF(D9="","",D20-D38),"")</f>
        <v>155915.76690653455</v>
      </c>
      <c r="E41" s="69">
        <f>IFERROR(B41/$B$9,"")</f>
        <v>0.09972486772486769</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64621.71428571426</v>
      </c>
      <c r="C43" s="42">
        <f>IFERROR(IF(C9="","",MAX(0,C41-C42)),"")</f>
        <v>117063.83458134293</v>
      </c>
      <c r="D43" s="42">
        <f>IFERROR(IF(D9="","",MAX(0,D41-D42)),"")</f>
        <v>155915.76690653455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16155.428571428565</v>
      </c>
      <c r="C46" s="42">
        <f>IFERROR(IF(C9="","",IF(C45="",0,C43*C45)),"")</f>
        <v>29265.958645335733</v>
      </c>
      <c r="D46" s="42">
        <f>IFERROR(IF(D9="","",IF(D45="",0,D43*D45)),"")</f>
        <v>38978.94172663364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48466.285714285696</v>
      </c>
      <c r="C48" s="52">
        <f>IFERROR(IF(C9="","",C41-C46),"")</f>
        <v>87797.8759360072</v>
      </c>
      <c r="D48" s="52">
        <f>IFERROR(IF(D9="","",D41-D46),"")</f>
        <v>116936.82517990092</v>
      </c>
      <c r="E48" s="69">
        <f>IFERROR(B48/$B$9,"")</f>
        <v>0.07479365079365076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0.606</v>
      </c>
      <c r="C51" s="65">
        <f>IFERROR(IF(C9="","",C20/C9),"")</f>
        <v>0.606</v>
      </c>
      <c r="D51" s="65">
        <f>IFERROR(IF(D9="","",D20/D9),"")</f>
        <v>0.606</v>
      </c>
      <c r="E51" s="70" t="n">
        <v>0.6</v>
      </c>
      <c r="F51" s="35" t="inlineStr">
        <is>
          <t>Floor set by this workbook: kit benchmark (editable estimate). The workbook's gross margin also subtracts card fees, marketplace commissions and van fuel, so the floor sits below the 65-70% that caterer pricing guides quote on food cost alone.</t>
        </is>
      </c>
    </row>
    <row r="52">
      <c r="A52" s="35" t="inlineStr">
        <is>
          <t>Cost of goods sold (food + beverage)</t>
        </is>
      </c>
      <c r="B52" s="42">
        <f>IFERROR(IF(B9="","",B13+B14),"")</f>
        <v>190512.0</v>
      </c>
      <c r="C52" s="42">
        <f>IFERROR(IF(C9="","",C13+C14),"")</f>
        <v>219088.79999999996</v>
      </c>
      <c r="D52" s="42">
        <f>IFERROR(IF(D9="","",D13+D14),"")</f>
        <v>240997.68</v>
      </c>
    </row>
    <row r="53">
      <c r="A53" s="35" t="inlineStr">
        <is>
          <t>Cost of goods sold / Sales</t>
        </is>
      </c>
      <c r="B53" s="65">
        <f>IFERROR(IF(B9="","",B52/B9),"")</f>
        <v>0.294</v>
      </c>
      <c r="C53" s="65">
        <f>IFERROR(IF(C9="","",C52/C9),"")</f>
        <v>0.294</v>
      </c>
      <c r="D53" s="65">
        <f>IFERROR(IF(D9="","",D52/D9),"")</f>
        <v>0.294</v>
      </c>
      <c r="E53" s="70" t="n">
        <v>0.35</v>
      </c>
      <c r="F53" s="35" t="inlineStr">
        <is>
          <t>Ceiling for the blended cost of goods sold plus disposables: kit benchmark (editable estimate), based on the 28-35% food cost range for caterers in the benchmarks table.</t>
        </is>
      </c>
    </row>
    <row r="54">
      <c r="A54" s="35" t="inlineStr">
        <is>
          <t>Labor cost / Sales</t>
        </is>
      </c>
      <c r="B54" s="65">
        <f>IFERROR(IF(B9="","",B23/B9),"")</f>
        <v>0.34446296296296297</v>
      </c>
      <c r="C54" s="65">
        <f>IFERROR(IF(C9="","",C23/C9),"")</f>
        <v>0.3102683843263554</v>
      </c>
      <c r="D54" s="65">
        <f>IFERROR(IF(D9="","",D23/D9),"")</f>
        <v>0.2918215976186991</v>
      </c>
      <c r="E54" s="70" t="n">
        <v>0.38</v>
      </c>
      <c r="F54" s="35" t="inlineStr">
        <is>
          <t>Ceiling: kit benchmark (editable estimate), above the 25-35% labor range that pricing guides report because it includes the owner-chef's own pay.</t>
        </is>
      </c>
    </row>
    <row r="55">
      <c r="A55" s="35" t="inlineStr">
        <is>
          <t>Commissary / Sales</t>
        </is>
      </c>
      <c r="B55" s="65">
        <f>IFERROR(IF(B9="","",B22/B9),"")</f>
        <v>0.046296296296296294</v>
      </c>
      <c r="C55" s="65">
        <f>IFERROR(IF(C9="","",C22/C9),"")</f>
        <v>0.04025764895330113</v>
      </c>
      <c r="D55" s="65">
        <f>IFERROR(IF(D9="","",D22/D9),"")</f>
        <v>0.0365978626848192</v>
      </c>
      <c r="E55" s="70" t="n">
        <v>0.08</v>
      </c>
      <c r="F55" s="35" t="inlineStr">
        <is>
          <t>There is no storefront rent in this workbook: 8% is a prudent ceiling for the commissary kitchen and van parking, a kit benchmark (editable estimate). A business with its own fixed kitchen carries a much higher occupancy cost.</t>
        </is>
      </c>
    </row>
    <row r="56">
      <c r="A56" s="35" t="inlineStr">
        <is>
          <t>Net income / Sales</t>
        </is>
      </c>
      <c r="B56" s="65">
        <f>IFERROR(IF(B9="","",B48/B9),"")</f>
        <v>0.07479365079365076</v>
      </c>
      <c r="C56" s="65">
        <f>IFERROR(IF(C9="","",C48/C9),"")</f>
        <v>0.11781786894257544</v>
      </c>
      <c r="D56" s="65">
        <f>IFERROR(IF(D9="","",D48/D9),"")</f>
        <v>0.14265459569109076</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Event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328066.28571428574</v>
      </c>
      <c r="C6" s="61">
        <f>IFERROR(IF('3-Year P&amp;L'!$C$9="","",'3-Year P&amp;L'!$C$38),"")</f>
        <v>334527.365418657</v>
      </c>
      <c r="D6" s="61">
        <f>IFERROR(IF('3-Year P&amp;L'!$D$9="","",'3-Year P&amp;L'!$D$38),"")</f>
        <v>340834.55309346545</v>
      </c>
      <c r="E6" s="28" t="inlineStr">
        <is>
          <t>The SAME fixed costs as the P&amp;L. Each year has its own, which is why the threshold cannot be a single one for all three years</t>
        </is>
      </c>
      <c r="F6" s="28" t="n"/>
    </row>
    <row r="7">
      <c r="A7" s="28" t="inlineStr">
        <is>
          <t>Monthly fixed costs</t>
        </is>
      </c>
      <c r="B7" s="61">
        <f>IFERROR(IF('3-Year P&amp;L'!$B$9="","",B6/12),"")</f>
        <v>27338.857142857145</v>
      </c>
      <c r="C7" s="61">
        <f>IFERROR(IF('3-Year P&amp;L'!$C$9="","",C6/12),"")</f>
        <v>27877.28045155475</v>
      </c>
      <c r="D7" s="61">
        <f>IFERROR(IF('3-Year P&amp;L'!$D$9="","",D6/12),"")</f>
        <v>28402.879424455456</v>
      </c>
      <c r="E7" s="28" t="n"/>
      <c r="F7" s="28" t="n"/>
    </row>
    <row r="8">
      <c r="A8" s="28" t="inlineStr">
        <is>
          <t>Average price per guest (excl. sales tax)</t>
        </is>
      </c>
      <c r="B8" s="61">
        <f>IFERROR(IF('3-Year P&amp;L'!$B$9="","",'3-Year P&amp;L'!$B$7),"")</f>
        <v>60.0</v>
      </c>
      <c r="C8" s="61">
        <f>IFERROR(IF('3-Year P&amp;L'!$C$9="","",'3-Year P&amp;L'!$C$7),"")</f>
        <v>60.0</v>
      </c>
      <c r="D8" s="61">
        <f>IFERROR(IF('3-Year P&amp;L'!$D$9="","",'3-Year P&amp;L'!$D$7),"")</f>
        <v>60.0</v>
      </c>
      <c r="E8" s="28" t="n"/>
      <c r="F8" s="28" t="n"/>
    </row>
    <row r="9">
      <c r="A9" s="28" t="inlineStr">
        <is>
          <t>Variable cost per guest</t>
        </is>
      </c>
      <c r="B9" s="61">
        <f>IFERROR(IF('3-Year P&amp;L'!$B$9="","",'3-Year P&amp;L'!$B$19/('3-Year P&amp;L'!$B$6*'3-Year P&amp;L'!$B$8)),"")</f>
        <v>23.64</v>
      </c>
      <c r="C9" s="61">
        <f>IFERROR(IF('3-Year P&amp;L'!$C$9="","",'3-Year P&amp;L'!$C$19/('3-Year P&amp;L'!$C$6*'3-Year P&amp;L'!$C$8)),"")</f>
        <v>23.639999999999997</v>
      </c>
      <c r="D9" s="61">
        <f>IFERROR(IF('3-Year P&amp;L'!$D$9="","",'3-Year P&amp;L'!$D$19/('3-Year P&amp;L'!$D$6*'3-Year P&amp;L'!$D$8)),"")</f>
        <v>23.64</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36.36</v>
      </c>
      <c r="C10" s="61">
        <f>IFERROR(IF('3-Year P&amp;L'!$C$9="","",C8-C9),"")</f>
        <v>36.36</v>
      </c>
      <c r="D10" s="61">
        <f>IFERROR(IF('3-Year P&amp;L'!$D$9="","",D8-D9),"")</f>
        <v>36.36</v>
      </c>
      <c r="E10" s="28" t="inlineStr">
        <is>
          <t>Price per guest minus variable cost per guest</t>
        </is>
      </c>
      <c r="F10" s="28" t="n"/>
    </row>
    <row r="11">
      <c r="A11" s="28" t="inlineStr">
        <is>
          <t>Average guests per event</t>
        </is>
      </c>
      <c r="B11" s="40">
        <f>IFERROR(IF('3-Year P&amp;L'!$B$9="","",'3-Year P&amp;L'!$B$8),"")</f>
        <v>60.0</v>
      </c>
      <c r="C11" s="40">
        <f>IFERROR(IF('3-Year P&amp;L'!$C$9="","",'3-Year P&amp;L'!$C$8),"")</f>
        <v>60.0</v>
      </c>
      <c r="D11" s="40">
        <f>IFERROR(IF('3-Year P&amp;L'!$D$9="","",'3-Year P&amp;L'!$D$8),"")</f>
        <v>60.0</v>
      </c>
      <c r="E11" s="28" t="inlineStr">
        <is>
          <t>The same calendar as the P&amp;L and the scenarios</t>
        </is>
      </c>
      <c r="F11" s="28" t="n"/>
    </row>
    <row r="12">
      <c r="A12" s="28" t="inlineStr">
        <is>
          <t>Principal repaid in the year</t>
        </is>
      </c>
      <c r="B12" s="61">
        <f>IFERROR(IF('3-Year P&amp;L'!$B$9="","",Financing!$B$45),"")</f>
        <v>15389.20295628695</v>
      </c>
      <c r="C12" s="61">
        <f>IFERROR(IF('3-Year P&amp;L'!$C$9="","",Financing!$B$47),"")</f>
        <v>16928.123251915647</v>
      </c>
      <c r="D12" s="61">
        <f>IFERROR(IF('3-Year P&amp;L'!$D$9="","",Financing!$B$49),"")</f>
        <v>18620.935577107208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9022.725129655824</v>
      </c>
      <c r="C14" s="40">
        <f>IFERROR(IF('3-Year P&amp;L'!$C$9="","",IF(C10&lt;=0,"",C6/C10)),"")</f>
        <v>9200.422591272196</v>
      </c>
      <c r="D14" s="40">
        <f>IFERROR(IF('3-Year P&amp;L'!$D$9="","",IF(D10&lt;=0,"",D6/D10)),"")</f>
        <v>9373.887598830182</v>
      </c>
      <c r="E14" s="28" t="n"/>
      <c r="F14" s="28" t="n"/>
    </row>
    <row r="15">
      <c r="A15" s="28" t="inlineStr">
        <is>
          <t>Events needed per year</t>
        </is>
      </c>
      <c r="B15" s="44">
        <f>IFERROR(IF('3-Year P&amp;L'!$B$9="","",B14/B11),"")</f>
        <v>150.37875216093042</v>
      </c>
      <c r="C15" s="44">
        <f>IFERROR(IF('3-Year P&amp;L'!$C$9="","",C14/C11),"")</f>
        <v>153.34037652120327</v>
      </c>
      <c r="D15" s="44">
        <f>IFERROR(IF('3-Year P&amp;L'!$D$9="","",D14/D11),"")</f>
        <v>156.23145998050305</v>
      </c>
      <c r="E15" s="28" t="n"/>
      <c r="F15" s="28" t="n"/>
    </row>
    <row r="16">
      <c r="A16" s="25" t="inlineStr">
        <is>
          <t>Revenue needed per year</t>
        </is>
      </c>
      <c r="B16" s="66">
        <f>IFERROR(IF('3-Year P&amp;L'!$B$9="","",B14*B8),"")</f>
        <v>541363.5077793495</v>
      </c>
      <c r="C16" s="66">
        <f>IFERROR(IF('3-Year P&amp;L'!$C$9="","",C14*C8),"")</f>
        <v>552025.3554763318</v>
      </c>
      <c r="D16" s="66">
        <f>IFERROR(IF('3-Year P&amp;L'!$D$9="","",D14*D8),"")</f>
        <v>562433.2559298109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328401.20295628696</v>
      </c>
      <c r="C18" s="61">
        <f>IFERROR(IF('3-Year P&amp;L'!$C$9="","",C6-'3-Year P&amp;L'!$C$36+C12),"")</f>
        <v>336401.20295628696</v>
      </c>
      <c r="D18" s="61">
        <f>IFERROR(IF('3-Year P&amp;L'!$D$9="","",D6-'3-Year P&amp;L'!$D$36+D12),"")</f>
        <v>344401.2029562869</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9031.936274925383</v>
      </c>
      <c r="C19" s="40">
        <f>IFERROR(IF('3-Year P&amp;L'!$C$9="","",IF(C10&lt;=0,"",C18/C10)),"")</f>
        <v>9251.958277125605</v>
      </c>
      <c r="D19" s="40">
        <f>IFERROR(IF('3-Year P&amp;L'!$D$9="","",IF(D10&lt;=0,"",D18/D10)),"")</f>
        <v>9471.980279325822</v>
      </c>
      <c r="E19" s="28" t="n"/>
      <c r="F19" s="28" t="n"/>
    </row>
    <row r="20">
      <c r="A20" s="25" t="inlineStr">
        <is>
          <t>Events needed per year (cash)</t>
        </is>
      </c>
      <c r="B20" s="45">
        <f>IFERROR(IF('3-Year P&amp;L'!$B$9="","",B19/B11),"")</f>
        <v>150.5322712487564</v>
      </c>
      <c r="C20" s="45">
        <f>IFERROR(IF('3-Year P&amp;L'!$C$9="","",C19/C11),"")</f>
        <v>154.19930461876007</v>
      </c>
      <c r="D20" s="45">
        <f>IFERROR(IF('3-Year P&amp;L'!$D$9="","",D19/D11),"")</f>
        <v>157.86633798876372</v>
      </c>
      <c r="E20" s="28" t="n"/>
      <c r="F20" s="28" t="n"/>
    </row>
    <row r="21">
      <c r="A21" s="28" t="inlineStr">
        <is>
          <t>Revenue needed per year (cash)</t>
        </is>
      </c>
      <c r="B21" s="40">
        <f>IFERROR(IF('3-Year P&amp;L'!$B$9="","",B19*B8),"")</f>
        <v>541916.176495523</v>
      </c>
      <c r="C21" s="40">
        <f>IFERROR(IF('3-Year P&amp;L'!$C$9="","",C19*C8),"")</f>
        <v>555117.4966275363</v>
      </c>
      <c r="D21" s="40">
        <f>IFERROR(IF('3-Year P&amp;L'!$D$9="","",D19*D8),"")</f>
        <v>568318.8167595493</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180.0</v>
      </c>
      <c r="C23" s="40">
        <f>IFERROR(IF('3-Year P&amp;L'!$C$9="","",'3-Year P&amp;L'!$C$6),"")</f>
        <v>206.99999999999997</v>
      </c>
      <c r="D23" s="40">
        <f>IFERROR(IF('3-Year P&amp;L'!$D$9="","",'3-Year P&amp;L'!$D$6),"")</f>
        <v>227.7</v>
      </c>
      <c r="E23" s="28" t="n"/>
      <c r="F23" s="28" t="n"/>
    </row>
    <row r="24">
      <c r="A24" s="28" t="inlineStr">
        <is>
          <t>Cushion above CASH break-even (%)</t>
        </is>
      </c>
      <c r="B24" s="68">
        <f>IFERROR(IF('3-Year P&amp;L'!$B$9="","",B23/B20-1),"")</f>
        <v>0.19575688659176493</v>
      </c>
      <c r="C24" s="68">
        <f>IFERROR(IF('3-Year P&amp;L'!$C$9="","",C23/C20-1),"")</f>
        <v>0.342418505140367</v>
      </c>
      <c r="D24" s="68">
        <f>IFERROR(IF('3-Year P&amp;L'!$D$9="","",D23/D20-1),"")</f>
        <v>0.442359421906694</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151 events a year at your average of 60 guests per event to avoid losing money (accounting break-even, depreciation included), and 151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IFERROR($B$8-10,"")</f>
        <v>50.0</v>
      </c>
      <c r="C31" s="62">
        <f>IFERROR(IF($B$8="","",$B$8),"")</f>
        <v>60.0</v>
      </c>
      <c r="D31" s="62">
        <f>IFERROR($B$8+10,"")</f>
        <v>70.0</v>
      </c>
      <c r="E31" s="62">
        <f>IFERROR($B$8+20,"")</f>
        <v>80.0</v>
      </c>
      <c r="F31" s="28" t="n"/>
    </row>
    <row r="32">
      <c r="A32" s="61">
        <f>IFERROR($B$9*0.85,"")</f>
        <v>20.094</v>
      </c>
      <c r="B32" s="44">
        <f>IFERROR(IF($B$31-$A32&lt;=0,"",$B$6/($B$31-$A32)/$B$11),"")</f>
        <v>182.83192097142475</v>
      </c>
      <c r="C32" s="44">
        <f>IFERROR(IF($C$31-$A32&lt;=0,"",$B$6/($C$31-$A32)/$B$11),"")</f>
        <v>137.01627395808725</v>
      </c>
      <c r="D32" s="44">
        <f>IFERROR(IF($D$31-$A32&lt;=0,"",$B$6/($D$31-$A32)/$B$11),"")</f>
        <v>109.56140401096921</v>
      </c>
      <c r="E32" s="44">
        <f>IFERROR(IF($E$31-$A32&lt;=0,"",$B$6/($E$31-$A32)/$B$11),"")</f>
        <v>91.27251742014872</v>
      </c>
      <c r="F32" s="28" t="n"/>
    </row>
    <row r="33">
      <c r="A33" s="61">
        <f>IFERROR($B$9*0.925,"")</f>
        <v>21.867</v>
      </c>
      <c r="B33" s="44">
        <f>IFERROR(IF($B$31-$A33&lt;=0,"",$B$6/($B$31-$A33)/$B$11),"")</f>
        <v>194.35436777348414</v>
      </c>
      <c r="C33" s="44">
        <f>IFERROR(IF($C$31-$A33&lt;=0,"",$B$6/($C$31-$A33)/$B$11),"")</f>
        <v>143.38686776732567</v>
      </c>
      <c r="D33" s="44">
        <f>IFERROR(IF($D$31-$A33&lt;=0,"",$B$6/($D$31-$A33)/$B$11),"")</f>
        <v>113.59714600318762</v>
      </c>
      <c r="E33" s="44">
        <f>IFERROR(IF($E$31-$A33&lt;=0,"",$B$6/($E$31-$A33)/$B$11),"")</f>
        <v>94.05624049285998</v>
      </c>
      <c r="F33" s="28" t="n"/>
    </row>
    <row r="34">
      <c r="A34" s="64">
        <f>IFERROR($B$9*1.0,"")</f>
        <v>23.64</v>
      </c>
      <c r="B34" s="48">
        <f>IFERROR(IF($B$31-$A34&lt;=0,"",$B$6/($B$31-$A34)/$B$11),"")</f>
        <v>207.42683719921962</v>
      </c>
      <c r="C34" s="48">
        <f>IFERROR(IF($C$31-$A34&lt;=0,"",$B$6/($C$31-$A34)/$B$11),"")</f>
        <v>150.37875216093042</v>
      </c>
      <c r="D34" s="48">
        <f>IFERROR(IF($D$31-$A34&lt;=0,"",$B$6/($D$31-$A34)/$B$11),"")</f>
        <v>117.94157524959942</v>
      </c>
      <c r="E34" s="48">
        <f>IFERROR(IF($E$31-$A34&lt;=0,"",$B$6/($E$31-$A34)/$B$11),"")</f>
        <v>97.01510696542636</v>
      </c>
    </row>
    <row r="35">
      <c r="A35" s="64">
        <f>IFERROR($B$9*1.075,"")</f>
        <v>25.413</v>
      </c>
      <c r="B35" s="48">
        <f>IFERROR(IF($B$31-$A35&lt;=0,"",$B$6/($B$31-$A35)/$B$11),"")</f>
        <v>222.38465158707564</v>
      </c>
      <c r="C35" s="48">
        <f>IFERROR(IF($C$31-$A35&lt;=0,"",$B$6/($C$31-$A35)/$B$11),"")</f>
        <v>158.0874729976994</v>
      </c>
      <c r="D35" s="48">
        <f>IFERROR(IF($D$31-$A35&lt;=0,"",$B$6/($D$31-$A35)/$B$11),"")</f>
        <v>122.63151655351176</v>
      </c>
      <c r="E35" s="48">
        <f>IFERROR(IF($E$31-$A35&lt;=0,"",$B$6/($E$31-$A35)/$B$11),"")</f>
        <v>100.16618294779761</v>
      </c>
    </row>
    <row r="36">
      <c r="A36" s="64">
        <f>IFERROR($B$9*1.15,"")</f>
        <v>27.186</v>
      </c>
      <c r="B36" s="48">
        <f>IFERROR(IF($B$31-$A36&lt;=0,"",$B$6/($B$31-$A36)/$B$11),"")</f>
        <v>239.66737216496136</v>
      </c>
      <c r="C36" s="48">
        <f>IFERROR(IF($C$31-$A36&lt;=0,"",$B$6/($C$31-$A36)/$B$11),"")</f>
        <v>166.62922620136004</v>
      </c>
      <c r="D36" s="48">
        <f>IFERROR(IF($D$31-$A36&lt;=0,"",$B$6/($D$31-$A36)/$B$11),"")</f>
        <v>127.70989462725811</v>
      </c>
      <c r="E36" s="48">
        <f>IFERROR(IF($E$31-$A36&lt;=0,"",$B$6/($E$31-$A36)/$B$11),"")</f>
        <v>103.52882623114003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135</v>
      </c>
      <c r="C5" s="40">
        <f>IFERROR(IF('3-Year P&amp;L'!$B$6="","",'3-Year P&amp;L'!$B$6),"")</f>
        <v>180.0</v>
      </c>
      <c r="D5" s="49" t="n">
        <v>225</v>
      </c>
      <c r="E5" s="28" t="n"/>
      <c r="F5" s="28" t="n"/>
    </row>
    <row r="6">
      <c r="A6" s="28" t="inlineStr">
        <is>
          <t>Average price per guest (excl. sales tax)</t>
        </is>
      </c>
      <c r="B6" s="71" t="n">
        <v>54</v>
      </c>
      <c r="C6" s="61">
        <f>IFERROR(IF('3-Year P&amp;L'!$B$7="","",'3-Year P&amp;L'!$B$7),"")</f>
        <v>60.0</v>
      </c>
      <c r="D6" s="71" t="n">
        <v>66</v>
      </c>
      <c r="E6" s="28" t="n"/>
      <c r="F6" s="28" t="n"/>
    </row>
    <row r="7">
      <c r="A7" s="28" t="inlineStr">
        <is>
          <t>Average guests per event</t>
        </is>
      </c>
      <c r="B7" s="49" t="n">
        <v>55</v>
      </c>
      <c r="C7" s="40">
        <f>IFERROR(IF('3-Year P&amp;L'!$B$8="","",'3-Year P&amp;L'!$B$8),"")</f>
        <v>60.0</v>
      </c>
      <c r="D7" s="49" t="n">
        <v>65</v>
      </c>
      <c r="E7" s="28" t="n"/>
      <c r="F7" s="28" t="n"/>
    </row>
    <row r="8">
      <c r="A8" s="25" t="inlineStr">
        <is>
          <t>ANNUAL REVENUE (excl. sales tax)</t>
        </is>
      </c>
      <c r="B8" s="66">
        <f>IFERROR(IF(B5*B6*B7=0,"",B5*B6*B7),"")</f>
        <v>400950.0</v>
      </c>
      <c r="C8" s="66">
        <f>IFERROR(IF(C5*C6*C7=0,"",C5*C6*C7),"")</f>
        <v>648000.0</v>
      </c>
      <c r="D8" s="66">
        <f>IFERROR(IF(D5*D6*D7=0,"",D5*D6*D7),"")</f>
        <v>965250.0</v>
      </c>
      <c r="E8" s="28" t="n"/>
      <c r="F8" s="28" t="n"/>
    </row>
    <row r="9">
      <c r="A9" s="28" t="inlineStr">
        <is>
          <t>Cost of goods sold — food</t>
        </is>
      </c>
      <c r="B9" s="40">
        <f>IFERROR(IF(B8="","",B8*'0. Assumptions'!$B$11*'0. Assumptions'!$B$13),"")</f>
        <v>105850.8</v>
      </c>
      <c r="C9" s="40">
        <f>IFERROR(IF(C8="","",C8*'0. Assumptions'!$B$11*'0. Assumptions'!$B$13),"")</f>
        <v>171072.0</v>
      </c>
      <c r="D9" s="40">
        <f>IFERROR(IF(D8="","",D8*'0. Assumptions'!$B$11*'0. Assumptions'!$B$13),"")</f>
        <v>254826.0</v>
      </c>
      <c r="E9" s="28" t="n"/>
      <c r="F9" s="28" t="n"/>
    </row>
    <row r="10">
      <c r="A10" s="28" t="inlineStr">
        <is>
          <t>Cost of goods sold — beverage</t>
        </is>
      </c>
      <c r="B10" s="40">
        <f>IFERROR(IF(B8="","",B8*'0. Assumptions'!$B$12*'0. Assumptions'!$B$14),"")</f>
        <v>12028.5</v>
      </c>
      <c r="C10" s="40">
        <f>IFERROR(IF(C8="","",C8*'0. Assumptions'!$B$12*'0. Assumptions'!$B$14),"")</f>
        <v>19440.0</v>
      </c>
      <c r="D10" s="40">
        <f>IFERROR(IF(D8="","",D8*'0. Assumptions'!$B$12*'0. Assumptions'!$B$14),"")</f>
        <v>28957.5</v>
      </c>
      <c r="E10" s="28" t="n"/>
      <c r="F10" s="28" t="n"/>
    </row>
    <row r="11">
      <c r="A11" s="28" t="inlineStr">
        <is>
          <t>Disposables and packaging</t>
        </is>
      </c>
      <c r="B11" s="40">
        <f>IFERROR(IF(B8="","",B8*'0. Assumptions'!$B$15),"")</f>
        <v>12028.5</v>
      </c>
      <c r="C11" s="40">
        <f>IFERROR(IF(C8="","",C8*'0. Assumptions'!$B$15),"")</f>
        <v>19440.0</v>
      </c>
      <c r="D11" s="40">
        <f>IFERROR(IF(D8="","",D8*'0. Assumptions'!$B$15),"")</f>
        <v>28957.5</v>
      </c>
      <c r="E11" s="28" t="n"/>
      <c r="F11" s="28" t="n"/>
    </row>
    <row r="12">
      <c r="A12" s="28" t="inlineStr">
        <is>
          <t>Corporate marketplace commissions</t>
        </is>
      </c>
      <c r="B12" s="40">
        <f>IFERROR(IF(B8="","",B8*'0. Assumptions'!$B$16*'0. Assumptions'!$B$17),"")</f>
        <v>6014.25</v>
      </c>
      <c r="C12" s="40">
        <f>IFERROR(IF(C8="","",C8*'0. Assumptions'!$B$16*'0. Assumptions'!$B$17),"")</f>
        <v>9720.0</v>
      </c>
      <c r="D12" s="40">
        <f>IFERROR(IF(D8="","",D8*'0. Assumptions'!$B$16*'0. Assumptions'!$B$17),"")</f>
        <v>14478.75</v>
      </c>
      <c r="E12" s="28" t="n"/>
      <c r="F12" s="28" t="n"/>
    </row>
    <row r="13">
      <c r="A13" s="28" t="inlineStr">
        <is>
          <t>Card processing fees</t>
        </is>
      </c>
      <c r="B13" s="40">
        <f>IFERROR(IF(B8="","",B8*'0. Assumptions'!$B$18),"")</f>
        <v>10023.75</v>
      </c>
      <c r="C13" s="40">
        <f>IFERROR(IF(C8="","",C8*'0. Assumptions'!$B$18),"")</f>
        <v>16200.0</v>
      </c>
      <c r="D13" s="40">
        <f>IFERROR(IF(D8="","",D8*'0. Assumptions'!$B$18),"")</f>
        <v>24131.25</v>
      </c>
      <c r="E13" s="28" t="n"/>
      <c r="F13" s="28" t="n"/>
    </row>
    <row r="14">
      <c r="A14" s="28" t="inlineStr">
        <is>
          <t>Miscellaneous and contingency</t>
        </is>
      </c>
      <c r="B14" s="40">
        <f>IFERROR(IF(B8="","",B8*'0. Assumptions'!$B$28),"")</f>
        <v>12028.5</v>
      </c>
      <c r="C14" s="40">
        <f>IFERROR(IF(C8="","",C8*'0. Assumptions'!$B$28),"")</f>
        <v>19440.0</v>
      </c>
      <c r="D14" s="40">
        <f>IFERROR(IF(D8="","",D8*'0. Assumptions'!$B$28),"")</f>
        <v>28957.5</v>
      </c>
      <c r="E14" s="28" t="n"/>
      <c r="F14" s="28" t="n"/>
    </row>
    <row r="15">
      <c r="A15" s="28" t="inlineStr">
        <is>
          <t>TOTAL VARIABLE COSTS</t>
        </is>
      </c>
      <c r="B15" s="40">
        <f>IFERROR(IF(B8="","",SUM(B9:B14)),"")</f>
        <v>157974.3</v>
      </c>
      <c r="C15" s="40">
        <f>IFERROR(IF(C8="","",SUM(C9:C14)),"")</f>
        <v>255312.0</v>
      </c>
      <c r="D15" s="40">
        <f>IFERROR(IF(D8="","",SUM(D9:D14)),"")</f>
        <v>380308.5</v>
      </c>
      <c r="E15" s="28" t="n"/>
      <c r="F15" s="28" t="n"/>
    </row>
    <row r="16">
      <c r="A16" s="35" t="inlineStr">
        <is>
          <t>GROSS MARGIN</t>
        </is>
      </c>
      <c r="B16" s="42">
        <f>IFERROR(IF(B8="","",B8-B15),"")</f>
        <v>242975.7</v>
      </c>
      <c r="C16" s="42">
        <f>IFERROR(IF(C8="","",C8-C15),"")</f>
        <v>392688.0</v>
      </c>
      <c r="D16" s="42">
        <f>IFERROR(IF(D8="","",D8-D15),"")</f>
        <v>584941.5</v>
      </c>
    </row>
    <row r="17">
      <c r="A17" s="35" t="inlineStr">
        <is>
          <t>FIXED COSTS (the P&amp;L's)</t>
        </is>
      </c>
      <c r="B17" s="42">
        <f>IFERROR(IF(B8="","",'3-Year P&amp;L'!$B$38),"")</f>
        <v>328066.28571428574</v>
      </c>
      <c r="C17" s="42">
        <f>IFERROR(IF(C8="","",'3-Year P&amp;L'!$B$38),"")</f>
        <v>328066.28571428574</v>
      </c>
      <c r="D17" s="42">
        <f>IFERROR(IF(D8="","",'3-Year P&amp;L'!$B$38),"")</f>
        <v>328066.28571428574</v>
      </c>
      <c r="E17" s="35" t="inlineStr">
        <is>
          <t>Fixed costs do not change with the scenario: that is why they are fixed</t>
        </is>
      </c>
    </row>
    <row r="18">
      <c r="A18" s="16" t="inlineStr">
        <is>
          <t>PRE-TAX INCOME (EBT)</t>
        </is>
      </c>
      <c r="B18" s="52">
        <f>IFERROR(IF(B8="","",B16-B17),"")</f>
        <v>-85090.58571428573</v>
      </c>
      <c r="C18" s="52">
        <f>IFERROR(IF(C8="","",C16-C17),"")</f>
        <v>64621.71428571426</v>
      </c>
      <c r="D18" s="52">
        <f>IFERROR(IF(D8="","",D16-D17),"")</f>
        <v>256875.21428571426</v>
      </c>
    </row>
    <row r="19">
      <c r="A19" s="35" t="inlineStr">
        <is>
          <t>Income tax</t>
        </is>
      </c>
      <c r="B19" s="42">
        <f>IFERROR(IF(B8="","",MAX(0,B18-'0. Assumptions'!$B$42)*'0. Assumptions'!$B$37),"")</f>
        <v>0.0</v>
      </c>
      <c r="C19" s="42">
        <f>IFERROR(IF(C8="","",MAX(0,C18-'0. Assumptions'!$B$42)*'0. Assumptions'!$B$37),"")</f>
        <v>16155.428571428565</v>
      </c>
      <c r="D19" s="42">
        <f>IFERROR(IF(D8="","",MAX(0,D18-'0. Assumptions'!$B$42)*'0. Assumptions'!$B$37),"")</f>
        <v>64218.803571428565</v>
      </c>
      <c r="E19" s="35" t="inlineStr">
        <is>
          <t>At the "years 1-2" effective income tax rate, offsetting prior net operating losses</t>
        </is>
      </c>
    </row>
    <row r="20">
      <c r="A20" s="16" t="inlineStr">
        <is>
          <t>NET INCOME</t>
        </is>
      </c>
      <c r="B20" s="52">
        <f>IFERROR(IF(B8="","",B18-B19),"")</f>
        <v>-85090.58571428573</v>
      </c>
      <c r="C20" s="52">
        <f>IFERROR(IF(C8="","",C18-C19),"")</f>
        <v>48466.285714285696</v>
      </c>
      <c r="D20" s="52">
        <f>IFERROR(IF(D8="","",D18-D19),"")</f>
        <v>192656.41071428568</v>
      </c>
    </row>
    <row r="21">
      <c r="A21" s="35" t="inlineStr">
        <is>
          <t>Events per year to break even</t>
        </is>
      </c>
      <c r="B21" s="48">
        <f>IFERROR(IF(B8="","",IF(B6-B15/(B5*B7)&lt;=0,"",B17/(B6-B15/(B5*B7))/B7)),"")</f>
        <v>182.2772753465823</v>
      </c>
      <c r="C21" s="48">
        <f>IFERROR(IF(C8="","",IF(C6-C15/(C5*C7)&lt;=0,"",C17/(C6-C15/(C5*C7))/C7)),"")</f>
        <v>150.37875216093042</v>
      </c>
      <c r="D21" s="48">
        <f>IFERROR(IF(D8="","",IF(D6-D15/(D5*D7)&lt;=0,"",D17/(D6-D15/(D5*D7))/D7)),"")</f>
        <v>126.19195985532623</v>
      </c>
    </row>
    <row r="22">
      <c r="A22" s="16" t="inlineStr">
        <is>
          <t>WHAT EACH SCENARIO DEMANDS</t>
        </is>
      </c>
    </row>
    <row r="23">
      <c r="A23" s="35" t="inlineStr">
        <is>
          <t>Labor cost / Sales</t>
        </is>
      </c>
      <c r="B23" s="65">
        <f>IFERROR(IF(B8="","",'3-Year P&amp;L'!$B$23/B8),"")</f>
        <v>0.5567078189300412</v>
      </c>
      <c r="C23" s="65">
        <f>IFERROR(IF(C8="","",'3-Year P&amp;L'!$B$23/C8),"")</f>
        <v>0.34446296296296297</v>
      </c>
      <c r="D23" s="65">
        <f>IFERROR(IF(D8="","",'3-Year P&amp;L'!$B$23/D8),"")</f>
        <v>0.23124786324786326</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1617.6470588235295</v>
      </c>
      <c r="C24" s="42">
        <f>IFERROR(IF(C8="","",C5*C7/Staffing!$C$9),"")</f>
        <v>2352.9411764705883</v>
      </c>
      <c r="D24" s="42">
        <f>IFERROR(IF(D8="","",D5*D7/Staffing!$C$9),"")</f>
        <v>3186.274509803922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-7172.502956286964</v>
      </c>
      <c r="C25" s="52">
        <f>IFERROR(IF(C8="","",'Startup Costs'!$B$25+C20+'3-Year P&amp;L'!$B$36-Financing!$B$45),"")</f>
        <v>126384.36847228446</v>
      </c>
      <c r="D25" s="52">
        <f>IFERROR(IF(D8="","",'Startup Costs'!$B$25+D20+'3-Year P&amp;L'!$B$36-Financing!$B$45),"")</f>
        <v>270574.49347228446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138615.18499757888</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executive chef &amp; sales</t>
        </is>
      </c>
      <c r="B5" s="49" t="n">
        <v>1</v>
      </c>
      <c r="C5" s="51" t="n">
        <v>1</v>
      </c>
      <c r="D5" s="71" t="n">
        <v>5000</v>
      </c>
      <c r="E5" s="61">
        <f>IFERROR(IF(D5="","",D5*'0. Assumptions'!$B$20),"")</f>
        <v>500.0</v>
      </c>
      <c r="F5" s="61">
        <f>IFERROR(IF(D5="","",D5+E5),"")</f>
        <v>5500.0</v>
      </c>
      <c r="G5" s="61">
        <f>IFERROR(IF(D5="","",F5*MAX(12,'0. Assumptions'!$B$21)),"")</f>
        <v>66000.0</v>
      </c>
      <c r="H5" s="44">
        <f>IFERROR(IF(D5="","",C5*$B$16),"")</f>
        <v>40.0</v>
      </c>
      <c r="I5" s="40">
        <f>IFERROR(IF(D5="","",H5*B5*$B$17),"")</f>
        <v>2000.0</v>
      </c>
      <c r="J5" s="28" t="inlineStr">
        <is>
          <t>Sells, runs tastings, plans menus and leads the kitchen on event days. Covers the main shift at every event.</t>
        </is>
      </c>
    </row>
    <row r="6">
      <c r="A6" s="28" t="inlineStr">
        <is>
          <t>Sous chef / kitchen lead</t>
        </is>
      </c>
      <c r="B6" s="49" t="n">
        <v>1</v>
      </c>
      <c r="C6" s="51" t="n">
        <v>1</v>
      </c>
      <c r="D6" s="71" t="n">
        <v>3640</v>
      </c>
      <c r="E6" s="61">
        <f>IFERROR(IF(D6="","",D6*'0. Assumptions'!$B$20),"")</f>
        <v>364.0</v>
      </c>
      <c r="F6" s="61">
        <f>IFERROR(IF(D6="","",D6+E6),"")</f>
        <v>4004.0</v>
      </c>
      <c r="G6" s="61">
        <f>IFERROR(IF(D6="","",F6*MAX(12,'0. Assumptions'!$B$21)),"")</f>
        <v>48048.0</v>
      </c>
      <c r="H6" s="44">
        <f>IFERROR(IF(D6="","",C6*$B$16),"")</f>
        <v>40.0</v>
      </c>
      <c r="I6" s="40">
        <f>IFERROR(IF(D6="","",H6*B6*$B$17),"")</f>
        <v>2000.0</v>
      </c>
      <c r="J6" s="28" t="inlineStr">
        <is>
          <t>Leads prep and production in the commissary and runs the line at larger events. Paid at or above the pay floor in proportion to FTE.</t>
        </is>
      </c>
    </row>
    <row r="7">
      <c r="A7" s="28" t="inlineStr">
        <is>
          <t>Event staff (servers, bartenders, attendants; hourly W-2)</t>
        </is>
      </c>
      <c r="B7" s="49" t="n">
        <v>8</v>
      </c>
      <c r="C7" s="51" t="n">
        <v>0.23</v>
      </c>
      <c r="D7" s="71" t="n">
        <v>6060</v>
      </c>
      <c r="E7" s="61">
        <f>IFERROR(IF(D7="","",D7*'0. Assumptions'!$B$20),"")</f>
        <v>606.0</v>
      </c>
      <c r="F7" s="61">
        <f>IFERROR(IF(D7="","",D7+E7),"")</f>
        <v>6666.0</v>
      </c>
      <c r="G7" s="61">
        <f>IFERROR(IF(D7="","",F7*MAX(12,'0. Assumptions'!$B$21)),"")</f>
        <v>79992.0</v>
      </c>
      <c r="H7" s="44">
        <f>IFERROR(IF(D7="","",C7*$B$16),"")</f>
        <v>9.200000000000001</v>
      </c>
      <c r="I7" s="40">
        <f>IFERROR(IF(D7="","",H7*B7*$B$17),"")</f>
        <v>3680.0000000000005</v>
      </c>
      <c r="J7" s="28" t="inlineStr">
        <is>
          <t>Servers, bartenders and attendants hired per event and paid hourly as W-2 employees. Their FTE is a fraction because they only work event hours. Treating them as 1099 contractors is a misclassification risk (FLSA; California AB5). Paid at or above the pay floor in proportion to FTE.</t>
        </is>
      </c>
    </row>
    <row r="8">
      <c r="A8" s="28" t="inlineStr">
        <is>
          <t>Prep cook / driver</t>
        </is>
      </c>
      <c r="B8" s="49" t="n">
        <v>1</v>
      </c>
      <c r="C8" s="51" t="n">
        <v>0.75</v>
      </c>
      <c r="D8" s="71" t="n">
        <v>2210</v>
      </c>
      <c r="E8" s="61">
        <f>IFERROR(IF(D8="","",D8*'0. Assumptions'!$B$20),"")</f>
        <v>221.0</v>
      </c>
      <c r="F8" s="61">
        <f>IFERROR(IF(D8="","",D8+E8),"")</f>
        <v>2431.0</v>
      </c>
      <c r="G8" s="61">
        <f>IFERROR(IF(D8="","",F8*MAX(12,'0. Assumptions'!$B$21)),"")</f>
        <v>29172.0</v>
      </c>
      <c r="H8" s="44">
        <f>IFERROR(IF(D8="","",C8*$B$16),"")</f>
        <v>30.0</v>
      </c>
      <c r="I8" s="40">
        <f>IFERROR(IF(D8="","",H8*B8*$B$17),"")</f>
        <v>1500.0</v>
      </c>
      <c r="J8" s="28" t="inlineStr">
        <is>
          <t>Preps in the commissary, loads the van and drives to venues. Paid at or above the pay floor in proportion to FTE.</t>
        </is>
      </c>
    </row>
    <row r="9">
      <c r="A9" s="16" t="inlineStr">
        <is>
          <t>TOTAL STAFF</t>
        </is>
      </c>
      <c r="B9" s="52">
        <f>IFERROR(IF(COUNT(D5:D8)=0,"",SUM(B5:B8)),"")</f>
        <v>11.0</v>
      </c>
      <c r="C9" s="53">
        <f>IFERROR(IF(COUNT(D5:D8)=0,"",SUMPRODUCT(B5:B8,C5:C8)),"")</f>
        <v>4.59</v>
      </c>
      <c r="D9" s="53">
        <f>IFERROR(IF(COUNT(D5:D8)=0,"",SUM(D5:D8)),"")</f>
        <v>16910.0</v>
      </c>
      <c r="E9" s="53">
        <f>IFERROR(IF(COUNT(D5:D8)=0,"",SUM(E5:E8)),"")</f>
        <v>1691.0</v>
      </c>
      <c r="F9" s="53">
        <f>IFERROR(IF(COUNT(D5:D8)=0,"",SUM(F5:F8)),"")</f>
        <v>18601.0</v>
      </c>
      <c r="G9" s="53">
        <f>IFERROR(IF(COUNT(D5:D8)=0,"",SUM(G5:G8)),"")</f>
        <v>223212.0</v>
      </c>
      <c r="I9" s="52">
        <f>IFERROR(IF(COUNT(D5:D8)=0,"",SUM(I5:I8)),"")</f>
        <v>9180.0</v>
      </c>
    </row>
    <row r="10">
      <c r="A10" s="16" t="inlineStr">
        <is>
          <t>STAFF GROWTH (stepped cost)</t>
        </is>
      </c>
    </row>
    <row r="11">
      <c r="A11" s="35" t="inlineStr">
        <is>
          <t>Annual cost of year-2 hires</t>
        </is>
      </c>
      <c r="B11" s="56" t="n">
        <v>8000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8000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231212.0</v>
      </c>
    </row>
    <row r="14">
      <c r="A14" s="35" t="inlineStr">
        <is>
          <t>Labor cost, year 3</t>
        </is>
      </c>
      <c r="B14" s="42">
        <f>IFERROR(IF(B13="","",B13*(1+'0. Assumptions'!$B$48)+B12),"")</f>
        <v>239212.0</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event to cover (production, loading, service, pack-down)</t>
        </is>
      </c>
      <c r="B18" s="57" t="n">
        <v>12</v>
      </c>
      <c r="J18" s="35" t="inlineStr">
        <is>
          <t>Hours of work that one event needs: shopping, prep, loading, transport, setup, service, breakdown and cleanup. Serving is only part of it. Hours × people × events per year sets the event staff cost.</t>
        </is>
      </c>
    </row>
    <row r="19">
      <c r="A19" s="35" t="inlineStr">
        <is>
          <t>People needed per event (average)</t>
        </is>
      </c>
      <c r="B19" s="57" t="n">
        <v>4.3</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9287.999999999998</v>
      </c>
    </row>
    <row r="21">
      <c r="A21" s="35" t="inlineStr">
        <is>
          <t>Hours hired per year</t>
        </is>
      </c>
      <c r="B21" s="42">
        <f>IFERROR(IF(I9="","",I9),"")</f>
        <v>9180.0</v>
      </c>
    </row>
    <row r="22">
      <c r="A22" s="16" t="inlineStr">
        <is>
          <t>Coverage (hired / needed)</t>
        </is>
      </c>
      <c r="B22" s="69">
        <f>IFERROR(B21/B20,"")</f>
        <v>0.988372093023256</v>
      </c>
      <c r="J22" s="16" t="inlineStr">
        <is>
          <t>Below 100% the staff cannot cover the hours the plan declares: either hire more or cut the hours</t>
        </is>
      </c>
    </row>
    <row r="24" ht="194.5" customHeight="1">
      <c r="A24" s="17" t="inlineStr">
        <is>
          <t>The gross pay, employer payroll taxes, monthly cost and annual cost columns are TOTALS for the row: the event staff row covers all the people in it. Event staff (servers, bartenders, attendants) are budgeted as hourly W-2 employees with employer payroll taxes and workers' comp: paying them as 1099 contractors is a misclassification risk (FLSA economic-reality test; California AB5 presumes employment). The payroll tax rate and the number of pay periods are in the "0. Assumptions" tab.</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food and beverage mix, cost of goods sold, commissary kitchen and van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0.294</v>
      </c>
      <c r="C18" s="68">
        <f>IFERROR(IF('3-Year P&amp;L'!$E$53="","",'3-Year P&amp;L'!$E$53),"")</f>
        <v>0.35</v>
      </c>
      <c r="D18" s="28" t="str">
        <f>IFERROR(IF(OR(B18="",C18=""),"",IF(B18&lt;=C18,"OK","REVIEW")),"")</f>
        <v>OK</v>
      </c>
      <c r="E18" s="28" t="n"/>
    </row>
    <row r="19">
      <c r="A19" t="inlineStr">
        <is>
          <t>Labor cost / Sales</t>
        </is>
      </c>
      <c r="B19" s="65">
        <f>IFERROR(IF('3-Year P&amp;L'!$B$54="","",'3-Year P&amp;L'!$B$54),"")</f>
        <v>0.34446296296296297</v>
      </c>
      <c r="C19" s="65">
        <f>IFERROR(IF('3-Year P&amp;L'!$E$54="","",'3-Year P&amp;L'!$E$54),"")</f>
        <v>0.38</v>
      </c>
      <c r="D19" t="str">
        <f>IFERROR(IF(OR(B19="",C19=""),"",IF(B19&lt;=C19,"OK","REVIEW")),"")</f>
        <v>OK</v>
      </c>
    </row>
    <row r="20">
      <c r="A20" t="inlineStr">
        <is>
          <t>Commissary / Sales</t>
        </is>
      </c>
      <c r="B20" s="65">
        <f>IFERROR(IF('3-Year P&amp;L'!$B$55="","",'3-Year P&amp;L'!$B$55),"")</f>
        <v>0.046296296296296294</v>
      </c>
      <c r="C20" s="65">
        <f>IFERROR(IF('3-Year P&amp;L'!$E$55="","",'3-Year P&amp;L'!$E$55),"")</f>
        <v>0.08</v>
      </c>
      <c r="D20" t="str">
        <f>IFERROR(IF(OR(B20="",C20=""),"",IF(B20&lt;=C20,"OK","REVIEW")),"")</f>
        <v>OK</v>
      </c>
    </row>
    <row r="21">
      <c r="A21" t="inlineStr">
        <is>
          <t>Net income / Sales</t>
        </is>
      </c>
      <c r="B21" s="65">
        <f>IFERROR(IF('3-Year P&amp;L'!$B$56="","",'3-Year P&amp;L'!$B$56),"")</f>
        <v>0.07479365079365076</v>
      </c>
      <c r="C21" s="65">
        <f>IFERROR(IF('3-Year P&amp;L'!$E$56="","",'3-Year P&amp;L'!$E$56),"")</f>
        <v>0.05</v>
      </c>
      <c r="D21" t="str">
        <f>IFERROR(IF(OR(B21="",C21=""),"",IF(B21&gt;=C21,"OK","REVIEW")),"")</f>
        <v>OK</v>
      </c>
    </row>
    <row r="22">
      <c r="A22" t="inlineStr">
        <is>
          <t>Gross margin / Sales</t>
        </is>
      </c>
      <c r="B22" s="65">
        <f>IFERROR(IF('3-Year P&amp;L'!$B$51="","",'3-Year P&amp;L'!$B$51),"")</f>
        <v>0.606</v>
      </c>
      <c r="C22" s="65">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Costs'!$B$26="","",'Startup Costs'!$B$26),"")</f>
        <v>185453.0</v>
      </c>
    </row>
    <row r="26">
      <c r="A26" t="inlineStr">
        <is>
          <t>Total cash needed at launch</t>
        </is>
      </c>
      <c r="B26" s="42">
        <f>IFERROR(IF('Startup Costs'!$B$29="","",'Startup Costs'!$B$29),"")</f>
        <v>185453.0</v>
      </c>
    </row>
    <row r="27">
      <c r="A27" t="inlineStr">
        <is>
          <t>Working capital funded</t>
        </is>
      </c>
      <c r="B27" s="42">
        <f>IFERROR(IF('Startup Costs'!$B$25="","",'Startup Costs'!$B$25),"")</f>
        <v>78253.0</v>
      </c>
    </row>
    <row r="28">
      <c r="A28" t="inlineStr">
        <is>
          <t>Forecast year-1 revenue</t>
        </is>
      </c>
      <c r="B28" s="42">
        <f>IFERROR(IF('3-Year P&amp;L'!$B$9="","",'3-Year P&amp;L'!$B$9),"")</f>
        <v>648000.0</v>
      </c>
    </row>
    <row r="29">
      <c r="A29" t="inlineStr">
        <is>
          <t>Year-1 net income</t>
        </is>
      </c>
      <c r="B29" s="42">
        <f>IFERROR(IF('3-Year P&amp;L'!$B$48="","",'3-Year P&amp;L'!$B$48),"")</f>
        <v>48466.285714285696</v>
      </c>
    </row>
    <row r="30">
      <c r="A30" t="inlineStr">
        <is>
          <t>Events per year for the ACCOUNTING break-even (depreciation included)</t>
        </is>
      </c>
      <c r="B30" s="48">
        <f>IFERROR(IF('Break-Even'!$B$15="","",'Break-Even'!$B$15),"")</f>
        <v>150.37875216093042</v>
      </c>
    </row>
    <row r="31">
      <c r="A31" t="inlineStr">
        <is>
          <t>Project payback (years), before debt</t>
        </is>
      </c>
      <c r="B31">
        <f>IFERROR(IF('12-Month Cash Flow'!$B$31="","",'12-Month Cash Flow'!$B$31),"")</f>
        <v>1.9</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van parking</t>
        </is>
      </c>
      <c r="B39" s="58" t="inlineStr">
        <is>
          <t>Left out: the model shows no cost of space</t>
        </is>
      </c>
      <c r="C39" s="58" t="inlineStr">
        <is>
          <t>A monthly commissary cost (hours + storage) and van parking, plus a deposit and rent for the months before opening</t>
        </is>
      </c>
      <c r="D39" s="17" t="inlineStr">
        <is>
          <t>Catering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van with its upfit, and the equipment and serving ware. The Startup Costs tab calculates the annual charge.</t>
        </is>
      </c>
      <c r="D41" s="17" t="inlineStr">
        <is>
          <t>The van and the equipment wear out at different speeds. Working capital, opening inventory and launch marketing are not fixed assets, so they are not depreciated.</t>
        </is>
      </c>
    </row>
    <row r="42" ht="30" customHeight="1">
      <c r="A42" s="58" t="inlineStr">
        <is>
          <t>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 and fuel</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van, upfit and fit-out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events you cater: putting it among the fixed costs distorts the break-even.</t>
        </is>
      </c>
    </row>
    <row r="50" ht="30" customHeight="1">
      <c r="A50" s="58" t="inlineStr">
        <is>
          <t>Cost of goods on all sales</t>
        </is>
      </c>
      <c r="B50" s="58" t="inlineStr">
        <is>
          <t>Revenue with no cost of goods sold attached</t>
        </is>
      </c>
      <c r="C50" s="58" t="inlineStr">
        <is>
          <t>Every food sale carries cost of goods sold at the same rate, whatever the service style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CATERING BENCHMARKS (sourced) AND KIT ESTIMATES</t>
        </is>
      </c>
    </row>
    <row r="54">
      <c r="A54" s="16" t="inlineStr">
        <is>
          <t>Benchmark</t>
        </is>
      </c>
      <c r="B54" s="16" t="inlineStr">
        <is>
          <t>Value</t>
        </is>
      </c>
      <c r="C54" s="16" t="inlineStr">
        <is>
          <t>Source</t>
        </is>
      </c>
      <c r="D54" s="16" t="inlineStr">
        <is>
          <t>Note</t>
        </is>
      </c>
    </row>
    <row r="55" ht="60" customHeight="1">
      <c r="A55" t="inlineStr">
        <is>
          <t>Food cost</t>
        </is>
      </c>
      <c r="B55" t="inlineStr">
        <is>
          <t>28-35%</t>
        </is>
      </c>
      <c r="C55" t="inlineStr">
        <is>
          <t>galleysolutions.com</t>
        </is>
      </c>
      <c r="D55" s="17" t="inlineStr">
        <is>
          <t>High-end menus run about 25% and high-volume menus about 40%. The example sits inside the range: if your menu runs at 35%, year-1 profit gets very tight.</t>
        </is>
      </c>
    </row>
    <row r="56" ht="45" customHeight="1">
      <c r="A56" t="inlineStr">
        <is>
          <t>Gross margin</t>
        </is>
      </c>
      <c r="B56" t="inlineStr">
        <is>
          <t>65-70%</t>
        </is>
      </c>
      <c r="C56" t="inlineStr">
        <is>
          <t>galleysolutions.com</t>
        </is>
      </c>
      <c r="D56" s="17" t="inlineStr">
        <is>
          <t>Before overhead. The workbook subtracts card fees, marketplace commissions and van fuel from it too, so its floor is set lower.</t>
        </is>
      </c>
    </row>
    <row r="57" ht="45" customHeight="1">
      <c r="A57" t="inlineStr">
        <is>
          <t>Labor cost / sales</t>
        </is>
      </c>
      <c r="B57" t="inlineStr">
        <is>
          <t>25-35%</t>
        </is>
      </c>
      <c r="C57" t="inlineStr">
        <is>
          <t>galleysolutions.com</t>
        </is>
      </c>
      <c r="D57" s="17" t="inlineStr">
        <is>
          <t>Kitchen, administration and part of the owner's time; itsacheckmate.com gives 20-35%. The workbook's ceiling is higher because it includes the owner-chef's pay.</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45" customHeight="1">
      <c r="A59" t="inlineStr">
        <is>
          <t>Wedding price per guest</t>
        </is>
      </c>
      <c r="B59" t="inlineStr">
        <is>
          <t>$80 per plate</t>
        </is>
      </c>
      <c r="C59" t="inlineStr">
        <is>
          <t>foxbusiness.com</t>
        </is>
      </c>
      <c r="D59" s="17" t="inlineStr">
        <is>
          <t>Average in 2024 (The Knot 2025 Real Weddings Study, via Fox Business). Your market, menu and service style move it a lot.</t>
        </is>
      </c>
    </row>
    <row r="60" ht="30" customHeight="1">
      <c r="A60" t="inlineStr">
        <is>
          <t>Price per guest, all events</t>
        </is>
      </c>
      <c r="B60" t="inlineStr">
        <is>
          <t>$20-$80</t>
        </is>
      </c>
      <c r="C60" t="inlineStr">
        <is>
          <t>Kit estimate</t>
        </is>
      </c>
      <c r="D60" s="17" t="inlineStr">
        <is>
          <t>Typical event of 50-75 guests. Corporate drop-offs sit at the low end; plated dinners with staff at the high end.</t>
        </is>
      </c>
    </row>
    <row r="61" ht="45" customHeight="1">
      <c r="A61" t="inlineStr">
        <is>
          <t>Corporate lunch per guest</t>
        </is>
      </c>
      <c r="B61" t="inlineStr">
        <is>
          <t>$12-$38</t>
        </is>
      </c>
      <c r="C61" t="inlineStr">
        <is>
          <t>Kit estimate</t>
        </is>
      </c>
      <c r="D61" s="17" t="inlineStr">
        <is>
          <t>Boxed lunches run about $12-$35+ and drop-off buffets about $20-$38 on published corporate catering menus. Check your local competitors.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25-50%</t>
        </is>
      </c>
      <c r="C63" t="inlineStr">
        <is>
          <t>Kit estimate</t>
        </is>
      </c>
      <c r="D63" s="17" t="inlineStr">
        <is>
          <t>Common at signing, with the balance due 5-7 days before the event; companies often pay at 30 days. The workbook does not model deposits, so they improve your real cash flow.</t>
        </is>
      </c>
    </row>
    <row r="64" ht="30" customHeight="1">
      <c r="A64" t="inlineStr">
        <is>
          <t>Hourly wages</t>
        </is>
      </c>
      <c r="B64" t="inlineStr">
        <is>
          <t>$15-$35 per hour</t>
        </is>
      </c>
      <c r="C64" t="inlineStr">
        <is>
          <t>restroworks.com</t>
        </is>
      </c>
      <c r="D64" s="17" t="inlineStr">
        <is>
          <t>Chef or manager $25-$35, prep cook $15-$18, servers and bartenders $18-$25. Add 15-30% for payroll taxes and benefits.</t>
        </is>
      </c>
    </row>
    <row r="65" ht="30"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t>
        </is>
      </c>
    </row>
    <row r="66" ht="30" customHeight="1">
      <c r="A66" t="inlineStr">
        <is>
          <t>Startup investment</t>
        </is>
      </c>
      <c r="B66" t="inlineStr">
        <is>
          <t>$20K-$65K</t>
        </is>
      </c>
      <c r="C66" t="inlineStr">
        <is>
          <t>restroworks.com</t>
        </is>
      </c>
      <c r="D66" s="17" t="inlineStr">
        <is>
          <t>With a shared kitchen; $250K+ if you build your own. Your total depends mostly on the van and the equipment you choose.</t>
        </is>
      </c>
    </row>
    <row r="67" ht="45" customHeight="1">
      <c r="A67" t="inlineStr">
        <is>
          <t>Insurance</t>
        </is>
      </c>
      <c r="B67" t="inlineStr">
        <is>
          <t>$45 / $204 / $28 per month</t>
        </is>
      </c>
      <c r="C67" t="inlineStr">
        <is>
          <t>insureon.com</t>
        </is>
      </c>
      <c r="D67" s="17" t="inlineStr">
        <is>
          <t>Insureon averages for businesses under 5 employees: general liability, commercial auto and liquor liability. Your quotes will differ.</t>
        </is>
      </c>
    </row>
    <row r="68" ht="30" customHeight="1">
      <c r="A68" t="inlineStr">
        <is>
          <t>Event staff ratio</t>
        </is>
      </c>
      <c r="B68" t="inlineStr">
        <is>
          <t>1 server per 10-12 guests (plated); 1 per 20-25 (buffet)</t>
        </is>
      </c>
      <c r="C68" t="inlineStr">
        <is>
          <t>Kit estimate</t>
        </is>
      </c>
      <c r="D68" s="17" t="inlineStr">
        <is>
          <t>Rule of thumb: stations and heavy service need more hands. Use it to size the event staff row in the "Staffing"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0.08</v>
      </c>
      <c r="D5" s="73" t="n">
        <v>0.095</v>
      </c>
      <c r="E5" s="73" t="n">
        <v>0.1</v>
      </c>
      <c r="F5" s="73" t="n">
        <v>0.07000000000000001</v>
      </c>
      <c r="G5" s="73" t="n">
        <v>0.07000000000000001</v>
      </c>
      <c r="H5" s="73" t="n">
        <v>0.1</v>
      </c>
      <c r="I5" s="73" t="n">
        <v>0.11</v>
      </c>
      <c r="J5" s="73" t="n">
        <v>0.08500000000000001</v>
      </c>
      <c r="K5" s="73" t="n">
        <v>0.115</v>
      </c>
      <c r="L5" s="73" t="n">
        <v>0.05</v>
      </c>
      <c r="M5" s="73" t="n">
        <v>0.055</v>
      </c>
      <c r="N5" s="68">
        <f>IFERROR(IF('3-Year P&amp;L'!$B$9="","",SUM(B5:M5)),"")</f>
        <v>1.0</v>
      </c>
      <c r="O5" s="28" t="inlineStr">
        <is>
          <t>Share of the year's events in each month (adds up to 100%). Month 1 = your opening month: the example opens in March, so it starts with spring weddings and peaks in October and December (holiday parties); to open in another month, rotate the row. Deposits (25-50% when the contract is signed) are not modeled: they make your real cash flow better than this sheet.</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0.04186245194361384</v>
      </c>
      <c r="C7" s="68">
        <f>IFERROR(IF('3-Year P&amp;L'!$B$9="","",C5*C6/SUMPRODUCT($B$5:$M$5,$B$6:$M$6)),"")</f>
        <v>0.054677488252883384</v>
      </c>
      <c r="D7" s="68">
        <f>IFERROR(IF('3-Year P&amp;L'!$B$9="","",D5*D6/SUMPRODUCT($B$5:$M$5,$B$6:$M$6)),"")</f>
        <v>0.0730457069628364</v>
      </c>
      <c r="E7" s="68">
        <f>IFERROR(IF('3-Year P&amp;L'!$B$9="","",E5*E6/SUMPRODUCT($B$5:$M$5,$B$6:$M$6)),"")</f>
        <v>0.0854335753951303</v>
      </c>
      <c r="F7" s="68">
        <f>IFERROR(IF('3-Year P&amp;L'!$B$9="","",F5*F6/SUMPRODUCT($B$5:$M$5,$B$6:$M$6)),"")</f>
        <v>0.06578385305425033</v>
      </c>
      <c r="G7" s="68">
        <f>IFERROR(IF('3-Year P&amp;L'!$B$9="","",G5*G6/SUMPRODUCT($B$5:$M$5,$B$6:$M$6)),"")</f>
        <v>0.07176420333190946</v>
      </c>
      <c r="H7" s="68">
        <f>IFERROR(IF('3-Year P&amp;L'!$B$9="","",H5*H6/SUMPRODUCT($B$5:$M$5,$B$6:$M$6)),"")</f>
        <v>0.11106364801366937</v>
      </c>
      <c r="I7" s="68">
        <f>IFERROR(IF('3-Year P&amp;L'!$B$9="","",I5*I6/SUMPRODUCT($B$5:$M$5,$B$6:$M$6)),"")</f>
        <v>0.13156770610850063</v>
      </c>
      <c r="J7" s="68">
        <f>IFERROR(IF('3-Year P&amp;L'!$B$9="","",J5*J6/SUMPRODUCT($B$5:$M$5,$B$6:$M$6)),"")</f>
        <v>0.10166595472020505</v>
      </c>
      <c r="K7" s="68">
        <f>IFERROR(IF('3-Year P&amp;L'!$B$9="","",K5*K6/SUMPRODUCT($B$5:$M$5,$B$6:$M$6)),"")</f>
        <v>0.13754805638615977</v>
      </c>
      <c r="L7" s="68">
        <f>IFERROR(IF('3-Year P&amp;L'!$B$9="","",L5*L6/SUMPRODUCT($B$5:$M$5,$B$6:$M$6)),"")</f>
        <v>0.0598035027765912</v>
      </c>
      <c r="M7" s="68">
        <f>IFERROR(IF('3-Year P&amp;L'!$B$9="","",M5*M6/SUMPRODUCT($B$5:$M$5,$B$6:$M$6)),"")</f>
        <v>0.06578385305425032</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15625.07646304998</v>
      </c>
      <c r="C9" s="40">
        <f>IFERROR(IF('3-Year P&amp;L'!$B$9="","",('3-Year P&amp;L'!$B$9+'3-Year P&amp;L'!$B$9*SUMPRODUCT('3-Year P&amp;L'!$E$10:$E$11,'3-Year P&amp;L'!$G$10:$G$11))*(C7*(1-MIN(30,'0. Assumptions'!$B$58)/30)+B7*MIN(30,'0. Assumptions'!$B$58)/30)),"")</f>
        <v>34080.20504058095</v>
      </c>
      <c r="D9" s="40">
        <f>IFERROR(IF('3-Year P&amp;L'!$B$9="","",('3-Year P&amp;L'!$B$9+'3-Year P&amp;L'!$B$9*SUMPRODUCT('3-Year P&amp;L'!$E$10:$E$11,'3-Year P&amp;L'!$G$10:$G$11))*(D7*(1-MIN(30,'0. Assumptions'!$B$58)/30)+C7*MIN(30,'0. Assumptions'!$B$58)/30)),"")</f>
        <v>45121.39427595044</v>
      </c>
      <c r="E9" s="40">
        <f>IFERROR(IF('3-Year P&amp;L'!$B$9="","",('3-Year P&amp;L'!$B$9+'3-Year P&amp;L'!$B$9*SUMPRODUCT('3-Year P&amp;L'!$E$10:$E$11,'3-Year P&amp;L'!$G$10:$G$11))*(E7*(1-MIN(30,'0. Assumptions'!$B$58)/30)+D7*MIN(30,'0. Assumptions'!$B$58)/30)),"")</f>
        <v>55744.05467748825</v>
      </c>
      <c r="F9" s="40">
        <f>IFERROR(IF('3-Year P&amp;L'!$B$9="","",('3-Year P&amp;L'!$B$9+'3-Year P&amp;L'!$B$9*SUMPRODUCT('3-Year P&amp;L'!$E$10:$E$11,'3-Year P&amp;L'!$G$10:$G$11))*(F7*(1-MIN(30,'0. Assumptions'!$B$58)/30)+E7*MIN(30,'0. Assumptions'!$B$58)/30)),"")</f>
        <v>52455.613840239224</v>
      </c>
      <c r="G9" s="40">
        <f>IFERROR(IF('3-Year P&amp;L'!$B$9="","",('3-Year P&amp;L'!$B$9+'3-Year P&amp;L'!$B$9*SUMPRODUCT('3-Year P&amp;L'!$E$10:$E$11,'3-Year P&amp;L'!$G$10:$G$11))*(G7*(1-MIN(30,'0. Assumptions'!$B$58)/30)+F7*MIN(30,'0. Assumptions'!$B$58)/30)),"")</f>
        <v>48270.32550192226</v>
      </c>
      <c r="H9" s="40">
        <f>IFERROR(IF('3-Year P&amp;L'!$B$9="","",('3-Year P&amp;L'!$B$9+'3-Year P&amp;L'!$B$9*SUMPRODUCT('3-Year P&amp;L'!$E$10:$E$11,'3-Year P&amp;L'!$G$10:$G$11))*(H7*(1-MIN(30,'0. Assumptions'!$B$58)/30)+G7*MIN(30,'0. Assumptions'!$B$58)/30)),"")</f>
        <v>64891.89918838103</v>
      </c>
      <c r="I9" s="40">
        <f>IFERROR(IF('3-Year P&amp;L'!$B$9="","",('3-Year P&amp;L'!$B$9+'3-Year P&amp;L'!$B$9*SUMPRODUCT('3-Year P&amp;L'!$E$10:$E$11,'3-Year P&amp;L'!$G$10:$G$11))*(I7*(1-MIN(30,'0. Assumptions'!$B$58)/30)+H7*MIN(30,'0. Assumptions'!$B$58)/30)),"")</f>
        <v>85379.88210166595</v>
      </c>
      <c r="J9" s="40">
        <f>IFERROR(IF('3-Year P&amp;L'!$B$9="","",('3-Year P&amp;L'!$B$9+'3-Year P&amp;L'!$B$9*SUMPRODUCT('3-Year P&amp;L'!$E$10:$E$11,'3-Year P&amp;L'!$G$10:$G$11))*(J7*(1-MIN(30,'0. Assumptions'!$B$58)/30)+I7*MIN(30,'0. Assumptions'!$B$58)/30)),"")</f>
        <v>80915.57454079454</v>
      </c>
      <c r="K9" s="40">
        <f>IFERROR(IF('3-Year P&amp;L'!$B$9="","",('3-Year P&amp;L'!$B$9+'3-Year P&amp;L'!$B$9*SUMPRODUCT('3-Year P&amp;L'!$E$10:$E$11,'3-Year P&amp;L'!$G$10:$G$11))*(K7*(1-MIN(30,'0. Assumptions'!$B$58)/30)+J7*MIN(30,'0. Assumptions'!$B$58)/30)),"")</f>
        <v>84542.82443400257</v>
      </c>
      <c r="L9" s="40">
        <f>IFERROR(IF('3-Year P&amp;L'!$B$9="","",('3-Year P&amp;L'!$B$9+'3-Year P&amp;L'!$B$9*SUMPRODUCT('3-Year P&amp;L'!$E$10:$E$11,'3-Year P&amp;L'!$G$10:$G$11))*(L7*(1-MIN(30,'0. Assumptions'!$B$58)/30)+K7*MIN(30,'0. Assumptions'!$B$58)/30)),"")</f>
        <v>67243.6326356258</v>
      </c>
      <c r="M9" s="40">
        <f>IFERROR(IF('3-Year P&amp;L'!$B$9="","",('3-Year P&amp;L'!$B$9+'3-Year P&amp;L'!$B$9*SUMPRODUCT('3-Year P&amp;L'!$E$10:$E$11,'3-Year P&amp;L'!$G$10:$G$11))*(M7*(1-MIN(30,'0. Assumptions'!$B$58)/30)+L7*MIN(30,'0. Assumptions'!$B$58)/30)),"")</f>
        <v>44085.0371636053</v>
      </c>
      <c r="N9" s="40">
        <f>IFERROR(IF('3-Year P&amp;L'!$B$9="","",SUM(B9:M9)),"")</f>
        <v>678355.5198633063</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-8194.122853481418</v>
      </c>
      <c r="C11" s="40">
        <f>IFERROR(IF('3-Year P&amp;L'!$B$9="","",-('3-Year P&amp;L'!$B$13*(1+'3-Year P&amp;L'!$G$13)+'3-Year P&amp;L'!$B$14*(1+'3-Year P&amp;L'!$G$14)+'3-Year P&amp;L'!$B$15*(1+'3-Year P&amp;L'!$G$15)+'3-Year P&amp;L'!$B$16*(1+'3-Year P&amp;L'!$G$16)+'3-Year P&amp;L'!$B$17*(1+'3-Year P&amp;L'!$G$17)+'3-Year P&amp;L'!$B$18*(1+'3-Year P&amp;L'!$G$18))*(C7*(1-MIN(30,'0. Assumptions'!$B$59)/30)+B7*MIN(30,'0. Assumptions'!$B$59)/30)),"")</f>
        <v>-13196.39128577531</v>
      </c>
      <c r="D11" s="40">
        <f>IFERROR(IF('3-Year P&amp;L'!$B$9="","",-('3-Year P&amp;L'!$B$13*(1+'3-Year P&amp;L'!$G$13)+'3-Year P&amp;L'!$B$14*(1+'3-Year P&amp;L'!$G$14)+'3-Year P&amp;L'!$B$15*(1+'3-Year P&amp;L'!$G$15)+'3-Year P&amp;L'!$B$16*(1+'3-Year P&amp;L'!$G$16)+'3-Year P&amp;L'!$B$17*(1+'3-Year P&amp;L'!$G$17)+'3-Year P&amp;L'!$B$18*(1+'3-Year P&amp;L'!$G$18))*(D7*(1-MIN(30,'0. Assumptions'!$B$59)/30)+C7*MIN(30,'0. Assumptions'!$B$59)/30)),"")</f>
        <v>-17555.199316531398</v>
      </c>
      <c r="E11" s="40">
        <f>IFERROR(IF('3-Year P&amp;L'!$B$9="","",-('3-Year P&amp;L'!$B$13*(1+'3-Year P&amp;L'!$G$13)+'3-Year P&amp;L'!$B$14*(1+'3-Year P&amp;L'!$G$14)+'3-Year P&amp;L'!$B$15*(1+'3-Year P&amp;L'!$G$15)+'3-Year P&amp;L'!$B$16*(1+'3-Year P&amp;L'!$G$16)+'3-Year P&amp;L'!$B$17*(1+'3-Year P&amp;L'!$G$17)+'3-Year P&amp;L'!$B$18*(1+'3-Year P&amp;L'!$G$18))*(E7*(1-MIN(30,'0. Assumptions'!$B$59)/30)+D7*MIN(30,'0. Assumptions'!$B$59)/30)),"")</f>
        <v>-21074.236992738148</v>
      </c>
      <c r="F11" s="40">
        <f>IFERROR(IF('3-Year P&amp;L'!$B$9="","",-('3-Year P&amp;L'!$B$13*(1+'3-Year P&amp;L'!$G$13)+'3-Year P&amp;L'!$B$14*(1+'3-Year P&amp;L'!$G$14)+'3-Year P&amp;L'!$B$15*(1+'3-Year P&amp;L'!$G$15)+'3-Year P&amp;L'!$B$16*(1+'3-Year P&amp;L'!$G$16)+'3-Year P&amp;L'!$B$17*(1+'3-Year P&amp;L'!$G$17)+'3-Year P&amp;L'!$B$18*(1+'3-Year P&amp;L'!$G$18))*(F7*(1-MIN(30,'0. Assumptions'!$B$59)/30)+E7*MIN(30,'0. Assumptions'!$B$59)/30)),"")</f>
        <v>-17965.99607005553</v>
      </c>
      <c r="G11" s="40">
        <f>IFERROR(IF('3-Year P&amp;L'!$B$9="","",-('3-Year P&amp;L'!$B$13*(1+'3-Year P&amp;L'!$G$13)+'3-Year P&amp;L'!$B$14*(1+'3-Year P&amp;L'!$G$14)+'3-Year P&amp;L'!$B$15*(1+'3-Year P&amp;L'!$G$15)+'3-Year P&amp;L'!$B$16*(1+'3-Year P&amp;L'!$G$16)+'3-Year P&amp;L'!$B$17*(1+'3-Year P&amp;L'!$G$17)+'3-Year P&amp;L'!$B$18*(1+'3-Year P&amp;L'!$G$18))*(G7*(1-MIN(30,'0. Assumptions'!$B$59)/30)+F7*MIN(30,'0. Assumptions'!$B$59)/30)),"")</f>
        <v>-17965.996070055535</v>
      </c>
      <c r="H11" s="40">
        <f>IFERROR(IF('3-Year P&amp;L'!$B$9="","",-('3-Year P&amp;L'!$B$13*(1+'3-Year P&amp;L'!$G$13)+'3-Year P&amp;L'!$B$14*(1+'3-Year P&amp;L'!$G$14)+'3-Year P&amp;L'!$B$15*(1+'3-Year P&amp;L'!$G$15)+'3-Year P&amp;L'!$B$16*(1+'3-Year P&amp;L'!$G$16)+'3-Year P&amp;L'!$B$17*(1+'3-Year P&amp;L'!$G$17)+'3-Year P&amp;L'!$B$18*(1+'3-Year P&amp;L'!$G$18))*(H7*(1-MIN(30,'0. Assumptions'!$B$59)/30)+G7*MIN(30,'0. Assumptions'!$B$59)/30)),"")</f>
        <v>-26014.704143528408</v>
      </c>
      <c r="I11" s="40">
        <f>IFERROR(IF('3-Year P&amp;L'!$B$9="","",-('3-Year P&amp;L'!$B$13*(1+'3-Year P&amp;L'!$G$13)+'3-Year P&amp;L'!$B$14*(1+'3-Year P&amp;L'!$G$14)+'3-Year P&amp;L'!$B$15*(1+'3-Year P&amp;L'!$G$15)+'3-Year P&amp;L'!$B$16*(1+'3-Year P&amp;L'!$G$16)+'3-Year P&amp;L'!$B$17*(1+'3-Year P&amp;L'!$G$17)+'3-Year P&amp;L'!$B$18*(1+'3-Year P&amp;L'!$G$18))*(I7*(1-MIN(30,'0. Assumptions'!$B$59)/30)+H7*MIN(30,'0. Assumptions'!$B$59)/30)),"")</f>
        <v>-32369.330029901743</v>
      </c>
      <c r="J11" s="40">
        <f>IFERROR(IF('3-Year P&amp;L'!$B$9="","",-('3-Year P&amp;L'!$B$13*(1+'3-Year P&amp;L'!$G$13)+'3-Year P&amp;L'!$B$14*(1+'3-Year P&amp;L'!$G$14)+'3-Year P&amp;L'!$B$15*(1+'3-Year P&amp;L'!$G$15)+'3-Year P&amp;L'!$B$16*(1+'3-Year P&amp;L'!$G$16)+'3-Year P&amp;L'!$B$17*(1+'3-Year P&amp;L'!$G$17)+'3-Year P&amp;L'!$B$18*(1+'3-Year P&amp;L'!$G$18))*(J7*(1-MIN(30,'0. Assumptions'!$B$59)/30)+I7*MIN(30,'0. Assumptions'!$B$59)/30)),"")</f>
        <v>-27737.869286629644</v>
      </c>
      <c r="K11" s="40">
        <f>IFERROR(IF('3-Year P&amp;L'!$B$9="","",-('3-Year P&amp;L'!$B$13*(1+'3-Year P&amp;L'!$G$13)+'3-Year P&amp;L'!$B$14*(1+'3-Year P&amp;L'!$G$14)+'3-Year P&amp;L'!$B$15*(1+'3-Year P&amp;L'!$G$15)+'3-Year P&amp;L'!$B$16*(1+'3-Year P&amp;L'!$G$16)+'3-Year P&amp;L'!$B$17*(1+'3-Year P&amp;L'!$G$17)+'3-Year P&amp;L'!$B$18*(1+'3-Year P&amp;L'!$G$18))*(K7*(1-MIN(30,'0. Assumptions'!$B$59)/30)+J7*MIN(30,'0. Assumptions'!$B$59)/30)),"")</f>
        <v>-32980.07210593763</v>
      </c>
      <c r="L11" s="40">
        <f>IFERROR(IF('3-Year P&amp;L'!$B$9="","",-('3-Year P&amp;L'!$B$13*(1+'3-Year P&amp;L'!$G$13)+'3-Year P&amp;L'!$B$14*(1+'3-Year P&amp;L'!$G$14)+'3-Year P&amp;L'!$B$15*(1+'3-Year P&amp;L'!$G$15)+'3-Year P&amp;L'!$B$16*(1+'3-Year P&amp;L'!$G$16)+'3-Year P&amp;L'!$B$17*(1+'3-Year P&amp;L'!$G$17)+'3-Year P&amp;L'!$B$18*(1+'3-Year P&amp;L'!$G$18))*(L7*(1-MIN(30,'0. Assumptions'!$B$59)/30)+K7*MIN(30,'0. Assumptions'!$B$59)/30)),"")</f>
        <v>-19900.012644169157</v>
      </c>
      <c r="M11" s="40">
        <f>IFERROR(IF('3-Year P&amp;L'!$B$9="","",-('3-Year P&amp;L'!$B$13*(1+'3-Year P&amp;L'!$G$13)+'3-Year P&amp;L'!$B$14*(1+'3-Year P&amp;L'!$G$14)+'3-Year P&amp;L'!$B$15*(1+'3-Year P&amp;L'!$G$15)+'3-Year P&amp;L'!$B$16*(1+'3-Year P&amp;L'!$G$16)+'3-Year P&amp;L'!$B$17*(1+'3-Year P&amp;L'!$G$17)+'3-Year P&amp;L'!$B$18*(1+'3-Year P&amp;L'!$G$18))*(M7*(1-MIN(30,'0. Assumptions'!$B$59)/30)+L7*MIN(30,'0. Assumptions'!$B$59)/30)),"")</f>
        <v>-16439.140879965824</v>
      </c>
      <c r="N11" s="40">
        <f>IFERROR(IF('3-Year P&amp;L'!$B$9="","",SUM(B11:M11)),"")</f>
        <v>-251393.07167876972</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-6266.666666666669</v>
      </c>
      <c r="C12" s="40">
        <f>IFERROR(IF('3-Year P&amp;L'!$B$9="","",-('3-Year P&amp;L'!$B$38-'3-Year P&amp;L'!$B$23-'3-Year P&amp;L'!$B$36-'3-Year P&amp;L'!$B$37+'3-Year P&amp;L'!$B$40)/12),"")</f>
        <v>-6266.666666666669</v>
      </c>
      <c r="D12" s="40">
        <f>IFERROR(IF('3-Year P&amp;L'!$B$9="","",-('3-Year P&amp;L'!$B$38-'3-Year P&amp;L'!$B$23-'3-Year P&amp;L'!$B$36-'3-Year P&amp;L'!$B$37+'3-Year P&amp;L'!$B$40)/12),"")</f>
        <v>-6266.666666666669</v>
      </c>
      <c r="E12" s="40">
        <f>IFERROR(IF('3-Year P&amp;L'!$B$9="","",-('3-Year P&amp;L'!$B$38-'3-Year P&amp;L'!$B$23-'3-Year P&amp;L'!$B$36-'3-Year P&amp;L'!$B$37+'3-Year P&amp;L'!$B$40)/12),"")</f>
        <v>-6266.666666666669</v>
      </c>
      <c r="F12" s="40">
        <f>IFERROR(IF('3-Year P&amp;L'!$B$9="","",-('3-Year P&amp;L'!$B$38-'3-Year P&amp;L'!$B$23-'3-Year P&amp;L'!$B$36-'3-Year P&amp;L'!$B$37+'3-Year P&amp;L'!$B$40)/12),"")</f>
        <v>-6266.666666666669</v>
      </c>
      <c r="G12" s="40">
        <f>IFERROR(IF('3-Year P&amp;L'!$B$9="","",-('3-Year P&amp;L'!$B$38-'3-Year P&amp;L'!$B$23-'3-Year P&amp;L'!$B$36-'3-Year P&amp;L'!$B$37+'3-Year P&amp;L'!$B$40)/12),"")</f>
        <v>-6266.666666666669</v>
      </c>
      <c r="H12" s="40">
        <f>IFERROR(IF('3-Year P&amp;L'!$B$9="","",-('3-Year P&amp;L'!$B$38-'3-Year P&amp;L'!$B$23-'3-Year P&amp;L'!$B$36-'3-Year P&amp;L'!$B$37+'3-Year P&amp;L'!$B$40)/12),"")</f>
        <v>-6266.666666666669</v>
      </c>
      <c r="I12" s="40">
        <f>IFERROR(IF('3-Year P&amp;L'!$B$9="","",-('3-Year P&amp;L'!$B$38-'3-Year P&amp;L'!$B$23-'3-Year P&amp;L'!$B$36-'3-Year P&amp;L'!$B$37+'3-Year P&amp;L'!$B$40)/12),"")</f>
        <v>-6266.666666666669</v>
      </c>
      <c r="J12" s="40">
        <f>IFERROR(IF('3-Year P&amp;L'!$B$9="","",-('3-Year P&amp;L'!$B$38-'3-Year P&amp;L'!$B$23-'3-Year P&amp;L'!$B$36-'3-Year P&amp;L'!$B$37+'3-Year P&amp;L'!$B$40)/12),"")</f>
        <v>-6266.666666666669</v>
      </c>
      <c r="K12" s="40">
        <f>IFERROR(IF('3-Year P&amp;L'!$B$9="","",-('3-Year P&amp;L'!$B$38-'3-Year P&amp;L'!$B$23-'3-Year P&amp;L'!$B$36-'3-Year P&amp;L'!$B$37+'3-Year P&amp;L'!$B$40)/12),"")</f>
        <v>-6266.666666666669</v>
      </c>
      <c r="L12" s="40">
        <f>IFERROR(IF('3-Year P&amp;L'!$B$9="","",-('3-Year P&amp;L'!$B$38-'3-Year P&amp;L'!$B$23-'3-Year P&amp;L'!$B$36-'3-Year P&amp;L'!$B$37+'3-Year P&amp;L'!$B$40)/12),"")</f>
        <v>-6266.666666666669</v>
      </c>
      <c r="M12" s="40">
        <f>IFERROR(IF('3-Year P&amp;L'!$B$9="","",-('3-Year P&amp;L'!$B$38-'3-Year P&amp;L'!$B$23-'3-Year P&amp;L'!$B$36-'3-Year P&amp;L'!$B$37+'3-Year P&amp;L'!$B$40)/12),"")</f>
        <v>-6266.666666666669</v>
      </c>
      <c r="N12" s="40">
        <f>IFERROR(IF('3-Year P&amp;L'!$B$9="","",SUM(B12:M12)),"")</f>
        <v>-75200.00000000003</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-18601.0</v>
      </c>
      <c r="C13" s="40">
        <f>IFERROR(IF('3-Year P&amp;L'!$B$9="","",-'3-Year P&amp;L'!$B$23/MAX(12,'0. Assumptions'!$B$21)*(1+IF(2='0. Assumptions'!$B$60,(MAX(12,'0. Assumptions'!$B$21)-12)/2,0)+IF(2='0. Assumptions'!$B$61,(MAX(12,'0. Assumptions'!$B$21)-12)/2,0))),"")</f>
        <v>-18601.0</v>
      </c>
      <c r="D13" s="40">
        <f>IFERROR(IF('3-Year P&amp;L'!$B$9="","",-'3-Year P&amp;L'!$B$23/MAX(12,'0. Assumptions'!$B$21)*(1+IF(3='0. Assumptions'!$B$60,(MAX(12,'0. Assumptions'!$B$21)-12)/2,0)+IF(3='0. Assumptions'!$B$61,(MAX(12,'0. Assumptions'!$B$21)-12)/2,0))),"")</f>
        <v>-18601.0</v>
      </c>
      <c r="E13" s="40">
        <f>IFERROR(IF('3-Year P&amp;L'!$B$9="","",-'3-Year P&amp;L'!$B$23/MAX(12,'0. Assumptions'!$B$21)*(1+IF(4='0. Assumptions'!$B$60,(MAX(12,'0. Assumptions'!$B$21)-12)/2,0)+IF(4='0. Assumptions'!$B$61,(MAX(12,'0. Assumptions'!$B$21)-12)/2,0))),"")</f>
        <v>-18601.0</v>
      </c>
      <c r="F13" s="40">
        <f>IFERROR(IF('3-Year P&amp;L'!$B$9="","",-'3-Year P&amp;L'!$B$23/MAX(12,'0. Assumptions'!$B$21)*(1+IF(5='0. Assumptions'!$B$60,(MAX(12,'0. Assumptions'!$B$21)-12)/2,0)+IF(5='0. Assumptions'!$B$61,(MAX(12,'0. Assumptions'!$B$21)-12)/2,0))),"")</f>
        <v>-18601.0</v>
      </c>
      <c r="G13" s="40">
        <f>IFERROR(IF('3-Year P&amp;L'!$B$9="","",-'3-Year P&amp;L'!$B$23/MAX(12,'0. Assumptions'!$B$21)*(1+IF(6='0. Assumptions'!$B$60,(MAX(12,'0. Assumptions'!$B$21)-12)/2,0)+IF(6='0. Assumptions'!$B$61,(MAX(12,'0. Assumptions'!$B$21)-12)/2,0))),"")</f>
        <v>-18601.0</v>
      </c>
      <c r="H13" s="40">
        <f>IFERROR(IF('3-Year P&amp;L'!$B$9="","",-'3-Year P&amp;L'!$B$23/MAX(12,'0. Assumptions'!$B$21)*(1+IF(7='0. Assumptions'!$B$60,(MAX(12,'0. Assumptions'!$B$21)-12)/2,0)+IF(7='0. Assumptions'!$B$61,(MAX(12,'0. Assumptions'!$B$21)-12)/2,0))),"")</f>
        <v>-18601.0</v>
      </c>
      <c r="I13" s="40">
        <f>IFERROR(IF('3-Year P&amp;L'!$B$9="","",-'3-Year P&amp;L'!$B$23/MAX(12,'0. Assumptions'!$B$21)*(1+IF(8='0. Assumptions'!$B$60,(MAX(12,'0. Assumptions'!$B$21)-12)/2,0)+IF(8='0. Assumptions'!$B$61,(MAX(12,'0. Assumptions'!$B$21)-12)/2,0))),"")</f>
        <v>-18601.0</v>
      </c>
      <c r="J13" s="40">
        <f>IFERROR(IF('3-Year P&amp;L'!$B$9="","",-'3-Year P&amp;L'!$B$23/MAX(12,'0. Assumptions'!$B$21)*(1+IF(9='0. Assumptions'!$B$60,(MAX(12,'0. Assumptions'!$B$21)-12)/2,0)+IF(9='0. Assumptions'!$B$61,(MAX(12,'0. Assumptions'!$B$21)-12)/2,0))),"")</f>
        <v>-18601.0</v>
      </c>
      <c r="K13" s="40">
        <f>IFERROR(IF('3-Year P&amp;L'!$B$9="","",-'3-Year P&amp;L'!$B$23/MAX(12,'0. Assumptions'!$B$21)*(1+IF(10='0. Assumptions'!$B$60,(MAX(12,'0. Assumptions'!$B$21)-12)/2,0)+IF(10='0. Assumptions'!$B$61,(MAX(12,'0. Assumptions'!$B$21)-12)/2,0))),"")</f>
        <v>-18601.0</v>
      </c>
      <c r="L13" s="40">
        <f>IFERROR(IF('3-Year P&amp;L'!$B$9="","",-'3-Year P&amp;L'!$B$23/MAX(12,'0. Assumptions'!$B$21)*(1+IF(11='0. Assumptions'!$B$60,(MAX(12,'0. Assumptions'!$B$21)-12)/2,0)+IF(11='0. Assumptions'!$B$61,(MAX(12,'0. Assumptions'!$B$21)-12)/2,0))),"")</f>
        <v>-18601.0</v>
      </c>
      <c r="M13" s="40">
        <f>IFERROR(IF('3-Year P&amp;L'!$B$9="","",-'3-Year P&amp;L'!$B$23/MAX(12,'0. Assumptions'!$B$21)*(1+IF(12='0. Assumptions'!$B$60,(MAX(12,'0. Assumptions'!$B$21)-12)/2,0)+IF(12='0. Assumptions'!$B$61,(MAX(12,'0. Assumptions'!$B$21)-12)/2,0))),"")</f>
        <v>-18601.0</v>
      </c>
      <c r="N13" s="40">
        <f>IFERROR(IF('3-Year P&amp;L'!$B$9="","",SUM(B13:M13)),"")</f>
        <v>-223212.0</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-1216.6666666666667</v>
      </c>
      <c r="C14" s="40">
        <f>IFERROR(IF('3-Year P&amp;L'!$B$9="","",-Financing!$B$44/12),"")</f>
        <v>-1216.6666666666667</v>
      </c>
      <c r="D14" s="40">
        <f>IFERROR(IF('3-Year P&amp;L'!$B$9="","",-Financing!$B$44/12),"")</f>
        <v>-1216.6666666666667</v>
      </c>
      <c r="E14" s="40">
        <f>IFERROR(IF('3-Year P&amp;L'!$B$9="","",-Financing!$B$44/12),"")</f>
        <v>-1216.6666666666667</v>
      </c>
      <c r="F14" s="40">
        <f>IFERROR(IF('3-Year P&amp;L'!$B$9="","",-Financing!$B$44/12),"")</f>
        <v>-1216.6666666666667</v>
      </c>
      <c r="G14" s="40">
        <f>IFERROR(IF('3-Year P&amp;L'!$B$9="","",-Financing!$B$44/12),"")</f>
        <v>-1216.6666666666667</v>
      </c>
      <c r="H14" s="40">
        <f>IFERROR(IF('3-Year P&amp;L'!$B$9="","",-Financing!$B$44/12),"")</f>
        <v>-1216.6666666666667</v>
      </c>
      <c r="I14" s="40">
        <f>IFERROR(IF('3-Year P&amp;L'!$B$9="","",-Financing!$B$44/12),"")</f>
        <v>-1216.6666666666667</v>
      </c>
      <c r="J14" s="40">
        <f>IFERROR(IF('3-Year P&amp;L'!$B$9="","",-Financing!$B$44/12),"")</f>
        <v>-1216.6666666666667</v>
      </c>
      <c r="K14" s="40">
        <f>IFERROR(IF('3-Year P&amp;L'!$B$9="","",-Financing!$B$44/12),"")</f>
        <v>-1216.6666666666667</v>
      </c>
      <c r="L14" s="40">
        <f>IFERROR(IF('3-Year P&amp;L'!$B$9="","",-Financing!$B$44/12),"")</f>
        <v>-1216.6666666666667</v>
      </c>
      <c r="M14" s="40">
        <f>IFERROR(IF('3-Year P&amp;L'!$B$9="","",-Financing!$B$44/12),"")</f>
        <v>-1216.6666666666667</v>
      </c>
      <c r="N14" s="40">
        <f>IFERROR(IF('3-Year P&amp;L'!$B$9="","",SUM(B14:M14)),"")</f>
        <v>-14600.0</v>
      </c>
      <c r="O14" s="28" t="n"/>
    </row>
    <row r="15">
      <c r="A15" s="28" t="inlineStr">
        <is>
          <t>Loan principal repaid</t>
        </is>
      </c>
      <c r="B15" s="40">
        <f>IFERROR(IF('3-Year P&amp;L'!$B$9="","",-Financing!$B$45/12),"")</f>
        <v>-1282.433579690579</v>
      </c>
      <c r="C15" s="40">
        <f>IFERROR(IF('3-Year P&amp;L'!$B$9="","",-Financing!$B$45/12),"")</f>
        <v>-1282.433579690579</v>
      </c>
      <c r="D15" s="40">
        <f>IFERROR(IF('3-Year P&amp;L'!$B$9="","",-Financing!$B$45/12),"")</f>
        <v>-1282.433579690579</v>
      </c>
      <c r="E15" s="40">
        <f>IFERROR(IF('3-Year P&amp;L'!$B$9="","",-Financing!$B$45/12),"")</f>
        <v>-1282.433579690579</v>
      </c>
      <c r="F15" s="40">
        <f>IFERROR(IF('3-Year P&amp;L'!$B$9="","",-Financing!$B$45/12),"")</f>
        <v>-1282.433579690579</v>
      </c>
      <c r="G15" s="40">
        <f>IFERROR(IF('3-Year P&amp;L'!$B$9="","",-Financing!$B$45/12),"")</f>
        <v>-1282.433579690579</v>
      </c>
      <c r="H15" s="40">
        <f>IFERROR(IF('3-Year P&amp;L'!$B$9="","",-Financing!$B$45/12),"")</f>
        <v>-1282.433579690579</v>
      </c>
      <c r="I15" s="40">
        <f>IFERROR(IF('3-Year P&amp;L'!$B$9="","",-Financing!$B$45/12),"")</f>
        <v>-1282.433579690579</v>
      </c>
      <c r="J15" s="40">
        <f>IFERROR(IF('3-Year P&amp;L'!$B$9="","",-Financing!$B$45/12),"")</f>
        <v>-1282.433579690579</v>
      </c>
      <c r="K15" s="40">
        <f>IFERROR(IF('3-Year P&amp;L'!$B$9="","",-Financing!$B$45/12),"")</f>
        <v>-1282.433579690579</v>
      </c>
      <c r="L15" s="40">
        <f>IFERROR(IF('3-Year P&amp;L'!$B$9="","",-Financing!$B$45/12),"")</f>
        <v>-1282.433579690579</v>
      </c>
      <c r="M15" s="40">
        <f>IFERROR(IF('3-Year P&amp;L'!$B$9="","",-Financing!$B$45/12),"")</f>
        <v>-1282.433579690579</v>
      </c>
      <c r="N15" s="40">
        <f>IFERROR(IF('3-Year P&amp;L'!$B$9="","",SUM(B15:M15)),"")</f>
        <v>-15389.20295628695</v>
      </c>
      <c r="O15" s="28" t="n"/>
    </row>
    <row r="16">
      <c r="A16" s="28" t="inlineStr">
        <is>
          <t>Sales tax collected (memo)</t>
        </is>
      </c>
      <c r="B16" s="40">
        <f>IFERROR(IF('3-Year P&amp;L'!$B$9="","",'3-Year P&amp;L'!$B$9*B7*SUMPRODUCT('3-Year P&amp;L'!$E$10:$E$11,'3-Year P&amp;L'!$G$10:$G$11)),"")</f>
        <v>2170.1495087569415</v>
      </c>
      <c r="C16" s="40">
        <f>IFERROR(IF('3-Year P&amp;L'!$B$9="","",'3-Year P&amp;L'!$B$9*C7*SUMPRODUCT('3-Year P&amp;L'!$E$10:$E$11,'3-Year P&amp;L'!$G$10:$G$11)),"")</f>
        <v>2834.480991029475</v>
      </c>
      <c r="D16" s="40">
        <f>IFERROR(IF('3-Year P&amp;L'!$B$9="","",'3-Year P&amp;L'!$B$9*D7*SUMPRODUCT('3-Year P&amp;L'!$E$10:$E$11,'3-Year P&amp;L'!$G$10:$G$11)),"")</f>
        <v>3786.689448953439</v>
      </c>
      <c r="E16" s="40">
        <f>IFERROR(IF('3-Year P&amp;L'!$B$9="","",'3-Year P&amp;L'!$B$9*E7*SUMPRODUCT('3-Year P&amp;L'!$E$10:$E$11,'3-Year P&amp;L'!$G$10:$G$11)),"")</f>
        <v>4428.876548483555</v>
      </c>
      <c r="F16" s="40">
        <f>IFERROR(IF('3-Year P&amp;L'!$B$9="","",'3-Year P&amp;L'!$B$9*F7*SUMPRODUCT('3-Year P&amp;L'!$E$10:$E$11,'3-Year P&amp;L'!$G$10:$G$11)),"")</f>
        <v>3410.2349423323376</v>
      </c>
      <c r="G16" s="40">
        <f>IFERROR(IF('3-Year P&amp;L'!$B$9="","",'3-Year P&amp;L'!$B$9*G7*SUMPRODUCT('3-Year P&amp;L'!$E$10:$E$11,'3-Year P&amp;L'!$G$10:$G$11)),"")</f>
        <v>3720.256300726186</v>
      </c>
      <c r="H16" s="40">
        <f>IFERROR(IF('3-Year P&amp;L'!$B$9="","",'3-Year P&amp;L'!$B$9*H7*SUMPRODUCT('3-Year P&amp;L'!$E$10:$E$11,'3-Year P&amp;L'!$G$10:$G$11)),"")</f>
        <v>5757.539513028621</v>
      </c>
      <c r="I16" s="40">
        <f>IFERROR(IF('3-Year P&amp;L'!$B$9="","",'3-Year P&amp;L'!$B$9*I7*SUMPRODUCT('3-Year P&amp;L'!$E$10:$E$11,'3-Year P&amp;L'!$G$10:$G$11)),"")</f>
        <v>6820.4698846646725</v>
      </c>
      <c r="J16" s="40">
        <f>IFERROR(IF('3-Year P&amp;L'!$B$9="","",'3-Year P&amp;L'!$B$9*J7*SUMPRODUCT('3-Year P&amp;L'!$E$10:$E$11,'3-Year P&amp;L'!$G$10:$G$11)),"")</f>
        <v>5270.36309269543</v>
      </c>
      <c r="K16" s="40">
        <f>IFERROR(IF('3-Year P&amp;L'!$B$9="","",'3-Year P&amp;L'!$B$9*K7*SUMPRODUCT('3-Year P&amp;L'!$E$10:$E$11,'3-Year P&amp;L'!$G$10:$G$11)),"")</f>
        <v>7130.491243058523</v>
      </c>
      <c r="L16" s="40">
        <f>IFERROR(IF('3-Year P&amp;L'!$B$9="","",'3-Year P&amp;L'!$B$9*L7*SUMPRODUCT('3-Year P&amp;L'!$E$10:$E$11,'3-Year P&amp;L'!$G$10:$G$11)),"")</f>
        <v>3100.2135839384882</v>
      </c>
      <c r="M16" s="40">
        <f>IFERROR(IF('3-Year P&amp;L'!$B$9="","",'3-Year P&amp;L'!$B$9*M7*SUMPRODUCT('3-Year P&amp;L'!$E$10:$E$11,'3-Year P&amp;L'!$G$10:$G$11)),"")</f>
        <v>3410.2349423323362</v>
      </c>
      <c r="N16" s="40">
        <f>IFERROR(IF('3-Year P&amp;L'!$B$9="","",SUM(B16:M16)),"")</f>
        <v>51840.00000000001</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8791.319948739856</v>
      </c>
      <c r="F19" s="28" t="n"/>
      <c r="G19" s="28" t="n"/>
      <c r="H19" s="40">
        <f>IFERROR(IF('3-Year P&amp;L'!$B$9="","",SUM(E16:G16)-SUM(E17:G17)-H18),"")</f>
        <v>11559.367791542078</v>
      </c>
      <c r="I19" s="28" t="n"/>
      <c r="J19" s="28" t="n"/>
      <c r="K19" s="40">
        <f>IFERROR(IF('3-Year P&amp;L'!$B$9="","",SUM(H16:J16)-SUM(H17:J17)-K18),"")</f>
        <v>17848.372490388723</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-8791.319948739856</v>
      </c>
      <c r="F20" s="28" t="n"/>
      <c r="G20" s="28" t="n"/>
      <c r="H20" s="40">
        <f>IFERROR(IF('3-Year P&amp;L'!$B$9="","",IF(H19&lt;=0,"",-H19)),"")</f>
        <v>-11559.367791542078</v>
      </c>
      <c r="I20" s="28" t="n"/>
      <c r="J20" s="28" t="n"/>
      <c r="K20" s="40">
        <f>IFERROR(IF('3-Year P&amp;L'!$B$9="","",IF(K19&lt;=0,"",-K19)),"")</f>
        <v>-17848.372490388723</v>
      </c>
      <c r="L20" s="28" t="n"/>
      <c r="M20" s="28" t="n"/>
      <c r="N20" s="40">
        <f>IFERROR(IF('3-Year P&amp;L'!$B$9="","",SUM(B20:M20)),"")</f>
        <v>-38199.06023067066</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-19935.813303455354</v>
      </c>
      <c r="C21" s="66">
        <f>IFERROR(IF('3-Year P&amp;L'!$B$9="","",SUM(C9:C15)+IF(C20="",0,C20)),"")</f>
        <v>-6482.9531582182735</v>
      </c>
      <c r="D21" s="66">
        <f>IFERROR(IF('3-Year P&amp;L'!$B$9="","",SUM(D9:D15)+IF(D20="",0,D20)),"")</f>
        <v>199.42804639513088</v>
      </c>
      <c r="E21" s="66">
        <f>IFERROR(IF('3-Year P&amp;L'!$B$9="","",SUM(E9:E15)+IF(E20="",0,E20)),"")</f>
        <v>-1488.269177013667</v>
      </c>
      <c r="F21" s="66">
        <f>IFERROR(IF('3-Year P&amp;L'!$B$9="","",SUM(F9:F15)+IF(F20="",0,F20)),"")</f>
        <v>7122.85085715978</v>
      </c>
      <c r="G21" s="66">
        <f>IFERROR(IF('3-Year P&amp;L'!$B$9="","",SUM(G9:G15)+IF(G20="",0,G20)),"")</f>
        <v>2937.562518842815</v>
      </c>
      <c r="H21" s="66">
        <f>IFERROR(IF('3-Year P&amp;L'!$B$9="","",SUM(H9:H15)+IF(H20="",0,H20)),"")</f>
        <v>-48.93965971337275</v>
      </c>
      <c r="I21" s="66">
        <f>IFERROR(IF('3-Year P&amp;L'!$B$9="","",SUM(I9:I15)+IF(I20="",0,I20)),"")</f>
        <v>25643.785158740287</v>
      </c>
      <c r="J21" s="66">
        <f>IFERROR(IF('3-Year P&amp;L'!$B$9="","",SUM(J9:J15)+IF(J20="",0,J20)),"")</f>
        <v>25810.93834114097</v>
      </c>
      <c r="K21" s="66">
        <f>IFERROR(IF('3-Year P&amp;L'!$B$9="","",SUM(K9:K15)+IF(K20="",0,K20)),"")</f>
        <v>6347.612924652298</v>
      </c>
      <c r="L21" s="66">
        <f>IFERROR(IF('3-Year P&amp;L'!$B$9="","",SUM(L9:L15)+IF(L20="",0,L20)),"")</f>
        <v>19976.853078432734</v>
      </c>
      <c r="M21" s="66">
        <f>IFERROR(IF('3-Year P&amp;L'!$B$9="","",SUM(M9:M15)+IF(M20="",0,M20)),"")</f>
        <v>279.12937061556477</v>
      </c>
      <c r="N21" s="66">
        <f>IFERROR(IF('3-Year P&amp;L'!$B$9="","",SUM(B21:M21)),"")</f>
        <v>60362.1849975789</v>
      </c>
      <c r="O21" s="28" t="n"/>
    </row>
    <row r="22">
      <c r="A22" s="25" t="inlineStr">
        <is>
          <t>CUMULATIVE CASH BALANCE</t>
        </is>
      </c>
      <c r="B22" s="66">
        <f>IFERROR(IF('3-Year P&amp;L'!$B$9="","",'Startup Costs'!$B$25+B21),"")</f>
        <v>58317.186696544646</v>
      </c>
      <c r="C22" s="66">
        <f>IFERROR(IF('3-Year P&amp;L'!$B$9="","",B22+C21),"")</f>
        <v>51834.23353832637</v>
      </c>
      <c r="D22" s="66">
        <f>IFERROR(IF('3-Year P&amp;L'!$B$9="","",C22+D21),"")</f>
        <v>52033.6615847215</v>
      </c>
      <c r="E22" s="66">
        <f>IFERROR(IF('3-Year P&amp;L'!$B$9="","",D22+E21),"")</f>
        <v>50545.39240770783</v>
      </c>
      <c r="F22" s="66">
        <f>IFERROR(IF('3-Year P&amp;L'!$B$9="","",E22+F21),"")</f>
        <v>57668.24326486761</v>
      </c>
      <c r="G22" s="66">
        <f>IFERROR(IF('3-Year P&amp;L'!$B$9="","",F22+G21),"")</f>
        <v>60605.80578371043</v>
      </c>
      <c r="H22" s="66">
        <f>IFERROR(IF('3-Year P&amp;L'!$B$9="","",G22+H21),"")</f>
        <v>60556.86612399705</v>
      </c>
      <c r="I22" s="66">
        <f>IFERROR(IF('3-Year P&amp;L'!$B$9="","",H22+I21),"")</f>
        <v>86200.65128273734</v>
      </c>
      <c r="J22" s="66">
        <f>IFERROR(IF('3-Year P&amp;L'!$B$9="","",I22+J21),"")</f>
        <v>112011.5896238783</v>
      </c>
      <c r="K22" s="66">
        <f>IFERROR(IF('3-Year P&amp;L'!$B$9="","",J22+K21),"")</f>
        <v>118359.2025485306</v>
      </c>
      <c r="L22" s="66">
        <f>IFERROR(IF('3-Year P&amp;L'!$B$9="","",K22+L21),"")</f>
        <v>138336.05562696332</v>
      </c>
      <c r="M22" s="66">
        <f>IFERROR(IF('3-Year P&amp;L'!$B$9="","",L22+M21),"")</f>
        <v>138615.18499757888</v>
      </c>
      <c r="N22" s="28" t="n"/>
      <c r="O22" s="28" t="n"/>
    </row>
    <row r="23">
      <c r="A23" s="28" t="inlineStr">
        <is>
          <t>Minimum balance of the year</t>
        </is>
      </c>
      <c r="B23" s="40">
        <f>IFERROR(IF('3-Year P&amp;L'!$B$9="","",IF(COUNT(B22:M22)=0,"",MIN(B22:M22))),"")</f>
        <v>50545.39240770783</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78120.5714285714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115913.24135466422</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143359.37827336637</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90351.38795386587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185453.0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1.9</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1.3</v>
      </c>
      <c r="C32" s="28" t="n"/>
      <c r="D32" s="28" t="inlineStr">
        <is>
          <t>The same calculation on what you BUY (van, upfit,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40000.0</v>
      </c>
      <c r="C6" s="28" t="n"/>
      <c r="D6" s="28" t="n"/>
      <c r="E6" s="28" t="n"/>
      <c r="F6" s="28" t="n"/>
      <c r="G6" s="28" t="n"/>
      <c r="H6" s="28" t="n"/>
    </row>
    <row r="7">
      <c r="A7" s="28" t="inlineStr">
        <is>
          <t>Loan requested — bank or SBA 7(a) (amortized below)</t>
        </is>
      </c>
      <c r="B7" s="40">
        <f>IFERROR(IF('0. Assumptions'!$B$31="","",'0. Assumptions'!$B$31),"")</f>
        <v>146000.0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186000.0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185453.0</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547.0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0.0029495343833747635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145453.0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146000.0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29989.20295628695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146000.0</v>
      </c>
      <c r="C27" s="61">
        <f>IFERROR(IF(OR(1&gt;B22,B27=""),"",B27*B21),"")</f>
        <v>14600.0</v>
      </c>
      <c r="D27" s="61">
        <f>IFERROR(IF(OR(1&gt;B22,B27=""),"",IF(1&lt;=B23,0,MIN(B27,B24-C27))),"")</f>
        <v>15389.20295628695</v>
      </c>
      <c r="E27" s="61">
        <f>IFERROR(IF(C27="","",C27+D27),"")</f>
        <v>29989.20295628695</v>
      </c>
      <c r="F27" s="61">
        <f>IFERROR(IF(D27="","",B27-D27),"")</f>
        <v>130610.79704371304</v>
      </c>
      <c r="G27" s="61">
        <f>IFERROR(IF(E27="","",'3-Year P&amp;L'!$B$41-'3-Year P&amp;L'!$B$46+'3-Year P&amp;L'!$B$36+'3-Year P&amp;L'!$B$37),"")</f>
        <v>78120.5714285714</v>
      </c>
      <c r="H27" s="61">
        <f>IFERROR(IF(OR(E27="",E27=0),"",G27/E27),"")</f>
        <v>2.6049565752861787</v>
      </c>
    </row>
    <row r="28">
      <c r="A28" s="40" t="n">
        <v>2</v>
      </c>
      <c r="B28" s="61">
        <f>IFERROR(IF(OR(2&gt;B22,F27=""),"",F27),"")</f>
        <v>130610.79704371304</v>
      </c>
      <c r="C28" s="61">
        <f>IFERROR(IF(OR(2&gt;B22,B28=""),"",B28*B21),"")</f>
        <v>13061.079704371305</v>
      </c>
      <c r="D28" s="61">
        <f>IFERROR(IF(OR(2&gt;B22,B28=""),"",IF(2&lt;=B23,0,MIN(B28,B24-C28))),"")</f>
        <v>16928.123251915647</v>
      </c>
      <c r="E28" s="61">
        <f>IFERROR(IF(C28="","",C28+D28),"")</f>
        <v>29989.20295628695</v>
      </c>
      <c r="F28" s="61">
        <f>IFERROR(IF(D28="","",B28-D28),"")</f>
        <v>113682.6737917974</v>
      </c>
      <c r="G28" s="61">
        <f>IFERROR(IF(E28="","",'3-Year P&amp;L'!$C$41-'3-Year P&amp;L'!$C$46+'3-Year P&amp;L'!$C$36+'3-Year P&amp;L'!$C$37),"")</f>
        <v>115913.24135466422</v>
      </c>
      <c r="H28" s="61">
        <f>IFERROR(IF(OR(E28="",E28=0),"",G28/E28),"")</f>
        <v>3.865165790622125</v>
      </c>
    </row>
    <row r="29">
      <c r="A29" s="40" t="n">
        <v>3</v>
      </c>
      <c r="B29" s="61">
        <f>IFERROR(IF(OR(3&gt;B22,F28=""),"",F28),"")</f>
        <v>113682.6737917974</v>
      </c>
      <c r="C29" s="61">
        <f>IFERROR(IF(OR(3&gt;B22,B29=""),"",B29*B21),"")</f>
        <v>11368.26737917974</v>
      </c>
      <c r="D29" s="61">
        <f>IFERROR(IF(OR(3&gt;B22,B29=""),"",IF(3&lt;=B23,0,MIN(B29,B24-C29))),"")</f>
        <v>18620.935577107208</v>
      </c>
      <c r="E29" s="61">
        <f>IFERROR(IF(C29="","",C29+D29),"")</f>
        <v>29989.20295628695</v>
      </c>
      <c r="F29" s="61">
        <f>IFERROR(IF(D29="","",B29-D29),"")</f>
        <v>95061.73821469018</v>
      </c>
      <c r="G29" s="61">
        <f>IFERROR(IF(E29="","",'3-Year P&amp;L'!$D$41-'3-Year P&amp;L'!$D$46+'3-Year P&amp;L'!$D$36+'3-Year P&amp;L'!$D$37),"")</f>
        <v>143359.37827336637</v>
      </c>
      <c r="H29" s="61">
        <f>IFERROR(IF(OR(E29="",E29=0),"",G29/E29),"")</f>
        <v>4.780366403279566</v>
      </c>
    </row>
    <row r="30">
      <c r="A30" s="40" t="n">
        <v>4</v>
      </c>
      <c r="B30" s="61">
        <f>IFERROR(IF(OR(4&gt;B22,F29=""),"",F29),"")</f>
        <v>95061.73821469018</v>
      </c>
      <c r="C30" s="61">
        <f>IFERROR(IF(OR(4&gt;B22,B30=""),"",B30*B21),"")</f>
        <v>9506.173821469018</v>
      </c>
      <c r="D30" s="61">
        <f>IFERROR(IF(OR(4&gt;B22,B30=""),"",IF(4&lt;=B23,0,MIN(B30,B24-C30))),"")</f>
        <v>20483.02913481793</v>
      </c>
      <c r="E30" s="61">
        <f>IFERROR(IF(C30="","",C30+D30),"")</f>
        <v>29989.20295628695</v>
      </c>
      <c r="F30" s="61">
        <f>IFERROR(IF(D30="","",B30-D30),"")</f>
        <v>74578.70907987225</v>
      </c>
      <c r="G30" s="61">
        <f>IFERROR(IF(E30="","",'3-Year P&amp;L'!$D$41-'3-Year P&amp;L'!$D$46+'3-Year P&amp;L'!$D$36+'3-Year P&amp;L'!$D$37),"")</f>
        <v>143359.37827336637</v>
      </c>
      <c r="H30" s="61">
        <f>IFERROR(IF(OR(E30="",E30=0),"",G30/E30),"")</f>
        <v>4.780366403279566</v>
      </c>
    </row>
    <row r="31">
      <c r="A31" s="40" t="n">
        <v>5</v>
      </c>
      <c r="B31" s="61">
        <f>IFERROR(IF(OR(5&gt;B22,F30=""),"",F30),"")</f>
        <v>74578.70907987225</v>
      </c>
      <c r="C31" s="61">
        <f>IFERROR(IF(OR(5&gt;B22,B31=""),"",B31*B21),"")</f>
        <v>7457.870907987225</v>
      </c>
      <c r="D31" s="61">
        <f>IFERROR(IF(OR(5&gt;B22,B31=""),"",IF(5&lt;=B23,0,MIN(B31,B24-C31))),"")</f>
        <v>22531.332048299726</v>
      </c>
      <c r="E31" s="61">
        <f>IFERROR(IF(C31="","",C31+D31),"")</f>
        <v>29989.20295628695</v>
      </c>
      <c r="F31" s="61">
        <f>IFERROR(IF(D31="","",B31-D31),"")</f>
        <v>52047.37703157253</v>
      </c>
      <c r="G31" s="61">
        <f>IFERROR(IF(E31="","",'3-Year P&amp;L'!$D$41-'3-Year P&amp;L'!$D$46+'3-Year P&amp;L'!$D$36+'3-Year P&amp;L'!$D$37),"")</f>
        <v>143359.37827336637</v>
      </c>
      <c r="H31" s="61">
        <f>IFERROR(IF(OR(E31="",E31=0),"",G31/E31),"")</f>
        <v>4.780366403279566</v>
      </c>
    </row>
    <row r="32">
      <c r="A32" s="40" t="n">
        <v>6</v>
      </c>
      <c r="B32" s="61">
        <f>IFERROR(IF(OR(6&gt;B22,F31=""),"",F31),"")</f>
        <v>52047.37703157253</v>
      </c>
      <c r="C32" s="61">
        <f>IFERROR(IF(OR(6&gt;B22,B32=""),"",B32*B21),"")</f>
        <v>5204.737703157253</v>
      </c>
      <c r="D32" s="61">
        <f>IFERROR(IF(OR(6&gt;B22,B32=""),"",IF(6&lt;=B23,0,MIN(B32,B24-C32))),"")</f>
        <v>24784.465253129696</v>
      </c>
      <c r="E32" s="61">
        <f>IFERROR(IF(C32="","",C32+D32),"")</f>
        <v>29989.20295628695</v>
      </c>
      <c r="F32" s="61">
        <f>IFERROR(IF(D32="","",B32-D32),"")</f>
        <v>27262.91177844283</v>
      </c>
      <c r="G32" s="61">
        <f>IFERROR(IF(E32="","",'3-Year P&amp;L'!$D$41-'3-Year P&amp;L'!$D$46+'3-Year P&amp;L'!$D$36+'3-Year P&amp;L'!$D$37),"")</f>
        <v>143359.37827336637</v>
      </c>
      <c r="H32" s="61">
        <f>IFERROR(IF(OR(E32="",E32=0),"",G32/E32),"")</f>
        <v>4.780366403279566</v>
      </c>
    </row>
    <row r="33">
      <c r="A33" s="40" t="n">
        <v>7</v>
      </c>
      <c r="B33" s="61">
        <f>IFERROR(IF(OR(7&gt;B22,F32=""),"",F32),"")</f>
        <v>27262.91177844283</v>
      </c>
      <c r="C33" s="61">
        <f>IFERROR(IF(OR(7&gt;B22,B33=""),"",B33*B21),"")</f>
        <v>2726.291177844283</v>
      </c>
      <c r="D33" s="61">
        <f>IFERROR(IF(OR(7&gt;B22,B33=""),"",IF(7&lt;=B23,0,MIN(B33,B24-C33))),"")</f>
        <v>27262.911778442667</v>
      </c>
      <c r="E33" s="61">
        <f>IFERROR(IF(C33="","",C33+D33),"")</f>
        <v>29989.20295628695</v>
      </c>
      <c r="F33" s="61">
        <f>IFERROR(IF(D33="","",B33-D33),"")</f>
        <v>1.6370904631912708e-10</v>
      </c>
      <c r="G33" s="61">
        <f>IFERROR(IF(E33="","",'3-Year P&amp;L'!$D$41-'3-Year P&amp;L'!$D$46+'3-Year P&amp;L'!$D$36+'3-Year P&amp;L'!$D$37),"")</f>
        <v>143359.37827336637</v>
      </c>
      <c r="H33" s="61">
        <f>IFERROR(IF(OR(E33="",E33=0),"",G33/E33),"")</f>
        <v>4.780366403279566</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14600.0</v>
      </c>
      <c r="C44" s="28" t="n"/>
      <c r="D44" s="28" t="n"/>
      <c r="E44" s="28" t="n"/>
      <c r="F44" s="28" t="n"/>
      <c r="G44" s="28" t="n"/>
      <c r="H44" s="28" t="n"/>
    </row>
    <row r="45">
      <c r="A45" s="28" t="inlineStr">
        <is>
          <t>Year-1 principal repaid</t>
        </is>
      </c>
      <c r="B45" s="40">
        <f>IFERROR(IF(B20="","",IF(D27="",0,D27)),"")</f>
        <v>15389.20295628695</v>
      </c>
      <c r="C45" s="28" t="n"/>
      <c r="D45" s="28" t="n"/>
      <c r="E45" s="28" t="n"/>
      <c r="F45" s="28" t="n"/>
      <c r="G45" s="28" t="n"/>
      <c r="H45" s="28" t="n"/>
    </row>
    <row r="46">
      <c r="A46" s="28" t="inlineStr">
        <is>
          <t>Year-2 interest</t>
        </is>
      </c>
      <c r="B46" s="40">
        <f>IFERROR(IF(B20="","",IF(C28="",0,C28)),"")</f>
        <v>13061.079704371305</v>
      </c>
      <c r="C46" s="28" t="n"/>
      <c r="D46" s="28" t="n"/>
      <c r="E46" s="28" t="n"/>
      <c r="F46" s="28" t="n"/>
      <c r="G46" s="28" t="n"/>
      <c r="H46" s="28" t="n"/>
    </row>
    <row r="47">
      <c r="A47" s="28" t="inlineStr">
        <is>
          <t>Year-2 principal repaid</t>
        </is>
      </c>
      <c r="B47" s="40">
        <f>IFERROR(IF(B20="","",IF(D28="",0,D28)),"")</f>
        <v>16928.123251915647</v>
      </c>
      <c r="C47" s="28" t="n"/>
      <c r="D47" s="28" t="n"/>
      <c r="E47" s="28" t="n"/>
      <c r="F47" s="28" t="n"/>
      <c r="G47" s="28" t="n"/>
      <c r="H47" s="28" t="n"/>
    </row>
    <row r="48">
      <c r="A48" s="28" t="inlineStr">
        <is>
          <t>Year-3 interest</t>
        </is>
      </c>
      <c r="B48" s="40">
        <f>IFERROR(IF(B20="","",IF(C29="",0,C29)),"")</f>
        <v>11368.26737917974</v>
      </c>
      <c r="C48" s="28" t="n"/>
      <c r="D48" s="28" t="n"/>
      <c r="E48" s="28" t="n"/>
      <c r="F48" s="28" t="n"/>
      <c r="G48" s="28" t="n"/>
      <c r="H48" s="28" t="n"/>
    </row>
    <row r="49">
      <c r="A49" s="28" t="inlineStr">
        <is>
          <t>Year-3 principal repaid</t>
        </is>
      </c>
      <c r="B49" s="40">
        <f>IFERROR(IF(B20="","",IF(D29="",0,D29)),"")</f>
        <v>18620.935577107208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2.6049565752861787</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3.865165790622125</v>
      </c>
      <c r="C52" s="28" t="n"/>
      <c r="D52" s="28" t="n"/>
      <c r="E52" s="28" t="n"/>
      <c r="F52" s="28" t="n"/>
      <c r="G52" s="28" t="n"/>
      <c r="H52" s="28" t="n"/>
    </row>
    <row r="53">
      <c r="A53" s="28" t="inlineStr">
        <is>
          <t>Year-3 DSCR</t>
        </is>
      </c>
      <c r="B53" s="61">
        <f>IFERROR(('3-Year P&amp;L'!$D$41-'3-Year P&amp;L'!$D$46+'3-Year P&amp;L'!$D$36+B48)/(B48+B49),"")</f>
        <v>4.780366403279566</v>
      </c>
      <c r="C53" s="28" t="n"/>
      <c r="D53" s="28" t="n"/>
      <c r="E53" s="28" t="n"/>
      <c r="F53" s="28" t="n"/>
      <c r="G53" s="28" t="n"/>
      <c r="H53" s="28" t="n"/>
    </row>
    <row r="54">
      <c r="A54" s="25" t="inlineStr">
        <is>
          <t>Minimum DSCR across the whole schedule</t>
        </is>
      </c>
      <c r="B54" s="62">
        <f>IFERROR(IF(COUNT(H27:H41)=0,"",MIN(H27:H41)),"")</f>
        <v>2.6049565752861787</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Financial Projections: 3-Year P&amp;L, Cash Flow &amp; Financing · Catering Business Plan Kit</dc:title>
  <dc:description xmlns:dc="http://purl.org/dc/elements/1.1/">aichef.pro/en/digital-products/catering-business-plan</dc:description>
  <dc:subject xmlns:dc="http://purl.org/dc/elements/1.1/">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2026-10-11T14:49:13Z</dcterms:modified>
  <cp:lastModifiedBy>AI Chef Pro</cp:lastModifiedBy>
  <cp:category>AI Chef Pro · Digital products</cp:category>
  <cp:keywords>catering business plan, catering business plan template, how to start a catering business, catering startup costs, catering pricing per person, AI Chef Pro</cp:keywords>
</cp:coreProperties>
</file>