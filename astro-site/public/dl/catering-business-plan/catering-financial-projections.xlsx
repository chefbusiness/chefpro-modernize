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6"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4" fontId="10" fillId="0" borderId="3" pivotButton="0" quotePrefix="0" xfId="0"/>
    <xf numFmtId="166" fontId="0" fillId="4" borderId="0" applyProtection="1" pivotButton="0" quotePrefix="0" xfId="0">
      <protection locked="0" hidden="0"/>
    </xf>
    <xf numFmtId="4" fontId="0" fillId="0" borderId="0" pivotButton="0" quotePrefix="0" xfId="0"/>
    <xf numFmtId="166" fontId="0" fillId="0" borderId="0" pivotButton="0" quotePrefix="0" xfId="0"/>
    <xf numFmtId="3" fontId="10" fillId="0" borderId="3" pivotButton="0" quotePrefix="0" xfId="0"/>
    <xf numFmtId="166" fontId="10" fillId="0" borderId="3" pivotButton="0" quotePrefix="0" xfId="0"/>
    <xf numFmtId="166" fontId="9" fillId="0" borderId="3" pivotButton="0" quotePrefix="0" xfId="0"/>
    <xf numFmtId="166" fontId="11" fillId="0" borderId="0" pivotButton="0" quotePrefix="0" xfId="0"/>
    <xf numFmtId="166" fontId="12" fillId="4" borderId="0" applyProtection="1" pivotButton="0" quotePrefix="0" xfId="0">
      <protection locked="0" hidden="0"/>
    </xf>
    <xf numFmtId="4" fontId="9" fillId="4" borderId="3" applyProtection="1" pivotButton="0" quotePrefix="0" xfId="0">
      <protection locked="0" hidden="0"/>
    </xf>
    <xf numFmtId="0" fontId="0" fillId="0" borderId="0" applyAlignment="1" pivotButton="0" quotePrefix="0" xfId="0">
      <alignment horizontal="left" vertical="top" wrapText="1"/>
    </xf>
    <xf numFmtId="166" fontId="9" fillId="4" borderId="3"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your currency.</t>
        </is>
      </c>
    </row>
    <row r="3">
      <c r="A3" s="16" t="inlineStr">
        <is>
          <t>BUSINESS ACTIVITY</t>
        </is>
      </c>
    </row>
    <row r="4">
      <c r="A4" t="inlineStr">
        <is>
          <t>Events per year (year-1 average)</t>
        </is>
      </c>
      <c r="B4" s="18" t="n">
        <v>180</v>
      </c>
      <c r="C4" t="inlineStr">
        <is>
          <t>Average number of events you cater per year, counting every drop-off, buffet, wedding and party. It is the main volume driver of the whole workbook: the P&amp;L, break-even and scenarios all read it, and years 2 and 3 grow in events. Compare it with the capacity row further down.</t>
        </is>
      </c>
    </row>
    <row r="5">
      <c r="A5" t="inlineStr">
        <is>
          <t>Average price per guest (excl. sales tax, service included)</t>
        </is>
      </c>
      <c r="B5" s="24" t="n">
        <v>60</v>
      </c>
      <c r="C5" t="inlineStr">
        <is>
          <t>EXCL. sales tax, with staffing and the service charge included and the voluntary gratuity left out: the price per guest you quote before tax. Price per guest incl. sales tax = this value × (1 + your sales tax rate). The example sits inside the per-guest range in the benchmarks table on the "Instructions" tab (Kit estimate); the Pricing Calculator builds a quote per service style; to bring it here, divide its subtotal plus the service charge you keep by the billable guests (its own price per guest excludes the service charge).</t>
        </is>
      </c>
    </row>
    <row r="6">
      <c r="A6" t="inlineStr">
        <is>
          <t>Average guests per event</t>
        </is>
      </c>
      <c r="B6" s="18" t="n">
        <v>60</v>
      </c>
      <c r="C6" t="inlineStr">
        <is>
          <t>Average number of guests per event across your whole mix, from drop-off lunches for a few dozen people to weddings of over a hundred. A typical event runs 50-75 guests (Kit estimate). Sales per event = guests × price per guest. One cell for the whole workbook: the P&amp;L, break-even and scenarios all read it, so they always agree.</t>
        </is>
      </c>
    </row>
    <row r="7">
      <c r="A7" t="inlineStr">
        <is>
          <t>Volume growth in year 2</t>
        </is>
      </c>
      <c r="B7" s="63" t="n">
        <v>0.15</v>
      </c>
      <c r="C7" t="inlineStr">
        <is>
          <t>Growth in events in year 2 over year 1 (enter 0.15 for 15%). Kept conservative on purpose: in its first year a caterer has few repeat clients and referrals, and weddings are booked months ahead.</t>
        </is>
      </c>
    </row>
    <row r="8">
      <c r="A8" t="inlineStr">
        <is>
          <t>Volume growth in year 3</t>
        </is>
      </c>
      <c r="B8" s="63" t="n">
        <v>0.1</v>
      </c>
      <c r="C8" t="inlineStr">
        <is>
          <t>Growth in events in year 3 over year 2, kept conservative for the same reason: repeat corporate clients and planner referrals build up slowly.</t>
        </is>
      </c>
    </row>
    <row r="9">
      <c r="A9" t="inlineStr">
        <is>
          <t>Price per guest incl. sales tax (calculated)</t>
        </is>
      </c>
      <c r="B9" s="64">
        <f>IFERROR(IF($B$5="","",$B$5*(1+SUMPRODUCT('3-Year P&amp;L'!$E$10:$E$11,'3-Year P&amp;L'!$G$10:$G$11))),"")</f>
        <v>64.80000000000001</v>
      </c>
      <c r="C9" t="str">
        <f>IFERROR("Price per guest excl. sales tax plus the weighted sales tax of your sales lines ("&amp;TEXT(SUMPRODUCT('3-Year P&amp;L'!$E$10:$E$11,'3-Year P&amp;L'!$G$10:$G$11)*100,"0")&amp;"%), rounded. In the US the quote adds sales tax on top, and many states tax the whole catering invoice (food, staff, rentals and the service charge); in the UK, VAT is included in the price.","")</f>
        <v>Price per guest excl. sales tax plus the weighted sales tax of your sales lines (8%), rounded. In the US the quote adds sales tax on top, and many states tax the whole catering invoice (food, staff, rentals and the service charge); in the UK, VAT is included in the price.</v>
      </c>
    </row>
    <row r="10">
      <c r="A10" s="16" t="inlineStr">
        <is>
          <t>SALES MIX AND COST OF GOODS SOLD</t>
        </is>
      </c>
    </row>
    <row r="11">
      <c r="A11" t="inlineStr">
        <is>
          <t>FOOD share of total sales</t>
        </is>
      </c>
      <c r="B11" s="63" t="n">
        <v>0.88</v>
      </c>
      <c r="C11" t="inlineStr">
        <is>
          <t>Share of FOOD in total sales. It is an INPUT: change it here and the P&amp;L, the cash flow and the sales tax collected recalculate on their own</t>
        </is>
      </c>
    </row>
    <row r="12">
      <c r="A12" t="inlineStr">
        <is>
          <t>BEVERAGE share of total sales</t>
        </is>
      </c>
      <c r="B12" s="65">
        <f>IFERROR(IF(COUNT(B11)=0,"",1-B11),"")</f>
        <v>0.12</v>
      </c>
      <c r="C12" t="inlineStr">
        <is>
          <t>Calculated as the remainder: food + beverage = 100%</t>
        </is>
      </c>
    </row>
    <row r="13">
      <c r="A13" t="inlineStr">
        <is>
          <t>Cost of goods sold on FOOD sales</t>
        </is>
      </c>
      <c r="B13" s="63" t="n">
        <v>0.3</v>
      </c>
      <c r="C13" t="inlineStr">
        <is>
          <t>Cost of goods sold on food sales. The example (30%) sits inside the 28-35% range for caterers in the benchmarks table on the "Instructions" tab; the menu matters (a drop-off sandwich lunch runs lower than a carving station). It is the most sensitive lever in the plan: test it at the top of the range before you trust the result.</t>
        </is>
      </c>
    </row>
    <row r="14">
      <c r="A14" t="inlineStr">
        <is>
          <t>Cost of goods sold on BEVERAGE sales</t>
        </is>
      </c>
      <c r="B14" s="63" t="n">
        <v>0.25</v>
      </c>
      <c r="C14" t="inlineStr">
        <is>
          <t>Coffee, iced tea, lemonade and soft drinks served with the menu: a high-margin line, set below the food rate. There is no alcohol in this line: the client buys it separately.</t>
        </is>
      </c>
    </row>
    <row r="15">
      <c r="A15" t="inlineStr">
        <is>
          <t>Disposables and packaging as % of sales</t>
        </is>
      </c>
      <c r="B15" s="63" t="n">
        <v>0.03</v>
      </c>
      <c r="C15" t="inlineStr">
        <is>
          <t>Disposable plates, cutlery, napkins and containers for drop-off orders, as a % of sales. It sits next to cost of goods sold instead of hiding in miscellaneous. Some cities restrict foam and single-use plastics, so check your local rules.</t>
        </is>
      </c>
    </row>
    <row r="16">
      <c r="A16" t="inlineStr">
        <is>
          <t>Corporate catering marketplace share of sales (e.g. ezCater)</t>
        </is>
      </c>
      <c r="B16" s="63" t="n">
        <v>0.1</v>
      </c>
      <c r="C16" t="inlineStr">
        <is>
          <t>Share of your sales that comes through corporate catering marketplaces such as ezCater, rather than from clients who book you directly. Set it to 0 if you only sell direct. The marketplace sends you the order but keeps a commission (next row).</t>
        </is>
      </c>
    </row>
    <row r="17">
      <c r="A17" t="inlineStr">
        <is>
          <t>Marketplace commission on those sales</t>
        </is>
      </c>
      <c r="B17" s="63" t="n">
        <v>0.15</v>
      </c>
      <c r="C17" t="inlineStr">
        <is>
          <t>Commission the marketplace keeps on those sales. ezCater charges about 15% on food and delivery (Kit estimate); fees change, so check the current schedule when you sign up. Not used while the marketplace share is 0%.</t>
        </is>
      </c>
    </row>
    <row r="18">
      <c r="A18" t="inlineStr">
        <is>
          <t>Card processing fee</t>
        </is>
      </c>
      <c r="B18" s="63" t="n">
        <v>0.025</v>
      </c>
      <c r="C18" t="inlineStr">
        <is>
          <t>Card and ACH fees on total sales. Many companies pay by ACH or check, which lowers the cost; cards cost more. The example (2.5%) is a blended rate: a percentage plus a per-transaction fee, which weighs more on small invoices. Check your processor's statement and enter your effective rate (Kit estimate).</t>
        </is>
      </c>
    </row>
    <row r="19">
      <c r="A19" s="16" t="inlineStr">
        <is>
          <t>LABOR</t>
        </is>
      </c>
    </row>
    <row r="20">
      <c r="A20" t="inlineStr">
        <is>
          <t>Employer payroll taxes</t>
        </is>
      </c>
      <c r="B20" s="63" t="n">
        <v>0.1</v>
      </c>
      <c r="C20" t="inlineStr">
        <is>
          <t>FICA (Social Security 6.2% + Medicare 1.45%) + federal and state unemployment taxes (FUTA / SUTA) + workers' comp. The example uses a lean 10% with no benefits; the benchmarks table on "Instructions" gives 15-30% with benefits. Ask your payroll provider and carrier for your rate.</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COMMISSARY KITCHEN AND FIXED COSTS</t>
        </is>
      </c>
    </row>
    <row r="24">
      <c r="A24" t="inlineStr">
        <is>
          <t>Commissary kitchen (hours + storage) &amp; van parking, per month</t>
        </is>
      </c>
      <c r="B24" s="18" t="n">
        <v>2500</v>
      </c>
      <c r="C24" t="inlineStr">
        <is>
          <t>Monthly cost of your commissary kitchen (hours + storage) and the van's parking spot: one cell for everything you pay the kitchen. The deposit and the months before opening are calculated from it. Shared kitchens charge roughly 15-45 per hour (The Food Corridor, 2023 Shared Kitchen Operator Survey): multiply by your prep hours and add storage and parking. A permitted commissary is required: catering from a home kitchen is not allowed, and cottage food rules do not cover it. Get quotes in your area before you sign.</t>
        </is>
      </c>
    </row>
    <row r="25">
      <c r="A25" t="inlineStr">
        <is>
          <t>Commissary deposit (months)</t>
        </is>
      </c>
      <c r="B25" s="18" t="n">
        <v>1</v>
      </c>
      <c r="C25" t="inlineStr">
        <is>
          <t>Months of deposit on the commissary agreement. Many shared kitchens ask for one month up front: far less than the deposit on a commercial lease. Negotiate it in the written agreement.</t>
        </is>
      </c>
    </row>
    <row r="26">
      <c r="A26" t="inlineStr">
        <is>
          <t>Monthly utilities (electricity, water, gas)</t>
        </is>
      </c>
      <c r="B26" s="18" t="n">
        <v>250</v>
      </c>
      <c r="C26" t="inlineStr">
        <is>
          <t>Fuel for the generator and the portable burners, plus water and utility costs that the commissary fee does not cover. It is the one cell for this cost, so you change it in one place and the rest of the workbook follows.</t>
        </is>
      </c>
    </row>
    <row r="27">
      <c r="A27" t="inlineStr">
        <is>
          <t>Insurance (per year)</t>
        </is>
      </c>
      <c r="B27" s="18" t="n">
        <v>6000</v>
      </c>
      <c r="C27" t="inlineStr">
        <is>
          <t>General liability (venues and planners often require 1M per occurrence), commercial auto for the van and liquor liability for events where bartenders pour the client's alcohol. Insureon publishes averages for small businesses (see the benchmarks table on the "Instructions" tab); the example is a Kit estimate, so get quotes from an insurance agent. It is counted once, as an annual expense, not also in startup costs.</t>
        </is>
      </c>
    </row>
    <row r="28">
      <c r="A28" t="inlineStr">
        <is>
          <t>Miscellaneous and contingency as % of sales</t>
        </is>
      </c>
      <c r="B28" s="63" t="n">
        <v>0.03</v>
      </c>
      <c r="C28" t="inlineStr">
        <is>
          <t>Van fuel to drive to venues, plus a cushion for unbudgeted running costs. It is a VARIABLE cost: it rises and falls with the number of events, so it cannot sit among the fixed costs or it would move the break-even without anyone noticing.</t>
        </is>
      </c>
    </row>
    <row r="29">
      <c r="A29" s="16" t="inlineStr">
        <is>
          <t>FINANCING</t>
        </is>
      </c>
    </row>
    <row r="30">
      <c r="A30" t="inlineStr">
        <is>
          <t>Owner's equity contributed</t>
        </is>
      </c>
      <c r="B30" s="18" t="n">
        <v>40000</v>
      </c>
      <c r="C30" t="inlineStr">
        <is>
          <t>Your own money. Lenders usually expect an owner equity injection (often around 10% for SBA start-ups; many want 20-30%) on the total cash needed in this plan.</t>
        </is>
      </c>
    </row>
    <row r="31">
      <c r="A31" t="inlineStr">
        <is>
          <t>Loan requested</t>
        </is>
      </c>
      <c r="B31" s="18" t="n">
        <v>146000</v>
      </c>
      <c r="C31" t="inlineStr">
        <is>
          <t>Principal requested: bank or SBA 7(a). If your loan is an SBA 7(a), this is the cell. It is the only loan that the amortization schedule, the P&amp;L interest and the DSCR use. The "Financing" tab checks that the sources of funds match the total cash needed on the "Startup Costs" tab (which includes working capital and the van and fit-out contingency): copy the loan suggested there into this cell until the difference reaches zero.</t>
        </is>
      </c>
    </row>
    <row r="32">
      <c r="A32" t="inlineStr">
        <is>
          <t>Nominal annual interest rate (not APR)</t>
        </is>
      </c>
      <c r="B32" s="63" t="n">
        <v>0.1</v>
      </c>
      <c r="C32" t="inlineStr">
        <is>
          <t>Nominal annual rate (not APR). The example (10%) is the kit's assumption for an SBA 7(a) loan. A smaller loan with a used van and kitchen equipment as collateral often prices above a storefront loan: ask two lenders for quotes, and ask about SBA-guaranteed loans, before you set it.</t>
        </is>
      </c>
    </row>
    <row r="33">
      <c r="A33" t="inlineStr">
        <is>
          <t>Loan term (years)</t>
        </is>
      </c>
      <c r="B33" s="18" t="n">
        <v>7</v>
      </c>
      <c r="C33" t="inlineStr">
        <is>
          <t>Total years, interest-only period included. A van and kitchen equipment lose value faster than a storefront build-out, so the term is shorter. SBA 7(a) allows up to 10 years for equipment and working capital.</t>
        </is>
      </c>
    </row>
    <row r="34">
      <c r="A34" t="inlineStr">
        <is>
          <t>Interest-only period (years)</t>
        </is>
      </c>
      <c r="B34" s="18" t="n">
        <v>0</v>
      </c>
      <c r="C34" t="inlineStr">
        <is>
          <t>ZERO by default: repayment starts in year 1, so the year-1 DSCR already measures the full loan payment. If you negotiate an interest-only first year, enter it here and read the year-1 DSCR with care.</t>
        </is>
      </c>
    </row>
    <row r="35">
      <c r="A35" t="inlineStr">
        <is>
          <t>Working capital (months of fixed costs)</t>
        </is>
      </c>
      <c r="B35" s="18" t="n">
        <v>3</v>
      </c>
      <c r="C35" t="inlineStr">
        <is>
          <t>The minimum this workbook asks for (see "Instructions"): a cushion below 3 months does not cover a slow stretch, such as the off-season for weddings or a corporate client who pays late.</t>
        </is>
      </c>
    </row>
    <row r="36">
      <c r="A36" s="16" t="inlineStr">
        <is>
          <t>TAXES</t>
        </is>
      </c>
    </row>
    <row r="37">
      <c r="A37" t="inlineStr">
        <is>
          <t>Effective income tax rate (years 1-2)</t>
        </is>
      </c>
      <c r="B37" s="63"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3"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3" t="n">
        <v>0.08</v>
      </c>
      <c r="C39" t="inlineStr">
        <is>
          <t>Example rate: state + local sales tax combined. It varies widely by state and city: look up yours. UK: 20% VAT applies to catering for events and functions (VAT Notice 709/1)</t>
        </is>
      </c>
    </row>
    <row r="40">
      <c r="A40" t="inlineStr">
        <is>
          <t>Sales tax rate on alcohol to go</t>
        </is>
      </c>
      <c r="B40" s="63" t="n">
        <v>0.08</v>
      </c>
      <c r="C40" t="inlineStr">
        <is>
          <t>Same example rate as above. Some states add separate liquor taxes: include them here if they apply to you. Alcohol served on site has its own rate in the sales tax breakdown block, further down. Utilities, equipment and services are handled in the cell below</t>
        </is>
      </c>
    </row>
    <row r="41">
      <c r="A41" t="inlineStr">
        <is>
          <t>Recoverable input tax on purchases and capex</t>
        </is>
      </c>
      <c r="B41" s="63"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the van and its upfit (years)</t>
        </is>
      </c>
      <c r="B44" s="18" t="n">
        <v>5</v>
      </c>
      <c r="C44" t="inlineStr">
        <is>
          <t>The refrigerated van, its upfit (racks, shelving, wrap) and its refrigeration unit: everything mounted on the van is depreciated with it. Straight-line book depreciation; tax methods such as MACRS or Section 179 are separate, so confirm with your accountant.</t>
        </is>
      </c>
    </row>
    <row r="45">
      <c r="A45" t="inlineStr">
        <is>
          <t>Useful life of machinery, furniture and equipment (years)</t>
        </is>
      </c>
      <c r="B45" s="18" t="n">
        <v>7</v>
      </c>
      <c r="C45" t="inlineStr">
        <is>
          <t>Kitchen and refrigeration equipment, portable cooking and power, POS, smallwares and serving ware. Loading and unloading at every event wears them faster than a fixed kitchen, so a short life is prudent. Straight-line book depreciation; MACRS or Section 179 are tax treatments: confirm with your accountant.</t>
        </is>
      </c>
    </row>
    <row r="47">
      <c r="A47" s="16" t="inlineStr">
        <is>
          <t>GROWTH AND COST INFLATION</t>
        </is>
      </c>
    </row>
    <row r="48">
      <c r="A48" t="inlineStr">
        <is>
          <t>Annual increase in fixed costs</t>
        </is>
      </c>
      <c r="B48" s="63" t="n">
        <v>0</v>
      </c>
      <c r="C48" t="inlineStr">
        <is>
          <t>SET TO ZERO: all three columns are in year-1 prices (real terms). Raise it if you want to project in nominal terms</t>
        </is>
      </c>
    </row>
    <row r="49">
      <c r="A49" s="16" t="inlineStr">
        <is>
          <t>RAMP-UP AND CAPACITY</t>
        </is>
      </c>
    </row>
    <row r="51">
      <c r="A51" t="inlineStr">
        <is>
          <t>Max events a year your kitchen and crew can handle</t>
        </is>
      </c>
      <c r="B51" s="18" t="n">
        <v>250</v>
      </c>
      <c r="C51" t="inlineStr">
        <is>
          <t>INFORMATION ONLY: it does not enter any calculation in this workbook. It is your estimate of the most events a year your kitchen hours and crew can handle. Compare it with the events per year you plan and with the optimistic scenario: if the plan goes above it, you need more commissary hours or more staff. Volume itself is driven by the "Events per year" cell above.</t>
        </is>
      </c>
    </row>
    <row r="52">
      <c r="A52" t="inlineStr">
        <is>
          <t>Month-1 activity as a % of steady-state activity</t>
        </is>
      </c>
      <c r="B52" s="63" t="n">
        <v>0.5</v>
      </c>
      <c r="C52" t="inlineStr">
        <is>
          <t>A new caterer does not book in month one what it books in month eight: weddings are reserved months ahead and corporate clients want to try you first. Events per year above is the year-1 AVERAGE: the ramp only spreads year 1's sales across the months (slower start, stronger finish) and keeps the annual total. At 100% there is no ramp.</t>
        </is>
      </c>
    </row>
    <row r="53">
      <c r="A53" t="inlineStr">
        <is>
          <t>Months to reach steady state</t>
        </is>
      </c>
      <c r="B53" s="18" t="n">
        <v>8</v>
      </c>
      <c r="C53" t="inlineStr">
        <is>
          <t>The ramp rises in a straight line from the percentage above to 100% over this number of months</t>
        </is>
      </c>
    </row>
    <row r="54">
      <c r="A54" t="inlineStr">
        <is>
          <t>Months of commissary rent BEFORE opening</t>
        </is>
      </c>
      <c r="B54" s="18" t="n">
        <v>1</v>
      </c>
      <c r="C54" t="inlineStr">
        <is>
          <t>Getting the commissary agreement, the catering permit and the van ready takes weeks (see Phase 2 of your checklist), so you pay commissary rent before your first event. It belongs in startup costs, not in the P&amp;L.</t>
        </is>
      </c>
    </row>
    <row r="55">
      <c r="A55" t="inlineStr">
        <is>
          <t>Contingency on the van, upfit and fit-out lines (%)</t>
        </is>
      </c>
      <c r="B55" s="63" t="n">
        <v>0.1</v>
      </c>
      <c r="C55" t="inlineStr">
        <is>
          <t>Calculated by formula on the van, upfit and fit-out lines: if you change the van price, the contingency recalculates on its own. The note on that row of the "Startup Costs" tab lists exactly which lines are included.</t>
        </is>
      </c>
    </row>
    <row r="57">
      <c r="A57" s="16" t="inlineStr">
        <is>
          <t>RECEIPTS, PAYMENTS AND SALES TAX BREAKDOWN</t>
        </is>
      </c>
    </row>
    <row r="58">
      <c r="A58" t="inlineStr">
        <is>
          <t>Average collection days</t>
        </is>
      </c>
      <c r="B58" s="18" t="n">
        <v>14</v>
      </c>
      <c r="C58" t="inlineStr">
        <is>
          <t>Average days between the event and the money in your bank. Weddings are usually prepaid and many companies pay at 30 days, so the example sits in between. Raise it if clients or marketplaces pay later. The workbook does not model deposits (25-50% at signing is common: Kit estimate): they improve your real cash flow.</t>
        </is>
      </c>
    </row>
    <row r="59">
      <c r="A59" t="inlineStr">
        <is>
          <t>Average days to pay suppliers</t>
        </is>
      </c>
      <c r="B59" s="18" t="n">
        <v>7</v>
      </c>
      <c r="C59" t="inlineStr">
        <is>
          <t>What your suppliers finance for you. It is the first thing you lose if you fall behind on a payment</t>
        </is>
      </c>
    </row>
    <row r="60">
      <c r="A60" t="inlineStr">
        <is>
          <t>Month of extra pay period 1 (only if pay periods &gt; 12)</t>
        </is>
      </c>
      <c r="B60" s="18" t="n">
        <v>7</v>
      </c>
      <c r="C60" t="inlineStr">
        <is>
          <t>Month of the year (1-12) when the first extra pay period is paid out. Only used if pay periods &gt; 12</t>
        </is>
      </c>
    </row>
    <row r="61">
      <c r="A61" t="inlineStr">
        <is>
          <t>Month of extra pay period 2 (only if pay periods &gt; 12)</t>
        </is>
      </c>
      <c r="B61" s="18" t="n">
        <v>12</v>
      </c>
      <c r="C61" t="inlineStr">
        <is>
          <t>Month of the year (1-12) when the second extra pay period is paid out. Only used if pay periods &gt; 12</t>
        </is>
      </c>
    </row>
    <row r="62">
      <c r="A62" t="inlineStr">
        <is>
          <t>ALCOHOLIC beverages as a share of total beverage sales</t>
        </is>
      </c>
      <c r="B62" s="63" t="n">
        <v>0</v>
      </c>
      <c r="C62" t="inlineStr">
        <is>
          <t>ZERO by default: the client buys the alcohol and certified bartenders serve it, so you sell none. Selling alcohol requires a liquor license (and, in some states, an event-by-event caterer's permit): check your state before adding it. Keep liquor liability coverage whenever bartenders pour at your events.</t>
        </is>
      </c>
    </row>
    <row r="63">
      <c r="A63" t="inlineStr">
        <is>
          <t>Sales tax rate on alcohol served on site</t>
        </is>
      </c>
      <c r="B63" s="63" t="n">
        <v>0.08</v>
      </c>
      <c r="C63" t="inlineStr">
        <is>
          <t>Only used if you enter alcohol sales above, which is zero in this plan. Example rate: the same as the rest of the sales (state + local combined). Some states tax alcohol at a different rate or add liquor taxes: if you sell alcohol, enter the rate that applies.</t>
        </is>
      </c>
    </row>
    <row r="64">
      <c r="A64" s="16" t="inlineStr">
        <is>
          <t>CONTROL THRESHOLDS AND FLOORS</t>
        </is>
      </c>
    </row>
    <row r="65">
      <c r="A65" t="inlineStr">
        <is>
          <t>DSCR limit (minimum acceptable)</t>
        </is>
      </c>
      <c r="B65" s="24" t="n">
        <v>1.15</v>
      </c>
      <c r="C65" t="inlineStr">
        <is>
          <t>Below 1.0 the business does not generate enough to repay the loan. Lenders often write a minimum DSCR into the loan covenants: ask yours. Kit default: 1.15×</t>
        </is>
      </c>
    </row>
    <row r="66">
      <c r="A66" t="inlineStr">
        <is>
          <t>DSCR target (green)</t>
        </is>
      </c>
      <c r="B66" s="24" t="n">
        <v>1.25</v>
      </c>
      <c r="C66" t="inlineStr">
        <is>
          <t>What lenders commonly look for before approving a loan comfortably. Kit default: 1.25× (editable estimate)</t>
        </is>
      </c>
    </row>
    <row r="67">
      <c r="A67" t="inlineStr">
        <is>
          <t>Minimum cushion above break-even</t>
        </is>
      </c>
      <c r="B67" s="63" t="n">
        <v>0.15</v>
      </c>
      <c r="C67" t="inlineStr">
        <is>
          <t>Minimum cushion of the plan above break-even (plan ÷ break-even − 1). The drop you can absorb is 1 − break-even ÷ plan: a 15% cushion lets events fall by about 13% before costs stop being covered</t>
        </is>
      </c>
    </row>
    <row r="68">
      <c r="A68" t="inlineStr">
        <is>
          <t>State / local minimum wage, annual full-time</t>
        </is>
      </c>
      <c r="B68" s="18" t="n"/>
      <c r="C68" t="inlineStr">
        <is>
          <t>Enter the minimum wage of your state or city, annualized for a full-time job (hourly rate × 2,080 hours). The pay floor in the "Staffing" tab is the HIGHER of this cell and the federal minimum. With 0 or blank, the traffic light compares only against the federal floor. Check current rates at dol.gov.</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Value out of range" error="Enter a whole number from 1 to 365: guests per event or days."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BUSINESS PLAN: FULL-SERVICE EVENT CATERER</t>
        </is>
      </c>
    </row>
    <row r="2">
      <c r="A2" s="2" t="inlineStr">
        <is>
          <t>Estimated Startup Costs</t>
        </is>
      </c>
    </row>
    <row r="3">
      <c r="A3" s="3" t="inlineStr">
        <is>
          <t>US kit example (2026) — replace with your own quotes.</t>
        </is>
      </c>
    </row>
    <row r="5">
      <c r="A5" s="25" t="inlineStr">
        <is>
          <t>Item</t>
        </is>
      </c>
      <c r="B5" s="25" t="inlineStr">
        <is>
          <t>Amount</t>
        </is>
      </c>
      <c r="C5" s="25" t="inlineStr">
        <is>
          <t>% of startup costs</t>
        </is>
      </c>
      <c r="D5" s="25" t="inlineStr">
        <is>
          <t>Notes</t>
        </is>
      </c>
      <c r="E5" s="25" t="inlineStr">
        <is>
          <t>Taxable / recoverable tax?</t>
        </is>
      </c>
    </row>
    <row r="6">
      <c r="A6" s="25" t="inlineStr">
        <is>
          <t>STARTUP COSTS</t>
        </is>
      </c>
      <c r="B6" s="66">
        <f>IFERROR(IF(COUNT(B7:B23)=0,"",SUM(B7:B23)),"")</f>
        <v>107200.0</v>
      </c>
      <c r="C6" s="67">
        <f>IFERROR(B6/$B$26,"")</f>
        <v>0.5780440327198805</v>
      </c>
      <c r="D6" s="28" t="n"/>
      <c r="E6" s="28" t="n"/>
    </row>
    <row r="7">
      <c r="A7" s="28" t="inlineStr">
        <is>
          <t>Refrigerated cargo van (used)</t>
        </is>
      </c>
      <c r="B7" s="49" t="n">
        <v>32000</v>
      </c>
      <c r="C7" s="68">
        <f>IFERROR(B7/$B$26,"")</f>
        <v>0.17255045752832254</v>
      </c>
      <c r="D7" s="28" t="inlineStr">
        <is>
          <t>A used refrigerated cargo van. Prices vary widely with size, mileage and condition, so get several quotes. A Transit-size van does not need a CDL (that starts at 26,001 lb GVWR).</t>
        </is>
      </c>
      <c r="E7" s="31" t="inlineStr">
        <is>
          <t>Yes</t>
        </is>
      </c>
    </row>
    <row r="8">
      <c r="A8" s="28" t="inlineStr">
        <is>
          <t>Van upfit (racks, shelving, wrap)</t>
        </is>
      </c>
      <c r="B8" s="49" t="n">
        <v>4000</v>
      </c>
      <c r="C8" s="68">
        <f>IFERROR(B8/$B$26,"")</f>
        <v>0.021568807191040318</v>
      </c>
      <c r="D8" s="28" t="inlineStr">
        <is>
          <t>Racks, shelving, tie-downs for hot boxes and carriers, and the vehicle wrap.</t>
        </is>
      </c>
      <c r="E8" s="31" t="inlineStr">
        <is>
          <t>Yes</t>
        </is>
      </c>
    </row>
    <row r="9">
      <c r="A9" s="28" t="inlineStr">
        <is>
          <t>Kitchen and refrigeration equipment (own)</t>
        </is>
      </c>
      <c r="B9" s="49" t="n">
        <v>12000</v>
      </c>
      <c r="C9" s="68">
        <f>IFERROR(B9/$B$26,"")</f>
        <v>0.06470642157312095</v>
      </c>
      <c r="D9" s="28" t="inlineStr">
        <is>
          <t>Ovens, range, reach-in refrigeration, prep tables and sinks that you own. If your commissary supplies its own equipment, lower this line.</t>
        </is>
      </c>
      <c r="E9" s="31" t="inlineStr">
        <is>
          <t>Yes</t>
        </is>
      </c>
    </row>
    <row r="10">
      <c r="A10" s="28" t="inlineStr">
        <is>
          <t>Portable cooking and power (induction, burners, generator)</t>
        </is>
      </c>
      <c r="B10" s="49" t="n">
        <v>5000</v>
      </c>
      <c r="C10" s="68">
        <f>IFERROR(B10/$B$26,"")</f>
        <v>0.026961008988800397</v>
      </c>
      <c r="D10" s="28" t="inlineStr">
        <is>
          <t>Induction units and burners for stations, plus a quiet generator or battery power for venues without hookups.</t>
        </is>
      </c>
      <c r="E10" s="31" t="inlineStr">
        <is>
          <t>Yes</t>
        </is>
      </c>
    </row>
    <row r="11">
      <c r="A11" s="28" t="inlineStr">
        <is>
          <t>Van refrigeration unit + install</t>
        </is>
      </c>
      <c r="B11" s="49" t="n">
        <v>9000</v>
      </c>
      <c r="C11" s="68">
        <f>IFERROR(B11/$B$26,"")</f>
        <v>0.048529816179840715</v>
      </c>
      <c r="D11" s="28" t="inlineStr">
        <is>
          <t>Refrigeration unit for the cargo area, installed, to hold cold food at 41°F or below in transit.</t>
        </is>
      </c>
      <c r="E11" s="31" t="inlineStr">
        <is>
          <t>Yes</t>
        </is>
      </c>
    </row>
    <row r="12">
      <c r="A12" s="28" t="inlineStr">
        <is>
          <t>Commissary storage fit-out</t>
        </is>
      </c>
      <c r="B12" s="49" t="n">
        <v>1500</v>
      </c>
      <c r="C12" s="68">
        <f>IFERROR(B12/$B$26,"")</f>
        <v>0.00808830269664012</v>
      </c>
      <c r="D12" s="28" t="inlineStr">
        <is>
          <t>Shelving, lockers and labeled bins for your dry and cold storage inside the commissary. Ask the kitchen what it already provides before you budget this line.</t>
        </is>
      </c>
      <c r="E12" s="31" t="inlineStr">
        <is>
          <t>Yes</t>
        </is>
      </c>
    </row>
    <row r="13">
      <c r="A13" s="28" t="inlineStr">
        <is>
          <t>LLC formation and legal</t>
        </is>
      </c>
      <c r="B13" s="49" t="n">
        <v>2000</v>
      </c>
      <c r="C13" s="68">
        <f>IFERROR(B13/$B$26,"")</f>
        <v>0.010784403595520159</v>
      </c>
      <c r="D13" s="28" t="inlineStr">
        <is>
          <t>State filing fees for the articles of organization (Secretary of State) plus any attorney or filing-service fees; a registered agent is also needed. Fees vary a lot by state. The "Taxable / recoverable tax?" column is set to No: it only matters if you enter a recoverable input tax rate (for example UK VAT).</t>
        </is>
      </c>
      <c r="E13" s="31" t="inlineStr">
        <is>
          <t>No</t>
        </is>
      </c>
    </row>
    <row r="14">
      <c r="A14" s="28" t="inlineStr">
        <is>
          <t>First-year permits and licenses</t>
        </is>
      </c>
      <c r="B14" s="49" t="n">
        <v>2500</v>
      </c>
      <c r="C14" s="68">
        <f>IFERROR(B14/$B$26,"")</f>
        <v>0.013480504494400199</v>
      </c>
      <c r="D14" s="28" t="inlineStr">
        <is>
          <t>Varies a lot by city and county: get the amounts for yours before you close the budget. Expect the catering or health permit, the business license and the van inspection; temporary food event permits are charged per event on top.</t>
        </is>
      </c>
      <c r="E14" s="31" t="inlineStr">
        <is>
          <t>No</t>
        </is>
      </c>
    </row>
    <row r="15">
      <c r="A15" s="28" t="inlineStr">
        <is>
          <t>Health permit plan / SOP review</t>
        </is>
      </c>
      <c r="B15" s="49" t="n">
        <v>500</v>
      </c>
      <c r="C15" s="68">
        <f>IFERROR(B15/$B$26,"")</f>
        <v>0.0026961008988800397</v>
      </c>
      <c r="D15" s="28" t="inlineStr">
        <is>
          <t>Many counties review a caterer's written operating procedures before issuing the permit and charge a plan review fee (one California county does: eldoradocounty.ca.gov). If you lease your own kitchen, expect a full plan review with layout drawings, which costs more.</t>
        </is>
      </c>
      <c r="E15" s="31" t="inlineStr">
        <is>
          <t>Yes</t>
        </is>
      </c>
    </row>
    <row r="16">
      <c r="A16" s="28" t="inlineStr">
        <is>
          <t>Catering software + card reader</t>
        </is>
      </c>
      <c r="B16" s="49" t="n">
        <v>2000</v>
      </c>
      <c r="C16" s="68">
        <f>IFERROR(B16/$B$26,"")</f>
        <v>0.010784403595520159</v>
      </c>
      <c r="D16" s="28" t="inlineStr">
        <is>
          <t>Catering software for quotes, contracts and invoices, plus a card reader to take deposits and final balances.</t>
        </is>
      </c>
      <c r="E16" s="31" t="inlineStr">
        <is>
          <t>Yes</t>
        </is>
      </c>
    </row>
    <row r="17">
      <c r="A17" s="28" t="inlineStr">
        <is>
          <t>Smallwares, hotel and sheet pans</t>
        </is>
      </c>
      <c r="B17" s="49" t="n">
        <v>5000</v>
      </c>
      <c r="C17" s="68">
        <f>IFERROR(B17/$B$26,"")</f>
        <v>0.026961008988800397</v>
      </c>
      <c r="D17" s="28" t="inlineStr">
        <is>
          <t>Hotel pans, sheet pans, utensils and cooking tools: the equipment that gets depreciated. Daily disposables are NOT depreciated: they go in the disposables line of the P&amp;L, at the % of sales set in the "0. Assumptions" tab.</t>
        </is>
      </c>
      <c r="E17" s="31" t="inlineStr">
        <is>
          <t>Yes</t>
        </is>
      </c>
    </row>
    <row r="18">
      <c r="A18" s="28" t="inlineStr">
        <is>
          <t>Opening inventory</t>
        </is>
      </c>
      <c r="B18" s="49" t="n">
        <v>6000</v>
      </c>
      <c r="C18" s="68">
        <f>IFERROR(B18/$B$26,"")</f>
        <v>0.03235321078656048</v>
      </c>
      <c r="D18" s="28" t="inlineStr">
        <is>
          <t>Food and supplies for your first events. With 0% recoverable input tax (the US default), any sales tax you pay on this purchase is treated as a cost.</t>
        </is>
      </c>
      <c r="E18" s="31" t="inlineStr">
        <is>
          <t>Yes</t>
        </is>
      </c>
    </row>
    <row r="19">
      <c r="A19" s="28" t="inlineStr">
        <is>
          <t>Website, photography, launch marketing</t>
        </is>
      </c>
      <c r="B19" s="49" t="n">
        <v>7000</v>
      </c>
      <c r="C19" s="68">
        <f>IFERROR(B19/$B$26,"")</f>
        <v>0.037745412584320556</v>
      </c>
      <c r="D19" s="28" t="inlineStr">
        <is>
          <t>Website, event photography, listings on The Knot, WeddingWire and ezCater, Google Business Profile and a launch tasting.</t>
        </is>
      </c>
      <c r="E19" s="31" t="inlineStr">
        <is>
          <t>Yes</t>
        </is>
      </c>
    </row>
    <row r="20">
      <c r="A20" s="28" t="inlineStr">
        <is>
          <t>Chafing dishes, insulated carriers, serving ware</t>
        </is>
      </c>
      <c r="B20" s="49" t="n">
        <v>9000</v>
      </c>
      <c r="C20" s="68">
        <f>IFERROR(B20/$B$26,"")</f>
        <v>0.048529816179840715</v>
      </c>
      <c r="D20" s="28" t="inlineStr">
        <is>
          <t>Chafing dishes, insulated food carriers, platters, serving utensils, linens and signage for buffets and stations.</t>
        </is>
      </c>
      <c r="E20" s="31" t="inlineStr">
        <is>
          <t>Yes</t>
        </is>
      </c>
    </row>
    <row r="21">
      <c r="A21" s="28" t="inlineStr">
        <is>
          <t>Commissary deposit</t>
        </is>
      </c>
      <c r="B21" s="40">
        <f>IFERROR(IF('0. Assumptions'!$B$24="","",'0. Assumptions'!$B$24*'0. Assumptions'!$B$25),"")</f>
        <v>2500.0</v>
      </c>
      <c r="C21" s="68">
        <f>IFERROR(B21/$B$26,"")</f>
        <v>0.013480504494400199</v>
      </c>
      <c r="D21" s="28" t="str">
        <f>IFERROR(""&amp;TEXT('0. Assumptions'!$B$25,"0")&amp;IF('0. Assumptions'!$B$25=1," month"," months")&amp;" of rent, from ""0. Assumptions"". Refundable when the commissary agreement ends: it is not depreciated and carries no tax","")</f>
        <v>1 month of rent, from "0. Assumptions". Refundable when the commissary agreement ends: it is not depreciated and carries no tax</v>
      </c>
      <c r="E21" s="28" t="inlineStr">
        <is>
          <t>No</t>
        </is>
      </c>
    </row>
    <row r="22">
      <c r="A22" s="28" t="inlineStr">
        <is>
          <t>Commissary rent before opening</t>
        </is>
      </c>
      <c r="B22" s="40">
        <f>IFERROR(IF('0. Assumptions'!$B$24="","",'0. Assumptions'!$B$24*'0. Assumptions'!$B$54),"")</f>
        <v>2500.0</v>
      </c>
      <c r="C22" s="68">
        <f>IFERROR(B22/$B$26,"")</f>
        <v>0.013480504494400199</v>
      </c>
      <c r="D22" s="28" t="str">
        <f>IFERROR("Rent "&amp;IF('0. Assumptions'!$B$54=1,"for the month","for the "&amp;TEXT('0. Assumptions'!$B$54,"0")&amp;" months")&amp;" of build-out and permits before opening. It does not overlap the P&amp;L, which starts on opening day: its twelve months are twelve trading months","")</f>
        <v>Rent for the month of build-out and permits before opening. It does not overlap the P&amp;L, which starts on opening day: its twelve months are twelve trading months</v>
      </c>
      <c r="E22" s="28" t="inlineStr">
        <is>
          <t>Yes</t>
        </is>
      </c>
    </row>
    <row r="23">
      <c r="A23" s="28" t="inlineStr">
        <is>
          <t>Van and fit-out contingency</t>
        </is>
      </c>
      <c r="B23" s="40">
        <f>IFERROR(IF(COUNT(B7,B8,B11,B12,B15)=0,"",ROUND((B7+B8+B11+B12+B15)*'0. Assumptions'!$B$55,0)),"")</f>
        <v>4700.0</v>
      </c>
      <c r="C23" s="68">
        <f>IFERROR(B23/$B$26,"")</f>
        <v>0.025343348449472374</v>
      </c>
      <c r="D23" s="28" t="str">
        <f>IFERROR("At "&amp;TEXT('0. Assumptions'!$B$55,"0%")&amp;" of the BUILD-OUT items of this block (used refrigerated van, van upfit, van refrigeration unit, commissary storage fit-out and health plan review), not of the whole block: the other items are left out. No lender funds a build-out without "&amp;"a cushion: the percentage is in ""0. Assumptions""","")</f>
        <v>At 10% of the BUILD-OUT items of this block (used refrigerated van, van upfit, van refrigeration unit, commissary storage fit-out and health plan review), not of the whole block: the other items are left out. No lender funds a build-out without a cushion: the percentage is in "0. Assumptions"</v>
      </c>
      <c r="E23" s="28" t="inlineStr">
        <is>
          <t>Yes</t>
        </is>
      </c>
    </row>
    <row r="24">
      <c r="A24" s="16" t="inlineStr">
        <is>
          <t>WORKING CAPITAL</t>
        </is>
      </c>
      <c r="B24" s="52">
        <f>IFERROR(IF(B25="","",B25),"")</f>
        <v>78253.0</v>
      </c>
      <c r="C24" s="69">
        <f>IFERROR(B24/$B$26,"")</f>
        <v>0.42195596728011947</v>
      </c>
    </row>
    <row r="25">
      <c r="A25" s="35" t="inlineStr">
        <is>
          <t>Operating cushion until break-even</t>
        </is>
      </c>
      <c r="B25" s="42">
        <f>IFERROR(IF('0. Assumptions'!$B$35*('3-Year P&amp;L'!$B$38-'3-Year P&amp;L'!$B$36)=0,"",'0. Assumptions'!$B$35*('3-Year P&amp;L'!$B$38-'3-Year P&amp;L'!$B$36)/12),"")</f>
        <v>78253.0</v>
      </c>
      <c r="C25" s="65">
        <f>IFERROR(B25/$B$26,"")</f>
        <v>0.42195596728011947</v>
      </c>
      <c r="D25"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5" s="35" t="inlineStr">
        <is>
          <t>No</t>
        </is>
      </c>
    </row>
    <row r="26">
      <c r="A26" s="16" t="inlineStr">
        <is>
          <t>TOTAL STARTUP COSTS (sum of the blocks)</t>
        </is>
      </c>
      <c r="B26" s="52">
        <f>IFERROR(B6+B24,"")</f>
        <v>185453.0</v>
      </c>
      <c r="D26" s="37" t="str">
        <f>IFERROR("The percentages in column C are read on this figure, which includes the working capital ("&amp;TEXT(C24,"0%")&amp;" of the total). To compare the breakdown with another plan, use the CAPEX row below.","")</f>
        <v>The percentages in column C are read on this figure, which includes the working capital (42% of the total). To compare the breakdown with another plan, use the CAPEX row below.</v>
      </c>
    </row>
    <row r="27">
      <c r="A27" s="16" t="inlineStr">
        <is>
          <t>CAPEX (startup costs excluding working capital)</t>
        </is>
      </c>
      <c r="B27" s="52">
        <f>IFERROR(B26-B24,"")</f>
        <v>107200.0</v>
      </c>
      <c r="D27" s="16" t="inlineStr">
        <is>
          <t>What you buy: van, upfit, equipment, launch and formation costs. The cash cushion is not an investment: it is working capital</t>
        </is>
      </c>
    </row>
    <row r="28">
      <c r="A28" s="35" t="inlineStr">
        <is>
          <t>Recoverable input tax on capex</t>
        </is>
      </c>
      <c r="B28" s="42">
        <f>IFERROR(IF(B26="","",SUMIF($E$7:$E$23,"Yes",$B$7:$B$23)*'0. Assumptions'!$B$41),"")</f>
        <v>0.0</v>
      </c>
      <c r="D28"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row>
    <row r="29">
      <c r="A29" s="16" t="inlineStr">
        <is>
          <t>TOTAL CASH NEEDED AT LAUNCH</t>
        </is>
      </c>
      <c r="B29" s="52">
        <f>IFERROR(B26+B28,"")</f>
        <v>185453.0</v>
      </c>
      <c r="D29" s="16" t="inlineStr">
        <is>
          <t>This is the figure the Financing tab has to cover</t>
        </is>
      </c>
    </row>
    <row r="30">
      <c r="A30" s="16" t="inlineStr">
        <is>
          <t>DEPRECIATION BASES (not added to startup costs)</t>
        </is>
      </c>
    </row>
    <row r="31">
      <c r="A31" s="35" t="inlineStr">
        <is>
          <t>Van, upfit and fit-out (depreciated over the van life)</t>
        </is>
      </c>
      <c r="B31" s="42">
        <f>IFERROR(IF(B7="","",B7+B8+B11+B12+B15+B23),"")</f>
        <v>51700.0</v>
      </c>
      <c r="D31" t="str">
        <f>IFERROR("Depreciated over "&amp;TEXT('0. Assumptions'!$B$44,"0")&amp;" years","")</f>
        <v>Depreciated over 5 years</v>
      </c>
    </row>
    <row r="32">
      <c r="A32" s="35" t="inlineStr">
        <is>
          <t>Machinery, furniture and equipment</t>
        </is>
      </c>
      <c r="B32" s="42">
        <f>IFERROR(IF(B9="","",B9+B10+B16+B17+B20),"")</f>
        <v>33000.0</v>
      </c>
      <c r="D32" t="str">
        <f>IFERROR("Depreciated over "&amp;TEXT('0. Assumptions'!$B$45,"0")&amp;" years","")</f>
        <v>Depreciated over 7 years</v>
      </c>
    </row>
    <row r="33">
      <c r="A33" s="16" t="inlineStr">
        <is>
          <t>Annual depreciation of fixed assets</t>
        </is>
      </c>
      <c r="B33" s="52">
        <f>IFERROR(B31/MAX(1,'0. Assumptions'!$B$44)+B32/MAX(1,'0. Assumptions'!$B$45),"")</f>
        <v>15054.285714285714</v>
      </c>
      <c r="D33" s="37" t="str">
        <f>IFERROR("Not depreciated, because they are not fixed assets: LLC formation and legal, first-year permits, opening inventory, website, photography and launch marketing, the commissary deposit, pre-opening commissary rent and the working capital "&amp;"reserve. They add up to "&amp;TEXT(B26-B31-B32,"#,##0")&amp;" of the "&amp;TEXT(B26,"#,##0")&amp;" total investment.","")</f>
        <v>Not depreciated, because they are not fixed assets: LLC formation and legal, first-year permits, opening inventory, website, photography and launch marketing, the commissary deposit, pre-opening commissary rent and the working capital reserve. They add up to 100753 of the 185453 total investment.</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PRO FORMA P&amp;L — 3 YEARS</t>
        </is>
      </c>
    </row>
    <row r="2">
      <c r="A2" s="3" t="inlineStr">
        <is>
          <t>Base case — full-service event caterer</t>
        </is>
      </c>
    </row>
    <row r="4">
      <c r="A4" s="39" t="inlineStr">
        <is>
          <t>Item</t>
        </is>
      </c>
      <c r="B4" s="39" t="inlineStr">
        <is>
          <t>Year 1</t>
        </is>
      </c>
      <c r="C4" s="39" t="inlineStr">
        <is>
          <t>Year 2</t>
        </is>
      </c>
      <c r="D4" s="39" t="inlineStr">
        <is>
          <t>Year 3</t>
        </is>
      </c>
      <c r="E4" s="39" t="inlineStr">
        <is>
          <t>% of sales (year 1)</t>
        </is>
      </c>
      <c r="F4" s="39" t="inlineStr">
        <is>
          <t>Notes</t>
        </is>
      </c>
      <c r="G4" s="39" t="inlineStr">
        <is>
          <t>Sales tax rate on the line (%)</t>
        </is>
      </c>
      <c r="H4" s="28" t="n"/>
    </row>
    <row r="5">
      <c r="A5" s="25" t="inlineStr">
        <is>
          <t>REVENUE</t>
        </is>
      </c>
      <c r="B5" s="28" t="n"/>
      <c r="C5" s="28" t="n"/>
      <c r="D5" s="28" t="n"/>
      <c r="E5" s="28" t="n"/>
      <c r="F5" s="28" t="n"/>
      <c r="G5" s="28" t="n"/>
      <c r="H5" s="28" t="n"/>
    </row>
    <row r="6">
      <c r="A6" s="28" t="inlineStr">
        <is>
          <t>Events per year (average)</t>
        </is>
      </c>
      <c r="B6" s="40">
        <f>IFERROR(IF('0. Assumptions'!$B$4="","",'0. Assumptions'!$B$4),"")</f>
        <v>180.0</v>
      </c>
      <c r="C6" s="40">
        <f>IFERROR(B6*(1+'0. Assumptions'!$B$7),"")</f>
        <v>206.99999999999997</v>
      </c>
      <c r="D6" s="40">
        <f>IFERROR(C6*(1+'0. Assumptions'!$B$8),"")</f>
        <v>227.7</v>
      </c>
      <c r="E6" s="28" t="n"/>
      <c r="F6" s="28" t="inlineStr">
        <is>
          <t>Growth for years 2 and 3 is set in "0. Assumptions"</t>
        </is>
      </c>
      <c r="G6" s="28" t="n"/>
      <c r="H6" s="28" t="n"/>
    </row>
    <row r="7">
      <c r="A7" s="28" t="inlineStr">
        <is>
          <t>Average price per guest (excl. sales tax)</t>
        </is>
      </c>
      <c r="B7" s="61">
        <f>IFERROR(IF('0. Assumptions'!$B$5="","",'0. Assumptions'!$B$5),"")</f>
        <v>60.0</v>
      </c>
      <c r="C7" s="61">
        <f>IFERROR(IF(B7="","",B7),"")</f>
        <v>60.0</v>
      </c>
      <c r="D7" s="61">
        <f>IFERROR(IF(C7="","",C7),"")</f>
        <v>60.0</v>
      </c>
      <c r="E7" s="28" t="n"/>
      <c r="F7" s="28" t="inlineStr">
        <is>
          <t>Held constant at year-1 prices: a price increase is a separate decision</t>
        </is>
      </c>
      <c r="G7" s="28" t="n"/>
      <c r="H7" s="28" t="n"/>
    </row>
    <row r="8">
      <c r="A8" s="28" t="inlineStr">
        <is>
          <t>Average guests per event</t>
        </is>
      </c>
      <c r="B8" s="40">
        <f>IFERROR(IF('0. Assumptions'!$B$6="","",'0. Assumptions'!$B$6),"")</f>
        <v>60.0</v>
      </c>
      <c r="C8" s="40">
        <f>IFERROR(IF(B8="","",B8),"")</f>
        <v>60.0</v>
      </c>
      <c r="D8" s="40">
        <f>IFERROR(IF(C8="","",C8),"")</f>
        <v>60.0</v>
      </c>
      <c r="E8" s="28" t="n"/>
      <c r="F8" s="28" t="n"/>
      <c r="G8" s="28" t="n"/>
      <c r="H8" s="28" t="n"/>
    </row>
    <row r="9">
      <c r="A9" s="25" t="inlineStr">
        <is>
          <t>TOTAL REVENUE (excl. sales tax)</t>
        </is>
      </c>
      <c r="B9" s="66">
        <f>IFERROR(IF(B6*B7*B8=0,"",B6*B7*B8),"")</f>
        <v>648000.0</v>
      </c>
      <c r="C9" s="66">
        <f>IFERROR(IF(C6*C7*C8=0,"",C6*C7*C8),"")</f>
        <v>745199.9999999999</v>
      </c>
      <c r="D9" s="66">
        <f>IFERROR(IF(D6*D7*D8=0,"",D6*D7*D8),"")</f>
        <v>819720.0</v>
      </c>
      <c r="E9" s="67">
        <f>IFERROR(IF(B9="","",1),"")</f>
        <v>1.0</v>
      </c>
      <c r="F9" s="28" t="n"/>
      <c r="G9" s="28" t="n"/>
      <c r="H9" s="28" t="n"/>
    </row>
    <row r="10">
      <c r="A10" s="28" t="inlineStr">
        <is>
          <t>Food sales (drop-off, buffets, plated and stations)</t>
        </is>
      </c>
      <c r="B10" s="40">
        <f>IFERROR(IF(B9="","",B9*$E$10),"")</f>
        <v>570240.0</v>
      </c>
      <c r="C10" s="40">
        <f>IFERROR(IF(C9="","",C9*$E$10),"")</f>
        <v>655775.9999999999</v>
      </c>
      <c r="D10" s="40">
        <f>IFERROR(IF(D9="","",D9*$E$10),"")</f>
        <v>721353.6</v>
      </c>
      <c r="E10" s="68">
        <f>IFERROR(IF('0. Assumptions'!$B$11="","",'0. Assumptions'!$B$11),"")</f>
        <v>0.88</v>
      </c>
      <c r="F10" s="28" t="inlineStr">
        <is>
          <t>Food sold at your events: corporate drop-offs and buffets, weddings, parties and chef-attended stations. All of it carries cost of goods sold at the same food rate.</t>
        </is>
      </c>
      <c r="G10" s="68">
        <f>IFERROR(IF(B9="","",'0. Assumptions'!$B$39),"")</f>
        <v>0.08</v>
      </c>
      <c r="H10" s="28" t="n"/>
    </row>
    <row r="11">
      <c r="A11" s="28" t="inlineStr">
        <is>
          <t>Beverage sales (coffee, iced tea, lemonade and soft drinks)</t>
        </is>
      </c>
      <c r="B11" s="40">
        <f>IFERROR(IF(B9="","",B9*$E$11),"")</f>
        <v>77760.0</v>
      </c>
      <c r="C11" s="40">
        <f>IFERROR(IF(C9="","",C9*$E$11),"")</f>
        <v>89423.99999999999</v>
      </c>
      <c r="D11" s="40">
        <f>IFERROR(IF(D9="","",D9*$E$11),"")</f>
        <v>98366.4</v>
      </c>
      <c r="E11" s="68">
        <f>IFERROR(IF('0. Assumptions'!$B$12="","",'0. Assumptions'!$B$12),"")</f>
        <v>0.12</v>
      </c>
      <c r="F11" s="28" t="inlineStr">
        <is>
          <t>Non-alcoholic drinks sold with the menu. The client buys any alcohol, so there is no bar revenue.</t>
        </is>
      </c>
      <c r="G11" s="68">
        <f>IFERROR(IF(B9="","",('0. Assumptions'!$B$62*((1-'0. Assumptions'!$B$16)*'0. Assumptions'!$B$63+'0. Assumptions'!$B$16*'0. Assumptions'!$B$40)+(1-'0. Assumptions'!$B$62)*'0. Assumptions'!$B$39)),"")</f>
        <v>0.08</v>
      </c>
      <c r="H11" s="28" t="n"/>
    </row>
    <row r="12">
      <c r="A12" s="25" t="inlineStr">
        <is>
          <t>VARIABLE COSTS</t>
        </is>
      </c>
      <c r="B12" s="28" t="n"/>
      <c r="C12" s="28" t="n"/>
      <c r="D12" s="28" t="n"/>
      <c r="E12" s="28" t="n"/>
      <c r="F12" s="28" t="n"/>
      <c r="G12" s="28" t="n"/>
      <c r="H12" s="28" t="n"/>
    </row>
    <row r="13">
      <c r="A13" s="28" t="inlineStr">
        <is>
          <t>Cost of goods sold — food</t>
        </is>
      </c>
      <c r="B13" s="40">
        <f>IFERROR(IF(B9="","",B9*'0. Assumptions'!$B$11*'0. Assumptions'!$B$13),"")</f>
        <v>171072.0</v>
      </c>
      <c r="C13" s="40">
        <f>IFERROR(IF(C9="","",C9*'0. Assumptions'!$B$11*'0. Assumptions'!$B$13),"")</f>
        <v>196732.79999999996</v>
      </c>
      <c r="D13" s="40">
        <f>IFERROR(IF(D9="","",D9*'0. Assumptions'!$B$11*'0. Assumptions'!$B$13),"")</f>
        <v>216406.08</v>
      </c>
      <c r="E13" s="68">
        <f>IFERROR(B13/$B$9,"")</f>
        <v>0.264</v>
      </c>
      <c r="F13" s="28" t="str">
        <f>IFERROR("At "&amp;TEXT('0. Assumptions'!$B$13,"0%")&amp;" of FOOD sales, not of total sales: beverages have their own line","")</f>
        <v>At 30% of FOOD sales, not of total sales: beverages have their own line</v>
      </c>
      <c r="G13" s="68">
        <f>IFERROR(IF(B9="","",'0. Assumptions'!$B$41),"")</f>
        <v>0.0</v>
      </c>
      <c r="H13" s="28" t="n"/>
    </row>
    <row r="14">
      <c r="A14" s="28" t="inlineStr">
        <is>
          <t>Cost of goods sold — beverage</t>
        </is>
      </c>
      <c r="B14" s="40">
        <f>IFERROR(IF(B9="","",B9*'0. Assumptions'!$B$12*'0. Assumptions'!$B$14),"")</f>
        <v>19440.0</v>
      </c>
      <c r="C14" s="40">
        <f>IFERROR(IF(C9="","",C9*'0. Assumptions'!$B$12*'0. Assumptions'!$B$14),"")</f>
        <v>22355.999999999996</v>
      </c>
      <c r="D14" s="40">
        <f>IFERROR(IF(D9="","",D9*'0. Assumptions'!$B$12*'0. Assumptions'!$B$14),"")</f>
        <v>24591.6</v>
      </c>
      <c r="E14" s="68">
        <f>IFERROR(B14/$B$9,"")</f>
        <v>0.03</v>
      </c>
      <c r="F14" s="28" t="str">
        <f>IFERROR("At "&amp;TEXT('0. Assumptions'!$B$14,"0%")&amp;" of BEVERAGE sales","")</f>
        <v>At 25% of BEVERAGE sales</v>
      </c>
      <c r="G14" s="68">
        <f>IFERROR(IF(B9="","",'0. Assumptions'!$B$41),"")</f>
        <v>0.0</v>
      </c>
      <c r="H14" s="28" t="n"/>
    </row>
    <row r="15">
      <c r="A15" s="28" t="inlineStr">
        <is>
          <t>Disposables and packaging</t>
        </is>
      </c>
      <c r="B15" s="40">
        <f>IFERROR(IF(B9="","",B9*'0. Assumptions'!$B$15),"")</f>
        <v>19440.0</v>
      </c>
      <c r="C15" s="40">
        <f>IFERROR(IF(C9="","",C9*'0. Assumptions'!$B$15),"")</f>
        <v>22355.999999999996</v>
      </c>
      <c r="D15" s="40">
        <f>IFERROR(IF(D9="","",D9*'0. Assumptions'!$B$15),"")</f>
        <v>24591.6</v>
      </c>
      <c r="E15" s="68">
        <f>IFERROR(B15/$B$9,"")</f>
        <v>0.03</v>
      </c>
      <c r="F15" s="28" t="n"/>
      <c r="G15" s="68">
        <f>IFERROR(IF(B9="","",'0. Assumptions'!$B$41),"")</f>
        <v>0.0</v>
      </c>
      <c r="H15" s="28" t="n"/>
    </row>
    <row r="16">
      <c r="A16" s="28" t="inlineStr">
        <is>
          <t>Corporate marketplace commissions</t>
        </is>
      </c>
      <c r="B16" s="40">
        <f>IFERROR(IF(B9="","",B9*'0. Assumptions'!$B$16*'0. Assumptions'!$B$17),"")</f>
        <v>9720.0</v>
      </c>
      <c r="C16" s="40">
        <f>IFERROR(IF(C9="","",C9*'0. Assumptions'!$B$16*'0. Assumptions'!$B$17),"")</f>
        <v>11177.999999999998</v>
      </c>
      <c r="D16" s="40">
        <f>IFERROR(IF(D9="","",D9*'0. Assumptions'!$B$16*'0. Assumptions'!$B$17),"")</f>
        <v>12295.8</v>
      </c>
      <c r="E16" s="68">
        <f>IFERROR(B16/$B$9,"")</f>
        <v>0.015</v>
      </c>
      <c r="F16" s="28" t="inlineStr">
        <is>
          <t>Applied to the sales of THAT CHANNEL. With 0% corporate catering marketplace sales in Assumptions, this line is zero</t>
        </is>
      </c>
      <c r="G16" s="68">
        <f>IFERROR(IF(B9="","",'0. Assumptions'!$B$41),"")</f>
        <v>0.0</v>
      </c>
      <c r="H16" s="28" t="n"/>
    </row>
    <row r="17">
      <c r="A17" s="28" t="inlineStr">
        <is>
          <t>Card processing fees</t>
        </is>
      </c>
      <c r="B17" s="40">
        <f>IFERROR(IF(B9="","",B9*'0. Assumptions'!$B$18),"")</f>
        <v>16200.0</v>
      </c>
      <c r="C17" s="40">
        <f>IFERROR(IF(C9="","",C9*'0. Assumptions'!$B$18),"")</f>
        <v>18629.999999999996</v>
      </c>
      <c r="D17" s="40">
        <f>IFERROR(IF(D9="","",D9*'0. Assumptions'!$B$18),"")</f>
        <v>20493.0</v>
      </c>
      <c r="E17" s="68">
        <f>IFERROR(B17/$B$9,"")</f>
        <v>0.025</v>
      </c>
      <c r="F17" s="28" t="inlineStr">
        <is>
          <t>Card processing fees are not subject to sales tax: no tax is recovered or deducted for them</t>
        </is>
      </c>
      <c r="G17" s="68" t="n">
        <v>0</v>
      </c>
      <c r="H17" s="28" t="n"/>
    </row>
    <row r="18">
      <c r="A18" s="28" t="inlineStr">
        <is>
          <t>Miscellaneous and contingency</t>
        </is>
      </c>
      <c r="B18" s="40">
        <f>IFERROR(IF(B9="","",B9*'0. Assumptions'!$B$28),"")</f>
        <v>19440.0</v>
      </c>
      <c r="C18" s="40">
        <f>IFERROR(IF(C9="","",C9*'0. Assumptions'!$B$28),"")</f>
        <v>22355.999999999996</v>
      </c>
      <c r="D18" s="40">
        <f>IFERROR(IF(D9="","",D9*'0. Assumptions'!$B$28),"")</f>
        <v>24591.6</v>
      </c>
      <c r="E18" s="68">
        <f>IFERROR(B18/$B$9,"")</f>
        <v>0.03</v>
      </c>
      <c r="F18" s="28" t="str">
        <f>IFERROR("At "&amp;TEXT('0. Assumptions'!$B$28,"0%")&amp;" of sales: van fuel for each trip to the venues plus a cushion for unbudgeted running costs. It is a VARIABLE cost: it moves with the number of events, so it cannot sit in fixed costs (van maintenance and inspections are in row 27)","")</f>
        <v>At 3% of sales: van fuel for each trip to the venues plus a cushion for unbudgeted running costs. It is a VARIABLE cost: it moves with the number of events, so it cannot sit in fixed costs (van maintenance and inspections are in row 27)</v>
      </c>
      <c r="G18" s="68">
        <f>IFERROR(IF(B9="","",'0. Assumptions'!$B$41),"")</f>
        <v>0.0</v>
      </c>
      <c r="H18" s="28" t="n"/>
    </row>
    <row r="19">
      <c r="A19" s="25" t="inlineStr">
        <is>
          <t>TOTAL VARIABLE COSTS</t>
        </is>
      </c>
      <c r="B19" s="66">
        <f>IFERROR(IF(B9="","",SUM(B13:B18)),"")</f>
        <v>255312.0</v>
      </c>
      <c r="C19" s="66">
        <f>IFERROR(IF(C9="","",SUM(C13:C18)),"")</f>
        <v>293608.79999999993</v>
      </c>
      <c r="D19" s="66">
        <f>IFERROR(IF(D9="","",SUM(D13:D18)),"")</f>
        <v>322969.68</v>
      </c>
      <c r="E19" s="67">
        <f>IFERROR(B19/$B$9,"")</f>
        <v>0.394</v>
      </c>
      <c r="F19" s="28" t="n"/>
      <c r="G19" s="28" t="n"/>
      <c r="H19" s="28" t="n"/>
    </row>
    <row r="20">
      <c r="A20" s="25" t="inlineStr">
        <is>
          <t>GROSS MARGIN</t>
        </is>
      </c>
      <c r="B20" s="66">
        <f>IFERROR(IF(B9="","",B9-B19),"")</f>
        <v>392688.0</v>
      </c>
      <c r="C20" s="66">
        <f>IFERROR(IF(C9="","",C9-C19),"")</f>
        <v>451591.19999999995</v>
      </c>
      <c r="D20" s="66">
        <f>IFERROR(IF(D9="","",D9-D19),"")</f>
        <v>496750.32</v>
      </c>
      <c r="E20" s="67">
        <f>IFERROR(B20/$B$9,"")</f>
        <v>0.606</v>
      </c>
      <c r="F20" s="28" t="n"/>
      <c r="G20" s="28" t="n"/>
      <c r="H20" s="28" t="n"/>
    </row>
    <row r="21">
      <c r="A21" s="25" t="inlineStr">
        <is>
          <t>FIXED COSTS</t>
        </is>
      </c>
      <c r="B21" s="28" t="n"/>
      <c r="C21" s="28" t="n"/>
      <c r="D21" s="28" t="n"/>
      <c r="E21" s="28" t="n"/>
      <c r="F21" s="28" t="n"/>
      <c r="G21" s="28" t="n"/>
      <c r="H21" s="28" t="n"/>
    </row>
    <row r="22">
      <c r="A22" s="28" t="inlineStr">
        <is>
          <t>Commissary kitchen rent &amp; van parking</t>
        </is>
      </c>
      <c r="B22" s="40">
        <f>IFERROR(IF(B9="","",'0. Assumptions'!$B$24*12),"")</f>
        <v>30000.0</v>
      </c>
      <c r="C22" s="40">
        <f>IFERROR(IF(C9="","",B22*(1+'0. Assumptions'!$B$48)),"")</f>
        <v>30000.0</v>
      </c>
      <c r="D22" s="40">
        <f>IFERROR(IF(D9="","",C22*(1+'0. Assumptions'!$B$48)),"")</f>
        <v>30000.0</v>
      </c>
      <c r="E22" s="68">
        <f>IFERROR(B22/$B$9,"")</f>
        <v>0.046296296296296294</v>
      </c>
      <c r="F22" s="28" t="inlineStr">
        <is>
          <t>The monthly amount is typed in "0. Assumptions"; here it is multiplied by twelve. It covers your commissary hours, storage and the van's parking spot, not storefront rent. The months before opening are on the "Startup Costs" tab and are NOT counted twice.</t>
        </is>
      </c>
      <c r="G22" s="68">
        <f>IFERROR(IF(B9="","",'0. Assumptions'!$B$41),"")</f>
        <v>0.0</v>
      </c>
      <c r="H22" s="28" t="n"/>
    </row>
    <row r="23">
      <c r="A23" s="28" t="inlineStr">
        <is>
          <t>Labor (wages + employer payroll taxes)</t>
        </is>
      </c>
      <c r="B23" s="40">
        <f>IFERROR(IF(B9="","",Staffing!$G$9),"")</f>
        <v>223212.0</v>
      </c>
      <c r="C23" s="40">
        <f>IFERROR(IF(C9="","",Staffing!$B$13),"")</f>
        <v>231212.0</v>
      </c>
      <c r="D23" s="40">
        <f>IFERROR(IF(D9="","",Staffing!$B$14),"")</f>
        <v>239212.0</v>
      </c>
      <c r="E23" s="68">
        <f>IFERROR(B23/$B$9,"")</f>
        <v>0.34446296296296297</v>
      </c>
      <c r="F23" s="28" t="inlineStr">
        <is>
          <t>Comes from the Staffing tab: it is the SAME number, not a separate estimate. Years 2 and 3 add the new hires declared on that tab, not a percentage of volume</t>
        </is>
      </c>
      <c r="G23" s="68" t="n">
        <v>0</v>
      </c>
      <c r="H23" s="28" t="n"/>
    </row>
    <row r="24">
      <c r="A24" s="28" t="inlineStr">
        <is>
          <t>Utilities (electricity, water, gas)</t>
        </is>
      </c>
      <c r="B24" s="40">
        <f>IFERROR(IF(B9="","",'0. Assumptions'!$B$26*12),"")</f>
        <v>3000.0</v>
      </c>
      <c r="C24" s="40">
        <f>IFERROR(IF(C9="","",B24*(1+'0. Assumptions'!$B$48)),"")</f>
        <v>3000.0</v>
      </c>
      <c r="D24" s="40">
        <f>IFERROR(IF(D9="","",C24*(1+'0. Assumptions'!$B$48)),"")</f>
        <v>3000.0</v>
      </c>
      <c r="E24" s="68">
        <f>IFERROR(B24/$B$9,"")</f>
        <v>0.004629629629629629</v>
      </c>
      <c r="F24" s="28" t="inlineStr">
        <is>
          <t>Generator and portable-burner fuel, plus water and utility costs that the commissary fee does not cover.</t>
        </is>
      </c>
      <c r="G24" s="68">
        <f>IFERROR(IF(B9="","",'0. Assumptions'!$B$41),"")</f>
        <v>0.0</v>
      </c>
      <c r="H24" s="28" t="n"/>
    </row>
    <row r="25">
      <c r="A25" s="28" t="inlineStr">
        <is>
          <t>Insurance (general liability + property / auto)</t>
        </is>
      </c>
      <c r="B25" s="40">
        <f>IFERROR(IF(B9="","",'0. Assumptions'!$B$27),"")</f>
        <v>6000.0</v>
      </c>
      <c r="C25" s="40">
        <f>IFERROR(IF(C9="","",B25*(1+'0. Assumptions'!$B$48)),"")</f>
        <v>6000.0</v>
      </c>
      <c r="D25" s="40">
        <f>IFERROR(IF(D9="","",C25*(1+'0. Assumptions'!$B$48)),"")</f>
        <v>6000.0</v>
      </c>
      <c r="E25" s="68">
        <f>IFERROR(B25/$B$9,"")</f>
        <v>0.009259259259259259</v>
      </c>
      <c r="F25" s="28" t="inlineStr">
        <is>
          <t>Insurance premiums are not subject to sales tax: there is no recoverable tax on them</t>
        </is>
      </c>
      <c r="G25" s="68" t="n">
        <v>0</v>
      </c>
      <c r="H25" s="28" t="n"/>
    </row>
    <row r="26">
      <c r="A26" s="28" t="inlineStr">
        <is>
          <t>Annual permits and licenses (catering permit, business license)</t>
        </is>
      </c>
      <c r="B26" s="49" t="n">
        <v>1500</v>
      </c>
      <c r="C26" s="40">
        <f>IFERROR(IF(C9="","",B26*(1+'0. Assumptions'!$B$48)),"")</f>
        <v>1500.0</v>
      </c>
      <c r="D26" s="40">
        <f>IFERROR(IF(D9="","",C26*(1+'0. Assumptions'!$B$48)),"")</f>
        <v>1500.0</v>
      </c>
      <c r="E26" s="68">
        <f>IFERROR(B26/$B$9,"")</f>
        <v>0.0023148148148148147</v>
      </c>
      <c r="F26" s="28" t="n"/>
      <c r="G26" s="68">
        <f>IFERROR(IF(B9="","",'0. Assumptions'!$B$41),"")</f>
        <v>0.0</v>
      </c>
      <c r="H26" s="28" t="n"/>
    </row>
    <row r="27">
      <c r="A27" s="28" t="inlineStr">
        <is>
          <t>Van maintenance, repairs and inspections</t>
        </is>
      </c>
      <c r="B27" s="49" t="n">
        <v>6000</v>
      </c>
      <c r="C27" s="40">
        <f>IFERROR(IF(C9="","",B27*(1+'0. Assumptions'!$B$48)),"")</f>
        <v>6000.0</v>
      </c>
      <c r="D27" s="40">
        <f>IFERROR(IF(D9="","",C27*(1+'0. Assumptions'!$B$48)),"")</f>
        <v>6000.0</v>
      </c>
      <c r="E27" s="68">
        <f>IFERROR(B27/$B$9,"")</f>
        <v>0.009259259259259259</v>
      </c>
      <c r="F27" s="28" t="n"/>
      <c r="G27" s="68">
        <f>IFERROR(IF(B9="","",'0. Assumptions'!$B$41),"")</f>
        <v>0.0</v>
      </c>
      <c r="H27" s="28" t="n"/>
    </row>
    <row r="28">
      <c r="A28" s="28" t="inlineStr">
        <is>
          <t>Marketing and advertising</t>
        </is>
      </c>
      <c r="B28" s="49" t="n">
        <v>12000</v>
      </c>
      <c r="C28" s="40">
        <f>IFERROR(IF(C9="","",B28*(1+'0. Assumptions'!$B$48)),"")</f>
        <v>12000.0</v>
      </c>
      <c r="D28" s="40">
        <f>IFERROR(IF(D9="","",C28*(1+'0. Assumptions'!$B$48)),"")</f>
        <v>12000.0</v>
      </c>
      <c r="E28" s="68">
        <f>IFERROR(B28/$B$9,"")</f>
        <v>0.018518518518518517</v>
      </c>
      <c r="F28" s="28" t="n"/>
      <c r="G28" s="68">
        <f>IFERROR(IF(B9="","",'0. Assumptions'!$B$41),"")</f>
        <v>0.0</v>
      </c>
      <c r="H28" s="28" t="n"/>
    </row>
    <row r="29">
      <c r="A29" s="28" t="inlineStr">
        <is>
          <t>Accounting / bookkeeping</t>
        </is>
      </c>
      <c r="B29" s="49" t="n">
        <v>3600</v>
      </c>
      <c r="C29" s="40">
        <f>IFERROR(IF(C9="","",B29*(1+'0. Assumptions'!$B$48)),"")</f>
        <v>3600.0</v>
      </c>
      <c r="D29" s="40">
        <f>IFERROR(IF(D9="","",C29*(1+'0. Assumptions'!$B$48)),"")</f>
        <v>3600.0</v>
      </c>
      <c r="E29" s="68">
        <f>IFERROR(B29/$B$9,"")</f>
        <v>0.005555555555555556</v>
      </c>
      <c r="F29" s="28" t="n"/>
      <c r="G29" s="68">
        <f>IFERROR(IF(B9="","",'0. Assumptions'!$B$41),"")</f>
        <v>0.0</v>
      </c>
      <c r="H29" s="28" t="n"/>
    </row>
    <row r="30">
      <c r="A30" s="28" t="inlineStr">
        <is>
          <t>Software (catering, POS, website, social)</t>
        </is>
      </c>
      <c r="B30" s="49" t="n">
        <v>3000</v>
      </c>
      <c r="C30" s="40">
        <f>IFERROR(IF(C9="","",B30*(1+'0. Assumptions'!$B$48)),"")</f>
        <v>3000.0</v>
      </c>
      <c r="D30" s="40">
        <f>IFERROR(IF(D9="","",C30*(1+'0. Assumptions'!$B$48)),"")</f>
        <v>3000.0</v>
      </c>
      <c r="E30" s="68">
        <f>IFERROR(B30/$B$9,"")</f>
        <v>0.004629629629629629</v>
      </c>
      <c r="F30" s="28" t="n"/>
      <c r="G30" s="68">
        <f>IFERROR(IF(B9="","",'0. Assumptions'!$B$41),"")</f>
        <v>0.0</v>
      </c>
      <c r="H30" s="28" t="n"/>
    </row>
    <row r="31">
      <c r="A31" s="28" t="inlineStr">
        <is>
          <t>Cleaning supplies</t>
        </is>
      </c>
      <c r="B31" s="49" t="n">
        <v>4800</v>
      </c>
      <c r="C31" s="40">
        <f>IFERROR(IF(C9="","",B31*(1+'0. Assumptions'!$B$48)),"")</f>
        <v>4800.0</v>
      </c>
      <c r="D31" s="40">
        <f>IFERROR(IF(D9="","",C31*(1+'0. Assumptions'!$B$48)),"")</f>
        <v>4800.0</v>
      </c>
      <c r="E31" s="68">
        <f>IFERROR(B31/$B$9,"")</f>
        <v>0.007407407407407408</v>
      </c>
      <c r="F31" s="28" t="n"/>
      <c r="G31" s="68">
        <f>IFERROR(IF(B9="","",'0. Assumptions'!$B$41),"")</f>
        <v>0.0</v>
      </c>
      <c r="H31" s="28" t="n"/>
    </row>
    <row r="32">
      <c r="A32" s="28" t="inlineStr">
        <is>
          <t>Waste and grease disposal (organic waste, cardboard and used cooking oil)</t>
        </is>
      </c>
      <c r="B32" s="49" t="n">
        <v>1200</v>
      </c>
      <c r="C32" s="40">
        <f>IFERROR(IF(C9="","",B32*(1+'0. Assumptions'!$B$48)),"")</f>
        <v>1200.0</v>
      </c>
      <c r="D32" s="40">
        <f>IFERROR(IF(D9="","",C32*(1+'0. Assumptions'!$B$48)),"")</f>
        <v>1200.0</v>
      </c>
      <c r="E32" s="68">
        <f>IFERROR(B32/$B$9,"")</f>
        <v>0.001851851851851852</v>
      </c>
      <c r="F32" s="28" t="inlineStr">
        <is>
          <t>Licensed hauler. Ask the commissary first: many include trash and grease pickup in the fee. If yours does not, get a quote in your area.</t>
        </is>
      </c>
      <c r="G32" s="68">
        <f>IFERROR(IF(B9="","",'0. Assumptions'!$B$41),"")</f>
        <v>0.0</v>
      </c>
      <c r="H32" s="28" t="n"/>
    </row>
    <row r="33">
      <c r="A33" s="28" t="inlineStr">
        <is>
          <t>Pest control</t>
        </is>
      </c>
      <c r="B33" s="49" t="n">
        <v>300</v>
      </c>
      <c r="C33" s="40">
        <f>IFERROR(IF(C9="","",B33*(1+'0. Assumptions'!$B$48)),"")</f>
        <v>300.0</v>
      </c>
      <c r="D33" s="40">
        <f>IFERROR(IF(D9="","",C33*(1+'0. Assumptions'!$B$48)),"")</f>
        <v>300.0</v>
      </c>
      <c r="E33" s="68">
        <f>IFERROR(B33/$B$9,"")</f>
        <v>0.000462962962962963</v>
      </c>
      <c r="F33" s="28" t="inlineStr">
        <is>
          <t>A licensed pest control company, usually arranged through the commissary. It is part of the HACCP-based food safety plan your checklist asks for in the staff phase.</t>
        </is>
      </c>
      <c r="G33" s="68">
        <f>IFERROR(IF(B9="","",'0. Assumptions'!$B$41),"")</f>
        <v>0.0</v>
      </c>
      <c r="H33" s="28" t="n"/>
    </row>
    <row r="34">
      <c r="A34" s="28" t="inlineStr">
        <is>
          <t>Food safety and alcohol service training (ServSafe, TIPS)</t>
        </is>
      </c>
      <c r="B34" s="49" t="n">
        <v>800</v>
      </c>
      <c r="C34" s="40">
        <f>IFERROR(IF(C9="","",B34*(1+'0. Assumptions'!$B$48)),"")</f>
        <v>800.0</v>
      </c>
      <c r="D34" s="40">
        <f>IFERROR(IF(D9="","",C34*(1+'0. Assumptions'!$B$48)),"")</f>
        <v>800.0</v>
      </c>
      <c r="E34" s="68">
        <f>IFERROR(B34/$B$9,"")</f>
        <v>0.0012345679012345679</v>
      </c>
      <c r="F34" s="28" t="inlineStr">
        <is>
          <t>Food handler cards and a Certified Food Protection Manager course for you and your team, alcohol server certification (TIPS or TABC) for the bartenders you staff, plus OSHA basics. The required cards vary by state.</t>
        </is>
      </c>
      <c r="G34" s="68">
        <f>IFERROR(IF(B9="","",'0. Assumptions'!$B$41),"")</f>
        <v>0.0</v>
      </c>
      <c r="H34" s="28" t="n"/>
    </row>
    <row r="35">
      <c r="A35" s="28" t="inlineStr">
        <is>
          <t>Tastings for prospects</t>
        </is>
      </c>
      <c r="B35" s="49" t="n">
        <v>3000</v>
      </c>
      <c r="C35" s="40">
        <f>IFERROR(IF(C9="","",B35*(1+'0. Assumptions'!$B$48)),"")</f>
        <v>3000.0</v>
      </c>
      <c r="D35" s="40">
        <f>IFERROR(IF(D9="","",C35*(1+'0. Assumptions'!$B$48)),"")</f>
        <v>3000.0</v>
      </c>
      <c r="E35" s="68">
        <f>IFERROR(B35/$B$9,"")</f>
        <v>0.004629629629629629</v>
      </c>
      <c r="F35" s="28" t="inlineStr">
        <is>
          <t>Food cost and labor for the tastings you offer wedding and corporate prospects. Many caterers charge a fee and credit it toward the booking: if you do, lower this line.</t>
        </is>
      </c>
      <c r="G35" s="68">
        <f>IFERROR(IF(B9="","",'0. Assumptions'!$B$41),"")</f>
        <v>0.0</v>
      </c>
      <c r="H35" s="28" t="n"/>
    </row>
    <row r="36">
      <c r="A36" s="28" t="inlineStr">
        <is>
          <t>Depreciation of fixed assets</t>
        </is>
      </c>
      <c r="B36" s="40">
        <f>IFERROR(IF(B9="","",'Startup Costs'!$B$33),"")</f>
        <v>15054.285714285714</v>
      </c>
      <c r="C36" s="40">
        <f>IFERROR(IF(C9="","",B36),"")</f>
        <v>15054.285714285714</v>
      </c>
      <c r="D36" s="40">
        <f>IFERROR(IF(D9="","",B36),"")</f>
        <v>15054.285714285714</v>
      </c>
      <c r="E36" s="68">
        <f>IFERROR(B36/$B$9,"")</f>
        <v>0.023231922398589063</v>
      </c>
      <c r="F36" s="28" t="inlineStr">
        <is>
          <t>Comes from the depreciation bases on the Startup Costs tab: real fixed assets only. It does NOT rise with inflation: it is a charge on the HISTORICAL cost of the assets</t>
        </is>
      </c>
      <c r="G36" s="68" t="n">
        <v>0</v>
      </c>
      <c r="H36" s="28" t="n"/>
    </row>
    <row r="37">
      <c r="A37" s="28" t="inlineStr">
        <is>
          <t>Interest expense (loan interest)</t>
        </is>
      </c>
      <c r="B37" s="40">
        <f>IFERROR(IF(B9="","",Financing!$B$44),"")</f>
        <v>14600.0</v>
      </c>
      <c r="C37" s="40">
        <f>IFERROR(IF(C9="","",Financing!$B$46),"")</f>
        <v>13061.079704371305</v>
      </c>
      <c r="D37" s="40">
        <f>IFERROR(IF(D9="","",Financing!$B$48),"")</f>
        <v>11368.26737917974</v>
      </c>
      <c r="E37" s="68">
        <f>IFERROR(B37/$B$9,"")</f>
        <v>0.022530864197530864</v>
      </c>
      <c r="F37" s="28" t="inlineStr">
        <is>
          <t>Only INTEREST is an expense. Principal repaid appears on the cash flow tab</t>
        </is>
      </c>
      <c r="G37" s="68" t="n">
        <v>0</v>
      </c>
      <c r="H37" s="28" t="n"/>
    </row>
    <row r="38">
      <c r="A38" s="16" t="inlineStr">
        <is>
          <t>TOTAL FIXED COSTS</t>
        </is>
      </c>
      <c r="B38" s="52">
        <f>IFERROR(IF(B9="","",SUM(B22:B37)),"")</f>
        <v>328066.28571428574</v>
      </c>
      <c r="C38" s="52">
        <f>IFERROR(IF(C9="","",SUM(C22:C37)),"")</f>
        <v>334527.365418657</v>
      </c>
      <c r="D38" s="52">
        <f>IFERROR(IF(D9="","",SUM(D22:D37)),"")</f>
        <v>340834.55309346545</v>
      </c>
      <c r="E38" s="69">
        <f>IFERROR(B38/$B$9,"")</f>
        <v>0.5062751322751323</v>
      </c>
    </row>
    <row r="39">
      <c r="A39" s="35" t="inlineStr">
        <is>
          <t>Recoverable input tax on variable costs</t>
        </is>
      </c>
      <c r="B39" s="42">
        <f>IFERROR(IF(B9="","",SUMPRODUCT(B13:B18,G13:G18)),"")</f>
        <v>0.0</v>
      </c>
      <c r="C39" s="42">
        <f>IFERROR(IF(C9="","",SUMPRODUCT(C13:C18,G13:G18)),"")</f>
        <v>0.0</v>
      </c>
      <c r="D39" s="42">
        <f>IFERROR(IF(D9="","",SUMPRODUCT(D13:D18,G13:G18)),"")</f>
        <v>0.0</v>
      </c>
      <c r="F39" s="35" t="inlineStr">
        <is>
          <t>Each line at ITS OWN rate, read from the column next to it. It is what the cash flow tab overpays to suppliers and later deducts (zero wherever no tax is recoverable)</t>
        </is>
      </c>
    </row>
    <row r="40">
      <c r="A40" s="35" t="inlineStr">
        <is>
          <t>Recoverable input tax on fixed costs</t>
        </is>
      </c>
      <c r="B40" s="42">
        <f>IFERROR(IF(B9="","",SUMPRODUCT(B22:B37,G22:G37)),"")</f>
        <v>0.0</v>
      </c>
      <c r="C40" s="42">
        <f>IFERROR(IF(C9="","",SUMPRODUCT(C22:C37,G22:G37)),"")</f>
        <v>0.0</v>
      </c>
      <c r="D40" s="42">
        <f>IFERROR(IF(D9="","",SUMPRODUCT(D22:D37,G22:G37)),"")</f>
        <v>0.0</v>
      </c>
    </row>
    <row r="41">
      <c r="A41" s="16" t="inlineStr">
        <is>
          <t>PRE-TAX INCOME (EBT)</t>
        </is>
      </c>
      <c r="B41" s="52">
        <f>IFERROR(IF(B9="","",B20-B38),"")</f>
        <v>64621.71428571426</v>
      </c>
      <c r="C41" s="52">
        <f>IFERROR(IF(C9="","",C20-C38),"")</f>
        <v>117063.83458134293</v>
      </c>
      <c r="D41" s="52">
        <f>IFERROR(IF(D9="","",D20-D38),"")</f>
        <v>155915.76690653455</v>
      </c>
      <c r="E41" s="69">
        <f>IFERROR(B41/$B$9,"")</f>
        <v>0.09972486772486769</v>
      </c>
    </row>
    <row r="42">
      <c r="A42" s="35" t="inlineStr">
        <is>
          <t>Net operating losses carried forward (opening)</t>
        </is>
      </c>
      <c r="B42" s="42">
        <f>IFERROR(IF(B9="","",'0. Assumptions'!$B$42),"")</f>
        <v>0.0</v>
      </c>
      <c r="C42" s="42">
        <f>IFERROR(IF(C9="","",B47),"")</f>
        <v>0.0</v>
      </c>
      <c r="D42" s="42">
        <f>IFERROR(IF(D9="","",C47),"")</f>
        <v>0.0</v>
      </c>
      <c r="F42" s="35" t="inlineStr">
        <is>
          <t>Federal rules let a year's losses offset the profits of later years (the federal limit is 80% of taxable income; this model offsets 100% as a simplification)</t>
        </is>
      </c>
    </row>
    <row r="43">
      <c r="A43" s="35" t="inlineStr">
        <is>
          <t>Taxable income (after loss offset)</t>
        </is>
      </c>
      <c r="B43" s="42">
        <f>IFERROR(IF(B9="","",MAX(0,B41-B42)),"")</f>
        <v>64621.71428571426</v>
      </c>
      <c r="C43" s="42">
        <f>IFERROR(IF(C9="","",MAX(0,C41-C42)),"")</f>
        <v>117063.83458134293</v>
      </c>
      <c r="D43" s="42">
        <f>IFERROR(IF(D9="","",MAX(0,D41-D42)),"")</f>
        <v>155915.76690653455</v>
      </c>
    </row>
    <row r="44">
      <c r="A44" s="35" t="inlineStr">
        <is>
          <t>Years with positive taxable income (cumulative)</t>
        </is>
      </c>
      <c r="B44" s="42">
        <f>IFERROR(IF(B9="","",IF(B43&gt;0,1,0)),"")</f>
        <v>1.0</v>
      </c>
      <c r="C44" s="42">
        <f>IFERROR(IF(C9="","",B44+IF(C43&gt;0,1,0)),"")</f>
        <v>2.0</v>
      </c>
      <c r="D44" s="42">
        <f>IFERROR(IF(D9="","",C44+IF(D43&gt;0,1,0)),"")</f>
        <v>3.0</v>
      </c>
    </row>
    <row r="45">
      <c r="A45" s="35" t="inlineStr">
        <is>
          <t>Effective income tax rate applied</t>
        </is>
      </c>
      <c r="B45" s="65">
        <f>IFERROR(IF(B9="","",IF(B43&lt;=0,"",IF(B44&lt;=2,'0. Assumptions'!$B$37,'0. Assumptions'!$B$38))),"")</f>
        <v>0.25</v>
      </c>
      <c r="C45" s="65">
        <f>IFERROR(IF(C9="","",IF(C43&lt;=0,"",IF(C44&lt;=2,'0. Assumptions'!$B$37,'0. Assumptions'!$B$38))),"")</f>
        <v>0.25</v>
      </c>
      <c r="D45" s="65">
        <f>IFERROR(IF(D9="","",IF(D43&lt;=0,"",IF(D44&lt;=2,'0. Assumptions'!$B$37,'0. Assumptions'!$B$38))),"")</f>
        <v>0.25</v>
      </c>
      <c r="F45" s="35" t="inlineStr">
        <is>
          <t>The "years 1-2" rate applies to the first two years with positive taxable income, not to the first two calendar years of the business. The model approximates this by counting the first two profitable years</t>
        </is>
      </c>
    </row>
    <row r="46">
      <c r="A46" s="35" t="inlineStr">
        <is>
          <t>Income tax</t>
        </is>
      </c>
      <c r="B46" s="42">
        <f>IFERROR(IF(B9="","",IF(B45="",0,B43*B45)),"")</f>
        <v>16155.428571428565</v>
      </c>
      <c r="C46" s="42">
        <f>IFERROR(IF(C9="","",IF(C45="",0,C43*C45)),"")</f>
        <v>29265.958645335733</v>
      </c>
      <c r="D46" s="42">
        <f>IFERROR(IF(D9="","",IF(D45="",0,D43*D45)),"")</f>
        <v>38978.94172663364</v>
      </c>
    </row>
    <row r="47">
      <c r="A47" s="35" t="inlineStr">
        <is>
          <t>Net operating losses carried forward (closing)</t>
        </is>
      </c>
      <c r="B47" s="42">
        <f>IFERROR(IF(B9="","",MAX(0,B42-B41)),"")</f>
        <v>0.0</v>
      </c>
      <c r="C47" s="42">
        <f>IFERROR(IF(C9="","",MAX(0,C42-C41)),"")</f>
        <v>0.0</v>
      </c>
      <c r="D47" s="42">
        <f>IFERROR(IF(D9="","",MAX(0,D42-D41)),"")</f>
        <v>0.0</v>
      </c>
    </row>
    <row r="48">
      <c r="A48" s="16" t="inlineStr">
        <is>
          <t>NET INCOME</t>
        </is>
      </c>
      <c r="B48" s="52">
        <f>IFERROR(IF(B9="","",B41-B46),"")</f>
        <v>48466.285714285696</v>
      </c>
      <c r="C48" s="52">
        <f>IFERROR(IF(C9="","",C41-C46),"")</f>
        <v>87797.8759360072</v>
      </c>
      <c r="D48" s="52">
        <f>IFERROR(IF(D9="","",D41-D46),"")</f>
        <v>116936.82517990092</v>
      </c>
      <c r="E48" s="69">
        <f>IFERROR(B48/$B$9,"")</f>
        <v>0.07479365079365076</v>
      </c>
    </row>
    <row r="49">
      <c r="A49" s="16" t="inlineStr">
        <is>
          <t>KEY RATIOS</t>
        </is>
      </c>
    </row>
    <row r="50">
      <c r="A50" s="16" t="inlineStr">
        <is>
          <t>Ratio</t>
        </is>
      </c>
      <c r="B50" s="16" t="inlineStr">
        <is>
          <t>Year 1</t>
        </is>
      </c>
      <c r="C50" s="16" t="inlineStr">
        <is>
          <t>Year 2</t>
        </is>
      </c>
      <c r="D50" s="16" t="inlineStr">
        <is>
          <t>Year 3</t>
        </is>
      </c>
      <c r="E50" s="16" t="inlineStr">
        <is>
          <t>Threshold</t>
        </is>
      </c>
      <c r="F50" s="16" t="inlineStr">
        <is>
          <t>Comment</t>
        </is>
      </c>
    </row>
    <row r="51">
      <c r="A51" s="35" t="inlineStr">
        <is>
          <t>Gross margin / Sales</t>
        </is>
      </c>
      <c r="B51" s="65">
        <f>IFERROR(IF(B9="","",B20/B9),"")</f>
        <v>0.606</v>
      </c>
      <c r="C51" s="65">
        <f>IFERROR(IF(C9="","",C20/C9),"")</f>
        <v>0.606</v>
      </c>
      <c r="D51" s="65">
        <f>IFERROR(IF(D9="","",D20/D9),"")</f>
        <v>0.606</v>
      </c>
      <c r="E51" s="70" t="n">
        <v>0.6</v>
      </c>
      <c r="F51" s="35" t="inlineStr">
        <is>
          <t>Floor set by this workbook: kit benchmark (editable estimate). The workbook's gross margin also subtracts card fees, marketplace commissions and van fuel, so the floor sits below the 65-70% that caterer pricing guides quote on food cost alone.</t>
        </is>
      </c>
    </row>
    <row r="52">
      <c r="A52" s="35" t="inlineStr">
        <is>
          <t>Cost of goods sold (food + beverage)</t>
        </is>
      </c>
      <c r="B52" s="42">
        <f>IFERROR(IF(B9="","",B13+B14),"")</f>
        <v>190512.0</v>
      </c>
      <c r="C52" s="42">
        <f>IFERROR(IF(C9="","",C13+C14),"")</f>
        <v>219088.79999999996</v>
      </c>
      <c r="D52" s="42">
        <f>IFERROR(IF(D9="","",D13+D14),"")</f>
        <v>240997.68</v>
      </c>
    </row>
    <row r="53">
      <c r="A53" s="35" t="inlineStr">
        <is>
          <t>Cost of goods sold / Sales</t>
        </is>
      </c>
      <c r="B53" s="65">
        <f>IFERROR(IF(B9="","",B52/B9),"")</f>
        <v>0.294</v>
      </c>
      <c r="C53" s="65">
        <f>IFERROR(IF(C9="","",C52/C9),"")</f>
        <v>0.294</v>
      </c>
      <c r="D53" s="65">
        <f>IFERROR(IF(D9="","",D52/D9),"")</f>
        <v>0.294</v>
      </c>
      <c r="E53" s="70" t="n">
        <v>0.35</v>
      </c>
      <c r="F53" s="35" t="inlineStr">
        <is>
          <t>Ceiling for food + beverage cost of goods (disposables have their own line): kit benchmark (editable estimate), based on the 28-35% food cost range for caterers in the benchmarks table.</t>
        </is>
      </c>
    </row>
    <row r="54">
      <c r="A54" s="35" t="inlineStr">
        <is>
          <t>Labor cost / Sales</t>
        </is>
      </c>
      <c r="B54" s="65">
        <f>IFERROR(IF(B9="","",B23/B9),"")</f>
        <v>0.34446296296296297</v>
      </c>
      <c r="C54" s="65">
        <f>IFERROR(IF(C9="","",C23/C9),"")</f>
        <v>0.3102683843263554</v>
      </c>
      <c r="D54" s="65">
        <f>IFERROR(IF(D9="","",D23/D9),"")</f>
        <v>0.2918215976186991</v>
      </c>
      <c r="E54" s="70" t="n">
        <v>0.38</v>
      </c>
      <c r="F54" s="35" t="inlineStr">
        <is>
          <t>Ceiling: kit benchmark (editable estimate), above the 25-35% labor range that pricing guides report because it includes the owner-chef's own pay.</t>
        </is>
      </c>
    </row>
    <row r="55">
      <c r="A55" s="35" t="inlineStr">
        <is>
          <t>Commissary / Sales</t>
        </is>
      </c>
      <c r="B55" s="65">
        <f>IFERROR(IF(B9="","",B22/B9),"")</f>
        <v>0.046296296296296294</v>
      </c>
      <c r="C55" s="65">
        <f>IFERROR(IF(C9="","",C22/C9),"")</f>
        <v>0.04025764895330113</v>
      </c>
      <c r="D55" s="65">
        <f>IFERROR(IF(D9="","",D22/D9),"")</f>
        <v>0.0365978626848192</v>
      </c>
      <c r="E55" s="70" t="n">
        <v>0.08</v>
      </c>
      <c r="F55" s="35" t="inlineStr">
        <is>
          <t>There is no storefront rent in this workbook: 8% is a prudent ceiling for the commissary kitchen and van parking, a kit benchmark (editable estimate). A business with its own fixed kitchen carries a much higher occupancy cost.</t>
        </is>
      </c>
    </row>
    <row r="56">
      <c r="A56" s="35" t="inlineStr">
        <is>
          <t>Net income / Sales</t>
        </is>
      </c>
      <c r="B56" s="65">
        <f>IFERROR(IF(B9="","",B48/B9),"")</f>
        <v>0.07479365079365076</v>
      </c>
      <c r="C56" s="65">
        <f>IFERROR(IF(C9="","",C48/C9),"")</f>
        <v>0.11781786894257544</v>
      </c>
      <c r="D56" s="65">
        <f>IFERROR(IF(D9="","",D48/D9),"")</f>
        <v>0.14265459569109076</v>
      </c>
      <c r="E56" s="70" t="n">
        <v>0.05</v>
      </c>
      <c r="F56" s="35" t="inlineStr">
        <is>
          <t>Floor of 5%: a kit benchmark (editable estimate), a little below the 7-8% average net margin that caterers report (itsacheckmate.com). A new business with a loan to repay starts lower.</t>
        </is>
      </c>
    </row>
    <row r="57">
      <c r="A57" s="35" t="inlineStr">
        <is>
          <t>Break-even reached</t>
        </is>
      </c>
      <c r="B57" t="str">
        <f>IFERROR(IF(B9="","",IF(B9&gt;='Break-Even'!$B$16,"Yes","No")),"")</f>
        <v>Yes</v>
      </c>
      <c r="C57" t="str">
        <f>IFERROR(IF(C9="","",IF(C9&gt;='Break-Even'!$C$16,"Yes","No")),"")</f>
        <v>Yes</v>
      </c>
      <c r="D57" t="str">
        <f>IFERROR(IF(D9="","",IF(D9&gt;='Break-Even'!$D$16,"Yes","No")),"")</f>
        <v>Yes</v>
      </c>
      <c r="F57" s="35" t="inlineStr">
        <is>
          <t>Compares each year's sales with that same year's threshold, which the Break-Even tab calculates with that year's fixed costs</t>
        </is>
      </c>
    </row>
    <row r="59" ht="165" customHeight="1">
      <c r="A59" s="17"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Yes">
      <formula>NOT(ISERROR(SEARCH("Yes",B57)))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nvalid amount" error="Enter a number greater than or equal to 0." type="decimal" operator="greaterThanOrEqual">
      <formula1>0</formula1>
    </dataValidation>
    <dataValidation sqref="E51 E53 E54 E55 E56"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Break-even — Event Catering</t>
        </is>
      </c>
    </row>
    <row r="4">
      <c r="A4" s="25" t="inlineStr">
        <is>
          <t>Variable</t>
        </is>
      </c>
      <c r="B4" s="25" t="inlineStr">
        <is>
          <t>Year 1</t>
        </is>
      </c>
      <c r="C4" s="25" t="inlineStr">
        <is>
          <t>Year 2</t>
        </is>
      </c>
      <c r="D4" s="25" t="inlineStr">
        <is>
          <t>Year 3</t>
        </is>
      </c>
      <c r="E4" s="25" t="inlineStr">
        <is>
          <t>Notes</t>
        </is>
      </c>
      <c r="F4" s="28" t="n"/>
    </row>
    <row r="5">
      <c r="A5" s="25" t="inlineStr">
        <is>
          <t>BASE DATA BY YEAR</t>
        </is>
      </c>
      <c r="B5" s="28" t="n"/>
      <c r="C5" s="28" t="n"/>
      <c r="D5" s="28" t="n"/>
      <c r="E5" s="28" t="n"/>
      <c r="F5" s="28" t="n"/>
    </row>
    <row r="6">
      <c r="A6" s="28" t="inlineStr">
        <is>
          <t>Annual fixed costs</t>
        </is>
      </c>
      <c r="B6" s="61">
        <f>IFERROR(IF('3-Year P&amp;L'!$B$9="","",'3-Year P&amp;L'!$B$38),"")</f>
        <v>328066.28571428574</v>
      </c>
      <c r="C6" s="61">
        <f>IFERROR(IF('3-Year P&amp;L'!$C$9="","",'3-Year P&amp;L'!$C$38),"")</f>
        <v>334527.365418657</v>
      </c>
      <c r="D6" s="61">
        <f>IFERROR(IF('3-Year P&amp;L'!$D$9="","",'3-Year P&amp;L'!$D$38),"")</f>
        <v>340834.55309346545</v>
      </c>
      <c r="E6" s="28" t="inlineStr">
        <is>
          <t>The SAME fixed costs as the P&amp;L. Each year has its own, which is why the threshold cannot be a single one for all three years</t>
        </is>
      </c>
      <c r="F6" s="28" t="n"/>
    </row>
    <row r="7">
      <c r="A7" s="28" t="inlineStr">
        <is>
          <t>Monthly fixed costs</t>
        </is>
      </c>
      <c r="B7" s="61">
        <f>IFERROR(IF('3-Year P&amp;L'!$B$9="","",B6/12),"")</f>
        <v>27338.857142857145</v>
      </c>
      <c r="C7" s="61">
        <f>IFERROR(IF('3-Year P&amp;L'!$C$9="","",C6/12),"")</f>
        <v>27877.28045155475</v>
      </c>
      <c r="D7" s="61">
        <f>IFERROR(IF('3-Year P&amp;L'!$D$9="","",D6/12),"")</f>
        <v>28402.879424455456</v>
      </c>
      <c r="E7" s="28" t="n"/>
      <c r="F7" s="28" t="n"/>
    </row>
    <row r="8">
      <c r="A8" s="28" t="inlineStr">
        <is>
          <t>Average price per guest (excl. sales tax)</t>
        </is>
      </c>
      <c r="B8" s="61">
        <f>IFERROR(IF('3-Year P&amp;L'!$B$9="","",'3-Year P&amp;L'!$B$7),"")</f>
        <v>60.0</v>
      </c>
      <c r="C8" s="61">
        <f>IFERROR(IF('3-Year P&amp;L'!$C$9="","",'3-Year P&amp;L'!$C$7),"")</f>
        <v>60.0</v>
      </c>
      <c r="D8" s="61">
        <f>IFERROR(IF('3-Year P&amp;L'!$D$9="","",'3-Year P&amp;L'!$D$7),"")</f>
        <v>60.0</v>
      </c>
      <c r="E8" s="28" t="n"/>
      <c r="F8" s="28" t="n"/>
    </row>
    <row r="9">
      <c r="A9" s="28" t="inlineStr">
        <is>
          <t>Variable cost per guest</t>
        </is>
      </c>
      <c r="B9" s="61">
        <f>IFERROR(IF('3-Year P&amp;L'!$B$9="","",'3-Year P&amp;L'!$B$19/('3-Year P&amp;L'!$B$6*'3-Year P&amp;L'!$B$8)),"")</f>
        <v>23.64</v>
      </c>
      <c r="C9" s="61">
        <f>IFERROR(IF('3-Year P&amp;L'!$C$9="","",'3-Year P&amp;L'!$C$19/('3-Year P&amp;L'!$C$6*'3-Year P&amp;L'!$C$8)),"")</f>
        <v>23.639999999999997</v>
      </c>
      <c r="D9" s="61">
        <f>IFERROR(IF('3-Year P&amp;L'!$D$9="","",'3-Year P&amp;L'!$D$19/('3-Year P&amp;L'!$D$6*'3-Year P&amp;L'!$D$8)),"")</f>
        <v>23.64</v>
      </c>
      <c r="E9" s="28" t="inlineStr">
        <is>
          <t>Comes from the P&amp;L total variable costs, not from a separate estimate. It includes miscellaneous and contingency, which is a percentage of sales</t>
        </is>
      </c>
      <c r="F9" s="28" t="n"/>
    </row>
    <row r="10">
      <c r="A10" s="28" t="inlineStr">
        <is>
          <t>Contribution margin per guest</t>
        </is>
      </c>
      <c r="B10" s="61">
        <f>IFERROR(IF('3-Year P&amp;L'!$B$9="","",B8-B9),"")</f>
        <v>36.36</v>
      </c>
      <c r="C10" s="61">
        <f>IFERROR(IF('3-Year P&amp;L'!$C$9="","",C8-C9),"")</f>
        <v>36.36</v>
      </c>
      <c r="D10" s="61">
        <f>IFERROR(IF('3-Year P&amp;L'!$D$9="","",D8-D9),"")</f>
        <v>36.36</v>
      </c>
      <c r="E10" s="28" t="inlineStr">
        <is>
          <t>Price per guest minus variable cost per guest</t>
        </is>
      </c>
      <c r="F10" s="28" t="n"/>
    </row>
    <row r="11">
      <c r="A11" s="28" t="inlineStr">
        <is>
          <t>Average guests per event</t>
        </is>
      </c>
      <c r="B11" s="40">
        <f>IFERROR(IF('3-Year P&amp;L'!$B$9="","",'3-Year P&amp;L'!$B$8),"")</f>
        <v>60.0</v>
      </c>
      <c r="C11" s="40">
        <f>IFERROR(IF('3-Year P&amp;L'!$C$9="","",'3-Year P&amp;L'!$C$8),"")</f>
        <v>60.0</v>
      </c>
      <c r="D11" s="40">
        <f>IFERROR(IF('3-Year P&amp;L'!$D$9="","",'3-Year P&amp;L'!$D$8),"")</f>
        <v>60.0</v>
      </c>
      <c r="E11" s="28" t="inlineStr">
        <is>
          <t>The same calendar as the P&amp;L and the scenarios</t>
        </is>
      </c>
      <c r="F11" s="28" t="n"/>
    </row>
    <row r="12">
      <c r="A12" s="28" t="inlineStr">
        <is>
          <t>Principal repaid in the year</t>
        </is>
      </c>
      <c r="B12" s="61">
        <f>IFERROR(IF('3-Year P&amp;L'!$B$9="","",Financing!$B$45),"")</f>
        <v>15389.20295628695</v>
      </c>
      <c r="C12" s="61">
        <f>IFERROR(IF('3-Year P&amp;L'!$C$9="","",Financing!$B$47),"")</f>
        <v>16928.123251915647</v>
      </c>
      <c r="D12" s="61">
        <f>IFERROR(IF('3-Year P&amp;L'!$D$9="","",Financing!$B$49),"")</f>
        <v>18620.935577107208</v>
      </c>
      <c r="E12" s="28" t="inlineStr">
        <is>
          <t>Principal is NOT a P&amp;L expense, but it leaves the cash account. Without it, the published break-even threshold would sit below the real one</t>
        </is>
      </c>
      <c r="F12" s="28" t="n"/>
    </row>
    <row r="13">
      <c r="A13" s="25" t="inlineStr">
        <is>
          <t>ACCOUNTING BREAK-EVEN (includes depreciation)</t>
        </is>
      </c>
      <c r="B13" s="28" t="n"/>
      <c r="C13" s="28" t="n"/>
      <c r="D13" s="28" t="n"/>
      <c r="E13" s="28" t="n"/>
      <c r="F13" s="28" t="n"/>
    </row>
    <row r="14">
      <c r="A14" s="28" t="inlineStr">
        <is>
          <t>Guests needed per year</t>
        </is>
      </c>
      <c r="B14" s="40">
        <f>IFERROR(IF('3-Year P&amp;L'!$B$9="","",IF(B10&lt;=0,"",B6/B10)),"")</f>
        <v>9022.725129655824</v>
      </c>
      <c r="C14" s="40">
        <f>IFERROR(IF('3-Year P&amp;L'!$C$9="","",IF(C10&lt;=0,"",C6/C10)),"")</f>
        <v>9200.422591272196</v>
      </c>
      <c r="D14" s="40">
        <f>IFERROR(IF('3-Year P&amp;L'!$D$9="","",IF(D10&lt;=0,"",D6/D10)),"")</f>
        <v>9373.887598830182</v>
      </c>
      <c r="E14" s="28" t="n"/>
      <c r="F14" s="28" t="n"/>
    </row>
    <row r="15">
      <c r="A15" s="28" t="inlineStr">
        <is>
          <t>Events needed per year</t>
        </is>
      </c>
      <c r="B15" s="44">
        <f>IFERROR(IF('3-Year P&amp;L'!$B$9="","",B14/B11),"")</f>
        <v>150.37875216093042</v>
      </c>
      <c r="C15" s="44">
        <f>IFERROR(IF('3-Year P&amp;L'!$C$9="","",C14/C11),"")</f>
        <v>153.34037652120327</v>
      </c>
      <c r="D15" s="44">
        <f>IFERROR(IF('3-Year P&amp;L'!$D$9="","",D14/D11),"")</f>
        <v>156.23145998050305</v>
      </c>
      <c r="E15" s="28" t="n"/>
      <c r="F15" s="28" t="n"/>
    </row>
    <row r="16">
      <c r="A16" s="25" t="inlineStr">
        <is>
          <t>Revenue needed per year</t>
        </is>
      </c>
      <c r="B16" s="66">
        <f>IFERROR(IF('3-Year P&amp;L'!$B$9="","",B14*B8),"")</f>
        <v>541363.5077793495</v>
      </c>
      <c r="C16" s="66">
        <f>IFERROR(IF('3-Year P&amp;L'!$C$9="","",C14*C8),"")</f>
        <v>552025.3554763318</v>
      </c>
      <c r="D16" s="66">
        <f>IFERROR(IF('3-Year P&amp;L'!$D$9="","",D14*D8),"")</f>
        <v>562433.2559298109</v>
      </c>
      <c r="E16" s="28" t="n"/>
      <c r="F16" s="28" t="n"/>
    </row>
    <row r="17">
      <c r="A17" s="25" t="inlineStr">
        <is>
          <t>CASH BREAK-EVEN (loan payments in, depreciation out)</t>
        </is>
      </c>
      <c r="B17" s="28" t="n"/>
      <c r="C17" s="28" t="n"/>
      <c r="D17" s="28" t="n"/>
      <c r="E17" s="28" t="n"/>
      <c r="F17" s="28" t="n"/>
    </row>
    <row r="18">
      <c r="A18" s="28" t="inlineStr">
        <is>
          <t>Cash fixed costs + principal repaid for the year</t>
        </is>
      </c>
      <c r="B18" s="61">
        <f>IFERROR(IF('3-Year P&amp;L'!$B$9="","",B6-'3-Year P&amp;L'!$B$36+B12),"")</f>
        <v>328401.20295628696</v>
      </c>
      <c r="C18" s="61">
        <f>IFERROR(IF('3-Year P&amp;L'!$C$9="","",C6-'3-Year P&amp;L'!$C$36+C12),"")</f>
        <v>336401.20295628696</v>
      </c>
      <c r="D18" s="61">
        <f>IFERROR(IF('3-Year P&amp;L'!$D$9="","",D6-'3-Year P&amp;L'!$D$36+D12),"")</f>
        <v>344401.2029562869</v>
      </c>
      <c r="E18" s="28" t="inlineStr">
        <is>
          <t>The P&amp;L fixed costs without depreciation (which is not paid in cash) and WITH principal repaid (which is). This is the threshold that decides whether cash holds up</t>
        </is>
      </c>
      <c r="F18" s="28" t="n"/>
    </row>
    <row r="19">
      <c r="A19" s="28" t="inlineStr">
        <is>
          <t>Guests needed per year (cash)</t>
        </is>
      </c>
      <c r="B19" s="40">
        <f>IFERROR(IF('3-Year P&amp;L'!$B$9="","",IF(B10&lt;=0,"",B18/B10)),"")</f>
        <v>9031.936274925383</v>
      </c>
      <c r="C19" s="40">
        <f>IFERROR(IF('3-Year P&amp;L'!$C$9="","",IF(C10&lt;=0,"",C18/C10)),"")</f>
        <v>9251.958277125605</v>
      </c>
      <c r="D19" s="40">
        <f>IFERROR(IF('3-Year P&amp;L'!$D$9="","",IF(D10&lt;=0,"",D18/D10)),"")</f>
        <v>9471.980279325822</v>
      </c>
      <c r="E19" s="28" t="n"/>
      <c r="F19" s="28" t="n"/>
    </row>
    <row r="20">
      <c r="A20" s="25" t="inlineStr">
        <is>
          <t>Events needed per year (cash)</t>
        </is>
      </c>
      <c r="B20" s="45">
        <f>IFERROR(IF('3-Year P&amp;L'!$B$9="","",B19/B11),"")</f>
        <v>150.5322712487564</v>
      </c>
      <c r="C20" s="45">
        <f>IFERROR(IF('3-Year P&amp;L'!$C$9="","",C19/C11),"")</f>
        <v>154.19930461876007</v>
      </c>
      <c r="D20" s="45">
        <f>IFERROR(IF('3-Year P&amp;L'!$D$9="","",D19/D11),"")</f>
        <v>157.86633798876372</v>
      </c>
      <c r="E20" s="28" t="n"/>
      <c r="F20" s="28" t="n"/>
    </row>
    <row r="21">
      <c r="A21" s="28" t="inlineStr">
        <is>
          <t>Revenue needed per year (cash)</t>
        </is>
      </c>
      <c r="B21" s="40">
        <f>IFERROR(IF('3-Year P&amp;L'!$B$9="","",B19*B8),"")</f>
        <v>541916.176495523</v>
      </c>
      <c r="C21" s="40">
        <f>IFERROR(IF('3-Year P&amp;L'!$C$9="","",C19*C8),"")</f>
        <v>555117.4966275363</v>
      </c>
      <c r="D21" s="40">
        <f>IFERROR(IF('3-Year P&amp;L'!$D$9="","",D19*D8),"")</f>
        <v>568318.8167595493</v>
      </c>
      <c r="E21" s="28" t="n"/>
      <c r="F21" s="28" t="n"/>
    </row>
    <row r="22">
      <c r="A22" s="25" t="inlineStr">
        <is>
          <t>COMPARISON WITH THE PLAN</t>
        </is>
      </c>
      <c r="B22" s="28" t="n"/>
      <c r="C22" s="28" t="n"/>
      <c r="D22" s="28" t="n"/>
      <c r="E22" s="28" t="n"/>
      <c r="F22" s="28" t="n"/>
    </row>
    <row r="23">
      <c r="A23" s="28" t="inlineStr">
        <is>
          <t>Events per year in the plan</t>
        </is>
      </c>
      <c r="B23" s="40">
        <f>IFERROR(IF('3-Year P&amp;L'!$B$9="","",'3-Year P&amp;L'!$B$6),"")</f>
        <v>180.0</v>
      </c>
      <c r="C23" s="40">
        <f>IFERROR(IF('3-Year P&amp;L'!$C$9="","",'3-Year P&amp;L'!$C$6),"")</f>
        <v>206.99999999999997</v>
      </c>
      <c r="D23" s="40">
        <f>IFERROR(IF('3-Year P&amp;L'!$D$9="","",'3-Year P&amp;L'!$D$6),"")</f>
        <v>227.7</v>
      </c>
      <c r="E23" s="28" t="n"/>
      <c r="F23" s="28" t="n"/>
    </row>
    <row r="24">
      <c r="A24" s="28" t="inlineStr">
        <is>
          <t>Cushion above CASH break-even (%)</t>
        </is>
      </c>
      <c r="B24" s="68">
        <f>IFERROR(IF('3-Year P&amp;L'!$B$9="","",B23/B20-1),"")</f>
        <v>0.19575688659176493</v>
      </c>
      <c r="C24" s="68">
        <f>IFERROR(IF('3-Year P&amp;L'!$C$9="","",C23/C20-1),"")</f>
        <v>0.342418505140367</v>
      </c>
      <c r="D24" s="68">
        <f>IFERROR(IF('3-Year P&amp;L'!$D$9="","",D23/D20-1),"")</f>
        <v>0.442359421906694</v>
      </c>
      <c r="E24" s="28" t="inlineStr">
        <is>
          <t>How far the plan sits above the cash break-even (plan ÷ break-even − 1); the drop you can absorb is 1 − break-even ÷ plan. The required minimum is set in the "0. Assumptions" tab</t>
        </is>
      </c>
      <c r="F24" s="28" t="n"/>
    </row>
    <row r="25">
      <c r="A25" s="25" t="inlineStr">
        <is>
          <t>INTERPRETATION</t>
        </is>
      </c>
      <c r="B25" s="28" t="n"/>
      <c r="C25" s="28" t="n"/>
      <c r="D25" s="28" t="n"/>
      <c r="E25" s="28" t="n"/>
      <c r="F25" s="28" t="n"/>
    </row>
    <row r="26" ht="46" customHeight="1">
      <c r="A26" s="28" t="str">
        <f>IFERROR("With the average price per guest excl. sales tax above, you need "&amp;TEXT(ROUNDUP(B15,0),"0")&amp;" events a year at your average of "&amp;TEXT(B11,"0")&amp;" guests per event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price per guest excl. sales tax above, you need 151 events a year at your average of 60 guests per event to avoid losing money (accounting break-even, depreciation included), and 151 for cash to hold (cash break-even: depreciation out, because it is not paid, and the year's loan payment in). The "Revenue needed per year" rows show the same figures in your currency.</v>
      </c>
      <c r="B26" s="28" t="n"/>
      <c r="C26" s="28" t="n"/>
      <c r="D26" s="28" t="n"/>
      <c r="E26" s="28" t="n"/>
      <c r="F26" s="28" t="n"/>
    </row>
    <row r="27">
      <c r="A27" s="28" t="n"/>
      <c r="B27" s="28" t="n"/>
      <c r="C27" s="28" t="n"/>
      <c r="D27" s="28" t="n"/>
      <c r="E27" s="28" t="n"/>
      <c r="F27" s="28" t="n"/>
    </row>
    <row r="28">
      <c r="A28" s="25" t="inlineStr">
        <is>
          <t>BREAK-EVEN SENSITIVITY</t>
        </is>
      </c>
      <c r="B28" s="28" t="n"/>
      <c r="C28" s="28" t="n"/>
      <c r="D28" s="28" t="n"/>
      <c r="E28" s="28" t="n"/>
      <c r="F28" s="28" t="n"/>
    </row>
    <row r="29" ht="75" customHeight="1">
      <c r="A29" s="46" t="inlineStr">
        <is>
          <t>Events per year needed to cover costs for each price per guest (columns, in steps around the plan's price) and each variable cost per guest (rows). Green cells are below the events per year the plan forecasts.</t>
        </is>
      </c>
      <c r="B29" s="28" t="n"/>
      <c r="C29" s="28" t="n"/>
      <c r="D29" s="28" t="n"/>
      <c r="E29" s="28" t="n"/>
      <c r="F29" s="28" t="n"/>
    </row>
    <row r="30">
      <c r="A30" s="28" t="n"/>
      <c r="B30" s="28" t="n"/>
      <c r="C30" s="28" t="n"/>
      <c r="D30" s="28" t="n"/>
      <c r="E30" s="28" t="n"/>
      <c r="F30" s="28" t="n"/>
    </row>
    <row r="31" ht="45" customHeight="1">
      <c r="A31" s="39" t="inlineStr">
        <is>
          <t>Events per year needed: price per guest excl. sales tax (columns) × variable cost per guest (rows)</t>
        </is>
      </c>
      <c r="B31" s="62">
        <f>IFERROR($B$8-10,"")</f>
        <v>50.0</v>
      </c>
      <c r="C31" s="62">
        <f>IFERROR(IF($B$8="","",$B$8),"")</f>
        <v>60.0</v>
      </c>
      <c r="D31" s="62">
        <f>IFERROR($B$8+10,"")</f>
        <v>70.0</v>
      </c>
      <c r="E31" s="62">
        <f>IFERROR($B$8+20,"")</f>
        <v>80.0</v>
      </c>
      <c r="F31" s="28" t="n"/>
    </row>
    <row r="32">
      <c r="A32" s="61">
        <f>IFERROR($B$9*0.85,"")</f>
        <v>20.094</v>
      </c>
      <c r="B32" s="44">
        <f>IFERROR(IF($B$31-$A32&lt;=0,"",$B$6/($B$31-$A32)/$B$11),"")</f>
        <v>182.83192097142475</v>
      </c>
      <c r="C32" s="44">
        <f>IFERROR(IF($C$31-$A32&lt;=0,"",$B$6/($C$31-$A32)/$B$11),"")</f>
        <v>137.01627395808725</v>
      </c>
      <c r="D32" s="44">
        <f>IFERROR(IF($D$31-$A32&lt;=0,"",$B$6/($D$31-$A32)/$B$11),"")</f>
        <v>109.56140401096921</v>
      </c>
      <c r="E32" s="44">
        <f>IFERROR(IF($E$31-$A32&lt;=0,"",$B$6/($E$31-$A32)/$B$11),"")</f>
        <v>91.27251742014872</v>
      </c>
      <c r="F32" s="28" t="n"/>
    </row>
    <row r="33">
      <c r="A33" s="61">
        <f>IFERROR($B$9*0.925,"")</f>
        <v>21.867</v>
      </c>
      <c r="B33" s="44">
        <f>IFERROR(IF($B$31-$A33&lt;=0,"",$B$6/($B$31-$A33)/$B$11),"")</f>
        <v>194.35436777348414</v>
      </c>
      <c r="C33" s="44">
        <f>IFERROR(IF($C$31-$A33&lt;=0,"",$B$6/($C$31-$A33)/$B$11),"")</f>
        <v>143.38686776732567</v>
      </c>
      <c r="D33" s="44">
        <f>IFERROR(IF($D$31-$A33&lt;=0,"",$B$6/($D$31-$A33)/$B$11),"")</f>
        <v>113.59714600318762</v>
      </c>
      <c r="E33" s="44">
        <f>IFERROR(IF($E$31-$A33&lt;=0,"",$B$6/($E$31-$A33)/$B$11),"")</f>
        <v>94.05624049285998</v>
      </c>
      <c r="F33" s="28" t="n"/>
    </row>
    <row r="34">
      <c r="A34" s="64">
        <f>IFERROR($B$9*1.0,"")</f>
        <v>23.64</v>
      </c>
      <c r="B34" s="48">
        <f>IFERROR(IF($B$31-$A34&lt;=0,"",$B$6/($B$31-$A34)/$B$11),"")</f>
        <v>207.42683719921962</v>
      </c>
      <c r="C34" s="48">
        <f>IFERROR(IF($C$31-$A34&lt;=0,"",$B$6/($C$31-$A34)/$B$11),"")</f>
        <v>150.37875216093042</v>
      </c>
      <c r="D34" s="48">
        <f>IFERROR(IF($D$31-$A34&lt;=0,"",$B$6/($D$31-$A34)/$B$11),"")</f>
        <v>117.94157524959942</v>
      </c>
      <c r="E34" s="48">
        <f>IFERROR(IF($E$31-$A34&lt;=0,"",$B$6/($E$31-$A34)/$B$11),"")</f>
        <v>97.01510696542636</v>
      </c>
    </row>
    <row r="35">
      <c r="A35" s="64">
        <f>IFERROR($B$9*1.075,"")</f>
        <v>25.413</v>
      </c>
      <c r="B35" s="48">
        <f>IFERROR(IF($B$31-$A35&lt;=0,"",$B$6/($B$31-$A35)/$B$11),"")</f>
        <v>222.38465158707564</v>
      </c>
      <c r="C35" s="48">
        <f>IFERROR(IF($C$31-$A35&lt;=0,"",$B$6/($C$31-$A35)/$B$11),"")</f>
        <v>158.0874729976994</v>
      </c>
      <c r="D35" s="48">
        <f>IFERROR(IF($D$31-$A35&lt;=0,"",$B$6/($D$31-$A35)/$B$11),"")</f>
        <v>122.63151655351176</v>
      </c>
      <c r="E35" s="48">
        <f>IFERROR(IF($E$31-$A35&lt;=0,"",$B$6/($E$31-$A35)/$B$11),"")</f>
        <v>100.16618294779761</v>
      </c>
    </row>
    <row r="36">
      <c r="A36" s="64">
        <f>IFERROR($B$9*1.15,"")</f>
        <v>27.186</v>
      </c>
      <c r="B36" s="48">
        <f>IFERROR(IF($B$31-$A36&lt;=0,"",$B$6/($B$31-$A36)/$B$11),"")</f>
        <v>239.66737216496136</v>
      </c>
      <c r="C36" s="48">
        <f>IFERROR(IF($C$31-$A36&lt;=0,"",$B$6/($C$31-$A36)/$B$11),"")</f>
        <v>166.62922620136004</v>
      </c>
      <c r="D36" s="48">
        <f>IFERROR(IF($D$31-$A36&lt;=0,"",$B$6/($D$31-$A36)/$B$11),"")</f>
        <v>127.70989462725811</v>
      </c>
      <c r="E36" s="48">
        <f>IFERROR(IF($E$31-$A36&lt;=0,"",$B$6/($E$31-$A36)/$B$11),"")</f>
        <v>103.52882623114003</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4">
      <c r="A4" s="25" t="inlineStr">
        <is>
          <t>Metric</t>
        </is>
      </c>
      <c r="B4" s="25" t="inlineStr">
        <is>
          <t>Pessimistic</t>
        </is>
      </c>
      <c r="C4" s="25" t="inlineStr">
        <is>
          <t>Base</t>
        </is>
      </c>
      <c r="D4" s="25" t="inlineStr">
        <is>
          <t>Optimistic</t>
        </is>
      </c>
      <c r="E4" s="25" t="inlineStr">
        <is>
          <t>Notes</t>
        </is>
      </c>
      <c r="F4" s="28" t="n"/>
    </row>
    <row r="5">
      <c r="A5" s="28" t="inlineStr">
        <is>
          <t>Events per year</t>
        </is>
      </c>
      <c r="B5" s="49" t="n">
        <v>135</v>
      </c>
      <c r="C5" s="40">
        <f>IFERROR(IF('3-Year P&amp;L'!$B$6="","",'3-Year P&amp;L'!$B$6),"")</f>
        <v>180.0</v>
      </c>
      <c r="D5" s="49" t="n">
        <v>225</v>
      </c>
      <c r="E5" s="28" t="n"/>
      <c r="F5" s="28" t="n"/>
    </row>
    <row r="6">
      <c r="A6" s="28" t="inlineStr">
        <is>
          <t>Average price per guest (excl. sales tax)</t>
        </is>
      </c>
      <c r="B6" s="71" t="n">
        <v>54</v>
      </c>
      <c r="C6" s="61">
        <f>IFERROR(IF('3-Year P&amp;L'!$B$7="","",'3-Year P&amp;L'!$B$7),"")</f>
        <v>60.0</v>
      </c>
      <c r="D6" s="71" t="n">
        <v>66</v>
      </c>
      <c r="E6" s="28" t="n"/>
      <c r="F6" s="28" t="n"/>
    </row>
    <row r="7">
      <c r="A7" s="28" t="inlineStr">
        <is>
          <t>Average guests per event</t>
        </is>
      </c>
      <c r="B7" s="49" t="n">
        <v>55</v>
      </c>
      <c r="C7" s="40">
        <f>IFERROR(IF('3-Year P&amp;L'!$B$8="","",'3-Year P&amp;L'!$B$8),"")</f>
        <v>60.0</v>
      </c>
      <c r="D7" s="49" t="n">
        <v>65</v>
      </c>
      <c r="E7" s="28" t="n"/>
      <c r="F7" s="28" t="n"/>
    </row>
    <row r="8">
      <c r="A8" s="25" t="inlineStr">
        <is>
          <t>ANNUAL REVENUE (excl. sales tax)</t>
        </is>
      </c>
      <c r="B8" s="66">
        <f>IFERROR(IF(B5*B6*B7=0,"",B5*B6*B7),"")</f>
        <v>400950.0</v>
      </c>
      <c r="C8" s="66">
        <f>IFERROR(IF(C5*C6*C7=0,"",C5*C6*C7),"")</f>
        <v>648000.0</v>
      </c>
      <c r="D8" s="66">
        <f>IFERROR(IF(D5*D6*D7=0,"",D5*D6*D7),"")</f>
        <v>965250.0</v>
      </c>
      <c r="E8" s="28" t="n"/>
      <c r="F8" s="28" t="n"/>
    </row>
    <row r="9">
      <c r="A9" s="28" t="inlineStr">
        <is>
          <t>Cost of goods sold — food</t>
        </is>
      </c>
      <c r="B9" s="40">
        <f>IFERROR(IF(B8="","",B8*'0. Assumptions'!$B$11*'0. Assumptions'!$B$13),"")</f>
        <v>105850.8</v>
      </c>
      <c r="C9" s="40">
        <f>IFERROR(IF(C8="","",C8*'0. Assumptions'!$B$11*'0. Assumptions'!$B$13),"")</f>
        <v>171072.0</v>
      </c>
      <c r="D9" s="40">
        <f>IFERROR(IF(D8="","",D8*'0. Assumptions'!$B$11*'0. Assumptions'!$B$13),"")</f>
        <v>254826.0</v>
      </c>
      <c r="E9" s="28" t="n"/>
      <c r="F9" s="28" t="n"/>
    </row>
    <row r="10">
      <c r="A10" s="28" t="inlineStr">
        <is>
          <t>Cost of goods sold — beverage</t>
        </is>
      </c>
      <c r="B10" s="40">
        <f>IFERROR(IF(B8="","",B8*'0. Assumptions'!$B$12*'0. Assumptions'!$B$14),"")</f>
        <v>12028.5</v>
      </c>
      <c r="C10" s="40">
        <f>IFERROR(IF(C8="","",C8*'0. Assumptions'!$B$12*'0. Assumptions'!$B$14),"")</f>
        <v>19440.0</v>
      </c>
      <c r="D10" s="40">
        <f>IFERROR(IF(D8="","",D8*'0. Assumptions'!$B$12*'0. Assumptions'!$B$14),"")</f>
        <v>28957.5</v>
      </c>
      <c r="E10" s="28" t="n"/>
      <c r="F10" s="28" t="n"/>
    </row>
    <row r="11">
      <c r="A11" s="28" t="inlineStr">
        <is>
          <t>Disposables and packaging</t>
        </is>
      </c>
      <c r="B11" s="40">
        <f>IFERROR(IF(B8="","",B8*'0. Assumptions'!$B$15),"")</f>
        <v>12028.5</v>
      </c>
      <c r="C11" s="40">
        <f>IFERROR(IF(C8="","",C8*'0. Assumptions'!$B$15),"")</f>
        <v>19440.0</v>
      </c>
      <c r="D11" s="40">
        <f>IFERROR(IF(D8="","",D8*'0. Assumptions'!$B$15),"")</f>
        <v>28957.5</v>
      </c>
      <c r="E11" s="28" t="n"/>
      <c r="F11" s="28" t="n"/>
    </row>
    <row r="12">
      <c r="A12" s="28" t="inlineStr">
        <is>
          <t>Corporate marketplace commissions</t>
        </is>
      </c>
      <c r="B12" s="40">
        <f>IFERROR(IF(B8="","",B8*'0. Assumptions'!$B$16*'0. Assumptions'!$B$17),"")</f>
        <v>6014.25</v>
      </c>
      <c r="C12" s="40">
        <f>IFERROR(IF(C8="","",C8*'0. Assumptions'!$B$16*'0. Assumptions'!$B$17),"")</f>
        <v>9720.0</v>
      </c>
      <c r="D12" s="40">
        <f>IFERROR(IF(D8="","",D8*'0. Assumptions'!$B$16*'0. Assumptions'!$B$17),"")</f>
        <v>14478.75</v>
      </c>
      <c r="E12" s="28" t="n"/>
      <c r="F12" s="28" t="n"/>
    </row>
    <row r="13">
      <c r="A13" s="28" t="inlineStr">
        <is>
          <t>Card processing fees</t>
        </is>
      </c>
      <c r="B13" s="40">
        <f>IFERROR(IF(B8="","",B8*'0. Assumptions'!$B$18),"")</f>
        <v>10023.75</v>
      </c>
      <c r="C13" s="40">
        <f>IFERROR(IF(C8="","",C8*'0. Assumptions'!$B$18),"")</f>
        <v>16200.0</v>
      </c>
      <c r="D13" s="40">
        <f>IFERROR(IF(D8="","",D8*'0. Assumptions'!$B$18),"")</f>
        <v>24131.25</v>
      </c>
      <c r="E13" s="28" t="n"/>
      <c r="F13" s="28" t="n"/>
    </row>
    <row r="14">
      <c r="A14" s="28" t="inlineStr">
        <is>
          <t>Miscellaneous and contingency</t>
        </is>
      </c>
      <c r="B14" s="40">
        <f>IFERROR(IF(B8="","",B8*'0. Assumptions'!$B$28),"")</f>
        <v>12028.5</v>
      </c>
      <c r="C14" s="40">
        <f>IFERROR(IF(C8="","",C8*'0. Assumptions'!$B$28),"")</f>
        <v>19440.0</v>
      </c>
      <c r="D14" s="40">
        <f>IFERROR(IF(D8="","",D8*'0. Assumptions'!$B$28),"")</f>
        <v>28957.5</v>
      </c>
      <c r="E14" s="28" t="n"/>
      <c r="F14" s="28" t="n"/>
    </row>
    <row r="15">
      <c r="A15" s="28" t="inlineStr">
        <is>
          <t>TOTAL VARIABLE COSTS</t>
        </is>
      </c>
      <c r="B15" s="40">
        <f>IFERROR(IF(B8="","",SUM(B9:B14)),"")</f>
        <v>157974.3</v>
      </c>
      <c r="C15" s="40">
        <f>IFERROR(IF(C8="","",SUM(C9:C14)),"")</f>
        <v>255312.0</v>
      </c>
      <c r="D15" s="40">
        <f>IFERROR(IF(D8="","",SUM(D9:D14)),"")</f>
        <v>380308.5</v>
      </c>
      <c r="E15" s="28" t="n"/>
      <c r="F15" s="28" t="n"/>
    </row>
    <row r="16">
      <c r="A16" s="35" t="inlineStr">
        <is>
          <t>GROSS MARGIN</t>
        </is>
      </c>
      <c r="B16" s="42">
        <f>IFERROR(IF(B8="","",B8-B15),"")</f>
        <v>242975.7</v>
      </c>
      <c r="C16" s="42">
        <f>IFERROR(IF(C8="","",C8-C15),"")</f>
        <v>392688.0</v>
      </c>
      <c r="D16" s="42">
        <f>IFERROR(IF(D8="","",D8-D15),"")</f>
        <v>584941.5</v>
      </c>
    </row>
    <row r="17">
      <c r="A17" s="35" t="inlineStr">
        <is>
          <t>FIXED COSTS (the P&amp;L's)</t>
        </is>
      </c>
      <c r="B17" s="42">
        <f>IFERROR(IF(B8="","",'3-Year P&amp;L'!$B$38),"")</f>
        <v>328066.28571428574</v>
      </c>
      <c r="C17" s="42">
        <f>IFERROR(IF(C8="","",'3-Year P&amp;L'!$B$38),"")</f>
        <v>328066.28571428574</v>
      </c>
      <c r="D17" s="42">
        <f>IFERROR(IF(D8="","",'3-Year P&amp;L'!$B$38),"")</f>
        <v>328066.28571428574</v>
      </c>
      <c r="E17" s="35" t="inlineStr">
        <is>
          <t>Fixed costs do not change with the scenario: that is why they are fixed</t>
        </is>
      </c>
    </row>
    <row r="18">
      <c r="A18" s="16" t="inlineStr">
        <is>
          <t>PRE-TAX INCOME (EBT)</t>
        </is>
      </c>
      <c r="B18" s="52">
        <f>IFERROR(IF(B8="","",B16-B17),"")</f>
        <v>-85090.58571428573</v>
      </c>
      <c r="C18" s="52">
        <f>IFERROR(IF(C8="","",C16-C17),"")</f>
        <v>64621.71428571426</v>
      </c>
      <c r="D18" s="52">
        <f>IFERROR(IF(D8="","",D16-D17),"")</f>
        <v>256875.21428571426</v>
      </c>
    </row>
    <row r="19">
      <c r="A19" s="35" t="inlineStr">
        <is>
          <t>Income tax</t>
        </is>
      </c>
      <c r="B19" s="42">
        <f>IFERROR(IF(B8="","",MAX(0,B18-'0. Assumptions'!$B$42)*'0. Assumptions'!$B$37),"")</f>
        <v>0.0</v>
      </c>
      <c r="C19" s="42">
        <f>IFERROR(IF(C8="","",MAX(0,C18-'0. Assumptions'!$B$42)*'0. Assumptions'!$B$37),"")</f>
        <v>16155.428571428565</v>
      </c>
      <c r="D19" s="42">
        <f>IFERROR(IF(D8="","",MAX(0,D18-'0. Assumptions'!$B$42)*'0. Assumptions'!$B$37),"")</f>
        <v>64218.803571428565</v>
      </c>
      <c r="E19" s="35" t="inlineStr">
        <is>
          <t>At the "years 1-2" effective income tax rate, offsetting prior net operating losses</t>
        </is>
      </c>
    </row>
    <row r="20">
      <c r="A20" s="16" t="inlineStr">
        <is>
          <t>NET INCOME</t>
        </is>
      </c>
      <c r="B20" s="52">
        <f>IFERROR(IF(B8="","",B18-B19),"")</f>
        <v>-85090.58571428573</v>
      </c>
      <c r="C20" s="52">
        <f>IFERROR(IF(C8="","",C18-C19),"")</f>
        <v>48466.285714285696</v>
      </c>
      <c r="D20" s="52">
        <f>IFERROR(IF(D8="","",D18-D19),"")</f>
        <v>192656.41071428568</v>
      </c>
    </row>
    <row r="21">
      <c r="A21" s="35" t="inlineStr">
        <is>
          <t>Events per year to break even</t>
        </is>
      </c>
      <c r="B21" s="48">
        <f>IFERROR(IF(B8="","",IF(B6-B15/(B5*B7)&lt;=0,"",B17/(B6-B15/(B5*B7))/B7)),"")</f>
        <v>182.2772753465823</v>
      </c>
      <c r="C21" s="48">
        <f>IFERROR(IF(C8="","",IF(C6-C15/(C5*C7)&lt;=0,"",C17/(C6-C15/(C5*C7))/C7)),"")</f>
        <v>150.37875216093042</v>
      </c>
      <c r="D21" s="48">
        <f>IFERROR(IF(D8="","",IF(D6-D15/(D5*D7)&lt;=0,"",D17/(D6-D15/(D5*D7))/D7)),"")</f>
        <v>126.19195985532623</v>
      </c>
    </row>
    <row r="22">
      <c r="A22" s="16" t="inlineStr">
        <is>
          <t>WHAT EACH SCENARIO DEMANDS</t>
        </is>
      </c>
    </row>
    <row r="23">
      <c r="A23" s="35" t="inlineStr">
        <is>
          <t>Labor cost / Sales</t>
        </is>
      </c>
      <c r="B23" s="65">
        <f>IFERROR(IF(B8="","",'3-Year P&amp;L'!$B$23/B8),"")</f>
        <v>0.5567078189300412</v>
      </c>
      <c r="C23" s="65">
        <f>IFERROR(IF(C8="","",'3-Year P&amp;L'!$B$23/C8),"")</f>
        <v>0.34446296296296297</v>
      </c>
      <c r="D23" s="65">
        <f>IFERROR(IF(D8="","",'3-Year P&amp;L'!$B$23/D8),"")</f>
        <v>0.23124786324786326</v>
      </c>
      <c r="E23" s="35" t="inlineStr">
        <is>
          <t>The SAME staffing in all three scenarios. In the pessimistic case your real event-staff cost falls with the number of events (you pay hours per event), so the real result would be somewhat better than shown. If labor cost still blows up, adjust it in the "Staffing" tab, not here</t>
        </is>
      </c>
    </row>
    <row r="24">
      <c r="A24" s="35" t="inlineStr">
        <is>
          <t>Guests per year per full-time equivalent</t>
        </is>
      </c>
      <c r="B24" s="42">
        <f>IFERROR(IF(B8="","",B5*B7/Staffing!$C$9),"")</f>
        <v>1617.6470588235295</v>
      </c>
      <c r="C24" s="42">
        <f>IFERROR(IF(C8="","",C5*C7/Staffing!$C$9),"")</f>
        <v>2352.9411764705883</v>
      </c>
      <c r="D24" s="42">
        <f>IFERROR(IF(D8="","",D5*D7/Staffing!$C$9),"")</f>
        <v>3186.274509803922</v>
      </c>
      <c r="E24" s="35" t="inlineStr">
        <is>
          <t>Guests each full-time equivalent in the "Staffing" table would have to serve in a year. In the optimistic scenario it tells you whether you need to hire</t>
        </is>
      </c>
    </row>
    <row r="25">
      <c r="A25" s="16" t="inlineStr">
        <is>
          <t>Year-1 closing cash balance (estimate, same method in all three scenarios)</t>
        </is>
      </c>
      <c r="B25" s="52">
        <f>IFERROR(IF(B8="","",'Startup Costs'!$B$25+B20+'3-Year P&amp;L'!$B$36-Financing!$B$45),"")</f>
        <v>-7172.502956286964</v>
      </c>
      <c r="C25" s="52">
        <f>IFERROR(IF(C8="","",'Startup Costs'!$B$25+C20+'3-Year P&amp;L'!$B$36-Financing!$B$45),"")</f>
        <v>126384.36847228446</v>
      </c>
      <c r="D25" s="52">
        <f>IFERROR(IF(D8="","",'Startup Costs'!$B$25+D20+'3-Year P&amp;L'!$B$36-Financing!$B$45),"")</f>
        <v>270574.49347228446</v>
      </c>
      <c r="E25" s="1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row>
    <row r="26">
      <c r="A26" s="35" t="inlineStr">
        <is>
          <t>Actual month-12 balance from the 12-Month Cash Flow tab (Base case only)</t>
        </is>
      </c>
      <c r="C26" s="42">
        <f>IFERROR(IF(C8="","",'12-Month Cash Flow'!$M$22),"")</f>
        <v>138615.18499757888</v>
      </c>
      <c r="E26" s="35"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row>
    <row r="28" ht="150" customHeight="1">
      <c r="A28" s="17" t="inlineStr">
        <is>
          <t>The "Base" column reads its three inputs (events per year, price per guest and guests per event) from the "0. Assumptions" tab, so it reproduces EXACTLY year 1 of the P&amp;L. The other two scenarios use the same cost rates: only events, price and guests change. FIXED COSTS are the same in all three, while variable costs follow the sales of each scenario.</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P&amp;L'!$E$54)</formula>
    </cfRule>
    <cfRule type="expression" priority="2" dxfId="0" stopIfTrue="1">
      <formula>AND(ISNUMBER(B23),B23&lt;='3-Year P&amp;L'!$E$54)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Value out of range" error="Enter a whole number from 1 to 365: guests per event or days."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t="str">
        <f>IFERROR("Payroll — "&amp;TEXT('0. Assumptions'!$B$21,"0")&amp;" pay periods + employer taxes "&amp;TEXT('0. Assumptions'!$B$20*100,"0")&amp;"%","")</f>
        <v>Payroll — 12 pay periods + employer taxes 10%</v>
      </c>
    </row>
    <row r="4" ht="45" customHeight="1">
      <c r="A4" s="39" t="inlineStr">
        <is>
          <t>Position</t>
        </is>
      </c>
      <c r="B4" s="39" t="inlineStr">
        <is>
          <t>People</t>
        </is>
      </c>
      <c r="C4" s="39" t="inlineStr">
        <is>
          <t>FTE</t>
        </is>
      </c>
      <c r="D4" s="39" t="inlineStr">
        <is>
          <t>Gross pay per month (total for the position)</t>
        </is>
      </c>
      <c r="E4" s="39" t="inlineStr">
        <is>
          <t>Employer payroll taxes (total for the position)</t>
        </is>
      </c>
      <c r="F4" s="39" t="inlineStr">
        <is>
          <t>Cost per month (total for the position)</t>
        </is>
      </c>
      <c r="G4" s="39" t="inlineStr">
        <is>
          <t>Cost per year</t>
        </is>
      </c>
      <c r="H4" s="39" t="inlineStr">
        <is>
          <t>Hours per week per person</t>
        </is>
      </c>
      <c r="I4" s="39" t="inlineStr">
        <is>
          <t>Hours per year for the position</t>
        </is>
      </c>
      <c r="J4" s="39" t="inlineStr">
        <is>
          <t>Notes</t>
        </is>
      </c>
    </row>
    <row r="5">
      <c r="A5" s="28" t="inlineStr">
        <is>
          <t>Owner / executive chef &amp; sales</t>
        </is>
      </c>
      <c r="B5" s="49" t="n">
        <v>1</v>
      </c>
      <c r="C5" s="51" t="n">
        <v>1</v>
      </c>
      <c r="D5" s="71" t="n">
        <v>5000</v>
      </c>
      <c r="E5" s="61">
        <f>IFERROR(IF(D5="","",D5*'0. Assumptions'!$B$20),"")</f>
        <v>500.0</v>
      </c>
      <c r="F5" s="61">
        <f>IFERROR(IF(D5="","",D5+E5),"")</f>
        <v>5500.0</v>
      </c>
      <c r="G5" s="61">
        <f>IFERROR(IF(D5="","",F5*MAX(12,'0. Assumptions'!$B$21)),"")</f>
        <v>66000.0</v>
      </c>
      <c r="H5" s="44">
        <f>IFERROR(IF(D5="","",C5*$B$16),"")</f>
        <v>40.0</v>
      </c>
      <c r="I5" s="40">
        <f>IFERROR(IF(D5="","",H5*B5*$B$17),"")</f>
        <v>2000.0</v>
      </c>
      <c r="J5" s="28" t="inlineStr">
        <is>
          <t>Sells, runs tastings, plans menus and leads the kitchen on event days. Covers the main shift at every event.</t>
        </is>
      </c>
    </row>
    <row r="6">
      <c r="A6" s="28" t="inlineStr">
        <is>
          <t>Sous chef / kitchen lead</t>
        </is>
      </c>
      <c r="B6" s="49" t="n">
        <v>1</v>
      </c>
      <c r="C6" s="51" t="n">
        <v>1</v>
      </c>
      <c r="D6" s="71" t="n">
        <v>3640</v>
      </c>
      <c r="E6" s="61">
        <f>IFERROR(IF(D6="","",D6*'0. Assumptions'!$B$20),"")</f>
        <v>364.0</v>
      </c>
      <c r="F6" s="61">
        <f>IFERROR(IF(D6="","",D6+E6),"")</f>
        <v>4004.0</v>
      </c>
      <c r="G6" s="61">
        <f>IFERROR(IF(D6="","",F6*MAX(12,'0. Assumptions'!$B$21)),"")</f>
        <v>48048.0</v>
      </c>
      <c r="H6" s="44">
        <f>IFERROR(IF(D6="","",C6*$B$16),"")</f>
        <v>40.0</v>
      </c>
      <c r="I6" s="40">
        <f>IFERROR(IF(D6="","",H6*B6*$B$17),"")</f>
        <v>2000.0</v>
      </c>
      <c r="J6" s="28" t="inlineStr">
        <is>
          <t>Leads prep and production in the commissary and runs the line at larger events. Paid at or above the pay floor in proportion to FTE.</t>
        </is>
      </c>
    </row>
    <row r="7">
      <c r="A7" s="28" t="inlineStr">
        <is>
          <t>Event staff (servers, bartenders, attendants; hourly W-2)</t>
        </is>
      </c>
      <c r="B7" s="49" t="n">
        <v>8</v>
      </c>
      <c r="C7" s="51" t="n">
        <v>0.23</v>
      </c>
      <c r="D7" s="71" t="n">
        <v>6060</v>
      </c>
      <c r="E7" s="61">
        <f>IFERROR(IF(D7="","",D7*'0. Assumptions'!$B$20),"")</f>
        <v>606.0</v>
      </c>
      <c r="F7" s="61">
        <f>IFERROR(IF(D7="","",D7+E7),"")</f>
        <v>6666.0</v>
      </c>
      <c r="G7" s="61">
        <f>IFERROR(IF(D7="","",F7*MAX(12,'0. Assumptions'!$B$21)),"")</f>
        <v>79992.0</v>
      </c>
      <c r="H7" s="44">
        <f>IFERROR(IF(D7="","",C7*$B$16),"")</f>
        <v>9.200000000000001</v>
      </c>
      <c r="I7" s="40">
        <f>IFERROR(IF(D7="","",H7*B7*$B$17),"")</f>
        <v>3680.0000000000005</v>
      </c>
      <c r="J7" s="28" t="inlineStr">
        <is>
          <t>Servers, bartenders and attendants hired per event and paid hourly as W-2 employees. Their FTE is a fraction because they only work event hours. Treating them as 1099 contractors is a misclassification risk (FLSA; California AB5). Paid at or above the pay floor in proportion to FTE.</t>
        </is>
      </c>
    </row>
    <row r="8">
      <c r="A8" s="28" t="inlineStr">
        <is>
          <t>Prep cook / driver</t>
        </is>
      </c>
      <c r="B8" s="49" t="n">
        <v>1</v>
      </c>
      <c r="C8" s="51" t="n">
        <v>0.75</v>
      </c>
      <c r="D8" s="71" t="n">
        <v>2210</v>
      </c>
      <c r="E8" s="61">
        <f>IFERROR(IF(D8="","",D8*'0. Assumptions'!$B$20),"")</f>
        <v>221.0</v>
      </c>
      <c r="F8" s="61">
        <f>IFERROR(IF(D8="","",D8+E8),"")</f>
        <v>2431.0</v>
      </c>
      <c r="G8" s="61">
        <f>IFERROR(IF(D8="","",F8*MAX(12,'0. Assumptions'!$B$21)),"")</f>
        <v>29172.0</v>
      </c>
      <c r="H8" s="44">
        <f>IFERROR(IF(D8="","",C8*$B$16),"")</f>
        <v>30.0</v>
      </c>
      <c r="I8" s="40">
        <f>IFERROR(IF(D8="","",H8*B8*$B$17),"")</f>
        <v>1500.0</v>
      </c>
      <c r="J8" s="28" t="inlineStr">
        <is>
          <t>Preps in the commissary, loads the van and drives to venues. Paid at or above the pay floor in proportion to FTE.</t>
        </is>
      </c>
    </row>
    <row r="9">
      <c r="A9" s="16" t="inlineStr">
        <is>
          <t>TOTAL STAFF</t>
        </is>
      </c>
      <c r="B9" s="52">
        <f>IFERROR(IF(COUNT(D5:D8)=0,"",SUM(B5:B8)),"")</f>
        <v>11.0</v>
      </c>
      <c r="C9" s="53">
        <f>IFERROR(IF(COUNT(D5:D8)=0,"",SUMPRODUCT(B5:B8,C5:C8)),"")</f>
        <v>4.59</v>
      </c>
      <c r="D9" s="53">
        <f>IFERROR(IF(COUNT(D5:D8)=0,"",SUM(D5:D8)),"")</f>
        <v>16910.0</v>
      </c>
      <c r="E9" s="53">
        <f>IFERROR(IF(COUNT(D5:D8)=0,"",SUM(E5:E8)),"")</f>
        <v>1691.0</v>
      </c>
      <c r="F9" s="53">
        <f>IFERROR(IF(COUNT(D5:D8)=0,"",SUM(F5:F8)),"")</f>
        <v>18601.0</v>
      </c>
      <c r="G9" s="53">
        <f>IFERROR(IF(COUNT(D5:D8)=0,"",SUM(G5:G8)),"")</f>
        <v>223212.0</v>
      </c>
      <c r="I9" s="52">
        <f>IFERROR(IF(COUNT(D5:D8)=0,"",SUM(I5:I8)),"")</f>
        <v>9180.0</v>
      </c>
    </row>
    <row r="10">
      <c r="A10" s="16" t="inlineStr">
        <is>
          <t>STAFF GROWTH (stepped cost)</t>
        </is>
      </c>
    </row>
    <row r="11">
      <c r="A11" s="35" t="inlineStr">
        <is>
          <t>Annual cost of year-2 hires</t>
        </is>
      </c>
      <c r="B11" s="56" t="n">
        <v>8000</v>
      </c>
      <c r="J11" s="35" t="inlineStr">
        <is>
          <t>FULL ANNUAL cost (gross pay + employer payroll taxes, over all pay periods) of whoever you hire that year. The P&amp;L adds it to the previous year's cost: staffing grows by people, not by a percentage</t>
        </is>
      </c>
    </row>
    <row r="12">
      <c r="A12" s="35" t="inlineStr">
        <is>
          <t>Annual cost of year-3 hires</t>
        </is>
      </c>
      <c r="B12" s="56" t="n">
        <v>8000</v>
      </c>
      <c r="J12" s="35" t="inlineStr">
        <is>
          <t>FULL ANNUAL cost (gross pay + employer payroll taxes, over all pay periods) of whoever you hire that year. The P&amp;L adds it to the previous year's cost: staffing grows by people, not by a percentage</t>
        </is>
      </c>
    </row>
    <row r="13">
      <c r="A13" s="35" t="inlineStr">
        <is>
          <t>Labor cost, year 2</t>
        </is>
      </c>
      <c r="B13" s="42">
        <f>IFERROR(IF(G9="","",G9*(1+'0. Assumptions'!$B$48)+B11),"")</f>
        <v>231212.0</v>
      </c>
    </row>
    <row r="14">
      <c r="A14" s="35" t="inlineStr">
        <is>
          <t>Labor cost, year 3</t>
        </is>
      </c>
      <c r="B14" s="42">
        <f>IFERROR(IF(B13="","",B13*(1+'0. Assumptions'!$B$48)+B12),"")</f>
        <v>239212.0</v>
      </c>
    </row>
    <row r="15">
      <c r="A15" s="16" t="inlineStr">
        <is>
          <t>COVERAGE OF EVENT HOURS</t>
        </is>
      </c>
    </row>
    <row r="16">
      <c r="A16" s="35" t="inlineStr">
        <is>
          <t>Full-time week (hours per week)</t>
        </is>
      </c>
      <c r="B16" s="56" t="n">
        <v>40</v>
      </c>
      <c r="J16" s="35" t="inlineStr">
        <is>
          <t>40 hours a week is the FLSA overtime threshold for non-exempt employees; some states add daily overtime rules. Change it if your own full-time week is different</t>
        </is>
      </c>
    </row>
    <row r="17">
      <c r="A17" s="35" t="inlineStr">
        <is>
          <t>Weeks worked per year per person</t>
        </is>
      </c>
      <c r="B17" s="56" t="n">
        <v>50</v>
      </c>
      <c r="J17" s="35" t="inlineStr">
        <is>
          <t>50 weeks: 52 minus about two weeks of vacation, holidays and average absences. There is no federal vacation requirement in the US: adjust it to your own policy</t>
        </is>
      </c>
    </row>
    <row r="18">
      <c r="A18" s="35" t="inlineStr">
        <is>
          <t>Hours per event to cover (production, loading, service, pack-down)</t>
        </is>
      </c>
      <c r="B18" s="57" t="n">
        <v>12</v>
      </c>
      <c r="J18" s="35" t="inlineStr">
        <is>
          <t>Hours of work that one event needs: shopping, prep, loading, transport, setup, service, breakdown and cleanup. Serving is only part of it. Hours × people × events per year sets the event staff cost.</t>
        </is>
      </c>
    </row>
    <row r="19">
      <c r="A19" s="35" t="inlineStr">
        <is>
          <t>People needed per event (average)</t>
        </is>
      </c>
      <c r="B19" s="57" t="n">
        <v>4.3</v>
      </c>
      <c r="J19" s="35" t="inlineStr">
        <is>
          <t>Average number of people working each event. A large wedding needs more hands: raise it here and the staffing sizes itself.</t>
        </is>
      </c>
    </row>
    <row r="20">
      <c r="A20" s="35" t="inlineStr">
        <is>
          <t>Event hours to cover per year</t>
        </is>
      </c>
      <c r="B20" s="42">
        <f>IFERROR(IF(OR(B18="",B19="",'0. Assumptions'!$B$4=""),"",B18*B19*'0. Assumptions'!$B$4),"")</f>
        <v>9287.999999999998</v>
      </c>
    </row>
    <row r="21">
      <c r="A21" s="35" t="inlineStr">
        <is>
          <t>Hours hired per year</t>
        </is>
      </c>
      <c r="B21" s="42">
        <f>IFERROR(IF(I9="","",I9),"")</f>
        <v>9180.0</v>
      </c>
    </row>
    <row r="22">
      <c r="A22" s="16" t="inlineStr">
        <is>
          <t>Coverage (hired / needed)</t>
        </is>
      </c>
      <c r="B22" s="69">
        <f>IFERROR(B21/B20,"")</f>
        <v>0.988372093023256</v>
      </c>
      <c r="J22" s="16" t="inlineStr">
        <is>
          <t>Below 100% the staff cannot cover the hours the plan declares: either hire more or cut the hours</t>
        </is>
      </c>
    </row>
    <row r="24" ht="150" customHeight="1">
      <c r="A24" s="17" t="inlineStr">
        <is>
          <t>Columns D-G are TOTALS for the row: the event staff row covers all its people. Event staff (servers, bartenders, attendants) are hourly W-2 employees with payroll taxes and workers' comp; paying them as 1099 contractors is a misclassification risk (FLSA; California AB5). Tax rate and pay periods: "0. Assumptions".</t>
        </is>
      </c>
    </row>
    <row r="25" ht="150" customHeight="1">
      <c r="A25" s="17"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Assumptions'!$B$21&lt;MAX('0. Assumptions'!$B$22,'0. Assumptions'!$B$68)*C5)</formula>
    </cfRule>
  </conditionalFormatting>
  <dataValidations count="4">
    <dataValidation sqref="B5 B6 B8 B11 B12 B16 B17 B18 D5 D6 D7 D8" showDropDown="0" showInputMessage="0" showErrorMessage="1" allowBlank="1" errorTitle="Invalid amount" error="Enter a number greater than or equal to 0." type="decimal" operator="greaterThanOrEqual">
      <formula1>0</formula1>
    </dataValidation>
    <dataValidation sqref="B19"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showDropDown="0" showInputMessage="0" showErrorMessage="1" allowBlank="1" errorTitle="Invalid percentage" error="Enter a percentage between 0 and 1 (0.35 = 35%)." type="decimal" operator="between">
      <formula1>0</formula1>
      <formula2>1</formula2>
    </dataValidation>
    <dataValidation sqref="B7"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HOW TO USE THIS WORKBOOK — Catering Financial Projections</t>
        </is>
      </c>
      <c r="B1" s="28" t="n"/>
      <c r="C1" s="28" t="n"/>
      <c r="D1" s="28" t="n"/>
      <c r="E1" s="28" t="n"/>
    </row>
    <row r="2">
      <c r="A2" s="28" t="n"/>
      <c r="B2" s="28" t="n"/>
      <c r="C2" s="28" t="n"/>
      <c r="D2" s="28" t="n"/>
      <c r="E2" s="28" t="n"/>
    </row>
    <row r="3">
      <c r="A3" s="39" t="inlineStr">
        <is>
          <t>HOW TO USE THIS WORKBOOK</t>
        </is>
      </c>
      <c r="B3" s="28" t="n"/>
      <c r="C3" s="28" t="n"/>
      <c r="D3" s="28" t="n"/>
      <c r="E3" s="28" t="n"/>
    </row>
    <row r="4" ht="30" customHeight="1">
      <c r="A4" s="46" t="inlineStr">
        <is>
          <t>This financial plan is a MODEL: you type only in the GREEN cells and everything else recalculates on its own.</t>
        </is>
      </c>
      <c r="B4" s="28" t="n"/>
      <c r="C4" s="28" t="n"/>
      <c r="D4" s="28" t="n"/>
      <c r="E4" s="28" t="n"/>
    </row>
    <row r="5" ht="45" customHeight="1">
      <c r="A5" s="46" t="inlineStr">
        <is>
          <t>1. "0. Assumptions" is the control sheet: events per year, price per guest excl. sales tax, guests per event, food and beverage mix, cost of goods sold, commissary kitchen and van parking, financing and taxes.</t>
        </is>
      </c>
      <c r="B5" s="28" t="n"/>
      <c r="C5" s="28" t="n"/>
      <c r="D5" s="28" t="n"/>
      <c r="E5" s="28" t="n"/>
    </row>
    <row r="6" ht="45" customHeight="1">
      <c r="A6" s="46" t="inlineStr">
        <is>
          <t>2. Startup cost items, fixed costs and staffing are typed in their own tab, also in green. No number is typed twice.</t>
        </is>
      </c>
      <c r="B6" s="28" t="n"/>
      <c r="C6" s="28" t="n"/>
      <c r="D6" s="28" t="n"/>
      <c r="E6" s="28" t="n"/>
    </row>
    <row r="7" ht="104.75" customHeight="1">
      <c r="A7" s="46" t="inlineStr">
        <is>
          <t>3. Only "Break-Even" is derived entirely from the rest. The other three tabs also have green cells you can edit: the pessimistic and optimistic scenarios in "Scenarios", seasonality and the launch ramp-up in "12-Month Cash Flow", and the other funding sources in "Financing" (rows 8-11 count as sources but are not amortized: your bank or SBA 7(a) loan goes in "Loan requested" on "0. Assumptions"). Everything else is calculated.</t>
        </is>
      </c>
      <c r="B7" s="28" t="n"/>
      <c r="C7" s="28" t="n"/>
      <c r="D7" s="28" t="n"/>
      <c r="E7" s="28" t="n"/>
    </row>
    <row r="8" ht="210" customHeight="1">
      <c r="A8" s="46" t="inlineStr">
        <is>
          <t>4. All figures are EXCL. SALES TAX. To turn a quoted price into a price excl. sales tax, divide it by 1 + your sales tax rate (with an 8% rate, divide by 1.08); if an item is taxed at a different rate in your state, use that rate. In many states the whole catering invoice is taxable, including staff and rentals; check yours. The rate of each sales line is in the "Sales tax rate on the line (%)" column of the P&amp;L, and from it come the receipts, the sales tax collected and the equivalent price per guest incl. sales tax. With the default 0% recoverable input tax, the sales tax you pay on purchases and startup costs is treated as a cost; in the UK, enter 20% if you are VAT-registered.</t>
        </is>
      </c>
      <c r="B8" s="28" t="n"/>
      <c r="C8" s="28" t="n"/>
      <c r="D8" s="28" t="n"/>
      <c r="E8" s="28" t="n"/>
    </row>
    <row r="9" ht="30" customHeight="1">
      <c r="A9" s="46" t="inlineStr">
        <is>
          <t>5. If you change the staffing, the P&amp;L reads it on its own: labor cost comes from the "Staffing" tab, not from a separate estimate.</t>
        </is>
      </c>
      <c r="B9" s="28" t="n"/>
      <c r="C9" s="28" t="n"/>
      <c r="D9" s="28" t="n"/>
      <c r="E9" s="28" t="n"/>
    </row>
    <row r="10" ht="45" customHeight="1">
      <c r="A10" s="46" t="inlineStr">
        <is>
          <t>6. The "12-Month Cash Flow" tab answers the question that decides a bank deal: in which month the cash runs out. The minimum balance of the year can never be in red.</t>
        </is>
      </c>
      <c r="B10" s="28" t="n"/>
      <c r="C10" s="28" t="n"/>
      <c r="D10" s="28" t="n"/>
      <c r="E10" s="28" t="n"/>
    </row>
    <row r="11" ht="45" customHeight="1">
      <c r="A11" s="46" t="inlineStr">
        <is>
          <t>7. The "Financing" tab matches what you need with what you put in and builds the amortization schedule of the loan. If the difference is red, the plan is not funded.</t>
        </is>
      </c>
      <c r="B11" s="28" t="n"/>
      <c r="C11" s="28" t="n"/>
      <c r="D11" s="28" t="n"/>
      <c r="E11" s="28" t="n"/>
    </row>
    <row r="12" ht="59.75" customHeight="1">
      <c r="A12" s="46" t="inlineStr">
        <is>
          <t>8. The Word business plan in this kit uses the same example figures as this workbook. The workbook is the one that recalculates on its own when you change a green cell: if you change one, update the matching figures in the Word document.</t>
        </is>
      </c>
      <c r="B12" s="28" t="n"/>
      <c r="C12" s="28" t="n"/>
      <c r="D12" s="28" t="n"/>
      <c r="E12" s="28" t="n"/>
    </row>
    <row r="13">
      <c r="A13" s="28" t="n"/>
      <c r="B13" s="28" t="n"/>
      <c r="C13" s="28" t="n"/>
      <c r="D13" s="28" t="n"/>
      <c r="E13" s="28" t="n"/>
    </row>
    <row r="14">
      <c r="A14" s="25" t="inlineStr">
        <is>
          <t>RATIOS AUDITED BY THIS WORKBOOK</t>
        </is>
      </c>
      <c r="B14" s="28" t="n"/>
      <c r="C14" s="28" t="n"/>
      <c r="D14" s="28" t="n"/>
      <c r="E14" s="28" t="n"/>
    </row>
    <row r="15" ht="30" customHeight="1">
      <c r="A15" s="46" t="inlineStr">
        <is>
          <t>Thresholds live in the "Threshold" column of the KEY RATIOS block of the P&amp;L: change them there and the traffic light changes with them.</t>
        </is>
      </c>
      <c r="B15" s="28" t="n"/>
      <c r="C15" s="28" t="n"/>
      <c r="D15" s="28" t="n"/>
      <c r="E15" s="28" t="n"/>
    </row>
    <row r="16">
      <c r="A16" s="28" t="n"/>
      <c r="B16" s="28" t="n"/>
      <c r="C16" s="28" t="n"/>
      <c r="D16" s="28" t="n"/>
      <c r="E16" s="28" t="n"/>
    </row>
    <row r="17">
      <c r="A17" s="25" t="inlineStr">
        <is>
          <t>Ratio</t>
        </is>
      </c>
      <c r="B17" s="25" t="inlineStr">
        <is>
          <t>Year 1 value</t>
        </is>
      </c>
      <c r="C17" s="25" t="inlineStr">
        <is>
          <t>Threshold</t>
        </is>
      </c>
      <c r="D17" s="25" t="inlineStr">
        <is>
          <t>Status</t>
        </is>
      </c>
      <c r="E17" s="28" t="n"/>
    </row>
    <row r="18">
      <c r="A18" s="28" t="inlineStr">
        <is>
          <t>Cost of goods sold / Sales</t>
        </is>
      </c>
      <c r="B18" s="68">
        <f>IFERROR(IF('3-Year P&amp;L'!$B$53="","",'3-Year P&amp;L'!$B$53),"")</f>
        <v>0.294</v>
      </c>
      <c r="C18" s="68">
        <f>IFERROR(IF('3-Year P&amp;L'!$E$53="","",'3-Year P&amp;L'!$E$53),"")</f>
        <v>0.35</v>
      </c>
      <c r="D18" s="28" t="str">
        <f>IFERROR(IF(OR(B18="",C18=""),"",IF(B18&lt;=C18,"OK","REVIEW")),"")</f>
        <v>OK</v>
      </c>
      <c r="E18" s="28" t="n"/>
    </row>
    <row r="19">
      <c r="A19" t="inlineStr">
        <is>
          <t>Labor cost / Sales</t>
        </is>
      </c>
      <c r="B19" s="65">
        <f>IFERROR(IF('3-Year P&amp;L'!$B$54="","",'3-Year P&amp;L'!$B$54),"")</f>
        <v>0.34446296296296297</v>
      </c>
      <c r="C19" s="65">
        <f>IFERROR(IF('3-Year P&amp;L'!$E$54="","",'3-Year P&amp;L'!$E$54),"")</f>
        <v>0.38</v>
      </c>
      <c r="D19" t="str">
        <f>IFERROR(IF(OR(B19="",C19=""),"",IF(B19&lt;=C19,"OK","REVIEW")),"")</f>
        <v>OK</v>
      </c>
    </row>
    <row r="20">
      <c r="A20" t="inlineStr">
        <is>
          <t>Commissary / Sales</t>
        </is>
      </c>
      <c r="B20" s="65">
        <f>IFERROR(IF('3-Year P&amp;L'!$B$55="","",'3-Year P&amp;L'!$B$55),"")</f>
        <v>0.046296296296296294</v>
      </c>
      <c r="C20" s="65">
        <f>IFERROR(IF('3-Year P&amp;L'!$E$55="","",'3-Year P&amp;L'!$E$55),"")</f>
        <v>0.08</v>
      </c>
      <c r="D20" t="str">
        <f>IFERROR(IF(OR(B20="",C20=""),"",IF(B20&lt;=C20,"OK","REVIEW")),"")</f>
        <v>OK</v>
      </c>
    </row>
    <row r="21">
      <c r="A21" t="inlineStr">
        <is>
          <t>Net income / Sales</t>
        </is>
      </c>
      <c r="B21" s="65">
        <f>IFERROR(IF('3-Year P&amp;L'!$B$56="","",'3-Year P&amp;L'!$B$56),"")</f>
        <v>0.07479365079365076</v>
      </c>
      <c r="C21" s="65">
        <f>IFERROR(IF('3-Year P&amp;L'!$E$56="","",'3-Year P&amp;L'!$E$56),"")</f>
        <v>0.05</v>
      </c>
      <c r="D21" t="str">
        <f>IFERROR(IF(OR(B21="",C21=""),"",IF(B21&gt;=C21,"OK","REVIEW")),"")</f>
        <v>OK</v>
      </c>
    </row>
    <row r="22">
      <c r="A22" t="inlineStr">
        <is>
          <t>Gross margin / Sales</t>
        </is>
      </c>
      <c r="B22" s="65">
        <f>IFERROR(IF('3-Year P&amp;L'!$B$51="","",'3-Year P&amp;L'!$B$51),"")</f>
        <v>0.606</v>
      </c>
      <c r="C22" s="65">
        <f>IFERROR(IF('3-Year P&amp;L'!$E$51="","",'3-Year P&amp;L'!$E$51),"")</f>
        <v>0.6</v>
      </c>
      <c r="D22" t="str">
        <f>IFERROR(IF(OR(B22="",C22=""),"",IF(B22&gt;=C22,"OK","REVIEW")),"")</f>
        <v>OK</v>
      </c>
    </row>
    <row r="24">
      <c r="A24" s="16" t="inlineStr">
        <is>
          <t>THIS PLAN'S KEY FIGURES</t>
        </is>
      </c>
    </row>
    <row r="25">
      <c r="A25" t="inlineStr">
        <is>
          <t>Total startup costs (sum of the blocks)</t>
        </is>
      </c>
      <c r="B25" s="42">
        <f>IFERROR(IF('Startup Costs'!$B$26="","",'Startup Costs'!$B$26),"")</f>
        <v>185453.0</v>
      </c>
    </row>
    <row r="26">
      <c r="A26" t="inlineStr">
        <is>
          <t>Total cash needed at launch</t>
        </is>
      </c>
      <c r="B26" s="42">
        <f>IFERROR(IF('Startup Costs'!$B$29="","",'Startup Costs'!$B$29),"")</f>
        <v>185453.0</v>
      </c>
    </row>
    <row r="27">
      <c r="A27" t="inlineStr">
        <is>
          <t>Working capital funded</t>
        </is>
      </c>
      <c r="B27" s="42">
        <f>IFERROR(IF('Startup Costs'!$B$25="","",'Startup Costs'!$B$25),"")</f>
        <v>78253.0</v>
      </c>
    </row>
    <row r="28">
      <c r="A28" t="inlineStr">
        <is>
          <t>Forecast year-1 revenue</t>
        </is>
      </c>
      <c r="B28" s="42">
        <f>IFERROR(IF('3-Year P&amp;L'!$B$9="","",'3-Year P&amp;L'!$B$9),"")</f>
        <v>648000.0</v>
      </c>
    </row>
    <row r="29">
      <c r="A29" t="inlineStr">
        <is>
          <t>Year-1 net income</t>
        </is>
      </c>
      <c r="B29" s="42">
        <f>IFERROR(IF('3-Year P&amp;L'!$B$48="","",'3-Year P&amp;L'!$B$48),"")</f>
        <v>48466.285714285696</v>
      </c>
    </row>
    <row r="30">
      <c r="A30" t="inlineStr">
        <is>
          <t>Events per year for the ACCOUNTING break-even (depreciation included)</t>
        </is>
      </c>
      <c r="B30" s="48">
        <f>IFERROR(IF('Break-Even'!$B$15="","",'Break-Even'!$B$15),"")</f>
        <v>150.37875216093042</v>
      </c>
    </row>
    <row r="31">
      <c r="A31" t="inlineStr">
        <is>
          <t>Project payback (years), before debt</t>
        </is>
      </c>
      <c r="B31">
        <f>IFERROR(IF('12-Month Cash Flow'!$B$31="","",'12-Month Cash Flow'!$B$31),"")</f>
        <v>1.9</v>
      </c>
    </row>
    <row r="33">
      <c r="A33" s="16" t="inlineStr">
        <is>
          <t>WHY THIS MODEL IS BUILT THIS WAY</t>
        </is>
      </c>
    </row>
    <row r="34">
      <c r="A34" s="16" t="inlineStr">
        <is>
          <t>Item</t>
        </is>
      </c>
      <c r="B34" s="16" t="inlineStr">
        <is>
          <t>Common shortcut</t>
        </is>
      </c>
      <c r="C34" s="16" t="inlineStr">
        <is>
          <t>This workbook</t>
        </is>
      </c>
      <c r="D34" s="16" t="inlineStr">
        <is>
          <t>Why</t>
        </is>
      </c>
    </row>
    <row r="35" ht="60" customHeight="1">
      <c r="A35" s="58" t="inlineStr">
        <is>
          <t>Labor cost in the P&amp;L</t>
        </is>
      </c>
      <c r="B35" s="58" t="inlineStr">
        <is>
          <t>A typed-in number that does not match the Staffing tab</t>
        </is>
      </c>
      <c r="C35" s="58" t="inlineStr">
        <is>
          <t>Read directly from the Staffing tab</t>
        </is>
      </c>
      <c r="D35" s="17" t="inlineStr">
        <is>
          <t>If you change a salary, the whole plan recalculates, so the P&amp;L and the staffing table can never disagree.</t>
        </is>
      </c>
    </row>
    <row r="36" ht="75" customHeight="1">
      <c r="A36" s="58" t="inlineStr">
        <is>
          <t>Staffing</t>
        </is>
      </c>
      <c r="B36" s="58" t="inlineStr">
        <is>
          <t>One line called "staff", with no link to event hours or pay floors</t>
        </is>
      </c>
      <c r="C36" s="58" t="inlineStr">
        <is>
          <t>Positions with their FTE, sized to the hours your events need, with event staff paid per event</t>
        </is>
      </c>
      <c r="D36" s="17" t="inlineStr">
        <is>
          <t>A plan staffed for fewer hours than it sells does not work on its own numbers. This layout makes that gap visible before a lender does.</t>
        </is>
      </c>
    </row>
    <row r="37" ht="60" customHeight="1">
      <c r="A37" s="58" t="inlineStr">
        <is>
          <t>Events, guests and price</t>
        </is>
      </c>
      <c r="B37" s="58" t="inlineStr">
        <is>
          <t>Sales typed as one lump sum, with no link to bookings</t>
        </is>
      </c>
      <c r="C37" s="58" t="inlineStr">
        <is>
          <t>Revenue = events per year × guests per event × price per guest, one cell each for the whole workbook</t>
        </is>
      </c>
      <c r="D37" s="17" t="inlineStr">
        <is>
          <t>Break-even, scenarios and the P&amp;L read the same three cells, so they always agree, and you can see which lever moves the result: more events, bigger events or a higher price.</t>
        </is>
      </c>
    </row>
    <row r="38" ht="60" customHeight="1">
      <c r="A38" s="58" t="inlineStr">
        <is>
          <t>Price per guest</t>
        </is>
      </c>
      <c r="B38" s="58" t="inlineStr">
        <is>
          <t>A price with no statement of whether sales tax or service is included</t>
        </is>
      </c>
      <c r="C38" s="58" t="inlineStr">
        <is>
          <t>Declared EXCL. sales tax, with service included and the voluntary gratuity left out</t>
        </is>
      </c>
      <c r="D38" s="17" t="inlineStr">
        <is>
          <t>Declaring it changes no number: it just says what the number is. Price per guest incl. sales tax = price per guest × (1 + sales tax rate), and the workbook calculates it for you.</t>
        </is>
      </c>
    </row>
    <row r="39" ht="60" customHeight="1">
      <c r="A39" s="58" t="inlineStr">
        <is>
          <t>Commissary kitchen and van parking</t>
        </is>
      </c>
      <c r="B39" s="58" t="inlineStr">
        <is>
          <t>Left out: the model shows no cost of space</t>
        </is>
      </c>
      <c r="C39" s="58" t="inlineStr">
        <is>
          <t>A monthly commissary cost (hours + storage) and van parking, plus a deposit and rent for the months before opening</t>
        </is>
      </c>
      <c r="D39" s="17" t="inlineStr">
        <is>
          <t>Catering has to be cooked in a permitted kitchen, not at home, so a commissary or shared kitchen is a real recurring cost. Leaving it out makes the business look like it has no occupancy cost.</t>
        </is>
      </c>
    </row>
    <row r="40" ht="45" customHeight="1">
      <c r="A40" s="58" t="inlineStr">
        <is>
          <t>Working capital</t>
        </is>
      </c>
      <c r="B40" s="58" t="inlineStr">
        <is>
          <t>A round number labeled "3 months" that does not match the fixed costs</t>
        </is>
      </c>
      <c r="C40" s="58" t="inlineStr">
        <is>
          <t>Three months of cash fixed costs, calculated by formula</t>
        </is>
      </c>
      <c r="D40" s="17" t="inlineStr">
        <is>
          <t>A round number often covers far less than the label says. This cushion is what keeps you open through a slow month between wedding seasons.</t>
        </is>
      </c>
    </row>
    <row r="41" ht="60" customHeight="1">
      <c r="A41" s="58" t="inlineStr">
        <is>
          <t>Depreciation</t>
        </is>
      </c>
      <c r="B41" s="58" t="inlineStr">
        <is>
          <t>One useful life for everything, including items that are not fixed assets</t>
        </is>
      </c>
      <c r="C41" s="58" t="inlineStr">
        <is>
          <t>Two useful lives: the van with its upfit, and the equipment and serving ware. The Startup Costs tab calculates the annual charge.</t>
        </is>
      </c>
      <c r="D41" s="17" t="inlineStr">
        <is>
          <t>The van and the equipment wear out at different speeds. Working capital, opening inventory and launch marketing are not fixed assets, so they are not depreciated.</t>
        </is>
      </c>
    </row>
    <row r="42" ht="30" customHeight="1">
      <c r="A42" s="58" t="inlineStr">
        <is>
          <t>Van insurance and liability</t>
        </is>
      </c>
      <c r="B42" s="58" t="inlineStr">
        <is>
          <t>Counted twice: once in startup costs and again as an annual expense</t>
        </is>
      </c>
      <c r="C42" s="58" t="inlineStr">
        <is>
          <t>Counted once, as an annual expense</t>
        </is>
      </c>
      <c r="D42" s="17" t="inlineStr">
        <is>
          <t>Counting a premium in both places inflates the startup costs, the cash you need to raise and the loan you ask for.</t>
        </is>
      </c>
    </row>
    <row r="43" ht="30" customHeight="1">
      <c r="A43" s="58" t="inlineStr">
        <is>
          <t>Generator and burner fuel</t>
        </is>
      </c>
      <c r="B43" s="58" t="inlineStr">
        <is>
          <t>A separate line, on top of utilities</t>
        </is>
      </c>
      <c r="C43" s="58" t="inlineStr">
        <is>
          <t>Included in the utilities cell</t>
        </is>
      </c>
      <c r="D43" s="17" t="inlineStr">
        <is>
          <t>Writing it in two places counts it twice: here it lives in one cell and the rest of the workbook follows.</t>
        </is>
      </c>
    </row>
    <row r="44" ht="30" customHeight="1">
      <c r="A44" s="58" t="inlineStr">
        <is>
          <t>Startup contingency</t>
        </is>
      </c>
      <c r="B44" s="58" t="inlineStr">
        <is>
          <t>A lump sum typed by hand</t>
        </is>
      </c>
      <c r="C44" s="58" t="inlineStr">
        <is>
          <t>A percentage calculated on the van, upfit and fit-out lines</t>
        </is>
      </c>
      <c r="D44" s="17" t="inlineStr">
        <is>
          <t>If you change the van price, the contingency recalculates instead of staying at the old amount.</t>
        </is>
      </c>
    </row>
    <row r="45" ht="74.75" customHeight="1">
      <c r="A45" s="58" t="inlineStr">
        <is>
          <t>Income tax</t>
        </is>
      </c>
      <c r="B45" s="58" t="inlineStr">
        <is>
          <t>A flat rate every year, with no offset for losses</t>
        </is>
      </c>
      <c r="C45" s="58" t="inlineStr">
        <is>
          <t>One effective rate for years 1-2 and another from year 3, offsetting net operating losses carried forward</t>
        </is>
      </c>
      <c r="D45" s="17" t="inlineStr">
        <is>
          <t>A loss in one year reduces taxable profit in later years. The model offsets losses fully as a simplification (federal rules cap the offset at 80% of taxable income). If you operate as a pass-through (sole proprietorship or LLC), set the rate to 0 and budget your personal tax separately.</t>
        </is>
      </c>
    </row>
    <row r="46" ht="45" customHeight="1">
      <c r="A46" s="58" t="inlineStr">
        <is>
          <t>Loan payment</t>
        </is>
      </c>
      <c r="B46" s="58" t="inlineStr">
        <is>
          <t>The full payment deducted in the P&amp;L</t>
        </is>
      </c>
      <c r="C46" s="58" t="inlineStr">
        <is>
          <t>Only interest in the P&amp;L; principal repaid in the cash flow</t>
        </is>
      </c>
      <c r="D46" s="17" t="inlineStr">
        <is>
          <t>Putting the full payment above the line turns the P&amp;L into a cash flow, and a lender spots it immediately.</t>
        </is>
      </c>
    </row>
    <row r="47" ht="45" customHeight="1">
      <c r="A47" s="58" t="inlineStr">
        <is>
          <t>Financing plan</t>
        </is>
      </c>
      <c r="B47" s="58" t="inlineStr">
        <is>
          <t>None</t>
        </is>
      </c>
      <c r="C47" s="58" t="inlineStr">
        <is>
          <t>A dedicated tab: where the money comes from, what it pays for and the amortization schedule year by year</t>
        </is>
      </c>
      <c r="D47" s="17" t="inlineStr">
        <is>
          <t>It is the sheet a lender asks for next to the P&amp;L, and it warns you when the money you put in falls short of what you need.</t>
        </is>
      </c>
    </row>
    <row r="48" ht="30" customHeight="1">
      <c r="A48" s="58" t="inlineStr">
        <is>
          <t>Month-by-month cash flow</t>
        </is>
      </c>
      <c r="B48" s="58" t="inlineStr">
        <is>
          <t>None</t>
        </is>
      </c>
      <c r="C48" s="58" t="inlineStr">
        <is>
          <t>A 12-month tab: cash in, cash out, quarterly sales tax and the cumulative balance</t>
        </is>
      </c>
      <c r="D48" s="17" t="inlineStr">
        <is>
          <t>It answers the one question that decides a loan: in which month does the business run out of cash?</t>
        </is>
      </c>
    </row>
    <row r="49" ht="45" customHeight="1">
      <c r="A49" s="58" t="inlineStr">
        <is>
          <t>Fuel and miscellaneous</t>
        </is>
      </c>
      <c r="B49" s="58" t="inlineStr">
        <is>
          <t>Fuel and a miscellaneous line typed in among the fixed costs</t>
        </is>
      </c>
      <c r="C49" s="58" t="inlineStr">
        <is>
          <t>One percentage of sales, treated as a variable cost</t>
        </is>
      </c>
      <c r="D49" s="17" t="inlineStr">
        <is>
          <t>Fuel rises and falls with the number of events you cater: putting it among the fixed costs distorts the break-even.</t>
        </is>
      </c>
    </row>
    <row r="50" ht="30" customHeight="1">
      <c r="A50" s="58" t="inlineStr">
        <is>
          <t>Cost of goods on all sales</t>
        </is>
      </c>
      <c r="B50" s="58" t="inlineStr">
        <is>
          <t>Revenue with no cost of goods sold attached</t>
        </is>
      </c>
      <c r="C50" s="58" t="inlineStr">
        <is>
          <t>Every food sale carries cost of goods sold at the same rate, whatever the service style</t>
        </is>
      </c>
      <c r="D50" s="17" t="inlineStr">
        <is>
          <t>A revenue line that pays for no ingredients shows a margin that does not exist.</t>
        </is>
      </c>
    </row>
    <row r="51" ht="45" customHeight="1">
      <c r="A51" s="58" t="inlineStr">
        <is>
          <t>Wages and minimum wage</t>
        </is>
      </c>
      <c r="B51" s="58" t="inlineStr">
        <is>
          <t>Wages never compared with any legal floor</t>
        </is>
      </c>
      <c r="C51" s="58" t="inlineStr">
        <is>
          <t>No row below the pay floor in proportion to its FTE, and a cell for your state or local minimum wage</t>
        </is>
      </c>
      <c r="D51" s="17" t="inlineStr">
        <is>
          <t>State and local minimums are often higher than the federal one: enter yours in "0. Assumptions" and the traffic light warns you when a wage falls short.</t>
        </is>
      </c>
    </row>
    <row r="53">
      <c r="A53" s="16" t="inlineStr">
        <is>
          <t>US CATERING BENCHMARKS (sourced) AND KIT ESTIMATES</t>
        </is>
      </c>
    </row>
    <row r="54">
      <c r="A54" s="16" t="inlineStr">
        <is>
          <t>Benchmark</t>
        </is>
      </c>
      <c r="B54" s="16" t="inlineStr">
        <is>
          <t>Value</t>
        </is>
      </c>
      <c r="C54" s="16" t="inlineStr">
        <is>
          <t>Source</t>
        </is>
      </c>
      <c r="D54" s="16" t="inlineStr">
        <is>
          <t>Note</t>
        </is>
      </c>
    </row>
    <row r="55" ht="60" customHeight="1">
      <c r="A55" t="inlineStr">
        <is>
          <t>Food cost</t>
        </is>
      </c>
      <c r="B55" t="inlineStr">
        <is>
          <t>28-35%</t>
        </is>
      </c>
      <c r="C55" t="inlineStr">
        <is>
          <t>galleysolutions.com</t>
        </is>
      </c>
      <c r="D55" s="17" t="inlineStr">
        <is>
          <t>High-end menus run about 25% and high-volume menus about 40%. The example sits inside the range: if your menu runs at 35%, year-1 profit gets very tight.</t>
        </is>
      </c>
    </row>
    <row r="56" ht="45" customHeight="1">
      <c r="A56" t="inlineStr">
        <is>
          <t>Gross margin</t>
        </is>
      </c>
      <c r="B56" t="inlineStr">
        <is>
          <t>65-70%</t>
        </is>
      </c>
      <c r="C56" t="inlineStr">
        <is>
          <t>galleysolutions.com</t>
        </is>
      </c>
      <c r="D56" s="17" t="inlineStr">
        <is>
          <t>Before overhead. The workbook subtracts card fees, marketplace commissions and van fuel from it too, so its floor is set lower.</t>
        </is>
      </c>
    </row>
    <row r="57" ht="45" customHeight="1">
      <c r="A57" t="inlineStr">
        <is>
          <t>Labor cost / sales</t>
        </is>
      </c>
      <c r="B57" t="inlineStr">
        <is>
          <t>25-35%</t>
        </is>
      </c>
      <c r="C57" t="inlineStr">
        <is>
          <t>galleysolutions.com</t>
        </is>
      </c>
      <c r="D57" s="17" t="inlineStr">
        <is>
          <t>Kitchen, administration and part of the owner's time; itsacheckmate.com gives 20-35%. The workbook's ceiling is higher because it includes the owner-chef's pay.</t>
        </is>
      </c>
    </row>
    <row r="58" ht="45" customHeight="1">
      <c r="A58" t="inlineStr">
        <is>
          <t>Net profit margin</t>
        </is>
      </c>
      <c r="B58" t="inlineStr">
        <is>
          <t>7-8%</t>
        </is>
      </c>
      <c r="C58" t="inlineStr">
        <is>
          <t>itsacheckmate.com</t>
        </is>
      </c>
      <c r="D58" s="17" t="inlineStr">
        <is>
          <t>Average for caterers. A new business with a loan to repay starts lower: improve it with more events, bigger events or a higher price per guest.</t>
        </is>
      </c>
    </row>
    <row r="59" ht="45" customHeight="1">
      <c r="A59" t="inlineStr">
        <is>
          <t>Wedding price per guest</t>
        </is>
      </c>
      <c r="B59" t="inlineStr">
        <is>
          <t>$80 per plate</t>
        </is>
      </c>
      <c r="C59" t="inlineStr">
        <is>
          <t>foxbusiness.com</t>
        </is>
      </c>
      <c r="D59" s="17" t="inlineStr">
        <is>
          <t>Average in 2024 (The Knot 2025 Real Weddings Study, via Fox Business). Your market, menu and service style move it a lot.</t>
        </is>
      </c>
    </row>
    <row r="60" ht="30" customHeight="1">
      <c r="A60" t="inlineStr">
        <is>
          <t>Price per guest, all events</t>
        </is>
      </c>
      <c r="B60" t="inlineStr">
        <is>
          <t>$20-$80</t>
        </is>
      </c>
      <c r="C60" t="inlineStr">
        <is>
          <t>Kit estimate</t>
        </is>
      </c>
      <c r="D60" s="17" t="inlineStr">
        <is>
          <t>Typical event of 50-75 guests. Corporate drop-offs sit at the low end; plated dinners with staff at the high end.</t>
        </is>
      </c>
    </row>
    <row r="61" ht="45" customHeight="1">
      <c r="A61" t="inlineStr">
        <is>
          <t>Corporate lunch per guest</t>
        </is>
      </c>
      <c r="B61" t="inlineStr">
        <is>
          <t>$12-$38</t>
        </is>
      </c>
      <c r="C61" t="inlineStr">
        <is>
          <t>Kit estimate</t>
        </is>
      </c>
      <c r="D61" s="17" t="inlineStr">
        <is>
          <t>Boxed lunches run about $12-$35+ and drop-off buffets about $20-$38 on published corporate catering menus. Check your local competitors.</t>
        </is>
      </c>
    </row>
    <row r="62" ht="60" customHeight="1">
      <c r="A62" t="inlineStr">
        <is>
          <t>Corporate marketplace commission</t>
        </is>
      </c>
      <c r="B62" t="inlineStr">
        <is>
          <t>About 15%</t>
        </is>
      </c>
      <c r="C62" t="inlineStr">
        <is>
          <t>Kit estimate</t>
        </is>
      </c>
      <c r="D62" s="17" t="inlineStr">
        <is>
          <t>ezCater lists about 15% on food and delivery, plus card processing. Fees change: check the current schedule before you count on a rate.</t>
        </is>
      </c>
    </row>
    <row r="63" ht="120" customHeight="1">
      <c r="A63" t="inlineStr">
        <is>
          <t>Deposit at booking</t>
        </is>
      </c>
      <c r="B63" t="inlineStr">
        <is>
          <t>25-50%</t>
        </is>
      </c>
      <c r="C63" t="inlineStr">
        <is>
          <t>Kit estimate</t>
        </is>
      </c>
      <c r="D63" s="17" t="inlineStr">
        <is>
          <t>Common at signing, with the balance due 5-7 days before the event; companies often pay at 30 days. The workbook does not model deposits, so they improve your real cash flow.</t>
        </is>
      </c>
    </row>
    <row r="64" ht="30" customHeight="1">
      <c r="A64" t="inlineStr">
        <is>
          <t>Hourly wages</t>
        </is>
      </c>
      <c r="B64" t="inlineStr">
        <is>
          <t>$15-$35 per hour</t>
        </is>
      </c>
      <c r="C64" t="inlineStr">
        <is>
          <t>restroworks.com</t>
        </is>
      </c>
      <c r="D64" s="17" t="inlineStr">
        <is>
          <t>Chef or manager $25-$35, prep cook $15-$18, servers and bartenders $18-$25. Add 15-30% for payroll taxes and benefits.</t>
        </is>
      </c>
    </row>
    <row r="65" ht="30" customHeight="1">
      <c r="A65" t="inlineStr">
        <is>
          <t>Shared kitchen rate</t>
        </is>
      </c>
      <c r="B65" t="inlineStr">
        <is>
          <t>$15-$45 per hour</t>
        </is>
      </c>
      <c r="C65" t="inlineStr">
        <is>
          <t>thefoodcorridor.com</t>
        </is>
      </c>
      <c r="D65" s="17" t="inlineStr">
        <is>
          <t>2023 Shared Kitchen Operator Survey; 42% of operators charge $20-$29 per hour. Storage and parking cost extra.</t>
        </is>
      </c>
    </row>
    <row r="66" ht="74.75" customHeight="1">
      <c r="A66" t="inlineStr">
        <is>
          <t>Startup investment</t>
        </is>
      </c>
      <c r="B66" t="inlineStr">
        <is>
          <t>$20K-$65K</t>
        </is>
      </c>
      <c r="C66" t="inlineStr">
        <is>
          <t>restroworks.com</t>
        </is>
      </c>
      <c r="D66" s="17" t="inlineStr">
        <is>
          <t>With a shared kitchen; $250K+ if you build your own. Your total depends mostly on the van and the equipment you choose. The example ($107,200 before working capital) sits above this range because it buys a refrigerated van ($41,000 with its unit) and its own serving equipment.</t>
        </is>
      </c>
    </row>
    <row r="67" ht="45" customHeight="1">
      <c r="A67" t="inlineStr">
        <is>
          <t>Insurance</t>
        </is>
      </c>
      <c r="B67" t="inlineStr">
        <is>
          <t>$45 / $204 / $28 per month</t>
        </is>
      </c>
      <c r="C67" t="inlineStr">
        <is>
          <t>insureon.com</t>
        </is>
      </c>
      <c r="D67" s="17" t="inlineStr">
        <is>
          <t>Insureon averages for businesses under 5 employees: general liability, commercial auto and liquor liability. Your quotes will differ.</t>
        </is>
      </c>
    </row>
    <row r="68" ht="30" customHeight="1">
      <c r="A68" t="inlineStr">
        <is>
          <t>Event staff ratio</t>
        </is>
      </c>
      <c r="B68" t="inlineStr">
        <is>
          <t>1 server per 10-12 guests (plated); 1 per 20-25 (buffet)</t>
        </is>
      </c>
      <c r="C68" t="inlineStr">
        <is>
          <t>Kit estimate</t>
        </is>
      </c>
      <c r="D68" s="17" t="inlineStr">
        <is>
          <t>Rule of thumb: stations and heavy service need more hands. Use it to size the event staff row in the "Staffing" tab.</t>
        </is>
      </c>
    </row>
    <row r="70">
      <c r="A70" s="59" t="inlineStr">
        <is>
          <t>To edit a cell that is not green: Review → Unprotect Sheet (there is no password).</t>
        </is>
      </c>
    </row>
    <row r="71">
      <c r="A71" s="59" t="inlineStr">
        <is>
          <t>More templates and kits in the catalog at aichef.pro/en/digital-products</t>
        </is>
      </c>
    </row>
    <row r="72">
      <c r="A72" s="59" t="inlineStr">
        <is>
          <t>Designed by John Guerrero — chef and restaurant consultant since 2010, in the kitchen since age 17 · johnguerrero.es</t>
        </is>
      </c>
    </row>
    <row r="73">
      <c r="A73" s="59" t="inlineStr">
        <is>
          <t>Version 2.2 · October 2026 · aichef.pro/en/digital-products/catering-business-plan · info@aichef.pro</t>
        </is>
      </c>
    </row>
    <row r="74" ht="45" customHeight="1">
      <c r="A74" s="72"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CASH FLOW FORECAST — YEAR 1</t>
        </is>
      </c>
      <c r="B1" s="28" t="n"/>
      <c r="C1" s="28" t="n"/>
      <c r="D1" s="28" t="n"/>
      <c r="E1" s="28" t="n"/>
      <c r="F1" s="28" t="n"/>
      <c r="G1" s="28" t="n"/>
      <c r="H1" s="28" t="n"/>
      <c r="I1" s="28" t="n"/>
      <c r="J1" s="28" t="n"/>
      <c r="K1" s="28" t="n"/>
      <c r="L1" s="28" t="n"/>
      <c r="M1" s="28" t="n"/>
      <c r="N1" s="28" t="n"/>
      <c r="O1" s="28" t="n"/>
    </row>
    <row r="2" ht="59.75" customHeight="1">
      <c r="A2" s="46" t="inlineStr">
        <is>
          <t>The P&amp;L tells you whether the business makes money; this tab tells you whether you have cash left to get to the end of the month. It is the first one a lender looks at.</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Item</t>
        </is>
      </c>
      <c r="B4" s="25" t="inlineStr">
        <is>
          <t>Month 1</t>
        </is>
      </c>
      <c r="C4" s="25" t="inlineStr">
        <is>
          <t>Month 2</t>
        </is>
      </c>
      <c r="D4" s="25" t="inlineStr">
        <is>
          <t>Month 3</t>
        </is>
      </c>
      <c r="E4" s="25" t="inlineStr">
        <is>
          <t>Month 4</t>
        </is>
      </c>
      <c r="F4" s="25" t="inlineStr">
        <is>
          <t>Month 5</t>
        </is>
      </c>
      <c r="G4" s="25" t="inlineStr">
        <is>
          <t>Month 6</t>
        </is>
      </c>
      <c r="H4" s="25" t="inlineStr">
        <is>
          <t>Month 7</t>
        </is>
      </c>
      <c r="I4" s="25" t="inlineStr">
        <is>
          <t>Month 8</t>
        </is>
      </c>
      <c r="J4" s="25" t="inlineStr">
        <is>
          <t>Month 9</t>
        </is>
      </c>
      <c r="K4" s="25" t="inlineStr">
        <is>
          <t>Month 10</t>
        </is>
      </c>
      <c r="L4" s="25" t="inlineStr">
        <is>
          <t>Month 11</t>
        </is>
      </c>
      <c r="M4" s="25" t="inlineStr">
        <is>
          <t>Month 12</t>
        </is>
      </c>
      <c r="N4" s="25" t="inlineStr">
        <is>
          <t>Year</t>
        </is>
      </c>
      <c r="O4" s="28" t="n"/>
    </row>
    <row r="5">
      <c r="A5" s="28" t="inlineStr">
        <is>
          <t>Monthly seasonality (adds up to 100%)</t>
        </is>
      </c>
      <c r="B5" s="73" t="n">
        <v>0.07000000000000001</v>
      </c>
      <c r="C5" s="73" t="n">
        <v>0.08</v>
      </c>
      <c r="D5" s="73" t="n">
        <v>0.095</v>
      </c>
      <c r="E5" s="73" t="n">
        <v>0.1</v>
      </c>
      <c r="F5" s="73" t="n">
        <v>0.07000000000000001</v>
      </c>
      <c r="G5" s="73" t="n">
        <v>0.07000000000000001</v>
      </c>
      <c r="H5" s="73" t="n">
        <v>0.1</v>
      </c>
      <c r="I5" s="73" t="n">
        <v>0.11</v>
      </c>
      <c r="J5" s="73" t="n">
        <v>0.08500000000000001</v>
      </c>
      <c r="K5" s="73" t="n">
        <v>0.115</v>
      </c>
      <c r="L5" s="73" t="n">
        <v>0.05</v>
      </c>
      <c r="M5" s="73" t="n">
        <v>0.055</v>
      </c>
      <c r="N5" s="68">
        <f>IFERROR(IF('3-Year P&amp;L'!$B$9="","",SUM(B5:M5)),"")</f>
        <v>1.0</v>
      </c>
      <c r="O5" s="28" t="inlineStr">
        <is>
          <t>Share of the year's events per month (100% in total). Month 1 = opening month (March in the example): rotate the row.</t>
        </is>
      </c>
    </row>
    <row r="6">
      <c r="A6" s="28" t="inlineStr">
        <is>
          <t>Launch ramp-up (% of steady-state activity)</t>
        </is>
      </c>
      <c r="B6" s="68">
        <f>IFERROR(IF('3-Year P&amp;L'!$B$9="","",MIN(1,'0. Assumptions'!$B$52+(1-'0. Assumptions'!$B$52)*0/MAX(1,'0. Assumptions'!$B$53-1))),"")</f>
        <v>0.5</v>
      </c>
      <c r="C6" s="68">
        <f>IFERROR(IF('3-Year P&amp;L'!$B$9="","",MIN(1,'0. Assumptions'!$B$52+(1-'0. Assumptions'!$B$52)*1/MAX(1,'0. Assumptions'!$B$53-1))),"")</f>
        <v>0.5714285714285714</v>
      </c>
      <c r="D6" s="68">
        <f>IFERROR(IF('3-Year P&amp;L'!$B$9="","",MIN(1,'0. Assumptions'!$B$52+(1-'0. Assumptions'!$B$52)*2/MAX(1,'0. Assumptions'!$B$53-1))),"")</f>
        <v>0.6428571428571428</v>
      </c>
      <c r="E6" s="68">
        <f>IFERROR(IF('3-Year P&amp;L'!$B$9="","",MIN(1,'0. Assumptions'!$B$52+(1-'0. Assumptions'!$B$52)*3/MAX(1,'0. Assumptions'!$B$53-1))),"")</f>
        <v>0.7142857142857143</v>
      </c>
      <c r="F6" s="68">
        <f>IFERROR(IF('3-Year P&amp;L'!$B$9="","",MIN(1,'0. Assumptions'!$B$52+(1-'0. Assumptions'!$B$52)*4/MAX(1,'0. Assumptions'!$B$53-1))),"")</f>
        <v>0.7857142857142857</v>
      </c>
      <c r="G6" s="68">
        <f>IFERROR(IF('3-Year P&amp;L'!$B$9="","",MIN(1,'0. Assumptions'!$B$52+(1-'0. Assumptions'!$B$52)*5/MAX(1,'0. Assumptions'!$B$53-1))),"")</f>
        <v>0.8571428571428572</v>
      </c>
      <c r="H6" s="68">
        <f>IFERROR(IF('3-Year P&amp;L'!$B$9="","",MIN(1,'0. Assumptions'!$B$52+(1-'0. Assumptions'!$B$52)*6/MAX(1,'0. Assumptions'!$B$53-1))),"")</f>
        <v>0.9285714285714286</v>
      </c>
      <c r="I6" s="68">
        <f>IFERROR(IF('3-Year P&amp;L'!$B$9="","",MIN(1,'0. Assumptions'!$B$52+(1-'0. Assumptions'!$B$52)*7/MAX(1,'0. Assumptions'!$B$53-1))),"")</f>
        <v>1.0</v>
      </c>
      <c r="J6" s="68">
        <f>IFERROR(IF('3-Year P&amp;L'!$B$9="","",MIN(1,'0. Assumptions'!$B$52+(1-'0. Assumptions'!$B$52)*8/MAX(1,'0. Assumptions'!$B$53-1))),"")</f>
        <v>1.0</v>
      </c>
      <c r="K6" s="68">
        <f>IFERROR(IF('3-Year P&amp;L'!$B$9="","",MIN(1,'0. Assumptions'!$B$52+(1-'0. Assumptions'!$B$52)*9/MAX(1,'0. Assumptions'!$B$53-1))),"")</f>
        <v>1.0</v>
      </c>
      <c r="L6" s="68">
        <f>IFERROR(IF('3-Year P&amp;L'!$B$9="","",MIN(1,'0. Assumptions'!$B$52+(1-'0. Assumptions'!$B$52)*10/MAX(1,'0. Assumptions'!$B$53-1))),"")</f>
        <v>1.0</v>
      </c>
      <c r="M6" s="68">
        <f>IFERROR(IF('3-Year P&amp;L'!$B$9="","",MIN(1,'0. Assumptions'!$B$52+(1-'0. Assumptions'!$B$52)*11/MAX(1,'0. Assumptions'!$B$53-1))),"")</f>
        <v>1.0</v>
      </c>
      <c r="N6" s="28" t="n"/>
      <c r="O6" s="28" t="inlineStr">
        <is>
          <t>Rises in a straight line from the month-1 percentage to 100% over the number of months you set in Assumptions. With month 1 at 100%, the ramp disappears</t>
        </is>
      </c>
    </row>
    <row r="7">
      <c r="A7" s="28" t="inlineStr">
        <is>
          <t>Split of activity by month (calculated)</t>
        </is>
      </c>
      <c r="B7" s="68">
        <f>IFERROR(IF('3-Year P&amp;L'!$B$9="","",B5*B6/SUMPRODUCT($B$5:$M$5,$B$6:$M$6)),"")</f>
        <v>0.04186245194361384</v>
      </c>
      <c r="C7" s="68">
        <f>IFERROR(IF('3-Year P&amp;L'!$B$9="","",C5*C6/SUMPRODUCT($B$5:$M$5,$B$6:$M$6)),"")</f>
        <v>0.054677488252883384</v>
      </c>
      <c r="D7" s="68">
        <f>IFERROR(IF('3-Year P&amp;L'!$B$9="","",D5*D6/SUMPRODUCT($B$5:$M$5,$B$6:$M$6)),"")</f>
        <v>0.0730457069628364</v>
      </c>
      <c r="E7" s="68">
        <f>IFERROR(IF('3-Year P&amp;L'!$B$9="","",E5*E6/SUMPRODUCT($B$5:$M$5,$B$6:$M$6)),"")</f>
        <v>0.0854335753951303</v>
      </c>
      <c r="F7" s="68">
        <f>IFERROR(IF('3-Year P&amp;L'!$B$9="","",F5*F6/SUMPRODUCT($B$5:$M$5,$B$6:$M$6)),"")</f>
        <v>0.06578385305425033</v>
      </c>
      <c r="G7" s="68">
        <f>IFERROR(IF('3-Year P&amp;L'!$B$9="","",G5*G6/SUMPRODUCT($B$5:$M$5,$B$6:$M$6)),"")</f>
        <v>0.07176420333190946</v>
      </c>
      <c r="H7" s="68">
        <f>IFERROR(IF('3-Year P&amp;L'!$B$9="","",H5*H6/SUMPRODUCT($B$5:$M$5,$B$6:$M$6)),"")</f>
        <v>0.11106364801366937</v>
      </c>
      <c r="I7" s="68">
        <f>IFERROR(IF('3-Year P&amp;L'!$B$9="","",I5*I6/SUMPRODUCT($B$5:$M$5,$B$6:$M$6)),"")</f>
        <v>0.13156770610850063</v>
      </c>
      <c r="J7" s="68">
        <f>IFERROR(IF('3-Year P&amp;L'!$B$9="","",J5*J6/SUMPRODUCT($B$5:$M$5,$B$6:$M$6)),"")</f>
        <v>0.10166595472020505</v>
      </c>
      <c r="K7" s="68">
        <f>IFERROR(IF('3-Year P&amp;L'!$B$9="","",K5*K6/SUMPRODUCT($B$5:$M$5,$B$6:$M$6)),"")</f>
        <v>0.13754805638615977</v>
      </c>
      <c r="L7" s="68">
        <f>IFERROR(IF('3-Year P&amp;L'!$B$9="","",L5*L6/SUMPRODUCT($B$5:$M$5,$B$6:$M$6)),"")</f>
        <v>0.0598035027765912</v>
      </c>
      <c r="M7" s="68">
        <f>IFERROR(IF('3-Year P&amp;L'!$B$9="","",M5*M6/SUMPRODUCT($B$5:$M$5,$B$6:$M$6)),"")</f>
        <v>0.06578385305425032</v>
      </c>
      <c r="N7" s="68">
        <f>IFERROR(IF('3-Year P&amp;L'!$B$9="","",SUM(B7:M7)),"")</f>
        <v>1.0</v>
      </c>
      <c r="O7" s="28" t="inlineStr">
        <is>
          <t>Seasonality × ramp-up, normalized to 100%: the YEAR brings in what the P&amp;L says, but split the way a business that has just opened would split it</t>
        </is>
      </c>
    </row>
    <row r="8">
      <c r="A8" s="25" t="inlineStr">
        <is>
          <t>CASH IN</t>
        </is>
      </c>
      <c r="B8" s="28" t="n"/>
      <c r="C8" s="28" t="n"/>
      <c r="D8" s="28" t="n"/>
      <c r="E8" s="28" t="n"/>
      <c r="F8" s="28" t="n"/>
      <c r="G8" s="28" t="n"/>
      <c r="H8" s="28" t="n"/>
      <c r="I8" s="28" t="n"/>
      <c r="J8" s="28" t="n"/>
      <c r="K8" s="28" t="n"/>
      <c r="L8" s="28" t="n"/>
      <c r="M8" s="28" t="n"/>
      <c r="N8" s="28" t="n"/>
      <c r="O8" s="28" t="n"/>
    </row>
    <row r="9">
      <c r="A9" s="28" t="inlineStr">
        <is>
          <t>Sales collected (incl. sales tax collected)</t>
        </is>
      </c>
      <c r="B9" s="40">
        <f>IFERROR(IF('3-Year P&amp;L'!$B$9="","",('3-Year P&amp;L'!$B$9+'3-Year P&amp;L'!$B$9*SUMPRODUCT('3-Year P&amp;L'!$E$10:$E$11,'3-Year P&amp;L'!$G$10:$G$11))*B7*(1-MIN(30,'0. Assumptions'!$B$58)/30)),"")</f>
        <v>15625.07646304998</v>
      </c>
      <c r="C9" s="40">
        <f>IFERROR(IF('3-Year P&amp;L'!$B$9="","",('3-Year P&amp;L'!$B$9+'3-Year P&amp;L'!$B$9*SUMPRODUCT('3-Year P&amp;L'!$E$10:$E$11,'3-Year P&amp;L'!$G$10:$G$11))*(C7*(1-MIN(30,'0. Assumptions'!$B$58)/30)+B7*MIN(30,'0. Assumptions'!$B$58)/30)),"")</f>
        <v>34080.20504058095</v>
      </c>
      <c r="D9" s="40">
        <f>IFERROR(IF('3-Year P&amp;L'!$B$9="","",('3-Year P&amp;L'!$B$9+'3-Year P&amp;L'!$B$9*SUMPRODUCT('3-Year P&amp;L'!$E$10:$E$11,'3-Year P&amp;L'!$G$10:$G$11))*(D7*(1-MIN(30,'0. Assumptions'!$B$58)/30)+C7*MIN(30,'0. Assumptions'!$B$58)/30)),"")</f>
        <v>45121.39427595044</v>
      </c>
      <c r="E9" s="40">
        <f>IFERROR(IF('3-Year P&amp;L'!$B$9="","",('3-Year P&amp;L'!$B$9+'3-Year P&amp;L'!$B$9*SUMPRODUCT('3-Year P&amp;L'!$E$10:$E$11,'3-Year P&amp;L'!$G$10:$G$11))*(E7*(1-MIN(30,'0. Assumptions'!$B$58)/30)+D7*MIN(30,'0. Assumptions'!$B$58)/30)),"")</f>
        <v>55744.05467748825</v>
      </c>
      <c r="F9" s="40">
        <f>IFERROR(IF('3-Year P&amp;L'!$B$9="","",('3-Year P&amp;L'!$B$9+'3-Year P&amp;L'!$B$9*SUMPRODUCT('3-Year P&amp;L'!$E$10:$E$11,'3-Year P&amp;L'!$G$10:$G$11))*(F7*(1-MIN(30,'0. Assumptions'!$B$58)/30)+E7*MIN(30,'0. Assumptions'!$B$58)/30)),"")</f>
        <v>52455.613840239224</v>
      </c>
      <c r="G9" s="40">
        <f>IFERROR(IF('3-Year P&amp;L'!$B$9="","",('3-Year P&amp;L'!$B$9+'3-Year P&amp;L'!$B$9*SUMPRODUCT('3-Year P&amp;L'!$E$10:$E$11,'3-Year P&amp;L'!$G$10:$G$11))*(G7*(1-MIN(30,'0. Assumptions'!$B$58)/30)+F7*MIN(30,'0. Assumptions'!$B$58)/30)),"")</f>
        <v>48270.32550192226</v>
      </c>
      <c r="H9" s="40">
        <f>IFERROR(IF('3-Year P&amp;L'!$B$9="","",('3-Year P&amp;L'!$B$9+'3-Year P&amp;L'!$B$9*SUMPRODUCT('3-Year P&amp;L'!$E$10:$E$11,'3-Year P&amp;L'!$G$10:$G$11))*(H7*(1-MIN(30,'0. Assumptions'!$B$58)/30)+G7*MIN(30,'0. Assumptions'!$B$58)/30)),"")</f>
        <v>64891.89918838103</v>
      </c>
      <c r="I9" s="40">
        <f>IFERROR(IF('3-Year P&amp;L'!$B$9="","",('3-Year P&amp;L'!$B$9+'3-Year P&amp;L'!$B$9*SUMPRODUCT('3-Year P&amp;L'!$E$10:$E$11,'3-Year P&amp;L'!$G$10:$G$11))*(I7*(1-MIN(30,'0. Assumptions'!$B$58)/30)+H7*MIN(30,'0. Assumptions'!$B$58)/30)),"")</f>
        <v>85379.88210166595</v>
      </c>
      <c r="J9" s="40">
        <f>IFERROR(IF('3-Year P&amp;L'!$B$9="","",('3-Year P&amp;L'!$B$9+'3-Year P&amp;L'!$B$9*SUMPRODUCT('3-Year P&amp;L'!$E$10:$E$11,'3-Year P&amp;L'!$G$10:$G$11))*(J7*(1-MIN(30,'0. Assumptions'!$B$58)/30)+I7*MIN(30,'0. Assumptions'!$B$58)/30)),"")</f>
        <v>80915.57454079454</v>
      </c>
      <c r="K9" s="40">
        <f>IFERROR(IF('3-Year P&amp;L'!$B$9="","",('3-Year P&amp;L'!$B$9+'3-Year P&amp;L'!$B$9*SUMPRODUCT('3-Year P&amp;L'!$E$10:$E$11,'3-Year P&amp;L'!$G$10:$G$11))*(K7*(1-MIN(30,'0. Assumptions'!$B$58)/30)+J7*MIN(30,'0. Assumptions'!$B$58)/30)),"")</f>
        <v>84542.82443400257</v>
      </c>
      <c r="L9" s="40">
        <f>IFERROR(IF('3-Year P&amp;L'!$B$9="","",('3-Year P&amp;L'!$B$9+'3-Year P&amp;L'!$B$9*SUMPRODUCT('3-Year P&amp;L'!$E$10:$E$11,'3-Year P&amp;L'!$G$10:$G$11))*(L7*(1-MIN(30,'0. Assumptions'!$B$58)/30)+K7*MIN(30,'0. Assumptions'!$B$58)/30)),"")</f>
        <v>67243.6326356258</v>
      </c>
      <c r="M9" s="40">
        <f>IFERROR(IF('3-Year P&amp;L'!$B$9="","",('3-Year P&amp;L'!$B$9+'3-Year P&amp;L'!$B$9*SUMPRODUCT('3-Year P&amp;L'!$E$10:$E$11,'3-Year P&amp;L'!$G$10:$G$11))*(M7*(1-MIN(30,'0. Assumptions'!$B$58)/30)+L7*MIN(30,'0. Assumptions'!$B$58)/30)),"")</f>
        <v>44085.0371636053</v>
      </c>
      <c r="N9" s="40">
        <f>IFERROR(IF('3-Year P&amp;L'!$B$9="","",SUM(B9:M9)),"")</f>
        <v>678355.5198633063</v>
      </c>
      <c r="O9" s="28" t="inlineStr">
        <is>
          <t>The month's sales plus the sales tax collected, adjusted by the average collection days from the Assumptions tab</t>
        </is>
      </c>
    </row>
    <row r="10">
      <c r="A10" s="25" t="inlineStr">
        <is>
          <t>CASH OUT</t>
        </is>
      </c>
      <c r="B10" s="28" t="n"/>
      <c r="C10" s="28" t="n"/>
      <c r="D10" s="28" t="n"/>
      <c r="E10" s="28" t="n"/>
      <c r="F10" s="28" t="n"/>
      <c r="G10" s="28" t="n"/>
      <c r="H10" s="28" t="n"/>
      <c r="I10" s="28" t="n"/>
      <c r="J10" s="28" t="n"/>
      <c r="K10" s="28" t="n"/>
      <c r="L10" s="28" t="n"/>
      <c r="M10" s="28" t="n"/>
      <c r="N10" s="28" t="n"/>
      <c r="O10" s="28" t="n"/>
    </row>
    <row r="11">
      <c r="A11" s="28" t="inlineStr">
        <is>
          <t>Purchases and variable costs (incl. sales tax)</t>
        </is>
      </c>
      <c r="B11" s="40">
        <f>IFERROR(IF('3-Year P&amp;L'!$B$9="","",-('3-Year P&amp;L'!$B$13*(1+'3-Year P&amp;L'!$G$13)+'3-Year P&amp;L'!$B$14*(1+'3-Year P&amp;L'!$G$14)+'3-Year P&amp;L'!$B$15*(1+'3-Year P&amp;L'!$G$15)+'3-Year P&amp;L'!$B$16*(1+'3-Year P&amp;L'!$G$16)+'3-Year P&amp;L'!$B$17*(1+'3-Year P&amp;L'!$G$17)+'3-Year P&amp;L'!$B$18*(1+'3-Year P&amp;L'!$G$18))*B7*(1-MIN(30,'0. Assumptions'!$B$59)/30)),"")</f>
        <v>-8194.122853481418</v>
      </c>
      <c r="C11" s="40">
        <f>IFERROR(IF('3-Year P&amp;L'!$B$9="","",-('3-Year P&amp;L'!$B$13*(1+'3-Year P&amp;L'!$G$13)+'3-Year P&amp;L'!$B$14*(1+'3-Year P&amp;L'!$G$14)+'3-Year P&amp;L'!$B$15*(1+'3-Year P&amp;L'!$G$15)+'3-Year P&amp;L'!$B$16*(1+'3-Year P&amp;L'!$G$16)+'3-Year P&amp;L'!$B$17*(1+'3-Year P&amp;L'!$G$17)+'3-Year P&amp;L'!$B$18*(1+'3-Year P&amp;L'!$G$18))*(C7*(1-MIN(30,'0. Assumptions'!$B$59)/30)+B7*MIN(30,'0. Assumptions'!$B$59)/30)),"")</f>
        <v>-13196.39128577531</v>
      </c>
      <c r="D11" s="40">
        <f>IFERROR(IF('3-Year P&amp;L'!$B$9="","",-('3-Year P&amp;L'!$B$13*(1+'3-Year P&amp;L'!$G$13)+'3-Year P&amp;L'!$B$14*(1+'3-Year P&amp;L'!$G$14)+'3-Year P&amp;L'!$B$15*(1+'3-Year P&amp;L'!$G$15)+'3-Year P&amp;L'!$B$16*(1+'3-Year P&amp;L'!$G$16)+'3-Year P&amp;L'!$B$17*(1+'3-Year P&amp;L'!$G$17)+'3-Year P&amp;L'!$B$18*(1+'3-Year P&amp;L'!$G$18))*(D7*(1-MIN(30,'0. Assumptions'!$B$59)/30)+C7*MIN(30,'0. Assumptions'!$B$59)/30)),"")</f>
        <v>-17555.199316531398</v>
      </c>
      <c r="E11" s="40">
        <f>IFERROR(IF('3-Year P&amp;L'!$B$9="","",-('3-Year P&amp;L'!$B$13*(1+'3-Year P&amp;L'!$G$13)+'3-Year P&amp;L'!$B$14*(1+'3-Year P&amp;L'!$G$14)+'3-Year P&amp;L'!$B$15*(1+'3-Year P&amp;L'!$G$15)+'3-Year P&amp;L'!$B$16*(1+'3-Year P&amp;L'!$G$16)+'3-Year P&amp;L'!$B$17*(1+'3-Year P&amp;L'!$G$17)+'3-Year P&amp;L'!$B$18*(1+'3-Year P&amp;L'!$G$18))*(E7*(1-MIN(30,'0. Assumptions'!$B$59)/30)+D7*MIN(30,'0. Assumptions'!$B$59)/30)),"")</f>
        <v>-21074.236992738148</v>
      </c>
      <c r="F11" s="40">
        <f>IFERROR(IF('3-Year P&amp;L'!$B$9="","",-('3-Year P&amp;L'!$B$13*(1+'3-Year P&amp;L'!$G$13)+'3-Year P&amp;L'!$B$14*(1+'3-Year P&amp;L'!$G$14)+'3-Year P&amp;L'!$B$15*(1+'3-Year P&amp;L'!$G$15)+'3-Year P&amp;L'!$B$16*(1+'3-Year P&amp;L'!$G$16)+'3-Year P&amp;L'!$B$17*(1+'3-Year P&amp;L'!$G$17)+'3-Year P&amp;L'!$B$18*(1+'3-Year P&amp;L'!$G$18))*(F7*(1-MIN(30,'0. Assumptions'!$B$59)/30)+E7*MIN(30,'0. Assumptions'!$B$59)/30)),"")</f>
        <v>-17965.99607005553</v>
      </c>
      <c r="G11" s="40">
        <f>IFERROR(IF('3-Year P&amp;L'!$B$9="","",-('3-Year P&amp;L'!$B$13*(1+'3-Year P&amp;L'!$G$13)+'3-Year P&amp;L'!$B$14*(1+'3-Year P&amp;L'!$G$14)+'3-Year P&amp;L'!$B$15*(1+'3-Year P&amp;L'!$G$15)+'3-Year P&amp;L'!$B$16*(1+'3-Year P&amp;L'!$G$16)+'3-Year P&amp;L'!$B$17*(1+'3-Year P&amp;L'!$G$17)+'3-Year P&amp;L'!$B$18*(1+'3-Year P&amp;L'!$G$18))*(G7*(1-MIN(30,'0. Assumptions'!$B$59)/30)+F7*MIN(30,'0. Assumptions'!$B$59)/30)),"")</f>
        <v>-17965.996070055535</v>
      </c>
      <c r="H11" s="40">
        <f>IFERROR(IF('3-Year P&amp;L'!$B$9="","",-('3-Year P&amp;L'!$B$13*(1+'3-Year P&amp;L'!$G$13)+'3-Year P&amp;L'!$B$14*(1+'3-Year P&amp;L'!$G$14)+'3-Year P&amp;L'!$B$15*(1+'3-Year P&amp;L'!$G$15)+'3-Year P&amp;L'!$B$16*(1+'3-Year P&amp;L'!$G$16)+'3-Year P&amp;L'!$B$17*(1+'3-Year P&amp;L'!$G$17)+'3-Year P&amp;L'!$B$18*(1+'3-Year P&amp;L'!$G$18))*(H7*(1-MIN(30,'0. Assumptions'!$B$59)/30)+G7*MIN(30,'0. Assumptions'!$B$59)/30)),"")</f>
        <v>-26014.704143528408</v>
      </c>
      <c r="I11" s="40">
        <f>IFERROR(IF('3-Year P&amp;L'!$B$9="","",-('3-Year P&amp;L'!$B$13*(1+'3-Year P&amp;L'!$G$13)+'3-Year P&amp;L'!$B$14*(1+'3-Year P&amp;L'!$G$14)+'3-Year P&amp;L'!$B$15*(1+'3-Year P&amp;L'!$G$15)+'3-Year P&amp;L'!$B$16*(1+'3-Year P&amp;L'!$G$16)+'3-Year P&amp;L'!$B$17*(1+'3-Year P&amp;L'!$G$17)+'3-Year P&amp;L'!$B$18*(1+'3-Year P&amp;L'!$G$18))*(I7*(1-MIN(30,'0. Assumptions'!$B$59)/30)+H7*MIN(30,'0. Assumptions'!$B$59)/30)),"")</f>
        <v>-32369.330029901743</v>
      </c>
      <c r="J11" s="40">
        <f>IFERROR(IF('3-Year P&amp;L'!$B$9="","",-('3-Year P&amp;L'!$B$13*(1+'3-Year P&amp;L'!$G$13)+'3-Year P&amp;L'!$B$14*(1+'3-Year P&amp;L'!$G$14)+'3-Year P&amp;L'!$B$15*(1+'3-Year P&amp;L'!$G$15)+'3-Year P&amp;L'!$B$16*(1+'3-Year P&amp;L'!$G$16)+'3-Year P&amp;L'!$B$17*(1+'3-Year P&amp;L'!$G$17)+'3-Year P&amp;L'!$B$18*(1+'3-Year P&amp;L'!$G$18))*(J7*(1-MIN(30,'0. Assumptions'!$B$59)/30)+I7*MIN(30,'0. Assumptions'!$B$59)/30)),"")</f>
        <v>-27737.869286629644</v>
      </c>
      <c r="K11" s="40">
        <f>IFERROR(IF('3-Year P&amp;L'!$B$9="","",-('3-Year P&amp;L'!$B$13*(1+'3-Year P&amp;L'!$G$13)+'3-Year P&amp;L'!$B$14*(1+'3-Year P&amp;L'!$G$14)+'3-Year P&amp;L'!$B$15*(1+'3-Year P&amp;L'!$G$15)+'3-Year P&amp;L'!$B$16*(1+'3-Year P&amp;L'!$G$16)+'3-Year P&amp;L'!$B$17*(1+'3-Year P&amp;L'!$G$17)+'3-Year P&amp;L'!$B$18*(1+'3-Year P&amp;L'!$G$18))*(K7*(1-MIN(30,'0. Assumptions'!$B$59)/30)+J7*MIN(30,'0. Assumptions'!$B$59)/30)),"")</f>
        <v>-32980.07210593763</v>
      </c>
      <c r="L11" s="40">
        <f>IFERROR(IF('3-Year P&amp;L'!$B$9="","",-('3-Year P&amp;L'!$B$13*(1+'3-Year P&amp;L'!$G$13)+'3-Year P&amp;L'!$B$14*(1+'3-Year P&amp;L'!$G$14)+'3-Year P&amp;L'!$B$15*(1+'3-Year P&amp;L'!$G$15)+'3-Year P&amp;L'!$B$16*(1+'3-Year P&amp;L'!$G$16)+'3-Year P&amp;L'!$B$17*(1+'3-Year P&amp;L'!$G$17)+'3-Year P&amp;L'!$B$18*(1+'3-Year P&amp;L'!$G$18))*(L7*(1-MIN(30,'0. Assumptions'!$B$59)/30)+K7*MIN(30,'0. Assumptions'!$B$59)/30)),"")</f>
        <v>-19900.012644169157</v>
      </c>
      <c r="M11" s="40">
        <f>IFERROR(IF('3-Year P&amp;L'!$B$9="","",-('3-Year P&amp;L'!$B$13*(1+'3-Year P&amp;L'!$G$13)+'3-Year P&amp;L'!$B$14*(1+'3-Year P&amp;L'!$G$14)+'3-Year P&amp;L'!$B$15*(1+'3-Year P&amp;L'!$G$15)+'3-Year P&amp;L'!$B$16*(1+'3-Year P&amp;L'!$G$16)+'3-Year P&amp;L'!$B$17*(1+'3-Year P&amp;L'!$G$17)+'3-Year P&amp;L'!$B$18*(1+'3-Year P&amp;L'!$G$18))*(M7*(1-MIN(30,'0. Assumptions'!$B$59)/30)+L7*MIN(30,'0. Assumptions'!$B$59)/30)),"")</f>
        <v>-16439.140879965824</v>
      </c>
      <c r="N11" s="40">
        <f>IFERROR(IF('3-Year P&amp;L'!$B$9="","",SUM(B11:M11)),"")</f>
        <v>-251393.07167876972</v>
      </c>
      <c r="O11" s="28"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7 payment days, the last purchases of the year are paid next year: the "Year" column of this row holds 11 months of purchases, not the year's cost.</v>
      </c>
    </row>
    <row r="12">
      <c r="A12" s="28" t="inlineStr">
        <is>
          <t>Operating fixed costs (incl. sales tax)</t>
        </is>
      </c>
      <c r="B12" s="40">
        <f>IFERROR(IF('3-Year P&amp;L'!$B$9="","",-('3-Year P&amp;L'!$B$38-'3-Year P&amp;L'!$B$23-'3-Year P&amp;L'!$B$36-'3-Year P&amp;L'!$B$37+'3-Year P&amp;L'!$B$40)/12),"")</f>
        <v>-6266.666666666669</v>
      </c>
      <c r="C12" s="40">
        <f>IFERROR(IF('3-Year P&amp;L'!$B$9="","",-('3-Year P&amp;L'!$B$38-'3-Year P&amp;L'!$B$23-'3-Year P&amp;L'!$B$36-'3-Year P&amp;L'!$B$37+'3-Year P&amp;L'!$B$40)/12),"")</f>
        <v>-6266.666666666669</v>
      </c>
      <c r="D12" s="40">
        <f>IFERROR(IF('3-Year P&amp;L'!$B$9="","",-('3-Year P&amp;L'!$B$38-'3-Year P&amp;L'!$B$23-'3-Year P&amp;L'!$B$36-'3-Year P&amp;L'!$B$37+'3-Year P&amp;L'!$B$40)/12),"")</f>
        <v>-6266.666666666669</v>
      </c>
      <c r="E12" s="40">
        <f>IFERROR(IF('3-Year P&amp;L'!$B$9="","",-('3-Year P&amp;L'!$B$38-'3-Year P&amp;L'!$B$23-'3-Year P&amp;L'!$B$36-'3-Year P&amp;L'!$B$37+'3-Year P&amp;L'!$B$40)/12),"")</f>
        <v>-6266.666666666669</v>
      </c>
      <c r="F12" s="40">
        <f>IFERROR(IF('3-Year P&amp;L'!$B$9="","",-('3-Year P&amp;L'!$B$38-'3-Year P&amp;L'!$B$23-'3-Year P&amp;L'!$B$36-'3-Year P&amp;L'!$B$37+'3-Year P&amp;L'!$B$40)/12),"")</f>
        <v>-6266.666666666669</v>
      </c>
      <c r="G12" s="40">
        <f>IFERROR(IF('3-Year P&amp;L'!$B$9="","",-('3-Year P&amp;L'!$B$38-'3-Year P&amp;L'!$B$23-'3-Year P&amp;L'!$B$36-'3-Year P&amp;L'!$B$37+'3-Year P&amp;L'!$B$40)/12),"")</f>
        <v>-6266.666666666669</v>
      </c>
      <c r="H12" s="40">
        <f>IFERROR(IF('3-Year P&amp;L'!$B$9="","",-('3-Year P&amp;L'!$B$38-'3-Year P&amp;L'!$B$23-'3-Year P&amp;L'!$B$36-'3-Year P&amp;L'!$B$37+'3-Year P&amp;L'!$B$40)/12),"")</f>
        <v>-6266.666666666669</v>
      </c>
      <c r="I12" s="40">
        <f>IFERROR(IF('3-Year P&amp;L'!$B$9="","",-('3-Year P&amp;L'!$B$38-'3-Year P&amp;L'!$B$23-'3-Year P&amp;L'!$B$36-'3-Year P&amp;L'!$B$37+'3-Year P&amp;L'!$B$40)/12),"")</f>
        <v>-6266.666666666669</v>
      </c>
      <c r="J12" s="40">
        <f>IFERROR(IF('3-Year P&amp;L'!$B$9="","",-('3-Year P&amp;L'!$B$38-'3-Year P&amp;L'!$B$23-'3-Year P&amp;L'!$B$36-'3-Year P&amp;L'!$B$37+'3-Year P&amp;L'!$B$40)/12),"")</f>
        <v>-6266.666666666669</v>
      </c>
      <c r="K12" s="40">
        <f>IFERROR(IF('3-Year P&amp;L'!$B$9="","",-('3-Year P&amp;L'!$B$38-'3-Year P&amp;L'!$B$23-'3-Year P&amp;L'!$B$36-'3-Year P&amp;L'!$B$37+'3-Year P&amp;L'!$B$40)/12),"")</f>
        <v>-6266.666666666669</v>
      </c>
      <c r="L12" s="40">
        <f>IFERROR(IF('3-Year P&amp;L'!$B$9="","",-('3-Year P&amp;L'!$B$38-'3-Year P&amp;L'!$B$23-'3-Year P&amp;L'!$B$36-'3-Year P&amp;L'!$B$37+'3-Year P&amp;L'!$B$40)/12),"")</f>
        <v>-6266.666666666669</v>
      </c>
      <c r="M12" s="40">
        <f>IFERROR(IF('3-Year P&amp;L'!$B$9="","",-('3-Year P&amp;L'!$B$38-'3-Year P&amp;L'!$B$23-'3-Year P&amp;L'!$B$36-'3-Year P&amp;L'!$B$37+'3-Year P&amp;L'!$B$40)/12),"")</f>
        <v>-6266.666666666669</v>
      </c>
      <c r="N12" s="40">
        <f>IFERROR(IF('3-Year P&amp;L'!$B$9="","",SUM(B12:M12)),"")</f>
        <v>-75200.00000000003</v>
      </c>
      <c r="O12" s="28" t="inlineStr">
        <is>
          <t>The fixed costs that leave cash, each with its own tax rate: insurance carries none</t>
        </is>
      </c>
    </row>
    <row r="13">
      <c r="A13" s="28" t="inlineStr">
        <is>
          <t>Payroll and employer payroll taxes</t>
        </is>
      </c>
      <c r="B13" s="40">
        <f>IFERROR(IF('3-Year P&amp;L'!$B$9="","",-'3-Year P&amp;L'!$B$23/MAX(12,'0. Assumptions'!$B$21)*(1+IF(1='0. Assumptions'!$B$60,(MAX(12,'0. Assumptions'!$B$21)-12)/2,0)+IF(1='0. Assumptions'!$B$61,(MAX(12,'0. Assumptions'!$B$21)-12)/2,0))),"")</f>
        <v>-18601.0</v>
      </c>
      <c r="C13" s="40">
        <f>IFERROR(IF('3-Year P&amp;L'!$B$9="","",-'3-Year P&amp;L'!$B$23/MAX(12,'0. Assumptions'!$B$21)*(1+IF(2='0. Assumptions'!$B$60,(MAX(12,'0. Assumptions'!$B$21)-12)/2,0)+IF(2='0. Assumptions'!$B$61,(MAX(12,'0. Assumptions'!$B$21)-12)/2,0))),"")</f>
        <v>-18601.0</v>
      </c>
      <c r="D13" s="40">
        <f>IFERROR(IF('3-Year P&amp;L'!$B$9="","",-'3-Year P&amp;L'!$B$23/MAX(12,'0. Assumptions'!$B$21)*(1+IF(3='0. Assumptions'!$B$60,(MAX(12,'0. Assumptions'!$B$21)-12)/2,0)+IF(3='0. Assumptions'!$B$61,(MAX(12,'0. Assumptions'!$B$21)-12)/2,0))),"")</f>
        <v>-18601.0</v>
      </c>
      <c r="E13" s="40">
        <f>IFERROR(IF('3-Year P&amp;L'!$B$9="","",-'3-Year P&amp;L'!$B$23/MAX(12,'0. Assumptions'!$B$21)*(1+IF(4='0. Assumptions'!$B$60,(MAX(12,'0. Assumptions'!$B$21)-12)/2,0)+IF(4='0. Assumptions'!$B$61,(MAX(12,'0. Assumptions'!$B$21)-12)/2,0))),"")</f>
        <v>-18601.0</v>
      </c>
      <c r="F13" s="40">
        <f>IFERROR(IF('3-Year P&amp;L'!$B$9="","",-'3-Year P&amp;L'!$B$23/MAX(12,'0. Assumptions'!$B$21)*(1+IF(5='0. Assumptions'!$B$60,(MAX(12,'0. Assumptions'!$B$21)-12)/2,0)+IF(5='0. Assumptions'!$B$61,(MAX(12,'0. Assumptions'!$B$21)-12)/2,0))),"")</f>
        <v>-18601.0</v>
      </c>
      <c r="G13" s="40">
        <f>IFERROR(IF('3-Year P&amp;L'!$B$9="","",-'3-Year P&amp;L'!$B$23/MAX(12,'0. Assumptions'!$B$21)*(1+IF(6='0. Assumptions'!$B$60,(MAX(12,'0. Assumptions'!$B$21)-12)/2,0)+IF(6='0. Assumptions'!$B$61,(MAX(12,'0. Assumptions'!$B$21)-12)/2,0))),"")</f>
        <v>-18601.0</v>
      </c>
      <c r="H13" s="40">
        <f>IFERROR(IF('3-Year P&amp;L'!$B$9="","",-'3-Year P&amp;L'!$B$23/MAX(12,'0. Assumptions'!$B$21)*(1+IF(7='0. Assumptions'!$B$60,(MAX(12,'0. Assumptions'!$B$21)-12)/2,0)+IF(7='0. Assumptions'!$B$61,(MAX(12,'0. Assumptions'!$B$21)-12)/2,0))),"")</f>
        <v>-18601.0</v>
      </c>
      <c r="I13" s="40">
        <f>IFERROR(IF('3-Year P&amp;L'!$B$9="","",-'3-Year P&amp;L'!$B$23/MAX(12,'0. Assumptions'!$B$21)*(1+IF(8='0. Assumptions'!$B$60,(MAX(12,'0. Assumptions'!$B$21)-12)/2,0)+IF(8='0. Assumptions'!$B$61,(MAX(12,'0. Assumptions'!$B$21)-12)/2,0))),"")</f>
        <v>-18601.0</v>
      </c>
      <c r="J13" s="40">
        <f>IFERROR(IF('3-Year P&amp;L'!$B$9="","",-'3-Year P&amp;L'!$B$23/MAX(12,'0. Assumptions'!$B$21)*(1+IF(9='0. Assumptions'!$B$60,(MAX(12,'0. Assumptions'!$B$21)-12)/2,0)+IF(9='0. Assumptions'!$B$61,(MAX(12,'0. Assumptions'!$B$21)-12)/2,0))),"")</f>
        <v>-18601.0</v>
      </c>
      <c r="K13" s="40">
        <f>IFERROR(IF('3-Year P&amp;L'!$B$9="","",-'3-Year P&amp;L'!$B$23/MAX(12,'0. Assumptions'!$B$21)*(1+IF(10='0. Assumptions'!$B$60,(MAX(12,'0. Assumptions'!$B$21)-12)/2,0)+IF(10='0. Assumptions'!$B$61,(MAX(12,'0. Assumptions'!$B$21)-12)/2,0))),"")</f>
        <v>-18601.0</v>
      </c>
      <c r="L13" s="40">
        <f>IFERROR(IF('3-Year P&amp;L'!$B$9="","",-'3-Year P&amp;L'!$B$23/MAX(12,'0. Assumptions'!$B$21)*(1+IF(11='0. Assumptions'!$B$60,(MAX(12,'0. Assumptions'!$B$21)-12)/2,0)+IF(11='0. Assumptions'!$B$61,(MAX(12,'0. Assumptions'!$B$21)-12)/2,0))),"")</f>
        <v>-18601.0</v>
      </c>
      <c r="M13" s="40">
        <f>IFERROR(IF('3-Year P&amp;L'!$B$9="","",-'3-Year P&amp;L'!$B$23/MAX(12,'0. Assumptions'!$B$21)*(1+IF(12='0. Assumptions'!$B$60,(MAX(12,'0. Assumptions'!$B$21)-12)/2,0)+IF(12='0. Assumptions'!$B$61,(MAX(12,'0. Assumptions'!$B$21)-12)/2,0))),"")</f>
        <v>-18601.0</v>
      </c>
      <c r="N13" s="40">
        <f>IFERROR(IF('3-Year P&amp;L'!$B$9="","",SUM(B13:M13)),"")</f>
        <v>-223212.0</v>
      </c>
      <c r="O13" s="28" t="inlineStr">
        <is>
          <t>Twelve monthly installments plus extra pay periods in the months you set in Assumptions (only if pay periods &gt; 12). The total for the year is the same as the P&amp;L's</t>
        </is>
      </c>
    </row>
    <row r="14">
      <c r="A14" s="28" t="inlineStr">
        <is>
          <t>Loan interest</t>
        </is>
      </c>
      <c r="B14" s="40">
        <f>IFERROR(IF('3-Year P&amp;L'!$B$9="","",-Financing!$B$44/12),"")</f>
        <v>-1216.6666666666667</v>
      </c>
      <c r="C14" s="40">
        <f>IFERROR(IF('3-Year P&amp;L'!$B$9="","",-Financing!$B$44/12),"")</f>
        <v>-1216.6666666666667</v>
      </c>
      <c r="D14" s="40">
        <f>IFERROR(IF('3-Year P&amp;L'!$B$9="","",-Financing!$B$44/12),"")</f>
        <v>-1216.6666666666667</v>
      </c>
      <c r="E14" s="40">
        <f>IFERROR(IF('3-Year P&amp;L'!$B$9="","",-Financing!$B$44/12),"")</f>
        <v>-1216.6666666666667</v>
      </c>
      <c r="F14" s="40">
        <f>IFERROR(IF('3-Year P&amp;L'!$B$9="","",-Financing!$B$44/12),"")</f>
        <v>-1216.6666666666667</v>
      </c>
      <c r="G14" s="40">
        <f>IFERROR(IF('3-Year P&amp;L'!$B$9="","",-Financing!$B$44/12),"")</f>
        <v>-1216.6666666666667</v>
      </c>
      <c r="H14" s="40">
        <f>IFERROR(IF('3-Year P&amp;L'!$B$9="","",-Financing!$B$44/12),"")</f>
        <v>-1216.6666666666667</v>
      </c>
      <c r="I14" s="40">
        <f>IFERROR(IF('3-Year P&amp;L'!$B$9="","",-Financing!$B$44/12),"")</f>
        <v>-1216.6666666666667</v>
      </c>
      <c r="J14" s="40">
        <f>IFERROR(IF('3-Year P&amp;L'!$B$9="","",-Financing!$B$44/12),"")</f>
        <v>-1216.6666666666667</v>
      </c>
      <c r="K14" s="40">
        <f>IFERROR(IF('3-Year P&amp;L'!$B$9="","",-Financing!$B$44/12),"")</f>
        <v>-1216.6666666666667</v>
      </c>
      <c r="L14" s="40">
        <f>IFERROR(IF('3-Year P&amp;L'!$B$9="","",-Financing!$B$44/12),"")</f>
        <v>-1216.6666666666667</v>
      </c>
      <c r="M14" s="40">
        <f>IFERROR(IF('3-Year P&amp;L'!$B$9="","",-Financing!$B$44/12),"")</f>
        <v>-1216.6666666666667</v>
      </c>
      <c r="N14" s="40">
        <f>IFERROR(IF('3-Year P&amp;L'!$B$9="","",SUM(B14:M14)),"")</f>
        <v>-14600.0</v>
      </c>
      <c r="O14" s="28" t="n"/>
    </row>
    <row r="15">
      <c r="A15" s="28" t="inlineStr">
        <is>
          <t>Loan principal repaid</t>
        </is>
      </c>
      <c r="B15" s="40">
        <f>IFERROR(IF('3-Year P&amp;L'!$B$9="","",-Financing!$B$45/12),"")</f>
        <v>-1282.433579690579</v>
      </c>
      <c r="C15" s="40">
        <f>IFERROR(IF('3-Year P&amp;L'!$B$9="","",-Financing!$B$45/12),"")</f>
        <v>-1282.433579690579</v>
      </c>
      <c r="D15" s="40">
        <f>IFERROR(IF('3-Year P&amp;L'!$B$9="","",-Financing!$B$45/12),"")</f>
        <v>-1282.433579690579</v>
      </c>
      <c r="E15" s="40">
        <f>IFERROR(IF('3-Year P&amp;L'!$B$9="","",-Financing!$B$45/12),"")</f>
        <v>-1282.433579690579</v>
      </c>
      <c r="F15" s="40">
        <f>IFERROR(IF('3-Year P&amp;L'!$B$9="","",-Financing!$B$45/12),"")</f>
        <v>-1282.433579690579</v>
      </c>
      <c r="G15" s="40">
        <f>IFERROR(IF('3-Year P&amp;L'!$B$9="","",-Financing!$B$45/12),"")</f>
        <v>-1282.433579690579</v>
      </c>
      <c r="H15" s="40">
        <f>IFERROR(IF('3-Year P&amp;L'!$B$9="","",-Financing!$B$45/12),"")</f>
        <v>-1282.433579690579</v>
      </c>
      <c r="I15" s="40">
        <f>IFERROR(IF('3-Year P&amp;L'!$B$9="","",-Financing!$B$45/12),"")</f>
        <v>-1282.433579690579</v>
      </c>
      <c r="J15" s="40">
        <f>IFERROR(IF('3-Year P&amp;L'!$B$9="","",-Financing!$B$45/12),"")</f>
        <v>-1282.433579690579</v>
      </c>
      <c r="K15" s="40">
        <f>IFERROR(IF('3-Year P&amp;L'!$B$9="","",-Financing!$B$45/12),"")</f>
        <v>-1282.433579690579</v>
      </c>
      <c r="L15" s="40">
        <f>IFERROR(IF('3-Year P&amp;L'!$B$9="","",-Financing!$B$45/12),"")</f>
        <v>-1282.433579690579</v>
      </c>
      <c r="M15" s="40">
        <f>IFERROR(IF('3-Year P&amp;L'!$B$9="","",-Financing!$B$45/12),"")</f>
        <v>-1282.433579690579</v>
      </c>
      <c r="N15" s="40">
        <f>IFERROR(IF('3-Year P&amp;L'!$B$9="","",SUM(B15:M15)),"")</f>
        <v>-15389.20295628695</v>
      </c>
      <c r="O15" s="28" t="n"/>
    </row>
    <row r="16">
      <c r="A16" s="28" t="inlineStr">
        <is>
          <t>Sales tax collected (memo)</t>
        </is>
      </c>
      <c r="B16" s="40">
        <f>IFERROR(IF('3-Year P&amp;L'!$B$9="","",'3-Year P&amp;L'!$B$9*B7*SUMPRODUCT('3-Year P&amp;L'!$E$10:$E$11,'3-Year P&amp;L'!$G$10:$G$11)),"")</f>
        <v>2170.1495087569415</v>
      </c>
      <c r="C16" s="40">
        <f>IFERROR(IF('3-Year P&amp;L'!$B$9="","",'3-Year P&amp;L'!$B$9*C7*SUMPRODUCT('3-Year P&amp;L'!$E$10:$E$11,'3-Year P&amp;L'!$G$10:$G$11)),"")</f>
        <v>2834.480991029475</v>
      </c>
      <c r="D16" s="40">
        <f>IFERROR(IF('3-Year P&amp;L'!$B$9="","",'3-Year P&amp;L'!$B$9*D7*SUMPRODUCT('3-Year P&amp;L'!$E$10:$E$11,'3-Year P&amp;L'!$G$10:$G$11)),"")</f>
        <v>3786.689448953439</v>
      </c>
      <c r="E16" s="40">
        <f>IFERROR(IF('3-Year P&amp;L'!$B$9="","",'3-Year P&amp;L'!$B$9*E7*SUMPRODUCT('3-Year P&amp;L'!$E$10:$E$11,'3-Year P&amp;L'!$G$10:$G$11)),"")</f>
        <v>4428.876548483555</v>
      </c>
      <c r="F16" s="40">
        <f>IFERROR(IF('3-Year P&amp;L'!$B$9="","",'3-Year P&amp;L'!$B$9*F7*SUMPRODUCT('3-Year P&amp;L'!$E$10:$E$11,'3-Year P&amp;L'!$G$10:$G$11)),"")</f>
        <v>3410.2349423323376</v>
      </c>
      <c r="G16" s="40">
        <f>IFERROR(IF('3-Year P&amp;L'!$B$9="","",'3-Year P&amp;L'!$B$9*G7*SUMPRODUCT('3-Year P&amp;L'!$E$10:$E$11,'3-Year P&amp;L'!$G$10:$G$11)),"")</f>
        <v>3720.256300726186</v>
      </c>
      <c r="H16" s="40">
        <f>IFERROR(IF('3-Year P&amp;L'!$B$9="","",'3-Year P&amp;L'!$B$9*H7*SUMPRODUCT('3-Year P&amp;L'!$E$10:$E$11,'3-Year P&amp;L'!$G$10:$G$11)),"")</f>
        <v>5757.539513028621</v>
      </c>
      <c r="I16" s="40">
        <f>IFERROR(IF('3-Year P&amp;L'!$B$9="","",'3-Year P&amp;L'!$B$9*I7*SUMPRODUCT('3-Year P&amp;L'!$E$10:$E$11,'3-Year P&amp;L'!$G$10:$G$11)),"")</f>
        <v>6820.4698846646725</v>
      </c>
      <c r="J16" s="40">
        <f>IFERROR(IF('3-Year P&amp;L'!$B$9="","",'3-Year P&amp;L'!$B$9*J7*SUMPRODUCT('3-Year P&amp;L'!$E$10:$E$11,'3-Year P&amp;L'!$G$10:$G$11)),"")</f>
        <v>5270.36309269543</v>
      </c>
      <c r="K16" s="40">
        <f>IFERROR(IF('3-Year P&amp;L'!$B$9="","",'3-Year P&amp;L'!$B$9*K7*SUMPRODUCT('3-Year P&amp;L'!$E$10:$E$11,'3-Year P&amp;L'!$G$10:$G$11)),"")</f>
        <v>7130.491243058523</v>
      </c>
      <c r="L16" s="40">
        <f>IFERROR(IF('3-Year P&amp;L'!$B$9="","",'3-Year P&amp;L'!$B$9*L7*SUMPRODUCT('3-Year P&amp;L'!$E$10:$E$11,'3-Year P&amp;L'!$G$10:$G$11)),"")</f>
        <v>3100.2135839384882</v>
      </c>
      <c r="M16" s="40">
        <f>IFERROR(IF('3-Year P&amp;L'!$B$9="","",'3-Year P&amp;L'!$B$9*M7*SUMPRODUCT('3-Year P&amp;L'!$E$10:$E$11,'3-Year P&amp;L'!$G$10:$G$11)),"")</f>
        <v>3410.2349423323362</v>
      </c>
      <c r="N16" s="40">
        <f>IFERROR(IF('3-Year P&amp;L'!$B$9="","",SUM(B16:M16)),"")</f>
        <v>51840.00000000001</v>
      </c>
      <c r="O16" s="28" t="inlineStr">
        <is>
          <t>Each sales line at ITS OWN rate, read from the sales tax column of the P&amp;L (alcohol to go has its own rate cell in the Assumptions tab)</t>
        </is>
      </c>
    </row>
    <row r="17">
      <c r="A17" s="28" t="inlineStr">
        <is>
          <t>Recoverable input tax (memo)</t>
        </is>
      </c>
      <c r="B17" s="40">
        <f>IFERROR(IF('3-Year P&amp;L'!$B$9="","",'3-Year P&amp;L'!$B$39*B7+'3-Year P&amp;L'!$B$40/12),"")</f>
        <v>0.0</v>
      </c>
      <c r="C17" s="40">
        <f>IFERROR(IF('3-Year P&amp;L'!$B$9="","",'3-Year P&amp;L'!$B$39*C7+'3-Year P&amp;L'!$B$40/12),"")</f>
        <v>0.0</v>
      </c>
      <c r="D17" s="40">
        <f>IFERROR(IF('3-Year P&amp;L'!$B$9="","",'3-Year P&amp;L'!$B$39*D7+'3-Year P&amp;L'!$B$40/12),"")</f>
        <v>0.0</v>
      </c>
      <c r="E17" s="40">
        <f>IFERROR(IF('3-Year P&amp;L'!$B$9="","",'3-Year P&amp;L'!$B$39*E7+'3-Year P&amp;L'!$B$40/12),"")</f>
        <v>0.0</v>
      </c>
      <c r="F17" s="40">
        <f>IFERROR(IF('3-Year P&amp;L'!$B$9="","",'3-Year P&amp;L'!$B$39*F7+'3-Year P&amp;L'!$B$40/12),"")</f>
        <v>0.0</v>
      </c>
      <c r="G17" s="40">
        <f>IFERROR(IF('3-Year P&amp;L'!$B$9="","",'3-Year P&amp;L'!$B$39*G7+'3-Year P&amp;L'!$B$40/12),"")</f>
        <v>0.0</v>
      </c>
      <c r="H17" s="40">
        <f>IFERROR(IF('3-Year P&amp;L'!$B$9="","",'3-Year P&amp;L'!$B$39*H7+'3-Year P&amp;L'!$B$40/12),"")</f>
        <v>0.0</v>
      </c>
      <c r="I17" s="40">
        <f>IFERROR(IF('3-Year P&amp;L'!$B$9="","",'3-Year P&amp;L'!$B$39*I7+'3-Year P&amp;L'!$B$40/12),"")</f>
        <v>0.0</v>
      </c>
      <c r="J17" s="40">
        <f>IFERROR(IF('3-Year P&amp;L'!$B$9="","",'3-Year P&amp;L'!$B$39*J7+'3-Year P&amp;L'!$B$40/12),"")</f>
        <v>0.0</v>
      </c>
      <c r="K17" s="40">
        <f>IFERROR(IF('3-Year P&amp;L'!$B$9="","",'3-Year P&amp;L'!$B$39*K7+'3-Year P&amp;L'!$B$40/12),"")</f>
        <v>0.0</v>
      </c>
      <c r="L17" s="40">
        <f>IFERROR(IF('3-Year P&amp;L'!$B$9="","",'3-Year P&amp;L'!$B$39*L7+'3-Year P&amp;L'!$B$40/12),"")</f>
        <v>0.0</v>
      </c>
      <c r="M17" s="40">
        <f>IFERROR(IF('3-Year P&amp;L'!$B$9="","",'3-Year P&amp;L'!$B$39*M7+'3-Year P&amp;L'!$B$40/12),"")</f>
        <v>0.0</v>
      </c>
      <c r="N17" s="40">
        <f>IFERROR(IF('3-Year P&amp;L'!$B$9="","",SUM(B17:M17)),"")</f>
        <v>0.0</v>
      </c>
      <c r="O17" s="28" t="inlineStr">
        <is>
          <t>Each item at its own rate, read from the tax column of the P&amp;L: insurance and card processing fees carry none</t>
        </is>
      </c>
    </row>
    <row r="18">
      <c r="A18" s="28" t="inlineStr">
        <is>
          <t>Carried forward (capex input tax included)</t>
        </is>
      </c>
      <c r="B18" s="28" t="n"/>
      <c r="C18" s="28" t="n"/>
      <c r="D18" s="28" t="n"/>
      <c r="E18" s="40">
        <f>IFERROR(IF('3-Year P&amp;L'!$B$9="","",'Startup Costs'!$B$28),"")</f>
        <v>0.0</v>
      </c>
      <c r="F18" s="28" t="n"/>
      <c r="G18" s="28" t="n"/>
      <c r="H18" s="40">
        <f>IFERROR(IF('3-Year P&amp;L'!$B$9="","",MAX(0,-E19)),"")</f>
        <v>0.0</v>
      </c>
      <c r="I18" s="28" t="n"/>
      <c r="J18" s="28" t="n"/>
      <c r="K18" s="40">
        <f>IFERROR(IF('3-Year P&amp;L'!$B$9="","",MAX(0,-H19)),"")</f>
        <v>0.0</v>
      </c>
      <c r="L18" s="28" t="n"/>
      <c r="M18" s="28" t="n"/>
      <c r="N18" s="28" t="n"/>
      <c r="O18" s="28" t="inlineStr">
        <is>
          <t>Sales tax paid on STARTUP COSTS enters here: it is offset against the tax collected in later quarters until used up. With 0% recoverable input tax (the US default) this line stays at zero</t>
        </is>
      </c>
    </row>
    <row r="19">
      <c r="A19" s="28" t="inlineStr">
        <is>
          <t>Quarterly sales tax return</t>
        </is>
      </c>
      <c r="B19" s="28" t="n"/>
      <c r="C19" s="28" t="n"/>
      <c r="D19" s="28" t="n"/>
      <c r="E19" s="40">
        <f>IFERROR(IF('3-Year P&amp;L'!$B$9="","",SUM(B16:D16)-SUM(B17:D17)-E18),"")</f>
        <v>8791.319948739856</v>
      </c>
      <c r="F19" s="28" t="n"/>
      <c r="G19" s="28" t="n"/>
      <c r="H19" s="40">
        <f>IFERROR(IF('3-Year P&amp;L'!$B$9="","",SUM(E16:G16)-SUM(E17:G17)-H18),"")</f>
        <v>11559.367791542078</v>
      </c>
      <c r="I19" s="28" t="n"/>
      <c r="J19" s="28" t="n"/>
      <c r="K19" s="40">
        <f>IFERROR(IF('3-Year P&amp;L'!$B$9="","",SUM(H16:J16)-SUM(H17:J17)-K18),"")</f>
        <v>17848.372490388723</v>
      </c>
      <c r="L19" s="28" t="n"/>
      <c r="M19" s="28" t="n"/>
      <c r="N19" s="28" t="n"/>
      <c r="O19" s="28"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8" t="inlineStr">
        <is>
          <t>Sales tax remitted (quarterly filer)</t>
        </is>
      </c>
      <c r="B20" s="28" t="n"/>
      <c r="C20" s="28" t="n"/>
      <c r="D20" s="28" t="n"/>
      <c r="E20" s="40">
        <f>IFERROR(IF('3-Year P&amp;L'!$B$9="","",IF(E19&lt;=0,"",-E19)),"")</f>
        <v>-8791.319948739856</v>
      </c>
      <c r="F20" s="28" t="n"/>
      <c r="G20" s="28" t="n"/>
      <c r="H20" s="40">
        <f>IFERROR(IF('3-Year P&amp;L'!$B$9="","",IF(H19&lt;=0,"",-H19)),"")</f>
        <v>-11559.367791542078</v>
      </c>
      <c r="I20" s="28" t="n"/>
      <c r="J20" s="28" t="n"/>
      <c r="K20" s="40">
        <f>IFERROR(IF('3-Year P&amp;L'!$B$9="","",IF(K19&lt;=0,"",-K19)),"")</f>
        <v>-17848.372490388723</v>
      </c>
      <c r="L20" s="28" t="n"/>
      <c r="M20" s="28" t="n"/>
      <c r="N20" s="40">
        <f>IFERROR(IF('3-Year P&amp;L'!$B$9="","",SUM(B20:M20)),"")</f>
        <v>-38199.06023067066</v>
      </c>
      <c r="O20" s="28"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and the fourth quarter in Month 13: April, July, October and January when Month 1 is January): if your state requires monthly filing, expect smaller payments every month instead</t>
        </is>
      </c>
    </row>
    <row r="21">
      <c r="A21" s="25" t="inlineStr">
        <is>
          <t>MONTHLY NET CASH FLOW</t>
        </is>
      </c>
      <c r="B21" s="66">
        <f>IFERROR(IF('3-Year P&amp;L'!$B$9="","",SUM(B9:B15)+IF(B20="",0,B20)),"")</f>
        <v>-19935.813303455354</v>
      </c>
      <c r="C21" s="66">
        <f>IFERROR(IF('3-Year P&amp;L'!$B$9="","",SUM(C9:C15)+IF(C20="",0,C20)),"")</f>
        <v>-6482.9531582182735</v>
      </c>
      <c r="D21" s="66">
        <f>IFERROR(IF('3-Year P&amp;L'!$B$9="","",SUM(D9:D15)+IF(D20="",0,D20)),"")</f>
        <v>199.42804639513088</v>
      </c>
      <c r="E21" s="66">
        <f>IFERROR(IF('3-Year P&amp;L'!$B$9="","",SUM(E9:E15)+IF(E20="",0,E20)),"")</f>
        <v>-1488.269177013667</v>
      </c>
      <c r="F21" s="66">
        <f>IFERROR(IF('3-Year P&amp;L'!$B$9="","",SUM(F9:F15)+IF(F20="",0,F20)),"")</f>
        <v>7122.85085715978</v>
      </c>
      <c r="G21" s="66">
        <f>IFERROR(IF('3-Year P&amp;L'!$B$9="","",SUM(G9:G15)+IF(G20="",0,G20)),"")</f>
        <v>2937.562518842815</v>
      </c>
      <c r="H21" s="66">
        <f>IFERROR(IF('3-Year P&amp;L'!$B$9="","",SUM(H9:H15)+IF(H20="",0,H20)),"")</f>
        <v>-48.93965971337275</v>
      </c>
      <c r="I21" s="66">
        <f>IFERROR(IF('3-Year P&amp;L'!$B$9="","",SUM(I9:I15)+IF(I20="",0,I20)),"")</f>
        <v>25643.785158740287</v>
      </c>
      <c r="J21" s="66">
        <f>IFERROR(IF('3-Year P&amp;L'!$B$9="","",SUM(J9:J15)+IF(J20="",0,J20)),"")</f>
        <v>25810.93834114097</v>
      </c>
      <c r="K21" s="66">
        <f>IFERROR(IF('3-Year P&amp;L'!$B$9="","",SUM(K9:K15)+IF(K20="",0,K20)),"")</f>
        <v>6347.612924652298</v>
      </c>
      <c r="L21" s="66">
        <f>IFERROR(IF('3-Year P&amp;L'!$B$9="","",SUM(L9:L15)+IF(L20="",0,L20)),"")</f>
        <v>19976.853078432734</v>
      </c>
      <c r="M21" s="66">
        <f>IFERROR(IF('3-Year P&amp;L'!$B$9="","",SUM(M9:M15)+IF(M20="",0,M20)),"")</f>
        <v>279.12937061556477</v>
      </c>
      <c r="N21" s="66">
        <f>IFERROR(IF('3-Year P&amp;L'!$B$9="","",SUM(B21:M21)),"")</f>
        <v>60362.1849975789</v>
      </c>
      <c r="O21" s="28" t="n"/>
    </row>
    <row r="22">
      <c r="A22" s="25" t="inlineStr">
        <is>
          <t>CUMULATIVE CASH BALANCE</t>
        </is>
      </c>
      <c r="B22" s="66">
        <f>IFERROR(IF('3-Year P&amp;L'!$B$9="","",'Startup Costs'!$B$25+B21),"")</f>
        <v>58317.186696544646</v>
      </c>
      <c r="C22" s="66">
        <f>IFERROR(IF('3-Year P&amp;L'!$B$9="","",B22+C21),"")</f>
        <v>51834.23353832637</v>
      </c>
      <c r="D22" s="66">
        <f>IFERROR(IF('3-Year P&amp;L'!$B$9="","",C22+D21),"")</f>
        <v>52033.6615847215</v>
      </c>
      <c r="E22" s="66">
        <f>IFERROR(IF('3-Year P&amp;L'!$B$9="","",D22+E21),"")</f>
        <v>50545.39240770783</v>
      </c>
      <c r="F22" s="66">
        <f>IFERROR(IF('3-Year P&amp;L'!$B$9="","",E22+F21),"")</f>
        <v>57668.24326486761</v>
      </c>
      <c r="G22" s="66">
        <f>IFERROR(IF('3-Year P&amp;L'!$B$9="","",F22+G21),"")</f>
        <v>60605.80578371043</v>
      </c>
      <c r="H22" s="66">
        <f>IFERROR(IF('3-Year P&amp;L'!$B$9="","",G22+H21),"")</f>
        <v>60556.86612399705</v>
      </c>
      <c r="I22" s="66">
        <f>IFERROR(IF('3-Year P&amp;L'!$B$9="","",H22+I21),"")</f>
        <v>86200.65128273734</v>
      </c>
      <c r="J22" s="66">
        <f>IFERROR(IF('3-Year P&amp;L'!$B$9="","",I22+J21),"")</f>
        <v>112011.5896238783</v>
      </c>
      <c r="K22" s="66">
        <f>IFERROR(IF('3-Year P&amp;L'!$B$9="","",J22+K21),"")</f>
        <v>118359.2025485306</v>
      </c>
      <c r="L22" s="66">
        <f>IFERROR(IF('3-Year P&amp;L'!$B$9="","",K22+L21),"")</f>
        <v>138336.05562696332</v>
      </c>
      <c r="M22" s="66">
        <f>IFERROR(IF('3-Year P&amp;L'!$B$9="","",L22+M21),"")</f>
        <v>138615.18499757888</v>
      </c>
      <c r="N22" s="28" t="n"/>
      <c r="O22" s="28" t="n"/>
    </row>
    <row r="23">
      <c r="A23" s="28" t="inlineStr">
        <is>
          <t>Minimum balance of the year</t>
        </is>
      </c>
      <c r="B23" s="40">
        <f>IFERROR(IF('3-Year P&amp;L'!$B$9="","",IF(COUNT(B22:M22)=0,"",MIN(B22:M22))),"")</f>
        <v>50545.39240770783</v>
      </c>
      <c r="C23" s="28" t="n"/>
      <c r="D23" s="28" t="inlineStr">
        <is>
          <t>If negative, raise working capital or the loan: you run out of cash</t>
        </is>
      </c>
      <c r="E23" s="28" t="n"/>
      <c r="F23" s="28" t="n"/>
      <c r="G23" s="28" t="n"/>
      <c r="H23" s="28" t="n"/>
      <c r="I23" s="28" t="n"/>
      <c r="J23" s="28" t="n"/>
      <c r="K23" s="28" t="n"/>
      <c r="L23" s="28" t="n"/>
      <c r="M23" s="28" t="n"/>
      <c r="N23" s="28" t="n"/>
      <c r="O23" s="28" t="n"/>
    </row>
    <row r="24">
      <c r="A24" s="28" t="inlineStr">
        <is>
          <t>Month when cash bottoms out</t>
        </is>
      </c>
      <c r="B24" s="40">
        <f>IFERROR(IF('3-Year P&amp;L'!$B$9="","",IF(COUNT(B22:M22)=0,"",MATCH(MIN(B22:M22),B22:M22,0))),"")</f>
        <v>4.0</v>
      </c>
      <c r="C24" s="28" t="n"/>
      <c r="D24" s="28" t="inlineStr">
        <is>
          <t>It answers the question that decides a bank deal: in which month the cash runs out</t>
        </is>
      </c>
      <c r="E24" s="28" t="n"/>
      <c r="F24" s="28" t="n"/>
      <c r="G24" s="28" t="n"/>
      <c r="H24" s="28" t="n"/>
      <c r="I24" s="28" t="n"/>
      <c r="J24" s="28" t="n"/>
      <c r="K24" s="28" t="n"/>
      <c r="L24" s="28" t="n"/>
      <c r="M24" s="28" t="n"/>
      <c r="N24" s="28" t="n"/>
      <c r="O24" s="28" t="n"/>
    </row>
    <row r="25">
      <c r="A25" s="25" t="inlineStr">
        <is>
          <t>RETURN ON INVESTMENT</t>
        </is>
      </c>
      <c r="B25" s="28" t="n"/>
      <c r="C25" s="28" t="n"/>
      <c r="D25" s="28" t="n"/>
      <c r="E25" s="28" t="n"/>
      <c r="F25" s="28" t="n"/>
      <c r="G25" s="28" t="n"/>
      <c r="H25" s="28" t="n"/>
      <c r="I25" s="28" t="n"/>
      <c r="J25" s="28" t="n"/>
      <c r="K25" s="28" t="n"/>
      <c r="L25" s="28" t="n"/>
      <c r="M25" s="28" t="n"/>
      <c r="N25" s="28" t="n"/>
      <c r="O25" s="28" t="n"/>
    </row>
    <row r="26">
      <c r="A26" s="28" t="inlineStr">
        <is>
          <t>Free cash flow before debt, year 1</t>
        </is>
      </c>
      <c r="B26" s="40">
        <f>IFERROR(IF('3-Year P&amp;L'!$B$9="","",'3-Year P&amp;L'!$B$48+'3-Year P&amp;L'!$B$36+Financing!$B$44),"")</f>
        <v>78120.5714285714</v>
      </c>
      <c r="C26" s="28" t="n"/>
      <c r="D26" s="28" t="inlineStr">
        <is>
          <t>Net income plus depreciation (which is not paid) plus that year's interest: principal is not subtracted because this flow is BEFORE debt. The SAME basis as years 2 and 3, so the payback compares like with like</t>
        </is>
      </c>
      <c r="E26" s="28" t="n"/>
      <c r="F26" s="28" t="n"/>
      <c r="G26" s="28" t="n"/>
      <c r="H26" s="28" t="n"/>
      <c r="I26" s="28" t="n"/>
      <c r="J26" s="28" t="n"/>
      <c r="K26" s="28" t="n"/>
      <c r="L26" s="28" t="n"/>
      <c r="M26" s="28" t="n"/>
      <c r="N26" s="28" t="n"/>
      <c r="O26" s="28" t="n"/>
    </row>
    <row r="27">
      <c r="A27" s="28" t="inlineStr">
        <is>
          <t>Free cash flow before debt, year 2</t>
        </is>
      </c>
      <c r="B27" s="40">
        <f>IFERROR(IF('3-Year P&amp;L'!$B$9="","",'3-Year P&amp;L'!$C$48+'3-Year P&amp;L'!$C$36+Financing!$B$46),"")</f>
        <v>115913.24135466422</v>
      </c>
      <c r="C27" s="28" t="n"/>
      <c r="D27" s="28" t="inlineStr">
        <is>
          <t>Net income plus depreciation (which is not paid) plus that year's interest: principal is not subtracted because this flow is BEFORE debt. Without a monthly table, it is an estimate</t>
        </is>
      </c>
      <c r="E27" s="28" t="n"/>
      <c r="F27" s="28" t="n"/>
      <c r="G27" s="28" t="n"/>
      <c r="H27" s="28" t="n"/>
      <c r="I27" s="28" t="n"/>
      <c r="J27" s="28" t="n"/>
      <c r="K27" s="28" t="n"/>
      <c r="L27" s="28" t="n"/>
      <c r="M27" s="28" t="n"/>
      <c r="N27" s="28" t="n"/>
      <c r="O27" s="28" t="n"/>
    </row>
    <row r="28">
      <c r="A28" s="28" t="inlineStr">
        <is>
          <t>Free cash flow before debt, year 3</t>
        </is>
      </c>
      <c r="B28" s="40">
        <f>IFERROR(IF('3-Year P&amp;L'!$B$9="","",'3-Year P&amp;L'!$D$48+'3-Year P&amp;L'!$D$36+Financing!$B$48),"")</f>
        <v>143359.37827336637</v>
      </c>
      <c r="C28" s="28" t="n"/>
      <c r="D28" s="28" t="inlineStr">
        <is>
          <t>Net income plus depreciation (which is not paid) plus that year's interest: principal is not subtracted because this flow is BEFORE debt. Without a monthly table, it is an estimate</t>
        </is>
      </c>
      <c r="E28" s="28" t="n"/>
      <c r="F28" s="28" t="n"/>
      <c r="G28" s="28" t="n"/>
      <c r="H28" s="28" t="n"/>
      <c r="I28" s="28" t="n"/>
      <c r="J28" s="28" t="n"/>
      <c r="K28" s="28" t="n"/>
      <c r="L28" s="28" t="n"/>
      <c r="M28" s="28" t="n"/>
      <c r="N28" s="28" t="n"/>
      <c r="O28" s="28" t="n"/>
    </row>
    <row r="29">
      <c r="A29" s="28" t="inlineStr">
        <is>
          <t>For reference: ACTUAL year-1 cash flow (monthly table, before debt)</t>
        </is>
      </c>
      <c r="B29" s="40">
        <f>IFERROR(IF('3-Year P&amp;L'!$B$9="","",N21+Financing!$B$44+Financing!$B$45),"")</f>
        <v>90351.38795386587</v>
      </c>
      <c r="C29" s="28" t="n"/>
      <c r="D29" s="28"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8" t="n"/>
      <c r="F29" s="28" t="n"/>
      <c r="G29" s="28" t="n"/>
      <c r="H29" s="28" t="n"/>
      <c r="I29" s="28" t="n"/>
      <c r="J29" s="28" t="n"/>
      <c r="K29" s="28" t="n"/>
      <c r="L29" s="28" t="n"/>
      <c r="M29" s="28" t="n"/>
      <c r="N29" s="28" t="n"/>
      <c r="O29" s="28" t="n"/>
    </row>
    <row r="30">
      <c r="A30" s="28" t="inlineStr">
        <is>
          <t>Investment to recover (net of recoverable input tax)</t>
        </is>
      </c>
      <c r="B30" s="40">
        <f>IFERROR(IF('3-Year P&amp;L'!$B$9="","",'Startup Costs'!$B$29-'Startup Costs'!$B$28),"")</f>
        <v>185453.0</v>
      </c>
      <c r="C30" s="28" t="n"/>
      <c r="D30" s="28"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8" t="n"/>
      <c r="F30" s="28" t="n"/>
      <c r="G30" s="28" t="n"/>
      <c r="H30" s="28" t="n"/>
      <c r="I30" s="28" t="n"/>
      <c r="J30" s="28" t="n"/>
      <c r="K30" s="28" t="n"/>
      <c r="L30" s="28" t="n"/>
      <c r="M30" s="28" t="n"/>
      <c r="N30" s="28" t="n"/>
      <c r="O30" s="28" t="n"/>
    </row>
    <row r="31">
      <c r="A31" s="25" t="inlineStr">
        <is>
          <t>Project payback (years), before debt</t>
        </is>
      </c>
      <c r="B31" s="25">
        <f>IFERROR(IF('3-Year P&amp;L'!$B$9="","",IF(B26&gt;=B30,ROUND(B30/B26,1),IF(B26+B27&gt;=B30,ROUND(1+(B30-B26)/B27,1),IF(B26+B27+B28&gt;=B30,ROUND(2+(B30-B26-B27)/B28,1),"Over 3 years")))),"")</f>
        <v>1.9</v>
      </c>
      <c r="C31" s="28" t="n"/>
      <c r="D31" s="25" t="inlineStr">
        <is>
          <t>Measures how long the business takes to repay the investment with what it generates BEFORE paying the lender, on the SAME cash flow basis in all three years. Whether you can afford the loan payment is shown by the DSCR in the Financing tab</t>
        </is>
      </c>
      <c r="E31" s="28" t="n"/>
      <c r="F31" s="28" t="n"/>
      <c r="G31" s="28" t="n"/>
      <c r="H31" s="28" t="n"/>
      <c r="I31" s="28" t="n"/>
      <c r="J31" s="28" t="n"/>
      <c r="K31" s="28" t="n"/>
      <c r="L31" s="28" t="n"/>
      <c r="M31" s="28" t="n"/>
      <c r="N31" s="28" t="n"/>
      <c r="O31" s="28" t="n"/>
    </row>
    <row r="32">
      <c r="A32" s="28" t="inlineStr">
        <is>
          <t>Payback on CAPEX, excluding working capital (years)</t>
        </is>
      </c>
      <c r="B32" s="28">
        <f>IFERROR(IF('3-Year P&amp;L'!$B$9="","",IF(B26&gt;='Startup Costs'!$B$27,ROUND('Startup Costs'!$B$27/B26,1),IF(B26+B27&gt;='Startup Costs'!$B$27,ROUND(1+('Startup Costs'!$B$27-B26)/B27,1),IF(B26+B27+B28&gt;='Startup Costs'!$B$27,ROUND(2+('Startup Costs'!$B$27-B26-B27)/B28,1),"Over 3 years")))),"")</f>
        <v>1.3</v>
      </c>
      <c r="C32" s="28" t="n"/>
      <c r="D32" s="28" t="inlineStr">
        <is>
          <t>The same calculation on what you BUY (van, upfit, equipment, launch and formation costs), without working capital: that money is not spent, it is tied up and comes back when the business closes. For reference only: the payback that matters is the one above</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34.75" customHeight="1">
      <c r="A34" s="46" t="inlineStr">
        <is>
          <t>Fourth-quarter sales tax is settled in January of the following year,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FINANCING PLAN</t>
        </is>
      </c>
      <c r="B1" s="28" t="n"/>
      <c r="C1" s="28" t="n"/>
      <c r="D1" s="28" t="n"/>
      <c r="E1" s="28" t="n"/>
      <c r="F1" s="28" t="n"/>
      <c r="G1" s="28" t="n"/>
      <c r="H1" s="28" t="n"/>
    </row>
    <row r="2" ht="45" customHeight="1">
      <c r="A2" s="46" t="inlineStr">
        <is>
          <t>What you need, where it comes from and what it costs to repay. It is the sheet your lender asks for along with the P&amp;L.</t>
        </is>
      </c>
      <c r="B2" s="28" t="n"/>
      <c r="C2" s="28" t="n"/>
      <c r="D2" s="28" t="n"/>
      <c r="E2" s="28" t="n"/>
      <c r="F2" s="28" t="n"/>
      <c r="G2" s="28" t="n"/>
      <c r="H2" s="28" t="n"/>
    </row>
    <row r="3">
      <c r="A3" s="28" t="n"/>
      <c r="B3" s="28" t="n"/>
      <c r="C3" s="28" t="n"/>
      <c r="D3" s="28" t="n"/>
      <c r="E3" s="28" t="n"/>
      <c r="F3" s="28" t="n"/>
      <c r="G3" s="28" t="n"/>
      <c r="H3" s="28" t="n"/>
    </row>
    <row r="4">
      <c r="A4" s="25" t="inlineStr">
        <is>
          <t>Item</t>
        </is>
      </c>
      <c r="B4" s="25" t="inlineStr">
        <is>
          <t>Amount</t>
        </is>
      </c>
      <c r="C4" s="25" t="inlineStr">
        <is>
          <t>Notes</t>
        </is>
      </c>
      <c r="D4" s="28" t="n"/>
      <c r="E4" s="28" t="n"/>
      <c r="F4" s="28" t="n"/>
      <c r="G4" s="28" t="n"/>
      <c r="H4" s="28" t="n"/>
    </row>
    <row r="5">
      <c r="A5" s="25" t="inlineStr">
        <is>
          <t>SOURCES OF FUNDS</t>
        </is>
      </c>
      <c r="B5" s="28" t="n"/>
      <c r="C5" s="28" t="n"/>
      <c r="D5" s="28" t="n"/>
      <c r="E5" s="28" t="n"/>
      <c r="F5" s="28" t="n"/>
      <c r="G5" s="28" t="n"/>
      <c r="H5" s="28" t="n"/>
    </row>
    <row r="6">
      <c r="A6" s="28" t="inlineStr">
        <is>
          <t>Owner's equity (your own money)</t>
        </is>
      </c>
      <c r="B6" s="40">
        <f>IFERROR(IF('0. Assumptions'!$B$30="","",'0. Assumptions'!$B$30),"")</f>
        <v>40000.0</v>
      </c>
      <c r="C6" s="28" t="n"/>
      <c r="D6" s="28" t="n"/>
      <c r="E6" s="28" t="n"/>
      <c r="F6" s="28" t="n"/>
      <c r="G6" s="28" t="n"/>
      <c r="H6" s="28" t="n"/>
    </row>
    <row r="7">
      <c r="A7" s="28" t="inlineStr">
        <is>
          <t>Loan requested — bank or SBA 7(a) (amortized below)</t>
        </is>
      </c>
      <c r="B7" s="40">
        <f>IFERROR(IF('0. Assumptions'!$B$31="","",'0. Assumptions'!$B$31),"")</f>
        <v>146000.0</v>
      </c>
      <c r="C7" s="28" t="n"/>
      <c r="D7" s="28" t="n"/>
      <c r="E7" s="28" t="n"/>
      <c r="F7" s="28" t="n"/>
      <c r="G7" s="28" t="n"/>
      <c r="H7" s="28" t="n"/>
    </row>
    <row r="8">
      <c r="A8" s="28" t="inlineStr">
        <is>
          <t>Other loan (not in the schedule or the DSCR — enter your loan in row 7)</t>
        </is>
      </c>
      <c r="B8" s="49" t="n">
        <v>0</v>
      </c>
      <c r="C8" s="28" t="inlineStr">
        <is>
          <t>A source of funds only: NOT amortized, so it is not in the schedule, the P&amp;L interest or the DSCR. Enter your bank or SBA 7(a) loan in row 7 ("Loan requested" in "0. Assumptions"); use this row only for a second loan</t>
        </is>
      </c>
      <c r="D8" s="28" t="n"/>
      <c r="E8" s="28" t="n"/>
      <c r="F8" s="28" t="n"/>
      <c r="G8" s="28" t="n"/>
      <c r="H8" s="28" t="n"/>
    </row>
    <row r="9">
      <c r="A9" s="28" t="inlineStr">
        <is>
          <t>SBA Microloan (not in the schedule or the DSCR — enter your loan in row 7)</t>
        </is>
      </c>
      <c r="B9" s="49" t="n">
        <v>0</v>
      </c>
      <c r="C9" s="28" t="inlineStr">
        <is>
          <t>SBA Microloans go up to $50,000 through nonprofit intermediaries. Like row 8, a source of funds only: not in the schedule or the DSCR. If it is your only loan, enter it in row 7 instead</t>
        </is>
      </c>
      <c r="D9" s="28" t="n"/>
      <c r="E9" s="28" t="n"/>
      <c r="F9" s="28" t="n"/>
      <c r="G9" s="28" t="n"/>
      <c r="H9" s="28" t="n"/>
    </row>
    <row r="10">
      <c r="A10" s="28" t="inlineStr">
        <is>
          <t>Investors / partners (equity: dilutes, not repaid)</t>
        </is>
      </c>
      <c r="B10" s="49" t="n">
        <v>0</v>
      </c>
      <c r="C10" s="28" t="inlineStr">
        <is>
          <t>Equity: it dilutes your ownership and is not repaid</t>
        </is>
      </c>
      <c r="D10" s="28" t="n"/>
      <c r="E10" s="28" t="n"/>
      <c r="F10" s="28" t="n"/>
      <c r="G10" s="28" t="n"/>
      <c r="H10" s="28" t="n"/>
    </row>
    <row r="11">
      <c r="A11" s="28" t="inlineStr">
        <is>
          <t>Local grants (usually paid after you spend)</t>
        </is>
      </c>
      <c r="B11" s="49" t="n">
        <v>0</v>
      </c>
      <c r="C11" s="28" t="inlineStr">
        <is>
          <t>Usually paid AFTER you document the spending</t>
        </is>
      </c>
      <c r="D11" s="28" t="n"/>
      <c r="E11" s="28" t="n"/>
      <c r="F11" s="28" t="n"/>
      <c r="G11" s="28" t="n"/>
      <c r="H11" s="28" t="n"/>
    </row>
    <row r="12">
      <c r="A12" s="25" t="inlineStr">
        <is>
          <t>TOTAL SOURCES OF FUNDS</t>
        </is>
      </c>
      <c r="B12" s="66">
        <f>IFERROR(IF(COUNT(B6:B11)=0,"",SUM(B6:B11)),"")</f>
        <v>186000.0</v>
      </c>
      <c r="C12" s="28" t="n"/>
      <c r="D12" s="28" t="n"/>
      <c r="E12" s="28" t="n"/>
      <c r="F12" s="28" t="n"/>
      <c r="G12" s="28" t="n"/>
      <c r="H12" s="28" t="n"/>
    </row>
    <row r="13">
      <c r="A13" s="25" t="inlineStr">
        <is>
          <t>USES OF FUNDS</t>
        </is>
      </c>
      <c r="B13" s="28" t="n"/>
      <c r="C13" s="28" t="n"/>
      <c r="D13" s="28" t="n"/>
      <c r="E13" s="28" t="n"/>
      <c r="F13" s="28" t="n"/>
      <c r="G13" s="28" t="n"/>
      <c r="H13" s="28" t="n"/>
    </row>
    <row r="14">
      <c r="A14" s="28" t="inlineStr">
        <is>
          <t>Total cash needed at launch</t>
        </is>
      </c>
      <c r="B14" s="40">
        <f>IFERROR(IF('Startup Costs'!$B$29="","",'Startup Costs'!$B$29),"")</f>
        <v>185453.0</v>
      </c>
      <c r="C14" s="28" t="inlineStr">
        <is>
          <t>Startup costs plus any recoverable tax you have to advance (zero by default in the US)</t>
        </is>
      </c>
      <c r="D14" s="28" t="n"/>
      <c r="E14" s="28" t="n"/>
      <c r="F14" s="28" t="n"/>
      <c r="G14" s="28" t="n"/>
      <c r="H14" s="28" t="n"/>
    </row>
    <row r="15">
      <c r="A15" s="25" t="inlineStr">
        <is>
          <t>Difference (sources - uses)</t>
        </is>
      </c>
      <c r="B15" s="66">
        <f>IFERROR(B12-B14,"")</f>
        <v>547.0</v>
      </c>
      <c r="C15" s="25" t="inlineStr">
        <is>
          <t>In red (negative), the plan is NOT funded. Far above zero is not free either: you pay interest on money you do not use</t>
        </is>
      </c>
      <c r="D15" s="28" t="n"/>
      <c r="E15" s="28" t="n"/>
      <c r="F15" s="28" t="n"/>
      <c r="G15" s="28" t="n"/>
      <c r="H15" s="28" t="n"/>
    </row>
    <row r="16">
      <c r="A16" s="28" t="inlineStr">
        <is>
          <t>Difference as a % of uses</t>
        </is>
      </c>
      <c r="B16" s="68">
        <f>IFERROR(B15/B14,"")</f>
        <v>0.0029495343833747635</v>
      </c>
      <c r="C16" s="28" t="inlineStr">
        <is>
          <t>Amber above the margin you set: it is debt you pay for without needing it</t>
        </is>
      </c>
      <c r="D16" s="28" t="n"/>
      <c r="E16" s="28" t="n"/>
      <c r="F16" s="28" t="n"/>
      <c r="G16" s="28" t="n"/>
      <c r="H16" s="28" t="n"/>
    </row>
    <row r="17">
      <c r="A17" s="28" t="inlineStr">
        <is>
          <t>Acceptable over-funding (%)</t>
        </is>
      </c>
      <c r="B17" s="73" t="n">
        <v>0.05</v>
      </c>
      <c r="C17" s="28" t="inlineStr">
        <is>
          <t>A small cushion over the need is healthy; 20% extra is interest thrown away</t>
        </is>
      </c>
      <c r="D17" s="28" t="n"/>
      <c r="E17" s="28" t="n"/>
      <c r="F17" s="28" t="n"/>
      <c r="G17" s="28" t="n"/>
      <c r="H17" s="28" t="n"/>
    </row>
    <row r="18">
      <c r="A18" s="28" t="inlineStr">
        <is>
          <t>Loan that would match sources to needs</t>
        </is>
      </c>
      <c r="B18" s="40">
        <f>IFERROR(MAX(0,B14-B12+B7),"")</f>
        <v>145453.0</v>
      </c>
      <c r="C18" s="28" t="inlineStr">
        <is>
          <t>Copy it into "Loan requested" in the "0. Assumptions" tab and the difference goes to zero. Rows 8-11 lower this figure, but only the row-7 loan is amortized and counted in the DSCR</t>
        </is>
      </c>
      <c r="D18" s="28" t="n"/>
      <c r="E18" s="28" t="n"/>
      <c r="F18" s="28" t="n"/>
      <c r="G18" s="28" t="n"/>
      <c r="H18" s="28" t="n"/>
    </row>
    <row r="19">
      <c r="A19" s="25" t="inlineStr">
        <is>
          <t>LOAN TERMS</t>
        </is>
      </c>
      <c r="B19" s="28" t="n"/>
      <c r="C19" s="28" t="n"/>
      <c r="D19" s="28" t="n"/>
      <c r="E19" s="28" t="n"/>
      <c r="F19" s="28" t="n"/>
      <c r="G19" s="28" t="n"/>
      <c r="H19" s="28" t="n"/>
    </row>
    <row r="20">
      <c r="A20" s="28" t="inlineStr">
        <is>
          <t>Principal amount</t>
        </is>
      </c>
      <c r="B20" s="40">
        <f>IFERROR(IF('0. Assumptions'!$B$31=0,"",'0. Assumptions'!$B$31),"")</f>
        <v>146000.0</v>
      </c>
      <c r="C20" s="28" t="n"/>
      <c r="D20" s="28" t="n"/>
      <c r="E20" s="28" t="n"/>
      <c r="F20" s="28" t="n"/>
      <c r="G20" s="28" t="n"/>
      <c r="H20" s="28" t="n"/>
    </row>
    <row r="21">
      <c r="A21" s="28" t="inlineStr">
        <is>
          <t>Nominal annual interest rate (not APR)</t>
        </is>
      </c>
      <c r="B21" s="68">
        <f>IFERROR(IF('0. Assumptions'!$B$32="","",'0. Assumptions'!$B$32),"")</f>
        <v>0.1</v>
      </c>
      <c r="C21" s="28" t="n"/>
      <c r="D21" s="28" t="n"/>
      <c r="E21" s="28" t="n"/>
      <c r="F21" s="28" t="n"/>
      <c r="G21" s="28" t="n"/>
      <c r="H21" s="28" t="n"/>
    </row>
    <row r="22">
      <c r="A22" s="28" t="inlineStr">
        <is>
          <t>Total term (years)</t>
        </is>
      </c>
      <c r="B22" s="40">
        <f>IFERROR(IF('0. Assumptions'!$B$33="","",'0. Assumptions'!$B$33),"")</f>
        <v>7.0</v>
      </c>
      <c r="C22" s="28" t="n"/>
      <c r="D22" s="28" t="n"/>
      <c r="E22" s="28" t="n"/>
      <c r="F22" s="28" t="n"/>
      <c r="G22" s="28" t="n"/>
      <c r="H22" s="28" t="n"/>
    </row>
    <row r="23">
      <c r="A23" s="28" t="inlineStr">
        <is>
          <t>Interest-only period applied (years)</t>
        </is>
      </c>
      <c r="B23" s="40">
        <f>IFERROR(IF(OR('0. Assumptions'!$B$34="",'0. Assumptions'!$B$33=""),"",IF('0. Assumptions'!$B$34&gt;='0. Assumptions'!$B$33,0,'0. Assumptions'!$B$34)),"")</f>
        <v>0.0</v>
      </c>
      <c r="C23" s="28" t="inlineStr">
        <is>
          <t>An interest-only period equal to or longer than the term does not exist: the sheet cancels it at the source</t>
        </is>
      </c>
      <c r="D23" s="28" t="n"/>
      <c r="E23" s="28" t="n"/>
      <c r="F23" s="28" t="n"/>
      <c r="G23" s="28" t="n"/>
      <c r="H23" s="28" t="n"/>
    </row>
    <row r="24">
      <c r="A24" s="25" t="inlineStr">
        <is>
          <t>Annual payment during repayment</t>
        </is>
      </c>
      <c r="B24" s="62">
        <f>IFERROR(IF(B22-B23&lt;=0,"",IF(B21=0,B20/(B22-B23),B20*B21/(1-(1+B21)^-(B22-B23)))),"")</f>
        <v>29989.20295628695</v>
      </c>
      <c r="C24" s="25" t="inlineStr">
        <is>
          <t>Standard amortizing loan with a level annual payment. At a 0% rate it is the principal divided by the repayment years: without that branch the schedule would shut down entirely</t>
        </is>
      </c>
      <c r="D24" s="28" t="n"/>
      <c r="E24" s="28" t="n"/>
      <c r="F24" s="28" t="n"/>
      <c r="G24" s="28" t="n"/>
      <c r="H24" s="28" t="n"/>
    </row>
    <row r="25">
      <c r="A25" s="25" t="inlineStr">
        <is>
          <t>AMORTIZATION SCHEDULE</t>
        </is>
      </c>
      <c r="B25" s="28" t="n"/>
      <c r="C25" s="28" t="n"/>
      <c r="D25" s="28" t="n"/>
      <c r="E25" s="28" t="n"/>
      <c r="F25" s="28" t="n"/>
      <c r="G25" s="28" t="n"/>
      <c r="H25" s="28" t="n"/>
    </row>
    <row r="26">
      <c r="A26" s="25" t="inlineStr">
        <is>
          <t>Year</t>
        </is>
      </c>
      <c r="B26" s="25" t="inlineStr">
        <is>
          <t>Opening balance</t>
        </is>
      </c>
      <c r="C26" s="25" t="inlineStr">
        <is>
          <t>Interest</t>
        </is>
      </c>
      <c r="D26" s="25" t="inlineStr">
        <is>
          <t>Principal repaid</t>
        </is>
      </c>
      <c r="E26" s="25" t="inlineStr">
        <is>
          <t>Total payment</t>
        </is>
      </c>
      <c r="F26" s="25" t="inlineStr">
        <is>
          <t>Closing balance</t>
        </is>
      </c>
      <c r="G26" s="25" t="inlineStr">
        <is>
          <t>Cash flow available for debt service (after tax; from year 4 on, year 3 held flat)</t>
        </is>
      </c>
      <c r="H26" s="25" t="inlineStr">
        <is>
          <t>DSCR for the year</t>
        </is>
      </c>
    </row>
    <row r="27">
      <c r="A27" s="40" t="n">
        <v>1</v>
      </c>
      <c r="B27" s="61">
        <f>IFERROR(IF(B20="","",B20),"")</f>
        <v>146000.0</v>
      </c>
      <c r="C27" s="61">
        <f>IFERROR(IF(OR(1&gt;B22,B27=""),"",B27*B21),"")</f>
        <v>14600.0</v>
      </c>
      <c r="D27" s="61">
        <f>IFERROR(IF(OR(1&gt;B22,B27=""),"",IF(1&lt;=B23,0,MIN(B27,B24-C27))),"")</f>
        <v>15389.20295628695</v>
      </c>
      <c r="E27" s="61">
        <f>IFERROR(IF(C27="","",C27+D27),"")</f>
        <v>29989.20295628695</v>
      </c>
      <c r="F27" s="61">
        <f>IFERROR(IF(D27="","",B27-D27),"")</f>
        <v>130610.79704371304</v>
      </c>
      <c r="G27" s="61">
        <f>IFERROR(IF(E27="","",'3-Year P&amp;L'!$B$41-'3-Year P&amp;L'!$B$46+'3-Year P&amp;L'!$B$36+'3-Year P&amp;L'!$B$37),"")</f>
        <v>78120.5714285714</v>
      </c>
      <c r="H27" s="61">
        <f>IFERROR(IF(OR(E27="",E27=0),"",G27/E27),"")</f>
        <v>2.6049565752861787</v>
      </c>
    </row>
    <row r="28">
      <c r="A28" s="40" t="n">
        <v>2</v>
      </c>
      <c r="B28" s="61">
        <f>IFERROR(IF(OR(2&gt;B22,F27=""),"",F27),"")</f>
        <v>130610.79704371304</v>
      </c>
      <c r="C28" s="61">
        <f>IFERROR(IF(OR(2&gt;B22,B28=""),"",B28*B21),"")</f>
        <v>13061.079704371305</v>
      </c>
      <c r="D28" s="61">
        <f>IFERROR(IF(OR(2&gt;B22,B28=""),"",IF(2&lt;=B23,0,MIN(B28,B24-C28))),"")</f>
        <v>16928.123251915647</v>
      </c>
      <c r="E28" s="61">
        <f>IFERROR(IF(C28="","",C28+D28),"")</f>
        <v>29989.20295628695</v>
      </c>
      <c r="F28" s="61">
        <f>IFERROR(IF(D28="","",B28-D28),"")</f>
        <v>113682.6737917974</v>
      </c>
      <c r="G28" s="61">
        <f>IFERROR(IF(E28="","",'3-Year P&amp;L'!$C$41-'3-Year P&amp;L'!$C$46+'3-Year P&amp;L'!$C$36+'3-Year P&amp;L'!$C$37),"")</f>
        <v>115913.24135466422</v>
      </c>
      <c r="H28" s="61">
        <f>IFERROR(IF(OR(E28="",E28=0),"",G28/E28),"")</f>
        <v>3.865165790622125</v>
      </c>
    </row>
    <row r="29">
      <c r="A29" s="40" t="n">
        <v>3</v>
      </c>
      <c r="B29" s="61">
        <f>IFERROR(IF(OR(3&gt;B22,F28=""),"",F28),"")</f>
        <v>113682.6737917974</v>
      </c>
      <c r="C29" s="61">
        <f>IFERROR(IF(OR(3&gt;B22,B29=""),"",B29*B21),"")</f>
        <v>11368.26737917974</v>
      </c>
      <c r="D29" s="61">
        <f>IFERROR(IF(OR(3&gt;B22,B29=""),"",IF(3&lt;=B23,0,MIN(B29,B24-C29))),"")</f>
        <v>18620.935577107208</v>
      </c>
      <c r="E29" s="61">
        <f>IFERROR(IF(C29="","",C29+D29),"")</f>
        <v>29989.20295628695</v>
      </c>
      <c r="F29" s="61">
        <f>IFERROR(IF(D29="","",B29-D29),"")</f>
        <v>95061.73821469018</v>
      </c>
      <c r="G29" s="61">
        <f>IFERROR(IF(E29="","",'3-Year P&amp;L'!$D$41-'3-Year P&amp;L'!$D$46+'3-Year P&amp;L'!$D$36+'3-Year P&amp;L'!$D$37),"")</f>
        <v>143359.37827336637</v>
      </c>
      <c r="H29" s="61">
        <f>IFERROR(IF(OR(E29="",E29=0),"",G29/E29),"")</f>
        <v>4.780366403279566</v>
      </c>
    </row>
    <row r="30">
      <c r="A30" s="40" t="n">
        <v>4</v>
      </c>
      <c r="B30" s="61">
        <f>IFERROR(IF(OR(4&gt;B22,F29=""),"",F29),"")</f>
        <v>95061.73821469018</v>
      </c>
      <c r="C30" s="61">
        <f>IFERROR(IF(OR(4&gt;B22,B30=""),"",B30*B21),"")</f>
        <v>9506.173821469018</v>
      </c>
      <c r="D30" s="61">
        <f>IFERROR(IF(OR(4&gt;B22,B30=""),"",IF(4&lt;=B23,0,MIN(B30,B24-C30))),"")</f>
        <v>20483.02913481793</v>
      </c>
      <c r="E30" s="61">
        <f>IFERROR(IF(C30="","",C30+D30),"")</f>
        <v>29989.20295628695</v>
      </c>
      <c r="F30" s="61">
        <f>IFERROR(IF(D30="","",B30-D30),"")</f>
        <v>74578.70907987225</v>
      </c>
      <c r="G30" s="61">
        <f>IFERROR(IF(E30="","",'3-Year P&amp;L'!$D$41-'3-Year P&amp;L'!$D$46+'3-Year P&amp;L'!$D$36+'3-Year P&amp;L'!$D$37),"")</f>
        <v>143359.37827336637</v>
      </c>
      <c r="H30" s="61">
        <f>IFERROR(IF(OR(E30="",E30=0),"",G30/E30),"")</f>
        <v>4.780366403279566</v>
      </c>
    </row>
    <row r="31">
      <c r="A31" s="40" t="n">
        <v>5</v>
      </c>
      <c r="B31" s="61">
        <f>IFERROR(IF(OR(5&gt;B22,F30=""),"",F30),"")</f>
        <v>74578.70907987225</v>
      </c>
      <c r="C31" s="61">
        <f>IFERROR(IF(OR(5&gt;B22,B31=""),"",B31*B21),"")</f>
        <v>7457.870907987225</v>
      </c>
      <c r="D31" s="61">
        <f>IFERROR(IF(OR(5&gt;B22,B31=""),"",IF(5&lt;=B23,0,MIN(B31,B24-C31))),"")</f>
        <v>22531.332048299726</v>
      </c>
      <c r="E31" s="61">
        <f>IFERROR(IF(C31="","",C31+D31),"")</f>
        <v>29989.20295628695</v>
      </c>
      <c r="F31" s="61">
        <f>IFERROR(IF(D31="","",B31-D31),"")</f>
        <v>52047.37703157253</v>
      </c>
      <c r="G31" s="61">
        <f>IFERROR(IF(E31="","",'3-Year P&amp;L'!$D$41-'3-Year P&amp;L'!$D$46+'3-Year P&amp;L'!$D$36+'3-Year P&amp;L'!$D$37),"")</f>
        <v>143359.37827336637</v>
      </c>
      <c r="H31" s="61">
        <f>IFERROR(IF(OR(E31="",E31=0),"",G31/E31),"")</f>
        <v>4.780366403279566</v>
      </c>
    </row>
    <row r="32">
      <c r="A32" s="40" t="n">
        <v>6</v>
      </c>
      <c r="B32" s="61">
        <f>IFERROR(IF(OR(6&gt;B22,F31=""),"",F31),"")</f>
        <v>52047.37703157253</v>
      </c>
      <c r="C32" s="61">
        <f>IFERROR(IF(OR(6&gt;B22,B32=""),"",B32*B21),"")</f>
        <v>5204.737703157253</v>
      </c>
      <c r="D32" s="61">
        <f>IFERROR(IF(OR(6&gt;B22,B32=""),"",IF(6&lt;=B23,0,MIN(B32,B24-C32))),"")</f>
        <v>24784.465253129696</v>
      </c>
      <c r="E32" s="61">
        <f>IFERROR(IF(C32="","",C32+D32),"")</f>
        <v>29989.20295628695</v>
      </c>
      <c r="F32" s="61">
        <f>IFERROR(IF(D32="","",B32-D32),"")</f>
        <v>27262.91177844283</v>
      </c>
      <c r="G32" s="61">
        <f>IFERROR(IF(E32="","",'3-Year P&amp;L'!$D$41-'3-Year P&amp;L'!$D$46+'3-Year P&amp;L'!$D$36+'3-Year P&amp;L'!$D$37),"")</f>
        <v>143359.37827336637</v>
      </c>
      <c r="H32" s="61">
        <f>IFERROR(IF(OR(E32="",E32=0),"",G32/E32),"")</f>
        <v>4.780366403279566</v>
      </c>
    </row>
    <row r="33">
      <c r="A33" s="40" t="n">
        <v>7</v>
      </c>
      <c r="B33" s="61">
        <f>IFERROR(IF(OR(7&gt;B22,F32=""),"",F32),"")</f>
        <v>27262.91177844283</v>
      </c>
      <c r="C33" s="61">
        <f>IFERROR(IF(OR(7&gt;B22,B33=""),"",B33*B21),"")</f>
        <v>2726.291177844283</v>
      </c>
      <c r="D33" s="61">
        <f>IFERROR(IF(OR(7&gt;B22,B33=""),"",IF(7&lt;=B23,0,MIN(B33,B24-C33))),"")</f>
        <v>27262.911778442667</v>
      </c>
      <c r="E33" s="61">
        <f>IFERROR(IF(C33="","",C33+D33),"")</f>
        <v>29989.20295628695</v>
      </c>
      <c r="F33" s="61">
        <f>IFERROR(IF(D33="","",B33-D33),"")</f>
        <v>1.6370904631912708e-10</v>
      </c>
      <c r="G33" s="61">
        <f>IFERROR(IF(E33="","",'3-Year P&amp;L'!$D$41-'3-Year P&amp;L'!$D$46+'3-Year P&amp;L'!$D$36+'3-Year P&amp;L'!$D$37),"")</f>
        <v>143359.37827336637</v>
      </c>
      <c r="H33" s="61">
        <f>IFERROR(IF(OR(E33="",E33=0),"",G33/E33),"")</f>
        <v>4.780366403279566</v>
      </c>
    </row>
    <row r="34">
      <c r="A34" s="40" t="n">
        <v>8</v>
      </c>
      <c r="B34" s="61">
        <f>IFERROR(IF(OR(8&gt;B22,F33=""),"",F33),"")</f>
        <v/>
      </c>
      <c r="C34" s="61">
        <f>IFERROR(IF(OR(8&gt;B22,B34=""),"",B34*B21),"")</f>
        <v/>
      </c>
      <c r="D34" s="61">
        <f>IFERROR(IF(OR(8&gt;B22,B34=""),"",IF(8&lt;=B23,0,MIN(B34,B24-C34))),"")</f>
        <v/>
      </c>
      <c r="E34" s="61">
        <f>IFERROR(IF(C34="","",C34+D34),"")</f>
        <v/>
      </c>
      <c r="F34" s="61">
        <f>IFERROR(IF(D34="","",B34-D34),"")</f>
        <v/>
      </c>
      <c r="G34" s="61">
        <f>IFERROR(IF(E34="","",'3-Year P&amp;L'!$D$41-'3-Year P&amp;L'!$D$46+'3-Year P&amp;L'!$D$36+'3-Year P&amp;L'!$D$37),"")</f>
        <v/>
      </c>
      <c r="H34" s="61">
        <f>IFERROR(IF(OR(E34="",E34=0),"",G34/E34),"")</f>
        <v/>
      </c>
    </row>
    <row r="35">
      <c r="A35" s="40" t="n">
        <v>9</v>
      </c>
      <c r="B35" s="61">
        <f>IFERROR(IF(OR(9&gt;B22,F34=""),"",F34),"")</f>
        <v/>
      </c>
      <c r="C35" s="61">
        <f>IFERROR(IF(OR(9&gt;B22,B35=""),"",B35*B21),"")</f>
        <v/>
      </c>
      <c r="D35" s="61">
        <f>IFERROR(IF(OR(9&gt;B22,B35=""),"",IF(9&lt;=B23,0,MIN(B35,B24-C35))),"")</f>
        <v/>
      </c>
      <c r="E35" s="61">
        <f>IFERROR(IF(C35="","",C35+D35),"")</f>
        <v/>
      </c>
      <c r="F35" s="61">
        <f>IFERROR(IF(D35="","",B35-D35),"")</f>
        <v/>
      </c>
      <c r="G35" s="61">
        <f>IFERROR(IF(E35="","",'3-Year P&amp;L'!$D$41-'3-Year P&amp;L'!$D$46+'3-Year P&amp;L'!$D$36+'3-Year P&amp;L'!$D$37),"")</f>
        <v/>
      </c>
      <c r="H35" s="61">
        <f>IFERROR(IF(OR(E35="",E35=0),"",G35/E35),"")</f>
        <v/>
      </c>
    </row>
    <row r="36">
      <c r="A36" s="40" t="n">
        <v>10</v>
      </c>
      <c r="B36" s="61">
        <f>IFERROR(IF(OR(10&gt;B22,F35=""),"",F35),"")</f>
        <v/>
      </c>
      <c r="C36" s="61">
        <f>IFERROR(IF(OR(10&gt;B22,B36=""),"",B36*B21),"")</f>
        <v/>
      </c>
      <c r="D36" s="61">
        <f>IFERROR(IF(OR(10&gt;B22,B36=""),"",IF(10&lt;=B23,0,MIN(B36,B24-C36))),"")</f>
        <v/>
      </c>
      <c r="E36" s="61">
        <f>IFERROR(IF(C36="","",C36+D36),"")</f>
        <v/>
      </c>
      <c r="F36" s="61">
        <f>IFERROR(IF(D36="","",B36-D36),"")</f>
        <v/>
      </c>
      <c r="G36" s="61">
        <f>IFERROR(IF(E36="","",'3-Year P&amp;L'!$D$41-'3-Year P&amp;L'!$D$46+'3-Year P&amp;L'!$D$36+'3-Year P&amp;L'!$D$37),"")</f>
        <v/>
      </c>
      <c r="H36" s="61">
        <f>IFERROR(IF(OR(E36="",E36=0),"",G36/E36),"")</f>
        <v/>
      </c>
    </row>
    <row r="37">
      <c r="A37" s="40" t="n">
        <v>11</v>
      </c>
      <c r="B37" s="61">
        <f>IFERROR(IF(OR(11&gt;B22,F36=""),"",F36),"")</f>
        <v/>
      </c>
      <c r="C37" s="61">
        <f>IFERROR(IF(OR(11&gt;B22,B37=""),"",B37*B21),"")</f>
        <v/>
      </c>
      <c r="D37" s="61">
        <f>IFERROR(IF(OR(11&gt;B22,B37=""),"",IF(11&lt;=B23,0,MIN(B37,B24-C37))),"")</f>
        <v/>
      </c>
      <c r="E37" s="61">
        <f>IFERROR(IF(C37="","",C37+D37),"")</f>
        <v/>
      </c>
      <c r="F37" s="61">
        <f>IFERROR(IF(D37="","",B37-D37),"")</f>
        <v/>
      </c>
      <c r="G37" s="61">
        <f>IFERROR(IF(E37="","",'3-Year P&amp;L'!$D$41-'3-Year P&amp;L'!$D$46+'3-Year P&amp;L'!$D$36+'3-Year P&amp;L'!$D$37),"")</f>
        <v/>
      </c>
      <c r="H37" s="61">
        <f>IFERROR(IF(OR(E37="",E37=0),"",G37/E37),"")</f>
        <v/>
      </c>
    </row>
    <row r="38">
      <c r="A38" s="40" t="n">
        <v>12</v>
      </c>
      <c r="B38" s="61">
        <f>IFERROR(IF(OR(12&gt;B22,F37=""),"",F37),"")</f>
        <v/>
      </c>
      <c r="C38" s="61">
        <f>IFERROR(IF(OR(12&gt;B22,B38=""),"",B38*B21),"")</f>
        <v/>
      </c>
      <c r="D38" s="61">
        <f>IFERROR(IF(OR(12&gt;B22,B38=""),"",IF(12&lt;=B23,0,MIN(B38,B24-C38))),"")</f>
        <v/>
      </c>
      <c r="E38" s="61">
        <f>IFERROR(IF(C38="","",C38+D38),"")</f>
        <v/>
      </c>
      <c r="F38" s="61">
        <f>IFERROR(IF(D38="","",B38-D38),"")</f>
        <v/>
      </c>
      <c r="G38" s="61">
        <f>IFERROR(IF(E38="","",'3-Year P&amp;L'!$D$41-'3-Year P&amp;L'!$D$46+'3-Year P&amp;L'!$D$36+'3-Year P&amp;L'!$D$37),"")</f>
        <v/>
      </c>
      <c r="H38" s="61">
        <f>IFERROR(IF(OR(E38="",E38=0),"",G38/E38),"")</f>
        <v/>
      </c>
    </row>
    <row r="39">
      <c r="A39" s="40" t="n">
        <v>13</v>
      </c>
      <c r="B39" s="61">
        <f>IFERROR(IF(OR(13&gt;B22,F38=""),"",F38),"")</f>
        <v/>
      </c>
      <c r="C39" s="61">
        <f>IFERROR(IF(OR(13&gt;B22,B39=""),"",B39*B21),"")</f>
        <v/>
      </c>
      <c r="D39" s="61">
        <f>IFERROR(IF(OR(13&gt;B22,B39=""),"",IF(13&lt;=B23,0,MIN(B39,B24-C39))),"")</f>
        <v/>
      </c>
      <c r="E39" s="61">
        <f>IFERROR(IF(C39="","",C39+D39),"")</f>
        <v/>
      </c>
      <c r="F39" s="61">
        <f>IFERROR(IF(D39="","",B39-D39),"")</f>
        <v/>
      </c>
      <c r="G39" s="61">
        <f>IFERROR(IF(E39="","",'3-Year P&amp;L'!$D$41-'3-Year P&amp;L'!$D$46+'3-Year P&amp;L'!$D$36+'3-Year P&amp;L'!$D$37),"")</f>
        <v/>
      </c>
      <c r="H39" s="61">
        <f>IFERROR(IF(OR(E39="",E39=0),"",G39/E39),"")</f>
        <v/>
      </c>
    </row>
    <row r="40">
      <c r="A40" s="40" t="n">
        <v>14</v>
      </c>
      <c r="B40" s="61">
        <f>IFERROR(IF(OR(14&gt;B22,F39=""),"",F39),"")</f>
        <v/>
      </c>
      <c r="C40" s="61">
        <f>IFERROR(IF(OR(14&gt;B22,B40=""),"",B40*B21),"")</f>
        <v/>
      </c>
      <c r="D40" s="61">
        <f>IFERROR(IF(OR(14&gt;B22,B40=""),"",IF(14&lt;=B23,0,MIN(B40,B24-C40))),"")</f>
        <v/>
      </c>
      <c r="E40" s="61">
        <f>IFERROR(IF(C40="","",C40+D40),"")</f>
        <v/>
      </c>
      <c r="F40" s="61">
        <f>IFERROR(IF(D40="","",B40-D40),"")</f>
        <v/>
      </c>
      <c r="G40" s="61">
        <f>IFERROR(IF(E40="","",'3-Year P&amp;L'!$D$41-'3-Year P&amp;L'!$D$46+'3-Year P&amp;L'!$D$36+'3-Year P&amp;L'!$D$37),"")</f>
        <v/>
      </c>
      <c r="H40" s="61">
        <f>IFERROR(IF(OR(E40="",E40=0),"",G40/E40),"")</f>
        <v/>
      </c>
    </row>
    <row r="41">
      <c r="A41" s="40" t="n">
        <v>15</v>
      </c>
      <c r="B41" s="61">
        <f>IFERROR(IF(OR(15&gt;B22,F40=""),"",F40),"")</f>
        <v/>
      </c>
      <c r="C41" s="61">
        <f>IFERROR(IF(OR(15&gt;B22,B41=""),"",B41*B21),"")</f>
        <v/>
      </c>
      <c r="D41" s="61">
        <f>IFERROR(IF(OR(15&gt;B22,B41=""),"",IF(15&lt;=B23,0,MIN(B41,B24-C41))),"")</f>
        <v/>
      </c>
      <c r="E41" s="61">
        <f>IFERROR(IF(C41="","",C41+D41),"")</f>
        <v/>
      </c>
      <c r="F41" s="61">
        <f>IFERROR(IF(D41="","",B41-D41),"")</f>
        <v/>
      </c>
      <c r="G41" s="61">
        <f>IFERROR(IF(E41="","",'3-Year P&amp;L'!$D$41-'3-Year P&amp;L'!$D$46+'3-Year P&amp;L'!$D$36+'3-Year P&amp;L'!$D$37),"")</f>
        <v/>
      </c>
      <c r="H41" s="61">
        <f>IFERROR(IF(OR(E41="",E41=0),"",G41/E41),"")</f>
        <v/>
      </c>
    </row>
    <row r="42">
      <c r="A42" s="28" t="inlineStr">
        <is>
          <t>Schedule closing tolerance</t>
        </is>
      </c>
      <c r="B42" s="71" t="n">
        <v>0.01</v>
      </c>
      <c r="C42" s="28" t="inlineStr">
        <is>
          <t>Rounding margin. Above it, the schedule does not close and there is principal left unpaid</t>
        </is>
      </c>
      <c r="D42" s="28" t="n"/>
      <c r="E42" s="28" t="n"/>
      <c r="F42" s="28" t="n"/>
      <c r="G42" s="28" t="n"/>
      <c r="H42" s="28" t="n"/>
    </row>
    <row r="43">
      <c r="A43" s="28" t="inlineStr">
        <is>
          <t>Balance outstanding at maturity</t>
        </is>
      </c>
      <c r="B43" s="61">
        <f>IFERROR(IF(B20="","",ROUND(B20-SUM(D27:D41),2)),"")</f>
        <v>0.0</v>
      </c>
      <c r="C43" s="28" t="inlineStr">
        <is>
          <t>Must be zero: the principal repaid in the schedule has to equal the amount borrowed. If it is positive, the term falls short</t>
        </is>
      </c>
      <c r="D43" s="28" t="n"/>
      <c r="E43" s="28" t="n"/>
      <c r="F43" s="28" t="n"/>
      <c r="G43" s="28" t="n"/>
      <c r="H43" s="28" t="n"/>
    </row>
    <row r="44">
      <c r="A44" s="28" t="inlineStr">
        <is>
          <t>Year-1 interest</t>
        </is>
      </c>
      <c r="B44" s="40">
        <f>IFERROR(IF(B20="","",IF(C27="",0,C27)),"")</f>
        <v>14600.0</v>
      </c>
      <c r="C44" s="28" t="n"/>
      <c r="D44" s="28" t="n"/>
      <c r="E44" s="28" t="n"/>
      <c r="F44" s="28" t="n"/>
      <c r="G44" s="28" t="n"/>
      <c r="H44" s="28" t="n"/>
    </row>
    <row r="45">
      <c r="A45" s="28" t="inlineStr">
        <is>
          <t>Year-1 principal repaid</t>
        </is>
      </c>
      <c r="B45" s="40">
        <f>IFERROR(IF(B20="","",IF(D27="",0,D27)),"")</f>
        <v>15389.20295628695</v>
      </c>
      <c r="C45" s="28" t="n"/>
      <c r="D45" s="28" t="n"/>
      <c r="E45" s="28" t="n"/>
      <c r="F45" s="28" t="n"/>
      <c r="G45" s="28" t="n"/>
      <c r="H45" s="28" t="n"/>
    </row>
    <row r="46">
      <c r="A46" s="28" t="inlineStr">
        <is>
          <t>Year-2 interest</t>
        </is>
      </c>
      <c r="B46" s="40">
        <f>IFERROR(IF(B20="","",IF(C28="",0,C28)),"")</f>
        <v>13061.079704371305</v>
      </c>
      <c r="C46" s="28" t="n"/>
      <c r="D46" s="28" t="n"/>
      <c r="E46" s="28" t="n"/>
      <c r="F46" s="28" t="n"/>
      <c r="G46" s="28" t="n"/>
      <c r="H46" s="28" t="n"/>
    </row>
    <row r="47">
      <c r="A47" s="28" t="inlineStr">
        <is>
          <t>Year-2 principal repaid</t>
        </is>
      </c>
      <c r="B47" s="40">
        <f>IFERROR(IF(B20="","",IF(D28="",0,D28)),"")</f>
        <v>16928.123251915647</v>
      </c>
      <c r="C47" s="28" t="n"/>
      <c r="D47" s="28" t="n"/>
      <c r="E47" s="28" t="n"/>
      <c r="F47" s="28" t="n"/>
      <c r="G47" s="28" t="n"/>
      <c r="H47" s="28" t="n"/>
    </row>
    <row r="48">
      <c r="A48" s="28" t="inlineStr">
        <is>
          <t>Year-3 interest</t>
        </is>
      </c>
      <c r="B48" s="40">
        <f>IFERROR(IF(B20="","",IF(C29="",0,C29)),"")</f>
        <v>11368.26737917974</v>
      </c>
      <c r="C48" s="28" t="n"/>
      <c r="D48" s="28" t="n"/>
      <c r="E48" s="28" t="n"/>
      <c r="F48" s="28" t="n"/>
      <c r="G48" s="28" t="n"/>
      <c r="H48" s="28" t="n"/>
    </row>
    <row r="49">
      <c r="A49" s="28" t="inlineStr">
        <is>
          <t>Year-3 principal repaid</t>
        </is>
      </c>
      <c r="B49" s="40">
        <f>IFERROR(IF(B20="","",IF(D29="",0,D29)),"")</f>
        <v>18620.935577107208</v>
      </c>
      <c r="C49" s="28" t="n"/>
      <c r="D49" s="28" t="n"/>
      <c r="E49" s="28" t="n"/>
      <c r="F49" s="28" t="n"/>
      <c r="G49" s="28" t="n"/>
      <c r="H49" s="28" t="n"/>
    </row>
    <row r="50">
      <c r="A50" s="25" t="inlineStr">
        <is>
          <t>DEBT SERVICE COVERAGE RATIO (DSCR)</t>
        </is>
      </c>
      <c r="B50" s="28" t="n"/>
      <c r="C50" s="28" t="n"/>
      <c r="D50" s="28" t="n"/>
      <c r="E50" s="28" t="n"/>
      <c r="F50" s="28" t="n"/>
      <c r="G50" s="28" t="n"/>
      <c r="H50" s="28" t="n"/>
    </row>
    <row r="51">
      <c r="A51" s="28" t="inlineStr">
        <is>
          <t>Year-1 DSCR</t>
        </is>
      </c>
      <c r="B51" s="61">
        <f>IFERROR(('3-Year P&amp;L'!$B$41-'3-Year P&amp;L'!$B$46+'3-Year P&amp;L'!$B$36+B44)/(B44+B45),"")</f>
        <v>2.6049565752861787</v>
      </c>
      <c r="C51" s="28" t="inlineStr">
        <is>
          <t>An INTEREST-ONLY year, if there is one: with only interest in the denominator the ratio shoots up and does not measure the business</t>
        </is>
      </c>
      <c r="D51" s="28" t="n"/>
      <c r="E51" s="28" t="n"/>
      <c r="F51" s="28" t="n"/>
      <c r="G51" s="28" t="n"/>
      <c r="H51" s="28" t="n"/>
    </row>
    <row r="52">
      <c r="A52" s="28" t="inlineStr">
        <is>
          <t>Year-2 DSCR</t>
        </is>
      </c>
      <c r="B52" s="61">
        <f>IFERROR(('3-Year P&amp;L'!$C$41-'3-Year P&amp;L'!$C$46+'3-Year P&amp;L'!$C$36+B46)/(B46+B47),"")</f>
        <v>3.865165790622125</v>
      </c>
      <c r="C52" s="28" t="n"/>
      <c r="D52" s="28" t="n"/>
      <c r="E52" s="28" t="n"/>
      <c r="F52" s="28" t="n"/>
      <c r="G52" s="28" t="n"/>
      <c r="H52" s="28" t="n"/>
    </row>
    <row r="53">
      <c r="A53" s="28" t="inlineStr">
        <is>
          <t>Year-3 DSCR</t>
        </is>
      </c>
      <c r="B53" s="61">
        <f>IFERROR(('3-Year P&amp;L'!$D$41-'3-Year P&amp;L'!$D$46+'3-Year P&amp;L'!$D$36+B48)/(B48+B49),"")</f>
        <v>4.780366403279566</v>
      </c>
      <c r="C53" s="28" t="n"/>
      <c r="D53" s="28" t="n"/>
      <c r="E53" s="28" t="n"/>
      <c r="F53" s="28" t="n"/>
      <c r="G53" s="28" t="n"/>
      <c r="H53" s="28" t="n"/>
    </row>
    <row r="54">
      <c r="A54" s="25" t="inlineStr">
        <is>
          <t>Minimum DSCR across the whole schedule</t>
        </is>
      </c>
      <c r="B54" s="62">
        <f>IFERROR(IF(COUNT(H27:H41)=0,"",MIN(H27:H41)),"")</f>
        <v>2.6049565752861787</v>
      </c>
      <c r="C54" s="25"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8" t="n"/>
      <c r="E54" s="28" t="n"/>
      <c r="F54" s="28" t="n"/>
      <c r="G54" s="28" t="n"/>
      <c r="H54" s="28" t="n"/>
    </row>
    <row r="55">
      <c r="A55" s="28" t="n"/>
      <c r="B55" s="28" t="n"/>
      <c r="C55" s="28" t="n"/>
      <c r="D55" s="28" t="n"/>
      <c r="E55" s="28" t="n"/>
      <c r="F55" s="28" t="n"/>
      <c r="G55" s="28" t="n"/>
      <c r="H55" s="28" t="n"/>
    </row>
    <row r="56" ht="165" customHeight="1">
      <c r="A56" s="46"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Catering Financial Projections: 3-Year P&amp;L, Cash Flow &amp; Financing · Catering Business Plan Kit</dc:title>
  <dc:description xmlns:dc="http://purl.org/dc/elements/1.1/">aichef.pro/en/digital-products/catering-business-plan</dc:description>
  <dc:subject xmlns:dc="http://purl.org/dc/elements/1.1/">Catering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2026-10-11T15:08:56Z</dcterms:modified>
  <cp:lastModifiedBy>AI Chef Pro</cp:lastModifiedBy>
  <cp:category>AI Chef Pro · Digital products</cp:category>
  <cp:keywords>catering business plan, catering business plan template, how to start a catering business, catering startup costs, catering pricing per person, AI Chef Pro</cp:keywords>
</cp:coreProperties>
</file>