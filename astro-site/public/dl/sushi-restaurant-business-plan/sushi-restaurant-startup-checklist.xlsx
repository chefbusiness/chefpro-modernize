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hase 1 - Business Setup" sheetId="1" state="visible" r:id="rId1"/>
    <sheet xmlns:r="http://schemas.openxmlformats.org/officeDocument/2006/relationships" name="Phase 2 - Hood &amp; Permits" sheetId="2" state="visible" r:id="rId2"/>
    <sheet xmlns:r="http://schemas.openxmlformats.org/officeDocument/2006/relationships" name="Phase 3 - Raw Fish &amp; Health" sheetId="3" state="visible" r:id="rId3"/>
    <sheet xmlns:r="http://schemas.openxmlformats.org/officeDocument/2006/relationships" name="Phase 4 - Staff &amp; Allergens" sheetId="4" state="visible" r:id="rId4"/>
    <sheet xmlns:r="http://schemas.openxmlformats.org/officeDocument/2006/relationships" name="Phase 5 - Menu, Brand, Delivery" sheetId="5" state="visible" r:id="rId5"/>
    <sheet xmlns:r="http://schemas.openxmlformats.org/officeDocument/2006/relationships" name="Phase 6 - Opening &amp; 90 Days" sheetId="6" state="visible" r:id="rId6"/>
    <sheet xmlns:r="http://schemas.openxmlformats.org/officeDocument/2006/relationships" name="Instructions" sheetId="7" state="visible" r:id="rId7"/>
  </sheets>
  <definedNames>
    <definedName name="_xlnm.Print_Titles" localSheetId="0">'Phase 1 - Business Setup'!$4:$4</definedName>
    <definedName name="_xlnm.Print_Titles" localSheetId="1">'Phase 2 - Hood &amp; Permits'!$4:$4</definedName>
    <definedName name="_xlnm.Print_Titles" localSheetId="2">'Phase 3 - Raw Fish &amp; Health'!$4:$4</definedName>
    <definedName name="_xlnm.Print_Titles" localSheetId="3">'Phase 4 - Staff &amp; Allergens'!$4:$4</definedName>
    <definedName name="_xlnm.Print_Titles" localSheetId="4">'Phase 5 - Menu, Brand, Delivery'!$4:$4</definedName>
    <definedName name="_xlnm.Print_Titles" localSheetId="5">'Phase 6 - Opening &amp; 90 Days'!$4:$4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Georgia"/>
      <b val="1"/>
      <color rgb="001A1A1A"/>
      <sz val="16"/>
    </font>
    <font>
      <name val="Georgia"/>
      <b val="1"/>
      <color rgb="001A1A1A"/>
      <sz val="13"/>
    </font>
    <font>
      <name val="Calibri"/>
      <b val="1"/>
      <color rgb="00FFFFFF"/>
      <sz val="10"/>
    </font>
    <font>
      <name val="Calibri"/>
      <color rgb="001A1A1A"/>
      <sz val="10"/>
    </font>
    <font>
      <name val="Calibri"/>
      <b val="1"/>
      <sz val="10"/>
    </font>
    <font>
      <b val="1"/>
      <color theme="1"/>
      <sz val="11"/>
    </font>
  </fonts>
  <fills count="5">
    <fill>
      <patternFill/>
    </fill>
    <fill>
      <patternFill patternType="gray125"/>
    </fill>
    <fill>
      <patternFill patternType="solid">
        <fgColor rgb="001A1A1A"/>
        <bgColor rgb="001A1A1A"/>
      </patternFill>
    </fill>
    <fill>
      <patternFill patternType="solid">
        <fgColor rgb="00F5F0E8"/>
        <bgColor rgb="00F5F0E8"/>
      </patternFill>
    </fill>
    <fill>
      <patternFill patternType="solid">
        <fgColor rgb="00E8F5E9"/>
      </patternFill>
    </fill>
  </fills>
  <borders count="2">
    <border>
      <left/>
      <right/>
      <top/>
      <bottom/>
      <diagonal/>
    </border>
    <border>
      <bottom style="thin">
        <color rgb="00F5F0E8"/>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4" fillId="0" borderId="1" applyAlignment="1" pivotButton="0" quotePrefix="0" xfId="0">
      <alignment horizontal="center" vertical="center"/>
    </xf>
    <xf numFmtId="0" fontId="4" fillId="0" borderId="1" pivotButton="0" quotePrefix="0" xfId="0"/>
    <xf numFmtId="0" fontId="4" fillId="3" borderId="1" applyAlignment="1" pivotButton="0" quotePrefix="0" xfId="0">
      <alignment horizontal="center" vertical="center"/>
    </xf>
    <xf numFmtId="0" fontId="4" fillId="3" borderId="1" pivotButton="0" quotePrefix="0" xfId="0"/>
    <xf numFmtId="0" fontId="5" fillId="0" borderId="0" pivotButton="0" quotePrefix="0" xfId="0"/>
    <xf numFmtId="0" fontId="1" fillId="0" borderId="0" applyAlignment="1" pivotButton="0" quotePrefix="0" xfId="0">
      <alignment horizontal="left" vertical="top" wrapText="1"/>
    </xf>
    <xf numFmtId="0" fontId="4" fillId="4" borderId="1" applyAlignment="1" applyProtection="1" pivotButton="0" quotePrefix="0" xfId="0">
      <alignment horizontal="center" vertical="center"/>
      <protection locked="0" hidden="0"/>
    </xf>
    <xf numFmtId="0" fontId="0" fillId="4" borderId="0" applyAlignment="1" applyProtection="1" pivotButton="0" quotePrefix="0" xfId="0">
      <alignment horizontal="general" vertical="top" wrapText="1"/>
      <protection locked="0" hidden="0"/>
    </xf>
    <xf numFmtId="0" fontId="0" fillId="0" borderId="0" applyAlignment="1" pivotButton="0" quotePrefix="0" xfId="0">
      <alignment horizontal="general" vertical="top" wrapText="1"/>
    </xf>
    <xf numFmtId="0" fontId="5" fillId="0" borderId="0" applyAlignment="1" pivotButton="0" quotePrefix="0" xfId="0">
      <alignment horizontal="general" vertical="top" wrapText="1"/>
    </xf>
    <xf numFmtId="3" fontId="0" fillId="0" borderId="0" pivotButton="0" quotePrefix="0" xfId="0"/>
    <xf numFmtId="0" fontId="6" fillId="0" borderId="0" pivotButton="0" quotePrefix="0" xfId="0"/>
    <xf numFmtId="0" fontId="0" fillId="0" borderId="0" applyAlignment="1" pivotButton="0" quotePrefix="0" xfId="0">
      <alignment horizontal="left" vertical="top"/>
    </xf>
    <xf numFmtId="3" fontId="4" fillId="0" borderId="1" pivotButton="0" quotePrefix="0" xfId="0"/>
    <xf numFmtId="0" fontId="0" fillId="0" borderId="0" applyAlignment="1" pivotButton="0" quotePrefix="0" xfId="0">
      <alignment horizontal="left" vertical="top" wrapText="1"/>
    </xf>
  </cellXfs>
  <cellStyles count="1">
    <cellStyle name="Normal" xfId="0" builtinId="0" hidden="0"/>
  </cellStyles>
  <dxfs count="2">
    <dxf>
      <fill>
        <patternFill patternType="solid">
          <fgColor rgb="00C8E6C9"/>
          <bgColor rgb="00C8E6C9"/>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18"/>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90" customHeight="1">
      <c r="A1" s="9" t="inlineStr">
        <is>
          <t>SUSHI RESTAURANT STARTUP CHECKLIST</t>
        </is>
      </c>
    </row>
    <row r="2">
      <c r="A2" s="2" t="inlineStr">
        <is>
          <t>PHASE 1: BUSINESS SETUP &amp; TAXES (weeks 1-4)</t>
        </is>
      </c>
    </row>
    <row r="4">
      <c r="A4" s="3" t="inlineStr">
        <is>
          <t>OK</t>
        </is>
      </c>
      <c r="B4" s="3" t="inlineStr">
        <is>
          <t>TASK / ACTION</t>
        </is>
      </c>
      <c r="C4" s="3" t="inlineStr">
        <is>
          <t>RESPONSIBLE</t>
        </is>
      </c>
      <c r="D4" s="3" t="inlineStr">
        <is>
          <t>TIMING</t>
        </is>
      </c>
      <c r="E4" s="3" t="inlineStr">
        <is>
          <t>NOTES</t>
        </is>
      </c>
    </row>
    <row r="5">
      <c r="A5" s="10" t="inlineStr">
        <is>
          <t>☐</t>
        </is>
      </c>
      <c r="B5" s="5" t="inlineStr">
        <is>
          <t>Zoning check before signing: restaurant use, Type I hood route, electrical service and seats</t>
        </is>
      </c>
      <c r="C5" s="5" t="inlineStr">
        <is>
          <t>Owner / Code consultant</t>
        </is>
      </c>
      <c r="D5" s="5" t="inlineStr">
        <is>
          <t>Before signing the lease</t>
        </is>
      </c>
      <c r="E5" s="5" t="inlineStr">
        <is>
          <t>Ask the city planning (zoning) office whether the zoning allows a restaurant with a fryer and a griddle, whether the space can take a Type I hood with a duct up to the roof, what electrical service it has and what occupancy load it allows. Then ask the fire marshal in writing what the hood and fire suppression requirements are. With no exhaust path to the roof there is no tempura fryer or gyoza griddle, and the menu stays cold.</t>
        </is>
      </c>
    </row>
    <row r="6">
      <c r="A6" s="10" t="inlineStr">
        <is>
          <t>☐</t>
        </is>
      </c>
      <c r="B6" s="5" t="inlineStr">
        <is>
          <t>Decide your format before signing the lease: sushi bar + tables with take-out, or omakase counter</t>
        </is>
      </c>
      <c r="C6" s="5" t="inlineStr">
        <is>
          <t>Owner</t>
        </is>
      </c>
      <c r="D6" s="5" t="inlineStr">
        <is>
          <t>Before signing the lease</t>
        </is>
      </c>
      <c r="E6" s="5" t="inlineStr">
        <is>
          <t>A sushi bar in view with tables, take-out and delivery (this plan: 40 seats in about 1,800 sq ft, or 167 sq m); take-out and delivery only in 450-650 sq ft (40-60 sq m); an omakase chef's counter of 10-12 seats by reservation; or a conveyor-belt (kaiten) or all-you-can-eat restaurant of 1,600-2,700 sq ft (150-250 sq m). Each one needs a different space, investment and margin.</t>
        </is>
      </c>
    </row>
    <row r="7">
      <c r="A7" s="10" t="inlineStr">
        <is>
          <t>☐</t>
        </is>
      </c>
      <c r="B7" s="5" t="inlineStr">
        <is>
          <t>Decide how you will meet the parasite rule: buy treated fish or freeze it yourself</t>
        </is>
      </c>
      <c r="C7" s="5" t="inlineStr">
        <is>
          <t>Owner</t>
        </is>
      </c>
      <c r="D7" s="5" t="inlineStr">
        <is>
          <t>Weeks 1-4</t>
        </is>
      </c>
      <c r="E7" s="5" t="inlineStr">
        <is>
          <t>Fish served raw must be frozen before service (FDA Food Code 3-402.11): at −4 °F (−20 °C) or below for 7 days, or at −31 °F (−35 °C) or below until solid and then held 15 hours, or until solid and then held at −4 °F for 24 hours. Tuna species are exempt, and so are feed-raised farmed fish such as salmon with a written statement from the supplier or the farmer. Your state adopts its own edition of the Code. If you freeze in-house, the freezer and its footprint go into the space plan.</t>
        </is>
      </c>
    </row>
    <row r="8">
      <c r="A8" s="10" t="inlineStr">
        <is>
          <t>☐</t>
        </is>
      </c>
      <c r="B8" s="5" t="inlineStr">
        <is>
          <t>Choose your legal structure: LLC vs S corp</t>
        </is>
      </c>
      <c r="C8" s="5" t="inlineStr">
        <is>
          <t>Accountant</t>
        </is>
      </c>
      <c r="D8" s="5" t="inlineStr">
        <is>
          <t>Week 1</t>
        </is>
      </c>
      <c r="E8" s="5" t="inlineStr">
        <is>
          <t>The financial plan assumes an effective income tax rate of 25% (21% federal plus state), as for a C corporation. An LLC taxed as a pass-through pays through your personal return instead, and early losses carry forward as net operating losses. Compare an LLC vs S corp election with your CPA, using the plan's numbers.</t>
        </is>
      </c>
    </row>
    <row r="9">
      <c r="A9" s="10" t="inlineStr">
        <is>
          <t>☐</t>
        </is>
      </c>
      <c r="B9" s="5" t="inlineStr">
        <is>
          <t>Form the LLC with your state and get the EIN</t>
        </is>
      </c>
      <c r="C9" s="5" t="inlineStr">
        <is>
          <t>Attorney / CPA</t>
        </is>
      </c>
      <c r="D9" s="5" t="inlineStr">
        <is>
          <t>Weeks 1-2</t>
        </is>
      </c>
      <c r="E9" s="5" t="inlineStr">
        <is>
          <t>Filing fees, annual reports and franchise taxes vary by state. Check your Secretary of State's website before you file.</t>
        </is>
      </c>
    </row>
    <row r="10">
      <c r="A10" s="10" t="inlineStr">
        <is>
          <t>☐</t>
        </is>
      </c>
      <c r="B10" s="5" t="inlineStr">
        <is>
          <t>Business license + sales tax permit (state and city)</t>
        </is>
      </c>
      <c r="C10" s="5" t="inlineStr">
        <is>
          <t>Accountant</t>
        </is>
      </c>
      <c r="D10" s="5" t="inlineStr">
        <is>
          <t>Week 2</t>
        </is>
      </c>
      <c r="E10" s="5" t="inlineStr">
        <is>
          <t>Register with your state revenue department for a sales tax permit and with your city or county for a business license. Some states also ask for a separate food seller license. Rules, fees and timing vary by state, so confirm them with your CPA / bookkeeper before you open, and collect sales tax from your first sale.</t>
        </is>
      </c>
    </row>
    <row r="11">
      <c r="A11" s="10" t="inlineStr">
        <is>
          <t>☐</t>
        </is>
      </c>
      <c r="B11" s="5" t="inlineStr">
        <is>
          <t>State payroll and unemployment registration (and workers' comp insurance)</t>
        </is>
      </c>
      <c r="C11" s="5" t="inlineStr">
        <is>
          <t>Accountant</t>
        </is>
      </c>
      <c r="D11" s="5" t="inlineStr">
        <is>
          <t>Week 2</t>
        </is>
      </c>
      <c r="E11" s="5" t="inlineStr">
        <is>
          <t>Premiums depend on your state, your payroll and your job classes. Get quotes from your insurance broker or the state fund.</t>
        </is>
      </c>
    </row>
    <row r="12">
      <c r="A12" s="10" t="inlineStr">
        <is>
          <t>☐</t>
        </is>
      </c>
      <c r="B12" s="5" t="inlineStr">
        <is>
          <t>Apply for the beer &amp; wine license (state + local)</t>
        </is>
      </c>
      <c r="C12" s="5" t="inlineStr">
        <is>
          <t>Owner</t>
        </is>
      </c>
      <c r="D12" s="5" t="inlineStr">
        <is>
          <t>Week 1</t>
        </is>
      </c>
      <c r="E12" s="5" t="inlineStr">
        <is>
          <t>Start in week 1: ask your state alcohol beverage control (ABC) agency and your city what they need, and file as soon as you sign the lease (Phase 2). Sake usually falls under the wine license: ask your state ABC. Approval can take months; never open counting on it, and add liquor liability to your insurance.</t>
        </is>
      </c>
    </row>
    <row r="13">
      <c r="A13" s="10" t="inlineStr">
        <is>
          <t>☐</t>
        </is>
      </c>
      <c r="B13" s="5" t="inlineStr">
        <is>
          <t>Business bank account and business card</t>
        </is>
      </c>
      <c r="C13" s="5" t="inlineStr">
        <is>
          <t>Owner</t>
        </is>
      </c>
      <c r="D13" s="5" t="inlineStr">
        <is>
          <t>Week 2</t>
        </is>
      </c>
      <c r="E13" s="5" t="inlineStr">
        <is>
          <t>Keep them separate from personal accounts: card terminal settlements, delivery marketplace payouts and supplier payments all run through them.</t>
        </is>
      </c>
    </row>
    <row r="14">
      <c r="A14" s="10" t="inlineStr">
        <is>
          <t>☐</t>
        </is>
      </c>
      <c r="B14" s="5" t="inlineStr">
        <is>
          <t>Accountant / bookkeeper and a POS that reports sales tax</t>
        </is>
      </c>
      <c r="C14" s="5" t="inlineStr">
        <is>
          <t>Owner</t>
        </is>
      </c>
      <c r="D14" s="5" t="inlineStr">
        <is>
          <t>Weeks 2-4</t>
        </is>
      </c>
      <c r="E14" s="5" t="inlineStr">
        <is>
          <t>Payroll and onboarding for your team. Pick a POS that calculates and reports sales tax by jurisdiction before you buy it, and ask your CPA how often your state wants sales tax returns.</t>
        </is>
      </c>
    </row>
    <row r="15">
      <c r="A15" s="10" t="inlineStr">
        <is>
          <t>☐</t>
        </is>
      </c>
      <c r="B15" s="5" t="inlineStr">
        <is>
          <t>Take the plan to two SBA 7(a) lenders and compare loan offers</t>
        </is>
      </c>
      <c r="C15" s="5" t="inlineStr">
        <is>
          <t>Owner</t>
        </is>
      </c>
      <c r="D15" s="5" t="inlineStr">
        <is>
          <t>Weeks 2-4</t>
        </is>
      </c>
      <c r="E15" s="5" t="inlineStr">
        <is>
          <t>Bring the complete financial plan, with the month-by-month cash flow. Ask for quotes on equipment leasing for the walk-in cooler and the kitchen line, and ask each lender about the SBA Microloan (up to $50,000) as a complement. Lenders usually expect an owner equity injection (often around 10% for SBA start-ups; many want 20-30%).</t>
        </is>
      </c>
    </row>
    <row r="16">
      <c r="A16" s="10" t="inlineStr">
        <is>
          <t>☐</t>
        </is>
      </c>
      <c r="B16" s="5" t="inlineStr">
        <is>
          <t>General, product and liquor liability + property with refrigeration breakdown (spoilage) cover</t>
        </is>
      </c>
      <c r="C16" s="5" t="inlineStr">
        <is>
          <t>Insurance broker</t>
        </is>
      </c>
      <c r="D16" s="5" t="inlineStr">
        <is>
          <t>Before construction</t>
        </is>
      </c>
      <c r="E16" s="5" t="inlineStr">
        <is>
          <t>Get quotes for general liability, product liability, liquor liability (beer, sake and wine), property and workers' comp. Tell the broker you serve raw fish and cook with a fryer, and ask about equipment breakdown and spoilage cover for the walk-in, the freezer and the sushi case.</t>
        </is>
      </c>
    </row>
    <row r="17">
      <c r="C17" s="14" t="n"/>
      <c r="E17" s="14" t="n"/>
    </row>
    <row r="18">
      <c r="B18" t="inlineStr">
        <is>
          <t>Tasks completed:</t>
        </is>
      </c>
      <c r="C18" s="14">
        <f>COUNTIF(A5:A16,"✓")</f>
        <v>0.0</v>
      </c>
      <c r="D18" t="inlineStr">
        <is>
          <t>of</t>
        </is>
      </c>
      <c r="E18" s="14">
        <f>COUNTIF(B5:B16,"?*")-COUNTIF(A5:A16,"N/A")</f>
        <v>12.0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A16">
    <cfRule type="containsText" priority="1" operator="containsText" dxfId="1" stopIfTrue="1" text="✓">
      <formula>NOT(ISERROR(SEARCH("✓",A5)))</formula>
    </cfRule>
  </conditionalFormatting>
  <dataValidations count="1">
    <dataValidation sqref="A5 A6 A7 A8 A9 A10 A11 A12 A13 A14 A15 A16" showDropDown="0" showInputMessage="0" showErrorMessage="1" allowBlank="1" errorTitle="Invalid entry" error="Use the dropdown: ✓, ☐, N/A. N/A = not applicable, it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21"/>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90" customHeight="1">
      <c r="A1" s="9" t="inlineStr">
        <is>
          <t>SUSHI RESTAURANT STARTUP CHECKLIST</t>
        </is>
      </c>
    </row>
    <row r="2">
      <c r="A2" s="2" t="inlineStr">
        <is>
          <t>PHASE 2: SITE, HOOD, REFRIGERATION &amp; PERMITS (weeks 3-14)</t>
        </is>
      </c>
    </row>
    <row r="4">
      <c r="A4" s="3" t="inlineStr">
        <is>
          <t>OK</t>
        </is>
      </c>
      <c r="B4" s="3" t="inlineStr">
        <is>
          <t>TASK / ACTION</t>
        </is>
      </c>
      <c r="C4" s="3" t="inlineStr">
        <is>
          <t>RESPONSIBLE</t>
        </is>
      </c>
      <c r="D4" s="3" t="inlineStr">
        <is>
          <t>TIMING</t>
        </is>
      </c>
      <c r="E4" s="3" t="inlineStr">
        <is>
          <t>NOTES</t>
        </is>
      </c>
    </row>
    <row r="5">
      <c r="A5" s="10" t="inlineStr">
        <is>
          <t>☐</t>
        </is>
      </c>
      <c r="B5" s="5" t="inlineStr">
        <is>
          <t>Second-generation restaurant space of about 1,800 sq ft (167 sq m) with a route for the Type I hood</t>
        </is>
      </c>
      <c r="C5" s="5" t="inlineStr">
        <is>
          <t>Owner</t>
        </is>
      </c>
      <c r="D5" s="5" t="inlineStr">
        <is>
          <t>Weeks 3-6</t>
        </is>
      </c>
      <c r="E5" s="5" t="inlineStr">
        <is>
          <t>Room for a sushi bar in view with 10 stools and a 30-seat dining room, a kitchen, a walk-in, restrooms (one ADA-accessible) and a to-go packing station by the door. A neighborhood with nightlife and weekend foot traffic.</t>
        </is>
      </c>
    </row>
    <row r="6">
      <c r="A6" s="10" t="inlineStr">
        <is>
          <t>☐</t>
        </is>
      </c>
      <c r="B6" s="5" t="inlineStr">
        <is>
          <t>Check the electrical service and the gas line for rice cookers, fryer, walk-in and sushi case</t>
        </is>
      </c>
      <c r="C6" s="5" t="inlineStr">
        <is>
          <t>Electrician / Utility</t>
        </is>
      </c>
      <c r="D6" s="5" t="inlineStr">
        <is>
          <t>Before signing</t>
        </is>
      </c>
      <c r="E6" s="5" t="inlineStr">
        <is>
          <t>Gas rice cookers, fryer, griddle, fish refrigeration, freezer, hood and HVAC all draw power or gas. A service upgrade or a new meter takes time: ask the utility for the timeline and the cost.</t>
        </is>
      </c>
    </row>
    <row r="7">
      <c r="A7" s="10" t="inlineStr">
        <is>
          <t>☐</t>
        </is>
      </c>
      <c r="B7" s="5" t="inlineStr">
        <is>
          <t>Confirm the hood and duct route to the roof with your mechanical contractor</t>
        </is>
      </c>
      <c r="C7" s="5" t="inlineStr">
        <is>
          <t>Architect / engineer</t>
        </is>
      </c>
      <c r="D7" s="5" t="inlineStr">
        <is>
          <t>Before signing</t>
        </is>
      </c>
      <c r="E7" s="5" t="inlineStr">
        <is>
          <t>A dedicated, continuous, sealed duct to the roof, through a shaft or up an exterior wall, with the landlord's written approval if it crosses shared areas or the building exterior.</t>
        </is>
      </c>
    </row>
    <row r="8">
      <c r="A8" s="10" t="inlineStr">
        <is>
          <t>☐</t>
        </is>
      </c>
      <c r="B8" s="5" t="inlineStr">
        <is>
          <t>Negotiate the lease: free-rent period during build-out and security deposit</t>
        </is>
      </c>
      <c r="C8" s="5" t="inlineStr">
        <is>
          <t>Owner</t>
        </is>
      </c>
      <c r="D8" s="5" t="inlineStr">
        <is>
          <t>Before signing</t>
        </is>
      </c>
      <c r="E8" s="5" t="inlineStr">
        <is>
          <t>The plan counts two months of rent before opening and a two-month security deposit. Ask for free rent while the sushi bar and the hood are being built.</t>
        </is>
      </c>
    </row>
    <row r="9">
      <c r="A9" s="10" t="inlineStr">
        <is>
          <t>☐</t>
        </is>
      </c>
      <c r="B9" s="5" t="inlineStr">
        <is>
          <t>Lease with restaurant use, hood rights and a beer &amp; wine license contingency</t>
        </is>
      </c>
      <c r="C9" s="5" t="inlineStr">
        <is>
          <t>Owner / Attorney</t>
        </is>
      </c>
      <c r="D9" s="5" t="inlineStr">
        <is>
          <t>Week 6</t>
        </is>
      </c>
      <c r="E9" s="5" t="inlineStr">
        <is>
          <t>It should name restaurant use and allow the sushi bar, walk-in and roof duct work. Ask your attorney for a contingency in case the beer &amp; wine license is delayed or denied.</t>
        </is>
      </c>
    </row>
    <row r="10">
      <c r="A10" s="10" t="inlineStr">
        <is>
          <t>☐</t>
        </is>
      </c>
      <c r="B10" s="5" t="inlineStr">
        <is>
          <t>Architect / MEP drawings and plan review submittal</t>
        </is>
      </c>
      <c r="C10" s="5" t="inlineStr">
        <is>
          <t>Architect / Engineer</t>
        </is>
      </c>
      <c r="D10" s="5" t="inlineStr">
        <is>
          <t>Weeks 6-8</t>
        </is>
      </c>
      <c r="E10" s="5" t="inlineStr">
        <is>
          <t>Layout of the sushi bar and the kitchen, electrical load, seats, ventilation, accessibility (ADA) and the hood duct to the roof. Ask your city for its mechanical and fire code requirements and which drawings the building department wants stamped.</t>
        </is>
      </c>
    </row>
    <row r="11">
      <c r="A11" s="10" t="inlineStr">
        <is>
          <t>☐</t>
        </is>
      </c>
      <c r="B11" s="5" t="inlineStr">
        <is>
          <t>Zoning approval and certificate of occupancy</t>
        </is>
      </c>
      <c r="C11" s="5" t="inlineStr">
        <is>
          <t>Owner / City planning office</t>
        </is>
      </c>
      <c r="D11" s="5" t="inlineStr">
        <is>
          <t>Before construction</t>
        </is>
      </c>
      <c r="E11" s="5" t="inlineStr">
        <is>
          <t>Whether the space needs a conditional use permit or a change of use depends on your city's zoning code. Ask in the zoning check which approval applies and how long it takes.</t>
        </is>
      </c>
    </row>
    <row r="12">
      <c r="A12" s="10" t="inlineStr">
        <is>
          <t>☐</t>
        </is>
      </c>
      <c r="B12" s="5" t="inlineStr">
        <is>
          <t>Building permit for the build-out and the hood</t>
        </is>
      </c>
      <c r="C12" s="5" t="inlineStr">
        <is>
          <t>Owner / City planning office</t>
        </is>
      </c>
      <c r="D12" s="5" t="inlineStr">
        <is>
          <t>Weeks 6-8, before construction starts</t>
        </is>
      </c>
      <c r="E12" s="5" t="inlineStr">
        <is>
          <t>The build-out and the hood run through their own building permit and inspections: ask the building department which drawings and sign-offs they require.</t>
        </is>
      </c>
    </row>
    <row r="13">
      <c r="A13" s="10" t="inlineStr">
        <is>
          <t>☐</t>
        </is>
      </c>
      <c r="B13" s="5" t="inlineStr">
        <is>
          <t>Type I hood, UL 300 fire suppression and makeup air (permit and fire marshal sign-off)</t>
        </is>
      </c>
      <c r="C13" s="5" t="inlineStr">
        <is>
          <t>Installer / Engineer</t>
        </is>
      </c>
      <c r="D13" s="5" t="inlineStr">
        <is>
          <t>Weeks 8-12</t>
        </is>
      </c>
      <c r="E13" s="5" t="inlineStr">
        <is>
          <t>Type I hood over the fryer, range and griddle, with a UL 300 fire suppression system and makeup air, installed under a mechanical permit and signed off by the fire marshal. Plan on cleaning it twice a year (NFPA 96, Table 11.4). A charcoal robata, if you ever add one, is a solid-fuel appliance that needs its own exhaust: ask the fire marshal first.</t>
        </is>
      </c>
    </row>
    <row r="14">
      <c r="A14" s="10" t="inlineStr">
        <is>
          <t>☐</t>
        </is>
      </c>
      <c r="B14" s="5" t="inlineStr">
        <is>
          <t>Build-out with smooth, cleanable surfaces (sushi bar, kitchen, dining room)</t>
        </is>
      </c>
      <c r="C14" s="5" t="inlineStr">
        <is>
          <t>Contractor</t>
        </is>
      </c>
      <c r="D14" s="5" t="inlineStr">
        <is>
          <t>Weeks 8-12</t>
        </is>
      </c>
      <c r="E14" s="5" t="inlineStr">
        <is>
          <t>Sushi bar with a smooth, cleanable countertop, washable walls, non-slip flooring, cleanable ceilings, hand sinks near the sushi bar and in the kitchen, ADA restrooms and soundproofing if you have neighbors</t>
        </is>
      </c>
    </row>
    <row r="15">
      <c r="A15" s="10" t="inlineStr">
        <is>
          <t>☐</t>
        </is>
      </c>
      <c r="B15" s="5" t="inlineStr">
        <is>
          <t>Walk-in and a fish prep area separate from the cutting station</t>
        </is>
      </c>
      <c r="C15" s="5" t="inlineStr">
        <is>
          <t>Contractor / Owner</t>
        </is>
      </c>
      <c r="D15" s="5" t="inlineStr">
        <is>
          <t>Weeks 8-12</t>
        </is>
      </c>
      <c r="E15" s="5" t="inlineStr">
        <is>
          <t>Whole fish is cleaned in an area with its own sink, away from the sushi bar cutting station and the hot line; the fish reach-in and the freezer sit next to the walk-in. Plan the flow: receiving, cold storage, cleaning, cutting, sushi bar.</t>
        </is>
      </c>
    </row>
    <row r="16">
      <c r="A16" s="10" t="inlineStr">
        <is>
          <t>☐</t>
        </is>
      </c>
      <c r="B16" s="5" t="inlineStr">
        <is>
          <t>Plumbing, grease interceptor, HVAC &amp; gas lines</t>
        </is>
      </c>
      <c r="C16" s="5" t="inlineStr">
        <is>
          <t>Installer</t>
        </is>
      </c>
      <c r="D16" s="5" t="inlineStr">
        <is>
          <t>Weeks 8-12</t>
        </is>
      </c>
      <c r="E16" s="5" t="inlineStr">
        <is>
          <t>Hot and cold water in the kitchen and at the sushi bar, drains with a grease interceptor (the fryer sends a lot of grease down) and HVAC for the dining room: the sushi case holds the neta (topping) worse when the room is hot</t>
        </is>
      </c>
    </row>
    <row r="17">
      <c r="A17" s="10" t="inlineStr">
        <is>
          <t>☐</t>
        </is>
      </c>
      <c r="B17" s="5" t="inlineStr">
        <is>
          <t>Hood over the fryer, range and griddle (ask whether the gas rice cookers go under it)</t>
        </is>
      </c>
      <c r="C17" s="5" t="inlineStr">
        <is>
          <t>Installer</t>
        </is>
      </c>
      <c r="D17" s="5" t="inlineStr">
        <is>
          <t>Weeks 10-12</t>
        </is>
      </c>
      <c r="E17" s="5" t="inlineStr">
        <is>
          <t>Hood with motor and grease filters covering the whole hot line, connected to the dedicated duct. Ask the installer for the airflow rate (CFM) and the filter cleaning schedule, and ask the mechanical inspector whether the gas rice cookers go under the hood.</t>
        </is>
      </c>
    </row>
    <row r="18">
      <c r="A18" s="10" t="inlineStr">
        <is>
          <t>☐</t>
        </is>
      </c>
      <c r="B18" s="5" t="inlineStr">
        <is>
          <t>To-go packing station by the door</t>
        </is>
      </c>
      <c r="C18" s="5" t="inlineStr">
        <is>
          <t>Owner</t>
        </is>
      </c>
      <c r="D18" s="5" t="inlineStr">
        <is>
          <t>Weeks 10-12</t>
        </is>
      </c>
      <c r="E18" s="5" t="inlineStr">
        <is>
          <t>A table with the boxes, soy sauce cups, chopsticks and bags, the ticket printer and the marketplace tablets, so drivers never cross the dining room or enter the kitchen</t>
        </is>
      </c>
    </row>
    <row r="19">
      <c r="A19" s="10" t="inlineStr">
        <is>
          <t>☐</t>
        </is>
      </c>
      <c r="B19" s="5" t="inlineStr">
        <is>
          <t>Final inspections and certificate of occupancy</t>
        </is>
      </c>
      <c r="C19" s="5" t="inlineStr">
        <is>
          <t>Licensed electrician / Inspector</t>
        </is>
      </c>
      <c r="D19" s="5" t="inlineStr">
        <is>
          <t>During and after construction</t>
        </is>
      </c>
      <c r="E19" s="5" t="inlineStr">
        <is>
          <t>The final electrical, fire and building inspection sign-offs, and the certificate of occupancy. Keep copies: the health department, your insurer and your lender may ask for them.</t>
        </is>
      </c>
    </row>
    <row r="21">
      <c r="B21" s="5" t="inlineStr">
        <is>
          <t>Tasks completed:</t>
        </is>
      </c>
      <c r="C21" s="17">
        <f>COUNTIF(A5:A19,"✓")</f>
        <v>0.0</v>
      </c>
      <c r="D21" s="5" t="inlineStr">
        <is>
          <t>of</t>
        </is>
      </c>
      <c r="E21" s="17">
        <f>COUNTIF(B5:B19,"?*")-COUNTIF(A5:A19,"N/A")</f>
        <v>15.0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A19">
    <cfRule type="containsText" priority="1" operator="containsText" dxfId="1" stopIfTrue="1" text="✓">
      <formula>NOT(ISERROR(SEARCH("✓",A5)))</formula>
    </cfRule>
  </conditionalFormatting>
  <dataValidations count="1">
    <dataValidation sqref="A5 A6 A7 A8 A9 A10 A11 A12 A13 A14 A15 A16 A17 A18 A19" showDropDown="0" showInputMessage="0" showErrorMessage="1" allowBlank="1" errorTitle="Invalid entry" error="Use the dropdown: ✓, ☐, N/A. N/A = not applicable, it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E20"/>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90" customHeight="1">
      <c r="A1" s="9" t="inlineStr">
        <is>
          <t>SUSHI RESTAURANT STARTUP CHECKLIST</t>
        </is>
      </c>
    </row>
    <row r="2">
      <c r="A2" s="2" t="inlineStr">
        <is>
          <t>PHASE 3: RAW FISH, SUSHI RICE &amp; HEALTH PERMIT (weeks 6-14)</t>
        </is>
      </c>
    </row>
    <row r="4">
      <c r="A4" s="3" t="inlineStr">
        <is>
          <t>OK</t>
        </is>
      </c>
      <c r="B4" s="3" t="inlineStr">
        <is>
          <t>TASK / ACTION</t>
        </is>
      </c>
      <c r="C4" s="3" t="inlineStr">
        <is>
          <t>RESPONSIBLE</t>
        </is>
      </c>
      <c r="D4" s="3" t="inlineStr">
        <is>
          <t>TIMING</t>
        </is>
      </c>
      <c r="E4" s="3" t="inlineStr">
        <is>
          <t>NOTES</t>
        </is>
      </c>
    </row>
    <row r="5">
      <c r="A5" s="10" t="inlineStr">
        <is>
          <t>☐</t>
        </is>
      </c>
      <c r="B5" s="5" t="inlineStr">
        <is>
          <t>Buy NSF-listed equipment: freezer (−4 °F or colder) with temperature logger, refrigerated sushi case and gas rice cookers</t>
        </is>
      </c>
      <c r="C5" s="5" t="inlineStr">
        <is>
          <t>Owner</t>
        </is>
      </c>
      <c r="D5" s="5" t="inlineStr">
        <is>
          <t>Weeks 6-10</t>
        </is>
      </c>
      <c r="E5" s="5" t="inlineStr">
        <is>
          <t>Ask for the freezer's data sheet: it must reach −4 °F (−20 °C) or colder in the product and log the temperature. In this kit it mainly holds fish that you bought already treated; freezing raw fish yourself for 7 days at −4 °F takes a lot of freezer space. The sushi case should hold the neta at 41 °F (5 °C) or below with a full dining room; size the rice cookers to your batches.</t>
        </is>
      </c>
    </row>
    <row r="6">
      <c r="A6" s="10" t="inlineStr">
        <is>
          <t>☐</t>
        </is>
      </c>
      <c r="B6" s="5" t="inlineStr">
        <is>
          <t>Submit your plans for health department plan review, apply for the health permit and book the pre-opening inspection</t>
        </is>
      </c>
      <c r="C6" s="5" t="inlineStr">
        <is>
          <t>Owner / Health department</t>
        </is>
      </c>
      <c r="D6" s="5" t="inlineStr">
        <is>
          <t>Before construction starts</t>
        </is>
      </c>
      <c r="E6" s="5" t="inlineStr">
        <is>
          <t>Submit the menu, equipment list, floor plan and finishes to your local health department for plan review (Food Code 8-201.11) before you build. After the final inspection you receive the health permit. Rules vary by state and county, so ask what they need.</t>
        </is>
      </c>
    </row>
    <row r="7">
      <c r="A7" s="10" t="inlineStr">
        <is>
          <t>☐</t>
        </is>
      </c>
      <c r="B7" s="5" t="inlineStr">
        <is>
          <t>Written food safety plan with raw-fish (parasite) and sushi-rice controls</t>
        </is>
      </c>
      <c r="C7" s="5" t="inlineStr">
        <is>
          <t>Consultant / Owner</t>
        </is>
      </c>
      <c r="D7" s="5" t="inlineStr">
        <is>
          <t>Before opening</t>
        </is>
      </c>
      <c r="E7" s="5" t="inlineStr">
        <is>
          <t>Fish served raw or nearly raw (nigiri, sashimi, maki, tartare, poke) must be frozen per Food Code 3-402.11: −4 °F (−20 °C) or below for 7 days, or the −31 °F (−35 °C) options. Tuna species are exempt, and so are feed-raised farmed fish such as salmon with a written supplier statement. For wild fish, farmed yellowtail (hamachi), mackerel (saba) and squid, get the supplier's letter or keep your own freezing log.</t>
        </is>
      </c>
    </row>
    <row r="8">
      <c r="A8" s="10" t="inlineStr">
        <is>
          <t>☐</t>
        </is>
      </c>
      <c r="B8" s="5" t="inlineStr">
        <is>
          <t>Freezing log by lot, kept 90 days, if you freeze in-house</t>
        </is>
      </c>
      <c r="C8" s="5" t="inlineStr">
        <is>
          <t>Head sushi chef</t>
        </is>
      </c>
      <c r="D8" s="5" t="inlineStr">
        <is>
          <t>From the first purchase</t>
        </is>
      </c>
      <c r="E8" s="5" t="inlineStr">
        <is>
          <t>Species, origin, lot, date and time in and out of the freezer, and temperature, for each lot you freeze yourself. Keep the log for 90 days after the fish is served (Food Code 3-402.12).</t>
        </is>
      </c>
    </row>
    <row r="9">
      <c r="A9" s="10" t="inlineStr">
        <is>
          <t>☐</t>
        </is>
      </c>
      <c r="B9" s="5" t="inlineStr">
        <is>
          <t>File supplier parasite letters and aquaculture statements (keep 90 days)</t>
        </is>
      </c>
      <c r="C9" s="5" t="inlineStr">
        <is>
          <t>Owner</t>
        </is>
      </c>
      <c r="D9" s="5" t="inlineStr">
        <is>
          <t>With each supplier</t>
        </is>
      </c>
      <c r="E9" s="5" t="inlineStr">
        <is>
          <t>If the fish arrives already frozen for raw service, the supplier's letter must say so. For feed-raised farmed fish, such as farmed salmon, the exemption needs a written statement from the supplier or the farmer (3-402.12); for tuna, keep the invoice or letter that names the species. File them with the lot and keep them 90 days after the fish is served: the inspector asks for them first.</t>
        </is>
      </c>
    </row>
    <row r="10">
      <c r="A10" s="10" t="inlineStr">
        <is>
          <t>☐</t>
        </is>
      </c>
      <c r="B10" s="5" t="inlineStr">
        <is>
          <t>Consumer advisory (disclosure + reminder) on the menu, website and marketplace listings</t>
        </is>
      </c>
      <c r="C10" s="5" t="inlineStr">
        <is>
          <t>Owner</t>
        </is>
      </c>
      <c r="D10" s="5" t="inlineStr">
        <is>
          <t>Before opening</t>
        </is>
      </c>
      <c r="E10" s="5" t="inlineStr">
        <is>
          <t>Mark every raw or undercooked item with an asterisk or a description (disclosure) and add the reminder: "Consuming raw or undercooked meats, poultry, seafood, shellfish, or eggs may increase your risk of foodborne illness" (Food Code 3-603.11). Put both on the menu, on your website and on every marketplace listing.</t>
        </is>
      </c>
    </row>
    <row r="11">
      <c r="A11" s="10" t="inlineStr">
        <is>
          <t>☐</t>
        </is>
      </c>
      <c r="B11" s="5" t="inlineStr">
        <is>
          <t>Fish held at 41 °F or below (32-34 °F in the reach-in); thaw under refrigeration</t>
        </is>
      </c>
      <c r="C11" s="5" t="inlineStr">
        <is>
          <t>Head sushi chef</t>
        </is>
      </c>
      <c r="D11" s="5" t="inlineStr">
        <is>
          <t>Before opening</t>
        </is>
      </c>
      <c r="E11" s="5" t="inlineStr">
        <is>
          <t>Hold fish at 41 °F (5 °C) or below, and keep the reach-in for the service fish at 32-34 °F (0-1 °C). Thaw in the walk-in, never at room temperature, and write down when it leaves the freezer. Vacuum-packed frozen fish labeled "keep frozen" (saku blocks often are) comes out of its bag before it thaws (Food Code 3-501.13).</t>
        </is>
      </c>
    </row>
    <row r="12">
      <c r="A12" s="10" t="inlineStr">
        <is>
          <t>☐</t>
        </is>
      </c>
      <c r="B12" s="5" t="inlineStr">
        <is>
          <t>Receiving log: reject tuna, yellowtail and mackerel above 40 °F</t>
        </is>
      </c>
      <c r="C12" s="5" t="inlineStr">
        <is>
          <t>Head sushi chef</t>
        </is>
      </c>
      <c r="D12" s="5" t="inlineStr">
        <is>
          <t>From the first purchase</t>
        </is>
      </c>
      <c r="E12" s="5" t="inlineStr">
        <is>
          <t>Measure and log the temperature of every delivery. Reject tuna, yellowtail (hamachi) and mackerel that arrive above 40 °F (4 °C): for these fish, the cold chain from receiving is the defense against scombrotoxin (histamine), which neither freezing nor cooking removes. For everything else, follow the limits in your food safety plan.</t>
        </is>
      </c>
    </row>
    <row r="13">
      <c r="A13" s="10" t="inlineStr">
        <is>
          <t>☐</t>
        </is>
      </c>
      <c r="B13" s="5" t="inlineStr">
        <is>
          <t>Decide TPHC or variance for sushi rice with your health department, in writing</t>
        </is>
      </c>
      <c r="C13" s="5" t="inlineStr">
        <is>
          <t>Consultant / Owner</t>
        </is>
      </c>
      <c r="D13" s="5" t="inlineStr">
        <is>
          <t>Before opening</t>
        </is>
      </c>
      <c r="E13" s="5" t="inlineStr">
        <is>
          <t>Sushi rice is a TCS food, so there are two paths. (a) TPHC (Food Code 3-501.19): hold it up to 4 hours with the time marked on every batch and a written procedure, then discard it; this is the default in this kit. (b) A variance with a HACCP plan for acidified rice (3-502.11(C)): each county sets its own pH limit, and the health department decides. The kit sets no "legal" pH: get your choice in writing before opening.</t>
        </is>
      </c>
    </row>
    <row r="14">
      <c r="A14" s="10" t="inlineStr">
        <is>
          <t>☐</t>
        </is>
      </c>
      <c r="B14" s="5" t="inlineStr">
        <is>
          <t>If variance: pH of every batch with a calibrated pH meter, logged (TPHC: time-stamp every batch, discard at 4 h)</t>
        </is>
      </c>
      <c r="C14" s="5" t="inlineStr">
        <is>
          <t>Sushi chef</t>
        </is>
      </c>
      <c r="D14" s="5" t="inlineStr">
        <is>
          <t>From the first batch</t>
        </is>
      </c>
      <c r="E14" s="5" t="inlineStr">
        <is>
          <t>TPHC: write the time on every batch of rice and discard what is left at 4 hours, with no cooling and no reheating. Variance: measure and log the pH of every batch against the limit in your approved HACCP plan (the Food Code annex uses a critical limit below 4.2 as an example; your county sets its own). Calibrate the pH meter with its buffer solutions before you start.</t>
        </is>
      </c>
    </row>
    <row r="15">
      <c r="A15" s="10" t="inlineStr">
        <is>
          <t>☐</t>
        </is>
      </c>
      <c r="B15" s="5" t="inlineStr">
        <is>
          <t>Hot kitchen: gyoza, tempura and miso held at 135 °F or above; cool and reheat per Food Code</t>
        </is>
      </c>
      <c r="C15" s="5" t="inlineStr">
        <is>
          <t>Kitchen line cook</t>
        </is>
      </c>
      <c r="D15" s="5" t="inlineStr">
        <is>
          <t>Before opening</t>
        </is>
      </c>
      <c r="E15" s="5" t="inlineStr">
        <is>
          <t>Hot holding at 135 °F (57 °C) or above. Cool what you store with a written procedure that follows the Food Code cooling steps, and reheat to 165 °F (74 °C) within 2 hours. Log the temperatures.</t>
        </is>
      </c>
    </row>
    <row r="16">
      <c r="A16" s="10" t="inlineStr">
        <is>
          <t>☐</t>
        </is>
      </c>
      <c r="B16" s="5" t="inlineStr">
        <is>
          <t>Traceability and records: lots, temperatures and suppliers</t>
        </is>
      </c>
      <c r="C16" s="5" t="inlineStr">
        <is>
          <t>Owner</t>
        </is>
      </c>
      <c r="D16" s="5" t="inlineStr">
        <is>
          <t>From the first purchase</t>
        </is>
      </c>
      <c r="E16" s="5" t="inlineStr">
        <is>
          <t>Lot and date of the fish, rice, nori and sauces, freezing logs and supplier letters, temperatures of the walk-in, the freezer and the sushi case, rice time or pH log, and the supplier of each ingredient</t>
        </is>
      </c>
    </row>
    <row r="17">
      <c r="A17" s="10" t="inlineStr">
        <is>
          <t>☐</t>
        </is>
      </c>
      <c r="B17" s="5" t="inlineStr">
        <is>
          <t>Recipe cards per piece with the major allergens (9 in the US)</t>
        </is>
      </c>
      <c r="C17" s="5" t="inlineStr">
        <is>
          <t>Head sushi chef</t>
        </is>
      </c>
      <c r="D17" s="5" t="inlineStr">
        <is>
          <t>Before opening</t>
        </is>
      </c>
      <c r="E17" s="5" t="inlineStr">
        <is>
          <t>Fish; crustacean shellfish (shrimp, crab); soy and the wheat in soy sauce (tamari only if its label says so); sesame (seeds, oil); egg (tamago, spicy mayo, tempura batter); milk (cream cheese); wheat in tempura and panko, and in imitation crab (starch, egg white: check the label). Mollusks (octopus, scallop) and mustard are not major allergens in the US, but guests ask. Read every label: they change by brand. The kit's calculator gives the cost of each piece.</t>
        </is>
      </c>
    </row>
    <row r="18">
      <c r="A18" s="10" t="inlineStr">
        <is>
          <t>☐</t>
        </is>
      </c>
      <c r="B18" s="5" t="inlineStr">
        <is>
          <t>Label prepackaged to-go platters (3-602.11)</t>
        </is>
      </c>
      <c r="C18" s="5" t="inlineStr">
        <is>
          <t>Owner</t>
        </is>
      </c>
      <c r="D18" s="5" t="inlineStr">
        <is>
          <t>Before opening</t>
        </is>
      </c>
      <c r="E18" s="5" t="inlineStr">
        <is>
          <t>Platters you pack before the customer orders, for the sushi case or for pickup, are prepackaged food: label them with the common name, ingredients with the major allergens, net quantity and your name and address (Food Code 3-602.11). Platters packed to order usually need less; ask your health department.</t>
        </is>
      </c>
    </row>
    <row r="19">
      <c r="B19" s="8" t="n"/>
      <c r="C19" s="14" t="n"/>
      <c r="E19" s="14" t="n"/>
    </row>
    <row r="20">
      <c r="B20" s="8" t="inlineStr">
        <is>
          <t>Tasks completed:</t>
        </is>
      </c>
      <c r="C20" s="14">
        <f>COUNTIF(A5:A18,"✓")</f>
        <v>0.0</v>
      </c>
      <c r="D20" t="inlineStr">
        <is>
          <t>of</t>
        </is>
      </c>
      <c r="E20" s="14">
        <f>COUNTIF(B5:B18,"?*")-COUNTIF(A5:A18,"N/A")</f>
        <v>14.0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A18">
    <cfRule type="containsText" priority="1" operator="containsText" dxfId="1" stopIfTrue="1" text="✓">
      <formula>NOT(ISERROR(SEARCH("✓",A5)))</formula>
    </cfRule>
  </conditionalFormatting>
  <dataValidations count="1">
    <dataValidation sqref="A5 A6 A7 A8 A9 A10 A11 A12 A13 A14 A15 A16 A17 A18" showDropDown="0" showInputMessage="0" showErrorMessage="1" allowBlank="1" errorTitle="Invalid entry" error="Use the dropdown: ✓, ☐, N/A. N/A = not applicable, it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E19"/>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90" customHeight="1">
      <c r="A1" s="9" t="inlineStr">
        <is>
          <t>SUSHI RESTAURANT STARTUP CHECKLIST</t>
        </is>
      </c>
    </row>
    <row r="2">
      <c r="A2" s="2" t="inlineStr">
        <is>
          <t>PHASE 4: STAFF, TRAINING, SAFETY &amp; ALLERGENS (weeks 6-14)</t>
        </is>
      </c>
    </row>
    <row r="4">
      <c r="A4" s="3" t="inlineStr">
        <is>
          <t>OK</t>
        </is>
      </c>
      <c r="B4" s="3" t="inlineStr">
        <is>
          <t>TASK / ACTION</t>
        </is>
      </c>
      <c r="C4" s="3" t="inlineStr">
        <is>
          <t>RESPONSIBLE</t>
        </is>
      </c>
      <c r="D4" s="3" t="inlineStr">
        <is>
          <t>TIMING</t>
        </is>
      </c>
      <c r="E4" s="3" t="inlineStr">
        <is>
          <t>NOTES</t>
        </is>
      </c>
    </row>
    <row r="5">
      <c r="A5" s="10" t="inlineStr">
        <is>
          <t>☐</t>
        </is>
      </c>
      <c r="B5" s="5" t="inlineStr">
        <is>
          <t>Set pay rates against the state and local minimum wage and post the labor law posters</t>
        </is>
      </c>
      <c r="C5" s="5" t="inlineStr">
        <is>
          <t>Accountant</t>
        </is>
      </c>
      <c r="D5" s="5" t="inlineStr">
        <is>
          <t>Week 10</t>
        </is>
      </c>
      <c r="E5" s="5" t="inlineStr">
        <is>
          <t>Use the higher of the federal minimum wage ($7.25 an hour) and your state or local minimum for your lowest pay rate, and enter it in the "0. Assumptions" sheet. Servers are W-2 employees; their tips go on top of their pay and to the team, never to the owner or managers.</t>
        </is>
      </c>
    </row>
    <row r="6">
      <c r="A6" s="10" t="inlineStr">
        <is>
          <t>☐</t>
        </is>
      </c>
      <c r="B6" s="5" t="inlineStr">
        <is>
          <t>Hire the head sushi chef (itamae) and the sushi chef BEFORE the build-out</t>
        </is>
      </c>
      <c r="C6" s="5" t="inlineStr">
        <is>
          <t>Owner</t>
        </is>
      </c>
      <c r="D6" s="5" t="inlineStr">
        <is>
          <t>Weeks 6-8</t>
        </is>
      </c>
      <c r="E6" s="5" t="inlineStr">
        <is>
          <t>In this plan the owner is the GM, and the head sushi chef, who buys, cleans and cuts the fish, is a hire: the hardest one (the example plan pays about $30 per hour, a Kit estimate). Let both weigh in on the sushi bar and the refrigeration before you close the build-out: an absence of the only person who cuts closes the sushi bar.</t>
        </is>
      </c>
    </row>
    <row r="7">
      <c r="A7" s="10" t="inlineStr">
        <is>
          <t>☐</t>
        </is>
      </c>
      <c r="B7" s="5" t="inlineStr">
        <is>
          <t>Offer letters for full-time and part-time staff</t>
        </is>
      </c>
      <c r="C7" s="5" t="inlineStr">
        <is>
          <t>Accountant</t>
        </is>
      </c>
      <c r="D7" s="5" t="inlineStr">
        <is>
          <t>Before opening</t>
        </is>
      </c>
      <c r="E7" s="5" t="inlineStr">
        <is>
          <t>With schedule, pay rate and role. Collect a W-4 and an I-9 (with identity documents) from every hire, the I-9 within 3 business days of the start date. Classify people correctly: a 1099 contractor who works your schedule at your address is a misclassification risk.</t>
        </is>
      </c>
    </row>
    <row r="8">
      <c r="A8" s="10" t="inlineStr">
        <is>
          <t>☐</t>
        </is>
      </c>
      <c r="B8" s="5" t="inlineStr">
        <is>
          <t>Time clock and overtime records</t>
        </is>
      </c>
      <c r="C8" s="5" t="inlineStr">
        <is>
          <t>Owner</t>
        </is>
      </c>
      <c r="D8" s="5" t="inlineStr">
        <is>
          <t>From the first hire</t>
        </is>
      </c>
      <c r="E8" s="5" t="inlineStr">
        <is>
          <t>Keep hours for every employee, part-time included (FLSA recordkeeping). A time clock in the POS makes it simple; agree with your CPA how to store the records.</t>
        </is>
      </c>
    </row>
    <row r="9">
      <c r="A9" s="10" t="inlineStr">
        <is>
          <t>☐</t>
        </is>
      </c>
      <c r="B9" s="5" t="inlineStr">
        <is>
          <t>Schedule for both services and for Friday and Saturday nights</t>
        </is>
      </c>
      <c r="C9" s="5" t="inlineStr">
        <is>
          <t>Owner</t>
        </is>
      </c>
      <c r="D9" s="5" t="inlineStr">
        <is>
          <t>Week 12</t>
        </is>
      </c>
      <c r="E9" s="5" t="inlineStr">
        <is>
          <t>Lunch and dinner Tuesday to Sunday, closed Mondays. On Friday and Saturday nights you need about six people: two at the sushi bar, one on the hot line, two in the dining room and one packing orders.</t>
        </is>
      </c>
    </row>
    <row r="10">
      <c r="A10" s="10" t="inlineStr">
        <is>
          <t>☐</t>
        </is>
      </c>
      <c r="B10" s="5" t="inlineStr">
        <is>
          <t>Own delivery drivers: W-2 employees only</t>
        </is>
      </c>
      <c r="C10" s="5" t="inlineStr">
        <is>
          <t>Accountant</t>
        </is>
      </c>
      <c r="D10" s="5" t="inlineStr">
        <is>
          <t>If you deliver yourself</t>
        </is>
      </c>
      <c r="E10" s="5" t="inlineStr">
        <is>
          <t>Your own drivers are employees on payroll (W-2), and because they drive their own cars on your behalf you also need hired and non-owned auto insurance (check your state). Do not treat them as independent contractors. Drivers for DoorDash, Uber Eats and Grubhub work for the marketplace, not for you.</t>
        </is>
      </c>
    </row>
    <row r="11">
      <c r="A11" s="10" t="inlineStr">
        <is>
          <t>☐</t>
        </is>
      </c>
      <c r="B11" s="5" t="inlineStr">
        <is>
          <t>CFPM + food handler cards, with raw-fish handling</t>
        </is>
      </c>
      <c r="C11" s="5" t="inlineStr">
        <is>
          <t>Owner</t>
        </is>
      </c>
      <c r="D11" s="5" t="inlineStr">
        <is>
          <t>Before opening</t>
        </is>
      </c>
      <c r="E11" s="5" t="inlineStr">
        <is>
          <t>Have a Certified Food Protection Manager where your state requires one (Food Code 2-102.12), and food handler cards where your state or county asks for them. Add documented in-house training: hygiene, parasite freezing and supplier letters, sushi case temperatures, rice time or pH controls, major allergens and cross-contact.</t>
        </is>
      </c>
    </row>
    <row r="12">
      <c r="A12" s="10" t="inlineStr">
        <is>
          <t>☐</t>
        </is>
      </c>
      <c r="B12" s="5" t="inlineStr">
        <is>
          <t>Sushi bar training: cutting, ounces of neta and sushi rice per piece</t>
        </is>
      </c>
      <c r="C12" s="5" t="inlineStr">
        <is>
          <t>Head sushi chef</t>
        </is>
      </c>
      <c r="D12" s="5" t="inlineStr">
        <is>
          <t>Before opening</t>
        </is>
      </c>
      <c r="E12" s="5" t="inlineStr">
        <is>
          <t>Everyone at the sushi bar cuts and forms to the same weights: weigh 10 slices and 10 balls of sushi rice from each person and correct them. Neta and sushi rice that run heavy are the food cost that never shows up in the recipe costing.</t>
        </is>
      </c>
    </row>
    <row r="13">
      <c r="A13" s="10" t="inlineStr">
        <is>
          <t>☐</t>
        </is>
      </c>
      <c r="B13" s="5" t="inlineStr">
        <is>
          <t>OSHA basics: safety plan and training</t>
        </is>
      </c>
      <c r="C13" s="5" t="inlineStr">
        <is>
          <t>Insurance carrier / Consultant</t>
        </is>
      </c>
      <c r="D13" s="5" t="inlineStr">
        <is>
          <t>Before opening</t>
        </is>
      </c>
      <c r="E13" s="5" t="inlineStr">
        <is>
          <t>Part of your duty to provide a safe workplace (OSHA): cuts from the sushi bar knives, burns from the fryer and griddle, slips on wet floors, cold exposure in the freezer and heavy lifting</t>
        </is>
      </c>
    </row>
    <row r="14">
      <c r="A14" s="10" t="inlineStr">
        <is>
          <t>☐</t>
        </is>
      </c>
      <c r="B14" s="5" t="inlineStr">
        <is>
          <t>Employee health policy and first aid</t>
        </is>
      </c>
      <c r="C14" s="5" t="inlineStr">
        <is>
          <t>Insurance carrier / Consultant</t>
        </is>
      </c>
      <c r="D14" s="5" t="inlineStr">
        <is>
          <t>At hire</t>
        </is>
      </c>
      <c r="E14" s="5" t="inlineStr">
        <is>
          <t>Have every new hire sign an employee health agreement (report illness symptoms; Food Code 2-201) and stock a first aid kit.</t>
        </is>
      </c>
    </row>
    <row r="15">
      <c r="A15" s="10" t="inlineStr">
        <is>
          <t>☐</t>
        </is>
      </c>
      <c r="B15" s="5" t="inlineStr">
        <is>
          <t>Allergen information on the menu or by staff script, with a written record</t>
        </is>
      </c>
      <c r="C15" s="5" t="inlineStr">
        <is>
          <t>Owner</t>
        </is>
      </c>
      <c r="D15" s="5" t="inlineStr">
        <is>
          <t>Before opening</t>
        </is>
      </c>
      <c r="E15" s="5" t="inlineStr">
        <is>
          <t>In writing on the menu or, if staff give it verbally, backed by a written record kept on site and a sign telling guests to ask. Keep one allergen matrix up to date for the whole menu.</t>
        </is>
      </c>
    </row>
    <row r="16">
      <c r="A16" s="10" t="inlineStr">
        <is>
          <t>☐</t>
        </is>
      </c>
      <c r="B16" s="5" t="inlineStr">
        <is>
          <t>Allergen matrix (9 major in the US) with fish, shellfish, sesame and the wheat in soy sauce</t>
        </is>
      </c>
      <c r="C16" s="5" t="inlineStr">
        <is>
          <t>Head sushi chef</t>
        </is>
      </c>
      <c r="D16" s="5" t="inlineStr">
        <is>
          <t>Before opening</t>
        </is>
      </c>
      <c r="E16" s="5" t="inlineStr">
        <is>
          <t>One row per piece and one column per allergen, with what is forgotten most: fish, shellfish, the sesame on inside-out rolls, the wheat in soy sauce and in imitation crab, and the egg in spicy mayo. Update it every time a supplier or a recipe changes.</t>
        </is>
      </c>
    </row>
    <row r="17">
      <c r="A17" s="10" t="inlineStr">
        <is>
          <t>☐</t>
        </is>
      </c>
      <c r="B17" s="5" t="inlineStr">
        <is>
          <t>Never promise "gluten-free" (21 CFR 101.91)</t>
        </is>
      </c>
      <c r="C17" s="5" t="inlineStr">
        <is>
          <t>Owner</t>
        </is>
      </c>
      <c r="D17" s="5" t="inlineStr">
        <is>
          <t>Before printing the menu</t>
        </is>
      </c>
      <c r="E17" s="5" t="inlineStr">
        <is>
          <t>A "gluten-free" claim has to meet 21 CFR 101.91 (under 20 ppm of gluten in the finished food). Soy sauce, tempura batter and panko contain wheat, and the fryer is shared. Disclose the wheat allergen and the cross-contact risk, and offer tamari only if its label says it is wheat-free, without promising anything.</t>
        </is>
      </c>
    </row>
    <row r="18">
      <c r="C18" s="14" t="n"/>
      <c r="E18" s="14" t="n"/>
    </row>
    <row r="19">
      <c r="B19" t="inlineStr">
        <is>
          <t>Tasks completed:</t>
        </is>
      </c>
      <c r="C19" s="14">
        <f>COUNTIF(A5:A17,"✓")</f>
        <v>0.0</v>
      </c>
      <c r="D19" t="inlineStr">
        <is>
          <t>of</t>
        </is>
      </c>
      <c r="E19" s="14">
        <f>COUNTIF(B5:B17,"?*")-COUNTIF(A5:A17,"N/A")</f>
        <v>13.0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A17">
    <cfRule type="containsText" priority="1" operator="containsText" dxfId="1" stopIfTrue="1" text="✓">
      <formula>NOT(ISERROR(SEARCH("✓",A5)))</formula>
    </cfRule>
  </conditionalFormatting>
  <dataValidations count="1">
    <dataValidation sqref="A5 A6 A7 A8 A9 A10 A11 A12 A13 A14 A15 A16 A17" showDropDown="0" showInputMessage="0" showErrorMessage="1" allowBlank="1" errorTitle="Invalid entry" error="Use the dropdown: ✓, ☐, N/A. N/A = not applicable, it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E20"/>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90" customHeight="1">
      <c r="A1" s="9" t="inlineStr">
        <is>
          <t>SUSHI RESTAURANT STARTUP CHECKLIST</t>
        </is>
      </c>
    </row>
    <row r="2">
      <c r="A2" s="2" t="inlineStr">
        <is>
          <t>PHASE 5: MENU, BRAND, DELIVERY &amp; SUPPLIERS (weeks 8-16)</t>
        </is>
      </c>
    </row>
    <row r="4">
      <c r="A4" s="3" t="inlineStr">
        <is>
          <t>OK</t>
        </is>
      </c>
      <c r="B4" s="3" t="inlineStr">
        <is>
          <t>TASK / ACTION</t>
        </is>
      </c>
      <c r="C4" s="3" t="inlineStr">
        <is>
          <t>RESPONSIBLE</t>
        </is>
      </c>
      <c r="D4" s="3" t="inlineStr">
        <is>
          <t>TIMING</t>
        </is>
      </c>
      <c r="E4" s="3" t="inlineStr">
        <is>
          <t>NOTES</t>
        </is>
      </c>
    </row>
    <row r="5">
      <c r="A5" s="10" t="inlineStr">
        <is>
          <t>☐</t>
        </is>
      </c>
      <c r="B5" s="5" t="inlineStr">
        <is>
          <t>Short menu (about 35 items) and lunch specials</t>
        </is>
      </c>
      <c r="C5" s="5" t="inlineStr">
        <is>
          <t>Head sushi chef</t>
        </is>
      </c>
      <c r="D5" s="5" t="inlineStr">
        <is>
          <t>Week 8</t>
        </is>
      </c>
      <c r="E5" s="5" t="inlineStr">
        <is>
          <t>Nigiri, sashimi, maki, hand rolls, classic and specialty rolls, platters of 12, 24 and 36 pieces, poke bowls, gyoza, edamame, miso soup and mochi, plus the midday lunch specials (bento or roll combos). A 60-item menu fills the sushi case with neta that gets thrown out.</t>
        </is>
      </c>
    </row>
    <row r="6">
      <c r="A6" s="10" t="inlineStr">
        <is>
          <t>☐</t>
        </is>
      </c>
      <c r="B6" s="5" t="inlineStr">
        <is>
          <t>Cost per piece and per platter by channel (calculator)</t>
        </is>
      </c>
      <c r="C6" s="5" t="inlineStr">
        <is>
          <t>Head sushi chef</t>
        </is>
      </c>
      <c r="D6" s="5" t="inlineStr">
        <is>
          <t>Weeks 10-14</t>
        </is>
      </c>
      <c r="E6" s="5" t="inlineStr">
        <is>
          <t>Use the Sushi Fish, Rice &amp; Costing Calculator in the kit: the cost of each piece and the margin in the dining room, for take-out and on the marketplaces. Even with the higher marketplace price, a platter leaves about a fifth to a quarter less margin there than in the dining room.</t>
        </is>
      </c>
    </row>
    <row r="7">
      <c r="A7" s="10" t="inlineStr">
        <is>
          <t>☐</t>
        </is>
      </c>
      <c r="B7" s="5" t="inlineStr">
        <is>
          <t>Sales tax on the menu: one rate; check your state's to-go rules</t>
        </is>
      </c>
      <c r="C7" s="5" t="inlineStr">
        <is>
          <t>CPA / Owner</t>
        </is>
      </c>
      <c r="D7" s="5" t="inlineStr">
        <is>
          <t>Before opening</t>
        </is>
      </c>
      <c r="E7" s="5" t="inlineStr">
        <is>
          <t>The example uses a single sales tax rate. Some states tax to-go food differently from dine-in, and alcohol can carry its own rate: ask your CPA / bookkeeper, then set the POS and each marketplace up the same way.</t>
        </is>
      </c>
    </row>
    <row r="8">
      <c r="A8" s="10" t="inlineStr">
        <is>
          <t>☐</t>
        </is>
      </c>
      <c r="B8" s="5" t="inlineStr">
        <is>
          <t>To-go packaging that meets your local ordinances (some cities ban polystyrene)</t>
        </is>
      </c>
      <c r="C8" s="5" t="inlineStr">
        <is>
          <t>Owner</t>
        </is>
      </c>
      <c r="D8" s="5" t="inlineStr">
        <is>
          <t>Before opening</t>
        </is>
      </c>
      <c r="E8" s="5" t="inlineStr">
        <is>
          <t>Some cities and states restrict polystyrene foam, plastic straws and utensils unless the customer asks for them, so check your local ordinances before you order boxes. Ask your supplier which of your sushi trays, soy cups and bags comply.</t>
        </is>
      </c>
    </row>
    <row r="9">
      <c r="A9" s="10" t="inlineStr">
        <is>
          <t>☐</t>
        </is>
      </c>
      <c r="B9" s="5" t="inlineStr">
        <is>
          <t>Two fish suppliers with their parasite letters</t>
        </is>
      </c>
      <c r="C9" s="5" t="inlineStr">
        <is>
          <t>Owner</t>
        </is>
      </c>
      <c r="D9" s="5" t="inlineStr">
        <is>
          <t>Weeks 8-12</t>
        </is>
      </c>
      <c r="E9" s="5" t="inlineStr">
        <is>
          <t>One for salmon and another for tuna and the rest, or two for everything: with a single supplier, one bad week leaves you without a menu. Ask each one for the freezing or aquaculture letter, the delivery temperature and the price in writing: the plan estimates them.</t>
        </is>
      </c>
    </row>
    <row r="10">
      <c r="A10" s="10" t="inlineStr">
        <is>
          <t>☐</t>
        </is>
      </c>
      <c r="B10" s="5" t="inlineStr">
        <is>
          <t>Sushi rice, nori and sauces supplier with data sheets</t>
        </is>
      </c>
      <c r="C10" s="5" t="inlineStr">
        <is>
          <t>Owner</t>
        </is>
      </c>
      <c r="D10" s="5" t="inlineStr">
        <is>
          <t>Weeks 8-12</t>
        </is>
      </c>
      <c r="E10" s="5" t="inlineStr">
        <is>
          <t>Short or medium-grain sushi rice (price it by the 50 lb (23 kg) bag from a wholesaler), nori, rice vinegar, soy sauce and wasabi, each with its data sheet and its allergens</t>
        </is>
      </c>
    </row>
    <row r="11">
      <c r="A11" s="10" t="inlineStr">
        <is>
          <t>☐</t>
        </is>
      </c>
      <c r="B11" s="5" t="inlineStr">
        <is>
          <t>Fish seasonality and price alerts from your suppliers</t>
        </is>
      </c>
      <c r="C11" s="5" t="inlineStr">
        <is>
          <t>Head sushi chef</t>
        </is>
      </c>
      <c r="D11" s="5" t="inlineStr">
        <is>
          <t>Week 12</t>
        </is>
      </c>
      <c r="E11" s="5" t="inlineStr">
        <is>
          <t>Seasons change the price and the menu of the month. Ask each supplier for a seasonal outlook and price alerts, and re-cost the affected pieces in the calculator.</t>
        </is>
      </c>
    </row>
    <row r="12">
      <c r="A12" s="10" t="inlineStr">
        <is>
          <t>☐</t>
        </is>
      </c>
      <c r="B12" s="5" t="inlineStr">
        <is>
          <t>Marketplace contracts with a share cap</t>
        </is>
      </c>
      <c r="C12" s="5" t="inlineStr">
        <is>
          <t>Owner</t>
        </is>
      </c>
      <c r="D12" s="5" t="inlineStr">
        <is>
          <t>Before opening</t>
        </is>
      </c>
      <c r="E12" s="5" t="inlineStr">
        <is>
          <t>Read the commission (tiers vary by plan and zone on DoorDash, Uber Eats and Grubhub), how often they pay out, who pays for promotions and what the tablet costs. Set a ceiling on the share of your sales you will let marketplaces take, and write it down.</t>
        </is>
      </c>
    </row>
    <row r="13">
      <c r="A13" s="10" t="inlineStr">
        <is>
          <t>☐</t>
        </is>
      </c>
      <c r="B13" s="5" t="inlineStr">
        <is>
          <t>Prices for the marketplace and for pickup at the restaurant</t>
        </is>
      </c>
      <c r="C13" s="5" t="inlineStr">
        <is>
          <t>Owner</t>
        </is>
      </c>
      <c r="D13" s="5" t="inlineStr">
        <is>
          <t>Before opening</t>
        </is>
      </c>
      <c r="E13" s="5" t="inlineStr">
        <is>
          <t>Calculate the margin of each platter on the marketplace with its commission, the menu markup and the packaging; pickup at the restaurant pays no commission: push it. Tempura and gyoza travel badly: leave them off the delivery menu or use vented containers.</t>
        </is>
      </c>
    </row>
    <row r="14">
      <c r="A14" s="10" t="inlineStr">
        <is>
          <t>☐</t>
        </is>
      </c>
      <c r="B14" s="5" t="inlineStr">
        <is>
          <t>Allergens before ordering and cold chain for to-go (consumer advisory in the listing)</t>
        </is>
      </c>
      <c r="C14" s="5" t="inlineStr">
        <is>
          <t>Owner</t>
        </is>
      </c>
      <c r="D14" s="5" t="inlineStr">
        <is>
          <t>Before the first order</t>
        </is>
      </c>
      <c r="E14" s="5" t="inlineStr">
        <is>
          <t>Show the major allergens and the consumer advisory in the online menu before the customer orders, on your site and on every marketplace listing. Pack raw fish in insulated bags with ice packs so it stays at 41 °F (5 °C) or below, including on marketplace deliveries.</t>
        </is>
      </c>
    </row>
    <row r="15">
      <c r="A15" s="10" t="inlineStr">
        <is>
          <t>☐</t>
        </is>
      </c>
      <c r="B15" s="5" t="inlineStr">
        <is>
          <t>Trademark search (USPTO), brand, photos and website with menu and allergens</t>
        </is>
      </c>
      <c r="C15" s="5" t="inlineStr">
        <is>
          <t>Owner / Designer</t>
        </is>
      </c>
      <c r="D15" s="5" t="inlineStr">
        <is>
          <t>Weeks 2-14</t>
        </is>
      </c>
      <c r="E15" s="5" t="inlineStr">
        <is>
          <t>Search the USPTO database first to check the name is not taken in your class (restaurant services). Real photos of the sushi bar and the pieces; a website with the menu, the allergens, the hours, pickup ordering and the privacy policy of each channel.</t>
        </is>
      </c>
    </row>
    <row r="16">
      <c r="A16" s="10" t="inlineStr">
        <is>
          <t>☐</t>
        </is>
      </c>
      <c r="B16" s="5" t="inlineStr">
        <is>
          <t>Google Business Profile, Yelp, Instagram and peak dates</t>
        </is>
      </c>
      <c r="C16" s="5" t="inlineStr">
        <is>
          <t>Owner</t>
        </is>
      </c>
      <c r="D16" s="5" t="inlineStr">
        <is>
          <t>Before opening</t>
        </is>
      </c>
      <c r="E16" s="5" t="inlineStr">
        <is>
          <t>Lunch and dinner hours, photos of the sushi bar and a reply to every review. On the calendar: Valentine's Day, Mother's Day and the New Year's Eve party platters, with pre-orders.</t>
        </is>
      </c>
    </row>
    <row r="17">
      <c r="A17" s="10" t="inlineStr">
        <is>
          <t>☐</t>
        </is>
      </c>
      <c r="B17" s="5" t="inlineStr">
        <is>
          <t>Background music: ASCAP, BMI and SESAC licenses</t>
        </is>
      </c>
      <c r="C17" s="5" t="inlineStr">
        <is>
          <t>Owner</t>
        </is>
      </c>
      <c r="D17" s="5" t="inlineStr">
        <is>
          <t>Before opening</t>
        </is>
      </c>
      <c r="E17" s="5" t="inlineStr">
        <is>
          <t>These are separate music licenses from performing-rights organizations, different from any city permit. Get all of them if you play music, or use a streaming service licensed for business.</t>
        </is>
      </c>
    </row>
    <row r="18">
      <c r="A18" s="11" t="n"/>
      <c r="B18" s="13" t="n"/>
      <c r="C18" s="12" t="n"/>
      <c r="D18" s="12" t="n"/>
      <c r="E18" s="12" t="n"/>
    </row>
    <row r="19">
      <c r="B19" t="inlineStr">
        <is>
          <t>Tasks completed:</t>
        </is>
      </c>
      <c r="C19" s="14">
        <f>COUNTIF(A5:A17,"✓")</f>
        <v>0.0</v>
      </c>
      <c r="D19" t="inlineStr">
        <is>
          <t>of</t>
        </is>
      </c>
      <c r="E19" s="14">
        <f>COUNTIF(B5:B17,"?*")-COUNTIF(A5:A17,"N/A")</f>
        <v>13.0</v>
      </c>
    </row>
    <row r="20">
      <c r="C20" s="14" t="n"/>
      <c r="E20" s="14" t="n"/>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A17">
    <cfRule type="containsText" priority="1" operator="containsText" dxfId="1" stopIfTrue="1" text="✓">
      <formula>NOT(ISERROR(SEARCH("✓",A5)))</formula>
    </cfRule>
  </conditionalFormatting>
  <dataValidations count="1">
    <dataValidation sqref="A5 A6 A7 A8 A9 A10 A11 A12 A13 A14 A15 A16 A17" showDropDown="0" showInputMessage="0" showErrorMessage="1" allowBlank="1" errorTitle="Invalid entry" error="Use the dropdown: ✓, ☐, N/A. N/A = not applicable, it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E19"/>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90" customHeight="1">
      <c r="A1" s="9" t="inlineStr">
        <is>
          <t>SUSHI RESTAURANT STARTUP CHECKLIST</t>
        </is>
      </c>
    </row>
    <row r="2">
      <c r="A2" s="2" t="inlineStr">
        <is>
          <t>PHASE 6: OPENING &amp; FIRST 90 DAYS</t>
        </is>
      </c>
    </row>
    <row r="4">
      <c r="A4" s="3" t="inlineStr">
        <is>
          <t>OK</t>
        </is>
      </c>
      <c r="B4" s="3" t="inlineStr">
        <is>
          <t>TASK / ACTION</t>
        </is>
      </c>
      <c r="C4" s="3" t="inlineStr">
        <is>
          <t>RESPONSIBLE</t>
        </is>
      </c>
      <c r="D4" s="3" t="inlineStr">
        <is>
          <t>TIMING</t>
        </is>
      </c>
      <c r="E4" s="3" t="inlineStr">
        <is>
          <t>NOTES</t>
        </is>
      </c>
    </row>
    <row r="5">
      <c r="A5" s="10" t="inlineStr">
        <is>
          <t>☐</t>
        </is>
      </c>
      <c r="B5" s="5" t="inlineStr">
        <is>
          <t>Open in January, Month 1 of the plan</t>
        </is>
      </c>
      <c r="C5" s="5" t="inlineStr">
        <is>
          <t>Owner</t>
        </is>
      </c>
      <c r="D5" s="5" t="inlineStr">
        <is>
          <t>Month 1</t>
        </is>
      </c>
      <c r="E5" s="5" t="inlineStr">
        <is>
          <t>The plan starts in January, the slowest month, and the ramp-up runs from January to April; February, May and December are the peaks. That is why working capital matters. If you open in another month, rotate the seasonality row of the "12-Month Cash Flow" tab.</t>
        </is>
      </c>
    </row>
    <row r="6">
      <c r="A6" s="10" t="inlineStr">
        <is>
          <t>☐</t>
        </is>
      </c>
      <c r="B6" s="5" t="inlineStr">
        <is>
          <t>Pest control</t>
        </is>
      </c>
      <c r="C6" s="5" t="inlineStr">
        <is>
          <t>Licensed pest control operator</t>
        </is>
      </c>
      <c r="D6" s="5" t="inlineStr">
        <is>
          <t>Before opening</t>
        </is>
      </c>
      <c r="E6" s="5" t="inlineStr">
        <is>
          <t>Contract with a licensed pest control operator: it is part of the prerequisites of your written food safety plan.</t>
        </is>
      </c>
    </row>
    <row r="7">
      <c r="A7" s="10" t="inlineStr">
        <is>
          <t>☐</t>
        </is>
      </c>
      <c r="B7" s="5" t="inlineStr">
        <is>
          <t>Cleaning plan for the sushi bar, the sushi case and the kitchen</t>
        </is>
      </c>
      <c r="C7" s="5" t="inlineStr">
        <is>
          <t>Owner</t>
        </is>
      </c>
      <c r="D7" s="5" t="inlineStr">
        <is>
          <t>Before opening</t>
        </is>
      </c>
      <c r="E7" s="5" t="inlineStr">
        <is>
          <t>Sushi case, color-coded cutting boards, knives, rice cookers and hangiri, fryer, griddle, hood filters and walk-in, each with its log</t>
        </is>
      </c>
    </row>
    <row r="8">
      <c r="A8" s="10" t="inlineStr">
        <is>
          <t>☐</t>
        </is>
      </c>
      <c r="B8" s="5" t="inlineStr">
        <is>
          <t>Trial services with the full menu</t>
        </is>
      </c>
      <c r="C8" s="5" t="inlineStr">
        <is>
          <t>Head sushi chef</t>
        </is>
      </c>
      <c r="D8" s="5" t="inlineStr">
        <is>
          <t>Week before opening</t>
        </is>
      </c>
      <c r="E8" s="5" t="inlineStr">
        <is>
          <t>Several practice services to fine-tune the ounces of neta and sushi rice, the sushi bar timing and the packing of orders before you open</t>
        </is>
      </c>
    </row>
    <row r="9">
      <c r="A9" s="10" t="inlineStr">
        <is>
          <t>☐</t>
        </is>
      </c>
      <c r="B9" s="5" t="inlineStr">
        <is>
          <t>Check temperatures and records on day one</t>
        </is>
      </c>
      <c r="C9" s="5" t="inlineStr">
        <is>
          <t>Owner</t>
        </is>
      </c>
      <c r="D9" s="5" t="inlineStr">
        <is>
          <t>Day 1</t>
        </is>
      </c>
      <c r="E9" s="5" t="inlineStr">
        <is>
          <t>Walk-in, freezer, sushi case, rice time or pH log, hot holding for the gyoza and the cleaning sheet; fix any deviation before you serve</t>
        </is>
      </c>
    </row>
    <row r="10">
      <c r="A10" s="10" t="inlineStr">
        <is>
          <t>☐</t>
        </is>
      </c>
      <c r="B10" s="5" t="inlineStr">
        <is>
          <t>Health inspection: written food safety plan and records at hand</t>
        </is>
      </c>
      <c r="C10" s="5" t="inlineStr">
        <is>
          <t>Owner</t>
        </is>
      </c>
      <c r="D10" s="5" t="inlineStr">
        <is>
          <t>From day 1</t>
        </is>
      </c>
      <c r="E10" s="5" t="inlineStr">
        <is>
          <t>Freezing logs and supplier letters, rice time or pH logs, allergen sheets, traceability, temperatures, cleaning, training and pest control</t>
        </is>
      </c>
    </row>
    <row r="11">
      <c r="A11" s="10" t="inlineStr">
        <is>
          <t>☐</t>
        </is>
      </c>
      <c r="B11" s="5" t="inlineStr">
        <is>
          <t>Refrigeration, freezer and semiannual hood cleaning</t>
        </is>
      </c>
      <c r="C11" s="5" t="inlineStr">
        <is>
          <t>Owner / Maintenance contractor</t>
        </is>
      </c>
      <c r="D11" s="5" t="inlineStr">
        <is>
          <t>From month 1</t>
        </is>
      </c>
      <c r="E11" s="5" t="inlineStr">
        <is>
          <t>A refrigeration technician checks that the freezer still reaches −4 °F (−20 °C) in the product; the hood and duct are cleaned at least twice a year (NFPA 96), and the grease interceptor is pumped on schedule.</t>
        </is>
      </c>
    </row>
    <row r="12">
      <c r="A12" s="10" t="inlineStr">
        <is>
          <t>☐</t>
        </is>
      </c>
      <c r="B12" s="5" t="inlineStr">
        <is>
          <t>Calibrate the pH meter (variance only)</t>
        </is>
      </c>
      <c r="C12" s="5" t="inlineStr">
        <is>
          <t>Sushi chef</t>
        </is>
      </c>
      <c r="D12" s="5" t="inlineStr">
        <is>
          <t>Per the manufacturer</t>
        </is>
      </c>
      <c r="E12" s="5" t="inlineStr">
        <is>
          <t>With its calibration solutions, and logged: an uncalibrated pH meter passes sushi rice that is not safe. You only need it on the variance route.</t>
        </is>
      </c>
    </row>
    <row r="13">
      <c r="A13" s="10" t="inlineStr">
        <is>
          <t>☐</t>
        </is>
      </c>
      <c r="B13" s="5" t="inlineStr">
        <is>
          <t>Measure salmon yield and real ounces per piece, and recalculate (calculator)</t>
        </is>
      </c>
      <c r="C13" s="5" t="inlineStr">
        <is>
          <t>Head sushi chef</t>
        </is>
      </c>
      <c r="D13" s="5" t="inlineStr">
        <is>
          <t>Weeks 1-12</t>
        </is>
      </c>
      <c r="E13" s="5" t="inlineStr">
        <is>
          <t>Clean and weigh 3 whole salmon, weigh 10 slices and 10 balls of sushi rice, and enter the averages in the calculator; then compare your actual food cost (food purchases ÷ food sales for the month) with the plan's.</t>
        </is>
      </c>
    </row>
    <row r="14">
      <c r="A14" s="10" t="inlineStr">
        <is>
          <t>☐</t>
        </is>
      </c>
      <c r="B14" s="5" t="inlineStr">
        <is>
          <t>Schedule and stock for peak dates and holiday platters</t>
        </is>
      </c>
      <c r="C14" s="5" t="inlineStr">
        <is>
          <t>Owner</t>
        </is>
      </c>
      <c r="D14" s="5" t="inlineStr">
        <is>
          <t>January, April and October</t>
        </is>
      </c>
      <c r="E14" s="5" t="inlineStr">
        <is>
          <t>December is the peak of the year, with holiday parties and New Year's Eve platters; February rises with Valentine's Day and May with Mother's Day and graduations; January is the valley. Prepare the schedule, the fish and the pre-orders early.</t>
        </is>
      </c>
    </row>
    <row r="15">
      <c r="A15" s="10" t="inlineStr">
        <is>
          <t>☐</t>
        </is>
      </c>
      <c r="B15" s="5" t="inlineStr">
        <is>
          <t>Review the delivery marketplace statement each month</t>
        </is>
      </c>
      <c r="C15" s="5" t="inlineStr">
        <is>
          <t>Owner</t>
        </is>
      </c>
      <c r="D15" s="5" t="inlineStr">
        <is>
          <t>Monthly</t>
        </is>
      </c>
      <c r="E15" s="5" t="inlineStr">
        <is>
          <t>Sales, commission, promotions and packaging: if the marketplace share of your sales passes the ceiling you set, or its margin no longer covers the commission, trim the menu there or raise prices. Own drivers only as W-2 employees and only when the volume pays for them.</t>
        </is>
      </c>
    </row>
    <row r="16">
      <c r="A16" s="10" t="inlineStr">
        <is>
          <t>☐</t>
        </is>
      </c>
      <c r="B16" s="5" t="inlineStr">
        <is>
          <t>Compare actual sales and costs with the plan each month</t>
        </is>
      </c>
      <c r="C16" s="5" t="inlineStr">
        <is>
          <t>Owner</t>
        </is>
      </c>
      <c r="D16" s="5" t="inlineStr">
        <is>
          <t>Monthly</t>
        </is>
      </c>
      <c r="E16" s="5" t="inlineStr">
        <is>
          <t>Covers per day, average check, food and labor against the Excel P&amp;L; re-cost the menu whenever the price of salmon or tuna changes.</t>
        </is>
      </c>
    </row>
    <row r="17">
      <c r="A17" s="10" t="inlineStr">
        <is>
          <t>☐</t>
        </is>
      </c>
      <c r="B17" s="5" t="inlineStr">
        <is>
          <t>Track cash flow month by month and the minimum balance</t>
        </is>
      </c>
      <c r="C17" s="5" t="inlineStr">
        <is>
          <t>Owner</t>
        </is>
      </c>
      <c r="D17" s="5" t="inlineStr">
        <is>
          <t>Monthly</t>
        </is>
      </c>
      <c r="E17" s="5" t="inlineStr">
        <is>
          <t>January opens the ramp and is the slowest month: look at each month's balance before a big payment</t>
        </is>
      </c>
    </row>
    <row r="19">
      <c r="B19" s="5" t="inlineStr">
        <is>
          <t>Tasks completed:</t>
        </is>
      </c>
      <c r="C19" s="17">
        <f>COUNTIF(A5:A17,"✓")</f>
        <v>0.0</v>
      </c>
      <c r="D19" s="5" t="inlineStr">
        <is>
          <t>of</t>
        </is>
      </c>
      <c r="E19" s="17">
        <f>COUNTIF(B5:B17,"?*")-COUNTIF(A5:A17,"N/A")</f>
        <v>13.0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A17">
    <cfRule type="containsText" priority="1" operator="containsText" dxfId="1" stopIfTrue="1" text="✓">
      <formula>NOT(ISERROR(SEARCH("✓",A5)))</formula>
    </cfRule>
  </conditionalFormatting>
  <dataValidations count="1">
    <dataValidation sqref="A5 A6 A7 A8 A9 A10 A11 A12 A13 A14 A15 A16 A17" showDropDown="0" showInputMessage="0" showErrorMessage="1" allowBlank="1" errorTitle="Invalid entry" error="Use the dropdown: ✓, ☐, N/A. N/A = not applicable, it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A12"/>
  <sheetViews>
    <sheetView workbookViewId="0">
      <selection activeCell="A1" sqref="A1"/>
    </sheetView>
  </sheetViews>
  <sheetFormatPr baseColWidth="8" defaultRowHeight="15"/>
  <cols>
    <col width="110" customWidth="1" min="1" max="1"/>
  </cols>
  <sheetData>
    <row r="1">
      <c r="A1" s="15" t="inlineStr">
        <is>
          <t>INSTRUCTIONS FOR USE</t>
        </is>
      </c>
    </row>
    <row r="3" ht="15" customHeight="1">
      <c r="A3" s="12" t="inlineStr">
        <is>
          <t>This file is part of the Sushi Restaurant Business Plan Kit by AI Chef Pro.</t>
        </is>
      </c>
    </row>
    <row r="4" ht="15" customHeight="1">
      <c r="A4" s="12" t="inlineStr">
        <is>
          <t>The GREEN cells are the editable ones: change those and the rest of the workbook recalculates on its own.</t>
        </is>
      </c>
    </row>
    <row r="5" ht="15" customHeight="1">
      <c r="A5" s="12" t="inlineStr">
        <is>
          <t>OK column: choose ✓ (done), ☐ (pending) or N/A (not applicable). N/A items do not count toward the total.</t>
        </is>
      </c>
    </row>
    <row r="6" ht="15" customHeight="1">
      <c r="A6" s="12" t="inlineStr">
        <is>
          <t>Each tab's counter counts only the ✓; N/A items come out of the total.</t>
        </is>
      </c>
    </row>
    <row r="8">
      <c r="A8" s="16" t="inlineStr">
        <is>
          <t>To edit a cell that is not green: Review → Unprotect Sheet (there is no password).</t>
        </is>
      </c>
    </row>
    <row r="9">
      <c r="A9" s="16" t="inlineStr">
        <is>
          <t>More templates and kits in the catalog at aichef.pro/en/digital-products</t>
        </is>
      </c>
    </row>
    <row r="10">
      <c r="A10" s="16" t="inlineStr">
        <is>
          <t>Designed by John Guerrero — chef and restaurant consultant since 2010, in the kitchen since age 17 · johnguerrero.es</t>
        </is>
      </c>
    </row>
    <row r="11">
      <c r="A11" s="16" t="inlineStr">
        <is>
          <t>Version 2.2 · October 2026 · aichef.pro/en/digital-products/sushi-restaurant-business-plan · info@aichef.pro</t>
        </is>
      </c>
    </row>
    <row r="12" ht="30" customHeight="1">
      <c r="A12" s="18" t="inlineStr">
        <is>
          <t>Planning tool, not financial, tax or legal advice. Requirements vary by state, county and city — check with your accountant and local authorities. This checklist is a starting point, not an exhaustive list.</t>
        </is>
      </c>
    </row>
  </sheetData>
  <sheetProtection selectLockedCells="0" selectUnlockedCells="0" sheet="1" objects="0" insertRows="1" insertHyperlinks="1" autoFilter="1" scenarios="0" formatColumns="0" deleteColumns="1" insertColumns="1" pivotTables="1" deleteRows="1" formatCells="1" formatRows="0" sort="0"/>
  <pageMargins left="0.59" right="0.59" top="0.59" bottom="0.59" header="0.3" footer="0.3"/>
  <pageSetup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Sushi Restaurant Startup Checklist (80 Tasks) · Sushi Restaurant Business Plan Kit</dc:title>
  <dc:description xmlns:dc="http://purl.org/dc/elements/1.1/">aichef.pro/en/digital-products/sushi-restaurant-business-plan</dc:description>
  <dc:subject xmlns:dc="http://purl.org/dc/elements/1.1/">Sushi Restaurant Business Plan Kit · v2.2</dc:subject>
  <dcterms:created xmlns:dcterms="http://purl.org/dc/terms/" xmlns:xsi="http://www.w3.org/2001/XMLSchema-instance" xsi:type="dcterms:W3CDTF">2026-03-26T14:15:52Z</dcterms:created>
  <dcterms:modified xmlns:dcterms="http://purl.org/dc/terms/" xmlns:xsi="http://www.w3.org/2001/XMLSchema-instance" xsi:type="dcterms:W3CDTF">2026-10-31T03:29:45Z</dcterms:modified>
  <cp:lastModifiedBy>AI Chef Pro</cp:lastModifiedBy>
  <cp:category>AI Chef Pro · Digital products</cp:category>
  <cp:keywords>sushi restaurant business plan, sushi bar business plan, how to open a sushi restaurant, sushi restaurant startup costs, sushi cost per roll, AI Chef Pro</cp:keywords>
</cp:coreProperties>
</file>