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xf numFmtId="4" fontId="9" fillId="4" borderId="3" applyProtection="1" pivotButton="0" quotePrefix="0" xfId="0">
      <protection locked="0" hidden="0"/>
    </xf>
    <xf numFmtId="0" fontId="9" fillId="0" borderId="3"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Covers per day (year-1 average)</t>
        </is>
      </c>
      <c r="B4" s="18" t="n">
        <v>115</v>
      </c>
      <c r="C4" t="inlineStr">
        <is>
          <t>Equivalent covers per day, year-1 average: about 70 dine-in (sushi bar and tables), about 25 from take-out and pickup (15.6 orders) and about 20 from delivery marketplaces (12.5 orders), counting each order as 1.6 covers. A Friday or Saturday night runs well above the average and a Tuesday well below it (Kit estimate). Compare it with the foot traffic on your street on a Friday night and a Tuesday at lunch</t>
        </is>
      </c>
    </row>
    <row r="5">
      <c r="A5" t="inlineStr">
        <is>
          <t>Average check (excl. sales tax)</t>
        </is>
      </c>
      <c r="B5" s="25" t="n">
        <v>32.5</v>
      </c>
      <c r="C5" t="inlineStr">
        <is>
          <t>Per cover, EXCL. sales tax and tip: a dine-in guest spends about $36.00 (food $28.50 plus beverage $7.50); a take-out order averages $41.00 and a marketplace order $46.00 (the menu is about 15% higher there and the order a bit bigger). At 1.6 covers per order, that is $25.60 and $28.75 per cover, and the weighted average of the three channels is $32.48; the example rounds it to $32.50 (Kit estimate). The "Menu price incl. sales tax (calculated)" row below shows the price with your local rate applied</t>
        </is>
      </c>
    </row>
    <row r="6">
      <c r="A6" t="inlineStr">
        <is>
          <t>Operating days per year</t>
        </is>
      </c>
      <c r="B6" s="18" t="n">
        <v>310</v>
      </c>
      <c r="C6" t="inlineStr">
        <is>
          <t>365 days minus 52 Mondays (closed) and three holidays: Thanksgiving, Christmas Day and New Year's Day. It is the SAME figure for the P&amp;L, the break-even, the scenarios and the staffing hours</t>
        </is>
      </c>
    </row>
    <row r="7">
      <c r="A7" t="inlineStr">
        <is>
          <t>Volume growth in year 2</t>
        </is>
      </c>
      <c r="B7" s="64" t="n">
        <v>0.06</v>
      </c>
      <c r="C7" t="inlineStr">
        <is>
          <t>Repeat neighborhood regulars and more pickup in year 2. It applies to covers at the same average check; staffing does NOT rise with this percentage: it comes from the "Staffing" tab</t>
        </is>
      </c>
    </row>
    <row r="8">
      <c r="A8" t="inlineStr">
        <is>
          <t>Volume growth in year 3</t>
        </is>
      </c>
      <c r="B8" s="64" t="n">
        <v>0.04</v>
      </c>
      <c r="C8" t="inlineStr">
        <is>
          <t>On year 2. Conservative: the ceiling is set by the sushi bar (10 seats), the 40 seats on Friday and Saturday nights and what the head sushi chef (itamae) and the sushi team can cut</t>
        </is>
      </c>
    </row>
    <row r="9">
      <c r="A9" t="inlineStr">
        <is>
          <t>Menu price incl. sales tax (calculated)</t>
        </is>
      </c>
      <c r="B9" s="24">
        <f>IFERROR(IF($B$5="","",$B$5*(1+SUMPRODUCT('3-Year P&amp;L'!$E$10:$E$11,'3-Year P&amp;L'!$G$10:$G$11))),"")</f>
        <v>35.1</v>
      </c>
      <c r="C9" t="str">
        <f>IFERROR("Average check excl. sales tax plus the weighted sales tax of your sales lines ("&amp;TEXT(SUMPRODUCT('3-Year P&amp;L'!$E$10:$E$11,'3-Year P&amp;L'!$G$10:$G$11)*100,"0")&amp;"%), rounded. In the US, menu prices usually exclude sales tax and it is added at the register; the beverage share in column H of the beverage line of the P&amp;L only moves this average if your state taxes alcohol at another rate. "&amp;"In the UK, menu prices include VAT.","")</f>
        <v>Average check excl. sales tax plus the weighted sales tax of your sales lines (8%), rounded. In the US, menu prices usually exclude sales tax and it is added at the register; the beverage share in column H of the beverage line of the P&amp;L only moves this average if your state taxes alcohol at another rate. In the UK, menu prices include VAT.</v>
      </c>
    </row>
    <row r="10">
      <c r="A10" s="16" t="inlineStr">
        <is>
          <t>SALES MIX AND COST OF GOODS SOLD</t>
        </is>
      </c>
    </row>
    <row r="11">
      <c r="A11" t="inlineStr">
        <is>
          <t>FOOD share of total sales</t>
        </is>
      </c>
      <c r="B11" s="64" t="n">
        <v>0.85</v>
      </c>
      <c r="C11" t="inlineStr">
        <is>
          <t>Share of FOOD in total sales. It is an INPUT: change it here and the P&amp;L, the cash flow and the sales tax collected recalculate on their own</t>
        </is>
      </c>
    </row>
    <row r="12">
      <c r="A12" t="inlineStr">
        <is>
          <t>BEVERAGE share of total sales</t>
        </is>
      </c>
      <c r="B12" s="66">
        <f>IFERROR(IF(COUNT(B11)=0,"",1-B11),"")</f>
        <v>0.15000000000000002</v>
      </c>
      <c r="C12" t="inlineStr">
        <is>
          <t>Calculated as the remainder: food + beverage = 100%</t>
        </is>
      </c>
    </row>
    <row r="13">
      <c r="A13" t="inlineStr">
        <is>
          <t>Cost of goods sold on FOOD sales</t>
        </is>
      </c>
      <c r="B13" s="64" t="n">
        <v>0.32</v>
      </c>
      <c r="C13" t="inlineStr">
        <is>
          <t>Cost of goods sold on food sales: about 32%, on the prudent side. Consulting blogs put sushi food cost at 30-40%. The theoretical cost per piece in the Sushi Fish, Rice &amp; Costing Calculator comes out lower (the salmon nigiri and the California roll are cheap, the spicy tuna is not), but the real number is what you buy against what you sell: it also carries fish that goes unsold in the sushi case, trim that is not reused, rice and nori thrown out at close, staff meals, comps and ordering mistakes, and fish prices are Kit estimates. Measure your usage in the first quarter and change this cell</t>
        </is>
      </c>
    </row>
    <row r="14">
      <c r="A14" t="inlineStr">
        <is>
          <t>Cost of goods sold on BEVERAGE sales</t>
        </is>
      </c>
      <c r="B14" s="64" t="n">
        <v>0.24</v>
      </c>
      <c r="C14" t="inlineStr">
        <is>
          <t>Beverage cost of about 24% of menu price (Kit estimate): beer, sake and wine are about 70% of beverage sales, and the rest is soft drinks, water and tea. Ask your distributor for the price of sake and beer in writing: sake often depends on an importer</t>
        </is>
      </c>
    </row>
    <row r="15">
      <c r="A15" t="inlineStr">
        <is>
          <t>Disposables and packaging as % of sales</t>
        </is>
      </c>
      <c r="B15" s="64" t="n">
        <v>0.03</v>
      </c>
      <c r="C15" t="inlineStr">
        <is>
          <t>Sushi trays, soy cups, chopsticks, bags, napkins and wipes for every order that leaves the restaurant, plus containers for leftovers. Local packaging ordinances vary (some cities charge for or ban single-use items): check yours before ordering</t>
        </is>
      </c>
    </row>
    <row r="16">
      <c r="A16" t="inlineStr">
        <is>
          <t>Delivery share of total sales</t>
        </is>
      </c>
      <c r="B16" s="64" t="n">
        <v>0.15</v>
      </c>
      <c r="C16" t="inlineStr">
        <is>
          <t>Sales through delivery marketplaces (DoorDash, Uber Eats, Grubhub) with their commission, as a share of total sales. Pickup orders placed directly with you (phone or website) pay no commission and do not go here: push them. Rolls and platters travel well; tempura and gyoza arrive worse, so do not go higher without testing</t>
        </is>
      </c>
    </row>
    <row r="17">
      <c r="A17" t="inlineStr">
        <is>
          <t>Delivery platform fee</t>
        </is>
      </c>
      <c r="B17" s="64" t="n">
        <v>0.25</v>
      </c>
      <c r="C17" t="inlineStr">
        <is>
          <t>The example uses 25%, a Plus plan on DoorDash or Uber Eats (the Basic plan is about 15% with little visibility, Premier is 30%, and app pickup orders add 6-10%). Check your contract. If you deliver yourself, enter 0 and add the driver to the "Staffing" tab as a W-2 employee, with hired and non-owned auto insurance (check your state)</t>
        </is>
      </c>
    </row>
    <row r="18">
      <c r="A18" t="inlineStr">
        <is>
          <t>Card processing fee</t>
        </is>
      </c>
      <c r="B18" s="64" t="n">
        <v>0.03</v>
      </c>
      <c r="C18" t="inlineStr">
        <is>
          <t>Card and mobile wallet (contactless) processing fees on total sales. Ask your POS provider for its rate</t>
        </is>
      </c>
    </row>
    <row r="19">
      <c r="A19" s="16" t="inlineStr">
        <is>
          <t>LABOR</t>
        </is>
      </c>
    </row>
    <row r="20">
      <c r="A20" t="inlineStr">
        <is>
          <t>Employer payroll taxes</t>
        </is>
      </c>
      <c r="B20" s="64"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4500</v>
      </c>
      <c r="C24" t="inlineStr">
        <is>
          <t>About 1,800 sq ft (167 sq m) of second-generation restaurant space with a Type I hood route to the roof possible: a sushi bar counter in view with 10 seats, a 30-seat dining room, a small hot kitchen, a walk-in cooler and a to-go packing station by the door, in a neighborhood with nightlife in a mid-size city (150,000 to 500,000 people), no key money: about $30 per sq ft a year (Kit estimate, editable). The weight of rent on sales is calculated by the workbook itself in the rent row of the "3-Year P&amp;L"</t>
        </is>
      </c>
    </row>
    <row r="25">
      <c r="A25" t="inlineStr">
        <is>
          <t>Security deposit (months of rent)</t>
        </is>
      </c>
      <c r="B25" s="18" t="n">
        <v>2</v>
      </c>
      <c r="C25" t="inlineStr">
        <is>
          <t>Security deposit, in months of rent. The example uses two; commercial leases commonly ask for one to three, and some landlords also want a personal guarantee: check it with your attorney</t>
        </is>
      </c>
    </row>
    <row r="26">
      <c r="A26" t="inlineStr">
        <is>
          <t>Monthly utilities (electricity, water, gas)</t>
        </is>
      </c>
      <c r="B26" s="18" t="n">
        <v>1700</v>
      </c>
      <c r="C26" t="inlineStr">
        <is>
          <t>Gas (rice cookers, fryer, range and griddle), electricity (walk-in, reach-ins, freezer and sushi case, hood and HVAC) and water. The example uses $1,700 per month (Kit estimate). Ask the landlord for the space's utility history</t>
        </is>
      </c>
    </row>
    <row r="27">
      <c r="A27" t="inlineStr">
        <is>
          <t>Insurance (per year)</t>
        </is>
      </c>
      <c r="B27" s="18" t="n">
        <v>8000</v>
      </c>
      <c r="C27" t="inlineStr">
        <is>
          <t>General liability, product liability (you serve raw fish), liquor liability (beer, sake &amp; wine), property with refrigeration breakdown (spoilage) cover and workers' comp: about $8,000 a year in the example (Kit estimate). Tell your insurance broker you serve raw fish and run a fryer: it changes the premium and the terms</t>
        </is>
      </c>
    </row>
    <row r="28">
      <c r="A28" t="inlineStr">
        <is>
          <t>Miscellaneous and contingency as % of sales</t>
        </is>
      </c>
      <c r="B28" s="64" t="n">
        <v>0.01</v>
      </c>
      <c r="C28" t="inlineStr">
        <is>
          <t>Cushion for unbudgeted running costs (small repairs, broken smallwares, menu tests)</t>
        </is>
      </c>
    </row>
    <row r="29">
      <c r="A29" s="16" t="inlineStr">
        <is>
          <t>FINANCING</t>
        </is>
      </c>
    </row>
    <row r="30">
      <c r="A30" t="inlineStr">
        <is>
          <t>Owner's equity contributed</t>
        </is>
      </c>
      <c r="B30" s="18" t="n">
        <v>130000</v>
      </c>
      <c r="C30" t="inlineStr">
        <is>
          <t>Owner's cash. Lenders usually expect an owner equity injection (often around 10% for SBA start-ups; many want 20-30%) toward the cash need</t>
        </is>
      </c>
    </row>
    <row r="31">
      <c r="A31" t="inlineStr">
        <is>
          <t>Loan requested</t>
        </is>
      </c>
      <c r="B31" s="18" t="n">
        <v>256000</v>
      </c>
      <c r="C31" t="inlineStr">
        <is>
          <t>Principal requested. The "Financing" tab compares what you put in with the cash need on "Startup Costs" and tells you whether you have a surplus or a shortfall: adjust the loan with that figure. The example is an SBA 7(a) loan, which you apply for through your lender (SBA Microloans go up to $50,000)</t>
        </is>
      </c>
    </row>
    <row r="32">
      <c r="A32" t="inlineStr">
        <is>
          <t>Nominal annual interest rate (not APR)</t>
        </is>
      </c>
      <c r="B32" s="64" t="n">
        <v>0.1</v>
      </c>
      <c r="C32" t="inlineStr">
        <is>
          <t>Nominal annual rate, not APR. The example uses 10%. Ask two lenders for a quote before you set it; the refrigeration and the kitchen equipment can also be financed through equipment financing or a lease: compare</t>
        </is>
      </c>
    </row>
    <row r="33">
      <c r="A33" t="inlineStr">
        <is>
          <t>Loan term (years)</t>
        </is>
      </c>
      <c r="B33" s="18" t="n">
        <v>10</v>
      </c>
      <c r="C33" t="inlineStr">
        <is>
          <t>Total years, interest-only period included</t>
        </is>
      </c>
    </row>
    <row r="34">
      <c r="A34" t="inlineStr">
        <is>
          <t>Interest-only period (years)</t>
        </is>
      </c>
      <c r="B34" s="18" t="n">
        <v>0</v>
      </c>
      <c r="C34" t="inlineStr">
        <is>
          <t>Interest-only period in years. The example uses 0: principal is repaid from the start. If your lender gives you an interest-only period while you build out, enter it here and check the cash cushion of that year on the "Break-Even" tab</t>
        </is>
      </c>
    </row>
    <row r="35">
      <c r="A35" t="inlineStr">
        <is>
          <t>Working capital (months of fixed costs)</t>
        </is>
      </c>
      <c r="B35" s="18" t="n">
        <v>3</v>
      </c>
      <c r="C35" t="inlineStr">
        <is>
          <t>Three months of fixed costs: the cushion for the opening ramp-up, which with Month 1 in January runs from January to April, when the calendar is also at its slowest</t>
        </is>
      </c>
    </row>
    <row r="36">
      <c r="A36" s="16" t="inlineStr">
        <is>
          <t>TAXES</t>
        </is>
      </c>
    </row>
    <row r="37">
      <c r="A37" t="inlineStr">
        <is>
          <t>Effective income tax rate (years 1-2)</t>
        </is>
      </c>
      <c r="B37" s="64"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4"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4" t="n">
        <v>0.08</v>
      </c>
      <c r="C39" t="inlineStr">
        <is>
          <t>Example rate: state + local sales tax combined. It varies widely by state and city: look up yours. UK: 20% VAT on hot food and dine-in</t>
        </is>
      </c>
    </row>
    <row r="40">
      <c r="A40" t="inlineStr">
        <is>
          <t>Sales tax rate on alcohol to go</t>
        </is>
      </c>
      <c r="B40" s="64" t="n">
        <v>0.08</v>
      </c>
      <c r="C40" t="inlineStr">
        <is>
          <t>Rate on alcohol served to go or by delivery. The example uses ONE sales tax rate (8%) for everything, so this cell equals the rate on sales; some states tax food to go or alcohol differently, so check yours. There is no credit for the tax you pay on purchases (see the recoverable input tax cell below)</t>
        </is>
      </c>
    </row>
    <row r="41">
      <c r="A41" t="inlineStr">
        <is>
          <t>Recoverable input tax on purchases and capex</t>
        </is>
      </c>
      <c r="B41" s="64"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and installations: sushi bar counter, electrical, plumbing, HVAC, Type I hood and exhaust, signage and facade. Ten years straight-line in the example: confirm the tax treatment with your CPA</t>
        </is>
      </c>
    </row>
    <row r="45">
      <c r="A45" t="inlineStr">
        <is>
          <t>Useful life of machinery, furniture and equipment (years)</t>
        </is>
      </c>
      <c r="B45" s="18" t="n">
        <v>7</v>
      </c>
      <c r="C45" t="inlineStr">
        <is>
          <t>Sushi case, rice cookers, freezer, hot-line equipment, walk-in and reach-ins, dish machine, smallwares, furniture and POS: seven years straight-line in the example. Confirm the tax life with your CPA</t>
        </is>
      </c>
    </row>
    <row r="47">
      <c r="A47" s="16" t="inlineStr">
        <is>
          <t>GROWTH AND COST INFLATION</t>
        </is>
      </c>
    </row>
    <row r="48">
      <c r="A48" t="inlineStr">
        <is>
          <t>Annual increase in fixed costs</t>
        </is>
      </c>
      <c r="B48" s="64" t="n">
        <v>0</v>
      </c>
      <c r="C48" t="inlineStr">
        <is>
          <t>SET TO ZERO: all three columns are in year-1 prices (real terms). Raise it if you want to project in nominal terms</t>
        </is>
      </c>
    </row>
    <row r="49">
      <c r="A49" s="16" t="inlineStr">
        <is>
          <t>RAMP-UP AND CAPACITY</t>
        </is>
      </c>
    </row>
    <row r="50">
      <c r="A50" t="inlineStr">
        <is>
          <t>Implied seat turns per day (calculated)</t>
        </is>
      </c>
      <c r="B50" s="24">
        <f>IFERROR($B$4/$B$51,"")</f>
        <v>2.875</v>
      </c>
      <c r="C50" t="str">
        <f>IFERROR("That is "&amp;TEXT(INT(ROUND(B50,1)),"0")&amp;"."&amp;TEXT(ROUND(MOD(ROUND(B50,1),1)*10,0),"0")&amp;" seat turns per day on the "&amp;TEXT($B$51,"0")&amp;" seats in the cell below. "&amp;"It includes the take-out and delivery covers (1 order = 1.6 covers), which do not take a seat: the real turns of your dining room are lower (in the example, about six in ten covers eat in). Compare it with the ceiling on seat turns typed in ""Break-Even"".","")</f>
        <v>That is 2.9 seat turns per day on the 40 seats in the cell below. It includes the take-out and delivery covers (1 order = 1.6 covers), which do not take a seat: the real turns of your dining room are lower (in the example, about six in ten covers eat in). Compare it with the ceiling on seat turns typed in "Break-Even".</v>
      </c>
    </row>
    <row r="51">
      <c r="A51" t="inlineStr">
        <is>
          <t>Seating capacity (seats, sushi bar included)</t>
        </is>
      </c>
      <c r="B51" s="18" t="n">
        <v>40</v>
      </c>
      <c r="C51" t="inlineStr">
        <is>
          <t>Indoor seats: 10 at the sushi bar in front of the sushi case and 30 at tables. Someone who picks up an order or gets it delivered does not take a seat: that is why the seat turns in the row above come out higher than what your dining room really does</t>
        </is>
      </c>
    </row>
    <row r="52">
      <c r="A52" t="inlineStr">
        <is>
          <t>Month-1 activity as a % of steady-state activity</t>
        </is>
      </c>
      <c r="B52" s="64" t="n">
        <v>0.75</v>
      </c>
      <c r="C52" t="inlineStr">
        <is>
          <t>A new sushi restaurant draws curious first-timers in its first month, but regulars and your ratings on the delivery apps take a quarter to build: Month 1 (January) brings in 75% of what it will bring in at month four. With 100% the ramp-up is removed</t>
        </is>
      </c>
    </row>
    <row r="53">
      <c r="A53" t="inlineStr">
        <is>
          <t>Months to reach steady state</t>
        </is>
      </c>
      <c r="B53" s="18" t="n">
        <v>4</v>
      </c>
      <c r="C53" t="inlineStr">
        <is>
          <t>Four months to reach cruising speed: January to April</t>
        </is>
      </c>
    </row>
    <row r="54">
      <c r="A54" t="inlineStr">
        <is>
          <t>Months of rent BEFORE opening (build-out and permits)</t>
        </is>
      </c>
      <c r="B54" s="18" t="n">
        <v>2</v>
      </c>
      <c r="C54" t="inlineStr">
        <is>
          <t>Two months of rent before opening: the sushi bar build-out, the hood and the permits. If the lender funds the loan when construction starts, add the interest of those months, which this workbook does not count, and remember that any interest-only period starts at signing</t>
        </is>
      </c>
    </row>
    <row r="55">
      <c r="A55" t="inlineStr">
        <is>
          <t>Contingency on the BUILD-OUT lines of the space block (%)</t>
        </is>
      </c>
      <c r="B55" s="64" t="n">
        <v>0.1</v>
      </c>
      <c r="C55" t="inlineStr">
        <is>
          <t>Cushion on the build-out and installations of the space, which is where surprises show up (the hood route, the electrical service for the kitchen, the grease interceptor). A lender will not finance a renovation without one</t>
        </is>
      </c>
    </row>
    <row r="57">
      <c r="A57" s="16" t="inlineStr">
        <is>
          <t>RECEIPTS, PAYMENTS AND SALES TAX BREAKDOWN</t>
        </is>
      </c>
    </row>
    <row r="58">
      <c r="A58" t="inlineStr">
        <is>
          <t>Average collection days</t>
        </is>
      </c>
      <c r="B58" s="18" t="n">
        <v>2</v>
      </c>
      <c r="C58" t="inlineStr">
        <is>
          <t>Weighted average: dine-in and pickup are paid on the spot, while delivery marketplaces settle weekly what they sell (15% of sales). With weekly payouts that is about 2 days</t>
        </is>
      </c>
    </row>
    <row r="59">
      <c r="A59" t="inlineStr">
        <is>
          <t>Average days to pay suppliers</t>
        </is>
      </c>
      <c r="B59" s="18" t="n">
        <v>14</v>
      </c>
      <c r="C59" t="inlineStr">
        <is>
          <t>Payment terms with the fish, rice, nori and beverage suppliers: what they finance for you. Negotiate it in writing: if your fish supplier asks for weekly payment or COD, lower this figure</t>
        </is>
      </c>
    </row>
    <row r="60">
      <c r="A60" t="inlineStr">
        <is>
          <t>Month of extra pay period 1 (only if pay periods &gt; 12)</t>
        </is>
      </c>
      <c r="B60" s="18" t="n">
        <v>7</v>
      </c>
      <c r="C60" t="inlineStr">
        <is>
          <t>Month of the 12-Month Cash Flow in which a summer extra payment falls. It only matters if you enter more than 12 pay periods; with 12 there are no extra payments. If you use it, July is Month 7, because Month 1 of the plan is January</t>
        </is>
      </c>
    </row>
    <row r="61">
      <c r="A61" t="inlineStr">
        <is>
          <t>Month of extra pay period 2 (only if pay periods &gt; 12)</t>
        </is>
      </c>
      <c r="B61" s="18" t="n">
        <v>12</v>
      </c>
      <c r="C61" t="inlineStr">
        <is>
          <t>Month of the 12-Month Cash Flow in which a holiday extra payment falls. It only matters if you enter more than 12 pay periods; with 12 there are no extra payments. If you use it, December is Month 12, because Month 1 of the plan is January</t>
        </is>
      </c>
    </row>
    <row r="62">
      <c r="A62" t="inlineStr">
        <is>
          <t>Alcohol share of beverage purchases (reference only: no input credit in the US)</t>
        </is>
      </c>
      <c r="B62" s="64" t="n">
        <v>0.7</v>
      </c>
      <c r="C62" t="inlineStr">
        <is>
          <t>Reference only: in the US the sales tax you pay on purchases is a cost, not a credit (B41 = 0%), so this share moves no figure in the workbook. The sales tax you COLLECT on beverages is set by the beverage line of the P&amp;L (column H)</t>
        </is>
      </c>
    </row>
    <row r="63">
      <c r="A63" t="inlineStr">
        <is>
          <t>Sales tax rate on alcohol served on site</t>
        </is>
      </c>
      <c r="B63" s="64" t="n">
        <v>0.08</v>
      </c>
      <c r="C63" t="inlineStr">
        <is>
          <t>NO EFFECT in this workbook: the sales tax collected on beverages is set by the beverage line of the P&amp;L. With the example, beer, sake, wine, soft drinks and food all pay the same 8% (state + local); if your state taxes alcohol at another rate, type it in B40 and the alcohol share in column H of that line</t>
        </is>
      </c>
    </row>
    <row r="64">
      <c r="A64" s="16" t="inlineStr">
        <is>
          <t>CONTROL THRESHOLDS AND FLOORS</t>
        </is>
      </c>
    </row>
    <row r="65">
      <c r="A65" t="inlineStr">
        <is>
          <t>DSCR limit (minimum acceptable)</t>
        </is>
      </c>
      <c r="B65" s="25" t="n">
        <v>1.15</v>
      </c>
      <c r="C65" t="inlineStr">
        <is>
          <t>Below 1.0 the business does not generate enough to repay the loan. Lenders often write a minimum DSCR into the loan covenants: ask yours. Kit default: 1.15×</t>
        </is>
      </c>
    </row>
    <row r="66">
      <c r="A66" t="inlineStr">
        <is>
          <t>DSCR target (green)</t>
        </is>
      </c>
      <c r="B66" s="25" t="n">
        <v>1.25</v>
      </c>
      <c r="C66" t="inlineStr">
        <is>
          <t>What lenders commonly look for before approving a loan comfortably. Kit default: 1.25× (editable estimate)</t>
        </is>
      </c>
    </row>
    <row r="67">
      <c r="A67" t="inlineStr">
        <is>
          <t>Minimum cushion above break-even</t>
        </is>
      </c>
      <c r="B67" s="64" t="n">
        <v>0.15</v>
      </c>
      <c r="C67" t="inlineStr">
        <is>
          <t>How far projected sales must exceed cash break-even sales (fixed costs plus the loan payment). The drop you can absorb is a bit smaller: with a 15% cushion, 13% of projected sales</t>
        </is>
      </c>
    </row>
    <row r="68">
      <c r="A68" t="inlineStr">
        <is>
          <t>State / local minimum wage, annual full-time</t>
        </is>
      </c>
      <c r="B68" s="18" t="n"/>
      <c r="C68" t="inlineStr">
        <is>
          <t>State / local minimum wage; this plan budgets at least $15 per hour for everyone. Enter the full-time annual floor of your state and city if it is higher than the federal one ($7.25 per hour). With 0 the status light compares only against the federal minimum</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4 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SUSHI RESTAURANT BUSINESS PLAN: SUSHI BAR, TAKE-OUT &amp; DELIVERY</t>
        </is>
      </c>
    </row>
    <row r="2">
      <c r="A2" s="2" t="inlineStr">
        <is>
          <t>Estimated Startup Costs — sushi restaurant with a sushi bar counter, 40 seats, take-out and delivery</t>
        </is>
      </c>
    </row>
    <row r="3">
      <c r="A3" s="3" t="inlineStr">
        <is>
          <t>US kit example (2026) — replace with your own quotes.</t>
        </is>
      </c>
    </row>
    <row r="5">
      <c r="A5" s="26" t="inlineStr">
        <is>
          <t>Item</t>
        </is>
      </c>
      <c r="B5" s="26" t="inlineStr">
        <is>
          <t>Amount</t>
        </is>
      </c>
      <c r="C5" s="26" t="inlineStr">
        <is>
          <t>% of startup costs</t>
        </is>
      </c>
      <c r="D5" s="26" t="inlineStr">
        <is>
          <t>Notes</t>
        </is>
      </c>
      <c r="E5" s="26" t="inlineStr">
        <is>
          <t>Taxable / recoverable tax?</t>
        </is>
      </c>
    </row>
    <row r="6">
      <c r="A6" s="26" t="inlineStr">
        <is>
          <t>STARTUP COSTS</t>
        </is>
      </c>
      <c r="B6" s="54">
        <f>IFERROR(IF(COUNT(B7:B27)=0,"",SUM(B7:B27)),"")</f>
        <v>255100.0</v>
      </c>
      <c r="C6" s="67">
        <f>IFERROR(B6/$B$30,"")</f>
        <v>0.6623283424603615</v>
      </c>
      <c r="D6" s="29" t="n"/>
      <c r="E6" s="29" t="n"/>
    </row>
    <row r="7">
      <c r="A7" s="29" t="inlineStr">
        <is>
          <t>Architect, MEP &amp; hood drawings, plan review &amp; permit fees</t>
        </is>
      </c>
      <c r="B7" s="51" t="n">
        <v>14000</v>
      </c>
      <c r="C7" s="68">
        <f>IFERROR(B7/$B$30,"")</f>
        <v>0.036348870225186444</v>
      </c>
      <c r="D7" s="29" t="inlineStr">
        <is>
          <t>Architect, MEP and hood drawings, plan review (Food Code 8-201.11) and permit fees. If you choose a variance for the sushi rice, ask your health department for the plan review fee of the HACCP plan: in some counties it can pass $2,000</t>
        </is>
      </c>
      <c r="E7" s="32" t="inlineStr">
        <is>
          <t>Yes</t>
        </is>
      </c>
    </row>
    <row r="8">
      <c r="A8" s="29" t="inlineStr">
        <is>
          <t>Build-out (second-generation space, 1,800 sq ft) with sushi bar counter, signage &amp; facade</t>
        </is>
      </c>
      <c r="B8" s="51" t="n">
        <v>75000</v>
      </c>
      <c r="C8" s="68">
        <f>IFERROR(B8/$B$30,"")</f>
        <v>0.19472609049207024</v>
      </c>
      <c r="D8" s="29" t="inlineStr">
        <is>
          <t>Build-out of a second-generation restaurant space of 1,800 sq ft: sushi bar counter in view, finished kitchen, walk-in room, slip-resistant floors, restrooms (one ADA-accessible), ceilings and acoustic insulation, plus signage and facade. Kit estimate: get two quotes</t>
        </is>
      </c>
      <c r="E8" s="32" t="inlineStr">
        <is>
          <t>Yes</t>
        </is>
      </c>
    </row>
    <row r="9">
      <c r="A9" s="29" t="inlineStr">
        <is>
          <t>Type I hood (about 10 ft), UL 300 fire suppression &amp; makeup air</t>
        </is>
      </c>
      <c r="B9" s="51" t="n">
        <v>18000</v>
      </c>
      <c r="C9" s="68">
        <f>IFERROR(B9/$B$30,"")</f>
        <v>0.04673426171809685</v>
      </c>
      <c r="D9" s="29" t="inlineStr">
        <is>
          <t>Type I hood of about 10 ft with UL 300 fire suppression and makeup air over the tempura fryer, the range and the griddle. Ask the fire marshal and the mechanical inspector in writing what your city requires, and whether the gas rice cookers go under the hood. Installers rarely quote by the foot: ask for an offer with your plans</t>
        </is>
      </c>
      <c r="E9" s="32" t="inlineStr">
        <is>
          <t>Yes</t>
        </is>
      </c>
    </row>
    <row r="10">
      <c r="A10" s="29" t="inlineStr">
        <is>
          <t>Electrical service &amp; panel</t>
        </is>
      </c>
      <c r="B10" s="51" t="n">
        <v>11000</v>
      </c>
      <c r="C10" s="68">
        <f>IFERROR(B10/$B$30,"")</f>
        <v>0.028559826605503633</v>
      </c>
      <c r="D10" s="29" t="inlineStr">
        <is>
          <t>Electrical service for the walk-in, the sushi case, the hood and the lighting. Ask what service is available BEFORE you sign: a new service takes time</t>
        </is>
      </c>
      <c r="E10" s="32" t="inlineStr">
        <is>
          <t>Yes</t>
        </is>
      </c>
    </row>
    <row r="11">
      <c r="A11" s="29" t="inlineStr">
        <is>
          <t>Plumbing, grease interceptor, HVAC &amp; gas lines</t>
        </is>
      </c>
      <c r="B11" s="51" t="n">
        <v>15000</v>
      </c>
      <c r="C11" s="68">
        <f>IFERROR(B11/$B$30,"")</f>
        <v>0.038945218098414044</v>
      </c>
      <c r="D11" s="29" t="inlineStr">
        <is>
          <t>Hot and cold water in the kitchen and at the sushi bar, drains with a grease interceptor, HVAC for the dining room and the gas lines for the rice cookers and the fryer</t>
        </is>
      </c>
      <c r="E11" s="32" t="inlineStr">
        <is>
          <t>Yes</t>
        </is>
      </c>
    </row>
    <row r="12">
      <c r="A12" s="29" t="inlineStr">
        <is>
          <t>Refrigerated sushi case (6 ft)</t>
        </is>
      </c>
      <c r="B12" s="51" t="n">
        <v>4000</v>
      </c>
      <c r="C12" s="68">
        <f>IFERROR(B12/$B$30,"")</f>
        <v>0.010385391492910411</v>
      </c>
      <c r="D12" s="29" t="inlineStr">
        <is>
          <t>The case for the neta (the cut fish that goes on top of the rice), in view of the guest and for service only, not for storing fish. A 6 ft Hoshizaki case (70.9 in) lists around $4,045 (read October 2026); the example uses $4,000</t>
        </is>
      </c>
      <c r="E12" s="32" t="inlineStr">
        <is>
          <t>Yes</t>
        </is>
      </c>
    </row>
    <row r="13">
      <c r="A13" s="29" t="inlineStr">
        <is>
          <t>Commercial gas rice cookers × 2 &amp; rice warmers</t>
        </is>
      </c>
      <c r="B13" s="51" t="n">
        <v>2500</v>
      </c>
      <c r="C13" s="68">
        <f>IFERROR(B13/$B$30,"")</f>
        <v>0.006490869683069007</v>
      </c>
      <c r="D13" s="29" t="inlineStr">
        <is>
          <t>Two commercial gas rice cookers and rice warmers. The hangiri, the wooden tub where the sushi rice is seasoned, goes under smallwares. Kit estimate: ask your equipment dealer for quotes</t>
        </is>
      </c>
      <c r="E13" s="32" t="inlineStr">
        <is>
          <t>Yes</t>
        </is>
      </c>
    </row>
    <row r="14">
      <c r="A14" s="29" t="inlineStr">
        <is>
          <t>Freezer (−4 °F or colder) with temperature logger</t>
        </is>
      </c>
      <c r="B14" s="51" t="n">
        <v>3500</v>
      </c>
      <c r="C14" s="68">
        <f>IFERROR(B14/$B$30,"")</f>
        <v>0.009087217556296611</v>
      </c>
      <c r="D14" s="29" t="inlineStr">
        <is>
          <t>The parasite rule (FDA Food Code 3-402.11) asks for raw fish to be frozen at −4 °F or below for 7 days, or at −31 °F until solid plus 15 hours, or at −31 °F until solid plus 24 hours at −4 °F. Tuna and feed-raised aquaculture fish are exempt with a written supplier statement, and records are kept 90 days. This freezer HOLDS the fish you buy already treated, at −4 °F or below with a logger; freezing fish yourself takes a lot of freezer space. Kit estimate: ask for the data sheet</t>
        </is>
      </c>
      <c r="E14" s="32" t="inlineStr">
        <is>
          <t>Yes</t>
        </is>
      </c>
    </row>
    <row r="15">
      <c r="A15" s="29" t="inlineStr">
        <is>
          <t>Fryer, range &amp; griddle (tempura, gyoza, miso)</t>
        </is>
      </c>
      <c r="B15" s="51" t="n">
        <v>6000</v>
      </c>
      <c r="C15" s="68">
        <f>IFERROR(B15/$B$30,"")</f>
        <v>0.015578087239365618</v>
      </c>
      <c r="D15" s="29" t="inlineStr">
        <is>
          <t>Fryer for the tempura, range for the miso and stocks, and griddle for the gyoza and teriyaki, all under the Type I hood. Kit estimate</t>
        </is>
      </c>
      <c r="E15" s="32" t="inlineStr">
        <is>
          <t>Yes</t>
        </is>
      </c>
    </row>
    <row r="16">
      <c r="A16" s="29" t="inlineStr">
        <is>
          <t>Walk-in cooler (6×8)</t>
        </is>
      </c>
      <c r="B16" s="51" t="n">
        <v>12800</v>
      </c>
      <c r="C16" s="68">
        <f>IFERROR(B16/$B$30,"")</f>
        <v>0.033233252777313316</v>
      </c>
      <c r="D16" s="29" t="inlineStr">
        <is>
          <t>Walk-in cooler (6×8 ft) for the rice, the vegetables, the sauces and the backup fish stock, with cold holding at 41 °F or below. A 6×8 ft walk-in lists around $12,800 (Norlake Kold Locker, read October 2026)</t>
        </is>
      </c>
      <c r="E16" s="32" t="inlineStr">
        <is>
          <t>Yes</t>
        </is>
      </c>
    </row>
    <row r="17">
      <c r="A17" s="29" t="inlineStr">
        <is>
          <t>Reach-in fish refrigerators (32-34 °F), prep tables, beverage &amp; sake cooler, ice machine</t>
        </is>
      </c>
      <c r="B17" s="51" t="n">
        <v>11000</v>
      </c>
      <c r="C17" s="68">
        <f>IFERROR(B17/$B$30,"")</f>
        <v>0.028559826605503633</v>
      </c>
      <c r="D17" s="29" t="inlineStr">
        <is>
          <t>Reach-in refrigerators for fish held at 32-34 °F (cold holding is 41 °F or below, and tuna must be received at 40 °F or below), refrigerated prep tables for the sushi bar, a beverage and sake cooler and an ice machine</t>
        </is>
      </c>
      <c r="E17" s="32" t="inlineStr">
        <is>
          <t>Yes</t>
        </is>
      </c>
    </row>
    <row r="18">
      <c r="A18" s="29" t="inlineStr">
        <is>
          <t>3-comp sink, dish machine, hand sinks, shelving &amp; stainless</t>
        </is>
      </c>
      <c r="B18" s="51" t="n">
        <v>11500</v>
      </c>
      <c r="C18" s="68">
        <f>IFERROR(B18/$B$30,"")</f>
        <v>0.029858000542117433</v>
      </c>
      <c r="D18" s="29" t="inlineStr">
        <is>
          <t>Three-compartment sink, dish machine, hands-free hand sinks, stainless tables and shelving</t>
        </is>
      </c>
      <c r="E18" s="32" t="inlineStr">
        <is>
          <t>Yes</t>
        </is>
      </c>
    </row>
    <row r="19">
      <c r="A19" s="29" t="inlineStr">
        <is>
          <t>Smallwares (Japanese knives, color-coded boards, hangiri, calibrated pH meter, probes, to-go station)</t>
        </is>
      </c>
      <c r="B19" s="51" t="n">
        <v>6000</v>
      </c>
      <c r="C19" s="68">
        <f>IFERROR(B19/$B$30,"")</f>
        <v>0.015578087239365618</v>
      </c>
      <c r="D19" s="29" t="inlineStr">
        <is>
          <t>Japanese knives (yanagiba and deba), color-coded cutting boards, probe thermometers, scales in oz, the hangiri, the to-go packing station, plateware, allergen signage and the calibrated pH meter (only if you choose a variance for the sushi rice)</t>
        </is>
      </c>
      <c r="E19" s="32" t="inlineStr">
        <is>
          <t>Yes</t>
        </is>
      </c>
    </row>
    <row r="20">
      <c r="A20" s="29" t="inlineStr">
        <is>
          <t>Furniture &amp; sushi bar seating (40 seats)</t>
        </is>
      </c>
      <c r="B20" s="51" t="n">
        <v>14000</v>
      </c>
      <c r="C20" s="68">
        <f>IFERROR(B20/$B$30,"")</f>
        <v>0.036348870225186444</v>
      </c>
      <c r="D20" s="29" t="inlineStr">
        <is>
          <t>Tables and chairs for 30 seats and 10 stools at the sushi bar</t>
        </is>
      </c>
      <c r="E20" s="32" t="inlineStr">
        <is>
          <t>Yes</t>
        </is>
      </c>
    </row>
    <row r="21">
      <c r="A21" s="29" t="inlineStr">
        <is>
          <t>POS, online ordering, KDS &amp; delivery tablets</t>
        </is>
      </c>
      <c r="B21" s="51" t="n">
        <v>4500</v>
      </c>
      <c r="C21" s="68">
        <f>IFERROR(B21/$B$30,"")</f>
        <v>0.011683565429524213</v>
      </c>
      <c r="D21" s="29" t="inlineStr">
        <is>
          <t>POS with online ordering, a kitchen display (KDS) or ticket printer, a card terminal and the tablets for the delivery marketplaces</t>
        </is>
      </c>
      <c r="E21" s="32" t="inlineStr">
        <is>
          <t>Yes</t>
        </is>
      </c>
    </row>
    <row r="22">
      <c r="A22" s="29" t="inlineStr">
        <is>
          <t>LLC, legal &amp; food safety plan</t>
        </is>
      </c>
      <c r="B22" s="51" t="n">
        <v>2500</v>
      </c>
      <c r="C22" s="68">
        <f>IFERROR(B22/$B$30,"")</f>
        <v>0.006490869683069007</v>
      </c>
      <c r="D22" s="29" t="inlineStr">
        <is>
          <t>LLC formation (ask your CPA about LLC vs S corp), EIN and state payroll registration, business license and sales tax permit, building permit and certificate of occupancy, health permit with plan review, and the written food safety plan (a HACCP plan only if you choose a variance). Fees vary by city: replace this line with your own quotes</t>
        </is>
      </c>
      <c r="E22" s="32" t="inlineStr">
        <is>
          <t>No</t>
        </is>
      </c>
    </row>
    <row r="23">
      <c r="A23" s="29" t="inlineStr">
        <is>
          <t>Branding, website, photos &amp; launch</t>
        </is>
      </c>
      <c r="B23" s="51" t="n">
        <v>5500</v>
      </c>
      <c r="C23" s="68">
        <f>IFERROR(B23/$B$30,"")</f>
        <v>0.014279913302751817</v>
      </c>
      <c r="D23" s="29" t="inlineStr">
        <is>
          <t>Branding, a website with the menu, the consumer advisory and the allergens, a photo session and the opening campaign (Google Business Profile, Yelp, social media)</t>
        </is>
      </c>
      <c r="E23" s="32" t="inlineStr">
        <is>
          <t>Yes</t>
        </is>
      </c>
    </row>
    <row r="24">
      <c r="A24" s="29" t="inlineStr">
        <is>
          <t>Opening inventory (fish, rice, nori, sauces, disposables, beverage)</t>
        </is>
      </c>
      <c r="B24" s="51" t="n">
        <v>7000</v>
      </c>
      <c r="C24" s="68">
        <f>IFERROR(B24/$B$30,"")</f>
        <v>0.018174435112593222</v>
      </c>
      <c r="D24" s="29" t="inlineStr">
        <is>
          <t>Fish (bought already treated or exempt, with the supplier's letter), Calrose sushi rice, nori, sauces, the first order of to-go packaging and the beverages, sake included (order early: it often depends on an importer)</t>
        </is>
      </c>
      <c r="E24" s="32" t="inlineStr">
        <is>
          <t>Yes</t>
        </is>
      </c>
    </row>
    <row r="25">
      <c r="A25" s="29" t="inlineStr">
        <is>
          <t>Security deposit</t>
        </is>
      </c>
      <c r="B25" s="41">
        <f>IFERROR(IF('0. Assumptions'!$B$24="","",'0. Assumptions'!$B$24*'0. Assumptions'!$B$25),"")</f>
        <v>9000.0</v>
      </c>
      <c r="C25" s="68">
        <f>IFERROR(B25/$B$30,"")</f>
        <v>0.023367130859048426</v>
      </c>
      <c r="D25" s="29"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5" s="29" t="inlineStr">
        <is>
          <t>No</t>
        </is>
      </c>
    </row>
    <row r="26">
      <c r="A26" s="29" t="inlineStr">
        <is>
          <t>Rent paid before opening</t>
        </is>
      </c>
      <c r="B26" s="41">
        <f>IFERROR(IF('0. Assumptions'!$B$24="","",'0. Assumptions'!$B$24*'0. Assumptions'!$B$54),"")</f>
        <v>9000.0</v>
      </c>
      <c r="C26" s="68">
        <f>IFERROR(B26/$B$30,"")</f>
        <v>0.023367130859048426</v>
      </c>
      <c r="D26" s="29"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6" s="29" t="inlineStr">
        <is>
          <t>Yes</t>
        </is>
      </c>
    </row>
    <row r="27">
      <c r="A27" s="29" t="inlineStr">
        <is>
          <t>Build-out and setup contingency</t>
        </is>
      </c>
      <c r="B27" s="41">
        <f>IFERROR(IF(COUNT(B7,B8,B9,B10,B11)=0,"",ROUND((B7+B8+B9+B10+B11)*'0. Assumptions'!$B$55,0)),"")</f>
        <v>13300.0</v>
      </c>
      <c r="C27" s="68">
        <f>IFERROR(B27/$B$30,"")</f>
        <v>0.03453142671392712</v>
      </c>
      <c r="D27" s="29" t="str">
        <f>IFERROR("At "&amp;TEXT('0. Assumptions'!$B$55,"0%")&amp;" of the BUILD-OUT items of this block (architect, MEP &amp; hood drawings and permit fees; build-out with the sushi bar counter, signage &amp; facade; Type I hood (about 10 ft), UL 300 fire suppression &amp; makeup air; "&amp;"electrical service &amp; panel; plumbing, grease interceptor, HVAC &amp; gas lines), not of the whole block: the sushi case, the rice cookers, the equipment and the other items are left out. "&amp;"No lender funds a build-out without a cushion: the percentage is in ""0. Assumptions""","")</f>
        <v>At 10% of the BUILD-OUT items of this block (architect, MEP &amp; hood drawings and permit fees; build-out with the sushi bar counter, signage &amp; facade; Type I hood (about 10 ft), UL 300 fire suppression &amp; makeup air; electrical service &amp; panel; plumbing, grease interceptor, HVAC &amp; gas lines), not of the whole block: the sushi case, the rice cookers, the equipment and the other items are left out. No lender funds a build-out without a cushion: the percentage is in "0. Assumptions"</v>
      </c>
      <c r="E27" s="29" t="inlineStr">
        <is>
          <t>Yes</t>
        </is>
      </c>
    </row>
    <row r="28">
      <c r="A28" s="26" t="inlineStr">
        <is>
          <t>WORKING CAPITAL</t>
        </is>
      </c>
      <c r="B28" s="54">
        <f>IFERROR(IF(B29="","",B29),"")</f>
        <v>130056.40000000001</v>
      </c>
      <c r="C28" s="67">
        <f>IFERROR(B28/$B$30,"")</f>
        <v>0.33767165753963846</v>
      </c>
      <c r="D28" s="29" t="n"/>
      <c r="E28" s="29" t="n"/>
    </row>
    <row r="29">
      <c r="A29" s="29" t="inlineStr">
        <is>
          <t>Operating cushion until break-even</t>
        </is>
      </c>
      <c r="B29" s="41">
        <f>IFERROR(IF('0. Assumptions'!$B$35*('3-Year P&amp;L'!$B$37-'3-Year P&amp;L'!$B$35)=0,"",'0. Assumptions'!$B$35*('3-Year P&amp;L'!$B$37-'3-Year P&amp;L'!$B$35)/12),"")</f>
        <v>130056.40000000001</v>
      </c>
      <c r="C29" s="68">
        <f>IFERROR(B29/$B$30,"")</f>
        <v>0.33767165753963846</v>
      </c>
      <c r="D29" s="29"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9" s="29" t="inlineStr">
        <is>
          <t>No</t>
        </is>
      </c>
    </row>
    <row r="30">
      <c r="A30" s="26" t="inlineStr">
        <is>
          <t>TOTAL STARTUP COSTS (sum of the blocks)</t>
        </is>
      </c>
      <c r="B30" s="54">
        <f>IFERROR(B6+B28,"")</f>
        <v>385156.4</v>
      </c>
      <c r="C30" s="29" t="n"/>
      <c r="D30" s="26" t="str">
        <f>IFERROR("The percentages in column C are read on this figure, which includes the working capital ("&amp;TEXT(C28,"0%")&amp;" of the total). To compare the breakdown with another plan, use the CAPEX row below.","")</f>
        <v>The percentages in column C are read on this figure, which includes the working capital (34% of the total). To compare the breakdown with another plan, use the CAPEX row below.</v>
      </c>
      <c r="E30" s="29" t="n"/>
    </row>
    <row r="31">
      <c r="A31" s="26" t="inlineStr">
        <is>
          <t>CAPEX (startup costs excluding working capital)</t>
        </is>
      </c>
      <c r="B31" s="54">
        <f>IFERROR(B30-B28,"")</f>
        <v>255100.0</v>
      </c>
      <c r="C31" s="29" t="n"/>
      <c r="D31" s="26" t="inlineStr">
        <is>
          <t>What you buy: build-out, equipment, launch and formation costs. The cash cushion is not an investment: it is working capital</t>
        </is>
      </c>
      <c r="E31" s="29" t="n"/>
    </row>
    <row r="32">
      <c r="A32" s="29" t="inlineStr">
        <is>
          <t>Recoverable input tax on capex</t>
        </is>
      </c>
      <c r="B32" s="41">
        <f>IFERROR(IF(B30="","",SUMIF($E$7:$E$27,"Yes",$B$7:$B$27)*'0. Assumptions'!$B$41),"")</f>
        <v>0.0</v>
      </c>
      <c r="C32" s="29" t="n"/>
      <c r="D32" s="29"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32" s="29" t="n"/>
    </row>
    <row r="33">
      <c r="A33" s="26" t="inlineStr">
        <is>
          <t>TOTAL CASH NEEDED AT LAUNCH</t>
        </is>
      </c>
      <c r="B33" s="54">
        <f>IFERROR(B30+B32,"")</f>
        <v>385156.4</v>
      </c>
      <c r="C33" s="29" t="n"/>
      <c r="D33" s="26" t="inlineStr">
        <is>
          <t>This is the figure the Financing tab has to cover</t>
        </is>
      </c>
      <c r="E33" s="29" t="n"/>
    </row>
    <row r="34">
      <c r="A34" s="26" t="inlineStr">
        <is>
          <t>DEPRECIATION BASES (not added to startup costs)</t>
        </is>
      </c>
      <c r="B34" s="29" t="n"/>
      <c r="C34" s="29" t="n"/>
      <c r="D34" s="29" t="n"/>
      <c r="E34" s="29" t="n"/>
    </row>
    <row r="35">
      <c r="A35" s="29" t="inlineStr">
        <is>
          <t>Build-out, fixtures and setup</t>
        </is>
      </c>
      <c r="B35" s="41">
        <f>IFERROR(IF(B7="","",B7+B8+B9+B10+B11+B27),"")</f>
        <v>146300.0</v>
      </c>
      <c r="C35" s="29" t="n"/>
      <c r="D35" s="29" t="str">
        <f>IFERROR("Depreciated over "&amp;TEXT('0. Assumptions'!$B$44,"0")&amp;" years","")</f>
        <v>Depreciated over 10 years</v>
      </c>
      <c r="E35" s="29" t="n"/>
    </row>
    <row r="36">
      <c r="A36" s="29" t="inlineStr">
        <is>
          <t>Machinery, furniture and equipment</t>
        </is>
      </c>
      <c r="B36" s="41">
        <f>IFERROR(IF(B12="","",B12+B13+B14+B15+B16+B17+B18+B19+B20+B21),"")</f>
        <v>75800.0</v>
      </c>
      <c r="C36" s="29" t="n"/>
      <c r="D36" s="29" t="str">
        <f>IFERROR("Depreciated over "&amp;TEXT('0. Assumptions'!$B$45,"0")&amp;" years","")</f>
        <v>Depreciated over 7 years</v>
      </c>
      <c r="E36" s="29" t="n"/>
    </row>
    <row r="37">
      <c r="A37" s="26" t="inlineStr">
        <is>
          <t>Annual depreciation of fixed assets</t>
        </is>
      </c>
      <c r="B37" s="54">
        <f>IFERROR(B35/MAX(1,'0. Assumptions'!$B$44)+B36/MAX(1,'0. Assumptions'!$B$45),"")</f>
        <v>25458.571428571428</v>
      </c>
      <c r="C37" s="29" t="n"/>
      <c r="D37" s="26" t="str">
        <f>IFERROR("Not depreciated, because they are not fixed assets: LLC, legal and food safety plan; branding, website, photos and launch; opening inventory; security deposit; pre-opening rent and the working capital reserve. They add up to "&amp;TEXT(B30-B35-B36,"#,##0")&amp;" of the "&amp;TEXT(B30,"#,##0")&amp;" total investment.","")</f>
        <v>Not depreciated, because they are not fixed assets: LLC, legal and food safety plan; branding, website, photos and launch; opening inventory; security deposit; pre-opening rent and the working capital reserve. They add up to 163056 of the 385156 total investment.</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PRO FORMA P&amp;L — 3 YEARS</t>
        </is>
      </c>
    </row>
    <row r="2">
      <c r="A2" s="3" t="inlineStr">
        <is>
          <t>Base case — sushi restaurant: sushi bar and tables, take-out and delivery</t>
        </is>
      </c>
    </row>
    <row r="4" ht="45" customHeight="1">
      <c r="A4" s="40" t="inlineStr">
        <is>
          <t>Item</t>
        </is>
      </c>
      <c r="B4" s="40" t="inlineStr">
        <is>
          <t>Year 1</t>
        </is>
      </c>
      <c r="C4" s="40" t="inlineStr">
        <is>
          <t>Year 2</t>
        </is>
      </c>
      <c r="D4" s="40" t="inlineStr">
        <is>
          <t>Year 3</t>
        </is>
      </c>
      <c r="E4" s="40" t="inlineStr">
        <is>
          <t>% of sales (year 1)</t>
        </is>
      </c>
      <c r="F4" s="40" t="inlineStr">
        <is>
          <t>Notes</t>
        </is>
      </c>
      <c r="G4" s="40" t="inlineStr">
        <is>
          <t>Sales tax rate on the line (%)</t>
        </is>
      </c>
      <c r="H4" s="40" t="inlineStr">
        <is>
          <t>Beverage share taxed at the alcohol rate in B40 (%)</t>
        </is>
      </c>
    </row>
    <row r="5">
      <c r="A5" s="26" t="inlineStr">
        <is>
          <t>REVENUE</t>
        </is>
      </c>
      <c r="B5" s="29" t="n"/>
      <c r="C5" s="29" t="n"/>
      <c r="D5" s="29" t="n"/>
      <c r="E5" s="29" t="n"/>
      <c r="F5" s="29" t="n"/>
      <c r="G5" s="29" t="n"/>
      <c r="H5" s="29" t="n"/>
    </row>
    <row r="6">
      <c r="A6" s="29" t="inlineStr">
        <is>
          <t>Covers per day (average)</t>
        </is>
      </c>
      <c r="B6" s="41">
        <f>IFERROR(IF('0. Assumptions'!$B$4="","",'0. Assumptions'!$B$4),"")</f>
        <v>115.0</v>
      </c>
      <c r="C6" s="41">
        <f>IFERROR(B6*(1+'0. Assumptions'!$B$7),"")</f>
        <v>121.9</v>
      </c>
      <c r="D6" s="41">
        <f>IFERROR(C6*(1+'0. Assumptions'!$B$8),"")</f>
        <v>126.77600000000001</v>
      </c>
      <c r="E6" s="29" t="n"/>
      <c r="F6" s="29" t="inlineStr">
        <is>
          <t>Growth for years 2 and 3 is set in "0. Assumptions"</t>
        </is>
      </c>
      <c r="G6" s="29" t="n"/>
      <c r="H6" s="29" t="n"/>
    </row>
    <row r="7">
      <c r="A7" s="29" t="inlineStr">
        <is>
          <t>Average check (excl. sales tax)</t>
        </is>
      </c>
      <c r="B7" s="62">
        <f>IFERROR(IF('0. Assumptions'!$B$5="","",'0. Assumptions'!$B$5),"")</f>
        <v>32.5</v>
      </c>
      <c r="C7" s="62">
        <f>IFERROR(IF(B7="","",B7),"")</f>
        <v>32.5</v>
      </c>
      <c r="D7" s="62">
        <f>IFERROR(IF(C7="","",C7),"")</f>
        <v>32.5</v>
      </c>
      <c r="E7" s="29" t="n"/>
      <c r="F7" s="29" t="inlineStr">
        <is>
          <t>Held constant at year-1 prices: a price increase is a separate decision</t>
        </is>
      </c>
      <c r="G7" s="29" t="n"/>
      <c r="H7" s="29" t="n"/>
    </row>
    <row r="8">
      <c r="A8" s="29" t="inlineStr">
        <is>
          <t>Operating days per year</t>
        </is>
      </c>
      <c r="B8" s="41">
        <f>IFERROR(IF('0. Assumptions'!$B$6="","",'0. Assumptions'!$B$6),"")</f>
        <v>310.0</v>
      </c>
      <c r="C8" s="41">
        <f>IFERROR(IF(B8="","",B8),"")</f>
        <v>310.0</v>
      </c>
      <c r="D8" s="41">
        <f>IFERROR(IF(C8="","",C8),"")</f>
        <v>310.0</v>
      </c>
      <c r="E8" s="29" t="n"/>
      <c r="F8" s="29" t="n"/>
      <c r="G8" s="29" t="n"/>
      <c r="H8" s="29" t="n"/>
    </row>
    <row r="9">
      <c r="A9" s="26" t="inlineStr">
        <is>
          <t>TOTAL REVENUE (excl. sales tax)</t>
        </is>
      </c>
      <c r="B9" s="54">
        <f>IFERROR(IF(B6*B7*B8=0,"",B6*B7*B8),"")</f>
        <v>1158625.0</v>
      </c>
      <c r="C9" s="54">
        <f>IFERROR(IF(C6*C7*C8=0,"",C6*C7*C8),"")</f>
        <v>1228142.5</v>
      </c>
      <c r="D9" s="54">
        <f>IFERROR(IF(D6*D7*D8=0,"",D6*D7*D8),"")</f>
        <v>1277268.2000000002</v>
      </c>
      <c r="E9" s="67">
        <f>IFERROR(IF(B9="","",1),"")</f>
        <v>1.0</v>
      </c>
      <c r="F9" s="29" t="n"/>
      <c r="G9" s="29" t="n"/>
      <c r="H9" s="29" t="n"/>
    </row>
    <row r="10">
      <c r="A10" s="29" t="inlineStr">
        <is>
          <t>Food sales (sushi, rolls &amp; kitchen: dine-in, take-out &amp; delivery)</t>
        </is>
      </c>
      <c r="B10" s="41">
        <f>IFERROR(IF(B9="","",B9*$E$10),"")</f>
        <v>984831.25</v>
      </c>
      <c r="C10" s="41">
        <f>IFERROR(IF(C9="","",C9*$E$10),"")</f>
        <v>1043921.125</v>
      </c>
      <c r="D10" s="41">
        <f>IFERROR(IF(D9="","",D9*$E$10),"")</f>
        <v>1085677.9700000002</v>
      </c>
      <c r="E10" s="68">
        <f>IFERROR(IF('0. Assumptions'!$B$11="","",'0. Assumptions'!$B$11),"")</f>
        <v>0.85</v>
      </c>
      <c r="F10" s="29" t="inlineStr">
        <is>
          <t>Sushi, rolls, sashimi, poke, appetizers (edamame, gyoza, tempura), miso soup and desserts: about 67% of sales dine-in, 17% take-out and 15% through delivery marketplaces. One sales tax rate in the example, whether it is eaten at the sushi bar or taken away</t>
        </is>
      </c>
      <c r="G10" s="68">
        <f>IFERROR(IF(B9="","",'0. Assumptions'!$B$39),"")</f>
        <v>0.08</v>
      </c>
      <c r="H10" s="29" t="n"/>
    </row>
    <row r="11">
      <c r="A11" s="29" t="inlineStr">
        <is>
          <t>Beverage sales (beer, sake, wine, soft drinks &amp; tea)</t>
        </is>
      </c>
      <c r="B11" s="41">
        <f>IFERROR(IF(B9="","",B9*$E$11),"")</f>
        <v>173793.75000000003</v>
      </c>
      <c r="C11" s="41">
        <f>IFERROR(IF(C9="","",C9*$E$11),"")</f>
        <v>184221.37500000003</v>
      </c>
      <c r="D11" s="41">
        <f>IFERROR(IF(D9="","",D9*$E$11),"")</f>
        <v>191590.23000000007</v>
      </c>
      <c r="E11" s="68">
        <f>IFERROR(IF('0. Assumptions'!$B$12="","",'0. Assumptions'!$B$12),"")</f>
        <v>0.15000000000000002</v>
      </c>
      <c r="F11" s="29" t="inlineStr">
        <is>
          <t>Dine-in beverages and the drinks that go out with orders (beer, sake, wine, soft drinks and tea) · Column H is the share of beverage sales taxed at the alcohol rate in "0. Assumptions" B40. With the example rates (B39 = B40 = 8%: state + local) it changes nothing. Some states tax alcohol differently: type your alcohol rate in B40 and the alcohol share of beverage sales here</t>
        </is>
      </c>
      <c r="G11" s="68">
        <f>IFERROR(IF(B9="","",H11*'0. Assumptions'!$B$40+(1-H11)*'0. Assumptions'!$B$39),"")</f>
        <v>0.08</v>
      </c>
      <c r="H11" s="74" t="n">
        <v>0.7</v>
      </c>
    </row>
    <row r="12">
      <c r="A12" s="26" t="inlineStr">
        <is>
          <t>VARIABLE COSTS</t>
        </is>
      </c>
      <c r="B12" s="29" t="n"/>
      <c r="C12" s="29" t="n"/>
      <c r="D12" s="29" t="n"/>
      <c r="E12" s="29" t="n"/>
      <c r="F12" s="29" t="n"/>
      <c r="G12" s="29" t="n"/>
      <c r="H12" s="29" t="n"/>
    </row>
    <row r="13">
      <c r="A13" s="29" t="inlineStr">
        <is>
          <t>Cost of goods sold — food</t>
        </is>
      </c>
      <c r="B13" s="41">
        <f>IFERROR(IF(B9="","",B9*'0. Assumptions'!$B$11*'0. Assumptions'!$B$13),"")</f>
        <v>315146.0</v>
      </c>
      <c r="C13" s="41">
        <f>IFERROR(IF(C9="","",C9*'0. Assumptions'!$B$11*'0. Assumptions'!$B$13),"")</f>
        <v>334054.76</v>
      </c>
      <c r="D13" s="41">
        <f>IFERROR(IF(D9="","",D9*'0. Assumptions'!$B$11*'0. Assumptions'!$B$13),"")</f>
        <v>347416.9504000001</v>
      </c>
      <c r="E13" s="68">
        <f>IFERROR(B13/$B$9,"")</f>
        <v>0.272</v>
      </c>
      <c r="F13" s="29" t="str">
        <f>IFERROR("At "&amp;TEXT('0. Assumptions'!$B$13,"0%")&amp;" of FOOD sales, not of total sales: beverages have their own line · "&amp;"fish and seafood, sushi rice, nori, imitation crab, avocado, produce, sauces and tempura ingredients: check it against your distributor invoices and the Sushi Fish, Rice &amp; Costing Calculator","")</f>
        <v>At 32% of FOOD sales, not of total sales: beverages have their own line · fish and seafood, sushi rice, nori, imitation crab, avocado, produce, sauces and tempura ingredients: check it against your distributor invoices and the Sushi Fish, Rice &amp; Costing Calculator</v>
      </c>
      <c r="G13" s="74" t="n">
        <v>0</v>
      </c>
      <c r="H13" s="29" t="n"/>
    </row>
    <row r="14">
      <c r="A14" s="29" t="inlineStr">
        <is>
          <t>Cost of goods sold — beverage</t>
        </is>
      </c>
      <c r="B14" s="41">
        <f>IFERROR(IF(B9="","",B9*'0. Assumptions'!$B$12*'0. Assumptions'!$B$14),"")</f>
        <v>41710.50000000001</v>
      </c>
      <c r="C14" s="41">
        <f>IFERROR(IF(C9="","",C9*'0. Assumptions'!$B$12*'0. Assumptions'!$B$14),"")</f>
        <v>44213.130000000005</v>
      </c>
      <c r="D14" s="41">
        <f>IFERROR(IF(D9="","",D9*'0. Assumptions'!$B$12*'0. Assumptions'!$B$14),"")</f>
        <v>45981.655200000016</v>
      </c>
      <c r="E14" s="68">
        <f>IFERROR(B14/$B$9,"")</f>
        <v>0.036000000000000004</v>
      </c>
      <c r="F14" s="29" t="str">
        <f>IFERROR("At "&amp;TEXT('0. Assumptions'!$B$14,"0%")&amp;" of BEVERAGE sales","")</f>
        <v>At 24% of BEVERAGE sales</v>
      </c>
      <c r="G14" s="68">
        <f>IFERROR(IF(B9="","",'0. Assumptions'!$B$41),"")</f>
        <v>0.0</v>
      </c>
      <c r="H14" s="29" t="n"/>
    </row>
    <row r="15">
      <c r="A15" s="29" t="inlineStr">
        <is>
          <t>Disposables and packaging</t>
        </is>
      </c>
      <c r="B15" s="41">
        <f>IFERROR(IF(B9="","",B9*'0. Assumptions'!$B$15),"")</f>
        <v>34758.75</v>
      </c>
      <c r="C15" s="41">
        <f>IFERROR(IF(C9="","",C9*'0. Assumptions'!$B$15),"")</f>
        <v>36844.275</v>
      </c>
      <c r="D15" s="41">
        <f>IFERROR(IF(D9="","",D9*'0. Assumptions'!$B$15),"")</f>
        <v>38318.046</v>
      </c>
      <c r="E15" s="68">
        <f>IFERROR(B15/$B$9,"")</f>
        <v>0.03</v>
      </c>
      <c r="F15" s="29" t="n"/>
      <c r="G15" s="68">
        <f>IFERROR(IF(B9="","",'0. Assumptions'!$B$41),"")</f>
        <v>0.0</v>
      </c>
      <c r="H15" s="29" t="n"/>
    </row>
    <row r="16">
      <c r="A16" s="29" t="inlineStr">
        <is>
          <t>Delivery platform fees</t>
        </is>
      </c>
      <c r="B16" s="41">
        <f>IFERROR(IF(B9="","",B9*'0. Assumptions'!$B$16*'0. Assumptions'!$B$17),"")</f>
        <v>43448.4375</v>
      </c>
      <c r="C16" s="41">
        <f>IFERROR(IF(C9="","",C9*'0. Assumptions'!$B$16*'0. Assumptions'!$B$17),"")</f>
        <v>46055.34375</v>
      </c>
      <c r="D16" s="41">
        <f>IFERROR(IF(D9="","",D9*'0. Assumptions'!$B$16*'0. Assumptions'!$B$17),"")</f>
        <v>47897.5575</v>
      </c>
      <c r="E16" s="68">
        <f>IFERROR(B16/$B$9,"")</f>
        <v>0.0375</v>
      </c>
      <c r="F16" s="29" t="inlineStr">
        <is>
          <t>Applied to the sales of THAT CHANNEL. With 0% delivery in Assumptions, this line is zero</t>
        </is>
      </c>
      <c r="G16" s="68">
        <f>IFERROR(IF(B9="","",'0. Assumptions'!$B$41),"")</f>
        <v>0.0</v>
      </c>
      <c r="H16" s="29" t="n"/>
    </row>
    <row r="17">
      <c r="A17" s="29" t="inlineStr">
        <is>
          <t>Card processing fees</t>
        </is>
      </c>
      <c r="B17" s="41">
        <f>IFERROR(IF(B9="","",B9*'0. Assumptions'!$B$18),"")</f>
        <v>34758.75</v>
      </c>
      <c r="C17" s="41">
        <f>IFERROR(IF(C9="","",C9*'0. Assumptions'!$B$18),"")</f>
        <v>36844.275</v>
      </c>
      <c r="D17" s="41">
        <f>IFERROR(IF(D9="","",D9*'0. Assumptions'!$B$18),"")</f>
        <v>38318.046</v>
      </c>
      <c r="E17" s="68">
        <f>IFERROR(B17/$B$9,"")</f>
        <v>0.03</v>
      </c>
      <c r="F17" s="29" t="inlineStr">
        <is>
          <t>Card processing fees are not subject to sales tax: no tax is recovered or deducted for them</t>
        </is>
      </c>
      <c r="G17" s="68" t="n">
        <v>0</v>
      </c>
      <c r="H17" s="29" t="n"/>
    </row>
    <row r="18">
      <c r="A18" s="29" t="inlineStr">
        <is>
          <t>Miscellaneous and contingency</t>
        </is>
      </c>
      <c r="B18" s="41">
        <f>IFERROR(IF(B9="","",B9*'0. Assumptions'!$B$28),"")</f>
        <v>11586.25</v>
      </c>
      <c r="C18" s="41">
        <f>IFERROR(IF(C9="","",C9*'0. Assumptions'!$B$28),"")</f>
        <v>12281.425000000001</v>
      </c>
      <c r="D18" s="41">
        <f>IFERROR(IF(D9="","",D9*'0. Assumptions'!$B$28),"")</f>
        <v>12772.682000000003</v>
      </c>
      <c r="E18" s="68">
        <f>IFERROR(B18/$B$9,"")</f>
        <v>0.01</v>
      </c>
      <c r="F18" s="29" t="str">
        <f>IFERROR("At "&amp;TEXT('0. Assumptions'!$B$28,"0%")&amp;" of sales. It is a VARIABLE cost: it moves with revenue, so it cannot sit in fixed costs","")</f>
        <v>At 1% of sales. It is a VARIABLE cost: it moves with revenue, so it cannot sit in fixed costs</v>
      </c>
      <c r="G18" s="68">
        <f>IFERROR(IF(B9="","",'0. Assumptions'!$B$41),"")</f>
        <v>0.0</v>
      </c>
      <c r="H18" s="29" t="n"/>
    </row>
    <row r="19">
      <c r="A19" s="26" t="inlineStr">
        <is>
          <t>TOTAL VARIABLE COSTS</t>
        </is>
      </c>
      <c r="B19" s="54">
        <f>IFERROR(IF(B9="","",SUM(B13:B18)),"")</f>
        <v>481408.6875</v>
      </c>
      <c r="C19" s="54">
        <f>IFERROR(IF(C9="","",SUM(C13:C18)),"")</f>
        <v>510293.20875</v>
      </c>
      <c r="D19" s="54">
        <f>IFERROR(IF(D9="","",SUM(D13:D18)),"")</f>
        <v>530704.9371000001</v>
      </c>
      <c r="E19" s="67">
        <f>IFERROR(B19/$B$9,"")</f>
        <v>0.4155</v>
      </c>
      <c r="F19" s="29" t="n"/>
      <c r="G19" s="29" t="n"/>
      <c r="H19" s="29" t="n"/>
    </row>
    <row r="20">
      <c r="A20" s="26" t="inlineStr">
        <is>
          <t>GROSS MARGIN</t>
        </is>
      </c>
      <c r="B20" s="54">
        <f>IFERROR(IF(B9="","",B9-B19),"")</f>
        <v>677216.3125</v>
      </c>
      <c r="C20" s="54">
        <f>IFERROR(IF(C9="","",C9-C19),"")</f>
        <v>717849.29125</v>
      </c>
      <c r="D20" s="54">
        <f>IFERROR(IF(D9="","",D9-D19),"")</f>
        <v>746563.2629000001</v>
      </c>
      <c r="E20" s="67">
        <f>IFERROR(B20/$B$9,"")</f>
        <v>0.5845</v>
      </c>
      <c r="F20" s="29" t="n"/>
      <c r="G20" s="29" t="n"/>
      <c r="H20" s="29" t="n"/>
    </row>
    <row r="21">
      <c r="A21" s="26" t="inlineStr">
        <is>
          <t>FIXED COSTS</t>
        </is>
      </c>
      <c r="B21" s="29" t="n"/>
      <c r="C21" s="29" t="n"/>
      <c r="D21" s="29" t="n"/>
      <c r="E21" s="29" t="n"/>
      <c r="F21" s="29" t="n"/>
      <c r="G21" s="29" t="n"/>
      <c r="H21" s="29" t="n"/>
    </row>
    <row r="22">
      <c r="A22" s="29" t="inlineStr">
        <is>
          <t>Rent</t>
        </is>
      </c>
      <c r="B22" s="41">
        <f>IFERROR(IF(B9="","",'0. Assumptions'!$B$24*12),"")</f>
        <v>54000.0</v>
      </c>
      <c r="C22" s="41">
        <f>IFERROR(IF(C9="","",B22*(1+'0. Assumptions'!$B$48)),"")</f>
        <v>54000.0</v>
      </c>
      <c r="D22" s="41">
        <f>IFERROR(IF(D9="","",C22*(1+'0. Assumptions'!$B$48)),"")</f>
        <v>54000.0</v>
      </c>
      <c r="E22" s="68">
        <f>IFERROR(B22/$B$9,"")</f>
        <v>0.04660696946811954</v>
      </c>
      <c r="F22" s="29" t="inlineStr">
        <is>
          <t>The monthly amount is on the "0. Assumptions" tab; here it is multiplied by twelve. The two months of rent before opening are on "Startup Costs" and are NOT counted twice</t>
        </is>
      </c>
      <c r="G22" s="68">
        <f>IFERROR(IF(B9="","",'0. Assumptions'!$B$41),"")</f>
        <v>0.0</v>
      </c>
      <c r="H22" s="29" t="n"/>
    </row>
    <row r="23">
      <c r="A23" s="29" t="inlineStr">
        <is>
          <t>Labor (wages + employer payroll taxes)</t>
        </is>
      </c>
      <c r="B23" s="41">
        <f>IFERROR(IF(B9="","",Staffing!$G$12),"")</f>
        <v>384225.6</v>
      </c>
      <c r="C23" s="41">
        <f>IFERROR(IF(C9="","",Staffing!$B$16),"")</f>
        <v>389225.6</v>
      </c>
      <c r="D23" s="41">
        <f>IFERROR(IF(D9="","",Staffing!$B$17),"")</f>
        <v>394225.6</v>
      </c>
      <c r="E23" s="68">
        <f>IFERROR(B23/$B$9,"")</f>
        <v>0.33162205200129463</v>
      </c>
      <c r="F23" s="29" t="inlineStr">
        <is>
          <t>Comes from the Staffing tab: it is the SAME number, not a separate estimate. Years 2 and 3 add the new hires declared on that tab, not a percentage of volume</t>
        </is>
      </c>
      <c r="G23" s="68" t="n">
        <v>0</v>
      </c>
      <c r="H23" s="29" t="n"/>
    </row>
    <row r="24">
      <c r="A24" s="29" t="inlineStr">
        <is>
          <t>Utilities (electricity, water, gas)</t>
        </is>
      </c>
      <c r="B24" s="41">
        <f>IFERROR(IF(B9="","",'0. Assumptions'!$B$26*12),"")</f>
        <v>20400.0</v>
      </c>
      <c r="C24" s="41">
        <f>IFERROR(IF(C9="","",B24*(1+'0. Assumptions'!$B$48)),"")</f>
        <v>20400.0</v>
      </c>
      <c r="D24" s="41">
        <f>IFERROR(IF(D9="","",C24*(1+'0. Assumptions'!$B$48)),"")</f>
        <v>20400.0</v>
      </c>
      <c r="E24" s="68">
        <f>IFERROR(B24/$B$9,"")</f>
        <v>0.017607077354622937</v>
      </c>
      <c r="F24" s="29" t="inlineStr">
        <is>
          <t>Enter the monthly bills excl. sales tax. The workbook applies a single tax treatment to this whole line, the one in the column next to it; if one utility is taxed differently in your area, give it its own line</t>
        </is>
      </c>
      <c r="G24" s="68">
        <f>IFERROR(IF(B9="","",'0. Assumptions'!$B$41),"")</f>
        <v>0.0</v>
      </c>
      <c r="H24" s="29" t="n"/>
    </row>
    <row r="25">
      <c r="A25" s="29" t="inlineStr">
        <is>
          <t>Insurance (general + liquor liability + property + workers' comp)</t>
        </is>
      </c>
      <c r="B25" s="41">
        <f>IFERROR(IF(B9="","",'0. Assumptions'!$B$27),"")</f>
        <v>8000.0</v>
      </c>
      <c r="C25" s="41">
        <f>IFERROR(IF(C9="","",B25*(1+'0. Assumptions'!$B$48)),"")</f>
        <v>8000.0</v>
      </c>
      <c r="D25" s="41">
        <f>IFERROR(IF(D9="","",C25*(1+'0. Assumptions'!$B$48)),"")</f>
        <v>8000.0</v>
      </c>
      <c r="E25" s="68">
        <f>IFERROR(B25/$B$9,"")</f>
        <v>0.006904736217499191</v>
      </c>
      <c r="F25" s="29" t="inlineStr">
        <is>
          <t>Insurance premiums are not subject to sales tax: there is no recoverable tax on them</t>
        </is>
      </c>
      <c r="G25" s="68" t="n">
        <v>0</v>
      </c>
      <c r="H25" s="29" t="n"/>
    </row>
    <row r="26">
      <c r="A26" s="29" t="inlineStr">
        <is>
          <t>Accounting &amp; bookkeeping</t>
        </is>
      </c>
      <c r="B26" s="51" t="n">
        <v>4200</v>
      </c>
      <c r="C26" s="41">
        <f>IFERROR(IF(C9="","",B26*(1+'0. Assumptions'!$B$48)),"")</f>
        <v>4200.0</v>
      </c>
      <c r="D26" s="41">
        <f>IFERROR(IF(D9="","",C26*(1+'0. Assumptions'!$B$48)),"")</f>
        <v>4200.0</v>
      </c>
      <c r="E26" s="68">
        <f>IFERROR(B26/$B$9,"")</f>
        <v>0.003624986514187075</v>
      </c>
      <c r="F26" s="29" t="inlineStr">
        <is>
          <t>Bookkeeping, income tax and payroll filings for the LLC, payroll processing and the staff paperwork (offer letters, I-9, W-4)</t>
        </is>
      </c>
      <c r="G26" s="68">
        <f>IFERROR(IF(B9="","",'0. Assumptions'!$B$41),"")</f>
        <v>0.0</v>
      </c>
      <c r="H26" s="29" t="n"/>
    </row>
    <row r="27">
      <c r="A27" s="29" t="inlineStr">
        <is>
          <t>Maintenance (semiannual hood cleaning, refrigeration &amp; freezer, rice cookers)</t>
        </is>
      </c>
      <c r="B27" s="51" t="n">
        <v>3600</v>
      </c>
      <c r="C27" s="41">
        <f>IFERROR(IF(C9="","",B27*(1+'0. Assumptions'!$B$48)),"")</f>
        <v>3600.0</v>
      </c>
      <c r="D27" s="41">
        <f>IFERROR(IF(D9="","",C27*(1+'0. Assumptions'!$B$48)),"")</f>
        <v>3600.0</v>
      </c>
      <c r="E27" s="68">
        <f>IFERROR(B27/$B$9,"")</f>
        <v>0.003107131297874636</v>
      </c>
      <c r="F27" s="29" t="inlineStr">
        <is>
          <t>The refrigeration technician for the walk-in, the reach-ins, the sushi case, the rice cookers and the freezer (which must hold −4 °F or below for the parasite records); hood and duct cleaning twice a year (NFPA 96: ask your fire marshal); and the calibration solutions for the pH meter if you use one</t>
        </is>
      </c>
      <c r="G27" s="68">
        <f>IFERROR(IF(B9="","",'0. Assumptions'!$B$41),"")</f>
        <v>0.0</v>
      </c>
      <c r="H27" s="29" t="n"/>
    </row>
    <row r="28">
      <c r="A28" s="29" t="inlineStr">
        <is>
          <t>Marketing and advertising</t>
        </is>
      </c>
      <c r="B28" s="51" t="n">
        <v>7000</v>
      </c>
      <c r="C28" s="41">
        <f>IFERROR(IF(C9="","",B28*(1+'0. Assumptions'!$B$48)),"")</f>
        <v>7000.0</v>
      </c>
      <c r="D28" s="41">
        <f>IFERROR(IF(D9="","",C28*(1+'0. Assumptions'!$B$48)),"")</f>
        <v>7000.0</v>
      </c>
      <c r="E28" s="68">
        <f>IFERROR(B28/$B$9,"")</f>
        <v>0.006041644190311792</v>
      </c>
      <c r="F28" s="29" t="inlineStr">
        <is>
          <t>Google Business Profile, social media, photos, the delivery marketplaces' promotions and the peak dates (Valentine's Day, New Year's Eve platters and holiday parties); the opening campaign is in startup costs</t>
        </is>
      </c>
      <c r="G28" s="68">
        <f>IFERROR(IF(B9="","",'0. Assumptions'!$B$41),"")</f>
        <v>0.0</v>
      </c>
      <c r="H28" s="29" t="n"/>
    </row>
    <row r="29">
      <c r="A29" s="29" t="inlineStr">
        <is>
          <t>Software, POS &amp; online ordering</t>
        </is>
      </c>
      <c r="B29" s="51" t="n">
        <v>3600</v>
      </c>
      <c r="C29" s="41">
        <f>IFERROR(IF(C9="","",B29*(1+'0. Assumptions'!$B$48)),"")</f>
        <v>3600.0</v>
      </c>
      <c r="D29" s="41">
        <f>IFERROR(IF(D9="","",C29*(1+'0. Assumptions'!$B$48)),"")</f>
        <v>3600.0</v>
      </c>
      <c r="E29" s="68">
        <f>IFERROR(B29/$B$9,"")</f>
        <v>0.003107131297874636</v>
      </c>
      <c r="F29" s="29" t="inlineStr">
        <is>
          <t>POS subscription (a POS that reports sales tax), online ordering, the delivery tablets, phone and internet</t>
        </is>
      </c>
      <c r="G29" s="68">
        <f>IFERROR(IF(B9="","",'0. Assumptions'!$B$41),"")</f>
        <v>0.0</v>
      </c>
      <c r="H29" s="29" t="n"/>
    </row>
    <row r="30">
      <c r="A30" s="29" t="inlineStr">
        <is>
          <t>Cleaning, linens &amp; uniforms</t>
        </is>
      </c>
      <c r="B30" s="51" t="n">
        <v>2400</v>
      </c>
      <c r="C30" s="41">
        <f>IFERROR(IF(C9="","",B30*(1+'0. Assumptions'!$B$48)),"")</f>
        <v>2400.0</v>
      </c>
      <c r="D30" s="41">
        <f>IFERROR(IF(D9="","",C30*(1+'0. Assumptions'!$B$48)),"")</f>
        <v>2400.0</v>
      </c>
      <c r="E30" s="68">
        <f>IFERROR(B30/$B$9,"")</f>
        <v>0.0020714208652497573</v>
      </c>
      <c r="F30" s="29" t="inlineStr">
        <is>
          <t>Cleaning supplies, uniform and towel laundry, gloves and any lab tests or records your written food safety plan calls for</t>
        </is>
      </c>
      <c r="G30" s="68">
        <f>IFERROR(IF(B9="","",'0. Assumptions'!$B$41),"")</f>
        <v>0.0</v>
      </c>
      <c r="H30" s="29" t="n"/>
    </row>
    <row r="31">
      <c r="A31" s="29" t="inlineStr">
        <is>
          <t>Waste, grease &amp; used-oil hauling</t>
        </is>
      </c>
      <c r="B31" s="51" t="n">
        <v>1800</v>
      </c>
      <c r="C31" s="41">
        <f>IFERROR(IF(C9="","",B31*(1+'0. Assumptions'!$B$48)),"")</f>
        <v>1800.0</v>
      </c>
      <c r="D31" s="41">
        <f>IFERROR(IF(D9="","",C31*(1+'0. Assumptions'!$B$48)),"")</f>
        <v>1800.0</v>
      </c>
      <c r="E31" s="68">
        <f>IFERROR(B31/$B$9,"")</f>
        <v>0.001553565648937318</v>
      </c>
      <c r="F31" s="29" t="inlineStr">
        <is>
          <t>Trash and cardboard pickup, the grease interceptor service and the used fryer oil, with a licensed waste / grease hauler. Enter the rates of your city</t>
        </is>
      </c>
      <c r="G31" s="68">
        <f>IFERROR(IF(B9="","",'0. Assumptions'!$B$41),"")</f>
        <v>0.0</v>
      </c>
      <c r="H31" s="29" t="n"/>
    </row>
    <row r="32">
      <c r="A32" s="29" t="inlineStr">
        <is>
          <t>Pest control</t>
        </is>
      </c>
      <c r="B32" s="51" t="n">
        <v>900</v>
      </c>
      <c r="C32" s="41">
        <f>IFERROR(IF(C9="","",B32*(1+'0. Assumptions'!$B$48)),"")</f>
        <v>900.0</v>
      </c>
      <c r="D32" s="41">
        <f>IFERROR(IF(D9="","",C32*(1+'0. Assumptions'!$B$48)),"")</f>
        <v>900.0</v>
      </c>
      <c r="E32" s="68">
        <f>IFERROR(B32/$B$9,"")</f>
        <v>0.000776782824468659</v>
      </c>
      <c r="F32" s="29" t="inlineStr">
        <is>
          <t>Contract with a licensed pest control operator: it is part of the prerequisites of your written food safety plan.</t>
        </is>
      </c>
      <c r="G32" s="68">
        <f>IFERROR(IF(B9="","",'0. Assumptions'!$B$41),"")</f>
        <v>0.0</v>
      </c>
      <c r="H32" s="29" t="n"/>
    </row>
    <row r="33">
      <c r="A33" s="29" t="inlineStr">
        <is>
          <t>Music licensing (ASCAP/BMI/SESAC)</t>
        </is>
      </c>
      <c r="B33" s="51" t="n">
        <v>1000</v>
      </c>
      <c r="C33" s="41">
        <f>IFERROR(IF(C9="","",B33*(1+'0. Assumptions'!$B$48)),"")</f>
        <v>1000.0</v>
      </c>
      <c r="D33" s="41">
        <f>IFERROR(IF(D9="","",C33*(1+'0. Assumptions'!$B$48)),"")</f>
        <v>1000.0</v>
      </c>
      <c r="E33" s="68">
        <f>IFERROR(B33/$B$9,"")</f>
        <v>0.0008630920271873989</v>
      </c>
      <c r="F33" s="29" t="inlineStr">
        <is>
          <t>ASCAP, BMI and SESAC are separate licenses; the fee depends on the square footage and the seating of your restaurant</t>
        </is>
      </c>
      <c r="G33" s="68">
        <f>IFERROR(IF(B9="","",'0. Assumptions'!$B$41),"")</f>
        <v>0.0</v>
      </c>
      <c r="H33" s="29" t="n"/>
    </row>
    <row r="34">
      <c r="A34" s="29" t="inlineStr">
        <is>
          <t>Training &amp; permit renewals (CFPM, allergens, HACCP plan or variance, OSHA)</t>
        </is>
      </c>
      <c r="B34" s="51" t="n">
        <v>3500</v>
      </c>
      <c r="C34" s="41">
        <f>IFERROR(IF(C9="","",B34*(1+'0. Assumptions'!$B$48)),"")</f>
        <v>3500.0</v>
      </c>
      <c r="D34" s="41">
        <f>IFERROR(IF(D9="","",C34*(1+'0. Assumptions'!$B$48)),"")</f>
        <v>3500.0</v>
      </c>
      <c r="E34" s="68">
        <f>IFERROR(B34/$B$9,"")</f>
        <v>0.003020822095155896</v>
      </c>
      <c r="F34" s="29" t="inlineStr">
        <is>
          <t>Certified Food Protection Manager (CFPM) and food handler cards, allergen and raw fish handling training, the renewal of your HACCP plan or variance if you have one, and OSHA basics: knife cuts, fryer and griddle burns, freezer cold and lifting</t>
        </is>
      </c>
      <c r="G34" s="68">
        <f>IFERROR(IF(B9="","",'0. Assumptions'!$B$41),"")</f>
        <v>0.0</v>
      </c>
      <c r="H34" s="29" t="n"/>
    </row>
    <row r="35">
      <c r="A35" s="29" t="inlineStr">
        <is>
          <t>Depreciation of fixed assets</t>
        </is>
      </c>
      <c r="B35" s="41">
        <f>IFERROR(IF(B9="","",'Startup Costs'!$B$37),"")</f>
        <v>25458.571428571428</v>
      </c>
      <c r="C35" s="41">
        <f>IFERROR(IF(C9="","",B35),"")</f>
        <v>25458.571428571428</v>
      </c>
      <c r="D35" s="41">
        <f>IFERROR(IF(D9="","",B35),"")</f>
        <v>25458.571428571428</v>
      </c>
      <c r="E35" s="68">
        <f>IFERROR(B35/$B$9,"")</f>
        <v>0.021973090023580905</v>
      </c>
      <c r="F35" s="29" t="inlineStr">
        <is>
          <t>Comes from the depreciation bases on the Startup Costs tab: real fixed assets only. It does NOT rise with inflation: it is a charge on the HISTORICAL cost of the assets</t>
        </is>
      </c>
      <c r="G35" s="68" t="n">
        <v>0</v>
      </c>
      <c r="H35" s="29" t="n"/>
    </row>
    <row r="36">
      <c r="A36" s="29" t="inlineStr">
        <is>
          <t>Interest expense (loan interest)</t>
        </is>
      </c>
      <c r="B36" s="41">
        <f>IFERROR(IF(B9="","",Financing!$B$44),"")</f>
        <v>25600.0</v>
      </c>
      <c r="C36" s="41">
        <f>IFERROR(IF(C9="","",Financing!$B$46),"")</f>
        <v>23993.717891007705</v>
      </c>
      <c r="D36" s="41">
        <f>IFERROR(IF(D9="","",Financing!$B$48),"")</f>
        <v>22226.80757111618</v>
      </c>
      <c r="E36" s="68">
        <f>IFERROR(B36/$B$9,"")</f>
        <v>0.02209515589599741</v>
      </c>
      <c r="F36" s="29" t="inlineStr">
        <is>
          <t>Only INTEREST is an expense. Principal repaid appears on the cash flow tab</t>
        </is>
      </c>
      <c r="G36" s="68" t="n">
        <v>0</v>
      </c>
      <c r="H36" s="29" t="n"/>
    </row>
    <row r="37">
      <c r="A37" s="26" t="inlineStr">
        <is>
          <t>TOTAL FIXED COSTS</t>
        </is>
      </c>
      <c r="B37" s="54">
        <f>IFERROR(IF(B9="","",SUM(B22:B36)),"")</f>
        <v>545684.1714285715</v>
      </c>
      <c r="C37" s="54">
        <f>IFERROR(IF(C9="","",SUM(C22:C36)),"")</f>
        <v>549077.8893195791</v>
      </c>
      <c r="D37" s="54">
        <f>IFERROR(IF(D9="","",SUM(D22:D36)),"")</f>
        <v>552310.9789996876</v>
      </c>
      <c r="E37" s="67">
        <f>IFERROR(B37/$B$9,"")</f>
        <v>0.47097565772236183</v>
      </c>
      <c r="F37" s="29" t="n"/>
      <c r="G37" s="29" t="n"/>
      <c r="H37" s="29" t="n"/>
    </row>
    <row r="38">
      <c r="A38" s="29" t="inlineStr">
        <is>
          <t>Recoverable input tax on variable costs</t>
        </is>
      </c>
      <c r="B38" s="41">
        <f>IFERROR(IF(B9="","",SUMPRODUCT(B13:B18,G13:G18)),"")</f>
        <v>0.0</v>
      </c>
      <c r="C38" s="41">
        <f>IFERROR(IF(C9="","",SUMPRODUCT(C13:C18,G13:G18)),"")</f>
        <v>0.0</v>
      </c>
      <c r="D38" s="41">
        <f>IFERROR(IF(D9="","",SUMPRODUCT(D13:D18,G13:G18)),"")</f>
        <v>0.0</v>
      </c>
      <c r="E38" s="29" t="n"/>
      <c r="F38" s="29" t="inlineStr">
        <is>
          <t>Each line at ITS OWN rate, read from the column next to it. It is what the cash flow tab overpays to suppliers and later deducts (zero wherever no tax is recoverable)</t>
        </is>
      </c>
      <c r="G38" s="29" t="n"/>
      <c r="H38" s="29" t="n"/>
    </row>
    <row r="39">
      <c r="A39" s="29" t="inlineStr">
        <is>
          <t>Recoverable input tax on fixed costs</t>
        </is>
      </c>
      <c r="B39" s="41">
        <f>IFERROR(IF(B9="","",SUMPRODUCT(B22:B36,G22:G36)),"")</f>
        <v>0.0</v>
      </c>
      <c r="C39" s="41">
        <f>IFERROR(IF(C9="","",SUMPRODUCT(C22:C36,G22:G36)),"")</f>
        <v>0.0</v>
      </c>
      <c r="D39" s="41">
        <f>IFERROR(IF(D9="","",SUMPRODUCT(D22:D36,G22:G36)),"")</f>
        <v>0.0</v>
      </c>
      <c r="E39" s="29" t="n"/>
      <c r="F39" s="29" t="n"/>
      <c r="G39" s="29" t="n"/>
      <c r="H39" s="29" t="n"/>
    </row>
    <row r="40">
      <c r="A40" s="26" t="inlineStr">
        <is>
          <t>PRE-TAX INCOME (EBT)</t>
        </is>
      </c>
      <c r="B40" s="54">
        <f>IFERROR(IF(B9="","",B20-B37),"")</f>
        <v>131532.14107142854</v>
      </c>
      <c r="C40" s="54">
        <f>IFERROR(IF(C9="","",C20-C37),"")</f>
        <v>168771.4019304209</v>
      </c>
      <c r="D40" s="54">
        <f>IFERROR(IF(D9="","",D20-D37),"")</f>
        <v>194252.2839003125</v>
      </c>
      <c r="E40" s="67">
        <f>IFERROR(B40/$B$9,"")</f>
        <v>0.11352434227763819</v>
      </c>
      <c r="F40" s="29" t="n"/>
      <c r="G40" s="29" t="n"/>
      <c r="H40" s="29" t="n"/>
    </row>
    <row r="41">
      <c r="A41" s="29" t="inlineStr">
        <is>
          <t>Net operating losses carried forward (opening)</t>
        </is>
      </c>
      <c r="B41" s="41">
        <f>IFERROR(IF(B9="","",'0. Assumptions'!$B$42),"")</f>
        <v>0.0</v>
      </c>
      <c r="C41" s="41">
        <f>IFERROR(IF(C9="","",B46),"")</f>
        <v>0.0</v>
      </c>
      <c r="D41" s="41">
        <f>IFERROR(IF(D9="","",C46),"")</f>
        <v>0.0</v>
      </c>
      <c r="E41" s="29" t="n"/>
      <c r="F41" s="29" t="inlineStr">
        <is>
          <t>Federal rules let a year's losses offset the profits of later years (the federal limit is 80% of taxable income; this model offsets 100% as a simplification)</t>
        </is>
      </c>
      <c r="G41" s="29" t="n"/>
      <c r="H41" s="29" t="n"/>
    </row>
    <row r="42">
      <c r="A42" s="29" t="inlineStr">
        <is>
          <t>Taxable income (after loss offset)</t>
        </is>
      </c>
      <c r="B42" s="41">
        <f>IFERROR(IF(B9="","",MAX(0,B40-B41)),"")</f>
        <v>131532.14107142854</v>
      </c>
      <c r="C42" s="41">
        <f>IFERROR(IF(C9="","",MAX(0,C40-C41)),"")</f>
        <v>168771.4019304209</v>
      </c>
      <c r="D42" s="41">
        <f>IFERROR(IF(D9="","",MAX(0,D40-D41)),"")</f>
        <v>194252.2839003125</v>
      </c>
      <c r="E42" s="29" t="n"/>
      <c r="F42" s="29" t="n"/>
      <c r="G42" s="29" t="n"/>
      <c r="H42" s="29" t="n"/>
    </row>
    <row r="43">
      <c r="A43" s="29" t="inlineStr">
        <is>
          <t>Years with positive taxable income (cumulative)</t>
        </is>
      </c>
      <c r="B43" s="41">
        <f>IFERROR(IF(B9="","",IF(B42&gt;0,1,0)),"")</f>
        <v>1.0</v>
      </c>
      <c r="C43" s="41">
        <f>IFERROR(IF(C9="","",B43+IF(C42&gt;0,1,0)),"")</f>
        <v>2.0</v>
      </c>
      <c r="D43" s="41">
        <f>IFERROR(IF(D9="","",C43+IF(D42&gt;0,1,0)),"")</f>
        <v>3.0</v>
      </c>
      <c r="E43" s="29" t="n"/>
      <c r="F43" s="29" t="n"/>
      <c r="G43" s="29" t="n"/>
      <c r="H43" s="29" t="n"/>
    </row>
    <row r="44">
      <c r="A44" s="29" t="inlineStr">
        <is>
          <t>Effective income tax rate applied</t>
        </is>
      </c>
      <c r="B44" s="68">
        <f>IFERROR(IF(B9="","",IF(B42&lt;=0,"",IF(B43&lt;=2,'0. Assumptions'!$B$37,'0. Assumptions'!$B$38))),"")</f>
        <v>0.25</v>
      </c>
      <c r="C44" s="68">
        <f>IFERROR(IF(C9="","",IF(C42&lt;=0,"",IF(C43&lt;=2,'0. Assumptions'!$B$37,'0. Assumptions'!$B$38))),"")</f>
        <v>0.25</v>
      </c>
      <c r="D44" s="68">
        <f>IFERROR(IF(D9="","",IF(D42&lt;=0,"",IF(D43&lt;=2,'0. Assumptions'!$B$37,'0. Assumptions'!$B$38))),"")</f>
        <v>0.25</v>
      </c>
      <c r="E44" s="29" t="n"/>
      <c r="F44" s="29" t="inlineStr">
        <is>
          <t>The "years 1-2" rate applies to the first two years with positive taxable income, not to the first two calendar years of the business. The model approximates this by counting the first two profitable years</t>
        </is>
      </c>
      <c r="G44" s="29" t="n"/>
      <c r="H44" s="29" t="n"/>
    </row>
    <row r="45">
      <c r="A45" s="29" t="inlineStr">
        <is>
          <t>Income tax</t>
        </is>
      </c>
      <c r="B45" s="41">
        <f>IFERROR(IF(B9="","",IF(B44="",0,B42*B44)),"")</f>
        <v>32883.035267857136</v>
      </c>
      <c r="C45" s="41">
        <f>IFERROR(IF(C9="","",IF(C44="",0,C42*C44)),"")</f>
        <v>42192.85048260522</v>
      </c>
      <c r="D45" s="41">
        <f>IFERROR(IF(D9="","",IF(D44="",0,D42*D44)),"")</f>
        <v>48563.070975078124</v>
      </c>
      <c r="E45" s="29" t="n"/>
      <c r="F45" s="29" t="n"/>
      <c r="G45" s="29" t="n"/>
      <c r="H45" s="29" t="n"/>
    </row>
    <row r="46">
      <c r="A46" s="29" t="inlineStr">
        <is>
          <t>Net operating losses carried forward (closing)</t>
        </is>
      </c>
      <c r="B46" s="41">
        <f>IFERROR(IF(B9="","",MAX(0,B41-B40)),"")</f>
        <v>0.0</v>
      </c>
      <c r="C46" s="41">
        <f>IFERROR(IF(C9="","",MAX(0,C41-C40)),"")</f>
        <v>0.0</v>
      </c>
      <c r="D46" s="41">
        <f>IFERROR(IF(D9="","",MAX(0,D41-D40)),"")</f>
        <v>0.0</v>
      </c>
      <c r="E46" s="29" t="n"/>
      <c r="F46" s="29" t="n"/>
      <c r="G46" s="29" t="n"/>
      <c r="H46" s="29" t="n"/>
    </row>
    <row r="47">
      <c r="A47" s="26" t="inlineStr">
        <is>
          <t>NET INCOME</t>
        </is>
      </c>
      <c r="B47" s="54">
        <f>IFERROR(IF(B9="","",B40-B45),"")</f>
        <v>98649.10580357141</v>
      </c>
      <c r="C47" s="54">
        <f>IFERROR(IF(C9="","",C40-C45),"")</f>
        <v>126578.55144781567</v>
      </c>
      <c r="D47" s="54">
        <f>IFERROR(IF(D9="","",D40-D45),"")</f>
        <v>145689.21292523437</v>
      </c>
      <c r="E47" s="67">
        <f>IFERROR(B47/$B$9,"")</f>
        <v>0.08514325670822864</v>
      </c>
      <c r="F47" s="29" t="n"/>
      <c r="G47" s="29" t="n"/>
      <c r="H47" s="29" t="n"/>
    </row>
    <row r="48">
      <c r="A48" s="26" t="inlineStr">
        <is>
          <t>KEY RATIOS</t>
        </is>
      </c>
      <c r="B48" s="29" t="n"/>
      <c r="C48" s="29" t="n"/>
      <c r="D48" s="29" t="n"/>
      <c r="E48" s="29" t="n"/>
      <c r="F48" s="29" t="n"/>
      <c r="G48" s="29" t="n"/>
      <c r="H48" s="29" t="n"/>
    </row>
    <row r="49">
      <c r="A49" s="26" t="inlineStr">
        <is>
          <t>Ratio</t>
        </is>
      </c>
      <c r="B49" s="26" t="inlineStr">
        <is>
          <t>Year 1</t>
        </is>
      </c>
      <c r="C49" s="26" t="inlineStr">
        <is>
          <t>Year 2</t>
        </is>
      </c>
      <c r="D49" s="26" t="inlineStr">
        <is>
          <t>Year 3</t>
        </is>
      </c>
      <c r="E49" s="26" t="inlineStr">
        <is>
          <t>Threshold</t>
        </is>
      </c>
      <c r="F49" s="26" t="inlineStr">
        <is>
          <t>Comment</t>
        </is>
      </c>
      <c r="G49" s="29" t="n"/>
      <c r="H49" s="29" t="n"/>
    </row>
    <row r="50">
      <c r="A50" s="29" t="inlineStr">
        <is>
          <t>Gross margin / Sales</t>
        </is>
      </c>
      <c r="B50" s="68">
        <f>IFERROR(IF(B9="","",B20/B9),"")</f>
        <v>0.5845</v>
      </c>
      <c r="C50" s="68">
        <f>IFERROR(IF(C9="","",C20/C9),"")</f>
        <v>0.5845</v>
      </c>
      <c r="D50" s="68">
        <f>IFERROR(IF(D9="","",D20/D9),"")</f>
        <v>0.5845</v>
      </c>
      <c r="E50" s="74" t="n">
        <v>0.55</v>
      </c>
      <c r="F50" s="29" t="inlineStr">
        <is>
          <t>Floor for the margin after ALL variable costs (food and beverage, packaging, marketplace fees, card fees and miscellaneous). With about 15% of sales through marketplaces, a sushi restaurant leaves less than a dining room alone. Kit estimate</t>
        </is>
      </c>
      <c r="G50" s="29" t="n"/>
      <c r="H50" s="29" t="n"/>
    </row>
    <row r="51">
      <c r="A51" s="29" t="inlineStr">
        <is>
          <t>Cost of goods sold (food + beverage)</t>
        </is>
      </c>
      <c r="B51" s="41">
        <f>IFERROR(IF(B9="","",B13+B14),"")</f>
        <v>356856.5</v>
      </c>
      <c r="C51" s="41">
        <f>IFERROR(IF(C9="","",C13+C14),"")</f>
        <v>378267.89</v>
      </c>
      <c r="D51" s="41">
        <f>IFERROR(IF(D9="","",D13+D14),"")</f>
        <v>393398.6056000001</v>
      </c>
      <c r="E51" s="29" t="n"/>
      <c r="F51" s="29" t="n"/>
      <c r="G51" s="29" t="n"/>
      <c r="H51" s="29" t="n"/>
    </row>
    <row r="52">
      <c r="A52" s="29" t="inlineStr">
        <is>
          <t>Cost of goods sold / Sales</t>
        </is>
      </c>
      <c r="B52" s="68">
        <f>IFERROR(IF(B9="","",B51/B9),"")</f>
        <v>0.308</v>
      </c>
      <c r="C52" s="68">
        <f>IFERROR(IF(C9="","",C51/C9),"")</f>
        <v>0.308</v>
      </c>
      <c r="D52" s="68">
        <f>IFERROR(IF(D9="","",D51/D9),"")</f>
        <v>0.30800000000000005</v>
      </c>
      <c r="E52" s="74" t="n">
        <v>0.33</v>
      </c>
      <c r="F52" s="29" t="inlineStr">
        <is>
          <t>Ceiling for cost of goods sold on sales: salmon pays for the menu, while tuna, shrimp and sushi case waste make it more expensive. Kit estimate</t>
        </is>
      </c>
      <c r="G52" s="29" t="n"/>
      <c r="H52" s="29" t="n"/>
    </row>
    <row r="53">
      <c r="A53" s="29" t="inlineStr">
        <is>
          <t>Labor cost / Sales</t>
        </is>
      </c>
      <c r="B53" s="68">
        <f>IFERROR(IF(B9="","",B23/B9),"")</f>
        <v>0.33162205200129463</v>
      </c>
      <c r="C53" s="68">
        <f>IFERROR(IF(C9="","",C23/C9),"")</f>
        <v>0.31692218126153926</v>
      </c>
      <c r="D53" s="68">
        <f>IFERROR(IF(D9="","",D23/D9),"")</f>
        <v>0.30864747122021824</v>
      </c>
      <c r="E53" s="74" t="n">
        <v>0.36</v>
      </c>
      <c r="F53" s="29" t="inlineStr">
        <is>
          <t>Ceiling for labor on sales with a head sushi chef, a sushi chef and table service at lunch and dinner. Servers' tips go on top and are not part of it. Kit estimate</t>
        </is>
      </c>
      <c r="G53" s="29" t="n"/>
      <c r="H53" s="29" t="n"/>
    </row>
    <row r="54">
      <c r="A54" s="29" t="inlineStr">
        <is>
          <t>Rent / Sales</t>
        </is>
      </c>
      <c r="B54" s="68">
        <f>IFERROR(IF(B9="","",B22/B9),"")</f>
        <v>0.04660696946811954</v>
      </c>
      <c r="C54" s="68">
        <f>IFERROR(IF(C9="","",C22/C9),"")</f>
        <v>0.04396883912086749</v>
      </c>
      <c r="D54" s="68">
        <f>IFERROR(IF(D9="","",D22/D9),"")</f>
        <v>0.04227772992391104</v>
      </c>
      <c r="E54" s="74" t="n">
        <v>0.1</v>
      </c>
      <c r="F54" s="29" t="inlineStr">
        <is>
          <t>Ceiling for rent on sales for a space with a Type I hood and exhaust to the roof: Kit estimate</t>
        </is>
      </c>
      <c r="G54" s="29" t="n"/>
      <c r="H54" s="29" t="n"/>
    </row>
    <row r="55">
      <c r="A55" s="29" t="inlineStr">
        <is>
          <t>Net income / Sales</t>
        </is>
      </c>
      <c r="B55" s="68">
        <f>IFERROR(IF(B9="","",B47/B9),"")</f>
        <v>0.08514325670822864</v>
      </c>
      <c r="C55" s="68">
        <f>IFERROR(IF(C9="","",C47/C9),"")</f>
        <v>0.1030650363844714</v>
      </c>
      <c r="D55" s="68">
        <f>IFERROR(IF(D9="","",D47/D9),"")</f>
        <v>0.11406313327555978</v>
      </c>
      <c r="E55" s="74" t="n">
        <v>0.05</v>
      </c>
      <c r="F55" s="29" t="inlineStr">
        <is>
          <t>Floor for the net result on sales at full pace so the plan holds up. A well-run sushi restaurant earns around 8-11% in this example. Kit estimate</t>
        </is>
      </c>
      <c r="G55" s="29" t="n"/>
      <c r="H55" s="29" t="n"/>
    </row>
    <row r="56">
      <c r="A56" s="29" t="inlineStr">
        <is>
          <t>Break-even reached</t>
        </is>
      </c>
      <c r="B56" s="29" t="str">
        <f>IFERROR(IF(B9="","",IF(B9&gt;='Break-Even'!$B$16,"Yes","No")),"")</f>
        <v>Yes</v>
      </c>
      <c r="C56" s="29" t="str">
        <f>IFERROR(IF(C9="","",IF(C9&gt;='Break-Even'!$C$16,"Yes","No")),"")</f>
        <v>Yes</v>
      </c>
      <c r="D56" s="29" t="str">
        <f>IFERROR(IF(D9="","",IF(D9&gt;='Break-Even'!$D$16,"Yes","No")),"")</f>
        <v>Yes</v>
      </c>
      <c r="E56" s="29" t="n"/>
      <c r="F56" s="29" t="inlineStr">
        <is>
          <t>Compares each year's sales with that same year's threshold, which the Break-Even tab calculates with that year's fixed costs</t>
        </is>
      </c>
      <c r="G56" s="29" t="n"/>
      <c r="H56" s="29" t="n"/>
    </row>
    <row r="57">
      <c r="A57" s="29" t="n"/>
      <c r="B57" s="29" t="n"/>
      <c r="C57" s="29" t="n"/>
      <c r="D57" s="29" t="n"/>
      <c r="E57" s="29" t="n"/>
      <c r="F57" s="29" t="n"/>
      <c r="G57" s="29" t="n"/>
      <c r="H57" s="29" t="n"/>
    </row>
    <row r="58" ht="165" customHeight="1">
      <c r="A58" s="48"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Yes">
      <formula>NOT(ISERROR(SEARCH("Yes",B56)))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nvalid amount" error="Enter a number greater than or equal to 0." type="decimal" operator="greaterThanOrEqual">
      <formula1>0</formula1>
    </dataValidation>
    <dataValidation sqref="E50 E52 E53 E54 E55 G13 H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9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Monthly and daily break-even — sushi restaurant with sushi bar, tables, take-out and delivery</t>
        </is>
      </c>
    </row>
    <row r="4">
      <c r="A4" s="26" t="inlineStr">
        <is>
          <t>Variable</t>
        </is>
      </c>
      <c r="B4" s="26" t="inlineStr">
        <is>
          <t>Year 1</t>
        </is>
      </c>
      <c r="C4" s="26" t="inlineStr">
        <is>
          <t>Year 2</t>
        </is>
      </c>
      <c r="D4" s="26" t="inlineStr">
        <is>
          <t>Year 3</t>
        </is>
      </c>
      <c r="E4" s="26" t="inlineStr">
        <is>
          <t>Notes</t>
        </is>
      </c>
      <c r="F4" s="29" t="n"/>
    </row>
    <row r="5">
      <c r="A5" s="26" t="inlineStr">
        <is>
          <t>BASE DATA BY YEAR</t>
        </is>
      </c>
      <c r="B5" s="29" t="n"/>
      <c r="C5" s="29" t="n"/>
      <c r="D5" s="29" t="n"/>
      <c r="E5" s="29" t="n"/>
      <c r="F5" s="29" t="n"/>
    </row>
    <row r="6">
      <c r="A6" s="29" t="inlineStr">
        <is>
          <t>Annual fixed costs</t>
        </is>
      </c>
      <c r="B6" s="62">
        <f>IFERROR(IF('3-Year P&amp;L'!$B$9="","",'3-Year P&amp;L'!$B$37),"")</f>
        <v>545684.1714285715</v>
      </c>
      <c r="C6" s="62">
        <f>IFERROR(IF('3-Year P&amp;L'!$C$9="","",'3-Year P&amp;L'!$C$37),"")</f>
        <v>549077.8893195791</v>
      </c>
      <c r="D6" s="62">
        <f>IFERROR(IF('3-Year P&amp;L'!$D$9="","",'3-Year P&amp;L'!$D$37),"")</f>
        <v>552310.9789996876</v>
      </c>
      <c r="E6" s="29" t="inlineStr">
        <is>
          <t>The SAME fixed costs as the P&amp;L. Each year has its own, which is why the threshold cannot be a single one for all three years</t>
        </is>
      </c>
      <c r="F6" s="29" t="n"/>
    </row>
    <row r="7">
      <c r="A7" s="29" t="inlineStr">
        <is>
          <t>Monthly fixed costs</t>
        </is>
      </c>
      <c r="B7" s="62">
        <f>IFERROR(IF('3-Year P&amp;L'!$B$9="","",B6/12),"")</f>
        <v>45473.68095238096</v>
      </c>
      <c r="C7" s="62">
        <f>IFERROR(IF('3-Year P&amp;L'!$C$9="","",C6/12),"")</f>
        <v>45756.490776631596</v>
      </c>
      <c r="D7" s="62">
        <f>IFERROR(IF('3-Year P&amp;L'!$D$9="","",D6/12),"")</f>
        <v>46025.914916640635</v>
      </c>
      <c r="E7" s="29" t="n"/>
      <c r="F7" s="29" t="n"/>
    </row>
    <row r="8">
      <c r="A8" s="29" t="inlineStr">
        <is>
          <t>Average check (excl. sales tax)</t>
        </is>
      </c>
      <c r="B8" s="62">
        <f>IFERROR(IF('3-Year P&amp;L'!$B$9="","",'3-Year P&amp;L'!$B$7),"")</f>
        <v>32.5</v>
      </c>
      <c r="C8" s="62">
        <f>IFERROR(IF('3-Year P&amp;L'!$C$9="","",'3-Year P&amp;L'!$C$7),"")</f>
        <v>32.5</v>
      </c>
      <c r="D8" s="62">
        <f>IFERROR(IF('3-Year P&amp;L'!$D$9="","",'3-Year P&amp;L'!$D$7),"")</f>
        <v>32.5</v>
      </c>
      <c r="E8" s="29" t="n"/>
      <c r="F8" s="29" t="n"/>
    </row>
    <row r="9">
      <c r="A9" s="29" t="inlineStr">
        <is>
          <t>Variable cost per cover</t>
        </is>
      </c>
      <c r="B9" s="62">
        <f>IFERROR(IF('3-Year P&amp;L'!$B$9="","",'3-Year P&amp;L'!$B$19/('3-Year P&amp;L'!$B$6*'3-Year P&amp;L'!$B$8)),"")</f>
        <v>13.50375</v>
      </c>
      <c r="C9" s="62">
        <f>IFERROR(IF('3-Year P&amp;L'!$C$9="","",'3-Year P&amp;L'!$C$19/('3-Year P&amp;L'!$C$6*'3-Year P&amp;L'!$C$8)),"")</f>
        <v>13.50375</v>
      </c>
      <c r="D9" s="62">
        <f>IFERROR(IF('3-Year P&amp;L'!$D$9="","",'3-Year P&amp;L'!$D$19/('3-Year P&amp;L'!$D$6*'3-Year P&amp;L'!$D$8)),"")</f>
        <v>13.50375</v>
      </c>
      <c r="E9" s="29" t="inlineStr">
        <is>
          <t>Comes from the P&amp;L total variable costs, not from a separate estimate. It includes miscellaneous and contingency, which is a percentage of sales</t>
        </is>
      </c>
      <c r="F9" s="29" t="n"/>
    </row>
    <row r="10">
      <c r="A10" s="29" t="inlineStr">
        <is>
          <t>Contribution margin per cover</t>
        </is>
      </c>
      <c r="B10" s="62">
        <f>IFERROR(IF('3-Year P&amp;L'!$B$9="","",B8-B9),"")</f>
        <v>18.99625</v>
      </c>
      <c r="C10" s="62">
        <f>IFERROR(IF('3-Year P&amp;L'!$C$9="","",C8-C9),"")</f>
        <v>18.99625</v>
      </c>
      <c r="D10" s="62">
        <f>IFERROR(IF('3-Year P&amp;L'!$D$9="","",D8-D9),"")</f>
        <v>18.99625</v>
      </c>
      <c r="E10" s="29" t="inlineStr">
        <is>
          <t>Average check minus unit variable cost</t>
        </is>
      </c>
      <c r="F10" s="29" t="n"/>
    </row>
    <row r="11">
      <c r="A11" s="29" t="inlineStr">
        <is>
          <t>Operating days per year</t>
        </is>
      </c>
      <c r="B11" s="41">
        <f>IFERROR(IF('3-Year P&amp;L'!$B$9="","",'3-Year P&amp;L'!$B$8),"")</f>
        <v>310.0</v>
      </c>
      <c r="C11" s="41">
        <f>IFERROR(IF('3-Year P&amp;L'!$C$9="","",'3-Year P&amp;L'!$C$8),"")</f>
        <v>310.0</v>
      </c>
      <c r="D11" s="41">
        <f>IFERROR(IF('3-Year P&amp;L'!$D$9="","",'3-Year P&amp;L'!$D$8),"")</f>
        <v>310.0</v>
      </c>
      <c r="E11" s="29" t="inlineStr">
        <is>
          <t>The same calendar as the P&amp;L and the scenarios</t>
        </is>
      </c>
      <c r="F11" s="29" t="n"/>
    </row>
    <row r="12">
      <c r="A12" s="29" t="inlineStr">
        <is>
          <t>Principal repaid in the year</t>
        </is>
      </c>
      <c r="B12" s="62">
        <f>IFERROR(IF('3-Year P&amp;L'!$B$9="","",Financing!$B$45),"")</f>
        <v>16062.821089922953</v>
      </c>
      <c r="C12" s="62">
        <f>IFERROR(IF('3-Year P&amp;L'!$C$9="","",Financing!$B$47),"")</f>
        <v>17669.103198915247</v>
      </c>
      <c r="D12" s="62">
        <f>IFERROR(IF('3-Year P&amp;L'!$D$9="","",Financing!$B$49),"")</f>
        <v>19436.013518806772</v>
      </c>
      <c r="E12" s="29" t="inlineStr">
        <is>
          <t>Principal is NOT a P&amp;L expense, but it leaves the cash account. Without it, the published break-even threshold would sit below the real one</t>
        </is>
      </c>
      <c r="F12" s="29" t="n"/>
    </row>
    <row r="13">
      <c r="A13" s="26" t="inlineStr">
        <is>
          <t>ACCOUNTING BREAK-EVEN (includes depreciation)</t>
        </is>
      </c>
      <c r="B13" s="29" t="n"/>
      <c r="C13" s="29" t="n"/>
      <c r="D13" s="29" t="n"/>
      <c r="E13" s="29" t="n"/>
      <c r="F13" s="29" t="n"/>
    </row>
    <row r="14">
      <c r="A14" s="29" t="inlineStr">
        <is>
          <t>Covers needed per year</t>
        </is>
      </c>
      <c r="B14" s="41">
        <f>IFERROR(IF('3-Year P&amp;L'!$B$9="","",IF(B10&lt;=0,"",B6/B10)),"")</f>
        <v>28725.88913225355</v>
      </c>
      <c r="C14" s="41">
        <f>IFERROR(IF('3-Year P&amp;L'!$C$9="","",IF(C10&lt;=0,"",C6/C10)),"")</f>
        <v>28904.541123620667</v>
      </c>
      <c r="D14" s="41">
        <f>IFERROR(IF('3-Year P&amp;L'!$D$9="","",IF(D10&lt;=0,"",D6/D10)),"")</f>
        <v>29074.737329719686</v>
      </c>
      <c r="E14" s="29" t="n"/>
      <c r="F14" s="29" t="n"/>
    </row>
    <row r="15">
      <c r="A15" s="29" t="inlineStr">
        <is>
          <t>Covers needed per day</t>
        </is>
      </c>
      <c r="B15" s="45">
        <f>IFERROR(IF('3-Year P&amp;L'!$B$9="","",B14/B11),"")</f>
        <v>92.66415849114048</v>
      </c>
      <c r="C15" s="45">
        <f>IFERROR(IF('3-Year P&amp;L'!$C$9="","",C14/C11),"")</f>
        <v>93.24045523748602</v>
      </c>
      <c r="D15" s="45">
        <f>IFERROR(IF('3-Year P&amp;L'!$D$9="","",D14/D11),"")</f>
        <v>93.78947525716028</v>
      </c>
      <c r="E15" s="29" t="n"/>
      <c r="F15" s="29" t="n"/>
    </row>
    <row r="16">
      <c r="A16" s="26" t="inlineStr">
        <is>
          <t>Revenue needed per year</t>
        </is>
      </c>
      <c r="B16" s="54">
        <f>IFERROR(IF('3-Year P&amp;L'!$B$9="","",B14*B8),"")</f>
        <v>933591.3967982404</v>
      </c>
      <c r="C16" s="54">
        <f>IFERROR(IF('3-Year P&amp;L'!$C$9="","",C14*C8),"")</f>
        <v>939397.5865176717</v>
      </c>
      <c r="D16" s="54">
        <f>IFERROR(IF('3-Year P&amp;L'!$D$9="","",D14*D8),"")</f>
        <v>944928.9632158898</v>
      </c>
      <c r="E16" s="29" t="n"/>
      <c r="F16" s="29" t="n"/>
    </row>
    <row r="17">
      <c r="A17" s="26" t="inlineStr">
        <is>
          <t>CASH BREAK-EVEN (loan payments in, depreciation out)</t>
        </is>
      </c>
      <c r="B17" s="29" t="n"/>
      <c r="C17" s="29" t="n"/>
      <c r="D17" s="29" t="n"/>
      <c r="E17" s="29" t="n"/>
      <c r="F17" s="29" t="n"/>
    </row>
    <row r="18">
      <c r="A18" s="29" t="inlineStr">
        <is>
          <t>Cash fixed costs + principal repaid for the year</t>
        </is>
      </c>
      <c r="B18" s="62">
        <f>IFERROR(IF('3-Year P&amp;L'!$B$9="","",B6-'3-Year P&amp;L'!$B$35+B12),"")</f>
        <v>536288.421089923</v>
      </c>
      <c r="C18" s="62">
        <f>IFERROR(IF('3-Year P&amp;L'!$C$9="","",C6-'3-Year P&amp;L'!$C$35+C12),"")</f>
        <v>541288.4210899229</v>
      </c>
      <c r="D18" s="62">
        <f>IFERROR(IF('3-Year P&amp;L'!$D$9="","",D6-'3-Year P&amp;L'!$D$35+D12),"")</f>
        <v>546288.4210899229</v>
      </c>
      <c r="E18" s="29" t="inlineStr">
        <is>
          <t>The P&amp;L fixed costs without depreciation (which is not paid in cash) and WITH principal repaid (which is). This is the threshold that decides whether cash holds up</t>
        </is>
      </c>
      <c r="F18" s="29" t="n"/>
    </row>
    <row r="19">
      <c r="A19" s="29" t="inlineStr">
        <is>
          <t>Covers needed per year (cash)</t>
        </is>
      </c>
      <c r="B19" s="41">
        <f>IFERROR(IF('3-Year P&amp;L'!$B$9="","",IF(B10&lt;=0,"",B18/B10)),"")</f>
        <v>28231.278335983312</v>
      </c>
      <c r="C19" s="41">
        <f>IFERROR(IF('3-Year P&amp;L'!$C$9="","",IF(C10&lt;=0,"",C18/C10)),"")</f>
        <v>28494.488180031476</v>
      </c>
      <c r="D19" s="41">
        <f>IFERROR(IF('3-Year P&amp;L'!$D$9="","",IF(D10&lt;=0,"",D18/D10)),"")</f>
        <v>28757.69802407964</v>
      </c>
      <c r="E19" s="29" t="n"/>
      <c r="F19" s="29" t="n"/>
    </row>
    <row r="20">
      <c r="A20" s="26" t="inlineStr">
        <is>
          <t>Covers needed per day (cash)</t>
        </is>
      </c>
      <c r="B20" s="46">
        <f>IFERROR(IF('3-Year P&amp;L'!$B$9="","",B19/B11),"")</f>
        <v>91.06863979349455</v>
      </c>
      <c r="C20" s="46">
        <f>IFERROR(IF('3-Year P&amp;L'!$C$9="","",C19/C11),"")</f>
        <v>91.91770380655315</v>
      </c>
      <c r="D20" s="46">
        <f>IFERROR(IF('3-Year P&amp;L'!$D$9="","",D19/D11),"")</f>
        <v>92.76676781961174</v>
      </c>
      <c r="E20" s="29" t="n"/>
      <c r="F20" s="29" t="n"/>
    </row>
    <row r="21">
      <c r="A21" s="29" t="inlineStr">
        <is>
          <t>Revenue needed per year (cash)</t>
        </is>
      </c>
      <c r="B21" s="41">
        <f>IFERROR(IF('3-Year P&amp;L'!$B$9="","",B19*B8),"")</f>
        <v>917516.5459194577</v>
      </c>
      <c r="C21" s="41">
        <f>IFERROR(IF('3-Year P&amp;L'!$C$9="","",C19*C8),"")</f>
        <v>926070.865851023</v>
      </c>
      <c r="D21" s="41">
        <f>IFERROR(IF('3-Year P&amp;L'!$D$9="","",D19*D8),"")</f>
        <v>934625.1857825883</v>
      </c>
      <c r="E21" s="29" t="n"/>
      <c r="F21" s="29" t="n"/>
    </row>
    <row r="22">
      <c r="A22" s="26" t="inlineStr">
        <is>
          <t>COMPARISON WITH THE PLAN</t>
        </is>
      </c>
      <c r="B22" s="29" t="n"/>
      <c r="C22" s="29" t="n"/>
      <c r="D22" s="29" t="n"/>
      <c r="E22" s="29" t="n"/>
      <c r="F22" s="29" t="n"/>
    </row>
    <row r="23">
      <c r="A23" s="29" t="inlineStr">
        <is>
          <t>Covers per day forecast in the plan</t>
        </is>
      </c>
      <c r="B23" s="41">
        <f>IFERROR(IF('3-Year P&amp;L'!$B$9="","",'3-Year P&amp;L'!$B$6),"")</f>
        <v>115.0</v>
      </c>
      <c r="C23" s="41">
        <f>IFERROR(IF('3-Year P&amp;L'!$C$9="","",'3-Year P&amp;L'!$C$6),"")</f>
        <v>121.9</v>
      </c>
      <c r="D23" s="41">
        <f>IFERROR(IF('3-Year P&amp;L'!$D$9="","",'3-Year P&amp;L'!$D$6),"")</f>
        <v>126.77600000000001</v>
      </c>
      <c r="E23" s="29" t="n"/>
      <c r="F23" s="29" t="n"/>
    </row>
    <row r="24">
      <c r="A24" s="29" t="inlineStr">
        <is>
          <t>Cushion above CASH break-even (%)</t>
        </is>
      </c>
      <c r="B24" s="68">
        <f>IFERROR(IF('3-Year P&amp;L'!$B$9="","",B23/B20-1),"")</f>
        <v>0.2627837668463231</v>
      </c>
      <c r="C24" s="68">
        <f>IFERROR(IF('3-Year P&amp;L'!$C$9="","",C23/C20-1),"")</f>
        <v>0.3261863052687497</v>
      </c>
      <c r="D24" s="68">
        <f>IFERROR(IF('3-Year P&amp;L'!$D$9="","",D23/D20-1),"")</f>
        <v>0.3666100800937726</v>
      </c>
      <c r="E24" s="29" t="inlineStr">
        <is>
          <t>How far your projected sales exceed cash break-even sales. The drop you can absorb before you cannot pay the fixed costs and the loan payment is a bit smaller: with a 25% cushion, 20%. The minimum required is on the "0. Assumptions" tab</t>
        </is>
      </c>
      <c r="F24" s="29" t="n"/>
    </row>
    <row r="25">
      <c r="A25" s="29" t="inlineStr">
        <is>
          <t>Maximum seat turns per day the space allows</t>
        </is>
      </c>
      <c r="B25" s="47" t="n">
        <v>3</v>
      </c>
      <c r="C25" s="29" t="n"/>
      <c r="D25" s="29" t="n"/>
      <c r="E25" s="29" t="inlineStr">
        <is>
          <t>Full services per seat per day you can run with lunch, dinner and a second dinner turn on Friday and Saturday (stays of 45-60 minutes). It is the physical ceiling of the space, not a target</t>
        </is>
      </c>
      <c r="F25" s="29" t="n"/>
    </row>
    <row r="26">
      <c r="A26" s="29" t="inlineStr">
        <is>
          <t>Seat turns per day that the cash break-even requires</t>
        </is>
      </c>
      <c r="B26" s="45">
        <f>IFERROR(IF('3-Year P&amp;L'!$B$9="","",B20/'0. Assumptions'!$B$51),"")</f>
        <v>2.276715994837364</v>
      </c>
      <c r="C26" s="45">
        <f>IFERROR(IF('3-Year P&amp;L'!$C$9="","",C20/'0. Assumptions'!$B$51),"")</f>
        <v>2.297942595163829</v>
      </c>
      <c r="D26" s="45">
        <f>IFERROR(IF('3-Year P&amp;L'!$D$9="","",D20/'0. Assumptions'!$B$51),"")</f>
        <v>2.3191691954902938</v>
      </c>
      <c r="E26" s="29" t="inlineStr">
        <is>
          <t>Break-even covers spread across the seats declared on the "0. Assumptions" tab. If it is above the ceiling in the row above, the break-even is out of reach for the space</t>
        </is>
      </c>
      <c r="F26" s="29" t="n"/>
    </row>
    <row r="27">
      <c r="A27" s="26" t="inlineStr">
        <is>
          <t>INTERPRETATION</t>
        </is>
      </c>
      <c r="B27" s="29" t="n"/>
      <c r="C27" s="29" t="n"/>
      <c r="D27" s="29" t="n"/>
      <c r="E27" s="29" t="n"/>
      <c r="F27" s="29" t="n"/>
    </row>
    <row r="28" ht="46" customHeight="1">
      <c r="A28" s="29" t="str">
        <f>IFERROR("With the average check excl. sales tax above, you need "&amp;TEXT(ROUNDUP(B15,0),"0")&amp;" covers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93 covers a day over your 310 opening days to avoid losing money (accounting break-even, depreciation included), and 92 for cash to hold (cash break-even: depreciation out, because it is not paid, and the year's loan payment in). The "Revenue needed per year" rows show the same figures in your currency.</v>
      </c>
      <c r="B28" s="29" t="n"/>
      <c r="C28" s="29" t="n"/>
      <c r="D28" s="29" t="n"/>
      <c r="E28" s="29" t="n"/>
      <c r="F28" s="29" t="n"/>
    </row>
    <row r="29">
      <c r="A29" s="29" t="n"/>
      <c r="B29" s="29" t="n"/>
      <c r="C29" s="29" t="n"/>
      <c r="D29" s="29" t="n"/>
      <c r="E29" s="29" t="n"/>
      <c r="F29" s="29" t="n"/>
    </row>
    <row r="30">
      <c r="A30" s="26" t="inlineStr">
        <is>
          <t>BREAK-EVEN SENSITIVITY</t>
        </is>
      </c>
      <c r="B30" s="29" t="n"/>
      <c r="C30" s="29" t="n"/>
      <c r="D30" s="29" t="n"/>
      <c r="E30" s="29" t="n"/>
      <c r="F30" s="29" t="n"/>
    </row>
    <row r="31" ht="75" customHeight="1">
      <c r="A31" s="48" t="inlineStr">
        <is>
          <t>Covers per day needed to cover costs for each average check (columns) and each variable cost per cover (rows). Green cells are below the covers per day the plan forecasts.</t>
        </is>
      </c>
      <c r="B31" s="29" t="n"/>
      <c r="C31" s="29" t="n"/>
      <c r="D31" s="29" t="n"/>
      <c r="E31" s="29" t="n"/>
      <c r="F31" s="29" t="n"/>
    </row>
    <row r="32">
      <c r="A32" s="29" t="n"/>
      <c r="B32" s="29" t="n"/>
      <c r="C32" s="29" t="n"/>
      <c r="D32" s="29" t="n"/>
      <c r="E32" s="29" t="n"/>
      <c r="F32" s="29" t="n"/>
    </row>
    <row r="33" ht="45" customHeight="1">
      <c r="A33" s="40" t="inlineStr">
        <is>
          <t>Covers per day needed: average check excl. sales tax (columns) × variable cost per cover (rows)</t>
        </is>
      </c>
      <c r="B33" s="55">
        <f>IFERROR($B$8-2,"")</f>
        <v>30.5</v>
      </c>
      <c r="C33" s="55">
        <f>IFERROR(IF($B$8="","",$B$8),"")</f>
        <v>32.5</v>
      </c>
      <c r="D33" s="55">
        <f>IFERROR($B$8+2,"")</f>
        <v>34.5</v>
      </c>
      <c r="E33" s="55">
        <f>IFERROR($B$8+4,"")</f>
        <v>36.5</v>
      </c>
      <c r="F33" s="29" t="n"/>
    </row>
    <row r="34">
      <c r="A34" s="62">
        <f>IFERROR($B$9*0.85,"")</f>
        <v>11.4781875</v>
      </c>
      <c r="B34" s="45">
        <f>IFERROR(IF($B$33-$A34&lt;=0,"",$B$6/($B$33-$A34)/$B$11),"")</f>
        <v>92.5396315801834</v>
      </c>
      <c r="C34" s="45">
        <f>IFERROR(IF($C$33-$A34&lt;=0,"",$B$6/($C$33-$A34)/$B$11),"")</f>
        <v>83.73547812479669</v>
      </c>
      <c r="D34" s="45">
        <f>IFERROR(IF($D$33-$A34&lt;=0,"",$B$6/($D$33-$A34)/$B$11),"")</f>
        <v>76.46103106509652</v>
      </c>
      <c r="E34" s="45">
        <f>IFERROR(IF($E$33-$A34&lt;=0,"",$B$6/($E$33-$A34)/$B$11),"")</f>
        <v>70.34948090740139</v>
      </c>
      <c r="F34" s="29" t="n"/>
    </row>
    <row r="35">
      <c r="A35" s="62">
        <f>IFERROR($B$9*0.925,"")</f>
        <v>12.49096875</v>
      </c>
      <c r="B35" s="45">
        <f>IFERROR(IF($B$33-$A35&lt;=0,"",$B$6/($B$33-$A35)/$B$11),"")</f>
        <v>97.74382065872241</v>
      </c>
      <c r="C35" s="45">
        <f>IFERROR(IF($C$33-$A35&lt;=0,"",$B$6/($C$33-$A35)/$B$11),"")</f>
        <v>87.97385034506992</v>
      </c>
      <c r="D35" s="45">
        <f>IFERROR(IF($D$33-$A35&lt;=0,"",$B$6/($D$33-$A35)/$B$11),"")</f>
        <v>79.9795093542487</v>
      </c>
      <c r="E35" s="45">
        <f>IFERROR(IF($E$33-$A35&lt;=0,"",$B$6/($E$33-$A35)/$B$11),"")</f>
        <v>73.31705733596924</v>
      </c>
      <c r="F35" s="29" t="n"/>
    </row>
    <row r="36">
      <c r="A36" s="62">
        <f>IFERROR($B$9*1.0,"")</f>
        <v>13.50375</v>
      </c>
      <c r="B36" s="45">
        <f>IFERROR(IF($B$33-$A36&lt;=0,"",$B$6/($B$33-$A36)/$B$11),"")</f>
        <v>103.56822950576317</v>
      </c>
      <c r="C36" s="45">
        <f>IFERROR(IF($C$33-$A36&lt;=0,"",$B$6/($C$33-$A36)/$B$11),"")</f>
        <v>92.66415849114048</v>
      </c>
      <c r="D36" s="45">
        <f>IFERROR(IF($D$33-$A36&lt;=0,"",$B$6/($D$33-$A36)/$B$11),"")</f>
        <v>83.83742433707577</v>
      </c>
      <c r="E36" s="45">
        <f>IFERROR(IF($E$33-$A36&lt;=0,"",$B$6/($E$33-$A36)/$B$11),"")</f>
        <v>76.54602470999956</v>
      </c>
      <c r="F36" s="29" t="n"/>
    </row>
    <row r="37">
      <c r="A37" s="62">
        <f>IFERROR($B$9*1.075,"")</f>
        <v>14.51653125</v>
      </c>
      <c r="B37" s="45">
        <f>IFERROR(IF($B$33-$A37&lt;=0,"",$B$6/($B$33-$A37)/$B$11),"")</f>
        <v>110.13075748887908</v>
      </c>
      <c r="C37" s="45">
        <f>IFERROR(IF($C$33-$A37&lt;=0,"",$B$6/($C$33-$A37)/$B$11),"")</f>
        <v>97.88275806008377</v>
      </c>
      <c r="D37" s="45">
        <f>IFERROR(IF($D$33-$A37&lt;=0,"",$B$6/($D$33-$A37)/$B$11),"")</f>
        <v>88.08638493941785</v>
      </c>
      <c r="E37" s="45">
        <f>IFERROR(IF($E$33-$A37&lt;=0,"",$B$6/($E$33-$A37)/$B$11),"")</f>
        <v>80.0725099735376</v>
      </c>
      <c r="F37" s="29" t="n"/>
    </row>
    <row r="38">
      <c r="A38" s="62">
        <f>IFERROR($B$9*1.15,"")</f>
        <v>15.5293125</v>
      </c>
      <c r="B38" s="45">
        <f>IFERROR(IF($B$33-$A38&lt;=0,"",$B$6/($B$33-$A38)/$B$11),"")</f>
        <v>117.58120799310836</v>
      </c>
      <c r="C38" s="45">
        <f>IFERROR(IF($C$33-$A38&lt;=0,"",$B$6/($C$33-$A38)/$B$11),"")</f>
        <v>103.72423160448433</v>
      </c>
      <c r="D38" s="45">
        <f>IFERROR(IF($D$33-$A38&lt;=0,"",$B$6/($D$33-$A38)/$B$11),"")</f>
        <v>92.78902099553996</v>
      </c>
      <c r="E38" s="45">
        <f>IFERROR(IF($E$33-$A38&lt;=0,"",$B$6/($E$33-$A38)/$B$11),"")</f>
        <v>83.93961908675276</v>
      </c>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row r="79">
      <c r="A79" s="29" t="n"/>
      <c r="B79" s="29" t="n"/>
      <c r="C79" s="29" t="n"/>
      <c r="D79" s="29" t="n"/>
      <c r="E79" s="29" t="n"/>
      <c r="F79" s="29" t="n"/>
    </row>
    <row r="80">
      <c r="A80" s="29" t="n"/>
      <c r="B80" s="29" t="n"/>
      <c r="C80" s="29" t="n"/>
      <c r="D80" s="29" t="n"/>
      <c r="E80" s="29" t="n"/>
      <c r="F80" s="29" t="n"/>
    </row>
    <row r="81">
      <c r="A81" s="29" t="n"/>
      <c r="B81" s="29" t="n"/>
      <c r="C81" s="29" t="n"/>
      <c r="D81" s="29" t="n"/>
      <c r="E81" s="29" t="n"/>
      <c r="F81" s="29" t="n"/>
    </row>
    <row r="82">
      <c r="A82" s="29" t="n"/>
      <c r="B82" s="29" t="n"/>
      <c r="C82" s="29" t="n"/>
      <c r="D82" s="29" t="n"/>
      <c r="E82" s="29" t="n"/>
      <c r="F82" s="29" t="n"/>
    </row>
    <row r="83">
      <c r="A83" s="29" t="n"/>
      <c r="B83" s="29" t="n"/>
      <c r="C83" s="29" t="n"/>
      <c r="D83" s="29" t="n"/>
      <c r="E83" s="29" t="n"/>
      <c r="F83" s="29" t="n"/>
    </row>
    <row r="84">
      <c r="A84" s="29" t="n"/>
      <c r="B84" s="29" t="n"/>
      <c r="C84" s="29" t="n"/>
      <c r="D84" s="29" t="n"/>
      <c r="E84" s="29" t="n"/>
      <c r="F84" s="29" t="n"/>
    </row>
    <row r="85">
      <c r="A85" s="29" t="n"/>
      <c r="B85" s="29" t="n"/>
      <c r="C85" s="29" t="n"/>
      <c r="D85" s="29" t="n"/>
      <c r="E85" s="29" t="n"/>
      <c r="F85" s="29" t="n"/>
    </row>
    <row r="86">
      <c r="A86" s="29" t="n"/>
      <c r="B86" s="29" t="n"/>
      <c r="C86" s="29" t="n"/>
      <c r="D86" s="29" t="n"/>
      <c r="E86" s="29" t="n"/>
      <c r="F86" s="29" t="n"/>
    </row>
    <row r="87">
      <c r="A87" s="29" t="n"/>
      <c r="B87" s="29" t="n"/>
      <c r="C87" s="29" t="n"/>
      <c r="D87" s="29" t="n"/>
      <c r="E87" s="29" t="n"/>
      <c r="F87" s="29" t="n"/>
    </row>
    <row r="88">
      <c r="A88" s="29" t="n"/>
      <c r="B88" s="29" t="n"/>
      <c r="C88" s="29" t="n"/>
      <c r="D88" s="29" t="n"/>
      <c r="E88" s="29" t="n"/>
      <c r="F88" s="29" t="n"/>
    </row>
    <row r="89">
      <c r="A89" s="29" t="n"/>
      <c r="B89" s="29" t="n"/>
      <c r="C89" s="29" t="n"/>
      <c r="D89" s="29" t="n"/>
      <c r="E89" s="29" t="n"/>
      <c r="F89" s="29" t="n"/>
    </row>
    <row r="90">
      <c r="A90" s="29" t="n"/>
      <c r="B90" s="29" t="n"/>
      <c r="C90" s="29" t="n"/>
      <c r="D90" s="29" t="n"/>
      <c r="E90" s="29" t="n"/>
      <c r="F90" s="29" t="n"/>
    </row>
    <row r="91">
      <c r="A91" s="29" t="n"/>
      <c r="B91" s="29" t="n"/>
      <c r="C91" s="29" t="n"/>
      <c r="D91" s="29" t="n"/>
      <c r="E91" s="29" t="n"/>
      <c r="F91" s="29" t="n"/>
    </row>
    <row r="92">
      <c r="A92" s="29" t="n"/>
      <c r="B92" s="29" t="n"/>
      <c r="C92" s="29" t="n"/>
      <c r="D92" s="29" t="n"/>
      <c r="E92" s="29" t="n"/>
      <c r="F92" s="29" t="n"/>
    </row>
    <row r="93">
      <c r="A93" s="29" t="n"/>
      <c r="B93" s="29" t="n"/>
      <c r="C93" s="29" t="n"/>
      <c r="D93" s="29" t="n"/>
      <c r="E93" s="29" t="n"/>
      <c r="F93" s="29" t="n"/>
    </row>
    <row r="94">
      <c r="A94" s="29" t="n"/>
      <c r="B94" s="29" t="n"/>
      <c r="C94" s="29" t="n"/>
      <c r="D94" s="29" t="n"/>
      <c r="E94" s="29" t="n"/>
      <c r="F94" s="29" t="n"/>
    </row>
    <row r="95">
      <c r="A95" s="29" t="n"/>
      <c r="B95" s="29" t="n"/>
      <c r="C95" s="29" t="n"/>
      <c r="D95" s="29" t="n"/>
      <c r="E95" s="29" t="n"/>
      <c r="F95" s="29" t="n"/>
    </row>
    <row r="96">
      <c r="A96" s="29" t="n"/>
      <c r="B96" s="29" t="n"/>
      <c r="C96" s="29" t="n"/>
      <c r="D96" s="29" t="n"/>
      <c r="E96" s="29" t="n"/>
      <c r="F96" s="29" t="n"/>
    </row>
    <row r="97">
      <c r="A97" s="29" t="n"/>
      <c r="B97" s="29" t="n"/>
      <c r="C97" s="29" t="n"/>
      <c r="D97" s="29" t="n"/>
      <c r="E97" s="29" t="n"/>
      <c r="F97" s="29" t="n"/>
    </row>
    <row r="98">
      <c r="A98" s="29" t="n"/>
      <c r="B98" s="29" t="n"/>
      <c r="C98" s="29" t="n"/>
      <c r="D98" s="29" t="n"/>
      <c r="E98" s="29" t="n"/>
      <c r="F9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2">
      <c r="A2" s="3" t="inlineStr">
        <is>
          <t>Pessimistic / Base / Optimistic — Year 1</t>
        </is>
      </c>
    </row>
    <row r="4">
      <c r="A4" s="26" t="inlineStr">
        <is>
          <t>Metric</t>
        </is>
      </c>
      <c r="B4" s="26" t="inlineStr">
        <is>
          <t>Pessimistic</t>
        </is>
      </c>
      <c r="C4" s="26" t="inlineStr">
        <is>
          <t>Base</t>
        </is>
      </c>
      <c r="D4" s="26" t="inlineStr">
        <is>
          <t>Optimistic</t>
        </is>
      </c>
      <c r="E4" s="26" t="inlineStr">
        <is>
          <t>Notes</t>
        </is>
      </c>
      <c r="F4" s="29" t="n"/>
    </row>
    <row r="5">
      <c r="A5" s="29" t="inlineStr">
        <is>
          <t>Covers per day</t>
        </is>
      </c>
      <c r="B5" s="51" t="n">
        <v>95</v>
      </c>
      <c r="C5" s="41">
        <f>IFERROR(IF('3-Year P&amp;L'!$B$6="","",'3-Year P&amp;L'!$B$6),"")</f>
        <v>115.0</v>
      </c>
      <c r="D5" s="51" t="n">
        <v>135</v>
      </c>
      <c r="E5" s="29" t="n"/>
      <c r="F5" s="29" t="n"/>
    </row>
    <row r="6">
      <c r="A6" s="29" t="inlineStr">
        <is>
          <t>Average check (excl. sales tax)</t>
        </is>
      </c>
      <c r="B6" s="76" t="n">
        <v>30.5</v>
      </c>
      <c r="C6" s="62">
        <f>IFERROR(IF('3-Year P&amp;L'!$B$7="","",'3-Year P&amp;L'!$B$7),"")</f>
        <v>32.5</v>
      </c>
      <c r="D6" s="76" t="n">
        <v>34.5</v>
      </c>
      <c r="E6" s="29" t="n"/>
      <c r="F6" s="29" t="n"/>
    </row>
    <row r="7">
      <c r="A7" s="29" t="inlineStr">
        <is>
          <t>Operating days per year</t>
        </is>
      </c>
      <c r="B7" s="51" t="n">
        <v>305</v>
      </c>
      <c r="C7" s="41">
        <f>IFERROR(IF('3-Year P&amp;L'!$B$8="","",'3-Year P&amp;L'!$B$8),"")</f>
        <v>310.0</v>
      </c>
      <c r="D7" s="51" t="n">
        <v>312</v>
      </c>
      <c r="E7" s="29" t="n"/>
      <c r="F7" s="29" t="n"/>
    </row>
    <row r="8">
      <c r="A8" s="26" t="inlineStr">
        <is>
          <t>ANNUAL REVENUE (excl. sales tax)</t>
        </is>
      </c>
      <c r="B8" s="54">
        <f>IFERROR(IF(B5*B6*B7=0,"",B5*B6*B7),"")</f>
        <v>883737.5</v>
      </c>
      <c r="C8" s="54">
        <f>IFERROR(IF(C5*C6*C7=0,"",C5*C6*C7),"")</f>
        <v>1158625.0</v>
      </c>
      <c r="D8" s="54">
        <f>IFERROR(IF(D5*D6*D7=0,"",D5*D6*D7),"")</f>
        <v>1453140.0</v>
      </c>
      <c r="E8" s="29" t="n"/>
      <c r="F8" s="29" t="n"/>
    </row>
    <row r="9">
      <c r="A9" s="29" t="inlineStr">
        <is>
          <t>Cost of goods sold — food</t>
        </is>
      </c>
      <c r="B9" s="41">
        <f>IFERROR(IF(B8="","",B8*'0. Assumptions'!$B$11*'0. Assumptions'!$B$13),"")</f>
        <v>240376.6</v>
      </c>
      <c r="C9" s="41">
        <f>IFERROR(IF(C8="","",C8*'0. Assumptions'!$B$11*'0. Assumptions'!$B$13),"")</f>
        <v>315146.0</v>
      </c>
      <c r="D9" s="41">
        <f>IFERROR(IF(D8="","",D8*'0. Assumptions'!$B$11*'0. Assumptions'!$B$13),"")</f>
        <v>395254.08</v>
      </c>
      <c r="E9" s="29" t="n"/>
      <c r="F9" s="29" t="n"/>
    </row>
    <row r="10">
      <c r="A10" s="29" t="inlineStr">
        <is>
          <t>Cost of goods sold — beverage</t>
        </is>
      </c>
      <c r="B10" s="41">
        <f>IFERROR(IF(B8="","",B8*'0. Assumptions'!$B$12*'0. Assumptions'!$B$14),"")</f>
        <v>31814.550000000007</v>
      </c>
      <c r="C10" s="41">
        <f>IFERROR(IF(C8="","",C8*'0. Assumptions'!$B$12*'0. Assumptions'!$B$14),"")</f>
        <v>41710.50000000001</v>
      </c>
      <c r="D10" s="41">
        <f>IFERROR(IF(D8="","",D8*'0. Assumptions'!$B$12*'0. Assumptions'!$B$14),"")</f>
        <v>52313.04000000001</v>
      </c>
      <c r="E10" s="29" t="n"/>
      <c r="F10" s="29" t="n"/>
    </row>
    <row r="11">
      <c r="A11" s="29" t="inlineStr">
        <is>
          <t>Disposables and packaging</t>
        </is>
      </c>
      <c r="B11" s="41">
        <f>IFERROR(IF(B8="","",B8*'0. Assumptions'!$B$15),"")</f>
        <v>26512.125</v>
      </c>
      <c r="C11" s="41">
        <f>IFERROR(IF(C8="","",C8*'0. Assumptions'!$B$15),"")</f>
        <v>34758.75</v>
      </c>
      <c r="D11" s="41">
        <f>IFERROR(IF(D8="","",D8*'0. Assumptions'!$B$15),"")</f>
        <v>43594.2</v>
      </c>
      <c r="E11" s="29" t="n"/>
      <c r="F11" s="29" t="n"/>
    </row>
    <row r="12">
      <c r="A12" s="29" t="inlineStr">
        <is>
          <t>Delivery platform fees</t>
        </is>
      </c>
      <c r="B12" s="41">
        <f>IFERROR(IF(B8="","",B8*'0. Assumptions'!$B$16*'0. Assumptions'!$B$17),"")</f>
        <v>33140.15625</v>
      </c>
      <c r="C12" s="41">
        <f>IFERROR(IF(C8="","",C8*'0. Assumptions'!$B$16*'0. Assumptions'!$B$17),"")</f>
        <v>43448.4375</v>
      </c>
      <c r="D12" s="41">
        <f>IFERROR(IF(D8="","",D8*'0. Assumptions'!$B$16*'0. Assumptions'!$B$17),"")</f>
        <v>54492.75</v>
      </c>
      <c r="E12" s="29" t="n"/>
      <c r="F12" s="29" t="n"/>
    </row>
    <row r="13">
      <c r="A13" s="29" t="inlineStr">
        <is>
          <t>Card processing fees</t>
        </is>
      </c>
      <c r="B13" s="41">
        <f>IFERROR(IF(B8="","",B8*'0. Assumptions'!$B$18),"")</f>
        <v>26512.125</v>
      </c>
      <c r="C13" s="41">
        <f>IFERROR(IF(C8="","",C8*'0. Assumptions'!$B$18),"")</f>
        <v>34758.75</v>
      </c>
      <c r="D13" s="41">
        <f>IFERROR(IF(D8="","",D8*'0. Assumptions'!$B$18),"")</f>
        <v>43594.2</v>
      </c>
      <c r="E13" s="29" t="n"/>
      <c r="F13" s="29" t="n"/>
    </row>
    <row r="14">
      <c r="A14" s="29" t="inlineStr">
        <is>
          <t>Miscellaneous and contingency</t>
        </is>
      </c>
      <c r="B14" s="41">
        <f>IFERROR(IF(B8="","",B8*'0. Assumptions'!$B$28),"")</f>
        <v>8837.375</v>
      </c>
      <c r="C14" s="41">
        <f>IFERROR(IF(C8="","",C8*'0. Assumptions'!$B$28),"")</f>
        <v>11586.25</v>
      </c>
      <c r="D14" s="41">
        <f>IFERROR(IF(D8="","",D8*'0. Assumptions'!$B$28),"")</f>
        <v>14531.4</v>
      </c>
      <c r="E14" s="29" t="n"/>
      <c r="F14" s="29" t="n"/>
    </row>
    <row r="15">
      <c r="A15" s="29" t="inlineStr">
        <is>
          <t>TOTAL VARIABLE COSTS</t>
        </is>
      </c>
      <c r="B15" s="41">
        <f>IFERROR(IF(B8="","",SUM(B9:B14)),"")</f>
        <v>367192.93125</v>
      </c>
      <c r="C15" s="41">
        <f>IFERROR(IF(C8="","",SUM(C9:C14)),"")</f>
        <v>481408.6875</v>
      </c>
      <c r="D15" s="41">
        <f>IFERROR(IF(D8="","",SUM(D9:D14)),"")</f>
        <v>603779.67</v>
      </c>
      <c r="E15" s="29" t="n"/>
      <c r="F15" s="29" t="n"/>
    </row>
    <row r="16">
      <c r="A16" s="29" t="inlineStr">
        <is>
          <t>GROSS MARGIN</t>
        </is>
      </c>
      <c r="B16" s="41">
        <f>IFERROR(IF(B8="","",B8-B15),"")</f>
        <v>516544.56875</v>
      </c>
      <c r="C16" s="41">
        <f>IFERROR(IF(C8="","",C8-C15),"")</f>
        <v>677216.3125</v>
      </c>
      <c r="D16" s="41">
        <f>IFERROR(IF(D8="","",D8-D15),"")</f>
        <v>849360.33</v>
      </c>
      <c r="E16" s="29" t="n"/>
      <c r="F16" s="29" t="n"/>
    </row>
    <row r="17">
      <c r="A17" s="29" t="inlineStr">
        <is>
          <t>FIXED COSTS (the P&amp;L's)</t>
        </is>
      </c>
      <c r="B17" s="41">
        <f>IFERROR(IF(B8="","",'3-Year P&amp;L'!$B$37),"")</f>
        <v>545684.1714285715</v>
      </c>
      <c r="C17" s="41">
        <f>IFERROR(IF(C8="","",'3-Year P&amp;L'!$B$37),"")</f>
        <v>545684.1714285715</v>
      </c>
      <c r="D17" s="41">
        <f>IFERROR(IF(D8="","",'3-Year P&amp;L'!$B$37),"")</f>
        <v>545684.1714285715</v>
      </c>
      <c r="E17" s="29" t="inlineStr">
        <is>
          <t>Fixed costs do not change with the scenario: that is why they are fixed</t>
        </is>
      </c>
      <c r="F17" s="29" t="n"/>
    </row>
    <row r="18">
      <c r="A18" s="26" t="inlineStr">
        <is>
          <t>PRE-TAX INCOME (EBT)</t>
        </is>
      </c>
      <c r="B18" s="54">
        <f>IFERROR(IF(B8="","",B16-B17),"")</f>
        <v>-29139.60267857148</v>
      </c>
      <c r="C18" s="54">
        <f>IFERROR(IF(C8="","",C16-C17),"")</f>
        <v>131532.14107142854</v>
      </c>
      <c r="D18" s="54">
        <f>IFERROR(IF(D8="","",D16-D17),"")</f>
        <v>303676.1585714285</v>
      </c>
      <c r="E18" s="29" t="n"/>
      <c r="F18" s="29" t="n"/>
    </row>
    <row r="19">
      <c r="A19" s="29" t="inlineStr">
        <is>
          <t>Income tax</t>
        </is>
      </c>
      <c r="B19" s="41">
        <f>IFERROR(IF(B8="","",MAX(0,B18-'0. Assumptions'!$B$42)*'0. Assumptions'!$B$37),"")</f>
        <v>0.0</v>
      </c>
      <c r="C19" s="41">
        <f>IFERROR(IF(C8="","",MAX(0,C18-'0. Assumptions'!$B$42)*'0. Assumptions'!$B$37),"")</f>
        <v>32883.035267857136</v>
      </c>
      <c r="D19" s="41">
        <f>IFERROR(IF(D8="","",MAX(0,D18-'0. Assumptions'!$B$42)*'0. Assumptions'!$B$37),"")</f>
        <v>75919.03964285713</v>
      </c>
      <c r="E19" s="29" t="inlineStr">
        <is>
          <t>At the "years 1-2" effective income tax rate, offsetting prior net operating losses</t>
        </is>
      </c>
      <c r="F19" s="29" t="n"/>
    </row>
    <row r="20">
      <c r="A20" s="26" t="inlineStr">
        <is>
          <t>NET INCOME</t>
        </is>
      </c>
      <c r="B20" s="54">
        <f>IFERROR(IF(B8="","",B18-B19),"")</f>
        <v>-29139.60267857148</v>
      </c>
      <c r="C20" s="54">
        <f>IFERROR(IF(C8="","",C18-C19),"")</f>
        <v>98649.10580357141</v>
      </c>
      <c r="D20" s="54">
        <f>IFERROR(IF(D8="","",D18-D19),"")</f>
        <v>227757.11892857138</v>
      </c>
      <c r="E20" s="29" t="n"/>
      <c r="F20" s="29" t="n"/>
    </row>
    <row r="21">
      <c r="A21" s="29" t="inlineStr">
        <is>
          <t>Covers per day to break even</t>
        </is>
      </c>
      <c r="B21" s="45">
        <f>IFERROR(IF(B8="","",IF(B6-B15/(B5*B7)&lt;=0,"",B17/(B6-B15/(B5*B7))/B7)),"")</f>
        <v>100.35919342093419</v>
      </c>
      <c r="C21" s="45">
        <f>IFERROR(IF(C8="","",IF(C6-C15/(C5*C7)&lt;=0,"",C17/(C6-C15/(C5*C7))/C7)),"")</f>
        <v>92.66415849114048</v>
      </c>
      <c r="D21" s="45">
        <f>IFERROR(IF(D8="","",IF(D6-D15/(D5*D7)&lt;=0,"",D17/(D6-D15/(D5*D7))/D7)),"")</f>
        <v>86.73275704182835</v>
      </c>
      <c r="E21" s="29" t="n"/>
      <c r="F21" s="29" t="n"/>
    </row>
    <row r="22">
      <c r="A22" s="26" t="inlineStr">
        <is>
          <t>WHAT EACH SCENARIO DEMANDS</t>
        </is>
      </c>
      <c r="B22" s="29" t="n"/>
      <c r="C22" s="29" t="n"/>
      <c r="D22" s="29" t="n"/>
      <c r="E22" s="29" t="n"/>
      <c r="F22" s="29" t="n"/>
    </row>
    <row r="23">
      <c r="A23" s="29" t="inlineStr">
        <is>
          <t>Labor cost / Sales</t>
        </is>
      </c>
      <c r="B23" s="68">
        <f>IFERROR(IF(B8="","",'3-Year P&amp;L'!$B$23/B8),"")</f>
        <v>0.43477344799785</v>
      </c>
      <c r="C23" s="68">
        <f>IFERROR(IF(C8="","",'3-Year P&amp;L'!$B$23/C8),"")</f>
        <v>0.33162205200129463</v>
      </c>
      <c r="D23" s="68">
        <f>IFERROR(IF(D8="","",'3-Year P&amp;L'!$B$23/D8),"")</f>
        <v>0.2644105867294273</v>
      </c>
      <c r="E23" s="29" t="inlineStr">
        <is>
          <t>The SAME staffing in all three scenarios. If labor cost blows up in the pessimistic case, adjust it in the Staffing tab, not here</t>
        </is>
      </c>
      <c r="F23" s="29" t="n"/>
    </row>
    <row r="24">
      <c r="A24" s="29" t="inlineStr">
        <is>
          <t>Covers per year per full-time equivalent</t>
        </is>
      </c>
      <c r="B24" s="41">
        <f>IFERROR(IF(B8="","",B5*B7/Staffing!$C$12),"")</f>
        <v>3369.186046511628</v>
      </c>
      <c r="C24" s="41">
        <f>IFERROR(IF(C8="","",C5*C7/Staffing!$C$12),"")</f>
        <v>4145.3488372093025</v>
      </c>
      <c r="D24" s="41">
        <f>IFERROR(IF(D8="","",D5*D7/Staffing!$C$12),"")</f>
        <v>4897.674418604652</v>
      </c>
      <c r="E24" s="29" t="inlineStr">
        <is>
          <t>Covers each full-time employee in the "Staffing" tab would have to serve. In the optimistic scenario it tells you whether you need to hire</t>
        </is>
      </c>
      <c r="F24" s="29" t="n"/>
    </row>
    <row r="25">
      <c r="A25" s="26" t="inlineStr">
        <is>
          <t>Year-1 closing cash balance (estimate, same method in all three scenarios)</t>
        </is>
      </c>
      <c r="B25" s="54">
        <f>IFERROR(IF(B8="","",'Startup Costs'!$B$29+B20+'3-Year P&amp;L'!$B$35-Financing!$B$45),"")</f>
        <v>110312.54766007702</v>
      </c>
      <c r="C25" s="54">
        <f>IFERROR(IF(C8="","",'Startup Costs'!$B$29+C20+'3-Year P&amp;L'!$B$35-Financing!$B$45),"")</f>
        <v>238101.2561422199</v>
      </c>
      <c r="D25" s="54">
        <f>IFERROR(IF(D8="","",'Startup Costs'!$B$29+D20+'3-Year P&amp;L'!$B$35-Financing!$B$45),"")</f>
        <v>367209.2692672198</v>
      </c>
      <c r="E25" s="2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5" s="29" t="n"/>
    </row>
    <row r="26">
      <c r="A26" s="29" t="inlineStr">
        <is>
          <t>Actual month-12 balance from the 12-Month Cash Flow tab (Base case only)</t>
        </is>
      </c>
      <c r="B26" s="29" t="n"/>
      <c r="C26" s="41">
        <f>IFERROR(IF(C8="","",'12-Month Cash Flow'!$M$22),"")</f>
        <v>309463.28461598506</v>
      </c>
      <c r="D26" s="29" t="n"/>
      <c r="E26" s="29"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6" s="29" t="n"/>
    </row>
    <row r="27">
      <c r="A27" s="29" t="n"/>
      <c r="B27" s="29" t="n"/>
      <c r="C27" s="29" t="n"/>
      <c r="D27" s="29" t="n"/>
      <c r="E27" s="29" t="n"/>
      <c r="F27" s="29" t="n"/>
    </row>
    <row r="28" ht="150" customHeight="1">
      <c r="A28" s="48" t="inlineStr">
        <is>
          <t>The "Base" column reads its three inputs from the "0. Assumptions" tab, so it reproduces EXACTLY year 1 of the P&amp;L. The other two scenarios use the same cost rates: the only things that change are covers, average check and days. FIXED COSTS are the same in all three: miscellaneous and contingency, which is a percentage of sales, sits at the top with the variable costs and each scenario carries its own.</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P&amp;L'!$E$53)</formula>
    </cfRule>
    <cfRule type="expression" priority="2" dxfId="0" stopIfTrue="1">
      <formula>AND(ISNUMBER(B23),B23&lt;='3-Year P&amp;L'!$E$53)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 sqref="B5 D5" showDropDown="0" showInputMessage="0" showErrorMessage="1" allowBlank="1" errorTitle="Invalid count" error="Enter a WHOLE number of 1 or more: this cell is a count and several formulas divide by it." type="whole" operator="between">
      <formula1>1</formula1>
      <formula2>100000</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s="3" t="str">
        <f>IFERROR("Payroll — "&amp;TEXT('0. Assumptions'!$B$21,"0")&amp;" pay periods + employer taxes "&amp;TEXT('0. Assumptions'!$B$20*100,"0")&amp;"%","")</f>
        <v>Payroll — 12 pay periods + employer taxes 10%</v>
      </c>
    </row>
    <row r="4" ht="45" customHeight="1">
      <c r="A4" s="40" t="inlineStr">
        <is>
          <t>Position</t>
        </is>
      </c>
      <c r="B4" s="40" t="inlineStr">
        <is>
          <t>People</t>
        </is>
      </c>
      <c r="C4" s="40" t="inlineStr">
        <is>
          <t>FTE</t>
        </is>
      </c>
      <c r="D4" s="40" t="inlineStr">
        <is>
          <t>Gross pay per month (total for the position)</t>
        </is>
      </c>
      <c r="E4" s="40" t="inlineStr">
        <is>
          <t>Employer payroll taxes (total for the position)</t>
        </is>
      </c>
      <c r="F4" s="40" t="inlineStr">
        <is>
          <t>Cost per month (total for the position)</t>
        </is>
      </c>
      <c r="G4" s="40" t="inlineStr">
        <is>
          <t>Cost per year</t>
        </is>
      </c>
      <c r="H4" s="40" t="inlineStr">
        <is>
          <t>Hours per week per person</t>
        </is>
      </c>
      <c r="I4" s="40" t="inlineStr">
        <is>
          <t>Hours per year for the position</t>
        </is>
      </c>
      <c r="J4" s="40" t="inlineStr">
        <is>
          <t>Notes</t>
        </is>
      </c>
    </row>
    <row r="5">
      <c r="A5" s="29" t="inlineStr">
        <is>
          <t>Owner / GM</t>
        </is>
      </c>
      <c r="B5" s="51" t="n">
        <v>1</v>
      </c>
      <c r="C5" s="53" t="n">
        <v>1</v>
      </c>
      <c r="D5" s="76" t="n">
        <v>4500</v>
      </c>
      <c r="E5" s="62">
        <f>IFERROR(IF(D5="","",D5*'0. Assumptions'!$B$20),"")</f>
        <v>450.0</v>
      </c>
      <c r="F5" s="62">
        <f>IFERROR(IF(D5="","",D5+E5),"")</f>
        <v>4950.0</v>
      </c>
      <c r="G5" s="62">
        <f>IFERROR(IF(D5="","",F5*MAX(12,'0. Assumptions'!$B$21)),"")</f>
        <v>59400.0</v>
      </c>
      <c r="H5" s="45">
        <f>IFERROR(IF(D5="","",C5*$B$19),"")</f>
        <v>40.0</v>
      </c>
      <c r="I5" s="41">
        <f>IFERROR(IF(D5="","",H5*B5*$B$20),"")</f>
        <v>1840.0</v>
      </c>
      <c r="J5" s="29" t="inlineStr">
        <is>
          <t>Buys from the fish suppliers and files their letters, runs the floor and the delivery marketplaces and manages. In the US the owner is not the one at the sushi bar: you hire the head sushi chef (next row). The workbook imputes a monthly salary as if on payroll, which is the prudent side; confirm with your CPA how you will pay yourself (owner's draw or W-2 under an S corp). The example pays the owner below a manager: owner's draw in addition from net profit</t>
        </is>
      </c>
    </row>
    <row r="6">
      <c r="A6" s="29" t="inlineStr">
        <is>
          <t>Head sushi chef (itamae)</t>
        </is>
      </c>
      <c r="B6" s="51" t="n">
        <v>1</v>
      </c>
      <c r="C6" s="53" t="n">
        <v>1</v>
      </c>
      <c r="D6" s="76" t="n">
        <v>5199</v>
      </c>
      <c r="E6" s="62">
        <f>IFERROR(IF(D6="","",D6*'0. Assumptions'!$B$20),"")</f>
        <v>519.9</v>
      </c>
      <c r="F6" s="62">
        <f>IFERROR(IF(D6="","",D6+E6),"")</f>
        <v>5718.9</v>
      </c>
      <c r="G6" s="62">
        <f>IFERROR(IF(D6="","",F6*MAX(12,'0. Assumptions'!$B$21)),"")</f>
        <v>68626.79999999999</v>
      </c>
      <c r="H6" s="45">
        <f>IFERROR(IF(D6="","",C6*$B$19),"")</f>
        <v>40.0</v>
      </c>
      <c r="I6" s="41">
        <f>IFERROR(IF(D6="","",H6*B6*$B$20),"")</f>
        <v>1840.0</v>
      </c>
      <c r="J6" s="29" t="inlineStr">
        <is>
          <t>The head sushi chef (itamae) buys and cuts the fish, runs the sushi bar, signs off the menu, the sushi rice SOP and the parasite records. About $30 per hour in the example. Hire this person before the build-out: it is an investment, not an expense</t>
        </is>
      </c>
    </row>
    <row r="7">
      <c r="A7" s="29" t="inlineStr">
        <is>
          <t>Kitchen line cook (tempura, gyoza, rice)</t>
        </is>
      </c>
      <c r="B7" s="51" t="n">
        <v>1</v>
      </c>
      <c r="C7" s="53" t="n">
        <v>1</v>
      </c>
      <c r="D7" s="76" t="n">
        <v>3119</v>
      </c>
      <c r="E7" s="62">
        <f>IFERROR(IF(D7="","",D7*'0. Assumptions'!$B$20),"")</f>
        <v>311.90000000000003</v>
      </c>
      <c r="F7" s="62">
        <f>IFERROR(IF(D7="","",D7+E7),"")</f>
        <v>3430.9</v>
      </c>
      <c r="G7" s="62">
        <f>IFERROR(IF(D7="","",F7*MAX(12,'0. Assumptions'!$B$21)),"")</f>
        <v>41170.8</v>
      </c>
      <c r="H7" s="45">
        <f>IFERROR(IF(D7="","",C7*$B$19),"")</f>
        <v>40.0</v>
      </c>
      <c r="I7" s="41">
        <f>IFERROR(IF(D7="","",H7*B7*$B$20),"")</f>
        <v>1840.0</v>
      </c>
      <c r="J7" s="29" t="inlineStr">
        <is>
          <t>The rice cookers, gyoza, tempura, miso soup and teriyaki. About $18 per hour in the example</t>
        </is>
      </c>
    </row>
    <row r="8">
      <c r="A8" s="29" t="inlineStr">
        <is>
          <t>Sushi chef</t>
        </is>
      </c>
      <c r="B8" s="51" t="n">
        <v>1</v>
      </c>
      <c r="C8" s="53" t="n">
        <v>1</v>
      </c>
      <c r="D8" s="76" t="n">
        <v>3639</v>
      </c>
      <c r="E8" s="62">
        <f>IFERROR(IF(D8="","",D8*'0. Assumptions'!$B$20),"")</f>
        <v>363.90000000000003</v>
      </c>
      <c r="F8" s="62">
        <f>IFERROR(IF(D8="","",D8+E8),"")</f>
        <v>4002.9</v>
      </c>
      <c r="G8" s="62">
        <f>IFERROR(IF(D8="","",F8*MAX(12,'0. Assumptions'!$B$21)),"")</f>
        <v>48034.8</v>
      </c>
      <c r="H8" s="45">
        <f>IFERROR(IF(D8="","",C8*$B$19),"")</f>
        <v>40.0</v>
      </c>
      <c r="I8" s="41">
        <f>IFERROR(IF(D8="","",H8*B8*$B$20),"")</f>
        <v>1840.0</v>
      </c>
      <c r="J8" s="29" t="inlineStr">
        <is>
          <t>Rolls, platters for the delivery marketplaces and the sushi bar when the head sushi chef is off: about $21 per hour (Indeed lists $20.72). With a single person who can cut and build, one absence closes the sushi bar</t>
        </is>
      </c>
    </row>
    <row r="9">
      <c r="A9" s="29" t="inlineStr">
        <is>
          <t>Servers, host &amp; to-go packing (W-2, tips on top)</t>
        </is>
      </c>
      <c r="B9" s="51" t="n">
        <v>4</v>
      </c>
      <c r="C9" s="53" t="n">
        <v>0.75</v>
      </c>
      <c r="D9" s="76" t="n">
        <v>7798</v>
      </c>
      <c r="E9" s="62">
        <f>IFERROR(IF(D9="","",D9*'0. Assumptions'!$B$20),"")</f>
        <v>779.8000000000001</v>
      </c>
      <c r="F9" s="62">
        <f>IFERROR(IF(D9="","",D9+E9),"")</f>
        <v>8577.8</v>
      </c>
      <c r="G9" s="62">
        <f>IFERROR(IF(D9="","",F9*MAX(12,'0. Assumptions'!$B$21)),"")</f>
        <v>102933.59999999999</v>
      </c>
      <c r="H9" s="45">
        <f>IFERROR(IF(D9="","",C9*$B$19),"")</f>
        <v>30.0</v>
      </c>
      <c r="I9" s="41">
        <f>IFERROR(IF(D9="","",H9*B9*$B$20),"")</f>
        <v>5520.0</v>
      </c>
      <c r="J9" s="29" t="inlineStr">
        <is>
          <t>Four servers at 0.75 each: dining room, pickup and to-go packing, $15 per hour. Tips go on top and belong to the team</t>
        </is>
      </c>
    </row>
    <row r="10">
      <c r="A10" s="29" t="inlineStr">
        <is>
          <t>Sushi chef (part-time W-2, weekends &amp; dinner peaks)</t>
        </is>
      </c>
      <c r="B10" s="51" t="n">
        <v>1</v>
      </c>
      <c r="C10" s="53" t="n">
        <v>0.6</v>
      </c>
      <c r="D10" s="76" t="n">
        <v>2080</v>
      </c>
      <c r="E10" s="62">
        <f>IFERROR(IF(D10="","",D10*'0. Assumptions'!$B$20),"")</f>
        <v>208.0</v>
      </c>
      <c r="F10" s="62">
        <f>IFERROR(IF(D10="","",D10+E10),"")</f>
        <v>2288.0</v>
      </c>
      <c r="G10" s="62">
        <f>IFERROR(IF(D10="","",F10*MAX(12,'0. Assumptions'!$B$21)),"")</f>
        <v>27456.0</v>
      </c>
      <c r="H10" s="45">
        <f>IFERROR(IF(D10="","",C10*$B$19),"")</f>
        <v>24.0</v>
      </c>
      <c r="I10" s="41">
        <f>IFERROR(IF(D10="","",H10*B10*$B$20),"")</f>
        <v>1104.0</v>
      </c>
      <c r="J10" s="29" t="inlineStr">
        <is>
          <t>Part-time W-2 sushi chef for Friday and Saturday dinners and platters made to order: about $20 per hour, never as a 1099 contractor. This plan has NO in-house delivery: if you add it, the driver is a W-2 employee with hired and non-owned auto insurance</t>
        </is>
      </c>
    </row>
    <row r="11">
      <c r="A11" s="29" t="inlineStr">
        <is>
          <t>Dish &amp; prep</t>
        </is>
      </c>
      <c r="B11" s="51" t="n">
        <v>1</v>
      </c>
      <c r="C11" s="53" t="n">
        <v>1</v>
      </c>
      <c r="D11" s="76" t="n">
        <v>2773</v>
      </c>
      <c r="E11" s="62">
        <f>IFERROR(IF(D11="","",D11*'0. Assumptions'!$B$20),"")</f>
        <v>277.3</v>
      </c>
      <c r="F11" s="62">
        <f>IFERROR(IF(D11="","",D11+E11),"")</f>
        <v>3050.3</v>
      </c>
      <c r="G11" s="62">
        <f>IFERROR(IF(D11="","",F11*MAX(12,'0. Assumptions'!$B$21)),"")</f>
        <v>36603.600000000006</v>
      </c>
      <c r="H11" s="45">
        <f>IFERROR(IF(D11="","",C11*$B$19),"")</f>
        <v>40.0</v>
      </c>
      <c r="I11" s="41">
        <f>IFERROR(IF(D11="","",H11*B11*$B$20),"")</f>
        <v>1840.0</v>
      </c>
      <c r="J11" s="29" t="inlineStr">
        <is>
          <t>Coverage for vacations and the team's days off through the year. Paid sick leave is required by some states and cities: check yours</t>
        </is>
      </c>
    </row>
    <row r="12">
      <c r="A12" s="26" t="inlineStr">
        <is>
          <t>TOTAL STAFF</t>
        </is>
      </c>
      <c r="B12" s="54">
        <f>IFERROR(IF(COUNT(D5:D11)=0,"",SUM(B5:B11)),"")</f>
        <v>10.0</v>
      </c>
      <c r="C12" s="55">
        <f>IFERROR(IF(COUNT(D5:D11)=0,"",SUMPRODUCT(B5:B11,C5:C11)),"")</f>
        <v>8.6</v>
      </c>
      <c r="D12" s="55">
        <f>IFERROR(IF(COUNT(D5:D11)=0,"",SUM(D5:D11)),"")</f>
        <v>29108.0</v>
      </c>
      <c r="E12" s="55">
        <f>IFERROR(IF(COUNT(D5:D11)=0,"",SUM(E5:E11)),"")</f>
        <v>2910.8</v>
      </c>
      <c r="F12" s="55">
        <f>IFERROR(IF(COUNT(D5:D11)=0,"",SUM(F5:F11)),"")</f>
        <v>32018.8</v>
      </c>
      <c r="G12" s="55">
        <f>IFERROR(IF(COUNT(D5:D11)=0,"",SUM(G5:G11)),"")</f>
        <v>384225.6</v>
      </c>
      <c r="H12" s="29" t="n"/>
      <c r="I12" s="54">
        <f>IFERROR(IF(COUNT(D5:D11)=0,"",SUM(I5:I11)),"")</f>
        <v>15824.0</v>
      </c>
      <c r="J12" s="29" t="n"/>
    </row>
    <row r="13">
      <c r="A13" s="26" t="inlineStr">
        <is>
          <t>STAFF GROWTH (stepped cost)</t>
        </is>
      </c>
      <c r="B13" s="29" t="n"/>
      <c r="C13" s="29" t="n"/>
      <c r="D13" s="29" t="n"/>
      <c r="E13" s="29" t="n"/>
      <c r="F13" s="29" t="n"/>
      <c r="G13" s="29" t="n"/>
      <c r="H13" s="29" t="n"/>
      <c r="I13" s="29" t="n"/>
      <c r="J13" s="29" t="n"/>
    </row>
    <row r="14">
      <c r="A14" s="29" t="inlineStr">
        <is>
          <t>Annual cost of year-2 hires</t>
        </is>
      </c>
      <c r="B14" s="51" t="n">
        <v>5000</v>
      </c>
      <c r="C14" s="29" t="n"/>
      <c r="D14" s="29" t="n"/>
      <c r="E14" s="29" t="n"/>
      <c r="F14" s="29" t="n"/>
      <c r="G14" s="29" t="n"/>
      <c r="H14" s="29" t="n"/>
      <c r="I14" s="29" t="n"/>
      <c r="J14" s="29" t="inlineStr">
        <is>
          <t>FULL ANNUAL cost (gross pay + employer payroll taxes, over all pay periods) of whoever you hire that year. The P&amp;L adds it to the previous year's cost: staffing grows by people, not by a percentage</t>
        </is>
      </c>
    </row>
    <row r="15">
      <c r="A15" s="29" t="inlineStr">
        <is>
          <t>Annual cost of year-3 hires</t>
        </is>
      </c>
      <c r="B15" s="51" t="n">
        <v>5000</v>
      </c>
      <c r="C15" s="29" t="n"/>
      <c r="D15" s="29" t="n"/>
      <c r="E15" s="29" t="n"/>
      <c r="F15" s="29" t="n"/>
      <c r="G15" s="29" t="n"/>
      <c r="H15" s="29" t="n"/>
      <c r="I15" s="29" t="n"/>
      <c r="J15" s="29" t="inlineStr">
        <is>
          <t>FULL ANNUAL cost (gross pay + employer payroll taxes, over all pay periods) of whoever you hire that year. The P&amp;L adds it to the previous year's cost: staffing grows by people, not by a percentage</t>
        </is>
      </c>
    </row>
    <row r="16">
      <c r="A16" s="29" t="inlineStr">
        <is>
          <t>Labor cost, year 2</t>
        </is>
      </c>
      <c r="B16" s="41">
        <f>IFERROR(IF(G12="","",G12*(1+'0. Assumptions'!$B$48)+B14),"")</f>
        <v>389225.6</v>
      </c>
      <c r="C16" s="29" t="n"/>
      <c r="D16" s="29" t="n"/>
      <c r="E16" s="29" t="n"/>
      <c r="F16" s="29" t="n"/>
      <c r="G16" s="29" t="n"/>
      <c r="H16" s="29" t="n"/>
      <c r="I16" s="29" t="n"/>
      <c r="J16" s="29" t="n"/>
    </row>
    <row r="17">
      <c r="A17" s="29" t="inlineStr">
        <is>
          <t>Labor cost, year 3</t>
        </is>
      </c>
      <c r="B17" s="41">
        <f>IFERROR(IF(B16="","",B16*(1+'0. Assumptions'!$B$48)+B15),"")</f>
        <v>394225.6</v>
      </c>
      <c r="C17" s="29" t="n"/>
      <c r="D17" s="29" t="n"/>
      <c r="E17" s="29" t="n"/>
      <c r="F17" s="29" t="n"/>
      <c r="G17" s="29" t="n"/>
      <c r="H17" s="29" t="n"/>
      <c r="I17" s="29" t="n"/>
      <c r="J17" s="29" t="n"/>
    </row>
    <row r="18">
      <c r="A18" s="26" t="inlineStr">
        <is>
          <t>COVERAGE OF SERVICE HOURS</t>
        </is>
      </c>
      <c r="B18" s="29" t="n"/>
      <c r="C18" s="29" t="n"/>
      <c r="D18" s="29" t="n"/>
      <c r="E18" s="29" t="n"/>
      <c r="F18" s="29" t="n"/>
      <c r="G18" s="29" t="n"/>
      <c r="H18" s="29" t="n"/>
      <c r="I18" s="29" t="n"/>
      <c r="J18" s="29" t="n"/>
    </row>
    <row r="19">
      <c r="A19" s="29" t="inlineStr">
        <is>
          <t>Full-time week (hours per week)</t>
        </is>
      </c>
      <c r="B19" s="51" t="n">
        <v>40</v>
      </c>
      <c r="C19" s="29" t="n"/>
      <c r="D19" s="29" t="n"/>
      <c r="E19" s="29" t="n"/>
      <c r="F19" s="29" t="n"/>
      <c r="G19" s="29" t="n"/>
      <c r="H19" s="29" t="n"/>
      <c r="I19" s="29" t="n"/>
      <c r="J19" s="29" t="inlineStr">
        <is>
          <t>40 hours a week is the FLSA overtime threshold for non-exempt employees; some states add daily overtime rules. Change it if your own full-time week is different</t>
        </is>
      </c>
    </row>
    <row r="20">
      <c r="A20" s="29" t="inlineStr">
        <is>
          <t>Weeks worked per year per person</t>
        </is>
      </c>
      <c r="B20" s="51" t="n">
        <v>46</v>
      </c>
      <c r="C20" s="29" t="n"/>
      <c r="D20" s="29" t="n"/>
      <c r="E20" s="29" t="n"/>
      <c r="F20" s="29" t="n"/>
      <c r="G20" s="29" t="n"/>
      <c r="H20" s="29" t="n"/>
      <c r="I20" s="29" t="n"/>
      <c r="J20" s="29" t="inlineStr">
        <is>
          <t>46 weeks: 52 minus about six weeks for vacation, holidays and average absences. There is no federal vacation requirement in the US: adjust it to your own policy</t>
        </is>
      </c>
    </row>
    <row r="21">
      <c r="A21" s="29" t="inlineStr">
        <is>
          <t>Service hours per day to cover</t>
        </is>
      </c>
      <c r="B21" s="47" t="n">
        <v>7.5</v>
      </c>
      <c r="C21" s="29" t="n"/>
      <c r="D21" s="29" t="n"/>
      <c r="E21" s="29" t="n"/>
      <c r="F21" s="29" t="n"/>
      <c r="G21" s="29" t="n"/>
      <c r="H21" s="29" t="n"/>
      <c r="I21" s="29" t="n"/>
      <c r="J21" s="29" t="inlineStr">
        <is>
          <t>Hours the restaurant is open to the public, adding lunch (11:30-14:30) and dinner (17:00-21:30; 22:00 on Friday and Saturday). The afternoon between the two services is not counted</t>
        </is>
      </c>
    </row>
    <row r="22">
      <c r="A22" s="29" t="inlineStr">
        <is>
          <t>People needed at the same time in each shift</t>
        </is>
      </c>
      <c r="B22" s="47" t="n">
        <v>4.5</v>
      </c>
      <c r="C22" s="29" t="n"/>
      <c r="D22" s="29" t="n"/>
      <c r="E22" s="29" t="n"/>
      <c r="F22" s="29" t="n"/>
      <c r="G22" s="29" t="n"/>
      <c r="H22" s="29" t="n"/>
      <c r="I22" s="29" t="n"/>
      <c r="J22" s="29" t="inlineStr">
        <is>
          <t>Average number of people at the same time across the sushi bar, the hot line, the dining room and the to-go orders. On Friday and Saturday nights you need more: the part-time sushi chef and the extra servers come in (the annual roster does not see them: put them in the shift)</t>
        </is>
      </c>
    </row>
    <row r="23">
      <c r="A23" s="29" t="inlineStr">
        <is>
          <t>Production hours per day BEFORE opening</t>
        </is>
      </c>
      <c r="B23" s="47" t="n">
        <v>3</v>
      </c>
      <c r="C23" s="29" t="n"/>
      <c r="D23" s="29" t="n"/>
      <c r="E23" s="29" t="n"/>
      <c r="F23" s="29" t="n"/>
      <c r="G23" s="29" t="n"/>
      <c r="H23" s="29" t="n"/>
      <c r="I23" s="29" t="n"/>
      <c r="J23" s="29" t="inlineStr">
        <is>
          <t>The day's sushi rice, cutting and cleaning the fish, sauces and mise en place before opening</t>
        </is>
      </c>
    </row>
    <row r="24">
      <c r="A24" s="29" t="inlineStr">
        <is>
          <t>People on the production shift</t>
        </is>
      </c>
      <c r="B24" s="47" t="n">
        <v>2</v>
      </c>
      <c r="C24" s="29" t="n"/>
      <c r="D24" s="29" t="n"/>
      <c r="E24" s="29" t="n"/>
      <c r="F24" s="29" t="n"/>
      <c r="G24" s="29" t="n"/>
      <c r="H24" s="29" t="n"/>
      <c r="I24" s="29" t="n"/>
      <c r="J24" s="29" t="inlineStr">
        <is>
          <t>The head sushi chef and the line cook. Closing, cleaning and purchasing are outside this schedule: they are the margin between the hours you hire and the hours you need</t>
        </is>
      </c>
    </row>
    <row r="25">
      <c r="A25" s="29" t="inlineStr">
        <is>
          <t>Service hours to cover per year</t>
        </is>
      </c>
      <c r="B25" s="41">
        <f>IFERROR(IF(OR(B21="",B22="",'0. Assumptions'!$B$6=""),"",B21*B22*'0. Assumptions'!$B$6+B23*B24*'0. Assumptions'!$B$6),"")</f>
        <v>12322.5</v>
      </c>
      <c r="C25" s="29" t="n"/>
      <c r="D25" s="29" t="n"/>
      <c r="E25" s="29" t="n"/>
      <c r="F25" s="29" t="n"/>
      <c r="G25" s="29" t="n"/>
      <c r="H25" s="29" t="n"/>
      <c r="I25" s="29" t="n"/>
      <c r="J25" s="29" t="n"/>
    </row>
    <row r="26">
      <c r="A26" s="29" t="inlineStr">
        <is>
          <t>Hours hired per year</t>
        </is>
      </c>
      <c r="B26" s="41">
        <f>IFERROR(IF(I12="","",I12),"")</f>
        <v>15824.0</v>
      </c>
      <c r="C26" s="29" t="n"/>
      <c r="D26" s="29" t="n"/>
      <c r="E26" s="29" t="n"/>
      <c r="F26" s="29" t="n"/>
      <c r="G26" s="29" t="n"/>
      <c r="H26" s="29" t="n"/>
      <c r="I26" s="29" t="n"/>
      <c r="J26" s="29" t="n"/>
    </row>
    <row r="27">
      <c r="A27" s="26" t="inlineStr">
        <is>
          <t>Coverage (hired / needed)</t>
        </is>
      </c>
      <c r="B27" s="67">
        <f>IFERROR(B26/B25,"")</f>
        <v>1.2841550010144045</v>
      </c>
      <c r="C27" s="29" t="n"/>
      <c r="D27" s="29" t="n"/>
      <c r="E27" s="29" t="n"/>
      <c r="F27" s="29" t="n"/>
      <c r="G27" s="29" t="n"/>
      <c r="H27" s="29" t="n"/>
      <c r="I27" s="29" t="n"/>
      <c r="J27" s="26" t="inlineStr">
        <is>
          <t>Below 100% the staff cannot cover the hours the plan declares: either hire more or cut the hours</t>
        </is>
      </c>
    </row>
    <row r="28">
      <c r="A28" s="29" t="n"/>
      <c r="B28" s="29" t="n"/>
      <c r="C28" s="29" t="n"/>
      <c r="D28" s="29" t="n"/>
      <c r="E28" s="29" t="n"/>
      <c r="F28" s="29" t="n"/>
      <c r="G28" s="29" t="n"/>
      <c r="H28" s="29" t="n"/>
      <c r="I28" s="29" t="n"/>
      <c r="J28" s="29" t="n"/>
    </row>
    <row r="29" ht="269.25" customHeight="1">
      <c r="A29" s="48" t="inlineStr">
        <is>
          <t>The gross pay, employer payroll taxes, monthly cost and annual cost columns are TOTALS for the row: for a position with several people they include all of them. "FTE" is the share of a full-time week and is used to compare pay with the legal floor pro rata. The payroll tax rate and the number of pay periods are in the "0. Assumptions" tab. Tips are not modeled: every position, servers included, is budgeted at a base wage of at least $15/h, and the tips come on top and belong to the staff, never to the owner or managers. Federal rules allow a $2.13/h cash wage with a tip credit of up to $5.12 where the state permits it; CA, OR, WA, AK, MN, MT and NV do not (DOL)</t>
        </is>
      </c>
      <c r="B29" s="29" t="n"/>
      <c r="C29" s="29" t="n"/>
      <c r="D29" s="29" t="n"/>
      <c r="E29" s="29" t="n"/>
      <c r="F29" s="29" t="n"/>
      <c r="G29" s="29" t="n"/>
      <c r="H29" s="29" t="n"/>
      <c r="I29" s="29" t="n"/>
      <c r="J29" s="29" t="n"/>
    </row>
    <row r="30" ht="150" customHeight="1">
      <c r="A30" s="48"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Assumptions'!$B$21&lt;MAX('0. Assumptions'!$B$22,'0. Assumptions'!$B$68)*C5)</formula>
    </cfRule>
  </conditionalFormatting>
  <dataValidations count="3">
    <dataValidation sqref="B5 B6 B7 B8 B9 B10 B11 B14 B15 B19 B20 B21 B23 D5 D6 D7 D8 D9 D10 D11" showDropDown="0" showInputMessage="0" showErrorMessage="1" allowBlank="1" errorTitle="Invalid amount" error="Enter a number greater than or equal to 0." type="decimal" operator="greaterThanOrEqual">
      <formula1>0</formula1>
    </dataValidation>
    <dataValidation sqref="B22 B24"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C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HOW TO USE THIS WORKBOOK — Sushi Restaurant Financial Projections</t>
        </is>
      </c>
      <c r="B1" s="29" t="n"/>
      <c r="C1" s="29" t="n"/>
      <c r="D1" s="29" t="n"/>
      <c r="E1" s="29" t="n"/>
    </row>
    <row r="2">
      <c r="A2" s="29" t="n"/>
      <c r="B2" s="29" t="n"/>
      <c r="C2" s="29" t="n"/>
      <c r="D2" s="29" t="n"/>
      <c r="E2" s="29" t="n"/>
    </row>
    <row r="3">
      <c r="A3" s="40" t="inlineStr">
        <is>
          <t>HOW TO USE THIS WORKBOOK</t>
        </is>
      </c>
      <c r="B3" s="29" t="n"/>
      <c r="C3" s="29" t="n"/>
      <c r="D3" s="29" t="n"/>
      <c r="E3" s="29" t="n"/>
    </row>
    <row r="4" ht="30" customHeight="1">
      <c r="A4" s="48" t="inlineStr">
        <is>
          <t>This financial plan is a MODEL: you type only in the GREEN cells and everything else recalculates on its own.</t>
        </is>
      </c>
      <c r="B4" s="29" t="n"/>
      <c r="C4" s="29" t="n"/>
      <c r="D4" s="29" t="n"/>
      <c r="E4" s="29" t="n"/>
    </row>
    <row r="5" ht="45" customHeight="1">
      <c r="A5" s="48" t="inlineStr">
        <is>
          <t>1. "0. Assumptions" is the control sheet: covers per day, average check excl. sales tax, operating days, food and beverage mix, cost of goods sold, rent, financing and taxes.</t>
        </is>
      </c>
      <c r="B5" s="29" t="n"/>
      <c r="C5" s="29" t="n"/>
      <c r="D5" s="29" t="n"/>
      <c r="E5" s="29" t="n"/>
    </row>
    <row r="6" ht="45" customHeight="1">
      <c r="A6" s="48" t="inlineStr">
        <is>
          <t>2. Startup cost items, fixed costs and staffing are typed in their own tab, also in green. No number is typed twice.</t>
        </is>
      </c>
      <c r="B6" s="29" t="n"/>
      <c r="C6" s="29" t="n"/>
      <c r="D6" s="29" t="n"/>
      <c r="E6" s="29" t="n"/>
    </row>
    <row r="7" ht="105" customHeight="1">
      <c r="A7" s="48" t="inlineStr">
        <is>
          <t>3. On "Break-Even" you only type the seat-turn ceiling your space allows; everything else derives from the rest. The other three tabs also have green cells you can change: the pessimistic and optimistic scenarios on "Scenarios", the seasonality and the launch ramp-up on "12-Month Cash Flow", and the other financing sources on "Financing" (rows 8-11 count as sources but are not amortized: Your bank or SBA 7(a) loan goes in "Loan requested" on "0. Assumptions"). Everything else is calculated.</t>
        </is>
      </c>
      <c r="B7" s="29" t="n"/>
      <c r="C7" s="29" t="n"/>
      <c r="D7" s="29" t="n"/>
      <c r="E7" s="29" t="n"/>
    </row>
    <row r="8" ht="225" customHeight="1">
      <c r="A8" s="48" t="inlineStr">
        <is>
          <t>4. All figures are EXCL. SALES TAX. To turn a menu price into a price excl. sales tax, divide it by 1 plus your sales tax rate (a rate of 8% means dividing by 1.08). The example uses ONE rate for everything: dine-in, take-out, delivery and beverages; some states tax food to go or alcohol differently, so check yours. The P&amp;L is excl. sales tax; the "12-Month Cash Flow" tab shows what you actually collect, sales tax included, and the sales tax you remit as a quarterly filer.</t>
        </is>
      </c>
      <c r="B8" s="29" t="n"/>
      <c r="C8" s="29" t="n"/>
      <c r="D8" s="29" t="n"/>
      <c r="E8" s="29" t="n"/>
    </row>
    <row r="9" ht="30" customHeight="1">
      <c r="A9" s="48" t="inlineStr">
        <is>
          <t>5. If you change the staffing, the P&amp;L reads it on its own: labor cost comes from the "Staffing" tab, not from a separate estimate.</t>
        </is>
      </c>
      <c r="B9" s="29" t="n"/>
      <c r="C9" s="29" t="n"/>
      <c r="D9" s="29" t="n"/>
      <c r="E9" s="29" t="n"/>
    </row>
    <row r="10" ht="105" customHeight="1">
      <c r="A10" s="48" t="inlineStr">
        <is>
          <t>6. The "12-Month Cash Flow" tab answers the question that decides a bank deal: in which month the cash runs out. Its Month 1 is JANUARY, in calendar order: the opening ramp-up runs from January to April and January is also the slowest month of the calendar, which is why working capital counts. If you open in another month, rotate the seasonality row. The minimum balance of the year can never come out in red.</t>
        </is>
      </c>
      <c r="B10" s="29" t="n"/>
      <c r="C10" s="29" t="n"/>
      <c r="D10" s="29" t="n"/>
      <c r="E10" s="29" t="n"/>
    </row>
    <row r="11" ht="45" customHeight="1">
      <c r="A11" s="48" t="inlineStr">
        <is>
          <t>7. The "Financing" tab matches what you need with what you put in and builds the amortization schedule of the loan. If the difference is red, the plan is not funded.</t>
        </is>
      </c>
      <c r="B11" s="29" t="n"/>
      <c r="C11" s="29" t="n"/>
      <c r="D11" s="29" t="n"/>
      <c r="E11" s="29" t="n"/>
    </row>
    <row r="12" ht="150" customHeight="1">
      <c r="A12" s="48" t="inlineStr">
        <is>
          <t>8. The Word business plan in this kit quotes the figures in this Excel: if you change a green cell, the Excel rules. The Sushi Fish, Rice &amp; Costing Calculator is separate: it measures salmon yield and the sushi rice that comes out of each pound of raw rice, and it COSTS each piece by channel. Do not copy the food cost of one nigiri into the "0. Assumptions" tab: the "Cost of goods sold on FOOD sales" cell is the weighted average of the WHOLE menu plus fish waste, thrown-out rice and staff meals, and that is why it comes out higher than the theoretical cost per piece. With the costing of your own menu, check that this average holds.</t>
        </is>
      </c>
      <c r="B12" s="29" t="n"/>
      <c r="C12" s="29" t="n"/>
      <c r="D12" s="29" t="n"/>
      <c r="E12" s="29" t="n"/>
    </row>
    <row r="13">
      <c r="A13" s="29" t="n"/>
      <c r="B13" s="29" t="n"/>
      <c r="C13" s="29" t="n"/>
      <c r="D13" s="29" t="n"/>
      <c r="E13" s="29" t="n"/>
    </row>
    <row r="14">
      <c r="A14" s="26" t="inlineStr">
        <is>
          <t>RATIOS AUDITED BY THIS WORKBOOK</t>
        </is>
      </c>
      <c r="B14" s="29" t="n"/>
      <c r="C14" s="29" t="n"/>
      <c r="D14" s="29" t="n"/>
      <c r="E14" s="29" t="n"/>
    </row>
    <row r="15" ht="30" customHeight="1">
      <c r="A15" s="48" t="inlineStr">
        <is>
          <t>Thresholds live in the "Threshold" column of the KEY RATIOS block of the P&amp;L: change them there and the traffic light changes with them.</t>
        </is>
      </c>
      <c r="B15" s="29" t="n"/>
      <c r="C15" s="29" t="n"/>
      <c r="D15" s="29" t="n"/>
      <c r="E15" s="29" t="n"/>
    </row>
    <row r="16">
      <c r="A16" s="29" t="n"/>
      <c r="B16" s="29" t="n"/>
      <c r="C16" s="29" t="n"/>
      <c r="D16" s="29" t="n"/>
      <c r="E16" s="29" t="n"/>
    </row>
    <row r="17">
      <c r="A17" s="26" t="inlineStr">
        <is>
          <t>Ratio</t>
        </is>
      </c>
      <c r="B17" s="26" t="inlineStr">
        <is>
          <t>Year 1 value</t>
        </is>
      </c>
      <c r="C17" s="26" t="inlineStr">
        <is>
          <t>Threshold</t>
        </is>
      </c>
      <c r="D17" s="26" t="inlineStr">
        <is>
          <t>Status</t>
        </is>
      </c>
      <c r="E17" s="29" t="n"/>
    </row>
    <row r="18">
      <c r="A18" s="29" t="inlineStr">
        <is>
          <t>Cost of goods sold / Sales</t>
        </is>
      </c>
      <c r="B18" s="68">
        <f>IFERROR(IF('3-Year P&amp;L'!$B$52="","",'3-Year P&amp;L'!$B$52),"")</f>
        <v>0.308</v>
      </c>
      <c r="C18" s="68">
        <f>IFERROR(IF('3-Year P&amp;L'!$E$52="","",'3-Year P&amp;L'!$E$52),"")</f>
        <v>0.33</v>
      </c>
      <c r="D18" s="29" t="str">
        <f>IFERROR(IF(OR(B18="",C18=""),"",IF(B18&lt;=C18,"OK","REVIEW")),"")</f>
        <v>OK</v>
      </c>
      <c r="E18" s="29" t="n"/>
    </row>
    <row r="19">
      <c r="A19" s="29" t="inlineStr">
        <is>
          <t>Labor cost / Sales</t>
        </is>
      </c>
      <c r="B19" s="68">
        <f>IFERROR(IF('3-Year P&amp;L'!$B$53="","",'3-Year P&amp;L'!$B$53),"")</f>
        <v>0.33162205200129463</v>
      </c>
      <c r="C19" s="68">
        <f>IFERROR(IF('3-Year P&amp;L'!$E$53="","",'3-Year P&amp;L'!$E$53),"")</f>
        <v>0.36</v>
      </c>
      <c r="D19" s="29" t="str">
        <f>IFERROR(IF(OR(B19="",C19=""),"",IF(B19&lt;=C19,"OK","REVIEW")),"")</f>
        <v>OK</v>
      </c>
      <c r="E19" s="29" t="n"/>
    </row>
    <row r="20">
      <c r="A20" s="29" t="inlineStr">
        <is>
          <t>Rent / Sales</t>
        </is>
      </c>
      <c r="B20" s="68">
        <f>IFERROR(IF('3-Year P&amp;L'!$B$54="","",'3-Year P&amp;L'!$B$54),"")</f>
        <v>0.04660696946811954</v>
      </c>
      <c r="C20" s="68">
        <f>IFERROR(IF('3-Year P&amp;L'!$E$54="","",'3-Year P&amp;L'!$E$54),"")</f>
        <v>0.1</v>
      </c>
      <c r="D20" s="29" t="str">
        <f>IFERROR(IF(OR(B20="",C20=""),"",IF(B20&lt;=C20,"OK","REVIEW")),"")</f>
        <v>OK</v>
      </c>
      <c r="E20" s="29" t="n"/>
    </row>
    <row r="21">
      <c r="A21" s="29" t="inlineStr">
        <is>
          <t>Net income / Sales</t>
        </is>
      </c>
      <c r="B21" s="68">
        <f>IFERROR(IF('3-Year P&amp;L'!$B$55="","",'3-Year P&amp;L'!$B$55),"")</f>
        <v>0.08514325670822864</v>
      </c>
      <c r="C21" s="68">
        <f>IFERROR(IF('3-Year P&amp;L'!$E$55="","",'3-Year P&amp;L'!$E$55),"")</f>
        <v>0.05</v>
      </c>
      <c r="D21" s="29" t="str">
        <f>IFERROR(IF(OR(B21="",C21=""),"",IF(B21&gt;=C21,"OK","REVIEW")),"")</f>
        <v>OK</v>
      </c>
      <c r="E21" s="29" t="n"/>
    </row>
    <row r="22">
      <c r="A22" s="29" t="inlineStr">
        <is>
          <t>Gross margin / Sales</t>
        </is>
      </c>
      <c r="B22" s="68">
        <f>IFERROR(IF('3-Year P&amp;L'!$B$50="","",'3-Year P&amp;L'!$B$50),"")</f>
        <v>0.5845</v>
      </c>
      <c r="C22" s="68">
        <f>IFERROR(IF('3-Year P&amp;L'!$E$50="","",'3-Year P&amp;L'!$E$50),"")</f>
        <v>0.55</v>
      </c>
      <c r="D22" s="29" t="str">
        <f>IFERROR(IF(OR(B22="",C22=""),"",IF(B22&gt;=C22,"OK","REVIEW")),"")</f>
        <v>OK</v>
      </c>
      <c r="E22" s="29" t="n"/>
    </row>
    <row r="23">
      <c r="A23" s="29" t="n"/>
      <c r="B23" s="29" t="n"/>
      <c r="C23" s="29" t="n"/>
      <c r="D23" s="29" t="n"/>
      <c r="E23" s="29" t="n"/>
    </row>
    <row r="24">
      <c r="A24" s="26" t="inlineStr">
        <is>
          <t>THIS PLAN'S KEY FIGURES</t>
        </is>
      </c>
      <c r="B24" s="29" t="n"/>
      <c r="C24" s="29" t="n"/>
      <c r="D24" s="29" t="n"/>
      <c r="E24" s="29" t="n"/>
    </row>
    <row r="25">
      <c r="A25" s="29" t="inlineStr">
        <is>
          <t>Total startup costs (sum of the blocks)</t>
        </is>
      </c>
      <c r="B25" s="41">
        <f>IFERROR(IF('Startup Costs'!$B$30="","",'Startup Costs'!$B$30),"")</f>
        <v>385156.4</v>
      </c>
      <c r="C25" s="29" t="n"/>
      <c r="D25" s="29" t="n"/>
      <c r="E25" s="29" t="n"/>
    </row>
    <row r="26">
      <c r="A26" s="29" t="inlineStr">
        <is>
          <t>Total cash needed at launch</t>
        </is>
      </c>
      <c r="B26" s="41">
        <f>IFERROR(IF('Startup Costs'!$B$33="","",'Startup Costs'!$B$33),"")</f>
        <v>385156.4</v>
      </c>
      <c r="C26" s="29" t="n"/>
      <c r="D26" s="29" t="n"/>
      <c r="E26" s="29" t="n"/>
    </row>
    <row r="27">
      <c r="A27" s="29" t="inlineStr">
        <is>
          <t>Working capital funded</t>
        </is>
      </c>
      <c r="B27" s="41">
        <f>IFERROR(IF('Startup Costs'!$B$29="","",'Startup Costs'!$B$29),"")</f>
        <v>130056.40000000001</v>
      </c>
      <c r="C27" s="29" t="n"/>
      <c r="D27" s="29" t="n"/>
      <c r="E27" s="29" t="n"/>
    </row>
    <row r="28">
      <c r="A28" s="29" t="inlineStr">
        <is>
          <t>Forecast year-1 revenue</t>
        </is>
      </c>
      <c r="B28" s="41">
        <f>IFERROR(IF('3-Year P&amp;L'!$B$9="","",'3-Year P&amp;L'!$B$9),"")</f>
        <v>1158625.0</v>
      </c>
      <c r="C28" s="29" t="n"/>
      <c r="D28" s="29" t="n"/>
      <c r="E28" s="29" t="n"/>
    </row>
    <row r="29">
      <c r="A29" s="29" t="inlineStr">
        <is>
          <t>Year-1 net income</t>
        </is>
      </c>
      <c r="B29" s="41">
        <f>IFERROR(IF('3-Year P&amp;L'!$B$47="","",'3-Year P&amp;L'!$B$47),"")</f>
        <v>98649.10580357141</v>
      </c>
      <c r="C29" s="29" t="n"/>
      <c r="D29" s="29" t="n"/>
      <c r="E29" s="29" t="n"/>
    </row>
    <row r="30">
      <c r="A30" s="29" t="inlineStr">
        <is>
          <t>Covers per day for the ACCOUNTING break-even (depreciation included)</t>
        </is>
      </c>
      <c r="B30" s="45">
        <f>IFERROR(IF('Break-Even'!$B$15="","",'Break-Even'!$B$15),"")</f>
        <v>92.66415849114048</v>
      </c>
      <c r="C30" s="29" t="n"/>
      <c r="D30" s="29" t="n"/>
      <c r="E30" s="29" t="n"/>
    </row>
    <row r="31">
      <c r="A31" s="29" t="inlineStr">
        <is>
          <t>Project payback (years), before debt</t>
        </is>
      </c>
      <c r="B31" s="29">
        <f>IFERROR(IF('12-Month Cash Flow'!$B$31="","",'12-Month Cash Flow'!$B$31),"")</f>
        <v>2.3</v>
      </c>
      <c r="C31" s="29" t="n"/>
      <c r="D31" s="29" t="n"/>
      <c r="E31" s="29" t="n"/>
    </row>
    <row r="32">
      <c r="A32" s="29" t="n"/>
      <c r="B32" s="29" t="n"/>
      <c r="C32" s="29" t="n"/>
      <c r="D32" s="29" t="n"/>
      <c r="E32" s="29" t="n"/>
    </row>
    <row r="33">
      <c r="A33" s="26" t="inlineStr">
        <is>
          <t>US SUSHI RESTAURANT BENCHMARKS (sourced) AND KIT ESTIMATES</t>
        </is>
      </c>
      <c r="B33" s="29" t="n"/>
      <c r="C33" s="29" t="n"/>
      <c r="D33" s="29" t="n"/>
      <c r="E33" s="29" t="n"/>
    </row>
    <row r="34">
      <c r="A34" s="26" t="inlineStr">
        <is>
          <t>Benchmark</t>
        </is>
      </c>
      <c r="B34" s="26" t="inlineStr">
        <is>
          <t>Value</t>
        </is>
      </c>
      <c r="C34" s="26" t="inlineStr">
        <is>
          <t>Source</t>
        </is>
      </c>
      <c r="D34" s="26" t="inlineStr">
        <is>
          <t>Note</t>
        </is>
      </c>
      <c r="E34" s="29" t="n"/>
    </row>
    <row r="35" ht="74.75" customHeight="1">
      <c r="A35" s="29" t="inlineStr">
        <is>
          <t>Month 1 of the plan</t>
        </is>
      </c>
      <c r="B35" s="29" t="inlineStr">
        <is>
          <t>January</t>
        </is>
      </c>
      <c r="C35" s="29" t="inlineStr">
        <is>
          <t>Plan decision</t>
        </is>
      </c>
      <c r="D35" s="48" t="inlineStr">
        <is>
          <t>In calendar order: the ramp-up falls on January to April, and January is also the slowest month. February (Valentine's Day), May (Mother's Day and graduations) and December (holiday parties) are the peaks. If you open in another month, rotate the seasonality row of the "12-Month Cash Flow" tab</t>
        </is>
      </c>
      <c r="E35" s="29" t="n"/>
    </row>
    <row r="36" ht="30" customHeight="1">
      <c r="A36" s="29" t="inlineStr">
        <is>
          <t>Consumer demand (US searches)</t>
        </is>
      </c>
      <c r="B36" s="29" t="inlineStr">
        <is>
          <t>About 201,000 searches a month for "sushi restaurant"; 27,100 for "sushi bar"; 9,900 for "sushi takeout"</t>
        </is>
      </c>
      <c r="C36" s="29" t="inlineStr">
        <is>
          <t>DataForSEO, US, Oct 2026</t>
        </is>
      </c>
      <c r="D36" s="48" t="inlineStr">
        <is>
          <t>Consumer demand, not plan buyers. This plan puts 15% of sales through delivery marketplaces</t>
        </is>
      </c>
      <c r="E36" s="29" t="n"/>
    </row>
    <row r="37" ht="45" customHeight="1">
      <c r="A37" s="29" t="inlineStr">
        <is>
          <t>Menu prices in mid-size cities</t>
        </is>
      </c>
      <c r="B37" s="29" t="inlineStr">
        <is>
          <t>Nigiri $5-7 a pair; classic roll $7-9; specialty roll $13-18</t>
        </is>
      </c>
      <c r="C37" s="29" t="inlineStr">
        <is>
          <t>Kit estimate (three menus read Oct 2026, +10-20% to 2026 prices)</t>
        </is>
      </c>
      <c r="D37" s="48" t="inlineStr">
        <is>
          <t>This plan: dine-in cover of $36.00 (food $28.50 plus beverage $7.50, excl. sales tax and tip)</t>
        </is>
      </c>
      <c r="E37" s="29" t="n"/>
    </row>
    <row r="38" ht="60" customHeight="1">
      <c r="A38" s="29" t="inlineStr">
        <is>
          <t>Cost per piece</t>
        </is>
      </c>
      <c r="B38" s="29" t="inlineStr">
        <is>
          <t>Salmon nigiri about 23%, California roll about 12%, spicy tuna roll about 39%; whole menu about 24%</t>
        </is>
      </c>
      <c r="C38" s="29" t="inlineStr">
        <is>
          <t>Kit estimate (Sushi Fish, Rice &amp; Costing Calculator)</t>
        </is>
      </c>
      <c r="D38" s="48" t="inlineStr">
        <is>
          <t>The plan's 32% is the real usage of the whole menu, with case shrink, trim, rice thrown out and staff meals: it comes out higher than the theoretical cost per piece</t>
        </is>
      </c>
      <c r="E38" s="29" t="n"/>
    </row>
    <row r="39" ht="30" customHeight="1">
      <c r="A39" s="29" t="inlineStr">
        <is>
          <t>Salmon yield</t>
        </is>
      </c>
      <c r="B39" s="29" t="inlineStr">
        <is>
          <t>Usable loin 45-60% of a whole fish; a fillet about 85%</t>
        </is>
      </c>
      <c r="C39" s="29" t="inlineStr">
        <is>
          <t>Secondary sources (summary) and Kit estimate</t>
        </is>
      </c>
      <c r="D39" s="48" t="inlineStr">
        <is>
          <t>Measure yours with 3 fish on the "Fish Yield" tab of the calculator</t>
        </is>
      </c>
      <c r="E39" s="29" t="n"/>
    </row>
    <row r="40" ht="45" customHeight="1">
      <c r="A40" s="29" t="inlineStr">
        <is>
          <t>Sushi rice (Calrose, 50 lb bag)</t>
        </is>
      </c>
      <c r="B40" s="29" t="inlineStr">
        <is>
          <t>$51.99 ($1.04/lb)</t>
        </is>
      </c>
      <c r="C40" s="29" t="inlineStr">
        <is>
          <t>webstaurantstore.com, read Oct 2026</t>
        </is>
      </c>
      <c r="D40" s="48" t="inlineStr">
        <is>
          <t>Rice is cheap: the cost is in the fish and in the sushi chef's hands</t>
        </is>
      </c>
      <c r="E40" s="29" t="n"/>
    </row>
    <row r="41" ht="30" customHeight="1">
      <c r="A41" s="29" t="inlineStr">
        <is>
          <t>Delivery marketplace commission</t>
        </is>
      </c>
      <c r="B41" s="29" t="inlineStr">
        <is>
          <t>DoorDash 15 / 25 / 30% + 6% pickup; Uber Eats 15-30%</t>
        </is>
      </c>
      <c r="C41" s="29" t="inlineStr">
        <is>
          <t>merchants.ubereats.com; DoorDash tiers (Oct 2026)</t>
        </is>
      </c>
      <c r="D41" s="48" t="inlineStr">
        <is>
          <t>This plan: 25% on 15% of sales. Pickup placed directly with you pays no commission</t>
        </is>
      </c>
      <c r="E41" s="29" t="n"/>
    </row>
    <row r="42" ht="60" customHeight="1">
      <c r="A42" s="29" t="inlineStr">
        <is>
          <t>Sales tax</t>
        </is>
      </c>
      <c r="B42" s="29" t="inlineStr">
        <is>
          <t>8% (example: state + local)</t>
        </is>
      </c>
      <c r="C42" s="29" t="inlineStr">
        <is>
          <t>Kit example: look up your state and city rate</t>
        </is>
      </c>
      <c r="D42" s="48" t="inlineStr">
        <is>
          <t>One rate in the workbook; some states tax food to go differently</t>
        </is>
      </c>
      <c r="E42" s="29" t="n"/>
    </row>
    <row r="43" ht="60" customHeight="1">
      <c r="A43" s="29" t="inlineStr">
        <is>
          <t>Fish served raw (parasite destruction)</t>
        </is>
      </c>
      <c r="B43" s="29" t="inlineStr">
        <is>
          <t>−4 °F for 168 h (7 days), or −31 °F until solid + 15 h, or −31 °F + −4 °F for 24 h; tuna and feed-raised aquaculture fish exempt</t>
        </is>
      </c>
      <c r="C43" s="29" t="inlineStr">
        <is>
          <t>FDA Food Code 2022 (3-402.11, 3-402.12)</t>
        </is>
      </c>
      <c r="D43" s="48" t="inlineStr">
        <is>
          <t>Buy fish already treated, with the supplier's letter; keep the records 90 days</t>
        </is>
      </c>
      <c r="E43" s="29" t="n"/>
    </row>
    <row r="44" ht="75" customHeight="1">
      <c r="A44" s="29" t="inlineStr">
        <is>
          <t>Sushi rice held at room temperature</t>
        </is>
      </c>
      <c r="B44" s="29" t="inlineStr">
        <is>
          <t>TPHC: up to 4 h with the time marked and a written procedure, then discard; or a variance with a HACCP plan (example limit pH &lt; 4.2)</t>
        </is>
      </c>
      <c r="C44" s="29" t="inlineStr">
        <is>
          <t>FDA Food Code 2022 (3-501.19, 3-502.11)</t>
        </is>
      </c>
      <c r="D44" s="48" t="inlineStr">
        <is>
          <t>Your county decides: ask for it in writing before opening</t>
        </is>
      </c>
      <c r="E44" s="29" t="n"/>
    </row>
    <row r="45" ht="30" customHeight="1">
      <c r="A45" s="29" t="inlineStr">
        <is>
          <t>Minimum wage</t>
        </is>
      </c>
      <c r="B45" s="29" t="inlineStr">
        <is>
          <t>Federal $7.25/h + your state</t>
        </is>
      </c>
      <c r="C45" s="29" t="inlineStr">
        <is>
          <t>U.S. Department of Labor (dol.gov)</t>
        </is>
      </c>
      <c r="D45" s="48" t="inlineStr">
        <is>
          <t>This plan budgets at least $15/h; enter your state's floor in "0. Assumptions"</t>
        </is>
      </c>
      <c r="E45" s="29" t="n"/>
    </row>
    <row r="46" ht="30" customHeight="1">
      <c r="A46" s="29" t="inlineStr">
        <is>
          <t>Labor cost / sales</t>
        </is>
      </c>
      <c r="B46" s="29" t="inlineStr">
        <is>
          <t>About 30-35% with table service</t>
        </is>
      </c>
      <c r="C46" s="29" t="inlineStr">
        <is>
          <t>Kit estimate</t>
        </is>
      </c>
      <c r="D46" s="48" t="inlineStr">
        <is>
          <t>Servers' tips go on top and are not a cost of the restaurant; a good head sushi chef is not cheap</t>
        </is>
      </c>
      <c r="E46" s="29" t="n"/>
    </row>
    <row r="47">
      <c r="A47" s="29" t="n"/>
      <c r="B47" s="29" t="n"/>
      <c r="C47" s="29" t="n"/>
      <c r="D47" s="29" t="n"/>
      <c r="E47" s="29" t="n"/>
    </row>
    <row r="48">
      <c r="A48" s="75" t="inlineStr">
        <is>
          <t>To edit a cell that is not green: Review → Unprotect Sheet (there is no password).</t>
        </is>
      </c>
      <c r="B48" s="29" t="n"/>
      <c r="C48" s="29" t="n"/>
      <c r="D48" s="29" t="n"/>
      <c r="E48" s="29" t="n"/>
    </row>
    <row r="49">
      <c r="A49" s="75" t="inlineStr">
        <is>
          <t>More templates and kits in the catalog at aichef.pro/en/digital-products</t>
        </is>
      </c>
      <c r="B49" s="29" t="n"/>
      <c r="C49" s="29" t="n"/>
      <c r="D49" s="29" t="n"/>
      <c r="E49" s="29" t="n"/>
    </row>
    <row r="50">
      <c r="A50" s="75" t="inlineStr">
        <is>
          <t>Designed by John Guerrero — chef and restaurant consultant since 2010, in the kitchen since age 17 · johnguerrero.es</t>
        </is>
      </c>
      <c r="B50" s="29" t="n"/>
      <c r="C50" s="29" t="n"/>
      <c r="D50" s="29" t="n"/>
      <c r="E50" s="29" t="n"/>
    </row>
    <row r="51">
      <c r="A51" s="75" t="inlineStr">
        <is>
          <t>Version 2.2 · October 2026 · aichef.pro/en/digital-products/sushi-restaurant-business-plan · info@aichef.pro</t>
        </is>
      </c>
      <c r="B51" s="29" t="n"/>
      <c r="C51" s="29" t="n"/>
      <c r="D51" s="29" t="n"/>
      <c r="E51" s="29" t="n"/>
    </row>
    <row r="52" ht="45" customHeight="1">
      <c r="A52" s="77" t="inlineStr">
        <is>
          <t>Planning tool, not financial, tax or legal advice. Requirements vary by state, county and city — check with your accountant and local authorities.</t>
        </is>
      </c>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CASH FLOW FORECAST — YEAR 1</t>
        </is>
      </c>
      <c r="B1" s="29" t="n"/>
      <c r="C1" s="29" t="n"/>
      <c r="D1" s="29" t="n"/>
      <c r="E1" s="29" t="n"/>
      <c r="F1" s="29" t="n"/>
      <c r="G1" s="29" t="n"/>
      <c r="H1" s="29" t="n"/>
      <c r="I1" s="29" t="n"/>
      <c r="J1" s="29" t="n"/>
      <c r="K1" s="29" t="n"/>
      <c r="L1" s="29" t="n"/>
      <c r="M1" s="29" t="n"/>
      <c r="N1" s="29" t="n"/>
      <c r="O1" s="29" t="n"/>
    </row>
    <row r="2" ht="59.75" customHeight="1">
      <c r="A2" s="48" t="inlineStr">
        <is>
          <t>The P&amp;L tells you whether the business makes money; this tab tells you whether you have cash left to get to the end of the month. It is the first one a lender looks at.</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Item</t>
        </is>
      </c>
      <c r="B4" s="26" t="inlineStr">
        <is>
          <t>Month 1</t>
        </is>
      </c>
      <c r="C4" s="26" t="inlineStr">
        <is>
          <t>Month 2</t>
        </is>
      </c>
      <c r="D4" s="26" t="inlineStr">
        <is>
          <t>Month 3</t>
        </is>
      </c>
      <c r="E4" s="26" t="inlineStr">
        <is>
          <t>Month 4</t>
        </is>
      </c>
      <c r="F4" s="26" t="inlineStr">
        <is>
          <t>Month 5</t>
        </is>
      </c>
      <c r="G4" s="26" t="inlineStr">
        <is>
          <t>Month 6</t>
        </is>
      </c>
      <c r="H4" s="26" t="inlineStr">
        <is>
          <t>Month 7</t>
        </is>
      </c>
      <c r="I4" s="26" t="inlineStr">
        <is>
          <t>Month 8</t>
        </is>
      </c>
      <c r="J4" s="26" t="inlineStr">
        <is>
          <t>Month 9</t>
        </is>
      </c>
      <c r="K4" s="26" t="inlineStr">
        <is>
          <t>Month 10</t>
        </is>
      </c>
      <c r="L4" s="26" t="inlineStr">
        <is>
          <t>Month 11</t>
        </is>
      </c>
      <c r="M4" s="26" t="inlineStr">
        <is>
          <t>Month 12</t>
        </is>
      </c>
      <c r="N4" s="26" t="inlineStr">
        <is>
          <t>Year</t>
        </is>
      </c>
      <c r="O4" s="29" t="n"/>
    </row>
    <row r="5">
      <c r="A5" s="29" t="inlineStr">
        <is>
          <t>Monthly seasonality (adds up to 100%)</t>
        </is>
      </c>
      <c r="B5" s="74" t="n">
        <v>0.078</v>
      </c>
      <c r="C5" s="74" t="n">
        <v>0.08599999999999999</v>
      </c>
      <c r="D5" s="74" t="n">
        <v>0.08400000000000001</v>
      </c>
      <c r="E5" s="74" t="n">
        <v>0.082</v>
      </c>
      <c r="F5" s="74" t="n">
        <v>0.08599999999999999</v>
      </c>
      <c r="G5" s="74" t="n">
        <v>0.08400000000000001</v>
      </c>
      <c r="H5" s="74" t="n">
        <v>0.082</v>
      </c>
      <c r="I5" s="74" t="n">
        <v>0.08</v>
      </c>
      <c r="J5" s="74" t="n">
        <v>0.08</v>
      </c>
      <c r="K5" s="74" t="n">
        <v>0.08400000000000001</v>
      </c>
      <c r="L5" s="74" t="n">
        <v>0.082</v>
      </c>
      <c r="M5" s="74" t="n">
        <v>0.092</v>
      </c>
      <c r="N5" s="68">
        <f>IFERROR(IF('3-Year P&amp;L'!$B$9="","",SUM(B5:M5)),"")</f>
        <v>1.0</v>
      </c>
      <c r="O5" s="29" t="inlineStr">
        <is>
          <t>Month 1 = JANUARY, in calendar order: January is the slowest month; February (Valentine's Day), May (Mother's Day and graduations) and December (holiday parties and New Year's Eve platters) are the peaks. Kit weights for a mid-size US city: replace them with your area's pattern; if you open in another month, rotate the row. It must add up to 100%</t>
        </is>
      </c>
    </row>
    <row r="6">
      <c r="A6" s="29" t="inlineStr">
        <is>
          <t>Launch ramp-up (% of steady-state activity)</t>
        </is>
      </c>
      <c r="B6" s="68">
        <f>IFERROR(IF('3-Year P&amp;L'!$B$9="","",MIN(1,'0. Assumptions'!$B$52+(1-'0. Assumptions'!$B$52)*0/MAX(1,'0. Assumptions'!$B$53-1))),"")</f>
        <v>0.75</v>
      </c>
      <c r="C6" s="68">
        <f>IFERROR(IF('3-Year P&amp;L'!$B$9="","",MIN(1,'0. Assumptions'!$B$52+(1-'0. Assumptions'!$B$52)*1/MAX(1,'0. Assumptions'!$B$53-1))),"")</f>
        <v>0.8333333333333334</v>
      </c>
      <c r="D6" s="68">
        <f>IFERROR(IF('3-Year P&amp;L'!$B$9="","",MIN(1,'0. Assumptions'!$B$52+(1-'0. Assumptions'!$B$52)*2/MAX(1,'0. Assumptions'!$B$53-1))),"")</f>
        <v>0.9166666666666666</v>
      </c>
      <c r="E6" s="68">
        <f>IFERROR(IF('3-Year P&amp;L'!$B$9="","",MIN(1,'0. Assumptions'!$B$52+(1-'0. Assumptions'!$B$52)*3/MAX(1,'0. Assumptions'!$B$53-1))),"")</f>
        <v>1.0</v>
      </c>
      <c r="F6" s="68">
        <f>IFERROR(IF('3-Year P&amp;L'!$B$9="","",MIN(1,'0. Assumptions'!$B$52+(1-'0. Assumptions'!$B$52)*4/MAX(1,'0. Assumptions'!$B$53-1))),"")</f>
        <v>1.0</v>
      </c>
      <c r="G6" s="68">
        <f>IFERROR(IF('3-Year P&amp;L'!$B$9="","",MIN(1,'0. Assumptions'!$B$52+(1-'0. Assumptions'!$B$52)*5/MAX(1,'0. Assumptions'!$B$53-1))),"")</f>
        <v>1.0</v>
      </c>
      <c r="H6" s="68">
        <f>IFERROR(IF('3-Year P&amp;L'!$B$9="","",MIN(1,'0. Assumptions'!$B$52+(1-'0. Assumptions'!$B$52)*6/MAX(1,'0. Assumptions'!$B$53-1))),"")</f>
        <v>1.0</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9" t="n"/>
      <c r="O6" s="29" t="inlineStr">
        <is>
          <t>Rises in a straight line from the month-1 percentage to 100% over the number of months you set in Assumptions. With month 1 at 100%, the ramp disappears</t>
        </is>
      </c>
    </row>
    <row r="7">
      <c r="A7" s="29" t="inlineStr">
        <is>
          <t>Split of activity by month (calculated)</t>
        </is>
      </c>
      <c r="B7" s="68">
        <f>IFERROR(IF('3-Year P&amp;L'!$B$9="","",B5*B6/SUMPRODUCT($B$5:$M$5,$B$6:$M$6)),"")</f>
        <v>0.06099044309296265</v>
      </c>
      <c r="C7" s="68">
        <f>IFERROR(IF('3-Year P&amp;L'!$B$9="","",C5*C6/SUMPRODUCT($B$5:$M$5,$B$6:$M$6)),"")</f>
        <v>0.0747176368375326</v>
      </c>
      <c r="D7" s="68">
        <f>IFERROR(IF('3-Year P&amp;L'!$B$9="","",D5*D6/SUMPRODUCT($B$5:$M$5,$B$6:$M$6)),"")</f>
        <v>0.08027801911381409</v>
      </c>
      <c r="E7" s="68">
        <f>IFERROR(IF('3-Year P&amp;L'!$B$9="","",E5*E6/SUMPRODUCT($B$5:$M$5,$B$6:$M$6)),"")</f>
        <v>0.085490877497828</v>
      </c>
      <c r="F7" s="68">
        <f>IFERROR(IF('3-Year P&amp;L'!$B$9="","",F5*F6/SUMPRODUCT($B$5:$M$5,$B$6:$M$6)),"")</f>
        <v>0.0896611642050391</v>
      </c>
      <c r="G7" s="68">
        <f>IFERROR(IF('3-Year P&amp;L'!$B$9="","",G5*G6/SUMPRODUCT($B$5:$M$5,$B$6:$M$6)),"")</f>
        <v>0.08757602085143355</v>
      </c>
      <c r="H7" s="68">
        <f>IFERROR(IF('3-Year P&amp;L'!$B$9="","",H5*H6/SUMPRODUCT($B$5:$M$5,$B$6:$M$6)),"")</f>
        <v>0.085490877497828</v>
      </c>
      <c r="I7" s="68">
        <f>IFERROR(IF('3-Year P&amp;L'!$B$9="","",I5*I6/SUMPRODUCT($B$5:$M$5,$B$6:$M$6)),"")</f>
        <v>0.08340573414422243</v>
      </c>
      <c r="J7" s="68">
        <f>IFERROR(IF('3-Year P&amp;L'!$B$9="","",J5*J6/SUMPRODUCT($B$5:$M$5,$B$6:$M$6)),"")</f>
        <v>0.08340573414422243</v>
      </c>
      <c r="K7" s="68">
        <f>IFERROR(IF('3-Year P&amp;L'!$B$9="","",K5*K6/SUMPRODUCT($B$5:$M$5,$B$6:$M$6)),"")</f>
        <v>0.08757602085143355</v>
      </c>
      <c r="L7" s="68">
        <f>IFERROR(IF('3-Year P&amp;L'!$B$9="","",L5*L6/SUMPRODUCT($B$5:$M$5,$B$6:$M$6)),"")</f>
        <v>0.085490877497828</v>
      </c>
      <c r="M7" s="68">
        <f>IFERROR(IF('3-Year P&amp;L'!$B$9="","",M5*M6/SUMPRODUCT($B$5:$M$5,$B$6:$M$6)),"")</f>
        <v>0.09591659426585579</v>
      </c>
      <c r="N7" s="68">
        <f>IFERROR(IF('3-Year P&amp;L'!$B$9="","",SUM(B7:M7)),"")</f>
        <v>1.0000000000000004</v>
      </c>
      <c r="O7" s="29" t="inlineStr">
        <is>
          <t>Seasonality × ramp-up, normalized to 100%: the YEAR brings in what the P&amp;L says, but split the way a business that has just opened would split it</t>
        </is>
      </c>
    </row>
    <row r="8">
      <c r="A8" s="26" t="inlineStr">
        <is>
          <t>CASH IN</t>
        </is>
      </c>
      <c r="B8" s="29" t="n"/>
      <c r="C8" s="29" t="n"/>
      <c r="D8" s="29" t="n"/>
      <c r="E8" s="29" t="n"/>
      <c r="F8" s="29" t="n"/>
      <c r="G8" s="29" t="n"/>
      <c r="H8" s="29" t="n"/>
      <c r="I8" s="29" t="n"/>
      <c r="J8" s="29" t="n"/>
      <c r="K8" s="29" t="n"/>
      <c r="L8" s="29" t="n"/>
      <c r="M8" s="29" t="n"/>
      <c r="N8" s="29" t="n"/>
      <c r="O8" s="29" t="n"/>
    </row>
    <row r="9">
      <c r="A9" s="29" t="inlineStr">
        <is>
          <t>Sales collected (incl. sales tax collected)</t>
        </is>
      </c>
      <c r="B9" s="41">
        <f>IFERROR(IF('3-Year P&amp;L'!$B$9="","",('3-Year P&amp;L'!$B$9+'3-Year P&amp;L'!$B$9*SUMPRODUCT('3-Year P&amp;L'!$E$10:$E$11,'3-Year P&amp;L'!$G$10:$G$11))*B7*(1-MIN(30,'0. Assumptions'!$B$58)/30)),"")</f>
        <v>71230.37254561252</v>
      </c>
      <c r="C9" s="41">
        <f>IFERROR(IF('3-Year P&amp;L'!$B$9="","",('3-Year P&amp;L'!$B$9+'3-Year P&amp;L'!$B$9*SUMPRODUCT('3-Year P&amp;L'!$E$10:$E$11,'3-Year P&amp;L'!$G$10:$G$11))*(C7*(1-MIN(30,'0. Assumptions'!$B$58)/30)+B7*MIN(30,'0. Assumptions'!$B$58)/30)),"")</f>
        <v>92350.16350999134</v>
      </c>
      <c r="D9" s="41">
        <f>IFERROR(IF('3-Year P&amp;L'!$B$9="","",('3-Year P&amp;L'!$B$9+'3-Year P&amp;L'!$B$9*SUMPRODUCT('3-Year P&amp;L'!$E$10:$E$11,'3-Year P&amp;L'!$G$10:$G$11))*(D7*(1-MIN(30,'0. Assumptions'!$B$58)/30)+C7*MIN(30,'0. Assumptions'!$B$58)/30)),"")</f>
        <v>99989.23683753262</v>
      </c>
      <c r="E9" s="41">
        <f>IFERROR(IF('3-Year P&amp;L'!$B$9="","",('3-Year P&amp;L'!$B$9+'3-Year P&amp;L'!$B$9*SUMPRODUCT('3-Year P&amp;L'!$E$10:$E$11,'3-Year P&amp;L'!$G$10:$G$11))*(E7*(1-MIN(30,'0. Assumptions'!$B$58)/30)+D7*MIN(30,'0. Assumptions'!$B$58)/30)),"")</f>
        <v>106541.15551694181</v>
      </c>
      <c r="F9" s="41">
        <f>IFERROR(IF('3-Year P&amp;L'!$B$9="","",('3-Year P&amp;L'!$B$9+'3-Year P&amp;L'!$B$9*SUMPRODUCT('3-Year P&amp;L'!$E$10:$E$11,'3-Year P&amp;L'!$G$10:$G$11))*(F7*(1-MIN(30,'0. Assumptions'!$B$58)/30)+E7*MIN(30,'0. Assumptions'!$B$58)/30)),"")</f>
        <v>111846.47019982625</v>
      </c>
      <c r="G9" s="41">
        <f>IFERROR(IF('3-Year P&amp;L'!$B$9="","",('3-Year P&amp;L'!$B$9+'3-Year P&amp;L'!$B$9*SUMPRODUCT('3-Year P&amp;L'!$E$10:$E$11,'3-Year P&amp;L'!$G$10:$G$11))*(G7*(1-MIN(30,'0. Assumptions'!$B$58)/30)+F7*MIN(30,'0. Assumptions'!$B$58)/30)),"")</f>
        <v>109759.13327541269</v>
      </c>
      <c r="H9" s="41">
        <f>IFERROR(IF('3-Year P&amp;L'!$B$9="","",('3-Year P&amp;L'!$B$9+'3-Year P&amp;L'!$B$9*SUMPRODUCT('3-Year P&amp;L'!$E$10:$E$11,'3-Year P&amp;L'!$G$10:$G$11))*(H7*(1-MIN(30,'0. Assumptions'!$B$58)/30)+G7*MIN(30,'0. Assumptions'!$B$58)/30)),"")</f>
        <v>107149.96211989578</v>
      </c>
      <c r="I9" s="41">
        <f>IFERROR(IF('3-Year P&amp;L'!$B$9="","",('3-Year P&amp;L'!$B$9+'3-Year P&amp;L'!$B$9*SUMPRODUCT('3-Year P&amp;L'!$E$10:$E$11,'3-Year P&amp;L'!$G$10:$G$11))*(I7*(1-MIN(30,'0. Assumptions'!$B$58)/30)+H7*MIN(30,'0. Assumptions'!$B$58)/30)),"")</f>
        <v>104540.79096437882</v>
      </c>
      <c r="J9" s="41">
        <f>IFERROR(IF('3-Year P&amp;L'!$B$9="","",('3-Year P&amp;L'!$B$9+'3-Year P&amp;L'!$B$9*SUMPRODUCT('3-Year P&amp;L'!$E$10:$E$11,'3-Year P&amp;L'!$G$10:$G$11))*(J7*(1-MIN(30,'0. Assumptions'!$B$58)/30)+I7*MIN(30,'0. Assumptions'!$B$58)/30)),"")</f>
        <v>104366.84622067769</v>
      </c>
      <c r="K9" s="41">
        <f>IFERROR(IF('3-Year P&amp;L'!$B$9="","",('3-Year P&amp;L'!$B$9+'3-Year P&amp;L'!$B$9*SUMPRODUCT('3-Year P&amp;L'!$E$10:$E$11,'3-Year P&amp;L'!$G$10:$G$11))*(K7*(1-MIN(30,'0. Assumptions'!$B$58)/30)+J7*MIN(30,'0. Assumptions'!$B$58)/30)),"")</f>
        <v>109237.29904430931</v>
      </c>
      <c r="L9" s="41">
        <f>IFERROR(IF('3-Year P&amp;L'!$B$9="","",('3-Year P&amp;L'!$B$9+'3-Year P&amp;L'!$B$9*SUMPRODUCT('3-Year P&amp;L'!$E$10:$E$11,'3-Year P&amp;L'!$G$10:$G$11))*(L7*(1-MIN(30,'0. Assumptions'!$B$58)/30)+K7*MIN(30,'0. Assumptions'!$B$58)/30)),"")</f>
        <v>107149.96211989578</v>
      </c>
      <c r="M9" s="41">
        <f>IFERROR(IF('3-Year P&amp;L'!$B$9="","",('3-Year P&amp;L'!$B$9+'3-Year P&amp;L'!$B$9*SUMPRODUCT('3-Year P&amp;L'!$E$10:$E$11,'3-Year P&amp;L'!$G$10:$G$11))*(M7*(1-MIN(30,'0. Assumptions'!$B$58)/30)+L7*MIN(30,'0. Assumptions'!$B$58)/30)),"")</f>
        <v>119152.14943527369</v>
      </c>
      <c r="N9" s="41">
        <f>IFERROR(IF('3-Year P&amp;L'!$B$9="","",SUM(B9:M9)),"")</f>
        <v>1243313.5417897482</v>
      </c>
      <c r="O9" s="29" t="inlineStr">
        <is>
          <t>The month's sales plus the sales tax collected, adjusted by the average collection days from the Assumptions tab</t>
        </is>
      </c>
    </row>
    <row r="10">
      <c r="A10" s="26" t="inlineStr">
        <is>
          <t>CASH OUT</t>
        </is>
      </c>
      <c r="B10" s="29" t="n"/>
      <c r="C10" s="29" t="n"/>
      <c r="D10" s="29" t="n"/>
      <c r="E10" s="29" t="n"/>
      <c r="F10" s="29" t="n"/>
      <c r="G10" s="29" t="n"/>
      <c r="H10" s="29" t="n"/>
      <c r="I10" s="29" t="n"/>
      <c r="J10" s="29" t="n"/>
      <c r="K10" s="29" t="n"/>
      <c r="L10" s="29" t="n"/>
      <c r="M10" s="29" t="n"/>
      <c r="N10" s="29" t="n"/>
      <c r="O10" s="29" t="n"/>
    </row>
    <row r="11">
      <c r="A11" s="29" t="inlineStr">
        <is>
          <t>Purchases and variable costs (incl. sales tax)</t>
        </is>
      </c>
      <c r="B11" s="41">
        <f>IFERROR(IF('3-Year P&amp;L'!$B$9="","",-('3-Year P&amp;L'!$B$13*(1+'3-Year P&amp;L'!$G$13)+'3-Year P&amp;L'!$B$14*(1+'3-Year P&amp;L'!$G$14)+'3-Year P&amp;L'!$B$15*(1+'3-Year P&amp;L'!$G$15)+'3-Year P&amp;L'!$B$16*(1+'3-Year P&amp;L'!$G$16)+'3-Year P&amp;L'!$B$17*(1+'3-Year P&amp;L'!$G$17)+'3-Year P&amp;L'!$B$18*(1+'3-Year P&amp;L'!$G$18))*B7*(1-MIN(30,'0. Assumptions'!$B$59)/30)),"")</f>
        <v>-15659.375551694182</v>
      </c>
      <c r="C11" s="41">
        <f>IFERROR(IF('3-Year P&amp;L'!$B$9="","",-('3-Year P&amp;L'!$B$13*(1+'3-Year P&amp;L'!$G$13)+'3-Year P&amp;L'!$B$14*(1+'3-Year P&amp;L'!$G$14)+'3-Year P&amp;L'!$B$15*(1+'3-Year P&amp;L'!$G$15)+'3-Year P&amp;L'!$B$16*(1+'3-Year P&amp;L'!$G$16)+'3-Year P&amp;L'!$B$17*(1+'3-Year P&amp;L'!$G$17)+'3-Year P&amp;L'!$B$18*(1+'3-Year P&amp;L'!$G$18))*(C7*(1-MIN(30,'0. Assumptions'!$B$59)/30)+B7*MIN(30,'0. Assumptions'!$B$59)/30)),"")</f>
        <v>-32885.80399869679</v>
      </c>
      <c r="D11" s="41">
        <f>IFERROR(IF('3-Year P&amp;L'!$B$9="","",-('3-Year P&amp;L'!$B$13*(1+'3-Year P&amp;L'!$G$13)+'3-Year P&amp;L'!$B$14*(1+'3-Year P&amp;L'!$G$14)+'3-Year P&amp;L'!$B$15*(1+'3-Year P&amp;L'!$G$15)+'3-Year P&amp;L'!$B$16*(1+'3-Year P&amp;L'!$G$16)+'3-Year P&amp;L'!$B$17*(1+'3-Year P&amp;L'!$G$17)+'3-Year P&amp;L'!$B$18*(1+'3-Year P&amp;L'!$G$18))*(D7*(1-MIN(30,'0. Assumptions'!$B$59)/30)+C7*MIN(30,'0. Assumptions'!$B$59)/30)),"")</f>
        <v>-37397.354860990454</v>
      </c>
      <c r="E11" s="41">
        <f>IFERROR(IF('3-Year P&amp;L'!$B$9="","",-('3-Year P&amp;L'!$B$13*(1+'3-Year P&amp;L'!$G$13)+'3-Year P&amp;L'!$B$14*(1+'3-Year P&amp;L'!$G$14)+'3-Year P&amp;L'!$B$15*(1+'3-Year P&amp;L'!$G$15)+'3-Year P&amp;L'!$B$16*(1+'3-Year P&amp;L'!$G$16)+'3-Year P&amp;L'!$B$17*(1+'3-Year P&amp;L'!$G$17)+'3-Year P&amp;L'!$B$18*(1+'3-Year P&amp;L'!$G$18))*(E7*(1-MIN(30,'0. Assumptions'!$B$59)/30)+D7*MIN(30,'0. Assumptions'!$B$59)/30)),"")</f>
        <v>-39984.94398349262</v>
      </c>
      <c r="F11" s="41">
        <f>IFERROR(IF('3-Year P&amp;L'!$B$9="","",-('3-Year P&amp;L'!$B$13*(1+'3-Year P&amp;L'!$G$13)+'3-Year P&amp;L'!$B$14*(1+'3-Year P&amp;L'!$G$14)+'3-Year P&amp;L'!$B$15*(1+'3-Year P&amp;L'!$G$15)+'3-Year P&amp;L'!$B$16*(1+'3-Year P&amp;L'!$G$16)+'3-Year P&amp;L'!$B$17*(1+'3-Year P&amp;L'!$G$17)+'3-Year P&amp;L'!$B$18*(1+'3-Year P&amp;L'!$G$18))*(F7*(1-MIN(30,'0. Assumptions'!$B$59)/30)+E7*MIN(30,'0. Assumptions'!$B$59)/30)),"")</f>
        <v>-42226.777662901826</v>
      </c>
      <c r="G11" s="41">
        <f>IFERROR(IF('3-Year P&amp;L'!$B$9="","",-('3-Year P&amp;L'!$B$13*(1+'3-Year P&amp;L'!$G$13)+'3-Year P&amp;L'!$B$14*(1+'3-Year P&amp;L'!$G$14)+'3-Year P&amp;L'!$B$15*(1+'3-Year P&amp;L'!$G$15)+'3-Year P&amp;L'!$B$16*(1+'3-Year P&amp;L'!$G$16)+'3-Year P&amp;L'!$B$17*(1+'3-Year P&amp;L'!$G$17)+'3-Year P&amp;L'!$B$18*(1+'3-Year P&amp;L'!$G$18))*(G7*(1-MIN(30,'0. Assumptions'!$B$59)/30)+F7*MIN(30,'0. Assumptions'!$B$59)/30)),"")</f>
        <v>-42628.300112945275</v>
      </c>
      <c r="H11" s="41">
        <f>IFERROR(IF('3-Year P&amp;L'!$B$9="","",-('3-Year P&amp;L'!$B$13*(1+'3-Year P&amp;L'!$G$13)+'3-Year P&amp;L'!$B$14*(1+'3-Year P&amp;L'!$G$14)+'3-Year P&amp;L'!$B$15*(1+'3-Year P&amp;L'!$G$15)+'3-Year P&amp;L'!$B$16*(1+'3-Year P&amp;L'!$G$16)+'3-Year P&amp;L'!$B$17*(1+'3-Year P&amp;L'!$G$17)+'3-Year P&amp;L'!$B$18*(1+'3-Year P&amp;L'!$G$18))*(H7*(1-MIN(30,'0. Assumptions'!$B$59)/30)+G7*MIN(30,'0. Assumptions'!$B$59)/30)),"")</f>
        <v>-41624.493987836664</v>
      </c>
      <c r="I11" s="41">
        <f>IFERROR(IF('3-Year P&amp;L'!$B$9="","",-('3-Year P&amp;L'!$B$13*(1+'3-Year P&amp;L'!$G$13)+'3-Year P&amp;L'!$B$14*(1+'3-Year P&amp;L'!$G$14)+'3-Year P&amp;L'!$B$15*(1+'3-Year P&amp;L'!$G$15)+'3-Year P&amp;L'!$B$16*(1+'3-Year P&amp;L'!$G$16)+'3-Year P&amp;L'!$B$17*(1+'3-Year P&amp;L'!$G$17)+'3-Year P&amp;L'!$B$18*(1+'3-Year P&amp;L'!$G$18))*(I7*(1-MIN(30,'0. Assumptions'!$B$59)/30)+H7*MIN(30,'0. Assumptions'!$B$59)/30)),"")</f>
        <v>-40620.687862728075</v>
      </c>
      <c r="J11" s="41">
        <f>IFERROR(IF('3-Year P&amp;L'!$B$9="","",-('3-Year P&amp;L'!$B$13*(1+'3-Year P&amp;L'!$G$13)+'3-Year P&amp;L'!$B$14*(1+'3-Year P&amp;L'!$G$14)+'3-Year P&amp;L'!$B$15*(1+'3-Year P&amp;L'!$G$15)+'3-Year P&amp;L'!$B$16*(1+'3-Year P&amp;L'!$G$16)+'3-Year P&amp;L'!$B$17*(1+'3-Year P&amp;L'!$G$17)+'3-Year P&amp;L'!$B$18*(1+'3-Year P&amp;L'!$G$18))*(J7*(1-MIN(30,'0. Assumptions'!$B$59)/30)+I7*MIN(30,'0. Assumptions'!$B$59)/30)),"")</f>
        <v>-40152.245004344055</v>
      </c>
      <c r="K11" s="41">
        <f>IFERROR(IF('3-Year P&amp;L'!$B$9="","",-('3-Year P&amp;L'!$B$13*(1+'3-Year P&amp;L'!$G$13)+'3-Year P&amp;L'!$B$14*(1+'3-Year P&amp;L'!$G$14)+'3-Year P&amp;L'!$B$15*(1+'3-Year P&amp;L'!$G$15)+'3-Year P&amp;L'!$B$16*(1+'3-Year P&amp;L'!$G$16)+'3-Year P&amp;L'!$B$17*(1+'3-Year P&amp;L'!$G$17)+'3-Year P&amp;L'!$B$18*(1+'3-Year P&amp;L'!$G$18))*(K7*(1-MIN(30,'0. Assumptions'!$B$59)/30)+J7*MIN(30,'0. Assumptions'!$B$59)/30)),"")</f>
        <v>-41222.97153779324</v>
      </c>
      <c r="L11" s="41">
        <f>IFERROR(IF('3-Year P&amp;L'!$B$9="","",-('3-Year P&amp;L'!$B$13*(1+'3-Year P&amp;L'!$G$13)+'3-Year P&amp;L'!$B$14*(1+'3-Year P&amp;L'!$G$14)+'3-Year P&amp;L'!$B$15*(1+'3-Year P&amp;L'!$G$15)+'3-Year P&amp;L'!$B$16*(1+'3-Year P&amp;L'!$G$16)+'3-Year P&amp;L'!$B$17*(1+'3-Year P&amp;L'!$G$17)+'3-Year P&amp;L'!$B$18*(1+'3-Year P&amp;L'!$G$18))*(L7*(1-MIN(30,'0. Assumptions'!$B$59)/30)+K7*MIN(30,'0. Assumptions'!$B$59)/30)),"")</f>
        <v>-41624.493987836664</v>
      </c>
      <c r="M11" s="41">
        <f>IFERROR(IF('3-Year P&amp;L'!$B$9="","",-('3-Year P&amp;L'!$B$13*(1+'3-Year P&amp;L'!$G$13)+'3-Year P&amp;L'!$B$14*(1+'3-Year P&amp;L'!$G$14)+'3-Year P&amp;L'!$B$15*(1+'3-Year P&amp;L'!$G$15)+'3-Year P&amp;L'!$B$16*(1+'3-Year P&amp;L'!$G$16)+'3-Year P&amp;L'!$B$17*(1+'3-Year P&amp;L'!$G$17)+'3-Year P&amp;L'!$B$18*(1+'3-Year P&amp;L'!$G$18))*(M7*(1-MIN(30,'0. Assumptions'!$B$59)/30)+L7*MIN(30,'0. Assumptions'!$B$59)/30)),"")</f>
        <v>-43832.8674630756</v>
      </c>
      <c r="N11" s="41">
        <f>IFERROR(IF('3-Year P&amp;L'!$B$9="","",SUM(B11:M11)),"")</f>
        <v>-459860.3160143354</v>
      </c>
      <c r="O11" s="29"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9" t="inlineStr">
        <is>
          <t>Operating fixed costs (incl. sales tax)</t>
        </is>
      </c>
      <c r="B12" s="41">
        <f>IFERROR(IF('3-Year P&amp;L'!$B$9="","",-('3-Year P&amp;L'!$B$37-'3-Year P&amp;L'!$B$23-'3-Year P&amp;L'!$B$35-'3-Year P&amp;L'!$B$36+'3-Year P&amp;L'!$B$39)/12),"")</f>
        <v>-9200.000000000005</v>
      </c>
      <c r="C12" s="41">
        <f>IFERROR(IF('3-Year P&amp;L'!$B$9="","",-('3-Year P&amp;L'!$B$37-'3-Year P&amp;L'!$B$23-'3-Year P&amp;L'!$B$35-'3-Year P&amp;L'!$B$36+'3-Year P&amp;L'!$B$39)/12),"")</f>
        <v>-9200.000000000005</v>
      </c>
      <c r="D12" s="41">
        <f>IFERROR(IF('3-Year P&amp;L'!$B$9="","",-('3-Year P&amp;L'!$B$37-'3-Year P&amp;L'!$B$23-'3-Year P&amp;L'!$B$35-'3-Year P&amp;L'!$B$36+'3-Year P&amp;L'!$B$39)/12),"")</f>
        <v>-9200.000000000005</v>
      </c>
      <c r="E12" s="41">
        <f>IFERROR(IF('3-Year P&amp;L'!$B$9="","",-('3-Year P&amp;L'!$B$37-'3-Year P&amp;L'!$B$23-'3-Year P&amp;L'!$B$35-'3-Year P&amp;L'!$B$36+'3-Year P&amp;L'!$B$39)/12),"")</f>
        <v>-9200.000000000005</v>
      </c>
      <c r="F12" s="41">
        <f>IFERROR(IF('3-Year P&amp;L'!$B$9="","",-('3-Year P&amp;L'!$B$37-'3-Year P&amp;L'!$B$23-'3-Year P&amp;L'!$B$35-'3-Year P&amp;L'!$B$36+'3-Year P&amp;L'!$B$39)/12),"")</f>
        <v>-9200.000000000005</v>
      </c>
      <c r="G12" s="41">
        <f>IFERROR(IF('3-Year P&amp;L'!$B$9="","",-('3-Year P&amp;L'!$B$37-'3-Year P&amp;L'!$B$23-'3-Year P&amp;L'!$B$35-'3-Year P&amp;L'!$B$36+'3-Year P&amp;L'!$B$39)/12),"")</f>
        <v>-9200.000000000005</v>
      </c>
      <c r="H12" s="41">
        <f>IFERROR(IF('3-Year P&amp;L'!$B$9="","",-('3-Year P&amp;L'!$B$37-'3-Year P&amp;L'!$B$23-'3-Year P&amp;L'!$B$35-'3-Year P&amp;L'!$B$36+'3-Year P&amp;L'!$B$39)/12),"")</f>
        <v>-9200.000000000005</v>
      </c>
      <c r="I12" s="41">
        <f>IFERROR(IF('3-Year P&amp;L'!$B$9="","",-('3-Year P&amp;L'!$B$37-'3-Year P&amp;L'!$B$23-'3-Year P&amp;L'!$B$35-'3-Year P&amp;L'!$B$36+'3-Year P&amp;L'!$B$39)/12),"")</f>
        <v>-9200.000000000005</v>
      </c>
      <c r="J12" s="41">
        <f>IFERROR(IF('3-Year P&amp;L'!$B$9="","",-('3-Year P&amp;L'!$B$37-'3-Year P&amp;L'!$B$23-'3-Year P&amp;L'!$B$35-'3-Year P&amp;L'!$B$36+'3-Year P&amp;L'!$B$39)/12),"")</f>
        <v>-9200.000000000005</v>
      </c>
      <c r="K12" s="41">
        <f>IFERROR(IF('3-Year P&amp;L'!$B$9="","",-('3-Year P&amp;L'!$B$37-'3-Year P&amp;L'!$B$23-'3-Year P&amp;L'!$B$35-'3-Year P&amp;L'!$B$36+'3-Year P&amp;L'!$B$39)/12),"")</f>
        <v>-9200.000000000005</v>
      </c>
      <c r="L12" s="41">
        <f>IFERROR(IF('3-Year P&amp;L'!$B$9="","",-('3-Year P&amp;L'!$B$37-'3-Year P&amp;L'!$B$23-'3-Year P&amp;L'!$B$35-'3-Year P&amp;L'!$B$36+'3-Year P&amp;L'!$B$39)/12),"")</f>
        <v>-9200.000000000005</v>
      </c>
      <c r="M12" s="41">
        <f>IFERROR(IF('3-Year P&amp;L'!$B$9="","",-('3-Year P&amp;L'!$B$37-'3-Year P&amp;L'!$B$23-'3-Year P&amp;L'!$B$35-'3-Year P&amp;L'!$B$36+'3-Year P&amp;L'!$B$39)/12),"")</f>
        <v>-9200.000000000005</v>
      </c>
      <c r="N12" s="41">
        <f>IFERROR(IF('3-Year P&amp;L'!$B$9="","",SUM(B12:M12)),"")</f>
        <v>-110400.00000000006</v>
      </c>
      <c r="O12" s="29" t="inlineStr">
        <is>
          <t>The fixed costs that leave cash, each with its own tax rate: insurance carries none</t>
        </is>
      </c>
    </row>
    <row r="13">
      <c r="A13" s="29" t="inlineStr">
        <is>
          <t>Payroll and employer payroll taxes</t>
        </is>
      </c>
      <c r="B13" s="41">
        <f>IFERROR(IF('3-Year P&amp;L'!$B$9="","",-'3-Year P&amp;L'!$B$23/MAX(12,'0. Assumptions'!$B$21)*(1+IF(1='0. Assumptions'!$B$60,(MAX(12,'0. Assumptions'!$B$21)-12)/2,0)+IF(1='0. Assumptions'!$B$61,(MAX(12,'0. Assumptions'!$B$21)-12)/2,0))),"")</f>
        <v>-32018.8</v>
      </c>
      <c r="C13" s="41">
        <f>IFERROR(IF('3-Year P&amp;L'!$B$9="","",-'3-Year P&amp;L'!$B$23/MAX(12,'0. Assumptions'!$B$21)*(1+IF(2='0. Assumptions'!$B$60,(MAX(12,'0. Assumptions'!$B$21)-12)/2,0)+IF(2='0. Assumptions'!$B$61,(MAX(12,'0. Assumptions'!$B$21)-12)/2,0))),"")</f>
        <v>-32018.8</v>
      </c>
      <c r="D13" s="41">
        <f>IFERROR(IF('3-Year P&amp;L'!$B$9="","",-'3-Year P&amp;L'!$B$23/MAX(12,'0. Assumptions'!$B$21)*(1+IF(3='0. Assumptions'!$B$60,(MAX(12,'0. Assumptions'!$B$21)-12)/2,0)+IF(3='0. Assumptions'!$B$61,(MAX(12,'0. Assumptions'!$B$21)-12)/2,0))),"")</f>
        <v>-32018.8</v>
      </c>
      <c r="E13" s="41">
        <f>IFERROR(IF('3-Year P&amp;L'!$B$9="","",-'3-Year P&amp;L'!$B$23/MAX(12,'0. Assumptions'!$B$21)*(1+IF(4='0. Assumptions'!$B$60,(MAX(12,'0. Assumptions'!$B$21)-12)/2,0)+IF(4='0. Assumptions'!$B$61,(MAX(12,'0. Assumptions'!$B$21)-12)/2,0))),"")</f>
        <v>-32018.8</v>
      </c>
      <c r="F13" s="41">
        <f>IFERROR(IF('3-Year P&amp;L'!$B$9="","",-'3-Year P&amp;L'!$B$23/MAX(12,'0. Assumptions'!$B$21)*(1+IF(5='0. Assumptions'!$B$60,(MAX(12,'0. Assumptions'!$B$21)-12)/2,0)+IF(5='0. Assumptions'!$B$61,(MAX(12,'0. Assumptions'!$B$21)-12)/2,0))),"")</f>
        <v>-32018.8</v>
      </c>
      <c r="G13" s="41">
        <f>IFERROR(IF('3-Year P&amp;L'!$B$9="","",-'3-Year P&amp;L'!$B$23/MAX(12,'0. Assumptions'!$B$21)*(1+IF(6='0. Assumptions'!$B$60,(MAX(12,'0. Assumptions'!$B$21)-12)/2,0)+IF(6='0. Assumptions'!$B$61,(MAX(12,'0. Assumptions'!$B$21)-12)/2,0))),"")</f>
        <v>-32018.8</v>
      </c>
      <c r="H13" s="41">
        <f>IFERROR(IF('3-Year P&amp;L'!$B$9="","",-'3-Year P&amp;L'!$B$23/MAX(12,'0. Assumptions'!$B$21)*(1+IF(7='0. Assumptions'!$B$60,(MAX(12,'0. Assumptions'!$B$21)-12)/2,0)+IF(7='0. Assumptions'!$B$61,(MAX(12,'0. Assumptions'!$B$21)-12)/2,0))),"")</f>
        <v>-32018.8</v>
      </c>
      <c r="I13" s="41">
        <f>IFERROR(IF('3-Year P&amp;L'!$B$9="","",-'3-Year P&amp;L'!$B$23/MAX(12,'0. Assumptions'!$B$21)*(1+IF(8='0. Assumptions'!$B$60,(MAX(12,'0. Assumptions'!$B$21)-12)/2,0)+IF(8='0. Assumptions'!$B$61,(MAX(12,'0. Assumptions'!$B$21)-12)/2,0))),"")</f>
        <v>-32018.8</v>
      </c>
      <c r="J13" s="41">
        <f>IFERROR(IF('3-Year P&amp;L'!$B$9="","",-'3-Year P&amp;L'!$B$23/MAX(12,'0. Assumptions'!$B$21)*(1+IF(9='0. Assumptions'!$B$60,(MAX(12,'0. Assumptions'!$B$21)-12)/2,0)+IF(9='0. Assumptions'!$B$61,(MAX(12,'0. Assumptions'!$B$21)-12)/2,0))),"")</f>
        <v>-32018.8</v>
      </c>
      <c r="K13" s="41">
        <f>IFERROR(IF('3-Year P&amp;L'!$B$9="","",-'3-Year P&amp;L'!$B$23/MAX(12,'0. Assumptions'!$B$21)*(1+IF(10='0. Assumptions'!$B$60,(MAX(12,'0. Assumptions'!$B$21)-12)/2,0)+IF(10='0. Assumptions'!$B$61,(MAX(12,'0. Assumptions'!$B$21)-12)/2,0))),"")</f>
        <v>-32018.8</v>
      </c>
      <c r="L13" s="41">
        <f>IFERROR(IF('3-Year P&amp;L'!$B$9="","",-'3-Year P&amp;L'!$B$23/MAX(12,'0. Assumptions'!$B$21)*(1+IF(11='0. Assumptions'!$B$60,(MAX(12,'0. Assumptions'!$B$21)-12)/2,0)+IF(11='0. Assumptions'!$B$61,(MAX(12,'0. Assumptions'!$B$21)-12)/2,0))),"")</f>
        <v>-32018.8</v>
      </c>
      <c r="M13" s="41">
        <f>IFERROR(IF('3-Year P&amp;L'!$B$9="","",-'3-Year P&amp;L'!$B$23/MAX(12,'0. Assumptions'!$B$21)*(1+IF(12='0. Assumptions'!$B$60,(MAX(12,'0. Assumptions'!$B$21)-12)/2,0)+IF(12='0. Assumptions'!$B$61,(MAX(12,'0. Assumptions'!$B$21)-12)/2,0))),"")</f>
        <v>-32018.8</v>
      </c>
      <c r="N13" s="41">
        <f>IFERROR(IF('3-Year P&amp;L'!$B$9="","",SUM(B13:M13)),"")</f>
        <v>-384225.6</v>
      </c>
      <c r="O13" s="29" t="inlineStr">
        <is>
          <t>Twelve monthly installments plus extra pay periods in the months you set in Assumptions (only if pay periods &gt; 12). The total for the year is the same as the P&amp;L's</t>
        </is>
      </c>
    </row>
    <row r="14">
      <c r="A14" s="29" t="inlineStr">
        <is>
          <t>Loan interest</t>
        </is>
      </c>
      <c r="B14" s="41">
        <f>IFERROR(IF('3-Year P&amp;L'!$B$9="","",-Financing!$B$44/12),"")</f>
        <v>-2133.3333333333335</v>
      </c>
      <c r="C14" s="41">
        <f>IFERROR(IF('3-Year P&amp;L'!$B$9="","",-Financing!$B$44/12),"")</f>
        <v>-2133.3333333333335</v>
      </c>
      <c r="D14" s="41">
        <f>IFERROR(IF('3-Year P&amp;L'!$B$9="","",-Financing!$B$44/12),"")</f>
        <v>-2133.3333333333335</v>
      </c>
      <c r="E14" s="41">
        <f>IFERROR(IF('3-Year P&amp;L'!$B$9="","",-Financing!$B$44/12),"")</f>
        <v>-2133.3333333333335</v>
      </c>
      <c r="F14" s="41">
        <f>IFERROR(IF('3-Year P&amp;L'!$B$9="","",-Financing!$B$44/12),"")</f>
        <v>-2133.3333333333335</v>
      </c>
      <c r="G14" s="41">
        <f>IFERROR(IF('3-Year P&amp;L'!$B$9="","",-Financing!$B$44/12),"")</f>
        <v>-2133.3333333333335</v>
      </c>
      <c r="H14" s="41">
        <f>IFERROR(IF('3-Year P&amp;L'!$B$9="","",-Financing!$B$44/12),"")</f>
        <v>-2133.3333333333335</v>
      </c>
      <c r="I14" s="41">
        <f>IFERROR(IF('3-Year P&amp;L'!$B$9="","",-Financing!$B$44/12),"")</f>
        <v>-2133.3333333333335</v>
      </c>
      <c r="J14" s="41">
        <f>IFERROR(IF('3-Year P&amp;L'!$B$9="","",-Financing!$B$44/12),"")</f>
        <v>-2133.3333333333335</v>
      </c>
      <c r="K14" s="41">
        <f>IFERROR(IF('3-Year P&amp;L'!$B$9="","",-Financing!$B$44/12),"")</f>
        <v>-2133.3333333333335</v>
      </c>
      <c r="L14" s="41">
        <f>IFERROR(IF('3-Year P&amp;L'!$B$9="","",-Financing!$B$44/12),"")</f>
        <v>-2133.3333333333335</v>
      </c>
      <c r="M14" s="41">
        <f>IFERROR(IF('3-Year P&amp;L'!$B$9="","",-Financing!$B$44/12),"")</f>
        <v>-2133.3333333333335</v>
      </c>
      <c r="N14" s="41">
        <f>IFERROR(IF('3-Year P&amp;L'!$B$9="","",SUM(B14:M14)),"")</f>
        <v>-25600.0</v>
      </c>
      <c r="O14" s="29" t="n"/>
    </row>
    <row r="15">
      <c r="A15" s="29" t="inlineStr">
        <is>
          <t>Loan principal repaid</t>
        </is>
      </c>
      <c r="B15" s="41">
        <f>IFERROR(IF('3-Year P&amp;L'!$B$9="","",-Financing!$B$45/12),"")</f>
        <v>-1338.568424160246</v>
      </c>
      <c r="C15" s="41">
        <f>IFERROR(IF('3-Year P&amp;L'!$B$9="","",-Financing!$B$45/12),"")</f>
        <v>-1338.568424160246</v>
      </c>
      <c r="D15" s="41">
        <f>IFERROR(IF('3-Year P&amp;L'!$B$9="","",-Financing!$B$45/12),"")</f>
        <v>-1338.568424160246</v>
      </c>
      <c r="E15" s="41">
        <f>IFERROR(IF('3-Year P&amp;L'!$B$9="","",-Financing!$B$45/12),"")</f>
        <v>-1338.568424160246</v>
      </c>
      <c r="F15" s="41">
        <f>IFERROR(IF('3-Year P&amp;L'!$B$9="","",-Financing!$B$45/12),"")</f>
        <v>-1338.568424160246</v>
      </c>
      <c r="G15" s="41">
        <f>IFERROR(IF('3-Year P&amp;L'!$B$9="","",-Financing!$B$45/12),"")</f>
        <v>-1338.568424160246</v>
      </c>
      <c r="H15" s="41">
        <f>IFERROR(IF('3-Year P&amp;L'!$B$9="","",-Financing!$B$45/12),"")</f>
        <v>-1338.568424160246</v>
      </c>
      <c r="I15" s="41">
        <f>IFERROR(IF('3-Year P&amp;L'!$B$9="","",-Financing!$B$45/12),"")</f>
        <v>-1338.568424160246</v>
      </c>
      <c r="J15" s="41">
        <f>IFERROR(IF('3-Year P&amp;L'!$B$9="","",-Financing!$B$45/12),"")</f>
        <v>-1338.568424160246</v>
      </c>
      <c r="K15" s="41">
        <f>IFERROR(IF('3-Year P&amp;L'!$B$9="","",-Financing!$B$45/12),"")</f>
        <v>-1338.568424160246</v>
      </c>
      <c r="L15" s="41">
        <f>IFERROR(IF('3-Year P&amp;L'!$B$9="","",-Financing!$B$45/12),"")</f>
        <v>-1338.568424160246</v>
      </c>
      <c r="M15" s="41">
        <f>IFERROR(IF('3-Year P&amp;L'!$B$9="","",-Financing!$B$45/12),"")</f>
        <v>-1338.568424160246</v>
      </c>
      <c r="N15" s="41">
        <f>IFERROR(IF('3-Year P&amp;L'!$B$9="","",SUM(B15:M15)),"")</f>
        <v>-16062.821089922953</v>
      </c>
      <c r="O15" s="29" t="n"/>
    </row>
    <row r="16">
      <c r="A16" s="29" t="inlineStr">
        <is>
          <t>Sales tax collected (memo)</t>
        </is>
      </c>
      <c r="B16" s="41">
        <f>IFERROR(IF('3-Year P&amp;L'!$B$9="","",'3-Year P&amp;L'!$B$9*B7*SUMPRODUCT('3-Year P&amp;L'!$E$10:$E$11,'3-Year P&amp;L'!$G$10:$G$11)),"")</f>
        <v>5653.204170286708</v>
      </c>
      <c r="C16" s="41">
        <f>IFERROR(IF('3-Year P&amp;L'!$B$9="","",'3-Year P&amp;L'!$B$9*C7*SUMPRODUCT('3-Year P&amp;L'!$E$10:$E$11,'3-Year P&amp;L'!$G$10:$G$11)),"")</f>
        <v>6925.577758470898</v>
      </c>
      <c r="D16" s="41">
        <f>IFERROR(IF('3-Year P&amp;L'!$B$9="","",'3-Year P&amp;L'!$B$9*D7*SUMPRODUCT('3-Year P&amp;L'!$E$10:$E$11,'3-Year P&amp;L'!$G$10:$G$11)),"")</f>
        <v>7440.969591659427</v>
      </c>
      <c r="E16" s="41">
        <f>IFERROR(IF('3-Year P&amp;L'!$B$9="","",'3-Year P&amp;L'!$B$9*E7*SUMPRODUCT('3-Year P&amp;L'!$E$10:$E$11,'3-Year P&amp;L'!$G$10:$G$11)),"")</f>
        <v>7924.149435273677</v>
      </c>
      <c r="F16" s="41">
        <f>IFERROR(IF('3-Year P&amp;L'!$B$9="","",'3-Year P&amp;L'!$B$9*F7*SUMPRODUCT('3-Year P&amp;L'!$E$10:$E$11,'3-Year P&amp;L'!$G$10:$G$11)),"")</f>
        <v>8310.693310165074</v>
      </c>
      <c r="G16" s="41">
        <f>IFERROR(IF('3-Year P&amp;L'!$B$9="","",'3-Year P&amp;L'!$B$9*G7*SUMPRODUCT('3-Year P&amp;L'!$E$10:$E$11,'3-Year P&amp;L'!$G$10:$G$11)),"")</f>
        <v>8117.4213727193755</v>
      </c>
      <c r="H16" s="41">
        <f>IFERROR(IF('3-Year P&amp;L'!$B$9="","",'3-Year P&amp;L'!$B$9*H7*SUMPRODUCT('3-Year P&amp;L'!$E$10:$E$11,'3-Year P&amp;L'!$G$10:$G$11)),"")</f>
        <v>7924.149435273677</v>
      </c>
      <c r="I16" s="41">
        <f>IFERROR(IF('3-Year P&amp;L'!$B$9="","",'3-Year P&amp;L'!$B$9*I7*SUMPRODUCT('3-Year P&amp;L'!$E$10:$E$11,'3-Year P&amp;L'!$G$10:$G$11)),"")</f>
        <v>7730.877497827978</v>
      </c>
      <c r="J16" s="41">
        <f>IFERROR(IF('3-Year P&amp;L'!$B$9="","",'3-Year P&amp;L'!$B$9*J7*SUMPRODUCT('3-Year P&amp;L'!$E$10:$E$11,'3-Year P&amp;L'!$G$10:$G$11)),"")</f>
        <v>7730.877497827978</v>
      </c>
      <c r="K16" s="41">
        <f>IFERROR(IF('3-Year P&amp;L'!$B$9="","",'3-Year P&amp;L'!$B$9*K7*SUMPRODUCT('3-Year P&amp;L'!$E$10:$E$11,'3-Year P&amp;L'!$G$10:$G$11)),"")</f>
        <v>8117.4213727193755</v>
      </c>
      <c r="L16" s="41">
        <f>IFERROR(IF('3-Year P&amp;L'!$B$9="","",'3-Year P&amp;L'!$B$9*L7*SUMPRODUCT('3-Year P&amp;L'!$E$10:$E$11,'3-Year P&amp;L'!$G$10:$G$11)),"")</f>
        <v>7924.149435273677</v>
      </c>
      <c r="M16" s="41">
        <f>IFERROR(IF('3-Year P&amp;L'!$B$9="","",'3-Year P&amp;L'!$B$9*M7*SUMPRODUCT('3-Year P&amp;L'!$E$10:$E$11,'3-Year P&amp;L'!$G$10:$G$11)),"")</f>
        <v>8890.509122502173</v>
      </c>
      <c r="N16" s="41">
        <f>IFERROR(IF('3-Year P&amp;L'!$B$9="","",SUM(B16:M16)),"")</f>
        <v>92690.00000000001</v>
      </c>
      <c r="O16" s="29" t="inlineStr">
        <is>
          <t>Each sales line at ITS rate, read from the tax column of the P&amp;L (one 8% rate in the example)</t>
        </is>
      </c>
    </row>
    <row r="17">
      <c r="A17" s="29" t="inlineStr">
        <is>
          <t>Recoverable input tax (memo)</t>
        </is>
      </c>
      <c r="B17" s="41">
        <f>IFERROR(IF('3-Year P&amp;L'!$B$9="","",'3-Year P&amp;L'!$B$38*B7+'3-Year P&amp;L'!$B$39/12),"")</f>
        <v>0.0</v>
      </c>
      <c r="C17" s="41">
        <f>IFERROR(IF('3-Year P&amp;L'!$B$9="","",'3-Year P&amp;L'!$B$38*C7+'3-Year P&amp;L'!$B$39/12),"")</f>
        <v>0.0</v>
      </c>
      <c r="D17" s="41">
        <f>IFERROR(IF('3-Year P&amp;L'!$B$9="","",'3-Year P&amp;L'!$B$38*D7+'3-Year P&amp;L'!$B$39/12),"")</f>
        <v>0.0</v>
      </c>
      <c r="E17" s="41">
        <f>IFERROR(IF('3-Year P&amp;L'!$B$9="","",'3-Year P&amp;L'!$B$38*E7+'3-Year P&amp;L'!$B$39/12),"")</f>
        <v>0.0</v>
      </c>
      <c r="F17" s="41">
        <f>IFERROR(IF('3-Year P&amp;L'!$B$9="","",'3-Year P&amp;L'!$B$38*F7+'3-Year P&amp;L'!$B$39/12),"")</f>
        <v>0.0</v>
      </c>
      <c r="G17" s="41">
        <f>IFERROR(IF('3-Year P&amp;L'!$B$9="","",'3-Year P&amp;L'!$B$38*G7+'3-Year P&amp;L'!$B$39/12),"")</f>
        <v>0.0</v>
      </c>
      <c r="H17" s="41">
        <f>IFERROR(IF('3-Year P&amp;L'!$B$9="","",'3-Year P&amp;L'!$B$38*H7+'3-Year P&amp;L'!$B$39/12),"")</f>
        <v>0.0</v>
      </c>
      <c r="I17" s="41">
        <f>IFERROR(IF('3-Year P&amp;L'!$B$9="","",'3-Year P&amp;L'!$B$38*I7+'3-Year P&amp;L'!$B$39/12),"")</f>
        <v>0.0</v>
      </c>
      <c r="J17" s="41">
        <f>IFERROR(IF('3-Year P&amp;L'!$B$9="","",'3-Year P&amp;L'!$B$38*J7+'3-Year P&amp;L'!$B$39/12),"")</f>
        <v>0.0</v>
      </c>
      <c r="K17" s="41">
        <f>IFERROR(IF('3-Year P&amp;L'!$B$9="","",'3-Year P&amp;L'!$B$38*K7+'3-Year P&amp;L'!$B$39/12),"")</f>
        <v>0.0</v>
      </c>
      <c r="L17" s="41">
        <f>IFERROR(IF('3-Year P&amp;L'!$B$9="","",'3-Year P&amp;L'!$B$38*L7+'3-Year P&amp;L'!$B$39/12),"")</f>
        <v>0.0</v>
      </c>
      <c r="M17" s="41">
        <f>IFERROR(IF('3-Year P&amp;L'!$B$9="","",'3-Year P&amp;L'!$B$38*M7+'3-Year P&amp;L'!$B$39/12),"")</f>
        <v>0.0</v>
      </c>
      <c r="N17" s="41">
        <f>IFERROR(IF('3-Year P&amp;L'!$B$9="","",SUM(B17:M17)),"")</f>
        <v>0.0</v>
      </c>
      <c r="O17" s="29" t="inlineStr">
        <is>
          <t>Each item at its own rate, read from the tax column of the P&amp;L: insurance and card processing fees carry none</t>
        </is>
      </c>
    </row>
    <row r="18">
      <c r="A18" s="29" t="inlineStr">
        <is>
          <t>Carried forward (capex input tax included)</t>
        </is>
      </c>
      <c r="B18" s="29" t="n"/>
      <c r="C18" s="29" t="n"/>
      <c r="D18" s="29" t="n"/>
      <c r="E18" s="41">
        <f>IFERROR(IF('3-Year P&amp;L'!$B$9="","",'Startup Costs'!$B$32),"")</f>
        <v>0.0</v>
      </c>
      <c r="F18" s="29" t="n"/>
      <c r="G18" s="29" t="n"/>
      <c r="H18" s="41">
        <f>IFERROR(IF('3-Year P&amp;L'!$B$9="","",MAX(0,-E19)),"")</f>
        <v>0.0</v>
      </c>
      <c r="I18" s="29" t="n"/>
      <c r="J18" s="29" t="n"/>
      <c r="K18" s="41">
        <f>IFERROR(IF('3-Year P&amp;L'!$B$9="","",MAX(0,-H19)),"")</f>
        <v>0.0</v>
      </c>
      <c r="L18" s="29" t="n"/>
      <c r="M18" s="29" t="n"/>
      <c r="N18" s="29" t="n"/>
      <c r="O18" s="29" t="inlineStr">
        <is>
          <t>Sales tax paid on STARTUP COSTS enters here: it is offset against the tax collected in later quarters until used up. With 0% recoverable input tax (the US default) this line stays at zero</t>
        </is>
      </c>
    </row>
    <row r="19">
      <c r="A19" s="29" t="inlineStr">
        <is>
          <t>Quarterly sales tax return</t>
        </is>
      </c>
      <c r="B19" s="29" t="n"/>
      <c r="C19" s="29" t="n"/>
      <c r="D19" s="29" t="n"/>
      <c r="E19" s="41">
        <f>IFERROR(IF('3-Year P&amp;L'!$B$9="","",SUM(B16:D16)-SUM(B17:D17)-E18),"")</f>
        <v>20019.751520417034</v>
      </c>
      <c r="F19" s="29" t="n"/>
      <c r="G19" s="29" t="n"/>
      <c r="H19" s="41">
        <f>IFERROR(IF('3-Year P&amp;L'!$B$9="","",SUM(E16:G16)-SUM(E17:G17)-H18),"")</f>
        <v>24352.264118158128</v>
      </c>
      <c r="I19" s="29" t="n"/>
      <c r="J19" s="29" t="n"/>
      <c r="K19" s="41">
        <f>IFERROR(IF('3-Year P&amp;L'!$B$9="","",SUM(H16:J16)-SUM(H17:J17)-K18),"")</f>
        <v>23385.904430929633</v>
      </c>
      <c r="L19" s="29" t="n"/>
      <c r="M19" s="29" t="n"/>
      <c r="N19" s="29" t="n"/>
      <c r="O19" s="29"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9" t="inlineStr">
        <is>
          <t>Sales tax remitted (quarterly filer)</t>
        </is>
      </c>
      <c r="B20" s="29" t="n"/>
      <c r="C20" s="29" t="n"/>
      <c r="D20" s="29" t="n"/>
      <c r="E20" s="41">
        <f>IFERROR(IF('3-Year P&amp;L'!$B$9="","",IF(E19&lt;=0,"",-E19)),"")</f>
        <v>-20019.751520417034</v>
      </c>
      <c r="F20" s="29" t="n"/>
      <c r="G20" s="29" t="n"/>
      <c r="H20" s="41">
        <f>IFERROR(IF('3-Year P&amp;L'!$B$9="","",IF(H19&lt;=0,"",-H19)),"")</f>
        <v>-24352.264118158128</v>
      </c>
      <c r="I20" s="29" t="n"/>
      <c r="J20" s="29" t="n"/>
      <c r="K20" s="41">
        <f>IFERROR(IF('3-Year P&amp;L'!$B$9="","",IF(K19&lt;=0,"",-K19)),"")</f>
        <v>-23385.904430929633</v>
      </c>
      <c r="L20" s="29" t="n"/>
      <c r="M20" s="29" t="n"/>
      <c r="N20" s="41">
        <f>IFERROR(IF('3-Year P&amp;L'!$B$9="","",SUM(B20:M20)),"")</f>
        <v>-67757.92006950479</v>
      </c>
      <c r="O20" s="29"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April, July and October with Month 1 in January; the fourth quarter is remitted in Month 13, January of the next year): if your state requires monthly filing, expect smaller payments every month instead</t>
        </is>
      </c>
    </row>
    <row r="21">
      <c r="A21" s="26" t="inlineStr">
        <is>
          <t>MONTHLY NET CASH FLOW</t>
        </is>
      </c>
      <c r="B21" s="54">
        <f>IFERROR(IF('3-Year P&amp;L'!$B$9="","",SUM(B9:B15)+IF(B20="",0,B20)),"")</f>
        <v>10880.295236424756</v>
      </c>
      <c r="C21" s="54">
        <f>IFERROR(IF('3-Year P&amp;L'!$B$9="","",SUM(C9:C15)+IF(C20="",0,C20)),"")</f>
        <v>14773.65775380096</v>
      </c>
      <c r="D21" s="54">
        <f>IFERROR(IF('3-Year P&amp;L'!$B$9="","",SUM(D9:D15)+IF(D20="",0,D20)),"")</f>
        <v>17901.18021904858</v>
      </c>
      <c r="E21" s="54">
        <f>IFERROR(IF('3-Year P&amp;L'!$B$9="","",SUM(E9:E15)+IF(E20="",0,E20)),"")</f>
        <v>1845.7582555385634</v>
      </c>
      <c r="F21" s="54">
        <f>IFERROR(IF('3-Year P&amp;L'!$B$9="","",SUM(F9:F15)+IF(F20="",0,F20)),"")</f>
        <v>24928.990779430827</v>
      </c>
      <c r="G21" s="54">
        <f>IFERROR(IF('3-Year P&amp;L'!$B$9="","",SUM(G9:G15)+IF(G20="",0,G20)),"")</f>
        <v>22440.131404973832</v>
      </c>
      <c r="H21" s="54">
        <f>IFERROR(IF('3-Year P&amp;L'!$B$9="","",SUM(H9:H15)+IF(H20="",0,H20)),"")</f>
        <v>-3517.497743592601</v>
      </c>
      <c r="I21" s="54">
        <f>IFERROR(IF('3-Year P&amp;L'!$B$9="","",SUM(I9:I15)+IF(I20="",0,I20)),"")</f>
        <v>19229.401344157155</v>
      </c>
      <c r="J21" s="54">
        <f>IFERROR(IF('3-Year P&amp;L'!$B$9="","",SUM(J9:J15)+IF(J20="",0,J20)),"")</f>
        <v>19523.89945884005</v>
      </c>
      <c r="K21" s="54">
        <f>IFERROR(IF('3-Year P&amp;L'!$B$9="","",SUM(K9:K15)+IF(K20="",0,K20)),"")</f>
        <v>-62.278681907147984</v>
      </c>
      <c r="L21" s="54">
        <f>IFERROR(IF('3-Year P&amp;L'!$B$9="","",SUM(L9:L15)+IF(L20="",0,L20)),"")</f>
        <v>20834.766374565526</v>
      </c>
      <c r="M21" s="54">
        <f>IFERROR(IF('3-Year P&amp;L'!$B$9="","",SUM(M9:M15)+IF(M20="",0,M20)),"")</f>
        <v>30628.58021470451</v>
      </c>
      <c r="N21" s="54">
        <f>IFERROR(IF('3-Year P&amp;L'!$B$9="","",SUM(B21:M21)),"")</f>
        <v>179406.884615985</v>
      </c>
      <c r="O21" s="29" t="n"/>
    </row>
    <row r="22">
      <c r="A22" s="26" t="inlineStr">
        <is>
          <t>CUMULATIVE CASH BALANCE</t>
        </is>
      </c>
      <c r="B22" s="54">
        <f>IFERROR(IF('3-Year P&amp;L'!$B$9="","",'Startup Costs'!$B$29+B21),"")</f>
        <v>140936.69523642477</v>
      </c>
      <c r="C22" s="54">
        <f>IFERROR(IF('3-Year P&amp;L'!$B$9="","",B22+C21),"")</f>
        <v>155710.35299022574</v>
      </c>
      <c r="D22" s="54">
        <f>IFERROR(IF('3-Year P&amp;L'!$B$9="","",C22+D21),"")</f>
        <v>173611.53320927432</v>
      </c>
      <c r="E22" s="54">
        <f>IFERROR(IF('3-Year P&amp;L'!$B$9="","",D22+E21),"")</f>
        <v>175457.29146481288</v>
      </c>
      <c r="F22" s="54">
        <f>IFERROR(IF('3-Year P&amp;L'!$B$9="","",E22+F21),"")</f>
        <v>200386.28224424372</v>
      </c>
      <c r="G22" s="54">
        <f>IFERROR(IF('3-Year P&amp;L'!$B$9="","",F22+G21),"")</f>
        <v>222826.41364921755</v>
      </c>
      <c r="H22" s="54">
        <f>IFERROR(IF('3-Year P&amp;L'!$B$9="","",G22+H21),"")</f>
        <v>219308.91590562495</v>
      </c>
      <c r="I22" s="54">
        <f>IFERROR(IF('3-Year P&amp;L'!$B$9="","",H22+I21),"")</f>
        <v>238538.3172497821</v>
      </c>
      <c r="J22" s="54">
        <f>IFERROR(IF('3-Year P&amp;L'!$B$9="","",I22+J21),"")</f>
        <v>258062.21670862215</v>
      </c>
      <c r="K22" s="54">
        <f>IFERROR(IF('3-Year P&amp;L'!$B$9="","",J22+K21),"")</f>
        <v>257999.938026715</v>
      </c>
      <c r="L22" s="54">
        <f>IFERROR(IF('3-Year P&amp;L'!$B$9="","",K22+L21),"")</f>
        <v>278834.70440128056</v>
      </c>
      <c r="M22" s="54">
        <f>IFERROR(IF('3-Year P&amp;L'!$B$9="","",L22+M21),"")</f>
        <v>309463.28461598506</v>
      </c>
      <c r="N22" s="29" t="n"/>
      <c r="O22" s="29" t="n"/>
    </row>
    <row r="23">
      <c r="A23" s="29" t="inlineStr">
        <is>
          <t>Minimum balance of the year</t>
        </is>
      </c>
      <c r="B23" s="41">
        <f>IFERROR(IF('3-Year P&amp;L'!$B$9="","",IF(COUNT(B22:M22)=0,"",MIN(B22:M22))),"")</f>
        <v>140936.69523642477</v>
      </c>
      <c r="C23" s="29" t="n"/>
      <c r="D23" s="29" t="inlineStr">
        <is>
          <t>If negative, raise working capital or the loan: you run out of cash</t>
        </is>
      </c>
      <c r="E23" s="29" t="n"/>
      <c r="F23" s="29" t="n"/>
      <c r="G23" s="29" t="n"/>
      <c r="H23" s="29" t="n"/>
      <c r="I23" s="29" t="n"/>
      <c r="J23" s="29" t="n"/>
      <c r="K23" s="29" t="n"/>
      <c r="L23" s="29" t="n"/>
      <c r="M23" s="29" t="n"/>
      <c r="N23" s="29" t="n"/>
      <c r="O23" s="29" t="n"/>
    </row>
    <row r="24">
      <c r="A24" s="29" t="inlineStr">
        <is>
          <t>Month when cash bottoms out</t>
        </is>
      </c>
      <c r="B24" s="41">
        <f>IFERROR(IF('3-Year P&amp;L'!$B$9="","",IF(COUNT(B22:M22)=0,"",MATCH(MIN(B22:M22),B22:M22,0))),"")</f>
        <v>1.0</v>
      </c>
      <c r="C24" s="29" t="n"/>
      <c r="D24" s="29" t="inlineStr">
        <is>
          <t>It answers the question that decides a bank deal: in which month the cash runs out</t>
        </is>
      </c>
      <c r="E24" s="29" t="n"/>
      <c r="F24" s="29" t="n"/>
      <c r="G24" s="29" t="n"/>
      <c r="H24" s="29" t="n"/>
      <c r="I24" s="29" t="n"/>
      <c r="J24" s="29" t="n"/>
      <c r="K24" s="29" t="n"/>
      <c r="L24" s="29" t="n"/>
      <c r="M24" s="29" t="n"/>
      <c r="N24" s="29" t="n"/>
      <c r="O24" s="29" t="n"/>
    </row>
    <row r="25">
      <c r="A25" s="26" t="inlineStr">
        <is>
          <t>RETURN ON INVESTMENT</t>
        </is>
      </c>
      <c r="B25" s="29" t="n"/>
      <c r="C25" s="29" t="n"/>
      <c r="D25" s="29" t="n"/>
      <c r="E25" s="29" t="n"/>
      <c r="F25" s="29" t="n"/>
      <c r="G25" s="29" t="n"/>
      <c r="H25" s="29" t="n"/>
      <c r="I25" s="29" t="n"/>
      <c r="J25" s="29" t="n"/>
      <c r="K25" s="29" t="n"/>
      <c r="L25" s="29" t="n"/>
      <c r="M25" s="29" t="n"/>
      <c r="N25" s="29" t="n"/>
      <c r="O25" s="29" t="n"/>
    </row>
    <row r="26">
      <c r="A26" s="29" t="inlineStr">
        <is>
          <t>Free cash flow before debt, year 1</t>
        </is>
      </c>
      <c r="B26" s="41">
        <f>IFERROR(IF('3-Year P&amp;L'!$B$9="","",'3-Year P&amp;L'!$B$47+'3-Year P&amp;L'!$B$35+Financing!$B$44),"")</f>
        <v>149707.67723214283</v>
      </c>
      <c r="C26" s="29" t="n"/>
      <c r="D26" s="29" t="inlineStr">
        <is>
          <t>Net income plus depreciation (which is not paid) plus that year's interest: principal is not subtracted because this flow is BEFORE debt. The SAME basis as years 2 and 3, so the payback compares like with like</t>
        </is>
      </c>
      <c r="E26" s="29" t="n"/>
      <c r="F26" s="29" t="n"/>
      <c r="G26" s="29" t="n"/>
      <c r="H26" s="29" t="n"/>
      <c r="I26" s="29" t="n"/>
      <c r="J26" s="29" t="n"/>
      <c r="K26" s="29" t="n"/>
      <c r="L26" s="29" t="n"/>
      <c r="M26" s="29" t="n"/>
      <c r="N26" s="29" t="n"/>
      <c r="O26" s="29" t="n"/>
    </row>
    <row r="27">
      <c r="A27" s="29" t="inlineStr">
        <is>
          <t>Free cash flow before debt, year 2</t>
        </is>
      </c>
      <c r="B27" s="41">
        <f>IFERROR(IF('3-Year P&amp;L'!$B$9="","",'3-Year P&amp;L'!$C$47+'3-Year P&amp;L'!$C$35+Financing!$B$46),"")</f>
        <v>176030.8407673948</v>
      </c>
      <c r="C27" s="29" t="n"/>
      <c r="D27" s="29" t="inlineStr">
        <is>
          <t>Net income plus depreciation (which is not paid) plus that year's interest: principal is not subtracted because this flow is BEFORE debt. Without a monthly table, it is an estimate</t>
        </is>
      </c>
      <c r="E27" s="29" t="n"/>
      <c r="F27" s="29" t="n"/>
      <c r="G27" s="29" t="n"/>
      <c r="H27" s="29" t="n"/>
      <c r="I27" s="29" t="n"/>
      <c r="J27" s="29" t="n"/>
      <c r="K27" s="29" t="n"/>
      <c r="L27" s="29" t="n"/>
      <c r="M27" s="29" t="n"/>
      <c r="N27" s="29" t="n"/>
      <c r="O27" s="29" t="n"/>
    </row>
    <row r="28">
      <c r="A28" s="29" t="inlineStr">
        <is>
          <t>Free cash flow before debt, year 3</t>
        </is>
      </c>
      <c r="B28" s="41">
        <f>IFERROR(IF('3-Year P&amp;L'!$B$9="","",'3-Year P&amp;L'!$D$47+'3-Year P&amp;L'!$D$35+Financing!$B$48),"")</f>
        <v>193374.59192492196</v>
      </c>
      <c r="C28" s="29" t="n"/>
      <c r="D28" s="29" t="inlineStr">
        <is>
          <t>Net income plus depreciation (which is not paid) plus that year's interest: principal is not subtracted because this flow is BEFORE debt. Without a monthly table, it is an estimate</t>
        </is>
      </c>
      <c r="E28" s="29" t="n"/>
      <c r="F28" s="29" t="n"/>
      <c r="G28" s="29" t="n"/>
      <c r="H28" s="29" t="n"/>
      <c r="I28" s="29" t="n"/>
      <c r="J28" s="29" t="n"/>
      <c r="K28" s="29" t="n"/>
      <c r="L28" s="29" t="n"/>
      <c r="M28" s="29" t="n"/>
      <c r="N28" s="29" t="n"/>
      <c r="O28" s="29" t="n"/>
    </row>
    <row r="29">
      <c r="A29" s="29" t="inlineStr">
        <is>
          <t>For reference: ACTUAL year-1 cash flow (monthly table, before debt)</t>
        </is>
      </c>
      <c r="B29" s="41">
        <f>IFERROR(IF('3-Year P&amp;L'!$B$9="","",N21+Financing!$B$44+Financing!$B$45),"")</f>
        <v>221069.70570590795</v>
      </c>
      <c r="C29" s="29" t="n"/>
      <c r="D29" s="29"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9" t="n"/>
      <c r="F29" s="29" t="n"/>
      <c r="G29" s="29" t="n"/>
      <c r="H29" s="29" t="n"/>
      <c r="I29" s="29" t="n"/>
      <c r="J29" s="29" t="n"/>
      <c r="K29" s="29" t="n"/>
      <c r="L29" s="29" t="n"/>
      <c r="M29" s="29" t="n"/>
      <c r="N29" s="29" t="n"/>
      <c r="O29" s="29" t="n"/>
    </row>
    <row r="30">
      <c r="A30" s="29" t="inlineStr">
        <is>
          <t>Investment to recover (net of recoverable input tax)</t>
        </is>
      </c>
      <c r="B30" s="41">
        <f>IFERROR(IF('3-Year P&amp;L'!$B$9="","",'Startup Costs'!$B$33-'Startup Costs'!$B$32),"")</f>
        <v>385156.4</v>
      </c>
      <c r="C30" s="29" t="n"/>
      <c r="D30" s="29"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9" t="n"/>
      <c r="F30" s="29" t="n"/>
      <c r="G30" s="29" t="n"/>
      <c r="H30" s="29" t="n"/>
      <c r="I30" s="29" t="n"/>
      <c r="J30" s="29" t="n"/>
      <c r="K30" s="29" t="n"/>
      <c r="L30" s="29" t="n"/>
      <c r="M30" s="29" t="n"/>
      <c r="N30" s="29" t="n"/>
      <c r="O30" s="29" t="n"/>
    </row>
    <row r="31">
      <c r="A31" s="26" t="inlineStr">
        <is>
          <t>Project payback (years), before debt</t>
        </is>
      </c>
      <c r="B31" s="26">
        <f>IFERROR(IF('3-Year P&amp;L'!$B$9="","",IF(B26&gt;=B30,ROUND(B30/B26,1),IF(B26+B27&gt;=B30,ROUND(1+(B30-B26)/B27,1),IF(B26+B27+B28&gt;=B30,ROUND(2+(B30-B26-B27)/B28,1),"Over 3 years")))),"")</f>
        <v>2.3</v>
      </c>
      <c r="C31" s="29" t="n"/>
      <c r="D31" s="26" t="inlineStr">
        <is>
          <t>Measures how long the business takes to pay back the investment with what it generates BEFORE paying the lender, on the SAME cash flow basis in all three years; whether you can make the loan payment is answered by the DSCR on the "Financing" tab. The Word business plan quotes this figure; if you change a green cell, this workbook rules</t>
        </is>
      </c>
      <c r="E31" s="29" t="n"/>
      <c r="F31" s="29" t="n"/>
      <c r="G31" s="29" t="n"/>
      <c r="H31" s="29" t="n"/>
      <c r="I31" s="29" t="n"/>
      <c r="J31" s="29" t="n"/>
      <c r="K31" s="29" t="n"/>
      <c r="L31" s="29" t="n"/>
      <c r="M31" s="29" t="n"/>
      <c r="N31" s="29" t="n"/>
      <c r="O31" s="29" t="n"/>
    </row>
    <row r="32">
      <c r="A32" s="29" t="inlineStr">
        <is>
          <t>Payback on CAPEX, excluding working capital (years)</t>
        </is>
      </c>
      <c r="B32" s="29">
        <f>IFERROR(IF('3-Year P&amp;L'!$B$9="","",IF(B26&gt;='Startup Costs'!$B$31,ROUND('Startup Costs'!$B$31/B26,1),IF(B26+B27&gt;='Startup Costs'!$B$31,ROUND(1+('Startup Costs'!$B$31-B26)/B27,1),IF(B26+B27+B28&gt;='Startup Costs'!$B$31,ROUND(2+('Startup Costs'!$B$31-B26-B27)/B28,1),"Over 3 years")))),"")</f>
        <v>1.6</v>
      </c>
      <c r="C32" s="29" t="n"/>
      <c r="D32" s="29" t="inlineStr">
        <is>
          <t>The same calculation on what you BUY (build-out, equipment, launch and formation costs), without working capital: that money is not spent, it is tied up and comes back when the business closes. For reference only: the payback that matters is the one above</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49.5" customHeight="1">
      <c r="A34" s="48"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FINANCING PLAN</t>
        </is>
      </c>
      <c r="B1" s="29" t="n"/>
      <c r="C1" s="29" t="n"/>
      <c r="D1" s="29" t="n"/>
      <c r="E1" s="29" t="n"/>
      <c r="F1" s="29" t="n"/>
      <c r="G1" s="29" t="n"/>
      <c r="H1" s="29" t="n"/>
    </row>
    <row r="2" ht="45" customHeight="1">
      <c r="A2" s="48" t="inlineStr">
        <is>
          <t>What you need, where it comes from and what it costs to repay. It is the sheet your lender asks for along with the P&amp;L.</t>
        </is>
      </c>
      <c r="B2" s="29" t="n"/>
      <c r="C2" s="29" t="n"/>
      <c r="D2" s="29" t="n"/>
      <c r="E2" s="29" t="n"/>
      <c r="F2" s="29" t="n"/>
      <c r="G2" s="29" t="n"/>
      <c r="H2" s="29" t="n"/>
    </row>
    <row r="3">
      <c r="A3" s="29" t="n"/>
      <c r="B3" s="29" t="n"/>
      <c r="C3" s="29" t="n"/>
      <c r="D3" s="29" t="n"/>
      <c r="E3" s="29" t="n"/>
      <c r="F3" s="29" t="n"/>
      <c r="G3" s="29" t="n"/>
      <c r="H3" s="29" t="n"/>
    </row>
    <row r="4">
      <c r="A4" s="26" t="inlineStr">
        <is>
          <t>Item</t>
        </is>
      </c>
      <c r="B4" s="26" t="inlineStr">
        <is>
          <t>Amount</t>
        </is>
      </c>
      <c r="C4" s="26" t="inlineStr">
        <is>
          <t>Notes</t>
        </is>
      </c>
      <c r="D4" s="29" t="n"/>
      <c r="E4" s="29" t="n"/>
      <c r="F4" s="29" t="n"/>
      <c r="G4" s="29" t="n"/>
      <c r="H4" s="29" t="n"/>
    </row>
    <row r="5">
      <c r="A5" s="26" t="inlineStr">
        <is>
          <t>SOURCES OF FUNDS</t>
        </is>
      </c>
      <c r="B5" s="29" t="n"/>
      <c r="C5" s="29" t="n"/>
      <c r="D5" s="29" t="n"/>
      <c r="E5" s="29" t="n"/>
      <c r="F5" s="29" t="n"/>
      <c r="G5" s="29" t="n"/>
      <c r="H5" s="29" t="n"/>
    </row>
    <row r="6">
      <c r="A6" s="29" t="inlineStr">
        <is>
          <t>Owner's equity (your own money)</t>
        </is>
      </c>
      <c r="B6" s="41">
        <f>IFERROR(IF('0. Assumptions'!$B$30="","",'0. Assumptions'!$B$30),"")</f>
        <v>130000.0</v>
      </c>
      <c r="C6" s="29" t="n"/>
      <c r="D6" s="29" t="n"/>
      <c r="E6" s="29" t="n"/>
      <c r="F6" s="29" t="n"/>
      <c r="G6" s="29" t="n"/>
      <c r="H6" s="29" t="n"/>
    </row>
    <row r="7">
      <c r="A7" s="29" t="inlineStr">
        <is>
          <t>Loan requested — bank or SBA 7(a) (amortized below)</t>
        </is>
      </c>
      <c r="B7" s="41">
        <f>IFERROR(IF('0. Assumptions'!$B$31="","",'0. Assumptions'!$B$31),"")</f>
        <v>256000.0</v>
      </c>
      <c r="C7" s="29" t="n"/>
      <c r="D7" s="29" t="n"/>
      <c r="E7" s="29" t="n"/>
      <c r="F7" s="29" t="n"/>
      <c r="G7" s="29" t="n"/>
      <c r="H7" s="29" t="n"/>
    </row>
    <row r="8">
      <c r="A8" s="29" t="inlineStr">
        <is>
          <t>Other loan (not in the schedule or the DSCR — enter your loan in row 7)</t>
        </is>
      </c>
      <c r="B8" s="51" t="n">
        <v>0</v>
      </c>
      <c r="C8" s="29" t="inlineStr">
        <is>
          <t>A source of funds only: NOT amortized, so it is not in the schedule, the P&amp;L interest or the DSCR. Enter your bank or SBA 7(a) loan in row 7 ("Loan requested" in "0. Assumptions"); use this row only for a second loan</t>
        </is>
      </c>
      <c r="D8" s="29" t="n"/>
      <c r="E8" s="29" t="n"/>
      <c r="F8" s="29" t="n"/>
      <c r="G8" s="29" t="n"/>
      <c r="H8" s="29" t="n"/>
    </row>
    <row r="9">
      <c r="A9" s="29" t="inlineStr">
        <is>
          <t>SBA Microloan (not in the schedule or the DSCR — enter your loan in row 7)</t>
        </is>
      </c>
      <c r="B9" s="51" t="n">
        <v>0</v>
      </c>
      <c r="C9" s="29" t="inlineStr">
        <is>
          <t>SBA Microloans go up to $50,000 through nonprofit intermediaries. Like row 8, a source of funds only: not in the schedule or the DSCR. If it is your only loan, enter it in row 7 instead</t>
        </is>
      </c>
      <c r="D9" s="29" t="n"/>
      <c r="E9" s="29" t="n"/>
      <c r="F9" s="29" t="n"/>
      <c r="G9" s="29" t="n"/>
      <c r="H9" s="29" t="n"/>
    </row>
    <row r="10">
      <c r="A10" s="29" t="inlineStr">
        <is>
          <t>Investors / partners (equity: dilutes, not repaid)</t>
        </is>
      </c>
      <c r="B10" s="51" t="n">
        <v>0</v>
      </c>
      <c r="C10" s="29" t="inlineStr">
        <is>
          <t>Equity: it dilutes your ownership and is not repaid</t>
        </is>
      </c>
      <c r="D10" s="29" t="n"/>
      <c r="E10" s="29" t="n"/>
      <c r="F10" s="29" t="n"/>
      <c r="G10" s="29" t="n"/>
      <c r="H10" s="29" t="n"/>
    </row>
    <row r="11">
      <c r="A11" s="29" t="inlineStr">
        <is>
          <t>Local grants (usually paid after you spend)</t>
        </is>
      </c>
      <c r="B11" s="51" t="n">
        <v>0</v>
      </c>
      <c r="C11" s="29" t="inlineStr">
        <is>
          <t>Usually paid AFTER you document the spending</t>
        </is>
      </c>
      <c r="D11" s="29" t="n"/>
      <c r="E11" s="29" t="n"/>
      <c r="F11" s="29" t="n"/>
      <c r="G11" s="29" t="n"/>
      <c r="H11" s="29" t="n"/>
    </row>
    <row r="12">
      <c r="A12" s="26" t="inlineStr">
        <is>
          <t>TOTAL SOURCES OF FUNDS</t>
        </is>
      </c>
      <c r="B12" s="54">
        <f>IFERROR(IF(COUNT(B6:B11)=0,"",SUM(B6:B11)),"")</f>
        <v>386000.0</v>
      </c>
      <c r="C12" s="29" t="n"/>
      <c r="D12" s="29" t="n"/>
      <c r="E12" s="29" t="n"/>
      <c r="F12" s="29" t="n"/>
      <c r="G12" s="29" t="n"/>
      <c r="H12" s="29" t="n"/>
    </row>
    <row r="13">
      <c r="A13" s="26" t="inlineStr">
        <is>
          <t>USES OF FUNDS</t>
        </is>
      </c>
      <c r="B13" s="29" t="n"/>
      <c r="C13" s="29" t="n"/>
      <c r="D13" s="29" t="n"/>
      <c r="E13" s="29" t="n"/>
      <c r="F13" s="29" t="n"/>
      <c r="G13" s="29" t="n"/>
      <c r="H13" s="29" t="n"/>
    </row>
    <row r="14">
      <c r="A14" s="29" t="inlineStr">
        <is>
          <t>Total cash needed at launch</t>
        </is>
      </c>
      <c r="B14" s="41">
        <f>IFERROR(IF('Startup Costs'!$B$33="","",'Startup Costs'!$B$33),"")</f>
        <v>385156.4</v>
      </c>
      <c r="C14" s="29" t="inlineStr">
        <is>
          <t>Startup costs plus any recoverable tax you have to advance (zero by default in the US)</t>
        </is>
      </c>
      <c r="D14" s="29" t="n"/>
      <c r="E14" s="29" t="n"/>
      <c r="F14" s="29" t="n"/>
      <c r="G14" s="29" t="n"/>
      <c r="H14" s="29" t="n"/>
    </row>
    <row r="15">
      <c r="A15" s="26" t="inlineStr">
        <is>
          <t>Difference (sources - uses)</t>
        </is>
      </c>
      <c r="B15" s="54">
        <f>IFERROR(B12-B14,"")</f>
        <v>843.5999999999767</v>
      </c>
      <c r="C15" s="26" t="inlineStr">
        <is>
          <t>In red (negative), the plan is NOT funded. Far above zero is not free either: you pay interest on money you do not use</t>
        </is>
      </c>
      <c r="D15" s="29" t="n"/>
      <c r="E15" s="29" t="n"/>
      <c r="F15" s="29" t="n"/>
      <c r="G15" s="29" t="n"/>
      <c r="H15" s="29" t="n"/>
    </row>
    <row r="16">
      <c r="A16" s="29" t="inlineStr">
        <is>
          <t>Difference as a % of uses</t>
        </is>
      </c>
      <c r="B16" s="68">
        <f>IFERROR(B15/B14,"")</f>
        <v>0.0021902790658547455</v>
      </c>
      <c r="C16" s="29" t="inlineStr">
        <is>
          <t>Amber above the margin you set: it is debt you pay for without needing it</t>
        </is>
      </c>
      <c r="D16" s="29" t="n"/>
      <c r="E16" s="29" t="n"/>
      <c r="F16" s="29" t="n"/>
      <c r="G16" s="29" t="n"/>
      <c r="H16" s="29" t="n"/>
    </row>
    <row r="17">
      <c r="A17" s="29" t="inlineStr">
        <is>
          <t>Acceptable over-funding (%)</t>
        </is>
      </c>
      <c r="B17" s="74" t="n">
        <v>0.05</v>
      </c>
      <c r="C17" s="29" t="inlineStr">
        <is>
          <t>A small cushion over the need is healthy; 20% extra is interest thrown away</t>
        </is>
      </c>
      <c r="D17" s="29" t="n"/>
      <c r="E17" s="29" t="n"/>
      <c r="F17" s="29" t="n"/>
      <c r="G17" s="29" t="n"/>
      <c r="H17" s="29" t="n"/>
    </row>
    <row r="18">
      <c r="A18" s="29" t="inlineStr">
        <is>
          <t>Loan that would match sources to needs</t>
        </is>
      </c>
      <c r="B18" s="41">
        <f>IFERROR(MAX(0,B14-B12+B7),"")</f>
        <v>255156.40000000002</v>
      </c>
      <c r="C18" s="29" t="inlineStr">
        <is>
          <t>Copy it into "Loan requested" in the "0. Assumptions" tab and the difference goes to zero. Rows 8-11 lower this figure, but only the row-7 loan is amortized and counted in the DSCR</t>
        </is>
      </c>
      <c r="D18" s="29" t="n"/>
      <c r="E18" s="29" t="n"/>
      <c r="F18" s="29" t="n"/>
      <c r="G18" s="29" t="n"/>
      <c r="H18" s="29" t="n"/>
    </row>
    <row r="19">
      <c r="A19" s="26" t="inlineStr">
        <is>
          <t>LOAN TERMS</t>
        </is>
      </c>
      <c r="B19" s="29" t="n"/>
      <c r="C19" s="29" t="n"/>
      <c r="D19" s="29" t="n"/>
      <c r="E19" s="29" t="n"/>
      <c r="F19" s="29" t="n"/>
      <c r="G19" s="29" t="n"/>
      <c r="H19" s="29" t="n"/>
    </row>
    <row r="20">
      <c r="A20" s="29" t="inlineStr">
        <is>
          <t>Principal amount</t>
        </is>
      </c>
      <c r="B20" s="41">
        <f>IFERROR(IF('0. Assumptions'!$B$31=0,"",'0. Assumptions'!$B$31),"")</f>
        <v>256000.0</v>
      </c>
      <c r="C20" s="29" t="n"/>
      <c r="D20" s="29" t="n"/>
      <c r="E20" s="29" t="n"/>
      <c r="F20" s="29" t="n"/>
      <c r="G20" s="29" t="n"/>
      <c r="H20" s="29" t="n"/>
    </row>
    <row r="21">
      <c r="A21" s="29" t="inlineStr">
        <is>
          <t>Nominal annual interest rate (not APR)</t>
        </is>
      </c>
      <c r="B21" s="68">
        <f>IFERROR(IF('0. Assumptions'!$B$32="","",'0. Assumptions'!$B$32),"")</f>
        <v>0.1</v>
      </c>
      <c r="C21" s="29" t="n"/>
      <c r="D21" s="29" t="n"/>
      <c r="E21" s="29" t="n"/>
      <c r="F21" s="29" t="n"/>
      <c r="G21" s="29" t="n"/>
      <c r="H21" s="29" t="n"/>
    </row>
    <row r="22">
      <c r="A22" s="29" t="inlineStr">
        <is>
          <t>Total term (years)</t>
        </is>
      </c>
      <c r="B22" s="41">
        <f>IFERROR(IF('0. Assumptions'!$B$33="","",'0. Assumptions'!$B$33),"")</f>
        <v>10.0</v>
      </c>
      <c r="C22" s="29" t="n"/>
      <c r="D22" s="29" t="n"/>
      <c r="E22" s="29" t="n"/>
      <c r="F22" s="29" t="n"/>
      <c r="G22" s="29" t="n"/>
      <c r="H22" s="29" t="n"/>
    </row>
    <row r="23">
      <c r="A23" s="29" t="inlineStr">
        <is>
          <t>Interest-only period applied (years)</t>
        </is>
      </c>
      <c r="B23" s="41">
        <f>IFERROR(IF(OR('0. Assumptions'!$B$34="",'0. Assumptions'!$B$33=""),"",IF('0. Assumptions'!$B$34&gt;='0. Assumptions'!$B$33,0,'0. Assumptions'!$B$34)),"")</f>
        <v>0.0</v>
      </c>
      <c r="C23" s="29" t="inlineStr">
        <is>
          <t>An interest-only period equal to or longer than the term does not exist: the sheet cancels it at the source</t>
        </is>
      </c>
      <c r="D23" s="29" t="n"/>
      <c r="E23" s="29" t="n"/>
      <c r="F23" s="29" t="n"/>
      <c r="G23" s="29" t="n"/>
      <c r="H23" s="29" t="n"/>
    </row>
    <row r="24">
      <c r="A24" s="26" t="inlineStr">
        <is>
          <t>Annual payment during repayment</t>
        </is>
      </c>
      <c r="B24" s="55">
        <f>IFERROR(IF(B22-B23&lt;=0,"",IF(B21=0,B20/(B22-B23),B20*B21/(1-(1+B21)^-(B22-B23)))),"")</f>
        <v>41662.82108992295</v>
      </c>
      <c r="C24" s="26" t="inlineStr">
        <is>
          <t>Standard amortizing loan with a level annual payment. At a 0% rate it is the principal divided by the repayment years: without that branch the schedule would shut down entirely</t>
        </is>
      </c>
      <c r="D24" s="29" t="n"/>
      <c r="E24" s="29" t="n"/>
      <c r="F24" s="29" t="n"/>
      <c r="G24" s="29" t="n"/>
      <c r="H24" s="29" t="n"/>
    </row>
    <row r="25">
      <c r="A25" s="26" t="inlineStr">
        <is>
          <t>AMORTIZATION SCHEDULE</t>
        </is>
      </c>
      <c r="B25" s="29" t="n"/>
      <c r="C25" s="29" t="n"/>
      <c r="D25" s="29" t="n"/>
      <c r="E25" s="29" t="n"/>
      <c r="F25" s="29" t="n"/>
      <c r="G25" s="29" t="n"/>
      <c r="H25" s="29" t="n"/>
    </row>
    <row r="26">
      <c r="A26" s="26" t="inlineStr">
        <is>
          <t>Year</t>
        </is>
      </c>
      <c r="B26" s="26" t="inlineStr">
        <is>
          <t>Opening balance</t>
        </is>
      </c>
      <c r="C26" s="26" t="inlineStr">
        <is>
          <t>Interest</t>
        </is>
      </c>
      <c r="D26" s="26" t="inlineStr">
        <is>
          <t>Principal repaid</t>
        </is>
      </c>
      <c r="E26" s="26" t="inlineStr">
        <is>
          <t>Total payment</t>
        </is>
      </c>
      <c r="F26" s="26" t="inlineStr">
        <is>
          <t>Closing balance</t>
        </is>
      </c>
      <c r="G26" s="26" t="inlineStr">
        <is>
          <t>Cash flow available for debt service (after tax; from year 4 on, year 3 held flat)</t>
        </is>
      </c>
      <c r="H26" s="26" t="inlineStr">
        <is>
          <t>DSCR for the year</t>
        </is>
      </c>
    </row>
    <row r="27">
      <c r="A27" s="41" t="n">
        <v>1</v>
      </c>
      <c r="B27" s="62">
        <f>IFERROR(IF(B20="","",B20),"")</f>
        <v>256000.0</v>
      </c>
      <c r="C27" s="62">
        <f>IFERROR(IF(OR(1&gt;B22,B27=""),"",B27*B21),"")</f>
        <v>25600.0</v>
      </c>
      <c r="D27" s="62">
        <f>IFERROR(IF(OR(1&gt;B22,B27=""),"",IF(1&lt;=B23,0,MIN(B27,B24-C27))),"")</f>
        <v>16062.821089922953</v>
      </c>
      <c r="E27" s="62">
        <f>IFERROR(IF(C27="","",C27+D27),"")</f>
        <v>41662.82108992295</v>
      </c>
      <c r="F27" s="62">
        <f>IFERROR(IF(D27="","",B27-D27),"")</f>
        <v>239937.17891007705</v>
      </c>
      <c r="G27" s="62">
        <f>IFERROR(IF(E27="","",'3-Year P&amp;L'!$B$40-'3-Year P&amp;L'!$B$45+'3-Year P&amp;L'!$B$35+'3-Year P&amp;L'!$B$36),"")</f>
        <v>149707.67723214283</v>
      </c>
      <c r="H27" s="62">
        <f>IFERROR(IF(OR(E27="",E27=0),"",G27/E27),"")</f>
        <v>3.593315894500309</v>
      </c>
    </row>
    <row r="28">
      <c r="A28" s="41" t="n">
        <v>2</v>
      </c>
      <c r="B28" s="62">
        <f>IFERROR(IF(OR(2&gt;B22,F27=""),"",F27),"")</f>
        <v>239937.17891007705</v>
      </c>
      <c r="C28" s="62">
        <f>IFERROR(IF(OR(2&gt;B22,B28=""),"",B28*B21),"")</f>
        <v>23993.717891007705</v>
      </c>
      <c r="D28" s="62">
        <f>IFERROR(IF(OR(2&gt;B22,B28=""),"",IF(2&lt;=B23,0,MIN(B28,B24-C28))),"")</f>
        <v>17669.103198915247</v>
      </c>
      <c r="E28" s="62">
        <f>IFERROR(IF(C28="","",C28+D28),"")</f>
        <v>41662.82108992295</v>
      </c>
      <c r="F28" s="62">
        <f>IFERROR(IF(D28="","",B28-D28),"")</f>
        <v>222268.0757111618</v>
      </c>
      <c r="G28" s="62">
        <f>IFERROR(IF(E28="","",'3-Year P&amp;L'!$C$40-'3-Year P&amp;L'!$C$45+'3-Year P&amp;L'!$C$35+'3-Year P&amp;L'!$C$36),"")</f>
        <v>176030.8407673948</v>
      </c>
      <c r="H28" s="62">
        <f>IFERROR(IF(OR(E28="",E28=0),"",G28/E28),"")</f>
        <v>4.225130131909662</v>
      </c>
    </row>
    <row r="29">
      <c r="A29" s="41" t="n">
        <v>3</v>
      </c>
      <c r="B29" s="62">
        <f>IFERROR(IF(OR(3&gt;B22,F28=""),"",F28),"")</f>
        <v>222268.0757111618</v>
      </c>
      <c r="C29" s="62">
        <f>IFERROR(IF(OR(3&gt;B22,B29=""),"",B29*B21),"")</f>
        <v>22226.80757111618</v>
      </c>
      <c r="D29" s="62">
        <f>IFERROR(IF(OR(3&gt;B22,B29=""),"",IF(3&lt;=B23,0,MIN(B29,B24-C29))),"")</f>
        <v>19436.013518806772</v>
      </c>
      <c r="E29" s="62">
        <f>IFERROR(IF(C29="","",C29+D29),"")</f>
        <v>41662.82108992295</v>
      </c>
      <c r="F29" s="62">
        <f>IFERROR(IF(D29="","",B29-D29),"")</f>
        <v>202832.06219235502</v>
      </c>
      <c r="G29" s="62">
        <f>IFERROR(IF(E29="","",'3-Year P&amp;L'!$D$40-'3-Year P&amp;L'!$D$45+'3-Year P&amp;L'!$D$35+'3-Year P&amp;L'!$D$36),"")</f>
        <v>193374.59192492196</v>
      </c>
      <c r="H29" s="62">
        <f>IFERROR(IF(OR(E29="",E29=0),"",G29/E29),"")</f>
        <v>4.641418580550556</v>
      </c>
    </row>
    <row r="30">
      <c r="A30" s="41" t="n">
        <v>4</v>
      </c>
      <c r="B30" s="62">
        <f>IFERROR(IF(OR(4&gt;B22,F29=""),"",F29),"")</f>
        <v>202832.06219235502</v>
      </c>
      <c r="C30" s="62">
        <f>IFERROR(IF(OR(4&gt;B22,B30=""),"",B30*B21),"")</f>
        <v>20283.206219235504</v>
      </c>
      <c r="D30" s="62">
        <f>IFERROR(IF(OR(4&gt;B22,B30=""),"",IF(4&lt;=B23,0,MIN(B30,B24-C30))),"")</f>
        <v>21379.61487068745</v>
      </c>
      <c r="E30" s="62">
        <f>IFERROR(IF(C30="","",C30+D30),"")</f>
        <v>41662.82108992295</v>
      </c>
      <c r="F30" s="62">
        <f>IFERROR(IF(D30="","",B30-D30),"")</f>
        <v>181452.44732166757</v>
      </c>
      <c r="G30" s="62">
        <f>IFERROR(IF(E30="","",'3-Year P&amp;L'!$D$40-'3-Year P&amp;L'!$D$45+'3-Year P&amp;L'!$D$35+'3-Year P&amp;L'!$D$36),"")</f>
        <v>193374.59192492196</v>
      </c>
      <c r="H30" s="62">
        <f>IFERROR(IF(OR(E30="",E30=0),"",G30/E30),"")</f>
        <v>4.641418580550556</v>
      </c>
    </row>
    <row r="31">
      <c r="A31" s="41" t="n">
        <v>5</v>
      </c>
      <c r="B31" s="62">
        <f>IFERROR(IF(OR(5&gt;B22,F30=""),"",F30),"")</f>
        <v>181452.44732166757</v>
      </c>
      <c r="C31" s="62">
        <f>IFERROR(IF(OR(5&gt;B22,B31=""),"",B31*B21),"")</f>
        <v>18145.244732166757</v>
      </c>
      <c r="D31" s="62">
        <f>IFERROR(IF(OR(5&gt;B22,B31=""),"",IF(5&lt;=B23,0,MIN(B31,B24-C31))),"")</f>
        <v>23517.576357756196</v>
      </c>
      <c r="E31" s="62">
        <f>IFERROR(IF(C31="","",C31+D31),"")</f>
        <v>41662.82108992295</v>
      </c>
      <c r="F31" s="62">
        <f>IFERROR(IF(D31="","",B31-D31),"")</f>
        <v>157934.87096391138</v>
      </c>
      <c r="G31" s="62">
        <f>IFERROR(IF(E31="","",'3-Year P&amp;L'!$D$40-'3-Year P&amp;L'!$D$45+'3-Year P&amp;L'!$D$35+'3-Year P&amp;L'!$D$36),"")</f>
        <v>193374.59192492196</v>
      </c>
      <c r="H31" s="62">
        <f>IFERROR(IF(OR(E31="",E31=0),"",G31/E31),"")</f>
        <v>4.641418580550556</v>
      </c>
    </row>
    <row r="32">
      <c r="A32" s="41" t="n">
        <v>6</v>
      </c>
      <c r="B32" s="62">
        <f>IFERROR(IF(OR(6&gt;B22,F31=""),"",F31),"")</f>
        <v>157934.87096391138</v>
      </c>
      <c r="C32" s="62">
        <f>IFERROR(IF(OR(6&gt;B22,B32=""),"",B32*B21),"")</f>
        <v>15793.487096391138</v>
      </c>
      <c r="D32" s="62">
        <f>IFERROR(IF(OR(6&gt;B22,B32=""),"",IF(6&lt;=B23,0,MIN(B32,B24-C32))),"")</f>
        <v>25869.333993531814</v>
      </c>
      <c r="E32" s="62">
        <f>IFERROR(IF(C32="","",C32+D32),"")</f>
        <v>41662.82108992295</v>
      </c>
      <c r="F32" s="62">
        <f>IFERROR(IF(D32="","",B32-D32),"")</f>
        <v>132065.53697037956</v>
      </c>
      <c r="G32" s="62">
        <f>IFERROR(IF(E32="","",'3-Year P&amp;L'!$D$40-'3-Year P&amp;L'!$D$45+'3-Year P&amp;L'!$D$35+'3-Year P&amp;L'!$D$36),"")</f>
        <v>193374.59192492196</v>
      </c>
      <c r="H32" s="62">
        <f>IFERROR(IF(OR(E32="",E32=0),"",G32/E32),"")</f>
        <v>4.641418580550556</v>
      </c>
    </row>
    <row r="33">
      <c r="A33" s="41" t="n">
        <v>7</v>
      </c>
      <c r="B33" s="62">
        <f>IFERROR(IF(OR(7&gt;B22,F32=""),"",F32),"")</f>
        <v>132065.53697037956</v>
      </c>
      <c r="C33" s="62">
        <f>IFERROR(IF(OR(7&gt;B22,B33=""),"",B33*B21),"")</f>
        <v>13206.553697037956</v>
      </c>
      <c r="D33" s="62">
        <f>IFERROR(IF(OR(7&gt;B22,B33=""),"",IF(7&lt;=B23,0,MIN(B33,B24-C33))),"")</f>
        <v>28456.267392884998</v>
      </c>
      <c r="E33" s="62">
        <f>IFERROR(IF(C33="","",C33+D33),"")</f>
        <v>41662.82108992295</v>
      </c>
      <c r="F33" s="62">
        <f>IFERROR(IF(D33="","",B33-D33),"")</f>
        <v>103609.26957749456</v>
      </c>
      <c r="G33" s="62">
        <f>IFERROR(IF(E33="","",'3-Year P&amp;L'!$D$40-'3-Year P&amp;L'!$D$45+'3-Year P&amp;L'!$D$35+'3-Year P&amp;L'!$D$36),"")</f>
        <v>193374.59192492196</v>
      </c>
      <c r="H33" s="62">
        <f>IFERROR(IF(OR(E33="",E33=0),"",G33/E33),"")</f>
        <v>4.641418580550556</v>
      </c>
    </row>
    <row r="34">
      <c r="A34" s="41" t="n">
        <v>8</v>
      </c>
      <c r="B34" s="62">
        <f>IFERROR(IF(OR(8&gt;B22,F33=""),"",F33),"")</f>
        <v>103609.26957749456</v>
      </c>
      <c r="C34" s="62">
        <f>IFERROR(IF(OR(8&gt;B22,B34=""),"",B34*B21),"")</f>
        <v>10360.926957749456</v>
      </c>
      <c r="D34" s="62">
        <f>IFERROR(IF(OR(8&gt;B22,B34=""),"",IF(8&lt;=B23,0,MIN(B34,B24-C34))),"")</f>
        <v>31301.894132173496</v>
      </c>
      <c r="E34" s="62">
        <f>IFERROR(IF(C34="","",C34+D34),"")</f>
        <v>41662.82108992295</v>
      </c>
      <c r="F34" s="62">
        <f>IFERROR(IF(D34="","",B34-D34),"")</f>
        <v>72307.37544532106</v>
      </c>
      <c r="G34" s="62">
        <f>IFERROR(IF(E34="","",'3-Year P&amp;L'!$D$40-'3-Year P&amp;L'!$D$45+'3-Year P&amp;L'!$D$35+'3-Year P&amp;L'!$D$36),"")</f>
        <v>193374.59192492196</v>
      </c>
      <c r="H34" s="62">
        <f>IFERROR(IF(OR(E34="",E34=0),"",G34/E34),"")</f>
        <v>4.641418580550556</v>
      </c>
    </row>
    <row r="35">
      <c r="A35" s="41" t="n">
        <v>9</v>
      </c>
      <c r="B35" s="62">
        <f>IFERROR(IF(OR(9&gt;B22,F34=""),"",F34),"")</f>
        <v>72307.37544532106</v>
      </c>
      <c r="C35" s="62">
        <f>IFERROR(IF(OR(9&gt;B22,B35=""),"",B35*B21),"")</f>
        <v>7230.737544532106</v>
      </c>
      <c r="D35" s="62">
        <f>IFERROR(IF(OR(9&gt;B22,B35=""),"",IF(9&lt;=B23,0,MIN(B35,B24-C35))),"")</f>
        <v>34432.083545390844</v>
      </c>
      <c r="E35" s="62">
        <f>IFERROR(IF(C35="","",C35+D35),"")</f>
        <v>41662.82108992295</v>
      </c>
      <c r="F35" s="62">
        <f>IFERROR(IF(D35="","",B35-D35),"")</f>
        <v>37875.29189993021</v>
      </c>
      <c r="G35" s="62">
        <f>IFERROR(IF(E35="","",'3-Year P&amp;L'!$D$40-'3-Year P&amp;L'!$D$45+'3-Year P&amp;L'!$D$35+'3-Year P&amp;L'!$D$36),"")</f>
        <v>193374.59192492196</v>
      </c>
      <c r="H35" s="62">
        <f>IFERROR(IF(OR(E35="",E35=0),"",G35/E35),"")</f>
        <v>4.641418580550556</v>
      </c>
    </row>
    <row r="36">
      <c r="A36" s="41" t="n">
        <v>10</v>
      </c>
      <c r="B36" s="62">
        <f>IFERROR(IF(OR(10&gt;B22,F35=""),"",F35),"")</f>
        <v>37875.29189993021</v>
      </c>
      <c r="C36" s="62">
        <f>IFERROR(IF(OR(10&gt;B22,B36=""),"",B36*B21),"")</f>
        <v>3787.5291899930216</v>
      </c>
      <c r="D36" s="62">
        <f>IFERROR(IF(OR(10&gt;B22,B36=""),"",IF(10&lt;=B23,0,MIN(B36,B24-C36))),"")</f>
        <v>37875.29189992993</v>
      </c>
      <c r="E36" s="62">
        <f>IFERROR(IF(C36="","",C36+D36),"")</f>
        <v>41662.82108992295</v>
      </c>
      <c r="F36" s="62">
        <f>IFERROR(IF(D36="","",B36-D36),"")</f>
        <v>2.837623469531536e-10</v>
      </c>
      <c r="G36" s="62">
        <f>IFERROR(IF(E36="","",'3-Year P&amp;L'!$D$40-'3-Year P&amp;L'!$D$45+'3-Year P&amp;L'!$D$35+'3-Year P&amp;L'!$D$36),"")</f>
        <v>193374.59192492196</v>
      </c>
      <c r="H36" s="62">
        <f>IFERROR(IF(OR(E36="",E36=0),"",G36/E36),"")</f>
        <v>4.641418580550556</v>
      </c>
    </row>
    <row r="37">
      <c r="A37" s="41" t="n">
        <v>11</v>
      </c>
      <c r="B37" s="62">
        <f>IFERROR(IF(OR(11&gt;B22,F36=""),"",F36),"")</f>
        <v/>
      </c>
      <c r="C37" s="62">
        <f>IFERROR(IF(OR(11&gt;B22,B37=""),"",B37*B21),"")</f>
        <v/>
      </c>
      <c r="D37" s="62">
        <f>IFERROR(IF(OR(11&gt;B22,B37=""),"",IF(11&lt;=B23,0,MIN(B37,B24-C37))),"")</f>
        <v/>
      </c>
      <c r="E37" s="62">
        <f>IFERROR(IF(C37="","",C37+D37),"")</f>
        <v/>
      </c>
      <c r="F37" s="62">
        <f>IFERROR(IF(D37="","",B37-D37),"")</f>
        <v/>
      </c>
      <c r="G37" s="62">
        <f>IFERROR(IF(E37="","",'3-Year P&amp;L'!$D$40-'3-Year P&amp;L'!$D$45+'3-Year P&amp;L'!$D$35+'3-Year P&amp;L'!$D$36),"")</f>
        <v/>
      </c>
      <c r="H37" s="62">
        <f>IFERROR(IF(OR(E37="",E37=0),"",G37/E37),"")</f>
        <v/>
      </c>
    </row>
    <row r="38">
      <c r="A38" s="41" t="n">
        <v>12</v>
      </c>
      <c r="B38" s="62">
        <f>IFERROR(IF(OR(12&gt;B22,F37=""),"",F37),"")</f>
        <v/>
      </c>
      <c r="C38" s="62">
        <f>IFERROR(IF(OR(12&gt;B22,B38=""),"",B38*B21),"")</f>
        <v/>
      </c>
      <c r="D38" s="62">
        <f>IFERROR(IF(OR(12&gt;B22,B38=""),"",IF(12&lt;=B23,0,MIN(B38,B24-C38))),"")</f>
        <v/>
      </c>
      <c r="E38" s="62">
        <f>IFERROR(IF(C38="","",C38+D38),"")</f>
        <v/>
      </c>
      <c r="F38" s="62">
        <f>IFERROR(IF(D38="","",B38-D38),"")</f>
        <v/>
      </c>
      <c r="G38" s="62">
        <f>IFERROR(IF(E38="","",'3-Year P&amp;L'!$D$40-'3-Year P&amp;L'!$D$45+'3-Year P&amp;L'!$D$35+'3-Year P&amp;L'!$D$36),"")</f>
        <v/>
      </c>
      <c r="H38" s="62">
        <f>IFERROR(IF(OR(E38="",E38=0),"",G38/E38),"")</f>
        <v/>
      </c>
    </row>
    <row r="39">
      <c r="A39" s="41" t="n">
        <v>13</v>
      </c>
      <c r="B39" s="62">
        <f>IFERROR(IF(OR(13&gt;B22,F38=""),"",F38),"")</f>
        <v/>
      </c>
      <c r="C39" s="62">
        <f>IFERROR(IF(OR(13&gt;B22,B39=""),"",B39*B21),"")</f>
        <v/>
      </c>
      <c r="D39" s="62">
        <f>IFERROR(IF(OR(13&gt;B22,B39=""),"",IF(13&lt;=B23,0,MIN(B39,B24-C39))),"")</f>
        <v/>
      </c>
      <c r="E39" s="62">
        <f>IFERROR(IF(C39="","",C39+D39),"")</f>
        <v/>
      </c>
      <c r="F39" s="62">
        <f>IFERROR(IF(D39="","",B39-D39),"")</f>
        <v/>
      </c>
      <c r="G39" s="62">
        <f>IFERROR(IF(E39="","",'3-Year P&amp;L'!$D$40-'3-Year P&amp;L'!$D$45+'3-Year P&amp;L'!$D$35+'3-Year P&amp;L'!$D$36),"")</f>
        <v/>
      </c>
      <c r="H39" s="62">
        <f>IFERROR(IF(OR(E39="",E39=0),"",G39/E39),"")</f>
        <v/>
      </c>
    </row>
    <row r="40">
      <c r="A40" s="41" t="n">
        <v>14</v>
      </c>
      <c r="B40" s="62">
        <f>IFERROR(IF(OR(14&gt;B22,F39=""),"",F39),"")</f>
        <v/>
      </c>
      <c r="C40" s="62">
        <f>IFERROR(IF(OR(14&gt;B22,B40=""),"",B40*B21),"")</f>
        <v/>
      </c>
      <c r="D40" s="62">
        <f>IFERROR(IF(OR(14&gt;B22,B40=""),"",IF(14&lt;=B23,0,MIN(B40,B24-C40))),"")</f>
        <v/>
      </c>
      <c r="E40" s="62">
        <f>IFERROR(IF(C40="","",C40+D40),"")</f>
        <v/>
      </c>
      <c r="F40" s="62">
        <f>IFERROR(IF(D40="","",B40-D40),"")</f>
        <v/>
      </c>
      <c r="G40" s="62">
        <f>IFERROR(IF(E40="","",'3-Year P&amp;L'!$D$40-'3-Year P&amp;L'!$D$45+'3-Year P&amp;L'!$D$35+'3-Year P&amp;L'!$D$36),"")</f>
        <v/>
      </c>
      <c r="H40" s="62">
        <f>IFERROR(IF(OR(E40="",E40=0),"",G40/E40),"")</f>
        <v/>
      </c>
    </row>
    <row r="41">
      <c r="A41" s="41" t="n">
        <v>15</v>
      </c>
      <c r="B41" s="62">
        <f>IFERROR(IF(OR(15&gt;B22,F40=""),"",F40),"")</f>
        <v/>
      </c>
      <c r="C41" s="62">
        <f>IFERROR(IF(OR(15&gt;B22,B41=""),"",B41*B21),"")</f>
        <v/>
      </c>
      <c r="D41" s="62">
        <f>IFERROR(IF(OR(15&gt;B22,B41=""),"",IF(15&lt;=B23,0,MIN(B41,B24-C41))),"")</f>
        <v/>
      </c>
      <c r="E41" s="62">
        <f>IFERROR(IF(C41="","",C41+D41),"")</f>
        <v/>
      </c>
      <c r="F41" s="62">
        <f>IFERROR(IF(D41="","",B41-D41),"")</f>
        <v/>
      </c>
      <c r="G41" s="62">
        <f>IFERROR(IF(E41="","",'3-Year P&amp;L'!$D$40-'3-Year P&amp;L'!$D$45+'3-Year P&amp;L'!$D$35+'3-Year P&amp;L'!$D$36),"")</f>
        <v/>
      </c>
      <c r="H41" s="62">
        <f>IFERROR(IF(OR(E41="",E41=0),"",G41/E41),"")</f>
        <v/>
      </c>
    </row>
    <row r="42">
      <c r="A42" s="29" t="inlineStr">
        <is>
          <t>Schedule closing tolerance</t>
        </is>
      </c>
      <c r="B42" s="76" t="n">
        <v>0.01</v>
      </c>
      <c r="C42" s="29" t="inlineStr">
        <is>
          <t>Rounding margin. Above it, the schedule does not close and there is principal left unpaid</t>
        </is>
      </c>
      <c r="D42" s="29" t="n"/>
      <c r="E42" s="29" t="n"/>
      <c r="F42" s="29" t="n"/>
      <c r="G42" s="29" t="n"/>
      <c r="H42" s="29" t="n"/>
    </row>
    <row r="43">
      <c r="A43" s="29" t="inlineStr">
        <is>
          <t>Balance outstanding at maturity</t>
        </is>
      </c>
      <c r="B43" s="62">
        <f>IFERROR(IF(B20="","",ROUND(B20-SUM(D27:D41),2)),"")</f>
        <v>0.0</v>
      </c>
      <c r="C43" s="29" t="inlineStr">
        <is>
          <t>Must be zero: the principal repaid in the schedule has to equal the amount borrowed. If it is positive, the term falls short</t>
        </is>
      </c>
      <c r="D43" s="29" t="n"/>
      <c r="E43" s="29" t="n"/>
      <c r="F43" s="29" t="n"/>
      <c r="G43" s="29" t="n"/>
      <c r="H43" s="29" t="n"/>
    </row>
    <row r="44">
      <c r="A44" s="29" t="inlineStr">
        <is>
          <t>Year-1 interest</t>
        </is>
      </c>
      <c r="B44" s="41">
        <f>IFERROR(IF(B20="","",IF(C27="",0,C27)),"")</f>
        <v>25600.0</v>
      </c>
      <c r="C44" s="29" t="n"/>
      <c r="D44" s="29" t="n"/>
      <c r="E44" s="29" t="n"/>
      <c r="F44" s="29" t="n"/>
      <c r="G44" s="29" t="n"/>
      <c r="H44" s="29" t="n"/>
    </row>
    <row r="45">
      <c r="A45" s="29" t="inlineStr">
        <is>
          <t>Year-1 principal repaid</t>
        </is>
      </c>
      <c r="B45" s="41">
        <f>IFERROR(IF(B20="","",IF(D27="",0,D27)),"")</f>
        <v>16062.821089922953</v>
      </c>
      <c r="C45" s="29" t="n"/>
      <c r="D45" s="29" t="n"/>
      <c r="E45" s="29" t="n"/>
      <c r="F45" s="29" t="n"/>
      <c r="G45" s="29" t="n"/>
      <c r="H45" s="29" t="n"/>
    </row>
    <row r="46">
      <c r="A46" s="29" t="inlineStr">
        <is>
          <t>Year-2 interest</t>
        </is>
      </c>
      <c r="B46" s="41">
        <f>IFERROR(IF(B20="","",IF(C28="",0,C28)),"")</f>
        <v>23993.717891007705</v>
      </c>
      <c r="C46" s="29" t="n"/>
      <c r="D46" s="29" t="n"/>
      <c r="E46" s="29" t="n"/>
      <c r="F46" s="29" t="n"/>
      <c r="G46" s="29" t="n"/>
      <c r="H46" s="29" t="n"/>
    </row>
    <row r="47">
      <c r="A47" s="29" t="inlineStr">
        <is>
          <t>Year-2 principal repaid</t>
        </is>
      </c>
      <c r="B47" s="41">
        <f>IFERROR(IF(B20="","",IF(D28="",0,D28)),"")</f>
        <v>17669.103198915247</v>
      </c>
      <c r="C47" s="29" t="n"/>
      <c r="D47" s="29" t="n"/>
      <c r="E47" s="29" t="n"/>
      <c r="F47" s="29" t="n"/>
      <c r="G47" s="29" t="n"/>
      <c r="H47" s="29" t="n"/>
    </row>
    <row r="48">
      <c r="A48" s="29" t="inlineStr">
        <is>
          <t>Year-3 interest</t>
        </is>
      </c>
      <c r="B48" s="41">
        <f>IFERROR(IF(B20="","",IF(C29="",0,C29)),"")</f>
        <v>22226.80757111618</v>
      </c>
      <c r="C48" s="29" t="n"/>
      <c r="D48" s="29" t="n"/>
      <c r="E48" s="29" t="n"/>
      <c r="F48" s="29" t="n"/>
      <c r="G48" s="29" t="n"/>
      <c r="H48" s="29" t="n"/>
    </row>
    <row r="49">
      <c r="A49" s="29" t="inlineStr">
        <is>
          <t>Year-3 principal repaid</t>
        </is>
      </c>
      <c r="B49" s="41">
        <f>IFERROR(IF(B20="","",IF(D29="",0,D29)),"")</f>
        <v>19436.013518806772</v>
      </c>
      <c r="C49" s="29" t="n"/>
      <c r="D49" s="29" t="n"/>
      <c r="E49" s="29" t="n"/>
      <c r="F49" s="29" t="n"/>
      <c r="G49" s="29" t="n"/>
      <c r="H49" s="29" t="n"/>
    </row>
    <row r="50">
      <c r="A50" s="26" t="inlineStr">
        <is>
          <t>DEBT SERVICE COVERAGE RATIO (DSCR)</t>
        </is>
      </c>
      <c r="B50" s="29" t="n"/>
      <c r="C50" s="29" t="n"/>
      <c r="D50" s="29" t="n"/>
      <c r="E50" s="29" t="n"/>
      <c r="F50" s="29" t="n"/>
      <c r="G50" s="29" t="n"/>
      <c r="H50" s="29" t="n"/>
    </row>
    <row r="51">
      <c r="A51" s="29" t="inlineStr">
        <is>
          <t>Year-1 DSCR</t>
        </is>
      </c>
      <c r="B51" s="62">
        <f>IFERROR(('3-Year P&amp;L'!$B$40-'3-Year P&amp;L'!$B$45+'3-Year P&amp;L'!$B$35+B44)/(B44+B45),"")</f>
        <v>3.593315894500309</v>
      </c>
      <c r="C51" s="29" t="inlineStr">
        <is>
          <t>An INTEREST-ONLY year, if there is one: with only interest in the denominator the ratio shoots up and does not measure the business</t>
        </is>
      </c>
      <c r="D51" s="29" t="n"/>
      <c r="E51" s="29" t="n"/>
      <c r="F51" s="29" t="n"/>
      <c r="G51" s="29" t="n"/>
      <c r="H51" s="29" t="n"/>
    </row>
    <row r="52">
      <c r="A52" s="29" t="inlineStr">
        <is>
          <t>Year-2 DSCR</t>
        </is>
      </c>
      <c r="B52" s="62">
        <f>IFERROR(('3-Year P&amp;L'!$C$40-'3-Year P&amp;L'!$C$45+'3-Year P&amp;L'!$C$35+B46)/(B46+B47),"")</f>
        <v>4.225130131909662</v>
      </c>
      <c r="C52" s="29" t="n"/>
      <c r="D52" s="29" t="n"/>
      <c r="E52" s="29" t="n"/>
      <c r="F52" s="29" t="n"/>
      <c r="G52" s="29" t="n"/>
      <c r="H52" s="29" t="n"/>
    </row>
    <row r="53">
      <c r="A53" s="29" t="inlineStr">
        <is>
          <t>Year-3 DSCR</t>
        </is>
      </c>
      <c r="B53" s="62">
        <f>IFERROR(('3-Year P&amp;L'!$D$40-'3-Year P&amp;L'!$D$45+'3-Year P&amp;L'!$D$35+B48)/(B48+B49),"")</f>
        <v>4.641418580550556</v>
      </c>
      <c r="C53" s="29" t="n"/>
      <c r="D53" s="29" t="n"/>
      <c r="E53" s="29" t="n"/>
      <c r="F53" s="29" t="n"/>
      <c r="G53" s="29" t="n"/>
      <c r="H53" s="29" t="n"/>
    </row>
    <row r="54">
      <c r="A54" s="26" t="inlineStr">
        <is>
          <t>Minimum DSCR across the whole schedule</t>
        </is>
      </c>
      <c r="B54" s="55">
        <f>IFERROR(IF(COUNT(H27:H41)=0,"",MIN(H27:H41)),"")</f>
        <v>3.593315894500309</v>
      </c>
      <c r="C54" s="26"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9" t="n"/>
      <c r="E54" s="29" t="n"/>
      <c r="F54" s="29" t="n"/>
      <c r="G54" s="29" t="n"/>
      <c r="H54" s="29" t="n"/>
    </row>
    <row r="55">
      <c r="A55" s="29" t="n"/>
      <c r="B55" s="29" t="n"/>
      <c r="C55" s="29" t="n"/>
      <c r="D55" s="29" t="n"/>
      <c r="E55" s="29" t="n"/>
      <c r="F55" s="29" t="n"/>
      <c r="G55" s="29" t="n"/>
      <c r="H55" s="29" t="n"/>
    </row>
    <row r="56" ht="165" customHeight="1">
      <c r="A56" s="48"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Sushi Restaurant Financial Projections: 3-Year P&amp;L, Cash Flow &amp; Financing · Sushi Restaurant Business Plan Kit</dc:title>
  <dc:description xmlns:dc="http://purl.org/dc/elements/1.1/">aichef.pro/en/digital-products/sushi-restaurant-business-plan</dc:description>
  <dc:subject xmlns:dc="http://purl.org/dc/elements/1.1/">Sushi Restaurant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2026-10-31T03:10:54Z</dcterms:modified>
  <cp:lastModifiedBy>AI Chef Pro</cp:lastModifiedBy>
  <cp:category>AI Chef Pro · Digital products</cp:category>
  <cp:keywords>sushi restaurant business plan, sushi bar business plan, how to open a sushi restaurant, sushi restaurant startup costs, sushi cost per roll, AI Chef Pro</cp:keywords>
</cp:coreProperties>
</file>