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115</v>
      </c>
      <c r="C4" t="inlineStr">
        <is>
          <t>Equivalent covers per day, year-1 average: about 70 dine-in (sushi bar and tables), about 25 from take-out and pickup (15.6 orders) and about 20 from delivery marketplaces (12.5 orders), counting each order as 1.6 covers. A Friday or Saturday night runs well above the average and a Tuesday well below it (Kit estimate). Compare it with the foot traffic on your street on a Friday night and a Tuesday at lunch</t>
        </is>
      </c>
    </row>
    <row r="5">
      <c r="A5" t="inlineStr">
        <is>
          <t>Average check (excl. sales tax)</t>
        </is>
      </c>
      <c r="B5" s="25" t="n">
        <v>32.5</v>
      </c>
      <c r="C5" t="inlineStr">
        <is>
          <t>Per cover, EXCL. sales tax and tip: a dine-in guest spends about $36.00 (food $28.50 plus beverage $7.50); a take-out order averages $41.00 and a marketplace order $46.00 (the menu is about 15% higher there and the order a bit bigger). At 1.6 covers per order, that is $25.60 and $28.75 per cover, and the weighted average of the three channels is $32.48; the example rounds it to $32.50 (Kit estimate). The "Menu price incl. sales tax (calculated)" row below shows the price with your local rate applied</t>
        </is>
      </c>
    </row>
    <row r="6">
      <c r="A6" t="inlineStr">
        <is>
          <t>Operating days per year</t>
        </is>
      </c>
      <c r="B6" s="18" t="n">
        <v>310</v>
      </c>
      <c r="C6" t="inlineStr">
        <is>
          <t>365 days minus 52 Mondays (closed) and three holidays: Thanksgiving, Christmas Day and New Year's Day. It is the SAME figure for the P&amp;L, the break-even, the scenarios and the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year 2. Conservative: the ceiling is set by the sushi bar (10 seats), the 40 seats on Friday and Saturday nights and what the head sushi chef (itamae) and the sushi team can cut</t>
        </is>
      </c>
    </row>
    <row r="9">
      <c r="A9" t="inlineStr">
        <is>
          <t>Menu price incl. sales tax (calculated)</t>
        </is>
      </c>
      <c r="B9" s="24">
        <f>IFERROR(IF($B$5="","",$B$5*(1+SUMPRODUCT('3-Year P&amp;L'!$E$10:$E$11,'3-Year P&amp;L'!$G$10:$G$11))),"")</f>
        <v>35.1</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In the UK, "&amp;"menu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0.85</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0.15000000000000002</v>
      </c>
      <c r="C12" t="inlineStr">
        <is>
          <t>Calculated as the remainder: food + beverage = 100%</t>
        </is>
      </c>
    </row>
    <row r="13">
      <c r="A13" t="inlineStr">
        <is>
          <t>Cost of goods sold on FOOD sales</t>
        </is>
      </c>
      <c r="B13" s="64" t="n">
        <v>0.32</v>
      </c>
      <c r="C13" t="inlineStr">
        <is>
          <t>Cost of goods sold on food sales: about 32%, on the prudent side. Consulting blogs put sushi food cost at 30-40%. The theoretical cost per piece in the Sushi Fish, Rice &amp; Costing Calculator comes out lower (the salmon nigiri and the California roll are cheap, the spicy tuna is not), but the real number is what you buy against what you sell: it also carries fish that goes unsold in the sushi case, trim that is not reused, rice and nori thrown out at close, staff meals, comps and ordering mistakes, and fish prices are Kit estimates. Measure your usage in the first quarter and change this cell</t>
        </is>
      </c>
    </row>
    <row r="14">
      <c r="A14" t="inlineStr">
        <is>
          <t>Cost of goods sold on BEVERAGE sales</t>
        </is>
      </c>
      <c r="B14" s="64" t="n">
        <v>0.24</v>
      </c>
      <c r="C14" t="inlineStr">
        <is>
          <t>Beverage cost of about 24% of menu price (Kit estimate): beer, sake and wine are about 70% of beverage sales, and the rest is soft drinks, water and tea. Ask your distributor for the price of sake and beer in writing: sake often depends on an importer</t>
        </is>
      </c>
    </row>
    <row r="15">
      <c r="A15" t="inlineStr">
        <is>
          <t>Disposables and packaging as % of sales</t>
        </is>
      </c>
      <c r="B15" s="64" t="n">
        <v>0.03</v>
      </c>
      <c r="C15" t="inlineStr">
        <is>
          <t>Sushi trays, soy cups, chopsticks, bags, napkins and wipes for every order that leaves the restaurant, plus containers for leftovers. Local packaging ordinances vary (some cities charge for or ban single-use items): check yours before ordering</t>
        </is>
      </c>
    </row>
    <row r="16">
      <c r="A16" t="inlineStr">
        <is>
          <t>Delivery share of total sales</t>
        </is>
      </c>
      <c r="B16" s="64" t="n">
        <v>0.15</v>
      </c>
      <c r="C16" t="inlineStr">
        <is>
          <t>Sales through delivery marketplaces (DoorDash, Uber Eats, Grubhub) with their commission, as a share of total sales. Pickup orders placed directly with you (phone or website) pay no commission and do not go here: push them. Rolls and platters travel well; tempura and gyoza arrive worse, so do not go higher without testing</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4500</v>
      </c>
      <c r="C24" t="inlineStr">
        <is>
          <t>About 1,800 sq ft (167 sq m) of second-generation restaurant space with a Type I hood route to the roof possible: a sushi bar counter in view with 10 seats, a 30-seat dining room, a small hot kitchen, a walk-in cooler and a to-go packing station by the door, in a neighborhood with nightlife in a mid-size city (150,000 to 500,000 people), no key money: about $30 per sq ft a year (Kit estimate, editable). The weight of rent on sales is calculated by the workbook itself in the rent row of the "3-Year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1700</v>
      </c>
      <c r="C26" t="inlineStr">
        <is>
          <t>Gas (rice cookers, fryer, range and griddle), electricity (walk-in, reach-ins, freezer and sushi case, hood and HVAC) and water. The example uses $1,700 per month (Kit estimate). Ask the landlord for the space's utility history</t>
        </is>
      </c>
    </row>
    <row r="27">
      <c r="A27" t="inlineStr">
        <is>
          <t>Insurance (per year)</t>
        </is>
      </c>
      <c r="B27" s="18" t="n">
        <v>8000</v>
      </c>
      <c r="C27" t="inlineStr">
        <is>
          <t>General liability, product liability (you serve raw fish), liquor liability (beer, sake &amp; wine), property with refrigeration breakdown (spoilage) cover and workers' comp: about $8,000 a year in the example (Kit estimate). Tell your insurance broker you serve raw fish and run a fryer: it changes the premium and the terms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130000</v>
      </c>
      <c r="C30" t="inlineStr">
        <is>
          <t>Owner's cash. Lenders usually expect an owner equity injection (often around 10% for SBA start-ups; many want 20-30%) toward the cash need</t>
        </is>
      </c>
    </row>
    <row r="31">
      <c r="A31" t="inlineStr">
        <is>
          <t>Loan requested</t>
        </is>
      </c>
      <c r="B31" s="18" t="n">
        <v>256000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refrigeration and the kitchen equipment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Interest-only period in years. The example uses 0: principal is repaid from the start. If your lender gives you an interest-only period while you build out, enter it here and check the cash cushion of that year on the "Break-Even" tab</t>
        </is>
      </c>
    </row>
    <row r="35">
      <c r="A35" t="inlineStr">
        <is>
          <t>Working capital (months of fixed costs)</t>
        </is>
      </c>
      <c r="B35" s="18" t="n">
        <v>3</v>
      </c>
      <c r="C35" t="inlineStr">
        <is>
          <t>Three months of fixed costs: the cushion for the opening ramp-up, which with Month 1 in January runs from January to April, when the calendar is also at its slowest</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Rate on alcohol served to go or by delivery. The example uses ONE sales tax rate (8%) for everything, so this cell equals the rate on sales; some states tax food to go or alcohol differently, so check yours. There is no credit for the tax you pay on purchases (see the recoverable input tax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and installations: sushi bar counter, electrical, plumbing, HVAC, Type I hood and exhaust, signage and facade. Ten years straight-line in the example: confirm the tax treatment with your CPA</t>
        </is>
      </c>
    </row>
    <row r="45">
      <c r="A45" t="inlineStr">
        <is>
          <t>Useful life of machinery, furniture and equipment (years)</t>
        </is>
      </c>
      <c r="B45" s="18" t="n">
        <v>7</v>
      </c>
      <c r="C45" t="inlineStr">
        <is>
          <t>Sushi case, rice cookers, freezer, hot-line equipment, walk-in and reach-ins, dish machine, smallwares, furniture and POS: seven years straight-line in the example. Confirm the tax life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2.875</v>
      </c>
      <c r="C50" t="str">
        <f>IFERROR("That is "&amp;TEXT(INT(ROUND(B50,1)),"0")&amp;"."&amp;TEXT(ROUND(MOD(ROUND(B50,1),1)*10,0),"0")&amp;" seat turns per day on the "&amp;TEXT($B$51,"0")&amp;" seats in the cell below. "&amp;"It includes the take-out and delivery covers (1 order = 1.6 covers), which do not take a seat: the real turns of your dining room are lower (in the example, about six in ten covers eat in). Compare it with the ceiling on seat turns typed in ""Break-Even"".","")</f>
        <v>That is 2.9 seat turns per day on the 40 seats in the cell below. It includes the take-out and delivery covers (1 order = 1.6 covers), which do not take a seat: the real turns of your dining room are lower (in the example, about six in ten covers eat in). Compare it with the ceiling on seat turns typed in "Break-Even".</v>
      </c>
    </row>
    <row r="51">
      <c r="A51" t="inlineStr">
        <is>
          <t>Seating capacity (seats, sushi bar included)</t>
        </is>
      </c>
      <c r="B51" s="18" t="n">
        <v>40</v>
      </c>
      <c r="C51" t="inlineStr">
        <is>
          <t>Indoor seats: 10 at the sushi bar in front of the sushi case and 30 at tables. Someone who picks up an order or gets it delivered does not take a seat: that is why the seat turns in the row above come out higher than what your dining room really does</t>
        </is>
      </c>
    </row>
    <row r="52">
      <c r="A52" t="inlineStr">
        <is>
          <t>Month-1 activity as a % of steady-state activity</t>
        </is>
      </c>
      <c r="B52" s="64" t="n">
        <v>0.75</v>
      </c>
      <c r="C52" t="inlineStr">
        <is>
          <t>A new sushi restaurant draws curious first-timers in its first month, but regulars and your ratings on the delivery apps take a quarter to build: Month 1 (January) brings in 75% of what it will bring in at month four. With 100% the ramp-up is removed</t>
        </is>
      </c>
    </row>
    <row r="53">
      <c r="A53" t="inlineStr">
        <is>
          <t>Months to reach steady state</t>
        </is>
      </c>
      <c r="B53" s="18" t="n">
        <v>4</v>
      </c>
      <c r="C53" t="inlineStr">
        <is>
          <t>Four months to reach cruising speed: January to April</t>
        </is>
      </c>
    </row>
    <row r="54">
      <c r="A54" t="inlineStr">
        <is>
          <t>Months of rent BEFORE opening (build-out and permits)</t>
        </is>
      </c>
      <c r="B54" s="18" t="n">
        <v>2</v>
      </c>
      <c r="C54" t="inlineStr">
        <is>
          <t>Two months of rent before opening: the sushi bar build-out, the hood and the permits. If the lender funds the loan when construction starts, add the interest of those months, which this workbook does not count, and remember that any interest-only period starts at signing</t>
        </is>
      </c>
    </row>
    <row r="55">
      <c r="A55" t="inlineStr">
        <is>
          <t>Contingency on the BUILD-OUT lines of the space block (%)</t>
        </is>
      </c>
      <c r="B55" s="64" t="n">
        <v>0.1</v>
      </c>
      <c r="C55" t="inlineStr">
        <is>
          <t>Cushion on the build-out and installations of the space, which is where surprises show up (the hood route, the electrical service for the kitchen, the grease interceptor). A lender will not finance a renovation without one</t>
        </is>
      </c>
    </row>
    <row r="57">
      <c r="A57" s="16" t="inlineStr">
        <is>
          <t>RECEIPTS, PAYMENTS AND SALES TAX BREAKDOWN</t>
        </is>
      </c>
    </row>
    <row r="58">
      <c r="A58" t="inlineStr">
        <is>
          <t>Average collection days</t>
        </is>
      </c>
      <c r="B58" s="18" t="n">
        <v>2</v>
      </c>
      <c r="C58" t="inlineStr">
        <is>
          <t>Weighted average: dine-in and pickup are paid on the spot, while delivery marketplaces settle weekly what they sell (15% of sales). With weekly payouts that is about 2 days</t>
        </is>
      </c>
    </row>
    <row r="59">
      <c r="A59" t="inlineStr">
        <is>
          <t>Average days to pay suppliers</t>
        </is>
      </c>
      <c r="B59" s="18" t="n">
        <v>14</v>
      </c>
      <c r="C59" t="inlineStr">
        <is>
          <t>Payment terms with the fish, rice, nori and beverage suppliers: what they finance for you. Negotiate it in writing: if your fish supplier asks for weekly payment or COD, lower this figure</t>
        </is>
      </c>
    </row>
    <row r="60">
      <c r="A60" t="inlineStr">
        <is>
          <t>Month of extra pay period 1 (only if pay periods &gt; 12)</t>
        </is>
      </c>
      <c r="B60" s="18" t="n">
        <v>7</v>
      </c>
      <c r="C60" t="inlineStr">
        <is>
          <t>Month of the 12-Month Cash Flow in which a summer extra payment falls. It only matters if you enter more than 12 pay periods; with 12 there are no extra payments. If you use it, July is Month 7, because Month 1 of the plan is January</t>
        </is>
      </c>
    </row>
    <row r="61">
      <c r="A61" t="inlineStr">
        <is>
          <t>Month of extra pay period 2 (only if pay periods &gt; 12)</t>
        </is>
      </c>
      <c r="B61" s="18" t="n">
        <v>12</v>
      </c>
      <c r="C61" t="inlineStr">
        <is>
          <t>Month of the 12-Month Cash Flow in which a holiday extra payment falls. It only matters if you enter more than 12 pay periods; with 12 there are no extra payments. If you use it, December is Month 12, because Month 1 of the plan is January</t>
        </is>
      </c>
    </row>
    <row r="62">
      <c r="A62" t="inlineStr">
        <is>
          <t>Alcohol share of beverage purchases (reference only: no input credit in the US)</t>
        </is>
      </c>
      <c r="B62" s="64" t="n">
        <v>0.7</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sake, wine, soft drinks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projected sales must exceed cash break-even sales (fixed costs plus the loan payment). The drop you can absorb is a bit smaller: with a 15% cushion, 13% of projected sales</t>
        </is>
      </c>
    </row>
    <row r="68">
      <c r="A68" t="inlineStr">
        <is>
          <t>State / local minimum wage, annual full-time</t>
        </is>
      </c>
      <c r="B68" s="18" t="n"/>
      <c r="C68" t="inlineStr">
        <is>
          <t>State / local minimum wage; this plan budgets at least $15 per hour for everyone. Enter the full-time annual floor of your state and city if it is higher than the federal one ($7.25 per hour). With 0 the status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SUSHI RESTAURANT BUSINESS PLAN: SUSHI BAR, TAKE-OUT &amp; DELIVERY</t>
        </is>
      </c>
    </row>
    <row r="2">
      <c r="A2" s="2" t="inlineStr">
        <is>
          <t>Estimated Startup Costs — sushi restaurant with a sushi bar counter, 40 seats, take-out and delivery</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255100.0</v>
      </c>
      <c r="C6" s="67">
        <f>IFERROR(B6/$B$30,"")</f>
        <v>0.6623283424603615</v>
      </c>
      <c r="D6" s="29" t="n"/>
      <c r="E6" s="29" t="n"/>
    </row>
    <row r="7">
      <c r="A7" s="29" t="inlineStr">
        <is>
          <t>Architect, MEP &amp; hood drawings, plan review &amp; permit fees</t>
        </is>
      </c>
      <c r="B7" s="51" t="n">
        <v>14000</v>
      </c>
      <c r="C7" s="68">
        <f>IFERROR(B7/$B$30,"")</f>
        <v>0.036348870225186444</v>
      </c>
      <c r="D7" s="29" t="inlineStr">
        <is>
          <t>Architect, MEP and hood drawings, plan review (Food Code 8-201.11) and permit fees. If you choose a variance for the sushi rice, ask your health department for the plan review fee of the HACCP plan: in some counties it can pass $2,000</t>
        </is>
      </c>
      <c r="E7" s="32" t="inlineStr">
        <is>
          <t>Yes</t>
        </is>
      </c>
    </row>
    <row r="8">
      <c r="A8" s="29" t="inlineStr">
        <is>
          <t>Build-out (second-generation space, 1,800 sq ft) with sushi bar counter, signage &amp; facade</t>
        </is>
      </c>
      <c r="B8" s="51" t="n">
        <v>75000</v>
      </c>
      <c r="C8" s="68">
        <f>IFERROR(B8/$B$30,"")</f>
        <v>0.19472609049207024</v>
      </c>
      <c r="D8" s="29" t="inlineStr">
        <is>
          <t>Build-out of a second-generation restaurant space of 1,800 sq ft: sushi bar counter in view, finished kitchen, walk-in room, slip-resistant floors, restrooms (one ADA-accessible), ceilings and acoustic insulation, plus signage and facade. Kit estimate: get two quotes</t>
        </is>
      </c>
      <c r="E8" s="32" t="inlineStr">
        <is>
          <t>Yes</t>
        </is>
      </c>
    </row>
    <row r="9">
      <c r="A9" s="29" t="inlineStr">
        <is>
          <t>Type I hood (about 10 ft), UL 300 fire suppression &amp; makeup air</t>
        </is>
      </c>
      <c r="B9" s="51" t="n">
        <v>18000</v>
      </c>
      <c r="C9" s="68">
        <f>IFERROR(B9/$B$30,"")</f>
        <v>0.04673426171809685</v>
      </c>
      <c r="D9" s="29" t="inlineStr">
        <is>
          <t>Type I hood of about 10 ft with UL 300 fire suppression and makeup air over the tempura fryer, the range and the griddle. Ask the fire marshal and the mechanical inspector in writing what your city requires, and whether the gas rice cookers go under the hood. Installers rarely quote by the foot: ask for an offer with your plans</t>
        </is>
      </c>
      <c r="E9" s="32" t="inlineStr">
        <is>
          <t>Yes</t>
        </is>
      </c>
    </row>
    <row r="10">
      <c r="A10" s="29" t="inlineStr">
        <is>
          <t>Electrical service &amp; panel</t>
        </is>
      </c>
      <c r="B10" s="51" t="n">
        <v>11000</v>
      </c>
      <c r="C10" s="68">
        <f>IFERROR(B10/$B$30,"")</f>
        <v>0.028559826605503633</v>
      </c>
      <c r="D10" s="29" t="inlineStr">
        <is>
          <t>Electrical service for the walk-in, the sushi case, the hood and the lighting. Ask what service is available BEFORE you sign: a new service takes time</t>
        </is>
      </c>
      <c r="E10" s="32" t="inlineStr">
        <is>
          <t>Yes</t>
        </is>
      </c>
    </row>
    <row r="11">
      <c r="A11" s="29" t="inlineStr">
        <is>
          <t>Plumbing, grease interceptor, HVAC &amp; gas lines</t>
        </is>
      </c>
      <c r="B11" s="51" t="n">
        <v>15000</v>
      </c>
      <c r="C11" s="68">
        <f>IFERROR(B11/$B$30,"")</f>
        <v>0.038945218098414044</v>
      </c>
      <c r="D11" s="29" t="inlineStr">
        <is>
          <t>Hot and cold water in the kitchen and at the sushi bar, drains with a grease interceptor, HVAC for the dining room and the gas lines for the rice cookers and the fryer</t>
        </is>
      </c>
      <c r="E11" s="32" t="inlineStr">
        <is>
          <t>Yes</t>
        </is>
      </c>
    </row>
    <row r="12">
      <c r="A12" s="29" t="inlineStr">
        <is>
          <t>Refrigerated sushi case (6 ft)</t>
        </is>
      </c>
      <c r="B12" s="51" t="n">
        <v>4000</v>
      </c>
      <c r="C12" s="68">
        <f>IFERROR(B12/$B$30,"")</f>
        <v>0.010385391492910411</v>
      </c>
      <c r="D12" s="29" t="inlineStr">
        <is>
          <t>The case for the neta (the cut fish that goes on top of the rice), in view of the guest and for service only, not for storing fish. A 6 ft Hoshizaki case (70.9 in) lists around $4,045 (read October 2026); the example uses $4,000</t>
        </is>
      </c>
      <c r="E12" s="32" t="inlineStr">
        <is>
          <t>Yes</t>
        </is>
      </c>
    </row>
    <row r="13">
      <c r="A13" s="29" t="inlineStr">
        <is>
          <t>Commercial gas rice cookers × 2 &amp; rice warmers</t>
        </is>
      </c>
      <c r="B13" s="51" t="n">
        <v>2500</v>
      </c>
      <c r="C13" s="68">
        <f>IFERROR(B13/$B$30,"")</f>
        <v>0.006490869683069007</v>
      </c>
      <c r="D13" s="29" t="inlineStr">
        <is>
          <t>Two commercial gas rice cookers and rice warmers. The hangiri, the wooden tub where the sushi rice is seasoned, goes under smallwares. Kit estimate: ask your equipment dealer for quotes</t>
        </is>
      </c>
      <c r="E13" s="32" t="inlineStr">
        <is>
          <t>Yes</t>
        </is>
      </c>
    </row>
    <row r="14">
      <c r="A14" s="29" t="inlineStr">
        <is>
          <t>Freezer (−4 °F or colder) with temperature logger</t>
        </is>
      </c>
      <c r="B14" s="51" t="n">
        <v>3500</v>
      </c>
      <c r="C14" s="68">
        <f>IFERROR(B14/$B$30,"")</f>
        <v>0.009087217556296611</v>
      </c>
      <c r="D14" s="29" t="inlineStr">
        <is>
          <t>The parasite rule (FDA Food Code 3-402.11) asks for raw fish to be frozen at −4 °F or below for 7 days, or at −31 °F until solid plus 15 hours, or at −31 °F until solid plus 24 hours at −4 °F. Tuna and feed-raised aquaculture fish are exempt with a written supplier statement, and records are kept 90 days. This freezer HOLDS the fish you buy already treated, at −4 °F or below with a logger; freezing fish yourself takes a lot of freezer space. Kit estimate: ask for the data sheet</t>
        </is>
      </c>
      <c r="E14" s="32" t="inlineStr">
        <is>
          <t>Yes</t>
        </is>
      </c>
    </row>
    <row r="15">
      <c r="A15" s="29" t="inlineStr">
        <is>
          <t>Fryer, range &amp; griddle (tempura, gyoza, miso)</t>
        </is>
      </c>
      <c r="B15" s="51" t="n">
        <v>6000</v>
      </c>
      <c r="C15" s="68">
        <f>IFERROR(B15/$B$30,"")</f>
        <v>0.015578087239365618</v>
      </c>
      <c r="D15" s="29" t="inlineStr">
        <is>
          <t>Fryer for the tempura, range for the miso and stocks, and griddle for the gyoza and teriyaki, all under the Type I hood. Kit estimate</t>
        </is>
      </c>
      <c r="E15" s="32" t="inlineStr">
        <is>
          <t>Yes</t>
        </is>
      </c>
    </row>
    <row r="16">
      <c r="A16" s="29" t="inlineStr">
        <is>
          <t>Walk-in cooler (6×8)</t>
        </is>
      </c>
      <c r="B16" s="51" t="n">
        <v>12800</v>
      </c>
      <c r="C16" s="68">
        <f>IFERROR(B16/$B$30,"")</f>
        <v>0.033233252777313316</v>
      </c>
      <c r="D16" s="29" t="inlineStr">
        <is>
          <t>Walk-in cooler (6×8 ft) for the rice, the vegetables, the sauces and the backup fish stock, with cold holding at 41 °F or below. A 6×8 ft walk-in lists around $12,800 (Norlake Kold Locker, read October 2026)</t>
        </is>
      </c>
      <c r="E16" s="32" t="inlineStr">
        <is>
          <t>Yes</t>
        </is>
      </c>
    </row>
    <row r="17">
      <c r="A17" s="29" t="inlineStr">
        <is>
          <t>Reach-in fish refrigerators (32-34 °F), prep tables, beverage &amp; sake cooler, ice machine</t>
        </is>
      </c>
      <c r="B17" s="51" t="n">
        <v>11000</v>
      </c>
      <c r="C17" s="68">
        <f>IFERROR(B17/$B$30,"")</f>
        <v>0.028559826605503633</v>
      </c>
      <c r="D17" s="29" t="inlineStr">
        <is>
          <t>Reach-in refrigerators for fish held at 32-34 °F (cold holding is 41 °F or below, and tuna must be received at 40 °F or below), refrigerated prep tables for the sushi bar, a beverage and sake cooler and an ice machine</t>
        </is>
      </c>
      <c r="E17" s="32" t="inlineStr">
        <is>
          <t>Yes</t>
        </is>
      </c>
    </row>
    <row r="18">
      <c r="A18" s="29" t="inlineStr">
        <is>
          <t>3-comp sink, dish machine, hand sinks, shelving &amp; stainless</t>
        </is>
      </c>
      <c r="B18" s="51" t="n">
        <v>11500</v>
      </c>
      <c r="C18" s="68">
        <f>IFERROR(B18/$B$30,"")</f>
        <v>0.029858000542117433</v>
      </c>
      <c r="D18" s="29" t="inlineStr">
        <is>
          <t>Three-compartment sink, dish machine, hands-free hand sinks, stainless tables and shelving</t>
        </is>
      </c>
      <c r="E18" s="32" t="inlineStr">
        <is>
          <t>Yes</t>
        </is>
      </c>
    </row>
    <row r="19">
      <c r="A19" s="29" t="inlineStr">
        <is>
          <t>Smallwares (Japanese knives, color-coded boards, hangiri, calibrated pH meter, probes, to-go station)</t>
        </is>
      </c>
      <c r="B19" s="51" t="n">
        <v>6000</v>
      </c>
      <c r="C19" s="68">
        <f>IFERROR(B19/$B$30,"")</f>
        <v>0.015578087239365618</v>
      </c>
      <c r="D19" s="29" t="inlineStr">
        <is>
          <t>Japanese knives (yanagiba and deba), color-coded cutting boards, probe thermometers, scales in oz, the hangiri, the to-go packing station, plateware, allergen signage and the calibrated pH meter (only if you choose a variance for the sushi rice)</t>
        </is>
      </c>
      <c r="E19" s="32" t="inlineStr">
        <is>
          <t>Yes</t>
        </is>
      </c>
    </row>
    <row r="20">
      <c r="A20" s="29" t="inlineStr">
        <is>
          <t>Furniture &amp; sushi bar seating (40 seats)</t>
        </is>
      </c>
      <c r="B20" s="51" t="n">
        <v>14000</v>
      </c>
      <c r="C20" s="68">
        <f>IFERROR(B20/$B$30,"")</f>
        <v>0.036348870225186444</v>
      </c>
      <c r="D20" s="29" t="inlineStr">
        <is>
          <t>Tables and chairs for 30 seats and 10 stools at the sushi bar</t>
        </is>
      </c>
      <c r="E20" s="32" t="inlineStr">
        <is>
          <t>Yes</t>
        </is>
      </c>
    </row>
    <row r="21">
      <c r="A21" s="29" t="inlineStr">
        <is>
          <t>POS, online ordering, KDS &amp; delivery tablets</t>
        </is>
      </c>
      <c r="B21" s="51" t="n">
        <v>4500</v>
      </c>
      <c r="C21" s="68">
        <f>IFERROR(B21/$B$30,"")</f>
        <v>0.011683565429524213</v>
      </c>
      <c r="D21" s="29" t="inlineStr">
        <is>
          <t>POS with online ordering, a kitchen display (KDS) or ticket printer, a card terminal and the tablets for the delivery marketplaces</t>
        </is>
      </c>
      <c r="E21" s="32" t="inlineStr">
        <is>
          <t>Yes</t>
        </is>
      </c>
    </row>
    <row r="22">
      <c r="A22" s="29" t="inlineStr">
        <is>
          <t>LLC, legal &amp; food safety plan</t>
        </is>
      </c>
      <c r="B22" s="51" t="n">
        <v>2500</v>
      </c>
      <c r="C22" s="68">
        <f>IFERROR(B22/$B$30,"")</f>
        <v>0.006490869683069007</v>
      </c>
      <c r="D22" s="29" t="inlineStr">
        <is>
          <t>LLC formation (ask your CPA about LLC vs S corp), EIN and state payroll registration, business license and sales tax permit, building permit and certificate of occupancy, health permit with plan review, and the written food safety plan (a HACCP plan only if you choose a variance). Fees vary by city: replace this line with your own quotes</t>
        </is>
      </c>
      <c r="E22" s="32" t="inlineStr">
        <is>
          <t>No</t>
        </is>
      </c>
    </row>
    <row r="23">
      <c r="A23" s="29" t="inlineStr">
        <is>
          <t>Branding, website, photos &amp; launch</t>
        </is>
      </c>
      <c r="B23" s="51" t="n">
        <v>5500</v>
      </c>
      <c r="C23" s="68">
        <f>IFERROR(B23/$B$30,"")</f>
        <v>0.014279913302751817</v>
      </c>
      <c r="D23" s="29" t="inlineStr">
        <is>
          <t>Branding, a website with the menu, the consumer advisory and the allergens, a photo session and the opening campaign (Google Business Profile, Yelp, social media)</t>
        </is>
      </c>
      <c r="E23" s="32" t="inlineStr">
        <is>
          <t>Yes</t>
        </is>
      </c>
    </row>
    <row r="24">
      <c r="A24" s="29" t="inlineStr">
        <is>
          <t>Opening inventory (fish, rice, nori, sauces, disposables, beverage)</t>
        </is>
      </c>
      <c r="B24" s="51" t="n">
        <v>7000</v>
      </c>
      <c r="C24" s="68">
        <f>IFERROR(B24/$B$30,"")</f>
        <v>0.018174435112593222</v>
      </c>
      <c r="D24" s="29" t="inlineStr">
        <is>
          <t>Fish (bought already treated or exempt, with the supplier's letter), Calrose sushi rice, nori, sauces, the first order of to-go packaging and the beverages, sake included (order early: it often depends on an importer)</t>
        </is>
      </c>
      <c r="E24" s="32" t="inlineStr">
        <is>
          <t>Yes</t>
        </is>
      </c>
    </row>
    <row r="25">
      <c r="A25" s="29" t="inlineStr">
        <is>
          <t>Security deposit</t>
        </is>
      </c>
      <c r="B25" s="41">
        <f>IFERROR(IF('0. Assumptions'!$B$24="","",'0. Assumptions'!$B$24*'0. Assumptions'!$B$25),"")</f>
        <v>9000.0</v>
      </c>
      <c r="C25" s="68">
        <f>IFERROR(B25/$B$30,"")</f>
        <v>0.023367130859048426</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9000.0</v>
      </c>
      <c r="C26" s="68">
        <f>IFERROR(B26/$B$30,"")</f>
        <v>0.023367130859048426</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13300.0</v>
      </c>
      <c r="C27" s="68">
        <f>IFERROR(B27/$B$30,"")</f>
        <v>0.03453142671392712</v>
      </c>
      <c r="D27" s="29" t="str">
        <f>IFERROR("At "&amp;TEXT('0. Assumptions'!$B$55,"0%")&amp;" of the BUILD-OUT items of this block (architect, MEP &amp; hood drawings and permit fees; build-out with the sushi bar counter, signage &amp; facade; Type I hood (about 10 ft), UL 300 fire suppression &amp; makeup air; "&amp;"electrical service &amp; panel; plumbing, grease interceptor, HVAC &amp; gas lines), not of the whole block: the sushi case, the rice cookers, the equipment and the other items are left out. "&amp;"No lender funds a build-out without a cushion: the percentage is in ""0. Assumptions""","")</f>
        <v>At 10% of the BUILD-OUT items of this block (architect, MEP &amp; hood drawings and permit fees; build-out with the sushi bar counter, signage &amp; facade; Type I hood (about 10 ft), UL 300 fire suppression &amp; makeup air; electrical service &amp; panel; plumbing, grease interceptor, HVAC &amp; gas lines), not of the whole block: the sushi case, the rice cookers, the equipment and the other items are left out. No lender funds a build-out without a cushion: the percentage is in "0. Assumptions"</v>
      </c>
      <c r="E27" s="29" t="inlineStr">
        <is>
          <t>Yes</t>
        </is>
      </c>
    </row>
    <row r="28">
      <c r="A28" s="26" t="inlineStr">
        <is>
          <t>WORKING CAPITAL</t>
        </is>
      </c>
      <c r="B28" s="54">
        <f>IFERROR(IF(B29="","",B29),"")</f>
        <v>130056.40000000001</v>
      </c>
      <c r="C28" s="67">
        <f>IFERROR(B28/$B$30,"")</f>
        <v>0.33767165753963846</v>
      </c>
      <c r="D28" s="29" t="n"/>
      <c r="E28" s="29" t="n"/>
    </row>
    <row r="29">
      <c r="A29" s="29" t="inlineStr">
        <is>
          <t>Operating cushion until break-even</t>
        </is>
      </c>
      <c r="B29" s="41">
        <f>IFERROR(IF('0. Assumptions'!$B$35*('3-Year P&amp;L'!$B$37-'3-Year P&amp;L'!$B$35)=0,"",'0. Assumptions'!$B$35*('3-Year P&amp;L'!$B$37-'3-Year P&amp;L'!$B$35)/12),"")</f>
        <v>130056.40000000001</v>
      </c>
      <c r="C29" s="68">
        <f>IFERROR(B29/$B$30,"")</f>
        <v>0.33767165753963846</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385156.4</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(34% of the total). To compare the breakdown with another plan, use the CAPEX row below.</v>
      </c>
      <c r="E30" s="29" t="n"/>
    </row>
    <row r="31">
      <c r="A31" s="26" t="inlineStr">
        <is>
          <t>CAPEX (startup costs excluding working capital)</t>
        </is>
      </c>
      <c r="B31" s="54">
        <f>IFERROR(B30-B28,"")</f>
        <v>255100.0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385156.4</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146300.0</v>
      </c>
      <c r="C35" s="29" t="n"/>
      <c r="D35" s="29" t="str">
        <f>IFERROR("Depreciated over "&amp;TEXT('0. Assumptions'!$B$44,"0")&amp;" years","")</f>
        <v>Depreciated over 10 years</v>
      </c>
      <c r="E35" s="29" t="n"/>
    </row>
    <row r="36">
      <c r="A36" s="29" t="inlineStr">
        <is>
          <t>Machinery, furniture and equipment</t>
        </is>
      </c>
      <c r="B36" s="41">
        <f>IFERROR(IF(B12="","",B12+B13+B14+B15+B16+B17+B18+B19+B20+B21),"")</f>
        <v>75800.0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25458.571428571428</v>
      </c>
      <c r="C37" s="29" t="n"/>
      <c r="D37" s="26" t="str">
        <f>IFERROR("Not depreciated, because they are not fixed assets: LLC, legal and food safety plan; branding, website, photos and launch; opening inventory; security deposit; pre-opening rent and the working capital reserve. They add up to "&amp;TEXT(B30-B35-B36,"#,##0")&amp;" of the "&amp;TEXT(B30,"#,##0")&amp;" total investment.","")</f>
        <v>Not depreciated, because they are not fixed assets: LLC, legal and food safety plan; branding, website, photos and launch; opening inventory; security deposit; pre-opening rent and the working capital reserve. They add up to 163056 of the 385156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sushi restaurant: sushi bar and tables, take-out and delivery</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115.0</v>
      </c>
      <c r="C6" s="41">
        <f>IFERROR(B6*(1+'0. Assumptions'!$B$7),"")</f>
        <v>121.9</v>
      </c>
      <c r="D6" s="41">
        <f>IFERROR(C6*(1+'0. Assumptions'!$B$8),"")</f>
        <v>126.77600000000001</v>
      </c>
      <c r="E6" s="29" t="n"/>
      <c r="F6" s="29" t="inlineStr">
        <is>
          <t>Growth for years 2 and 3 is set in "0. Assumptions"</t>
        </is>
      </c>
      <c r="G6" s="29" t="n"/>
      <c r="H6" s="29" t="n"/>
    </row>
    <row r="7">
      <c r="A7" s="29" t="inlineStr">
        <is>
          <t>Average check (excl. sales tax)</t>
        </is>
      </c>
      <c r="B7" s="62">
        <f>IFERROR(IF('0. Assumptions'!$B$5="","",'0. Assumptions'!$B$5),"")</f>
        <v>32.5</v>
      </c>
      <c r="C7" s="62">
        <f>IFERROR(IF(B7="","",B7),"")</f>
        <v>32.5</v>
      </c>
      <c r="D7" s="62">
        <f>IFERROR(IF(C7="","",C7),"")</f>
        <v>32.5</v>
      </c>
      <c r="E7" s="29" t="n"/>
      <c r="F7" s="29" t="inlineStr">
        <is>
          <t>Held constant at year-1 prices: a price increase is a separate decision</t>
        </is>
      </c>
      <c r="G7" s="29" t="n"/>
      <c r="H7" s="29" t="n"/>
    </row>
    <row r="8">
      <c r="A8" s="29" t="inlineStr">
        <is>
          <t>Operating days per year</t>
        </is>
      </c>
      <c r="B8" s="41">
        <f>IFERROR(IF('0. Assumptions'!$B$6="","",'0. Assumptions'!$B$6),"")</f>
        <v>310.0</v>
      </c>
      <c r="C8" s="41">
        <f>IFERROR(IF(B8="","",B8),"")</f>
        <v>310.0</v>
      </c>
      <c r="D8" s="41">
        <f>IFERROR(IF(C8="","",C8),"")</f>
        <v>310.0</v>
      </c>
      <c r="E8" s="29" t="n"/>
      <c r="F8" s="29" t="n"/>
      <c r="G8" s="29" t="n"/>
      <c r="H8" s="29" t="n"/>
    </row>
    <row r="9">
      <c r="A9" s="26" t="inlineStr">
        <is>
          <t>TOTAL REVENUE (excl. sales tax)</t>
        </is>
      </c>
      <c r="B9" s="54">
        <f>IFERROR(IF(B6*B7*B8=0,"",B6*B7*B8),"")</f>
        <v>1158625.0</v>
      </c>
      <c r="C9" s="54">
        <f>IFERROR(IF(C6*C7*C8=0,"",C6*C7*C8),"")</f>
        <v>1228142.5</v>
      </c>
      <c r="D9" s="54">
        <f>IFERROR(IF(D6*D7*D8=0,"",D6*D7*D8),"")</f>
        <v>1277268.2000000002</v>
      </c>
      <c r="E9" s="67">
        <f>IFERROR(IF(B9="","",1),"")</f>
        <v>1.0</v>
      </c>
      <c r="F9" s="29" t="n"/>
      <c r="G9" s="29" t="n"/>
      <c r="H9" s="29" t="n"/>
    </row>
    <row r="10">
      <c r="A10" s="29" t="inlineStr">
        <is>
          <t>Food sales (sushi, rolls &amp; kitchen: dine-in, take-out &amp; delivery)</t>
        </is>
      </c>
      <c r="B10" s="41">
        <f>IFERROR(IF(B9="","",B9*$E$10),"")</f>
        <v>984831.25</v>
      </c>
      <c r="C10" s="41">
        <f>IFERROR(IF(C9="","",C9*$E$10),"")</f>
        <v>1043921.125</v>
      </c>
      <c r="D10" s="41">
        <f>IFERROR(IF(D9="","",D9*$E$10),"")</f>
        <v>1085677.9700000002</v>
      </c>
      <c r="E10" s="68">
        <f>IFERROR(IF('0. Assumptions'!$B$11="","",'0. Assumptions'!$B$11),"")</f>
        <v>0.85</v>
      </c>
      <c r="F10" s="29" t="inlineStr">
        <is>
          <t>Sushi, rolls, sashimi, poke, appetizers (edamame, gyoza, tempura), miso soup and desserts: about 67% of sales dine-in, 17% take-out and 15% through delivery marketplaces. One sales tax rate in the example, whether it is eaten at the sushi bar or taken away</t>
        </is>
      </c>
      <c r="G10" s="68">
        <f>IFERROR(IF(B9="","",'0. Assumptions'!$B$39),"")</f>
        <v>0.08</v>
      </c>
      <c r="H10" s="29" t="n"/>
    </row>
    <row r="11">
      <c r="A11" s="29" t="inlineStr">
        <is>
          <t>Beverage sales (beer, sake, wine, soft drinks &amp; tea)</t>
        </is>
      </c>
      <c r="B11" s="41">
        <f>IFERROR(IF(B9="","",B9*$E$11),"")</f>
        <v>173793.75000000003</v>
      </c>
      <c r="C11" s="41">
        <f>IFERROR(IF(C9="","",C9*$E$11),"")</f>
        <v>184221.37500000003</v>
      </c>
      <c r="D11" s="41">
        <f>IFERROR(IF(D9="","",D9*$E$11),"")</f>
        <v>191590.23000000007</v>
      </c>
      <c r="E11" s="68">
        <f>IFERROR(IF('0. Assumptions'!$B$12="","",'0. Assumptions'!$B$12),"")</f>
        <v>0.15000000000000002</v>
      </c>
      <c r="F11" s="29" t="inlineStr">
        <is>
          <t>Dine-in beverages and the drinks that go out with orders (beer, sake, wine, soft drinks and tea) · Column H is the share of beverage sales taxed at the alcohol rate in "0. Assumptions" B40. With the example rates (B39 = B40 = 8%: state + local) it changes nothing. Some states tax alcohol differently: type your alcohol rate in B40 and the alcohol share of beverage sales here</t>
        </is>
      </c>
      <c r="G11" s="68">
        <f>IFERROR(IF(B9="","",H11*'0. Assumptions'!$B$40+(1-H11)*'0. Assumptions'!$B$39),"")</f>
        <v>0.08</v>
      </c>
      <c r="H11" s="74" t="n">
        <v>0.7</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315146.0</v>
      </c>
      <c r="C13" s="41">
        <f>IFERROR(IF(C9="","",C9*'0. Assumptions'!$B$11*'0. Assumptions'!$B$13),"")</f>
        <v>334054.76</v>
      </c>
      <c r="D13" s="41">
        <f>IFERROR(IF(D9="","",D9*'0. Assumptions'!$B$11*'0. Assumptions'!$B$13),"")</f>
        <v>347416.9504000001</v>
      </c>
      <c r="E13" s="68">
        <f>IFERROR(B13/$B$9,"")</f>
        <v>0.272</v>
      </c>
      <c r="F13" s="29" t="str">
        <f>IFERROR("At "&amp;TEXT('0. Assumptions'!$B$13,"0%")&amp;" of FOOD sales, not of total sales: beverages have their own line · "&amp;"fish and seafood, sushi rice, nori, imitation crab, avocado, produce, sauces and tempura ingredients: check it against your distributor invoices and the Sushi Fish, Rice &amp; Costing Calculator","")</f>
        <v>At 32% of FOOD sales, not of total sales: beverages have their own line · fish and seafood, sushi rice, nori, imitation crab, avocado, produce, sauces and tempura ingredients: check it against your distributor invoices and the Sushi Fish, Rice &amp; Costing Calculator</v>
      </c>
      <c r="G13" s="74" t="n">
        <v>0</v>
      </c>
      <c r="H13" s="29" t="n"/>
    </row>
    <row r="14">
      <c r="A14" s="29" t="inlineStr">
        <is>
          <t>Cost of goods sold — beverage</t>
        </is>
      </c>
      <c r="B14" s="41">
        <f>IFERROR(IF(B9="","",B9*'0. Assumptions'!$B$12*'0. Assumptions'!$B$14),"")</f>
        <v>41710.50000000001</v>
      </c>
      <c r="C14" s="41">
        <f>IFERROR(IF(C9="","",C9*'0. Assumptions'!$B$12*'0. Assumptions'!$B$14),"")</f>
        <v>44213.130000000005</v>
      </c>
      <c r="D14" s="41">
        <f>IFERROR(IF(D9="","",D9*'0. Assumptions'!$B$12*'0. Assumptions'!$B$14),"")</f>
        <v>45981.655200000016</v>
      </c>
      <c r="E14" s="68">
        <f>IFERROR(B14/$B$9,"")</f>
        <v>0.036000000000000004</v>
      </c>
      <c r="F14" s="29" t="str">
        <f>IFERROR("At "&amp;TEXT('0. Assumptions'!$B$14,"0%")&amp;" of BEVERAGE sales","")</f>
        <v>At 24% of BEVERAGE sales</v>
      </c>
      <c r="G14" s="68">
        <f>IFERROR(IF(B9="","",'0. Assumptions'!$B$41),"")</f>
        <v>0.0</v>
      </c>
      <c r="H14" s="29" t="n"/>
    </row>
    <row r="15">
      <c r="A15" s="29" t="inlineStr">
        <is>
          <t>Disposables and packaging</t>
        </is>
      </c>
      <c r="B15" s="41">
        <f>IFERROR(IF(B9="","",B9*'0. Assumptions'!$B$15),"")</f>
        <v>34758.75</v>
      </c>
      <c r="C15" s="41">
        <f>IFERROR(IF(C9="","",C9*'0. Assumptions'!$B$15),"")</f>
        <v>36844.275</v>
      </c>
      <c r="D15" s="41">
        <f>IFERROR(IF(D9="","",D9*'0. Assumptions'!$B$15),"")</f>
        <v>38318.046</v>
      </c>
      <c r="E15" s="68">
        <f>IFERROR(B15/$B$9,"")</f>
        <v>0.03</v>
      </c>
      <c r="F15" s="29" t="n"/>
      <c r="G15" s="68">
        <f>IFERROR(IF(B9="","",'0. Assumptions'!$B$41),"")</f>
        <v>0.0</v>
      </c>
      <c r="H15" s="29" t="n"/>
    </row>
    <row r="16">
      <c r="A16" s="29" t="inlineStr">
        <is>
          <t>Delivery platform fees</t>
        </is>
      </c>
      <c r="B16" s="41">
        <f>IFERROR(IF(B9="","",B9*'0. Assumptions'!$B$16*'0. Assumptions'!$B$17),"")</f>
        <v>43448.4375</v>
      </c>
      <c r="C16" s="41">
        <f>IFERROR(IF(C9="","",C9*'0. Assumptions'!$B$16*'0. Assumptions'!$B$17),"")</f>
        <v>46055.34375</v>
      </c>
      <c r="D16" s="41">
        <f>IFERROR(IF(D9="","",D9*'0. Assumptions'!$B$16*'0. Assumptions'!$B$17),"")</f>
        <v>47897.5575</v>
      </c>
      <c r="E16" s="68">
        <f>IFERROR(B16/$B$9,"")</f>
        <v>0.0375</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34758.75</v>
      </c>
      <c r="C17" s="41">
        <f>IFERROR(IF(C9="","",C9*'0. Assumptions'!$B$18),"")</f>
        <v>36844.275</v>
      </c>
      <c r="D17" s="41">
        <f>IFERROR(IF(D9="","",D9*'0. Assumptions'!$B$18),"")</f>
        <v>38318.046</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11586.25</v>
      </c>
      <c r="C18" s="41">
        <f>IFERROR(IF(C9="","",C9*'0. Assumptions'!$B$28),"")</f>
        <v>12281.425000000001</v>
      </c>
      <c r="D18" s="41">
        <f>IFERROR(IF(D9="","",D9*'0. Assumptions'!$B$28),"")</f>
        <v>12772.682000000003</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481408.6875</v>
      </c>
      <c r="C19" s="54">
        <f>IFERROR(IF(C9="","",SUM(C13:C18)),"")</f>
        <v>510293.20875</v>
      </c>
      <c r="D19" s="54">
        <f>IFERROR(IF(D9="","",SUM(D13:D18)),"")</f>
        <v>530704.9371000001</v>
      </c>
      <c r="E19" s="67">
        <f>IFERROR(B19/$B$9,"")</f>
        <v>0.4155</v>
      </c>
      <c r="F19" s="29" t="n"/>
      <c r="G19" s="29" t="n"/>
      <c r="H19" s="29" t="n"/>
    </row>
    <row r="20">
      <c r="A20" s="26" t="inlineStr">
        <is>
          <t>GROSS MARGIN</t>
        </is>
      </c>
      <c r="B20" s="54">
        <f>IFERROR(IF(B9="","",B9-B19),"")</f>
        <v>677216.3125</v>
      </c>
      <c r="C20" s="54">
        <f>IFERROR(IF(C9="","",C9-C19),"")</f>
        <v>717849.29125</v>
      </c>
      <c r="D20" s="54">
        <f>IFERROR(IF(D9="","",D9-D19),"")</f>
        <v>746563.2629000001</v>
      </c>
      <c r="E20" s="67">
        <f>IFERROR(B20/$B$9,"")</f>
        <v>0.5845</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54000.0</v>
      </c>
      <c r="C22" s="41">
        <f>IFERROR(IF(C9="","",B22*(1+'0. Assumptions'!$B$48)),"")</f>
        <v>54000.0</v>
      </c>
      <c r="D22" s="41">
        <f>IFERROR(IF(D9="","",C22*(1+'0. Assumptions'!$B$48)),"")</f>
        <v>54000.0</v>
      </c>
      <c r="E22" s="68">
        <f>IFERROR(B22/$B$9,"")</f>
        <v>0.04660696946811954</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384225.6</v>
      </c>
      <c r="C23" s="41">
        <f>IFERROR(IF(C9="","",Staffing!$B$16),"")</f>
        <v>389225.6</v>
      </c>
      <c r="D23" s="41">
        <f>IFERROR(IF(D9="","",Staffing!$B$17),"")</f>
        <v>394225.6</v>
      </c>
      <c r="E23" s="68">
        <f>IFERROR(B23/$B$9,"")</f>
        <v>0.33162205200129463</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20400.0</v>
      </c>
      <c r="C24" s="41">
        <f>IFERROR(IF(C9="","",B24*(1+'0. Assumptions'!$B$48)),"")</f>
        <v>20400.0</v>
      </c>
      <c r="D24" s="41">
        <f>IFERROR(IF(D9="","",C24*(1+'0. Assumptions'!$B$48)),"")</f>
        <v>20400.0</v>
      </c>
      <c r="E24" s="68">
        <f>IFERROR(B24/$B$9,"")</f>
        <v>0.017607077354622937</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 + workers' comp)</t>
        </is>
      </c>
      <c r="B25" s="41">
        <f>IFERROR(IF(B9="","",'0. Assumptions'!$B$27),"")</f>
        <v>8000.0</v>
      </c>
      <c r="C25" s="41">
        <f>IFERROR(IF(C9="","",B25*(1+'0. Assumptions'!$B$48)),"")</f>
        <v>8000.0</v>
      </c>
      <c r="D25" s="41">
        <f>IFERROR(IF(D9="","",C25*(1+'0. Assumptions'!$B$48)),"")</f>
        <v>8000.0</v>
      </c>
      <c r="E25" s="68">
        <f>IFERROR(B25/$B$9,"")</f>
        <v>0.006904736217499191</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0.003624986514187075</v>
      </c>
      <c r="F26" s="29" t="inlineStr">
        <is>
          <t>Bookkeeping, income tax and payroll filings for the LLC, payroll processing and the staff paperwork (offer letters, I-9, W-4)</t>
        </is>
      </c>
      <c r="G26" s="68">
        <f>IFERROR(IF(B9="","",'0. Assumptions'!$B$41),"")</f>
        <v>0.0</v>
      </c>
      <c r="H26" s="29" t="n"/>
    </row>
    <row r="27">
      <c r="A27" s="29" t="inlineStr">
        <is>
          <t>Maintenance (semiannual hood cleaning, refrigeration &amp; freezer, rice cookers)</t>
        </is>
      </c>
      <c r="B27" s="51" t="n">
        <v>3600</v>
      </c>
      <c r="C27" s="41">
        <f>IFERROR(IF(C9="","",B27*(1+'0. Assumptions'!$B$48)),"")</f>
        <v>3600.0</v>
      </c>
      <c r="D27" s="41">
        <f>IFERROR(IF(D9="","",C27*(1+'0. Assumptions'!$B$48)),"")</f>
        <v>3600.0</v>
      </c>
      <c r="E27" s="68">
        <f>IFERROR(B27/$B$9,"")</f>
        <v>0.003107131297874636</v>
      </c>
      <c r="F27" s="29" t="inlineStr">
        <is>
          <t>The refrigeration technician for the walk-in, the reach-ins, the sushi case, the rice cookers and the freezer (which must hold −4 °F or below for the parasite records); hood and duct cleaning twice a year (NFPA 96: ask your fire marshal); and the calibration solutions for the pH meter if you use one</t>
        </is>
      </c>
      <c r="G27" s="68">
        <f>IFERROR(IF(B9="","",'0. Assumptions'!$B$41),"")</f>
        <v>0.0</v>
      </c>
      <c r="H27" s="29" t="n"/>
    </row>
    <row r="28">
      <c r="A28" s="29" t="inlineStr">
        <is>
          <t>Marketing and advertising</t>
        </is>
      </c>
      <c r="B28" s="51" t="n">
        <v>7000</v>
      </c>
      <c r="C28" s="41">
        <f>IFERROR(IF(C9="","",B28*(1+'0. Assumptions'!$B$48)),"")</f>
        <v>7000.0</v>
      </c>
      <c r="D28" s="41">
        <f>IFERROR(IF(D9="","",C28*(1+'0. Assumptions'!$B$48)),"")</f>
        <v>7000.0</v>
      </c>
      <c r="E28" s="68">
        <f>IFERROR(B28/$B$9,"")</f>
        <v>0.006041644190311792</v>
      </c>
      <c r="F28" s="29" t="inlineStr">
        <is>
          <t>Google Business Profile, social media, photos, the delivery marketplaces' promotions and the peak dates (Valentine's Day, New Year's Eve platters and holiday parties);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0.003107131297874636</v>
      </c>
      <c r="F29" s="29" t="inlineStr">
        <is>
          <t>POS subscription (a POS that reports sales tax), online ordering, the delivery tablets, phone and internet</t>
        </is>
      </c>
      <c r="G29" s="68">
        <f>IFERROR(IF(B9="","",'0. Assumptions'!$B$41),"")</f>
        <v>0.0</v>
      </c>
      <c r="H29" s="29" t="n"/>
    </row>
    <row r="30">
      <c r="A30" s="29" t="inlineStr">
        <is>
          <t>Cleaning, linens &amp; uniforms</t>
        </is>
      </c>
      <c r="B30" s="51" t="n">
        <v>2400</v>
      </c>
      <c r="C30" s="41">
        <f>IFERROR(IF(C9="","",B30*(1+'0. Assumptions'!$B$48)),"")</f>
        <v>2400.0</v>
      </c>
      <c r="D30" s="41">
        <f>IFERROR(IF(D9="","",C30*(1+'0. Assumptions'!$B$48)),"")</f>
        <v>2400.0</v>
      </c>
      <c r="E30" s="68">
        <f>IFERROR(B30/$B$9,"")</f>
        <v>0.0020714208652497573</v>
      </c>
      <c r="F30" s="29" t="inlineStr">
        <is>
          <t>Cleaning supplies, uniform and towel laundry, gloves and any lab tests or records your written food safety plan calls for</t>
        </is>
      </c>
      <c r="G30" s="68">
        <f>IFERROR(IF(B9="","",'0. Assumptions'!$B$41),"")</f>
        <v>0.0</v>
      </c>
      <c r="H30" s="29" t="n"/>
    </row>
    <row r="31">
      <c r="A31" s="29" t="inlineStr">
        <is>
          <t>Waste, grease &amp; used-oil hauling</t>
        </is>
      </c>
      <c r="B31" s="51" t="n">
        <v>1800</v>
      </c>
      <c r="C31" s="41">
        <f>IFERROR(IF(C9="","",B31*(1+'0. Assumptions'!$B$48)),"")</f>
        <v>1800.0</v>
      </c>
      <c r="D31" s="41">
        <f>IFERROR(IF(D9="","",C31*(1+'0. Assumptions'!$B$48)),"")</f>
        <v>1800.0</v>
      </c>
      <c r="E31" s="68">
        <f>IFERROR(B31/$B$9,"")</f>
        <v>0.001553565648937318</v>
      </c>
      <c r="F31" s="29" t="inlineStr">
        <is>
          <t>Trash and cardboard pickup, the grease interceptor service and the used fryer oil, with a licensed waste / grease hauler. Enter the rates of your city</t>
        </is>
      </c>
      <c r="G31" s="68">
        <f>IFERROR(IF(B9="","",'0. Assumptions'!$B$41),"")</f>
        <v>0.0</v>
      </c>
      <c r="H31" s="29" t="n"/>
    </row>
    <row r="32">
      <c r="A32" s="29" t="inlineStr">
        <is>
          <t>Pest control</t>
        </is>
      </c>
      <c r="B32" s="51" t="n">
        <v>900</v>
      </c>
      <c r="C32" s="41">
        <f>IFERROR(IF(C9="","",B32*(1+'0. Assumptions'!$B$48)),"")</f>
        <v>900.0</v>
      </c>
      <c r="D32" s="41">
        <f>IFERROR(IF(D9="","",C32*(1+'0. Assumptions'!$B$48)),"")</f>
        <v>900.0</v>
      </c>
      <c r="E32" s="68">
        <f>IFERROR(B32/$B$9,"")</f>
        <v>0.000776782824468659</v>
      </c>
      <c r="F32" s="29" t="inlineStr">
        <is>
          <t>Contract with a licensed pest control operator: it is part of the prerequisites of your written food safety plan.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0.0008630920271873989</v>
      </c>
      <c r="F33" s="29" t="inlineStr">
        <is>
          <t>ASCAP, BMI and SESAC are separate licenses; the fee depends on the square footage and the seating of your restaurant</t>
        </is>
      </c>
      <c r="G33" s="68">
        <f>IFERROR(IF(B9="","",'0. Assumptions'!$B$41),"")</f>
        <v>0.0</v>
      </c>
      <c r="H33" s="29" t="n"/>
    </row>
    <row r="34">
      <c r="A34" s="29" t="inlineStr">
        <is>
          <t>Training &amp; permit renewals (CFPM, allergens, HACCP plan or variance, OSHA)</t>
        </is>
      </c>
      <c r="B34" s="51" t="n">
        <v>3500</v>
      </c>
      <c r="C34" s="41">
        <f>IFERROR(IF(C9="","",B34*(1+'0. Assumptions'!$B$48)),"")</f>
        <v>3500.0</v>
      </c>
      <c r="D34" s="41">
        <f>IFERROR(IF(D9="","",C34*(1+'0. Assumptions'!$B$48)),"")</f>
        <v>3500.0</v>
      </c>
      <c r="E34" s="68">
        <f>IFERROR(B34/$B$9,"")</f>
        <v>0.003020822095155896</v>
      </c>
      <c r="F34" s="29" t="inlineStr">
        <is>
          <t>Certified Food Protection Manager (CFPM) and food handler cards, allergen and raw fish handling training, the renewal of your HACCP plan or variance if you have one, and OSHA basics: knife cuts, fryer and griddle burns, freezer cold and lifting</t>
        </is>
      </c>
      <c r="G34" s="68">
        <f>IFERROR(IF(B9="","",'0. Assumptions'!$B$41),"")</f>
        <v>0.0</v>
      </c>
      <c r="H34" s="29" t="n"/>
    </row>
    <row r="35">
      <c r="A35" s="29" t="inlineStr">
        <is>
          <t>Depreciation of fixed assets</t>
        </is>
      </c>
      <c r="B35" s="41">
        <f>IFERROR(IF(B9="","",'Startup Costs'!$B$37),"")</f>
        <v>25458.571428571428</v>
      </c>
      <c r="C35" s="41">
        <f>IFERROR(IF(C9="","",B35),"")</f>
        <v>25458.571428571428</v>
      </c>
      <c r="D35" s="41">
        <f>IFERROR(IF(D9="","",B35),"")</f>
        <v>25458.571428571428</v>
      </c>
      <c r="E35" s="68">
        <f>IFERROR(B35/$B$9,"")</f>
        <v>0.021973090023580905</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25600.0</v>
      </c>
      <c r="C36" s="41">
        <f>IFERROR(IF(C9="","",Financing!$B$46),"")</f>
        <v>23993.717891007705</v>
      </c>
      <c r="D36" s="41">
        <f>IFERROR(IF(D9="","",Financing!$B$48),"")</f>
        <v>22226.80757111618</v>
      </c>
      <c r="E36" s="68">
        <f>IFERROR(B36/$B$9,"")</f>
        <v>0.02209515589599741</v>
      </c>
      <c r="F36" s="29" t="inlineStr">
        <is>
          <t>Only INTEREST is an expense. Principal repaid appears on the cash flow tab</t>
        </is>
      </c>
      <c r="G36" s="68" t="n">
        <v>0</v>
      </c>
      <c r="H36" s="29" t="n"/>
    </row>
    <row r="37">
      <c r="A37" s="26" t="inlineStr">
        <is>
          <t>TOTAL FIXED COSTS</t>
        </is>
      </c>
      <c r="B37" s="54">
        <f>IFERROR(IF(B9="","",SUM(B22:B36)),"")</f>
        <v>545684.1714285715</v>
      </c>
      <c r="C37" s="54">
        <f>IFERROR(IF(C9="","",SUM(C22:C36)),"")</f>
        <v>549077.8893195791</v>
      </c>
      <c r="D37" s="54">
        <f>IFERROR(IF(D9="","",SUM(D22:D36)),"")</f>
        <v>552310.9789996876</v>
      </c>
      <c r="E37" s="67">
        <f>IFERROR(B37/$B$9,"")</f>
        <v>0.47097565772236183</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131532.14107142854</v>
      </c>
      <c r="C40" s="54">
        <f>IFERROR(IF(C9="","",C20-C37),"")</f>
        <v>168771.4019304209</v>
      </c>
      <c r="D40" s="54">
        <f>IFERROR(IF(D9="","",D20-D37),"")</f>
        <v>194252.2839003125</v>
      </c>
      <c r="E40" s="67">
        <f>IFERROR(B40/$B$9,"")</f>
        <v>0.11352434227763819</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131532.14107142854</v>
      </c>
      <c r="C42" s="41">
        <f>IFERROR(IF(C9="","",MAX(0,C40-C41)),"")</f>
        <v>168771.4019304209</v>
      </c>
      <c r="D42" s="41">
        <f>IFERROR(IF(D9="","",MAX(0,D40-D41)),"")</f>
        <v>194252.2839003125</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32883.035267857136</v>
      </c>
      <c r="C45" s="41">
        <f>IFERROR(IF(C9="","",IF(C44="",0,C42*C44)),"")</f>
        <v>42192.85048260522</v>
      </c>
      <c r="D45" s="41">
        <f>IFERROR(IF(D9="","",IF(D44="",0,D42*D44)),"")</f>
        <v>48563.070975078124</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98649.10580357141</v>
      </c>
      <c r="C47" s="54">
        <f>IFERROR(IF(C9="","",C40-C45),"")</f>
        <v>126578.55144781567</v>
      </c>
      <c r="D47" s="54">
        <f>IFERROR(IF(D9="","",D40-D45),"")</f>
        <v>145689.21292523437</v>
      </c>
      <c r="E47" s="67">
        <f>IFERROR(B47/$B$9,"")</f>
        <v>0.08514325670822864</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0.5845</v>
      </c>
      <c r="C50" s="68">
        <f>IFERROR(IF(C9="","",C20/C9),"")</f>
        <v>0.5845</v>
      </c>
      <c r="D50" s="68">
        <f>IFERROR(IF(D9="","",D20/D9),"")</f>
        <v>0.5845</v>
      </c>
      <c r="E50" s="74" t="n">
        <v>0.55</v>
      </c>
      <c r="F50" s="29" t="inlineStr">
        <is>
          <t>Floor for the margin after ALL variable costs (food and beverage, packaging, marketplace fees, card fees and miscellaneous). With about 15% of sales through marketplaces, a sushi restaurant leaves less than a dining room alone. Kit estimate</t>
        </is>
      </c>
      <c r="G50" s="29" t="n"/>
      <c r="H50" s="29" t="n"/>
    </row>
    <row r="51">
      <c r="A51" s="29" t="inlineStr">
        <is>
          <t>Cost of goods sold (food + beverage)</t>
        </is>
      </c>
      <c r="B51" s="41">
        <f>IFERROR(IF(B9="","",B13+B14),"")</f>
        <v>356856.5</v>
      </c>
      <c r="C51" s="41">
        <f>IFERROR(IF(C9="","",C13+C14),"")</f>
        <v>378267.89</v>
      </c>
      <c r="D51" s="41">
        <f>IFERROR(IF(D9="","",D13+D14),"")</f>
        <v>393398.6056000001</v>
      </c>
      <c r="E51" s="29" t="n"/>
      <c r="F51" s="29" t="n"/>
      <c r="G51" s="29" t="n"/>
      <c r="H51" s="29" t="n"/>
    </row>
    <row r="52">
      <c r="A52" s="29" t="inlineStr">
        <is>
          <t>Cost of goods sold / Sales</t>
        </is>
      </c>
      <c r="B52" s="68">
        <f>IFERROR(IF(B9="","",B51/B9),"")</f>
        <v>0.308</v>
      </c>
      <c r="C52" s="68">
        <f>IFERROR(IF(C9="","",C51/C9),"")</f>
        <v>0.308</v>
      </c>
      <c r="D52" s="68">
        <f>IFERROR(IF(D9="","",D51/D9),"")</f>
        <v>0.30800000000000005</v>
      </c>
      <c r="E52" s="74" t="n">
        <v>0.33</v>
      </c>
      <c r="F52" s="29" t="inlineStr">
        <is>
          <t>Ceiling for cost of goods sold on sales: salmon pays for the menu, while tuna, shrimp and sushi case waste make it more expensive. Kit estimate</t>
        </is>
      </c>
      <c r="G52" s="29" t="n"/>
      <c r="H52" s="29" t="n"/>
    </row>
    <row r="53">
      <c r="A53" s="29" t="inlineStr">
        <is>
          <t>Labor cost / Sales</t>
        </is>
      </c>
      <c r="B53" s="68">
        <f>IFERROR(IF(B9="","",B23/B9),"")</f>
        <v>0.33162205200129463</v>
      </c>
      <c r="C53" s="68">
        <f>IFERROR(IF(C9="","",C23/C9),"")</f>
        <v>0.31692218126153926</v>
      </c>
      <c r="D53" s="68">
        <f>IFERROR(IF(D9="","",D23/D9),"")</f>
        <v>0.30864747122021824</v>
      </c>
      <c r="E53" s="74" t="n">
        <v>0.36</v>
      </c>
      <c r="F53" s="29" t="inlineStr">
        <is>
          <t>Ceiling for labor on sales with a head sushi chef, a sushi chef and table service at lunch and dinner. Servers' tips go on top and are not part of it. Kit estimate</t>
        </is>
      </c>
      <c r="G53" s="29" t="n"/>
      <c r="H53" s="29" t="n"/>
    </row>
    <row r="54">
      <c r="A54" s="29" t="inlineStr">
        <is>
          <t>Rent / Sales</t>
        </is>
      </c>
      <c r="B54" s="68">
        <f>IFERROR(IF(B9="","",B22/B9),"")</f>
        <v>0.04660696946811954</v>
      </c>
      <c r="C54" s="68">
        <f>IFERROR(IF(C9="","",C22/C9),"")</f>
        <v>0.04396883912086749</v>
      </c>
      <c r="D54" s="68">
        <f>IFERROR(IF(D9="","",D22/D9),"")</f>
        <v>0.04227772992391104</v>
      </c>
      <c r="E54" s="74" t="n">
        <v>0.1</v>
      </c>
      <c r="F54" s="29" t="inlineStr">
        <is>
          <t>Ceiling for rent on sales for a space with a Type I hood and exhaust to the roof: Kit estimate</t>
        </is>
      </c>
      <c r="G54" s="29" t="n"/>
      <c r="H54" s="29" t="n"/>
    </row>
    <row r="55">
      <c r="A55" s="29" t="inlineStr">
        <is>
          <t>Net income / Sales</t>
        </is>
      </c>
      <c r="B55" s="68">
        <f>IFERROR(IF(B9="","",B47/B9),"")</f>
        <v>0.08514325670822864</v>
      </c>
      <c r="C55" s="68">
        <f>IFERROR(IF(C9="","",C47/C9),"")</f>
        <v>0.1030650363844714</v>
      </c>
      <c r="D55" s="68">
        <f>IFERROR(IF(D9="","",D47/D9),"")</f>
        <v>0.11406313327555978</v>
      </c>
      <c r="E55" s="74" t="n">
        <v>0.05</v>
      </c>
      <c r="F55" s="29" t="inlineStr">
        <is>
          <t>Floor for the net result on sales at full pace so the plan holds up. A well-run sushi restaurant earns around 8-11% in this example.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sushi restaurant with sushi bar, tables, take-out and delivery</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545684.1714285715</v>
      </c>
      <c r="C6" s="62">
        <f>IFERROR(IF('3-Year P&amp;L'!$C$9="","",'3-Year P&amp;L'!$C$37),"")</f>
        <v>549077.8893195791</v>
      </c>
      <c r="D6" s="62">
        <f>IFERROR(IF('3-Year P&amp;L'!$D$9="","",'3-Year P&amp;L'!$D$37),"")</f>
        <v>552310.9789996876</v>
      </c>
      <c r="E6" s="29" t="inlineStr">
        <is>
          <t>The SAME fixed costs as the P&amp;L. Each year has its own, which is why the threshold cannot be a single one for all three years</t>
        </is>
      </c>
      <c r="F6" s="29" t="n"/>
    </row>
    <row r="7">
      <c r="A7" s="29" t="inlineStr">
        <is>
          <t>Monthly fixed costs</t>
        </is>
      </c>
      <c r="B7" s="62">
        <f>IFERROR(IF('3-Year P&amp;L'!$B$9="","",B6/12),"")</f>
        <v>45473.68095238096</v>
      </c>
      <c r="C7" s="62">
        <f>IFERROR(IF('3-Year P&amp;L'!$C$9="","",C6/12),"")</f>
        <v>45756.490776631596</v>
      </c>
      <c r="D7" s="62">
        <f>IFERROR(IF('3-Year P&amp;L'!$D$9="","",D6/12),"")</f>
        <v>46025.914916640635</v>
      </c>
      <c r="E7" s="29" t="n"/>
      <c r="F7" s="29" t="n"/>
    </row>
    <row r="8">
      <c r="A8" s="29" t="inlineStr">
        <is>
          <t>Average check (excl. sales tax)</t>
        </is>
      </c>
      <c r="B8" s="62">
        <f>IFERROR(IF('3-Year P&amp;L'!$B$9="","",'3-Year P&amp;L'!$B$7),"")</f>
        <v>32.5</v>
      </c>
      <c r="C8" s="62">
        <f>IFERROR(IF('3-Year P&amp;L'!$C$9="","",'3-Year P&amp;L'!$C$7),"")</f>
        <v>32.5</v>
      </c>
      <c r="D8" s="62">
        <f>IFERROR(IF('3-Year P&amp;L'!$D$9="","",'3-Year P&amp;L'!$D$7),"")</f>
        <v>32.5</v>
      </c>
      <c r="E8" s="29" t="n"/>
      <c r="F8" s="29" t="n"/>
    </row>
    <row r="9">
      <c r="A9" s="29" t="inlineStr">
        <is>
          <t>Variable cost per cover</t>
        </is>
      </c>
      <c r="B9" s="62">
        <f>IFERROR(IF('3-Year P&amp;L'!$B$9="","",'3-Year P&amp;L'!$B$19/('3-Year P&amp;L'!$B$6*'3-Year P&amp;L'!$B$8)),"")</f>
        <v>13.50375</v>
      </c>
      <c r="C9" s="62">
        <f>IFERROR(IF('3-Year P&amp;L'!$C$9="","",'3-Year P&amp;L'!$C$19/('3-Year P&amp;L'!$C$6*'3-Year P&amp;L'!$C$8)),"")</f>
        <v>13.50375</v>
      </c>
      <c r="D9" s="62">
        <f>IFERROR(IF('3-Year P&amp;L'!$D$9="","",'3-Year P&amp;L'!$D$19/('3-Year P&amp;L'!$D$6*'3-Year P&amp;L'!$D$8)),"")</f>
        <v>13.50375</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18.99625</v>
      </c>
      <c r="C10" s="62">
        <f>IFERROR(IF('3-Year P&amp;L'!$C$9="","",C8-C9),"")</f>
        <v>18.99625</v>
      </c>
      <c r="D10" s="62">
        <f>IFERROR(IF('3-Year P&amp;L'!$D$9="","",D8-D9),"")</f>
        <v>18.99625</v>
      </c>
      <c r="E10" s="29" t="inlineStr">
        <is>
          <t>Average check minus unit variable cost</t>
        </is>
      </c>
      <c r="F10" s="29" t="n"/>
    </row>
    <row r="11">
      <c r="A11" s="29" t="inlineStr">
        <is>
          <t>Operating days per year</t>
        </is>
      </c>
      <c r="B11" s="41">
        <f>IFERROR(IF('3-Year P&amp;L'!$B$9="","",'3-Year P&amp;L'!$B$8),"")</f>
        <v>310.0</v>
      </c>
      <c r="C11" s="41">
        <f>IFERROR(IF('3-Year P&amp;L'!$C$9="","",'3-Year P&amp;L'!$C$8),"")</f>
        <v>310.0</v>
      </c>
      <c r="D11" s="41">
        <f>IFERROR(IF('3-Year P&amp;L'!$D$9="","",'3-Year P&amp;L'!$D$8),"")</f>
        <v>310.0</v>
      </c>
      <c r="E11" s="29" t="inlineStr">
        <is>
          <t>The same calendar as the P&amp;L and the scenarios</t>
        </is>
      </c>
      <c r="F11" s="29" t="n"/>
    </row>
    <row r="12">
      <c r="A12" s="29" t="inlineStr">
        <is>
          <t>Principal repaid in the year</t>
        </is>
      </c>
      <c r="B12" s="62">
        <f>IFERROR(IF('3-Year P&amp;L'!$B$9="","",Financing!$B$45),"")</f>
        <v>16062.821089922953</v>
      </c>
      <c r="C12" s="62">
        <f>IFERROR(IF('3-Year P&amp;L'!$C$9="","",Financing!$B$47),"")</f>
        <v>17669.103198915247</v>
      </c>
      <c r="D12" s="62">
        <f>IFERROR(IF('3-Year P&amp;L'!$D$9="","",Financing!$B$49),"")</f>
        <v>19436.013518806772</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28725.88913225355</v>
      </c>
      <c r="C14" s="41">
        <f>IFERROR(IF('3-Year P&amp;L'!$C$9="","",IF(C10&lt;=0,"",C6/C10)),"")</f>
        <v>28904.541123620667</v>
      </c>
      <c r="D14" s="41">
        <f>IFERROR(IF('3-Year P&amp;L'!$D$9="","",IF(D10&lt;=0,"",D6/D10)),"")</f>
        <v>29074.737329719686</v>
      </c>
      <c r="E14" s="29" t="n"/>
      <c r="F14" s="29" t="n"/>
    </row>
    <row r="15">
      <c r="A15" s="29" t="inlineStr">
        <is>
          <t>Covers needed per day</t>
        </is>
      </c>
      <c r="B15" s="45">
        <f>IFERROR(IF('3-Year P&amp;L'!$B$9="","",B14/B11),"")</f>
        <v>92.66415849114048</v>
      </c>
      <c r="C15" s="45">
        <f>IFERROR(IF('3-Year P&amp;L'!$C$9="","",C14/C11),"")</f>
        <v>93.24045523748602</v>
      </c>
      <c r="D15" s="45">
        <f>IFERROR(IF('3-Year P&amp;L'!$D$9="","",D14/D11),"")</f>
        <v>93.78947525716028</v>
      </c>
      <c r="E15" s="29" t="n"/>
      <c r="F15" s="29" t="n"/>
    </row>
    <row r="16">
      <c r="A16" s="26" t="inlineStr">
        <is>
          <t>Revenue needed per year</t>
        </is>
      </c>
      <c r="B16" s="54">
        <f>IFERROR(IF('3-Year P&amp;L'!$B$9="","",B14*B8),"")</f>
        <v>933591.3967982404</v>
      </c>
      <c r="C16" s="54">
        <f>IFERROR(IF('3-Year P&amp;L'!$C$9="","",C14*C8),"")</f>
        <v>939397.5865176717</v>
      </c>
      <c r="D16" s="54">
        <f>IFERROR(IF('3-Year P&amp;L'!$D$9="","",D14*D8),"")</f>
        <v>944928.9632158898</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536288.421089923</v>
      </c>
      <c r="C18" s="62">
        <f>IFERROR(IF('3-Year P&amp;L'!$C$9="","",C6-'3-Year P&amp;L'!$C$35+C12),"")</f>
        <v>541288.4210899229</v>
      </c>
      <c r="D18" s="62">
        <f>IFERROR(IF('3-Year P&amp;L'!$D$9="","",D6-'3-Year P&amp;L'!$D$35+D12),"")</f>
        <v>546288.4210899229</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28231.278335983312</v>
      </c>
      <c r="C19" s="41">
        <f>IFERROR(IF('3-Year P&amp;L'!$C$9="","",IF(C10&lt;=0,"",C18/C10)),"")</f>
        <v>28494.488180031476</v>
      </c>
      <c r="D19" s="41">
        <f>IFERROR(IF('3-Year P&amp;L'!$D$9="","",IF(D10&lt;=0,"",D18/D10)),"")</f>
        <v>28757.69802407964</v>
      </c>
      <c r="E19" s="29" t="n"/>
      <c r="F19" s="29" t="n"/>
    </row>
    <row r="20">
      <c r="A20" s="26" t="inlineStr">
        <is>
          <t>Covers needed per day (cash)</t>
        </is>
      </c>
      <c r="B20" s="46">
        <f>IFERROR(IF('3-Year P&amp;L'!$B$9="","",B19/B11),"")</f>
        <v>91.06863979349455</v>
      </c>
      <c r="C20" s="46">
        <f>IFERROR(IF('3-Year P&amp;L'!$C$9="","",C19/C11),"")</f>
        <v>91.91770380655315</v>
      </c>
      <c r="D20" s="46">
        <f>IFERROR(IF('3-Year P&amp;L'!$D$9="","",D19/D11),"")</f>
        <v>92.76676781961174</v>
      </c>
      <c r="E20" s="29" t="n"/>
      <c r="F20" s="29" t="n"/>
    </row>
    <row r="21">
      <c r="A21" s="29" t="inlineStr">
        <is>
          <t>Revenue needed per year (cash)</t>
        </is>
      </c>
      <c r="B21" s="41">
        <f>IFERROR(IF('3-Year P&amp;L'!$B$9="","",B19*B8),"")</f>
        <v>917516.5459194577</v>
      </c>
      <c r="C21" s="41">
        <f>IFERROR(IF('3-Year P&amp;L'!$C$9="","",C19*C8),"")</f>
        <v>926070.865851023</v>
      </c>
      <c r="D21" s="41">
        <f>IFERROR(IF('3-Year P&amp;L'!$D$9="","",D19*D8),"")</f>
        <v>934625.1857825883</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115.0</v>
      </c>
      <c r="C23" s="41">
        <f>IFERROR(IF('3-Year P&amp;L'!$C$9="","",'3-Year P&amp;L'!$C$6),"")</f>
        <v>121.9</v>
      </c>
      <c r="D23" s="41">
        <f>IFERROR(IF('3-Year P&amp;L'!$D$9="","",'3-Year P&amp;L'!$D$6),"")</f>
        <v>126.77600000000001</v>
      </c>
      <c r="E23" s="29" t="n"/>
      <c r="F23" s="29" t="n"/>
    </row>
    <row r="24">
      <c r="A24" s="29" t="inlineStr">
        <is>
          <t>Cushion above CASH break-even (%)</t>
        </is>
      </c>
      <c r="B24" s="68">
        <f>IFERROR(IF('3-Year P&amp;L'!$B$9="","",B23/B20-1),"")</f>
        <v>0.2627837668463231</v>
      </c>
      <c r="C24" s="68">
        <f>IFERROR(IF('3-Year P&amp;L'!$C$9="","",C23/C20-1),"")</f>
        <v>0.3261863052687497</v>
      </c>
      <c r="D24" s="68">
        <f>IFERROR(IF('3-Year P&amp;L'!$D$9="","",D23/D20-1),"")</f>
        <v>0.3666100800937726</v>
      </c>
      <c r="E24" s="29" t="inlineStr">
        <is>
          <t>How far your projected sales exceed cash break-even sales. The drop you can absorb before you cannot pay the fixed costs and the loan payment is a bit smaller: with a 25% cushion, 20%. The minimum required is on the "0. Assumptions" tab</t>
        </is>
      </c>
      <c r="F24" s="29" t="n"/>
    </row>
    <row r="25">
      <c r="A25" s="29" t="inlineStr">
        <is>
          <t>Maximum seat turns per day the space allows</t>
        </is>
      </c>
      <c r="B25" s="47" t="n">
        <v>3</v>
      </c>
      <c r="C25" s="29" t="n"/>
      <c r="D25" s="29" t="n"/>
      <c r="E25" s="29" t="inlineStr">
        <is>
          <t>Full services per seat per day you can run with lunch, dinner and a second dinner turn on Friday and Saturday (stays of 45-60 minutes). It is the physical ceiling of the space, not a target</t>
        </is>
      </c>
      <c r="F25" s="29" t="n"/>
    </row>
    <row r="26">
      <c r="A26" s="29" t="inlineStr">
        <is>
          <t>Seat turns per day that the cash break-even requires</t>
        </is>
      </c>
      <c r="B26" s="45">
        <f>IFERROR(IF('3-Year P&amp;L'!$B$9="","",B20/'0. Assumptions'!$B$51),"")</f>
        <v>2.276715994837364</v>
      </c>
      <c r="C26" s="45">
        <f>IFERROR(IF('3-Year P&amp;L'!$C$9="","",C20/'0. Assumptions'!$B$51),"")</f>
        <v>2.297942595163829</v>
      </c>
      <c r="D26" s="45">
        <f>IFERROR(IF('3-Year P&amp;L'!$D$9="","",D20/'0. Assumptions'!$B$51),"")</f>
        <v>2.3191691954902938</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93 covers a day over your 310 opening days to avoid losing money (accounting break-even, depreciation included), and 92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30.5</v>
      </c>
      <c r="C33" s="55">
        <f>IFERROR(IF($B$8="","",$B$8),"")</f>
        <v>32.5</v>
      </c>
      <c r="D33" s="55">
        <f>IFERROR($B$8+2,"")</f>
        <v>34.5</v>
      </c>
      <c r="E33" s="55">
        <f>IFERROR($B$8+4,"")</f>
        <v>36.5</v>
      </c>
      <c r="F33" s="29" t="n"/>
    </row>
    <row r="34">
      <c r="A34" s="62">
        <f>IFERROR($B$9*0.85,"")</f>
        <v>11.4781875</v>
      </c>
      <c r="B34" s="45">
        <f>IFERROR(IF($B$33-$A34&lt;=0,"",$B$6/($B$33-$A34)/$B$11),"")</f>
        <v>92.5396315801834</v>
      </c>
      <c r="C34" s="45">
        <f>IFERROR(IF($C$33-$A34&lt;=0,"",$B$6/($C$33-$A34)/$B$11),"")</f>
        <v>83.73547812479669</v>
      </c>
      <c r="D34" s="45">
        <f>IFERROR(IF($D$33-$A34&lt;=0,"",$B$6/($D$33-$A34)/$B$11),"")</f>
        <v>76.46103106509652</v>
      </c>
      <c r="E34" s="45">
        <f>IFERROR(IF($E$33-$A34&lt;=0,"",$B$6/($E$33-$A34)/$B$11),"")</f>
        <v>70.34948090740139</v>
      </c>
      <c r="F34" s="29" t="n"/>
    </row>
    <row r="35">
      <c r="A35" s="62">
        <f>IFERROR($B$9*0.925,"")</f>
        <v>12.49096875</v>
      </c>
      <c r="B35" s="45">
        <f>IFERROR(IF($B$33-$A35&lt;=0,"",$B$6/($B$33-$A35)/$B$11),"")</f>
        <v>97.74382065872241</v>
      </c>
      <c r="C35" s="45">
        <f>IFERROR(IF($C$33-$A35&lt;=0,"",$B$6/($C$33-$A35)/$B$11),"")</f>
        <v>87.97385034506992</v>
      </c>
      <c r="D35" s="45">
        <f>IFERROR(IF($D$33-$A35&lt;=0,"",$B$6/($D$33-$A35)/$B$11),"")</f>
        <v>79.9795093542487</v>
      </c>
      <c r="E35" s="45">
        <f>IFERROR(IF($E$33-$A35&lt;=0,"",$B$6/($E$33-$A35)/$B$11),"")</f>
        <v>73.31705733596924</v>
      </c>
      <c r="F35" s="29" t="n"/>
    </row>
    <row r="36">
      <c r="A36" s="62">
        <f>IFERROR($B$9*1.0,"")</f>
        <v>13.50375</v>
      </c>
      <c r="B36" s="45">
        <f>IFERROR(IF($B$33-$A36&lt;=0,"",$B$6/($B$33-$A36)/$B$11),"")</f>
        <v>103.56822950576317</v>
      </c>
      <c r="C36" s="45">
        <f>IFERROR(IF($C$33-$A36&lt;=0,"",$B$6/($C$33-$A36)/$B$11),"")</f>
        <v>92.66415849114048</v>
      </c>
      <c r="D36" s="45">
        <f>IFERROR(IF($D$33-$A36&lt;=0,"",$B$6/($D$33-$A36)/$B$11),"")</f>
        <v>83.83742433707577</v>
      </c>
      <c r="E36" s="45">
        <f>IFERROR(IF($E$33-$A36&lt;=0,"",$B$6/($E$33-$A36)/$B$11),"")</f>
        <v>76.54602470999956</v>
      </c>
      <c r="F36" s="29" t="n"/>
    </row>
    <row r="37">
      <c r="A37" s="62">
        <f>IFERROR($B$9*1.075,"")</f>
        <v>14.51653125</v>
      </c>
      <c r="B37" s="45">
        <f>IFERROR(IF($B$33-$A37&lt;=0,"",$B$6/($B$33-$A37)/$B$11),"")</f>
        <v>110.13075748887908</v>
      </c>
      <c r="C37" s="45">
        <f>IFERROR(IF($C$33-$A37&lt;=0,"",$B$6/($C$33-$A37)/$B$11),"")</f>
        <v>97.88275806008377</v>
      </c>
      <c r="D37" s="45">
        <f>IFERROR(IF($D$33-$A37&lt;=0,"",$B$6/($D$33-$A37)/$B$11),"")</f>
        <v>88.08638493941785</v>
      </c>
      <c r="E37" s="45">
        <f>IFERROR(IF($E$33-$A37&lt;=0,"",$B$6/($E$33-$A37)/$B$11),"")</f>
        <v>80.0725099735376</v>
      </c>
      <c r="F37" s="29" t="n"/>
    </row>
    <row r="38">
      <c r="A38" s="62">
        <f>IFERROR($B$9*1.15,"")</f>
        <v>15.5293125</v>
      </c>
      <c r="B38" s="45">
        <f>IFERROR(IF($B$33-$A38&lt;=0,"",$B$6/($B$33-$A38)/$B$11),"")</f>
        <v>117.58120799310836</v>
      </c>
      <c r="C38" s="45">
        <f>IFERROR(IF($C$33-$A38&lt;=0,"",$B$6/($C$33-$A38)/$B$11),"")</f>
        <v>103.72423160448433</v>
      </c>
      <c r="D38" s="45">
        <f>IFERROR(IF($D$33-$A38&lt;=0,"",$B$6/($D$33-$A38)/$B$11),"")</f>
        <v>92.78902099553996</v>
      </c>
      <c r="E38" s="45">
        <f>IFERROR(IF($E$33-$A38&lt;=0,"",$B$6/($E$33-$A38)/$B$11),"")</f>
        <v>83.93961908675276</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95</v>
      </c>
      <c r="C5" s="41">
        <f>IFERROR(IF('3-Year P&amp;L'!$B$6="","",'3-Year P&amp;L'!$B$6),"")</f>
        <v>115.0</v>
      </c>
      <c r="D5" s="51" t="n">
        <v>135</v>
      </c>
      <c r="E5" s="29" t="n"/>
      <c r="F5" s="29" t="n"/>
    </row>
    <row r="6">
      <c r="A6" s="29" t="inlineStr">
        <is>
          <t>Average check (excl. sales tax)</t>
        </is>
      </c>
      <c r="B6" s="76" t="n">
        <v>30.5</v>
      </c>
      <c r="C6" s="62">
        <f>IFERROR(IF('3-Year P&amp;L'!$B$7="","",'3-Year P&amp;L'!$B$7),"")</f>
        <v>32.5</v>
      </c>
      <c r="D6" s="76" t="n">
        <v>34.5</v>
      </c>
      <c r="E6" s="29" t="n"/>
      <c r="F6" s="29" t="n"/>
    </row>
    <row r="7">
      <c r="A7" s="29" t="inlineStr">
        <is>
          <t>Operating days per year</t>
        </is>
      </c>
      <c r="B7" s="51" t="n">
        <v>305</v>
      </c>
      <c r="C7" s="41">
        <f>IFERROR(IF('3-Year P&amp;L'!$B$8="","",'3-Year P&amp;L'!$B$8),"")</f>
        <v>310.0</v>
      </c>
      <c r="D7" s="51" t="n">
        <v>312</v>
      </c>
      <c r="E7" s="29" t="n"/>
      <c r="F7" s="29" t="n"/>
    </row>
    <row r="8">
      <c r="A8" s="26" t="inlineStr">
        <is>
          <t>ANNUAL REVENUE (excl. sales tax)</t>
        </is>
      </c>
      <c r="B8" s="54">
        <f>IFERROR(IF(B5*B6*B7=0,"",B5*B6*B7),"")</f>
        <v>883737.5</v>
      </c>
      <c r="C8" s="54">
        <f>IFERROR(IF(C5*C6*C7=0,"",C5*C6*C7),"")</f>
        <v>1158625.0</v>
      </c>
      <c r="D8" s="54">
        <f>IFERROR(IF(D5*D6*D7=0,"",D5*D6*D7),"")</f>
        <v>1453140.0</v>
      </c>
      <c r="E8" s="29" t="n"/>
      <c r="F8" s="29" t="n"/>
    </row>
    <row r="9">
      <c r="A9" s="29" t="inlineStr">
        <is>
          <t>Cost of goods sold — food</t>
        </is>
      </c>
      <c r="B9" s="41">
        <f>IFERROR(IF(B8="","",B8*'0. Assumptions'!$B$11*'0. Assumptions'!$B$13),"")</f>
        <v>240376.6</v>
      </c>
      <c r="C9" s="41">
        <f>IFERROR(IF(C8="","",C8*'0. Assumptions'!$B$11*'0. Assumptions'!$B$13),"")</f>
        <v>315146.0</v>
      </c>
      <c r="D9" s="41">
        <f>IFERROR(IF(D8="","",D8*'0. Assumptions'!$B$11*'0. Assumptions'!$B$13),"")</f>
        <v>395254.08</v>
      </c>
      <c r="E9" s="29" t="n"/>
      <c r="F9" s="29" t="n"/>
    </row>
    <row r="10">
      <c r="A10" s="29" t="inlineStr">
        <is>
          <t>Cost of goods sold — beverage</t>
        </is>
      </c>
      <c r="B10" s="41">
        <f>IFERROR(IF(B8="","",B8*'0. Assumptions'!$B$12*'0. Assumptions'!$B$14),"")</f>
        <v>31814.550000000007</v>
      </c>
      <c r="C10" s="41">
        <f>IFERROR(IF(C8="","",C8*'0. Assumptions'!$B$12*'0. Assumptions'!$B$14),"")</f>
        <v>41710.50000000001</v>
      </c>
      <c r="D10" s="41">
        <f>IFERROR(IF(D8="","",D8*'0. Assumptions'!$B$12*'0. Assumptions'!$B$14),"")</f>
        <v>52313.04000000001</v>
      </c>
      <c r="E10" s="29" t="n"/>
      <c r="F10" s="29" t="n"/>
    </row>
    <row r="11">
      <c r="A11" s="29" t="inlineStr">
        <is>
          <t>Disposables and packaging</t>
        </is>
      </c>
      <c r="B11" s="41">
        <f>IFERROR(IF(B8="","",B8*'0. Assumptions'!$B$15),"")</f>
        <v>26512.125</v>
      </c>
      <c r="C11" s="41">
        <f>IFERROR(IF(C8="","",C8*'0. Assumptions'!$B$15),"")</f>
        <v>34758.75</v>
      </c>
      <c r="D11" s="41">
        <f>IFERROR(IF(D8="","",D8*'0. Assumptions'!$B$15),"")</f>
        <v>43594.2</v>
      </c>
      <c r="E11" s="29" t="n"/>
      <c r="F11" s="29" t="n"/>
    </row>
    <row r="12">
      <c r="A12" s="29" t="inlineStr">
        <is>
          <t>Delivery platform fees</t>
        </is>
      </c>
      <c r="B12" s="41">
        <f>IFERROR(IF(B8="","",B8*'0. Assumptions'!$B$16*'0. Assumptions'!$B$17),"")</f>
        <v>33140.15625</v>
      </c>
      <c r="C12" s="41">
        <f>IFERROR(IF(C8="","",C8*'0. Assumptions'!$B$16*'0. Assumptions'!$B$17),"")</f>
        <v>43448.4375</v>
      </c>
      <c r="D12" s="41">
        <f>IFERROR(IF(D8="","",D8*'0. Assumptions'!$B$16*'0. Assumptions'!$B$17),"")</f>
        <v>54492.75</v>
      </c>
      <c r="E12" s="29" t="n"/>
      <c r="F12" s="29" t="n"/>
    </row>
    <row r="13">
      <c r="A13" s="29" t="inlineStr">
        <is>
          <t>Card processing fees</t>
        </is>
      </c>
      <c r="B13" s="41">
        <f>IFERROR(IF(B8="","",B8*'0. Assumptions'!$B$18),"")</f>
        <v>26512.125</v>
      </c>
      <c r="C13" s="41">
        <f>IFERROR(IF(C8="","",C8*'0. Assumptions'!$B$18),"")</f>
        <v>34758.75</v>
      </c>
      <c r="D13" s="41">
        <f>IFERROR(IF(D8="","",D8*'0. Assumptions'!$B$18),"")</f>
        <v>43594.2</v>
      </c>
      <c r="E13" s="29" t="n"/>
      <c r="F13" s="29" t="n"/>
    </row>
    <row r="14">
      <c r="A14" s="29" t="inlineStr">
        <is>
          <t>Miscellaneous and contingency</t>
        </is>
      </c>
      <c r="B14" s="41">
        <f>IFERROR(IF(B8="","",B8*'0. Assumptions'!$B$28),"")</f>
        <v>8837.375</v>
      </c>
      <c r="C14" s="41">
        <f>IFERROR(IF(C8="","",C8*'0. Assumptions'!$B$28),"")</f>
        <v>11586.25</v>
      </c>
      <c r="D14" s="41">
        <f>IFERROR(IF(D8="","",D8*'0. Assumptions'!$B$28),"")</f>
        <v>14531.4</v>
      </c>
      <c r="E14" s="29" t="n"/>
      <c r="F14" s="29" t="n"/>
    </row>
    <row r="15">
      <c r="A15" s="29" t="inlineStr">
        <is>
          <t>TOTAL VARIABLE COSTS</t>
        </is>
      </c>
      <c r="B15" s="41">
        <f>IFERROR(IF(B8="","",SUM(B9:B14)),"")</f>
        <v>367192.93125</v>
      </c>
      <c r="C15" s="41">
        <f>IFERROR(IF(C8="","",SUM(C9:C14)),"")</f>
        <v>481408.6875</v>
      </c>
      <c r="D15" s="41">
        <f>IFERROR(IF(D8="","",SUM(D9:D14)),"")</f>
        <v>603779.67</v>
      </c>
      <c r="E15" s="29" t="n"/>
      <c r="F15" s="29" t="n"/>
    </row>
    <row r="16">
      <c r="A16" s="29" t="inlineStr">
        <is>
          <t>GROSS MARGIN</t>
        </is>
      </c>
      <c r="B16" s="41">
        <f>IFERROR(IF(B8="","",B8-B15),"")</f>
        <v>516544.56875</v>
      </c>
      <c r="C16" s="41">
        <f>IFERROR(IF(C8="","",C8-C15),"")</f>
        <v>677216.3125</v>
      </c>
      <c r="D16" s="41">
        <f>IFERROR(IF(D8="","",D8-D15),"")</f>
        <v>849360.33</v>
      </c>
      <c r="E16" s="29" t="n"/>
      <c r="F16" s="29" t="n"/>
    </row>
    <row r="17">
      <c r="A17" s="29" t="inlineStr">
        <is>
          <t>FIXED COSTS (the P&amp;L's)</t>
        </is>
      </c>
      <c r="B17" s="41">
        <f>IFERROR(IF(B8="","",'3-Year P&amp;L'!$B$37),"")</f>
        <v>545684.1714285715</v>
      </c>
      <c r="C17" s="41">
        <f>IFERROR(IF(C8="","",'3-Year P&amp;L'!$B$37),"")</f>
        <v>545684.1714285715</v>
      </c>
      <c r="D17" s="41">
        <f>IFERROR(IF(D8="","",'3-Year P&amp;L'!$B$37),"")</f>
        <v>545684.1714285715</v>
      </c>
      <c r="E17" s="29" t="inlineStr">
        <is>
          <t>Fixed costs do not change with the scenario: that is why they are fixed</t>
        </is>
      </c>
      <c r="F17" s="29" t="n"/>
    </row>
    <row r="18">
      <c r="A18" s="26" t="inlineStr">
        <is>
          <t>PRE-TAX INCOME (EBT)</t>
        </is>
      </c>
      <c r="B18" s="54">
        <f>IFERROR(IF(B8="","",B16-B17),"")</f>
        <v>-29139.60267857148</v>
      </c>
      <c r="C18" s="54">
        <f>IFERROR(IF(C8="","",C16-C17),"")</f>
        <v>131532.14107142854</v>
      </c>
      <c r="D18" s="54">
        <f>IFERROR(IF(D8="","",D16-D17),"")</f>
        <v>303676.1585714285</v>
      </c>
      <c r="E18" s="29" t="n"/>
      <c r="F18" s="29" t="n"/>
    </row>
    <row r="19">
      <c r="A19" s="29" t="inlineStr">
        <is>
          <t>Income tax</t>
        </is>
      </c>
      <c r="B19" s="41">
        <f>IFERROR(IF(B8="","",MAX(0,B18-'0. Assumptions'!$B$42)*'0. Assumptions'!$B$37),"")</f>
        <v>0.0</v>
      </c>
      <c r="C19" s="41">
        <f>IFERROR(IF(C8="","",MAX(0,C18-'0. Assumptions'!$B$42)*'0. Assumptions'!$B$37),"")</f>
        <v>32883.035267857136</v>
      </c>
      <c r="D19" s="41">
        <f>IFERROR(IF(D8="","",MAX(0,D18-'0. Assumptions'!$B$42)*'0. Assumptions'!$B$37),"")</f>
        <v>75919.03964285713</v>
      </c>
      <c r="E19" s="29" t="inlineStr">
        <is>
          <t>At the "years 1-2" effective income tax rate, offsetting prior net operating losses</t>
        </is>
      </c>
      <c r="F19" s="29" t="n"/>
    </row>
    <row r="20">
      <c r="A20" s="26" t="inlineStr">
        <is>
          <t>NET INCOME</t>
        </is>
      </c>
      <c r="B20" s="54">
        <f>IFERROR(IF(B8="","",B18-B19),"")</f>
        <v>-29139.60267857148</v>
      </c>
      <c r="C20" s="54">
        <f>IFERROR(IF(C8="","",C18-C19),"")</f>
        <v>98649.10580357141</v>
      </c>
      <c r="D20" s="54">
        <f>IFERROR(IF(D8="","",D18-D19),"")</f>
        <v>227757.11892857138</v>
      </c>
      <c r="E20" s="29" t="n"/>
      <c r="F20" s="29" t="n"/>
    </row>
    <row r="21">
      <c r="A21" s="29" t="inlineStr">
        <is>
          <t>Covers per day to break even</t>
        </is>
      </c>
      <c r="B21" s="45">
        <f>IFERROR(IF(B8="","",IF(B6-B15/(B5*B7)&lt;=0,"",B17/(B6-B15/(B5*B7))/B7)),"")</f>
        <v>100.35919342093419</v>
      </c>
      <c r="C21" s="45">
        <f>IFERROR(IF(C8="","",IF(C6-C15/(C5*C7)&lt;=0,"",C17/(C6-C15/(C5*C7))/C7)),"")</f>
        <v>92.66415849114048</v>
      </c>
      <c r="D21" s="45">
        <f>IFERROR(IF(D8="","",IF(D6-D15/(D5*D7)&lt;=0,"",D17/(D6-D15/(D5*D7))/D7)),"")</f>
        <v>86.73275704182835</v>
      </c>
      <c r="E21" s="29" t="n"/>
      <c r="F21" s="29" t="n"/>
    </row>
    <row r="22">
      <c r="A22" s="26" t="inlineStr">
        <is>
          <t>WHAT EACH SCENARIO DEMANDS</t>
        </is>
      </c>
      <c r="B22" s="29" t="n"/>
      <c r="C22" s="29" t="n"/>
      <c r="D22" s="29" t="n"/>
      <c r="E22" s="29" t="n"/>
      <c r="F22" s="29" t="n"/>
    </row>
    <row r="23">
      <c r="A23" s="29" t="inlineStr">
        <is>
          <t>Labor cost / Sales</t>
        </is>
      </c>
      <c r="B23" s="68">
        <f>IFERROR(IF(B8="","",'3-Year P&amp;L'!$B$23/B8),"")</f>
        <v>0.43477344799785</v>
      </c>
      <c r="C23" s="68">
        <f>IFERROR(IF(C8="","",'3-Year P&amp;L'!$B$23/C8),"")</f>
        <v>0.33162205200129463</v>
      </c>
      <c r="D23" s="68">
        <f>IFERROR(IF(D8="","",'3-Year P&amp;L'!$B$23/D8),"")</f>
        <v>0.2644105867294273</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3369.186046511628</v>
      </c>
      <c r="C24" s="41">
        <f>IFERROR(IF(C8="","",C5*C7/Staffing!$C$12),"")</f>
        <v>4145.3488372093025</v>
      </c>
      <c r="D24" s="41">
        <f>IFERROR(IF(D8="","",D5*D7/Staffing!$C$12),"")</f>
        <v>4897.674418604652</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110312.54766007702</v>
      </c>
      <c r="C25" s="54">
        <f>IFERROR(IF(C8="","",'Startup Costs'!$B$29+C20+'3-Year P&amp;L'!$B$35-Financing!$B$45),"")</f>
        <v>238101.2561422199</v>
      </c>
      <c r="D25" s="54">
        <f>IFERROR(IF(D8="","",'Startup Costs'!$B$29+D20+'3-Year P&amp;L'!$B$35-Financing!$B$45),"")</f>
        <v>367209.2692672198</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309463.28461598506</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Buys from the fish suppliers and files their letters, runs the floor and the delivery marketplaces and manages. In the US the owner is not the one at the sushi bar: you hire the head sushi chef (next row). The workbook imputes a monthly salary as if on payroll, which is the prudent side; confirm with your CPA how you will pay yourself (owner's draw or W-2 under an S corp). The example pays the owner below a manager: owner's draw in addition from net profit</t>
        </is>
      </c>
    </row>
    <row r="6">
      <c r="A6" s="29" t="inlineStr">
        <is>
          <t>Head sushi chef (itamae)</t>
        </is>
      </c>
      <c r="B6" s="51" t="n">
        <v>1</v>
      </c>
      <c r="C6" s="53" t="n">
        <v>1</v>
      </c>
      <c r="D6" s="76" t="n">
        <v>5199</v>
      </c>
      <c r="E6" s="62">
        <f>IFERROR(IF(D6="","",D6*'0. Assumptions'!$B$20),"")</f>
        <v>519.9</v>
      </c>
      <c r="F6" s="62">
        <f>IFERROR(IF(D6="","",D6+E6),"")</f>
        <v>5718.9</v>
      </c>
      <c r="G6" s="62">
        <f>IFERROR(IF(D6="","",F6*MAX(12,'0. Assumptions'!$B$21)),"")</f>
        <v>68626.79999999999</v>
      </c>
      <c r="H6" s="45">
        <f>IFERROR(IF(D6="","",C6*$B$19),"")</f>
        <v>40.0</v>
      </c>
      <c r="I6" s="41">
        <f>IFERROR(IF(D6="","",H6*B6*$B$20),"")</f>
        <v>1840.0</v>
      </c>
      <c r="J6" s="29" t="inlineStr">
        <is>
          <t>The head sushi chef (itamae) buys and cuts the fish, runs the sushi bar, signs off the menu, the sushi rice SOP and the parasite records. About $30 per hour in the example. Hire this person before the build-out: it is an investment, not an expense</t>
        </is>
      </c>
    </row>
    <row r="7">
      <c r="A7" s="29" t="inlineStr">
        <is>
          <t>Kitchen line cook (tempura, gyoza, rice)</t>
        </is>
      </c>
      <c r="B7" s="51" t="n">
        <v>1</v>
      </c>
      <c r="C7" s="53" t="n">
        <v>1</v>
      </c>
      <c r="D7" s="76" t="n">
        <v>3119</v>
      </c>
      <c r="E7" s="62">
        <f>IFERROR(IF(D7="","",D7*'0. Assumptions'!$B$20),"")</f>
        <v>311.90000000000003</v>
      </c>
      <c r="F7" s="62">
        <f>IFERROR(IF(D7="","",D7+E7),"")</f>
        <v>3430.9</v>
      </c>
      <c r="G7" s="62">
        <f>IFERROR(IF(D7="","",F7*MAX(12,'0. Assumptions'!$B$21)),"")</f>
        <v>41170.8</v>
      </c>
      <c r="H7" s="45">
        <f>IFERROR(IF(D7="","",C7*$B$19),"")</f>
        <v>40.0</v>
      </c>
      <c r="I7" s="41">
        <f>IFERROR(IF(D7="","",H7*B7*$B$20),"")</f>
        <v>1840.0</v>
      </c>
      <c r="J7" s="29" t="inlineStr">
        <is>
          <t>The rice cookers, gyoza, tempura, miso soup and teriyaki. About $18 per hour in the example</t>
        </is>
      </c>
    </row>
    <row r="8">
      <c r="A8" s="29" t="inlineStr">
        <is>
          <t>Sushi chef</t>
        </is>
      </c>
      <c r="B8" s="51" t="n">
        <v>1</v>
      </c>
      <c r="C8" s="53" t="n">
        <v>1</v>
      </c>
      <c r="D8" s="76" t="n">
        <v>3639</v>
      </c>
      <c r="E8" s="62">
        <f>IFERROR(IF(D8="","",D8*'0. Assumptions'!$B$20),"")</f>
        <v>363.90000000000003</v>
      </c>
      <c r="F8" s="62">
        <f>IFERROR(IF(D8="","",D8+E8),"")</f>
        <v>4002.9</v>
      </c>
      <c r="G8" s="62">
        <f>IFERROR(IF(D8="","",F8*MAX(12,'0. Assumptions'!$B$21)),"")</f>
        <v>48034.8</v>
      </c>
      <c r="H8" s="45">
        <f>IFERROR(IF(D8="","",C8*$B$19),"")</f>
        <v>40.0</v>
      </c>
      <c r="I8" s="41">
        <f>IFERROR(IF(D8="","",H8*B8*$B$20),"")</f>
        <v>1840.0</v>
      </c>
      <c r="J8" s="29" t="inlineStr">
        <is>
          <t>Rolls, platters for the delivery marketplaces and the sushi bar when the head sushi chef is off: about $21 per hour (Indeed lists $20.72). With a single person who can cut and build, one absence closes the sushi bar</t>
        </is>
      </c>
    </row>
    <row r="9">
      <c r="A9" s="29" t="inlineStr">
        <is>
          <t>Servers, host &amp; to-go packing (W-2, tips on top)</t>
        </is>
      </c>
      <c r="B9" s="51" t="n">
        <v>4</v>
      </c>
      <c r="C9" s="53" t="n">
        <v>0.75</v>
      </c>
      <c r="D9" s="76" t="n">
        <v>7798</v>
      </c>
      <c r="E9" s="62">
        <f>IFERROR(IF(D9="","",D9*'0. Assumptions'!$B$20),"")</f>
        <v>779.8000000000001</v>
      </c>
      <c r="F9" s="62">
        <f>IFERROR(IF(D9="","",D9+E9),"")</f>
        <v>8577.8</v>
      </c>
      <c r="G9" s="62">
        <f>IFERROR(IF(D9="","",F9*MAX(12,'0. Assumptions'!$B$21)),"")</f>
        <v>102933.59999999999</v>
      </c>
      <c r="H9" s="45">
        <f>IFERROR(IF(D9="","",C9*$B$19),"")</f>
        <v>30.0</v>
      </c>
      <c r="I9" s="41">
        <f>IFERROR(IF(D9="","",H9*B9*$B$20),"")</f>
        <v>5520.0</v>
      </c>
      <c r="J9" s="29" t="inlineStr">
        <is>
          <t>Four servers at 0.75 each: dining room, pickup and to-go packing, $15 per hour. Tips go on top and belong to the team</t>
        </is>
      </c>
    </row>
    <row r="10">
      <c r="A10" s="29" t="inlineStr">
        <is>
          <t>Sushi chef (part-time W-2, weekends &amp; dinner peaks)</t>
        </is>
      </c>
      <c r="B10" s="51" t="n">
        <v>1</v>
      </c>
      <c r="C10" s="53" t="n">
        <v>0.6</v>
      </c>
      <c r="D10" s="76" t="n">
        <v>2080</v>
      </c>
      <c r="E10" s="62">
        <f>IFERROR(IF(D10="","",D10*'0. Assumptions'!$B$20),"")</f>
        <v>208.0</v>
      </c>
      <c r="F10" s="62">
        <f>IFERROR(IF(D10="","",D10+E10),"")</f>
        <v>2288.0</v>
      </c>
      <c r="G10" s="62">
        <f>IFERROR(IF(D10="","",F10*MAX(12,'0. Assumptions'!$B$21)),"")</f>
        <v>27456.0</v>
      </c>
      <c r="H10" s="45">
        <f>IFERROR(IF(D10="","",C10*$B$19),"")</f>
        <v>24.0</v>
      </c>
      <c r="I10" s="41">
        <f>IFERROR(IF(D10="","",H10*B10*$B$20),"")</f>
        <v>1104.0</v>
      </c>
      <c r="J10" s="29" t="inlineStr">
        <is>
          <t>Part-time W-2 sushi chef for Friday and Saturday dinners and platters made to order: about $20 per hour, never as a 1099 contractor. This plan has NO in-house delivery: if you add it, the driver is a W-2 employee with hired and non-owned auto insurance</t>
        </is>
      </c>
    </row>
    <row r="11">
      <c r="A11" s="29" t="inlineStr">
        <is>
          <t>Dish &amp; prep</t>
        </is>
      </c>
      <c r="B11" s="51" t="n">
        <v>1</v>
      </c>
      <c r="C11" s="53" t="n">
        <v>1</v>
      </c>
      <c r="D11" s="76" t="n">
        <v>2773</v>
      </c>
      <c r="E11" s="62">
        <f>IFERROR(IF(D11="","",D11*'0. Assumptions'!$B$20),"")</f>
        <v>277.3</v>
      </c>
      <c r="F11" s="62">
        <f>IFERROR(IF(D11="","",D11+E11),"")</f>
        <v>3050.3</v>
      </c>
      <c r="G11" s="62">
        <f>IFERROR(IF(D11="","",F11*MAX(12,'0. Assumptions'!$B$21)),"")</f>
        <v>36603.600000000006</v>
      </c>
      <c r="H11" s="45">
        <f>IFERROR(IF(D11="","",C11*$B$19),"")</f>
        <v>40.0</v>
      </c>
      <c r="I11" s="41">
        <f>IFERROR(IF(D11="","",H11*B11*$B$20),"")</f>
        <v>1840.0</v>
      </c>
      <c r="J11" s="29" t="inlineStr">
        <is>
          <t>Coverage for vacations and the team's days off through the year. Paid sick leave is required by some states and cities: check yours</t>
        </is>
      </c>
    </row>
    <row r="12">
      <c r="A12" s="26" t="inlineStr">
        <is>
          <t>TOTAL STAFF</t>
        </is>
      </c>
      <c r="B12" s="54">
        <f>IFERROR(IF(COUNT(D5:D11)=0,"",SUM(B5:B11)),"")</f>
        <v>10.0</v>
      </c>
      <c r="C12" s="55">
        <f>IFERROR(IF(COUNT(D5:D11)=0,"",SUMPRODUCT(B5:B11,C5:C11)),"")</f>
        <v>8.6</v>
      </c>
      <c r="D12" s="55">
        <f>IFERROR(IF(COUNT(D5:D11)=0,"",SUM(D5:D11)),"")</f>
        <v>29108.0</v>
      </c>
      <c r="E12" s="55">
        <f>IFERROR(IF(COUNT(D5:D11)=0,"",SUM(E5:E11)),"")</f>
        <v>2910.8</v>
      </c>
      <c r="F12" s="55">
        <f>IFERROR(IF(COUNT(D5:D11)=0,"",SUM(F5:F11)),"")</f>
        <v>32018.8</v>
      </c>
      <c r="G12" s="55">
        <f>IFERROR(IF(COUNT(D5:D11)=0,"",SUM(G5:G11)),"")</f>
        <v>384225.6</v>
      </c>
      <c r="H12" s="29" t="n"/>
      <c r="I12" s="54">
        <f>IFERROR(IF(COUNT(D5:D11)=0,"",SUM(I5:I11)),"")</f>
        <v>15824.0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389225.6</v>
      </c>
      <c r="C16" s="29" t="n"/>
      <c r="D16" s="29" t="n"/>
      <c r="E16" s="29" t="n"/>
      <c r="F16" s="29" t="n"/>
      <c r="G16" s="29" t="n"/>
      <c r="H16" s="29" t="n"/>
      <c r="I16" s="29" t="n"/>
      <c r="J16" s="29" t="n"/>
    </row>
    <row r="17">
      <c r="A17" s="29" t="inlineStr">
        <is>
          <t>Labor cost, year 3</t>
        </is>
      </c>
      <c r="B17" s="41">
        <f>IFERROR(IF(B16="","",B16*(1+'0. Assumptions'!$B$48)+B15),"")</f>
        <v>394225.6</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and average absences. There is no federal vacation requirement in the US: adjust it to your own policy</t>
        </is>
      </c>
    </row>
    <row r="21">
      <c r="A21" s="29" t="inlineStr">
        <is>
          <t>Service hours per day to cover</t>
        </is>
      </c>
      <c r="B21" s="47" t="n">
        <v>7.5</v>
      </c>
      <c r="C21" s="29" t="n"/>
      <c r="D21" s="29" t="n"/>
      <c r="E21" s="29" t="n"/>
      <c r="F21" s="29" t="n"/>
      <c r="G21" s="29" t="n"/>
      <c r="H21" s="29" t="n"/>
      <c r="I21" s="29" t="n"/>
      <c r="J21" s="29" t="inlineStr">
        <is>
          <t>Hours the restaurant is open to the public, adding lunch (11:30-14:30) and dinner (17:00-21:30; 22:00 on Friday and Saturday). The afternoon between the two services is not counted</t>
        </is>
      </c>
    </row>
    <row r="22">
      <c r="A22" s="29" t="inlineStr">
        <is>
          <t>People needed at the same time in each shift</t>
        </is>
      </c>
      <c r="B22" s="47" t="n">
        <v>4.5</v>
      </c>
      <c r="C22" s="29" t="n"/>
      <c r="D22" s="29" t="n"/>
      <c r="E22" s="29" t="n"/>
      <c r="F22" s="29" t="n"/>
      <c r="G22" s="29" t="n"/>
      <c r="H22" s="29" t="n"/>
      <c r="I22" s="29" t="n"/>
      <c r="J22" s="29" t="inlineStr">
        <is>
          <t>Average number of people at the same time across the sushi bar, the hot line, the dining room and the to-go orders. On Friday and Saturday nights you need more: the part-time sushi chef and the extra servers come in (the annual roster does not see them: put them in the shift)</t>
        </is>
      </c>
    </row>
    <row r="23">
      <c r="A23" s="29" t="inlineStr">
        <is>
          <t>Production hours per day BEFORE opening</t>
        </is>
      </c>
      <c r="B23" s="47" t="n">
        <v>3</v>
      </c>
      <c r="C23" s="29" t="n"/>
      <c r="D23" s="29" t="n"/>
      <c r="E23" s="29" t="n"/>
      <c r="F23" s="29" t="n"/>
      <c r="G23" s="29" t="n"/>
      <c r="H23" s="29" t="n"/>
      <c r="I23" s="29" t="n"/>
      <c r="J23" s="29" t="inlineStr">
        <is>
          <t>The day's sushi rice, cutting and cleaning the fish, sauces and mise en place before opening</t>
        </is>
      </c>
    </row>
    <row r="24">
      <c r="A24" s="29" t="inlineStr">
        <is>
          <t>People on the production shift</t>
        </is>
      </c>
      <c r="B24" s="47" t="n">
        <v>2</v>
      </c>
      <c r="C24" s="29" t="n"/>
      <c r="D24" s="29" t="n"/>
      <c r="E24" s="29" t="n"/>
      <c r="F24" s="29" t="n"/>
      <c r="G24" s="29" t="n"/>
      <c r="H24" s="29" t="n"/>
      <c r="I24" s="29" t="n"/>
      <c r="J24" s="29" t="inlineStr">
        <is>
          <t>The head sushi chef and the line cook. Closing, cleaning and purchasing are outside this schedule: they are the margin between the hours you hire and the hours you need</t>
        </is>
      </c>
    </row>
    <row r="25">
      <c r="A25" s="29" t="inlineStr">
        <is>
          <t>Service hours to cover per year</t>
        </is>
      </c>
      <c r="B25" s="41">
        <f>IFERROR(IF(OR(B21="",B22="",'0. Assumptions'!$B$6=""),"",B21*B22*'0. Assumptions'!$B$6+B23*B24*'0. Assumptions'!$B$6),"")</f>
        <v>12322.5</v>
      </c>
      <c r="C25" s="29" t="n"/>
      <c r="D25" s="29" t="n"/>
      <c r="E25" s="29" t="n"/>
      <c r="F25" s="29" t="n"/>
      <c r="G25" s="29" t="n"/>
      <c r="H25" s="29" t="n"/>
      <c r="I25" s="29" t="n"/>
      <c r="J25" s="29" t="n"/>
    </row>
    <row r="26">
      <c r="A26" s="29" t="inlineStr">
        <is>
          <t>Hours hired per year</t>
        </is>
      </c>
      <c r="B26" s="41">
        <f>IFERROR(IF(I12="","",I12),"")</f>
        <v>15824.0</v>
      </c>
      <c r="C26" s="29" t="n"/>
      <c r="D26" s="29" t="n"/>
      <c r="E26" s="29" t="n"/>
      <c r="F26" s="29" t="n"/>
      <c r="G26" s="29" t="n"/>
      <c r="H26" s="29" t="n"/>
      <c r="I26" s="29" t="n"/>
      <c r="J26" s="29" t="n"/>
    </row>
    <row r="27">
      <c r="A27" s="26" t="inlineStr">
        <is>
          <t>Coverage (hired / needed)</t>
        </is>
      </c>
      <c r="B27" s="67">
        <f>IFERROR(B26/B25,"")</f>
        <v>1.2841550010144045</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69.25" customHeight="1">
      <c r="A29" s="48" t="inlineStr">
        <is>
          <t>The gross pay, employer payroll taxes, monthly cost and annual cost columns are TOTALS for the row: for a position with several people they include all of them. "FTE" is the share of a full-time week and is used to compare pay with the legal floor pro rata. The payroll tax rate and the number of pay periods are in the "0. Assumptions" tab. Tips are not modeled: every position, servers included, is budgeted at a base wage of at least $15/h, and the tips come on top and belong to the staff, never to the owner or managers.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Sushi Restaurant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sales tax included, and the sales tax you remit as a quarterly filer.</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105" customHeight="1">
      <c r="A10" s="48" t="inlineStr">
        <is>
          <t>6. The "12-Month Cash Flow" tab answers the question that decides a bank deal: in which month the cash runs out. Its Month 1 is JANUARY, in calendar order: the opening ramp-up runs from January to April and January is also the slowest month of the calendar, which is why working capital counts. If you open in another month, rotate the seasonality row. The minimum balance of the year can never come out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50" customHeight="1">
      <c r="A12" s="48" t="inlineStr">
        <is>
          <t>8. The Word business plan in this kit quotes the figures in this Excel: if you change a green cell, the Excel rules. The Sushi Fish, Rice &amp; Costing Calculator is separate: it measures salmon yield and the sushi rice that comes out of each pound of raw rice, and it COSTS each piece by channel. Do not copy the food cost of one nigiri into the "0. Assumptions" tab: the "Cost of goods sold on FOOD sales" cell is the weighted average of the WHOLE menu plus fish waste, thrown-out rice and staff meals, and that is why it comes out higher than the theoretical cost per piece. With the costing of your own menu, check that this average holds.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0.308</v>
      </c>
      <c r="C18" s="68">
        <f>IFERROR(IF('3-Year P&amp;L'!$E$52="","",'3-Year P&amp;L'!$E$52),"")</f>
        <v>0.33</v>
      </c>
      <c r="D18" s="29" t="str">
        <f>IFERROR(IF(OR(B18="",C18=""),"",IF(B18&lt;=C18,"OK","REVIEW")),"")</f>
        <v>OK</v>
      </c>
      <c r="E18" s="29" t="n"/>
    </row>
    <row r="19">
      <c r="A19" s="29" t="inlineStr">
        <is>
          <t>Labor cost / Sales</t>
        </is>
      </c>
      <c r="B19" s="68">
        <f>IFERROR(IF('3-Year P&amp;L'!$B$53="","",'3-Year P&amp;L'!$B$53),"")</f>
        <v>0.33162205200129463</v>
      </c>
      <c r="C19" s="68">
        <f>IFERROR(IF('3-Year P&amp;L'!$E$53="","",'3-Year P&amp;L'!$E$53),"")</f>
        <v>0.36</v>
      </c>
      <c r="D19" s="29" t="str">
        <f>IFERROR(IF(OR(B19="",C19=""),"",IF(B19&lt;=C19,"OK","REVIEW")),"")</f>
        <v>OK</v>
      </c>
      <c r="E19" s="29" t="n"/>
    </row>
    <row r="20">
      <c r="A20" s="29" t="inlineStr">
        <is>
          <t>Rent / Sales</t>
        </is>
      </c>
      <c r="B20" s="68">
        <f>IFERROR(IF('3-Year P&amp;L'!$B$54="","",'3-Year P&amp;L'!$B$54),"")</f>
        <v>0.04660696946811954</v>
      </c>
      <c r="C20" s="68">
        <f>IFERROR(IF('3-Year P&amp;L'!$E$54="","",'3-Year P&amp;L'!$E$54),"")</f>
        <v>0.1</v>
      </c>
      <c r="D20" s="29" t="str">
        <f>IFERROR(IF(OR(B20="",C20=""),"",IF(B20&lt;=C20,"OK","REVIEW")),"")</f>
        <v>OK</v>
      </c>
      <c r="E20" s="29" t="n"/>
    </row>
    <row r="21">
      <c r="A21" s="29" t="inlineStr">
        <is>
          <t>Net income / Sales</t>
        </is>
      </c>
      <c r="B21" s="68">
        <f>IFERROR(IF('3-Year P&amp;L'!$B$55="","",'3-Year P&amp;L'!$B$55),"")</f>
        <v>0.08514325670822864</v>
      </c>
      <c r="C21" s="68">
        <f>IFERROR(IF('3-Year P&amp;L'!$E$55="","",'3-Year P&amp;L'!$E$55),"")</f>
        <v>0.05</v>
      </c>
      <c r="D21" s="29" t="str">
        <f>IFERROR(IF(OR(B21="",C21=""),"",IF(B21&gt;=C21,"OK","REVIEW")),"")</f>
        <v>OK</v>
      </c>
      <c r="E21" s="29" t="n"/>
    </row>
    <row r="22">
      <c r="A22" s="29" t="inlineStr">
        <is>
          <t>Gross margin / Sales</t>
        </is>
      </c>
      <c r="B22" s="68">
        <f>IFERROR(IF('3-Year P&amp;L'!$B$50="","",'3-Year P&amp;L'!$B$50),"")</f>
        <v>0.5845</v>
      </c>
      <c r="C22" s="68">
        <f>IFERROR(IF('3-Year P&amp;L'!$E$50="","",'3-Year P&amp;L'!$E$50),"")</f>
        <v>0.55</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385156.4</v>
      </c>
      <c r="C25" s="29" t="n"/>
      <c r="D25" s="29" t="n"/>
      <c r="E25" s="29" t="n"/>
    </row>
    <row r="26">
      <c r="A26" s="29" t="inlineStr">
        <is>
          <t>Total cash needed at launch</t>
        </is>
      </c>
      <c r="B26" s="41">
        <f>IFERROR(IF('Startup Costs'!$B$33="","",'Startup Costs'!$B$33),"")</f>
        <v>385156.4</v>
      </c>
      <c r="C26" s="29" t="n"/>
      <c r="D26" s="29" t="n"/>
      <c r="E26" s="29" t="n"/>
    </row>
    <row r="27">
      <c r="A27" s="29" t="inlineStr">
        <is>
          <t>Working capital funded</t>
        </is>
      </c>
      <c r="B27" s="41">
        <f>IFERROR(IF('Startup Costs'!$B$29="","",'Startup Costs'!$B$29),"")</f>
        <v>130056.40000000001</v>
      </c>
      <c r="C27" s="29" t="n"/>
      <c r="D27" s="29" t="n"/>
      <c r="E27" s="29" t="n"/>
    </row>
    <row r="28">
      <c r="A28" s="29" t="inlineStr">
        <is>
          <t>Forecast year-1 revenue</t>
        </is>
      </c>
      <c r="B28" s="41">
        <f>IFERROR(IF('3-Year P&amp;L'!$B$9="","",'3-Year P&amp;L'!$B$9),"")</f>
        <v>1158625.0</v>
      </c>
      <c r="C28" s="29" t="n"/>
      <c r="D28" s="29" t="n"/>
      <c r="E28" s="29" t="n"/>
    </row>
    <row r="29">
      <c r="A29" s="29" t="inlineStr">
        <is>
          <t>Year-1 net income</t>
        </is>
      </c>
      <c r="B29" s="41">
        <f>IFERROR(IF('3-Year P&amp;L'!$B$47="","",'3-Year P&amp;L'!$B$47),"")</f>
        <v>98649.10580357141</v>
      </c>
      <c r="C29" s="29" t="n"/>
      <c r="D29" s="29" t="n"/>
      <c r="E29" s="29" t="n"/>
    </row>
    <row r="30">
      <c r="A30" s="29" t="inlineStr">
        <is>
          <t>Covers per day for the ACCOUNTING break-even (depreciation included)</t>
        </is>
      </c>
      <c r="B30" s="45">
        <f>IFERROR(IF('Break-Even'!$B$15="","",'Break-Even'!$B$15),"")</f>
        <v>92.66415849114048</v>
      </c>
      <c r="C30" s="29" t="n"/>
      <c r="D30" s="29" t="n"/>
      <c r="E30" s="29" t="n"/>
    </row>
    <row r="31">
      <c r="A31" s="29" t="inlineStr">
        <is>
          <t>Project payback (years), before debt</t>
        </is>
      </c>
      <c r="B31" s="29">
        <f>IFERROR(IF('12-Month Cash Flow'!$B$31="","",'12-Month Cash Flow'!$B$31),"")</f>
        <v>2.3</v>
      </c>
      <c r="C31" s="29" t="n"/>
      <c r="D31" s="29" t="n"/>
      <c r="E31" s="29" t="n"/>
    </row>
    <row r="32">
      <c r="A32" s="29" t="n"/>
      <c r="B32" s="29" t="n"/>
      <c r="C32" s="29" t="n"/>
      <c r="D32" s="29" t="n"/>
      <c r="E32" s="29" t="n"/>
    </row>
    <row r="33">
      <c r="A33" s="26" t="inlineStr">
        <is>
          <t>US SUSHI RESTAURANT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74.75" customHeight="1">
      <c r="A35" s="29" t="inlineStr">
        <is>
          <t>Month 1 of the plan</t>
        </is>
      </c>
      <c r="B35" s="29" t="inlineStr">
        <is>
          <t>January</t>
        </is>
      </c>
      <c r="C35" s="29" t="inlineStr">
        <is>
          <t>Plan decision</t>
        </is>
      </c>
      <c r="D35" s="48" t="inlineStr">
        <is>
          <t>In calendar order: the ramp-up falls on January to April, and January is also the slowest month. February (Valentine's Day), May (Mother's Day and graduations) and December (holiday parties) are the peaks. If you open in another month, rotate the seasonality row of the "12-Month Cash Flow" tab</t>
        </is>
      </c>
      <c r="E35" s="29" t="n"/>
    </row>
    <row r="36" ht="30" customHeight="1">
      <c r="A36" s="29" t="inlineStr">
        <is>
          <t>Consumer demand (US searches)</t>
        </is>
      </c>
      <c r="B36" s="29" t="inlineStr">
        <is>
          <t>About 201,000 searches a month for "sushi restaurant"; 27,100 for "sushi bar"; 9,900 for "sushi takeout"</t>
        </is>
      </c>
      <c r="C36" s="29" t="inlineStr">
        <is>
          <t>DataForSEO, US, Oct 2026</t>
        </is>
      </c>
      <c r="D36" s="48" t="inlineStr">
        <is>
          <t>Consumer demand, not plan buyers. This plan puts 15% of sales through delivery marketplaces</t>
        </is>
      </c>
      <c r="E36" s="29" t="n"/>
    </row>
    <row r="37" ht="45" customHeight="1">
      <c r="A37" s="29" t="inlineStr">
        <is>
          <t>Menu prices in mid-size cities</t>
        </is>
      </c>
      <c r="B37" s="29" t="inlineStr">
        <is>
          <t>Nigiri $5-7 a pair; classic roll $7-9; specialty roll $13-18</t>
        </is>
      </c>
      <c r="C37" s="29" t="inlineStr">
        <is>
          <t>Kit estimate (three menus read Oct 2026, +10-20% to 2026 prices)</t>
        </is>
      </c>
      <c r="D37" s="48" t="inlineStr">
        <is>
          <t>This plan: dine-in cover of $36.00 (food $28.50 plus beverage $7.50, excl. sales tax and tip)</t>
        </is>
      </c>
      <c r="E37" s="29" t="n"/>
    </row>
    <row r="38" ht="60" customHeight="1">
      <c r="A38" s="29" t="inlineStr">
        <is>
          <t>Cost per piece</t>
        </is>
      </c>
      <c r="B38" s="29" t="inlineStr">
        <is>
          <t>Theoretical cost of each nigiri, roll and platter by channel</t>
        </is>
      </c>
      <c r="C38" s="29" t="inlineStr">
        <is>
          <t>Kit estimate (Sushi Fish, Rice &amp; Costing Calculator)</t>
        </is>
      </c>
      <c r="D38" s="48" t="inlineStr">
        <is>
          <t>The plan's 32% is the real usage of the whole menu, waste included, so it comes out higher than the cost per piece</t>
        </is>
      </c>
      <c r="E38" s="29" t="n"/>
    </row>
    <row r="39" ht="30" customHeight="1">
      <c r="A39" s="29" t="inlineStr">
        <is>
          <t>Salmon yield</t>
        </is>
      </c>
      <c r="B39" s="29" t="inlineStr">
        <is>
          <t>Usable loin 45-60% of a whole fish; a fillet about 85%</t>
        </is>
      </c>
      <c r="C39" s="29" t="inlineStr">
        <is>
          <t>Secondary sources (summary) and Kit estimate</t>
        </is>
      </c>
      <c r="D39" s="48" t="inlineStr">
        <is>
          <t>Measure yours with 3 fish on the "Fish Yield" tab of the calculator</t>
        </is>
      </c>
      <c r="E39" s="29" t="n"/>
    </row>
    <row r="40" ht="45" customHeight="1">
      <c r="A40" s="29" t="inlineStr">
        <is>
          <t>Sushi rice (Calrose, 50 lb bag)</t>
        </is>
      </c>
      <c r="B40" s="29" t="inlineStr">
        <is>
          <t>$51.99 ($1.04/lb)</t>
        </is>
      </c>
      <c r="C40" s="29" t="inlineStr">
        <is>
          <t>webstaurantstore.com, read Oct 2026</t>
        </is>
      </c>
      <c r="D40" s="48" t="inlineStr">
        <is>
          <t>Rice is cheap: the cost is in the fish and in the sushi chef's hands</t>
        </is>
      </c>
      <c r="E40" s="29" t="n"/>
    </row>
    <row r="41" ht="30" customHeight="1">
      <c r="A41" s="29" t="inlineStr">
        <is>
          <t>Delivery marketplace commission</t>
        </is>
      </c>
      <c r="B41" s="29" t="inlineStr">
        <is>
          <t>DoorDash 15 / 25 / 30% + 6% pickup; Uber Eats 15-30%</t>
        </is>
      </c>
      <c r="C41" s="29" t="inlineStr">
        <is>
          <t>merchants.ubereats.com; DoorDash tiers (Oct 2026)</t>
        </is>
      </c>
      <c r="D41" s="48" t="inlineStr">
        <is>
          <t>This plan: 25% on 15% of sales. Pickup placed directly with you pays no commission</t>
        </is>
      </c>
      <c r="E41" s="29" t="n"/>
    </row>
    <row r="42" ht="60" customHeight="1">
      <c r="A42" s="29" t="inlineStr">
        <is>
          <t>Sales tax</t>
        </is>
      </c>
      <c r="B42" s="29" t="inlineStr">
        <is>
          <t>8% (example: state + local)</t>
        </is>
      </c>
      <c r="C42" s="29" t="inlineStr">
        <is>
          <t>Kit example: look up your state and city rate</t>
        </is>
      </c>
      <c r="D42" s="48" t="inlineStr">
        <is>
          <t>One rate in the workbook; some states tax food to go differently</t>
        </is>
      </c>
      <c r="E42" s="29" t="n"/>
    </row>
    <row r="43" ht="60" customHeight="1">
      <c r="A43" s="29" t="inlineStr">
        <is>
          <t>Fish served raw (parasite destruction)</t>
        </is>
      </c>
      <c r="B43" s="29" t="inlineStr">
        <is>
          <t>−4 °F for 168 h (7 days), or −31 °F until solid + 15 h, or −31 °F + −4 °F for 24 h; tuna and feed-raised aquaculture fish exempt</t>
        </is>
      </c>
      <c r="C43" s="29" t="inlineStr">
        <is>
          <t>FDA Food Code 2022 (3-402.11, 3-402.12)</t>
        </is>
      </c>
      <c r="D43" s="48" t="inlineStr">
        <is>
          <t>Buy fish already treated, with the supplier's letter; keep the records 90 days</t>
        </is>
      </c>
      <c r="E43" s="29" t="n"/>
    </row>
    <row r="44" ht="75" customHeight="1">
      <c r="A44" s="29" t="inlineStr">
        <is>
          <t>Sushi rice held at room temperature</t>
        </is>
      </c>
      <c r="B44" s="29" t="inlineStr">
        <is>
          <t>TPHC: up to 4 h with the time marked and a written procedure, then discard; or a variance with a HACCP plan (example limit pH &lt; 4.2)</t>
        </is>
      </c>
      <c r="C44" s="29" t="inlineStr">
        <is>
          <t>FDA Food Code 2022 (3-501.19, 3-502.11)</t>
        </is>
      </c>
      <c r="D44" s="48" t="inlineStr">
        <is>
          <t>Your county decides: ask for it in writing before opening</t>
        </is>
      </c>
      <c r="E44" s="29" t="n"/>
    </row>
    <row r="45" ht="30" customHeight="1">
      <c r="A45" s="29" t="inlineStr">
        <is>
          <t>Minimum wage</t>
        </is>
      </c>
      <c r="B45" s="29" t="inlineStr">
        <is>
          <t>Federal $7.25/h + your state</t>
        </is>
      </c>
      <c r="C45" s="29" t="inlineStr">
        <is>
          <t>U.S. Department of Labor (dol.gov)</t>
        </is>
      </c>
      <c r="D45" s="48" t="inlineStr">
        <is>
          <t>This plan budgets at least $15/h; enter your state's floor in "0. Assumptions"</t>
        </is>
      </c>
      <c r="E45" s="29" t="n"/>
    </row>
    <row r="46" ht="30" customHeight="1">
      <c r="A46" s="29" t="inlineStr">
        <is>
          <t>Labor cost / sales</t>
        </is>
      </c>
      <c r="B46" s="29" t="inlineStr">
        <is>
          <t>About 30-35% with table service</t>
        </is>
      </c>
      <c r="C46" s="29" t="inlineStr">
        <is>
          <t>Kit estimate</t>
        </is>
      </c>
      <c r="D46" s="48" t="inlineStr">
        <is>
          <t>Servers' tips go on top and are not a cost of the restaurant; a good head sushi chef is not cheap</t>
        </is>
      </c>
      <c r="E46" s="29" t="n"/>
    </row>
    <row r="47">
      <c r="A47" s="29" t="n"/>
      <c r="B47" s="29" t="n"/>
      <c r="C47" s="29" t="n"/>
      <c r="D47" s="29" t="n"/>
      <c r="E47" s="29" t="n"/>
    </row>
    <row r="48">
      <c r="A48" s="75" t="inlineStr">
        <is>
          <t>To edit a cell that is not green: Review → Unprotect Sheet (there is no password).</t>
        </is>
      </c>
      <c r="B48" s="29" t="n"/>
      <c r="C48" s="29" t="n"/>
      <c r="D48" s="29" t="n"/>
      <c r="E48" s="29" t="n"/>
    </row>
    <row r="49">
      <c r="A49" s="75" t="inlineStr">
        <is>
          <t>More templates and kits in the catalog at aichef.pro/en/digital-products</t>
        </is>
      </c>
      <c r="B49" s="29" t="n"/>
      <c r="C49" s="29" t="n"/>
      <c r="D49" s="29" t="n"/>
      <c r="E49" s="29" t="n"/>
    </row>
    <row r="50">
      <c r="A50" s="75" t="inlineStr">
        <is>
          <t>Designed by John Guerrero — chef and restaurant consultant since 2010, in the kitchen since age 17 · johnguerrero.es</t>
        </is>
      </c>
      <c r="B50" s="29" t="n"/>
      <c r="C50" s="29" t="n"/>
      <c r="D50" s="29" t="n"/>
      <c r="E50" s="29" t="n"/>
    </row>
    <row r="51">
      <c r="A51" s="75" t="inlineStr">
        <is>
          <t>Version 2.2 · October 2026 · aichef.pro/en/digital-products/sushi-restaurant-business-plan · info@aichef.pro</t>
        </is>
      </c>
      <c r="B51" s="29" t="n"/>
      <c r="C51" s="29" t="n"/>
      <c r="D51" s="29" t="n"/>
      <c r="E51" s="29" t="n"/>
    </row>
    <row r="52" ht="45" customHeight="1">
      <c r="A52" s="77" t="inlineStr">
        <is>
          <t>Planning tool, not financial, tax or legal advice. Requirements vary by state, county and city — check with your accountant and local authorities.</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0.078</v>
      </c>
      <c r="C5" s="74" t="n">
        <v>0.08599999999999999</v>
      </c>
      <c r="D5" s="74" t="n">
        <v>0.08400000000000001</v>
      </c>
      <c r="E5" s="74" t="n">
        <v>0.082</v>
      </c>
      <c r="F5" s="74" t="n">
        <v>0.08599999999999999</v>
      </c>
      <c r="G5" s="74" t="n">
        <v>0.08400000000000001</v>
      </c>
      <c r="H5" s="74" t="n">
        <v>0.082</v>
      </c>
      <c r="I5" s="74" t="n">
        <v>0.08</v>
      </c>
      <c r="J5" s="74" t="n">
        <v>0.08</v>
      </c>
      <c r="K5" s="74" t="n">
        <v>0.08400000000000001</v>
      </c>
      <c r="L5" s="74" t="n">
        <v>0.082</v>
      </c>
      <c r="M5" s="74" t="n">
        <v>0.092</v>
      </c>
      <c r="N5" s="68">
        <f>IFERROR(IF('3-Year P&amp;L'!$B$9="","",SUM(B5:M5)),"")</f>
        <v>1.0</v>
      </c>
      <c r="O5" s="29" t="inlineStr">
        <is>
          <t>Month 1 = JANUARY, in calendar order: January is the slowest month; February (Valentine's Day), May (Mother's Day and graduations) and December (holiday parties and New Year's Eve platters) are the peaks. Kit weights for a mid-size US city: replace them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0.06099044309296265</v>
      </c>
      <c r="C7" s="68">
        <f>IFERROR(IF('3-Year P&amp;L'!$B$9="","",C5*C6/SUMPRODUCT($B$5:$M$5,$B$6:$M$6)),"")</f>
        <v>0.0747176368375326</v>
      </c>
      <c r="D7" s="68">
        <f>IFERROR(IF('3-Year P&amp;L'!$B$9="","",D5*D6/SUMPRODUCT($B$5:$M$5,$B$6:$M$6)),"")</f>
        <v>0.08027801911381409</v>
      </c>
      <c r="E7" s="68">
        <f>IFERROR(IF('3-Year P&amp;L'!$B$9="","",E5*E6/SUMPRODUCT($B$5:$M$5,$B$6:$M$6)),"")</f>
        <v>0.085490877497828</v>
      </c>
      <c r="F7" s="68">
        <f>IFERROR(IF('3-Year P&amp;L'!$B$9="","",F5*F6/SUMPRODUCT($B$5:$M$5,$B$6:$M$6)),"")</f>
        <v>0.0896611642050391</v>
      </c>
      <c r="G7" s="68">
        <f>IFERROR(IF('3-Year P&amp;L'!$B$9="","",G5*G6/SUMPRODUCT($B$5:$M$5,$B$6:$M$6)),"")</f>
        <v>0.08757602085143355</v>
      </c>
      <c r="H7" s="68">
        <f>IFERROR(IF('3-Year P&amp;L'!$B$9="","",H5*H6/SUMPRODUCT($B$5:$M$5,$B$6:$M$6)),"")</f>
        <v>0.085490877497828</v>
      </c>
      <c r="I7" s="68">
        <f>IFERROR(IF('3-Year P&amp;L'!$B$9="","",I5*I6/SUMPRODUCT($B$5:$M$5,$B$6:$M$6)),"")</f>
        <v>0.08340573414422243</v>
      </c>
      <c r="J7" s="68">
        <f>IFERROR(IF('3-Year P&amp;L'!$B$9="","",J5*J6/SUMPRODUCT($B$5:$M$5,$B$6:$M$6)),"")</f>
        <v>0.08340573414422243</v>
      </c>
      <c r="K7" s="68">
        <f>IFERROR(IF('3-Year P&amp;L'!$B$9="","",K5*K6/SUMPRODUCT($B$5:$M$5,$B$6:$M$6)),"")</f>
        <v>0.08757602085143355</v>
      </c>
      <c r="L7" s="68">
        <f>IFERROR(IF('3-Year P&amp;L'!$B$9="","",L5*L6/SUMPRODUCT($B$5:$M$5,$B$6:$M$6)),"")</f>
        <v>0.085490877497828</v>
      </c>
      <c r="M7" s="68">
        <f>IFERROR(IF('3-Year P&amp;L'!$B$9="","",M5*M6/SUMPRODUCT($B$5:$M$5,$B$6:$M$6)),"")</f>
        <v>0.09591659426585579</v>
      </c>
      <c r="N7" s="68">
        <f>IFERROR(IF('3-Year P&amp;L'!$B$9="","",SUM(B7:M7)),"")</f>
        <v>1.0000000000000004</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71230.37254561252</v>
      </c>
      <c r="C9" s="41">
        <f>IFERROR(IF('3-Year P&amp;L'!$B$9="","",('3-Year P&amp;L'!$B$9+'3-Year P&amp;L'!$B$9*SUMPRODUCT('3-Year P&amp;L'!$E$10:$E$11,'3-Year P&amp;L'!$G$10:$G$11))*(C7*(1-MIN(30,'0. Assumptions'!$B$58)/30)+B7*MIN(30,'0. Assumptions'!$B$58)/30)),"")</f>
        <v>92350.16350999134</v>
      </c>
      <c r="D9" s="41">
        <f>IFERROR(IF('3-Year P&amp;L'!$B$9="","",('3-Year P&amp;L'!$B$9+'3-Year P&amp;L'!$B$9*SUMPRODUCT('3-Year P&amp;L'!$E$10:$E$11,'3-Year P&amp;L'!$G$10:$G$11))*(D7*(1-MIN(30,'0. Assumptions'!$B$58)/30)+C7*MIN(30,'0. Assumptions'!$B$58)/30)),"")</f>
        <v>99989.23683753262</v>
      </c>
      <c r="E9" s="41">
        <f>IFERROR(IF('3-Year P&amp;L'!$B$9="","",('3-Year P&amp;L'!$B$9+'3-Year P&amp;L'!$B$9*SUMPRODUCT('3-Year P&amp;L'!$E$10:$E$11,'3-Year P&amp;L'!$G$10:$G$11))*(E7*(1-MIN(30,'0. Assumptions'!$B$58)/30)+D7*MIN(30,'0. Assumptions'!$B$58)/30)),"")</f>
        <v>106541.15551694181</v>
      </c>
      <c r="F9" s="41">
        <f>IFERROR(IF('3-Year P&amp;L'!$B$9="","",('3-Year P&amp;L'!$B$9+'3-Year P&amp;L'!$B$9*SUMPRODUCT('3-Year P&amp;L'!$E$10:$E$11,'3-Year P&amp;L'!$G$10:$G$11))*(F7*(1-MIN(30,'0. Assumptions'!$B$58)/30)+E7*MIN(30,'0. Assumptions'!$B$58)/30)),"")</f>
        <v>111846.47019982625</v>
      </c>
      <c r="G9" s="41">
        <f>IFERROR(IF('3-Year P&amp;L'!$B$9="","",('3-Year P&amp;L'!$B$9+'3-Year P&amp;L'!$B$9*SUMPRODUCT('3-Year P&amp;L'!$E$10:$E$11,'3-Year P&amp;L'!$G$10:$G$11))*(G7*(1-MIN(30,'0. Assumptions'!$B$58)/30)+F7*MIN(30,'0. Assumptions'!$B$58)/30)),"")</f>
        <v>109759.13327541269</v>
      </c>
      <c r="H9" s="41">
        <f>IFERROR(IF('3-Year P&amp;L'!$B$9="","",('3-Year P&amp;L'!$B$9+'3-Year P&amp;L'!$B$9*SUMPRODUCT('3-Year P&amp;L'!$E$10:$E$11,'3-Year P&amp;L'!$G$10:$G$11))*(H7*(1-MIN(30,'0. Assumptions'!$B$58)/30)+G7*MIN(30,'0. Assumptions'!$B$58)/30)),"")</f>
        <v>107149.96211989578</v>
      </c>
      <c r="I9" s="41">
        <f>IFERROR(IF('3-Year P&amp;L'!$B$9="","",('3-Year P&amp;L'!$B$9+'3-Year P&amp;L'!$B$9*SUMPRODUCT('3-Year P&amp;L'!$E$10:$E$11,'3-Year P&amp;L'!$G$10:$G$11))*(I7*(1-MIN(30,'0. Assumptions'!$B$58)/30)+H7*MIN(30,'0. Assumptions'!$B$58)/30)),"")</f>
        <v>104540.79096437882</v>
      </c>
      <c r="J9" s="41">
        <f>IFERROR(IF('3-Year P&amp;L'!$B$9="","",('3-Year P&amp;L'!$B$9+'3-Year P&amp;L'!$B$9*SUMPRODUCT('3-Year P&amp;L'!$E$10:$E$11,'3-Year P&amp;L'!$G$10:$G$11))*(J7*(1-MIN(30,'0. Assumptions'!$B$58)/30)+I7*MIN(30,'0. Assumptions'!$B$58)/30)),"")</f>
        <v>104366.84622067769</v>
      </c>
      <c r="K9" s="41">
        <f>IFERROR(IF('3-Year P&amp;L'!$B$9="","",('3-Year P&amp;L'!$B$9+'3-Year P&amp;L'!$B$9*SUMPRODUCT('3-Year P&amp;L'!$E$10:$E$11,'3-Year P&amp;L'!$G$10:$G$11))*(K7*(1-MIN(30,'0. Assumptions'!$B$58)/30)+J7*MIN(30,'0. Assumptions'!$B$58)/30)),"")</f>
        <v>109237.29904430931</v>
      </c>
      <c r="L9" s="41">
        <f>IFERROR(IF('3-Year P&amp;L'!$B$9="","",('3-Year P&amp;L'!$B$9+'3-Year P&amp;L'!$B$9*SUMPRODUCT('3-Year P&amp;L'!$E$10:$E$11,'3-Year P&amp;L'!$G$10:$G$11))*(L7*(1-MIN(30,'0. Assumptions'!$B$58)/30)+K7*MIN(30,'0. Assumptions'!$B$58)/30)),"")</f>
        <v>107149.96211989578</v>
      </c>
      <c r="M9" s="41">
        <f>IFERROR(IF('3-Year P&amp;L'!$B$9="","",('3-Year P&amp;L'!$B$9+'3-Year P&amp;L'!$B$9*SUMPRODUCT('3-Year P&amp;L'!$E$10:$E$11,'3-Year P&amp;L'!$G$10:$G$11))*(M7*(1-MIN(30,'0. Assumptions'!$B$58)/30)+L7*MIN(30,'0. Assumptions'!$B$58)/30)),"")</f>
        <v>119152.14943527369</v>
      </c>
      <c r="N9" s="41">
        <f>IFERROR(IF('3-Year P&amp;L'!$B$9="","",SUM(B9:M9)),"")</f>
        <v>1243313.5417897482</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-15659.375551694182</v>
      </c>
      <c r="C11" s="41">
        <f>IFERROR(IF('3-Year P&amp;L'!$B$9="","",-('3-Year P&amp;L'!$B$13*(1+'3-Year P&amp;L'!$G$13)+'3-Year P&amp;L'!$B$14*(1+'3-Year P&amp;L'!$G$14)+'3-Year P&amp;L'!$B$15*(1+'3-Year P&amp;L'!$G$15)+'3-Year P&amp;L'!$B$16*(1+'3-Year P&amp;L'!$G$16)+'3-Year P&amp;L'!$B$17*(1+'3-Year P&amp;L'!$G$17)+'3-Year P&amp;L'!$B$18*(1+'3-Year P&amp;L'!$G$18))*(C7*(1-MIN(30,'0. Assumptions'!$B$59)/30)+B7*MIN(30,'0. Assumptions'!$B$59)/30)),"")</f>
        <v>-32885.80399869679</v>
      </c>
      <c r="D11" s="41">
        <f>IFERROR(IF('3-Year P&amp;L'!$B$9="","",-('3-Year P&amp;L'!$B$13*(1+'3-Year P&amp;L'!$G$13)+'3-Year P&amp;L'!$B$14*(1+'3-Year P&amp;L'!$G$14)+'3-Year P&amp;L'!$B$15*(1+'3-Year P&amp;L'!$G$15)+'3-Year P&amp;L'!$B$16*(1+'3-Year P&amp;L'!$G$16)+'3-Year P&amp;L'!$B$17*(1+'3-Year P&amp;L'!$G$17)+'3-Year P&amp;L'!$B$18*(1+'3-Year P&amp;L'!$G$18))*(D7*(1-MIN(30,'0. Assumptions'!$B$59)/30)+C7*MIN(30,'0. Assumptions'!$B$59)/30)),"")</f>
        <v>-37397.354860990454</v>
      </c>
      <c r="E11" s="41">
        <f>IFERROR(IF('3-Year P&amp;L'!$B$9="","",-('3-Year P&amp;L'!$B$13*(1+'3-Year P&amp;L'!$G$13)+'3-Year P&amp;L'!$B$14*(1+'3-Year P&amp;L'!$G$14)+'3-Year P&amp;L'!$B$15*(1+'3-Year P&amp;L'!$G$15)+'3-Year P&amp;L'!$B$16*(1+'3-Year P&amp;L'!$G$16)+'3-Year P&amp;L'!$B$17*(1+'3-Year P&amp;L'!$G$17)+'3-Year P&amp;L'!$B$18*(1+'3-Year P&amp;L'!$G$18))*(E7*(1-MIN(30,'0. Assumptions'!$B$59)/30)+D7*MIN(30,'0. Assumptions'!$B$59)/30)),"")</f>
        <v>-39984.94398349262</v>
      </c>
      <c r="F11" s="41">
        <f>IFERROR(IF('3-Year P&amp;L'!$B$9="","",-('3-Year P&amp;L'!$B$13*(1+'3-Year P&amp;L'!$G$13)+'3-Year P&amp;L'!$B$14*(1+'3-Year P&amp;L'!$G$14)+'3-Year P&amp;L'!$B$15*(1+'3-Year P&amp;L'!$G$15)+'3-Year P&amp;L'!$B$16*(1+'3-Year P&amp;L'!$G$16)+'3-Year P&amp;L'!$B$17*(1+'3-Year P&amp;L'!$G$17)+'3-Year P&amp;L'!$B$18*(1+'3-Year P&amp;L'!$G$18))*(F7*(1-MIN(30,'0. Assumptions'!$B$59)/30)+E7*MIN(30,'0. Assumptions'!$B$59)/30)),"")</f>
        <v>-42226.777662901826</v>
      </c>
      <c r="G11" s="41">
        <f>IFERROR(IF('3-Year P&amp;L'!$B$9="","",-('3-Year P&amp;L'!$B$13*(1+'3-Year P&amp;L'!$G$13)+'3-Year P&amp;L'!$B$14*(1+'3-Year P&amp;L'!$G$14)+'3-Year P&amp;L'!$B$15*(1+'3-Year P&amp;L'!$G$15)+'3-Year P&amp;L'!$B$16*(1+'3-Year P&amp;L'!$G$16)+'3-Year P&amp;L'!$B$17*(1+'3-Year P&amp;L'!$G$17)+'3-Year P&amp;L'!$B$18*(1+'3-Year P&amp;L'!$G$18))*(G7*(1-MIN(30,'0. Assumptions'!$B$59)/30)+F7*MIN(30,'0. Assumptions'!$B$59)/30)),"")</f>
        <v>-42628.300112945275</v>
      </c>
      <c r="H11" s="41">
        <f>IFERROR(IF('3-Year P&amp;L'!$B$9="","",-('3-Year P&amp;L'!$B$13*(1+'3-Year P&amp;L'!$G$13)+'3-Year P&amp;L'!$B$14*(1+'3-Year P&amp;L'!$G$14)+'3-Year P&amp;L'!$B$15*(1+'3-Year P&amp;L'!$G$15)+'3-Year P&amp;L'!$B$16*(1+'3-Year P&amp;L'!$G$16)+'3-Year P&amp;L'!$B$17*(1+'3-Year P&amp;L'!$G$17)+'3-Year P&amp;L'!$B$18*(1+'3-Year P&amp;L'!$G$18))*(H7*(1-MIN(30,'0. Assumptions'!$B$59)/30)+G7*MIN(30,'0. Assumptions'!$B$59)/30)),"")</f>
        <v>-41624.493987836664</v>
      </c>
      <c r="I11" s="41">
        <f>IFERROR(IF('3-Year P&amp;L'!$B$9="","",-('3-Year P&amp;L'!$B$13*(1+'3-Year P&amp;L'!$G$13)+'3-Year P&amp;L'!$B$14*(1+'3-Year P&amp;L'!$G$14)+'3-Year P&amp;L'!$B$15*(1+'3-Year P&amp;L'!$G$15)+'3-Year P&amp;L'!$B$16*(1+'3-Year P&amp;L'!$G$16)+'3-Year P&amp;L'!$B$17*(1+'3-Year P&amp;L'!$G$17)+'3-Year P&amp;L'!$B$18*(1+'3-Year P&amp;L'!$G$18))*(I7*(1-MIN(30,'0. Assumptions'!$B$59)/30)+H7*MIN(30,'0. Assumptions'!$B$59)/30)),"")</f>
        <v>-40620.687862728075</v>
      </c>
      <c r="J11" s="41">
        <f>IFERROR(IF('3-Year P&amp;L'!$B$9="","",-('3-Year P&amp;L'!$B$13*(1+'3-Year P&amp;L'!$G$13)+'3-Year P&amp;L'!$B$14*(1+'3-Year P&amp;L'!$G$14)+'3-Year P&amp;L'!$B$15*(1+'3-Year P&amp;L'!$G$15)+'3-Year P&amp;L'!$B$16*(1+'3-Year P&amp;L'!$G$16)+'3-Year P&amp;L'!$B$17*(1+'3-Year P&amp;L'!$G$17)+'3-Year P&amp;L'!$B$18*(1+'3-Year P&amp;L'!$G$18))*(J7*(1-MIN(30,'0. Assumptions'!$B$59)/30)+I7*MIN(30,'0. Assumptions'!$B$59)/30)),"")</f>
        <v>-40152.245004344055</v>
      </c>
      <c r="K11" s="41">
        <f>IFERROR(IF('3-Year P&amp;L'!$B$9="","",-('3-Year P&amp;L'!$B$13*(1+'3-Year P&amp;L'!$G$13)+'3-Year P&amp;L'!$B$14*(1+'3-Year P&amp;L'!$G$14)+'3-Year P&amp;L'!$B$15*(1+'3-Year P&amp;L'!$G$15)+'3-Year P&amp;L'!$B$16*(1+'3-Year P&amp;L'!$G$16)+'3-Year P&amp;L'!$B$17*(1+'3-Year P&amp;L'!$G$17)+'3-Year P&amp;L'!$B$18*(1+'3-Year P&amp;L'!$G$18))*(K7*(1-MIN(30,'0. Assumptions'!$B$59)/30)+J7*MIN(30,'0. Assumptions'!$B$59)/30)),"")</f>
        <v>-41222.97153779324</v>
      </c>
      <c r="L11" s="41">
        <f>IFERROR(IF('3-Year P&amp;L'!$B$9="","",-('3-Year P&amp;L'!$B$13*(1+'3-Year P&amp;L'!$G$13)+'3-Year P&amp;L'!$B$14*(1+'3-Year P&amp;L'!$G$14)+'3-Year P&amp;L'!$B$15*(1+'3-Year P&amp;L'!$G$15)+'3-Year P&amp;L'!$B$16*(1+'3-Year P&amp;L'!$G$16)+'3-Year P&amp;L'!$B$17*(1+'3-Year P&amp;L'!$G$17)+'3-Year P&amp;L'!$B$18*(1+'3-Year P&amp;L'!$G$18))*(L7*(1-MIN(30,'0. Assumptions'!$B$59)/30)+K7*MIN(30,'0. Assumptions'!$B$59)/30)),"")</f>
        <v>-41624.493987836664</v>
      </c>
      <c r="M11" s="41">
        <f>IFERROR(IF('3-Year P&amp;L'!$B$9="","",-('3-Year P&amp;L'!$B$13*(1+'3-Year P&amp;L'!$G$13)+'3-Year P&amp;L'!$B$14*(1+'3-Year P&amp;L'!$G$14)+'3-Year P&amp;L'!$B$15*(1+'3-Year P&amp;L'!$G$15)+'3-Year P&amp;L'!$B$16*(1+'3-Year P&amp;L'!$G$16)+'3-Year P&amp;L'!$B$17*(1+'3-Year P&amp;L'!$G$17)+'3-Year P&amp;L'!$B$18*(1+'3-Year P&amp;L'!$G$18))*(M7*(1-MIN(30,'0. Assumptions'!$B$59)/30)+L7*MIN(30,'0. Assumptions'!$B$59)/30)),"")</f>
        <v>-43832.8674630756</v>
      </c>
      <c r="N11" s="41">
        <f>IFERROR(IF('3-Year P&amp;L'!$B$9="","",SUM(B11:M11)),"")</f>
        <v>-459860.3160143354</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-9200.000000000005</v>
      </c>
      <c r="C12" s="41">
        <f>IFERROR(IF('3-Year P&amp;L'!$B$9="","",-('3-Year P&amp;L'!$B$37-'3-Year P&amp;L'!$B$23-'3-Year P&amp;L'!$B$35-'3-Year P&amp;L'!$B$36+'3-Year P&amp;L'!$B$39)/12),"")</f>
        <v>-9200.000000000005</v>
      </c>
      <c r="D12" s="41">
        <f>IFERROR(IF('3-Year P&amp;L'!$B$9="","",-('3-Year P&amp;L'!$B$37-'3-Year P&amp;L'!$B$23-'3-Year P&amp;L'!$B$35-'3-Year P&amp;L'!$B$36+'3-Year P&amp;L'!$B$39)/12),"")</f>
        <v>-9200.000000000005</v>
      </c>
      <c r="E12" s="41">
        <f>IFERROR(IF('3-Year P&amp;L'!$B$9="","",-('3-Year P&amp;L'!$B$37-'3-Year P&amp;L'!$B$23-'3-Year P&amp;L'!$B$35-'3-Year P&amp;L'!$B$36+'3-Year P&amp;L'!$B$39)/12),"")</f>
        <v>-9200.000000000005</v>
      </c>
      <c r="F12" s="41">
        <f>IFERROR(IF('3-Year P&amp;L'!$B$9="","",-('3-Year P&amp;L'!$B$37-'3-Year P&amp;L'!$B$23-'3-Year P&amp;L'!$B$35-'3-Year P&amp;L'!$B$36+'3-Year P&amp;L'!$B$39)/12),"")</f>
        <v>-9200.000000000005</v>
      </c>
      <c r="G12" s="41">
        <f>IFERROR(IF('3-Year P&amp;L'!$B$9="","",-('3-Year P&amp;L'!$B$37-'3-Year P&amp;L'!$B$23-'3-Year P&amp;L'!$B$35-'3-Year P&amp;L'!$B$36+'3-Year P&amp;L'!$B$39)/12),"")</f>
        <v>-9200.000000000005</v>
      </c>
      <c r="H12" s="41">
        <f>IFERROR(IF('3-Year P&amp;L'!$B$9="","",-('3-Year P&amp;L'!$B$37-'3-Year P&amp;L'!$B$23-'3-Year P&amp;L'!$B$35-'3-Year P&amp;L'!$B$36+'3-Year P&amp;L'!$B$39)/12),"")</f>
        <v>-9200.000000000005</v>
      </c>
      <c r="I12" s="41">
        <f>IFERROR(IF('3-Year P&amp;L'!$B$9="","",-('3-Year P&amp;L'!$B$37-'3-Year P&amp;L'!$B$23-'3-Year P&amp;L'!$B$35-'3-Year P&amp;L'!$B$36+'3-Year P&amp;L'!$B$39)/12),"")</f>
        <v>-9200.000000000005</v>
      </c>
      <c r="J12" s="41">
        <f>IFERROR(IF('3-Year P&amp;L'!$B$9="","",-('3-Year P&amp;L'!$B$37-'3-Year P&amp;L'!$B$23-'3-Year P&amp;L'!$B$35-'3-Year P&amp;L'!$B$36+'3-Year P&amp;L'!$B$39)/12),"")</f>
        <v>-9200.000000000005</v>
      </c>
      <c r="K12" s="41">
        <f>IFERROR(IF('3-Year P&amp;L'!$B$9="","",-('3-Year P&amp;L'!$B$37-'3-Year P&amp;L'!$B$23-'3-Year P&amp;L'!$B$35-'3-Year P&amp;L'!$B$36+'3-Year P&amp;L'!$B$39)/12),"")</f>
        <v>-9200.000000000005</v>
      </c>
      <c r="L12" s="41">
        <f>IFERROR(IF('3-Year P&amp;L'!$B$9="","",-('3-Year P&amp;L'!$B$37-'3-Year P&amp;L'!$B$23-'3-Year P&amp;L'!$B$35-'3-Year P&amp;L'!$B$36+'3-Year P&amp;L'!$B$39)/12),"")</f>
        <v>-9200.000000000005</v>
      </c>
      <c r="M12" s="41">
        <f>IFERROR(IF('3-Year P&amp;L'!$B$9="","",-('3-Year P&amp;L'!$B$37-'3-Year P&amp;L'!$B$23-'3-Year P&amp;L'!$B$35-'3-Year P&amp;L'!$B$36+'3-Year P&amp;L'!$B$39)/12),"")</f>
        <v>-9200.000000000005</v>
      </c>
      <c r="N12" s="41">
        <f>IFERROR(IF('3-Year P&amp;L'!$B$9="","",SUM(B12:M12)),"")</f>
        <v>-110400.00000000006</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-32018.8</v>
      </c>
      <c r="C13" s="41">
        <f>IFERROR(IF('3-Year P&amp;L'!$B$9="","",-'3-Year P&amp;L'!$B$23/MAX(12,'0. Assumptions'!$B$21)*(1+IF(2='0. Assumptions'!$B$60,(MAX(12,'0. Assumptions'!$B$21)-12)/2,0)+IF(2='0. Assumptions'!$B$61,(MAX(12,'0. Assumptions'!$B$21)-12)/2,0))),"")</f>
        <v>-32018.8</v>
      </c>
      <c r="D13" s="41">
        <f>IFERROR(IF('3-Year P&amp;L'!$B$9="","",-'3-Year P&amp;L'!$B$23/MAX(12,'0. Assumptions'!$B$21)*(1+IF(3='0. Assumptions'!$B$60,(MAX(12,'0. Assumptions'!$B$21)-12)/2,0)+IF(3='0. Assumptions'!$B$61,(MAX(12,'0. Assumptions'!$B$21)-12)/2,0))),"")</f>
        <v>-32018.8</v>
      </c>
      <c r="E13" s="41">
        <f>IFERROR(IF('3-Year P&amp;L'!$B$9="","",-'3-Year P&amp;L'!$B$23/MAX(12,'0. Assumptions'!$B$21)*(1+IF(4='0. Assumptions'!$B$60,(MAX(12,'0. Assumptions'!$B$21)-12)/2,0)+IF(4='0. Assumptions'!$B$61,(MAX(12,'0. Assumptions'!$B$21)-12)/2,0))),"")</f>
        <v>-32018.8</v>
      </c>
      <c r="F13" s="41">
        <f>IFERROR(IF('3-Year P&amp;L'!$B$9="","",-'3-Year P&amp;L'!$B$23/MAX(12,'0. Assumptions'!$B$21)*(1+IF(5='0. Assumptions'!$B$60,(MAX(12,'0. Assumptions'!$B$21)-12)/2,0)+IF(5='0. Assumptions'!$B$61,(MAX(12,'0. Assumptions'!$B$21)-12)/2,0))),"")</f>
        <v>-32018.8</v>
      </c>
      <c r="G13" s="41">
        <f>IFERROR(IF('3-Year P&amp;L'!$B$9="","",-'3-Year P&amp;L'!$B$23/MAX(12,'0. Assumptions'!$B$21)*(1+IF(6='0. Assumptions'!$B$60,(MAX(12,'0. Assumptions'!$B$21)-12)/2,0)+IF(6='0. Assumptions'!$B$61,(MAX(12,'0. Assumptions'!$B$21)-12)/2,0))),"")</f>
        <v>-32018.8</v>
      </c>
      <c r="H13" s="41">
        <f>IFERROR(IF('3-Year P&amp;L'!$B$9="","",-'3-Year P&amp;L'!$B$23/MAX(12,'0. Assumptions'!$B$21)*(1+IF(7='0. Assumptions'!$B$60,(MAX(12,'0. Assumptions'!$B$21)-12)/2,0)+IF(7='0. Assumptions'!$B$61,(MAX(12,'0. Assumptions'!$B$21)-12)/2,0))),"")</f>
        <v>-32018.8</v>
      </c>
      <c r="I13" s="41">
        <f>IFERROR(IF('3-Year P&amp;L'!$B$9="","",-'3-Year P&amp;L'!$B$23/MAX(12,'0. Assumptions'!$B$21)*(1+IF(8='0. Assumptions'!$B$60,(MAX(12,'0. Assumptions'!$B$21)-12)/2,0)+IF(8='0. Assumptions'!$B$61,(MAX(12,'0. Assumptions'!$B$21)-12)/2,0))),"")</f>
        <v>-32018.8</v>
      </c>
      <c r="J13" s="41">
        <f>IFERROR(IF('3-Year P&amp;L'!$B$9="","",-'3-Year P&amp;L'!$B$23/MAX(12,'0. Assumptions'!$B$21)*(1+IF(9='0. Assumptions'!$B$60,(MAX(12,'0. Assumptions'!$B$21)-12)/2,0)+IF(9='0. Assumptions'!$B$61,(MAX(12,'0. Assumptions'!$B$21)-12)/2,0))),"")</f>
        <v>-32018.8</v>
      </c>
      <c r="K13" s="41">
        <f>IFERROR(IF('3-Year P&amp;L'!$B$9="","",-'3-Year P&amp;L'!$B$23/MAX(12,'0. Assumptions'!$B$21)*(1+IF(10='0. Assumptions'!$B$60,(MAX(12,'0. Assumptions'!$B$21)-12)/2,0)+IF(10='0. Assumptions'!$B$61,(MAX(12,'0. Assumptions'!$B$21)-12)/2,0))),"")</f>
        <v>-32018.8</v>
      </c>
      <c r="L13" s="41">
        <f>IFERROR(IF('3-Year P&amp;L'!$B$9="","",-'3-Year P&amp;L'!$B$23/MAX(12,'0. Assumptions'!$B$21)*(1+IF(11='0. Assumptions'!$B$60,(MAX(12,'0. Assumptions'!$B$21)-12)/2,0)+IF(11='0. Assumptions'!$B$61,(MAX(12,'0. Assumptions'!$B$21)-12)/2,0))),"")</f>
        <v>-32018.8</v>
      </c>
      <c r="M13" s="41">
        <f>IFERROR(IF('3-Year P&amp;L'!$B$9="","",-'3-Year P&amp;L'!$B$23/MAX(12,'0. Assumptions'!$B$21)*(1+IF(12='0. Assumptions'!$B$60,(MAX(12,'0. Assumptions'!$B$21)-12)/2,0)+IF(12='0. Assumptions'!$B$61,(MAX(12,'0. Assumptions'!$B$21)-12)/2,0))),"")</f>
        <v>-32018.8</v>
      </c>
      <c r="N13" s="41">
        <f>IFERROR(IF('3-Year P&amp;L'!$B$9="","",SUM(B13:M13)),"")</f>
        <v>-384225.6</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-2133.3333333333335</v>
      </c>
      <c r="C14" s="41">
        <f>IFERROR(IF('3-Year P&amp;L'!$B$9="","",-Financing!$B$44/12),"")</f>
        <v>-2133.3333333333335</v>
      </c>
      <c r="D14" s="41">
        <f>IFERROR(IF('3-Year P&amp;L'!$B$9="","",-Financing!$B$44/12),"")</f>
        <v>-2133.3333333333335</v>
      </c>
      <c r="E14" s="41">
        <f>IFERROR(IF('3-Year P&amp;L'!$B$9="","",-Financing!$B$44/12),"")</f>
        <v>-2133.3333333333335</v>
      </c>
      <c r="F14" s="41">
        <f>IFERROR(IF('3-Year P&amp;L'!$B$9="","",-Financing!$B$44/12),"")</f>
        <v>-2133.3333333333335</v>
      </c>
      <c r="G14" s="41">
        <f>IFERROR(IF('3-Year P&amp;L'!$B$9="","",-Financing!$B$44/12),"")</f>
        <v>-2133.3333333333335</v>
      </c>
      <c r="H14" s="41">
        <f>IFERROR(IF('3-Year P&amp;L'!$B$9="","",-Financing!$B$44/12),"")</f>
        <v>-2133.3333333333335</v>
      </c>
      <c r="I14" s="41">
        <f>IFERROR(IF('3-Year P&amp;L'!$B$9="","",-Financing!$B$44/12),"")</f>
        <v>-2133.3333333333335</v>
      </c>
      <c r="J14" s="41">
        <f>IFERROR(IF('3-Year P&amp;L'!$B$9="","",-Financing!$B$44/12),"")</f>
        <v>-2133.3333333333335</v>
      </c>
      <c r="K14" s="41">
        <f>IFERROR(IF('3-Year P&amp;L'!$B$9="","",-Financing!$B$44/12),"")</f>
        <v>-2133.3333333333335</v>
      </c>
      <c r="L14" s="41">
        <f>IFERROR(IF('3-Year P&amp;L'!$B$9="","",-Financing!$B$44/12),"")</f>
        <v>-2133.3333333333335</v>
      </c>
      <c r="M14" s="41">
        <f>IFERROR(IF('3-Year P&amp;L'!$B$9="","",-Financing!$B$44/12),"")</f>
        <v>-2133.3333333333335</v>
      </c>
      <c r="N14" s="41">
        <f>IFERROR(IF('3-Year P&amp;L'!$B$9="","",SUM(B14:M14)),"")</f>
        <v>-25600.0</v>
      </c>
      <c r="O14" s="29" t="n"/>
    </row>
    <row r="15">
      <c r="A15" s="29" t="inlineStr">
        <is>
          <t>Loan principal repaid</t>
        </is>
      </c>
      <c r="B15" s="41">
        <f>IFERROR(IF('3-Year P&amp;L'!$B$9="","",-Financing!$B$45/12),"")</f>
        <v>-1338.568424160246</v>
      </c>
      <c r="C15" s="41">
        <f>IFERROR(IF('3-Year P&amp;L'!$B$9="","",-Financing!$B$45/12),"")</f>
        <v>-1338.568424160246</v>
      </c>
      <c r="D15" s="41">
        <f>IFERROR(IF('3-Year P&amp;L'!$B$9="","",-Financing!$B$45/12),"")</f>
        <v>-1338.568424160246</v>
      </c>
      <c r="E15" s="41">
        <f>IFERROR(IF('3-Year P&amp;L'!$B$9="","",-Financing!$B$45/12),"")</f>
        <v>-1338.568424160246</v>
      </c>
      <c r="F15" s="41">
        <f>IFERROR(IF('3-Year P&amp;L'!$B$9="","",-Financing!$B$45/12),"")</f>
        <v>-1338.568424160246</v>
      </c>
      <c r="G15" s="41">
        <f>IFERROR(IF('3-Year P&amp;L'!$B$9="","",-Financing!$B$45/12),"")</f>
        <v>-1338.568424160246</v>
      </c>
      <c r="H15" s="41">
        <f>IFERROR(IF('3-Year P&amp;L'!$B$9="","",-Financing!$B$45/12),"")</f>
        <v>-1338.568424160246</v>
      </c>
      <c r="I15" s="41">
        <f>IFERROR(IF('3-Year P&amp;L'!$B$9="","",-Financing!$B$45/12),"")</f>
        <v>-1338.568424160246</v>
      </c>
      <c r="J15" s="41">
        <f>IFERROR(IF('3-Year P&amp;L'!$B$9="","",-Financing!$B$45/12),"")</f>
        <v>-1338.568424160246</v>
      </c>
      <c r="K15" s="41">
        <f>IFERROR(IF('3-Year P&amp;L'!$B$9="","",-Financing!$B$45/12),"")</f>
        <v>-1338.568424160246</v>
      </c>
      <c r="L15" s="41">
        <f>IFERROR(IF('3-Year P&amp;L'!$B$9="","",-Financing!$B$45/12),"")</f>
        <v>-1338.568424160246</v>
      </c>
      <c r="M15" s="41">
        <f>IFERROR(IF('3-Year P&amp;L'!$B$9="","",-Financing!$B$45/12),"")</f>
        <v>-1338.568424160246</v>
      </c>
      <c r="N15" s="41">
        <f>IFERROR(IF('3-Year P&amp;L'!$B$9="","",SUM(B15:M15)),"")</f>
        <v>-16062.821089922953</v>
      </c>
      <c r="O15" s="29" t="n"/>
    </row>
    <row r="16">
      <c r="A16" s="29" t="inlineStr">
        <is>
          <t>Sales tax collected (memo)</t>
        </is>
      </c>
      <c r="B16" s="41">
        <f>IFERROR(IF('3-Year P&amp;L'!$B$9="","",'3-Year P&amp;L'!$B$9*B7*SUMPRODUCT('3-Year P&amp;L'!$E$10:$E$11,'3-Year P&amp;L'!$G$10:$G$11)),"")</f>
        <v>5653.204170286708</v>
      </c>
      <c r="C16" s="41">
        <f>IFERROR(IF('3-Year P&amp;L'!$B$9="","",'3-Year P&amp;L'!$B$9*C7*SUMPRODUCT('3-Year P&amp;L'!$E$10:$E$11,'3-Year P&amp;L'!$G$10:$G$11)),"")</f>
        <v>6925.577758470898</v>
      </c>
      <c r="D16" s="41">
        <f>IFERROR(IF('3-Year P&amp;L'!$B$9="","",'3-Year P&amp;L'!$B$9*D7*SUMPRODUCT('3-Year P&amp;L'!$E$10:$E$11,'3-Year P&amp;L'!$G$10:$G$11)),"")</f>
        <v>7440.969591659427</v>
      </c>
      <c r="E16" s="41">
        <f>IFERROR(IF('3-Year P&amp;L'!$B$9="","",'3-Year P&amp;L'!$B$9*E7*SUMPRODUCT('3-Year P&amp;L'!$E$10:$E$11,'3-Year P&amp;L'!$G$10:$G$11)),"")</f>
        <v>7924.149435273677</v>
      </c>
      <c r="F16" s="41">
        <f>IFERROR(IF('3-Year P&amp;L'!$B$9="","",'3-Year P&amp;L'!$B$9*F7*SUMPRODUCT('3-Year P&amp;L'!$E$10:$E$11,'3-Year P&amp;L'!$G$10:$G$11)),"")</f>
        <v>8310.693310165074</v>
      </c>
      <c r="G16" s="41">
        <f>IFERROR(IF('3-Year P&amp;L'!$B$9="","",'3-Year P&amp;L'!$B$9*G7*SUMPRODUCT('3-Year P&amp;L'!$E$10:$E$11,'3-Year P&amp;L'!$G$10:$G$11)),"")</f>
        <v>8117.4213727193755</v>
      </c>
      <c r="H16" s="41">
        <f>IFERROR(IF('3-Year P&amp;L'!$B$9="","",'3-Year P&amp;L'!$B$9*H7*SUMPRODUCT('3-Year P&amp;L'!$E$10:$E$11,'3-Year P&amp;L'!$G$10:$G$11)),"")</f>
        <v>7924.149435273677</v>
      </c>
      <c r="I16" s="41">
        <f>IFERROR(IF('3-Year P&amp;L'!$B$9="","",'3-Year P&amp;L'!$B$9*I7*SUMPRODUCT('3-Year P&amp;L'!$E$10:$E$11,'3-Year P&amp;L'!$G$10:$G$11)),"")</f>
        <v>7730.877497827978</v>
      </c>
      <c r="J16" s="41">
        <f>IFERROR(IF('3-Year P&amp;L'!$B$9="","",'3-Year P&amp;L'!$B$9*J7*SUMPRODUCT('3-Year P&amp;L'!$E$10:$E$11,'3-Year P&amp;L'!$G$10:$G$11)),"")</f>
        <v>7730.877497827978</v>
      </c>
      <c r="K16" s="41">
        <f>IFERROR(IF('3-Year P&amp;L'!$B$9="","",'3-Year P&amp;L'!$B$9*K7*SUMPRODUCT('3-Year P&amp;L'!$E$10:$E$11,'3-Year P&amp;L'!$G$10:$G$11)),"")</f>
        <v>8117.4213727193755</v>
      </c>
      <c r="L16" s="41">
        <f>IFERROR(IF('3-Year P&amp;L'!$B$9="","",'3-Year P&amp;L'!$B$9*L7*SUMPRODUCT('3-Year P&amp;L'!$E$10:$E$11,'3-Year P&amp;L'!$G$10:$G$11)),"")</f>
        <v>7924.149435273677</v>
      </c>
      <c r="M16" s="41">
        <f>IFERROR(IF('3-Year P&amp;L'!$B$9="","",'3-Year P&amp;L'!$B$9*M7*SUMPRODUCT('3-Year P&amp;L'!$E$10:$E$11,'3-Year P&amp;L'!$G$10:$G$11)),"")</f>
        <v>8890.509122502173</v>
      </c>
      <c r="N16" s="41">
        <f>IFERROR(IF('3-Year P&amp;L'!$B$9="","",SUM(B16:M16)),"")</f>
        <v>92690.00000000001</v>
      </c>
      <c r="O16" s="29" t="inlineStr">
        <is>
          <t>Each sales line at ITS rate, read from the tax column of the P&amp;L (one 8% rate in the example)</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20019.751520417034</v>
      </c>
      <c r="F19" s="29" t="n"/>
      <c r="G19" s="29" t="n"/>
      <c r="H19" s="41">
        <f>IFERROR(IF('3-Year P&amp;L'!$B$9="","",SUM(E16:G16)-SUM(E17:G17)-H18),"")</f>
        <v>24352.264118158128</v>
      </c>
      <c r="I19" s="29" t="n"/>
      <c r="J19" s="29" t="n"/>
      <c r="K19" s="41">
        <f>IFERROR(IF('3-Year P&amp;L'!$B$9="","",SUM(H16:J16)-SUM(H17:J17)-K18),"")</f>
        <v>23385.904430929633</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-20019.751520417034</v>
      </c>
      <c r="F20" s="29" t="n"/>
      <c r="G20" s="29" t="n"/>
      <c r="H20" s="41">
        <f>IFERROR(IF('3-Year P&amp;L'!$B$9="","",IF(H19&lt;=0,"",-H19)),"")</f>
        <v>-24352.264118158128</v>
      </c>
      <c r="I20" s="29" t="n"/>
      <c r="J20" s="29" t="n"/>
      <c r="K20" s="41">
        <f>IFERROR(IF('3-Year P&amp;L'!$B$9="","",IF(K19&lt;=0,"",-K19)),"")</f>
        <v>-23385.904430929633</v>
      </c>
      <c r="L20" s="29" t="n"/>
      <c r="M20" s="29" t="n"/>
      <c r="N20" s="41">
        <f>IFERROR(IF('3-Year P&amp;L'!$B$9="","",SUM(B20:M20)),"")</f>
        <v>-67757.92006950479</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April, July and October with Month 1 in January; the fourth quarter is remitted in Month 13, January of the next year): if your state requires monthly filing, expect smaller payments every month instead</t>
        </is>
      </c>
    </row>
    <row r="21">
      <c r="A21" s="26" t="inlineStr">
        <is>
          <t>MONTHLY NET CASH FLOW</t>
        </is>
      </c>
      <c r="B21" s="54">
        <f>IFERROR(IF('3-Year P&amp;L'!$B$9="","",SUM(B9:B15)+IF(B20="",0,B20)),"")</f>
        <v>10880.295236424756</v>
      </c>
      <c r="C21" s="54">
        <f>IFERROR(IF('3-Year P&amp;L'!$B$9="","",SUM(C9:C15)+IF(C20="",0,C20)),"")</f>
        <v>14773.65775380096</v>
      </c>
      <c r="D21" s="54">
        <f>IFERROR(IF('3-Year P&amp;L'!$B$9="","",SUM(D9:D15)+IF(D20="",0,D20)),"")</f>
        <v>17901.18021904858</v>
      </c>
      <c r="E21" s="54">
        <f>IFERROR(IF('3-Year P&amp;L'!$B$9="","",SUM(E9:E15)+IF(E20="",0,E20)),"")</f>
        <v>1845.7582555385634</v>
      </c>
      <c r="F21" s="54">
        <f>IFERROR(IF('3-Year P&amp;L'!$B$9="","",SUM(F9:F15)+IF(F20="",0,F20)),"")</f>
        <v>24928.990779430827</v>
      </c>
      <c r="G21" s="54">
        <f>IFERROR(IF('3-Year P&amp;L'!$B$9="","",SUM(G9:G15)+IF(G20="",0,G20)),"")</f>
        <v>22440.131404973832</v>
      </c>
      <c r="H21" s="54">
        <f>IFERROR(IF('3-Year P&amp;L'!$B$9="","",SUM(H9:H15)+IF(H20="",0,H20)),"")</f>
        <v>-3517.497743592601</v>
      </c>
      <c r="I21" s="54">
        <f>IFERROR(IF('3-Year P&amp;L'!$B$9="","",SUM(I9:I15)+IF(I20="",0,I20)),"")</f>
        <v>19229.401344157155</v>
      </c>
      <c r="J21" s="54">
        <f>IFERROR(IF('3-Year P&amp;L'!$B$9="","",SUM(J9:J15)+IF(J20="",0,J20)),"")</f>
        <v>19523.89945884005</v>
      </c>
      <c r="K21" s="54">
        <f>IFERROR(IF('3-Year P&amp;L'!$B$9="","",SUM(K9:K15)+IF(K20="",0,K20)),"")</f>
        <v>-62.278681907147984</v>
      </c>
      <c r="L21" s="54">
        <f>IFERROR(IF('3-Year P&amp;L'!$B$9="","",SUM(L9:L15)+IF(L20="",0,L20)),"")</f>
        <v>20834.766374565526</v>
      </c>
      <c r="M21" s="54">
        <f>IFERROR(IF('3-Year P&amp;L'!$B$9="","",SUM(M9:M15)+IF(M20="",0,M20)),"")</f>
        <v>30628.58021470451</v>
      </c>
      <c r="N21" s="54">
        <f>IFERROR(IF('3-Year P&amp;L'!$B$9="","",SUM(B21:M21)),"")</f>
        <v>179406.884615985</v>
      </c>
      <c r="O21" s="29" t="n"/>
    </row>
    <row r="22">
      <c r="A22" s="26" t="inlineStr">
        <is>
          <t>CUMULATIVE CASH BALANCE</t>
        </is>
      </c>
      <c r="B22" s="54">
        <f>IFERROR(IF('3-Year P&amp;L'!$B$9="","",'Startup Costs'!$B$29+B21),"")</f>
        <v>140936.69523642477</v>
      </c>
      <c r="C22" s="54">
        <f>IFERROR(IF('3-Year P&amp;L'!$B$9="","",B22+C21),"")</f>
        <v>155710.35299022574</v>
      </c>
      <c r="D22" s="54">
        <f>IFERROR(IF('3-Year P&amp;L'!$B$9="","",C22+D21),"")</f>
        <v>173611.53320927432</v>
      </c>
      <c r="E22" s="54">
        <f>IFERROR(IF('3-Year P&amp;L'!$B$9="","",D22+E21),"")</f>
        <v>175457.29146481288</v>
      </c>
      <c r="F22" s="54">
        <f>IFERROR(IF('3-Year P&amp;L'!$B$9="","",E22+F21),"")</f>
        <v>200386.28224424372</v>
      </c>
      <c r="G22" s="54">
        <f>IFERROR(IF('3-Year P&amp;L'!$B$9="","",F22+G21),"")</f>
        <v>222826.41364921755</v>
      </c>
      <c r="H22" s="54">
        <f>IFERROR(IF('3-Year P&amp;L'!$B$9="","",G22+H21),"")</f>
        <v>219308.91590562495</v>
      </c>
      <c r="I22" s="54">
        <f>IFERROR(IF('3-Year P&amp;L'!$B$9="","",H22+I21),"")</f>
        <v>238538.3172497821</v>
      </c>
      <c r="J22" s="54">
        <f>IFERROR(IF('3-Year P&amp;L'!$B$9="","",I22+J21),"")</f>
        <v>258062.21670862215</v>
      </c>
      <c r="K22" s="54">
        <f>IFERROR(IF('3-Year P&amp;L'!$B$9="","",J22+K21),"")</f>
        <v>257999.938026715</v>
      </c>
      <c r="L22" s="54">
        <f>IFERROR(IF('3-Year P&amp;L'!$B$9="","",K22+L21),"")</f>
        <v>278834.70440128056</v>
      </c>
      <c r="M22" s="54">
        <f>IFERROR(IF('3-Year P&amp;L'!$B$9="","",L22+M21),"")</f>
        <v>309463.28461598506</v>
      </c>
      <c r="N22" s="29" t="n"/>
      <c r="O22" s="29" t="n"/>
    </row>
    <row r="23">
      <c r="A23" s="29" t="inlineStr">
        <is>
          <t>Minimum balance of the year</t>
        </is>
      </c>
      <c r="B23" s="41">
        <f>IFERROR(IF('3-Year P&amp;L'!$B$9="","",IF(COUNT(B22:M22)=0,"",MIN(B22:M22))),"")</f>
        <v>140936.69523642477</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149707.67723214283</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176030.8407673948</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193374.59192492196</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221069.70570590795</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385156.4</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2.3</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1.6</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49.5" customHeight="1">
      <c r="A34" s="48"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130000.0</v>
      </c>
      <c r="C6" s="29" t="n"/>
      <c r="D6" s="29" t="n"/>
      <c r="E6" s="29" t="n"/>
      <c r="F6" s="29" t="n"/>
      <c r="G6" s="29" t="n"/>
      <c r="H6" s="29" t="n"/>
    </row>
    <row r="7">
      <c r="A7" s="29" t="inlineStr">
        <is>
          <t>Loan requested — bank or SBA 7(a) (amortized below)</t>
        </is>
      </c>
      <c r="B7" s="41">
        <f>IFERROR(IF('0. Assumptions'!$B$31="","",'0. Assumptions'!$B$31),"")</f>
        <v>256000.0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386000.0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385156.4</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843.5999999999767</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0.0021902790658547455</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255156.40000000002</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256000.0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41662.82108992295</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256000.0</v>
      </c>
      <c r="C27" s="62">
        <f>IFERROR(IF(OR(1&gt;B22,B27=""),"",B27*B21),"")</f>
        <v>25600.0</v>
      </c>
      <c r="D27" s="62">
        <f>IFERROR(IF(OR(1&gt;B22,B27=""),"",IF(1&lt;=B23,0,MIN(B27,B24-C27))),"")</f>
        <v>16062.821089922953</v>
      </c>
      <c r="E27" s="62">
        <f>IFERROR(IF(C27="","",C27+D27),"")</f>
        <v>41662.82108992295</v>
      </c>
      <c r="F27" s="62">
        <f>IFERROR(IF(D27="","",B27-D27),"")</f>
        <v>239937.17891007705</v>
      </c>
      <c r="G27" s="62">
        <f>IFERROR(IF(E27="","",'3-Year P&amp;L'!$B$40-'3-Year P&amp;L'!$B$45+'3-Year P&amp;L'!$B$35+'3-Year P&amp;L'!$B$36),"")</f>
        <v>149707.67723214283</v>
      </c>
      <c r="H27" s="62">
        <f>IFERROR(IF(OR(E27="",E27=0),"",G27/E27),"")</f>
        <v>3.593315894500309</v>
      </c>
    </row>
    <row r="28">
      <c r="A28" s="41" t="n">
        <v>2</v>
      </c>
      <c r="B28" s="62">
        <f>IFERROR(IF(OR(2&gt;B22,F27=""),"",F27),"")</f>
        <v>239937.17891007705</v>
      </c>
      <c r="C28" s="62">
        <f>IFERROR(IF(OR(2&gt;B22,B28=""),"",B28*B21),"")</f>
        <v>23993.717891007705</v>
      </c>
      <c r="D28" s="62">
        <f>IFERROR(IF(OR(2&gt;B22,B28=""),"",IF(2&lt;=B23,0,MIN(B28,B24-C28))),"")</f>
        <v>17669.103198915247</v>
      </c>
      <c r="E28" s="62">
        <f>IFERROR(IF(C28="","",C28+D28),"")</f>
        <v>41662.82108992295</v>
      </c>
      <c r="F28" s="62">
        <f>IFERROR(IF(D28="","",B28-D28),"")</f>
        <v>222268.0757111618</v>
      </c>
      <c r="G28" s="62">
        <f>IFERROR(IF(E28="","",'3-Year P&amp;L'!$C$40-'3-Year P&amp;L'!$C$45+'3-Year P&amp;L'!$C$35+'3-Year P&amp;L'!$C$36),"")</f>
        <v>176030.8407673948</v>
      </c>
      <c r="H28" s="62">
        <f>IFERROR(IF(OR(E28="",E28=0),"",G28/E28),"")</f>
        <v>4.225130131909662</v>
      </c>
    </row>
    <row r="29">
      <c r="A29" s="41" t="n">
        <v>3</v>
      </c>
      <c r="B29" s="62">
        <f>IFERROR(IF(OR(3&gt;B22,F28=""),"",F28),"")</f>
        <v>222268.0757111618</v>
      </c>
      <c r="C29" s="62">
        <f>IFERROR(IF(OR(3&gt;B22,B29=""),"",B29*B21),"")</f>
        <v>22226.80757111618</v>
      </c>
      <c r="D29" s="62">
        <f>IFERROR(IF(OR(3&gt;B22,B29=""),"",IF(3&lt;=B23,0,MIN(B29,B24-C29))),"")</f>
        <v>19436.013518806772</v>
      </c>
      <c r="E29" s="62">
        <f>IFERROR(IF(C29="","",C29+D29),"")</f>
        <v>41662.82108992295</v>
      </c>
      <c r="F29" s="62">
        <f>IFERROR(IF(D29="","",B29-D29),"")</f>
        <v>202832.06219235502</v>
      </c>
      <c r="G29" s="62">
        <f>IFERROR(IF(E29="","",'3-Year P&amp;L'!$D$40-'3-Year P&amp;L'!$D$45+'3-Year P&amp;L'!$D$35+'3-Year P&amp;L'!$D$36),"")</f>
        <v>193374.59192492196</v>
      </c>
      <c r="H29" s="62">
        <f>IFERROR(IF(OR(E29="",E29=0),"",G29/E29),"")</f>
        <v>4.641418580550556</v>
      </c>
    </row>
    <row r="30">
      <c r="A30" s="41" t="n">
        <v>4</v>
      </c>
      <c r="B30" s="62">
        <f>IFERROR(IF(OR(4&gt;B22,F29=""),"",F29),"")</f>
        <v>202832.06219235502</v>
      </c>
      <c r="C30" s="62">
        <f>IFERROR(IF(OR(4&gt;B22,B30=""),"",B30*B21),"")</f>
        <v>20283.206219235504</v>
      </c>
      <c r="D30" s="62">
        <f>IFERROR(IF(OR(4&gt;B22,B30=""),"",IF(4&lt;=B23,0,MIN(B30,B24-C30))),"")</f>
        <v>21379.61487068745</v>
      </c>
      <c r="E30" s="62">
        <f>IFERROR(IF(C30="","",C30+D30),"")</f>
        <v>41662.82108992295</v>
      </c>
      <c r="F30" s="62">
        <f>IFERROR(IF(D30="","",B30-D30),"")</f>
        <v>181452.44732166757</v>
      </c>
      <c r="G30" s="62">
        <f>IFERROR(IF(E30="","",'3-Year P&amp;L'!$D$40-'3-Year P&amp;L'!$D$45+'3-Year P&amp;L'!$D$35+'3-Year P&amp;L'!$D$36),"")</f>
        <v>193374.59192492196</v>
      </c>
      <c r="H30" s="62">
        <f>IFERROR(IF(OR(E30="",E30=0),"",G30/E30),"")</f>
        <v>4.641418580550556</v>
      </c>
    </row>
    <row r="31">
      <c r="A31" s="41" t="n">
        <v>5</v>
      </c>
      <c r="B31" s="62">
        <f>IFERROR(IF(OR(5&gt;B22,F30=""),"",F30),"")</f>
        <v>181452.44732166757</v>
      </c>
      <c r="C31" s="62">
        <f>IFERROR(IF(OR(5&gt;B22,B31=""),"",B31*B21),"")</f>
        <v>18145.244732166757</v>
      </c>
      <c r="D31" s="62">
        <f>IFERROR(IF(OR(5&gt;B22,B31=""),"",IF(5&lt;=B23,0,MIN(B31,B24-C31))),"")</f>
        <v>23517.576357756196</v>
      </c>
      <c r="E31" s="62">
        <f>IFERROR(IF(C31="","",C31+D31),"")</f>
        <v>41662.82108992295</v>
      </c>
      <c r="F31" s="62">
        <f>IFERROR(IF(D31="","",B31-D31),"")</f>
        <v>157934.87096391138</v>
      </c>
      <c r="G31" s="62">
        <f>IFERROR(IF(E31="","",'3-Year P&amp;L'!$D$40-'3-Year P&amp;L'!$D$45+'3-Year P&amp;L'!$D$35+'3-Year P&amp;L'!$D$36),"")</f>
        <v>193374.59192492196</v>
      </c>
      <c r="H31" s="62">
        <f>IFERROR(IF(OR(E31="",E31=0),"",G31/E31),"")</f>
        <v>4.641418580550556</v>
      </c>
    </row>
    <row r="32">
      <c r="A32" s="41" t="n">
        <v>6</v>
      </c>
      <c r="B32" s="62">
        <f>IFERROR(IF(OR(6&gt;B22,F31=""),"",F31),"")</f>
        <v>157934.87096391138</v>
      </c>
      <c r="C32" s="62">
        <f>IFERROR(IF(OR(6&gt;B22,B32=""),"",B32*B21),"")</f>
        <v>15793.487096391138</v>
      </c>
      <c r="D32" s="62">
        <f>IFERROR(IF(OR(6&gt;B22,B32=""),"",IF(6&lt;=B23,0,MIN(B32,B24-C32))),"")</f>
        <v>25869.333993531814</v>
      </c>
      <c r="E32" s="62">
        <f>IFERROR(IF(C32="","",C32+D32),"")</f>
        <v>41662.82108992295</v>
      </c>
      <c r="F32" s="62">
        <f>IFERROR(IF(D32="","",B32-D32),"")</f>
        <v>132065.53697037956</v>
      </c>
      <c r="G32" s="62">
        <f>IFERROR(IF(E32="","",'3-Year P&amp;L'!$D$40-'3-Year P&amp;L'!$D$45+'3-Year P&amp;L'!$D$35+'3-Year P&amp;L'!$D$36),"")</f>
        <v>193374.59192492196</v>
      </c>
      <c r="H32" s="62">
        <f>IFERROR(IF(OR(E32="",E32=0),"",G32/E32),"")</f>
        <v>4.641418580550556</v>
      </c>
    </row>
    <row r="33">
      <c r="A33" s="41" t="n">
        <v>7</v>
      </c>
      <c r="B33" s="62">
        <f>IFERROR(IF(OR(7&gt;B22,F32=""),"",F32),"")</f>
        <v>132065.53697037956</v>
      </c>
      <c r="C33" s="62">
        <f>IFERROR(IF(OR(7&gt;B22,B33=""),"",B33*B21),"")</f>
        <v>13206.553697037956</v>
      </c>
      <c r="D33" s="62">
        <f>IFERROR(IF(OR(7&gt;B22,B33=""),"",IF(7&lt;=B23,0,MIN(B33,B24-C33))),"")</f>
        <v>28456.267392884998</v>
      </c>
      <c r="E33" s="62">
        <f>IFERROR(IF(C33="","",C33+D33),"")</f>
        <v>41662.82108992295</v>
      </c>
      <c r="F33" s="62">
        <f>IFERROR(IF(D33="","",B33-D33),"")</f>
        <v>103609.26957749456</v>
      </c>
      <c r="G33" s="62">
        <f>IFERROR(IF(E33="","",'3-Year P&amp;L'!$D$40-'3-Year P&amp;L'!$D$45+'3-Year P&amp;L'!$D$35+'3-Year P&amp;L'!$D$36),"")</f>
        <v>193374.59192492196</v>
      </c>
      <c r="H33" s="62">
        <f>IFERROR(IF(OR(E33="",E33=0),"",G33/E33),"")</f>
        <v>4.641418580550556</v>
      </c>
    </row>
    <row r="34">
      <c r="A34" s="41" t="n">
        <v>8</v>
      </c>
      <c r="B34" s="62">
        <f>IFERROR(IF(OR(8&gt;B22,F33=""),"",F33),"")</f>
        <v>103609.26957749456</v>
      </c>
      <c r="C34" s="62">
        <f>IFERROR(IF(OR(8&gt;B22,B34=""),"",B34*B21),"")</f>
        <v>10360.926957749456</v>
      </c>
      <c r="D34" s="62">
        <f>IFERROR(IF(OR(8&gt;B22,B34=""),"",IF(8&lt;=B23,0,MIN(B34,B24-C34))),"")</f>
        <v>31301.894132173496</v>
      </c>
      <c r="E34" s="62">
        <f>IFERROR(IF(C34="","",C34+D34),"")</f>
        <v>41662.82108992295</v>
      </c>
      <c r="F34" s="62">
        <f>IFERROR(IF(D34="","",B34-D34),"")</f>
        <v>72307.37544532106</v>
      </c>
      <c r="G34" s="62">
        <f>IFERROR(IF(E34="","",'3-Year P&amp;L'!$D$40-'3-Year P&amp;L'!$D$45+'3-Year P&amp;L'!$D$35+'3-Year P&amp;L'!$D$36),"")</f>
        <v>193374.59192492196</v>
      </c>
      <c r="H34" s="62">
        <f>IFERROR(IF(OR(E34="",E34=0),"",G34/E34),"")</f>
        <v>4.641418580550556</v>
      </c>
    </row>
    <row r="35">
      <c r="A35" s="41" t="n">
        <v>9</v>
      </c>
      <c r="B35" s="62">
        <f>IFERROR(IF(OR(9&gt;B22,F34=""),"",F34),"")</f>
        <v>72307.37544532106</v>
      </c>
      <c r="C35" s="62">
        <f>IFERROR(IF(OR(9&gt;B22,B35=""),"",B35*B21),"")</f>
        <v>7230.737544532106</v>
      </c>
      <c r="D35" s="62">
        <f>IFERROR(IF(OR(9&gt;B22,B35=""),"",IF(9&lt;=B23,0,MIN(B35,B24-C35))),"")</f>
        <v>34432.083545390844</v>
      </c>
      <c r="E35" s="62">
        <f>IFERROR(IF(C35="","",C35+D35),"")</f>
        <v>41662.82108992295</v>
      </c>
      <c r="F35" s="62">
        <f>IFERROR(IF(D35="","",B35-D35),"")</f>
        <v>37875.29189993021</v>
      </c>
      <c r="G35" s="62">
        <f>IFERROR(IF(E35="","",'3-Year P&amp;L'!$D$40-'3-Year P&amp;L'!$D$45+'3-Year P&amp;L'!$D$35+'3-Year P&amp;L'!$D$36),"")</f>
        <v>193374.59192492196</v>
      </c>
      <c r="H35" s="62">
        <f>IFERROR(IF(OR(E35="",E35=0),"",G35/E35),"")</f>
        <v>4.641418580550556</v>
      </c>
    </row>
    <row r="36">
      <c r="A36" s="41" t="n">
        <v>10</v>
      </c>
      <c r="B36" s="62">
        <f>IFERROR(IF(OR(10&gt;B22,F35=""),"",F35),"")</f>
        <v>37875.29189993021</v>
      </c>
      <c r="C36" s="62">
        <f>IFERROR(IF(OR(10&gt;B22,B36=""),"",B36*B21),"")</f>
        <v>3787.5291899930216</v>
      </c>
      <c r="D36" s="62">
        <f>IFERROR(IF(OR(10&gt;B22,B36=""),"",IF(10&lt;=B23,0,MIN(B36,B24-C36))),"")</f>
        <v>37875.29189992993</v>
      </c>
      <c r="E36" s="62">
        <f>IFERROR(IF(C36="","",C36+D36),"")</f>
        <v>41662.82108992295</v>
      </c>
      <c r="F36" s="62">
        <f>IFERROR(IF(D36="","",B36-D36),"")</f>
        <v>2.837623469531536e-10</v>
      </c>
      <c r="G36" s="62">
        <f>IFERROR(IF(E36="","",'3-Year P&amp;L'!$D$40-'3-Year P&amp;L'!$D$45+'3-Year P&amp;L'!$D$35+'3-Year P&amp;L'!$D$36),"")</f>
        <v>193374.59192492196</v>
      </c>
      <c r="H36" s="62">
        <f>IFERROR(IF(OR(E36="",E36=0),"",G36/E36),"")</f>
        <v>4.641418580550556</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25600.0</v>
      </c>
      <c r="C44" s="29" t="n"/>
      <c r="D44" s="29" t="n"/>
      <c r="E44" s="29" t="n"/>
      <c r="F44" s="29" t="n"/>
      <c r="G44" s="29" t="n"/>
      <c r="H44" s="29" t="n"/>
    </row>
    <row r="45">
      <c r="A45" s="29" t="inlineStr">
        <is>
          <t>Year-1 principal repaid</t>
        </is>
      </c>
      <c r="B45" s="41">
        <f>IFERROR(IF(B20="","",IF(D27="",0,D27)),"")</f>
        <v>16062.821089922953</v>
      </c>
      <c r="C45" s="29" t="n"/>
      <c r="D45" s="29" t="n"/>
      <c r="E45" s="29" t="n"/>
      <c r="F45" s="29" t="n"/>
      <c r="G45" s="29" t="n"/>
      <c r="H45" s="29" t="n"/>
    </row>
    <row r="46">
      <c r="A46" s="29" t="inlineStr">
        <is>
          <t>Year-2 interest</t>
        </is>
      </c>
      <c r="B46" s="41">
        <f>IFERROR(IF(B20="","",IF(C28="",0,C28)),"")</f>
        <v>23993.717891007705</v>
      </c>
      <c r="C46" s="29" t="n"/>
      <c r="D46" s="29" t="n"/>
      <c r="E46" s="29" t="n"/>
      <c r="F46" s="29" t="n"/>
      <c r="G46" s="29" t="n"/>
      <c r="H46" s="29" t="n"/>
    </row>
    <row r="47">
      <c r="A47" s="29" t="inlineStr">
        <is>
          <t>Year-2 principal repaid</t>
        </is>
      </c>
      <c r="B47" s="41">
        <f>IFERROR(IF(B20="","",IF(D28="",0,D28)),"")</f>
        <v>17669.103198915247</v>
      </c>
      <c r="C47" s="29" t="n"/>
      <c r="D47" s="29" t="n"/>
      <c r="E47" s="29" t="n"/>
      <c r="F47" s="29" t="n"/>
      <c r="G47" s="29" t="n"/>
      <c r="H47" s="29" t="n"/>
    </row>
    <row r="48">
      <c r="A48" s="29" t="inlineStr">
        <is>
          <t>Year-3 interest</t>
        </is>
      </c>
      <c r="B48" s="41">
        <f>IFERROR(IF(B20="","",IF(C29="",0,C29)),"")</f>
        <v>22226.80757111618</v>
      </c>
      <c r="C48" s="29" t="n"/>
      <c r="D48" s="29" t="n"/>
      <c r="E48" s="29" t="n"/>
      <c r="F48" s="29" t="n"/>
      <c r="G48" s="29" t="n"/>
      <c r="H48" s="29" t="n"/>
    </row>
    <row r="49">
      <c r="A49" s="29" t="inlineStr">
        <is>
          <t>Year-3 principal repaid</t>
        </is>
      </c>
      <c r="B49" s="41">
        <f>IFERROR(IF(B20="","",IF(D29="",0,D29)),"")</f>
        <v>19436.013518806772</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3.593315894500309</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4.225130131909662</v>
      </c>
      <c r="C52" s="29" t="n"/>
      <c r="D52" s="29" t="n"/>
      <c r="E52" s="29" t="n"/>
      <c r="F52" s="29" t="n"/>
      <c r="G52" s="29" t="n"/>
      <c r="H52" s="29" t="n"/>
    </row>
    <row r="53">
      <c r="A53" s="29" t="inlineStr">
        <is>
          <t>Year-3 DSCR</t>
        </is>
      </c>
      <c r="B53" s="62">
        <f>IFERROR(('3-Year P&amp;L'!$D$40-'3-Year P&amp;L'!$D$45+'3-Year P&amp;L'!$D$35+B48)/(B48+B49),"")</f>
        <v>4.641418580550556</v>
      </c>
      <c r="C53" s="29" t="n"/>
      <c r="D53" s="29" t="n"/>
      <c r="E53" s="29" t="n"/>
      <c r="F53" s="29" t="n"/>
      <c r="G53" s="29" t="n"/>
      <c r="H53" s="29" t="n"/>
    </row>
    <row r="54">
      <c r="A54" s="26" t="inlineStr">
        <is>
          <t>Minimum DSCR across the whole schedule</t>
        </is>
      </c>
      <c r="B54" s="55">
        <f>IFERROR(IF(COUNT(H27:H41)=0,"",MIN(H27:H41)),"")</f>
        <v>3.593315894500309</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Sushi Restaurant Financial Projections: 3-Year P&amp;L, Cash Flow &amp; Financing · Sushi Restaurant Business Plan Kit</dc:title>
  <dc:description xmlns:dc="http://purl.org/dc/elements/1.1/">aichef.pro/en/digital-products/sushi-restaurant-business-plan</dc:description>
  <dc:subject xmlns:dc="http://purl.org/dc/elements/1.1/">Sushi Restaurant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2026-10-31T02:50:49Z</dcterms:modified>
  <cp:lastModifiedBy>AI Chef Pro</cp:lastModifiedBy>
  <cp:category>AI Chef Pro · Digital products</cp:category>
  <cp:keywords>sushi restaurant business plan, sushi bar business plan, how to open a sushi restaurant, sushi restaurant startup costs, sushi cost per roll, AI Chef Pro</cp:keywords>
</cp:coreProperties>
</file>