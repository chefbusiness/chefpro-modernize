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sh Yield" sheetId="1" state="visible" r:id="rId1"/>
    <sheet xmlns:r="http://schemas.openxmlformats.org/officeDocument/2006/relationships" name="Sushi Rice" sheetId="2" state="visible" r:id="rId2"/>
    <sheet xmlns:r="http://schemas.openxmlformats.org/officeDocument/2006/relationships" name="Costing" sheetId="3" state="visible" r:id="rId3"/>
    <sheet xmlns:r="http://schemas.openxmlformats.org/officeDocument/2006/relationships" name="Instructions" sheetId="4" state="visible" r:id="rId4"/>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
    <numFmt numFmtId="167" formatCode="#,##0.0;-#,##0.0;&quot;-&quot;"/>
    <numFmt numFmtId="168" formatCode="#,##0.00;-#,##0.00;&quot;-&quot;"/>
  </numFmts>
  <fonts count="6">
    <font>
      <name val="Calibri"/>
      <family val="2"/>
      <color theme="1"/>
      <sz val="11"/>
      <scheme val="minor"/>
    </font>
    <font>
      <name val="Calibri"/>
      <b val="1"/>
      <sz val="14"/>
    </font>
    <font>
      <name val="Calibri"/>
      <sz val="11"/>
    </font>
    <font>
      <name val="Calibri"/>
      <b val="1"/>
      <sz val="11"/>
    </font>
    <font>
      <name val="Calibri"/>
      <i val="1"/>
      <sz val="11"/>
    </font>
    <font>
      <name val="Calibri"/>
      <b val="1"/>
      <sz val="13"/>
    </font>
  </fonts>
  <fills count="4">
    <fill>
      <patternFill/>
    </fill>
    <fill>
      <patternFill patternType="gray125"/>
    </fill>
    <fill>
      <patternFill patternType="solid">
        <fgColor rgb="00F2F2F2"/>
      </patternFill>
    </fill>
    <fill>
      <patternFill patternType="solid">
        <fgColor rgb="00E8F5E9"/>
      </patternFill>
    </fill>
  </fills>
  <borders count="1">
    <border>
      <left/>
      <right/>
      <top/>
      <bottom/>
      <diagonal/>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2" borderId="0" applyAlignment="1" pivotButton="0" quotePrefix="0" xfId="0">
      <alignment vertical="top" wrapText="1"/>
    </xf>
    <xf numFmtId="0" fontId="3" fillId="2" borderId="0" applyAlignment="1" pivotButton="0" quotePrefix="0" xfId="0">
      <alignment vertical="top"/>
    </xf>
    <xf numFmtId="0" fontId="3" fillId="3" borderId="0" applyAlignment="1" applyProtection="1" pivotButton="0" quotePrefix="0" xfId="0">
      <alignment vertical="top" wrapText="1"/>
      <protection locked="0" hidden="0"/>
    </xf>
    <xf numFmtId="0" fontId="2" fillId="0" borderId="0" applyAlignment="1" pivotButton="0" quotePrefix="0" xfId="0">
      <alignment vertical="top"/>
    </xf>
    <xf numFmtId="4" fontId="2" fillId="3" borderId="0" applyAlignment="1" applyProtection="1" pivotButton="0" quotePrefix="0" xfId="0">
      <alignment vertical="top"/>
      <protection locked="0" hidden="0"/>
    </xf>
    <xf numFmtId="164" fontId="2" fillId="3" borderId="0" applyAlignment="1" applyProtection="1" pivotButton="0" quotePrefix="0" xfId="0">
      <alignment vertical="top"/>
      <protection locked="0" hidden="0"/>
    </xf>
    <xf numFmtId="165" fontId="2" fillId="3" borderId="0" applyAlignment="1" applyProtection="1" pivotButton="0" quotePrefix="0" xfId="0">
      <alignment vertical="top"/>
      <protection locked="0" hidden="0"/>
    </xf>
    <xf numFmtId="0" fontId="2" fillId="3" borderId="0" applyAlignment="1" applyProtection="1" pivotButton="0" quotePrefix="0" xfId="0">
      <alignment vertical="top" wrapText="1"/>
      <protection locked="0" hidden="0"/>
    </xf>
    <xf numFmtId="0" fontId="0" fillId="0" borderId="0" applyProtection="1" pivotButton="0" quotePrefix="0" xfId="0">
      <protection locked="0" hidden="0"/>
    </xf>
    <xf numFmtId="3" fontId="2" fillId="2" borderId="0" applyAlignment="1" pivotButton="0" quotePrefix="0" xfId="0">
      <alignment vertical="top"/>
    </xf>
    <xf numFmtId="164" fontId="2" fillId="0" borderId="0" applyAlignment="1" pivotButton="0" quotePrefix="0" xfId="0">
      <alignment vertical="top"/>
    </xf>
    <xf numFmtId="0" fontId="3" fillId="0" borderId="0" applyAlignment="1" pivotButton="0" quotePrefix="0" xfId="0">
      <alignment vertical="top"/>
    </xf>
    <xf numFmtId="4" fontId="3" fillId="0" borderId="0" applyAlignment="1" pivotButton="0" quotePrefix="0" xfId="0">
      <alignment vertical="top"/>
    </xf>
    <xf numFmtId="166" fontId="2" fillId="0" borderId="0" applyAlignment="1" pivotButton="0" quotePrefix="0" xfId="0">
      <alignment vertical="top"/>
    </xf>
    <xf numFmtId="4" fontId="2" fillId="0" borderId="0" applyAlignment="1" pivotButton="0" quotePrefix="0" xfId="0">
      <alignment vertical="top"/>
    </xf>
    <xf numFmtId="0" fontId="3" fillId="0" borderId="0" applyAlignment="1" pivotButton="0" quotePrefix="0" xfId="0">
      <alignment vertical="top" wrapText="1"/>
    </xf>
    <xf numFmtId="166" fontId="2" fillId="3" borderId="0" applyAlignment="1" applyProtection="1" pivotButton="0" quotePrefix="0" xfId="0">
      <alignment vertical="top"/>
      <protection locked="0" hidden="0"/>
    </xf>
    <xf numFmtId="3" fontId="2" fillId="3" borderId="0" applyAlignment="1" applyProtection="1" pivotButton="0" quotePrefix="0" xfId="0">
      <alignment vertical="top"/>
      <protection locked="0" hidden="0"/>
    </xf>
    <xf numFmtId="3" fontId="3" fillId="0" borderId="0" applyAlignment="1" pivotButton="0" quotePrefix="0" xfId="0">
      <alignment vertical="top"/>
    </xf>
    <xf numFmtId="0" fontId="3" fillId="3" borderId="0" applyAlignment="1" applyProtection="1" pivotButton="0" quotePrefix="0" xfId="0">
      <alignment vertical="top"/>
      <protection locked="0" hidden="0"/>
    </xf>
    <xf numFmtId="1" fontId="2" fillId="3" borderId="0" applyAlignment="1" applyProtection="1" pivotButton="0" quotePrefix="0" xfId="0">
      <alignment vertical="top"/>
      <protection locked="0" hidden="0"/>
    </xf>
    <xf numFmtId="167" fontId="2" fillId="3" borderId="0" applyAlignment="1" applyProtection="1" pivotButton="0" quotePrefix="0" xfId="0">
      <alignment vertical="top"/>
      <protection locked="0" hidden="0"/>
    </xf>
    <xf numFmtId="168" fontId="2" fillId="3" borderId="0" applyAlignment="1" applyProtection="1" pivotButton="0" quotePrefix="0" xfId="0">
      <alignment vertical="top"/>
      <protection locked="0" hidden="0"/>
    </xf>
    <xf numFmtId="4" fontId="3" fillId="3" borderId="0" applyAlignment="1" applyProtection="1" pivotButton="0" quotePrefix="0" xfId="0">
      <alignment vertical="top"/>
      <protection locked="0" hidden="0"/>
    </xf>
    <xf numFmtId="166" fontId="3" fillId="0" borderId="0" applyAlignment="1" pivotButton="0" quotePrefix="0" xfId="0">
      <alignment vertical="top"/>
    </xf>
    <xf numFmtId="164" fontId="3" fillId="0" borderId="0" applyAlignment="1" pivotButton="0" quotePrefix="0" xfId="0">
      <alignment vertical="top"/>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dxfs count="3">
    <dxf>
      <fill>
        <patternFill patternType="solid">
          <fgColor rgb="00C6E0B4"/>
          <bgColor rgb="00C6E0B4"/>
        </patternFill>
      </fill>
    </dxf>
    <dxf>
      <fill>
        <patternFill patternType="solid">
          <fgColor rgb="00F8CBAD"/>
          <bgColor rgb="00F8CBAD"/>
        </patternFill>
      </fill>
    </dxf>
    <dxf>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41"/>
  <sheetViews>
    <sheetView showGridLines="0" workbookViewId="0">
      <selection activeCell="A1" sqref="A1"/>
    </sheetView>
  </sheetViews>
  <sheetFormatPr baseColWidth="8" defaultRowHeight="15"/>
  <cols>
    <col width="62" customWidth="1" min="1" max="1"/>
    <col width="19" customWidth="1" min="2" max="2"/>
    <col width="19" customWidth="1" min="3" max="3"/>
    <col width="19" customWidth="1" min="4" max="4"/>
    <col width="19" customWidth="1" min="5" max="5"/>
    <col width="72" customWidth="1" min="6" max="6"/>
  </cols>
  <sheetData>
    <row r="1">
      <c r="A1" s="1" t="inlineStr">
        <is>
          <t>FISH YIELD CALCULATOR — COST PER USABLE LB, PER SLICE, PER CUT AND PER ROLL</t>
        </is>
      </c>
    </row>
    <row r="2" ht="32" customHeight="1">
      <c r="A2" s="2" t="inlineStr">
        <is>
          <t>Type only in the GREEN cells: everything else is calculated. Amounts are before sales tax. Every default is a Kit estimate, editable: replace it with your distributor's price and, above all, with what you measure on your own fish.</t>
        </is>
      </c>
    </row>
    <row r="3" ht="64" customHeight="1">
      <c r="A3" s="3" t="inlineStr">
        <is>
          <t>FIXED NOTICE. Parasite destruction (FDA Food Code 2022, 3-402.11): fish served raw or undercooked is frozen at −4 °F or below for 168 hours (7 days), or at −31 °F until solid and held 15 hours, or at −31 °F until solid and held 24 hours at −4 °F. Tuna species are exempt; feed-raised aquaculture fish only with a written statement from the supplier or the farm. Keep the records 90 days (3-402.12). Your county's rules may be stricter. The cleaning minutes (25) have no source: time it.</t>
        </is>
      </c>
    </row>
    <row r="5" ht="62" customHeight="1">
      <c r="A5" s="4" t="inlineStr">
        <is>
          <t>A. THREE FISH AND ONE FREE COLUMN</t>
        </is>
      </c>
      <c r="B5" s="5" t="inlineStr">
        <is>
          <t>Whole farmed Atlantic salmon</t>
        </is>
      </c>
      <c r="C5" s="5" t="inlineStr">
        <is>
          <t>Salmon fillet, skin-on, pin-bone out</t>
        </is>
      </c>
      <c r="D5" s="5" t="inlineStr">
        <is>
          <t>Yellowfin tuna saku block (frozen)</t>
        </is>
      </c>
      <c r="E5" s="5" t="inlineStr">
        <is>
          <t>Other fish (type yours)</t>
        </is>
      </c>
      <c r="F5" s="4" t="inlineStr">
        <is>
          <t>Notes</t>
        </is>
      </c>
    </row>
    <row r="6" ht="60" customHeight="1">
      <c r="A6" s="6" t="inlineStr">
        <is>
          <t>Purchase price ($/lb, before tax)</t>
        </is>
      </c>
      <c r="B6" s="7" t="n">
        <v>7.5</v>
      </c>
      <c r="C6" s="7" t="n">
        <v>20</v>
      </c>
      <c r="D6" s="7" t="n">
        <v>23</v>
      </c>
      <c r="E6" s="7" t="n">
        <v>24.5</v>
      </c>
      <c r="F6" s="2" t="inlineStr">
        <is>
          <t>No wholesale price was read for sushi salmon in Oct 2026: NYC auction reports $18-24/lb for sushi salmon (weak source) and yellowfin saku retails at about $22.99/lb (Costco). The kit puts 7.50 · 20.00 · 23.00 · 24.50 $/lb. Kit estimate (Oct 2026): replace with your distributor's price.</t>
        </is>
      </c>
    </row>
    <row r="7" ht="45" customHeight="1">
      <c r="A7" s="6" t="inlineStr">
        <is>
          <t>Yield: usable loin over the weight you buy</t>
        </is>
      </c>
      <c r="B7" s="8" t="n">
        <v>0.55</v>
      </c>
      <c r="C7" s="8" t="n">
        <v>0.85</v>
      </c>
      <c r="D7" s="8" t="n">
        <v>0.9</v>
      </c>
      <c r="E7" s="8" t="n">
        <v>0.8</v>
      </c>
      <c r="F7" s="2" t="inlineStr">
        <is>
          <t>Usable loin is 45-60% of a whole salmon (secondary sources). Measure it with 3 fish (see the "Instructions" sheet). For a saku block it is the share you keep after trimming. Kit estimate, editable.</t>
        </is>
      </c>
    </row>
    <row r="8" ht="30" customHeight="1">
      <c r="A8" s="6" t="inlineStr">
        <is>
          <t>Trim you reuse (% of the weight you buy)</t>
        </is>
      </c>
      <c r="B8" s="8" t="n">
        <v>0.15</v>
      </c>
      <c r="C8" s="8" t="n">
        <v>0.03</v>
      </c>
      <c r="D8" s="8" t="n">
        <v>0.05</v>
      </c>
      <c r="E8" s="8" t="n">
        <v>0.05</v>
      </c>
      <c r="F8" s="2" t="inlineStr">
        <is>
          <t>Trim you reuse (spicy mix, maki, poke), as a % of the weight you buy. What you throw away does not count here. Kit estimate, editable.</t>
        </is>
      </c>
    </row>
    <row r="10">
      <c r="A10" s="4" t="inlineStr">
        <is>
          <t>B. COMMON INPUTS</t>
        </is>
      </c>
      <c r="B10" s="4" t="inlineStr">
        <is>
          <t>Value</t>
        </is>
      </c>
      <c r="C10" s="4" t="inlineStr">
        <is>
          <t>Notes</t>
        </is>
      </c>
    </row>
    <row r="11" ht="16" customHeight="1">
      <c r="A11" s="6" t="inlineStr">
        <is>
          <t>Case shrink (% of cut fish that is not sold)</t>
        </is>
      </c>
      <c r="B11" s="8" t="n">
        <v>0.05</v>
      </c>
      <c r="C11" s="2" t="inlineStr">
        <is>
          <t>Fish left in the sushi case or at the pass and thrown out at close. Kit estimate, editable.</t>
        </is>
      </c>
    </row>
    <row r="12" ht="16" customHeight="1">
      <c r="A12" s="6" t="inlineStr">
        <is>
          <t>Ounces of fish per nigiri slice (oz)</t>
        </is>
      </c>
      <c r="B12" s="7" t="n">
        <v>0.5</v>
      </c>
      <c r="C12" s="2" t="inlineStr">
        <is>
          <t>Kit standard: weigh 10 slices and use the average. Kit estimate, editable.</t>
        </is>
      </c>
    </row>
    <row r="13" ht="16" customHeight="1">
      <c r="A13" s="6" t="inlineStr">
        <is>
          <t>Ounces per sashimi cut (oz)</t>
        </is>
      </c>
      <c r="B13" s="7" t="n">
        <v>0.5</v>
      </c>
      <c r="C13" s="2" t="inlineStr">
        <is>
          <t>Weigh 10 cuts and use the average. Kit estimate, editable.</t>
        </is>
      </c>
    </row>
    <row r="14" ht="16" customHeight="1">
      <c r="A14" s="6" t="inlineStr">
        <is>
          <t>Ounces of fish per roll (oz)</t>
        </is>
      </c>
      <c r="B14" s="7" t="n">
        <v>1.5</v>
      </c>
      <c r="C14" s="2" t="inlineStr">
        <is>
          <t>A roll of 6 to 8 pieces with fish inside. Kit estimate, editable.</t>
        </is>
      </c>
    </row>
    <row r="15" ht="16" customHeight="1">
      <c r="A15" s="6" t="inlineStr">
        <is>
          <t>Cleaning minutes per whole fish (min)</t>
        </is>
      </c>
      <c r="B15" s="9" t="n">
        <v>25</v>
      </c>
      <c r="C15" s="2" t="inlineStr">
        <is>
          <t>No source: time it. Time the cleaning of 3 fish and use the average. Kit estimate, editable.</t>
        </is>
      </c>
    </row>
    <row r="16" ht="16" customHeight="1">
      <c r="A16" s="6" t="inlineStr">
        <is>
          <t>Head sushi chef cost per hour ($/h)</t>
        </is>
      </c>
      <c r="B16" s="7" t="n">
        <v>33</v>
      </c>
      <c r="C16" s="2" t="inlineStr">
        <is>
          <t>$5,199 a month × 12 + 10% payroll taxes ÷ 2,080 h ≈ $33/h. Kit estimate, editable.</t>
        </is>
      </c>
    </row>
    <row r="17" ht="16" customHeight="1">
      <c r="A17" s="6" t="inlineStr">
        <is>
          <t>Weight of a whole fish (lb)</t>
        </is>
      </c>
      <c r="B17" s="7" t="n">
        <v>11</v>
      </c>
      <c r="C17" s="2" t="inlineStr">
        <is>
          <t>Whole farmed salmon of about 11 lb. Kit estimate, editable.</t>
        </is>
      </c>
    </row>
    <row r="18" ht="32" customHeight="1">
      <c r="A18" s="6" t="inlineStr">
        <is>
          <t>Parasite destruction: freezing or statement (dropdown)</t>
        </is>
      </c>
      <c r="B18" s="10" t="inlineStr">
        <is>
          <t>I freeze in-house: −4 °F for 7 days or a −31 °F option</t>
        </is>
      </c>
      <c r="C18" s="11" t="n"/>
      <c r="D18" s="11" t="n"/>
      <c r="E18" s="11" t="n"/>
    </row>
    <row r="19" ht="16" customHeight="1">
      <c r="A19" s="6" t="inlineStr">
        <is>
          <t>Ounces per lb (constant: 16 oz per lb)</t>
        </is>
      </c>
      <c r="B19" s="12" t="n">
        <v>16</v>
      </c>
      <c r="C19" s="2" t="inlineStr">
        <is>
          <t>Constant: 1 lb = 16 oz. Not editable.</t>
        </is>
      </c>
    </row>
    <row r="20" ht="16" customHeight="1">
      <c r="A20" s="6" t="inlineStr">
        <is>
          <t>Minutes per hour (constant: 60 minutes per hour)</t>
        </is>
      </c>
      <c r="B20" s="12" t="n">
        <v>60</v>
      </c>
      <c r="C20" s="2" t="inlineStr">
        <is>
          <t>Constant: 1 hour = 60 minutes. Not editable.</t>
        </is>
      </c>
    </row>
    <row r="22" ht="62" customHeight="1">
      <c r="A22" s="4" t="inlineStr">
        <is>
          <t>C. COST PER USABLE LB AND PER PIECE</t>
        </is>
      </c>
      <c r="B22" s="3" t="str">
        <f>B5</f>
        <v>Whole farmed Atlantic salmon</v>
      </c>
      <c r="C22" s="3" t="str">
        <f>C5</f>
        <v>Salmon fillet, skin-on, pin-bone out</v>
      </c>
      <c r="D22" s="3" t="str">
        <f>D5</f>
        <v>Yellowfin tuna saku block (frozen)</v>
      </c>
      <c r="E22" s="3" t="str">
        <f>E5</f>
        <v>Other fish (type yours)</v>
      </c>
      <c r="F22" s="4" t="inlineStr">
        <is>
          <t>Notes</t>
        </is>
      </c>
    </row>
    <row r="23" ht="16" customHeight="1">
      <c r="A23" s="6" t="inlineStr">
        <is>
          <t>Share used (yield + trim)</t>
        </is>
      </c>
      <c r="B23" s="13">
        <f>B$7+B$8</f>
        <v>0.7000000000000001</v>
      </c>
      <c r="C23" s="13">
        <f>C$7+C$8</f>
        <v>0.88</v>
      </c>
      <c r="D23" s="13">
        <f>D$7+D$8</f>
        <v>0.9500000000000001</v>
      </c>
      <c r="E23" s="13">
        <f>E$7+E$8</f>
        <v>0.8500000000000001</v>
      </c>
      <c r="F23" s="2" t="inlineStr">
        <is>
          <t>Loin plus the trim you reuse.</t>
        </is>
      </c>
    </row>
    <row r="24" ht="16" customHeight="1">
      <c r="A24" s="14" t="inlineStr">
        <is>
          <t>COST PER USABLE LB ($)</t>
        </is>
      </c>
      <c r="B24" s="15">
        <f>B$6/B$23/(1-$B$11)</f>
        <v>11.278195488721805</v>
      </c>
      <c r="C24" s="15">
        <f>C$6/C$23/(1-$B$11)</f>
        <v>23.923444976076556</v>
      </c>
      <c r="D24" s="15">
        <f>D$6/D$23/(1-$B$11)</f>
        <v>25.484764542936286</v>
      </c>
      <c r="E24" s="15">
        <f>E$6/E$23/(1-$B$11)</f>
        <v>30.340557275541794</v>
      </c>
      <c r="F24" s="2" t="inlineStr">
        <is>
          <t>Price ÷ (yield + trim) ÷ (1 − case shrink).</t>
        </is>
      </c>
    </row>
    <row r="25" ht="16" customHeight="1">
      <c r="A25" s="6" t="inlineStr">
        <is>
          <t>Cost of a nigiri slice ($)</t>
        </is>
      </c>
      <c r="B25" s="16">
        <f>B$24*$B$12/$B$19</f>
        <v>0.3524436090225564</v>
      </c>
      <c r="C25" s="16">
        <f>C$24*$B$12/$B$19</f>
        <v>0.7476076555023924</v>
      </c>
      <c r="D25" s="16">
        <f>D$24*$B$12/$B$19</f>
        <v>0.796398891966759</v>
      </c>
      <c r="E25" s="16">
        <f>E$24*$B$12/$B$19</f>
        <v>0.9481424148606811</v>
      </c>
      <c r="F25" s="2" t="inlineStr">
        <is>
          <t>Cost per usable lb × ounces ÷ 16.</t>
        </is>
      </c>
    </row>
    <row r="26" ht="16" customHeight="1">
      <c r="A26" s="6" t="inlineStr">
        <is>
          <t>Cost of a sashimi cut ($)</t>
        </is>
      </c>
      <c r="B26" s="16">
        <f>B$24*$B$13/$B$19</f>
        <v>0.3524436090225564</v>
      </c>
      <c r="C26" s="16">
        <f>C$24*$B$13/$B$19</f>
        <v>0.7476076555023924</v>
      </c>
      <c r="D26" s="16">
        <f>D$24*$B$13/$B$19</f>
        <v>0.796398891966759</v>
      </c>
      <c r="E26" s="16">
        <f>E$24*$B$13/$B$19</f>
        <v>0.9481424148606811</v>
      </c>
      <c r="F26" s="2" t="inlineStr">
        <is>
          <t>Cost per usable lb × ounces ÷ 16.</t>
        </is>
      </c>
    </row>
    <row r="27" ht="16" customHeight="1">
      <c r="A27" s="6" t="inlineStr">
        <is>
          <t>Cost of the fish in a roll ($)</t>
        </is>
      </c>
      <c r="B27" s="16">
        <f>B$24*$B$14/$B$19</f>
        <v>1.0573308270676691</v>
      </c>
      <c r="C27" s="16">
        <f>C$24*$B$14/$B$19</f>
        <v>2.2428229665071773</v>
      </c>
      <c r="D27" s="16">
        <f>D$24*$B$14/$B$19</f>
        <v>2.3891966759002767</v>
      </c>
      <c r="E27" s="16">
        <f>E$24*$B$14/$B$19</f>
        <v>2.844427244582043</v>
      </c>
      <c r="F27" s="2" t="inlineStr">
        <is>
          <t>Cost per usable lb × ounces ÷ 16.</t>
        </is>
      </c>
    </row>
    <row r="29">
      <c r="A29" s="4" t="inlineStr">
        <is>
          <t>D. WHOLE FISH OR FILLET?</t>
        </is>
      </c>
      <c r="B29" s="4" t="inlineStr">
        <is>
          <t>Value</t>
        </is>
      </c>
      <c r="C29" s="4" t="inlineStr">
        <is>
          <t>Notes</t>
        </is>
      </c>
    </row>
    <row r="30" ht="16" customHeight="1">
      <c r="A30" s="2" t="inlineStr">
        <is>
          <t>Cost of cleaning one whole fish ($)</t>
        </is>
      </c>
      <c r="B30" s="17">
        <f>$B$15/$B$20*$B$16</f>
        <v>13.75</v>
      </c>
      <c r="C30" s="2" t="inlineStr">
        <is>
          <t>Cleaning minutes ÷ 60 × head sushi chef cost per hour.</t>
        </is>
      </c>
    </row>
    <row r="31" ht="16" customHeight="1">
      <c r="A31" s="2" t="inlineStr">
        <is>
          <t>Usable lb of one whole fish (lb)</t>
        </is>
      </c>
      <c r="B31" s="17">
        <f>$B$17*$B$7</f>
        <v>6.050000000000001</v>
      </c>
      <c r="C31" s="2" t="inlineStr">
        <is>
          <t>Weight of the fish × yield of the whole salmon.</t>
        </is>
      </c>
    </row>
    <row r="32" ht="16" customHeight="1">
      <c r="A32" s="18" t="inlineStr">
        <is>
          <t>CLEANING LABOR PER USABLE LB ($)</t>
        </is>
      </c>
      <c r="B32" s="15">
        <f>$B$30/$B$31</f>
        <v>2.2727272727272725</v>
      </c>
      <c r="C32" s="2" t="inlineStr">
        <is>
          <t>Cost of cleaning one fish ÷ usable pounds.</t>
        </is>
      </c>
    </row>
    <row r="33" ht="16" customHeight="1">
      <c r="A33" s="2" t="inlineStr">
        <is>
          <t>Cost per usable lb of the whole fish with cleaning included ($)</t>
        </is>
      </c>
      <c r="B33" s="17">
        <f>$B$24+$B$32</f>
        <v>13.550922761449076</v>
      </c>
      <c r="C33" s="2" t="inlineStr">
        <is>
          <t>Cost per usable lb + cleaning labor per usable lb.</t>
        </is>
      </c>
    </row>
    <row r="34" ht="32" customHeight="1">
      <c r="A34" s="18" t="inlineStr">
        <is>
          <t>THE WHOLE FISH PAYS OFF AS LONG AS CLEANING COSTS LESS THAN ($ per usable lb)</t>
        </is>
      </c>
      <c r="B34" s="15">
        <f>$C$24-$B$24</f>
        <v>12.645249487354752</v>
      </c>
      <c r="C34" s="2" t="inlineStr">
        <is>
          <t>Cost per usable lb of the fillet − cost per usable lb of the whole fish.</t>
        </is>
      </c>
    </row>
    <row r="35" ht="32" customHeight="1">
      <c r="A35" s="18" t="inlineStr">
        <is>
          <t>Verdict with your labor</t>
        </is>
      </c>
      <c r="B35" s="18" t="str">
        <f>IF($B$32&lt;$B$34,"The whole fish pays off","Buy the fillet")</f>
        <v>The whole fish pays off</v>
      </c>
      <c r="C35" s="2" t="inlineStr">
        <is>
          <t>The whole fish pays off if cleaning costs less than that difference.</t>
        </is>
      </c>
    </row>
    <row r="36" ht="48" customHeight="1">
      <c r="A36" s="2" t="inlineStr">
        <is>
          <t>Reminder for your parasite case</t>
        </is>
      </c>
      <c r="B36" s="2" t="str">
        <f>INDEX($B$39:$B$41,MATCH($B$18,$A$39:$A$41,0))</f>
        <v>FDA Food Code 2022, 3-402.11: −4 °F or below for 168 hours (7 days), or −31 °F until solid and 15 hours, or −31 °F until solid and 24 hours at −4 °F. Log time and temperature of every lot and keep the records 90 days (3-402.12).</v>
      </c>
    </row>
    <row r="38">
      <c r="A38" s="4" t="inlineStr">
        <is>
          <t>PARASITE DROPDOWN LIST</t>
        </is>
      </c>
      <c r="B38" s="4" t="inlineStr">
        <is>
          <t>Reminder</t>
        </is>
      </c>
    </row>
    <row r="39" ht="32" customHeight="1">
      <c r="A39" s="2" t="inlineStr">
        <is>
          <t>I freeze in-house: −4 °F for 7 days or a −31 °F option</t>
        </is>
      </c>
      <c r="B39" s="2" t="inlineStr">
        <is>
          <t>FDA Food Code 2022, 3-402.11: −4 °F or below for 168 hours (7 days), or −31 °F until solid and 15 hours, or −31 °F until solid and 24 hours at −4 °F. Log time and temperature of every lot and keep the records 90 days (3-402.12).</t>
        </is>
      </c>
    </row>
    <row r="40" ht="32" customHeight="1">
      <c r="A40" s="2" t="inlineStr">
        <is>
          <t>Arrives frozen with a supplier letter</t>
        </is>
      </c>
      <c r="B40" s="2" t="inlineStr">
        <is>
          <t>Keep the supplier's written agreement or statement for every lot: it must show the freezing time and temperature. Keep it 90 days after you serve the fish (3-402.12).</t>
        </is>
      </c>
    </row>
    <row r="41" ht="32" customHeight="1">
      <c r="A41" s="2" t="inlineStr">
        <is>
          <t>Exempt: tuna species or feed-raised aquaculture</t>
        </is>
      </c>
      <c r="B41" s="2" t="inlineStr">
        <is>
          <t>Tuna (Thunnus species) is exempt; feed-raised aquaculture fish such as farmed salmon is exempt only with a written statement from the supplier or the farm. Keep the tuna invoice that names the species, file the statement and ask again if the source changes.</t>
        </is>
      </c>
    </row>
  </sheetData>
  <sheetProtection selectLockedCells="0" selectUnlockedCells="0" sheet="1" objects="0" insertRows="1" insertHyperlinks="1" autoFilter="1" scenarios="0" formatColumns="1" deleteColumns="1" insertColumns="1" pivotTables="1" deleteRows="1" formatCells="1" formatRows="1" sort="1"/>
  <mergeCells count="24">
    <mergeCell ref="C17:F17"/>
    <mergeCell ref="C32:F32"/>
    <mergeCell ref="A3:F3"/>
    <mergeCell ref="C19:F19"/>
    <mergeCell ref="B36:E36"/>
    <mergeCell ref="C13:F13"/>
    <mergeCell ref="A2:F2"/>
    <mergeCell ref="C18:F18"/>
    <mergeCell ref="B39:F39"/>
    <mergeCell ref="C34:F34"/>
    <mergeCell ref="C30:F30"/>
    <mergeCell ref="C15:F15"/>
    <mergeCell ref="C33:F33"/>
    <mergeCell ref="B41:F41"/>
    <mergeCell ref="C14:F14"/>
    <mergeCell ref="B18:E18"/>
    <mergeCell ref="C35:F35"/>
    <mergeCell ref="C20:F20"/>
    <mergeCell ref="C16:F16"/>
    <mergeCell ref="B40:F40"/>
    <mergeCell ref="C31:F31"/>
    <mergeCell ref="C12:F12"/>
    <mergeCell ref="C11:F11"/>
    <mergeCell ref="C36:F36"/>
  </mergeCells>
  <conditionalFormatting sqref="B35">
    <cfRule type="expression" priority="1" dxfId="0">
      <formula>$B$35="The whole fish pays off"</formula>
    </cfRule>
    <cfRule type="expression" priority="2" dxfId="1">
      <formula>$B$35="Buy the fillet"</formula>
    </cfRule>
  </conditionalFormatting>
  <dataValidations count="6">
    <dataValidation sqref="B6 C6 D6 E6" showDropDown="0" showInputMessage="0" showErrorMessage="1" allowBlank="0" errorTitle="Invalid value" error="Type a number greater than 0." type="decimal" operator="greaterThan">
      <formula1>0</formula1>
    </dataValidation>
    <dataValidation sqref="B7 C7 D7 E7" showDropDown="0" showInputMessage="0" showErrorMessage="1" allowBlank="0" errorTitle="Invalid yield" error="Type a value between 0.3 and 1 (0.55 = 55%)." type="decimal" operator="between">
      <formula1>0.3</formula1>
      <formula2>1</formula2>
    </dataValidation>
    <dataValidation sqref="B8 B11 C8 D8 E8" showDropDown="0" showInputMessage="0" showErrorMessage="1" allowBlank="0" errorTitle="Invalid percentage" error="Type a percentage between 0 and 0.5 (0.05 = 5%)." type="decimal" operator="between">
      <formula1>0</formula1>
      <formula2>0.5</formula2>
    </dataValidation>
    <dataValidation sqref="B12 B13 B14 B17" showDropDown="0" showInputMessage="0" showErrorMessage="1" allowBlank="0" errorTitle="Invalid value" error="Type a number greater than 0." type="decimal" operator="greaterThan">
      <formula1>0</formula1>
    </dataValidation>
    <dataValidation sqref="B15 B16" showDropDown="0" showInputMessage="0" showErrorMessage="1" allowBlank="0" errorTitle="Invalid value" error="Type a number greater than or equal to 0." type="decimal" operator="greaterThanOrEqual">
      <formula1>0</formula1>
    </dataValidation>
    <dataValidation sqref="B18" showDropDown="0" showInputMessage="0" showErrorMessage="1" allowBlank="0" errorTitle="Invalid option" error="Pick an option from the list." type="list">
      <formula1>$A$39:$A$41</formula1>
    </dataValidation>
  </dataValidation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44"/>
  <sheetViews>
    <sheetView showGridLines="0" workbookViewId="0">
      <selection activeCell="A1" sqref="A1"/>
    </sheetView>
  </sheetViews>
  <sheetFormatPr baseColWidth="8" defaultRowHeight="15"/>
  <cols>
    <col width="60" customWidth="1" min="1" max="1"/>
    <col width="15" customWidth="1" min="2" max="2"/>
    <col width="15" customWidth="1" min="3" max="3"/>
    <col width="16" customWidth="1" min="4" max="4"/>
    <col width="14" customWidth="1" min="5" max="5"/>
    <col width="14" customWidth="1" min="6" max="6"/>
    <col width="14" customWidth="1" min="7" max="7"/>
    <col width="12" customWidth="1" min="8" max="8"/>
    <col width="15" customWidth="1" min="9" max="9"/>
  </cols>
  <sheetData>
    <row r="1">
      <c r="A1" s="1" t="inlineStr">
        <is>
          <t>SUSHI RICE CALCULATOR — HOW MUCH SUSHI RICE 1 LB MAKES, WHAT IT COSTS AND HOW MUCH TO BUY PER DAY</t>
        </is>
      </c>
    </row>
    <row r="2" ht="32" customHeight="1">
      <c r="A2" s="2" t="inlineStr">
        <is>
          <t>Type only in the GREEN cells: everything else is calculated. Amounts are before sales tax. Every default is a Kit estimate, editable: weigh your rice balls and replace the ounces with yours.</t>
        </is>
      </c>
    </row>
    <row r="3" ht="36" customHeight="1">
      <c r="A3" s="3" t="inlineStr">
        <is>
          <t>FIXED NOTICE. Time-stamp every batch (TPHC, 4 hours) or, if your county approved a variance, log the pH of every batch in your HACCP plan records.</t>
        </is>
      </c>
    </row>
    <row r="5">
      <c r="A5" s="4" t="inlineStr">
        <is>
          <t>A. THE RICE AND THE SUSHI RICE</t>
        </is>
      </c>
      <c r="B5" s="4" t="inlineStr">
        <is>
          <t>Value</t>
        </is>
      </c>
      <c r="C5" s="4" t="inlineStr">
        <is>
          <t>Notes</t>
        </is>
      </c>
    </row>
    <row r="6" ht="16" customHeight="1">
      <c r="A6" s="6" t="inlineStr">
        <is>
          <t>Raw sushi rice ($/lb, before tax)</t>
        </is>
      </c>
      <c r="B6" s="7" t="n">
        <v>1.04</v>
      </c>
      <c r="C6" s="2" t="inlineStr">
        <is>
          <t>50 lb bag $51.99 = $1.04/lb, webstaurantstore.com, Oct 2026; other medium-grain brands $1.24-1.28/lb.</t>
        </is>
      </c>
    </row>
    <row r="7" ht="16" customHeight="1">
      <c r="A7" s="6" t="inlineStr">
        <is>
          <t>Raw to cooked factor (×)</t>
        </is>
      </c>
      <c r="B7" s="7" t="n">
        <v>2.2</v>
      </c>
      <c r="C7" s="2" t="inlineStr">
        <is>
          <t>1 lb of raw rice gives 2.2 lb of cooked rice. Kit estimate, editable.</t>
        </is>
      </c>
    </row>
    <row r="8" ht="16" customHeight="1">
      <c r="A8" s="6" t="inlineStr">
        <is>
          <t>Sushi vinegar (sushi-zu) per lb of cooked rice (fl oz)</t>
        </is>
      </c>
      <c r="B8" s="9" t="n">
        <v>1.5</v>
      </c>
      <c r="C8" s="2" t="inlineStr">
        <is>
          <t>Rice vinegar, sugar and salt: about 1.5 fl oz per lb of cooked rice. Kit estimate, editable.</t>
        </is>
      </c>
    </row>
    <row r="9" ht="16" customHeight="1">
      <c r="A9" s="6" t="inlineStr">
        <is>
          <t>Sushi vinegar ($/gallon, before tax)</t>
        </is>
      </c>
      <c r="B9" s="7" t="n">
        <v>20.5</v>
      </c>
      <c r="C9" s="2" t="inlineStr">
        <is>
          <t>Seasoned rice vinegar about $20.50/gal, webstaurantstore.com, Oct 2026.</t>
        </is>
      </c>
    </row>
    <row r="10" ht="16" customHeight="1">
      <c r="A10" s="6" t="inlineStr">
        <is>
          <t>Ounces of sushi rice per nigiri (oz)</t>
        </is>
      </c>
      <c r="B10" s="7" t="n">
        <v>0.75</v>
      </c>
      <c r="C10" s="2" t="inlineStr">
        <is>
          <t>Weigh 10 rice balls and use the average. Kit estimate, editable.</t>
        </is>
      </c>
    </row>
    <row r="11" ht="16" customHeight="1">
      <c r="A11" s="6" t="inlineStr">
        <is>
          <t>Ounces of sushi rice per maki (thin roll) (oz)</t>
        </is>
      </c>
      <c r="B11" s="7" t="n">
        <v>2.5</v>
      </c>
      <c r="C11" s="2" t="inlineStr">
        <is>
          <t>A thin roll of 6 pieces. Kit estimate, editable.</t>
        </is>
      </c>
    </row>
    <row r="12" ht="16" customHeight="1">
      <c r="A12" s="6" t="inlineStr">
        <is>
          <t>Ounces of sushi rice per inside-out roll (oz)</t>
        </is>
      </c>
      <c r="B12" s="7" t="n">
        <v>3</v>
      </c>
      <c r="C12" s="2" t="inlineStr">
        <is>
          <t>A roll of 8 pieces. Kit estimate, editable.</t>
        </is>
      </c>
    </row>
    <row r="13" ht="16" customHeight="1">
      <c r="A13" s="6" t="inlineStr">
        <is>
          <t>Ounces of sushi rice per hand roll (oz)</t>
        </is>
      </c>
      <c r="B13" s="7" t="n">
        <v>2</v>
      </c>
      <c r="C13" s="2" t="inlineStr">
        <is>
          <t>One cone. Kit estimate, editable.</t>
        </is>
      </c>
    </row>
    <row r="14" ht="16" customHeight="1">
      <c r="A14" s="6" t="inlineStr">
        <is>
          <t>Ounces of sushi rice per poke bowl (oz)</t>
        </is>
      </c>
      <c r="B14" s="7" t="n">
        <v>6</v>
      </c>
      <c r="C14" s="2" t="inlineStr">
        <is>
          <t>One bowl. Kit estimate, editable.</t>
        </is>
      </c>
    </row>
    <row r="15" ht="16" customHeight="1">
      <c r="A15" s="6" t="inlineStr">
        <is>
          <t>Nori ($ per sheet, before tax)</t>
        </is>
      </c>
      <c r="B15" s="19" t="n">
        <v>0.31</v>
      </c>
      <c r="C15" s="2" t="inlineStr">
        <is>
          <t>100 full sheets $31.49, webstaurantstore.com, Oct 2026.</t>
        </is>
      </c>
    </row>
    <row r="16" ht="16" customHeight="1">
      <c r="A16" s="6" t="inlineStr">
        <is>
          <t>Nori sheets per nigiri</t>
        </is>
      </c>
      <c r="B16" s="7" t="n">
        <v>0.05</v>
      </c>
      <c r="C16" s="2" t="inlineStr">
        <is>
          <t>The strip that holds the nigiri. Kit estimate, editable.</t>
        </is>
      </c>
    </row>
    <row r="17" ht="16" customHeight="1">
      <c r="A17" s="6" t="inlineStr">
        <is>
          <t>Nori sheets per maki</t>
        </is>
      </c>
      <c r="B17" s="7" t="n">
        <v>0.5</v>
      </c>
      <c r="C17" s="2" t="inlineStr">
        <is>
          <t>Half a sheet per roll. Kit estimate, editable.</t>
        </is>
      </c>
    </row>
    <row r="18" ht="16" customHeight="1">
      <c r="A18" s="6" t="inlineStr">
        <is>
          <t>Nori sheets per inside-out roll</t>
        </is>
      </c>
      <c r="B18" s="7" t="n">
        <v>0.5</v>
      </c>
      <c r="C18" s="2" t="inlineStr">
        <is>
          <t>Half a sheet per roll. Kit estimate, editable.</t>
        </is>
      </c>
    </row>
    <row r="19" ht="16" customHeight="1">
      <c r="A19" s="6" t="inlineStr">
        <is>
          <t>Nori sheets per hand roll</t>
        </is>
      </c>
      <c r="B19" s="7" t="n">
        <v>0.5</v>
      </c>
      <c r="C19" s="2" t="inlineStr">
        <is>
          <t>Half a sheet per cone. Kit estimate, editable.</t>
        </is>
      </c>
    </row>
    <row r="20" ht="16" customHeight="1">
      <c r="A20" s="6" t="inlineStr">
        <is>
          <t>Nori sheets per poke bowl</t>
        </is>
      </c>
      <c r="B20" s="7" t="n">
        <v>0.1</v>
      </c>
      <c r="C20" s="2" t="inlineStr">
        <is>
          <t>A little cut nori on top. Kit estimate, editable.</t>
        </is>
      </c>
    </row>
    <row r="21" ht="16" customHeight="1">
      <c r="A21" s="6" t="inlineStr">
        <is>
          <t>Sushi rice thrown out at close (%)</t>
        </is>
      </c>
      <c r="B21" s="8" t="n">
        <v>0.05</v>
      </c>
      <c r="C21" s="2" t="inlineStr">
        <is>
          <t>What is left and cannot be kept. Kit estimate, editable.</t>
        </is>
      </c>
    </row>
    <row r="22" ht="16" customHeight="1">
      <c r="A22" s="6" t="inlineStr">
        <is>
          <t>Covers per day</t>
        </is>
      </c>
      <c r="B22" s="20" t="n">
        <v>115</v>
      </c>
      <c r="C22" s="2" t="inlineStr">
        <is>
          <t>The case of the business plan. Replace with yours. Kit estimate, editable.</t>
        </is>
      </c>
    </row>
    <row r="23" ht="16" customHeight="1">
      <c r="A23" s="6" t="inlineStr">
        <is>
          <t>Ounces of sushi rice per cover (oz)</t>
        </is>
      </c>
      <c r="B23" s="7" t="n">
        <v>5</v>
      </c>
      <c r="C23" s="2" t="inlineStr">
        <is>
          <t>Pieces per cover × ounces per piece. Kit estimate, editable.</t>
        </is>
      </c>
    </row>
    <row r="24" ht="16" customHeight="1">
      <c r="A24" s="6" t="inlineStr">
        <is>
          <t>Ounces per lb (constant: 16 oz per lb)</t>
        </is>
      </c>
      <c r="B24" s="12" t="n">
        <v>16</v>
      </c>
      <c r="C24" s="2" t="inlineStr">
        <is>
          <t>Constant: 1 lb = 16 oz. Not editable.</t>
        </is>
      </c>
    </row>
    <row r="25" ht="16" customHeight="1">
      <c r="A25" s="6" t="inlineStr">
        <is>
          <t>Fluid ounces per gallon (constant: 128 fl oz per gallon)</t>
        </is>
      </c>
      <c r="B25" s="12" t="n">
        <v>128</v>
      </c>
      <c r="C25" s="2" t="inlineStr">
        <is>
          <t>Constant: 1 gallon = 128 fl oz. Not editable.</t>
        </is>
      </c>
    </row>
    <row r="27">
      <c r="A27" s="4" t="inlineStr">
        <is>
          <t>RESULTS</t>
        </is>
      </c>
      <c r="B27" s="4" t="inlineStr">
        <is>
          <t>Value</t>
        </is>
      </c>
      <c r="C27" s="4" t="inlineStr">
        <is>
          <t>Notes</t>
        </is>
      </c>
    </row>
    <row r="28" ht="16" customHeight="1">
      <c r="A28" s="14" t="inlineStr">
        <is>
          <t>LB OF SUSHI RICE PER LB OF RAW RICE (lb)</t>
        </is>
      </c>
      <c r="B28" s="15">
        <f>$B$7*(1+$B$8/$B$24)</f>
        <v>2.40625</v>
      </c>
      <c r="C28" s="2" t="inlineStr">
        <is>
          <t>Raw to cooked factor × (1 + vinegar fl oz ÷ 16).</t>
        </is>
      </c>
    </row>
    <row r="29" ht="16" customHeight="1">
      <c r="A29" s="14" t="inlineStr">
        <is>
          <t>COST PER LB OF SUSHI RICE ($)</t>
        </is>
      </c>
      <c r="B29" s="15">
        <f>($B$6+$B$7*$B$8/$B$25*$B$9)/$B$28</f>
        <v>0.6518506493506494</v>
      </c>
      <c r="C29" s="2" t="inlineStr">
        <is>
          <t>(Rice + vinegar for 1 lb of raw rice) ÷ lb of sushi rice.</t>
        </is>
      </c>
    </row>
    <row r="30" ht="16" customHeight="1">
      <c r="A30" s="6" t="inlineStr">
        <is>
          <t>Cost per lb of sushi rice with the close discard ($)</t>
        </is>
      </c>
      <c r="B30" s="17">
        <f>$B$29/(1-$B$21)</f>
        <v>0.6861585782638415</v>
      </c>
      <c r="C30" s="2" t="inlineStr">
        <is>
          <t>Cost per lb of sushi rice ÷ (1 − rice thrown out). It feeds the costing.</t>
        </is>
      </c>
    </row>
    <row r="31" ht="16" customHeight="1">
      <c r="A31" s="14" t="inlineStr">
        <is>
          <t>NIGIRI PER LB OF RAW RICE (pieces)</t>
        </is>
      </c>
      <c r="B31" s="21">
        <f>$B$24*$B$28/$B$10</f>
        <v>51.333333333333336</v>
      </c>
      <c r="C31" s="2" t="inlineStr">
        <is>
          <t>16 × lb of sushi rice per lb of raw rice ÷ ounces per nigiri.</t>
        </is>
      </c>
    </row>
    <row r="32" ht="16" customHeight="1">
      <c r="A32" s="6" t="inlineStr">
        <is>
          <t>Cost of the sushi rice in a nigiri ($)</t>
        </is>
      </c>
      <c r="B32" s="16">
        <f>$B$10*$B$30/$B$24</f>
        <v>0.03216368335611757</v>
      </c>
      <c r="C32" s="2" t="inlineStr">
        <is>
          <t>Ounces × cost per lb with discard ÷ 16.</t>
        </is>
      </c>
    </row>
    <row r="33" ht="16" customHeight="1">
      <c r="A33" s="6" t="inlineStr">
        <is>
          <t>Cost of the sushi rice in a maki ($)</t>
        </is>
      </c>
      <c r="B33" s="16">
        <f>$B$11*$B$30/$B$24</f>
        <v>0.10721227785372524</v>
      </c>
      <c r="C33" s="2" t="inlineStr">
        <is>
          <t>Ounces × cost per lb with discard ÷ 16.</t>
        </is>
      </c>
    </row>
    <row r="34" ht="16" customHeight="1">
      <c r="A34" s="6" t="inlineStr">
        <is>
          <t>Cost of the sushi rice in an inside-out roll ($)</t>
        </is>
      </c>
      <c r="B34" s="16">
        <f>$B$12*$B$30/$B$24</f>
        <v>0.12865473342447029</v>
      </c>
      <c r="C34" s="2" t="inlineStr">
        <is>
          <t>Ounces × cost per lb with discard ÷ 16.</t>
        </is>
      </c>
    </row>
    <row r="35" ht="16" customHeight="1">
      <c r="A35" s="6" t="inlineStr">
        <is>
          <t>Cost of the sushi rice in a hand roll ($)</t>
        </is>
      </c>
      <c r="B35" s="16">
        <f>$B$13*$B$30/$B$24</f>
        <v>0.08576982228298019</v>
      </c>
      <c r="C35" s="2" t="inlineStr">
        <is>
          <t>Ounces × cost per lb with discard ÷ 16.</t>
        </is>
      </c>
    </row>
    <row r="36" ht="16" customHeight="1">
      <c r="A36" s="6" t="inlineStr">
        <is>
          <t>Cost of the sushi rice in a poke bowl ($)</t>
        </is>
      </c>
      <c r="B36" s="16">
        <f>$B$14*$B$30/$B$24</f>
        <v>0.25730946684894057</v>
      </c>
      <c r="C36" s="2" t="inlineStr">
        <is>
          <t>Ounces × cost per lb with discard ÷ 16.</t>
        </is>
      </c>
    </row>
    <row r="37" ht="16" customHeight="1">
      <c r="A37" s="6" t="inlineStr">
        <is>
          <t>Cost of the nori in a nigiri ($)</t>
        </is>
      </c>
      <c r="B37" s="16">
        <f>$B$16*$B$15</f>
        <v>0.0155</v>
      </c>
      <c r="C37" s="2" t="inlineStr">
        <is>
          <t>Sheets × price per sheet.</t>
        </is>
      </c>
    </row>
    <row r="38" ht="16" customHeight="1">
      <c r="A38" s="6" t="inlineStr">
        <is>
          <t>Cost of the nori in a maki ($)</t>
        </is>
      </c>
      <c r="B38" s="16">
        <f>$B$17*$B$15</f>
        <v>0.155</v>
      </c>
      <c r="C38" s="2" t="inlineStr">
        <is>
          <t>Sheets × price per sheet.</t>
        </is>
      </c>
    </row>
    <row r="39" ht="16" customHeight="1">
      <c r="A39" s="6" t="inlineStr">
        <is>
          <t>Cost of the nori in an inside-out roll ($)</t>
        </is>
      </c>
      <c r="B39" s="16">
        <f>$B$18*$B$15</f>
        <v>0.155</v>
      </c>
      <c r="C39" s="2" t="inlineStr">
        <is>
          <t>Sheets × price per sheet.</t>
        </is>
      </c>
    </row>
    <row r="40" ht="16" customHeight="1">
      <c r="A40" s="6" t="inlineStr">
        <is>
          <t>Cost of the nori in a hand roll ($)</t>
        </is>
      </c>
      <c r="B40" s="16">
        <f>$B$19*$B$15</f>
        <v>0.155</v>
      </c>
      <c r="C40" s="2" t="inlineStr">
        <is>
          <t>Sheets × price per sheet.</t>
        </is>
      </c>
    </row>
    <row r="41" ht="16" customHeight="1">
      <c r="A41" s="6" t="inlineStr">
        <is>
          <t>Cost of the nori in a poke bowl ($)</t>
        </is>
      </c>
      <c r="B41" s="16">
        <f>$B$20*$B$15</f>
        <v>0.031</v>
      </c>
      <c r="C41" s="2" t="inlineStr">
        <is>
          <t>Sheets × price per sheet.</t>
        </is>
      </c>
    </row>
    <row r="42" ht="16" customHeight="1">
      <c r="A42" s="6" t="inlineStr">
        <is>
          <t>Sushi rice sold per day (lb)</t>
        </is>
      </c>
      <c r="B42" s="17">
        <f>$B$22*$B$23/$B$24</f>
        <v>35.9375</v>
      </c>
      <c r="C42" s="2" t="inlineStr">
        <is>
          <t>Covers × ounces per cover ÷ 16.</t>
        </is>
      </c>
    </row>
    <row r="43" ht="16" customHeight="1">
      <c r="A43" s="14" t="inlineStr">
        <is>
          <t>LB OF RAW RICE PER DAY</t>
        </is>
      </c>
      <c r="B43" s="15">
        <f>$B$42/$B$28</f>
        <v>14.935064935064934</v>
      </c>
      <c r="C43" s="2" t="inlineStr">
        <is>
          <t>Sushi rice sold ÷ lb of sushi rice per lb of raw rice.</t>
        </is>
      </c>
    </row>
    <row r="44" ht="16" customHeight="1">
      <c r="A44" s="6" t="inlineStr">
        <is>
          <t>Lb of raw rice per day counting what is thrown out</t>
        </is>
      </c>
      <c r="B44" s="17">
        <f>$B$43/(1-$B$21)</f>
        <v>15.72112098427888</v>
      </c>
      <c r="C44" s="2" t="inlineStr">
        <is>
          <t>Raw rice per day ÷ (1 − rice thrown out).</t>
        </is>
      </c>
    </row>
  </sheetData>
  <sheetProtection selectLockedCells="0" selectUnlockedCells="0" sheet="1" objects="0" insertRows="1" insertHyperlinks="1" autoFilter="1" scenarios="0" formatColumns="1" deleteColumns="1" insertColumns="1" pivotTables="1" deleteRows="1" formatCells="1" formatRows="1" sort="1"/>
  <mergeCells count="39">
    <mergeCell ref="C36:I36"/>
    <mergeCell ref="C23:I23"/>
    <mergeCell ref="C17:I17"/>
    <mergeCell ref="C39:I39"/>
    <mergeCell ref="C8:I8"/>
    <mergeCell ref="C32:I32"/>
    <mergeCell ref="C7:I7"/>
    <mergeCell ref="A3:I3"/>
    <mergeCell ref="C38:I38"/>
    <mergeCell ref="C19:I19"/>
    <mergeCell ref="C37:I37"/>
    <mergeCell ref="C28:I28"/>
    <mergeCell ref="C13:I13"/>
    <mergeCell ref="A2:I2"/>
    <mergeCell ref="C18:I18"/>
    <mergeCell ref="C34:I34"/>
    <mergeCell ref="C6:I6"/>
    <mergeCell ref="C24:I24"/>
    <mergeCell ref="C30:I30"/>
    <mergeCell ref="C42:I42"/>
    <mergeCell ref="C15:I15"/>
    <mergeCell ref="C33:I33"/>
    <mergeCell ref="C14:I14"/>
    <mergeCell ref="C35:I35"/>
    <mergeCell ref="C20:I20"/>
    <mergeCell ref="C29:I29"/>
    <mergeCell ref="C10:I10"/>
    <mergeCell ref="C16:I16"/>
    <mergeCell ref="C25:I25"/>
    <mergeCell ref="C41:I41"/>
    <mergeCell ref="C31:I31"/>
    <mergeCell ref="C44:I44"/>
    <mergeCell ref="C22:I22"/>
    <mergeCell ref="C40:I40"/>
    <mergeCell ref="C9:I9"/>
    <mergeCell ref="C21:I21"/>
    <mergeCell ref="C43:I43"/>
    <mergeCell ref="C12:I12"/>
    <mergeCell ref="C11:I11"/>
  </mergeCells>
  <dataValidations count="4">
    <dataValidation sqref="B6 B7 B9 B10 B11 B12 B13 B14 B23" showDropDown="0" showInputMessage="0" showErrorMessage="1" allowBlank="0" errorTitle="Invalid value" error="Type a number greater than 0." type="decimal" operator="greaterThan">
      <formula1>0</formula1>
    </dataValidation>
    <dataValidation sqref="B8 B15 B16 B17 B18 B19 B20" showDropDown="0" showInputMessage="0" showErrorMessage="1" allowBlank="0" errorTitle="Invalid value" error="Type a number greater than or equal to 0." type="decimal" operator="greaterThanOrEqual">
      <formula1>0</formula1>
    </dataValidation>
    <dataValidation sqref="B21" showDropDown="0" showInputMessage="0" showErrorMessage="1" allowBlank="0" errorTitle="Invalid percentage" error="Type a percentage between 0 and 0.5 (0.05 = 5%)." type="decimal" operator="between">
      <formula1>0</formula1>
      <formula2>0.5</formula2>
    </dataValidation>
    <dataValidation sqref="B22" showDropDown="0" showInputMessage="0" showErrorMessage="1" allowBlank="0" errorTitle="Invalid number" error="Type a whole number of 1 or more." type="whole" operator="between">
      <formula1>1</formula1>
      <formula2>1000000</formula2>
    </dataValidation>
  </dataValidation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Q37"/>
  <sheetViews>
    <sheetView showGridLines="0" workbookViewId="0">
      <pane xSplit="1" ySplit="15" topLeftCell="B16" activePane="bottomRight" state="frozen"/>
      <selection pane="topRight"/>
      <selection pane="bottomLeft"/>
      <selection pane="bottomRight" activeCell="A1" sqref="A1"/>
    </sheetView>
  </sheetViews>
  <sheetFormatPr baseColWidth="8" defaultRowHeight="15"/>
  <cols>
    <col width="44" customWidth="1" min="1" max="1"/>
    <col width="12" customWidth="1" min="2" max="2"/>
    <col width="11" customWidth="1" min="3" max="3"/>
    <col width="11" customWidth="1" min="4" max="4"/>
    <col width="10" customWidth="1" min="5" max="5"/>
    <col width="13" customWidth="1" min="6" max="6"/>
    <col width="13" customWidth="1" min="7" max="7"/>
    <col width="12" customWidth="1" min="8" max="8"/>
    <col width="12" customWidth="1" min="9" max="9"/>
    <col width="12" customWidth="1" min="10" max="10"/>
    <col width="11" customWidth="1" min="11" max="11"/>
    <col width="17" customWidth="1" min="12" max="12"/>
    <col width="14" customWidth="1" min="13" max="13"/>
    <col width="12" customWidth="1" min="14" max="14"/>
    <col width="12" customWidth="1" min="15" max="15"/>
    <col width="13" customWidth="1" min="16" max="16"/>
    <col width="10" customWidth="1" min="17" max="17"/>
  </cols>
  <sheetData>
    <row r="1">
      <c r="A1" s="1" t="inlineStr">
        <is>
          <t>SUSHI MENU COSTING — 14 PRODUCTS, PER PIECE AND PER CHANNEL</t>
        </is>
      </c>
    </row>
    <row r="2" ht="32" customHeight="1">
      <c r="A2" s="2" t="inlineStr">
        <is>
          <t>Type only in the GREEN cells (names, fish, ounces, nori, menu prices and units). Amounts are before sales tax except the menu price. Every default is a Kit estimate, editable: type yours. The cost of the fish comes from the "Fish Yield" sheet, the cost of the sushi rice and nori from the "Sushi Rice" sheet.</t>
        </is>
      </c>
    </row>
    <row r="4">
      <c r="A4" s="4" t="inlineStr">
        <is>
          <t>GENERAL INPUTS</t>
        </is>
      </c>
      <c r="B4" s="4" t="inlineStr">
        <is>
          <t>Value</t>
        </is>
      </c>
      <c r="D4" s="4" t="inlineStr">
        <is>
          <t>Notes</t>
        </is>
      </c>
    </row>
    <row r="5" ht="30" customHeight="1">
      <c r="A5" s="6" t="inlineStr">
        <is>
          <t>Sales tax included in your menu prices (%)</t>
        </is>
      </c>
      <c r="B5" s="8" t="n">
        <v>0</v>
      </c>
      <c r="D5" s="2" t="inlineStr">
        <is>
          <t>US menus usually exclude sales tax: leave 0%. Type your rate only if your prices include it. UK: VAT is 20% dine-in and cold take-out sushi is often zero-rated.</t>
        </is>
      </c>
    </row>
    <row r="6" ht="16" customHeight="1">
      <c r="A6" s="6" t="inlineStr">
        <is>
          <t>Food cost target (% of the price before tax)</t>
        </is>
      </c>
      <c r="B6" s="8" t="n">
        <v>0.3</v>
      </c>
      <c r="D6" s="2" t="inlineStr">
        <is>
          <t>Target for the sushi menu. Kit estimate, editable.</t>
        </is>
      </c>
    </row>
    <row r="7" ht="16" customHeight="1">
      <c r="A7" s="6" t="inlineStr">
        <is>
          <t>Watch band above the target (points)</t>
        </is>
      </c>
      <c r="B7" s="8" t="n">
        <v>0.05</v>
      </c>
      <c r="D7" s="2" t="inlineStr">
        <is>
          <t>Up to this margin above the target the traffic light says "Watch the cost".</t>
        </is>
      </c>
    </row>
    <row r="8" ht="16" customHeight="1">
      <c r="A8" s="6" t="inlineStr">
        <is>
          <t>To-go packaging per order ($, before tax)</t>
        </is>
      </c>
      <c r="B8" s="7" t="n">
        <v>0.6</v>
      </c>
      <c r="D8" s="2" t="inlineStr">
        <is>
          <t>Tray, lid, bag, sauces and chopsticks for one take-out order. Kit estimate, editable.</t>
        </is>
      </c>
    </row>
    <row r="9" ht="16" customHeight="1">
      <c r="A9" s="6" t="inlineStr">
        <is>
          <t>Marketplace packaging per order ($, before tax)</t>
        </is>
      </c>
      <c r="B9" s="7" t="n">
        <v>1</v>
      </c>
      <c r="D9" s="2" t="inlineStr">
        <is>
          <t>Delivery container plus tamper seal. Kit estimate, editable.</t>
        </is>
      </c>
    </row>
    <row r="10" ht="16" customHeight="1">
      <c r="A10" s="6" t="inlineStr">
        <is>
          <t>Marketplace price markup (%)</t>
        </is>
      </c>
      <c r="B10" s="8" t="n">
        <v>0.15</v>
      </c>
      <c r="D10" s="2" t="inlineStr">
        <is>
          <t>How much you raise the price on the marketplace to compensate. Kit estimate, editable.</t>
        </is>
      </c>
    </row>
    <row r="11" ht="16" customHeight="1">
      <c r="A11" s="6" t="inlineStr">
        <is>
          <t>Marketplace commission (%)</t>
        </is>
      </c>
      <c r="B11" s="8" t="n">
        <v>0.25</v>
      </c>
      <c r="D11" s="2" t="inlineStr">
        <is>
          <t>On the price before tax; check your contract. Kit estimate, editable.</t>
        </is>
      </c>
    </row>
    <row r="12">
      <c r="A12" s="6" t="inlineStr">
        <is>
          <t>Cost per lb of sushi rice with discard ($, from the Sushi Rice sheet)</t>
        </is>
      </c>
      <c r="B12" s="17">
        <f>'Sushi Rice'!$B$30</f>
        <v>0.6861585782638415</v>
      </c>
    </row>
    <row r="13">
      <c r="A13" s="6" t="inlineStr">
        <is>
          <t>Nori ($ per sheet, from the Sushi Rice sheet)</t>
        </is>
      </c>
      <c r="B13" s="16">
        <f>'Sushi Rice'!$B$15</f>
        <v>0.31</v>
      </c>
    </row>
    <row r="15" ht="48" customHeight="1">
      <c r="A15" s="3" t="inlineStr">
        <is>
          <t>PRODUCT</t>
        </is>
      </c>
      <c r="B15" s="3" t="inlineStr">
        <is>
          <t>Fish (0 to 4)</t>
        </is>
      </c>
      <c r="C15" s="3" t="inlineStr">
        <is>
          <t>Ounces of fish</t>
        </is>
      </c>
      <c r="D15" s="3" t="inlineStr">
        <is>
          <t>Ounces of sushi rice</t>
        </is>
      </c>
      <c r="E15" s="3" t="inlineStr">
        <is>
          <t>Nori sheets</t>
        </is>
      </c>
      <c r="F15" s="3" t="inlineStr">
        <is>
          <t>Other ingredients ($)</t>
        </is>
      </c>
      <c r="G15" s="3" t="inlineStr">
        <is>
          <t>Menu price ($)</t>
        </is>
      </c>
      <c r="H15" s="3" t="inlineStr">
        <is>
          <t>Units per week</t>
        </is>
      </c>
      <c r="I15" s="3" t="inlineStr">
        <is>
          <t>COST ($)</t>
        </is>
      </c>
      <c r="J15" s="3" t="inlineStr">
        <is>
          <t>Price before tax ($)</t>
        </is>
      </c>
      <c r="K15" s="3" t="inlineStr">
        <is>
          <t>FOOD COST (%)</t>
        </is>
      </c>
      <c r="L15" s="3" t="inlineStr">
        <is>
          <t>Traffic light</t>
        </is>
      </c>
      <c r="M15" s="3" t="inlineStr">
        <is>
          <t>Suggested menu price ($)</t>
        </is>
      </c>
      <c r="N15" s="3" t="inlineStr">
        <is>
          <t>Margin dine-in ($)</t>
        </is>
      </c>
      <c r="O15" s="3" t="inlineStr">
        <is>
          <t>Margin take-out / pickup ($)</t>
        </is>
      </c>
      <c r="P15" s="3" t="inlineStr">
        <is>
          <t>Margin marketplace ($)</t>
        </is>
      </c>
      <c r="Q15" s="3" t="inlineStr">
        <is>
          <t>Rank by margin</t>
        </is>
      </c>
    </row>
    <row r="16" ht="32" customHeight="1">
      <c r="A16" s="22" t="inlineStr">
        <is>
          <t>Salmon nigiri (2 pcs)</t>
        </is>
      </c>
      <c r="B16" s="23" t="n">
        <v>2</v>
      </c>
      <c r="C16" s="24" t="n">
        <v>1</v>
      </c>
      <c r="D16" s="24" t="n">
        <v>1.5</v>
      </c>
      <c r="E16" s="25" t="n">
        <v>0.1</v>
      </c>
      <c r="F16" s="7" t="n">
        <v>0.05</v>
      </c>
      <c r="G16" s="26" t="n">
        <v>7</v>
      </c>
      <c r="H16" s="20" t="n">
        <v>140</v>
      </c>
      <c r="I16" s="27">
        <f>C16/'Fish Yield'!$B$19*CHOOSE(B16+1,0,'Fish Yield'!$B$24,'Fish Yield'!$C$24,'Fish Yield'!$D$24,'Fish Yield'!$E$24)+D16/'Fish Yield'!$B$19*$B$12+E16*$B$13+F16</f>
        <v>1.6405426777170198</v>
      </c>
      <c r="J16" s="17">
        <f>G16/(1+$B$5)</f>
        <v>7.0</v>
      </c>
      <c r="K16" s="28">
        <f>I16/J16</f>
        <v>0.23436323967385997</v>
      </c>
      <c r="L16" s="2" t="str">
        <f>IF(K16&lt;=$B$6,"On target",IF(K16&lt;=$B$6+$B$7,"Watch the cost","Above target"))</f>
        <v>On target</v>
      </c>
      <c r="M16" s="17">
        <f>I16/$B$6*(1+$B$5)</f>
        <v>5.4684755923900665</v>
      </c>
      <c r="N16" s="17">
        <f>J16-I16</f>
        <v>5.35945732228298</v>
      </c>
      <c r="O16" s="17">
        <f>N16-$B$8</f>
        <v>4.75945732228298</v>
      </c>
      <c r="P16" s="17">
        <f>J16*(1+$B$10)*(1-$B$11)-I16-$B$9</f>
        <v>3.3969573222829794</v>
      </c>
      <c r="Q16" s="21">
        <f>1+COUNTIF($N$16:$N$29,"&gt;"&amp;N16)</f>
        <v>10.0</v>
      </c>
    </row>
    <row r="17" ht="32" customHeight="1">
      <c r="A17" s="22" t="inlineStr">
        <is>
          <t>Tuna nigiri (2 pcs)</t>
        </is>
      </c>
      <c r="B17" s="23" t="n">
        <v>3</v>
      </c>
      <c r="C17" s="24" t="n">
        <v>1</v>
      </c>
      <c r="D17" s="24" t="n">
        <v>1.5</v>
      </c>
      <c r="E17" s="25" t="n">
        <v>0.1</v>
      </c>
      <c r="F17" s="7" t="n">
        <v>0.05</v>
      </c>
      <c r="G17" s="26" t="n">
        <v>7.5</v>
      </c>
      <c r="H17" s="20" t="n">
        <v>90</v>
      </c>
      <c r="I17" s="27">
        <f>C17/'Fish Yield'!$B$19*CHOOSE(B17+1,0,'Fish Yield'!$B$24,'Fish Yield'!$C$24,'Fish Yield'!$D$24,'Fish Yield'!$E$24)+D17/'Fish Yield'!$B$19*$B$12+E17*$B$13+F17</f>
        <v>1.738125150645753</v>
      </c>
      <c r="J17" s="17">
        <f>G17/(1+$B$5)</f>
        <v>7.5</v>
      </c>
      <c r="K17" s="28">
        <f>I17/J17</f>
        <v>0.23175002008610038</v>
      </c>
      <c r="L17" s="2" t="str">
        <f>IF(K17&lt;=$B$6,"On target",IF(K17&lt;=$B$6+$B$7,"Watch the cost","Above target"))</f>
        <v>On target</v>
      </c>
      <c r="M17" s="17">
        <f>I17/$B$6*(1+$B$5)</f>
        <v>5.79375050215251</v>
      </c>
      <c r="N17" s="17">
        <f>J17-I17</f>
        <v>5.761874849354247</v>
      </c>
      <c r="O17" s="17">
        <f>N17-$B$8</f>
        <v>5.1618748493542475</v>
      </c>
      <c r="P17" s="17">
        <f>J17*(1+$B$10)*(1-$B$11)-I17-$B$9</f>
        <v>3.730624849354247</v>
      </c>
      <c r="Q17" s="21">
        <f>1+COUNTIF($N$16:$N$29,"&gt;"&amp;N17)</f>
        <v>9.0</v>
      </c>
    </row>
    <row r="18" ht="32" customHeight="1">
      <c r="A18" s="22" t="inlineStr">
        <is>
          <t>Salmon sashimi (5 pcs)</t>
        </is>
      </c>
      <c r="B18" s="23" t="n">
        <v>2</v>
      </c>
      <c r="C18" s="24" t="n">
        <v>2.5</v>
      </c>
      <c r="D18" s="24" t="n">
        <v>0</v>
      </c>
      <c r="E18" s="25" t="n">
        <v>0</v>
      </c>
      <c r="F18" s="7" t="n">
        <v>0.08</v>
      </c>
      <c r="G18" s="26" t="n">
        <v>14</v>
      </c>
      <c r="H18" s="20" t="n">
        <v>50</v>
      </c>
      <c r="I18" s="27">
        <f>C18/'Fish Yield'!$B$19*CHOOSE(B18+1,0,'Fish Yield'!$B$24,'Fish Yield'!$C$24,'Fish Yield'!$D$24,'Fish Yield'!$E$24)+D18/'Fish Yield'!$B$19*$B$12+E18*$B$13+F18</f>
        <v>3.818038277511962</v>
      </c>
      <c r="J18" s="17">
        <f>G18/(1+$B$5)</f>
        <v>14.0</v>
      </c>
      <c r="K18" s="28">
        <f>I18/J18</f>
        <v>0.27271701982228297</v>
      </c>
      <c r="L18" s="2" t="str">
        <f>IF(K18&lt;=$B$6,"On target",IF(K18&lt;=$B$6+$B$7,"Watch the cost","Above target"))</f>
        <v>On target</v>
      </c>
      <c r="M18" s="17">
        <f>I18/$B$6*(1+$B$5)</f>
        <v>12.726794258373207</v>
      </c>
      <c r="N18" s="17">
        <f>J18-I18</f>
        <v>10.181961722488039</v>
      </c>
      <c r="O18" s="17">
        <f>N18-$B$8</f>
        <v>9.581961722488039</v>
      </c>
      <c r="P18" s="17">
        <f>J18*(1+$B$10)*(1-$B$11)-I18-$B$9</f>
        <v>7.256961722488038</v>
      </c>
      <c r="Q18" s="21">
        <f>1+COUNTIF($N$16:$N$29,"&gt;"&amp;N18)</f>
        <v>4.0</v>
      </c>
    </row>
    <row r="19" ht="32" customHeight="1">
      <c r="A19" s="22" t="inlineStr">
        <is>
          <t>Salmon maki (6 pcs)</t>
        </is>
      </c>
      <c r="B19" s="23" t="n">
        <v>2</v>
      </c>
      <c r="C19" s="24" t="n">
        <v>1</v>
      </c>
      <c r="D19" s="24" t="n">
        <v>2.5</v>
      </c>
      <c r="E19" s="25" t="n">
        <v>0.5</v>
      </c>
      <c r="F19" s="7" t="n">
        <v>0.05</v>
      </c>
      <c r="G19" s="26" t="n">
        <v>6.5</v>
      </c>
      <c r="H19" s="20" t="n">
        <v>30</v>
      </c>
      <c r="I19" s="27">
        <f>C19/'Fish Yield'!$B$19*CHOOSE(B19+1,0,'Fish Yield'!$B$24,'Fish Yield'!$C$24,'Fish Yield'!$D$24,'Fish Yield'!$E$24)+D19/'Fish Yield'!$B$19*$B$12+E19*$B$13+F19</f>
        <v>1.80742758885851</v>
      </c>
      <c r="J19" s="17">
        <f>G19/(1+$B$5)</f>
        <v>6.5</v>
      </c>
      <c r="K19" s="28">
        <f>I19/J19</f>
        <v>0.27806578290130923</v>
      </c>
      <c r="L19" s="2" t="str">
        <f>IF(K19&lt;=$B$6,"On target",IF(K19&lt;=$B$6+$B$7,"Watch the cost","Above target"))</f>
        <v>On target</v>
      </c>
      <c r="M19" s="17">
        <f>I19/$B$6*(1+$B$5)</f>
        <v>6.0247586295283675</v>
      </c>
      <c r="N19" s="17">
        <f>J19-I19</f>
        <v>4.69257241114149</v>
      </c>
      <c r="O19" s="17">
        <f>N19-$B$8</f>
        <v>4.09257241114149</v>
      </c>
      <c r="P19" s="17">
        <f>J19*(1+$B$10)*(1-$B$11)-I19-$B$9</f>
        <v>2.798822411141489</v>
      </c>
      <c r="Q19" s="21">
        <f>1+COUNTIF($N$16:$N$29,"&gt;"&amp;N19)</f>
        <v>13.0</v>
      </c>
    </row>
    <row r="20" ht="32" customHeight="1">
      <c r="A20" s="22" t="inlineStr">
        <is>
          <t>California roll (8 pcs)</t>
        </is>
      </c>
      <c r="B20" s="23" t="n">
        <v>0</v>
      </c>
      <c r="C20" s="24" t="n">
        <v>0</v>
      </c>
      <c r="D20" s="24" t="n">
        <v>3</v>
      </c>
      <c r="E20" s="25" t="n">
        <v>0.5</v>
      </c>
      <c r="F20" s="7" t="n">
        <v>0.75</v>
      </c>
      <c r="G20" s="26" t="n">
        <v>8.5</v>
      </c>
      <c r="H20" s="20" t="n">
        <v>120</v>
      </c>
      <c r="I20" s="27">
        <f>C20/'Fish Yield'!$B$19*CHOOSE(B20+1,0,'Fish Yield'!$B$24,'Fish Yield'!$C$24,'Fish Yield'!$D$24,'Fish Yield'!$E$24)+D20/'Fish Yield'!$B$19*$B$12+E20*$B$13+F20</f>
        <v>1.0336547334244703</v>
      </c>
      <c r="J20" s="17">
        <f>G20/(1+$B$5)</f>
        <v>8.5</v>
      </c>
      <c r="K20" s="28">
        <f>I20/J20</f>
        <v>0.12160643922640828</v>
      </c>
      <c r="L20" s="2" t="str">
        <f>IF(K20&lt;=$B$6,"On target",IF(K20&lt;=$B$6+$B$7,"Watch the cost","Above target"))</f>
        <v>On target</v>
      </c>
      <c r="M20" s="17">
        <f>I20/$B$6*(1+$B$5)</f>
        <v>3.445515778081568</v>
      </c>
      <c r="N20" s="17">
        <f>J20-I20</f>
        <v>7.46634526657553</v>
      </c>
      <c r="O20" s="17">
        <f>N20-$B$8</f>
        <v>6.8663452665755305</v>
      </c>
      <c r="P20" s="17">
        <f>J20*(1+$B$10)*(1-$B$11)-I20-$B$9</f>
        <v>5.297595266575529</v>
      </c>
      <c r="Q20" s="21">
        <f>1+COUNTIF($N$16:$N$29,"&gt;"&amp;N20)</f>
        <v>6.0</v>
      </c>
    </row>
    <row r="21" ht="32" customHeight="1">
      <c r="A21" s="22" t="inlineStr">
        <is>
          <t>Spicy tuna roll (8 pcs)</t>
        </is>
      </c>
      <c r="B21" s="23" t="n">
        <v>3</v>
      </c>
      <c r="C21" s="24" t="n">
        <v>2</v>
      </c>
      <c r="D21" s="24" t="n">
        <v>3</v>
      </c>
      <c r="E21" s="25" t="n">
        <v>0.5</v>
      </c>
      <c r="F21" s="7" t="n">
        <v>0.25</v>
      </c>
      <c r="G21" s="26" t="n">
        <v>9.5</v>
      </c>
      <c r="H21" s="20" t="n">
        <v>100</v>
      </c>
      <c r="I21" s="27">
        <f>C21/'Fish Yield'!$B$19*CHOOSE(B21+1,0,'Fish Yield'!$B$24,'Fish Yield'!$C$24,'Fish Yield'!$D$24,'Fish Yield'!$E$24)+D21/'Fish Yield'!$B$19*$B$12+E21*$B$13+F21</f>
        <v>3.7192503012915057</v>
      </c>
      <c r="J21" s="17">
        <f>G21/(1+$B$5)</f>
        <v>9.5</v>
      </c>
      <c r="K21" s="28">
        <f>I21/J21</f>
        <v>0.39150003171489534</v>
      </c>
      <c r="L21" s="2" t="str">
        <f>IF(K21&lt;=$B$6,"On target",IF(K21&lt;=$B$6+$B$7,"Watch the cost","Above target"))</f>
        <v>Above target</v>
      </c>
      <c r="M21" s="17">
        <f>I21/$B$6*(1+$B$5)</f>
        <v>12.397501004305019</v>
      </c>
      <c r="N21" s="17">
        <f>J21-I21</f>
        <v>5.780749698708494</v>
      </c>
      <c r="O21" s="17">
        <f>N21-$B$8</f>
        <v>5.180749698708494</v>
      </c>
      <c r="P21" s="17">
        <f>J21*(1+$B$10)*(1-$B$11)-I21-$B$9</f>
        <v>3.4744996987084935</v>
      </c>
      <c r="Q21" s="21">
        <f>1+COUNTIF($N$16:$N$29,"&gt;"&amp;N21)</f>
        <v>8.0</v>
      </c>
    </row>
    <row r="22" ht="32" customHeight="1">
      <c r="A22" s="22" t="inlineStr">
        <is>
          <t>Shrimp tempura roll (8 pcs)</t>
        </is>
      </c>
      <c r="B22" s="23" t="n">
        <v>0</v>
      </c>
      <c r="C22" s="24" t="n">
        <v>0</v>
      </c>
      <c r="D22" s="24" t="n">
        <v>3</v>
      </c>
      <c r="E22" s="25" t="n">
        <v>0.5</v>
      </c>
      <c r="F22" s="7" t="n">
        <v>2.2</v>
      </c>
      <c r="G22" s="26" t="n">
        <v>11</v>
      </c>
      <c r="H22" s="20" t="n">
        <v>80</v>
      </c>
      <c r="I22" s="27">
        <f>C22/'Fish Yield'!$B$19*CHOOSE(B22+1,0,'Fish Yield'!$B$24,'Fish Yield'!$C$24,'Fish Yield'!$D$24,'Fish Yield'!$E$24)+D22/'Fish Yield'!$B$19*$B$12+E22*$B$13+F22</f>
        <v>2.4836547334244705</v>
      </c>
      <c r="J22" s="17">
        <f>G22/(1+$B$5)</f>
        <v>11.0</v>
      </c>
      <c r="K22" s="28">
        <f>I22/J22</f>
        <v>0.22578679394767914</v>
      </c>
      <c r="L22" s="2" t="str">
        <f>IF(K22&lt;=$B$6,"On target",IF(K22&lt;=$B$6+$B$7,"Watch the cost","Above target"))</f>
        <v>On target</v>
      </c>
      <c r="M22" s="17">
        <f>I22/$B$6*(1+$B$5)</f>
        <v>8.278849111414901</v>
      </c>
      <c r="N22" s="17">
        <f>J22-I22</f>
        <v>8.516345266575529</v>
      </c>
      <c r="O22" s="17">
        <f>N22-$B$8</f>
        <v>7.916345266575529</v>
      </c>
      <c r="P22" s="17">
        <f>J22*(1+$B$10)*(1-$B$11)-I22-$B$9</f>
        <v>6.003845266575528</v>
      </c>
      <c r="Q22" s="21">
        <f>1+COUNTIF($N$16:$N$29,"&gt;"&amp;N22)</f>
        <v>5.0</v>
      </c>
    </row>
    <row r="23" ht="32" customHeight="1">
      <c r="A23" s="22" t="inlineStr">
        <is>
          <t>Salmon hand roll</t>
        </is>
      </c>
      <c r="B23" s="23" t="n">
        <v>2</v>
      </c>
      <c r="C23" s="24" t="n">
        <v>1</v>
      </c>
      <c r="D23" s="24" t="n">
        <v>2</v>
      </c>
      <c r="E23" s="25" t="n">
        <v>0.5</v>
      </c>
      <c r="F23" s="7" t="n">
        <v>0.3</v>
      </c>
      <c r="G23" s="26" t="n">
        <v>7</v>
      </c>
      <c r="H23" s="20" t="n">
        <v>40</v>
      </c>
      <c r="I23" s="27">
        <f>C23/'Fish Yield'!$B$19*CHOOSE(B23+1,0,'Fish Yield'!$B$24,'Fish Yield'!$C$24,'Fish Yield'!$D$24,'Fish Yield'!$E$24)+D23/'Fish Yield'!$B$19*$B$12+E23*$B$13+F23</f>
        <v>2.035985133287765</v>
      </c>
      <c r="J23" s="17">
        <f>G23/(1+$B$5)</f>
        <v>7.0</v>
      </c>
      <c r="K23" s="28">
        <f>I23/J23</f>
        <v>0.2908550190411093</v>
      </c>
      <c r="L23" s="2" t="str">
        <f>IF(K23&lt;=$B$6,"On target",IF(K23&lt;=$B$6+$B$7,"Watch the cost","Above target"))</f>
        <v>On target</v>
      </c>
      <c r="M23" s="17">
        <f>I23/$B$6*(1+$B$5)</f>
        <v>6.786617110959217</v>
      </c>
      <c r="N23" s="17">
        <f>J23-I23</f>
        <v>4.964014866712235</v>
      </c>
      <c r="O23" s="17">
        <f>N23-$B$8</f>
        <v>4.364014866712235</v>
      </c>
      <c r="P23" s="17">
        <f>J23*(1+$B$10)*(1-$B$11)-I23-$B$9</f>
        <v>3.0015148667122347</v>
      </c>
      <c r="Q23" s="21">
        <f>1+COUNTIF($N$16:$N$29,"&gt;"&amp;N23)</f>
        <v>11.0</v>
      </c>
    </row>
    <row r="24" ht="32" customHeight="1">
      <c r="A24" s="22" t="inlineStr">
        <is>
          <t>Salmon poke bowl (uses whole-salmon trim)</t>
        </is>
      </c>
      <c r="B24" s="23" t="n">
        <v>1</v>
      </c>
      <c r="C24" s="24" t="n">
        <v>4</v>
      </c>
      <c r="D24" s="24" t="n">
        <v>6</v>
      </c>
      <c r="E24" s="25" t="n">
        <v>0.1</v>
      </c>
      <c r="F24" s="7" t="n">
        <v>1.2</v>
      </c>
      <c r="G24" s="26" t="n">
        <v>16</v>
      </c>
      <c r="H24" s="20" t="n">
        <v>50</v>
      </c>
      <c r="I24" s="27">
        <f>C24/'Fish Yield'!$B$19*CHOOSE(B24+1,0,'Fish Yield'!$B$24,'Fish Yield'!$C$24,'Fish Yield'!$D$24,'Fish Yield'!$E$24)+D24/'Fish Yield'!$B$19*$B$12+E24*$B$13+F24</f>
        <v>4.307858339029392</v>
      </c>
      <c r="J24" s="17">
        <f>G24/(1+$B$5)</f>
        <v>16.0</v>
      </c>
      <c r="K24" s="28">
        <f>I24/J24</f>
        <v>0.269241146189337</v>
      </c>
      <c r="L24" s="2" t="str">
        <f>IF(K24&lt;=$B$6,"On target",IF(K24&lt;=$B$6+$B$7,"Watch the cost","Above target"))</f>
        <v>On target</v>
      </c>
      <c r="M24" s="17">
        <f>I24/$B$6*(1+$B$5)</f>
        <v>14.35952779676464</v>
      </c>
      <c r="N24" s="17">
        <f>J24-I24</f>
        <v>11.69214166097061</v>
      </c>
      <c r="O24" s="17">
        <f>N24-$B$8</f>
        <v>11.09214166097061</v>
      </c>
      <c r="P24" s="17">
        <f>J24*(1+$B$10)*(1-$B$11)-I24-$B$9</f>
        <v>8.492141660970606</v>
      </c>
      <c r="Q24" s="21">
        <f>1+COUNTIF($N$16:$N$29,"&gt;"&amp;N24)</f>
        <v>3.0</v>
      </c>
    </row>
    <row r="25" ht="32" customHeight="1">
      <c r="A25" s="22" t="inlineStr">
        <is>
          <t>Sushi platter, 12 pcs</t>
        </is>
      </c>
      <c r="B25" s="23" t="n">
        <v>2</v>
      </c>
      <c r="C25" s="24" t="n">
        <v>3</v>
      </c>
      <c r="D25" s="24" t="n">
        <v>6</v>
      </c>
      <c r="E25" s="25" t="n">
        <v>0.5</v>
      </c>
      <c r="F25" s="7" t="n">
        <v>0.4</v>
      </c>
      <c r="G25" s="26" t="n">
        <v>22</v>
      </c>
      <c r="H25" s="20" t="n">
        <v>30</v>
      </c>
      <c r="I25" s="27">
        <f>C25/'Fish Yield'!$B$19*CHOOSE(B25+1,0,'Fish Yield'!$B$24,'Fish Yield'!$C$24,'Fish Yield'!$D$24,'Fish Yield'!$E$24)+D25/'Fish Yield'!$B$19*$B$12+E25*$B$13+F25</f>
        <v>5.297955399863295</v>
      </c>
      <c r="J25" s="17">
        <f>G25/(1+$B$5)</f>
        <v>22.0</v>
      </c>
      <c r="K25" s="28">
        <f>I25/J25</f>
        <v>0.24081615453924068</v>
      </c>
      <c r="L25" s="2" t="str">
        <f>IF(K25&lt;=$B$6,"On target",IF(K25&lt;=$B$6+$B$7,"Watch the cost","Above target"))</f>
        <v>On target</v>
      </c>
      <c r="M25" s="17">
        <f>I25/$B$6*(1+$B$5)</f>
        <v>17.65985133287765</v>
      </c>
      <c r="N25" s="17">
        <f>J25-I25</f>
        <v>16.702044600136706</v>
      </c>
      <c r="O25" s="17">
        <f>N25-$B$8</f>
        <v>16.102044600136704</v>
      </c>
      <c r="P25" s="17">
        <f>J25*(1+$B$10)*(1-$B$11)-I25-$B$9</f>
        <v>12.677044600136703</v>
      </c>
      <c r="Q25" s="21">
        <f>1+COUNTIF($N$16:$N$29,"&gt;"&amp;N25)</f>
        <v>2.0</v>
      </c>
    </row>
    <row r="26" ht="32" customHeight="1">
      <c r="A26" s="22" t="inlineStr">
        <is>
          <t>Party platter, 24 pcs</t>
        </is>
      </c>
      <c r="B26" s="23" t="n">
        <v>2</v>
      </c>
      <c r="C26" s="24" t="n">
        <v>6</v>
      </c>
      <c r="D26" s="24" t="n">
        <v>12</v>
      </c>
      <c r="E26" s="25" t="n">
        <v>1</v>
      </c>
      <c r="F26" s="7" t="n">
        <v>0.6</v>
      </c>
      <c r="G26" s="26" t="n">
        <v>42</v>
      </c>
      <c r="H26" s="20" t="n">
        <v>15</v>
      </c>
      <c r="I26" s="27">
        <f>C26/'Fish Yield'!$B$19*CHOOSE(B26+1,0,'Fish Yield'!$B$24,'Fish Yield'!$C$24,'Fish Yield'!$D$24,'Fish Yield'!$E$24)+D26/'Fish Yield'!$B$19*$B$12+E26*$B$13+F26</f>
        <v>10.39591079972659</v>
      </c>
      <c r="J26" s="17">
        <f>G26/(1+$B$5)</f>
        <v>42.0</v>
      </c>
      <c r="K26" s="28">
        <f>I26/J26</f>
        <v>0.24752168570777594</v>
      </c>
      <c r="L26" s="2" t="str">
        <f>IF(K26&lt;=$B$6,"On target",IF(K26&lt;=$B$6+$B$7,"Watch the cost","Above target"))</f>
        <v>On target</v>
      </c>
      <c r="M26" s="17">
        <f>I26/$B$6*(1+$B$5)</f>
        <v>34.65303599908864</v>
      </c>
      <c r="N26" s="17">
        <f>J26-I26</f>
        <v>31.60408920027341</v>
      </c>
      <c r="O26" s="17">
        <f>N26-$B$8</f>
        <v>31.00408920027341</v>
      </c>
      <c r="P26" s="17">
        <f>J26*(1+$B$10)*(1-$B$11)-I26-$B$9</f>
        <v>24.829089200273405</v>
      </c>
      <c r="Q26" s="21">
        <f>1+COUNTIF($N$16:$N$29,"&gt;"&amp;N26)</f>
        <v>1.0</v>
      </c>
    </row>
    <row r="27" ht="32" customHeight="1">
      <c r="A27" s="22" t="inlineStr">
        <is>
          <t>Gyoza (6 pcs)</t>
        </is>
      </c>
      <c r="B27" s="23" t="n">
        <v>0</v>
      </c>
      <c r="C27" s="24" t="n">
        <v>0</v>
      </c>
      <c r="D27" s="24" t="n">
        <v>0</v>
      </c>
      <c r="E27" s="25" t="n">
        <v>0</v>
      </c>
      <c r="F27" s="7" t="n">
        <v>1.6</v>
      </c>
      <c r="G27" s="26" t="n">
        <v>8</v>
      </c>
      <c r="H27" s="20" t="n">
        <v>60</v>
      </c>
      <c r="I27" s="27">
        <f>C27/'Fish Yield'!$B$19*CHOOSE(B27+1,0,'Fish Yield'!$B$24,'Fish Yield'!$C$24,'Fish Yield'!$D$24,'Fish Yield'!$E$24)+D27/'Fish Yield'!$B$19*$B$12+E27*$B$13+F27</f>
        <v>1.6</v>
      </c>
      <c r="J27" s="17">
        <f>G27/(1+$B$5)</f>
        <v>8.0</v>
      </c>
      <c r="K27" s="28">
        <f>I27/J27</f>
        <v>0.2</v>
      </c>
      <c r="L27" s="2" t="str">
        <f>IF(K27&lt;=$B$6,"On target",IF(K27&lt;=$B$6+$B$7,"Watch the cost","Above target"))</f>
        <v>On target</v>
      </c>
      <c r="M27" s="17">
        <f>I27/$B$6*(1+$B$5)</f>
        <v>5.333333333333334</v>
      </c>
      <c r="N27" s="17">
        <f>J27-I27</f>
        <v>6.4</v>
      </c>
      <c r="O27" s="17">
        <f>N27-$B$8</f>
        <v>5.800000000000001</v>
      </c>
      <c r="P27" s="17">
        <f>J27*(1+$B$10)*(1-$B$11)-I27-$B$9</f>
        <v>4.299999999999999</v>
      </c>
      <c r="Q27" s="21">
        <f>1+COUNTIF($N$16:$N$29,"&gt;"&amp;N27)</f>
        <v>7.0</v>
      </c>
    </row>
    <row r="28" ht="32" customHeight="1">
      <c r="A28" s="22" t="inlineStr">
        <is>
          <t>Edamame</t>
        </is>
      </c>
      <c r="B28" s="23" t="n">
        <v>0</v>
      </c>
      <c r="C28" s="24" t="n">
        <v>0</v>
      </c>
      <c r="D28" s="24" t="n">
        <v>0</v>
      </c>
      <c r="E28" s="25" t="n">
        <v>0</v>
      </c>
      <c r="F28" s="7" t="n">
        <v>0.7</v>
      </c>
      <c r="G28" s="26" t="n">
        <v>5.5</v>
      </c>
      <c r="H28" s="20" t="n">
        <v>60</v>
      </c>
      <c r="I28" s="27">
        <f>C28/'Fish Yield'!$B$19*CHOOSE(B28+1,0,'Fish Yield'!$B$24,'Fish Yield'!$C$24,'Fish Yield'!$D$24,'Fish Yield'!$E$24)+D28/'Fish Yield'!$B$19*$B$12+E28*$B$13+F28</f>
        <v>0.7</v>
      </c>
      <c r="J28" s="17">
        <f>G28/(1+$B$5)</f>
        <v>5.5</v>
      </c>
      <c r="K28" s="28">
        <f>I28/J28</f>
        <v>0.12727272727272726</v>
      </c>
      <c r="L28" s="2" t="str">
        <f>IF(K28&lt;=$B$6,"On target",IF(K28&lt;=$B$6+$B$7,"Watch the cost","Above target"))</f>
        <v>On target</v>
      </c>
      <c r="M28" s="17">
        <f>I28/$B$6*(1+$B$5)</f>
        <v>2.3333333333333335</v>
      </c>
      <c r="N28" s="17">
        <f>J28-I28</f>
        <v>4.8</v>
      </c>
      <c r="O28" s="17">
        <f>N28-$B$8</f>
        <v>4.2</v>
      </c>
      <c r="P28" s="17">
        <f>J28*(1+$B$10)*(1-$B$11)-I28-$B$9</f>
        <v>3.0437499999999993</v>
      </c>
      <c r="Q28" s="21">
        <f>1+COUNTIF($N$16:$N$29,"&gt;"&amp;N28)</f>
        <v>12.0</v>
      </c>
    </row>
    <row r="29" ht="32" customHeight="1">
      <c r="A29" s="22" t="inlineStr">
        <is>
          <t>Mochi ice cream (2 pcs)</t>
        </is>
      </c>
      <c r="B29" s="23" t="n">
        <v>0</v>
      </c>
      <c r="C29" s="24" t="n">
        <v>0</v>
      </c>
      <c r="D29" s="24" t="n">
        <v>0</v>
      </c>
      <c r="E29" s="25" t="n">
        <v>0</v>
      </c>
      <c r="F29" s="7" t="n">
        <v>1.4</v>
      </c>
      <c r="G29" s="26" t="n">
        <v>6</v>
      </c>
      <c r="H29" s="20" t="n">
        <v>40</v>
      </c>
      <c r="I29" s="27">
        <f>C29/'Fish Yield'!$B$19*CHOOSE(B29+1,0,'Fish Yield'!$B$24,'Fish Yield'!$C$24,'Fish Yield'!$D$24,'Fish Yield'!$E$24)+D29/'Fish Yield'!$B$19*$B$12+E29*$B$13+F29</f>
        <v>1.4</v>
      </c>
      <c r="J29" s="17">
        <f>G29/(1+$B$5)</f>
        <v>6.0</v>
      </c>
      <c r="K29" s="28">
        <f>I29/J29</f>
        <v>0.2333333333333333</v>
      </c>
      <c r="L29" s="2" t="str">
        <f>IF(K29&lt;=$B$6,"On target",IF(K29&lt;=$B$6+$B$7,"Watch the cost","Above target"))</f>
        <v>On target</v>
      </c>
      <c r="M29" s="17">
        <f>I29/$B$6*(1+$B$5)</f>
        <v>4.666666666666667</v>
      </c>
      <c r="N29" s="17">
        <f>J29-I29</f>
        <v>4.6</v>
      </c>
      <c r="O29" s="17">
        <f>N29-$B$8</f>
        <v>3.9999999999999996</v>
      </c>
      <c r="P29" s="17">
        <f>J29*(1+$B$10)*(1-$B$11)-I29-$B$9</f>
        <v>2.775</v>
      </c>
      <c r="Q29" s="21">
        <f>1+COUNTIF($N$16:$N$29,"&gt;"&amp;N29)</f>
        <v>14.0</v>
      </c>
    </row>
    <row r="31">
      <c r="A31" s="4" t="inlineStr">
        <is>
          <t>WEIGHTED FOOD COST OF THE WEEK (sum of costs × units ÷ sum of prices before tax × units)</t>
        </is>
      </c>
      <c r="B31" s="4" t="inlineStr">
        <is>
          <t>Value</t>
        </is>
      </c>
    </row>
    <row r="32">
      <c r="A32" s="6" t="inlineStr">
        <is>
          <t>Weekly sales before tax ($)</t>
        </is>
      </c>
      <c r="B32" s="17">
        <f>SUMPRODUCT($J$16:$J$29,$H$16:$H$29)</f>
        <v>8820.0</v>
      </c>
    </row>
    <row r="33">
      <c r="A33" s="6" t="inlineStr">
        <is>
          <t>Cost of the food sold in the week ($)</t>
        </is>
      </c>
      <c r="B33" s="17">
        <f>SUMPRODUCT($I$16:$I$29,$H$16:$H$29)</f>
        <v>2131.5976030686766</v>
      </c>
    </row>
    <row r="34">
      <c r="A34" s="14" t="inlineStr">
        <is>
          <t>WEIGHTED FOOD COST (%)</t>
        </is>
      </c>
      <c r="B34" s="28">
        <f>IF($B$32=0,0,$B$33/$B$32)</f>
        <v>0.24167773277422636</v>
      </c>
    </row>
    <row r="35" ht="32" customHeight="1">
      <c r="A35" s="6" t="inlineStr">
        <is>
          <t>Traffic light of the weighted food cost</t>
        </is>
      </c>
      <c r="B35" s="2" t="str">
        <f>IF($B$34&lt;=$B$6,"On target",IF($B$34&lt;=$B$6+$B$7,"Watch the cost","Above target"))</f>
        <v>On target</v>
      </c>
    </row>
    <row r="37" ht="96" customHeight="1">
      <c r="A37" s="29" t="inlineStr">
        <is>
          <t>Fish: 0 = none · 1 = Whole farmed Atlantic salmon · 2 = Salmon fillet, skin-on, pin-bone out · 3 = Yellowfin tuna saku block (frozen) · 4 = Other fish (type yours). Other ingredients: imitation crab $1.80/lb, avocado, cucumber, sauces, sesame, tempura shrimp ($16.44/lb, 16/20), wasabi and ginger, at Kit estimate prices. The food cost in the table is the plate served dine-in, without drinks. On a take-out order the packaging is deducted; on the marketplace the price is raised by the markup and the commission is deducted on that price, plus the packaging. Margins are ranked by the dine-in margin. FIXED NOTICE: tempura and gyoza travel badly: keep them off the marketplace menu or warn the guest. This cost is THEORETICAL: the 32% food cost of the plan (sheet "0. Assumptions", cell B13, in the Sushi Restaurant Financial Projections) is the real usage of the whole menu, with case shrink, trim that is not reused, rice and nori thrown out, staff meals and comps, so this weighted theoretical cost comes out lower. Do not copy it into the plan.</t>
        </is>
      </c>
    </row>
  </sheetData>
  <sheetProtection selectLockedCells="0" selectUnlockedCells="0" sheet="1" objects="0" insertRows="1" insertHyperlinks="1" autoFilter="1" scenarios="0" formatColumns="1" deleteColumns="1" insertColumns="1" pivotTables="1" deleteRows="1" formatCells="1" formatRows="1" sort="1"/>
  <mergeCells count="9">
    <mergeCell ref="D9:Q9"/>
    <mergeCell ref="D8:Q8"/>
    <mergeCell ref="D6:Q6"/>
    <mergeCell ref="D7:Q7"/>
    <mergeCell ref="D10:Q10"/>
    <mergeCell ref="A2:Q2"/>
    <mergeCell ref="D11:Q11"/>
    <mergeCell ref="D5:Q5"/>
    <mergeCell ref="A37:Q37"/>
  </mergeCells>
  <conditionalFormatting sqref="L16:L29">
    <cfRule type="expression" priority="1" dxfId="0">
      <formula>L16="On target"</formula>
    </cfRule>
    <cfRule type="expression" priority="2" dxfId="2">
      <formula>L16="Watch the cost"</formula>
    </cfRule>
    <cfRule type="expression" priority="3" dxfId="1">
      <formula>L16="Above target"</formula>
    </cfRule>
  </conditionalFormatting>
  <conditionalFormatting sqref="B35">
    <cfRule type="expression" priority="4" dxfId="0">
      <formula>$B$35="On target"</formula>
    </cfRule>
    <cfRule type="expression" priority="5" dxfId="2">
      <formula>$B$35="Watch the cost"</formula>
    </cfRule>
    <cfRule type="expression" priority="6" dxfId="1">
      <formula>$B$35="Above target"</formula>
    </cfRule>
  </conditionalFormatting>
  <dataValidations count="4">
    <dataValidation sqref="B5 B7 B10 B11" showDropDown="0" showInputMessage="0" showErrorMessage="1" allowBlank="0" errorTitle="Invalid percentage" error="Type a percentage between 0 and 0.9 (0.1 = 10%)." type="decimal" operator="between">
      <formula1>0</formula1>
      <formula2>0.9</formula2>
    </dataValidation>
    <dataValidation sqref="B6" showDropDown="0" showInputMessage="0" showErrorMessage="1" allowBlank="0" errorTitle="Invalid target" error="The target cannot be 0 (it is a divisor): type a value between 0.01 and 0.9." type="decimal" operator="between">
      <formula1>0.01</formula1>
      <formula2>0.9</formula2>
    </dataValidation>
    <dataValidation sqref="B8 B9 C16 C17 C18 C19 C20 C21 C22 C23 C24 C25 C26 C27 C28 C29 D16 D17 D18 D19 D20 D21 D22 D23 D24 D25 D26 D27 D28 D29 E16 E17 E18 E19 E20 E21 E22 E23 E24 E25 E26 E27 E28 E29 F16 F17 F18 F19 F20 F21 F22 F23 F24 F25 F26 F27 F28 F29 G16 G17 G18 G19 G20 G21 G22 G23 G24 G25 G26 G27 G28 G29 H16 H17 H18 H19 H20 H21 H22 H23 H24 H25 H26 H27 H28 H29" showDropDown="0" showInputMessage="0" showErrorMessage="1" allowBlank="0" errorTitle="Invalid amount" error="Type a number greater than or equal to 0." type="decimal" operator="greaterThanOrEqual">
      <formula1>0</formula1>
    </dataValidation>
    <dataValidation sqref="B16 B17 B18 B19 B20 B21 B22 B23 B24 B25 B26 B27 B28 B29" showDropDown="0" showInputMessage="0" showErrorMessage="1" allowBlank="0" errorTitle="Invalid fish" error="Type 0 (none), 1, 2, 3 or 4, the number of the column on the Fish Yield sheet." type="whole" operator="between">
      <formula1>0</formula1>
      <formula2>4</formula2>
    </dataValidation>
  </dataValidation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35"/>
  <sheetViews>
    <sheetView showGridLines="0" workbookViewId="0">
      <selection activeCell="A1" sqref="A1"/>
    </sheetView>
  </sheetViews>
  <sheetFormatPr baseColWidth="8" defaultRowHeight="15"/>
  <cols>
    <col width="110" customWidth="1" min="1" max="1"/>
  </cols>
  <sheetData>
    <row r="1">
      <c r="A1" s="30" t="inlineStr">
        <is>
          <t>INSTRUCTIONS — Sushi Fish, Rice &amp; Costing Calculator</t>
        </is>
      </c>
    </row>
    <row r="2" ht="90" customHeight="1">
      <c r="A2" s="2" t="inlineStr">
        <is>
          <t>Three tools in one workbook: the "Fish Yield" sheet tells you what a usable lb of whole salmon, salmon fillet and tuna saku costs, what each slice, cut and roll is worth and whether buying the whole fish pays off; the "Sushi Rice" sheet calculates the sushi rice that 1 lb of raw rice makes, its cost, how many nigiri you get per lb and how much rice to buy per day; the "Costing" sheet calculates the cost, food cost, margin and menu price of 14 products, with the margin dine-in, take-out and on the marketplace, and the weighted food cost of your week. You type only in the GREEN cells; everything else is calculated.</t>
        </is>
      </c>
    </row>
    <row r="3" ht="30" customHeight="1">
      <c r="A3" s="2" t="inlineStr">
        <is>
          <t>Every default is a Kit estimate, editable: coherent examples for the case of the business plan, not anyone's prices. Replace them with your distributor's prices and with what you measure at your counter before you decide menu prices.</t>
        </is>
      </c>
    </row>
    <row r="4">
      <c r="A4" s="18" t="inlineStr">
        <is>
          <t>HOW THIS FILE FITS THE KIT</t>
        </is>
      </c>
    </row>
    <row r="6" ht="45" customHeight="1">
      <c r="A6" s="2" t="inlineStr">
        <is>
          <t>This calculator is one of four files: Sushi Restaurant Business Plan, Sushi Restaurant Financial Projections, Sushi Restaurant Startup Checklist and this one. The cost per piece you get here is NOT copied into the plan: the plan uses the real usage of the whole menu (see "From theoretical food cost to the plan's 32%" below).</t>
        </is>
      </c>
    </row>
    <row r="7">
      <c r="A7" s="18" t="inlineStr">
        <is>
          <t>SHEET "FISH YIELD"</t>
        </is>
      </c>
    </row>
    <row r="9" ht="45" customHeight="1">
      <c r="A9" s="2" t="inlineStr">
        <is>
          <t>1. Measure your yield. Weigh 3 whole salmon, break them down, weigh the usable loin from each and divide by the weight of the whole fish; type the average in "Yield". Weigh also the trim you reuse (spicy mix, maki, poke) and type it in "Trim you reuse". Weigh 10 nigiri slices and 10 sashimi cuts and use the average in ounces.</t>
        </is>
      </c>
    </row>
    <row r="10" ht="45" customHeight="1">
      <c r="A10" s="2" t="inlineStr">
        <is>
          <t>2. The cost per usable lb is the price ÷ (yield + trim) ÷ (1 − case shrink). It is the number that feeds the costing: with the Kit estimates it comes out at $11.28 per lb for the whole salmon, $23.92 for the fillet and $25.48 for the tuna saku.</t>
        </is>
      </c>
    </row>
    <row r="11" ht="45" customHeight="1">
      <c r="A11" s="2" t="inlineStr">
        <is>
          <t>3. Cleaning costs money too. The kit assumes 25 minutes per whole fish, a figure with no source: time it. The head sushi chef cost is estimated at $33.00 an hour: $5,199 a month × 12 + 10% payroll taxes ÷ 2,080 h ≈ $33/h. The sheet tells you up to what cleaning cost per usable lb buying the whole fish still pays off.</t>
        </is>
      </c>
    </row>
    <row r="12" ht="105" customHeight="1">
      <c r="A12" s="2" t="inlineStr">
        <is>
          <t>4. Parasite destruction (FDA Food Code 2022, 3-402.11). Fish served raw or undercooked is frozen at −4 °F or below for 168 hours (7 days), or at −31 °F until solid and held 15 hours, or at −31 °F until solid and held 24 hours at −4 °F. Tuna species and feed-raised aquaculture fish such as farmed salmon are exempt; the farmed fish only with a written statement from the supplier or the farm, and the kit also files the tuna invoice that names the species. If the fish arrives frozen, keep the supplier's written agreement or statement for every lot, showing the freezing time and temperature. Keep the records 90 days (3-402.12). "Sushi-grade" has no legal definition: a supplier label is no substitute for the freezing records or the written statement. The dropdown on the sheet is a reminder only: it changes no figure.</t>
        </is>
      </c>
    </row>
    <row r="13" ht="30" customHeight="1">
      <c r="A13" s="2" t="inlineStr">
        <is>
          <t>5. Scombrotoxin. Receive tuna, yellowtail and mackerel at 40 °F or below and keep them cold. Raw or undercooked fish needs the consumer advisory (3-603.11) on the menu and on your marketplace listings.</t>
        </is>
      </c>
    </row>
    <row r="14">
      <c r="A14" s="18" t="inlineStr">
        <is>
          <t>SHEET "SUSHI RICE"</t>
        </is>
      </c>
    </row>
    <row r="16" ht="30" customHeight="1">
      <c r="A16" s="2" t="inlineStr">
        <is>
          <t>1. Weigh 10 rice balls (the rice already seasoned with sushi-zu) and use the average in ounces per nigiri; do the same with a maki, an inside-out roll, a hand roll and a poke bowl.</t>
        </is>
      </c>
    </row>
    <row r="17" ht="30" customHeight="1">
      <c r="A17" s="2" t="inlineStr">
        <is>
          <t>2. The key results are the lb of sushi rice per lb of raw rice (2.41 with the Kit estimates), the cost per lb of sushi rice and the nigiri you get from each lb of raw rice. With them you know how much rice to buy per day for your covers.</t>
        </is>
      </c>
    </row>
    <row r="18" ht="60" customHeight="1">
      <c r="A18" s="2" t="inlineStr">
        <is>
          <t>3. Rice safety. Cooked sushi rice is a TCS food. Either hold it with Time as a Public Health Control (3-501.19): up to 4 hours with the time marked and a written procedure, then discard; or, if your county approved a variance, run it as acidified rice under a HACCP plan (3-502.11) and log the pH of every batch. The Food Code annex gives pH below 4.2 as an example critical limit and each county sets its own: the kit does not set a legal pH.</t>
        </is>
      </c>
    </row>
    <row r="19">
      <c r="A19" s="18" t="inlineStr">
        <is>
          <t>SHEET "COSTING"</t>
        </is>
      </c>
    </row>
    <row r="21" ht="30" customHeight="1">
      <c r="A21" s="2" t="inlineStr">
        <is>
          <t>1. Type the sales tax included in your menu prices (leave 0% if your menu is before tax), the food cost target, the watch band, the to-go and marketplace packaging, the marketplace markup and the commission.</t>
        </is>
      </c>
    </row>
    <row r="22" ht="45" customHeight="1">
      <c r="A22" s="2" t="inlineStr">
        <is>
          <t>2. In the table each row is a product. "Fish" is the number of the Fish Yield column it uses (1 whole salmon, 2 salmon fillet, 3 tuna saku, 4 free; 0 if it has no fish). Type the ounces of fish, the ounces of sushi rice, the nori sheets, what the other ingredients cost, the menu price and the units you sell per week.</t>
        </is>
      </c>
    </row>
    <row r="23" ht="60" customHeight="1">
      <c r="A23" s="2" t="inlineStr">
        <is>
          <t>3. For each product you see the cost, the price before tax, the food cost with a traffic light, the menu price you would need to reach your target and the margin dine-in, take-out / pickup and on the marketplace, with the rank of each product by dine-in margin. Below, the weighted food cost of your week. Tempura and gyoza travel badly: keep them off the marketplace menu or warn the guest.</t>
        </is>
      </c>
    </row>
    <row r="24">
      <c r="A24" s="18" t="inlineStr">
        <is>
          <t>FROM THEORETICAL FOOD COST TO THE PLAN'S 32%</t>
        </is>
      </c>
    </row>
    <row r="26" ht="105" customHeight="1">
      <c r="A26" s="2" t="inlineStr">
        <is>
          <t>The food cost on this sheet is theoretical: what you would get if everything you buy were sold exactly as in the costing. With the Kit estimates the weighted week comes out around 24%. The plan works with 32% (sheet "0. Assumptions", cell B13, in the Sushi Restaurant Financial Projections), the prudent side: between the recipe and the register you lose case shrink, trim that is not reused, ounces that weigh more than in the costing, sushi rice, nori and sauces thrown out at close, staff meals, comps and order mistakes. Your real comparison is this: the month's food purchases ÷ the month's food sales before tax. If after the first quarter it comes out above or below 32%, update the food cost assumption in the Financial Projections.</t>
        </is>
      </c>
    </row>
    <row r="27">
      <c r="A27" s="18" t="inlineStr">
        <is>
          <t>PRICES, SALES TAX AND SOURCES</t>
        </is>
      </c>
    </row>
    <row r="29" ht="60" customHeight="1">
      <c r="A29" s="2" t="inlineStr">
        <is>
          <t>US menus usually exclude sales tax, so the calculator works before tax and the sales tax input is 0%. Type your rate only if your menu prices include it. The prices and yields come from the kit's market research (October 2026): rice, nori and vinegar from a restaurant supply store, salmon and tuna from secondary price reports and retail. None of the figures in this calculator is a published figure for your business: replace them with yours.</t>
        </is>
      </c>
    </row>
    <row r="31">
      <c r="A31" s="2" t="inlineStr">
        <is>
          <t>To edit a cell that is not green: Review → Unprotect Sheet (there is no password).</t>
        </is>
      </c>
    </row>
    <row r="32">
      <c r="A32" s="2" t="inlineStr">
        <is>
          <t>More templates and kits in the catalog at aichef.pro/en/digital-products</t>
        </is>
      </c>
    </row>
    <row r="33">
      <c r="A33" s="2" t="inlineStr">
        <is>
          <t>Designed by John Guerrero — chef and restaurant consultant since 2010, in the kitchen since age 17 · johnguerrero.es</t>
        </is>
      </c>
    </row>
    <row r="34">
      <c r="A34" s="2" t="inlineStr">
        <is>
          <t>Version 2.2 · October 2026 · aichef.pro/en/digital-products/sushi-restaurant-business-plan · info@aichef.pro</t>
        </is>
      </c>
    </row>
    <row r="35">
      <c r="A35" s="29" t="inlineStr">
        <is>
          <t>Planning tool, not financial, tax or legal advice. Requirements vary by state, county and city — check with your accountant and local authorities.</t>
        </is>
      </c>
    </row>
  </sheetData>
  <sheetProtection selectLockedCells="0" selectUnlockedCells="0" sheet="1" objects="0" insertRows="1" insertHyperlinks="1" autoFilter="1" scenarios="0" formatColumns="1" deleteColumns="1" insertColumns="1" pivotTables="1" deleteRows="1" formatCells="1" formatRows="1" sort="1"/>
  <printOptions horizontalCentered="1"/>
  <pageMargins left="0.75" right="0.75" top="1" bottom="1" header="0.5" footer="0.5"/>
  <pageSetup orientation="portrait" paperSize="1" fitToHeight="0" fitToWidth="1"/>
  <headerFooter>
    <oddHeader/>
    <oddFooter>&amp;CAI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Sushi Fish, Rice &amp; Costing Calculator (Fish Yield, Sushi Rice and Cost per Piece) · Sushi Restaurant Business Plan Kit</dc:title>
  <dc:description xmlns:dc="http://purl.org/dc/elements/1.1/">aichef.pro/en/digital-products/sushi-restaurant-business-plan</dc:description>
  <dc:subject xmlns:dc="http://purl.org/dc/elements/1.1/">Sushi Restaurant Business Plan Kit · v2.2</dc:subject>
  <dcterms:created xmlns:dcterms="http://purl.org/dc/terms/" xmlns:xsi="http://www.w3.org/2001/XMLSchema-instance" xsi:type="dcterms:W3CDTF">2026-10-31T03:29:49Z</dcterms:created>
  <dcterms:modified xmlns:dcterms="http://purl.org/dc/terms/" xmlns:xsi="http://www.w3.org/2001/XMLSchema-instance" xsi:type="dcterms:W3CDTF">2026-10-31T03:29:49Z</dcterms:modified>
  <cp:lastModifiedBy>AI Chef Pro</cp:lastModifiedBy>
  <cp:category>AI Chef Pro · Digital products</cp:category>
  <cp:keywords>sushi restaurant business plan, sushi bar business plan, how to open a sushi restaurant, sushi restaurant startup costs, sushi cost per roll, AI Chef Pro</cp:keywords>
</cp:coreProperties>
</file>