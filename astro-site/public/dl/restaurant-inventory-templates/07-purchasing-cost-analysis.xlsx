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pend by Category" sheetId="2" state="visible" r:id="rId2"/>
    <sheet xmlns:r="http://schemas.openxmlformats.org/officeDocument/2006/relationships" name="Monthly Trend" sheetId="3" state="visible" r:id="rId3"/>
    <sheet xmlns:r="http://schemas.openxmlformats.org/officeDocument/2006/relationships" name="Top 20 Items" sheetId="4" state="visible" r:id="rId4"/>
    <sheet xmlns:r="http://schemas.openxmlformats.org/officeDocument/2006/relationships" name="KPI Dashboard" sheetId="5" state="visible" r:id="rId5"/>
  </sheets>
  <definedNames>
    <definedName name="_xlnm.Print_Titles" localSheetId="1">'Spend by Category'!$3:$3</definedName>
    <definedName name="_xlnm.Print_Area" localSheetId="1">'Spend by Category'!$A$1:$O$16</definedName>
    <definedName name="_xlnm.Print_Titles" localSheetId="2">'Monthly Trend'!$3:$3</definedName>
    <definedName name="_xlnm.Print_Area" localSheetId="2">'Monthly Trend'!$A$1:$D$17</definedName>
    <definedName name="_xlnm.Print_Titles" localSheetId="3">'Top 20 Items'!$3:$3</definedName>
    <definedName name="_xlnm.Print_Area" localSheetId="3">'Top 20 Items'!$A$1:$M$33</definedName>
    <definedName name="_xlnm.Print_Titles" localSheetId="4">'KPI Dashboard'!$3:$3</definedName>
    <definedName name="_xlnm.Print_Area" localSheetId="4">'KPI Dashboard'!$A$1:$E$19</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11">
    <font>
      <name val="Calibri"/>
      <family val="2"/>
      <color theme="1"/>
      <sz val="11"/>
      <scheme val="minor"/>
    </font>
    <font>
      <b val="1"/>
      <color rgb="00FFD700"/>
      <sz val="16"/>
    </font>
    <font>
      <color rgb="00888888"/>
      <sz val="10"/>
    </font>
    <font>
      <sz val="10"/>
    </font>
    <font>
      <b val="1"/>
      <color rgb="00FFD700"/>
      <sz val="14"/>
    </font>
    <font>
      <b val="1"/>
      <color rgb="00FFFFFF"/>
      <sz val="10"/>
    </font>
    <font>
      <b val="1"/>
      <sz val="11"/>
    </font>
    <font>
      <b val="1"/>
    </font>
    <font>
      <i val="1"/>
      <color rgb="00666666"/>
      <sz val="9"/>
    </font>
    <font>
      <b val="1"/>
      <color rgb="00FFFFFF"/>
      <sz val="13"/>
    </font>
    <font>
      <b val="1"/>
      <color rgb="002D2D2D"/>
      <sz val="11"/>
    </font>
  </fonts>
  <fills count="5">
    <fill>
      <patternFill/>
    </fill>
    <fill>
      <patternFill patternType="gray125"/>
    </fill>
    <fill>
      <patternFill patternType="solid">
        <fgColor rgb="002D2D2D"/>
      </patternFill>
    </fill>
    <fill>
      <patternFill patternType="solid">
        <fgColor rgb="00F5F5F5"/>
      </patternFill>
    </fill>
    <fill>
      <patternFill patternType="solid">
        <f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vertical="center" wrapText="1"/>
    </xf>
    <xf numFmtId="4" fontId="3" fillId="0" borderId="1" applyAlignment="1" pivotButton="0" quotePrefix="0" xfId="0">
      <alignment vertical="center" wrapText="1"/>
    </xf>
    <xf numFmtId="0" fontId="3" fillId="3" borderId="1" applyAlignment="1" pivotButton="0" quotePrefix="0" xfId="0">
      <alignment vertical="center" wrapText="1"/>
    </xf>
    <xf numFmtId="4" fontId="3" fillId="3" borderId="1" applyAlignment="1" pivotButton="0" quotePrefix="0" xfId="0">
      <alignment vertical="center" wrapText="1"/>
    </xf>
    <xf numFmtId="0" fontId="6" fillId="0" borderId="0" pivotButton="0" quotePrefix="0" xfId="0"/>
    <xf numFmtId="4" fontId="7" fillId="0" borderId="0" pivotButton="0" quotePrefix="0" xfId="0"/>
    <xf numFmtId="0" fontId="3" fillId="0" borderId="0" applyAlignment="1" pivotButton="0" quotePrefix="0" xfId="0">
      <alignment vertical="top" wrapText="1"/>
    </xf>
    <xf numFmtId="0" fontId="8" fillId="0" borderId="0" applyAlignment="1" pivotButton="0" quotePrefix="0" xfId="0">
      <alignment vertical="center"/>
    </xf>
    <xf numFmtId="164" fontId="3" fillId="4" borderId="1" applyAlignment="1" applyProtection="1" pivotButton="0" quotePrefix="0" xfId="0">
      <alignment vertical="center" wrapText="1"/>
      <protection locked="0" hidden="0"/>
    </xf>
    <xf numFmtId="164" fontId="3" fillId="0" borderId="1" applyAlignment="1" pivotButton="0" quotePrefix="0" xfId="0">
      <alignment vertical="center" wrapText="1"/>
    </xf>
    <xf numFmtId="165" fontId="3" fillId="0" borderId="1" applyAlignment="1" pivotButton="0" quotePrefix="0" xfId="0">
      <alignment vertical="center" wrapText="1"/>
    </xf>
    <xf numFmtId="164" fontId="3" fillId="3" borderId="1" applyAlignment="1" pivotButton="0" quotePrefix="0" xfId="0">
      <alignment vertical="center" wrapText="1"/>
    </xf>
    <xf numFmtId="165" fontId="3" fillId="3" borderId="1" applyAlignment="1" pivotButton="0" quotePrefix="0" xfId="0">
      <alignment vertical="center" wrapText="1"/>
    </xf>
    <xf numFmtId="164" fontId="7" fillId="0" borderId="0" pivotButton="0" quotePrefix="0" xfId="0"/>
    <xf numFmtId="165" fontId="7" fillId="0" borderId="0" pivotButton="0" quotePrefix="0" xfId="0"/>
    <xf numFmtId="0" fontId="9" fillId="2" borderId="0" pivotButton="0" quotePrefix="0" xfId="0"/>
    <xf numFmtId="0" fontId="5"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0" fillId="3" borderId="0" pivotButton="0" quotePrefix="0" xfId="0"/>
    <xf numFmtId="164" fontId="0" fillId="3" borderId="0" pivotButton="0" quotePrefix="0" xfId="0"/>
    <xf numFmtId="165" fontId="0" fillId="3" borderId="0" pivotButton="0" quotePrefix="0" xfId="0"/>
    <xf numFmtId="0" fontId="3" fillId="4" borderId="1" applyAlignment="1" applyProtection="1" pivotButton="0" quotePrefix="0" xfId="0">
      <alignment vertical="center" wrapText="1"/>
      <protection locked="0" hidden="0"/>
    </xf>
    <xf numFmtId="0" fontId="7" fillId="0" borderId="0" pivotButton="0" quotePrefix="0" xfId="0"/>
    <xf numFmtId="165" fontId="7" fillId="0" borderId="1" applyAlignment="1" pivotButton="0" quotePrefix="0" xfId="0">
      <alignment vertical="center" wrapText="1"/>
    </xf>
    <xf numFmtId="165" fontId="3" fillId="4" borderId="1" applyAlignment="1" applyProtection="1" pivotButton="0" quotePrefix="0" xfId="0">
      <alignment vertical="center" wrapText="1"/>
      <protection locked="0" hidden="0"/>
    </xf>
    <xf numFmtId="0" fontId="3" fillId="0" borderId="1" applyAlignment="1" pivotButton="0" quotePrefix="0" xfId="0">
      <alignment vertical="top" wrapText="1"/>
    </xf>
    <xf numFmtId="0" fontId="7" fillId="0" borderId="0" applyAlignment="1" pivotButton="0" quotePrefix="0" xfId="0">
      <alignment horizontal="center" vertical="center"/>
    </xf>
    <xf numFmtId="164" fontId="7" fillId="3" borderId="1" applyAlignment="1" pivotButton="0" quotePrefix="0" xfId="0">
      <alignment vertical="center" wrapText="1"/>
    </xf>
    <xf numFmtId="0" fontId="3" fillId="3" borderId="1" applyAlignment="1" pivotButton="0" quotePrefix="0" xfId="0">
      <alignment vertical="top" wrapText="1"/>
    </xf>
    <xf numFmtId="164" fontId="7" fillId="0" borderId="1" applyAlignment="1" pivotButton="0" quotePrefix="0" xfId="0">
      <alignment vertical="center" wrapText="1"/>
    </xf>
    <xf numFmtId="165" fontId="7" fillId="3" borderId="1" applyAlignment="1" pivotButton="0" quotePrefix="0" xfId="0">
      <alignment vertical="center" wrapText="1"/>
    </xf>
    <xf numFmtId="1" fontId="7" fillId="0" borderId="1" applyAlignment="1" pivotButton="0" quotePrefix="0" xfId="0">
      <alignment vertical="center" wrapText="1"/>
    </xf>
    <xf numFmtId="1" fontId="3" fillId="4" borderId="1" applyAlignment="1" applyProtection="1" pivotButton="0" quotePrefix="0" xfId="0">
      <alignment vertical="center" wrapText="1"/>
      <protection locked="0" hidden="0"/>
    </xf>
    <xf numFmtId="0" fontId="0" fillId="4" borderId="0" applyProtection="1" pivotButton="0" quotePrefix="0" xfId="0">
      <protection locked="0" hidden="0"/>
    </xf>
    <xf numFmtId="0" fontId="0" fillId="0" borderId="0" applyAlignment="1" pivotButton="0" quotePrefix="0" xfId="0">
      <alignment vertical="top" wrapText="1"/>
    </xf>
    <xf numFmtId="0" fontId="10" fillId="0" borderId="0" pivotButton="0" quotePrefix="0" xfId="0"/>
    <xf numFmtId="164" fontId="0" fillId="4" borderId="0" applyProtection="1" pivotButton="0" quotePrefix="0" xfId="0">
      <protection locked="0" hidden="0"/>
    </xf>
    <xf numFmtId="1" fontId="0" fillId="4" borderId="0" applyProtection="1" pivotButton="0" quotePrefix="0" xfId="0">
      <protection locked="0" hidden="0"/>
    </xf>
    <xf numFmtId="164" fontId="3" fillId="4" borderId="1" applyAlignment="1" applyProtection="1" pivotButton="0" quotePrefix="0" xfId="0">
      <alignment vertical="center" wrapText="1"/>
      <protection locked="0" hidden="0"/>
    </xf>
    <xf numFmtId="164" fontId="3" fillId="0" borderId="1" applyAlignment="1" pivotButton="0" quotePrefix="0" xfId="0">
      <alignment vertical="center" wrapText="1"/>
    </xf>
    <xf numFmtId="165" fontId="3" fillId="0" borderId="1" applyAlignment="1" pivotButton="0" quotePrefix="0" xfId="0">
      <alignment vertical="center" wrapText="1"/>
    </xf>
    <xf numFmtId="164" fontId="3" fillId="3" borderId="1" applyAlignment="1" pivotButton="0" quotePrefix="0" xfId="0">
      <alignment vertical="center" wrapText="1"/>
    </xf>
    <xf numFmtId="165" fontId="3" fillId="3" borderId="1" applyAlignment="1" pivotButton="0" quotePrefix="0" xfId="0">
      <alignment vertical="center" wrapText="1"/>
    </xf>
    <xf numFmtId="164" fontId="7" fillId="0" borderId="0" pivotButton="0" quotePrefix="0" xfId="0"/>
    <xf numFmtId="165" fontId="7" fillId="0" borderId="0" pivotButton="0" quotePrefix="0" xfId="0"/>
    <xf numFmtId="164" fontId="0" fillId="0" borderId="0" pivotButton="0" quotePrefix="0" xfId="0"/>
    <xf numFmtId="165" fontId="0" fillId="0" borderId="0" pivotButton="0" quotePrefix="0" xfId="0"/>
    <xf numFmtId="164" fontId="0" fillId="3" borderId="0" pivotButton="0" quotePrefix="0" xfId="0"/>
    <xf numFmtId="165" fontId="0" fillId="3" borderId="0" pivotButton="0" quotePrefix="0" xfId="0"/>
    <xf numFmtId="165" fontId="7" fillId="0" borderId="1" applyAlignment="1" pivotButton="0" quotePrefix="0" xfId="0">
      <alignment vertical="center" wrapText="1"/>
    </xf>
    <xf numFmtId="165" fontId="3" fillId="4" borderId="1" applyAlignment="1" applyProtection="1" pivotButton="0" quotePrefix="0" xfId="0">
      <alignment vertical="center" wrapText="1"/>
      <protection locked="0" hidden="0"/>
    </xf>
    <xf numFmtId="164" fontId="7" fillId="3" borderId="1" applyAlignment="1" pivotButton="0" quotePrefix="0" xfId="0">
      <alignment vertical="center" wrapText="1"/>
    </xf>
    <xf numFmtId="164" fontId="7" fillId="0" borderId="1" applyAlignment="1" pivotButton="0" quotePrefix="0" xfId="0">
      <alignment vertical="center" wrapText="1"/>
    </xf>
    <xf numFmtId="165" fontId="7" fillId="3" borderId="1" applyAlignment="1" pivotButton="0" quotePrefix="0" xfId="0">
      <alignment vertical="center" wrapText="1"/>
    </xf>
    <xf numFmtId="164" fontId="0" fillId="4" borderId="0" applyProtection="1" pivotButton="0" quotePrefix="0" xfId="0">
      <protection locked="0" hidden="0"/>
    </xf>
  </cellXfs>
  <cellStyles count="1">
    <cellStyle name="Normal" xfId="0" builtinId="0" hidden="0"/>
  </cellStyles>
  <dxfs count="3">
    <dxf>
      <font>
        <b val="1"/>
        <color rgb="009C0006"/>
      </font>
      <fill>
        <patternFill patternType="solid">
          <fgColor rgb="00FFC7CE"/>
          <bgColor rgb="00FFC7CE"/>
        </patternFill>
      </fill>
    </dxf>
    <dxf>
      <font>
        <b val="1"/>
        <color rgb="009C6500"/>
      </font>
      <fill>
        <patternFill patternType="solid">
          <fgColor rgb="00FFEB9C"/>
          <bgColor rgb="00FFEB9C"/>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A26"/>
  <sheetViews>
    <sheetView workbookViewId="0">
      <selection activeCell="A1" sqref="A1"/>
    </sheetView>
  </sheetViews>
  <sheetFormatPr baseColWidth="8" defaultRowHeight="15"/>
  <cols>
    <col width="80" customWidth="1" min="1" max="1"/>
  </cols>
  <sheetData>
    <row r="1">
      <c r="A1" s="1" t="inlineStr">
        <is>
          <t>Purchasing Cost Analysis &amp; Food Cost KPIs</t>
        </is>
      </c>
    </row>
    <row r="2">
      <c r="A2" s="2" t="inlineStr">
        <is>
          <t>AI Chef Pro — aichef.pro</t>
        </is>
      </c>
    </row>
    <row r="3">
      <c r="A3" s="3" t="n"/>
    </row>
    <row r="4">
      <c r="A4" s="4" t="inlineStr">
        <is>
          <t>See where your purchasing money is going and calculate your cost KPIs.</t>
        </is>
      </c>
    </row>
    <row r="5">
      <c r="A5" s="4" t="n"/>
    </row>
    <row r="6">
      <c r="A6" s="4" t="inlineStr">
        <is>
          <t>ALL AMOUNTS ARE PRE-TAX (NET AMOUNT).</t>
        </is>
      </c>
    </row>
    <row r="7">
      <c r="A7" s="4" t="inlineStr">
        <is>
          <t>Tax you can reclaim is not part of food cost. If you copy the invoice total instead of the net amount, your food cost comes out inflated by the tax on the invoice (up to 20% with UK VAT) and every decision you base on it will be wrong. In the U.S., food bought for resale is usually tax exempt, so subtotal and total often match; sales tax you cannot reclaim is a real cost and stays in.</t>
        </is>
      </c>
    </row>
    <row r="8">
      <c r="A8" s="4" t="n"/>
    </row>
    <row r="9">
      <c r="A9" s="4" t="inlineStr">
        <is>
          <t>TABS:</t>
        </is>
      </c>
    </row>
    <row r="10">
      <c r="A10" s="4" t="inlineStr">
        <is>
          <t>1. Spend by Category — the kit's 10 categories, month by month; it's the table that feeds all the others</t>
        </is>
      </c>
    </row>
    <row r="11">
      <c r="A11" s="4" t="inlineStr">
        <is>
          <t>2. Monthly Trend — each month's total, its variance, and the year-to-date accumulated</t>
        </is>
      </c>
    </row>
    <row r="12">
      <c r="A12" s="4" t="inlineStr">
        <is>
          <t>3. Top 20 Items — the products taking the biggest bite of your spend, with the price-increase alert and the Top 5 ranking, which sorts itself (you don't need to sort the table)</t>
        </is>
      </c>
    </row>
    <row r="13">
      <c r="A13" s="4" t="inlineStr">
        <is>
          <t>4. KPI Dashboard — food cost, cost per cover and variance, calculated for real</t>
        </is>
      </c>
    </row>
    <row r="15">
      <c r="A15" s="4" t="inlineStr">
        <is>
          <t>HOW IT'S USED:</t>
        </is>
      </c>
    </row>
    <row r="16">
      <c r="A16" s="4" t="inlineStr">
        <is>
          <t>Every month, load your spend by category on "Spend by Category". The rest of the file calculates itself.</t>
        </is>
      </c>
    </row>
    <row r="17">
      <c r="A17" s="4" t="inlineStr">
        <is>
          <t>On the Dashboard you choose the PERIOD in a green cell: a specific month or "Full year". The sales, covers and inventory figures you enter have to match that same period, and the targets (food cost, variance, price increases) are yours too: they're green cells, change them.</t>
        </is>
      </c>
    </row>
    <row r="18">
      <c r="A18" s="4" t="inlineStr">
        <is>
          <t>The Status column on the Dashboard is a real status light: green within target, amber up to 10% over, and red beyond that.</t>
        </is>
      </c>
    </row>
    <row r="19">
      <c r="A19" s="4" t="inlineStr">
        <is>
          <t>Real food cost is based on USAGE, not purchases: beginning inventory plus purchases minus ending inventory. That's why the dashboard asks for both inventory figures, which come from template 01 (Kitchen &amp; Bar Inventory Sheet with Par Levels) or BONUS-08 (Month-End Inventory Count).</t>
        </is>
      </c>
    </row>
    <row r="20">
      <c r="A20" s="4" t="inlineStr">
        <is>
          <t>Cost per cover leaves out "Paper &amp; Cleaning" and "Other": they aren't raw ingredients. And its target isn't a fixed dollar figure, but a percentage of your average check (30% by default).</t>
        </is>
      </c>
    </row>
    <row r="22">
      <c r="A22" s="4" t="inlineStr">
        <is>
          <t>The sample rows carry made-up data so you can see the file working: delete them and add your own.</t>
        </is>
      </c>
    </row>
    <row r="24">
      <c r="A24" s="13" t="inlineStr">
        <is>
          <t>To edit a locked cell: Review → Unprotect Sheet (no password). Green cells are already editable without unprotecting anything.</t>
        </is>
      </c>
    </row>
    <row r="25">
      <c r="A25" s="13" t="inlineStr">
        <is>
          <t>Designed by John Guerrero — chef and restaurant consultant since 2010, in professional kitchens since age 17 · johnguerrero.es</t>
        </is>
      </c>
    </row>
    <row r="26">
      <c r="A26" s="13" t="inlineStr">
        <is>
          <t>Version 2.0 · September 2026 · aichef.pro/en/digital-products/restaurant-inventory-templates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D700"/>
    <outlinePr summaryBelow="1" summaryRight="1"/>
    <pageSetUpPr fitToPage="1"/>
  </sheetPr>
  <dimension ref="A1:O16"/>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2" customWidth="1" min="14" max="14"/>
    <col width="10" customWidth="1" min="15" max="15"/>
  </cols>
  <sheetData>
    <row r="1">
      <c r="A1" s="5" t="inlineStr">
        <is>
          <t>PURCHASING COST BY CATEGORY (PRE-TAX)</t>
        </is>
      </c>
    </row>
    <row r="2">
      <c r="A2" s="14" t="inlineStr">
        <is>
          <t>All amounts are pre-tax (net amount). The January column carries sample data: delete it and load your own.</t>
        </is>
      </c>
    </row>
    <row r="3">
      <c r="A3" s="6" t="inlineStr">
        <is>
          <t>Category</t>
        </is>
      </c>
      <c r="B3" s="6" t="inlineStr">
        <is>
          <t>Jan</t>
        </is>
      </c>
      <c r="C3" s="6" t="inlineStr">
        <is>
          <t>Feb</t>
        </is>
      </c>
      <c r="D3" s="6" t="inlineStr">
        <is>
          <t>Mar</t>
        </is>
      </c>
      <c r="E3" s="6" t="inlineStr">
        <is>
          <t>Apr</t>
        </is>
      </c>
      <c r="F3" s="6" t="inlineStr">
        <is>
          <t>May</t>
        </is>
      </c>
      <c r="G3" s="6" t="inlineStr">
        <is>
          <t>Jun</t>
        </is>
      </c>
      <c r="H3" s="6" t="inlineStr">
        <is>
          <t>Jul</t>
        </is>
      </c>
      <c r="I3" s="6" t="inlineStr">
        <is>
          <t>Aug</t>
        </is>
      </c>
      <c r="J3" s="6" t="inlineStr">
        <is>
          <t>Sep</t>
        </is>
      </c>
      <c r="K3" s="6" t="inlineStr">
        <is>
          <t>Oct</t>
        </is>
      </c>
      <c r="L3" s="6" t="inlineStr">
        <is>
          <t>Nov</t>
        </is>
      </c>
      <c r="M3" s="6" t="inlineStr">
        <is>
          <t>Dec</t>
        </is>
      </c>
      <c r="N3" s="6" t="inlineStr">
        <is>
          <t>Year total (pre-tax)</t>
        </is>
      </c>
      <c r="O3" s="6" t="inlineStr">
        <is>
          <t>% of Total</t>
        </is>
      </c>
    </row>
    <row r="4">
      <c r="A4" s="7" t="inlineStr">
        <is>
          <t>Meat &amp; Poultry</t>
        </is>
      </c>
      <c r="B4" s="46" t="n">
        <v>3650</v>
      </c>
      <c r="C4" s="46" t="n"/>
      <c r="D4" s="46" t="n"/>
      <c r="E4" s="46" t="n"/>
      <c r="F4" s="46" t="n"/>
      <c r="G4" s="46" t="n"/>
      <c r="H4" s="46" t="n"/>
      <c r="I4" s="46" t="n"/>
      <c r="J4" s="46" t="n"/>
      <c r="K4" s="46" t="n"/>
      <c r="L4" s="46" t="n"/>
      <c r="M4" s="46" t="n"/>
      <c r="N4" s="47">
        <f>SUM(B4:M4)</f>
        <v>3650.0</v>
      </c>
      <c r="O4" s="48">
        <f>IFERROR($N4/$N$14,"")</f>
        <v>0.24496644295302014</v>
      </c>
    </row>
    <row r="5">
      <c r="A5" s="9" t="inlineStr">
        <is>
          <t>Seafood</t>
        </is>
      </c>
      <c r="B5" s="46" t="n">
        <v>2900</v>
      </c>
      <c r="C5" s="46" t="n"/>
      <c r="D5" s="46" t="n"/>
      <c r="E5" s="46" t="n"/>
      <c r="F5" s="46" t="n"/>
      <c r="G5" s="46" t="n"/>
      <c r="H5" s="46" t="n"/>
      <c r="I5" s="46" t="n"/>
      <c r="J5" s="46" t="n"/>
      <c r="K5" s="46" t="n"/>
      <c r="L5" s="46" t="n"/>
      <c r="M5" s="46" t="n"/>
      <c r="N5" s="49">
        <f>SUM(B5:M5)</f>
        <v>2900.0</v>
      </c>
      <c r="O5" s="50">
        <f>IFERROR($N5/$N$14,"")</f>
        <v>0.19463087248322147</v>
      </c>
    </row>
    <row r="6">
      <c r="A6" s="7" t="inlineStr">
        <is>
          <t>Dairy &amp; Eggs</t>
        </is>
      </c>
      <c r="B6" s="46" t="n">
        <v>1150</v>
      </c>
      <c r="C6" s="46" t="n"/>
      <c r="D6" s="46" t="n"/>
      <c r="E6" s="46" t="n"/>
      <c r="F6" s="46" t="n"/>
      <c r="G6" s="46" t="n"/>
      <c r="H6" s="46" t="n"/>
      <c r="I6" s="46" t="n"/>
      <c r="J6" s="46" t="n"/>
      <c r="K6" s="46" t="n"/>
      <c r="L6" s="46" t="n"/>
      <c r="M6" s="46" t="n"/>
      <c r="N6" s="47">
        <f>SUM(B6:M6)</f>
        <v>1150.0</v>
      </c>
      <c r="O6" s="48">
        <f>IFERROR($N6/$N$14,"")</f>
        <v>0.07718120805369127</v>
      </c>
    </row>
    <row r="7">
      <c r="A7" s="9" t="inlineStr">
        <is>
          <t>Produce</t>
        </is>
      </c>
      <c r="B7" s="46" t="n">
        <v>1700</v>
      </c>
      <c r="C7" s="46" t="n"/>
      <c r="D7" s="46" t="n"/>
      <c r="E7" s="46" t="n"/>
      <c r="F7" s="46" t="n"/>
      <c r="G7" s="46" t="n"/>
      <c r="H7" s="46" t="n"/>
      <c r="I7" s="46" t="n"/>
      <c r="J7" s="46" t="n"/>
      <c r="K7" s="46" t="n"/>
      <c r="L7" s="46" t="n"/>
      <c r="M7" s="46" t="n"/>
      <c r="N7" s="49">
        <f>SUM(B7:M7)</f>
        <v>1700.0</v>
      </c>
      <c r="O7" s="50">
        <f>IFERROR($N7/$N$14,"")</f>
        <v>0.11409395973154363</v>
      </c>
    </row>
    <row r="8">
      <c r="A8" s="7" t="inlineStr">
        <is>
          <t>Dry Goods</t>
        </is>
      </c>
      <c r="B8" s="46" t="n">
        <v>1450</v>
      </c>
      <c r="C8" s="46" t="n"/>
      <c r="D8" s="46" t="n"/>
      <c r="E8" s="46" t="n"/>
      <c r="F8" s="46" t="n"/>
      <c r="G8" s="46" t="n"/>
      <c r="H8" s="46" t="n"/>
      <c r="I8" s="46" t="n"/>
      <c r="J8" s="46" t="n"/>
      <c r="K8" s="46" t="n"/>
      <c r="L8" s="46" t="n"/>
      <c r="M8" s="46" t="n"/>
      <c r="N8" s="47">
        <f>SUM(B8:M8)</f>
        <v>1450.0</v>
      </c>
      <c r="O8" s="48">
        <f>IFERROR($N8/$N$14,"")</f>
        <v>0.09731543624161074</v>
      </c>
    </row>
    <row r="9">
      <c r="A9" s="9" t="inlineStr">
        <is>
          <t>Frozen</t>
        </is>
      </c>
      <c r="B9" s="46" t="n">
        <v>650</v>
      </c>
      <c r="C9" s="46" t="n"/>
      <c r="D9" s="46" t="n"/>
      <c r="E9" s="46" t="n"/>
      <c r="F9" s="46" t="n"/>
      <c r="G9" s="46" t="n"/>
      <c r="H9" s="46" t="n"/>
      <c r="I9" s="46" t="n"/>
      <c r="J9" s="46" t="n"/>
      <c r="K9" s="46" t="n"/>
      <c r="L9" s="46" t="n"/>
      <c r="M9" s="46" t="n"/>
      <c r="N9" s="49">
        <f>SUM(B9:M9)</f>
        <v>650.0</v>
      </c>
      <c r="O9" s="50">
        <f>IFERROR($N9/$N$14,"")</f>
        <v>0.0436241610738255</v>
      </c>
    </row>
    <row r="10">
      <c r="A10" s="7" t="inlineStr">
        <is>
          <t>Alcoholic Beverages</t>
        </is>
      </c>
      <c r="B10" s="46" t="n">
        <v>1900</v>
      </c>
      <c r="C10" s="46" t="n"/>
      <c r="D10" s="46" t="n"/>
      <c r="E10" s="46" t="n"/>
      <c r="F10" s="46" t="n"/>
      <c r="G10" s="46" t="n"/>
      <c r="H10" s="46" t="n"/>
      <c r="I10" s="46" t="n"/>
      <c r="J10" s="46" t="n"/>
      <c r="K10" s="46" t="n"/>
      <c r="L10" s="46" t="n"/>
      <c r="M10" s="46" t="n"/>
      <c r="N10" s="47">
        <f>SUM(B10:M10)</f>
        <v>1900.0</v>
      </c>
      <c r="O10" s="48">
        <f>IFERROR($N10/$N$14,"")</f>
        <v>0.12751677852348994</v>
      </c>
    </row>
    <row r="11">
      <c r="A11" s="9" t="inlineStr">
        <is>
          <t>Non-Alcoholic Beverages</t>
        </is>
      </c>
      <c r="B11" s="46" t="n">
        <v>700</v>
      </c>
      <c r="C11" s="46" t="n"/>
      <c r="D11" s="46" t="n"/>
      <c r="E11" s="46" t="n"/>
      <c r="F11" s="46" t="n"/>
      <c r="G11" s="46" t="n"/>
      <c r="H11" s="46" t="n"/>
      <c r="I11" s="46" t="n"/>
      <c r="J11" s="46" t="n"/>
      <c r="K11" s="46" t="n"/>
      <c r="L11" s="46" t="n"/>
      <c r="M11" s="46" t="n"/>
      <c r="N11" s="49">
        <f>SUM(B11:M11)</f>
        <v>700.0</v>
      </c>
      <c r="O11" s="50">
        <f>IFERROR($N11/$N$14,"")</f>
        <v>0.04697986577181208</v>
      </c>
    </row>
    <row r="12">
      <c r="A12" s="7" t="inlineStr">
        <is>
          <t>Paper &amp; Cleaning</t>
        </is>
      </c>
      <c r="B12" s="46" t="n">
        <v>550</v>
      </c>
      <c r="C12" s="46" t="n"/>
      <c r="D12" s="46" t="n"/>
      <c r="E12" s="46" t="n"/>
      <c r="F12" s="46" t="n"/>
      <c r="G12" s="46" t="n"/>
      <c r="H12" s="46" t="n"/>
      <c r="I12" s="46" t="n"/>
      <c r="J12" s="46" t="n"/>
      <c r="K12" s="46" t="n"/>
      <c r="L12" s="46" t="n"/>
      <c r="M12" s="46" t="n"/>
      <c r="N12" s="47">
        <f>SUM(B12:M12)</f>
        <v>550.0</v>
      </c>
      <c r="O12" s="48">
        <f>IFERROR($N12/$N$14,"")</f>
        <v>0.03691275167785235</v>
      </c>
    </row>
    <row r="13">
      <c r="A13" s="9" t="inlineStr">
        <is>
          <t>Other</t>
        </is>
      </c>
      <c r="B13" s="46" t="n">
        <v>250</v>
      </c>
      <c r="C13" s="46" t="n"/>
      <c r="D13" s="46" t="n"/>
      <c r="E13" s="46" t="n"/>
      <c r="F13" s="46" t="n"/>
      <c r="G13" s="46" t="n"/>
      <c r="H13" s="46" t="n"/>
      <c r="I13" s="46" t="n"/>
      <c r="J13" s="46" t="n"/>
      <c r="K13" s="46" t="n"/>
      <c r="L13" s="46" t="n"/>
      <c r="M13" s="46" t="n"/>
      <c r="N13" s="49">
        <f>SUM(B13:M13)</f>
        <v>250.0</v>
      </c>
      <c r="O13" s="50">
        <f>IFERROR($N13/$N$14,"")</f>
        <v>0.016778523489932886</v>
      </c>
    </row>
    <row r="14">
      <c r="A14" s="11" t="inlineStr">
        <is>
          <t>TOTAL</t>
        </is>
      </c>
      <c r="B14" s="51">
        <f>SUM(B4:B13)</f>
        <v>14900.0</v>
      </c>
      <c r="C14" s="51">
        <f>SUM(C4:C13)</f>
        <v>0.0</v>
      </c>
      <c r="D14" s="51">
        <f>SUM(D4:D13)</f>
        <v>0.0</v>
      </c>
      <c r="E14" s="51">
        <f>SUM(E4:E13)</f>
        <v>0.0</v>
      </c>
      <c r="F14" s="51">
        <f>SUM(F4:F13)</f>
        <v>0.0</v>
      </c>
      <c r="G14" s="51">
        <f>SUM(G4:G13)</f>
        <v>0.0</v>
      </c>
      <c r="H14" s="51">
        <f>SUM(H4:H13)</f>
        <v>0.0</v>
      </c>
      <c r="I14" s="51">
        <f>SUM(I4:I13)</f>
        <v>0.0</v>
      </c>
      <c r="J14" s="51">
        <f>SUM(J4:J13)</f>
        <v>0.0</v>
      </c>
      <c r="K14" s="51">
        <f>SUM(K4:K13)</f>
        <v>0.0</v>
      </c>
      <c r="L14" s="51">
        <f>SUM(L4:L13)</f>
        <v>0.0</v>
      </c>
      <c r="M14" s="51">
        <f>SUM(M4:M13)</f>
        <v>0.0</v>
      </c>
      <c r="N14" s="51">
        <f>SUM(N4:N13)</f>
        <v>14900.0</v>
      </c>
      <c r="O14" s="52">
        <f>IFERROR($N14/$N$14,"")</f>
        <v>1.0</v>
      </c>
    </row>
    <row r="16">
      <c r="A16" s="14" t="inlineStr">
        <is>
          <t>Row 14 (TOTAL) is what the "KPI Dashboard" reads. There, in a green cell, you choose WHICH period you're measuring: a specific month or the full year. The sales, covers and inventory figures you enter on the dashboard have to match that same period.</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O1"/>
  </mergeCell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17"/>
  <sheetViews>
    <sheetView workbookViewId="0">
      <pane ySplit="3" topLeftCell="A4" activePane="bottomLeft" state="frozen"/>
      <selection pane="bottomLeft" activeCell="A1" sqref="A1"/>
    </sheetView>
  </sheetViews>
  <sheetFormatPr baseColWidth="8" defaultRowHeight="15"/>
  <cols>
    <col width="18" customWidth="1" min="1" max="1"/>
    <col width="24" customWidth="1" min="2" max="2"/>
    <col width="30" customWidth="1" min="3" max="3"/>
    <col width="24" customWidth="1" min="4" max="4"/>
  </cols>
  <sheetData>
    <row r="1">
      <c r="A1" s="22" t="inlineStr">
        <is>
          <t>MONTHLY TREND OF PURCHASING SPEND (PRE-TAX)</t>
        </is>
      </c>
    </row>
    <row r="2">
      <c r="A2" s="14" t="inlineStr">
        <is>
          <t>Nothing gets typed here: it all pulls automatically from the TOTAL row on "Spend by Category".</t>
        </is>
      </c>
    </row>
    <row r="3">
      <c r="A3" s="23" t="inlineStr">
        <is>
          <t>Month</t>
        </is>
      </c>
      <c r="B3" s="23" t="inlineStr">
        <is>
          <t>Month's purchases</t>
        </is>
      </c>
      <c r="C3" s="23" t="inlineStr">
        <is>
          <t>Variance vs prior month (%)</t>
        </is>
      </c>
      <c r="D3" s="23" t="inlineStr">
        <is>
          <t>Year-to-date accumulated</t>
        </is>
      </c>
    </row>
    <row r="4">
      <c r="A4" t="inlineStr">
        <is>
          <t>January</t>
        </is>
      </c>
      <c r="B4" s="53">
        <f>'Spend by Category'!B$14</f>
        <v>14900.0</v>
      </c>
      <c r="C4" s="54" t="n"/>
      <c r="D4" s="53">
        <f>SUM($B$4:$B4)</f>
        <v>14900.0</v>
      </c>
    </row>
    <row r="5">
      <c r="A5" s="26" t="inlineStr">
        <is>
          <t>February</t>
        </is>
      </c>
      <c r="B5" s="55">
        <f>'Spend by Category'!C$14</f>
        <v>0.0</v>
      </c>
      <c r="C5" s="56">
        <f>IF(OR($B4=0,$B5=0),"",IFERROR($B5/$B4-1,""))</f>
        <v/>
      </c>
      <c r="D5" s="55">
        <f>SUM($B$4:$B5)</f>
        <v>14900.0</v>
      </c>
    </row>
    <row r="6">
      <c r="A6" t="inlineStr">
        <is>
          <t>March</t>
        </is>
      </c>
      <c r="B6" s="53">
        <f>'Spend by Category'!D$14</f>
        <v>0.0</v>
      </c>
      <c r="C6" s="54">
        <f>IF(OR($B5=0,$B6=0),"",IFERROR($B6/$B5-1,""))</f>
        <v/>
      </c>
      <c r="D6" s="53">
        <f>SUM($B$4:$B6)</f>
        <v>14900.0</v>
      </c>
    </row>
    <row r="7">
      <c r="A7" s="26" t="inlineStr">
        <is>
          <t>April</t>
        </is>
      </c>
      <c r="B7" s="55">
        <f>'Spend by Category'!E$14</f>
        <v>0.0</v>
      </c>
      <c r="C7" s="56">
        <f>IF(OR($B6=0,$B7=0),"",IFERROR($B7/$B6-1,""))</f>
        <v/>
      </c>
      <c r="D7" s="55">
        <f>SUM($B$4:$B7)</f>
        <v>14900.0</v>
      </c>
    </row>
    <row r="8">
      <c r="A8" t="inlineStr">
        <is>
          <t>May</t>
        </is>
      </c>
      <c r="B8" s="53">
        <f>'Spend by Category'!F$14</f>
        <v>0.0</v>
      </c>
      <c r="C8" s="54">
        <f>IF(OR($B7=0,$B8=0),"",IFERROR($B8/$B7-1,""))</f>
        <v/>
      </c>
      <c r="D8" s="53">
        <f>SUM($B$4:$B8)</f>
        <v>14900.0</v>
      </c>
    </row>
    <row r="9">
      <c r="A9" s="26" t="inlineStr">
        <is>
          <t>June</t>
        </is>
      </c>
      <c r="B9" s="55">
        <f>'Spend by Category'!G$14</f>
        <v>0.0</v>
      </c>
      <c r="C9" s="56">
        <f>IF(OR($B8=0,$B9=0),"",IFERROR($B9/$B8-1,""))</f>
        <v/>
      </c>
      <c r="D9" s="55">
        <f>SUM($B$4:$B9)</f>
        <v>14900.0</v>
      </c>
    </row>
    <row r="10">
      <c r="A10" t="inlineStr">
        <is>
          <t>July</t>
        </is>
      </c>
      <c r="B10" s="53">
        <f>'Spend by Category'!H$14</f>
        <v>0.0</v>
      </c>
      <c r="C10" s="54">
        <f>IF(OR($B9=0,$B10=0),"",IFERROR($B10/$B9-1,""))</f>
        <v/>
      </c>
      <c r="D10" s="53">
        <f>SUM($B$4:$B10)</f>
        <v>14900.0</v>
      </c>
    </row>
    <row r="11">
      <c r="A11" s="26" t="inlineStr">
        <is>
          <t>August</t>
        </is>
      </c>
      <c r="B11" s="55">
        <f>'Spend by Category'!I$14</f>
        <v>0.0</v>
      </c>
      <c r="C11" s="56">
        <f>IF(OR($B10=0,$B11=0),"",IFERROR($B11/$B10-1,""))</f>
        <v/>
      </c>
      <c r="D11" s="55">
        <f>SUM($B$4:$B11)</f>
        <v>14900.0</v>
      </c>
    </row>
    <row r="12">
      <c r="A12" t="inlineStr">
        <is>
          <t>September</t>
        </is>
      </c>
      <c r="B12" s="53">
        <f>'Spend by Category'!J$14</f>
        <v>0.0</v>
      </c>
      <c r="C12" s="54">
        <f>IF(OR($B11=0,$B12=0),"",IFERROR($B12/$B11-1,""))</f>
        <v/>
      </c>
      <c r="D12" s="53">
        <f>SUM($B$4:$B12)</f>
        <v>14900.0</v>
      </c>
    </row>
    <row r="13">
      <c r="A13" s="26" t="inlineStr">
        <is>
          <t>October</t>
        </is>
      </c>
      <c r="B13" s="55">
        <f>'Spend by Category'!K$14</f>
        <v>0.0</v>
      </c>
      <c r="C13" s="56">
        <f>IF(OR($B12=0,$B13=0),"",IFERROR($B13/$B12-1,""))</f>
        <v/>
      </c>
      <c r="D13" s="55">
        <f>SUM($B$4:$B13)</f>
        <v>14900.0</v>
      </c>
    </row>
    <row r="14">
      <c r="A14" t="inlineStr">
        <is>
          <t>November</t>
        </is>
      </c>
      <c r="B14" s="53">
        <f>'Spend by Category'!L$14</f>
        <v>0.0</v>
      </c>
      <c r="C14" s="54">
        <f>IF(OR($B13=0,$B14=0),"",IFERROR($B14/$B13-1,""))</f>
        <v/>
      </c>
      <c r="D14" s="53">
        <f>SUM($B$4:$B14)</f>
        <v>14900.0</v>
      </c>
    </row>
    <row r="15">
      <c r="A15" s="26" t="inlineStr">
        <is>
          <t>December</t>
        </is>
      </c>
      <c r="B15" s="55">
        <f>'Spend by Category'!M$14</f>
        <v>0.0</v>
      </c>
      <c r="C15" s="56">
        <f>IF(OR($B14=0,$B15=0),"",IFERROR($B15/$B14-1,""))</f>
        <v/>
      </c>
      <c r="D15" s="55">
        <f>SUM($B$4:$B15)</f>
        <v>14900.0</v>
      </c>
    </row>
    <row r="17">
      <c r="A17" s="14" t="inlineStr">
        <is>
          <t>The variance stays blank as long as either month is at zero: a month you haven't loaded yet isn't a 100% drop.</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D1"/>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tabColor rgb="00FFB800"/>
    <outlinePr summaryBelow="1" summaryRight="1"/>
    <pageSetUpPr fitToPage="1"/>
  </sheetPr>
  <dimension ref="A1:M33"/>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22" customWidth="1" min="3" max="3"/>
    <col width="11" customWidth="1" min="4" max="4"/>
    <col width="17" customWidth="1" min="5" max="5"/>
    <col width="17" customWidth="1" min="6" max="6"/>
    <col width="13" customWidth="1" min="7" max="7"/>
    <col width="18" customWidth="1" min="8" max="8"/>
    <col width="17" customWidth="1" min="9" max="9"/>
    <col width="16" customWidth="1" min="10" max="10"/>
    <col width="30" customWidth="1" min="11" max="11"/>
    <col width="30" customWidth="1" min="12" max="12"/>
    <col width="18" customWidth="1" min="13" max="13"/>
  </cols>
  <sheetData>
    <row r="1">
      <c r="A1" s="5" t="inlineStr">
        <is>
          <t>TOP 20 ITEMS — BIGGEST SPEND</t>
        </is>
      </c>
    </row>
    <row r="2">
      <c r="A2" s="14" t="inlineStr">
        <is>
          <t>Sample data; illustrative pre-tax prices — replace them with your own. You do NOT need to sort the table: the Top 5 ranking below sorts itself with LARGE, no matter what order you type things in.</t>
        </is>
      </c>
    </row>
    <row r="3">
      <c r="A3" s="6" t="inlineStr">
        <is>
          <t>#</t>
        </is>
      </c>
      <c r="B3" s="6" t="inlineStr">
        <is>
          <t>Product</t>
        </is>
      </c>
      <c r="C3" s="6" t="inlineStr">
        <is>
          <t>Category</t>
        </is>
      </c>
      <c r="D3" s="6" t="inlineStr">
        <is>
          <t>Unit</t>
        </is>
      </c>
      <c r="E3" s="6" t="inlineStr">
        <is>
          <t>Monthly spend</t>
        </is>
      </c>
      <c r="F3" s="6" t="inlineStr">
        <is>
          <t>Estimated annual spend — month x 12</t>
        </is>
      </c>
      <c r="G3" s="6" t="inlineStr">
        <is>
          <t>% of Top 20</t>
        </is>
      </c>
      <c r="H3" s="6" t="inlineStr">
        <is>
          <t>Prior price</t>
        </is>
      </c>
      <c r="I3" s="6" t="inlineStr">
        <is>
          <t>Current price</t>
        </is>
      </c>
      <c r="J3" s="6" t="inlineStr">
        <is>
          <t>Price variance (%)</t>
        </is>
      </c>
      <c r="K3" s="6" t="inlineStr">
        <is>
          <t>Vendor</t>
        </is>
      </c>
    </row>
    <row r="4">
      <c r="A4" s="7" t="n">
        <v>1</v>
      </c>
      <c r="B4" s="29" t="inlineStr">
        <is>
          <t>Beef tenderloin (PSMO)</t>
        </is>
      </c>
      <c r="C4" s="29" t="inlineStr">
        <is>
          <t>Meat &amp; Poultry</t>
        </is>
      </c>
      <c r="D4" s="29" t="inlineStr">
        <is>
          <t>lb</t>
        </is>
      </c>
      <c r="E4" s="46" t="n">
        <v>1032.6</v>
      </c>
      <c r="F4" s="47">
        <f>IF($E4="","",$E4*12)</f>
        <v>12391.199999999999</v>
      </c>
      <c r="G4" s="48">
        <f>IFERROR($E4/$E$24,"")</f>
        <v>0.16638495413376214</v>
      </c>
      <c r="H4" s="46" t="n">
        <v>16.4</v>
      </c>
      <c r="I4" s="46" t="n">
        <v>17.21</v>
      </c>
      <c r="J4" s="48">
        <f>IF(OR($H4="",$I4=""),"",$I4/$H4-1)</f>
        <v>0.04939024390243918</v>
      </c>
      <c r="K4" s="29" t="inlineStr">
        <is>
          <t>Prime Cut Meats (sample)</t>
        </is>
      </c>
    </row>
    <row r="5">
      <c r="A5" s="9" t="n">
        <v>2</v>
      </c>
      <c r="B5" s="29" t="inlineStr">
        <is>
          <t>Fresh salmon fillet</t>
        </is>
      </c>
      <c r="C5" s="29" t="inlineStr">
        <is>
          <t>Seafood</t>
        </is>
      </c>
      <c r="D5" s="29" t="inlineStr">
        <is>
          <t>lb</t>
        </is>
      </c>
      <c r="E5" s="46" t="n">
        <v>1194</v>
      </c>
      <c r="F5" s="49">
        <f>IF($E5="","",$E5*12)</f>
        <v>14328.0</v>
      </c>
      <c r="G5" s="50">
        <f>IFERROR($E5/$E$24,"")</f>
        <v>0.19239166689493706</v>
      </c>
      <c r="H5" s="46" t="n">
        <v>9.15</v>
      </c>
      <c r="I5" s="46" t="n">
        <v>9.949999999999999</v>
      </c>
      <c r="J5" s="50">
        <f>IF(OR($H5="",$I5=""),"",$I5/$H5-1)</f>
        <v>0.08743169398907091</v>
      </c>
      <c r="K5" s="29" t="inlineStr">
        <is>
          <t>Harbor Fresh Seafood (sample)</t>
        </is>
      </c>
    </row>
    <row r="6">
      <c r="A6" s="7" t="n">
        <v>3</v>
      </c>
      <c r="B6" s="29" t="inlineStr">
        <is>
          <t>Shrimp 16/20</t>
        </is>
      </c>
      <c r="C6" s="29" t="inlineStr">
        <is>
          <t>Seafood</t>
        </is>
      </c>
      <c r="D6" s="29" t="inlineStr">
        <is>
          <t>lb</t>
        </is>
      </c>
      <c r="E6" s="46" t="n">
        <v>809.1</v>
      </c>
      <c r="F6" s="47">
        <f>IF($E6="","",$E6*12)</f>
        <v>9709.2</v>
      </c>
      <c r="G6" s="48">
        <f>IFERROR($E6/$E$24,"")</f>
        <v>0.1303719411094586</v>
      </c>
      <c r="H6" s="46" t="n">
        <v>8.75</v>
      </c>
      <c r="I6" s="46" t="n">
        <v>8.99</v>
      </c>
      <c r="J6" s="48">
        <f>IF(OR($H6="",$I6=""),"",$I6/$H6-1)</f>
        <v>0.027428571428571358</v>
      </c>
      <c r="K6" s="29" t="inlineStr">
        <is>
          <t>Harbor Fresh Seafood (sample)</t>
        </is>
      </c>
    </row>
    <row r="7">
      <c r="A7" s="9" t="n">
        <v>4</v>
      </c>
      <c r="B7" s="29" t="inlineStr">
        <is>
          <t>Boneless chicken breast</t>
        </is>
      </c>
      <c r="C7" s="29" t="inlineStr">
        <is>
          <t>Meat &amp; Poultry</t>
        </is>
      </c>
      <c r="D7" s="29" t="inlineStr">
        <is>
          <t>lb</t>
        </is>
      </c>
      <c r="E7" s="46" t="n">
        <v>837</v>
      </c>
      <c r="F7" s="49">
        <f>IF($E7="","",$E7*12)</f>
        <v>10044.0</v>
      </c>
      <c r="G7" s="50">
        <f>IFERROR($E7/$E$24,"")</f>
        <v>0.13486752528564683</v>
      </c>
      <c r="H7" s="46" t="n">
        <v>2.96</v>
      </c>
      <c r="I7" s="46" t="n">
        <v>3.1</v>
      </c>
      <c r="J7" s="50">
        <f>IF(OR($H7="",$I7=""),"",$I7/$H7-1)</f>
        <v>0.04729729729729737</v>
      </c>
      <c r="K7" s="29" t="inlineStr">
        <is>
          <t>Prime Cut Meats (sample)</t>
        </is>
      </c>
    </row>
    <row r="8">
      <c r="A8" s="7" t="n">
        <v>5</v>
      </c>
      <c r="B8" s="29" t="inlineStr">
        <is>
          <t>Draft beer (1/2 bbl)</t>
        </is>
      </c>
      <c r="C8" s="29" t="inlineStr">
        <is>
          <t>Alcoholic Beverages</t>
        </is>
      </c>
      <c r="D8" s="29" t="inlineStr">
        <is>
          <t>keg</t>
        </is>
      </c>
      <c r="E8" s="46" t="n">
        <v>1237.5</v>
      </c>
      <c r="F8" s="47">
        <f>IF($E8="","",$E8*12)</f>
        <v>14850.0</v>
      </c>
      <c r="G8" s="48">
        <f>IFERROR($E8/$E$24,"")</f>
        <v>0.1994009110406069</v>
      </c>
      <c r="H8" s="46" t="n">
        <v>159</v>
      </c>
      <c r="I8" s="46" t="n">
        <v>165</v>
      </c>
      <c r="J8" s="48">
        <f>IF(OR($H8="",$I8=""),"",$I8/$H8-1)</f>
        <v>0.037735849056603765</v>
      </c>
      <c r="K8" s="29" t="inlineStr">
        <is>
          <t>Metro Beverage Distributors (sample)</t>
        </is>
      </c>
    </row>
    <row r="9">
      <c r="A9" s="9" t="n">
        <v>6</v>
      </c>
      <c r="B9" s="29" t="inlineStr">
        <is>
          <t>Extra virgin olive oil</t>
        </is>
      </c>
      <c r="C9" s="29" t="inlineStr">
        <is>
          <t>Dry Goods</t>
        </is>
      </c>
      <c r="D9" s="29" t="inlineStr">
        <is>
          <t>gal</t>
        </is>
      </c>
      <c r="E9" s="46" t="n">
        <v>584.64</v>
      </c>
      <c r="F9" s="49">
        <f>IF($E9="","",$E9*12)</f>
        <v>7015.68</v>
      </c>
      <c r="G9" s="50">
        <f>IFERROR($E9/$E$24,"")</f>
        <v>0.09420424131780235</v>
      </c>
      <c r="H9" s="46" t="n">
        <v>28.6</v>
      </c>
      <c r="I9" s="46" t="n">
        <v>32.48</v>
      </c>
      <c r="J9" s="50">
        <f>IF(OR($H9="",$I9=""),"",$I9/$H9-1)</f>
        <v>0.13566433566433544</v>
      </c>
      <c r="K9" s="29" t="inlineStr">
        <is>
          <t>Pantry Foodservice Supply (sample)</t>
        </is>
      </c>
    </row>
    <row r="10">
      <c r="A10" s="7" t="n">
        <v>7</v>
      </c>
      <c r="B10" s="29" t="inlineStr">
        <is>
          <t>Parmesan</t>
        </is>
      </c>
      <c r="C10" s="29" t="inlineStr">
        <is>
          <t>Dairy &amp; Eggs</t>
        </is>
      </c>
      <c r="D10" s="29" t="inlineStr">
        <is>
          <t>lb</t>
        </is>
      </c>
      <c r="E10" s="46" t="n">
        <v>237.5</v>
      </c>
      <c r="F10" s="47">
        <f>IF($E10="","",$E10*12)</f>
        <v>2850.0</v>
      </c>
      <c r="G10" s="48">
        <f>IFERROR($E10/$E$24,"")</f>
        <v>0.03826886171486395</v>
      </c>
      <c r="H10" s="46" t="n">
        <v>9.300000000000001</v>
      </c>
      <c r="I10" s="46" t="n">
        <v>9.5</v>
      </c>
      <c r="J10" s="48">
        <f>IF(OR($H10="",$I10=""),"",$I10/$H10-1)</f>
        <v>0.021505376344086002</v>
      </c>
      <c r="K10" s="29" t="inlineStr">
        <is>
          <t>Pantry Foodservice Supply (sample)</t>
        </is>
      </c>
    </row>
    <row r="11">
      <c r="A11" s="9" t="n">
        <v>8</v>
      </c>
      <c r="B11" s="29" t="inlineStr">
        <is>
          <t>Russet potatoes</t>
        </is>
      </c>
      <c r="C11" s="29" t="inlineStr">
        <is>
          <t>Produce</t>
        </is>
      </c>
      <c r="D11" s="29" t="inlineStr">
        <is>
          <t>lb</t>
        </is>
      </c>
      <c r="E11" s="46" t="n">
        <v>273.75</v>
      </c>
      <c r="F11" s="49">
        <f>IF($E11="","",$E11*12)</f>
        <v>3285.0</v>
      </c>
      <c r="G11" s="50">
        <f>IFERROR($E11/$E$24,"")</f>
        <v>0.04410989850292213</v>
      </c>
      <c r="H11" s="46" t="n">
        <v>0.82</v>
      </c>
      <c r="I11" s="46" t="n">
        <v>0.73</v>
      </c>
      <c r="J11" s="50">
        <f>IF(OR($H11="",$I11=""),"",$I11/$H11-1)</f>
        <v>-0.1097560975609756</v>
      </c>
      <c r="K11" s="29" t="inlineStr">
        <is>
          <t>Green Valley Produce (sample)</t>
        </is>
      </c>
    </row>
    <row r="12">
      <c r="A12" s="7" t="n">
        <v>9</v>
      </c>
      <c r="B12" s="29" t="n"/>
      <c r="C12" s="29" t="n"/>
      <c r="D12" s="29" t="n"/>
      <c r="E12" s="46" t="n"/>
      <c r="F12" s="47">
        <f>IF($E12="","",$E12*12)</f>
        <v/>
      </c>
      <c r="G12" s="48">
        <f>IFERROR($E12/$E$24,"")</f>
        <v>0.0</v>
      </c>
      <c r="H12" s="46" t="n"/>
      <c r="I12" s="46" t="n"/>
      <c r="J12" s="48">
        <f>IF(OR($H12="",$I12=""),"",$I12/$H12-1)</f>
        <v/>
      </c>
      <c r="K12" s="29" t="n"/>
    </row>
    <row r="13">
      <c r="A13" s="9" t="n">
        <v>10</v>
      </c>
      <c r="B13" s="29" t="n"/>
      <c r="C13" s="29" t="n"/>
      <c r="D13" s="29" t="n"/>
      <c r="E13" s="46" t="n"/>
      <c r="F13" s="49">
        <f>IF($E13="","",$E13*12)</f>
        <v/>
      </c>
      <c r="G13" s="50">
        <f>IFERROR($E13/$E$24,"")</f>
        <v>0.0</v>
      </c>
      <c r="H13" s="46" t="n"/>
      <c r="I13" s="46" t="n"/>
      <c r="J13" s="50">
        <f>IF(OR($H13="",$I13=""),"",$I13/$H13-1)</f>
        <v/>
      </c>
      <c r="K13" s="29" t="n"/>
    </row>
    <row r="14">
      <c r="A14" s="7" t="n">
        <v>11</v>
      </c>
      <c r="B14" s="29" t="n"/>
      <c r="C14" s="29" t="n"/>
      <c r="D14" s="29" t="n"/>
      <c r="E14" s="46" t="n"/>
      <c r="F14" s="47">
        <f>IF($E14="","",$E14*12)</f>
        <v/>
      </c>
      <c r="G14" s="48">
        <f>IFERROR($E14/$E$24,"")</f>
        <v>0.0</v>
      </c>
      <c r="H14" s="46" t="n"/>
      <c r="I14" s="46" t="n"/>
      <c r="J14" s="48">
        <f>IF(OR($H14="",$I14=""),"",$I14/$H14-1)</f>
        <v/>
      </c>
      <c r="K14" s="29" t="n"/>
    </row>
    <row r="15">
      <c r="A15" s="9" t="n">
        <v>12</v>
      </c>
      <c r="B15" s="29" t="n"/>
      <c r="C15" s="29" t="n"/>
      <c r="D15" s="29" t="n"/>
      <c r="E15" s="46" t="n"/>
      <c r="F15" s="49">
        <f>IF($E15="","",$E15*12)</f>
        <v/>
      </c>
      <c r="G15" s="50">
        <f>IFERROR($E15/$E$24,"")</f>
        <v>0.0</v>
      </c>
      <c r="H15" s="46" t="n"/>
      <c r="I15" s="46" t="n"/>
      <c r="J15" s="50">
        <f>IF(OR($H15="",$I15=""),"",$I15/$H15-1)</f>
        <v/>
      </c>
      <c r="K15" s="29" t="n"/>
    </row>
    <row r="16">
      <c r="A16" s="7" t="n">
        <v>13</v>
      </c>
      <c r="B16" s="29" t="n"/>
      <c r="C16" s="29" t="n"/>
      <c r="D16" s="29" t="n"/>
      <c r="E16" s="46" t="n"/>
      <c r="F16" s="47">
        <f>IF($E16="","",$E16*12)</f>
        <v/>
      </c>
      <c r="G16" s="48">
        <f>IFERROR($E16/$E$24,"")</f>
        <v>0.0</v>
      </c>
      <c r="H16" s="46" t="n"/>
      <c r="I16" s="46" t="n"/>
      <c r="J16" s="48">
        <f>IF(OR($H16="",$I16=""),"",$I16/$H16-1)</f>
        <v/>
      </c>
      <c r="K16" s="29" t="n"/>
    </row>
    <row r="17">
      <c r="A17" s="9" t="n">
        <v>14</v>
      </c>
      <c r="B17" s="29" t="n"/>
      <c r="C17" s="29" t="n"/>
      <c r="D17" s="29" t="n"/>
      <c r="E17" s="46" t="n"/>
      <c r="F17" s="49">
        <f>IF($E17="","",$E17*12)</f>
        <v/>
      </c>
      <c r="G17" s="50">
        <f>IFERROR($E17/$E$24,"")</f>
        <v>0.0</v>
      </c>
      <c r="H17" s="46" t="n"/>
      <c r="I17" s="46" t="n"/>
      <c r="J17" s="50">
        <f>IF(OR($H17="",$I17=""),"",$I17/$H17-1)</f>
        <v/>
      </c>
      <c r="K17" s="29" t="n"/>
    </row>
    <row r="18">
      <c r="A18" s="7" t="n">
        <v>15</v>
      </c>
      <c r="B18" s="29" t="n"/>
      <c r="C18" s="29" t="n"/>
      <c r="D18" s="29" t="n"/>
      <c r="E18" s="46" t="n"/>
      <c r="F18" s="47">
        <f>IF($E18="","",$E18*12)</f>
        <v/>
      </c>
      <c r="G18" s="48">
        <f>IFERROR($E18/$E$24,"")</f>
        <v>0.0</v>
      </c>
      <c r="H18" s="46" t="n"/>
      <c r="I18" s="46" t="n"/>
      <c r="J18" s="48">
        <f>IF(OR($H18="",$I18=""),"",$I18/$H18-1)</f>
        <v/>
      </c>
      <c r="K18" s="29" t="n"/>
    </row>
    <row r="19">
      <c r="A19" s="9" t="n">
        <v>16</v>
      </c>
      <c r="B19" s="29" t="n"/>
      <c r="C19" s="29" t="n"/>
      <c r="D19" s="29" t="n"/>
      <c r="E19" s="46" t="n"/>
      <c r="F19" s="49">
        <f>IF($E19="","",$E19*12)</f>
        <v/>
      </c>
      <c r="G19" s="50">
        <f>IFERROR($E19/$E$24,"")</f>
        <v>0.0</v>
      </c>
      <c r="H19" s="46" t="n"/>
      <c r="I19" s="46" t="n"/>
      <c r="J19" s="50">
        <f>IF(OR($H19="",$I19=""),"",$I19/$H19-1)</f>
        <v/>
      </c>
      <c r="K19" s="29" t="n"/>
    </row>
    <row r="20">
      <c r="A20" s="7" t="n">
        <v>17</v>
      </c>
      <c r="B20" s="29" t="n"/>
      <c r="C20" s="29" t="n"/>
      <c r="D20" s="29" t="n"/>
      <c r="E20" s="46" t="n"/>
      <c r="F20" s="47">
        <f>IF($E20="","",$E20*12)</f>
        <v/>
      </c>
      <c r="G20" s="48">
        <f>IFERROR($E20/$E$24,"")</f>
        <v>0.0</v>
      </c>
      <c r="H20" s="46" t="n"/>
      <c r="I20" s="46" t="n"/>
      <c r="J20" s="48">
        <f>IF(OR($H20="",$I20=""),"",$I20/$H20-1)</f>
        <v/>
      </c>
      <c r="K20" s="29" t="n"/>
    </row>
    <row r="21">
      <c r="A21" s="9" t="n">
        <v>18</v>
      </c>
      <c r="B21" s="29" t="n"/>
      <c r="C21" s="29" t="n"/>
      <c r="D21" s="29" t="n"/>
      <c r="E21" s="46" t="n"/>
      <c r="F21" s="49">
        <f>IF($E21="","",$E21*12)</f>
        <v/>
      </c>
      <c r="G21" s="50">
        <f>IFERROR($E21/$E$24,"")</f>
        <v>0.0</v>
      </c>
      <c r="H21" s="46" t="n"/>
      <c r="I21" s="46" t="n"/>
      <c r="J21" s="50">
        <f>IF(OR($H21="",$I21=""),"",$I21/$H21-1)</f>
        <v/>
      </c>
      <c r="K21" s="29" t="n"/>
    </row>
    <row r="22">
      <c r="A22" s="7" t="n">
        <v>19</v>
      </c>
      <c r="B22" s="29" t="n"/>
      <c r="C22" s="29" t="n"/>
      <c r="D22" s="29" t="n"/>
      <c r="E22" s="46" t="n"/>
      <c r="F22" s="47">
        <f>IF($E22="","",$E22*12)</f>
        <v/>
      </c>
      <c r="G22" s="48">
        <f>IFERROR($E22/$E$24,"")</f>
        <v>0.0</v>
      </c>
      <c r="H22" s="46" t="n"/>
      <c r="I22" s="46" t="n"/>
      <c r="J22" s="48">
        <f>IF(OR($H22="",$I22=""),"",$I22/$H22-1)</f>
        <v/>
      </c>
      <c r="K22" s="29" t="n"/>
    </row>
    <row r="23">
      <c r="A23" s="9" t="n">
        <v>20</v>
      </c>
      <c r="B23" s="29" t="n"/>
      <c r="C23" s="29" t="n"/>
      <c r="D23" s="29" t="n"/>
      <c r="E23" s="46" t="n"/>
      <c r="F23" s="49">
        <f>IF($E23="","",$E23*12)</f>
        <v/>
      </c>
      <c r="G23" s="50">
        <f>IFERROR($E23/$E$24,"")</f>
        <v>0.0</v>
      </c>
      <c r="H23" s="46" t="n"/>
      <c r="I23" s="46" t="n"/>
      <c r="J23" s="50">
        <f>IF(OR($H23="",$I23=""),"",$I23/$H23-1)</f>
        <v/>
      </c>
      <c r="K23" s="29" t="n"/>
    </row>
    <row r="24">
      <c r="A24" s="30" t="inlineStr">
        <is>
          <t>TOTAL</t>
        </is>
      </c>
      <c r="E24" s="51">
        <f>SUM($E$4:$E$23)</f>
        <v>6206.09</v>
      </c>
      <c r="F24" s="51">
        <f>SUM($F$4:$F$23)</f>
        <v>74473.07999999999</v>
      </c>
      <c r="G24" s="52">
        <f>IFERROR($E$24/$E$24,"")</f>
        <v>1.0</v>
      </c>
    </row>
    <row r="26">
      <c r="L26" s="23" t="inlineStr">
        <is>
          <t>Top 5 items</t>
        </is>
      </c>
      <c r="M26" s="23" t="inlineStr">
        <is>
          <t>Monthly spend</t>
        </is>
      </c>
    </row>
    <row r="27">
      <c r="L27" t="str">
        <f>IFERROR(INDEX($B$4:$B$23,MATCH(LARGE($E$4:$E$23,1),$E$4:$E$23,0)),"")</f>
        <v>Draft beer (1/2 bbl)</v>
      </c>
      <c r="M27" s="53">
        <f>IFERROR(LARGE($E$4:$E$23,1),"")</f>
        <v>1237.5</v>
      </c>
    </row>
    <row r="28">
      <c r="L28" t="str">
        <f>IFERROR(INDEX($B$4:$B$23,MATCH(LARGE($E$4:$E$23,2),$E$4:$E$23,0)),"")</f>
        <v>Fresh salmon fillet</v>
      </c>
      <c r="M28" s="53">
        <f>IFERROR(LARGE($E$4:$E$23,2),"")</f>
        <v>1194.0</v>
      </c>
    </row>
    <row r="29">
      <c r="L29" t="str">
        <f>IFERROR(INDEX($B$4:$B$23,MATCH(LARGE($E$4:$E$23,3),$E$4:$E$23,0)),"")</f>
        <v>Beef tenderloin (PSMO)</v>
      </c>
      <c r="M29" s="53">
        <f>IFERROR(LARGE($E$4:$E$23,3),"")</f>
        <v>1032.6</v>
      </c>
    </row>
    <row r="30">
      <c r="L30" t="str">
        <f>IFERROR(INDEX($B$4:$B$23,MATCH(LARGE($E$4:$E$23,4),$E$4:$E$23,0)),"")</f>
        <v>Boneless chicken breast</v>
      </c>
      <c r="M30" s="53">
        <f>IFERROR(LARGE($E$4:$E$23,4),"")</f>
        <v>837.0</v>
      </c>
    </row>
    <row r="31">
      <c r="L31" t="str">
        <f>IFERROR(INDEX($B$4:$B$23,MATCH(LARGE($E$4:$E$23,5),$E$4:$E$23,0)),"")</f>
        <v>Shrimp 16/20</v>
      </c>
      <c r="M31" s="53">
        <f>IFERROR(LARGE($E$4:$E$23,5),"")</f>
        <v>809.1</v>
      </c>
    </row>
    <row r="33">
      <c r="A33" s="14" t="inlineStr">
        <is>
          <t>The Top 5 ranking on the right calculates itself with LARGE: you don't need to sort the table, and in fact the sheet is protected so you don't accidentally reorder it. If two products spend exactly the same, it shows the first one twice; change it by a cent and they separate.</t>
        </is>
      </c>
    </row>
  </sheetData>
  <sheetProtection selectLockedCells="0" selectUnlockedCells="0" sheet="1" objects="0" insertRows="1" insertHyperlinks="1" autoFilter="0" scenarios="0" formatColumns="0" deleteColumns="1" insertColumns="1" pivotTables="1" deleteRows="1" formatCells="1" formatRows="0" sort="0"/>
  <mergeCells count="1">
    <mergeCell ref="A1:K1"/>
  </mergeCells>
  <conditionalFormatting sqref="J4:J23">
    <cfRule type="expression" priority="1" dxfId="0" stopIfTrue="1">
      <formula>AND($J4&lt;&gt;"",$J4&gt;0.05)</formula>
    </cfRule>
  </conditionalFormatting>
  <dataValidations count="2">
    <dataValidation sqref="D4:D23" showDropDown="0" showInputMessage="1" showErrorMessage="1" allowBlank="1" errorTitle="Invalid unit" error="Choose a value from the list." promptTitle="Invalid unit" prompt="The unit you buy the product in: it's what the prior and current prices in columns H and I are based on." type="list" errorStyle="stop">
      <formula1>"lb,oz,kg,gal,qt,L,each,dozen,case,tray,keg,bag,roll,pack,bottle,can"</formula1>
    </dataValidation>
    <dataValidation sqref="C4:C23" showDropDown="0" showInputMessage="1" showErrorMessage="1" allowBlank="1" errorTitle="Invalid category" error="Choose a value from the list. This is the kit's single taxonomy: if each template uses different wording, the SUMIF formulas in the analysis sheets won't add up correctly." promptTitle="Invalid category" prompt="The kit's 10 categories. They're the same across all 9 templates: the analysis in 05 and 07 aggregates by this exact text." type="list" errorStyle="stop">
      <formula1>"Meat &amp; Poultry,Seafood,Dairy &amp; Eggs,Produce,Dry Goods,Frozen,Alcoholic Beverages,Non-Alcoholic Beverages,Paper &amp; Cleaning,Other"</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tabColor rgb="0000C853"/>
    <outlinePr summaryBelow="1" summaryRight="1"/>
    <pageSetUpPr fitToPage="1"/>
  </sheetPr>
  <dimension ref="A1:E19"/>
  <sheetViews>
    <sheetView workbookViewId="0">
      <pane ySplit="3" topLeftCell="A4" activePane="bottomLeft" state="frozen"/>
      <selection pane="bottomLeft" activeCell="A1" sqref="A1"/>
    </sheetView>
  </sheetViews>
  <sheetFormatPr baseColWidth="8" defaultRowHeight="15"/>
  <cols>
    <col width="36" customWidth="1" min="1" max="1"/>
    <col width="20" customWidth="1" min="2" max="2"/>
    <col width="16" customWidth="1" min="3" max="3"/>
    <col width="62" customWidth="1" min="4" max="4"/>
    <col width="16" customWidth="1" min="5" max="5"/>
  </cols>
  <sheetData>
    <row r="1">
      <c r="A1" s="5" t="inlineStr">
        <is>
          <t>DASHBOARD — PURCHASING KPIS</t>
        </is>
      </c>
    </row>
    <row r="2">
      <c r="A2" s="14" t="inlineStr">
        <is>
          <t>Choose the period and fill in the green cells. Everything else calculates itself, using pre-tax amounts. The Status column tells you at a glance whether each KPI is where it should be.</t>
        </is>
      </c>
    </row>
    <row r="3">
      <c r="A3" s="6" t="inlineStr">
        <is>
          <t>KPI</t>
        </is>
      </c>
      <c r="B3" s="6" t="inlineStr">
        <is>
          <t>Result</t>
        </is>
      </c>
      <c r="C3" s="6" t="inlineStr">
        <is>
          <t>Target</t>
        </is>
      </c>
      <c r="D3" s="6" t="inlineStr">
        <is>
          <t>How it's calculated</t>
        </is>
      </c>
      <c r="E3" s="6" t="inlineStr">
        <is>
          <t>Status</t>
        </is>
      </c>
    </row>
    <row r="4">
      <c r="A4" s="7" t="inlineStr">
        <is>
          <t>Food cost (%)</t>
        </is>
      </c>
      <c r="B4" s="57">
        <f>IFERROR(($B$14+$B$6-$B$15)/$B$12,"")</f>
        <v>0.31006160164271046</v>
      </c>
      <c r="C4" s="58" t="n">
        <v>0.32</v>
      </c>
      <c r="D4" s="33" t="inlineStr">
        <is>
          <t>(Beginning inventory + Purchases for the period - Ending inventory) / Sales. It's USAGE, not purchases. A healthy range for a restaurant is 28% to 32%: this sets the CEILING, change it to your own.</t>
        </is>
      </c>
      <c r="E4" s="34" t="str">
        <f>IF(OR($B$4="",$C$4=""),"",IF($B$4&lt;=$C$4,"🟢 OK",IF($B$4&lt;=$C$4*1.1,"🟡 REVIEW","🔴 ALERT")))</f>
        <v>🟢 OK</v>
      </c>
    </row>
    <row r="5">
      <c r="A5" s="9" t="inlineStr">
        <is>
          <t>Cost per cover</t>
        </is>
      </c>
      <c r="B5" s="59">
        <f>IFERROR(($B$14+$B$6-$B$15-'Spend by Category'!$N$12-'Spend by Category'!$N$13)/$B$13,"")</f>
        <v>9.862068965517242</v>
      </c>
      <c r="C5" s="59">
        <f>IFERROR($B$17*0.3,"")</f>
        <v>10.077</v>
      </c>
      <c r="D5" s="36" t="inlineStr">
        <is>
          <t>Raw ingredient usage (excluding "Paper &amp; Cleaning" and "Other") / covers served. The target is 30% of your average check, not a fixed dollar figure.</t>
        </is>
      </c>
      <c r="E5" s="34" t="str">
        <f>IF(OR($B$5="",$C$5=""),"",IF($B$5&lt;=$C$5,"🟢 OK",IF($B$5&lt;=$C$5*1.1,"🟡 REVIEW","🔴 ALERT")))</f>
        <v>🟢 OK</v>
      </c>
    </row>
    <row r="6">
      <c r="A6" s="7" t="inlineStr">
        <is>
          <t>Period purchases</t>
        </is>
      </c>
      <c r="B6" s="60">
        <f>IF($B$10="","",IF($B$10="Full year",'Spend by Category'!$N$14,IFERROR(INDEX('Spend by Category'!$B$14:$M$14,MATCH($B$10,'Spend by Category'!$B$3:$M$3,0)),"")))</f>
        <v>14900.0</v>
      </c>
      <c r="C6" s="7" t="inlineStr">
        <is>
          <t>—</t>
        </is>
      </c>
      <c r="D6" s="33" t="inlineStr">
        <is>
          <t>Total for the month you choose above, from the "Spend by Category" tab.</t>
        </is>
      </c>
      <c r="E6" s="34" t="n"/>
    </row>
    <row r="7">
      <c r="A7" s="9" t="inlineStr">
        <is>
          <t>Variance vs prior period</t>
        </is>
      </c>
      <c r="B7" s="61">
        <f>IFERROR($B$6/$B$16-1,"")</f>
        <v>0.04195804195804187</v>
      </c>
      <c r="C7" s="58" t="n">
        <v>0.05</v>
      </c>
      <c r="D7" s="36" t="inlineStr">
        <is>
          <t>Period purchases / prior period purchases - 1. Compared in absolute value: a 20% drop needs an explanation too.</t>
        </is>
      </c>
      <c r="E7" s="34" t="str">
        <f>IF(OR($B$7="",$C$7=""),"",IF(ABS($B$7)&lt;=$C$7,"🟢 OK",IF(ABS($B$7)&lt;=$C$7*2,"🟡 REVIEW","🔴 ALERT")))</f>
        <v>🟢 OK</v>
      </c>
    </row>
    <row r="8">
      <c r="A8" s="7" t="inlineStr">
        <is>
          <t>Items up more than 5%</t>
        </is>
      </c>
      <c r="B8" s="39">
        <f>COUNTIF('Top 20 Items'!$J$4:$J$23,"&gt;0.05")</f>
        <v>2.0</v>
      </c>
      <c r="C8" s="40" t="n">
        <v>0</v>
      </c>
      <c r="D8" s="33" t="inlineStr">
        <is>
          <t>Top 20 lines whose price variance is over 5%.</t>
        </is>
      </c>
      <c r="E8" s="34" t="str">
        <f>IF(OR($B$8="",$C$8=""),"",IF($B$8&lt;=$C$8,"🟢 OK",IF($B$8&lt;=2,"🟡 REVIEW","🔴 ALERT")))</f>
        <v>🟡 REVIEW</v>
      </c>
    </row>
    <row r="9">
      <c r="A9" s="9" t="inlineStr">
        <is>
          <t>Biggest price increase</t>
        </is>
      </c>
      <c r="B9" s="9" t="str">
        <f>IFERROR(INDEX('Top 20 Items'!$B$4:$B$23,MATCH(MAX('Top 20 Items'!$J$4:$J$23),'Top 20 Items'!$J$4:$J$23,0)),"")</f>
        <v>Extra virgin olive oil</v>
      </c>
      <c r="C9" s="9" t="inlineStr">
        <is>
          <t>—</t>
        </is>
      </c>
      <c r="D9" s="36" t="inlineStr">
        <is>
          <t>Top 20 item with the highest variance.</t>
        </is>
      </c>
      <c r="E9" s="34" t="n"/>
    </row>
    <row r="10">
      <c r="A10" s="30" t="inlineStr">
        <is>
          <t>PERIOD BEING MEASURED</t>
        </is>
      </c>
      <c r="B10" s="41" t="inlineStr">
        <is>
          <t>Jan</t>
        </is>
      </c>
      <c r="D10" s="42" t="inlineStr">
        <is>
          <t>Choose the month you loaded on "Spend by Category", or "Full year". The sales, covers and inventory figures you enter below have to match THAT period.</t>
        </is>
      </c>
    </row>
    <row r="11">
      <c r="A11" s="43" t="inlineStr">
        <is>
          <t>PERIOD DATA — fill in these cells</t>
        </is>
      </c>
    </row>
    <row r="12">
      <c r="A12" t="inlineStr">
        <is>
          <t>Period sales (pre-tax)</t>
        </is>
      </c>
      <c r="B12" s="62" t="n">
        <v>48700</v>
      </c>
      <c r="D12" s="42" t="inlineStr">
        <is>
          <t>Net amount, pre-tax. Same period as the purchases you loaded.</t>
        </is>
      </c>
    </row>
    <row r="13">
      <c r="A13" t="inlineStr">
        <is>
          <t>Covers served</t>
        </is>
      </c>
      <c r="B13" s="45" t="n">
        <v>1450</v>
      </c>
      <c r="D13" s="42" t="inlineStr">
        <is>
          <t>Actual guests for the period, not reservations.</t>
        </is>
      </c>
    </row>
    <row r="14">
      <c r="A14" t="inlineStr">
        <is>
          <t>Beginning inventory</t>
        </is>
      </c>
      <c r="B14" s="62" t="n">
        <v>6100</v>
      </c>
      <c r="D14" s="42" t="inlineStr">
        <is>
          <t>Inventory value at the start of the period (template 01, Kitchen &amp; Bar Inventory Sheet with Par Levels, or BONUS-08, Month-End Inventory Count).</t>
        </is>
      </c>
    </row>
    <row r="15">
      <c r="A15" t="inlineStr">
        <is>
          <t>Ending inventory</t>
        </is>
      </c>
      <c r="B15" s="62" t="n">
        <v>5900</v>
      </c>
      <c r="D15" s="42" t="inlineStr">
        <is>
          <t>Inventory value at the close of the period.</t>
        </is>
      </c>
    </row>
    <row r="16">
      <c r="A16" t="inlineStr">
        <is>
          <t>Prior period purchases</t>
        </is>
      </c>
      <c r="B16" s="62" t="n">
        <v>14300</v>
      </c>
      <c r="D16" s="42" t="inlineStr">
        <is>
          <t>For the variance. Pre-tax, same as everything else.</t>
        </is>
      </c>
    </row>
    <row r="17">
      <c r="A17" t="inlineStr">
        <is>
          <t>Average check</t>
        </is>
      </c>
      <c r="B17" s="62" t="n">
        <v>33.59</v>
      </c>
      <c r="D17" s="42" t="inlineStr">
        <is>
          <t>Sales / covers. Sets the cost-per-cover target.</t>
        </is>
      </c>
    </row>
    <row r="19">
      <c r="A19" s="14" t="inlineStr">
        <is>
          <t>Sample figures consistent with January in "Spend by Category": $14,900 of purchases, $6,100 of beginning and $5,900 of ending inventory, $48,700 of sales and 1,450 covers give a food cost of 31.0%, within target. Replace them with yours.</t>
        </is>
      </c>
    </row>
  </sheetData>
  <sheetProtection selectLockedCells="0" selectUnlockedCells="0" sheet="1" objects="0" insertRows="1" insertHyperlinks="1" autoFilter="0" scenarios="0" formatColumns="0" deleteColumns="1" insertColumns="1" pivotTables="1" deleteRows="1" formatCells="1" formatRows="0" sort="0"/>
  <conditionalFormatting sqref="E4:E17">
    <cfRule type="containsText" priority="1" operator="containsText" dxfId="0" stopIfTrue="1" text="ALERT">
      <formula>NOT(ISERROR(SEARCH("ALERT",E4)))</formula>
    </cfRule>
    <cfRule type="containsText" priority="2" operator="containsText" dxfId="1" stopIfTrue="1" text="REVIEW">
      <formula>NOT(ISERROR(SEARCH("REVIEW",E4)))</formula>
    </cfRule>
    <cfRule type="containsText" priority="3" operator="containsText" dxfId="2" stopIfTrue="1" text="OK">
      <formula>NOT(ISERROR(SEARCH("OK",E4)))</formula>
    </cfRule>
  </conditionalFormatting>
  <dataValidations count="1">
    <dataValidation sqref="B10" showDropDown="0" showInputMessage="1" showErrorMessage="1" allowBlank="1" errorTitle="Invalid period" error="Choose a value from the list." promptTitle="Invalid period" prompt="&quot;Full year&quot; or one of the twelve months from the &quot;Spend by Category&quot; tab." type="list" errorStyle="stop">
      <formula1>"Full year,Jan,Feb,Mar,Apr,May,Jun,Jul,Aug,Sep,Oct,Nov,Dec"</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Purchasing Cost Analysis &amp; Food Cost KPIs</dc:title>
  <dc:description xmlns:dc="http://purl.org/dc/elements/1.1/">aichef.pro/en/digital-products/restaurant-inventory-templates</dc:description>
  <dc:subject xmlns:dc="http://purl.org/dc/elements/1.1/">Restaurant Inventory Kit Pro · v2.0</dc:subject>
  <dcterms:created xmlns:dcterms="http://purl.org/dc/terms/" xmlns:xsi="http://www.w3.org/2001/XMLSchema-instance" xsi:type="dcterms:W3CDTF">2026-04-05T09:47:46Z</dcterms:created>
  <dcterms:modified xmlns:dcterms="http://purl.org/dc/terms/" xmlns:xsi="http://www.w3.org/2001/XMLSchema-instance" xsi:type="dcterms:W3CDTF">2026-09-25T19:48:23Z</dcterms:modified>
  <cp:lastModifiedBy>AI Chef Pro</cp:lastModifiedBy>
  <cp:category>AI Chef Pro · Digital products</cp:category>
  <cp:keywords>restaurant inventory template, par sheet, AI Chef Pro</cp:keywords>
</cp:coreProperties>
</file>