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urrent Order" sheetId="2" state="visible" r:id="rId2"/>
    <sheet xmlns:r="http://schemas.openxmlformats.org/officeDocument/2006/relationships" name="Vendors" sheetId="3" state="visible" r:id="rId3"/>
    <sheet xmlns:r="http://schemas.openxmlformats.org/officeDocument/2006/relationships" name="Order Log" sheetId="4" state="visible" r:id="rId4"/>
    <sheet xmlns:r="http://schemas.openxmlformats.org/officeDocument/2006/relationships" name="Tax Rates" sheetId="5" state="visible" r:id="rId5"/>
  </sheets>
  <definedNames>
    <definedName name="_xlnm.Print_Titles" localSheetId="1">'Current Order'!$8:$8</definedName>
    <definedName name="_xlnm.Print_Area" localSheetId="1">'Current Order'!$A$1:$I$49</definedName>
    <definedName name="_xlnm.Print_Titles" localSheetId="2">'Vendors'!$3:$3</definedName>
    <definedName name="_xlnm.Print_Area" localSheetId="2">'Vendors'!$A$1:$H$25</definedName>
    <definedName name="_xlnm.Print_Titles" localSheetId="3">'Order Log'!$3:$3</definedName>
    <definedName name="_xlnm.Print_Area" localSheetId="3">'Order Log'!$A$1:$I$45</definedName>
    <definedName name="_xlnm.Print_Titles" localSheetId="4">'Tax Rates'!$1:$1</definedName>
    <definedName name="_xlnm.Print_Area" localSheetId="4">'Tax Rates'!$A$1:$G$11</definedName>
  </definedNames>
  <calcPr calcId="124519" fullCalcOnLoad="1"/>
</workbook>
</file>

<file path=xl/styles.xml><?xml version="1.0" encoding="utf-8"?>
<styleSheet xmlns="http://schemas.openxmlformats.org/spreadsheetml/2006/main">
  <numFmts count="2">
    <numFmt numFmtId="164" formatCode="m/d/yyyy"/>
    <numFmt numFmtId="165" formatCode="#,##0.00"/>
  </numFmts>
  <fonts count="15">
    <font>
      <name val="Calibri"/>
      <family val="2"/>
      <color theme="1"/>
      <sz val="11"/>
      <scheme val="minor"/>
    </font>
    <font>
      <b val="1"/>
      <color rgb="00FFD700"/>
      <sz val="16"/>
    </font>
    <font>
      <color rgb="00888888"/>
      <sz val="10"/>
    </font>
    <font>
      <sz val="10"/>
    </font>
    <font>
      <b val="1"/>
      <color rgb="00FFD700"/>
      <sz val="14"/>
    </font>
    <font>
      <b val="1"/>
      <sz val="11"/>
    </font>
    <font>
      <sz val="11"/>
    </font>
    <font>
      <b val="1"/>
      <color rgb="00FFFFFF"/>
      <sz val="10"/>
    </font>
    <font>
      <b val="1"/>
      <color rgb="00FFD700"/>
      <sz val="12"/>
    </font>
    <font>
      <b val="1"/>
      <color rgb="00FFFFFF"/>
    </font>
    <font>
      <b val="1"/>
    </font>
    <font>
      <i val="1"/>
      <sz val="9"/>
    </font>
    <font>
      <b val="1"/>
      <sz val="9"/>
    </font>
    <font>
      <b val="1"/>
      <sz val="12"/>
    </font>
    <font>
      <b val="1"/>
      <sz val="13"/>
    </font>
  </fonts>
  <fills count="6">
    <fill>
      <patternFill/>
    </fill>
    <fill>
      <patternFill patternType="gray125"/>
    </fill>
    <fill>
      <patternFill patternType="solid">
        <fgColor rgb="002D2D2D"/>
      </patternFill>
    </fill>
    <fill>
      <patternFill patternType="solid">
        <fgColor rgb="00F5F5F5"/>
      </patternFill>
    </fill>
    <fill>
      <patternFill patternType="solid">
        <fgColor rgb="00E8F5E9"/>
      </patternFill>
    </fill>
    <fill>
      <patternFill patternType="solid">
        <fgColor rgb="00C6EFCE"/>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3" fillId="0" borderId="1" applyAlignment="1" pivotButton="0" quotePrefix="0" xfId="0">
      <alignment vertical="center" wrapText="1"/>
    </xf>
    <xf numFmtId="4" fontId="3" fillId="0" borderId="1" applyAlignment="1" pivotButton="0" quotePrefix="0" xfId="0">
      <alignment vertical="center" wrapText="1"/>
    </xf>
    <xf numFmtId="0" fontId="3" fillId="3" borderId="1" applyAlignment="1" pivotButton="0" quotePrefix="0" xfId="0">
      <alignment vertical="center" wrapText="1"/>
    </xf>
    <xf numFmtId="4" fontId="3" fillId="3" borderId="1" applyAlignment="1" pivotButton="0" quotePrefix="0" xfId="0">
      <alignment vertical="center" wrapText="1"/>
    </xf>
    <xf numFmtId="4" fontId="5" fillId="0" borderId="0" pivotButton="0" quotePrefix="0" xfId="0"/>
    <xf numFmtId="0" fontId="8" fillId="0" borderId="0" pivotButton="0" quotePrefix="0" xfId="0"/>
    <xf numFmtId="4" fontId="8" fillId="0" borderId="0" pivotButton="0" quotePrefix="0" xfId="0"/>
    <xf numFmtId="0" fontId="1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1" fillId="0" borderId="0" applyAlignment="1" pivotButton="0" quotePrefix="0" xfId="0">
      <alignment vertical="top" wrapText="1"/>
    </xf>
    <xf numFmtId="0" fontId="10" fillId="0" borderId="0" applyAlignment="1" pivotButton="0" quotePrefix="0" xfId="0">
      <alignment horizontal="right" vertical="center"/>
    </xf>
    <xf numFmtId="0" fontId="6" fillId="4" borderId="0" applyProtection="1" pivotButton="0" quotePrefix="0" xfId="0">
      <protection locked="0" hidden="0"/>
    </xf>
    <xf numFmtId="0" fontId="12" fillId="0" borderId="0" applyAlignment="1" pivotButton="0" quotePrefix="0" xfId="0">
      <alignment horizontal="right" vertical="center"/>
    </xf>
    <xf numFmtId="0" fontId="0" fillId="4" borderId="0" applyProtection="1" pivotButton="0" quotePrefix="0" xfId="0">
      <protection locked="0" hidden="0"/>
    </xf>
    <xf numFmtId="164" fontId="6" fillId="4" borderId="0" applyProtection="1" pivotButton="0" quotePrefix="0" xfId="0">
      <protection locked="0" hidden="0"/>
    </xf>
    <xf numFmtId="165" fontId="0" fillId="0" borderId="0" pivotButton="0" quotePrefix="0" xfId="0"/>
    <xf numFmtId="0" fontId="9" fillId="2" borderId="1" applyAlignment="1" pivotButton="0" quotePrefix="0" xfId="0">
      <alignment horizontal="center" vertical="center" wrapText="1"/>
    </xf>
    <xf numFmtId="0" fontId="3" fillId="4" borderId="1" applyAlignment="1" applyProtection="1" pivotButton="0" quotePrefix="0" xfId="0">
      <alignment vertical="center" wrapText="1"/>
      <protection locked="0" hidden="0"/>
    </xf>
    <xf numFmtId="165" fontId="3" fillId="4" borderId="1" applyAlignment="1" applyProtection="1" pivotButton="0" quotePrefix="0" xfId="0">
      <alignment vertical="center" wrapText="1"/>
      <protection locked="0" hidden="0"/>
    </xf>
    <xf numFmtId="165" fontId="3" fillId="0" borderId="1" applyAlignment="1" pivotButton="0" quotePrefix="0" xfId="0">
      <alignment vertical="center" wrapText="1"/>
    </xf>
    <xf numFmtId="1" fontId="3" fillId="0" borderId="1" applyAlignment="1" pivotButton="0" quotePrefix="0" xfId="0">
      <alignment vertical="center" wrapText="1"/>
    </xf>
    <xf numFmtId="165" fontId="3" fillId="3" borderId="1" applyAlignment="1" pivotButton="0" quotePrefix="0" xfId="0">
      <alignment vertical="center" wrapText="1"/>
    </xf>
    <xf numFmtId="1" fontId="3" fillId="3" borderId="1" applyAlignment="1" pivotButton="0" quotePrefix="0" xfId="0">
      <alignment vertical="center" wrapText="1"/>
    </xf>
    <xf numFmtId="165" fontId="5" fillId="0" borderId="0" applyAlignment="1" pivotButton="0" quotePrefix="0" xfId="0">
      <alignment horizontal="right" vertical="center"/>
    </xf>
    <xf numFmtId="165" fontId="13" fillId="5" borderId="0" applyAlignment="1" pivotButton="0" quotePrefix="0" xfId="0">
      <alignment horizontal="right" vertical="center"/>
    </xf>
    <xf numFmtId="0" fontId="10" fillId="0" borderId="0" applyAlignment="1" pivotButton="0" quotePrefix="0" xfId="0">
      <alignment horizontal="left" vertical="center"/>
    </xf>
    <xf numFmtId="165" fontId="10" fillId="0" borderId="0" applyAlignment="1" pivotButton="0" quotePrefix="0" xfId="0">
      <alignment horizontal="right" vertical="center"/>
    </xf>
    <xf numFmtId="0" fontId="9" fillId="2" borderId="0" applyAlignment="1" pivotButton="0" quotePrefix="0" xfId="0">
      <alignment horizontal="center" vertical="center" wrapText="1"/>
    </xf>
    <xf numFmtId="1" fontId="0" fillId="0" borderId="0" pivotButton="0" quotePrefix="0" xfId="0"/>
    <xf numFmtId="0" fontId="14" fillId="0" borderId="0" applyAlignment="1" pivotButton="0" quotePrefix="0" xfId="0">
      <alignment vertical="center"/>
    </xf>
    <xf numFmtId="165" fontId="0" fillId="4" borderId="0" applyProtection="1" pivotButton="0" quotePrefix="0" xfId="0">
      <protection locked="0" hidden="0"/>
    </xf>
    <xf numFmtId="1" fontId="0" fillId="4" borderId="0" applyProtection="1" pivotButton="0" quotePrefix="0" xfId="0">
      <protection locked="0" hidden="0"/>
    </xf>
    <xf numFmtId="164" fontId="0" fillId="3" borderId="0" pivotButton="0" quotePrefix="0" xfId="0"/>
    <xf numFmtId="0" fontId="0" fillId="3" borderId="0" pivotButton="0" quotePrefix="0" xfId="0"/>
    <xf numFmtId="165" fontId="0" fillId="3" borderId="0" pivotButton="0" quotePrefix="0" xfId="0"/>
    <xf numFmtId="164" fontId="0" fillId="4" borderId="0" applyProtection="1" pivotButton="0" quotePrefix="0" xfId="0">
      <protection locked="0" hidden="0"/>
    </xf>
    <xf numFmtId="0" fontId="10" fillId="0" borderId="0" applyAlignment="1" pivotButton="0" quotePrefix="0" xfId="0">
      <alignment horizontal="right"/>
    </xf>
    <xf numFmtId="165" fontId="10" fillId="0" borderId="0" pivotButton="0" quotePrefix="0" xfId="0"/>
    <xf numFmtId="0" fontId="9" fillId="2" borderId="0" pivotButton="0" quotePrefix="0" xfId="0"/>
    <xf numFmtId="14" fontId="6" fillId="4" borderId="0" applyProtection="1" pivotButton="0" quotePrefix="0" xfId="0">
      <protection locked="0" hidden="0"/>
    </xf>
    <xf numFmtId="14" fontId="0" fillId="3" borderId="0" pivotButton="0" quotePrefix="0" xfId="0"/>
    <xf numFmtId="14" fontId="0" fillId="4" borderId="0" applyProtection="1" pivotButton="0" quotePrefix="0" xfId="0">
      <protection locked="0" hidden="0"/>
    </xf>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17"/>
  <sheetViews>
    <sheetView workbookViewId="0">
      <selection activeCell="A1" sqref="A1"/>
    </sheetView>
  </sheetViews>
  <sheetFormatPr baseColWidth="8" defaultRowHeight="15"/>
  <cols>
    <col width="100" customWidth="1" min="1" max="1"/>
  </cols>
  <sheetData>
    <row r="1">
      <c r="A1" s="16" t="inlineStr">
        <is>
          <t>Purchase Order Template &amp; Order Log</t>
        </is>
      </c>
    </row>
    <row r="2">
      <c r="A2" s="17" t="inlineStr">
        <is>
          <t>AI Chef Pro — aichef.pro</t>
        </is>
      </c>
    </row>
    <row r="3">
      <c r="A3" s="3" t="n"/>
    </row>
    <row r="4">
      <c r="A4" s="18" t="inlineStr">
        <is>
          <t>Generate purchase orders with the correct tax on every line and the breakdown a packing slip requires.</t>
        </is>
      </c>
    </row>
    <row r="5">
      <c r="A5" s="18" t="inlineStr">
        <is>
          <t>1. Fill in your business info once, in the green block on the right: business name, Tax ID (EIN / VAT no.), delivery address and contact. Without it, whoever receives the order doesn't know who's ordering or where to deliver.</t>
        </is>
      </c>
    </row>
    <row r="6">
      <c r="A6" s="18" t="inlineStr">
        <is>
          <t>2. Set up your vendors on the "Vendors" tab. The order's drop-down, the phone number and the order minimum in the header all come from that table.</t>
        </is>
      </c>
    </row>
    <row r="7">
      <c r="A7" s="18" t="inlineStr">
        <is>
          <t>3. On "Current Order", enter the product, category, unit, quantity and price. Tax fills in automatically: it first looks up the PRODUCT in the exceptions table on the "Tax Rates" tab and, if it's not there, applies its category's rate. You can override it line by line by typing your own rate. If you skip the category, the tax cell stays BLANK instead of silently defaulting to a rate — type the rates you actually pay so nothing is assumed for you.</t>
        </is>
      </c>
    </row>
    <row r="8">
      <c r="A8" s="18" t="inlineStr">
        <is>
          <t>3a. The first THREE lines are an example with quantity and price so you can see the order working — net amount, tax and total, broken down by rate. DELETE THEM before sending your first order.</t>
        </is>
      </c>
    </row>
    <row r="9">
      <c r="A9" s="18" t="inlineStr">
        <is>
          <t>4. If you enter a quantity and skip the price, the subtotal cell warns "missing cost" instead of valuing the line at 0.00 and adding it to the total as if it were free.</t>
        </is>
      </c>
    </row>
    <row r="10">
      <c r="A10" s="19" t="inlineStr">
        <is>
          <t>5. The order totals are in rows 40 to 42: net amount (pre-tax), tax amount and order total. Right below, in row 43, the file tells you whether the order MEETS THE VENDOR'S MINIMUM and, if not, how much you are short: that is what saves you the delivery fee. Rows 45 to 48 break the order down by tax rate (0%, 5% and 20% by default: type the rates you actually pay).</t>
        </is>
      </c>
    </row>
    <row r="11">
      <c r="A11" s="18" t="inlineStr">
        <is>
          <t>6. When you close the order, copy row 4 of "Order Log" and paste it as values: it's already linked to the current order. That row 4 does NOT add into the period total, precisely so the order isn't counted twice while you're copying it.</t>
        </is>
      </c>
    </row>
    <row r="12">
      <c r="A12" s="19" t="inlineStr">
        <is>
          <t>7. The "Tax Rates" tab holds TWO tables: the tax rate for each category and, next to it, the product-level exceptions. Both ship at 0% and empty — type the rates you actually pay and add your own exceptions: they're tables, not numbers buried inside a formula. In the U.S., food and drinks bought for resale are usually tax-exempt with a resale certificate (0%), while supplies carry your local sales tax; in the UK, VAT is 0%, 5% or 20%. Check with your accountant.</t>
        </is>
      </c>
    </row>
    <row r="13">
      <c r="A13" s="19" t="inlineStr">
        <is>
          <t>To send it: File → Print → Save as PDF. The sheet is already set to Letter landscape and repeats the table header on every page.</t>
        </is>
      </c>
    </row>
    <row r="15">
      <c r="A15" s="19" t="inlineStr">
        <is>
          <t>To edit a locked cell: Review → Unprotect Sheet (no password). Green cells are already editable without unprotecting anything.</t>
        </is>
      </c>
    </row>
    <row r="16">
      <c r="A16" s="19" t="inlineStr">
        <is>
          <t>Designed by John Guerrero — chef and restaurant consultant since 2010, in professional kitchens since age 17 · johnguerrero.es</t>
        </is>
      </c>
    </row>
    <row r="17">
      <c r="A17" s="19" t="inlineStr">
        <is>
          <t>Version 2.0 · September 2026 · aichef.pro/en/digital-products/restaurant-inventory-templates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I49"/>
  <sheetViews>
    <sheetView workbookViewId="0">
      <pane ySplit="8" topLeftCell="A9" activePane="bottomLeft" state="frozen"/>
      <selection pane="bottomLeft" activeCell="A1" sqref="A1"/>
    </sheetView>
  </sheetViews>
  <sheetFormatPr baseColWidth="8" defaultRowHeight="15"/>
  <cols>
    <col width="5" customWidth="1" min="1" max="1"/>
    <col width="32" customWidth="1" min="2" max="2"/>
    <col width="22" customWidth="1" min="3" max="3"/>
    <col width="14" customWidth="1" min="4" max="4"/>
    <col width="14" customWidth="1" min="5" max="5"/>
    <col width="16" customWidth="1" min="6" max="6"/>
    <col width="18" customWidth="1" min="7" max="7"/>
    <col width="9" customWidth="1" min="8" max="8"/>
    <col width="16" customWidth="1" min="9" max="9"/>
  </cols>
  <sheetData>
    <row r="1">
      <c r="A1" s="5" t="inlineStr">
        <is>
          <t>PURCHASE ORDER</t>
        </is>
      </c>
    </row>
    <row r="2">
      <c r="A2" s="20" t="inlineStr">
        <is>
          <t>SAMPLE: the header and the first three lines are filled in so you can see the order working (tax per line, net amount, tax amount, total, breakdown by rate, and the order-minimum alert). DELETE THEM before sending your first order.</t>
        </is>
      </c>
    </row>
    <row r="3">
      <c r="A3" s="21" t="inlineStr">
        <is>
          <t>Vendor:</t>
        </is>
      </c>
      <c r="C3" s="22" t="inlineStr">
        <is>
          <t>Prime Cut Meats (sample)</t>
        </is>
      </c>
      <c r="D3" s="23" t="inlineStr">
        <is>
          <t>Phone</t>
        </is>
      </c>
      <c r="E3" t="str">
        <f>IF($C$3="","",IFERROR(VLOOKUP($C$3,Vendors!$A$4:$H$23,3,FALSE),""))</f>
        <v>(555) 555-0101</v>
      </c>
      <c r="F3" s="23" t="inlineStr">
        <is>
          <t>Business name</t>
        </is>
      </c>
      <c r="G3" s="24" t="n"/>
    </row>
    <row r="4">
      <c r="A4" s="21" t="inlineStr">
        <is>
          <t>Order date:</t>
        </is>
      </c>
      <c r="C4" s="50" t="n">
        <v>46252</v>
      </c>
      <c r="D4" s="23" t="inlineStr">
        <is>
          <t>Order min.</t>
        </is>
      </c>
      <c r="E4" s="26">
        <f>IF($C$3="","",IFERROR(VLOOKUP($C$3,Vendors!$A$4:$H$23,5,FALSE),""))</f>
        <v>300.0</v>
      </c>
      <c r="F4" s="23" t="inlineStr">
        <is>
          <t>Tax ID (EIN / VAT no.)</t>
        </is>
      </c>
      <c r="G4" s="24" t="n"/>
    </row>
    <row r="5">
      <c r="A5" s="21" t="inlineStr">
        <is>
          <t>Delivery date:</t>
        </is>
      </c>
      <c r="C5" s="50" t="n">
        <v>46253</v>
      </c>
      <c r="D5" s="7" t="n"/>
      <c r="F5" s="23" t="inlineStr">
        <is>
          <t>Deliver to</t>
        </is>
      </c>
      <c r="G5" s="24" t="n"/>
    </row>
    <row r="6">
      <c r="A6" s="21" t="inlineStr">
        <is>
          <t>Order #:</t>
        </is>
      </c>
      <c r="C6" s="24" t="inlineStr">
        <is>
          <t>PO-2026-004</t>
        </is>
      </c>
      <c r="F6" s="23" t="inlineStr">
        <is>
          <t>Contact</t>
        </is>
      </c>
      <c r="G6" s="24" t="n"/>
    </row>
    <row r="8">
      <c r="A8" s="27" t="inlineStr">
        <is>
          <t>#</t>
        </is>
      </c>
      <c r="B8" s="27" t="inlineStr">
        <is>
          <t>Product</t>
        </is>
      </c>
      <c r="C8" s="27" t="inlineStr">
        <is>
          <t>Category</t>
        </is>
      </c>
      <c r="D8" s="27" t="inlineStr">
        <is>
          <t>Unit</t>
        </is>
      </c>
      <c r="E8" s="27" t="inlineStr">
        <is>
          <t>Quantity</t>
        </is>
      </c>
      <c r="F8" s="27" t="inlineStr">
        <is>
          <t>Price/unit</t>
        </is>
      </c>
      <c r="G8" s="27" t="inlineStr">
        <is>
          <t>Subtotal</t>
        </is>
      </c>
      <c r="H8" s="27" t="inlineStr">
        <is>
          <t>Tax %</t>
        </is>
      </c>
      <c r="I8" s="27" t="inlineStr">
        <is>
          <t>Total</t>
        </is>
      </c>
    </row>
    <row r="9">
      <c r="A9" s="9" t="n">
        <v>1</v>
      </c>
      <c r="B9" s="28" t="inlineStr">
        <is>
          <t>Beef tenderloin (PSMO)</t>
        </is>
      </c>
      <c r="C9" s="28" t="inlineStr">
        <is>
          <t>Meat &amp; Poultry</t>
        </is>
      </c>
      <c r="D9" s="28" t="inlineStr">
        <is>
          <t>lb</t>
        </is>
      </c>
      <c r="E9" s="28" t="n">
        <v>12</v>
      </c>
      <c r="F9" s="29" t="n">
        <v>17.21</v>
      </c>
      <c r="G9" s="30">
        <f>IF($E9="","",IF($F9="","⚠ missing cost",$E9*$F9))</f>
        <v>206.52</v>
      </c>
      <c r="H9" s="31">
        <f>IF($B9="","",IFERROR(VLOOKUP($B9,'Tax Rates'!$E$2:$F$20,2,FALSE),IF($C9="","",IFERROR(VLOOKUP($C9,'Tax Rates'!$A$2:$B$11,2,FALSE),""))))</f>
        <v>0.0</v>
      </c>
      <c r="I9" s="30">
        <f>IF(OR($E9="",$F9=""),"",$E9*$F9*(1+$H9/100))</f>
        <v>206.52</v>
      </c>
    </row>
    <row r="10">
      <c r="A10" s="11" t="n">
        <v>2</v>
      </c>
      <c r="B10" s="28" t="inlineStr">
        <is>
          <t>House red wine (750 ml)</t>
        </is>
      </c>
      <c r="C10" s="28" t="inlineStr">
        <is>
          <t>Alcoholic Beverages</t>
        </is>
      </c>
      <c r="D10" s="28" t="inlineStr">
        <is>
          <t>bottle</t>
        </is>
      </c>
      <c r="E10" s="28" t="n">
        <v>12</v>
      </c>
      <c r="F10" s="29" t="n">
        <v>10.31</v>
      </c>
      <c r="G10" s="32">
        <f>IF($E10="","",IF($F10="","⚠ missing cost",$E10*$F10))</f>
        <v>123.72</v>
      </c>
      <c r="H10" s="33">
        <f>IF($B10="","",IFERROR(VLOOKUP($B10,'Tax Rates'!$E$2:$F$20,2,FALSE),IF($C10="","",IFERROR(VLOOKUP($C10,'Tax Rates'!$A$2:$B$11,2,FALSE),""))))</f>
        <v>0.0</v>
      </c>
      <c r="I10" s="32">
        <f>IF(OR($E10="",$F10=""),"",$E10*$F10*(1+$H10/100))</f>
        <v>123.72</v>
      </c>
    </row>
    <row r="11">
      <c r="A11" s="9" t="n">
        <v>3</v>
      </c>
      <c r="B11" s="28" t="inlineStr">
        <is>
          <t>Romaine lettuce</t>
        </is>
      </c>
      <c r="C11" s="28" t="inlineStr">
        <is>
          <t>Produce</t>
        </is>
      </c>
      <c r="D11" s="28" t="inlineStr">
        <is>
          <t>each</t>
        </is>
      </c>
      <c r="E11" s="28" t="n">
        <v>10</v>
      </c>
      <c r="F11" s="29" t="n">
        <v>1.6</v>
      </c>
      <c r="G11" s="30">
        <f>IF($E11="","",IF($F11="","⚠ missing cost",$E11*$F11))</f>
        <v>16.0</v>
      </c>
      <c r="H11" s="31">
        <f>IF($B11="","",IFERROR(VLOOKUP($B11,'Tax Rates'!$E$2:$F$20,2,FALSE),IF($C11="","",IFERROR(VLOOKUP($C11,'Tax Rates'!$A$2:$B$11,2,FALSE),""))))</f>
        <v>0.0</v>
      </c>
      <c r="I11" s="30">
        <f>IF(OR($E11="",$F11=""),"",$E11*$F11*(1+$H11/100))</f>
        <v>16.0</v>
      </c>
    </row>
    <row r="12">
      <c r="A12" s="11" t="n">
        <v>4</v>
      </c>
      <c r="B12" s="28" t="n"/>
      <c r="C12" s="28" t="n"/>
      <c r="D12" s="28" t="n"/>
      <c r="E12" s="28" t="n"/>
      <c r="F12" s="29" t="n"/>
      <c r="G12" s="32">
        <f>IF($E12="","",IF($F12="","⚠ missing cost",$E12*$F12))</f>
        <v/>
      </c>
      <c r="H12" s="33">
        <f>IF($B12="","",IFERROR(VLOOKUP($B12,'Tax Rates'!$E$2:$F$20,2,FALSE),IF($C12="","",IFERROR(VLOOKUP($C12,'Tax Rates'!$A$2:$B$11,2,FALSE),""))))</f>
        <v/>
      </c>
      <c r="I12" s="32">
        <f>IF(OR($E12="",$F12=""),"",$E12*$F12*(1+$H12/100))</f>
        <v/>
      </c>
    </row>
    <row r="13">
      <c r="A13" s="9" t="n">
        <v>5</v>
      </c>
      <c r="B13" s="28" t="n"/>
      <c r="C13" s="28" t="n"/>
      <c r="D13" s="28" t="n"/>
      <c r="E13" s="28" t="n"/>
      <c r="F13" s="29" t="n"/>
      <c r="G13" s="30">
        <f>IF($E13="","",IF($F13="","⚠ missing cost",$E13*$F13))</f>
        <v/>
      </c>
      <c r="H13" s="31">
        <f>IF($B13="","",IFERROR(VLOOKUP($B13,'Tax Rates'!$E$2:$F$20,2,FALSE),IF($C13="","",IFERROR(VLOOKUP($C13,'Tax Rates'!$A$2:$B$11,2,FALSE),""))))</f>
        <v/>
      </c>
      <c r="I13" s="30">
        <f>IF(OR($E13="",$F13=""),"",$E13*$F13*(1+$H13/100))</f>
        <v/>
      </c>
    </row>
    <row r="14">
      <c r="A14" s="11" t="n">
        <v>6</v>
      </c>
      <c r="B14" s="28" t="n"/>
      <c r="C14" s="28" t="n"/>
      <c r="D14" s="28" t="n"/>
      <c r="E14" s="28" t="n"/>
      <c r="F14" s="29" t="n"/>
      <c r="G14" s="32">
        <f>IF($E14="","",IF($F14="","⚠ missing cost",$E14*$F14))</f>
        <v/>
      </c>
      <c r="H14" s="33">
        <f>IF($B14="","",IFERROR(VLOOKUP($B14,'Tax Rates'!$E$2:$F$20,2,FALSE),IF($C14="","",IFERROR(VLOOKUP($C14,'Tax Rates'!$A$2:$B$11,2,FALSE),""))))</f>
        <v/>
      </c>
      <c r="I14" s="32">
        <f>IF(OR($E14="",$F14=""),"",$E14*$F14*(1+$H14/100))</f>
        <v/>
      </c>
    </row>
    <row r="15">
      <c r="A15" s="9" t="n">
        <v>7</v>
      </c>
      <c r="B15" s="28" t="n"/>
      <c r="C15" s="28" t="n"/>
      <c r="D15" s="28" t="n"/>
      <c r="E15" s="28" t="n"/>
      <c r="F15" s="29" t="n"/>
      <c r="G15" s="30">
        <f>IF($E15="","",IF($F15="","⚠ missing cost",$E15*$F15))</f>
        <v/>
      </c>
      <c r="H15" s="31">
        <f>IF($B15="","",IFERROR(VLOOKUP($B15,'Tax Rates'!$E$2:$F$20,2,FALSE),IF($C15="","",IFERROR(VLOOKUP($C15,'Tax Rates'!$A$2:$B$11,2,FALSE),""))))</f>
        <v/>
      </c>
      <c r="I15" s="30">
        <f>IF(OR($E15="",$F15=""),"",$E15*$F15*(1+$H15/100))</f>
        <v/>
      </c>
    </row>
    <row r="16">
      <c r="A16" s="11" t="n">
        <v>8</v>
      </c>
      <c r="B16" s="28" t="n"/>
      <c r="C16" s="28" t="n"/>
      <c r="D16" s="28" t="n"/>
      <c r="E16" s="28" t="n"/>
      <c r="F16" s="29" t="n"/>
      <c r="G16" s="32">
        <f>IF($E16="","",IF($F16="","⚠ missing cost",$E16*$F16))</f>
        <v/>
      </c>
      <c r="H16" s="33">
        <f>IF($B16="","",IFERROR(VLOOKUP($B16,'Tax Rates'!$E$2:$F$20,2,FALSE),IF($C16="","",IFERROR(VLOOKUP($C16,'Tax Rates'!$A$2:$B$11,2,FALSE),""))))</f>
        <v/>
      </c>
      <c r="I16" s="32">
        <f>IF(OR($E16="",$F16=""),"",$E16*$F16*(1+$H16/100))</f>
        <v/>
      </c>
    </row>
    <row r="17">
      <c r="A17" s="9" t="n">
        <v>9</v>
      </c>
      <c r="B17" s="28" t="n"/>
      <c r="C17" s="28" t="n"/>
      <c r="D17" s="28" t="n"/>
      <c r="E17" s="28" t="n"/>
      <c r="F17" s="29" t="n"/>
      <c r="G17" s="30">
        <f>IF($E17="","",IF($F17="","⚠ missing cost",$E17*$F17))</f>
        <v/>
      </c>
      <c r="H17" s="31">
        <f>IF($B17="","",IFERROR(VLOOKUP($B17,'Tax Rates'!$E$2:$F$20,2,FALSE),IF($C17="","",IFERROR(VLOOKUP($C17,'Tax Rates'!$A$2:$B$11,2,FALSE),""))))</f>
        <v/>
      </c>
      <c r="I17" s="30">
        <f>IF(OR($E17="",$F17=""),"",$E17*$F17*(1+$H17/100))</f>
        <v/>
      </c>
    </row>
    <row r="18">
      <c r="A18" s="11" t="n">
        <v>10</v>
      </c>
      <c r="B18" s="28" t="n"/>
      <c r="C18" s="28" t="n"/>
      <c r="D18" s="28" t="n"/>
      <c r="E18" s="28" t="n"/>
      <c r="F18" s="29" t="n"/>
      <c r="G18" s="32">
        <f>IF($E18="","",IF($F18="","⚠ missing cost",$E18*$F18))</f>
        <v/>
      </c>
      <c r="H18" s="33">
        <f>IF($B18="","",IFERROR(VLOOKUP($B18,'Tax Rates'!$E$2:$F$20,2,FALSE),IF($C18="","",IFERROR(VLOOKUP($C18,'Tax Rates'!$A$2:$B$11,2,FALSE),""))))</f>
        <v/>
      </c>
      <c r="I18" s="32">
        <f>IF(OR($E18="",$F18=""),"",$E18*$F18*(1+$H18/100))</f>
        <v/>
      </c>
    </row>
    <row r="19">
      <c r="A19" s="9" t="n">
        <v>11</v>
      </c>
      <c r="B19" s="28" t="n"/>
      <c r="C19" s="28" t="n"/>
      <c r="D19" s="28" t="n"/>
      <c r="E19" s="28" t="n"/>
      <c r="F19" s="29" t="n"/>
      <c r="G19" s="30">
        <f>IF($E19="","",IF($F19="","⚠ missing cost",$E19*$F19))</f>
        <v/>
      </c>
      <c r="H19" s="31">
        <f>IF($B19="","",IFERROR(VLOOKUP($B19,'Tax Rates'!$E$2:$F$20,2,FALSE),IF($C19="","",IFERROR(VLOOKUP($C19,'Tax Rates'!$A$2:$B$11,2,FALSE),""))))</f>
        <v/>
      </c>
      <c r="I19" s="30">
        <f>IF(OR($E19="",$F19=""),"",$E19*$F19*(1+$H19/100))</f>
        <v/>
      </c>
    </row>
    <row r="20">
      <c r="A20" s="11" t="n">
        <v>12</v>
      </c>
      <c r="B20" s="28" t="n"/>
      <c r="C20" s="28" t="n"/>
      <c r="D20" s="28" t="n"/>
      <c r="E20" s="28" t="n"/>
      <c r="F20" s="29" t="n"/>
      <c r="G20" s="32">
        <f>IF($E20="","",IF($F20="","⚠ missing cost",$E20*$F20))</f>
        <v/>
      </c>
      <c r="H20" s="33">
        <f>IF($B20="","",IFERROR(VLOOKUP($B20,'Tax Rates'!$E$2:$F$20,2,FALSE),IF($C20="","",IFERROR(VLOOKUP($C20,'Tax Rates'!$A$2:$B$11,2,FALSE),""))))</f>
        <v/>
      </c>
      <c r="I20" s="32">
        <f>IF(OR($E20="",$F20=""),"",$E20*$F20*(1+$H20/100))</f>
        <v/>
      </c>
    </row>
    <row r="21">
      <c r="A21" s="9" t="n">
        <v>13</v>
      </c>
      <c r="B21" s="28" t="n"/>
      <c r="C21" s="28" t="n"/>
      <c r="D21" s="28" t="n"/>
      <c r="E21" s="28" t="n"/>
      <c r="F21" s="29" t="n"/>
      <c r="G21" s="30">
        <f>IF($E21="","",IF($F21="","⚠ missing cost",$E21*$F21))</f>
        <v/>
      </c>
      <c r="H21" s="31">
        <f>IF($B21="","",IFERROR(VLOOKUP($B21,'Tax Rates'!$E$2:$F$20,2,FALSE),IF($C21="","",IFERROR(VLOOKUP($C21,'Tax Rates'!$A$2:$B$11,2,FALSE),""))))</f>
        <v/>
      </c>
      <c r="I21" s="30">
        <f>IF(OR($E21="",$F21=""),"",$E21*$F21*(1+$H21/100))</f>
        <v/>
      </c>
    </row>
    <row r="22">
      <c r="A22" s="11" t="n">
        <v>14</v>
      </c>
      <c r="B22" s="28" t="n"/>
      <c r="C22" s="28" t="n"/>
      <c r="D22" s="28" t="n"/>
      <c r="E22" s="28" t="n"/>
      <c r="F22" s="29" t="n"/>
      <c r="G22" s="32">
        <f>IF($E22="","",IF($F22="","⚠ missing cost",$E22*$F22))</f>
        <v/>
      </c>
      <c r="H22" s="33">
        <f>IF($B22="","",IFERROR(VLOOKUP($B22,'Tax Rates'!$E$2:$F$20,2,FALSE),IF($C22="","",IFERROR(VLOOKUP($C22,'Tax Rates'!$A$2:$B$11,2,FALSE),""))))</f>
        <v/>
      </c>
      <c r="I22" s="32">
        <f>IF(OR($E22="",$F22=""),"",$E22*$F22*(1+$H22/100))</f>
        <v/>
      </c>
    </row>
    <row r="23">
      <c r="A23" s="9" t="n">
        <v>15</v>
      </c>
      <c r="B23" s="28" t="n"/>
      <c r="C23" s="28" t="n"/>
      <c r="D23" s="28" t="n"/>
      <c r="E23" s="28" t="n"/>
      <c r="F23" s="29" t="n"/>
      <c r="G23" s="30">
        <f>IF($E23="","",IF($F23="","⚠ missing cost",$E23*$F23))</f>
        <v/>
      </c>
      <c r="H23" s="31">
        <f>IF($B23="","",IFERROR(VLOOKUP($B23,'Tax Rates'!$E$2:$F$20,2,FALSE),IF($C23="","",IFERROR(VLOOKUP($C23,'Tax Rates'!$A$2:$B$11,2,FALSE),""))))</f>
        <v/>
      </c>
      <c r="I23" s="30">
        <f>IF(OR($E23="",$F23=""),"",$E23*$F23*(1+$H23/100))</f>
        <v/>
      </c>
    </row>
    <row r="24">
      <c r="A24" s="11" t="n">
        <v>16</v>
      </c>
      <c r="B24" s="28" t="n"/>
      <c r="C24" s="28" t="n"/>
      <c r="D24" s="28" t="n"/>
      <c r="E24" s="28" t="n"/>
      <c r="F24" s="29" t="n"/>
      <c r="G24" s="32">
        <f>IF($E24="","",IF($F24="","⚠ missing cost",$E24*$F24))</f>
        <v/>
      </c>
      <c r="H24" s="33">
        <f>IF($B24="","",IFERROR(VLOOKUP($B24,'Tax Rates'!$E$2:$F$20,2,FALSE),IF($C24="","",IFERROR(VLOOKUP($C24,'Tax Rates'!$A$2:$B$11,2,FALSE),""))))</f>
        <v/>
      </c>
      <c r="I24" s="32">
        <f>IF(OR($E24="",$F24=""),"",$E24*$F24*(1+$H24/100))</f>
        <v/>
      </c>
    </row>
    <row r="25">
      <c r="A25" s="9" t="n">
        <v>17</v>
      </c>
      <c r="B25" s="28" t="n"/>
      <c r="C25" s="28" t="n"/>
      <c r="D25" s="28" t="n"/>
      <c r="E25" s="28" t="n"/>
      <c r="F25" s="29" t="n"/>
      <c r="G25" s="30">
        <f>IF($E25="","",IF($F25="","⚠ missing cost",$E25*$F25))</f>
        <v/>
      </c>
      <c r="H25" s="31">
        <f>IF($B25="","",IFERROR(VLOOKUP($B25,'Tax Rates'!$E$2:$F$20,2,FALSE),IF($C25="","",IFERROR(VLOOKUP($C25,'Tax Rates'!$A$2:$B$11,2,FALSE),""))))</f>
        <v/>
      </c>
      <c r="I25" s="30">
        <f>IF(OR($E25="",$F25=""),"",$E25*$F25*(1+$H25/100))</f>
        <v/>
      </c>
    </row>
    <row r="26">
      <c r="A26" s="11" t="n">
        <v>18</v>
      </c>
      <c r="B26" s="28" t="n"/>
      <c r="C26" s="28" t="n"/>
      <c r="D26" s="28" t="n"/>
      <c r="E26" s="28" t="n"/>
      <c r="F26" s="29" t="n"/>
      <c r="G26" s="32">
        <f>IF($E26="","",IF($F26="","⚠ missing cost",$E26*$F26))</f>
        <v/>
      </c>
      <c r="H26" s="33">
        <f>IF($B26="","",IFERROR(VLOOKUP($B26,'Tax Rates'!$E$2:$F$20,2,FALSE),IF($C26="","",IFERROR(VLOOKUP($C26,'Tax Rates'!$A$2:$B$11,2,FALSE),""))))</f>
        <v/>
      </c>
      <c r="I26" s="32">
        <f>IF(OR($E26="",$F26=""),"",$E26*$F26*(1+$H26/100))</f>
        <v/>
      </c>
    </row>
    <row r="27">
      <c r="A27" s="9" t="n">
        <v>19</v>
      </c>
      <c r="B27" s="28" t="n"/>
      <c r="C27" s="28" t="n"/>
      <c r="D27" s="28" t="n"/>
      <c r="E27" s="28" t="n"/>
      <c r="F27" s="29" t="n"/>
      <c r="G27" s="30">
        <f>IF($E27="","",IF($F27="","⚠ missing cost",$E27*$F27))</f>
        <v/>
      </c>
      <c r="H27" s="31">
        <f>IF($B27="","",IFERROR(VLOOKUP($B27,'Tax Rates'!$E$2:$F$20,2,FALSE),IF($C27="","",IFERROR(VLOOKUP($C27,'Tax Rates'!$A$2:$B$11,2,FALSE),""))))</f>
        <v/>
      </c>
      <c r="I27" s="30">
        <f>IF(OR($E27="",$F27=""),"",$E27*$F27*(1+$H27/100))</f>
        <v/>
      </c>
    </row>
    <row r="28">
      <c r="A28" s="11" t="n">
        <v>20</v>
      </c>
      <c r="B28" s="28" t="n"/>
      <c r="C28" s="28" t="n"/>
      <c r="D28" s="28" t="n"/>
      <c r="E28" s="28" t="n"/>
      <c r="F28" s="29" t="n"/>
      <c r="G28" s="32">
        <f>IF($E28="","",IF($F28="","⚠ missing cost",$E28*$F28))</f>
        <v/>
      </c>
      <c r="H28" s="33">
        <f>IF($B28="","",IFERROR(VLOOKUP($B28,'Tax Rates'!$E$2:$F$20,2,FALSE),IF($C28="","",IFERROR(VLOOKUP($C28,'Tax Rates'!$A$2:$B$11,2,FALSE),""))))</f>
        <v/>
      </c>
      <c r="I28" s="32">
        <f>IF(OR($E28="",$F28=""),"",$E28*$F28*(1+$H28/100))</f>
        <v/>
      </c>
    </row>
    <row r="29">
      <c r="A29" s="9" t="n">
        <v>21</v>
      </c>
      <c r="B29" s="28" t="n"/>
      <c r="C29" s="28" t="n"/>
      <c r="D29" s="28" t="n"/>
      <c r="E29" s="28" t="n"/>
      <c r="F29" s="29" t="n"/>
      <c r="G29" s="30">
        <f>IF($E29="","",IF($F29="","⚠ missing cost",$E29*$F29))</f>
        <v/>
      </c>
      <c r="H29" s="31">
        <f>IF($B29="","",IFERROR(VLOOKUP($B29,'Tax Rates'!$E$2:$F$20,2,FALSE),IF($C29="","",IFERROR(VLOOKUP($C29,'Tax Rates'!$A$2:$B$11,2,FALSE),""))))</f>
        <v/>
      </c>
      <c r="I29" s="30">
        <f>IF(OR($E29="",$F29=""),"",$E29*$F29*(1+$H29/100))</f>
        <v/>
      </c>
    </row>
    <row r="30">
      <c r="A30" s="11" t="n">
        <v>22</v>
      </c>
      <c r="B30" s="28" t="n"/>
      <c r="C30" s="28" t="n"/>
      <c r="D30" s="28" t="n"/>
      <c r="E30" s="28" t="n"/>
      <c r="F30" s="29" t="n"/>
      <c r="G30" s="32">
        <f>IF($E30="","",IF($F30="","⚠ missing cost",$E30*$F30))</f>
        <v/>
      </c>
      <c r="H30" s="33">
        <f>IF($B30="","",IFERROR(VLOOKUP($B30,'Tax Rates'!$E$2:$F$20,2,FALSE),IF($C30="","",IFERROR(VLOOKUP($C30,'Tax Rates'!$A$2:$B$11,2,FALSE),""))))</f>
        <v/>
      </c>
      <c r="I30" s="32">
        <f>IF(OR($E30="",$F30=""),"",$E30*$F30*(1+$H30/100))</f>
        <v/>
      </c>
    </row>
    <row r="31">
      <c r="A31" s="9" t="n">
        <v>23</v>
      </c>
      <c r="B31" s="28" t="n"/>
      <c r="C31" s="28" t="n"/>
      <c r="D31" s="28" t="n"/>
      <c r="E31" s="28" t="n"/>
      <c r="F31" s="29" t="n"/>
      <c r="G31" s="30">
        <f>IF($E31="","",IF($F31="","⚠ missing cost",$E31*$F31))</f>
        <v/>
      </c>
      <c r="H31" s="31">
        <f>IF($B31="","",IFERROR(VLOOKUP($B31,'Tax Rates'!$E$2:$F$20,2,FALSE),IF($C31="","",IFERROR(VLOOKUP($C31,'Tax Rates'!$A$2:$B$11,2,FALSE),""))))</f>
        <v/>
      </c>
      <c r="I31" s="30">
        <f>IF(OR($E31="",$F31=""),"",$E31*$F31*(1+$H31/100))</f>
        <v/>
      </c>
    </row>
    <row r="32">
      <c r="A32" s="11" t="n">
        <v>24</v>
      </c>
      <c r="B32" s="28" t="n"/>
      <c r="C32" s="28" t="n"/>
      <c r="D32" s="28" t="n"/>
      <c r="E32" s="28" t="n"/>
      <c r="F32" s="29" t="n"/>
      <c r="G32" s="32">
        <f>IF($E32="","",IF($F32="","⚠ missing cost",$E32*$F32))</f>
        <v/>
      </c>
      <c r="H32" s="33">
        <f>IF($B32="","",IFERROR(VLOOKUP($B32,'Tax Rates'!$E$2:$F$20,2,FALSE),IF($C32="","",IFERROR(VLOOKUP($C32,'Tax Rates'!$A$2:$B$11,2,FALSE),""))))</f>
        <v/>
      </c>
      <c r="I32" s="32">
        <f>IF(OR($E32="",$F32=""),"",$E32*$F32*(1+$H32/100))</f>
        <v/>
      </c>
    </row>
    <row r="33">
      <c r="A33" s="9" t="n">
        <v>25</v>
      </c>
      <c r="B33" s="28" t="n"/>
      <c r="C33" s="28" t="n"/>
      <c r="D33" s="28" t="n"/>
      <c r="E33" s="28" t="n"/>
      <c r="F33" s="29" t="n"/>
      <c r="G33" s="30">
        <f>IF($E33="","",IF($F33="","⚠ missing cost",$E33*$F33))</f>
        <v/>
      </c>
      <c r="H33" s="31">
        <f>IF($B33="","",IFERROR(VLOOKUP($B33,'Tax Rates'!$E$2:$F$20,2,FALSE),IF($C33="","",IFERROR(VLOOKUP($C33,'Tax Rates'!$A$2:$B$11,2,FALSE),""))))</f>
        <v/>
      </c>
      <c r="I33" s="30">
        <f>IF(OR($E33="",$F33=""),"",$E33*$F33*(1+$H33/100))</f>
        <v/>
      </c>
    </row>
    <row r="34">
      <c r="A34" s="11" t="n">
        <v>26</v>
      </c>
      <c r="B34" s="28" t="n"/>
      <c r="C34" s="28" t="n"/>
      <c r="D34" s="28" t="n"/>
      <c r="E34" s="28" t="n"/>
      <c r="F34" s="29" t="n"/>
      <c r="G34" s="32">
        <f>IF($E34="","",IF($F34="","⚠ missing cost",$E34*$F34))</f>
        <v/>
      </c>
      <c r="H34" s="33">
        <f>IF($B34="","",IFERROR(VLOOKUP($B34,'Tax Rates'!$E$2:$F$20,2,FALSE),IF($C34="","",IFERROR(VLOOKUP($C34,'Tax Rates'!$A$2:$B$11,2,FALSE),""))))</f>
        <v/>
      </c>
      <c r="I34" s="32">
        <f>IF(OR($E34="",$F34=""),"",$E34*$F34*(1+$H34/100))</f>
        <v/>
      </c>
    </row>
    <row r="35">
      <c r="A35" s="9" t="n">
        <v>27</v>
      </c>
      <c r="B35" s="28" t="n"/>
      <c r="C35" s="28" t="n"/>
      <c r="D35" s="28" t="n"/>
      <c r="E35" s="28" t="n"/>
      <c r="F35" s="29" t="n"/>
      <c r="G35" s="30">
        <f>IF($E35="","",IF($F35="","⚠ missing cost",$E35*$F35))</f>
        <v/>
      </c>
      <c r="H35" s="31">
        <f>IF($B35="","",IFERROR(VLOOKUP($B35,'Tax Rates'!$E$2:$F$20,2,FALSE),IF($C35="","",IFERROR(VLOOKUP($C35,'Tax Rates'!$A$2:$B$11,2,FALSE),""))))</f>
        <v/>
      </c>
      <c r="I35" s="30">
        <f>IF(OR($E35="",$F35=""),"",$E35*$F35*(1+$H35/100))</f>
        <v/>
      </c>
    </row>
    <row r="36">
      <c r="A36" s="11" t="n">
        <v>28</v>
      </c>
      <c r="B36" s="28" t="n"/>
      <c r="C36" s="28" t="n"/>
      <c r="D36" s="28" t="n"/>
      <c r="E36" s="28" t="n"/>
      <c r="F36" s="29" t="n"/>
      <c r="G36" s="32">
        <f>IF($E36="","",IF($F36="","⚠ missing cost",$E36*$F36))</f>
        <v/>
      </c>
      <c r="H36" s="33">
        <f>IF($B36="","",IFERROR(VLOOKUP($B36,'Tax Rates'!$E$2:$F$20,2,FALSE),IF($C36="","",IFERROR(VLOOKUP($C36,'Tax Rates'!$A$2:$B$11,2,FALSE),""))))</f>
        <v/>
      </c>
      <c r="I36" s="32">
        <f>IF(OR($E36="",$F36=""),"",$E36*$F36*(1+$H36/100))</f>
        <v/>
      </c>
    </row>
    <row r="37">
      <c r="A37" s="9" t="n">
        <v>29</v>
      </c>
      <c r="B37" s="28" t="n"/>
      <c r="C37" s="28" t="n"/>
      <c r="D37" s="28" t="n"/>
      <c r="E37" s="28" t="n"/>
      <c r="F37" s="29" t="n"/>
      <c r="G37" s="30">
        <f>IF($E37="","",IF($F37="","⚠ missing cost",$E37*$F37))</f>
        <v/>
      </c>
      <c r="H37" s="31">
        <f>IF($B37="","",IFERROR(VLOOKUP($B37,'Tax Rates'!$E$2:$F$20,2,FALSE),IF($C37="","",IFERROR(VLOOKUP($C37,'Tax Rates'!$A$2:$B$11,2,FALSE),""))))</f>
        <v/>
      </c>
      <c r="I37" s="30">
        <f>IF(OR($E37="",$F37=""),"",$E37*$F37*(1+$H37/100))</f>
        <v/>
      </c>
    </row>
    <row r="38">
      <c r="A38" s="11" t="n">
        <v>30</v>
      </c>
      <c r="B38" s="28" t="n"/>
      <c r="C38" s="28" t="n"/>
      <c r="D38" s="28" t="n"/>
      <c r="E38" s="28" t="n"/>
      <c r="F38" s="29" t="n"/>
      <c r="G38" s="32">
        <f>IF($E38="","",IF($F38="","⚠ missing cost",$E38*$F38))</f>
        <v/>
      </c>
      <c r="H38" s="33">
        <f>IF($B38="","",IFERROR(VLOOKUP($B38,'Tax Rates'!$E$2:$F$20,2,FALSE),IF($C38="","",IFERROR(VLOOKUP($C38,'Tax Rates'!$A$2:$B$11,2,FALSE),""))))</f>
        <v/>
      </c>
      <c r="I38" s="32">
        <f>IF(OR($E38="",$F38=""),"",$E38*$F38*(1+$H38/100))</f>
        <v/>
      </c>
    </row>
    <row r="40">
      <c r="F40" s="21" t="inlineStr">
        <is>
          <t>NET AMOUNT (PRE-TAX)</t>
        </is>
      </c>
      <c r="H40" s="34">
        <f>SUM($G$9:$G$38)</f>
        <v>346.24</v>
      </c>
    </row>
    <row r="41">
      <c r="F41" s="21" t="inlineStr">
        <is>
          <t>TAX AMOUNT</t>
        </is>
      </c>
      <c r="H41" s="34">
        <f>SUM($I$9:$I$38)-$H$40</f>
        <v>0.0</v>
      </c>
    </row>
    <row r="42">
      <c r="F42" s="21" t="inlineStr">
        <is>
          <t>ORDER TOTAL</t>
        </is>
      </c>
      <c r="H42" s="35">
        <f>$H$40+$H$41</f>
        <v>346.24</v>
      </c>
    </row>
    <row r="43">
      <c r="A43" s="36" t="str">
        <f>IF(OR($E$4="",$H$40=""),"",IF($H$40&gt;=$E$4,"✓ This order meets the vendor's minimum","⚠ BELOW THE ORDER MINIMUM: you may be charged a delivery fee"))</f>
        <v>✓ This order meets the vendor's minimum</v>
      </c>
      <c r="F43" s="21" t="inlineStr">
        <is>
          <t>SHORT OF MINIMUM</t>
        </is>
      </c>
      <c r="H43" s="37">
        <f>IF(OR($E$4="",$H$40=""),"",MAX(0,$E$4-$H$40))</f>
        <v>0.0</v>
      </c>
    </row>
    <row r="45">
      <c r="A45" s="38" t="inlineStr">
        <is>
          <t>Tax %</t>
        </is>
      </c>
      <c r="B45" s="38" t="inlineStr">
        <is>
          <t>Net amount</t>
        </is>
      </c>
      <c r="C45" s="38" t="inlineStr">
        <is>
          <t>Tax amount</t>
        </is>
      </c>
      <c r="D45" s="38" t="inlineStr">
        <is>
          <t>Total</t>
        </is>
      </c>
    </row>
    <row r="46">
      <c r="A46" s="42" t="n">
        <v>0</v>
      </c>
      <c r="B46" s="26">
        <f>SUMIF($H$9:$H$38,$A46,$G$9:$G$38)</f>
        <v>346.24</v>
      </c>
      <c r="C46" s="26">
        <f>IFERROR($B46*$A46/100,"")</f>
        <v>0.0</v>
      </c>
      <c r="D46" s="26">
        <f>$B46+$C46</f>
        <v>346.24</v>
      </c>
    </row>
    <row r="47">
      <c r="A47" s="42" t="n">
        <v>5</v>
      </c>
      <c r="B47" s="26">
        <f>SUMIF($H$9:$H$38,$A47,$G$9:$G$38)</f>
        <v>0.0</v>
      </c>
      <c r="C47" s="26">
        <f>IFERROR($B47*$A47/100,"")</f>
        <v>0.0</v>
      </c>
      <c r="D47" s="26">
        <f>$B47+$C47</f>
        <v>0.0</v>
      </c>
    </row>
    <row r="48">
      <c r="A48" s="42" t="n">
        <v>20</v>
      </c>
      <c r="B48" s="26">
        <f>SUMIF($H$9:$H$38,$A48,$G$9:$G$38)</f>
        <v>0.0</v>
      </c>
      <c r="C48" s="26">
        <f>IFERROR($B48*$A48/100,"")</f>
        <v>0.0</v>
      </c>
      <c r="D48" s="26">
        <f>$B48+$C48</f>
        <v>0.0</v>
      </c>
    </row>
    <row r="49">
      <c r="A49" s="20" t="inlineStr">
        <is>
          <t>Breakdown by tax rate: type the rates you actually pay in the green cells of column A (0, 5 and 20 are only a starting point; UK VAT uses 0, 5 and 20%). The sum of the Net amount column has to match the NET AMOUNT (PRE-TAX) above.</t>
        </is>
      </c>
    </row>
  </sheetData>
  <sheetProtection selectLockedCells="0" selectUnlockedCells="0" sheet="1" objects="0" insertRows="1" insertHyperlinks="1" autoFilter="0" scenarios="0" formatColumns="0" deleteColumns="1" insertColumns="1" pivotTables="1" deleteRows="1" formatCells="1" formatRows="0" sort="0"/>
  <mergeCells count="16">
    <mergeCell ref="H41:I41"/>
    <mergeCell ref="F43:G43"/>
    <mergeCell ref="H42:I42"/>
    <mergeCell ref="H43:I43"/>
    <mergeCell ref="A43:E43"/>
    <mergeCell ref="A49:D49"/>
    <mergeCell ref="A2:I2"/>
    <mergeCell ref="A3:B3"/>
    <mergeCell ref="A5:B5"/>
    <mergeCell ref="F40:G40"/>
    <mergeCell ref="F41:G41"/>
    <mergeCell ref="A4:B4"/>
    <mergeCell ref="A1:I1"/>
    <mergeCell ref="A6:B6"/>
    <mergeCell ref="H40:I40"/>
    <mergeCell ref="F42:G42"/>
  </mergeCells>
  <conditionalFormatting sqref="A43:E43">
    <cfRule type="containsText" priority="1" operator="containsText" dxfId="0" stopIfTrue="1" text="BELOW">
      <formula>NOT(ISERROR(SEARCH("BELOW",A43)))</formula>
    </cfRule>
    <cfRule type="containsText" priority="2" operator="containsText" dxfId="1" stopIfTrue="1" text="meets">
      <formula>NOT(ISERROR(SEARCH("meets",A43)))</formula>
    </cfRule>
  </conditionalFormatting>
  <dataValidations count="4">
    <dataValidation sqref="C3" showDropDown="0" showInputMessage="1" showErrorMessage="1" allowBlank="1" errorTitle="Vendor not set up" error="Choose a value from the list. If each line uses different wording, the COUNTIF and SUMIF formulas in the analysis sheets won't add up correctly." promptTitle="Vendor not set up" prompt="Vendors come from the &quot;Vendors&quot; tab in this same file. Set up yours there and they'll appear in this list." type="list" errorStyle="stop">
      <formula1>=Vendors!$A$4:$A$23</formula1>
    </dataValidation>
    <dataValidation sqref="H9:H38" showDropDown="0" showInputMessage="1" showErrorMessage="1" allowBlank="1" errorTitle="Invalid tax rate" error="Type a tax rate between 0 and 100 (a number, without the % sign). Most food and drinks bought for resale are 0%; use the rate you actually pay." promptTitle="Invalid tax rate" prompt="The rate comes from the category, but you can overwrite it here: type the rate you actually pay. To type over the formula: Review → Unprotect Sheet (no password)." type="decimal" errorStyle="stop" operator="between">
      <formula1>0</formula1>
      <formula2>100</formula2>
    </dataValidation>
    <dataValidation sqref="C9:C38" showDropDown="0" showInputMessage="1" showErrorMessage="1" allowBlank="1" errorTitle="Invalid category" error="Choose a value from the list. This is the kit's single taxonomy: if each template uses different wording, the SUMIF formulas in the analysis sheets won't add up correctly." promptTitle="Invalid category" prompt="The kit's 10 categories. They're the same across all 9 templates: the analysis in 05 and 07 aggregates by this exact text." type="list" errorStyle="stop">
      <formula1>"Meat &amp; Poultry,Seafood,Dairy &amp; Eggs,Produce,Dry Goods,Frozen,Alcoholic Beverages,Non-Alcoholic Beverages,Paper &amp; Cleaning,Other"</formula1>
    </dataValidation>
    <dataValidation sqref="D9:D38" showDropDown="0" showInputMessage="1" showErrorMessage="1" allowBlank="1" errorTitle="Invalid unit" error="Choose a value from the list. This is the kit's single taxonomy: if each template uses different wording, the SUMIF formulas in the analysis sheets won't add up correctly." promptTitle="Invalid unit" prompt="REAL purchase unit: draft beer is by the keg, eggs by the dozen, and wine by the bottle (750 ml each)." type="list" errorStyle="stop">
      <formula1>"lb,oz,kg,gal,qt,L,each,dozen,case,tray,keg,bag,roll,pack,bottle,can"</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5"/>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16" customWidth="1" min="3" max="3"/>
    <col width="28" customWidth="1" min="4" max="4"/>
    <col width="16" customWidth="1" min="5" max="5"/>
    <col width="26" customWidth="1" min="6" max="6"/>
    <col width="12" customWidth="1" min="7" max="7"/>
    <col width="40" customWidth="1" min="8" max="8"/>
  </cols>
  <sheetData>
    <row r="1">
      <c r="A1" s="40" t="inlineStr">
        <is>
          <t>VENDORS</t>
        </is>
      </c>
    </row>
    <row r="2">
      <c r="A2" s="20" t="inlineStr">
        <is>
          <t>Set up your vendors here: the drop-down on the "Current Order" tab, and the phone number and order minimum in its header, all come from this table. The first six rows are an example: overwrite them with your own. THIS TABLE IS THE OPERATIONAL COPY of the Vendor Directory in file 02 (Vendor List, Price Comparison &amp; Scorecard): the kit's nine files are independent and deliberately not linked to each other (moving an .xlsx to another folder would break the link and you'd see #REF!), so if you change an order minimum or an order day there, change it here too: this is the one that actually feeds the order.</t>
        </is>
      </c>
    </row>
    <row r="3">
      <c r="A3" s="38" t="inlineStr">
        <is>
          <t>Vendor</t>
        </is>
      </c>
      <c r="B3" s="38" t="inlineStr">
        <is>
          <t>Main category</t>
        </is>
      </c>
      <c r="C3" s="38" t="inlineStr">
        <is>
          <t>Phone</t>
        </is>
      </c>
      <c r="D3" s="38" t="inlineStr">
        <is>
          <t>Email</t>
        </is>
      </c>
      <c r="E3" s="38" t="inlineStr">
        <is>
          <t>Order minimum</t>
        </is>
      </c>
      <c r="F3" s="38" t="inlineStr">
        <is>
          <t>Order day</t>
        </is>
      </c>
      <c r="G3" s="38" t="inlineStr">
        <is>
          <t>Lead time (days)</t>
        </is>
      </c>
      <c r="H3" s="38" t="inlineStr">
        <is>
          <t>Notes</t>
        </is>
      </c>
    </row>
    <row r="4">
      <c r="A4" s="24" t="inlineStr">
        <is>
          <t>Prime Cut Meats (sample)</t>
        </is>
      </c>
      <c r="B4" s="24" t="inlineStr">
        <is>
          <t>Meat &amp; Poultry</t>
        </is>
      </c>
      <c r="C4" s="24" t="inlineStr">
        <is>
          <t>(555) 555-0101</t>
        </is>
      </c>
      <c r="D4" s="24" t="inlineStr">
        <is>
          <t>orders@primecutmeats.example</t>
        </is>
      </c>
      <c r="E4" s="41" t="n">
        <v>300</v>
      </c>
      <c r="F4" s="24" t="inlineStr">
        <is>
          <t>Mon &amp; Thu by 12 p.m.</t>
        </is>
      </c>
      <c r="G4" s="42" t="n">
        <v>1</v>
      </c>
      <c r="H4" s="24" t="inlineStr">
        <is>
          <t>Require an invoice with lot numbers and arrival temperature</t>
        </is>
      </c>
    </row>
    <row r="5">
      <c r="A5" s="24" t="inlineStr">
        <is>
          <t>Harbor Fresh Seafood (sample)</t>
        </is>
      </c>
      <c r="B5" s="24" t="inlineStr">
        <is>
          <t>Seafood</t>
        </is>
      </c>
      <c r="C5" s="24" t="inlineStr">
        <is>
          <t>(555) 555-0103</t>
        </is>
      </c>
      <c r="D5" s="24" t="inlineStr">
        <is>
          <t>orders@harborfreshseafood.example</t>
        </is>
      </c>
      <c r="E5" s="41" t="n">
        <v>200</v>
      </c>
      <c r="F5" s="24" t="inlineStr">
        <is>
          <t>Daily by 5 p.m.</t>
        </is>
      </c>
      <c r="G5" s="42" t="n">
        <v>1</v>
      </c>
      <c r="H5" s="24" t="inlineStr">
        <is>
          <t>Arrives on ice; reject anything above 41 °F</t>
        </is>
      </c>
    </row>
    <row r="6">
      <c r="A6" s="24" t="inlineStr">
        <is>
          <t>Green Valley Produce (sample)</t>
        </is>
      </c>
      <c r="B6" s="24" t="inlineStr">
        <is>
          <t>Produce</t>
        </is>
      </c>
      <c r="C6" s="24" t="inlineStr">
        <is>
          <t>(555) 555-0105</t>
        </is>
      </c>
      <c r="D6" s="24" t="inlineStr">
        <is>
          <t>orders@greenvalleyproduce.example</t>
        </is>
      </c>
      <c r="E6" s="41" t="n">
        <v>150</v>
      </c>
      <c r="F6" s="24" t="inlineStr">
        <is>
          <t>Mon, Wed &amp; Fri by 6 p.m.</t>
        </is>
      </c>
      <c r="G6" s="42" t="n">
        <v>1</v>
      </c>
      <c r="H6" s="24" t="inlineStr">
        <is>
          <t>Seasonal produce: confirm prices every week</t>
        </is>
      </c>
    </row>
    <row r="7">
      <c r="A7" s="24" t="inlineStr">
        <is>
          <t>Pantry Foodservice Supply (sample)</t>
        </is>
      </c>
      <c r="B7" s="24" t="inlineStr">
        <is>
          <t>Dry Goods</t>
        </is>
      </c>
      <c r="C7" s="24" t="inlineStr">
        <is>
          <t>(555) 555-0106</t>
        </is>
      </c>
      <c r="D7" s="24" t="inlineStr">
        <is>
          <t>orders@pantryfoodservice.example</t>
        </is>
      </c>
      <c r="E7" s="41" t="n">
        <v>500</v>
      </c>
      <c r="F7" s="24" t="inlineStr">
        <is>
          <t>Tue by 2 p.m.</t>
        </is>
      </c>
      <c r="G7" s="42" t="n">
        <v>2</v>
      </c>
      <c r="H7" s="24" t="inlineStr">
        <is>
          <t>2% volume rebate on purchases over $2,000 a month</t>
        </is>
      </c>
    </row>
    <row r="8">
      <c r="A8" s="24" t="inlineStr">
        <is>
          <t>Metro Beverage Distributors (sample)</t>
        </is>
      </c>
      <c r="B8" s="24" t="inlineStr">
        <is>
          <t>Alcoholic Beverages</t>
        </is>
      </c>
      <c r="C8" s="24" t="inlineStr">
        <is>
          <t>(555) 555-0107</t>
        </is>
      </c>
      <c r="D8" s="24" t="inlineStr">
        <is>
          <t>orders@metrobeverage.example</t>
        </is>
      </c>
      <c r="E8" s="41" t="n">
        <v>250</v>
      </c>
      <c r="F8" s="24" t="inlineStr">
        <is>
          <t>Mon by 12 p.m.</t>
        </is>
      </c>
      <c r="G8" s="42" t="n">
        <v>2</v>
      </c>
      <c r="H8" s="24" t="inlineStr">
        <is>
          <t>Kegs and CO2 cylinders on loan: check the deposit on every invoice</t>
        </is>
      </c>
    </row>
    <row r="9">
      <c r="A9" s="24" t="inlineStr">
        <is>
          <t>ProClean Janitorial Supply (sample)</t>
        </is>
      </c>
      <c r="B9" s="24" t="inlineStr">
        <is>
          <t>Paper &amp; Cleaning</t>
        </is>
      </c>
      <c r="C9" s="24" t="inlineStr">
        <is>
          <t>(555) 555-0108</t>
        </is>
      </c>
      <c r="D9" s="24" t="inlineStr">
        <is>
          <t>orders@procleansupply.example</t>
        </is>
      </c>
      <c r="E9" s="41" t="n">
        <v>150</v>
      </c>
      <c r="F9" s="24" t="inlineStr">
        <is>
          <t>Wed by 4 p.m.</t>
        </is>
      </c>
      <c r="G9" s="42" t="n">
        <v>2</v>
      </c>
      <c r="H9" s="24" t="inlineStr">
        <is>
          <t>Ask for the Safety Data Sheet (SDS) of every product</t>
        </is>
      </c>
    </row>
    <row r="10">
      <c r="A10" s="24" t="n"/>
      <c r="B10" s="24" t="n"/>
      <c r="C10" s="24" t="n"/>
      <c r="D10" s="24" t="n"/>
      <c r="E10" s="41" t="n"/>
      <c r="F10" s="24" t="n"/>
      <c r="G10" s="42" t="n"/>
      <c r="H10" s="24" t="n"/>
    </row>
    <row r="11">
      <c r="A11" s="24" t="n"/>
      <c r="B11" s="24" t="n"/>
      <c r="C11" s="24" t="n"/>
      <c r="D11" s="24" t="n"/>
      <c r="E11" s="41" t="n"/>
      <c r="F11" s="24" t="n"/>
      <c r="G11" s="42" t="n"/>
      <c r="H11" s="24" t="n"/>
    </row>
    <row r="12">
      <c r="A12" s="24" t="n"/>
      <c r="B12" s="24" t="n"/>
      <c r="C12" s="24" t="n"/>
      <c r="D12" s="24" t="n"/>
      <c r="E12" s="41" t="n"/>
      <c r="F12" s="24" t="n"/>
      <c r="G12" s="42" t="n"/>
      <c r="H12" s="24" t="n"/>
    </row>
    <row r="13">
      <c r="A13" s="24" t="n"/>
      <c r="B13" s="24" t="n"/>
      <c r="C13" s="24" t="n"/>
      <c r="D13" s="24" t="n"/>
      <c r="E13" s="41" t="n"/>
      <c r="F13" s="24" t="n"/>
      <c r="G13" s="42" t="n"/>
      <c r="H13" s="24" t="n"/>
    </row>
    <row r="14">
      <c r="A14" s="24" t="n"/>
      <c r="B14" s="24" t="n"/>
      <c r="C14" s="24" t="n"/>
      <c r="D14" s="24" t="n"/>
      <c r="E14" s="41" t="n"/>
      <c r="F14" s="24" t="n"/>
      <c r="G14" s="42" t="n"/>
      <c r="H14" s="24" t="n"/>
    </row>
    <row r="15">
      <c r="A15" s="24" t="n"/>
      <c r="B15" s="24" t="n"/>
      <c r="C15" s="24" t="n"/>
      <c r="D15" s="24" t="n"/>
      <c r="E15" s="41" t="n"/>
      <c r="F15" s="24" t="n"/>
      <c r="G15" s="42" t="n"/>
      <c r="H15" s="24" t="n"/>
    </row>
    <row r="16">
      <c r="A16" s="24" t="n"/>
      <c r="B16" s="24" t="n"/>
      <c r="C16" s="24" t="n"/>
      <c r="D16" s="24" t="n"/>
      <c r="E16" s="41" t="n"/>
      <c r="F16" s="24" t="n"/>
      <c r="G16" s="42" t="n"/>
      <c r="H16" s="24" t="n"/>
    </row>
    <row r="17">
      <c r="A17" s="24" t="n"/>
      <c r="B17" s="24" t="n"/>
      <c r="C17" s="24" t="n"/>
      <c r="D17" s="24" t="n"/>
      <c r="E17" s="41" t="n"/>
      <c r="F17" s="24" t="n"/>
      <c r="G17" s="42" t="n"/>
      <c r="H17" s="24" t="n"/>
    </row>
    <row r="18">
      <c r="A18" s="24" t="n"/>
      <c r="B18" s="24" t="n"/>
      <c r="C18" s="24" t="n"/>
      <c r="D18" s="24" t="n"/>
      <c r="E18" s="41" t="n"/>
      <c r="F18" s="24" t="n"/>
      <c r="G18" s="42" t="n"/>
      <c r="H18" s="24" t="n"/>
    </row>
    <row r="19">
      <c r="A19" s="24" t="n"/>
      <c r="B19" s="24" t="n"/>
      <c r="C19" s="24" t="n"/>
      <c r="D19" s="24" t="n"/>
      <c r="E19" s="41" t="n"/>
      <c r="F19" s="24" t="n"/>
      <c r="G19" s="42" t="n"/>
      <c r="H19" s="24" t="n"/>
    </row>
    <row r="20">
      <c r="A20" s="24" t="n"/>
      <c r="B20" s="24" t="n"/>
      <c r="C20" s="24" t="n"/>
      <c r="D20" s="24" t="n"/>
      <c r="E20" s="41" t="n"/>
      <c r="F20" s="24" t="n"/>
      <c r="G20" s="42" t="n"/>
      <c r="H20" s="24" t="n"/>
    </row>
    <row r="21">
      <c r="A21" s="24" t="n"/>
      <c r="B21" s="24" t="n"/>
      <c r="C21" s="24" t="n"/>
      <c r="D21" s="24" t="n"/>
      <c r="E21" s="41" t="n"/>
      <c r="F21" s="24" t="n"/>
      <c r="G21" s="42" t="n"/>
      <c r="H21" s="24" t="n"/>
    </row>
    <row r="22">
      <c r="A22" s="24" t="n"/>
      <c r="B22" s="24" t="n"/>
      <c r="C22" s="24" t="n"/>
      <c r="D22" s="24" t="n"/>
      <c r="E22" s="41" t="n"/>
      <c r="F22" s="24" t="n"/>
      <c r="G22" s="42" t="n"/>
      <c r="H22" s="24" t="n"/>
    </row>
    <row r="23">
      <c r="A23" s="24" t="n"/>
      <c r="B23" s="24" t="n"/>
      <c r="C23" s="24" t="n"/>
      <c r="D23" s="24" t="n"/>
      <c r="E23" s="41" t="n"/>
      <c r="F23" s="24" t="n"/>
      <c r="G23" s="42" t="n"/>
      <c r="H23" s="24" t="n"/>
    </row>
    <row r="25">
      <c r="A25" s="20" t="inlineStr">
        <is>
          <t>The COMPLETE profile for each vendor (Tax ID, Food license / FDA reg. no., payment terms, approval status and price comparison) lives in file 02 of the kit (Vendor List, Price Comparison &amp; Scorecard). Here you only need what the order requires.</t>
        </is>
      </c>
    </row>
  </sheetData>
  <sheetProtection selectLockedCells="0" selectUnlockedCells="0" sheet="1" objects="0" insertRows="1" insertHyperlinks="1" autoFilter="0" scenarios="0" formatColumns="0" deleteColumns="1" insertColumns="1" pivotTables="1" deleteRows="1" formatCells="1" formatRows="0" sort="0"/>
  <mergeCells count="3">
    <mergeCell ref="A2:H2"/>
    <mergeCell ref="A25:H25"/>
    <mergeCell ref="A1:H1"/>
  </mergeCells>
  <dataValidations count="1">
    <dataValidation sqref="B4:B23" showDropDown="0" showInputMessage="1" showErrorMessage="1" allowBlank="1" errorTitle="Invalid category" error="Choose a value from the list. If each line uses different wording, the COUNTIF and SUMIF formulas in the analysis sheets won't add up correctly." promptTitle="Invalid category" prompt="The kit's 10 categories. They're the same across all 9 templates." type="list" errorStyle="stop">
      <formula1>"Meat &amp; Poultry,Seafood,Dairy &amp; Eggs,Produce,Dry Goods,Frozen,Alcoholic Beverages,Non-Alcoholic Beverages,Paper &amp; Cleaning,Other"</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45"/>
  <sheetViews>
    <sheetView workbookViewId="0">
      <pane ySplit="3" topLeftCell="A4" activePane="bottomLeft" state="frozen"/>
      <selection pane="bottomLeft" activeCell="A1" sqref="A1"/>
    </sheetView>
  </sheetViews>
  <sheetFormatPr baseColWidth="8" defaultRowHeight="15"/>
  <cols>
    <col width="13" customWidth="1" min="1" max="1"/>
    <col width="16" customWidth="1" min="2" max="2"/>
    <col width="26" customWidth="1" min="3" max="3"/>
    <col width="16" customWidth="1" min="4" max="4"/>
    <col width="14" customWidth="1" min="5" max="5"/>
    <col width="14" customWidth="1" min="6" max="6"/>
    <col width="14" customWidth="1" min="7" max="7"/>
    <col width="22" customWidth="1" min="8" max="8"/>
    <col width="34" customWidth="1" min="9" max="9"/>
  </cols>
  <sheetData>
    <row r="1">
      <c r="A1" s="40" t="inlineStr">
        <is>
          <t>ORDER LOG</t>
        </is>
      </c>
    </row>
    <row r="2">
      <c r="A2" s="20" t="inlineStr">
        <is>
          <t>Row 4 is LINKED to the current order. When you close it, copy that row and paste it as values into the first free row; then you can clear the order.</t>
        </is>
      </c>
    </row>
    <row r="3">
      <c r="A3" s="38" t="inlineStr">
        <is>
          <t>Date</t>
        </is>
      </c>
      <c r="B3" s="38" t="inlineStr">
        <is>
          <t>Order #</t>
        </is>
      </c>
      <c r="C3" s="38" t="inlineStr">
        <is>
          <t>Vendor</t>
        </is>
      </c>
      <c r="D3" s="38" t="inlineStr">
        <is>
          <t>Products</t>
        </is>
      </c>
      <c r="E3" s="38" t="inlineStr">
        <is>
          <t>Subtotal</t>
        </is>
      </c>
      <c r="F3" s="38" t="inlineStr">
        <is>
          <t>Tax</t>
        </is>
      </c>
      <c r="G3" s="38" t="inlineStr">
        <is>
          <t>Total</t>
        </is>
      </c>
      <c r="H3" s="38" t="inlineStr">
        <is>
          <t>Status</t>
        </is>
      </c>
      <c r="I3" s="38" t="inlineStr">
        <is>
          <t>Notes</t>
        </is>
      </c>
    </row>
    <row r="4">
      <c r="A4" s="51">
        <f>IF('Current Order'!$C$4="","",'Current Order'!$C$4)</f>
        <v>46252.0</v>
      </c>
      <c r="B4" s="44" t="str">
        <f>IF('Current Order'!$C$6="","",'Current Order'!$C$6)</f>
        <v>PO-2026-004</v>
      </c>
      <c r="C4" s="44" t="str">
        <f>IF('Current Order'!$C$3="","",'Current Order'!$C$3)</f>
        <v>Prime Cut Meats (sample)</v>
      </c>
      <c r="D4" s="44" t="str">
        <f>IF(COUNTIF('Current Order'!$B$9:$B$38,"&lt;&gt;")=0,"",COUNTIF('Current Order'!$B$9:$B$38,"&lt;&gt;")&amp;" lines")</f>
        <v>3 lines</v>
      </c>
      <c r="E4" s="45">
        <f>'Current Order'!$H$40</f>
        <v>346.24</v>
      </c>
      <c r="F4" s="45">
        <f>'Current Order'!$H$41</f>
        <v>0.0</v>
      </c>
      <c r="G4" s="45">
        <f>'Current Order'!$H$42</f>
        <v>346.24</v>
      </c>
      <c r="H4" s="24" t="n"/>
      <c r="I4" s="24" t="inlineStr">
        <is>
          <t>CURRENT ORDER — this row updates itself and does NOT add into the period total. Copy it as values into the first free row when you close the order.</t>
        </is>
      </c>
    </row>
    <row r="5">
      <c r="A5" s="52" t="n">
        <v>46223</v>
      </c>
      <c r="B5" s="24" t="inlineStr">
        <is>
          <t>PO-2026-001</t>
        </is>
      </c>
      <c r="C5" s="24" t="inlineStr">
        <is>
          <t>Prime Cut Meats (sample)</t>
        </is>
      </c>
      <c r="D5" s="24" t="inlineStr">
        <is>
          <t>6 lines</t>
        </is>
      </c>
      <c r="E5" s="41" t="n">
        <v>570.8200000000001</v>
      </c>
      <c r="F5" s="41" t="n">
        <v>0</v>
      </c>
      <c r="G5" s="41" t="n">
        <v>570.8200000000001</v>
      </c>
      <c r="H5" s="24" t="inlineStr">
        <is>
          <t>Invoiced</t>
        </is>
      </c>
      <c r="I5" s="24" t="inlineStr">
        <is>
          <t>No issues (sample)</t>
        </is>
      </c>
    </row>
    <row r="6">
      <c r="A6" s="52" t="n">
        <v>46237</v>
      </c>
      <c r="B6" s="24" t="inlineStr">
        <is>
          <t>PO-2026-002</t>
        </is>
      </c>
      <c r="C6" s="24" t="inlineStr">
        <is>
          <t>Metro Beverage Distributors (sample)</t>
        </is>
      </c>
      <c r="D6" s="24" t="inlineStr">
        <is>
          <t>4 lines</t>
        </is>
      </c>
      <c r="E6" s="41" t="n">
        <v>453.48</v>
      </c>
      <c r="F6" s="41" t="n">
        <v>0</v>
      </c>
      <c r="G6" s="41" t="n">
        <v>453.48</v>
      </c>
      <c r="H6" s="24" t="inlineStr">
        <is>
          <t>Received</t>
        </is>
      </c>
      <c r="I6" s="24" t="inlineStr">
        <is>
          <t>1/2 bbl keg on deposit (sample)</t>
        </is>
      </c>
    </row>
    <row r="7">
      <c r="A7" s="52" t="n">
        <v>46248</v>
      </c>
      <c r="B7" s="24" t="inlineStr">
        <is>
          <t>PO-2026-003</t>
        </is>
      </c>
      <c r="C7" s="24" t="inlineStr">
        <is>
          <t>Green Valley Produce (sample)</t>
        </is>
      </c>
      <c r="D7" s="24" t="inlineStr">
        <is>
          <t>9 lines</t>
        </is>
      </c>
      <c r="E7" s="41" t="n">
        <v>352.94</v>
      </c>
      <c r="F7" s="41" t="n">
        <v>0</v>
      </c>
      <c r="G7" s="41" t="n">
        <v>352.94</v>
      </c>
      <c r="H7" s="24" t="inlineStr">
        <is>
          <t>Received with issues</t>
        </is>
      </c>
      <c r="I7" s="24" t="inlineStr">
        <is>
          <t>Two cases of tomatoes pulled (sample)</t>
        </is>
      </c>
    </row>
    <row r="8">
      <c r="A8" s="52" t="n"/>
      <c r="B8" s="24" t="n"/>
      <c r="C8" s="24" t="n"/>
      <c r="D8" s="24" t="n"/>
      <c r="E8" s="41" t="n"/>
      <c r="F8" s="41" t="n"/>
      <c r="G8" s="41" t="n"/>
      <c r="H8" s="24" t="n"/>
      <c r="I8" s="24" t="n"/>
    </row>
    <row r="9">
      <c r="A9" s="52" t="n"/>
      <c r="B9" s="24" t="n"/>
      <c r="C9" s="24" t="n"/>
      <c r="D9" s="24" t="n"/>
      <c r="E9" s="41" t="n"/>
      <c r="F9" s="41" t="n"/>
      <c r="G9" s="41" t="n"/>
      <c r="H9" s="24" t="n"/>
      <c r="I9" s="24" t="n"/>
    </row>
    <row r="10">
      <c r="A10" s="52" t="n"/>
      <c r="B10" s="24" t="n"/>
      <c r="C10" s="24" t="n"/>
      <c r="D10" s="24" t="n"/>
      <c r="E10" s="41" t="n"/>
      <c r="F10" s="41" t="n"/>
      <c r="G10" s="41" t="n"/>
      <c r="H10" s="24" t="n"/>
      <c r="I10" s="24" t="n"/>
    </row>
    <row r="11">
      <c r="A11" s="52" t="n"/>
      <c r="B11" s="24" t="n"/>
      <c r="C11" s="24" t="n"/>
      <c r="D11" s="24" t="n"/>
      <c r="E11" s="41" t="n"/>
      <c r="F11" s="41" t="n"/>
      <c r="G11" s="41" t="n"/>
      <c r="H11" s="24" t="n"/>
      <c r="I11" s="24" t="n"/>
    </row>
    <row r="12">
      <c r="A12" s="52" t="n"/>
      <c r="B12" s="24" t="n"/>
      <c r="C12" s="24" t="n"/>
      <c r="D12" s="24" t="n"/>
      <c r="E12" s="41" t="n"/>
      <c r="F12" s="41" t="n"/>
      <c r="G12" s="41" t="n"/>
      <c r="H12" s="24" t="n"/>
      <c r="I12" s="24" t="n"/>
    </row>
    <row r="13">
      <c r="A13" s="52" t="n"/>
      <c r="B13" s="24" t="n"/>
      <c r="C13" s="24" t="n"/>
      <c r="D13" s="24" t="n"/>
      <c r="E13" s="41" t="n"/>
      <c r="F13" s="41" t="n"/>
      <c r="G13" s="41" t="n"/>
      <c r="H13" s="24" t="n"/>
      <c r="I13" s="24" t="n"/>
    </row>
    <row r="14">
      <c r="A14" s="52" t="n"/>
      <c r="B14" s="24" t="n"/>
      <c r="C14" s="24" t="n"/>
      <c r="D14" s="24" t="n"/>
      <c r="E14" s="41" t="n"/>
      <c r="F14" s="41" t="n"/>
      <c r="G14" s="41" t="n"/>
      <c r="H14" s="24" t="n"/>
      <c r="I14" s="24" t="n"/>
    </row>
    <row r="15">
      <c r="A15" s="52" t="n"/>
      <c r="B15" s="24" t="n"/>
      <c r="C15" s="24" t="n"/>
      <c r="D15" s="24" t="n"/>
      <c r="E15" s="41" t="n"/>
      <c r="F15" s="41" t="n"/>
      <c r="G15" s="41" t="n"/>
      <c r="H15" s="24" t="n"/>
      <c r="I15" s="24" t="n"/>
    </row>
    <row r="16">
      <c r="A16" s="52" t="n"/>
      <c r="B16" s="24" t="n"/>
      <c r="C16" s="24" t="n"/>
      <c r="D16" s="24" t="n"/>
      <c r="E16" s="41" t="n"/>
      <c r="F16" s="41" t="n"/>
      <c r="G16" s="41" t="n"/>
      <c r="H16" s="24" t="n"/>
      <c r="I16" s="24" t="n"/>
    </row>
    <row r="17">
      <c r="A17" s="52" t="n"/>
      <c r="B17" s="24" t="n"/>
      <c r="C17" s="24" t="n"/>
      <c r="D17" s="24" t="n"/>
      <c r="E17" s="41" t="n"/>
      <c r="F17" s="41" t="n"/>
      <c r="G17" s="41" t="n"/>
      <c r="H17" s="24" t="n"/>
      <c r="I17" s="24" t="n"/>
    </row>
    <row r="18">
      <c r="A18" s="52" t="n"/>
      <c r="B18" s="24" t="n"/>
      <c r="C18" s="24" t="n"/>
      <c r="D18" s="24" t="n"/>
      <c r="E18" s="41" t="n"/>
      <c r="F18" s="41" t="n"/>
      <c r="G18" s="41" t="n"/>
      <c r="H18" s="24" t="n"/>
      <c r="I18" s="24" t="n"/>
    </row>
    <row r="19">
      <c r="A19" s="52" t="n"/>
      <c r="B19" s="24" t="n"/>
      <c r="C19" s="24" t="n"/>
      <c r="D19" s="24" t="n"/>
      <c r="E19" s="41" t="n"/>
      <c r="F19" s="41" t="n"/>
      <c r="G19" s="41" t="n"/>
      <c r="H19" s="24" t="n"/>
      <c r="I19" s="24" t="n"/>
    </row>
    <row r="20">
      <c r="A20" s="52" t="n"/>
      <c r="B20" s="24" t="n"/>
      <c r="C20" s="24" t="n"/>
      <c r="D20" s="24" t="n"/>
      <c r="E20" s="41" t="n"/>
      <c r="F20" s="41" t="n"/>
      <c r="G20" s="41" t="n"/>
      <c r="H20" s="24" t="n"/>
      <c r="I20" s="24" t="n"/>
    </row>
    <row r="21">
      <c r="A21" s="52" t="n"/>
      <c r="B21" s="24" t="n"/>
      <c r="C21" s="24" t="n"/>
      <c r="D21" s="24" t="n"/>
      <c r="E21" s="41" t="n"/>
      <c r="F21" s="41" t="n"/>
      <c r="G21" s="41" t="n"/>
      <c r="H21" s="24" t="n"/>
      <c r="I21" s="24" t="n"/>
    </row>
    <row r="22">
      <c r="A22" s="52" t="n"/>
      <c r="B22" s="24" t="n"/>
      <c r="C22" s="24" t="n"/>
      <c r="D22" s="24" t="n"/>
      <c r="E22" s="41" t="n"/>
      <c r="F22" s="41" t="n"/>
      <c r="G22" s="41" t="n"/>
      <c r="H22" s="24" t="n"/>
      <c r="I22" s="24" t="n"/>
    </row>
    <row r="23">
      <c r="A23" s="52" t="n"/>
      <c r="B23" s="24" t="n"/>
      <c r="C23" s="24" t="n"/>
      <c r="D23" s="24" t="n"/>
      <c r="E23" s="41" t="n"/>
      <c r="F23" s="41" t="n"/>
      <c r="G23" s="41" t="n"/>
      <c r="H23" s="24" t="n"/>
      <c r="I23" s="24" t="n"/>
    </row>
    <row r="24">
      <c r="A24" s="52" t="n"/>
      <c r="B24" s="24" t="n"/>
      <c r="C24" s="24" t="n"/>
      <c r="D24" s="24" t="n"/>
      <c r="E24" s="41" t="n"/>
      <c r="F24" s="41" t="n"/>
      <c r="G24" s="41" t="n"/>
      <c r="H24" s="24" t="n"/>
      <c r="I24" s="24" t="n"/>
    </row>
    <row r="25">
      <c r="A25" s="52" t="n"/>
      <c r="B25" s="24" t="n"/>
      <c r="C25" s="24" t="n"/>
      <c r="D25" s="24" t="n"/>
      <c r="E25" s="41" t="n"/>
      <c r="F25" s="41" t="n"/>
      <c r="G25" s="41" t="n"/>
      <c r="H25" s="24" t="n"/>
      <c r="I25" s="24" t="n"/>
    </row>
    <row r="26">
      <c r="A26" s="52" t="n"/>
      <c r="B26" s="24" t="n"/>
      <c r="C26" s="24" t="n"/>
      <c r="D26" s="24" t="n"/>
      <c r="E26" s="41" t="n"/>
      <c r="F26" s="41" t="n"/>
      <c r="G26" s="41" t="n"/>
      <c r="H26" s="24" t="n"/>
      <c r="I26" s="24" t="n"/>
    </row>
    <row r="27">
      <c r="A27" s="52" t="n"/>
      <c r="B27" s="24" t="n"/>
      <c r="C27" s="24" t="n"/>
      <c r="D27" s="24" t="n"/>
      <c r="E27" s="41" t="n"/>
      <c r="F27" s="41" t="n"/>
      <c r="G27" s="41" t="n"/>
      <c r="H27" s="24" t="n"/>
      <c r="I27" s="24" t="n"/>
    </row>
    <row r="28">
      <c r="A28" s="52" t="n"/>
      <c r="B28" s="24" t="n"/>
      <c r="C28" s="24" t="n"/>
      <c r="D28" s="24" t="n"/>
      <c r="E28" s="41" t="n"/>
      <c r="F28" s="41" t="n"/>
      <c r="G28" s="41" t="n"/>
      <c r="H28" s="24" t="n"/>
      <c r="I28" s="24" t="n"/>
    </row>
    <row r="29">
      <c r="A29" s="52" t="n"/>
      <c r="B29" s="24" t="n"/>
      <c r="C29" s="24" t="n"/>
      <c r="D29" s="24" t="n"/>
      <c r="E29" s="41" t="n"/>
      <c r="F29" s="41" t="n"/>
      <c r="G29" s="41" t="n"/>
      <c r="H29" s="24" t="n"/>
      <c r="I29" s="24" t="n"/>
    </row>
    <row r="30">
      <c r="A30" s="52" t="n"/>
      <c r="B30" s="24" t="n"/>
      <c r="C30" s="24" t="n"/>
      <c r="D30" s="24" t="n"/>
      <c r="E30" s="41" t="n"/>
      <c r="F30" s="41" t="n"/>
      <c r="G30" s="41" t="n"/>
      <c r="H30" s="24" t="n"/>
      <c r="I30" s="24" t="n"/>
    </row>
    <row r="31">
      <c r="A31" s="52" t="n"/>
      <c r="B31" s="24" t="n"/>
      <c r="C31" s="24" t="n"/>
      <c r="D31" s="24" t="n"/>
      <c r="E31" s="41" t="n"/>
      <c r="F31" s="41" t="n"/>
      <c r="G31" s="41" t="n"/>
      <c r="H31" s="24" t="n"/>
      <c r="I31" s="24" t="n"/>
    </row>
    <row r="32">
      <c r="A32" s="52" t="n"/>
      <c r="B32" s="24" t="n"/>
      <c r="C32" s="24" t="n"/>
      <c r="D32" s="24" t="n"/>
      <c r="E32" s="41" t="n"/>
      <c r="F32" s="41" t="n"/>
      <c r="G32" s="41" t="n"/>
      <c r="H32" s="24" t="n"/>
      <c r="I32" s="24" t="n"/>
    </row>
    <row r="33">
      <c r="A33" s="52" t="n"/>
      <c r="B33" s="24" t="n"/>
      <c r="C33" s="24" t="n"/>
      <c r="D33" s="24" t="n"/>
      <c r="E33" s="41" t="n"/>
      <c r="F33" s="41" t="n"/>
      <c r="G33" s="41" t="n"/>
      <c r="H33" s="24" t="n"/>
      <c r="I33" s="24" t="n"/>
    </row>
    <row r="34">
      <c r="A34" s="52" t="n"/>
      <c r="B34" s="24" t="n"/>
      <c r="C34" s="24" t="n"/>
      <c r="D34" s="24" t="n"/>
      <c r="E34" s="41" t="n"/>
      <c r="F34" s="41" t="n"/>
      <c r="G34" s="41" t="n"/>
      <c r="H34" s="24" t="n"/>
      <c r="I34" s="24" t="n"/>
    </row>
    <row r="35">
      <c r="A35" s="52" t="n"/>
      <c r="B35" s="24" t="n"/>
      <c r="C35" s="24" t="n"/>
      <c r="D35" s="24" t="n"/>
      <c r="E35" s="41" t="n"/>
      <c r="F35" s="41" t="n"/>
      <c r="G35" s="41" t="n"/>
      <c r="H35" s="24" t="n"/>
      <c r="I35" s="24" t="n"/>
    </row>
    <row r="36">
      <c r="A36" s="52" t="n"/>
      <c r="B36" s="24" t="n"/>
      <c r="C36" s="24" t="n"/>
      <c r="D36" s="24" t="n"/>
      <c r="E36" s="41" t="n"/>
      <c r="F36" s="41" t="n"/>
      <c r="G36" s="41" t="n"/>
      <c r="H36" s="24" t="n"/>
      <c r="I36" s="24" t="n"/>
    </row>
    <row r="37">
      <c r="A37" s="52" t="n"/>
      <c r="B37" s="24" t="n"/>
      <c r="C37" s="24" t="n"/>
      <c r="D37" s="24" t="n"/>
      <c r="E37" s="41" t="n"/>
      <c r="F37" s="41" t="n"/>
      <c r="G37" s="41" t="n"/>
      <c r="H37" s="24" t="n"/>
      <c r="I37" s="24" t="n"/>
    </row>
    <row r="38">
      <c r="A38" s="52" t="n"/>
      <c r="B38" s="24" t="n"/>
      <c r="C38" s="24" t="n"/>
      <c r="D38" s="24" t="n"/>
      <c r="E38" s="41" t="n"/>
      <c r="F38" s="41" t="n"/>
      <c r="G38" s="41" t="n"/>
      <c r="H38" s="24" t="n"/>
      <c r="I38" s="24" t="n"/>
    </row>
    <row r="39">
      <c r="A39" s="52" t="n"/>
      <c r="B39" s="24" t="n"/>
      <c r="C39" s="24" t="n"/>
      <c r="D39" s="24" t="n"/>
      <c r="E39" s="41" t="n"/>
      <c r="F39" s="41" t="n"/>
      <c r="G39" s="41" t="n"/>
      <c r="H39" s="24" t="n"/>
      <c r="I39" s="24" t="n"/>
    </row>
    <row r="40">
      <c r="A40" s="52" t="n"/>
      <c r="B40" s="24" t="n"/>
      <c r="C40" s="24" t="n"/>
      <c r="D40" s="24" t="n"/>
      <c r="E40" s="41" t="n"/>
      <c r="F40" s="41" t="n"/>
      <c r="G40" s="41" t="n"/>
      <c r="H40" s="24" t="n"/>
      <c r="I40" s="24" t="n"/>
    </row>
    <row r="41">
      <c r="A41" s="52" t="n"/>
      <c r="B41" s="24" t="n"/>
      <c r="C41" s="24" t="n"/>
      <c r="D41" s="24" t="n"/>
      <c r="E41" s="41" t="n"/>
      <c r="F41" s="41" t="n"/>
      <c r="G41" s="41" t="n"/>
      <c r="H41" s="24" t="n"/>
      <c r="I41" s="24" t="n"/>
    </row>
    <row r="42">
      <c r="A42" s="52" t="n"/>
      <c r="B42" s="24" t="n"/>
      <c r="C42" s="24" t="n"/>
      <c r="D42" s="24" t="n"/>
      <c r="E42" s="41" t="n"/>
      <c r="F42" s="41" t="n"/>
      <c r="G42" s="41" t="n"/>
      <c r="H42" s="24" t="n"/>
      <c r="I42" s="24" t="n"/>
    </row>
    <row r="43">
      <c r="A43" s="52" t="n"/>
      <c r="B43" s="24" t="n"/>
      <c r="C43" s="24" t="n"/>
      <c r="D43" s="24" t="n"/>
      <c r="E43" s="41" t="n"/>
      <c r="F43" s="41" t="n"/>
      <c r="G43" s="41" t="n"/>
      <c r="H43" s="24" t="n"/>
      <c r="I43" s="24" t="n"/>
    </row>
    <row r="45">
      <c r="D45" s="47" t="inlineStr">
        <is>
          <t>PERIOD TOTAL (rows 5 to 43)</t>
        </is>
      </c>
      <c r="E45" s="48">
        <f>SUM($E$5:$E$43)</f>
        <v>1377.2400000000002</v>
      </c>
      <c r="F45" s="48">
        <f>SUM($F$5:$F$43)</f>
        <v>0.0</v>
      </c>
      <c r="G45" s="48">
        <f>SUM($G$5:$G$43)</f>
        <v>1377.2400000000002</v>
      </c>
    </row>
  </sheetData>
  <sheetProtection selectLockedCells="0" selectUnlockedCells="0" sheet="1" objects="0" insertRows="1" insertHyperlinks="1" autoFilter="0" scenarios="0" formatColumns="0" deleteColumns="1" insertColumns="1" pivotTables="1" deleteRows="1" formatCells="1" formatRows="0" sort="0"/>
  <mergeCells count="2">
    <mergeCell ref="A2:I2"/>
    <mergeCell ref="A1:I1"/>
  </mergeCells>
  <dataValidations count="1">
    <dataValidation sqref="H4:H43" showDropDown="0" showInputMessage="1" showErrorMessage="1" allowBlank="1" errorTitle="Invalid status" error="Choose a value from the list. If each line uses different wording, the COUNTIF and SUMIF formulas in the analysis sheets won't add up correctly." promptTitle="Invalid status" prompt="Order status. Tells you at a glance what's still pending receipt and what's still pending invoice." type="list" errorStyle="stop">
      <formula1>"Draft,Sent,Confirmed,Received,Received with issues,Invoiced"</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70" customWidth="1" min="3" max="3"/>
    <col width="30" customWidth="1" min="5" max="5"/>
    <col width="10" customWidth="1" min="6" max="6"/>
    <col width="62" customWidth="1" min="7" max="7"/>
  </cols>
  <sheetData>
    <row r="1">
      <c r="A1" s="49" t="inlineStr">
        <is>
          <t>Category</t>
        </is>
      </c>
      <c r="B1" s="49" t="inlineStr">
        <is>
          <t>Tax %</t>
        </is>
      </c>
      <c r="C1" s="49" t="inlineStr">
        <is>
          <t>Note</t>
        </is>
      </c>
      <c r="E1" s="49" t="inlineStr">
        <is>
          <t>Product</t>
        </is>
      </c>
      <c r="F1" s="49" t="inlineStr">
        <is>
          <t>Tax %</t>
        </is>
      </c>
      <c r="G1" s="49" t="inlineStr">
        <is>
          <t>Why it's not its category's rate</t>
        </is>
      </c>
    </row>
    <row r="2">
      <c r="A2" t="inlineStr">
        <is>
          <t>Meat &amp; Poultry</t>
        </is>
      </c>
      <c r="B2" s="42" t="n">
        <v>0</v>
      </c>
      <c r="C2" s="19" t="inlineStr">
        <is>
          <t>Default rate by category: type the rate you actually pay for each one. On every order line, you can override the rate for that line by typing your own.</t>
        </is>
      </c>
      <c r="E2" s="24" t="n"/>
      <c r="F2" s="42" t="n"/>
      <c r="G2" s="19" t="inlineStr">
        <is>
          <t>EXCEPTIONS by product. The order looks up the PRODUCT NAME in this table FIRST, and only falls back to its category's rate if it's not found. This table ships empty: add your own exceptions here whenever a specific product — say, a "Dairy &amp; Eggs" or "Dry Goods" item — is taxed differently than the rest of its category. Type the EXACT name you use on the order.</t>
        </is>
      </c>
    </row>
    <row r="3">
      <c r="A3" t="inlineStr">
        <is>
          <t>Seafood</t>
        </is>
      </c>
      <c r="B3" s="42" t="n">
        <v>0</v>
      </c>
      <c r="E3" s="24" t="n"/>
      <c r="F3" s="42" t="n"/>
    </row>
    <row r="4">
      <c r="A4" t="inlineStr">
        <is>
          <t>Dairy &amp; Eggs</t>
        </is>
      </c>
      <c r="B4" s="42" t="n">
        <v>0</v>
      </c>
      <c r="E4" s="24" t="n"/>
      <c r="F4" s="42" t="n"/>
    </row>
    <row r="5">
      <c r="A5" t="inlineStr">
        <is>
          <t>Produce</t>
        </is>
      </c>
      <c r="B5" s="42" t="n">
        <v>0</v>
      </c>
      <c r="E5" s="24" t="n"/>
      <c r="F5" s="42" t="n"/>
    </row>
    <row r="6">
      <c r="A6" t="inlineStr">
        <is>
          <t>Dry Goods</t>
        </is>
      </c>
      <c r="B6" s="42" t="n">
        <v>0</v>
      </c>
      <c r="E6" s="24" t="n"/>
      <c r="F6" s="42" t="n"/>
    </row>
    <row r="7">
      <c r="A7" t="inlineStr">
        <is>
          <t>Frozen</t>
        </is>
      </c>
      <c r="B7" s="42" t="n">
        <v>0</v>
      </c>
      <c r="E7" s="24" t="n"/>
      <c r="F7" s="42" t="n"/>
    </row>
    <row r="8">
      <c r="A8" t="inlineStr">
        <is>
          <t>Alcoholic Beverages</t>
        </is>
      </c>
      <c r="B8" s="42" t="n">
        <v>0</v>
      </c>
      <c r="E8" s="24" t="n"/>
      <c r="F8" s="42" t="n"/>
    </row>
    <row r="9">
      <c r="A9" t="inlineStr">
        <is>
          <t>Non-Alcoholic Beverages</t>
        </is>
      </c>
      <c r="B9" s="42" t="n">
        <v>0</v>
      </c>
      <c r="E9" s="24" t="n"/>
      <c r="F9" s="42" t="n"/>
    </row>
    <row r="10">
      <c r="A10" t="inlineStr">
        <is>
          <t>Paper &amp; Cleaning</t>
        </is>
      </c>
      <c r="B10" s="42" t="n">
        <v>0</v>
      </c>
      <c r="E10" s="24" t="n"/>
      <c r="F10" s="42" t="n"/>
    </row>
    <row r="11">
      <c r="A11" t="inlineStr">
        <is>
          <t>Other</t>
        </is>
      </c>
      <c r="B11" s="42" t="n">
        <v>0</v>
      </c>
    </row>
  </sheetData>
  <sheetProtection selectLockedCells="0" selectUnlockedCells="0" sheet="1" objects="0" insertRows="1" insertHyperlinks="1" autoFilter="0" scenarios="0" formatColumns="0" deleteColumns="1" insertColumns="1" pivotTables="1" deleteRows="1" formatCells="1" formatRows="0" sort="0"/>
  <mergeCells count="2">
    <mergeCell ref="G2:G10"/>
    <mergeCell ref="C2:C11"/>
  </mergeCell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Purchase Order Template &amp; Order Log</dc:title>
  <dc:description xmlns:dc="http://purl.org/dc/elements/1.1/">aichef.pro/en/digital-products/restaurant-inventory-templates</dc:description>
  <dc:subject xmlns:dc="http://purl.org/dc/elements/1.1/">Restaurant Inventory Kit Pro · v2.0</dc:subject>
  <dcterms:created xmlns:dcterms="http://purl.org/dc/terms/" xmlns:xsi="http://www.w3.org/2001/XMLSchema-instance" xsi:type="dcterms:W3CDTF">2026-04-05T09:47:45Z</dcterms:created>
  <dcterms:modified xmlns:dcterms="http://purl.org/dc/terms/" xmlns:xsi="http://www.w3.org/2001/XMLSchema-instance" xsi:type="dcterms:W3CDTF">2026-09-25T19:48:22Z</dcterms:modified>
  <cp:lastModifiedBy>AI Chef Pro</cp:lastModifiedBy>
  <cp:category>AI Chef Pro · Digital products</cp:category>
  <cp:keywords>restaurant inventory template, par sheet, AI Chef Pro</cp:keywords>
</cp:coreProperties>
</file>