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ick Count" sheetId="2" state="visible" r:id="rId2"/>
  </sheets>
  <definedNames>
    <definedName name="_xlnm.Print_Titles" localSheetId="1">'Quick Count'!$4:$4</definedName>
    <definedName name="_xlnm.Print_Area" localSheetId="1">'Quick Count'!$A$1:$L$86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10">
    <font>
      <name val="Calibri"/>
      <family val="2"/>
      <color theme="1"/>
      <sz val="11"/>
      <scheme val="minor"/>
    </font>
    <font>
      <b val="1"/>
      <color rgb="00FFD700"/>
      <sz val="16"/>
    </font>
    <font>
      <color rgb="00888888"/>
      <sz val="10"/>
    </font>
    <font>
      <sz val="10"/>
    </font>
    <font>
      <b val="1"/>
      <color rgb="00FFD700"/>
      <sz val="14"/>
    </font>
    <font>
      <color rgb="00666666"/>
      <sz val="10"/>
    </font>
    <font>
      <b val="1"/>
      <color rgb="00FFFFFF"/>
      <sz val="10"/>
    </font>
    <font>
      <b val="1"/>
      <sz val="12"/>
    </font>
    <font>
      <b val="1"/>
      <color rgb="00FFD700"/>
      <sz val="12"/>
    </font>
    <font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4" fontId="3" fillId="3" borderId="1" applyAlignment="1" pivotButton="0" quotePrefix="0" xfId="0">
      <alignment vertical="center" wrapText="1"/>
    </xf>
    <xf numFmtId="0" fontId="7" fillId="0" borderId="0" pivotButton="0" quotePrefix="0" xfId="0"/>
    <xf numFmtId="4" fontId="8" fillId="0" borderId="0" pivotButton="0" quotePrefix="0" xfId="0"/>
    <xf numFmtId="0" fontId="3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center"/>
    </xf>
    <xf numFmtId="0" fontId="3" fillId="4" borderId="1" applyAlignment="1" applyProtection="1" pivotButton="0" quotePrefix="0" xfId="0">
      <alignment vertical="center" wrapText="1"/>
      <protection locked="0" hidden="0"/>
    </xf>
    <xf numFmtId="164" fontId="3" fillId="4" borderId="1" applyAlignment="1" applyProtection="1" pivotButton="0" quotePrefix="0" xfId="0">
      <alignment vertical="center" wrapText="1"/>
      <protection locked="0" hidden="0"/>
    </xf>
    <xf numFmtId="164" fontId="3" fillId="0" borderId="1" applyAlignment="1" pivotButton="0" quotePrefix="0" xfId="0">
      <alignment vertical="center" wrapText="1"/>
    </xf>
    <xf numFmtId="4" fontId="3" fillId="4" borderId="1" applyAlignment="1" applyProtection="1" pivotButton="0" quotePrefix="0" xfId="0">
      <alignment vertical="center" wrapText="1"/>
      <protection locked="0" hidden="0"/>
    </xf>
    <xf numFmtId="4" fontId="0" fillId="0" borderId="0" pivotButton="0" quotePrefix="0" xfId="0"/>
    <xf numFmtId="165" fontId="0" fillId="0" borderId="0" pivotButton="0" quotePrefix="0" xfId="0"/>
    <xf numFmtId="164" fontId="3" fillId="3" borderId="1" applyAlignment="1" pivotButton="0" quotePrefix="0" xfId="0">
      <alignment vertical="center" wrapText="1"/>
    </xf>
    <xf numFmtId="164" fontId="8" fillId="0" borderId="0" pivotButton="0" quotePrefix="0" xfId="0"/>
  </cellXfs>
  <cellStyles count="1">
    <cellStyle name="Normal" xfId="0" builtinId="0" hidden="0"/>
  </cellStyles>
  <dxfs count="1">
    <dxf>
      <font>
        <b val="1"/>
        <color rgb="009C65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A1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BONUS: Month-End Inventory Count</t>
        </is>
      </c>
    </row>
    <row r="2">
      <c r="A2" s="2" t="inlineStr">
        <is>
          <t>AI Chef Pro — aichef.pro</t>
        </is>
      </c>
    </row>
    <row r="3">
      <c r="A3" s="3" t="n"/>
    </row>
    <row r="4">
      <c r="A4" s="4" t="inlineStr">
        <is>
          <t>A simplified sheet for the full month-end inventory count. It carries the same 50 products, categories, units and reference prices as template 01 (Kitchen &amp; Bar Inventory Sheet with Par Levels), so the two inventories speak the same language.</t>
        </is>
      </c>
    </row>
    <row r="5">
      <c r="A5" s="4" t="n"/>
    </row>
    <row r="6">
      <c r="A6" s="4" t="inlineStr">
        <is>
          <t>HOW TO USE:</t>
        </is>
      </c>
    </row>
    <row r="7">
      <c r="A7" s="4" t="inlineStr">
        <is>
          <t>1. Print it and walk the storeroom counting. Enter what you count in Current Stock.</t>
        </is>
      </c>
    </row>
    <row r="8">
      <c r="A8" s="4" t="inlineStr">
        <is>
          <t>2. Check the Price/unit for each line: it's what values your stock. If it's missing, the row warns you instead of valuing it at zero.</t>
        </is>
      </c>
    </row>
    <row r="9">
      <c r="A9" s="4" t="inlineStr">
        <is>
          <t>3. Copy Prior Month Stock from last month's count and enter this month's purchases in units.</t>
        </is>
      </c>
    </row>
    <row r="10">
      <c r="A10" s="4" t="inlineStr">
        <is>
          <t>4. The month's usage calculates itself: prior stock + purchases - current stock. It's the figure real food cost is calculated from, not just a snapshot of stock. If you skip the purchases, the cell says "missing purchases" instead of giving you the plain stock drop: that would be a plausible, wrong number, and the hardest kind to catch.</t>
        </is>
      </c>
    </row>
    <row r="11">
      <c r="A11" s="4" t="inlineStr">
        <is>
          <t>5. The variance and % variance compare against the prior month; amber flags deviations over 20%, which are the ones worth explaining. Until you've counted the line, the % stays BLANK: a line you haven't counted isn't a 100% drop.</t>
        </is>
      </c>
    </row>
    <row r="13">
      <c r="A13" s="4" t="inlineStr">
        <is>
          <t>- Usage and variance are in each product's own unit: don't add them together, you'd be mixing pounds with gallons. The dollar total is the Value column.</t>
        </is>
      </c>
    </row>
    <row r="14">
      <c r="A14" s="4" t="inlineStr">
        <is>
          <t>- There are free rows down to row 84.</t>
        </is>
      </c>
    </row>
    <row r="16">
      <c r="A16" s="14" t="inlineStr">
        <is>
          <t>To edit a locked cell: Review → Unprotect Sheet (no password). Green cells are already editable without unprotecting anything.</t>
        </is>
      </c>
    </row>
    <row r="17">
      <c r="A17" s="14" t="inlineStr">
        <is>
          <t>Designed by John Guerrero — chef and restaurant consultant since 2010, in professional kitchens since age 17 · johnguerrero.es</t>
        </is>
      </c>
    </row>
    <row r="18">
      <c r="A18" s="14" t="inlineStr">
        <is>
          <t>Version 2.0 · September 2026 · aichef.pro/en/digital-products/restaurant-inventory-templates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L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0" customWidth="1" min="4" max="4"/>
    <col width="14" customWidth="1" min="5" max="5"/>
    <col width="13" customWidth="1" min="6" max="6"/>
    <col width="14" customWidth="1" min="7" max="7"/>
    <col width="17" customWidth="1" min="8" max="8"/>
    <col width="17" customWidth="1" min="9" max="9"/>
    <col width="18" customWidth="1" min="10" max="10"/>
    <col width="14" customWidth="1" min="11" max="11"/>
    <col width="12" customWidth="1" min="12" max="12"/>
  </cols>
  <sheetData>
    <row r="1">
      <c r="A1" s="5" t="inlineStr">
        <is>
          <t>MONTH-END INVENTORY COUNT</t>
        </is>
      </c>
    </row>
    <row r="2">
      <c r="A2" s="6" t="inlineStr">
        <is>
          <t>Month: ________________    Date: ___/___/______    Counted by: ________________</t>
        </is>
      </c>
    </row>
    <row r="3">
      <c r="A3" s="15" t="inlineStr">
        <is>
          <t>Sample data; illustrative pre-tax prices — replace them with your own. Category and Unit have a drop-down. These are the same 50 products from template 01 (Kitchen &amp; Bar Inventory Sheet with Par Levels).</t>
        </is>
      </c>
    </row>
    <row r="4">
      <c r="A4" s="7" t="inlineStr">
        <is>
          <t>#</t>
        </is>
      </c>
      <c r="B4" s="7" t="inlineStr">
        <is>
          <t>Product</t>
        </is>
      </c>
      <c r="C4" s="7" t="inlineStr">
        <is>
          <t>Category</t>
        </is>
      </c>
      <c r="D4" s="7" t="inlineStr">
        <is>
          <t>Unit</t>
        </is>
      </c>
      <c r="E4" s="7" t="inlineStr">
        <is>
          <t>Price/unit</t>
        </is>
      </c>
      <c r="F4" s="7" t="inlineStr">
        <is>
          <t>Current Stock</t>
        </is>
      </c>
      <c r="G4" s="7" t="inlineStr">
        <is>
          <t>Value</t>
        </is>
      </c>
      <c r="H4" s="7" t="inlineStr">
        <is>
          <t>Prior Month Stock</t>
        </is>
      </c>
      <c r="I4" s="7" t="inlineStr">
        <is>
          <t>Month's purchases (units)</t>
        </is>
      </c>
      <c r="J4" s="7" t="inlineStr">
        <is>
          <t>Month's usage (units)</t>
        </is>
      </c>
      <c r="K4" s="7" t="inlineStr">
        <is>
          <t>Variance (units)</t>
        </is>
      </c>
      <c r="L4" s="7" t="inlineStr">
        <is>
          <t>% Variance</t>
        </is>
      </c>
    </row>
    <row r="5">
      <c r="A5" s="8" t="n">
        <v>1</v>
      </c>
      <c r="B5" s="16" t="inlineStr">
        <is>
          <t>Boneless chicken breast</t>
        </is>
      </c>
      <c r="C5" s="16" t="inlineStr">
        <is>
          <t>Meat &amp; Poultry</t>
        </is>
      </c>
      <c r="D5" s="16" t="inlineStr">
        <is>
          <t>lb</t>
        </is>
      </c>
      <c r="E5" s="17" t="n">
        <v>3.1</v>
      </c>
      <c r="F5" s="16" t="n"/>
      <c r="G5" s="18">
        <f>IF($F5="","",IF($E5="","⚠ missing cost",$F5*$E5))</f>
        <v/>
      </c>
      <c r="H5" s="16" t="n"/>
      <c r="I5" s="19" t="n"/>
      <c r="J5" s="20">
        <f>IF(OR($F5="",$H5=""),"",IF($I5="","⚠ missing purchases",$H5+$I5-$F5))</f>
        <v/>
      </c>
      <c r="K5" s="20">
        <f>IF(OR($F5="",$H5=""),"",$F5-$H5)</f>
        <v/>
      </c>
      <c r="L5" s="21">
        <f>IF(OR($F5="",$H5="",$H5=0),"",$F5/$H5-1)</f>
        <v/>
      </c>
    </row>
    <row r="6">
      <c r="A6" s="10" t="n">
        <v>2</v>
      </c>
      <c r="B6" s="16" t="inlineStr">
        <is>
          <t>Beef tenderloin (PSMO)</t>
        </is>
      </c>
      <c r="C6" s="16" t="inlineStr">
        <is>
          <t>Meat &amp; Poultry</t>
        </is>
      </c>
      <c r="D6" s="16" t="inlineStr">
        <is>
          <t>lb</t>
        </is>
      </c>
      <c r="E6" s="17" t="n">
        <v>17.21</v>
      </c>
      <c r="F6" s="16" t="n"/>
      <c r="G6" s="22">
        <f>IF($F6="","",IF($E6="","⚠ missing cost",$F6*$E6))</f>
        <v/>
      </c>
      <c r="H6" s="16" t="n"/>
      <c r="I6" s="19" t="n"/>
      <c r="J6" s="20">
        <f>IF(OR($F6="",$H6=""),"",IF($I6="","⚠ missing purchases",$H6+$I6-$F6))</f>
        <v/>
      </c>
      <c r="K6" s="20">
        <f>IF(OR($F6="",$H6=""),"",$F6-$H6)</f>
        <v/>
      </c>
      <c r="L6" s="21">
        <f>IF(OR($F6="",$H6="",$H6=0),"",$F6/$H6-1)</f>
        <v/>
      </c>
    </row>
    <row r="7">
      <c r="A7" s="8" t="n">
        <v>3</v>
      </c>
      <c r="B7" s="16" t="inlineStr">
        <is>
          <t>Fresh salmon fillet</t>
        </is>
      </c>
      <c r="C7" s="16" t="inlineStr">
        <is>
          <t>Seafood</t>
        </is>
      </c>
      <c r="D7" s="16" t="inlineStr">
        <is>
          <t>lb</t>
        </is>
      </c>
      <c r="E7" s="17" t="n">
        <v>9.949999999999999</v>
      </c>
      <c r="F7" s="16" t="n"/>
      <c r="G7" s="18">
        <f>IF($F7="","",IF($E7="","⚠ missing cost",$F7*$E7))</f>
        <v/>
      </c>
      <c r="H7" s="16" t="n"/>
      <c r="I7" s="19" t="n"/>
      <c r="J7" s="20">
        <f>IF(OR($F7="",$H7=""),"",IF($I7="","⚠ missing purchases",$H7+$I7-$F7))</f>
        <v/>
      </c>
      <c r="K7" s="20">
        <f>IF(OR($F7="",$H7=""),"",$F7-$H7)</f>
        <v/>
      </c>
      <c r="L7" s="21">
        <f>IF(OR($F7="",$H7="",$H7=0),"",$F7/$H7-1)</f>
        <v/>
      </c>
    </row>
    <row r="8">
      <c r="A8" s="10" t="n">
        <v>4</v>
      </c>
      <c r="B8" s="16" t="inlineStr">
        <is>
          <t>Shrimp 16/20</t>
        </is>
      </c>
      <c r="C8" s="16" t="inlineStr">
        <is>
          <t>Seafood</t>
        </is>
      </c>
      <c r="D8" s="16" t="inlineStr">
        <is>
          <t>lb</t>
        </is>
      </c>
      <c r="E8" s="17" t="n">
        <v>8.99</v>
      </c>
      <c r="F8" s="16" t="n"/>
      <c r="G8" s="22">
        <f>IF($F8="","",IF($E8="","⚠ missing cost",$F8*$E8))</f>
        <v/>
      </c>
      <c r="H8" s="16" t="n"/>
      <c r="I8" s="19" t="n"/>
      <c r="J8" s="20">
        <f>IF(OR($F8="",$H8=""),"",IF($I8="","⚠ missing purchases",$H8+$I8-$F8))</f>
        <v/>
      </c>
      <c r="K8" s="20">
        <f>IF(OR($F8="",$H8=""),"",$F8-$H8)</f>
        <v/>
      </c>
      <c r="L8" s="21">
        <f>IF(OR($F8="",$H8="",$H8=0),"",$F8/$H8-1)</f>
        <v/>
      </c>
    </row>
    <row r="9">
      <c r="A9" s="8" t="n">
        <v>5</v>
      </c>
      <c r="B9" s="16" t="inlineStr">
        <is>
          <t>Tomatoes</t>
        </is>
      </c>
      <c r="C9" s="16" t="inlineStr">
        <is>
          <t>Produce</t>
        </is>
      </c>
      <c r="D9" s="16" t="inlineStr">
        <is>
          <t>lb</t>
        </is>
      </c>
      <c r="E9" s="17" t="n">
        <v>1.98</v>
      </c>
      <c r="F9" s="16" t="n"/>
      <c r="G9" s="18">
        <f>IF($F9="","",IF($E9="","⚠ missing cost",$F9*$E9))</f>
        <v/>
      </c>
      <c r="H9" s="16" t="n"/>
      <c r="I9" s="19" t="n"/>
      <c r="J9" s="20">
        <f>IF(OR($F9="",$H9=""),"",IF($I9="","⚠ missing purchases",$H9+$I9-$F9))</f>
        <v/>
      </c>
      <c r="K9" s="20">
        <f>IF(OR($F9="",$H9=""),"",$F9-$H9)</f>
        <v/>
      </c>
      <c r="L9" s="21">
        <f>IF(OR($F9="",$H9="",$H9=0),"",$F9/$H9-1)</f>
        <v/>
      </c>
    </row>
    <row r="10">
      <c r="A10" s="10" t="n">
        <v>6</v>
      </c>
      <c r="B10" s="16" t="inlineStr">
        <is>
          <t>Yellow onions</t>
        </is>
      </c>
      <c r="C10" s="16" t="inlineStr">
        <is>
          <t>Produce</t>
        </is>
      </c>
      <c r="D10" s="16" t="inlineStr">
        <is>
          <t>lb</t>
        </is>
      </c>
      <c r="E10" s="17" t="n">
        <v>1.22</v>
      </c>
      <c r="F10" s="16" t="n"/>
      <c r="G10" s="22">
        <f>IF($F10="","",IF($E10="","⚠ missing cost",$F10*$E10))</f>
        <v/>
      </c>
      <c r="H10" s="16" t="n"/>
      <c r="I10" s="19" t="n"/>
      <c r="J10" s="20">
        <f>IF(OR($F10="",$H10=""),"",IF($I10="","⚠ missing purchases",$H10+$I10-$F10))</f>
        <v/>
      </c>
      <c r="K10" s="20">
        <f>IF(OR($F10="",$H10=""),"",$F10-$H10)</f>
        <v/>
      </c>
      <c r="L10" s="21">
        <f>IF(OR($F10="",$H10="",$H10=0),"",$F10/$H10-1)</f>
        <v/>
      </c>
    </row>
    <row r="11">
      <c r="A11" s="8" t="n">
        <v>7</v>
      </c>
      <c r="B11" s="16" t="inlineStr">
        <is>
          <t>Romaine lettuce</t>
        </is>
      </c>
      <c r="C11" s="16" t="inlineStr">
        <is>
          <t>Produce</t>
        </is>
      </c>
      <c r="D11" s="16" t="inlineStr">
        <is>
          <t>each</t>
        </is>
      </c>
      <c r="E11" s="17" t="n">
        <v>1.6</v>
      </c>
      <c r="F11" s="16" t="n"/>
      <c r="G11" s="18">
        <f>IF($F11="","",IF($E11="","⚠ missing cost",$F11*$E11))</f>
        <v/>
      </c>
      <c r="H11" s="16" t="n"/>
      <c r="I11" s="19" t="n"/>
      <c r="J11" s="20">
        <f>IF(OR($F11="",$H11=""),"",IF($I11="","⚠ missing purchases",$H11+$I11-$F11))</f>
        <v/>
      </c>
      <c r="K11" s="20">
        <f>IF(OR($F11="",$H11=""),"",$F11-$H11)</f>
        <v/>
      </c>
      <c r="L11" s="21">
        <f>IF(OR($F11="",$H11="",$H11=0),"",$F11/$H11-1)</f>
        <v/>
      </c>
    </row>
    <row r="12">
      <c r="A12" s="10" t="n">
        <v>8</v>
      </c>
      <c r="B12" s="16" t="inlineStr">
        <is>
          <t>Russet potatoes</t>
        </is>
      </c>
      <c r="C12" s="16" t="inlineStr">
        <is>
          <t>Produce</t>
        </is>
      </c>
      <c r="D12" s="16" t="inlineStr">
        <is>
          <t>lb</t>
        </is>
      </c>
      <c r="E12" s="17" t="n">
        <v>0.73</v>
      </c>
      <c r="F12" s="16" t="n"/>
      <c r="G12" s="22">
        <f>IF($F12="","",IF($E12="","⚠ missing cost",$F12*$E12))</f>
        <v/>
      </c>
      <c r="H12" s="16" t="n"/>
      <c r="I12" s="19" t="n"/>
      <c r="J12" s="20">
        <f>IF(OR($F12="",$H12=""),"",IF($I12="","⚠ missing purchases",$H12+$I12-$F12))</f>
        <v/>
      </c>
      <c r="K12" s="20">
        <f>IF(OR($F12="",$H12=""),"",$F12-$H12)</f>
        <v/>
      </c>
      <c r="L12" s="21">
        <f>IF(OR($F12="",$H12="",$H12=0),"",$F12/$H12-1)</f>
        <v/>
      </c>
    </row>
    <row r="13">
      <c r="A13" s="8" t="n">
        <v>9</v>
      </c>
      <c r="B13" s="16" t="inlineStr">
        <is>
          <t>Extra virgin olive oil</t>
        </is>
      </c>
      <c r="C13" s="16" t="inlineStr">
        <is>
          <t>Dry Goods</t>
        </is>
      </c>
      <c r="D13" s="16" t="inlineStr">
        <is>
          <t>gal</t>
        </is>
      </c>
      <c r="E13" s="17" t="n">
        <v>32.48</v>
      </c>
      <c r="F13" s="16" t="n"/>
      <c r="G13" s="18">
        <f>IF($F13="","",IF($E13="","⚠ missing cost",$F13*$E13))</f>
        <v/>
      </c>
      <c r="H13" s="16" t="n"/>
      <c r="I13" s="19" t="n"/>
      <c r="J13" s="20">
        <f>IF(OR($F13="",$H13=""),"",IF($I13="","⚠ missing purchases",$H13+$I13-$F13))</f>
        <v/>
      </c>
      <c r="K13" s="20">
        <f>IF(OR($F13="",$H13=""),"",$F13-$H13)</f>
        <v/>
      </c>
      <c r="L13" s="21">
        <f>IF(OR($F13="",$H13="",$H13=0),"",$F13/$H13-1)</f>
        <v/>
      </c>
    </row>
    <row r="14">
      <c r="A14" s="10" t="n">
        <v>10</v>
      </c>
      <c r="B14" s="16" t="inlineStr">
        <is>
          <t>Kosher salt</t>
        </is>
      </c>
      <c r="C14" s="16" t="inlineStr">
        <is>
          <t>Dry Goods</t>
        </is>
      </c>
      <c r="D14" s="16" t="inlineStr">
        <is>
          <t>lb</t>
        </is>
      </c>
      <c r="E14" s="17" t="n">
        <v>1.18</v>
      </c>
      <c r="F14" s="16" t="n"/>
      <c r="G14" s="22">
        <f>IF($F14="","",IF($E14="","⚠ missing cost",$F14*$E14))</f>
        <v/>
      </c>
      <c r="H14" s="16" t="n"/>
      <c r="I14" s="19" t="n"/>
      <c r="J14" s="20">
        <f>IF(OR($F14="",$H14=""),"",IF($I14="","⚠ missing purchases",$H14+$I14-$F14))</f>
        <v/>
      </c>
      <c r="K14" s="20">
        <f>IF(OR($F14="",$H14=""),"",$F14-$H14)</f>
        <v/>
      </c>
      <c r="L14" s="21">
        <f>IF(OR($F14="",$H14="",$H14=0),"",$F14/$H14-1)</f>
        <v/>
      </c>
    </row>
    <row r="15">
      <c r="A15" s="8" t="n">
        <v>11</v>
      </c>
      <c r="B15" s="16" t="inlineStr">
        <is>
          <t>Ground black pepper</t>
        </is>
      </c>
      <c r="C15" s="16" t="inlineStr">
        <is>
          <t>Dry Goods</t>
        </is>
      </c>
      <c r="D15" s="16" t="inlineStr">
        <is>
          <t>lb</t>
        </is>
      </c>
      <c r="E15" s="17" t="n">
        <v>7.2</v>
      </c>
      <c r="F15" s="16" t="n"/>
      <c r="G15" s="18">
        <f>IF($F15="","",IF($E15="","⚠ missing cost",$F15*$E15))</f>
        <v/>
      </c>
      <c r="H15" s="16" t="n"/>
      <c r="I15" s="19" t="n"/>
      <c r="J15" s="20">
        <f>IF(OR($F15="",$H15=""),"",IF($I15="","⚠ missing purchases",$H15+$I15-$F15))</f>
        <v/>
      </c>
      <c r="K15" s="20">
        <f>IF(OR($F15="",$H15=""),"",$F15-$H15)</f>
        <v/>
      </c>
      <c r="L15" s="21">
        <f>IF(OR($F15="",$H15="",$H15=0),"",$F15/$H15-1)</f>
        <v/>
      </c>
    </row>
    <row r="16">
      <c r="A16" s="10" t="n">
        <v>12</v>
      </c>
      <c r="B16" s="16" t="inlineStr">
        <is>
          <t>Arborio rice</t>
        </is>
      </c>
      <c r="C16" s="16" t="inlineStr">
        <is>
          <t>Dry Goods</t>
        </is>
      </c>
      <c r="D16" s="16" t="inlineStr">
        <is>
          <t>lb</t>
        </is>
      </c>
      <c r="E16" s="17" t="n">
        <v>2.1</v>
      </c>
      <c r="F16" s="16" t="n"/>
      <c r="G16" s="22">
        <f>IF($F16="","",IF($E16="","⚠ missing cost",$F16*$E16))</f>
        <v/>
      </c>
      <c r="H16" s="16" t="n"/>
      <c r="I16" s="19" t="n"/>
      <c r="J16" s="20">
        <f>IF(OR($F16="",$H16=""),"",IF($I16="","⚠ missing purchases",$H16+$I16-$F16))</f>
        <v/>
      </c>
      <c r="K16" s="20">
        <f>IF(OR($F16="",$H16=""),"",$F16-$H16)</f>
        <v/>
      </c>
      <c r="L16" s="21">
        <f>IF(OR($F16="",$H16="",$H16=0),"",$F16/$H16-1)</f>
        <v/>
      </c>
    </row>
    <row r="17">
      <c r="A17" s="8" t="n">
        <v>13</v>
      </c>
      <c r="B17" s="16" t="inlineStr">
        <is>
          <t>Dry pasta</t>
        </is>
      </c>
      <c r="C17" s="16" t="inlineStr">
        <is>
          <t>Dry Goods</t>
        </is>
      </c>
      <c r="D17" s="16" t="inlineStr">
        <is>
          <t>lb</t>
        </is>
      </c>
      <c r="E17" s="17" t="n">
        <v>1.35</v>
      </c>
      <c r="F17" s="16" t="n"/>
      <c r="G17" s="18">
        <f>IF($F17="","",IF($E17="","⚠ missing cost",$F17*$E17))</f>
        <v/>
      </c>
      <c r="H17" s="16" t="n"/>
      <c r="I17" s="19" t="n"/>
      <c r="J17" s="20">
        <f>IF(OR($F17="",$H17=""),"",IF($I17="","⚠ missing purchases",$H17+$I17-$F17))</f>
        <v/>
      </c>
      <c r="K17" s="20">
        <f>IF(OR($F17="",$H17=""),"",$F17-$H17)</f>
        <v/>
      </c>
      <c r="L17" s="21">
        <f>IF(OR($F17="",$H17="",$H17=0),"",$F17/$H17-1)</f>
        <v/>
      </c>
    </row>
    <row r="18">
      <c r="A18" s="10" t="n">
        <v>14</v>
      </c>
      <c r="B18" s="16" t="inlineStr">
        <is>
          <t>All-purpose flour</t>
        </is>
      </c>
      <c r="C18" s="16" t="inlineStr">
        <is>
          <t>Dry Goods</t>
        </is>
      </c>
      <c r="D18" s="16" t="inlineStr">
        <is>
          <t>lb</t>
        </is>
      </c>
      <c r="E18" s="17" t="n">
        <v>0.6</v>
      </c>
      <c r="F18" s="16" t="n"/>
      <c r="G18" s="22">
        <f>IF($F18="","",IF($E18="","⚠ missing cost",$F18*$E18))</f>
        <v/>
      </c>
      <c r="H18" s="16" t="n"/>
      <c r="I18" s="19" t="n"/>
      <c r="J18" s="20">
        <f>IF(OR($F18="",$H18=""),"",IF($I18="","⚠ missing purchases",$H18+$I18-$F18))</f>
        <v/>
      </c>
      <c r="K18" s="20">
        <f>IF(OR($F18="",$H18=""),"",$F18-$H18)</f>
        <v/>
      </c>
      <c r="L18" s="21">
        <f>IF(OR($F18="",$H18="",$H18=0),"",$F18/$H18-1)</f>
        <v/>
      </c>
    </row>
    <row r="19">
      <c r="A19" s="8" t="n">
        <v>15</v>
      </c>
      <c r="B19" s="16" t="inlineStr">
        <is>
          <t>Large eggs</t>
        </is>
      </c>
      <c r="C19" s="16" t="inlineStr">
        <is>
          <t>Dairy &amp; Eggs</t>
        </is>
      </c>
      <c r="D19" s="16" t="inlineStr">
        <is>
          <t>dozen</t>
        </is>
      </c>
      <c r="E19" s="17" t="n">
        <v>2.27</v>
      </c>
      <c r="F19" s="16" t="n"/>
      <c r="G19" s="18">
        <f>IF($F19="","",IF($E19="","⚠ missing cost",$F19*$E19))</f>
        <v/>
      </c>
      <c r="H19" s="16" t="n"/>
      <c r="I19" s="19" t="n"/>
      <c r="J19" s="20">
        <f>IF(OR($F19="",$H19=""),"",IF($I19="","⚠ missing purchases",$H19+$I19-$F19))</f>
        <v/>
      </c>
      <c r="K19" s="20">
        <f>IF(OR($F19="",$H19=""),"",$F19-$H19)</f>
        <v/>
      </c>
      <c r="L19" s="21">
        <f>IF(OR($F19="",$H19="",$H19=0),"",$F19/$H19-1)</f>
        <v/>
      </c>
    </row>
    <row r="20">
      <c r="A20" s="10" t="n">
        <v>16</v>
      </c>
      <c r="B20" s="16" t="inlineStr">
        <is>
          <t>Heavy cream</t>
        </is>
      </c>
      <c r="C20" s="16" t="inlineStr">
        <is>
          <t>Dairy &amp; Eggs</t>
        </is>
      </c>
      <c r="D20" s="16" t="inlineStr">
        <is>
          <t>qt</t>
        </is>
      </c>
      <c r="E20" s="17" t="n">
        <v>4.98</v>
      </c>
      <c r="F20" s="16" t="n"/>
      <c r="G20" s="22">
        <f>IF($F20="","",IF($E20="","⚠ missing cost",$F20*$E20))</f>
        <v/>
      </c>
      <c r="H20" s="16" t="n"/>
      <c r="I20" s="19" t="n"/>
      <c r="J20" s="20">
        <f>IF(OR($F20="",$H20=""),"",IF($I20="","⚠ missing purchases",$H20+$I20-$F20))</f>
        <v/>
      </c>
      <c r="K20" s="20">
        <f>IF(OR($F20="",$H20=""),"",$F20-$H20)</f>
        <v/>
      </c>
      <c r="L20" s="21">
        <f>IF(OR($F20="",$H20="",$H20=0),"",$F20/$H20-1)</f>
        <v/>
      </c>
    </row>
    <row r="21">
      <c r="A21" s="8" t="n">
        <v>17</v>
      </c>
      <c r="B21" s="16" t="inlineStr">
        <is>
          <t>Unsalted butter</t>
        </is>
      </c>
      <c r="C21" s="16" t="inlineStr">
        <is>
          <t>Dairy &amp; Eggs</t>
        </is>
      </c>
      <c r="D21" s="16" t="inlineStr">
        <is>
          <t>lb</t>
        </is>
      </c>
      <c r="E21" s="17" t="n">
        <v>3.23</v>
      </c>
      <c r="F21" s="16" t="n"/>
      <c r="G21" s="18">
        <f>IF($F21="","",IF($E21="","⚠ missing cost",$F21*$E21))</f>
        <v/>
      </c>
      <c r="H21" s="16" t="n"/>
      <c r="I21" s="19" t="n"/>
      <c r="J21" s="20">
        <f>IF(OR($F21="",$H21=""),"",IF($I21="","⚠ missing purchases",$H21+$I21-$F21))</f>
        <v/>
      </c>
      <c r="K21" s="20">
        <f>IF(OR($F21="",$H21=""),"",$F21-$H21)</f>
        <v/>
      </c>
      <c r="L21" s="21">
        <f>IF(OR($F21="",$H21="",$H21=0),"",$F21/$H21-1)</f>
        <v/>
      </c>
    </row>
    <row r="22">
      <c r="A22" s="10" t="n">
        <v>18</v>
      </c>
      <c r="B22" s="16" t="inlineStr">
        <is>
          <t>Parmesan</t>
        </is>
      </c>
      <c r="C22" s="16" t="inlineStr">
        <is>
          <t>Dairy &amp; Eggs</t>
        </is>
      </c>
      <c r="D22" s="16" t="inlineStr">
        <is>
          <t>lb</t>
        </is>
      </c>
      <c r="E22" s="17" t="n">
        <v>9.5</v>
      </c>
      <c r="F22" s="16" t="n"/>
      <c r="G22" s="22">
        <f>IF($F22="","",IF($E22="","⚠ missing cost",$F22*$E22))</f>
        <v/>
      </c>
      <c r="H22" s="16" t="n"/>
      <c r="I22" s="19" t="n"/>
      <c r="J22" s="20">
        <f>IF(OR($F22="",$H22=""),"",IF($I22="","⚠ missing purchases",$H22+$I22-$F22))</f>
        <v/>
      </c>
      <c r="K22" s="20">
        <f>IF(OR($F22="",$H22=""),"",$F22-$H22)</f>
        <v/>
      </c>
      <c r="L22" s="21">
        <f>IF(OR($F22="",$H22="",$H22=0),"",$F22/$H22-1)</f>
        <v/>
      </c>
    </row>
    <row r="23">
      <c r="A23" s="8" t="n">
        <v>19</v>
      </c>
      <c r="B23" s="16" t="inlineStr">
        <is>
          <t>Lemons</t>
        </is>
      </c>
      <c r="C23" s="16" t="inlineStr">
        <is>
          <t>Produce</t>
        </is>
      </c>
      <c r="D23" s="16" t="inlineStr">
        <is>
          <t>each</t>
        </is>
      </c>
      <c r="E23" s="17" t="n">
        <v>0.54</v>
      </c>
      <c r="F23" s="16" t="n"/>
      <c r="G23" s="18">
        <f>IF($F23="","",IF($E23="","⚠ missing cost",$F23*$E23))</f>
        <v/>
      </c>
      <c r="H23" s="16" t="n"/>
      <c r="I23" s="19" t="n"/>
      <c r="J23" s="20">
        <f>IF(OR($F23="",$H23=""),"",IF($I23="","⚠ missing purchases",$H23+$I23-$F23))</f>
        <v/>
      </c>
      <c r="K23" s="20">
        <f>IF(OR($F23="",$H23=""),"",$F23-$H23)</f>
        <v/>
      </c>
      <c r="L23" s="21">
        <f>IF(OR($F23="",$H23="",$H23=0),"",$F23/$H23-1)</f>
        <v/>
      </c>
    </row>
    <row r="24">
      <c r="A24" s="10" t="n">
        <v>20</v>
      </c>
      <c r="B24" s="16" t="inlineStr">
        <is>
          <t>Peeled garlic</t>
        </is>
      </c>
      <c r="C24" s="16" t="inlineStr">
        <is>
          <t>Produce</t>
        </is>
      </c>
      <c r="D24" s="16" t="inlineStr">
        <is>
          <t>lb</t>
        </is>
      </c>
      <c r="E24" s="17" t="n">
        <v>4.1</v>
      </c>
      <c r="F24" s="16" t="n"/>
      <c r="G24" s="22">
        <f>IF($F24="","",IF($E24="","⚠ missing cost",$F24*$E24))</f>
        <v/>
      </c>
      <c r="H24" s="16" t="n"/>
      <c r="I24" s="19" t="n"/>
      <c r="J24" s="20">
        <f>IF(OR($F24="",$H24=""),"",IF($I24="","⚠ missing purchases",$H24+$I24-$F24))</f>
        <v/>
      </c>
      <c r="K24" s="20">
        <f>IF(OR($F24="",$H24=""),"",$F24-$H24)</f>
        <v/>
      </c>
      <c r="L24" s="21">
        <f>IF(OR($F24="",$H24="",$H24=0),"",$F24/$H24-1)</f>
        <v/>
      </c>
    </row>
    <row r="25">
      <c r="A25" s="8" t="n">
        <v>21</v>
      </c>
      <c r="B25" s="16" t="inlineStr">
        <is>
          <t>Whole bean coffee</t>
        </is>
      </c>
      <c r="C25" s="16" t="inlineStr">
        <is>
          <t>Dry Goods</t>
        </is>
      </c>
      <c r="D25" s="16" t="inlineStr">
        <is>
          <t>lb</t>
        </is>
      </c>
      <c r="E25" s="17" t="n">
        <v>7.9</v>
      </c>
      <c r="F25" s="16" t="n"/>
      <c r="G25" s="18">
        <f>IF($F25="","",IF($E25="","⚠ missing cost",$F25*$E25))</f>
        <v/>
      </c>
      <c r="H25" s="16" t="n"/>
      <c r="I25" s="19" t="n"/>
      <c r="J25" s="20">
        <f>IF(OR($F25="",$H25=""),"",IF($I25="","⚠ missing purchases",$H25+$I25-$F25))</f>
        <v/>
      </c>
      <c r="K25" s="20">
        <f>IF(OR($F25="",$H25=""),"",$F25-$H25)</f>
        <v/>
      </c>
      <c r="L25" s="21">
        <f>IF(OR($F25="",$H25="",$H25=0),"",$F25/$H25-1)</f>
        <v/>
      </c>
    </row>
    <row r="26">
      <c r="A26" s="10" t="n">
        <v>22</v>
      </c>
      <c r="B26" s="16" t="inlineStr">
        <is>
          <t>Whole milk</t>
        </is>
      </c>
      <c r="C26" s="16" t="inlineStr">
        <is>
          <t>Dairy &amp; Eggs</t>
        </is>
      </c>
      <c r="D26" s="16" t="inlineStr">
        <is>
          <t>gal</t>
        </is>
      </c>
      <c r="E26" s="17" t="n">
        <v>4.23</v>
      </c>
      <c r="F26" s="16" t="n"/>
      <c r="G26" s="22">
        <f>IF($F26="","",IF($E26="","⚠ missing cost",$F26*$E26))</f>
        <v/>
      </c>
      <c r="H26" s="16" t="n"/>
      <c r="I26" s="19" t="n"/>
      <c r="J26" s="20">
        <f>IF(OR($F26="",$H26=""),"",IF($I26="","⚠ missing purchases",$H26+$I26-$F26))</f>
        <v/>
      </c>
      <c r="K26" s="20">
        <f>IF(OR($F26="",$H26=""),"",$F26-$H26)</f>
        <v/>
      </c>
      <c r="L26" s="21">
        <f>IF(OR($F26="",$H26="",$H26=0),"",$F26/$H26-1)</f>
        <v/>
      </c>
    </row>
    <row r="27">
      <c r="A27" s="8" t="n">
        <v>23</v>
      </c>
      <c r="B27" s="16" t="inlineStr">
        <is>
          <t>Oat milk (barista)</t>
        </is>
      </c>
      <c r="C27" s="16" t="inlineStr">
        <is>
          <t>Non-Alcoholic Beverages</t>
        </is>
      </c>
      <c r="D27" s="16" t="inlineStr">
        <is>
          <t>qt</t>
        </is>
      </c>
      <c r="E27" s="17" t="n">
        <v>3.33</v>
      </c>
      <c r="F27" s="16" t="n"/>
      <c r="G27" s="18">
        <f>IF($F27="","",IF($E27="","⚠ missing cost",$F27*$E27))</f>
        <v/>
      </c>
      <c r="H27" s="16" t="n"/>
      <c r="I27" s="19" t="n"/>
      <c r="J27" s="20">
        <f>IF(OR($F27="",$H27=""),"",IF($I27="","⚠ missing purchases",$H27+$I27-$F27))</f>
        <v/>
      </c>
      <c r="K27" s="20">
        <f>IF(OR($F27="",$H27=""),"",$F27-$H27)</f>
        <v/>
      </c>
      <c r="L27" s="21">
        <f>IF(OR($F27="",$H27="",$H27=0),"",$F27/$H27-1)</f>
        <v/>
      </c>
    </row>
    <row r="28">
      <c r="A28" s="10" t="n">
        <v>24</v>
      </c>
      <c r="B28" s="16" t="inlineStr">
        <is>
          <t>Orange juice</t>
        </is>
      </c>
      <c r="C28" s="16" t="inlineStr">
        <is>
          <t>Non-Alcoholic Beverages</t>
        </is>
      </c>
      <c r="D28" s="16" t="inlineStr">
        <is>
          <t>gal</t>
        </is>
      </c>
      <c r="E28" s="17" t="n">
        <v>7.5</v>
      </c>
      <c r="F28" s="16" t="n"/>
      <c r="G28" s="22">
        <f>IF($F28="","",IF($E28="","⚠ missing cost",$F28*$E28))</f>
        <v/>
      </c>
      <c r="H28" s="16" t="n"/>
      <c r="I28" s="19" t="n"/>
      <c r="J28" s="20">
        <f>IF(OR($F28="",$H28=""),"",IF($I28="","⚠ missing purchases",$H28+$I28-$F28))</f>
        <v/>
      </c>
      <c r="K28" s="20">
        <f>IF(OR($F28="",$H28=""),"",$F28-$H28)</f>
        <v/>
      </c>
      <c r="L28" s="21">
        <f>IF(OR($F28="",$H28="",$H28=0),"",$F28/$H28-1)</f>
        <v/>
      </c>
    </row>
    <row r="29">
      <c r="A29" s="8" t="n">
        <v>25</v>
      </c>
      <c r="B29" s="16" t="inlineStr">
        <is>
          <t>Cola (12 fl oz)</t>
        </is>
      </c>
      <c r="C29" s="16" t="inlineStr">
        <is>
          <t>Non-Alcoholic Beverages</t>
        </is>
      </c>
      <c r="D29" s="16" t="inlineStr">
        <is>
          <t>can</t>
        </is>
      </c>
      <c r="E29" s="17" t="n">
        <v>0.5</v>
      </c>
      <c r="F29" s="16" t="n"/>
      <c r="G29" s="18">
        <f>IF($F29="","",IF($E29="","⚠ missing cost",$F29*$E29))</f>
        <v/>
      </c>
      <c r="H29" s="16" t="n"/>
      <c r="I29" s="19" t="n"/>
      <c r="J29" s="20">
        <f>IF(OR($F29="",$H29=""),"",IF($I29="","⚠ missing purchases",$H29+$I29-$F29))</f>
        <v/>
      </c>
      <c r="K29" s="20">
        <f>IF(OR($F29="",$H29=""),"",$F29-$H29)</f>
        <v/>
      </c>
      <c r="L29" s="21">
        <f>IF(OR($F29="",$H29="",$H29=0),"",$F29/$H29-1)</f>
        <v/>
      </c>
    </row>
    <row r="30">
      <c r="A30" s="10" t="n">
        <v>26</v>
      </c>
      <c r="B30" s="16" t="inlineStr">
        <is>
          <t>Draft beer (1/2 bbl)</t>
        </is>
      </c>
      <c r="C30" s="16" t="inlineStr">
        <is>
          <t>Alcoholic Beverages</t>
        </is>
      </c>
      <c r="D30" s="16" t="inlineStr">
        <is>
          <t>keg</t>
        </is>
      </c>
      <c r="E30" s="17" t="n">
        <v>165</v>
      </c>
      <c r="F30" s="16" t="n"/>
      <c r="G30" s="22">
        <f>IF($F30="","",IF($E30="","⚠ missing cost",$F30*$E30))</f>
        <v/>
      </c>
      <c r="H30" s="16" t="n"/>
      <c r="I30" s="19" t="n"/>
      <c r="J30" s="20">
        <f>IF(OR($F30="",$H30=""),"",IF($I30="","⚠ missing purchases",$H30+$I30-$F30))</f>
        <v/>
      </c>
      <c r="K30" s="20">
        <f>IF(OR($F30="",$H30=""),"",$F30-$H30)</f>
        <v/>
      </c>
      <c r="L30" s="21">
        <f>IF(OR($F30="",$H30="",$H30=0),"",$F30/$H30-1)</f>
        <v/>
      </c>
    </row>
    <row r="31">
      <c r="A31" s="8" t="n">
        <v>27</v>
      </c>
      <c r="B31" s="16" t="inlineStr">
        <is>
          <t>Bottled water</t>
        </is>
      </c>
      <c r="C31" s="16" t="inlineStr">
        <is>
          <t>Non-Alcoholic Beverages</t>
        </is>
      </c>
      <c r="D31" s="16" t="inlineStr">
        <is>
          <t>bottle</t>
        </is>
      </c>
      <c r="E31" s="17" t="n">
        <v>0.3</v>
      </c>
      <c r="F31" s="16" t="n"/>
      <c r="G31" s="18">
        <f>IF($F31="","",IF($E31="","⚠ missing cost",$F31*$E31))</f>
        <v/>
      </c>
      <c r="H31" s="16" t="n"/>
      <c r="I31" s="19" t="n"/>
      <c r="J31" s="20">
        <f>IF(OR($F31="",$H31=""),"",IF($I31="","⚠ missing purchases",$H31+$I31-$F31))</f>
        <v/>
      </c>
      <c r="K31" s="20">
        <f>IF(OR($F31="",$H31=""),"",$F31-$H31)</f>
        <v/>
      </c>
      <c r="L31" s="21">
        <f>IF(OR($F31="",$H31="",$H31=0),"",$F31/$H31-1)</f>
        <v/>
      </c>
    </row>
    <row r="32">
      <c r="A32" s="10" t="n">
        <v>28</v>
      </c>
      <c r="B32" s="16" t="inlineStr">
        <is>
          <t>Premium tonic water</t>
        </is>
      </c>
      <c r="C32" s="16" t="inlineStr">
        <is>
          <t>Non-Alcoholic Beverages</t>
        </is>
      </c>
      <c r="D32" s="16" t="inlineStr">
        <is>
          <t>bottle</t>
        </is>
      </c>
      <c r="E32" s="17" t="n">
        <v>1.71</v>
      </c>
      <c r="F32" s="16" t="n"/>
      <c r="G32" s="22">
        <f>IF($F32="","",IF($E32="","⚠ missing cost",$F32*$E32))</f>
        <v/>
      </c>
      <c r="H32" s="16" t="n"/>
      <c r="I32" s="19" t="n"/>
      <c r="J32" s="20">
        <f>IF(OR($F32="",$H32=""),"",IF($I32="","⚠ missing purchases",$H32+$I32-$F32))</f>
        <v/>
      </c>
      <c r="K32" s="20">
        <f>IF(OR($F32="",$H32=""),"",$F32-$H32)</f>
        <v/>
      </c>
      <c r="L32" s="21">
        <f>IF(OR($F32="",$H32="",$H32=0),"",$F32/$H32-1)</f>
        <v/>
      </c>
    </row>
    <row r="33">
      <c r="A33" s="8" t="n">
        <v>29</v>
      </c>
      <c r="B33" s="16" t="inlineStr">
        <is>
          <t>House red wine (750 ml)</t>
        </is>
      </c>
      <c r="C33" s="16" t="inlineStr">
        <is>
          <t>Alcoholic Beverages</t>
        </is>
      </c>
      <c r="D33" s="16" t="inlineStr">
        <is>
          <t>bottle</t>
        </is>
      </c>
      <c r="E33" s="17" t="n">
        <v>10.31</v>
      </c>
      <c r="F33" s="16" t="n"/>
      <c r="G33" s="18">
        <f>IF($F33="","",IF($E33="","⚠ missing cost",$F33*$E33))</f>
        <v/>
      </c>
      <c r="H33" s="16" t="n"/>
      <c r="I33" s="19" t="n"/>
      <c r="J33" s="20">
        <f>IF(OR($F33="",$H33=""),"",IF($I33="","⚠ missing purchases",$H33+$I33-$F33))</f>
        <v/>
      </c>
      <c r="K33" s="20">
        <f>IF(OR($F33="",$H33=""),"",$F33-$H33)</f>
        <v/>
      </c>
      <c r="L33" s="21">
        <f>IF(OR($F33="",$H33="",$H33=0),"",$F33/$H33-1)</f>
        <v/>
      </c>
    </row>
    <row r="34">
      <c r="A34" s="10" t="n">
        <v>30</v>
      </c>
      <c r="B34" s="16" t="inlineStr">
        <is>
          <t>House white wine (750 ml)</t>
        </is>
      </c>
      <c r="C34" s="16" t="inlineStr">
        <is>
          <t>Alcoholic Beverages</t>
        </is>
      </c>
      <c r="D34" s="16" t="inlineStr">
        <is>
          <t>bottle</t>
        </is>
      </c>
      <c r="E34" s="17" t="n">
        <v>10.31</v>
      </c>
      <c r="F34" s="16" t="n"/>
      <c r="G34" s="22">
        <f>IF($F34="","",IF($E34="","⚠ missing cost",$F34*$E34))</f>
        <v/>
      </c>
      <c r="H34" s="16" t="n"/>
      <c r="I34" s="19" t="n"/>
      <c r="J34" s="20">
        <f>IF(OR($F34="",$H34=""),"",IF($I34="","⚠ missing purchases",$H34+$I34-$F34))</f>
        <v/>
      </c>
      <c r="K34" s="20">
        <f>IF(OR($F34="",$H34=""),"",$F34-$H34)</f>
        <v/>
      </c>
      <c r="L34" s="21">
        <f>IF(OR($F34="",$H34="",$H34=0),"",$F34/$H34-1)</f>
        <v/>
      </c>
    </row>
    <row r="35">
      <c r="A35" s="8" t="n">
        <v>31</v>
      </c>
      <c r="B35" s="16" t="inlineStr">
        <is>
          <t>Bagged ice (20 lb)</t>
        </is>
      </c>
      <c r="C35" s="16" t="inlineStr">
        <is>
          <t>Frozen</t>
        </is>
      </c>
      <c r="D35" s="16" t="inlineStr">
        <is>
          <t>bag</t>
        </is>
      </c>
      <c r="E35" s="17" t="n">
        <v>4</v>
      </c>
      <c r="F35" s="16" t="n"/>
      <c r="G35" s="18">
        <f>IF($F35="","",IF($E35="","⚠ missing cost",$F35*$E35))</f>
        <v/>
      </c>
      <c r="H35" s="16" t="n"/>
      <c r="I35" s="19" t="n"/>
      <c r="J35" s="20">
        <f>IF(OR($F35="",$H35=""),"",IF($I35="","⚠ missing purchases",$H35+$I35-$F35))</f>
        <v/>
      </c>
      <c r="K35" s="20">
        <f>IF(OR($F35="",$H35=""),"",$F35-$H35)</f>
        <v/>
      </c>
      <c r="L35" s="21">
        <f>IF(OR($F35="",$H35="",$H35=0),"",$F35/$H35-1)</f>
        <v/>
      </c>
    </row>
    <row r="36">
      <c r="A36" s="10" t="n">
        <v>32</v>
      </c>
      <c r="B36" s="16" t="inlineStr">
        <is>
          <t>Granulated sugar</t>
        </is>
      </c>
      <c r="C36" s="16" t="inlineStr">
        <is>
          <t>Dry Goods</t>
        </is>
      </c>
      <c r="D36" s="16" t="inlineStr">
        <is>
          <t>lb</t>
        </is>
      </c>
      <c r="E36" s="17" t="n">
        <v>1.01</v>
      </c>
      <c r="F36" s="16" t="n"/>
      <c r="G36" s="22">
        <f>IF($F36="","",IF($E36="","⚠ missing cost",$F36*$E36))</f>
        <v/>
      </c>
      <c r="H36" s="16" t="n"/>
      <c r="I36" s="19" t="n"/>
      <c r="J36" s="20">
        <f>IF(OR($F36="",$H36=""),"",IF($I36="","⚠ missing purchases",$H36+$I36-$F36))</f>
        <v/>
      </c>
      <c r="K36" s="20">
        <f>IF(OR($F36="",$H36=""),"",$F36-$H36)</f>
        <v/>
      </c>
      <c r="L36" s="21">
        <f>IF(OR($F36="",$H36="",$H36=0),"",$F36/$H36-1)</f>
        <v/>
      </c>
    </row>
    <row r="37">
      <c r="A37" s="8" t="n">
        <v>33</v>
      </c>
      <c r="B37" s="16" t="inlineStr">
        <is>
          <t>Beverage napkins (bar)</t>
        </is>
      </c>
      <c r="C37" s="16" t="inlineStr">
        <is>
          <t>Paper &amp; Cleaning</t>
        </is>
      </c>
      <c r="D37" s="16" t="inlineStr">
        <is>
          <t>case</t>
        </is>
      </c>
      <c r="E37" s="17" t="n">
        <v>28</v>
      </c>
      <c r="F37" s="16" t="n"/>
      <c r="G37" s="18">
        <f>IF($F37="","",IF($E37="","⚠ missing cost",$F37*$E37))</f>
        <v/>
      </c>
      <c r="H37" s="16" t="n"/>
      <c r="I37" s="19" t="n"/>
      <c r="J37" s="20">
        <f>IF(OR($F37="",$H37=""),"",IF($I37="","⚠ missing purchases",$H37+$I37-$F37))</f>
        <v/>
      </c>
      <c r="K37" s="20">
        <f>IF(OR($F37="",$H37=""),"",$F37-$H37)</f>
        <v/>
      </c>
      <c r="L37" s="21">
        <f>IF(OR($F37="",$H37="",$H37=0),"",$F37/$H37-1)</f>
        <v/>
      </c>
    </row>
    <row r="38">
      <c r="A38" s="10" t="n">
        <v>34</v>
      </c>
      <c r="B38" s="16" t="inlineStr">
        <is>
          <t>Paper straws</t>
        </is>
      </c>
      <c r="C38" s="16" t="inlineStr">
        <is>
          <t>Paper &amp; Cleaning</t>
        </is>
      </c>
      <c r="D38" s="16" t="inlineStr">
        <is>
          <t>case</t>
        </is>
      </c>
      <c r="E38" s="17" t="n">
        <v>36</v>
      </c>
      <c r="F38" s="16" t="n"/>
      <c r="G38" s="22">
        <f>IF($F38="","",IF($E38="","⚠ missing cost",$F38*$E38))</f>
        <v/>
      </c>
      <c r="H38" s="16" t="n"/>
      <c r="I38" s="19" t="n"/>
      <c r="J38" s="20">
        <f>IF(OR($F38="",$H38=""),"",IF($I38="","⚠ missing purchases",$H38+$I38-$F38))</f>
        <v/>
      </c>
      <c r="K38" s="20">
        <f>IF(OR($F38="",$H38=""),"",$F38-$H38)</f>
        <v/>
      </c>
      <c r="L38" s="21">
        <f>IF(OR($F38="",$H38="",$H38=0),"",$F38/$H38-1)</f>
        <v/>
      </c>
    </row>
    <row r="39">
      <c r="A39" s="8" t="n">
        <v>35</v>
      </c>
      <c r="B39" s="16" t="inlineStr">
        <is>
          <t>Disposable cups</t>
        </is>
      </c>
      <c r="C39" s="16" t="inlineStr">
        <is>
          <t>Paper &amp; Cleaning</t>
        </is>
      </c>
      <c r="D39" s="16" t="inlineStr">
        <is>
          <t>pack</t>
        </is>
      </c>
      <c r="E39" s="17" t="n">
        <v>6.5</v>
      </c>
      <c r="F39" s="16" t="n"/>
      <c r="G39" s="18">
        <f>IF($F39="","",IF($E39="","⚠ missing cost",$F39*$E39))</f>
        <v/>
      </c>
      <c r="H39" s="16" t="n"/>
      <c r="I39" s="19" t="n"/>
      <c r="J39" s="20">
        <f>IF(OR($F39="",$H39=""),"",IF($I39="","⚠ missing purchases",$H39+$I39-$F39))</f>
        <v/>
      </c>
      <c r="K39" s="20">
        <f>IF(OR($F39="",$H39=""),"",$F39-$H39)</f>
        <v/>
      </c>
      <c r="L39" s="21">
        <f>IF(OR($F39="",$H39="",$H39=0),"",$F39/$H39-1)</f>
        <v/>
      </c>
    </row>
    <row r="40">
      <c r="A40" s="10" t="n">
        <v>36</v>
      </c>
      <c r="B40" s="16" t="inlineStr">
        <is>
          <t>Paper towels</t>
        </is>
      </c>
      <c r="C40" s="16" t="inlineStr">
        <is>
          <t>Paper &amp; Cleaning</t>
        </is>
      </c>
      <c r="D40" s="16" t="inlineStr">
        <is>
          <t>roll</t>
        </is>
      </c>
      <c r="E40" s="17" t="n">
        <v>2.4</v>
      </c>
      <c r="F40" s="16" t="n"/>
      <c r="G40" s="22">
        <f>IF($F40="","",IF($E40="","⚠ missing cost",$F40*$E40))</f>
        <v/>
      </c>
      <c r="H40" s="16" t="n"/>
      <c r="I40" s="19" t="n"/>
      <c r="J40" s="20">
        <f>IF(OR($F40="",$H40=""),"",IF($I40="","⚠ missing purchases",$H40+$I40-$F40))</f>
        <v/>
      </c>
      <c r="K40" s="20">
        <f>IF(OR($F40="",$H40=""),"",$F40-$H40)</f>
        <v/>
      </c>
      <c r="L40" s="21">
        <f>IF(OR($F40="",$H40="",$H40=0),"",$F40/$H40-1)</f>
        <v/>
      </c>
    </row>
    <row r="41">
      <c r="A41" s="8" t="n">
        <v>37</v>
      </c>
      <c r="B41" s="16" t="inlineStr">
        <is>
          <t>Plastic wrap</t>
        </is>
      </c>
      <c r="C41" s="16" t="inlineStr">
        <is>
          <t>Paper &amp; Cleaning</t>
        </is>
      </c>
      <c r="D41" s="16" t="inlineStr">
        <is>
          <t>roll</t>
        </is>
      </c>
      <c r="E41" s="17" t="n">
        <v>24</v>
      </c>
      <c r="F41" s="16" t="n"/>
      <c r="G41" s="18">
        <f>IF($F41="","",IF($E41="","⚠ missing cost",$F41*$E41))</f>
        <v/>
      </c>
      <c r="H41" s="16" t="n"/>
      <c r="I41" s="19" t="n"/>
      <c r="J41" s="20">
        <f>IF(OR($F41="",$H41=""),"",IF($I41="","⚠ missing purchases",$H41+$I41-$F41))</f>
        <v/>
      </c>
      <c r="K41" s="20">
        <f>IF(OR($F41="",$H41=""),"",$F41-$H41)</f>
        <v/>
      </c>
      <c r="L41" s="21">
        <f>IF(OR($F41="",$H41="",$H41=0),"",$F41/$H41-1)</f>
        <v/>
      </c>
    </row>
    <row r="42">
      <c r="A42" s="10" t="n">
        <v>38</v>
      </c>
      <c r="B42" s="16" t="inlineStr">
        <is>
          <t>Aluminum foil</t>
        </is>
      </c>
      <c r="C42" s="16" t="inlineStr">
        <is>
          <t>Paper &amp; Cleaning</t>
        </is>
      </c>
      <c r="D42" s="16" t="inlineStr">
        <is>
          <t>roll</t>
        </is>
      </c>
      <c r="E42" s="17" t="n">
        <v>34</v>
      </c>
      <c r="F42" s="16" t="n"/>
      <c r="G42" s="22">
        <f>IF($F42="","",IF($E42="","⚠ missing cost",$F42*$E42))</f>
        <v/>
      </c>
      <c r="H42" s="16" t="n"/>
      <c r="I42" s="19" t="n"/>
      <c r="J42" s="20">
        <f>IF(OR($F42="",$H42=""),"",IF($I42="","⚠ missing purchases",$H42+$I42-$F42))</f>
        <v/>
      </c>
      <c r="K42" s="20">
        <f>IF(OR($F42="",$H42=""),"",$F42-$H42)</f>
        <v/>
      </c>
      <c r="L42" s="21">
        <f>IF(OR($F42="",$H42="",$H42=0),"",$F42/$H42-1)</f>
        <v/>
      </c>
    </row>
    <row r="43">
      <c r="A43" s="8" t="n">
        <v>39</v>
      </c>
      <c r="B43" s="16" t="inlineStr">
        <is>
          <t>Trash bags</t>
        </is>
      </c>
      <c r="C43" s="16" t="inlineStr">
        <is>
          <t>Paper &amp; Cleaning</t>
        </is>
      </c>
      <c r="D43" s="16" t="inlineStr">
        <is>
          <t>pack</t>
        </is>
      </c>
      <c r="E43" s="17" t="n">
        <v>18</v>
      </c>
      <c r="F43" s="16" t="n"/>
      <c r="G43" s="18">
        <f>IF($F43="","",IF($E43="","⚠ missing cost",$F43*$E43))</f>
        <v/>
      </c>
      <c r="H43" s="16" t="n"/>
      <c r="I43" s="19" t="n"/>
      <c r="J43" s="20">
        <f>IF(OR($F43="",$H43=""),"",IF($I43="","⚠ missing purchases",$H43+$I43-$F43))</f>
        <v/>
      </c>
      <c r="K43" s="20">
        <f>IF(OR($F43="",$H43=""),"",$F43-$H43)</f>
        <v/>
      </c>
      <c r="L43" s="21">
        <f>IF(OR($F43="",$H43="",$H43=0),"",$F43/$H43-1)</f>
        <v/>
      </c>
    </row>
    <row r="44">
      <c r="A44" s="10" t="n">
        <v>40</v>
      </c>
      <c r="B44" s="16" t="inlineStr">
        <is>
          <t>Nitrile gloves</t>
        </is>
      </c>
      <c r="C44" s="16" t="inlineStr">
        <is>
          <t>Paper &amp; Cleaning</t>
        </is>
      </c>
      <c r="D44" s="16" t="inlineStr">
        <is>
          <t>case</t>
        </is>
      </c>
      <c r="E44" s="17" t="n">
        <v>62</v>
      </c>
      <c r="F44" s="16" t="n"/>
      <c r="G44" s="22">
        <f>IF($F44="","",IF($E44="","⚠ missing cost",$F44*$E44))</f>
        <v/>
      </c>
      <c r="H44" s="16" t="n"/>
      <c r="I44" s="19" t="n"/>
      <c r="J44" s="20">
        <f>IF(OR($F44="",$H44=""),"",IF($I44="","⚠ missing purchases",$H44+$I44-$F44))</f>
        <v/>
      </c>
      <c r="K44" s="20">
        <f>IF(OR($F44="",$H44=""),"",$F44-$H44)</f>
        <v/>
      </c>
      <c r="L44" s="21">
        <f>IF(OR($F44="",$H44="",$H44=0),"",$F44/$H44-1)</f>
        <v/>
      </c>
    </row>
    <row r="45">
      <c r="A45" s="8" t="n">
        <v>41</v>
      </c>
      <c r="B45" s="16" t="inlineStr">
        <is>
          <t>Dish machine detergent</t>
        </is>
      </c>
      <c r="C45" s="16" t="inlineStr">
        <is>
          <t>Paper &amp; Cleaning</t>
        </is>
      </c>
      <c r="D45" s="16" t="inlineStr">
        <is>
          <t>gal</t>
        </is>
      </c>
      <c r="E45" s="17" t="n">
        <v>16</v>
      </c>
      <c r="F45" s="16" t="n"/>
      <c r="G45" s="18">
        <f>IF($F45="","",IF($E45="","⚠ missing cost",$F45*$E45))</f>
        <v/>
      </c>
      <c r="H45" s="16" t="n"/>
      <c r="I45" s="19" t="n"/>
      <c r="J45" s="20">
        <f>IF(OR($F45="",$H45=""),"",IF($I45="","⚠ missing purchases",$H45+$I45-$F45))</f>
        <v/>
      </c>
      <c r="K45" s="20">
        <f>IF(OR($F45="",$H45=""),"",$F45-$H45)</f>
        <v/>
      </c>
      <c r="L45" s="21">
        <f>IF(OR($F45="",$H45="",$H45=0),"",$F45/$H45-1)</f>
        <v/>
      </c>
    </row>
    <row r="46">
      <c r="A46" s="10" t="n">
        <v>42</v>
      </c>
      <c r="B46" s="16" t="inlineStr">
        <is>
          <t>Kitchen degreaser</t>
        </is>
      </c>
      <c r="C46" s="16" t="inlineStr">
        <is>
          <t>Paper &amp; Cleaning</t>
        </is>
      </c>
      <c r="D46" s="16" t="inlineStr">
        <is>
          <t>gal</t>
        </is>
      </c>
      <c r="E46" s="17" t="n">
        <v>12</v>
      </c>
      <c r="F46" s="16" t="n"/>
      <c r="G46" s="22">
        <f>IF($F46="","",IF($E46="","⚠ missing cost",$F46*$E46))</f>
        <v/>
      </c>
      <c r="H46" s="16" t="n"/>
      <c r="I46" s="19" t="n"/>
      <c r="J46" s="20">
        <f>IF(OR($F46="",$H46=""),"",IF($I46="","⚠ missing purchases",$H46+$I46-$F46))</f>
        <v/>
      </c>
      <c r="K46" s="20">
        <f>IF(OR($F46="",$H46=""),"",$F46-$H46)</f>
        <v/>
      </c>
      <c r="L46" s="21">
        <f>IF(OR($F46="",$H46="",$H46=0),"",$F46/$H46-1)</f>
        <v/>
      </c>
    </row>
    <row r="47">
      <c r="A47" s="8" t="n">
        <v>43</v>
      </c>
      <c r="B47" s="16" t="inlineStr">
        <is>
          <t>Sanitizer (quat)</t>
        </is>
      </c>
      <c r="C47" s="16" t="inlineStr">
        <is>
          <t>Paper &amp; Cleaning</t>
        </is>
      </c>
      <c r="D47" s="16" t="inlineStr">
        <is>
          <t>gal</t>
        </is>
      </c>
      <c r="E47" s="17" t="n">
        <v>18</v>
      </c>
      <c r="F47" s="16" t="n"/>
      <c r="G47" s="18">
        <f>IF($F47="","",IF($E47="","⚠ missing cost",$F47*$E47))</f>
        <v/>
      </c>
      <c r="H47" s="16" t="n"/>
      <c r="I47" s="19" t="n"/>
      <c r="J47" s="20">
        <f>IF(OR($F47="",$H47=""),"",IF($I47="","⚠ missing purchases",$H47+$I47-$F47))</f>
        <v/>
      </c>
      <c r="K47" s="20">
        <f>IF(OR($F47="",$H47=""),"",$F47-$H47)</f>
        <v/>
      </c>
      <c r="L47" s="21">
        <f>IF(OR($F47="",$H47="",$H47=0),"",$F47/$H47-1)</f>
        <v/>
      </c>
    </row>
    <row r="48">
      <c r="A48" s="10" t="n">
        <v>44</v>
      </c>
      <c r="B48" s="16" t="inlineStr">
        <is>
          <t>Full-size hotel pans</t>
        </is>
      </c>
      <c r="C48" s="16" t="inlineStr">
        <is>
          <t>Other</t>
        </is>
      </c>
      <c r="D48" s="16" t="inlineStr">
        <is>
          <t>each</t>
        </is>
      </c>
      <c r="E48" s="17" t="n">
        <v>18</v>
      </c>
      <c r="F48" s="16" t="n"/>
      <c r="G48" s="22">
        <f>IF($F48="","",IF($E48="","⚠ missing cost",$F48*$E48))</f>
        <v/>
      </c>
      <c r="H48" s="16" t="n"/>
      <c r="I48" s="19" t="n"/>
      <c r="J48" s="20">
        <f>IF(OR($F48="",$H48=""),"",IF($I48="","⚠ missing purchases",$H48+$I48-$F48))</f>
        <v/>
      </c>
      <c r="K48" s="20">
        <f>IF(OR($F48="",$H48=""),"",$F48-$H48)</f>
        <v/>
      </c>
      <c r="L48" s="21">
        <f>IF(OR($F48="",$H48="",$H48=0),"",$F48/$H48-1)</f>
        <v/>
      </c>
    </row>
    <row r="49">
      <c r="A49" s="8" t="n">
        <v>45</v>
      </c>
      <c r="B49" s="16" t="inlineStr">
        <is>
          <t>Day dot date labels</t>
        </is>
      </c>
      <c r="C49" s="16" t="inlineStr">
        <is>
          <t>Other</t>
        </is>
      </c>
      <c r="D49" s="16" t="inlineStr">
        <is>
          <t>roll</t>
        </is>
      </c>
      <c r="E49" s="17" t="n">
        <v>7.5</v>
      </c>
      <c r="F49" s="16" t="n"/>
      <c r="G49" s="18">
        <f>IF($F49="","",IF($E49="","⚠ missing cost",$F49*$E49))</f>
        <v/>
      </c>
      <c r="H49" s="16" t="n"/>
      <c r="I49" s="19" t="n"/>
      <c r="J49" s="20">
        <f>IF(OR($F49="",$H49=""),"",IF($I49="","⚠ missing purchases",$H49+$I49-$F49))</f>
        <v/>
      </c>
      <c r="K49" s="20">
        <f>IF(OR($F49="",$H49=""),"",$F49-$H49)</f>
        <v/>
      </c>
      <c r="L49" s="21">
        <f>IF(OR($F49="",$H49="",$H49=0),"",$F49/$H49-1)</f>
        <v/>
      </c>
    </row>
    <row r="50">
      <c r="A50" s="10" t="n">
        <v>46</v>
      </c>
      <c r="B50" s="16" t="inlineStr">
        <is>
          <t>POS receipt paper rolls</t>
        </is>
      </c>
      <c r="C50" s="16" t="inlineStr">
        <is>
          <t>Other</t>
        </is>
      </c>
      <c r="D50" s="16" t="inlineStr">
        <is>
          <t>pack</t>
        </is>
      </c>
      <c r="E50" s="17" t="n">
        <v>12</v>
      </c>
      <c r="F50" s="16" t="n"/>
      <c r="G50" s="22">
        <f>IF($F50="","",IF($E50="","⚠ missing cost",$F50*$E50))</f>
        <v/>
      </c>
      <c r="H50" s="16" t="n"/>
      <c r="I50" s="19" t="n"/>
      <c r="J50" s="20">
        <f>IF(OR($F50="",$H50=""),"",IF($I50="","⚠ missing purchases",$H50+$I50-$F50))</f>
        <v/>
      </c>
      <c r="K50" s="20">
        <f>IF(OR($F50="",$H50=""),"",$F50-$H50)</f>
        <v/>
      </c>
      <c r="L50" s="21">
        <f>IF(OR($F50="",$H50="",$H50=0),"",$F50/$H50-1)</f>
        <v/>
      </c>
    </row>
    <row r="51">
      <c r="A51" s="8" t="n">
        <v>47</v>
      </c>
      <c r="B51" s="16" t="inlineStr">
        <is>
          <t>Beverage napkins (storeroom backup)</t>
        </is>
      </c>
      <c r="C51" s="16" t="inlineStr">
        <is>
          <t>Paper &amp; Cleaning</t>
        </is>
      </c>
      <c r="D51" s="16" t="inlineStr">
        <is>
          <t>case</t>
        </is>
      </c>
      <c r="E51" s="17" t="n">
        <v>28</v>
      </c>
      <c r="F51" s="16" t="n"/>
      <c r="G51" s="18">
        <f>IF($F51="","",IF($E51="","⚠ missing cost",$F51*$E51))</f>
        <v/>
      </c>
      <c r="H51" s="16" t="n"/>
      <c r="I51" s="19" t="n"/>
      <c r="J51" s="20">
        <f>IF(OR($F51="",$H51=""),"",IF($I51="","⚠ missing purchases",$H51+$I51-$F51))</f>
        <v/>
      </c>
      <c r="K51" s="20">
        <f>IF(OR($F51="",$H51=""),"",$F51-$H51)</f>
        <v/>
      </c>
      <c r="L51" s="21">
        <f>IF(OR($F51="",$H51="",$H51=0),"",$F51/$H51-1)</f>
        <v/>
      </c>
    </row>
    <row r="52">
      <c r="A52" s="10" t="n">
        <v>48</v>
      </c>
      <c r="B52" s="16" t="inlineStr">
        <is>
          <t>Canola fryer oil (35 lb jug)</t>
        </is>
      </c>
      <c r="C52" s="16" t="inlineStr">
        <is>
          <t>Dry Goods</t>
        </is>
      </c>
      <c r="D52" s="16" t="inlineStr">
        <is>
          <t>lb</t>
        </is>
      </c>
      <c r="E52" s="17" t="n">
        <v>1.26</v>
      </c>
      <c r="F52" s="16" t="n"/>
      <c r="G52" s="22">
        <f>IF($F52="","",IF($E52="","⚠ missing cost",$F52*$E52))</f>
        <v/>
      </c>
      <c r="H52" s="16" t="n"/>
      <c r="I52" s="19" t="n"/>
      <c r="J52" s="20">
        <f>IF(OR($F52="",$H52=""),"",IF($I52="","⚠ missing purchases",$H52+$I52-$F52))</f>
        <v/>
      </c>
      <c r="K52" s="20">
        <f>IF(OR($F52="",$H52=""),"",$F52-$H52)</f>
        <v/>
      </c>
      <c r="L52" s="21">
        <f>IF(OR($F52="",$H52="",$H52=0),"",$F52/$H52-1)</f>
        <v/>
      </c>
    </row>
    <row r="53">
      <c r="A53" s="8" t="n">
        <v>49</v>
      </c>
      <c r="B53" s="16" t="inlineStr">
        <is>
          <t>Red wine vinegar</t>
        </is>
      </c>
      <c r="C53" s="16" t="inlineStr">
        <is>
          <t>Dry Goods</t>
        </is>
      </c>
      <c r="D53" s="16" t="inlineStr">
        <is>
          <t>gal</t>
        </is>
      </c>
      <c r="E53" s="17" t="n">
        <v>9</v>
      </c>
      <c r="F53" s="16" t="n"/>
      <c r="G53" s="18">
        <f>IF($F53="","",IF($E53="","⚠ missing cost",$F53*$E53))</f>
        <v/>
      </c>
      <c r="H53" s="16" t="n"/>
      <c r="I53" s="19" t="n"/>
      <c r="J53" s="20">
        <f>IF(OR($F53="",$H53=""),"",IF($I53="","⚠ missing purchases",$H53+$I53-$F53))</f>
        <v/>
      </c>
      <c r="K53" s="20">
        <f>IF(OR($F53="",$H53=""),"",$F53-$H53)</f>
        <v/>
      </c>
      <c r="L53" s="21">
        <f>IF(OR($F53="",$H53="",$H53=0),"",$F53/$H53-1)</f>
        <v/>
      </c>
    </row>
    <row r="54">
      <c r="A54" s="10" t="n">
        <v>50</v>
      </c>
      <c r="B54" s="16" t="inlineStr">
        <is>
          <t>Dried beans</t>
        </is>
      </c>
      <c r="C54" s="16" t="inlineStr">
        <is>
          <t>Dry Goods</t>
        </is>
      </c>
      <c r="D54" s="16" t="inlineStr">
        <is>
          <t>lb</t>
        </is>
      </c>
      <c r="E54" s="17" t="n">
        <v>1.3</v>
      </c>
      <c r="F54" s="16" t="n"/>
      <c r="G54" s="22">
        <f>IF($F54="","",IF($E54="","⚠ missing cost",$F54*$E54))</f>
        <v/>
      </c>
      <c r="H54" s="16" t="n"/>
      <c r="I54" s="19" t="n"/>
      <c r="J54" s="20">
        <f>IF(OR($F54="",$H54=""),"",IF($I54="","⚠ missing purchases",$H54+$I54-$F54))</f>
        <v/>
      </c>
      <c r="K54" s="20">
        <f>IF(OR($F54="",$H54=""),"",$F54-$H54)</f>
        <v/>
      </c>
      <c r="L54" s="21">
        <f>IF(OR($F54="",$H54="",$H54=0),"",$F54/$H54-1)</f>
        <v/>
      </c>
    </row>
    <row r="55">
      <c r="A55" s="8" t="n">
        <v>51</v>
      </c>
      <c r="B55" s="16" t="n"/>
      <c r="C55" s="16" t="n"/>
      <c r="D55" s="16" t="n"/>
      <c r="E55" s="17" t="n"/>
      <c r="F55" s="16" t="n"/>
      <c r="G55" s="18">
        <f>IF($F55="","",IF($E55="","⚠ missing cost",$F55*$E55))</f>
        <v/>
      </c>
      <c r="H55" s="16" t="n"/>
      <c r="I55" s="19" t="n"/>
      <c r="J55" s="20">
        <f>IF(OR($F55="",$H55=""),"",IF($I55="","⚠ missing purchases",$H55+$I55-$F55))</f>
        <v/>
      </c>
      <c r="K55" s="20">
        <f>IF(OR($F55="",$H55=""),"",$F55-$H55)</f>
        <v/>
      </c>
      <c r="L55" s="21">
        <f>IF(OR($F55="",$H55="",$H55=0),"",$F55/$H55-1)</f>
        <v/>
      </c>
    </row>
    <row r="56">
      <c r="A56" s="10" t="n">
        <v>52</v>
      </c>
      <c r="B56" s="16" t="n"/>
      <c r="C56" s="16" t="n"/>
      <c r="D56" s="16" t="n"/>
      <c r="E56" s="17" t="n"/>
      <c r="F56" s="16" t="n"/>
      <c r="G56" s="22">
        <f>IF($F56="","",IF($E56="","⚠ missing cost",$F56*$E56))</f>
        <v/>
      </c>
      <c r="H56" s="16" t="n"/>
      <c r="I56" s="19" t="n"/>
      <c r="J56" s="20">
        <f>IF(OR($F56="",$H56=""),"",IF($I56="","⚠ missing purchases",$H56+$I56-$F56))</f>
        <v/>
      </c>
      <c r="K56" s="20">
        <f>IF(OR($F56="",$H56=""),"",$F56-$H56)</f>
        <v/>
      </c>
      <c r="L56" s="21">
        <f>IF(OR($F56="",$H56="",$H56=0),"",$F56/$H56-1)</f>
        <v/>
      </c>
    </row>
    <row r="57">
      <c r="A57" s="8" t="n">
        <v>53</v>
      </c>
      <c r="B57" s="16" t="n"/>
      <c r="C57" s="16" t="n"/>
      <c r="D57" s="16" t="n"/>
      <c r="E57" s="17" t="n"/>
      <c r="F57" s="16" t="n"/>
      <c r="G57" s="18">
        <f>IF($F57="","",IF($E57="","⚠ missing cost",$F57*$E57))</f>
        <v/>
      </c>
      <c r="H57" s="16" t="n"/>
      <c r="I57" s="19" t="n"/>
      <c r="J57" s="20">
        <f>IF(OR($F57="",$H57=""),"",IF($I57="","⚠ missing purchases",$H57+$I57-$F57))</f>
        <v/>
      </c>
      <c r="K57" s="20">
        <f>IF(OR($F57="",$H57=""),"",$F57-$H57)</f>
        <v/>
      </c>
      <c r="L57" s="21">
        <f>IF(OR($F57="",$H57="",$H57=0),"",$F57/$H57-1)</f>
        <v/>
      </c>
    </row>
    <row r="58">
      <c r="A58" s="10" t="n">
        <v>54</v>
      </c>
      <c r="B58" s="16" t="n"/>
      <c r="C58" s="16" t="n"/>
      <c r="D58" s="16" t="n"/>
      <c r="E58" s="17" t="n"/>
      <c r="F58" s="16" t="n"/>
      <c r="G58" s="22">
        <f>IF($F58="","",IF($E58="","⚠ missing cost",$F58*$E58))</f>
        <v/>
      </c>
      <c r="H58" s="16" t="n"/>
      <c r="I58" s="19" t="n"/>
      <c r="J58" s="20">
        <f>IF(OR($F58="",$H58=""),"",IF($I58="","⚠ missing purchases",$H58+$I58-$F58))</f>
        <v/>
      </c>
      <c r="K58" s="20">
        <f>IF(OR($F58="",$H58=""),"",$F58-$H58)</f>
        <v/>
      </c>
      <c r="L58" s="21">
        <f>IF(OR($F58="",$H58="",$H58=0),"",$F58/$H58-1)</f>
        <v/>
      </c>
    </row>
    <row r="59">
      <c r="A59" s="8" t="n">
        <v>55</v>
      </c>
      <c r="B59" s="16" t="n"/>
      <c r="C59" s="16" t="n"/>
      <c r="D59" s="16" t="n"/>
      <c r="E59" s="17" t="n"/>
      <c r="F59" s="16" t="n"/>
      <c r="G59" s="18">
        <f>IF($F59="","",IF($E59="","⚠ missing cost",$F59*$E59))</f>
        <v/>
      </c>
      <c r="H59" s="16" t="n"/>
      <c r="I59" s="19" t="n"/>
      <c r="J59" s="20">
        <f>IF(OR($F59="",$H59=""),"",IF($I59="","⚠ missing purchases",$H59+$I59-$F59))</f>
        <v/>
      </c>
      <c r="K59" s="20">
        <f>IF(OR($F59="",$H59=""),"",$F59-$H59)</f>
        <v/>
      </c>
      <c r="L59" s="21">
        <f>IF(OR($F59="",$H59="",$H59=0),"",$F59/$H59-1)</f>
        <v/>
      </c>
    </row>
    <row r="60">
      <c r="A60" s="10" t="n">
        <v>56</v>
      </c>
      <c r="B60" s="16" t="n"/>
      <c r="C60" s="16" t="n"/>
      <c r="D60" s="16" t="n"/>
      <c r="E60" s="17" t="n"/>
      <c r="F60" s="16" t="n"/>
      <c r="G60" s="22">
        <f>IF($F60="","",IF($E60="","⚠ missing cost",$F60*$E60))</f>
        <v/>
      </c>
      <c r="H60" s="16" t="n"/>
      <c r="I60" s="19" t="n"/>
      <c r="J60" s="20">
        <f>IF(OR($F60="",$H60=""),"",IF($I60="","⚠ missing purchases",$H60+$I60-$F60))</f>
        <v/>
      </c>
      <c r="K60" s="20">
        <f>IF(OR($F60="",$H60=""),"",$F60-$H60)</f>
        <v/>
      </c>
      <c r="L60" s="21">
        <f>IF(OR($F60="",$H60="",$H60=0),"",$F60/$H60-1)</f>
        <v/>
      </c>
    </row>
    <row r="61">
      <c r="A61" s="8" t="n">
        <v>57</v>
      </c>
      <c r="B61" s="16" t="n"/>
      <c r="C61" s="16" t="n"/>
      <c r="D61" s="16" t="n"/>
      <c r="E61" s="17" t="n"/>
      <c r="F61" s="16" t="n"/>
      <c r="G61" s="18">
        <f>IF($F61="","",IF($E61="","⚠ missing cost",$F61*$E61))</f>
        <v/>
      </c>
      <c r="H61" s="16" t="n"/>
      <c r="I61" s="19" t="n"/>
      <c r="J61" s="20">
        <f>IF(OR($F61="",$H61=""),"",IF($I61="","⚠ missing purchases",$H61+$I61-$F61))</f>
        <v/>
      </c>
      <c r="K61" s="20">
        <f>IF(OR($F61="",$H61=""),"",$F61-$H61)</f>
        <v/>
      </c>
      <c r="L61" s="21">
        <f>IF(OR($F61="",$H61="",$H61=0),"",$F61/$H61-1)</f>
        <v/>
      </c>
    </row>
    <row r="62">
      <c r="A62" s="10" t="n">
        <v>58</v>
      </c>
      <c r="B62" s="16" t="n"/>
      <c r="C62" s="16" t="n"/>
      <c r="D62" s="16" t="n"/>
      <c r="E62" s="17" t="n"/>
      <c r="F62" s="16" t="n"/>
      <c r="G62" s="22">
        <f>IF($F62="","",IF($E62="","⚠ missing cost",$F62*$E62))</f>
        <v/>
      </c>
      <c r="H62" s="16" t="n"/>
      <c r="I62" s="19" t="n"/>
      <c r="J62" s="20">
        <f>IF(OR($F62="",$H62=""),"",IF($I62="","⚠ missing purchases",$H62+$I62-$F62))</f>
        <v/>
      </c>
      <c r="K62" s="20">
        <f>IF(OR($F62="",$H62=""),"",$F62-$H62)</f>
        <v/>
      </c>
      <c r="L62" s="21">
        <f>IF(OR($F62="",$H62="",$H62=0),"",$F62/$H62-1)</f>
        <v/>
      </c>
    </row>
    <row r="63">
      <c r="A63" s="8" t="n">
        <v>59</v>
      </c>
      <c r="B63" s="16" t="n"/>
      <c r="C63" s="16" t="n"/>
      <c r="D63" s="16" t="n"/>
      <c r="E63" s="17" t="n"/>
      <c r="F63" s="16" t="n"/>
      <c r="G63" s="18">
        <f>IF($F63="","",IF($E63="","⚠ missing cost",$F63*$E63))</f>
        <v/>
      </c>
      <c r="H63" s="16" t="n"/>
      <c r="I63" s="19" t="n"/>
      <c r="J63" s="20">
        <f>IF(OR($F63="",$H63=""),"",IF($I63="","⚠ missing purchases",$H63+$I63-$F63))</f>
        <v/>
      </c>
      <c r="K63" s="20">
        <f>IF(OR($F63="",$H63=""),"",$F63-$H63)</f>
        <v/>
      </c>
      <c r="L63" s="21">
        <f>IF(OR($F63="",$H63="",$H63=0),"",$F63/$H63-1)</f>
        <v/>
      </c>
    </row>
    <row r="64">
      <c r="A64" s="10" t="n">
        <v>60</v>
      </c>
      <c r="B64" s="16" t="n"/>
      <c r="C64" s="16" t="n"/>
      <c r="D64" s="16" t="n"/>
      <c r="E64" s="17" t="n"/>
      <c r="F64" s="16" t="n"/>
      <c r="G64" s="22">
        <f>IF($F64="","",IF($E64="","⚠ missing cost",$F64*$E64))</f>
        <v/>
      </c>
      <c r="H64" s="16" t="n"/>
      <c r="I64" s="19" t="n"/>
      <c r="J64" s="20">
        <f>IF(OR($F64="",$H64=""),"",IF($I64="","⚠ missing purchases",$H64+$I64-$F64))</f>
        <v/>
      </c>
      <c r="K64" s="20">
        <f>IF(OR($F64="",$H64=""),"",$F64-$H64)</f>
        <v/>
      </c>
      <c r="L64" s="21">
        <f>IF(OR($F64="",$H64="",$H64=0),"",$F64/$H64-1)</f>
        <v/>
      </c>
    </row>
    <row r="65">
      <c r="A65" s="8" t="n">
        <v>61</v>
      </c>
      <c r="B65" s="16" t="n"/>
      <c r="C65" s="16" t="n"/>
      <c r="D65" s="16" t="n"/>
      <c r="E65" s="17" t="n"/>
      <c r="F65" s="16" t="n"/>
      <c r="G65" s="18">
        <f>IF($F65="","",IF($E65="","⚠ missing cost",$F65*$E65))</f>
        <v/>
      </c>
      <c r="H65" s="16" t="n"/>
      <c r="I65" s="19" t="n"/>
      <c r="J65" s="20">
        <f>IF(OR($F65="",$H65=""),"",IF($I65="","⚠ missing purchases",$H65+$I65-$F65))</f>
        <v/>
      </c>
      <c r="K65" s="20">
        <f>IF(OR($F65="",$H65=""),"",$F65-$H65)</f>
        <v/>
      </c>
      <c r="L65" s="21">
        <f>IF(OR($F65="",$H65="",$H65=0),"",$F65/$H65-1)</f>
        <v/>
      </c>
    </row>
    <row r="66">
      <c r="A66" s="10" t="n">
        <v>62</v>
      </c>
      <c r="B66" s="16" t="n"/>
      <c r="C66" s="16" t="n"/>
      <c r="D66" s="16" t="n"/>
      <c r="E66" s="17" t="n"/>
      <c r="F66" s="16" t="n"/>
      <c r="G66" s="22">
        <f>IF($F66="","",IF($E66="","⚠ missing cost",$F66*$E66))</f>
        <v/>
      </c>
      <c r="H66" s="16" t="n"/>
      <c r="I66" s="19" t="n"/>
      <c r="J66" s="20">
        <f>IF(OR($F66="",$H66=""),"",IF($I66="","⚠ missing purchases",$H66+$I66-$F66))</f>
        <v/>
      </c>
      <c r="K66" s="20">
        <f>IF(OR($F66="",$H66=""),"",$F66-$H66)</f>
        <v/>
      </c>
      <c r="L66" s="21">
        <f>IF(OR($F66="",$H66="",$H66=0),"",$F66/$H66-1)</f>
        <v/>
      </c>
    </row>
    <row r="67">
      <c r="A67" s="8" t="n">
        <v>63</v>
      </c>
      <c r="B67" s="16" t="n"/>
      <c r="C67" s="16" t="n"/>
      <c r="D67" s="16" t="n"/>
      <c r="E67" s="17" t="n"/>
      <c r="F67" s="16" t="n"/>
      <c r="G67" s="18">
        <f>IF($F67="","",IF($E67="","⚠ missing cost",$F67*$E67))</f>
        <v/>
      </c>
      <c r="H67" s="16" t="n"/>
      <c r="I67" s="19" t="n"/>
      <c r="J67" s="20">
        <f>IF(OR($F67="",$H67=""),"",IF($I67="","⚠ missing purchases",$H67+$I67-$F67))</f>
        <v/>
      </c>
      <c r="K67" s="20">
        <f>IF(OR($F67="",$H67=""),"",$F67-$H67)</f>
        <v/>
      </c>
      <c r="L67" s="21">
        <f>IF(OR($F67="",$H67="",$H67=0),"",$F67/$H67-1)</f>
        <v/>
      </c>
    </row>
    <row r="68">
      <c r="A68" s="10" t="n">
        <v>64</v>
      </c>
      <c r="B68" s="16" t="n"/>
      <c r="C68" s="16" t="n"/>
      <c r="D68" s="16" t="n"/>
      <c r="E68" s="17" t="n"/>
      <c r="F68" s="16" t="n"/>
      <c r="G68" s="22">
        <f>IF($F68="","",IF($E68="","⚠ missing cost",$F68*$E68))</f>
        <v/>
      </c>
      <c r="H68" s="16" t="n"/>
      <c r="I68" s="19" t="n"/>
      <c r="J68" s="20">
        <f>IF(OR($F68="",$H68=""),"",IF($I68="","⚠ missing purchases",$H68+$I68-$F68))</f>
        <v/>
      </c>
      <c r="K68" s="20">
        <f>IF(OR($F68="",$H68=""),"",$F68-$H68)</f>
        <v/>
      </c>
      <c r="L68" s="21">
        <f>IF(OR($F68="",$H68="",$H68=0),"",$F68/$H68-1)</f>
        <v/>
      </c>
    </row>
    <row r="69">
      <c r="A69" s="8" t="n">
        <v>65</v>
      </c>
      <c r="B69" s="16" t="n"/>
      <c r="C69" s="16" t="n"/>
      <c r="D69" s="16" t="n"/>
      <c r="E69" s="17" t="n"/>
      <c r="F69" s="16" t="n"/>
      <c r="G69" s="18">
        <f>IF($F69="","",IF($E69="","⚠ missing cost",$F69*$E69))</f>
        <v/>
      </c>
      <c r="H69" s="16" t="n"/>
      <c r="I69" s="19" t="n"/>
      <c r="J69" s="20">
        <f>IF(OR($F69="",$H69=""),"",IF($I69="","⚠ missing purchases",$H69+$I69-$F69))</f>
        <v/>
      </c>
      <c r="K69" s="20">
        <f>IF(OR($F69="",$H69=""),"",$F69-$H69)</f>
        <v/>
      </c>
      <c r="L69" s="21">
        <f>IF(OR($F69="",$H69="",$H69=0),"",$F69/$H69-1)</f>
        <v/>
      </c>
    </row>
    <row r="70">
      <c r="A70" s="10" t="n">
        <v>66</v>
      </c>
      <c r="B70" s="16" t="n"/>
      <c r="C70" s="16" t="n"/>
      <c r="D70" s="16" t="n"/>
      <c r="E70" s="17" t="n"/>
      <c r="F70" s="16" t="n"/>
      <c r="G70" s="22">
        <f>IF($F70="","",IF($E70="","⚠ missing cost",$F70*$E70))</f>
        <v/>
      </c>
      <c r="H70" s="16" t="n"/>
      <c r="I70" s="19" t="n"/>
      <c r="J70" s="20">
        <f>IF(OR($F70="",$H70=""),"",IF($I70="","⚠ missing purchases",$H70+$I70-$F70))</f>
        <v/>
      </c>
      <c r="K70" s="20">
        <f>IF(OR($F70="",$H70=""),"",$F70-$H70)</f>
        <v/>
      </c>
      <c r="L70" s="21">
        <f>IF(OR($F70="",$H70="",$H70=0),"",$F70/$H70-1)</f>
        <v/>
      </c>
    </row>
    <row r="71">
      <c r="A71" s="8" t="n">
        <v>67</v>
      </c>
      <c r="B71" s="16" t="n"/>
      <c r="C71" s="16" t="n"/>
      <c r="D71" s="16" t="n"/>
      <c r="E71" s="17" t="n"/>
      <c r="F71" s="16" t="n"/>
      <c r="G71" s="18">
        <f>IF($F71="","",IF($E71="","⚠ missing cost",$F71*$E71))</f>
        <v/>
      </c>
      <c r="H71" s="16" t="n"/>
      <c r="I71" s="19" t="n"/>
      <c r="J71" s="20">
        <f>IF(OR($F71="",$H71=""),"",IF($I71="","⚠ missing purchases",$H71+$I71-$F71))</f>
        <v/>
      </c>
      <c r="K71" s="20">
        <f>IF(OR($F71="",$H71=""),"",$F71-$H71)</f>
        <v/>
      </c>
      <c r="L71" s="21">
        <f>IF(OR($F71="",$H71="",$H71=0),"",$F71/$H71-1)</f>
        <v/>
      </c>
    </row>
    <row r="72">
      <c r="A72" s="10" t="n">
        <v>68</v>
      </c>
      <c r="B72" s="16" t="n"/>
      <c r="C72" s="16" t="n"/>
      <c r="D72" s="16" t="n"/>
      <c r="E72" s="17" t="n"/>
      <c r="F72" s="16" t="n"/>
      <c r="G72" s="22">
        <f>IF($F72="","",IF($E72="","⚠ missing cost",$F72*$E72))</f>
        <v/>
      </c>
      <c r="H72" s="16" t="n"/>
      <c r="I72" s="19" t="n"/>
      <c r="J72" s="20">
        <f>IF(OR($F72="",$H72=""),"",IF($I72="","⚠ missing purchases",$H72+$I72-$F72))</f>
        <v/>
      </c>
      <c r="K72" s="20">
        <f>IF(OR($F72="",$H72=""),"",$F72-$H72)</f>
        <v/>
      </c>
      <c r="L72" s="21">
        <f>IF(OR($F72="",$H72="",$H72=0),"",$F72/$H72-1)</f>
        <v/>
      </c>
    </row>
    <row r="73">
      <c r="A73" s="8" t="n">
        <v>69</v>
      </c>
      <c r="B73" s="16" t="n"/>
      <c r="C73" s="16" t="n"/>
      <c r="D73" s="16" t="n"/>
      <c r="E73" s="17" t="n"/>
      <c r="F73" s="16" t="n"/>
      <c r="G73" s="18">
        <f>IF($F73="","",IF($E73="","⚠ missing cost",$F73*$E73))</f>
        <v/>
      </c>
      <c r="H73" s="16" t="n"/>
      <c r="I73" s="19" t="n"/>
      <c r="J73" s="20">
        <f>IF(OR($F73="",$H73=""),"",IF($I73="","⚠ missing purchases",$H73+$I73-$F73))</f>
        <v/>
      </c>
      <c r="K73" s="20">
        <f>IF(OR($F73="",$H73=""),"",$F73-$H73)</f>
        <v/>
      </c>
      <c r="L73" s="21">
        <f>IF(OR($F73="",$H73="",$H73=0),"",$F73/$H73-1)</f>
        <v/>
      </c>
    </row>
    <row r="74">
      <c r="A74" s="10" t="n">
        <v>70</v>
      </c>
      <c r="B74" s="16" t="n"/>
      <c r="C74" s="16" t="n"/>
      <c r="D74" s="16" t="n"/>
      <c r="E74" s="17" t="n"/>
      <c r="F74" s="16" t="n"/>
      <c r="G74" s="22">
        <f>IF($F74="","",IF($E74="","⚠ missing cost",$F74*$E74))</f>
        <v/>
      </c>
      <c r="H74" s="16" t="n"/>
      <c r="I74" s="19" t="n"/>
      <c r="J74" s="20">
        <f>IF(OR($F74="",$H74=""),"",IF($I74="","⚠ missing purchases",$H74+$I74-$F74))</f>
        <v/>
      </c>
      <c r="K74" s="20">
        <f>IF(OR($F74="",$H74=""),"",$F74-$H74)</f>
        <v/>
      </c>
      <c r="L74" s="21">
        <f>IF(OR($F74="",$H74="",$H74=0),"",$F74/$H74-1)</f>
        <v/>
      </c>
    </row>
    <row r="75">
      <c r="A75" s="8" t="n">
        <v>71</v>
      </c>
      <c r="B75" s="16" t="n"/>
      <c r="C75" s="16" t="n"/>
      <c r="D75" s="16" t="n"/>
      <c r="E75" s="17" t="n"/>
      <c r="F75" s="16" t="n"/>
      <c r="G75" s="18">
        <f>IF($F75="","",IF($E75="","⚠ missing cost",$F75*$E75))</f>
        <v/>
      </c>
      <c r="H75" s="16" t="n"/>
      <c r="I75" s="19" t="n"/>
      <c r="J75" s="20">
        <f>IF(OR($F75="",$H75=""),"",IF($I75="","⚠ missing purchases",$H75+$I75-$F75))</f>
        <v/>
      </c>
      <c r="K75" s="20">
        <f>IF(OR($F75="",$H75=""),"",$F75-$H75)</f>
        <v/>
      </c>
      <c r="L75" s="21">
        <f>IF(OR($F75="",$H75="",$H75=0),"",$F75/$H75-1)</f>
        <v/>
      </c>
    </row>
    <row r="76">
      <c r="A76" s="10" t="n">
        <v>72</v>
      </c>
      <c r="B76" s="16" t="n"/>
      <c r="C76" s="16" t="n"/>
      <c r="D76" s="16" t="n"/>
      <c r="E76" s="17" t="n"/>
      <c r="F76" s="16" t="n"/>
      <c r="G76" s="22">
        <f>IF($F76="","",IF($E76="","⚠ missing cost",$F76*$E76))</f>
        <v/>
      </c>
      <c r="H76" s="16" t="n"/>
      <c r="I76" s="19" t="n"/>
      <c r="J76" s="20">
        <f>IF(OR($F76="",$H76=""),"",IF($I76="","⚠ missing purchases",$H76+$I76-$F76))</f>
        <v/>
      </c>
      <c r="K76" s="20">
        <f>IF(OR($F76="",$H76=""),"",$F76-$H76)</f>
        <v/>
      </c>
      <c r="L76" s="21">
        <f>IF(OR($F76="",$H76="",$H76=0),"",$F76/$H76-1)</f>
        <v/>
      </c>
    </row>
    <row r="77">
      <c r="A77" s="8" t="n">
        <v>73</v>
      </c>
      <c r="B77" s="16" t="n"/>
      <c r="C77" s="16" t="n"/>
      <c r="D77" s="16" t="n"/>
      <c r="E77" s="17" t="n"/>
      <c r="F77" s="16" t="n"/>
      <c r="G77" s="18">
        <f>IF($F77="","",IF($E77="","⚠ missing cost",$F77*$E77))</f>
        <v/>
      </c>
      <c r="H77" s="16" t="n"/>
      <c r="I77" s="19" t="n"/>
      <c r="J77" s="20">
        <f>IF(OR($F77="",$H77=""),"",IF($I77="","⚠ missing purchases",$H77+$I77-$F77))</f>
        <v/>
      </c>
      <c r="K77" s="20">
        <f>IF(OR($F77="",$H77=""),"",$F77-$H77)</f>
        <v/>
      </c>
      <c r="L77" s="21">
        <f>IF(OR($F77="",$H77="",$H77=0),"",$F77/$H77-1)</f>
        <v/>
      </c>
    </row>
    <row r="78">
      <c r="A78" s="10" t="n">
        <v>74</v>
      </c>
      <c r="B78" s="16" t="n"/>
      <c r="C78" s="16" t="n"/>
      <c r="D78" s="16" t="n"/>
      <c r="E78" s="17" t="n"/>
      <c r="F78" s="16" t="n"/>
      <c r="G78" s="22">
        <f>IF($F78="","",IF($E78="","⚠ missing cost",$F78*$E78))</f>
        <v/>
      </c>
      <c r="H78" s="16" t="n"/>
      <c r="I78" s="19" t="n"/>
      <c r="J78" s="20">
        <f>IF(OR($F78="",$H78=""),"",IF($I78="","⚠ missing purchases",$H78+$I78-$F78))</f>
        <v/>
      </c>
      <c r="K78" s="20">
        <f>IF(OR($F78="",$H78=""),"",$F78-$H78)</f>
        <v/>
      </c>
      <c r="L78" s="21">
        <f>IF(OR($F78="",$H78="",$H78=0),"",$F78/$H78-1)</f>
        <v/>
      </c>
    </row>
    <row r="79">
      <c r="A79" s="8" t="n">
        <v>75</v>
      </c>
      <c r="B79" s="16" t="n"/>
      <c r="C79" s="16" t="n"/>
      <c r="D79" s="16" t="n"/>
      <c r="E79" s="17" t="n"/>
      <c r="F79" s="16" t="n"/>
      <c r="G79" s="18">
        <f>IF($F79="","",IF($E79="","⚠ missing cost",$F79*$E79))</f>
        <v/>
      </c>
      <c r="H79" s="16" t="n"/>
      <c r="I79" s="19" t="n"/>
      <c r="J79" s="20">
        <f>IF(OR($F79="",$H79=""),"",IF($I79="","⚠ missing purchases",$H79+$I79-$F79))</f>
        <v/>
      </c>
      <c r="K79" s="20">
        <f>IF(OR($F79="",$H79=""),"",$F79-$H79)</f>
        <v/>
      </c>
      <c r="L79" s="21">
        <f>IF(OR($F79="",$H79="",$H79=0),"",$F79/$H79-1)</f>
        <v/>
      </c>
    </row>
    <row r="80">
      <c r="A80" s="10" t="n">
        <v>76</v>
      </c>
      <c r="B80" s="16" t="n"/>
      <c r="C80" s="16" t="n"/>
      <c r="D80" s="16" t="n"/>
      <c r="E80" s="17" t="n"/>
      <c r="F80" s="16" t="n"/>
      <c r="G80" s="22">
        <f>IF($F80="","",IF($E80="","⚠ missing cost",$F80*$E80))</f>
        <v/>
      </c>
      <c r="H80" s="16" t="n"/>
      <c r="I80" s="19" t="n"/>
      <c r="J80" s="20">
        <f>IF(OR($F80="",$H80=""),"",IF($I80="","⚠ missing purchases",$H80+$I80-$F80))</f>
        <v/>
      </c>
      <c r="K80" s="20">
        <f>IF(OR($F80="",$H80=""),"",$F80-$H80)</f>
        <v/>
      </c>
      <c r="L80" s="21">
        <f>IF(OR($F80="",$H80="",$H80=0),"",$F80/$H80-1)</f>
        <v/>
      </c>
    </row>
    <row r="81">
      <c r="A81" s="8" t="n">
        <v>77</v>
      </c>
      <c r="B81" s="16" t="n"/>
      <c r="C81" s="16" t="n"/>
      <c r="D81" s="16" t="n"/>
      <c r="E81" s="17" t="n"/>
      <c r="F81" s="16" t="n"/>
      <c r="G81" s="18">
        <f>IF($F81="","",IF($E81="","⚠ missing cost",$F81*$E81))</f>
        <v/>
      </c>
      <c r="H81" s="16" t="n"/>
      <c r="I81" s="19" t="n"/>
      <c r="J81" s="20">
        <f>IF(OR($F81="",$H81=""),"",IF($I81="","⚠ missing purchases",$H81+$I81-$F81))</f>
        <v/>
      </c>
      <c r="K81" s="20">
        <f>IF(OR($F81="",$H81=""),"",$F81-$H81)</f>
        <v/>
      </c>
      <c r="L81" s="21">
        <f>IF(OR($F81="",$H81="",$H81=0),"",$F81/$H81-1)</f>
        <v/>
      </c>
    </row>
    <row r="82">
      <c r="A82" s="10" t="n">
        <v>78</v>
      </c>
      <c r="B82" s="16" t="n"/>
      <c r="C82" s="16" t="n"/>
      <c r="D82" s="16" t="n"/>
      <c r="E82" s="17" t="n"/>
      <c r="F82" s="16" t="n"/>
      <c r="G82" s="22">
        <f>IF($F82="","",IF($E82="","⚠ missing cost",$F82*$E82))</f>
        <v/>
      </c>
      <c r="H82" s="16" t="n"/>
      <c r="I82" s="19" t="n"/>
      <c r="J82" s="20">
        <f>IF(OR($F82="",$H82=""),"",IF($I82="","⚠ missing purchases",$H82+$I82-$F82))</f>
        <v/>
      </c>
      <c r="K82" s="20">
        <f>IF(OR($F82="",$H82=""),"",$F82-$H82)</f>
        <v/>
      </c>
      <c r="L82" s="21">
        <f>IF(OR($F82="",$H82="",$H82=0),"",$F82/$H82-1)</f>
        <v/>
      </c>
    </row>
    <row r="83">
      <c r="A83" s="8" t="n">
        <v>79</v>
      </c>
      <c r="B83" s="16" t="n"/>
      <c r="C83" s="16" t="n"/>
      <c r="D83" s="16" t="n"/>
      <c r="E83" s="17" t="n"/>
      <c r="F83" s="16" t="n"/>
      <c r="G83" s="18">
        <f>IF($F83="","",IF($E83="","⚠ missing cost",$F83*$E83))</f>
        <v/>
      </c>
      <c r="H83" s="16" t="n"/>
      <c r="I83" s="19" t="n"/>
      <c r="J83" s="20">
        <f>IF(OR($F83="",$H83=""),"",IF($I83="","⚠ missing purchases",$H83+$I83-$F83))</f>
        <v/>
      </c>
      <c r="K83" s="20">
        <f>IF(OR($F83="",$H83=""),"",$F83-$H83)</f>
        <v/>
      </c>
      <c r="L83" s="21">
        <f>IF(OR($F83="",$H83="",$H83=0),"",$F83/$H83-1)</f>
        <v/>
      </c>
    </row>
    <row r="84">
      <c r="A84" s="10" t="n">
        <v>80</v>
      </c>
      <c r="B84" s="16" t="n"/>
      <c r="C84" s="16" t="n"/>
      <c r="D84" s="16" t="n"/>
      <c r="E84" s="17" t="n"/>
      <c r="F84" s="16" t="n"/>
      <c r="G84" s="22">
        <f>IF($F84="","",IF($E84="","⚠ missing cost",$F84*$E84))</f>
        <v/>
      </c>
      <c r="H84" s="16" t="n"/>
      <c r="I84" s="19" t="n"/>
      <c r="J84" s="20">
        <f>IF(OR($F84="",$H84=""),"",IF($I84="","⚠ missing purchases",$H84+$I84-$F84))</f>
        <v/>
      </c>
      <c r="K84" s="20">
        <f>IF(OR($F84="",$H84=""),"",$F84-$H84)</f>
        <v/>
      </c>
      <c r="L84" s="21">
        <f>IF(OR($F84="",$H84="",$H84=0),"",$F84/$H84-1)</f>
        <v/>
      </c>
    </row>
    <row r="86">
      <c r="F86" s="12" t="inlineStr">
        <is>
          <t>TOTAL VALUED:</t>
        </is>
      </c>
      <c r="G86" s="23">
        <f>SUM(G5:G84)</f>
        <v>0.0</v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">
    <mergeCell ref="A1:I1"/>
  </mergeCells>
  <conditionalFormatting sqref="L5:L84">
    <cfRule type="expression" priority="1" dxfId="0" stopIfTrue="1">
      <formula>AND($L5&lt;&gt;"",ABS($L5)&gt;0.2)</formula>
    </cfRule>
  </conditionalFormatting>
  <dataValidations count="2">
    <dataValidation sqref="C5:C84" showDropDown="0" showInputMessage="1" showErrorMessage="1" allowBlank="1" errorTitle="Invalid category" error="Choose a value from the list. This is the kit's single taxonomy: if each template uses different wording, the SUMIF formulas in the analysis sheets won't add up correctly." promptTitle="Invalid category" prompt="The kit's 10 categories. They're the same across all 9 templates: the analysis in 05 and 07 aggregates by this exact text." type="list" errorStyle="stop">
      <formula1>"Meat &amp; Poultry,Seafood,Dairy &amp; Eggs,Produce,Dry Goods,Frozen,Alcoholic Beverages,Non-Alcoholic Beverages,Paper &amp; Cleaning,Other"</formula1>
    </dataValidation>
    <dataValidation sqref="D5:D84" showDropDown="0" showInputMessage="1" showErrorMessage="1" allowBlank="1" errorTitle="Invalid unit" error="Choose a value from the list. This is the kit's single taxonomy: if each template uses different wording, the SUMIF formulas in the analysis sheets won't add up correctly." promptTitle="Invalid unit" prompt="REAL purchase unit: draft beer is by the keg, eggs by the dozen, and wine by the bottle (750 ml each)." type="list" errorStyle="stop">
      <formula1>"lb,oz,kg,gal,qt,L,each,dozen,case,tray,keg,bag,roll,pack,bottle,can"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Month-End Inventory Count</dc:title>
  <dc:description xmlns:dc="http://purl.org/dc/elements/1.1/">aichef.pro/en/digital-products/restaurant-inventory-templates</dc:description>
  <dc:subject xmlns:dc="http://purl.org/dc/elements/1.1/">Restaurant Inventory Kit Pro · v2.0</dc:subject>
  <dcterms:created xmlns:dcterms="http://purl.org/dc/terms/" xmlns:xsi="http://www.w3.org/2001/XMLSchema-instance" xsi:type="dcterms:W3CDTF">2026-04-05T09:47:46Z</dcterms:created>
  <dcterms:modified xmlns:dcterms="http://purl.org/dc/terms/" xmlns:xsi="http://www.w3.org/2001/XMLSchema-instance" xsi:type="dcterms:W3CDTF">2026-09-25T19:48:23Z</dcterms:modified>
  <cp:lastModifiedBy>AI Chef Pro</cp:lastModifiedBy>
  <cp:category>AI Chef Pro · Digital products</cp:category>
  <cp:keywords>restaurant inventory template, par sheet, AI Chef Pro</cp:keywords>
</cp:coreProperties>
</file>