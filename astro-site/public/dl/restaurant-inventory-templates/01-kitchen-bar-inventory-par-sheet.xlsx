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itchen" sheetId="2" state="visible" r:id="rId2"/>
    <sheet xmlns:r="http://schemas.openxmlformats.org/officeDocument/2006/relationships" name="Bar" sheetId="3" state="visible" r:id="rId3"/>
    <sheet xmlns:r="http://schemas.openxmlformats.org/officeDocument/2006/relationships" name="Storeroom" sheetId="4" state="visible" r:id="rId4"/>
    <sheet xmlns:r="http://schemas.openxmlformats.org/officeDocument/2006/relationships" name="Summary Dashboard" sheetId="5" state="visible" r:id="rId5"/>
  </sheets>
  <definedNames>
    <definedName name="_xlnm.Print_Titles" localSheetId="1">'Kitchen'!$4:$4</definedName>
    <definedName name="_xlnm.Print_Area" localSheetId="1">'Kitchen'!$A$1:$M$47</definedName>
    <definedName name="_xlnm.Print_Titles" localSheetId="2">'Bar'!$4:$4</definedName>
    <definedName name="_xlnm.Print_Area" localSheetId="2">'Bar'!$A$1:$M$37</definedName>
    <definedName name="_xlnm.Print_Titles" localSheetId="3">'Storeroom'!$4:$4</definedName>
    <definedName name="_xlnm.Print_Area" localSheetId="3">'Storeroom'!$A$1:$M$37</definedName>
    <definedName name="_xlnm.Print_Titles" localSheetId="4">'Summary Dashboard'!$3:$3</definedName>
    <definedName name="_xlnm.Print_Area" localSheetId="4">'Summary Dashboard'!$A$1:$D$22</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11">
    <font>
      <name val="Calibri"/>
      <family val="2"/>
      <color theme="1"/>
      <sz val="11"/>
      <scheme val="minor"/>
    </font>
    <font>
      <b val="1"/>
      <color rgb="00FFD700"/>
      <sz val="16"/>
    </font>
    <font>
      <color rgb="00888888"/>
      <sz val="10"/>
    </font>
    <font>
      <sz val="10"/>
    </font>
    <font>
      <b val="1"/>
      <color rgb="00FFD700"/>
      <sz val="14"/>
    </font>
    <font>
      <color rgb="00666666"/>
      <sz val="10"/>
    </font>
    <font>
      <b val="1"/>
      <color rgb="00FFFFFF"/>
      <sz val="10"/>
    </font>
    <font>
      <color rgb="00999999"/>
      <sz val="8"/>
    </font>
    <font>
      <b val="1"/>
      <sz val="11"/>
    </font>
    <font>
      <i val="1"/>
      <color rgb="00666666"/>
      <sz val="9"/>
    </font>
    <font>
      <b val="1"/>
    </font>
  </fonts>
  <fills count="5">
    <fill>
      <patternFill/>
    </fill>
    <fill>
      <patternFill patternType="gray125"/>
    </fill>
    <fill>
      <patternFill patternType="solid">
        <fgColor rgb="002D2D2D"/>
      </patternFill>
    </fill>
    <fill>
      <patternFill patternType="solid">
        <f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7" fillId="0" borderId="0" pivotButton="0" quotePrefix="0" xfId="0"/>
    <xf numFmtId="0" fontId="8" fillId="0" borderId="0" pivotButton="0" quotePrefix="0" xfId="0"/>
    <xf numFmtId="0" fontId="3" fillId="0" borderId="0" applyAlignment="1" pivotButton="0" quotePrefix="0" xfId="0">
      <alignment vertical="top" wrapText="1"/>
    </xf>
    <xf numFmtId="0" fontId="9" fillId="0" borderId="0" applyAlignment="1" pivotButton="0" quotePrefix="0" xfId="0">
      <alignment vertical="center"/>
    </xf>
    <xf numFmtId="0" fontId="3" fillId="4" borderId="1" applyAlignment="1" applyProtection="1" pivotButton="0" quotePrefix="0" xfId="0">
      <alignment vertical="center" wrapText="1"/>
      <protection locked="0" hidden="0"/>
    </xf>
    <xf numFmtId="164" fontId="3" fillId="4" borderId="1" applyAlignment="1" applyProtection="1" pivotButton="0" quotePrefix="0" xfId="0">
      <alignment vertical="center" wrapText="1"/>
      <protection locked="0" hidden="0"/>
    </xf>
    <xf numFmtId="164" fontId="3" fillId="0" borderId="1" applyAlignment="1" pivotButton="0" quotePrefix="0" xfId="0">
      <alignment vertical="center" wrapText="1"/>
    </xf>
    <xf numFmtId="164" fontId="3" fillId="3" borderId="1" applyAlignment="1" pivotButton="0" quotePrefix="0" xfId="0">
      <alignment vertical="center" wrapText="1"/>
    </xf>
    <xf numFmtId="1" fontId="0" fillId="0" borderId="0" pivotButton="0" quotePrefix="0" xfId="0"/>
    <xf numFmtId="164" fontId="0" fillId="0" borderId="0" pivotButton="0" quotePrefix="0" xfId="0"/>
    <xf numFmtId="0" fontId="10" fillId="0" borderId="0" pivotButton="0" quotePrefix="0" xfId="0"/>
    <xf numFmtId="1" fontId="10" fillId="0" borderId="0" pivotButton="0" quotePrefix="0" xfId="0"/>
    <xf numFmtId="164" fontId="10" fillId="0" borderId="0" pivotButton="0" quotePrefix="0" xfId="0"/>
    <xf numFmtId="165" fontId="0"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29"/>
  <sheetViews>
    <sheetView workbookViewId="0">
      <selection activeCell="A1" sqref="A1"/>
    </sheetView>
  </sheetViews>
  <sheetFormatPr baseColWidth="8" defaultRowHeight="15"/>
  <cols>
    <col width="80" customWidth="1" min="1" max="1"/>
  </cols>
  <sheetData>
    <row r="1">
      <c r="A1" s="1" t="inlineStr">
        <is>
          <t>Kitchen &amp; Bar Inventory Sheet with Par Levels</t>
        </is>
      </c>
    </row>
    <row r="2">
      <c r="A2" s="2" t="inlineStr">
        <is>
          <t>AI Chef Pro — aichef.pro</t>
        </is>
      </c>
    </row>
    <row r="3">
      <c r="A3" s="3" t="n"/>
    </row>
    <row r="4">
      <c r="A4" s="4" t="inlineStr">
        <is>
          <t>Track your restaurant's daily stock: what you have, what you're missing, and what it's worth.</t>
        </is>
      </c>
    </row>
    <row r="5">
      <c r="A5" s="4" t="inlineStr">
        <is>
          <t>Each tab is a counting zone ("Kitchen", "Bar" and "Storeroom"), and the "Summary Dashboard" tab totals them.</t>
        </is>
      </c>
    </row>
    <row r="6">
      <c r="A6" s="4" t="n"/>
    </row>
    <row r="7">
      <c r="A7" s="4" t="inlineStr">
        <is>
          <t>HOW TO USE:</t>
        </is>
      </c>
    </row>
    <row r="8">
      <c r="A8" s="4" t="inlineStr">
        <is>
          <t>1. Review the sample products and replace them with your own. The Category and Unit columns have a drop-down: use it, because the kit's analysis sheets aggregate by that exact text.</t>
        </is>
      </c>
    </row>
    <row r="9">
      <c r="A9" s="4" t="inlineStr">
        <is>
          <t>2. Adjust Par Level (your minimum working stock) and Par Max (how far you restock) product by product.</t>
        </is>
      </c>
    </row>
    <row r="10">
      <c r="A10" s="4" t="inlineStr">
        <is>
          <t>3. Enter the pre-tax purchase price in Price/unit: it's what makes the Value column and the summary work.</t>
        </is>
      </c>
    </row>
    <row r="11">
      <c r="A11" s="4" t="inlineStr">
        <is>
          <t>4. Every day, enter what you count in On Hand.</t>
        </is>
      </c>
    </row>
    <row r="12">
      <c r="A12" s="4" t="inlineStr">
        <is>
          <t>5. The Status column colors itself automatically:</t>
        </is>
      </c>
    </row>
    <row r="13">
      <c r="A13" s="4" t="inlineStr">
        <is>
          <t xml:space="preserve">   🔴 REORDER = below par level</t>
        </is>
      </c>
    </row>
    <row r="14">
      <c r="A14" s="4" t="inlineStr">
        <is>
          <t xml:space="preserve">   🟡 LOW = between par level and 1.5x par level</t>
        </is>
      </c>
    </row>
    <row r="15">
      <c r="A15" s="4" t="inlineStr">
        <is>
          <t xml:space="preserve">   🟢 OK = above that</t>
        </is>
      </c>
    </row>
    <row r="16">
      <c r="A16" s="4" t="inlineStr">
        <is>
          <t>6. Order Qty calculates how much to restock up to Par Max as soon as you're in amber, not only in red: if you wait for red, with a two-day lead time you'll already be late.</t>
        </is>
      </c>
    </row>
    <row r="17">
      <c r="A17" s="4" t="inlineStr">
        <is>
          <t>7. "Status" and "Order Qty" stay BLANK until the row has a par level: the free rows at the end don't have one, and telling you "OK" by comparing against an empty cell would be lying to you about the very product you just added.</t>
        </is>
      </c>
    </row>
    <row r="18">
      <c r="A18" s="4" t="n"/>
    </row>
    <row r="19">
      <c r="A19" s="4" t="inlineStr">
        <is>
          <t>CUSTOMIZATION:</t>
        </is>
      </c>
    </row>
    <row r="20">
      <c r="A20" s="4" t="inlineStr">
        <is>
          <t>- There are free rows at the end of each zone: "Kitchen" down to row 44, "Bar" and "Storeroom" down to row 34.</t>
        </is>
      </c>
    </row>
    <row r="21">
      <c r="A21" s="4" t="inlineStr">
        <is>
          <t>- PAR LEVEL IS YOUR REORDER POINT. It comes from: daily usage x (lead time + safety-stock days). It's exactly the same calculation as BONUS-09 (Reorder Point &amp; Order Quantity Calculator), so the two files give the same number for the same product: there's no second rule, just the one.</t>
        </is>
      </c>
    </row>
    <row r="22">
      <c r="A22" s="4" t="inlineStr">
        <is>
          <t>- And Par Max is the ceiling: the quantity BONUS-09 (Reorder Point &amp; Order Quantity Calculator) suggests never goes above it, because there's no point in the formula telling you to order more than fits in your walk-in cooler.</t>
        </is>
      </c>
    </row>
    <row r="23">
      <c r="A23" s="4" t="inlineStr">
        <is>
          <t>- The same item can appear in TWO zones (napkins are in both "Bar" and "Storeroom"): it's stock by location, and each zone has its own par level. The summary counts them separately on purpose; the order gets consolidated in template 03 (Purchase Order Template &amp; Order Log), which is where the order minimum, delivery fee and volume rebate come into play.</t>
        </is>
      </c>
    </row>
    <row r="24">
      <c r="A24" s="4" t="inlineStr">
        <is>
          <t>- The "Summary Dashboard" tab totals low stock, products to order, and stock value by zone and by category.</t>
        </is>
      </c>
    </row>
    <row r="25">
      <c r="A25" s="4" t="inlineStr">
        <is>
          <t>- The 50 products, with their categories, units, par levels and prices, are a real restaurant example: review them with your own data before using them.</t>
        </is>
      </c>
    </row>
    <row r="27">
      <c r="A27" s="12" t="inlineStr">
        <is>
          <t>To edit a locked cell: Review → Unprotect Sheet (no password). Green cells are already editable without unprotecting anything.</t>
        </is>
      </c>
    </row>
    <row r="28">
      <c r="A28" s="12" t="inlineStr">
        <is>
          <t>Designed by John Guerrero — chef and restaurant consultant since 2010, in professional kitchens since age 17 · johnguerrero.es</t>
        </is>
      </c>
    </row>
    <row r="29">
      <c r="A29" s="12" t="inlineStr">
        <is>
          <t>Version 2.0 · September 2026 · aichef.pro/en/digital-products/restaurant-inventory-templates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M47"/>
  <sheetViews>
    <sheetView workbookViewId="0">
      <pane ySplit="4" topLeftCell="A5" activePane="bottomLeft" state="frozen"/>
      <selection pane="bottomLeft" activeCell="A1" sqref="A1"/>
    </sheetView>
  </sheetViews>
  <sheetFormatPr baseColWidth="8" defaultRowHeight="15"/>
  <cols>
    <col width="5" customWidth="1" min="1" max="1"/>
    <col width="25" customWidth="1" min="2" max="2"/>
    <col width="14" customWidth="1" min="3" max="3"/>
    <col width="8" customWidth="1" min="4" max="4"/>
    <col width="10" customWidth="1" min="5" max="5"/>
    <col width="10" customWidth="1" min="6" max="6"/>
    <col width="10" customWidth="1" min="7" max="7"/>
    <col width="10" customWidth="1" min="8" max="8"/>
    <col width="10" customWidth="1" min="9" max="9"/>
    <col width="13" customWidth="1" min="10" max="10"/>
    <col width="11" customWidth="1" min="11" max="11"/>
    <col width="22" customWidth="1" min="12" max="12"/>
    <col width="26" customWidth="1" min="13" max="13"/>
  </cols>
  <sheetData>
    <row r="1">
      <c r="A1" s="5" t="inlineStr">
        <is>
          <t>INVENTORY — KITCHEN</t>
        </is>
      </c>
    </row>
    <row r="2">
      <c r="A2" s="6" t="inlineStr">
        <is>
          <t>Date: ___/___/______    Counted by: ________________</t>
        </is>
      </c>
    </row>
    <row r="3">
      <c r="A3" s="13" t="inlineStr">
        <is>
          <t>Sample data; illustrative pre-tax prices — replace them with your own. Category and Unit have a drop-down.</t>
        </is>
      </c>
    </row>
    <row r="4">
      <c r="A4" s="7" t="inlineStr">
        <is>
          <t>#</t>
        </is>
      </c>
      <c r="B4" s="7" t="inlineStr">
        <is>
          <t>Product</t>
        </is>
      </c>
      <c r="C4" s="7" t="inlineStr">
        <is>
          <t>Category</t>
        </is>
      </c>
      <c r="D4" s="7" t="inlineStr">
        <is>
          <t>Unit</t>
        </is>
      </c>
      <c r="E4" s="7" t="inlineStr">
        <is>
          <t>Par Level</t>
        </is>
      </c>
      <c r="F4" s="7" t="inlineStr">
        <is>
          <t>Par Max</t>
        </is>
      </c>
      <c r="G4" s="7" t="inlineStr">
        <is>
          <t>On Hand</t>
        </is>
      </c>
      <c r="H4" s="7" t="inlineStr">
        <is>
          <t>Status</t>
        </is>
      </c>
      <c r="I4" s="7" t="inlineStr">
        <is>
          <t>Order Qty</t>
        </is>
      </c>
      <c r="J4" s="7" t="inlineStr">
        <is>
          <t>Price/unit</t>
        </is>
      </c>
      <c r="K4" s="7" t="inlineStr">
        <is>
          <t>Value</t>
        </is>
      </c>
      <c r="L4" s="7" t="inlineStr">
        <is>
          <t>Vendor</t>
        </is>
      </c>
      <c r="M4" s="7" t="inlineStr">
        <is>
          <t>Notes</t>
        </is>
      </c>
    </row>
    <row r="5">
      <c r="A5" s="8" t="n">
        <v>1</v>
      </c>
      <c r="B5" s="14" t="inlineStr">
        <is>
          <t>Boneless chicken breast</t>
        </is>
      </c>
      <c r="C5" s="14" t="inlineStr">
        <is>
          <t>Meat &amp; Poultry</t>
        </is>
      </c>
      <c r="D5" s="14" t="inlineStr">
        <is>
          <t>lb</t>
        </is>
      </c>
      <c r="E5" s="14" t="n">
        <v>18</v>
      </c>
      <c r="F5" s="14" t="n">
        <v>40</v>
      </c>
      <c r="G5" s="14" t="inlineStr"/>
      <c r="H5" s="8">
        <f>IF(OR($G5="",$E5=""),"",IF($G5&lt;$E5,"🔴 REORDER",IF($G5&lt;$E5*1.5,"🟡 LOW","🟢 OK")))</f>
        <v/>
      </c>
      <c r="I5" s="8">
        <f>IF(OR($G5="",$E5="",$F5=""),"",IF($G5&lt;$E5*1.5,MAX(0,$F5-$G5),0))</f>
        <v/>
      </c>
      <c r="J5" s="15" t="n">
        <v>3.1</v>
      </c>
      <c r="K5" s="16">
        <f>IFERROR(IF(OR($G5="",$J5=""),"",$G5*$J5),"")</f>
        <v/>
      </c>
      <c r="L5" s="14" t="n"/>
      <c r="M5" s="14" t="n"/>
    </row>
    <row r="6">
      <c r="A6" s="9" t="n">
        <v>2</v>
      </c>
      <c r="B6" s="14" t="inlineStr">
        <is>
          <t>Beef tenderloin (PSMO)</t>
        </is>
      </c>
      <c r="C6" s="14" t="inlineStr">
        <is>
          <t>Meat &amp; Poultry</t>
        </is>
      </c>
      <c r="D6" s="14" t="inlineStr">
        <is>
          <t>lb</t>
        </is>
      </c>
      <c r="E6" s="14" t="n">
        <v>6</v>
      </c>
      <c r="F6" s="14" t="n">
        <v>18</v>
      </c>
      <c r="G6" s="14" t="inlineStr"/>
      <c r="H6" s="9">
        <f>IF(OR($G6="",$E6=""),"",IF($G6&lt;$E6,"🔴 REORDER",IF($G6&lt;$E6*1.5,"🟡 LOW","🟢 OK")))</f>
        <v/>
      </c>
      <c r="I6" s="9">
        <f>IF(OR($G6="",$E6="",$F6=""),"",IF($G6&lt;$E6*1.5,MAX(0,$F6-$G6),0))</f>
        <v/>
      </c>
      <c r="J6" s="15" t="n">
        <v>17.21</v>
      </c>
      <c r="K6" s="17">
        <f>IFERROR(IF(OR($G6="",$J6=""),"",$G6*$J6),"")</f>
        <v/>
      </c>
      <c r="L6" s="14" t="n"/>
      <c r="M6" s="14" t="n"/>
    </row>
    <row r="7">
      <c r="A7" s="8" t="n">
        <v>3</v>
      </c>
      <c r="B7" s="14" t="inlineStr">
        <is>
          <t>Fresh salmon fillet</t>
        </is>
      </c>
      <c r="C7" s="14" t="inlineStr">
        <is>
          <t>Seafood</t>
        </is>
      </c>
      <c r="D7" s="14" t="inlineStr">
        <is>
          <t>lb</t>
        </is>
      </c>
      <c r="E7" s="14" t="n">
        <v>8</v>
      </c>
      <c r="F7" s="14" t="n">
        <v>20</v>
      </c>
      <c r="G7" s="14" t="inlineStr"/>
      <c r="H7" s="8">
        <f>IF(OR($G7="",$E7=""),"",IF($G7&lt;$E7,"🔴 REORDER",IF($G7&lt;$E7*1.5,"🟡 LOW","🟢 OK")))</f>
        <v/>
      </c>
      <c r="I7" s="8">
        <f>IF(OR($G7="",$E7="",$F7=""),"",IF($G7&lt;$E7*1.5,MAX(0,$F7-$G7),0))</f>
        <v/>
      </c>
      <c r="J7" s="15" t="n">
        <v>9.949999999999999</v>
      </c>
      <c r="K7" s="16">
        <f>IFERROR(IF(OR($G7="",$J7=""),"",$G7*$J7),"")</f>
        <v/>
      </c>
      <c r="L7" s="14" t="n"/>
      <c r="M7" s="14" t="n"/>
    </row>
    <row r="8">
      <c r="A8" s="9" t="n">
        <v>4</v>
      </c>
      <c r="B8" s="14" t="inlineStr">
        <is>
          <t>Shrimp 16/20</t>
        </is>
      </c>
      <c r="C8" s="14" t="inlineStr">
        <is>
          <t>Seafood</t>
        </is>
      </c>
      <c r="D8" s="14" t="inlineStr">
        <is>
          <t>lb</t>
        </is>
      </c>
      <c r="E8" s="14" t="n">
        <v>6</v>
      </c>
      <c r="F8" s="14" t="n">
        <v>16</v>
      </c>
      <c r="G8" s="14" t="inlineStr"/>
      <c r="H8" s="9">
        <f>IF(OR($G8="",$E8=""),"",IF($G8&lt;$E8,"🔴 REORDER",IF($G8&lt;$E8*1.5,"🟡 LOW","🟢 OK")))</f>
        <v/>
      </c>
      <c r="I8" s="9">
        <f>IF(OR($G8="",$E8="",$F8=""),"",IF($G8&lt;$E8*1.5,MAX(0,$F8-$G8),0))</f>
        <v/>
      </c>
      <c r="J8" s="15" t="n">
        <v>8.99</v>
      </c>
      <c r="K8" s="17">
        <f>IFERROR(IF(OR($G8="",$J8=""),"",$G8*$J8),"")</f>
        <v/>
      </c>
      <c r="L8" s="14" t="n"/>
      <c r="M8" s="14" t="n"/>
    </row>
    <row r="9">
      <c r="A9" s="8" t="n">
        <v>5</v>
      </c>
      <c r="B9" s="14" t="inlineStr">
        <is>
          <t>Tomatoes</t>
        </is>
      </c>
      <c r="C9" s="14" t="inlineStr">
        <is>
          <t>Produce</t>
        </is>
      </c>
      <c r="D9" s="14" t="inlineStr">
        <is>
          <t>lb</t>
        </is>
      </c>
      <c r="E9" s="14" t="n">
        <v>25</v>
      </c>
      <c r="F9" s="14" t="n">
        <v>50</v>
      </c>
      <c r="G9" s="14" t="inlineStr"/>
      <c r="H9" s="8">
        <f>IF(OR($G9="",$E9=""),"",IF($G9&lt;$E9,"🔴 REORDER",IF($G9&lt;$E9*1.5,"🟡 LOW","🟢 OK")))</f>
        <v/>
      </c>
      <c r="I9" s="8">
        <f>IF(OR($G9="",$E9="",$F9=""),"",IF($G9&lt;$E9*1.5,MAX(0,$F9-$G9),0))</f>
        <v/>
      </c>
      <c r="J9" s="15" t="n">
        <v>1.98</v>
      </c>
      <c r="K9" s="16">
        <f>IFERROR(IF(OR($G9="",$J9=""),"",$G9*$J9),"")</f>
        <v/>
      </c>
      <c r="L9" s="14" t="n"/>
      <c r="M9" s="14" t="n"/>
    </row>
    <row r="10">
      <c r="A10" s="9" t="n">
        <v>6</v>
      </c>
      <c r="B10" s="14" t="inlineStr">
        <is>
          <t>Yellow onions</t>
        </is>
      </c>
      <c r="C10" s="14" t="inlineStr">
        <is>
          <t>Produce</t>
        </is>
      </c>
      <c r="D10" s="14" t="inlineStr">
        <is>
          <t>lb</t>
        </is>
      </c>
      <c r="E10" s="14" t="n">
        <v>20</v>
      </c>
      <c r="F10" s="14" t="n">
        <v>50</v>
      </c>
      <c r="G10" s="14" t="inlineStr"/>
      <c r="H10" s="9">
        <f>IF(OR($G10="",$E10=""),"",IF($G10&lt;$E10,"🔴 REORDER",IF($G10&lt;$E10*1.5,"🟡 LOW","🟢 OK")))</f>
        <v/>
      </c>
      <c r="I10" s="9">
        <f>IF(OR($G10="",$E10="",$F10=""),"",IF($G10&lt;$E10*1.5,MAX(0,$F10-$G10),0))</f>
        <v/>
      </c>
      <c r="J10" s="15" t="n">
        <v>1.22</v>
      </c>
      <c r="K10" s="17">
        <f>IFERROR(IF(OR($G10="",$J10=""),"",$G10*$J10),"")</f>
        <v/>
      </c>
      <c r="L10" s="14" t="n"/>
      <c r="M10" s="14" t="n"/>
    </row>
    <row r="11">
      <c r="A11" s="8" t="n">
        <v>7</v>
      </c>
      <c r="B11" s="14" t="inlineStr">
        <is>
          <t>Romaine lettuce</t>
        </is>
      </c>
      <c r="C11" s="14" t="inlineStr">
        <is>
          <t>Produce</t>
        </is>
      </c>
      <c r="D11" s="14" t="inlineStr">
        <is>
          <t>each</t>
        </is>
      </c>
      <c r="E11" s="14" t="n">
        <v>12</v>
      </c>
      <c r="F11" s="14" t="n">
        <v>24</v>
      </c>
      <c r="G11" s="14" t="inlineStr"/>
      <c r="H11" s="8">
        <f>IF(OR($G11="",$E11=""),"",IF($G11&lt;$E11,"🔴 REORDER",IF($G11&lt;$E11*1.5,"🟡 LOW","🟢 OK")))</f>
        <v/>
      </c>
      <c r="I11" s="8">
        <f>IF(OR($G11="",$E11="",$F11=""),"",IF($G11&lt;$E11*1.5,MAX(0,$F11-$G11),0))</f>
        <v/>
      </c>
      <c r="J11" s="15" t="n">
        <v>1.6</v>
      </c>
      <c r="K11" s="16">
        <f>IFERROR(IF(OR($G11="",$J11=""),"",$G11*$J11),"")</f>
        <v/>
      </c>
      <c r="L11" s="14" t="n"/>
      <c r="M11" s="14" t="n"/>
    </row>
    <row r="12">
      <c r="A12" s="9" t="n">
        <v>8</v>
      </c>
      <c r="B12" s="14" t="inlineStr">
        <is>
          <t>Russet potatoes</t>
        </is>
      </c>
      <c r="C12" s="14" t="inlineStr">
        <is>
          <t>Produce</t>
        </is>
      </c>
      <c r="D12" s="14" t="inlineStr">
        <is>
          <t>lb</t>
        </is>
      </c>
      <c r="E12" s="14" t="n">
        <v>50</v>
      </c>
      <c r="F12" s="14" t="n">
        <v>150</v>
      </c>
      <c r="G12" s="14" t="inlineStr"/>
      <c r="H12" s="9">
        <f>IF(OR($G12="",$E12=""),"",IF($G12&lt;$E12,"🔴 REORDER",IF($G12&lt;$E12*1.5,"🟡 LOW","🟢 OK")))</f>
        <v/>
      </c>
      <c r="I12" s="9">
        <f>IF(OR($G12="",$E12="",$F12=""),"",IF($G12&lt;$E12*1.5,MAX(0,$F12-$G12),0))</f>
        <v/>
      </c>
      <c r="J12" s="15" t="n">
        <v>0.73</v>
      </c>
      <c r="K12" s="17">
        <f>IFERROR(IF(OR($G12="",$J12=""),"",$G12*$J12),"")</f>
        <v/>
      </c>
      <c r="L12" s="14" t="n"/>
      <c r="M12" s="14" t="n"/>
    </row>
    <row r="13">
      <c r="A13" s="8" t="n">
        <v>9</v>
      </c>
      <c r="B13" s="14" t="inlineStr">
        <is>
          <t>Extra virgin olive oil</t>
        </is>
      </c>
      <c r="C13" s="14" t="inlineStr">
        <is>
          <t>Dry Goods</t>
        </is>
      </c>
      <c r="D13" s="14" t="inlineStr">
        <is>
          <t>gal</t>
        </is>
      </c>
      <c r="E13" s="14" t="n">
        <v>3</v>
      </c>
      <c r="F13" s="14" t="n">
        <v>8</v>
      </c>
      <c r="G13" s="14" t="inlineStr"/>
      <c r="H13" s="8">
        <f>IF(OR($G13="",$E13=""),"",IF($G13&lt;$E13,"🔴 REORDER",IF($G13&lt;$E13*1.5,"🟡 LOW","🟢 OK")))</f>
        <v/>
      </c>
      <c r="I13" s="8">
        <f>IF(OR($G13="",$E13="",$F13=""),"",IF($G13&lt;$E13*1.5,MAX(0,$F13-$G13),0))</f>
        <v/>
      </c>
      <c r="J13" s="15" t="n">
        <v>32.48</v>
      </c>
      <c r="K13" s="16">
        <f>IFERROR(IF(OR($G13="",$J13=""),"",$G13*$J13),"")</f>
        <v/>
      </c>
      <c r="L13" s="14" t="n"/>
      <c r="M13" s="14" t="n"/>
    </row>
    <row r="14">
      <c r="A14" s="9" t="n">
        <v>10</v>
      </c>
      <c r="B14" s="14" t="inlineStr">
        <is>
          <t>Kosher salt</t>
        </is>
      </c>
      <c r="C14" s="14" t="inlineStr">
        <is>
          <t>Dry Goods</t>
        </is>
      </c>
      <c r="D14" s="14" t="inlineStr">
        <is>
          <t>lb</t>
        </is>
      </c>
      <c r="E14" s="14" t="n">
        <v>6</v>
      </c>
      <c r="F14" s="14" t="n">
        <v>18</v>
      </c>
      <c r="G14" s="14" t="inlineStr"/>
      <c r="H14" s="9">
        <f>IF(OR($G14="",$E14=""),"",IF($G14&lt;$E14,"🔴 REORDER",IF($G14&lt;$E14*1.5,"🟡 LOW","🟢 OK")))</f>
        <v/>
      </c>
      <c r="I14" s="9">
        <f>IF(OR($G14="",$E14="",$F14=""),"",IF($G14&lt;$E14*1.5,MAX(0,$F14-$G14),0))</f>
        <v/>
      </c>
      <c r="J14" s="15" t="n">
        <v>1.18</v>
      </c>
      <c r="K14" s="17">
        <f>IFERROR(IF(OR($G14="",$J14=""),"",$G14*$J14),"")</f>
        <v/>
      </c>
      <c r="L14" s="14" t="n"/>
      <c r="M14" s="14" t="n"/>
    </row>
    <row r="15">
      <c r="A15" s="8" t="n">
        <v>11</v>
      </c>
      <c r="B15" s="14" t="inlineStr">
        <is>
          <t>Ground black pepper</t>
        </is>
      </c>
      <c r="C15" s="14" t="inlineStr">
        <is>
          <t>Dry Goods</t>
        </is>
      </c>
      <c r="D15" s="14" t="inlineStr">
        <is>
          <t>lb</t>
        </is>
      </c>
      <c r="E15" s="14" t="n">
        <v>2</v>
      </c>
      <c r="F15" s="14" t="n">
        <v>5</v>
      </c>
      <c r="G15" s="14" t="inlineStr"/>
      <c r="H15" s="8">
        <f>IF(OR($G15="",$E15=""),"",IF($G15&lt;$E15,"🔴 REORDER",IF($G15&lt;$E15*1.5,"🟡 LOW","🟢 OK")))</f>
        <v/>
      </c>
      <c r="I15" s="8">
        <f>IF(OR($G15="",$E15="",$F15=""),"",IF($G15&lt;$E15*1.5,MAX(0,$F15-$G15),0))</f>
        <v/>
      </c>
      <c r="J15" s="15" t="n">
        <v>7.2</v>
      </c>
      <c r="K15" s="16">
        <f>IFERROR(IF(OR($G15="",$J15=""),"",$G15*$J15),"")</f>
        <v/>
      </c>
      <c r="L15" s="14" t="n"/>
      <c r="M15" s="14" t="n"/>
    </row>
    <row r="16">
      <c r="A16" s="9" t="n">
        <v>12</v>
      </c>
      <c r="B16" s="14" t="inlineStr">
        <is>
          <t>Arborio rice</t>
        </is>
      </c>
      <c r="C16" s="14" t="inlineStr">
        <is>
          <t>Dry Goods</t>
        </is>
      </c>
      <c r="D16" s="14" t="inlineStr">
        <is>
          <t>lb</t>
        </is>
      </c>
      <c r="E16" s="14" t="n">
        <v>20</v>
      </c>
      <c r="F16" s="14" t="n">
        <v>50</v>
      </c>
      <c r="G16" s="14" t="inlineStr"/>
      <c r="H16" s="9">
        <f>IF(OR($G16="",$E16=""),"",IF($G16&lt;$E16,"🔴 REORDER",IF($G16&lt;$E16*1.5,"🟡 LOW","🟢 OK")))</f>
        <v/>
      </c>
      <c r="I16" s="9">
        <f>IF(OR($G16="",$E16="",$F16=""),"",IF($G16&lt;$E16*1.5,MAX(0,$F16-$G16),0))</f>
        <v/>
      </c>
      <c r="J16" s="15" t="n">
        <v>2.1</v>
      </c>
      <c r="K16" s="17">
        <f>IFERROR(IF(OR($G16="",$J16=""),"",$G16*$J16),"")</f>
        <v/>
      </c>
      <c r="L16" s="14" t="n"/>
      <c r="M16" s="14" t="n"/>
    </row>
    <row r="17">
      <c r="A17" s="8" t="n">
        <v>13</v>
      </c>
      <c r="B17" s="14" t="inlineStr">
        <is>
          <t>Dry pasta</t>
        </is>
      </c>
      <c r="C17" s="14" t="inlineStr">
        <is>
          <t>Dry Goods</t>
        </is>
      </c>
      <c r="D17" s="14" t="inlineStr">
        <is>
          <t>lb</t>
        </is>
      </c>
      <c r="E17" s="14" t="n">
        <v>20</v>
      </c>
      <c r="F17" s="14" t="n">
        <v>40</v>
      </c>
      <c r="G17" s="14" t="inlineStr"/>
      <c r="H17" s="8">
        <f>IF(OR($G17="",$E17=""),"",IF($G17&lt;$E17,"🔴 REORDER",IF($G17&lt;$E17*1.5,"🟡 LOW","🟢 OK")))</f>
        <v/>
      </c>
      <c r="I17" s="8">
        <f>IF(OR($G17="",$E17="",$F17=""),"",IF($G17&lt;$E17*1.5,MAX(0,$F17-$G17),0))</f>
        <v/>
      </c>
      <c r="J17" s="15" t="n">
        <v>1.35</v>
      </c>
      <c r="K17" s="16">
        <f>IFERROR(IF(OR($G17="",$J17=""),"",$G17*$J17),"")</f>
        <v/>
      </c>
      <c r="L17" s="14" t="n"/>
      <c r="M17" s="14" t="n"/>
    </row>
    <row r="18">
      <c r="A18" s="9" t="n">
        <v>14</v>
      </c>
      <c r="B18" s="14" t="inlineStr">
        <is>
          <t>All-purpose flour</t>
        </is>
      </c>
      <c r="C18" s="14" t="inlineStr">
        <is>
          <t>Dry Goods</t>
        </is>
      </c>
      <c r="D18" s="14" t="inlineStr">
        <is>
          <t>lb</t>
        </is>
      </c>
      <c r="E18" s="14" t="n">
        <v>25</v>
      </c>
      <c r="F18" s="14" t="n">
        <v>50</v>
      </c>
      <c r="G18" s="14" t="inlineStr"/>
      <c r="H18" s="9">
        <f>IF(OR($G18="",$E18=""),"",IF($G18&lt;$E18,"🔴 REORDER",IF($G18&lt;$E18*1.5,"🟡 LOW","🟢 OK")))</f>
        <v/>
      </c>
      <c r="I18" s="9">
        <f>IF(OR($G18="",$E18="",$F18=""),"",IF($G18&lt;$E18*1.5,MAX(0,$F18-$G18),0))</f>
        <v/>
      </c>
      <c r="J18" s="15" t="n">
        <v>0.6</v>
      </c>
      <c r="K18" s="17">
        <f>IFERROR(IF(OR($G18="",$J18=""),"",$G18*$J18),"")</f>
        <v/>
      </c>
      <c r="L18" s="14" t="n"/>
      <c r="M18" s="14" t="n"/>
    </row>
    <row r="19">
      <c r="A19" s="8" t="n">
        <v>15</v>
      </c>
      <c r="B19" s="14" t="inlineStr">
        <is>
          <t>Large eggs</t>
        </is>
      </c>
      <c r="C19" s="14" t="inlineStr">
        <is>
          <t>Dairy &amp; Eggs</t>
        </is>
      </c>
      <c r="D19" s="14" t="inlineStr">
        <is>
          <t>dozen</t>
        </is>
      </c>
      <c r="E19" s="14" t="n">
        <v>15</v>
      </c>
      <c r="F19" s="14" t="n">
        <v>30</v>
      </c>
      <c r="G19" s="14" t="inlineStr"/>
      <c r="H19" s="8">
        <f>IF(OR($G19="",$E19=""),"",IF($G19&lt;$E19,"🔴 REORDER",IF($G19&lt;$E19*1.5,"🟡 LOW","🟢 OK")))</f>
        <v/>
      </c>
      <c r="I19" s="8">
        <f>IF(OR($G19="",$E19="",$F19=""),"",IF($G19&lt;$E19*1.5,MAX(0,$F19-$G19),0))</f>
        <v/>
      </c>
      <c r="J19" s="15" t="n">
        <v>2.27</v>
      </c>
      <c r="K19" s="16">
        <f>IFERROR(IF(OR($G19="",$J19=""),"",$G19*$J19),"")</f>
        <v/>
      </c>
      <c r="L19" s="14" t="n"/>
      <c r="M19" s="14" t="n"/>
    </row>
    <row r="20">
      <c r="A20" s="9" t="n">
        <v>16</v>
      </c>
      <c r="B20" s="14" t="inlineStr">
        <is>
          <t>Heavy cream</t>
        </is>
      </c>
      <c r="C20" s="14" t="inlineStr">
        <is>
          <t>Dairy &amp; Eggs</t>
        </is>
      </c>
      <c r="D20" s="14" t="inlineStr">
        <is>
          <t>qt</t>
        </is>
      </c>
      <c r="E20" s="14" t="n">
        <v>6</v>
      </c>
      <c r="F20" s="14" t="n">
        <v>16</v>
      </c>
      <c r="G20" s="14" t="inlineStr"/>
      <c r="H20" s="9">
        <f>IF(OR($G20="",$E20=""),"",IF($G20&lt;$E20,"🔴 REORDER",IF($G20&lt;$E20*1.5,"🟡 LOW","🟢 OK")))</f>
        <v/>
      </c>
      <c r="I20" s="9">
        <f>IF(OR($G20="",$E20="",$F20=""),"",IF($G20&lt;$E20*1.5,MAX(0,$F20-$G20),0))</f>
        <v/>
      </c>
      <c r="J20" s="15" t="n">
        <v>4.98</v>
      </c>
      <c r="K20" s="17">
        <f>IFERROR(IF(OR($G20="",$J20=""),"",$G20*$J20),"")</f>
        <v/>
      </c>
      <c r="L20" s="14" t="n"/>
      <c r="M20" s="14" t="n"/>
    </row>
    <row r="21">
      <c r="A21" s="8" t="n">
        <v>17</v>
      </c>
      <c r="B21" s="14" t="inlineStr">
        <is>
          <t>Unsalted butter</t>
        </is>
      </c>
      <c r="C21" s="14" t="inlineStr">
        <is>
          <t>Dairy &amp; Eggs</t>
        </is>
      </c>
      <c r="D21" s="14" t="inlineStr">
        <is>
          <t>lb</t>
        </is>
      </c>
      <c r="E21" s="14" t="n">
        <v>6</v>
      </c>
      <c r="F21" s="14" t="n">
        <v>18</v>
      </c>
      <c r="G21" s="14" t="inlineStr"/>
      <c r="H21" s="8">
        <f>IF(OR($G21="",$E21=""),"",IF($G21&lt;$E21,"🔴 REORDER",IF($G21&lt;$E21*1.5,"🟡 LOW","🟢 OK")))</f>
        <v/>
      </c>
      <c r="I21" s="8">
        <f>IF(OR($G21="",$E21="",$F21=""),"",IF($G21&lt;$E21*1.5,MAX(0,$F21-$G21),0))</f>
        <v/>
      </c>
      <c r="J21" s="15" t="n">
        <v>3.23</v>
      </c>
      <c r="K21" s="16">
        <f>IFERROR(IF(OR($G21="",$J21=""),"",$G21*$J21),"")</f>
        <v/>
      </c>
      <c r="L21" s="14" t="n"/>
      <c r="M21" s="14" t="n"/>
    </row>
    <row r="22">
      <c r="A22" s="9" t="n">
        <v>18</v>
      </c>
      <c r="B22" s="14" t="inlineStr">
        <is>
          <t>Parmesan</t>
        </is>
      </c>
      <c r="C22" s="14" t="inlineStr">
        <is>
          <t>Dairy &amp; Eggs</t>
        </is>
      </c>
      <c r="D22" s="14" t="inlineStr">
        <is>
          <t>lb</t>
        </is>
      </c>
      <c r="E22" s="14" t="n">
        <v>4</v>
      </c>
      <c r="F22" s="14" t="n">
        <v>10</v>
      </c>
      <c r="G22" s="14" t="inlineStr"/>
      <c r="H22" s="9">
        <f>IF(OR($G22="",$E22=""),"",IF($G22&lt;$E22,"🔴 REORDER",IF($G22&lt;$E22*1.5,"🟡 LOW","🟢 OK")))</f>
        <v/>
      </c>
      <c r="I22" s="9">
        <f>IF(OR($G22="",$E22="",$F22=""),"",IF($G22&lt;$E22*1.5,MAX(0,$F22-$G22),0))</f>
        <v/>
      </c>
      <c r="J22" s="15" t="n">
        <v>9.5</v>
      </c>
      <c r="K22" s="17">
        <f>IFERROR(IF(OR($G22="",$J22=""),"",$G22*$J22),"")</f>
        <v/>
      </c>
      <c r="L22" s="14" t="n"/>
      <c r="M22" s="14" t="n"/>
    </row>
    <row r="23">
      <c r="A23" s="8" t="n">
        <v>19</v>
      </c>
      <c r="B23" s="14" t="inlineStr">
        <is>
          <t>Lemons</t>
        </is>
      </c>
      <c r="C23" s="14" t="inlineStr">
        <is>
          <t>Produce</t>
        </is>
      </c>
      <c r="D23" s="14" t="inlineStr">
        <is>
          <t>each</t>
        </is>
      </c>
      <c r="E23" s="14" t="n">
        <v>36</v>
      </c>
      <c r="F23" s="14" t="n">
        <v>90</v>
      </c>
      <c r="G23" s="14" t="inlineStr"/>
      <c r="H23" s="8">
        <f>IF(OR($G23="",$E23=""),"",IF($G23&lt;$E23,"🔴 REORDER",IF($G23&lt;$E23*1.5,"🟡 LOW","🟢 OK")))</f>
        <v/>
      </c>
      <c r="I23" s="8">
        <f>IF(OR($G23="",$E23="",$F23=""),"",IF($G23&lt;$E23*1.5,MAX(0,$F23-$G23),0))</f>
        <v/>
      </c>
      <c r="J23" s="15" t="n">
        <v>0.54</v>
      </c>
      <c r="K23" s="16">
        <f>IFERROR(IF(OR($G23="",$J23=""),"",$G23*$J23),"")</f>
        <v/>
      </c>
      <c r="L23" s="14" t="n"/>
      <c r="M23" s="14" t="n"/>
    </row>
    <row r="24">
      <c r="A24" s="9" t="n">
        <v>20</v>
      </c>
      <c r="B24" s="14" t="inlineStr">
        <is>
          <t>Peeled garlic</t>
        </is>
      </c>
      <c r="C24" s="14" t="inlineStr">
        <is>
          <t>Produce</t>
        </is>
      </c>
      <c r="D24" s="14" t="inlineStr">
        <is>
          <t>lb</t>
        </is>
      </c>
      <c r="E24" s="14" t="n">
        <v>5</v>
      </c>
      <c r="F24" s="14" t="n">
        <v>15</v>
      </c>
      <c r="G24" s="14" t="inlineStr"/>
      <c r="H24" s="9">
        <f>IF(OR($G24="",$E24=""),"",IF($G24&lt;$E24,"🔴 REORDER",IF($G24&lt;$E24*1.5,"🟡 LOW","🟢 OK")))</f>
        <v/>
      </c>
      <c r="I24" s="9">
        <f>IF(OR($G24="",$E24="",$F24=""),"",IF($G24&lt;$E24*1.5,MAX(0,$F24-$G24),0))</f>
        <v/>
      </c>
      <c r="J24" s="15" t="n">
        <v>4.1</v>
      </c>
      <c r="K24" s="17">
        <f>IFERROR(IF(OR($G24="",$J24=""),"",$G24*$J24),"")</f>
        <v/>
      </c>
      <c r="L24" s="14" t="n"/>
      <c r="M24" s="14" t="n"/>
    </row>
    <row r="25">
      <c r="A25" s="8" t="n">
        <v>21</v>
      </c>
      <c r="B25" s="14" t="n"/>
      <c r="C25" s="14" t="n"/>
      <c r="D25" s="14" t="n"/>
      <c r="E25" s="14" t="n"/>
      <c r="F25" s="14" t="n"/>
      <c r="G25" s="14" t="n"/>
      <c r="H25" s="8">
        <f>IF(OR($G25="",$E25=""),"",IF($G25&lt;$E25,"🔴 REORDER",IF($G25&lt;$E25*1.5,"🟡 LOW","🟢 OK")))</f>
        <v/>
      </c>
      <c r="I25" s="8">
        <f>IF(OR($G25="",$E25="",$F25=""),"",IF($G25&lt;$E25*1.5,MAX(0,$F25-$G25),0))</f>
        <v/>
      </c>
      <c r="J25" s="15" t="n"/>
      <c r="K25" s="16">
        <f>IFERROR(IF(OR($G25="",$J25=""),"",$G25*$J25),"")</f>
        <v/>
      </c>
      <c r="L25" s="14" t="n"/>
      <c r="M25" s="14" t="n"/>
    </row>
    <row r="26">
      <c r="A26" s="9" t="n">
        <v>22</v>
      </c>
      <c r="B26" s="14" t="n"/>
      <c r="C26" s="14" t="n"/>
      <c r="D26" s="14" t="n"/>
      <c r="E26" s="14" t="n"/>
      <c r="F26" s="14" t="n"/>
      <c r="G26" s="14" t="n"/>
      <c r="H26" s="9">
        <f>IF(OR($G26="",$E26=""),"",IF($G26&lt;$E26,"🔴 REORDER",IF($G26&lt;$E26*1.5,"🟡 LOW","🟢 OK")))</f>
        <v/>
      </c>
      <c r="I26" s="9">
        <f>IF(OR($G26="",$E26="",$F26=""),"",IF($G26&lt;$E26*1.5,MAX(0,$F26-$G26),0))</f>
        <v/>
      </c>
      <c r="J26" s="15" t="n"/>
      <c r="K26" s="17">
        <f>IFERROR(IF(OR($G26="",$J26=""),"",$G26*$J26),"")</f>
        <v/>
      </c>
      <c r="L26" s="14" t="n"/>
      <c r="M26" s="14" t="n"/>
    </row>
    <row r="27">
      <c r="A27" s="8" t="n">
        <v>23</v>
      </c>
      <c r="B27" s="14" t="n"/>
      <c r="C27" s="14" t="n"/>
      <c r="D27" s="14" t="n"/>
      <c r="E27" s="14" t="n"/>
      <c r="F27" s="14" t="n"/>
      <c r="G27" s="14" t="n"/>
      <c r="H27" s="8">
        <f>IF(OR($G27="",$E27=""),"",IF($G27&lt;$E27,"🔴 REORDER",IF($G27&lt;$E27*1.5,"🟡 LOW","🟢 OK")))</f>
        <v/>
      </c>
      <c r="I27" s="8">
        <f>IF(OR($G27="",$E27="",$F27=""),"",IF($G27&lt;$E27*1.5,MAX(0,$F27-$G27),0))</f>
        <v/>
      </c>
      <c r="J27" s="15" t="n"/>
      <c r="K27" s="16">
        <f>IFERROR(IF(OR($G27="",$J27=""),"",$G27*$J27),"")</f>
        <v/>
      </c>
      <c r="L27" s="14" t="n"/>
      <c r="M27" s="14" t="n"/>
    </row>
    <row r="28">
      <c r="A28" s="9" t="n">
        <v>24</v>
      </c>
      <c r="B28" s="14" t="n"/>
      <c r="C28" s="14" t="n"/>
      <c r="D28" s="14" t="n"/>
      <c r="E28" s="14" t="n"/>
      <c r="F28" s="14" t="n"/>
      <c r="G28" s="14" t="n"/>
      <c r="H28" s="9">
        <f>IF(OR($G28="",$E28=""),"",IF($G28&lt;$E28,"🔴 REORDER",IF($G28&lt;$E28*1.5,"🟡 LOW","🟢 OK")))</f>
        <v/>
      </c>
      <c r="I28" s="9">
        <f>IF(OR($G28="",$E28="",$F28=""),"",IF($G28&lt;$E28*1.5,MAX(0,$F28-$G28),0))</f>
        <v/>
      </c>
      <c r="J28" s="15" t="n"/>
      <c r="K28" s="17">
        <f>IFERROR(IF(OR($G28="",$J28=""),"",$G28*$J28),"")</f>
        <v/>
      </c>
      <c r="L28" s="14" t="n"/>
      <c r="M28" s="14" t="n"/>
    </row>
    <row r="29">
      <c r="A29" s="8" t="n">
        <v>25</v>
      </c>
      <c r="B29" s="14" t="n"/>
      <c r="C29" s="14" t="n"/>
      <c r="D29" s="14" t="n"/>
      <c r="E29" s="14" t="n"/>
      <c r="F29" s="14" t="n"/>
      <c r="G29" s="14" t="n"/>
      <c r="H29" s="8">
        <f>IF(OR($G29="",$E29=""),"",IF($G29&lt;$E29,"🔴 REORDER",IF($G29&lt;$E29*1.5,"🟡 LOW","🟢 OK")))</f>
        <v/>
      </c>
      <c r="I29" s="8">
        <f>IF(OR($G29="",$E29="",$F29=""),"",IF($G29&lt;$E29*1.5,MAX(0,$F29-$G29),0))</f>
        <v/>
      </c>
      <c r="J29" s="15" t="n"/>
      <c r="K29" s="16">
        <f>IFERROR(IF(OR($G29="",$J29=""),"",$G29*$J29),"")</f>
        <v/>
      </c>
      <c r="L29" s="14" t="n"/>
      <c r="M29" s="14" t="n"/>
    </row>
    <row r="30">
      <c r="A30" s="9" t="n">
        <v>26</v>
      </c>
      <c r="B30" s="14" t="n"/>
      <c r="C30" s="14" t="n"/>
      <c r="D30" s="14" t="n"/>
      <c r="E30" s="14" t="n"/>
      <c r="F30" s="14" t="n"/>
      <c r="G30" s="14" t="n"/>
      <c r="H30" s="9">
        <f>IF(OR($G30="",$E30=""),"",IF($G30&lt;$E30,"🔴 REORDER",IF($G30&lt;$E30*1.5,"🟡 LOW","🟢 OK")))</f>
        <v/>
      </c>
      <c r="I30" s="9">
        <f>IF(OR($G30="",$E30="",$F30=""),"",IF($G30&lt;$E30*1.5,MAX(0,$F30-$G30),0))</f>
        <v/>
      </c>
      <c r="J30" s="15" t="n"/>
      <c r="K30" s="17">
        <f>IFERROR(IF(OR($G30="",$J30=""),"",$G30*$J30),"")</f>
        <v/>
      </c>
      <c r="L30" s="14" t="n"/>
      <c r="M30" s="14" t="n"/>
    </row>
    <row r="31">
      <c r="A31" s="8" t="n">
        <v>27</v>
      </c>
      <c r="B31" s="14" t="n"/>
      <c r="C31" s="14" t="n"/>
      <c r="D31" s="14" t="n"/>
      <c r="E31" s="14" t="n"/>
      <c r="F31" s="14" t="n"/>
      <c r="G31" s="14" t="n"/>
      <c r="H31" s="8">
        <f>IF(OR($G31="",$E31=""),"",IF($G31&lt;$E31,"🔴 REORDER",IF($G31&lt;$E31*1.5,"🟡 LOW","🟢 OK")))</f>
        <v/>
      </c>
      <c r="I31" s="8">
        <f>IF(OR($G31="",$E31="",$F31=""),"",IF($G31&lt;$E31*1.5,MAX(0,$F31-$G31),0))</f>
        <v/>
      </c>
      <c r="J31" s="15" t="n"/>
      <c r="K31" s="16">
        <f>IFERROR(IF(OR($G31="",$J31=""),"",$G31*$J31),"")</f>
        <v/>
      </c>
      <c r="L31" s="14" t="n"/>
      <c r="M31" s="14" t="n"/>
    </row>
    <row r="32">
      <c r="A32" s="9" t="n">
        <v>28</v>
      </c>
      <c r="B32" s="14" t="n"/>
      <c r="C32" s="14" t="n"/>
      <c r="D32" s="14" t="n"/>
      <c r="E32" s="14" t="n"/>
      <c r="F32" s="14" t="n"/>
      <c r="G32" s="14" t="n"/>
      <c r="H32" s="9">
        <f>IF(OR($G32="",$E32=""),"",IF($G32&lt;$E32,"🔴 REORDER",IF($G32&lt;$E32*1.5,"🟡 LOW","🟢 OK")))</f>
        <v/>
      </c>
      <c r="I32" s="9">
        <f>IF(OR($G32="",$E32="",$F32=""),"",IF($G32&lt;$E32*1.5,MAX(0,$F32-$G32),0))</f>
        <v/>
      </c>
      <c r="J32" s="15" t="n"/>
      <c r="K32" s="17">
        <f>IFERROR(IF(OR($G32="",$J32=""),"",$G32*$J32),"")</f>
        <v/>
      </c>
      <c r="L32" s="14" t="n"/>
      <c r="M32" s="14" t="n"/>
    </row>
    <row r="33">
      <c r="A33" s="8" t="n">
        <v>29</v>
      </c>
      <c r="B33" s="14" t="n"/>
      <c r="C33" s="14" t="n"/>
      <c r="D33" s="14" t="n"/>
      <c r="E33" s="14" t="n"/>
      <c r="F33" s="14" t="n"/>
      <c r="G33" s="14" t="n"/>
      <c r="H33" s="8">
        <f>IF(OR($G33="",$E33=""),"",IF($G33&lt;$E33,"🔴 REORDER",IF($G33&lt;$E33*1.5,"🟡 LOW","🟢 OK")))</f>
        <v/>
      </c>
      <c r="I33" s="8">
        <f>IF(OR($G33="",$E33="",$F33=""),"",IF($G33&lt;$E33*1.5,MAX(0,$F33-$G33),0))</f>
        <v/>
      </c>
      <c r="J33" s="15" t="n"/>
      <c r="K33" s="16">
        <f>IFERROR(IF(OR($G33="",$J33=""),"",$G33*$J33),"")</f>
        <v/>
      </c>
      <c r="L33" s="14" t="n"/>
      <c r="M33" s="14" t="n"/>
    </row>
    <row r="34">
      <c r="A34" s="9" t="n">
        <v>30</v>
      </c>
      <c r="B34" s="14" t="n"/>
      <c r="C34" s="14" t="n"/>
      <c r="D34" s="14" t="n"/>
      <c r="E34" s="14" t="n"/>
      <c r="F34" s="14" t="n"/>
      <c r="G34" s="14" t="n"/>
      <c r="H34" s="9">
        <f>IF(OR($G34="",$E34=""),"",IF($G34&lt;$E34,"🔴 REORDER",IF($G34&lt;$E34*1.5,"🟡 LOW","🟢 OK")))</f>
        <v/>
      </c>
      <c r="I34" s="9">
        <f>IF(OR($G34="",$E34="",$F34=""),"",IF($G34&lt;$E34*1.5,MAX(0,$F34-$G34),0))</f>
        <v/>
      </c>
      <c r="J34" s="15" t="n"/>
      <c r="K34" s="17">
        <f>IFERROR(IF(OR($G34="",$J34=""),"",$G34*$J34),"")</f>
        <v/>
      </c>
      <c r="L34" s="14" t="n"/>
      <c r="M34" s="14" t="n"/>
    </row>
    <row r="35">
      <c r="A35" s="8" t="n">
        <v>31</v>
      </c>
      <c r="B35" s="14" t="n"/>
      <c r="C35" s="14" t="n"/>
      <c r="D35" s="14" t="n"/>
      <c r="E35" s="14" t="n"/>
      <c r="F35" s="14" t="n"/>
      <c r="G35" s="14" t="n"/>
      <c r="H35" s="8">
        <f>IF(OR($G35="",$E35=""),"",IF($G35&lt;$E35,"🔴 REORDER",IF($G35&lt;$E35*1.5,"🟡 LOW","🟢 OK")))</f>
        <v/>
      </c>
      <c r="I35" s="8">
        <f>IF(OR($G35="",$E35="",$F35=""),"",IF($G35&lt;$E35*1.5,MAX(0,$F35-$G35),0))</f>
        <v/>
      </c>
      <c r="J35" s="15" t="n"/>
      <c r="K35" s="16">
        <f>IFERROR(IF(OR($G35="",$J35=""),"",$G35*$J35),"")</f>
        <v/>
      </c>
      <c r="L35" s="14" t="n"/>
      <c r="M35" s="14" t="n"/>
    </row>
    <row r="36">
      <c r="A36" s="9" t="n">
        <v>32</v>
      </c>
      <c r="B36" s="14" t="n"/>
      <c r="C36" s="14" t="n"/>
      <c r="D36" s="14" t="n"/>
      <c r="E36" s="14" t="n"/>
      <c r="F36" s="14" t="n"/>
      <c r="G36" s="14" t="n"/>
      <c r="H36" s="9">
        <f>IF(OR($G36="",$E36=""),"",IF($G36&lt;$E36,"🔴 REORDER",IF($G36&lt;$E36*1.5,"🟡 LOW","🟢 OK")))</f>
        <v/>
      </c>
      <c r="I36" s="9">
        <f>IF(OR($G36="",$E36="",$F36=""),"",IF($G36&lt;$E36*1.5,MAX(0,$F36-$G36),0))</f>
        <v/>
      </c>
      <c r="J36" s="15" t="n"/>
      <c r="K36" s="17">
        <f>IFERROR(IF(OR($G36="",$J36=""),"",$G36*$J36),"")</f>
        <v/>
      </c>
      <c r="L36" s="14" t="n"/>
      <c r="M36" s="14" t="n"/>
    </row>
    <row r="37">
      <c r="A37" s="8" t="n">
        <v>33</v>
      </c>
      <c r="B37" s="14" t="n"/>
      <c r="C37" s="14" t="n"/>
      <c r="D37" s="14" t="n"/>
      <c r="E37" s="14" t="n"/>
      <c r="F37" s="14" t="n"/>
      <c r="G37" s="14" t="n"/>
      <c r="H37" s="8">
        <f>IF(OR($G37="",$E37=""),"",IF($G37&lt;$E37,"🔴 REORDER",IF($G37&lt;$E37*1.5,"🟡 LOW","🟢 OK")))</f>
        <v/>
      </c>
      <c r="I37" s="8">
        <f>IF(OR($G37="",$E37="",$F37=""),"",IF($G37&lt;$E37*1.5,MAX(0,$F37-$G37),0))</f>
        <v/>
      </c>
      <c r="J37" s="15" t="n"/>
      <c r="K37" s="16">
        <f>IFERROR(IF(OR($G37="",$J37=""),"",$G37*$J37),"")</f>
        <v/>
      </c>
      <c r="L37" s="14" t="n"/>
      <c r="M37" s="14" t="n"/>
    </row>
    <row r="38">
      <c r="A38" s="9" t="n">
        <v>34</v>
      </c>
      <c r="B38" s="14" t="n"/>
      <c r="C38" s="14" t="n"/>
      <c r="D38" s="14" t="n"/>
      <c r="E38" s="14" t="n"/>
      <c r="F38" s="14" t="n"/>
      <c r="G38" s="14" t="n"/>
      <c r="H38" s="9">
        <f>IF(OR($G38="",$E38=""),"",IF($G38&lt;$E38,"🔴 REORDER",IF($G38&lt;$E38*1.5,"🟡 LOW","🟢 OK")))</f>
        <v/>
      </c>
      <c r="I38" s="9">
        <f>IF(OR($G38="",$E38="",$F38=""),"",IF($G38&lt;$E38*1.5,MAX(0,$F38-$G38),0))</f>
        <v/>
      </c>
      <c r="J38" s="15" t="n"/>
      <c r="K38" s="17">
        <f>IFERROR(IF(OR($G38="",$J38=""),"",$G38*$J38),"")</f>
        <v/>
      </c>
      <c r="L38" s="14" t="n"/>
      <c r="M38" s="14" t="n"/>
    </row>
    <row r="39">
      <c r="A39" s="8" t="n">
        <v>35</v>
      </c>
      <c r="B39" s="14" t="n"/>
      <c r="C39" s="14" t="n"/>
      <c r="D39" s="14" t="n"/>
      <c r="E39" s="14" t="n"/>
      <c r="F39" s="14" t="n"/>
      <c r="G39" s="14" t="n"/>
      <c r="H39" s="8">
        <f>IF(OR($G39="",$E39=""),"",IF($G39&lt;$E39,"🔴 REORDER",IF($G39&lt;$E39*1.5,"🟡 LOW","🟢 OK")))</f>
        <v/>
      </c>
      <c r="I39" s="8">
        <f>IF(OR($G39="",$E39="",$F39=""),"",IF($G39&lt;$E39*1.5,MAX(0,$F39-$G39),0))</f>
        <v/>
      </c>
      <c r="J39" s="15" t="n"/>
      <c r="K39" s="16">
        <f>IFERROR(IF(OR($G39="",$J39=""),"",$G39*$J39),"")</f>
        <v/>
      </c>
      <c r="L39" s="14" t="n"/>
      <c r="M39" s="14" t="n"/>
    </row>
    <row r="40">
      <c r="A40" s="9" t="n">
        <v>36</v>
      </c>
      <c r="B40" s="14" t="n"/>
      <c r="C40" s="14" t="n"/>
      <c r="D40" s="14" t="n"/>
      <c r="E40" s="14" t="n"/>
      <c r="F40" s="14" t="n"/>
      <c r="G40" s="14" t="n"/>
      <c r="H40" s="9">
        <f>IF(OR($G40="",$E40=""),"",IF($G40&lt;$E40,"🔴 REORDER",IF($G40&lt;$E40*1.5,"🟡 LOW","🟢 OK")))</f>
        <v/>
      </c>
      <c r="I40" s="9">
        <f>IF(OR($G40="",$E40="",$F40=""),"",IF($G40&lt;$E40*1.5,MAX(0,$F40-$G40),0))</f>
        <v/>
      </c>
      <c r="J40" s="15" t="n"/>
      <c r="K40" s="17">
        <f>IFERROR(IF(OR($G40="",$J40=""),"",$G40*$J40),"")</f>
        <v/>
      </c>
      <c r="L40" s="14" t="n"/>
      <c r="M40" s="14" t="n"/>
    </row>
    <row r="41">
      <c r="A41" s="8" t="n">
        <v>37</v>
      </c>
      <c r="B41" s="14" t="n"/>
      <c r="C41" s="14" t="n"/>
      <c r="D41" s="14" t="n"/>
      <c r="E41" s="14" t="n"/>
      <c r="F41" s="14" t="n"/>
      <c r="G41" s="14" t="n"/>
      <c r="H41" s="8">
        <f>IF(OR($G41="",$E41=""),"",IF($G41&lt;$E41,"🔴 REORDER",IF($G41&lt;$E41*1.5,"🟡 LOW","🟢 OK")))</f>
        <v/>
      </c>
      <c r="I41" s="8">
        <f>IF(OR($G41="",$E41="",$F41=""),"",IF($G41&lt;$E41*1.5,MAX(0,$F41-$G41),0))</f>
        <v/>
      </c>
      <c r="J41" s="15" t="n"/>
      <c r="K41" s="16">
        <f>IFERROR(IF(OR($G41="",$J41=""),"",$G41*$J41),"")</f>
        <v/>
      </c>
      <c r="L41" s="14" t="n"/>
      <c r="M41" s="14" t="n"/>
    </row>
    <row r="42">
      <c r="A42" s="9" t="n">
        <v>38</v>
      </c>
      <c r="B42" s="14" t="n"/>
      <c r="C42" s="14" t="n"/>
      <c r="D42" s="14" t="n"/>
      <c r="E42" s="14" t="n"/>
      <c r="F42" s="14" t="n"/>
      <c r="G42" s="14" t="n"/>
      <c r="H42" s="9">
        <f>IF(OR($G42="",$E42=""),"",IF($G42&lt;$E42,"🔴 REORDER",IF($G42&lt;$E42*1.5,"🟡 LOW","🟢 OK")))</f>
        <v/>
      </c>
      <c r="I42" s="9">
        <f>IF(OR($G42="",$E42="",$F42=""),"",IF($G42&lt;$E42*1.5,MAX(0,$F42-$G42),0))</f>
        <v/>
      </c>
      <c r="J42" s="15" t="n"/>
      <c r="K42" s="17">
        <f>IFERROR(IF(OR($G42="",$J42=""),"",$G42*$J42),"")</f>
        <v/>
      </c>
      <c r="L42" s="14" t="n"/>
      <c r="M42" s="14" t="n"/>
    </row>
    <row r="43">
      <c r="A43" s="8" t="n">
        <v>39</v>
      </c>
      <c r="B43" s="14" t="n"/>
      <c r="C43" s="14" t="n"/>
      <c r="D43" s="14" t="n"/>
      <c r="E43" s="14" t="n"/>
      <c r="F43" s="14" t="n"/>
      <c r="G43" s="14" t="n"/>
      <c r="H43" s="8">
        <f>IF(OR($G43="",$E43=""),"",IF($G43&lt;$E43,"🔴 REORDER",IF($G43&lt;$E43*1.5,"🟡 LOW","🟢 OK")))</f>
        <v/>
      </c>
      <c r="I43" s="8">
        <f>IF(OR($G43="",$E43="",$F43=""),"",IF($G43&lt;$E43*1.5,MAX(0,$F43-$G43),0))</f>
        <v/>
      </c>
      <c r="J43" s="15" t="n"/>
      <c r="K43" s="16">
        <f>IFERROR(IF(OR($G43="",$J43=""),"",$G43*$J43),"")</f>
        <v/>
      </c>
      <c r="L43" s="14" t="n"/>
      <c r="M43" s="14" t="n"/>
    </row>
    <row r="44">
      <c r="A44" s="9" t="n">
        <v>40</v>
      </c>
      <c r="B44" s="14" t="n"/>
      <c r="C44" s="14" t="n"/>
      <c r="D44" s="14" t="n"/>
      <c r="E44" s="14" t="n"/>
      <c r="F44" s="14" t="n"/>
      <c r="G44" s="14" t="n"/>
      <c r="H44" s="9">
        <f>IF(OR($G44="",$E44=""),"",IF($G44&lt;$E44,"🔴 REORDER",IF($G44&lt;$E44*1.5,"🟡 LOW","🟢 OK")))</f>
        <v/>
      </c>
      <c r="I44" s="9">
        <f>IF(OR($G44="",$E44="",$F44=""),"",IF($G44&lt;$E44*1.5,MAX(0,$F44-$G44),0))</f>
        <v/>
      </c>
      <c r="J44" s="15" t="n"/>
      <c r="K44" s="17">
        <f>IFERROR(IF(OR($G44="",$J44=""),"",$G44*$J44),"")</f>
        <v/>
      </c>
      <c r="L44" s="14" t="n"/>
      <c r="M44" s="14" t="n"/>
    </row>
    <row r="47">
      <c r="A47" s="1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M1"/>
    <mergeCell ref="A47:H47"/>
    <mergeCell ref="A2:M2"/>
  </mergeCells>
  <conditionalFormatting sqref="H5:H44">
    <cfRule type="containsText" priority="1" operator="containsText" dxfId="0" stopIfTrue="1" text="REORDER">
      <formula>NOT(ISERROR(SEARCH("REORDER",H5)))</formula>
    </cfRule>
    <cfRule type="containsText" priority="2" operator="containsText" dxfId="1" stopIfTrue="1" text="LOW">
      <formula>NOT(ISERROR(SEARCH("LOW",H5)))</formula>
    </cfRule>
    <cfRule type="containsText" priority="3" operator="containsText" dxfId="2" stopIfTrue="1" text="OK">
      <formula>NOT(ISERROR(SEARCH("OK",H5)))</formula>
    </cfRule>
  </conditionalFormatting>
  <dataValidations count="2">
    <dataValidation sqref="C5:C44" showDropDown="0" showInputMessage="1" showErrorMessage="1" allowBlank="1" errorTitle="Invalid category" error="Choose a value from the list. This is the kit's single taxonomy: if each template uses different wording, the SUMIF formulas in the analysis sheets won't add up correctly." promptTitle="Invalid category" prompt="The kit's 10 categories. They're the same across all 9 templates: the analysis in 05 and 07 aggregates by this exact text." type="list" errorStyle="stop">
      <formula1>"Meat &amp; Poultry,Seafood,Dairy &amp; Eggs,Produce,Dry Goods,Frozen,Alcoholic Beverages,Non-Alcoholic Beverages,Paper &amp; Cleaning,Other"</formula1>
    </dataValidation>
    <dataValidation sqref="D5:D44" showDropDown="0" showInputMessage="1" showErrorMessage="1" allowBlank="1" errorTitle="Invalid unit" error="Choose a value from the list. This is the kit's single taxonomy: if each template uses different wording, the SUMIF formulas in the analysis sheets won't add up correctly." promptTitle="Invalid unit" prompt="REAL purchase unit: draft beer is by the keg, eggs by the dozen, and wine by the bottle (750 ml each)." type="list" errorStyle="stop">
      <formula1>"lb,oz,kg,gal,qt,L,each,dozen,case,tray,keg,bag,roll,pack,bottle,can"</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M37"/>
  <sheetViews>
    <sheetView workbookViewId="0">
      <pane ySplit="4" topLeftCell="A5" activePane="bottomLeft" state="frozen"/>
      <selection pane="bottomLeft" activeCell="A1" sqref="A1"/>
    </sheetView>
  </sheetViews>
  <sheetFormatPr baseColWidth="8" defaultRowHeight="15"/>
  <cols>
    <col width="5" customWidth="1" min="1" max="1"/>
    <col width="25" customWidth="1" min="2" max="2"/>
    <col width="14" customWidth="1" min="3" max="3"/>
    <col width="8" customWidth="1" min="4" max="4"/>
    <col width="10" customWidth="1" min="5" max="5"/>
    <col width="10" customWidth="1" min="6" max="6"/>
    <col width="10" customWidth="1" min="7" max="7"/>
    <col width="10" customWidth="1" min="8" max="8"/>
    <col width="10" customWidth="1" min="9" max="9"/>
    <col width="13" customWidth="1" min="10" max="10"/>
    <col width="11" customWidth="1" min="11" max="11"/>
    <col width="22" customWidth="1" min="12" max="12"/>
    <col width="26" customWidth="1" min="13" max="13"/>
  </cols>
  <sheetData>
    <row r="1">
      <c r="A1" s="5" t="inlineStr">
        <is>
          <t>INVENTORY — BAR</t>
        </is>
      </c>
    </row>
    <row r="2">
      <c r="A2" s="6" t="inlineStr">
        <is>
          <t>Date: ___/___/______    Counted by: ________________</t>
        </is>
      </c>
    </row>
    <row r="3">
      <c r="A3" s="13" t="inlineStr">
        <is>
          <t>Sample data; illustrative pre-tax prices — replace them with your own. Category and Unit have a drop-down.</t>
        </is>
      </c>
    </row>
    <row r="4">
      <c r="A4" s="7" t="inlineStr">
        <is>
          <t>#</t>
        </is>
      </c>
      <c r="B4" s="7" t="inlineStr">
        <is>
          <t>Product</t>
        </is>
      </c>
      <c r="C4" s="7" t="inlineStr">
        <is>
          <t>Category</t>
        </is>
      </c>
      <c r="D4" s="7" t="inlineStr">
        <is>
          <t>Unit</t>
        </is>
      </c>
      <c r="E4" s="7" t="inlineStr">
        <is>
          <t>Par Level</t>
        </is>
      </c>
      <c r="F4" s="7" t="inlineStr">
        <is>
          <t>Par Max</t>
        </is>
      </c>
      <c r="G4" s="7" t="inlineStr">
        <is>
          <t>On Hand</t>
        </is>
      </c>
      <c r="H4" s="7" t="inlineStr">
        <is>
          <t>Status</t>
        </is>
      </c>
      <c r="I4" s="7" t="inlineStr">
        <is>
          <t>Order Qty</t>
        </is>
      </c>
      <c r="J4" s="7" t="inlineStr">
        <is>
          <t>Price/unit</t>
        </is>
      </c>
      <c r="K4" s="7" t="inlineStr">
        <is>
          <t>Value</t>
        </is>
      </c>
      <c r="L4" s="7" t="inlineStr">
        <is>
          <t>Vendor</t>
        </is>
      </c>
      <c r="M4" s="7" t="inlineStr">
        <is>
          <t>Notes</t>
        </is>
      </c>
    </row>
    <row r="5">
      <c r="A5" s="8" t="n">
        <v>1</v>
      </c>
      <c r="B5" s="14" t="inlineStr">
        <is>
          <t>Whole bean coffee</t>
        </is>
      </c>
      <c r="C5" s="14" t="inlineStr">
        <is>
          <t>Dry Goods</t>
        </is>
      </c>
      <c r="D5" s="14" t="inlineStr">
        <is>
          <t>lb</t>
        </is>
      </c>
      <c r="E5" s="14" t="n">
        <v>12</v>
      </c>
      <c r="F5" s="14" t="n">
        <v>30</v>
      </c>
      <c r="G5" s="14" t="inlineStr"/>
      <c r="H5" s="8">
        <f>IF(OR($G5="",$E5=""),"",IF($G5&lt;$E5,"🔴 REORDER",IF($G5&lt;$E5*1.5,"🟡 LOW","🟢 OK")))</f>
        <v/>
      </c>
      <c r="I5" s="8">
        <f>IF(OR($G5="",$E5="",$F5=""),"",IF($G5&lt;$E5*1.5,MAX(0,$F5-$G5),0))</f>
        <v/>
      </c>
      <c r="J5" s="15" t="n">
        <v>7.9</v>
      </c>
      <c r="K5" s="16">
        <f>IFERROR(IF(OR($G5="",$J5=""),"",$G5*$J5),"")</f>
        <v/>
      </c>
      <c r="L5" s="14" t="n"/>
      <c r="M5" s="14" t="n"/>
    </row>
    <row r="6">
      <c r="A6" s="9" t="n">
        <v>2</v>
      </c>
      <c r="B6" s="14" t="inlineStr">
        <is>
          <t>Whole milk</t>
        </is>
      </c>
      <c r="C6" s="14" t="inlineStr">
        <is>
          <t>Dairy &amp; Eggs</t>
        </is>
      </c>
      <c r="D6" s="14" t="inlineStr">
        <is>
          <t>gal</t>
        </is>
      </c>
      <c r="E6" s="14" t="n">
        <v>6</v>
      </c>
      <c r="F6" s="14" t="n">
        <v>16</v>
      </c>
      <c r="G6" s="14" t="inlineStr"/>
      <c r="H6" s="9">
        <f>IF(OR($G6="",$E6=""),"",IF($G6&lt;$E6,"🔴 REORDER",IF($G6&lt;$E6*1.5,"🟡 LOW","🟢 OK")))</f>
        <v/>
      </c>
      <c r="I6" s="9">
        <f>IF(OR($G6="",$E6="",$F6=""),"",IF($G6&lt;$E6*1.5,MAX(0,$F6-$G6),0))</f>
        <v/>
      </c>
      <c r="J6" s="15" t="n">
        <v>4.23</v>
      </c>
      <c r="K6" s="17">
        <f>IFERROR(IF(OR($G6="",$J6=""),"",$G6*$J6),"")</f>
        <v/>
      </c>
      <c r="L6" s="14" t="n"/>
      <c r="M6" s="14" t="n"/>
    </row>
    <row r="7">
      <c r="A7" s="8" t="n">
        <v>3</v>
      </c>
      <c r="B7" s="14" t="inlineStr">
        <is>
          <t>Oat milk (barista)</t>
        </is>
      </c>
      <c r="C7" s="14" t="inlineStr">
        <is>
          <t>Non-Alcoholic Beverages</t>
        </is>
      </c>
      <c r="D7" s="14" t="inlineStr">
        <is>
          <t>qt</t>
        </is>
      </c>
      <c r="E7" s="14" t="n">
        <v>6</v>
      </c>
      <c r="F7" s="14" t="n">
        <v>18</v>
      </c>
      <c r="G7" s="14" t="inlineStr"/>
      <c r="H7" s="8">
        <f>IF(OR($G7="",$E7=""),"",IF($G7&lt;$E7,"🔴 REORDER",IF($G7&lt;$E7*1.5,"🟡 LOW","🟢 OK")))</f>
        <v/>
      </c>
      <c r="I7" s="8">
        <f>IF(OR($G7="",$E7="",$F7=""),"",IF($G7&lt;$E7*1.5,MAX(0,$F7-$G7),0))</f>
        <v/>
      </c>
      <c r="J7" s="15" t="n">
        <v>3.33</v>
      </c>
      <c r="K7" s="16">
        <f>IFERROR(IF(OR($G7="",$J7=""),"",$G7*$J7),"")</f>
        <v/>
      </c>
      <c r="L7" s="14" t="n"/>
      <c r="M7" s="14" t="n"/>
    </row>
    <row r="8">
      <c r="A8" s="9" t="n">
        <v>4</v>
      </c>
      <c r="B8" s="14" t="inlineStr">
        <is>
          <t>Orange juice</t>
        </is>
      </c>
      <c r="C8" s="14" t="inlineStr">
        <is>
          <t>Non-Alcoholic Beverages</t>
        </is>
      </c>
      <c r="D8" s="14" t="inlineStr">
        <is>
          <t>gal</t>
        </is>
      </c>
      <c r="E8" s="14" t="n">
        <v>2</v>
      </c>
      <c r="F8" s="14" t="n">
        <v>5</v>
      </c>
      <c r="G8" s="14" t="inlineStr"/>
      <c r="H8" s="9">
        <f>IF(OR($G8="",$E8=""),"",IF($G8&lt;$E8,"🔴 REORDER",IF($G8&lt;$E8*1.5,"🟡 LOW","🟢 OK")))</f>
        <v/>
      </c>
      <c r="I8" s="9">
        <f>IF(OR($G8="",$E8="",$F8=""),"",IF($G8&lt;$E8*1.5,MAX(0,$F8-$G8),0))</f>
        <v/>
      </c>
      <c r="J8" s="15" t="n">
        <v>7.5</v>
      </c>
      <c r="K8" s="17">
        <f>IFERROR(IF(OR($G8="",$J8=""),"",$G8*$J8),"")</f>
        <v/>
      </c>
      <c r="L8" s="14" t="n"/>
      <c r="M8" s="14" t="n"/>
    </row>
    <row r="9">
      <c r="A9" s="8" t="n">
        <v>5</v>
      </c>
      <c r="B9" s="14" t="inlineStr">
        <is>
          <t>Cola (12 fl oz)</t>
        </is>
      </c>
      <c r="C9" s="14" t="inlineStr">
        <is>
          <t>Non-Alcoholic Beverages</t>
        </is>
      </c>
      <c r="D9" s="14" t="inlineStr">
        <is>
          <t>can</t>
        </is>
      </c>
      <c r="E9" s="14" t="n">
        <v>48</v>
      </c>
      <c r="F9" s="14" t="n">
        <v>120</v>
      </c>
      <c r="G9" s="14" t="inlineStr"/>
      <c r="H9" s="8">
        <f>IF(OR($G9="",$E9=""),"",IF($G9&lt;$E9,"🔴 REORDER",IF($G9&lt;$E9*1.5,"🟡 LOW","🟢 OK")))</f>
        <v/>
      </c>
      <c r="I9" s="8">
        <f>IF(OR($G9="",$E9="",$F9=""),"",IF($G9&lt;$E9*1.5,MAX(0,$F9-$G9),0))</f>
        <v/>
      </c>
      <c r="J9" s="15" t="n">
        <v>0.5</v>
      </c>
      <c r="K9" s="16">
        <f>IFERROR(IF(OR($G9="",$J9=""),"",$G9*$J9),"")</f>
        <v/>
      </c>
      <c r="L9" s="14" t="n"/>
      <c r="M9" s="14" t="n"/>
    </row>
    <row r="10">
      <c r="A10" s="9" t="n">
        <v>6</v>
      </c>
      <c r="B10" s="14" t="inlineStr">
        <is>
          <t>Draft beer (1/2 bbl)</t>
        </is>
      </c>
      <c r="C10" s="14" t="inlineStr">
        <is>
          <t>Alcoholic Beverages</t>
        </is>
      </c>
      <c r="D10" s="14" t="inlineStr">
        <is>
          <t>keg</t>
        </is>
      </c>
      <c r="E10" s="14" t="n">
        <v>2</v>
      </c>
      <c r="F10" s="14" t="n">
        <v>6</v>
      </c>
      <c r="G10" s="14" t="inlineStr"/>
      <c r="H10" s="9">
        <f>IF(OR($G10="",$E10=""),"",IF($G10&lt;$E10,"🔴 REORDER",IF($G10&lt;$E10*1.5,"🟡 LOW","🟢 OK")))</f>
        <v/>
      </c>
      <c r="I10" s="9">
        <f>IF(OR($G10="",$E10="",$F10=""),"",IF($G10&lt;$E10*1.5,MAX(0,$F10-$G10),0))</f>
        <v/>
      </c>
      <c r="J10" s="15" t="n">
        <v>165</v>
      </c>
      <c r="K10" s="17">
        <f>IFERROR(IF(OR($G10="",$J10=""),"",$G10*$J10),"")</f>
        <v/>
      </c>
      <c r="L10" s="14" t="n"/>
      <c r="M10" s="14" t="n"/>
    </row>
    <row r="11">
      <c r="A11" s="8" t="n">
        <v>7</v>
      </c>
      <c r="B11" s="14" t="inlineStr">
        <is>
          <t>Bottled water</t>
        </is>
      </c>
      <c r="C11" s="14" t="inlineStr">
        <is>
          <t>Non-Alcoholic Beverages</t>
        </is>
      </c>
      <c r="D11" s="14" t="inlineStr">
        <is>
          <t>bottle</t>
        </is>
      </c>
      <c r="E11" s="14" t="n">
        <v>48</v>
      </c>
      <c r="F11" s="14" t="n">
        <v>144</v>
      </c>
      <c r="G11" s="14" t="inlineStr"/>
      <c r="H11" s="8">
        <f>IF(OR($G11="",$E11=""),"",IF($G11&lt;$E11,"🔴 REORDER",IF($G11&lt;$E11*1.5,"🟡 LOW","🟢 OK")))</f>
        <v/>
      </c>
      <c r="I11" s="8">
        <f>IF(OR($G11="",$E11="",$F11=""),"",IF($G11&lt;$E11*1.5,MAX(0,$F11-$G11),0))</f>
        <v/>
      </c>
      <c r="J11" s="15" t="n">
        <v>0.3</v>
      </c>
      <c r="K11" s="16">
        <f>IFERROR(IF(OR($G11="",$J11=""),"",$G11*$J11),"")</f>
        <v/>
      </c>
      <c r="L11" s="14" t="n"/>
      <c r="M11" s="14" t="n"/>
    </row>
    <row r="12">
      <c r="A12" s="9" t="n">
        <v>8</v>
      </c>
      <c r="B12" s="14" t="inlineStr">
        <is>
          <t>Premium tonic water</t>
        </is>
      </c>
      <c r="C12" s="14" t="inlineStr">
        <is>
          <t>Non-Alcoholic Beverages</t>
        </is>
      </c>
      <c r="D12" s="14" t="inlineStr">
        <is>
          <t>bottle</t>
        </is>
      </c>
      <c r="E12" s="14" t="n">
        <v>24</v>
      </c>
      <c r="F12" s="14" t="n">
        <v>72</v>
      </c>
      <c r="G12" s="14" t="inlineStr"/>
      <c r="H12" s="9">
        <f>IF(OR($G12="",$E12=""),"",IF($G12&lt;$E12,"🔴 REORDER",IF($G12&lt;$E12*1.5,"🟡 LOW","🟢 OK")))</f>
        <v/>
      </c>
      <c r="I12" s="9">
        <f>IF(OR($G12="",$E12="",$F12=""),"",IF($G12&lt;$E12*1.5,MAX(0,$F12-$G12),0))</f>
        <v/>
      </c>
      <c r="J12" s="15" t="n">
        <v>1.71</v>
      </c>
      <c r="K12" s="17">
        <f>IFERROR(IF(OR($G12="",$J12=""),"",$G12*$J12),"")</f>
        <v/>
      </c>
      <c r="L12" s="14" t="n"/>
      <c r="M12" s="14" t="n"/>
    </row>
    <row r="13">
      <c r="A13" s="8" t="n">
        <v>9</v>
      </c>
      <c r="B13" s="14" t="inlineStr">
        <is>
          <t>House red wine (750 ml)</t>
        </is>
      </c>
      <c r="C13" s="14" t="inlineStr">
        <is>
          <t>Alcoholic Beverages</t>
        </is>
      </c>
      <c r="D13" s="14" t="inlineStr">
        <is>
          <t>bottle</t>
        </is>
      </c>
      <c r="E13" s="14" t="n">
        <v>12</v>
      </c>
      <c r="F13" s="14" t="n">
        <v>36</v>
      </c>
      <c r="G13" s="14" t="inlineStr"/>
      <c r="H13" s="8">
        <f>IF(OR($G13="",$E13=""),"",IF($G13&lt;$E13,"🔴 REORDER",IF($G13&lt;$E13*1.5,"🟡 LOW","🟢 OK")))</f>
        <v/>
      </c>
      <c r="I13" s="8">
        <f>IF(OR($G13="",$E13="",$F13=""),"",IF($G13&lt;$E13*1.5,MAX(0,$F13-$G13),0))</f>
        <v/>
      </c>
      <c r="J13" s="15" t="n">
        <v>10.31</v>
      </c>
      <c r="K13" s="16">
        <f>IFERROR(IF(OR($G13="",$J13=""),"",$G13*$J13),"")</f>
        <v/>
      </c>
      <c r="L13" s="14" t="n"/>
      <c r="M13" s="14" t="n"/>
    </row>
    <row r="14">
      <c r="A14" s="9" t="n">
        <v>10</v>
      </c>
      <c r="B14" s="14" t="inlineStr">
        <is>
          <t>House white wine (750 ml)</t>
        </is>
      </c>
      <c r="C14" s="14" t="inlineStr">
        <is>
          <t>Alcoholic Beverages</t>
        </is>
      </c>
      <c r="D14" s="14" t="inlineStr">
        <is>
          <t>bottle</t>
        </is>
      </c>
      <c r="E14" s="14" t="n">
        <v>12</v>
      </c>
      <c r="F14" s="14" t="n">
        <v>36</v>
      </c>
      <c r="G14" s="14" t="inlineStr"/>
      <c r="H14" s="9">
        <f>IF(OR($G14="",$E14=""),"",IF($G14&lt;$E14,"🔴 REORDER",IF($G14&lt;$E14*1.5,"🟡 LOW","🟢 OK")))</f>
        <v/>
      </c>
      <c r="I14" s="9">
        <f>IF(OR($G14="",$E14="",$F14=""),"",IF($G14&lt;$E14*1.5,MAX(0,$F14-$G14),0))</f>
        <v/>
      </c>
      <c r="J14" s="15" t="n">
        <v>10.31</v>
      </c>
      <c r="K14" s="17">
        <f>IFERROR(IF(OR($G14="",$J14=""),"",$G14*$J14),"")</f>
        <v/>
      </c>
      <c r="L14" s="14" t="n"/>
      <c r="M14" s="14" t="n"/>
    </row>
    <row r="15">
      <c r="A15" s="8" t="n">
        <v>11</v>
      </c>
      <c r="B15" s="14" t="inlineStr">
        <is>
          <t>Bagged ice (20 lb)</t>
        </is>
      </c>
      <c r="C15" s="14" t="inlineStr">
        <is>
          <t>Frozen</t>
        </is>
      </c>
      <c r="D15" s="14" t="inlineStr">
        <is>
          <t>bag</t>
        </is>
      </c>
      <c r="E15" s="14" t="n">
        <v>6</v>
      </c>
      <c r="F15" s="14" t="n">
        <v>15</v>
      </c>
      <c r="G15" s="14" t="inlineStr"/>
      <c r="H15" s="8">
        <f>IF(OR($G15="",$E15=""),"",IF($G15&lt;$E15,"🔴 REORDER",IF($G15&lt;$E15*1.5,"🟡 LOW","🟢 OK")))</f>
        <v/>
      </c>
      <c r="I15" s="8">
        <f>IF(OR($G15="",$E15="",$F15=""),"",IF($G15&lt;$E15*1.5,MAX(0,$F15-$G15),0))</f>
        <v/>
      </c>
      <c r="J15" s="15" t="n">
        <v>4</v>
      </c>
      <c r="K15" s="16">
        <f>IFERROR(IF(OR($G15="",$J15=""),"",$G15*$J15),"")</f>
        <v/>
      </c>
      <c r="L15" s="14" t="n"/>
      <c r="M15" s="14" t="n"/>
    </row>
    <row r="16">
      <c r="A16" s="9" t="n">
        <v>12</v>
      </c>
      <c r="B16" s="14" t="inlineStr">
        <is>
          <t>Granulated sugar</t>
        </is>
      </c>
      <c r="C16" s="14" t="inlineStr">
        <is>
          <t>Dry Goods</t>
        </is>
      </c>
      <c r="D16" s="14" t="inlineStr">
        <is>
          <t>lb</t>
        </is>
      </c>
      <c r="E16" s="14" t="n">
        <v>20</v>
      </c>
      <c r="F16" s="14" t="n">
        <v>50</v>
      </c>
      <c r="G16" s="14" t="inlineStr"/>
      <c r="H16" s="9">
        <f>IF(OR($G16="",$E16=""),"",IF($G16&lt;$E16,"🔴 REORDER",IF($G16&lt;$E16*1.5,"🟡 LOW","🟢 OK")))</f>
        <v/>
      </c>
      <c r="I16" s="9">
        <f>IF(OR($G16="",$E16="",$F16=""),"",IF($G16&lt;$E16*1.5,MAX(0,$F16-$G16),0))</f>
        <v/>
      </c>
      <c r="J16" s="15" t="n">
        <v>1.01</v>
      </c>
      <c r="K16" s="17">
        <f>IFERROR(IF(OR($G16="",$J16=""),"",$G16*$J16),"")</f>
        <v/>
      </c>
      <c r="L16" s="14" t="n"/>
      <c r="M16" s="14" t="n"/>
    </row>
    <row r="17">
      <c r="A17" s="8" t="n">
        <v>13</v>
      </c>
      <c r="B17" s="14" t="inlineStr">
        <is>
          <t>Beverage napkins (bar)</t>
        </is>
      </c>
      <c r="C17" s="14" t="inlineStr">
        <is>
          <t>Paper &amp; Cleaning</t>
        </is>
      </c>
      <c r="D17" s="14" t="inlineStr">
        <is>
          <t>case</t>
        </is>
      </c>
      <c r="E17" s="14" t="n">
        <v>2</v>
      </c>
      <c r="F17" s="14" t="n">
        <v>4</v>
      </c>
      <c r="G17" s="14" t="inlineStr"/>
      <c r="H17" s="8">
        <f>IF(OR($G17="",$E17=""),"",IF($G17&lt;$E17,"🔴 REORDER",IF($G17&lt;$E17*1.5,"🟡 LOW","🟢 OK")))</f>
        <v/>
      </c>
      <c r="I17" s="8">
        <f>IF(OR($G17="",$E17="",$F17=""),"",IF($G17&lt;$E17*1.5,MAX(0,$F17-$G17),0))</f>
        <v/>
      </c>
      <c r="J17" s="15" t="n">
        <v>28</v>
      </c>
      <c r="K17" s="16">
        <f>IFERROR(IF(OR($G17="",$J17=""),"",$G17*$J17),"")</f>
        <v/>
      </c>
      <c r="L17" s="14" t="n"/>
      <c r="M17" s="14" t="n"/>
    </row>
    <row r="18">
      <c r="A18" s="9" t="n">
        <v>14</v>
      </c>
      <c r="B18" s="14" t="inlineStr">
        <is>
          <t>Paper straws</t>
        </is>
      </c>
      <c r="C18" s="14" t="inlineStr">
        <is>
          <t>Paper &amp; Cleaning</t>
        </is>
      </c>
      <c r="D18" s="14" t="inlineStr">
        <is>
          <t>case</t>
        </is>
      </c>
      <c r="E18" s="14" t="n">
        <v>1</v>
      </c>
      <c r="F18" s="14" t="n">
        <v>2</v>
      </c>
      <c r="G18" s="14" t="inlineStr"/>
      <c r="H18" s="9">
        <f>IF(OR($G18="",$E18=""),"",IF($G18&lt;$E18,"🔴 REORDER",IF($G18&lt;$E18*1.5,"🟡 LOW","🟢 OK")))</f>
        <v/>
      </c>
      <c r="I18" s="9">
        <f>IF(OR($G18="",$E18="",$F18=""),"",IF($G18&lt;$E18*1.5,MAX(0,$F18-$G18),0))</f>
        <v/>
      </c>
      <c r="J18" s="15" t="n">
        <v>36</v>
      </c>
      <c r="K18" s="17">
        <f>IFERROR(IF(OR($G18="",$J18=""),"",$G18*$J18),"")</f>
        <v/>
      </c>
      <c r="L18" s="14" t="n"/>
      <c r="M18" s="14" t="n"/>
    </row>
    <row r="19">
      <c r="A19" s="8" t="n">
        <v>15</v>
      </c>
      <c r="B19" s="14" t="inlineStr">
        <is>
          <t>Disposable cups</t>
        </is>
      </c>
      <c r="C19" s="14" t="inlineStr">
        <is>
          <t>Paper &amp; Cleaning</t>
        </is>
      </c>
      <c r="D19" s="14" t="inlineStr">
        <is>
          <t>pack</t>
        </is>
      </c>
      <c r="E19" s="14" t="n">
        <v>6</v>
      </c>
      <c r="F19" s="14" t="n">
        <v>18</v>
      </c>
      <c r="G19" s="14" t="inlineStr"/>
      <c r="H19" s="8">
        <f>IF(OR($G19="",$E19=""),"",IF($G19&lt;$E19,"🔴 REORDER",IF($G19&lt;$E19*1.5,"🟡 LOW","🟢 OK")))</f>
        <v/>
      </c>
      <c r="I19" s="8">
        <f>IF(OR($G19="",$E19="",$F19=""),"",IF($G19&lt;$E19*1.5,MAX(0,$F19-$G19),0))</f>
        <v/>
      </c>
      <c r="J19" s="15" t="n">
        <v>6.5</v>
      </c>
      <c r="K19" s="16">
        <f>IFERROR(IF(OR($G19="",$J19=""),"",$G19*$J19),"")</f>
        <v/>
      </c>
      <c r="L19" s="14" t="n"/>
      <c r="M19" s="14" t="n"/>
    </row>
    <row r="20">
      <c r="A20" s="9" t="n">
        <v>16</v>
      </c>
      <c r="B20" s="14" t="n"/>
      <c r="C20" s="14" t="n"/>
      <c r="D20" s="14" t="n"/>
      <c r="E20" s="14" t="n"/>
      <c r="F20" s="14" t="n"/>
      <c r="G20" s="14" t="n"/>
      <c r="H20" s="9">
        <f>IF(OR($G20="",$E20=""),"",IF($G20&lt;$E20,"🔴 REORDER",IF($G20&lt;$E20*1.5,"🟡 LOW","🟢 OK")))</f>
        <v/>
      </c>
      <c r="I20" s="9">
        <f>IF(OR($G20="",$E20="",$F20=""),"",IF($G20&lt;$E20*1.5,MAX(0,$F20-$G20),0))</f>
        <v/>
      </c>
      <c r="J20" s="15" t="n"/>
      <c r="K20" s="17">
        <f>IFERROR(IF(OR($G20="",$J20=""),"",$G20*$J20),"")</f>
        <v/>
      </c>
      <c r="L20" s="14" t="n"/>
      <c r="M20" s="14" t="n"/>
    </row>
    <row r="21">
      <c r="A21" s="8" t="n">
        <v>17</v>
      </c>
      <c r="B21" s="14" t="n"/>
      <c r="C21" s="14" t="n"/>
      <c r="D21" s="14" t="n"/>
      <c r="E21" s="14" t="n"/>
      <c r="F21" s="14" t="n"/>
      <c r="G21" s="14" t="n"/>
      <c r="H21" s="8">
        <f>IF(OR($G21="",$E21=""),"",IF($G21&lt;$E21,"🔴 REORDER",IF($G21&lt;$E21*1.5,"🟡 LOW","🟢 OK")))</f>
        <v/>
      </c>
      <c r="I21" s="8">
        <f>IF(OR($G21="",$E21="",$F21=""),"",IF($G21&lt;$E21*1.5,MAX(0,$F21-$G21),0))</f>
        <v/>
      </c>
      <c r="J21" s="15" t="n"/>
      <c r="K21" s="16">
        <f>IFERROR(IF(OR($G21="",$J21=""),"",$G21*$J21),"")</f>
        <v/>
      </c>
      <c r="L21" s="14" t="n"/>
      <c r="M21" s="14" t="n"/>
    </row>
    <row r="22">
      <c r="A22" s="9" t="n">
        <v>18</v>
      </c>
      <c r="B22" s="14" t="n"/>
      <c r="C22" s="14" t="n"/>
      <c r="D22" s="14" t="n"/>
      <c r="E22" s="14" t="n"/>
      <c r="F22" s="14" t="n"/>
      <c r="G22" s="14" t="n"/>
      <c r="H22" s="9">
        <f>IF(OR($G22="",$E22=""),"",IF($G22&lt;$E22,"🔴 REORDER",IF($G22&lt;$E22*1.5,"🟡 LOW","🟢 OK")))</f>
        <v/>
      </c>
      <c r="I22" s="9">
        <f>IF(OR($G22="",$E22="",$F22=""),"",IF($G22&lt;$E22*1.5,MAX(0,$F22-$G22),0))</f>
        <v/>
      </c>
      <c r="J22" s="15" t="n"/>
      <c r="K22" s="17">
        <f>IFERROR(IF(OR($G22="",$J22=""),"",$G22*$J22),"")</f>
        <v/>
      </c>
      <c r="L22" s="14" t="n"/>
      <c r="M22" s="14" t="n"/>
    </row>
    <row r="23">
      <c r="A23" s="8" t="n">
        <v>19</v>
      </c>
      <c r="B23" s="14" t="n"/>
      <c r="C23" s="14" t="n"/>
      <c r="D23" s="14" t="n"/>
      <c r="E23" s="14" t="n"/>
      <c r="F23" s="14" t="n"/>
      <c r="G23" s="14" t="n"/>
      <c r="H23" s="8">
        <f>IF(OR($G23="",$E23=""),"",IF($G23&lt;$E23,"🔴 REORDER",IF($G23&lt;$E23*1.5,"🟡 LOW","🟢 OK")))</f>
        <v/>
      </c>
      <c r="I23" s="8">
        <f>IF(OR($G23="",$E23="",$F23=""),"",IF($G23&lt;$E23*1.5,MAX(0,$F23-$G23),0))</f>
        <v/>
      </c>
      <c r="J23" s="15" t="n"/>
      <c r="K23" s="16">
        <f>IFERROR(IF(OR($G23="",$J23=""),"",$G23*$J23),"")</f>
        <v/>
      </c>
      <c r="L23" s="14" t="n"/>
      <c r="M23" s="14" t="n"/>
    </row>
    <row r="24">
      <c r="A24" s="9" t="n">
        <v>20</v>
      </c>
      <c r="B24" s="14" t="n"/>
      <c r="C24" s="14" t="n"/>
      <c r="D24" s="14" t="n"/>
      <c r="E24" s="14" t="n"/>
      <c r="F24" s="14" t="n"/>
      <c r="G24" s="14" t="n"/>
      <c r="H24" s="9">
        <f>IF(OR($G24="",$E24=""),"",IF($G24&lt;$E24,"🔴 REORDER",IF($G24&lt;$E24*1.5,"🟡 LOW","🟢 OK")))</f>
        <v/>
      </c>
      <c r="I24" s="9">
        <f>IF(OR($G24="",$E24="",$F24=""),"",IF($G24&lt;$E24*1.5,MAX(0,$F24-$G24),0))</f>
        <v/>
      </c>
      <c r="J24" s="15" t="n"/>
      <c r="K24" s="17">
        <f>IFERROR(IF(OR($G24="",$J24=""),"",$G24*$J24),"")</f>
        <v/>
      </c>
      <c r="L24" s="14" t="n"/>
      <c r="M24" s="14" t="n"/>
    </row>
    <row r="25">
      <c r="A25" s="8" t="n">
        <v>21</v>
      </c>
      <c r="B25" s="14" t="n"/>
      <c r="C25" s="14" t="n"/>
      <c r="D25" s="14" t="n"/>
      <c r="E25" s="14" t="n"/>
      <c r="F25" s="14" t="n"/>
      <c r="G25" s="14" t="n"/>
      <c r="H25" s="8">
        <f>IF(OR($G25="",$E25=""),"",IF($G25&lt;$E25,"🔴 REORDER",IF($G25&lt;$E25*1.5,"🟡 LOW","🟢 OK")))</f>
        <v/>
      </c>
      <c r="I25" s="8">
        <f>IF(OR($G25="",$E25="",$F25=""),"",IF($G25&lt;$E25*1.5,MAX(0,$F25-$G25),0))</f>
        <v/>
      </c>
      <c r="J25" s="15" t="n"/>
      <c r="K25" s="16">
        <f>IFERROR(IF(OR($G25="",$J25=""),"",$G25*$J25),"")</f>
        <v/>
      </c>
      <c r="L25" s="14" t="n"/>
      <c r="M25" s="14" t="n"/>
    </row>
    <row r="26">
      <c r="A26" s="9" t="n">
        <v>22</v>
      </c>
      <c r="B26" s="14" t="n"/>
      <c r="C26" s="14" t="n"/>
      <c r="D26" s="14" t="n"/>
      <c r="E26" s="14" t="n"/>
      <c r="F26" s="14" t="n"/>
      <c r="G26" s="14" t="n"/>
      <c r="H26" s="9">
        <f>IF(OR($G26="",$E26=""),"",IF($G26&lt;$E26,"🔴 REORDER",IF($G26&lt;$E26*1.5,"🟡 LOW","🟢 OK")))</f>
        <v/>
      </c>
      <c r="I26" s="9">
        <f>IF(OR($G26="",$E26="",$F26=""),"",IF($G26&lt;$E26*1.5,MAX(0,$F26-$G26),0))</f>
        <v/>
      </c>
      <c r="J26" s="15" t="n"/>
      <c r="K26" s="17">
        <f>IFERROR(IF(OR($G26="",$J26=""),"",$G26*$J26),"")</f>
        <v/>
      </c>
      <c r="L26" s="14" t="n"/>
      <c r="M26" s="14" t="n"/>
    </row>
    <row r="27">
      <c r="A27" s="8" t="n">
        <v>23</v>
      </c>
      <c r="B27" s="14" t="n"/>
      <c r="C27" s="14" t="n"/>
      <c r="D27" s="14" t="n"/>
      <c r="E27" s="14" t="n"/>
      <c r="F27" s="14" t="n"/>
      <c r="G27" s="14" t="n"/>
      <c r="H27" s="8">
        <f>IF(OR($G27="",$E27=""),"",IF($G27&lt;$E27,"🔴 REORDER",IF($G27&lt;$E27*1.5,"🟡 LOW","🟢 OK")))</f>
        <v/>
      </c>
      <c r="I27" s="8">
        <f>IF(OR($G27="",$E27="",$F27=""),"",IF($G27&lt;$E27*1.5,MAX(0,$F27-$G27),0))</f>
        <v/>
      </c>
      <c r="J27" s="15" t="n"/>
      <c r="K27" s="16">
        <f>IFERROR(IF(OR($G27="",$J27=""),"",$G27*$J27),"")</f>
        <v/>
      </c>
      <c r="L27" s="14" t="n"/>
      <c r="M27" s="14" t="n"/>
    </row>
    <row r="28">
      <c r="A28" s="9" t="n">
        <v>24</v>
      </c>
      <c r="B28" s="14" t="n"/>
      <c r="C28" s="14" t="n"/>
      <c r="D28" s="14" t="n"/>
      <c r="E28" s="14" t="n"/>
      <c r="F28" s="14" t="n"/>
      <c r="G28" s="14" t="n"/>
      <c r="H28" s="9">
        <f>IF(OR($G28="",$E28=""),"",IF($G28&lt;$E28,"🔴 REORDER",IF($G28&lt;$E28*1.5,"🟡 LOW","🟢 OK")))</f>
        <v/>
      </c>
      <c r="I28" s="9">
        <f>IF(OR($G28="",$E28="",$F28=""),"",IF($G28&lt;$E28*1.5,MAX(0,$F28-$G28),0))</f>
        <v/>
      </c>
      <c r="J28" s="15" t="n"/>
      <c r="K28" s="17">
        <f>IFERROR(IF(OR($G28="",$J28=""),"",$G28*$J28),"")</f>
        <v/>
      </c>
      <c r="L28" s="14" t="n"/>
      <c r="M28" s="14" t="n"/>
    </row>
    <row r="29">
      <c r="A29" s="8" t="n">
        <v>25</v>
      </c>
      <c r="B29" s="14" t="n"/>
      <c r="C29" s="14" t="n"/>
      <c r="D29" s="14" t="n"/>
      <c r="E29" s="14" t="n"/>
      <c r="F29" s="14" t="n"/>
      <c r="G29" s="14" t="n"/>
      <c r="H29" s="8">
        <f>IF(OR($G29="",$E29=""),"",IF($G29&lt;$E29,"🔴 REORDER",IF($G29&lt;$E29*1.5,"🟡 LOW","🟢 OK")))</f>
        <v/>
      </c>
      <c r="I29" s="8">
        <f>IF(OR($G29="",$E29="",$F29=""),"",IF($G29&lt;$E29*1.5,MAX(0,$F29-$G29),0))</f>
        <v/>
      </c>
      <c r="J29" s="15" t="n"/>
      <c r="K29" s="16">
        <f>IFERROR(IF(OR($G29="",$J29=""),"",$G29*$J29),"")</f>
        <v/>
      </c>
      <c r="L29" s="14" t="n"/>
      <c r="M29" s="14" t="n"/>
    </row>
    <row r="30">
      <c r="A30" s="9" t="n">
        <v>26</v>
      </c>
      <c r="B30" s="14" t="n"/>
      <c r="C30" s="14" t="n"/>
      <c r="D30" s="14" t="n"/>
      <c r="E30" s="14" t="n"/>
      <c r="F30" s="14" t="n"/>
      <c r="G30" s="14" t="n"/>
      <c r="H30" s="9">
        <f>IF(OR($G30="",$E30=""),"",IF($G30&lt;$E30,"🔴 REORDER",IF($G30&lt;$E30*1.5,"🟡 LOW","🟢 OK")))</f>
        <v/>
      </c>
      <c r="I30" s="9">
        <f>IF(OR($G30="",$E30="",$F30=""),"",IF($G30&lt;$E30*1.5,MAX(0,$F30-$G30),0))</f>
        <v/>
      </c>
      <c r="J30" s="15" t="n"/>
      <c r="K30" s="17">
        <f>IFERROR(IF(OR($G30="",$J30=""),"",$G30*$J30),"")</f>
        <v/>
      </c>
      <c r="L30" s="14" t="n"/>
      <c r="M30" s="14" t="n"/>
    </row>
    <row r="31">
      <c r="A31" s="8" t="n">
        <v>27</v>
      </c>
      <c r="B31" s="14" t="n"/>
      <c r="C31" s="14" t="n"/>
      <c r="D31" s="14" t="n"/>
      <c r="E31" s="14" t="n"/>
      <c r="F31" s="14" t="n"/>
      <c r="G31" s="14" t="n"/>
      <c r="H31" s="8">
        <f>IF(OR($G31="",$E31=""),"",IF($G31&lt;$E31,"🔴 REORDER",IF($G31&lt;$E31*1.5,"🟡 LOW","🟢 OK")))</f>
        <v/>
      </c>
      <c r="I31" s="8">
        <f>IF(OR($G31="",$E31="",$F31=""),"",IF($G31&lt;$E31*1.5,MAX(0,$F31-$G31),0))</f>
        <v/>
      </c>
      <c r="J31" s="15" t="n"/>
      <c r="K31" s="16">
        <f>IFERROR(IF(OR($G31="",$J31=""),"",$G31*$J31),"")</f>
        <v/>
      </c>
      <c r="L31" s="14" t="n"/>
      <c r="M31" s="14" t="n"/>
    </row>
    <row r="32">
      <c r="A32" s="9" t="n">
        <v>28</v>
      </c>
      <c r="B32" s="14" t="n"/>
      <c r="C32" s="14" t="n"/>
      <c r="D32" s="14" t="n"/>
      <c r="E32" s="14" t="n"/>
      <c r="F32" s="14" t="n"/>
      <c r="G32" s="14" t="n"/>
      <c r="H32" s="9">
        <f>IF(OR($G32="",$E32=""),"",IF($G32&lt;$E32,"🔴 REORDER",IF($G32&lt;$E32*1.5,"🟡 LOW","🟢 OK")))</f>
        <v/>
      </c>
      <c r="I32" s="9">
        <f>IF(OR($G32="",$E32="",$F32=""),"",IF($G32&lt;$E32*1.5,MAX(0,$F32-$G32),0))</f>
        <v/>
      </c>
      <c r="J32" s="15" t="n"/>
      <c r="K32" s="17">
        <f>IFERROR(IF(OR($G32="",$J32=""),"",$G32*$J32),"")</f>
        <v/>
      </c>
      <c r="L32" s="14" t="n"/>
      <c r="M32" s="14" t="n"/>
    </row>
    <row r="33">
      <c r="A33" s="8" t="n">
        <v>29</v>
      </c>
      <c r="B33" s="14" t="n"/>
      <c r="C33" s="14" t="n"/>
      <c r="D33" s="14" t="n"/>
      <c r="E33" s="14" t="n"/>
      <c r="F33" s="14" t="n"/>
      <c r="G33" s="14" t="n"/>
      <c r="H33" s="8">
        <f>IF(OR($G33="",$E33=""),"",IF($G33&lt;$E33,"🔴 REORDER",IF($G33&lt;$E33*1.5,"🟡 LOW","🟢 OK")))</f>
        <v/>
      </c>
      <c r="I33" s="8">
        <f>IF(OR($G33="",$E33="",$F33=""),"",IF($G33&lt;$E33*1.5,MAX(0,$F33-$G33),0))</f>
        <v/>
      </c>
      <c r="J33" s="15" t="n"/>
      <c r="K33" s="16">
        <f>IFERROR(IF(OR($G33="",$J33=""),"",$G33*$J33),"")</f>
        <v/>
      </c>
      <c r="L33" s="14" t="n"/>
      <c r="M33" s="14" t="n"/>
    </row>
    <row r="34">
      <c r="A34" s="9" t="n">
        <v>30</v>
      </c>
      <c r="B34" s="14" t="n"/>
      <c r="C34" s="14" t="n"/>
      <c r="D34" s="14" t="n"/>
      <c r="E34" s="14" t="n"/>
      <c r="F34" s="14" t="n"/>
      <c r="G34" s="14" t="n"/>
      <c r="H34" s="9">
        <f>IF(OR($G34="",$E34=""),"",IF($G34&lt;$E34,"🔴 REORDER",IF($G34&lt;$E34*1.5,"🟡 LOW","🟢 OK")))</f>
        <v/>
      </c>
      <c r="I34" s="9">
        <f>IF(OR($G34="",$E34="",$F34=""),"",IF($G34&lt;$E34*1.5,MAX(0,$F34-$G34),0))</f>
        <v/>
      </c>
      <c r="J34" s="15" t="n"/>
      <c r="K34" s="17">
        <f>IFERROR(IF(OR($G34="",$J34=""),"",$G34*$J34),"")</f>
        <v/>
      </c>
      <c r="L34" s="14" t="n"/>
      <c r="M34" s="14" t="n"/>
    </row>
    <row r="37">
      <c r="A37" s="1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M1"/>
    <mergeCell ref="A37:H37"/>
    <mergeCell ref="A2:M2"/>
  </mergeCells>
  <conditionalFormatting sqref="H5:H34">
    <cfRule type="containsText" priority="1" operator="containsText" dxfId="0" stopIfTrue="1" text="REORDER">
      <formula>NOT(ISERROR(SEARCH("REORDER",H5)))</formula>
    </cfRule>
    <cfRule type="containsText" priority="2" operator="containsText" dxfId="1" stopIfTrue="1" text="LOW">
      <formula>NOT(ISERROR(SEARCH("LOW",H5)))</formula>
    </cfRule>
    <cfRule type="containsText" priority="3" operator="containsText" dxfId="2" stopIfTrue="1" text="OK">
      <formula>NOT(ISERROR(SEARCH("OK",H5)))</formula>
    </cfRule>
  </conditionalFormatting>
  <dataValidations count="2">
    <dataValidation sqref="C5:C34" showDropDown="0" showInputMessage="1" showErrorMessage="1" allowBlank="1" errorTitle="Invalid category" error="Choose a value from the list. This is the kit's single taxonomy: if each template uses different wording, the SUMIF formulas in the analysis sheets won't add up correctly." promptTitle="Invalid category" prompt="The kit's 10 categories. They're the same across all 9 templates: the analysis in 05 and 07 aggregates by this exact text." type="list" errorStyle="stop">
      <formula1>"Meat &amp; Poultry,Seafood,Dairy &amp; Eggs,Produce,Dry Goods,Frozen,Alcoholic Beverages,Non-Alcoholic Beverages,Paper &amp; Cleaning,Other"</formula1>
    </dataValidation>
    <dataValidation sqref="D5:D34" showDropDown="0" showInputMessage="1" showErrorMessage="1" allowBlank="1" errorTitle="Invalid unit" error="Choose a value from the list. This is the kit's single taxonomy: if each template uses different wording, the SUMIF formulas in the analysis sheets won't add up correctly." promptTitle="Invalid unit" prompt="REAL purchase unit: draft beer is by the keg, eggs by the dozen, and wine by the bottle (750 ml each)." type="list" errorStyle="stop">
      <formula1>"lb,oz,kg,gal,qt,L,each,dozen,case,tray,keg,bag,roll,pack,bottle,can"</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D700"/>
    <outlinePr summaryBelow="1" summaryRight="1"/>
    <pageSetUpPr fitToPage="1"/>
  </sheetPr>
  <dimension ref="A1:M37"/>
  <sheetViews>
    <sheetView workbookViewId="0">
      <pane ySplit="4" topLeftCell="A5" activePane="bottomLeft" state="frozen"/>
      <selection pane="bottomLeft" activeCell="A1" sqref="A1"/>
    </sheetView>
  </sheetViews>
  <sheetFormatPr baseColWidth="8" defaultRowHeight="15"/>
  <cols>
    <col width="5" customWidth="1" min="1" max="1"/>
    <col width="25" customWidth="1" min="2" max="2"/>
    <col width="14" customWidth="1" min="3" max="3"/>
    <col width="8" customWidth="1" min="4" max="4"/>
    <col width="10" customWidth="1" min="5" max="5"/>
    <col width="10" customWidth="1" min="6" max="6"/>
    <col width="10" customWidth="1" min="7" max="7"/>
    <col width="10" customWidth="1" min="8" max="8"/>
    <col width="10" customWidth="1" min="9" max="9"/>
    <col width="13" customWidth="1" min="10" max="10"/>
    <col width="11" customWidth="1" min="11" max="11"/>
    <col width="22" customWidth="1" min="12" max="12"/>
    <col width="26" customWidth="1" min="13" max="13"/>
  </cols>
  <sheetData>
    <row r="1">
      <c r="A1" s="5" t="inlineStr">
        <is>
          <t>INVENTORY — STOREROOM</t>
        </is>
      </c>
    </row>
    <row r="2">
      <c r="A2" s="6" t="inlineStr">
        <is>
          <t>Date: ___/___/______    Counted by: ________________</t>
        </is>
      </c>
    </row>
    <row r="3">
      <c r="A3" s="13" t="inlineStr">
        <is>
          <t>Sample data; illustrative pre-tax prices — replace them with your own. Category and Unit have a drop-down.</t>
        </is>
      </c>
    </row>
    <row r="4">
      <c r="A4" s="7" t="inlineStr">
        <is>
          <t>#</t>
        </is>
      </c>
      <c r="B4" s="7" t="inlineStr">
        <is>
          <t>Product</t>
        </is>
      </c>
      <c r="C4" s="7" t="inlineStr">
        <is>
          <t>Category</t>
        </is>
      </c>
      <c r="D4" s="7" t="inlineStr">
        <is>
          <t>Unit</t>
        </is>
      </c>
      <c r="E4" s="7" t="inlineStr">
        <is>
          <t>Par Level</t>
        </is>
      </c>
      <c r="F4" s="7" t="inlineStr">
        <is>
          <t>Par Max</t>
        </is>
      </c>
      <c r="G4" s="7" t="inlineStr">
        <is>
          <t>On Hand</t>
        </is>
      </c>
      <c r="H4" s="7" t="inlineStr">
        <is>
          <t>Status</t>
        </is>
      </c>
      <c r="I4" s="7" t="inlineStr">
        <is>
          <t>Order Qty</t>
        </is>
      </c>
      <c r="J4" s="7" t="inlineStr">
        <is>
          <t>Price/unit</t>
        </is>
      </c>
      <c r="K4" s="7" t="inlineStr">
        <is>
          <t>Value</t>
        </is>
      </c>
      <c r="L4" s="7" t="inlineStr">
        <is>
          <t>Vendor</t>
        </is>
      </c>
      <c r="M4" s="7" t="inlineStr">
        <is>
          <t>Notes</t>
        </is>
      </c>
    </row>
    <row r="5">
      <c r="A5" s="8" t="n">
        <v>1</v>
      </c>
      <c r="B5" s="14" t="inlineStr">
        <is>
          <t>Paper towels</t>
        </is>
      </c>
      <c r="C5" s="14" t="inlineStr">
        <is>
          <t>Paper &amp; Cleaning</t>
        </is>
      </c>
      <c r="D5" s="14" t="inlineStr">
        <is>
          <t>roll</t>
        </is>
      </c>
      <c r="E5" s="14" t="n">
        <v>12</v>
      </c>
      <c r="F5" s="14" t="n">
        <v>30</v>
      </c>
      <c r="G5" s="14" t="inlineStr"/>
      <c r="H5" s="8">
        <f>IF(OR($G5="",$E5=""),"",IF($G5&lt;$E5,"🔴 REORDER",IF($G5&lt;$E5*1.5,"🟡 LOW","🟢 OK")))</f>
        <v/>
      </c>
      <c r="I5" s="8">
        <f>IF(OR($G5="",$E5="",$F5=""),"",IF($G5&lt;$E5*1.5,MAX(0,$F5-$G5),0))</f>
        <v/>
      </c>
      <c r="J5" s="15" t="n">
        <v>2.4</v>
      </c>
      <c r="K5" s="16">
        <f>IFERROR(IF(OR($G5="",$J5=""),"",$G5*$J5),"")</f>
        <v/>
      </c>
      <c r="L5" s="14" t="n"/>
      <c r="M5" s="14" t="n"/>
    </row>
    <row r="6">
      <c r="A6" s="9" t="n">
        <v>2</v>
      </c>
      <c r="B6" s="14" t="inlineStr">
        <is>
          <t>Plastic wrap</t>
        </is>
      </c>
      <c r="C6" s="14" t="inlineStr">
        <is>
          <t>Paper &amp; Cleaning</t>
        </is>
      </c>
      <c r="D6" s="14" t="inlineStr">
        <is>
          <t>roll</t>
        </is>
      </c>
      <c r="E6" s="14" t="n">
        <v>2</v>
      </c>
      <c r="F6" s="14" t="n">
        <v>4</v>
      </c>
      <c r="G6" s="14" t="inlineStr"/>
      <c r="H6" s="9">
        <f>IF(OR($G6="",$E6=""),"",IF($G6&lt;$E6,"🔴 REORDER",IF($G6&lt;$E6*1.5,"🟡 LOW","🟢 OK")))</f>
        <v/>
      </c>
      <c r="I6" s="9">
        <f>IF(OR($G6="",$E6="",$F6=""),"",IF($G6&lt;$E6*1.5,MAX(0,$F6-$G6),0))</f>
        <v/>
      </c>
      <c r="J6" s="15" t="n">
        <v>24</v>
      </c>
      <c r="K6" s="17">
        <f>IFERROR(IF(OR($G6="",$J6=""),"",$G6*$J6),"")</f>
        <v/>
      </c>
      <c r="L6" s="14" t="n"/>
      <c r="M6" s="14" t="n"/>
    </row>
    <row r="7">
      <c r="A7" s="8" t="n">
        <v>3</v>
      </c>
      <c r="B7" s="14" t="inlineStr">
        <is>
          <t>Aluminum foil</t>
        </is>
      </c>
      <c r="C7" s="14" t="inlineStr">
        <is>
          <t>Paper &amp; Cleaning</t>
        </is>
      </c>
      <c r="D7" s="14" t="inlineStr">
        <is>
          <t>roll</t>
        </is>
      </c>
      <c r="E7" s="14" t="n">
        <v>2</v>
      </c>
      <c r="F7" s="14" t="n">
        <v>4</v>
      </c>
      <c r="G7" s="14" t="inlineStr"/>
      <c r="H7" s="8">
        <f>IF(OR($G7="",$E7=""),"",IF($G7&lt;$E7,"🔴 REORDER",IF($G7&lt;$E7*1.5,"🟡 LOW","🟢 OK")))</f>
        <v/>
      </c>
      <c r="I7" s="8">
        <f>IF(OR($G7="",$E7="",$F7=""),"",IF($G7&lt;$E7*1.5,MAX(0,$F7-$G7),0))</f>
        <v/>
      </c>
      <c r="J7" s="15" t="n">
        <v>34</v>
      </c>
      <c r="K7" s="16">
        <f>IFERROR(IF(OR($G7="",$J7=""),"",$G7*$J7),"")</f>
        <v/>
      </c>
      <c r="L7" s="14" t="n"/>
      <c r="M7" s="14" t="n"/>
    </row>
    <row r="8">
      <c r="A8" s="9" t="n">
        <v>4</v>
      </c>
      <c r="B8" s="14" t="inlineStr">
        <is>
          <t>Trash bags</t>
        </is>
      </c>
      <c r="C8" s="14" t="inlineStr">
        <is>
          <t>Paper &amp; Cleaning</t>
        </is>
      </c>
      <c r="D8" s="14" t="inlineStr">
        <is>
          <t>pack</t>
        </is>
      </c>
      <c r="E8" s="14" t="n">
        <v>6</v>
      </c>
      <c r="F8" s="14" t="n">
        <v>15</v>
      </c>
      <c r="G8" s="14" t="inlineStr"/>
      <c r="H8" s="9">
        <f>IF(OR($G8="",$E8=""),"",IF($G8&lt;$E8,"🔴 REORDER",IF($G8&lt;$E8*1.5,"🟡 LOW","🟢 OK")))</f>
        <v/>
      </c>
      <c r="I8" s="9">
        <f>IF(OR($G8="",$E8="",$F8=""),"",IF($G8&lt;$E8*1.5,MAX(0,$F8-$G8),0))</f>
        <v/>
      </c>
      <c r="J8" s="15" t="n">
        <v>18</v>
      </c>
      <c r="K8" s="17">
        <f>IFERROR(IF(OR($G8="",$J8=""),"",$G8*$J8),"")</f>
        <v/>
      </c>
      <c r="L8" s="14" t="n"/>
      <c r="M8" s="14" t="n"/>
    </row>
    <row r="9">
      <c r="A9" s="8" t="n">
        <v>5</v>
      </c>
      <c r="B9" s="14" t="inlineStr">
        <is>
          <t>Nitrile gloves</t>
        </is>
      </c>
      <c r="C9" s="14" t="inlineStr">
        <is>
          <t>Paper &amp; Cleaning</t>
        </is>
      </c>
      <c r="D9" s="14" t="inlineStr">
        <is>
          <t>case</t>
        </is>
      </c>
      <c r="E9" s="14" t="n">
        <v>1</v>
      </c>
      <c r="F9" s="14" t="n">
        <v>2</v>
      </c>
      <c r="G9" s="14" t="inlineStr"/>
      <c r="H9" s="8">
        <f>IF(OR($G9="",$E9=""),"",IF($G9&lt;$E9,"🔴 REORDER",IF($G9&lt;$E9*1.5,"🟡 LOW","🟢 OK")))</f>
        <v/>
      </c>
      <c r="I9" s="8">
        <f>IF(OR($G9="",$E9="",$F9=""),"",IF($G9&lt;$E9*1.5,MAX(0,$F9-$G9),0))</f>
        <v/>
      </c>
      <c r="J9" s="15" t="n">
        <v>62</v>
      </c>
      <c r="K9" s="16">
        <f>IFERROR(IF(OR($G9="",$J9=""),"",$G9*$J9),"")</f>
        <v/>
      </c>
      <c r="L9" s="14" t="n"/>
      <c r="M9" s="14" t="n"/>
    </row>
    <row r="10">
      <c r="A10" s="9" t="n">
        <v>6</v>
      </c>
      <c r="B10" s="14" t="inlineStr">
        <is>
          <t>Dish machine detergent</t>
        </is>
      </c>
      <c r="C10" s="14" t="inlineStr">
        <is>
          <t>Paper &amp; Cleaning</t>
        </is>
      </c>
      <c r="D10" s="14" t="inlineStr">
        <is>
          <t>gal</t>
        </is>
      </c>
      <c r="E10" s="14" t="n">
        <v>5</v>
      </c>
      <c r="F10" s="14" t="n">
        <v>10</v>
      </c>
      <c r="G10" s="14" t="inlineStr"/>
      <c r="H10" s="9">
        <f>IF(OR($G10="",$E10=""),"",IF($G10&lt;$E10,"🔴 REORDER",IF($G10&lt;$E10*1.5,"🟡 LOW","🟢 OK")))</f>
        <v/>
      </c>
      <c r="I10" s="9">
        <f>IF(OR($G10="",$E10="",$F10=""),"",IF($G10&lt;$E10*1.5,MAX(0,$F10-$G10),0))</f>
        <v/>
      </c>
      <c r="J10" s="15" t="n">
        <v>16</v>
      </c>
      <c r="K10" s="17">
        <f>IFERROR(IF(OR($G10="",$J10=""),"",$G10*$J10),"")</f>
        <v/>
      </c>
      <c r="L10" s="14" t="n"/>
      <c r="M10" s="14" t="n"/>
    </row>
    <row r="11">
      <c r="A11" s="8" t="n">
        <v>7</v>
      </c>
      <c r="B11" s="14" t="inlineStr">
        <is>
          <t>Kitchen degreaser</t>
        </is>
      </c>
      <c r="C11" s="14" t="inlineStr">
        <is>
          <t>Paper &amp; Cleaning</t>
        </is>
      </c>
      <c r="D11" s="14" t="inlineStr">
        <is>
          <t>gal</t>
        </is>
      </c>
      <c r="E11" s="14" t="n">
        <v>2</v>
      </c>
      <c r="F11" s="14" t="n">
        <v>4</v>
      </c>
      <c r="G11" s="14" t="inlineStr"/>
      <c r="H11" s="8">
        <f>IF(OR($G11="",$E11=""),"",IF($G11&lt;$E11,"🔴 REORDER",IF($G11&lt;$E11*1.5,"🟡 LOW","🟢 OK")))</f>
        <v/>
      </c>
      <c r="I11" s="8">
        <f>IF(OR($G11="",$E11="",$F11=""),"",IF($G11&lt;$E11*1.5,MAX(0,$F11-$G11),0))</f>
        <v/>
      </c>
      <c r="J11" s="15" t="n">
        <v>12</v>
      </c>
      <c r="K11" s="16">
        <f>IFERROR(IF(OR($G11="",$J11=""),"",$G11*$J11),"")</f>
        <v/>
      </c>
      <c r="L11" s="14" t="n"/>
      <c r="M11" s="14" t="n"/>
    </row>
    <row r="12">
      <c r="A12" s="9" t="n">
        <v>8</v>
      </c>
      <c r="B12" s="14" t="inlineStr">
        <is>
          <t>Sanitizer (quat)</t>
        </is>
      </c>
      <c r="C12" s="14" t="inlineStr">
        <is>
          <t>Paper &amp; Cleaning</t>
        </is>
      </c>
      <c r="D12" s="14" t="inlineStr">
        <is>
          <t>gal</t>
        </is>
      </c>
      <c r="E12" s="14" t="n">
        <v>2</v>
      </c>
      <c r="F12" s="14" t="n">
        <v>4</v>
      </c>
      <c r="G12" s="14" t="inlineStr"/>
      <c r="H12" s="9">
        <f>IF(OR($G12="",$E12=""),"",IF($G12&lt;$E12,"🔴 REORDER",IF($G12&lt;$E12*1.5,"🟡 LOW","🟢 OK")))</f>
        <v/>
      </c>
      <c r="I12" s="9">
        <f>IF(OR($G12="",$E12="",$F12=""),"",IF($G12&lt;$E12*1.5,MAX(0,$F12-$G12),0))</f>
        <v/>
      </c>
      <c r="J12" s="15" t="n">
        <v>18</v>
      </c>
      <c r="K12" s="17">
        <f>IFERROR(IF(OR($G12="",$J12=""),"",$G12*$J12),"")</f>
        <v/>
      </c>
      <c r="L12" s="14" t="n"/>
      <c r="M12" s="14" t="n"/>
    </row>
    <row r="13">
      <c r="A13" s="8" t="n">
        <v>9</v>
      </c>
      <c r="B13" s="14" t="inlineStr">
        <is>
          <t>Full-size hotel pans</t>
        </is>
      </c>
      <c r="C13" s="14" t="inlineStr">
        <is>
          <t>Other</t>
        </is>
      </c>
      <c r="D13" s="14" t="inlineStr">
        <is>
          <t>each</t>
        </is>
      </c>
      <c r="E13" s="14" t="n">
        <v>6</v>
      </c>
      <c r="F13" s="14" t="n">
        <v>15</v>
      </c>
      <c r="G13" s="14" t="inlineStr"/>
      <c r="H13" s="8">
        <f>IF(OR($G13="",$E13=""),"",IF($G13&lt;$E13,"🔴 REORDER",IF($G13&lt;$E13*1.5,"🟡 LOW","🟢 OK")))</f>
        <v/>
      </c>
      <c r="I13" s="8">
        <f>IF(OR($G13="",$E13="",$F13=""),"",IF($G13&lt;$E13*1.5,MAX(0,$F13-$G13),0))</f>
        <v/>
      </c>
      <c r="J13" s="15" t="n">
        <v>18</v>
      </c>
      <c r="K13" s="16">
        <f>IFERROR(IF(OR($G13="",$J13=""),"",$G13*$J13),"")</f>
        <v/>
      </c>
      <c r="L13" s="14" t="n"/>
      <c r="M13" s="14" t="n"/>
    </row>
    <row r="14">
      <c r="A14" s="9" t="n">
        <v>10</v>
      </c>
      <c r="B14" s="14" t="inlineStr">
        <is>
          <t>Day dot date labels</t>
        </is>
      </c>
      <c r="C14" s="14" t="inlineStr">
        <is>
          <t>Other</t>
        </is>
      </c>
      <c r="D14" s="14" t="inlineStr">
        <is>
          <t>roll</t>
        </is>
      </c>
      <c r="E14" s="14" t="n">
        <v>3</v>
      </c>
      <c r="F14" s="14" t="n">
        <v>8</v>
      </c>
      <c r="G14" s="14" t="inlineStr"/>
      <c r="H14" s="9">
        <f>IF(OR($G14="",$E14=""),"",IF($G14&lt;$E14,"🔴 REORDER",IF($G14&lt;$E14*1.5,"🟡 LOW","🟢 OK")))</f>
        <v/>
      </c>
      <c r="I14" s="9">
        <f>IF(OR($G14="",$E14="",$F14=""),"",IF($G14&lt;$E14*1.5,MAX(0,$F14-$G14),0))</f>
        <v/>
      </c>
      <c r="J14" s="15" t="n">
        <v>7.5</v>
      </c>
      <c r="K14" s="17">
        <f>IFERROR(IF(OR($G14="",$J14=""),"",$G14*$J14),"")</f>
        <v/>
      </c>
      <c r="L14" s="14" t="n"/>
      <c r="M14" s="14" t="n"/>
    </row>
    <row r="15">
      <c r="A15" s="8" t="n">
        <v>11</v>
      </c>
      <c r="B15" s="14" t="inlineStr">
        <is>
          <t>POS receipt paper rolls</t>
        </is>
      </c>
      <c r="C15" s="14" t="inlineStr">
        <is>
          <t>Other</t>
        </is>
      </c>
      <c r="D15" s="14" t="inlineStr">
        <is>
          <t>pack</t>
        </is>
      </c>
      <c r="E15" s="14" t="n">
        <v>5</v>
      </c>
      <c r="F15" s="14" t="n">
        <v>12</v>
      </c>
      <c r="G15" s="14" t="inlineStr"/>
      <c r="H15" s="8">
        <f>IF(OR($G15="",$E15=""),"",IF($G15&lt;$E15,"🔴 REORDER",IF($G15&lt;$E15*1.5,"🟡 LOW","🟢 OK")))</f>
        <v/>
      </c>
      <c r="I15" s="8">
        <f>IF(OR($G15="",$E15="",$F15=""),"",IF($G15&lt;$E15*1.5,MAX(0,$F15-$G15),0))</f>
        <v/>
      </c>
      <c r="J15" s="15" t="n">
        <v>12</v>
      </c>
      <c r="K15" s="16">
        <f>IFERROR(IF(OR($G15="",$J15=""),"",$G15*$J15),"")</f>
        <v/>
      </c>
      <c r="L15" s="14" t="n"/>
      <c r="M15" s="14" t="n"/>
    </row>
    <row r="16">
      <c r="A16" s="9" t="n">
        <v>12</v>
      </c>
      <c r="B16" s="14" t="inlineStr">
        <is>
          <t>Beverage napkins (storeroom backup)</t>
        </is>
      </c>
      <c r="C16" s="14" t="inlineStr">
        <is>
          <t>Paper &amp; Cleaning</t>
        </is>
      </c>
      <c r="D16" s="14" t="inlineStr">
        <is>
          <t>case</t>
        </is>
      </c>
      <c r="E16" s="14" t="n">
        <v>2</v>
      </c>
      <c r="F16" s="14" t="n">
        <v>5</v>
      </c>
      <c r="G16" s="14" t="inlineStr"/>
      <c r="H16" s="9">
        <f>IF(OR($G16="",$E16=""),"",IF($G16&lt;$E16,"🔴 REORDER",IF($G16&lt;$E16*1.5,"🟡 LOW","🟢 OK")))</f>
        <v/>
      </c>
      <c r="I16" s="9">
        <f>IF(OR($G16="",$E16="",$F16=""),"",IF($G16&lt;$E16*1.5,MAX(0,$F16-$G16),0))</f>
        <v/>
      </c>
      <c r="J16" s="15" t="n">
        <v>28</v>
      </c>
      <c r="K16" s="17">
        <f>IFERROR(IF(OR($G16="",$J16=""),"",$G16*$J16),"")</f>
        <v/>
      </c>
      <c r="L16" s="14" t="n"/>
      <c r="M16" s="14" t="n"/>
    </row>
    <row r="17">
      <c r="A17" s="8" t="n">
        <v>13</v>
      </c>
      <c r="B17" s="14" t="inlineStr">
        <is>
          <t>Canola fryer oil (35 lb jug)</t>
        </is>
      </c>
      <c r="C17" s="14" t="inlineStr">
        <is>
          <t>Dry Goods</t>
        </is>
      </c>
      <c r="D17" s="14" t="inlineStr">
        <is>
          <t>lb</t>
        </is>
      </c>
      <c r="E17" s="14" t="n">
        <v>35</v>
      </c>
      <c r="F17" s="14" t="n">
        <v>70</v>
      </c>
      <c r="G17" s="14" t="inlineStr"/>
      <c r="H17" s="8">
        <f>IF(OR($G17="",$E17=""),"",IF($G17&lt;$E17,"🔴 REORDER",IF($G17&lt;$E17*1.5,"🟡 LOW","🟢 OK")))</f>
        <v/>
      </c>
      <c r="I17" s="8">
        <f>IF(OR($G17="",$E17="",$F17=""),"",IF($G17&lt;$E17*1.5,MAX(0,$F17-$G17),0))</f>
        <v/>
      </c>
      <c r="J17" s="15" t="n">
        <v>1.26</v>
      </c>
      <c r="K17" s="16">
        <f>IFERROR(IF(OR($G17="",$J17=""),"",$G17*$J17),"")</f>
        <v/>
      </c>
      <c r="L17" s="14" t="n"/>
      <c r="M17" s="14" t="n"/>
    </row>
    <row r="18">
      <c r="A18" s="9" t="n">
        <v>14</v>
      </c>
      <c r="B18" s="14" t="inlineStr">
        <is>
          <t>Red wine vinegar</t>
        </is>
      </c>
      <c r="C18" s="14" t="inlineStr">
        <is>
          <t>Dry Goods</t>
        </is>
      </c>
      <c r="D18" s="14" t="inlineStr">
        <is>
          <t>gal</t>
        </is>
      </c>
      <c r="E18" s="14" t="n">
        <v>2</v>
      </c>
      <c r="F18" s="14" t="n">
        <v>4</v>
      </c>
      <c r="G18" s="14" t="inlineStr"/>
      <c r="H18" s="9">
        <f>IF(OR($G18="",$E18=""),"",IF($G18&lt;$E18,"🔴 REORDER",IF($G18&lt;$E18*1.5,"🟡 LOW","🟢 OK")))</f>
        <v/>
      </c>
      <c r="I18" s="9">
        <f>IF(OR($G18="",$E18="",$F18=""),"",IF($G18&lt;$E18*1.5,MAX(0,$F18-$G18),0))</f>
        <v/>
      </c>
      <c r="J18" s="15" t="n">
        <v>9</v>
      </c>
      <c r="K18" s="17">
        <f>IFERROR(IF(OR($G18="",$J18=""),"",$G18*$J18),"")</f>
        <v/>
      </c>
      <c r="L18" s="14" t="n"/>
      <c r="M18" s="14" t="n"/>
    </row>
    <row r="19">
      <c r="A19" s="8" t="n">
        <v>15</v>
      </c>
      <c r="B19" s="14" t="inlineStr">
        <is>
          <t>Dried beans</t>
        </is>
      </c>
      <c r="C19" s="14" t="inlineStr">
        <is>
          <t>Dry Goods</t>
        </is>
      </c>
      <c r="D19" s="14" t="inlineStr">
        <is>
          <t>lb</t>
        </is>
      </c>
      <c r="E19" s="14" t="n">
        <v>20</v>
      </c>
      <c r="F19" s="14" t="n">
        <v>50</v>
      </c>
      <c r="G19" s="14" t="inlineStr"/>
      <c r="H19" s="8">
        <f>IF(OR($G19="",$E19=""),"",IF($G19&lt;$E19,"🔴 REORDER",IF($G19&lt;$E19*1.5,"🟡 LOW","🟢 OK")))</f>
        <v/>
      </c>
      <c r="I19" s="8">
        <f>IF(OR($G19="",$E19="",$F19=""),"",IF($G19&lt;$E19*1.5,MAX(0,$F19-$G19),0))</f>
        <v/>
      </c>
      <c r="J19" s="15" t="n">
        <v>1.3</v>
      </c>
      <c r="K19" s="16">
        <f>IFERROR(IF(OR($G19="",$J19=""),"",$G19*$J19),"")</f>
        <v/>
      </c>
      <c r="L19" s="14" t="n"/>
      <c r="M19" s="14" t="n"/>
    </row>
    <row r="20">
      <c r="A20" s="9" t="n">
        <v>16</v>
      </c>
      <c r="B20" s="14" t="n"/>
      <c r="C20" s="14" t="n"/>
      <c r="D20" s="14" t="n"/>
      <c r="E20" s="14" t="n"/>
      <c r="F20" s="14" t="n"/>
      <c r="G20" s="14" t="n"/>
      <c r="H20" s="9">
        <f>IF(OR($G20="",$E20=""),"",IF($G20&lt;$E20,"🔴 REORDER",IF($G20&lt;$E20*1.5,"🟡 LOW","🟢 OK")))</f>
        <v/>
      </c>
      <c r="I20" s="9">
        <f>IF(OR($G20="",$E20="",$F20=""),"",IF($G20&lt;$E20*1.5,MAX(0,$F20-$G20),0))</f>
        <v/>
      </c>
      <c r="J20" s="15" t="n"/>
      <c r="K20" s="17">
        <f>IFERROR(IF(OR($G20="",$J20=""),"",$G20*$J20),"")</f>
        <v/>
      </c>
      <c r="L20" s="14" t="n"/>
      <c r="M20" s="14" t="n"/>
    </row>
    <row r="21">
      <c r="A21" s="8" t="n">
        <v>17</v>
      </c>
      <c r="B21" s="14" t="n"/>
      <c r="C21" s="14" t="n"/>
      <c r="D21" s="14" t="n"/>
      <c r="E21" s="14" t="n"/>
      <c r="F21" s="14" t="n"/>
      <c r="G21" s="14" t="n"/>
      <c r="H21" s="8">
        <f>IF(OR($G21="",$E21=""),"",IF($G21&lt;$E21,"🔴 REORDER",IF($G21&lt;$E21*1.5,"🟡 LOW","🟢 OK")))</f>
        <v/>
      </c>
      <c r="I21" s="8">
        <f>IF(OR($G21="",$E21="",$F21=""),"",IF($G21&lt;$E21*1.5,MAX(0,$F21-$G21),0))</f>
        <v/>
      </c>
      <c r="J21" s="15" t="n"/>
      <c r="K21" s="16">
        <f>IFERROR(IF(OR($G21="",$J21=""),"",$G21*$J21),"")</f>
        <v/>
      </c>
      <c r="L21" s="14" t="n"/>
      <c r="M21" s="14" t="n"/>
    </row>
    <row r="22">
      <c r="A22" s="9" t="n">
        <v>18</v>
      </c>
      <c r="B22" s="14" t="n"/>
      <c r="C22" s="14" t="n"/>
      <c r="D22" s="14" t="n"/>
      <c r="E22" s="14" t="n"/>
      <c r="F22" s="14" t="n"/>
      <c r="G22" s="14" t="n"/>
      <c r="H22" s="9">
        <f>IF(OR($G22="",$E22=""),"",IF($G22&lt;$E22,"🔴 REORDER",IF($G22&lt;$E22*1.5,"🟡 LOW","🟢 OK")))</f>
        <v/>
      </c>
      <c r="I22" s="9">
        <f>IF(OR($G22="",$E22="",$F22=""),"",IF($G22&lt;$E22*1.5,MAX(0,$F22-$G22),0))</f>
        <v/>
      </c>
      <c r="J22" s="15" t="n"/>
      <c r="K22" s="17">
        <f>IFERROR(IF(OR($G22="",$J22=""),"",$G22*$J22),"")</f>
        <v/>
      </c>
      <c r="L22" s="14" t="n"/>
      <c r="M22" s="14" t="n"/>
    </row>
    <row r="23">
      <c r="A23" s="8" t="n">
        <v>19</v>
      </c>
      <c r="B23" s="14" t="n"/>
      <c r="C23" s="14" t="n"/>
      <c r="D23" s="14" t="n"/>
      <c r="E23" s="14" t="n"/>
      <c r="F23" s="14" t="n"/>
      <c r="G23" s="14" t="n"/>
      <c r="H23" s="8">
        <f>IF(OR($G23="",$E23=""),"",IF($G23&lt;$E23,"🔴 REORDER",IF($G23&lt;$E23*1.5,"🟡 LOW","🟢 OK")))</f>
        <v/>
      </c>
      <c r="I23" s="8">
        <f>IF(OR($G23="",$E23="",$F23=""),"",IF($G23&lt;$E23*1.5,MAX(0,$F23-$G23),0))</f>
        <v/>
      </c>
      <c r="J23" s="15" t="n"/>
      <c r="K23" s="16">
        <f>IFERROR(IF(OR($G23="",$J23=""),"",$G23*$J23),"")</f>
        <v/>
      </c>
      <c r="L23" s="14" t="n"/>
      <c r="M23" s="14" t="n"/>
    </row>
    <row r="24">
      <c r="A24" s="9" t="n">
        <v>20</v>
      </c>
      <c r="B24" s="14" t="n"/>
      <c r="C24" s="14" t="n"/>
      <c r="D24" s="14" t="n"/>
      <c r="E24" s="14" t="n"/>
      <c r="F24" s="14" t="n"/>
      <c r="G24" s="14" t="n"/>
      <c r="H24" s="9">
        <f>IF(OR($G24="",$E24=""),"",IF($G24&lt;$E24,"🔴 REORDER",IF($G24&lt;$E24*1.5,"🟡 LOW","🟢 OK")))</f>
        <v/>
      </c>
      <c r="I24" s="9">
        <f>IF(OR($G24="",$E24="",$F24=""),"",IF($G24&lt;$E24*1.5,MAX(0,$F24-$G24),0))</f>
        <v/>
      </c>
      <c r="J24" s="15" t="n"/>
      <c r="K24" s="17">
        <f>IFERROR(IF(OR($G24="",$J24=""),"",$G24*$J24),"")</f>
        <v/>
      </c>
      <c r="L24" s="14" t="n"/>
      <c r="M24" s="14" t="n"/>
    </row>
    <row r="25">
      <c r="A25" s="8" t="n">
        <v>21</v>
      </c>
      <c r="B25" s="14" t="n"/>
      <c r="C25" s="14" t="n"/>
      <c r="D25" s="14" t="n"/>
      <c r="E25" s="14" t="n"/>
      <c r="F25" s="14" t="n"/>
      <c r="G25" s="14" t="n"/>
      <c r="H25" s="8">
        <f>IF(OR($G25="",$E25=""),"",IF($G25&lt;$E25,"🔴 REORDER",IF($G25&lt;$E25*1.5,"🟡 LOW","🟢 OK")))</f>
        <v/>
      </c>
      <c r="I25" s="8">
        <f>IF(OR($G25="",$E25="",$F25=""),"",IF($G25&lt;$E25*1.5,MAX(0,$F25-$G25),0))</f>
        <v/>
      </c>
      <c r="J25" s="15" t="n"/>
      <c r="K25" s="16">
        <f>IFERROR(IF(OR($G25="",$J25=""),"",$G25*$J25),"")</f>
        <v/>
      </c>
      <c r="L25" s="14" t="n"/>
      <c r="M25" s="14" t="n"/>
    </row>
    <row r="26">
      <c r="A26" s="9" t="n">
        <v>22</v>
      </c>
      <c r="B26" s="14" t="n"/>
      <c r="C26" s="14" t="n"/>
      <c r="D26" s="14" t="n"/>
      <c r="E26" s="14" t="n"/>
      <c r="F26" s="14" t="n"/>
      <c r="G26" s="14" t="n"/>
      <c r="H26" s="9">
        <f>IF(OR($G26="",$E26=""),"",IF($G26&lt;$E26,"🔴 REORDER",IF($G26&lt;$E26*1.5,"🟡 LOW","🟢 OK")))</f>
        <v/>
      </c>
      <c r="I26" s="9">
        <f>IF(OR($G26="",$E26="",$F26=""),"",IF($G26&lt;$E26*1.5,MAX(0,$F26-$G26),0))</f>
        <v/>
      </c>
      <c r="J26" s="15" t="n"/>
      <c r="K26" s="17">
        <f>IFERROR(IF(OR($G26="",$J26=""),"",$G26*$J26),"")</f>
        <v/>
      </c>
      <c r="L26" s="14" t="n"/>
      <c r="M26" s="14" t="n"/>
    </row>
    <row r="27">
      <c r="A27" s="8" t="n">
        <v>23</v>
      </c>
      <c r="B27" s="14" t="n"/>
      <c r="C27" s="14" t="n"/>
      <c r="D27" s="14" t="n"/>
      <c r="E27" s="14" t="n"/>
      <c r="F27" s="14" t="n"/>
      <c r="G27" s="14" t="n"/>
      <c r="H27" s="8">
        <f>IF(OR($G27="",$E27=""),"",IF($G27&lt;$E27,"🔴 REORDER",IF($G27&lt;$E27*1.5,"🟡 LOW","🟢 OK")))</f>
        <v/>
      </c>
      <c r="I27" s="8">
        <f>IF(OR($G27="",$E27="",$F27=""),"",IF($G27&lt;$E27*1.5,MAX(0,$F27-$G27),0))</f>
        <v/>
      </c>
      <c r="J27" s="15" t="n"/>
      <c r="K27" s="16">
        <f>IFERROR(IF(OR($G27="",$J27=""),"",$G27*$J27),"")</f>
        <v/>
      </c>
      <c r="L27" s="14" t="n"/>
      <c r="M27" s="14" t="n"/>
    </row>
    <row r="28">
      <c r="A28" s="9" t="n">
        <v>24</v>
      </c>
      <c r="B28" s="14" t="n"/>
      <c r="C28" s="14" t="n"/>
      <c r="D28" s="14" t="n"/>
      <c r="E28" s="14" t="n"/>
      <c r="F28" s="14" t="n"/>
      <c r="G28" s="14" t="n"/>
      <c r="H28" s="9">
        <f>IF(OR($G28="",$E28=""),"",IF($G28&lt;$E28,"🔴 REORDER",IF($G28&lt;$E28*1.5,"🟡 LOW","🟢 OK")))</f>
        <v/>
      </c>
      <c r="I28" s="9">
        <f>IF(OR($G28="",$E28="",$F28=""),"",IF($G28&lt;$E28*1.5,MAX(0,$F28-$G28),0))</f>
        <v/>
      </c>
      <c r="J28" s="15" t="n"/>
      <c r="K28" s="17">
        <f>IFERROR(IF(OR($G28="",$J28=""),"",$G28*$J28),"")</f>
        <v/>
      </c>
      <c r="L28" s="14" t="n"/>
      <c r="M28" s="14" t="n"/>
    </row>
    <row r="29">
      <c r="A29" s="8" t="n">
        <v>25</v>
      </c>
      <c r="B29" s="14" t="n"/>
      <c r="C29" s="14" t="n"/>
      <c r="D29" s="14" t="n"/>
      <c r="E29" s="14" t="n"/>
      <c r="F29" s="14" t="n"/>
      <c r="G29" s="14" t="n"/>
      <c r="H29" s="8">
        <f>IF(OR($G29="",$E29=""),"",IF($G29&lt;$E29,"🔴 REORDER",IF($G29&lt;$E29*1.5,"🟡 LOW","🟢 OK")))</f>
        <v/>
      </c>
      <c r="I29" s="8">
        <f>IF(OR($G29="",$E29="",$F29=""),"",IF($G29&lt;$E29*1.5,MAX(0,$F29-$G29),0))</f>
        <v/>
      </c>
      <c r="J29" s="15" t="n"/>
      <c r="K29" s="16">
        <f>IFERROR(IF(OR($G29="",$J29=""),"",$G29*$J29),"")</f>
        <v/>
      </c>
      <c r="L29" s="14" t="n"/>
      <c r="M29" s="14" t="n"/>
    </row>
    <row r="30">
      <c r="A30" s="9" t="n">
        <v>26</v>
      </c>
      <c r="B30" s="14" t="n"/>
      <c r="C30" s="14" t="n"/>
      <c r="D30" s="14" t="n"/>
      <c r="E30" s="14" t="n"/>
      <c r="F30" s="14" t="n"/>
      <c r="G30" s="14" t="n"/>
      <c r="H30" s="9">
        <f>IF(OR($G30="",$E30=""),"",IF($G30&lt;$E30,"🔴 REORDER",IF($G30&lt;$E30*1.5,"🟡 LOW","🟢 OK")))</f>
        <v/>
      </c>
      <c r="I30" s="9">
        <f>IF(OR($G30="",$E30="",$F30=""),"",IF($G30&lt;$E30*1.5,MAX(0,$F30-$G30),0))</f>
        <v/>
      </c>
      <c r="J30" s="15" t="n"/>
      <c r="K30" s="17">
        <f>IFERROR(IF(OR($G30="",$J30=""),"",$G30*$J30),"")</f>
        <v/>
      </c>
      <c r="L30" s="14" t="n"/>
      <c r="M30" s="14" t="n"/>
    </row>
    <row r="31">
      <c r="A31" s="8" t="n">
        <v>27</v>
      </c>
      <c r="B31" s="14" t="n"/>
      <c r="C31" s="14" t="n"/>
      <c r="D31" s="14" t="n"/>
      <c r="E31" s="14" t="n"/>
      <c r="F31" s="14" t="n"/>
      <c r="G31" s="14" t="n"/>
      <c r="H31" s="8">
        <f>IF(OR($G31="",$E31=""),"",IF($G31&lt;$E31,"🔴 REORDER",IF($G31&lt;$E31*1.5,"🟡 LOW","🟢 OK")))</f>
        <v/>
      </c>
      <c r="I31" s="8">
        <f>IF(OR($G31="",$E31="",$F31=""),"",IF($G31&lt;$E31*1.5,MAX(0,$F31-$G31),0))</f>
        <v/>
      </c>
      <c r="J31" s="15" t="n"/>
      <c r="K31" s="16">
        <f>IFERROR(IF(OR($G31="",$J31=""),"",$G31*$J31),"")</f>
        <v/>
      </c>
      <c r="L31" s="14" t="n"/>
      <c r="M31" s="14" t="n"/>
    </row>
    <row r="32">
      <c r="A32" s="9" t="n">
        <v>28</v>
      </c>
      <c r="B32" s="14" t="n"/>
      <c r="C32" s="14" t="n"/>
      <c r="D32" s="14" t="n"/>
      <c r="E32" s="14" t="n"/>
      <c r="F32" s="14" t="n"/>
      <c r="G32" s="14" t="n"/>
      <c r="H32" s="9">
        <f>IF(OR($G32="",$E32=""),"",IF($G32&lt;$E32,"🔴 REORDER",IF($G32&lt;$E32*1.5,"🟡 LOW","🟢 OK")))</f>
        <v/>
      </c>
      <c r="I32" s="9">
        <f>IF(OR($G32="",$E32="",$F32=""),"",IF($G32&lt;$E32*1.5,MAX(0,$F32-$G32),0))</f>
        <v/>
      </c>
      <c r="J32" s="15" t="n"/>
      <c r="K32" s="17">
        <f>IFERROR(IF(OR($G32="",$J32=""),"",$G32*$J32),"")</f>
        <v/>
      </c>
      <c r="L32" s="14" t="n"/>
      <c r="M32" s="14" t="n"/>
    </row>
    <row r="33">
      <c r="A33" s="8" t="n">
        <v>29</v>
      </c>
      <c r="B33" s="14" t="n"/>
      <c r="C33" s="14" t="n"/>
      <c r="D33" s="14" t="n"/>
      <c r="E33" s="14" t="n"/>
      <c r="F33" s="14" t="n"/>
      <c r="G33" s="14" t="n"/>
      <c r="H33" s="8">
        <f>IF(OR($G33="",$E33=""),"",IF($G33&lt;$E33,"🔴 REORDER",IF($G33&lt;$E33*1.5,"🟡 LOW","🟢 OK")))</f>
        <v/>
      </c>
      <c r="I33" s="8">
        <f>IF(OR($G33="",$E33="",$F33=""),"",IF($G33&lt;$E33*1.5,MAX(0,$F33-$G33),0))</f>
        <v/>
      </c>
      <c r="J33" s="15" t="n"/>
      <c r="K33" s="16">
        <f>IFERROR(IF(OR($G33="",$J33=""),"",$G33*$J33),"")</f>
        <v/>
      </c>
      <c r="L33" s="14" t="n"/>
      <c r="M33" s="14" t="n"/>
    </row>
    <row r="34">
      <c r="A34" s="9" t="n">
        <v>30</v>
      </c>
      <c r="B34" s="14" t="n"/>
      <c r="C34" s="14" t="n"/>
      <c r="D34" s="14" t="n"/>
      <c r="E34" s="14" t="n"/>
      <c r="F34" s="14" t="n"/>
      <c r="G34" s="14" t="n"/>
      <c r="H34" s="9">
        <f>IF(OR($G34="",$E34=""),"",IF($G34&lt;$E34,"🔴 REORDER",IF($G34&lt;$E34*1.5,"🟡 LOW","🟢 OK")))</f>
        <v/>
      </c>
      <c r="I34" s="9">
        <f>IF(OR($G34="",$E34="",$F34=""),"",IF($G34&lt;$E34*1.5,MAX(0,$F34-$G34),0))</f>
        <v/>
      </c>
      <c r="J34" s="15" t="n"/>
      <c r="K34" s="17">
        <f>IFERROR(IF(OR($G34="",$J34=""),"",$G34*$J34),"")</f>
        <v/>
      </c>
      <c r="L34" s="14" t="n"/>
      <c r="M34" s="14" t="n"/>
    </row>
    <row r="37">
      <c r="A37" s="1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M1"/>
    <mergeCell ref="A37:H37"/>
    <mergeCell ref="A2:M2"/>
  </mergeCells>
  <conditionalFormatting sqref="H5:H34">
    <cfRule type="containsText" priority="1" operator="containsText" dxfId="0" stopIfTrue="1" text="REORDER">
      <formula>NOT(ISERROR(SEARCH("REORDER",H5)))</formula>
    </cfRule>
    <cfRule type="containsText" priority="2" operator="containsText" dxfId="1" stopIfTrue="1" text="LOW">
      <formula>NOT(ISERROR(SEARCH("LOW",H5)))</formula>
    </cfRule>
    <cfRule type="containsText" priority="3" operator="containsText" dxfId="2" stopIfTrue="1" text="OK">
      <formula>NOT(ISERROR(SEARCH("OK",H5)))</formula>
    </cfRule>
  </conditionalFormatting>
  <dataValidations count="2">
    <dataValidation sqref="C5:C34" showDropDown="0" showInputMessage="1" showErrorMessage="1" allowBlank="1" errorTitle="Invalid category" error="Choose a value from the list. This is the kit's single taxonomy: if each template uses different wording, the SUMIF formulas in the analysis sheets won't add up correctly." promptTitle="Invalid category" prompt="The kit's 10 categories. They're the same across all 9 templates: the analysis in 05 and 07 aggregates by this exact text." type="list" errorStyle="stop">
      <formula1>"Meat &amp; Poultry,Seafood,Dairy &amp; Eggs,Produce,Dry Goods,Frozen,Alcoholic Beverages,Non-Alcoholic Beverages,Paper &amp; Cleaning,Other"</formula1>
    </dataValidation>
    <dataValidation sqref="D5:D34" showDropDown="0" showInputMessage="1" showErrorMessage="1" allowBlank="1" errorTitle="Invalid unit" error="Choose a value from the list. This is the kit's single taxonomy: if each template uses different wording, the SUMIF formulas in the analysis sheets won't add up correctly." promptTitle="Invalid unit" prompt="REAL purchase unit: draft beer is by the keg, eggs by the dozen, and wine by the bottle (750 ml each)." type="list" errorStyle="stop">
      <formula1>"lb,oz,kg,gal,qt,L,each,dozen,case,tray,keg,bag,roll,pack,bottle,can"</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00C853"/>
    <outlinePr summaryBelow="1" summaryRight="1"/>
    <pageSetUpPr fitToPage="1"/>
  </sheetPr>
  <dimension ref="A1:D22"/>
  <sheetViews>
    <sheetView workbookViewId="0">
      <pane ySplit="3" topLeftCell="A4" activePane="bottomLeft" state="frozen"/>
      <selection pane="bottomLeft" activeCell="A1" sqref="A1"/>
    </sheetView>
  </sheetViews>
  <sheetFormatPr baseColWidth="8" defaultRowHeight="15"/>
  <cols>
    <col width="30" customWidth="1" min="1" max="1"/>
    <col width="26" customWidth="1" min="2" max="2"/>
    <col width="22" customWidth="1" min="3" max="3"/>
    <col width="22" customWidth="1" min="4" max="4"/>
  </cols>
  <sheetData>
    <row r="1">
      <c r="A1" s="5" t="inlineStr">
        <is>
          <t>STOCK SUMMARY</t>
        </is>
      </c>
    </row>
    <row r="2">
      <c r="A2" s="13" t="inlineStr">
        <is>
          <t>Everything here pulls automatically from "Kitchen", "Bar" and "Storeroom": nothing gets typed here.</t>
        </is>
      </c>
    </row>
    <row r="3">
      <c r="A3" s="11" t="inlineStr">
        <is>
          <t>Zone</t>
        </is>
      </c>
      <c r="B3" s="11" t="inlineStr">
        <is>
          <t>Products with low stock</t>
        </is>
      </c>
      <c r="C3" s="11" t="inlineStr">
        <is>
          <t>Products to order</t>
        </is>
      </c>
      <c r="D3" s="11" t="inlineStr">
        <is>
          <t>Total stock value</t>
        </is>
      </c>
    </row>
    <row r="4">
      <c r="A4" t="inlineStr">
        <is>
          <t>Kitchen</t>
        </is>
      </c>
      <c r="B4" s="18">
        <f>COUNTIF(Kitchen!$H$5:$H$44,"*LOW*")</f>
        <v>0.0</v>
      </c>
      <c r="C4" s="18">
        <f>COUNTIF(Kitchen!$H$5:$H$44,"*REORDER*")</f>
        <v>0.0</v>
      </c>
      <c r="D4" s="19">
        <f>SUM(Kitchen!$K$5:$K$44)</f>
        <v>0.0</v>
      </c>
    </row>
    <row r="5">
      <c r="A5" t="inlineStr">
        <is>
          <t>Bar</t>
        </is>
      </c>
      <c r="B5" s="18">
        <f>COUNTIF(Bar!$H$5:$H$34,"*LOW*")</f>
        <v>0.0</v>
      </c>
      <c r="C5" s="18">
        <f>COUNTIF(Bar!$H$5:$H$34,"*REORDER*")</f>
        <v>0.0</v>
      </c>
      <c r="D5" s="19">
        <f>SUM(Bar!$K$5:$K$34)</f>
        <v>0.0</v>
      </c>
    </row>
    <row r="6">
      <c r="A6" t="inlineStr">
        <is>
          <t>Storeroom</t>
        </is>
      </c>
      <c r="B6" s="18">
        <f>COUNTIF(Storeroom!$H$5:$H$34,"*LOW*")</f>
        <v>0.0</v>
      </c>
      <c r="C6" s="18">
        <f>COUNTIF(Storeroom!$H$5:$H$34,"*REORDER*")</f>
        <v>0.0</v>
      </c>
      <c r="D6" s="19">
        <f>SUM(Storeroom!$K$5:$K$34)</f>
        <v>0.0</v>
      </c>
    </row>
    <row r="7">
      <c r="A7" s="20" t="inlineStr">
        <is>
          <t>TOTAL</t>
        </is>
      </c>
      <c r="B7" s="21">
        <f>SUM($B$4:$B$6)</f>
        <v>0.0</v>
      </c>
      <c r="C7" s="21">
        <f>SUM($C$4:$C$6)</f>
        <v>0.0</v>
      </c>
      <c r="D7" s="22">
        <f>SUM($D$4:$D$6)</f>
        <v>0.0</v>
      </c>
    </row>
    <row r="8">
      <c r="A8" s="20" t="inlineStr">
        <is>
          <t>STOCK VALUE BY CATEGORY</t>
        </is>
      </c>
      <c r="D8" s="19" t="n"/>
    </row>
    <row r="9">
      <c r="A9" t="inlineStr">
        <is>
          <t>Category</t>
        </is>
      </c>
      <c r="B9" t="inlineStr">
        <is>
          <t>Value</t>
        </is>
      </c>
      <c r="C9" t="inlineStr">
        <is>
          <t>% of Total</t>
        </is>
      </c>
      <c r="D9" s="19" t="n"/>
    </row>
    <row r="10">
      <c r="A10" t="inlineStr">
        <is>
          <t>Meat &amp; Poultry</t>
        </is>
      </c>
      <c r="B10" s="19">
        <f>SUMIF(Kitchen!$C$5:$C$44,$A10,Kitchen!$K$5:$K$44)+SUMIF(Bar!$C$5:$C$34,$A10,Bar!$K$5:$K$34)+SUMIF(Storeroom!$C$5:$C$34,$A10,Storeroom!$K$5:$K$34)</f>
        <v>0.0</v>
      </c>
      <c r="C10" s="23">
        <f>IFERROR($B10/$B$20,"")</f>
        <v/>
      </c>
      <c r="D10" s="19" t="n"/>
    </row>
    <row r="11">
      <c r="A11" t="inlineStr">
        <is>
          <t>Seafood</t>
        </is>
      </c>
      <c r="B11" s="19">
        <f>SUMIF(Kitchen!$C$5:$C$44,$A11,Kitchen!$K$5:$K$44)+SUMIF(Bar!$C$5:$C$34,$A11,Bar!$K$5:$K$34)+SUMIF(Storeroom!$C$5:$C$34,$A11,Storeroom!$K$5:$K$34)</f>
        <v>0.0</v>
      </c>
      <c r="C11" s="23">
        <f>IFERROR($B11/$B$20,"")</f>
        <v/>
      </c>
      <c r="D11" s="19" t="n"/>
    </row>
    <row r="12">
      <c r="A12" t="inlineStr">
        <is>
          <t>Dairy &amp; Eggs</t>
        </is>
      </c>
      <c r="B12" s="19">
        <f>SUMIF(Kitchen!$C$5:$C$44,$A12,Kitchen!$K$5:$K$44)+SUMIF(Bar!$C$5:$C$34,$A12,Bar!$K$5:$K$34)+SUMIF(Storeroom!$C$5:$C$34,$A12,Storeroom!$K$5:$K$34)</f>
        <v>0.0</v>
      </c>
      <c r="C12" s="23">
        <f>IFERROR($B12/$B$20,"")</f>
        <v/>
      </c>
      <c r="D12" s="19" t="n"/>
    </row>
    <row r="13">
      <c r="A13" t="inlineStr">
        <is>
          <t>Produce</t>
        </is>
      </c>
      <c r="B13" s="19">
        <f>SUMIF(Kitchen!$C$5:$C$44,$A13,Kitchen!$K$5:$K$44)+SUMIF(Bar!$C$5:$C$34,$A13,Bar!$K$5:$K$34)+SUMIF(Storeroom!$C$5:$C$34,$A13,Storeroom!$K$5:$K$34)</f>
        <v>0.0</v>
      </c>
      <c r="C13" s="23">
        <f>IFERROR($B13/$B$20,"")</f>
        <v/>
      </c>
      <c r="D13" s="19" t="n"/>
    </row>
    <row r="14">
      <c r="A14" t="inlineStr">
        <is>
          <t>Dry Goods</t>
        </is>
      </c>
      <c r="B14" s="19">
        <f>SUMIF(Kitchen!$C$5:$C$44,$A14,Kitchen!$K$5:$K$44)+SUMIF(Bar!$C$5:$C$34,$A14,Bar!$K$5:$K$34)+SUMIF(Storeroom!$C$5:$C$34,$A14,Storeroom!$K$5:$K$34)</f>
        <v>0.0</v>
      </c>
      <c r="C14" s="23">
        <f>IFERROR($B14/$B$20,"")</f>
        <v/>
      </c>
      <c r="D14" s="19" t="n"/>
    </row>
    <row r="15">
      <c r="A15" t="inlineStr">
        <is>
          <t>Frozen</t>
        </is>
      </c>
      <c r="B15" s="19">
        <f>SUMIF(Kitchen!$C$5:$C$44,$A15,Kitchen!$K$5:$K$44)+SUMIF(Bar!$C$5:$C$34,$A15,Bar!$K$5:$K$34)+SUMIF(Storeroom!$C$5:$C$34,$A15,Storeroom!$K$5:$K$34)</f>
        <v>0.0</v>
      </c>
      <c r="C15" s="23">
        <f>IFERROR($B15/$B$20,"")</f>
        <v/>
      </c>
      <c r="D15" s="19" t="n"/>
    </row>
    <row r="16">
      <c r="A16" t="inlineStr">
        <is>
          <t>Alcoholic Beverages</t>
        </is>
      </c>
      <c r="B16" s="19">
        <f>SUMIF(Kitchen!$C$5:$C$44,$A16,Kitchen!$K$5:$K$44)+SUMIF(Bar!$C$5:$C$34,$A16,Bar!$K$5:$K$34)+SUMIF(Storeroom!$C$5:$C$34,$A16,Storeroom!$K$5:$K$34)</f>
        <v>0.0</v>
      </c>
      <c r="C16" s="23">
        <f>IFERROR($B16/$B$20,"")</f>
        <v/>
      </c>
      <c r="D16" s="19" t="n"/>
    </row>
    <row r="17">
      <c r="A17" t="inlineStr">
        <is>
          <t>Non-Alcoholic Beverages</t>
        </is>
      </c>
      <c r="B17" s="19">
        <f>SUMIF(Kitchen!$C$5:$C$44,$A17,Kitchen!$K$5:$K$44)+SUMIF(Bar!$C$5:$C$34,$A17,Bar!$K$5:$K$34)+SUMIF(Storeroom!$C$5:$C$34,$A17,Storeroom!$K$5:$K$34)</f>
        <v>0.0</v>
      </c>
      <c r="C17" s="23">
        <f>IFERROR($B17/$B$20,"")</f>
        <v/>
      </c>
      <c r="D17" s="19" t="n"/>
    </row>
    <row r="18">
      <c r="A18" t="inlineStr">
        <is>
          <t>Paper &amp; Cleaning</t>
        </is>
      </c>
      <c r="B18" s="19">
        <f>SUMIF(Kitchen!$C$5:$C$44,$A18,Kitchen!$K$5:$K$44)+SUMIF(Bar!$C$5:$C$34,$A18,Bar!$K$5:$K$34)+SUMIF(Storeroom!$C$5:$C$34,$A18,Storeroom!$K$5:$K$34)</f>
        <v>0.0</v>
      </c>
      <c r="C18" s="23">
        <f>IFERROR($B18/$B$20,"")</f>
        <v/>
      </c>
      <c r="D18" s="19" t="n"/>
    </row>
    <row r="19">
      <c r="A19" t="inlineStr">
        <is>
          <t>Other</t>
        </is>
      </c>
      <c r="B19" s="19">
        <f>SUMIF(Kitchen!$C$5:$C$44,$A19,Kitchen!$K$5:$K$44)+SUMIF(Bar!$C$5:$C$34,$A19,Bar!$K$5:$K$34)+SUMIF(Storeroom!$C$5:$C$34,$A19,Storeroom!$K$5:$K$34)</f>
        <v>0.0</v>
      </c>
      <c r="C19" s="23">
        <f>IFERROR($B19/$B$20,"")</f>
        <v/>
      </c>
      <c r="D19" s="19" t="n"/>
    </row>
    <row r="20">
      <c r="A20" s="20" t="inlineStr">
        <is>
          <t>TOTAL STOCK VALUE</t>
        </is>
      </c>
      <c r="B20" s="22">
        <f>SUM($B$10:$B$19)</f>
        <v>0.0</v>
      </c>
      <c r="C20" s="23" t="n"/>
      <c r="D20" s="19" t="n"/>
    </row>
    <row r="22">
      <c r="A22" s="13" t="inlineStr">
        <is>
          <t>The total value below and the sum of the "Total stock value" column above have to match: if they don't, a category was typed by hand outside the drop-down.</t>
        </is>
      </c>
    </row>
  </sheetData>
  <sheetProtection selectLockedCells="0" selectUnlockedCells="0" sheet="1" objects="0" insertRows="1" insertHyperlinks="1" autoFilter="0"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Kitchen &amp; Bar Inventory Sheet with Par Levels</dc:title>
  <dc:description xmlns:dc="http://purl.org/dc/elements/1.1/">aichef.pro/en/digital-products/restaurant-inventory-templates</dc:description>
  <dc:subject xmlns:dc="http://purl.org/dc/elements/1.1/">Restaurant Inventory Kit Pro · v2.0</dc:subject>
  <dcterms:created xmlns:dcterms="http://purl.org/dc/terms/" xmlns:xsi="http://www.w3.org/2001/XMLSchema-instance" xsi:type="dcterms:W3CDTF">2026-04-05T09:47:45Z</dcterms:created>
  <dcterms:modified xmlns:dcterms="http://purl.org/dc/terms/" xmlns:xsi="http://www.w3.org/2001/XMLSchema-instance" xsi:type="dcterms:W3CDTF">2026-09-25T19:48:21Z</dcterms:modified>
  <cp:lastModifiedBy>AI Chef Pro</cp:lastModifiedBy>
  <cp:category>AI Chef Pro · Digital products</cp:category>
  <cp:keywords>restaurant inventory template, par sheet, AI Chef Pro</cp:keywords>
</cp:coreProperties>
</file>