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FO Tracker" sheetId="2" state="visible" r:id="rId2"/>
    <sheet xmlns:r="http://schemas.openxmlformats.org/officeDocument/2006/relationships" name="Expiration Alerts" sheetId="3" state="visible" r:id="rId3"/>
    <sheet xmlns:r="http://schemas.openxmlformats.org/officeDocument/2006/relationships" name="Storage Map" sheetId="4" state="visible" r:id="rId4"/>
  </sheets>
  <definedNames>
    <definedName name="_xlnm._FilterDatabase" localSheetId="1" hidden="1">'FIFO Tracker'!$A$4:$T$54</definedName>
    <definedName name="_xlnm.Print_Titles" localSheetId="1">'FIFO Tracker'!$4:$4</definedName>
    <definedName name="_xlnm.Print_Area" localSheetId="1">'FIFO Tracker'!$A$1:$T$54</definedName>
    <definedName name="_xlnm.Print_Area" localSheetId="2">'Expiration Alerts'!$A$1:$D$18</definedName>
    <definedName name="_xlnm.Print_Titles" localSheetId="3">'Storage Map'!$3:$3</definedName>
    <definedName name="_xlnm.Print_Area" localSheetId="3">'Storage Map'!$A$1:$E$16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#,##0.00"/>
  </numFmts>
  <fonts count="15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color rgb="00666666"/>
      <sz val="10"/>
    </font>
    <font>
      <b val="1"/>
      <color rgb="00FFFFFF"/>
      <sz val="10"/>
    </font>
    <font>
      <b val="1"/>
      <color rgb="00FF4444"/>
      <sz val="14"/>
    </font>
    <font>
      <sz val="11"/>
    </font>
    <font>
      <b val="1"/>
      <color rgb="00FFD700"/>
      <sz val="12"/>
    </font>
    <font>
      <i val="1"/>
      <color rgb="00666666"/>
      <sz val="9"/>
    </font>
    <font>
      <b val="1"/>
      <color rgb="009C0006"/>
      <sz val="13"/>
    </font>
    <font>
      <b val="1"/>
      <color rgb="009C0006"/>
    </font>
    <font>
      <b val="1"/>
    </font>
    <font>
      <b val="1"/>
      <color rgb="002D2D2D"/>
      <sz val="11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3" fillId="4" borderId="1" applyAlignment="1" applyProtection="1" pivotButton="0" quotePrefix="0" xfId="0">
      <alignment vertical="center" wrapText="1"/>
      <protection locked="0" hidden="0"/>
    </xf>
    <xf numFmtId="164" fontId="3" fillId="4" borderId="1" applyAlignment="1" applyProtection="1" pivotButton="0" quotePrefix="0" xfId="0">
      <alignment vertical="center" wrapText="1"/>
      <protection locked="0" hidden="0"/>
    </xf>
    <xf numFmtId="49" fontId="3" fillId="4" borderId="1" applyAlignment="1" applyProtection="1" pivotButton="0" quotePrefix="0" xfId="0">
      <alignment vertical="center" wrapText="1"/>
      <protection locked="0" hidden="0"/>
    </xf>
    <xf numFmtId="1" fontId="3" fillId="4" borderId="1" applyAlignment="1" applyProtection="1" pivotButton="0" quotePrefix="0" xfId="0">
      <alignment vertical="center" wrapText="1"/>
      <protection locked="0" hidden="0"/>
    </xf>
    <xf numFmtId="164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vertical="center" wrapText="1"/>
    </xf>
    <xf numFmtId="4" fontId="3" fillId="4" borderId="1" applyAlignment="1" applyProtection="1" pivotButton="0" quotePrefix="0" xfId="0">
      <alignment vertical="center" wrapText="1"/>
      <protection locked="0" hidden="0"/>
    </xf>
    <xf numFmtId="165" fontId="3" fillId="4" borderId="1" applyAlignment="1" applyProtection="1" pivotButton="0" quotePrefix="0" xfId="0">
      <alignment vertical="center" wrapText="1"/>
      <protection locked="0" hidden="0"/>
    </xf>
    <xf numFmtId="165" fontId="3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0" fontId="11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1" fontId="13" fillId="0" borderId="0" pivotButton="0" quotePrefix="0" xfId="0"/>
    <xf numFmtId="165" fontId="1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4" fontId="3" fillId="4" borderId="1" applyAlignment="1" applyProtection="1" pivotButton="0" quotePrefix="0" xfId="0">
      <alignment vertical="center" wrapText="1"/>
      <protection locked="0" hidden="0"/>
    </xf>
    <xf numFmtId="14" fontId="3" fillId="0" borderId="1" applyAlignment="1" pivotButton="0" quotePrefix="0" xfId="0">
      <alignment vertical="center" wrapText="1"/>
    </xf>
    <xf numFmtId="165" fontId="3" fillId="4" borderId="1" applyAlignment="1" applyProtection="1" pivotButton="0" quotePrefix="0" xfId="0">
      <alignment vertical="center" wrapText="1"/>
      <protection locked="0" hidden="0"/>
    </xf>
    <xf numFmtId="165" fontId="3" fillId="0" borderId="1" applyAlignment="1" pivotButton="0" quotePrefix="0" xfId="0">
      <alignment vertical="center" wrapText="1"/>
    </xf>
    <xf numFmtId="14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5" fontId="0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FIFO &amp; Expiration Date Tracker</t>
        </is>
      </c>
    </row>
    <row r="2">
      <c r="A2" s="2" t="inlineStr">
        <is>
          <t>AI Chef Pro — aichef.pro</t>
        </is>
      </c>
    </row>
    <row r="3">
      <c r="A3" s="3" t="n"/>
    </row>
    <row r="4">
      <c r="A4" s="4" t="inlineStr">
        <is>
          <t>Track stock rotation and expiration risk, lot by lot.</t>
        </is>
      </c>
    </row>
    <row r="5">
      <c r="A5" s="4" t="n"/>
    </row>
    <row r="6">
      <c r="A6" s="4" t="inlineStr">
        <is>
          <t>TABS:</t>
        </is>
      </c>
    </row>
    <row r="7">
      <c r="A7" s="4" t="inlineStr">
        <is>
          <t>1. FIFO Tracker — one lot per line: received date, use-by, opened-on, quantity and value at risk</t>
        </is>
      </c>
    </row>
    <row r="8">
      <c r="A8" s="4" t="inlineStr">
        <is>
          <t>2. Expiration Alerts — counters by status, value at risk and action protocol</t>
        </is>
      </c>
    </row>
    <row r="9">
      <c r="A9" s="4" t="inlineStr">
        <is>
          <t>3. Storage Map — the 11 zones with their temperature; feeds the zone drop-down. Chemicals and cleaning supplies have their own storage, separate from food, and eggs have their own refrigerated zone: the FDA Food Code requires shell eggs held at 45 °F (7 °C) or below</t>
        </is>
      </c>
    </row>
    <row r="10">
      <c r="A10" s="4" t="n"/>
    </row>
    <row r="11">
      <c r="A11" s="4" t="inlineStr">
        <is>
          <t>FIFO AND FEFO AREN'T THE SAME THING:</t>
        </is>
      </c>
    </row>
    <row r="12">
      <c r="A12" s="4" t="inlineStr">
        <is>
          <t>FIFO (First In, First Out) is the STOCKING rule: whatever comes in first gets placed at the front.</t>
        </is>
      </c>
    </row>
    <row r="13">
      <c r="A13" s="4" t="inlineStr">
        <is>
          <t>FEFO (First Expired, First Out) is the PULLING rule, and it's the one that runs the kitchen: whatever expires soonest goes out first.</t>
        </is>
      </c>
    </row>
    <row r="14">
      <c r="A14" s="4" t="inlineStr">
        <is>
          <t>This template calculates status by FEFO, based on the effective deadline. The days-in-storage column exposes the lot forgotten at the back of the walk-in cooler.</t>
        </is>
      </c>
    </row>
    <row r="16">
      <c r="A16" s="4" t="inlineStr">
        <is>
          <t>HOW TO FILL IN EACH LINE:</t>
        </is>
      </c>
    </row>
    <row r="17">
      <c r="A17" s="4" t="inlineStr">
        <is>
          <t>Category, unit and zone all come from drop-downs: the same 10 categories across the kit's 9 templates, and the same units across the 7 templates that list products. Receiving (04) also adds the regulatory FAMILY, because the legal temperature limit is set by the regulation, not by your purchasing category: that's where the bridge between the two lists lives.</t>
        </is>
      </c>
    </row>
    <row r="18">
      <c r="A18" s="4" t="inlineStr">
        <is>
          <t>Date type: Use-by for perishables (meat, fish, fresh dairy, prepared foods) and Best-by for dry goods, canned goods and frozen items. FDA Food Code 2022 §3-501.17 date marking.</t>
        </is>
      </c>
    </row>
    <row r="19">
      <c r="A19" s="4" t="inlineStr">
        <is>
          <t>Opened-on date and shelf life after opening: only for a package that's already open. The effective deadline takes whichever of the two comes first, and that's the one that rules.</t>
        </is>
      </c>
    </row>
    <row r="20">
      <c r="A20" s="4" t="inlineStr">
        <is>
          <t>Quantity and price per unit give you the value at risk: it's the number that gets someone to act. Watch the alerts tab: one row gives the value ACTUALLY at risk (everything except what's OK) and another gives the total value of stock logged. They're not the same.</t>
        </is>
      </c>
    </row>
    <row r="21">
      <c r="A21" s="4" t="inlineStr">
        <is>
          <t>The first six lines come with SAMPLE lots so you can see the five statuses and the alerts working right away. Delete them before you start with your own stock.</t>
        </is>
      </c>
    </row>
    <row r="23">
      <c r="A23" s="4" t="inlineStr">
        <is>
          <t>THE STATUS LIGHT HAS FIVE STATES, NOT THREE:</t>
        </is>
      </c>
    </row>
    <row r="24">
      <c r="A24" s="4" t="inlineStr">
        <is>
          <t>⛔ EXPIRED — DISCARD: use-by date has passed. Mandatory removal and waste log entry. Never used, under any circumstances.</t>
        </is>
      </c>
    </row>
    <row r="25">
      <c r="A25" s="4" t="inlineStr">
        <is>
          <t>⚠ CHECK (best-by passed): best-by date has passed. Organoleptic check before deciding.</t>
        </is>
      </c>
    </row>
    <row r="26">
      <c r="A26" s="4" t="inlineStr">
        <is>
          <t>🔴 URGENT: 2 days or less left. Use in today's service.</t>
        </is>
      </c>
    </row>
    <row r="27">
      <c r="A27" s="4" t="inlineStr">
        <is>
          <t>🟡 USE SOON: 7 days or less left. Prioritize in this week's production.</t>
        </is>
      </c>
    </row>
    <row r="28">
      <c r="A28" s="4" t="inlineStr">
        <is>
          <t>🟢 OK: out of risk.</t>
        </is>
      </c>
    </row>
    <row r="30">
      <c r="A30" s="4" t="inlineStr">
        <is>
          <t>The autofilter on "FIFO Tracker" is already turned on: click the arrow on the Status column to see only what matters to you.</t>
        </is>
      </c>
    </row>
    <row r="32">
      <c r="A32" s="13" t="inlineStr">
        <is>
          <t>To edit a locked cell: Review → Unprotect Sheet (no password). Green cells are already editable without unprotecting anything.</t>
        </is>
      </c>
    </row>
    <row r="33">
      <c r="A33" s="13" t="inlineStr">
        <is>
          <t>Designed by John Guerrero — chef and restaurant consultant since 2010, in professional kitchens since age 17 · johnguerrero.es</t>
        </is>
      </c>
    </row>
    <row r="34">
      <c r="A34" s="13" t="inlineStr">
        <is>
          <t>Version 2.0 · September 2026 · aichef.pro/en/digital-products/restaurant-inventory-templates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4" customWidth="1" min="4" max="4"/>
    <col width="15" customWidth="1" min="5" max="5"/>
    <col width="18" customWidth="1" min="6" max="6"/>
    <col width="16" customWidth="1" min="7" max="7"/>
    <col width="16" customWidth="1" min="8" max="8"/>
    <col width="14" customWidth="1" min="9" max="9"/>
    <col width="16" customWidth="1" min="10" max="10"/>
    <col width="12" customWidth="1" min="11" max="11"/>
    <col width="30" customWidth="1" min="12" max="12"/>
    <col width="13" customWidth="1" min="13" max="13"/>
    <col width="11" customWidth="1" min="14" max="14"/>
    <col width="10" customWidth="1" min="15" max="15"/>
    <col width="13" customWidth="1" min="16" max="16"/>
    <col width="17" customWidth="1" min="17" max="17"/>
    <col width="18" customWidth="1" min="18" max="18"/>
    <col width="12" customWidth="1" min="19" max="19"/>
    <col width="26" customWidth="1" min="20" max="20"/>
  </cols>
  <sheetData>
    <row r="1">
      <c r="A1" s="5" t="inlineStr">
        <is>
          <t>FIFO TRACKER — FIRST IN, FIRST OUT</t>
        </is>
      </c>
    </row>
    <row r="2">
      <c r="A2" s="14" t="inlineStr">
        <is>
          <t>One line per LOT, not per product: two deliveries of the same item are two lines. The first SIX are an example and cover the five status-light states (the fifth shows why the opened-on date exists): delete them before you start. Review date: ___/___/______   ·   Checked by: ________________</t>
        </is>
      </c>
    </row>
    <row r="4">
      <c r="A4" s="7" t="inlineStr">
        <is>
          <t>#</t>
        </is>
      </c>
      <c r="B4" s="7" t="inlineStr">
        <is>
          <t>Product</t>
        </is>
      </c>
      <c r="C4" s="7" t="inlineStr">
        <is>
          <t>Category</t>
        </is>
      </c>
      <c r="D4" s="7" t="inlineStr">
        <is>
          <t>Lot / Ref.</t>
        </is>
      </c>
      <c r="E4" s="7" t="inlineStr">
        <is>
          <t>Received date</t>
        </is>
      </c>
      <c r="F4" s="7" t="inlineStr">
        <is>
          <t>Date type</t>
        </is>
      </c>
      <c r="G4" s="7" t="inlineStr">
        <is>
          <t>Use-by date</t>
        </is>
      </c>
      <c r="H4" s="7" t="inlineStr">
        <is>
          <t>Opened-on date</t>
        </is>
      </c>
      <c r="I4" s="7" t="inlineStr">
        <is>
          <t>Shelf life after opening (days)</t>
        </is>
      </c>
      <c r="J4" s="7" t="inlineStr">
        <is>
          <t>Effective deadline</t>
        </is>
      </c>
      <c r="K4" s="7" t="inlineStr">
        <is>
          <t>Days left</t>
        </is>
      </c>
      <c r="L4" s="7" t="inlineStr">
        <is>
          <t>Status</t>
        </is>
      </c>
      <c r="M4" s="7" t="inlineStr">
        <is>
          <t>Days in storage</t>
        </is>
      </c>
      <c r="N4" s="7" t="inlineStr">
        <is>
          <t>Quantity</t>
        </is>
      </c>
      <c r="O4" s="7" t="inlineStr">
        <is>
          <t>Unit</t>
        </is>
      </c>
      <c r="P4" s="7" t="inlineStr">
        <is>
          <t>Price/unit</t>
        </is>
      </c>
      <c r="Q4" s="7" t="inlineStr">
        <is>
          <t>Value at risk</t>
        </is>
      </c>
      <c r="R4" s="7" t="inlineStr">
        <is>
          <t>Storage zone</t>
        </is>
      </c>
      <c r="S4" s="7" t="inlineStr">
        <is>
          <t>Position</t>
        </is>
      </c>
      <c r="T4" s="7" t="inlineStr">
        <is>
          <t>Action</t>
        </is>
      </c>
    </row>
    <row r="5">
      <c r="A5" s="8" t="n">
        <v>1</v>
      </c>
      <c r="B5" s="15" t="inlineStr">
        <is>
          <t>Fresh cod fillet (sample)</t>
        </is>
      </c>
      <c r="C5" s="15" t="inlineStr">
        <is>
          <t>Seafood</t>
        </is>
      </c>
      <c r="D5" s="15" t="inlineStr">
        <is>
          <t>L-2609-014</t>
        </is>
      </c>
      <c r="E5" s="37">
        <f>TODAY()-4</f>
        <v>46286.0</v>
      </c>
      <c r="F5" s="17" t="inlineStr">
        <is>
          <t>Use-by</t>
        </is>
      </c>
      <c r="G5" s="37">
        <f>TODAY()-1</f>
        <v>46289.0</v>
      </c>
      <c r="H5" s="37" t="n"/>
      <c r="I5" s="18" t="n"/>
      <c r="J5" s="38">
        <f>IF($G5="","",IF($H5="",$G5,IF($I5="",$G5,MIN($G5,$H5+$I5))))</f>
        <v>46289.0</v>
      </c>
      <c r="K5" s="20">
        <f>IF($J5="","",$J5-TODAY())</f>
        <v>-1.0</v>
      </c>
      <c r="L5" s="8" t="str">
        <f>IF($K5="","",IF($K5&lt;0,IF($F5="Best-by","⚠ CHECK (best-by passed)","⛔ EXPIRED — DISCARD"),IF($K5&lt;=2,"🔴 URGENT",IF($K5&lt;=7,"🟡 USE SOON","🟢 OK"))))</f>
        <v>⛔ EXPIRED — DISCARD</v>
      </c>
      <c r="M5" s="20">
        <f>IF($E5="","",TODAY()-$E5)</f>
        <v>4.0</v>
      </c>
      <c r="N5" s="21" t="n">
        <v>8</v>
      </c>
      <c r="O5" s="15" t="inlineStr">
        <is>
          <t>lb</t>
        </is>
      </c>
      <c r="P5" s="39" t="n">
        <v>11.5</v>
      </c>
      <c r="Q5" s="40">
        <f>IF(OR($N5="",$P5=""),"",$N5*$P5)</f>
        <v>92.0</v>
      </c>
      <c r="R5" s="15" t="inlineStr">
        <is>
          <t>Seafood cooler</t>
        </is>
      </c>
      <c r="S5" s="15" t="inlineStr">
        <is>
          <t>Shelf 1</t>
        </is>
      </c>
      <c r="T5" s="15" t="inlineStr">
        <is>
          <t>Discard and enter it in the waste log</t>
        </is>
      </c>
    </row>
    <row r="6">
      <c r="A6" s="9" t="n">
        <v>2</v>
      </c>
      <c r="B6" s="15" t="inlineStr">
        <is>
          <t>Heavy cream (sample)</t>
        </is>
      </c>
      <c r="C6" s="15" t="inlineStr">
        <is>
          <t>Dairy &amp; Eggs</t>
        </is>
      </c>
      <c r="D6" s="15" t="inlineStr">
        <is>
          <t>L-2608-221</t>
        </is>
      </c>
      <c r="E6" s="37">
        <f>TODAY()-9</f>
        <v>46281.0</v>
      </c>
      <c r="F6" s="17" t="inlineStr">
        <is>
          <t>Best-by</t>
        </is>
      </c>
      <c r="G6" s="37">
        <f>TODAY()-2</f>
        <v>46288.0</v>
      </c>
      <c r="H6" s="37" t="n"/>
      <c r="I6" s="18" t="n"/>
      <c r="J6" s="41">
        <f>IF($G6="","",IF($H6="",$G6,IF($I6="",$G6,MIN($G6,$H6+$I6))))</f>
        <v>46288.0</v>
      </c>
      <c r="K6" s="25">
        <f>IF($J6="","",$J6-TODAY())</f>
        <v>-2.0</v>
      </c>
      <c r="L6" s="9" t="str">
        <f>IF($K6="","",IF($K6&lt;0,IF($F6="Best-by","⚠ CHECK (best-by passed)","⛔ EXPIRED — DISCARD"),IF($K6&lt;=2,"🔴 URGENT",IF($K6&lt;=7,"🟡 USE SOON","🟢 OK"))))</f>
        <v>⚠ CHECK (best-by passed)</v>
      </c>
      <c r="M6" s="25">
        <f>IF($E6="","",TODAY()-$E6)</f>
        <v>9.0</v>
      </c>
      <c r="N6" s="21" t="n">
        <v>3</v>
      </c>
      <c r="O6" s="15" t="inlineStr">
        <is>
          <t>qt</t>
        </is>
      </c>
      <c r="P6" s="39" t="n">
        <v>4.98</v>
      </c>
      <c r="Q6" s="42">
        <f>IF(OR($N6="",$P6=""),"",$N6*$P6)</f>
        <v>14.940000000000001</v>
      </c>
      <c r="R6" s="15" t="inlineStr">
        <is>
          <t>Prepared foods cooler</t>
        </is>
      </c>
      <c r="S6" s="15" t="inlineStr">
        <is>
          <t>Shelf 2</t>
        </is>
      </c>
      <c r="T6" s="15" t="inlineStr">
        <is>
          <t>Check look, smell and texture before deciding</t>
        </is>
      </c>
    </row>
    <row r="7">
      <c r="A7" s="8" t="n">
        <v>3</v>
      </c>
      <c r="B7" s="15" t="inlineStr">
        <is>
          <t>Boneless chicken breast (sample)</t>
        </is>
      </c>
      <c r="C7" s="15" t="inlineStr">
        <is>
          <t>Meat &amp; Poultry</t>
        </is>
      </c>
      <c r="D7" s="15" t="inlineStr">
        <is>
          <t>L-2609-107</t>
        </is>
      </c>
      <c r="E7" s="37">
        <f>TODAY()-1</f>
        <v>46289.0</v>
      </c>
      <c r="F7" s="17" t="inlineStr">
        <is>
          <t>Use-by</t>
        </is>
      </c>
      <c r="G7" s="37">
        <f>TODAY()+1</f>
        <v>46291.0</v>
      </c>
      <c r="H7" s="37" t="n"/>
      <c r="I7" s="18" t="n"/>
      <c r="J7" s="38">
        <f>IF($G7="","",IF($H7="",$G7,IF($I7="",$G7,MIN($G7,$H7+$I7))))</f>
        <v>46291.0</v>
      </c>
      <c r="K7" s="20">
        <f>IF($J7="","",$J7-TODAY())</f>
        <v>1.0</v>
      </c>
      <c r="L7" s="8" t="str">
        <f>IF($K7="","",IF($K7&lt;0,IF($F7="Best-by","⚠ CHECK (best-by passed)","⛔ EXPIRED — DISCARD"),IF($K7&lt;=2,"🔴 URGENT",IF($K7&lt;=7,"🟡 USE SOON","🟢 OK"))))</f>
        <v>🔴 URGENT</v>
      </c>
      <c r="M7" s="20">
        <f>IF($E7="","",TODAY()-$E7)</f>
        <v>1.0</v>
      </c>
      <c r="N7" s="21" t="n">
        <v>12</v>
      </c>
      <c r="O7" s="15" t="inlineStr">
        <is>
          <t>lb</t>
        </is>
      </c>
      <c r="P7" s="39" t="n">
        <v>3.1</v>
      </c>
      <c r="Q7" s="40">
        <f>IF(OR($N7="",$P7=""),"",$N7*$P7)</f>
        <v>37.2</v>
      </c>
      <c r="R7" s="15" t="inlineStr">
        <is>
          <t>Raw meat cooler</t>
        </is>
      </c>
      <c r="S7" s="15" t="inlineStr">
        <is>
          <t>Shelf 1</t>
        </is>
      </c>
      <c r="T7" s="15" t="inlineStr">
        <is>
          <t>Use in today's service</t>
        </is>
      </c>
    </row>
    <row r="8">
      <c r="A8" s="9" t="n">
        <v>4</v>
      </c>
      <c r="B8" s="15" t="inlineStr">
        <is>
          <t>Tomatoes (sample)</t>
        </is>
      </c>
      <c r="C8" s="15" t="inlineStr">
        <is>
          <t>Produce</t>
        </is>
      </c>
      <c r="D8" s="15" t="inlineStr">
        <is>
          <t>L-2609-088</t>
        </is>
      </c>
      <c r="E8" s="37">
        <f>TODAY()-2</f>
        <v>46288.0</v>
      </c>
      <c r="F8" s="17" t="inlineStr">
        <is>
          <t>Use-by</t>
        </is>
      </c>
      <c r="G8" s="37">
        <f>TODAY()+5</f>
        <v>46295.0</v>
      </c>
      <c r="H8" s="37" t="n"/>
      <c r="I8" s="18" t="n"/>
      <c r="J8" s="41">
        <f>IF($G8="","",IF($H8="",$G8,IF($I8="",$G8,MIN($G8,$H8+$I8))))</f>
        <v>46295.0</v>
      </c>
      <c r="K8" s="25">
        <f>IF($J8="","",$J8-TODAY())</f>
        <v>5.0</v>
      </c>
      <c r="L8" s="9" t="str">
        <f>IF($K8="","",IF($K8&lt;0,IF($F8="Best-by","⚠ CHECK (best-by passed)","⛔ EXPIRED — DISCARD"),IF($K8&lt;=2,"🔴 URGENT",IF($K8&lt;=7,"🟡 USE SOON","🟢 OK"))))</f>
        <v>🟡 USE SOON</v>
      </c>
      <c r="M8" s="25">
        <f>IF($E8="","",TODAY()-$E8)</f>
        <v>2.0</v>
      </c>
      <c r="N8" s="21" t="n">
        <v>25</v>
      </c>
      <c r="O8" s="15" t="inlineStr">
        <is>
          <t>lb</t>
        </is>
      </c>
      <c r="P8" s="39" t="n">
        <v>1.98</v>
      </c>
      <c r="Q8" s="42">
        <f>IF(OR($N8="",$P8=""),"",$N8*$P8)</f>
        <v>49.5</v>
      </c>
      <c r="R8" s="15" t="inlineStr">
        <is>
          <t>Produce cooler</t>
        </is>
      </c>
      <c r="S8" s="15" t="inlineStr">
        <is>
          <t>Bin 3</t>
        </is>
      </c>
      <c r="T8" s="15" t="inlineStr">
        <is>
          <t>Prioritize in this week's prep</t>
        </is>
      </c>
    </row>
    <row r="9">
      <c r="A9" s="8" t="n">
        <v>5</v>
      </c>
      <c r="B9" s="15" t="inlineStr">
        <is>
          <t>Parmesan (sample)</t>
        </is>
      </c>
      <c r="C9" s="15" t="inlineStr">
        <is>
          <t>Dairy &amp; Eggs</t>
        </is>
      </c>
      <c r="D9" s="15" t="inlineStr">
        <is>
          <t>L-2605-330</t>
        </is>
      </c>
      <c r="E9" s="37">
        <f>TODAY()-7</f>
        <v>46283.0</v>
      </c>
      <c r="F9" s="17" t="inlineStr">
        <is>
          <t>Use-by</t>
        </is>
      </c>
      <c r="G9" s="37">
        <f>TODAY()+60</f>
        <v>46350.0</v>
      </c>
      <c r="H9" s="37">
        <f>TODAY()-5</f>
        <v>46285.0</v>
      </c>
      <c r="I9" s="18" t="n">
        <v>10</v>
      </c>
      <c r="J9" s="38">
        <f>IF($G9="","",IF($H9="",$G9,IF($I9="",$G9,MIN($G9,$H9+$I9))))</f>
        <v>46295.0</v>
      </c>
      <c r="K9" s="20">
        <f>IF($J9="","",$J9-TODAY())</f>
        <v>5.0</v>
      </c>
      <c r="L9" s="8" t="str">
        <f>IF($K9="","",IF($K9&lt;0,IF($F9="Best-by","⚠ CHECK (best-by passed)","⛔ EXPIRED — DISCARD"),IF($K9&lt;=2,"🔴 URGENT",IF($K9&lt;=7,"🟡 USE SOON","🟢 OK"))))</f>
        <v>🟡 USE SOON</v>
      </c>
      <c r="M9" s="20">
        <f>IF($E9="","",TODAY()-$E9)</f>
        <v>7.0</v>
      </c>
      <c r="N9" s="21" t="n">
        <v>4</v>
      </c>
      <c r="O9" s="15" t="inlineStr">
        <is>
          <t>lb</t>
        </is>
      </c>
      <c r="P9" s="39" t="n">
        <v>9.5</v>
      </c>
      <c r="Q9" s="40">
        <f>IF(OR($N9="",$P9=""),"",$N9*$P9)</f>
        <v>38.0</v>
      </c>
      <c r="R9" s="15" t="inlineStr">
        <is>
          <t>Prepared foods cooler</t>
        </is>
      </c>
      <c r="S9" s="15" t="inlineStr">
        <is>
          <t>Shelf 3</t>
        </is>
      </c>
      <c r="T9" s="15" t="inlineStr">
        <is>
          <t>Opened: the shelf life after opening rules, not the date on the package</t>
        </is>
      </c>
    </row>
    <row r="10">
      <c r="A10" s="9" t="n">
        <v>6</v>
      </c>
      <c r="B10" s="15" t="inlineStr">
        <is>
          <t>Arborio rice (sample)</t>
        </is>
      </c>
      <c r="C10" s="15" t="inlineStr">
        <is>
          <t>Dry Goods</t>
        </is>
      </c>
      <c r="D10" s="15" t="inlineStr">
        <is>
          <t>L-2604-012</t>
        </is>
      </c>
      <c r="E10" s="37">
        <f>TODAY()-40</f>
        <v>46250.0</v>
      </c>
      <c r="F10" s="17" t="inlineStr">
        <is>
          <t>Best-by</t>
        </is>
      </c>
      <c r="G10" s="37">
        <f>TODAY()+300</f>
        <v>46590.0</v>
      </c>
      <c r="H10" s="37" t="n"/>
      <c r="I10" s="18" t="n"/>
      <c r="J10" s="41">
        <f>IF($G10="","",IF($H10="",$G10,IF($I10="",$G10,MIN($G10,$H10+$I10))))</f>
        <v>46590.0</v>
      </c>
      <c r="K10" s="25">
        <f>IF($J10="","",$J10-TODAY())</f>
        <v>300.0</v>
      </c>
      <c r="L10" s="9" t="str">
        <f>IF($K10="","",IF($K10&lt;0,IF($F10="Best-by","⚠ CHECK (best-by passed)","⛔ EXPIRED — DISCARD"),IF($K10&lt;=2,"🔴 URGENT",IF($K10&lt;=7,"🟡 USE SOON","🟢 OK"))))</f>
        <v>🟢 OK</v>
      </c>
      <c r="M10" s="25">
        <f>IF($E10="","",TODAY()-$E10)</f>
        <v>40.0</v>
      </c>
      <c r="N10" s="21" t="n">
        <v>25</v>
      </c>
      <c r="O10" s="15" t="inlineStr">
        <is>
          <t>lb</t>
        </is>
      </c>
      <c r="P10" s="39" t="n">
        <v>2.1</v>
      </c>
      <c r="Q10" s="42">
        <f>IF(OR($N10="",$P10=""),"",$N10*$P10)</f>
        <v>52.5</v>
      </c>
      <c r="R10" s="15" t="inlineStr">
        <is>
          <t>Dry storage</t>
        </is>
      </c>
      <c r="S10" s="15" t="inlineStr">
        <is>
          <t>Rack 2</t>
        </is>
      </c>
      <c r="T10" s="15" t="inlineStr">
        <is>
          <t>No risk: place it behind what expires sooner</t>
        </is>
      </c>
    </row>
    <row r="11">
      <c r="A11" s="8" t="n">
        <v>7</v>
      </c>
      <c r="B11" s="15" t="n"/>
      <c r="C11" s="15" t="n"/>
      <c r="D11" s="15" t="n"/>
      <c r="E11" s="37" t="n"/>
      <c r="F11" s="17" t="n"/>
      <c r="G11" s="37" t="n"/>
      <c r="H11" s="37" t="n"/>
      <c r="I11" s="18" t="n"/>
      <c r="J11" s="38">
        <f>IF($G11="","",IF($H11="",$G11,IF($I11="",$G11,MIN($G11,$H11+$I11))))</f>
        <v/>
      </c>
      <c r="K11" s="20">
        <f>IF($J11="","",$J11-TODAY())</f>
        <v/>
      </c>
      <c r="L11" s="8">
        <f>IF($K11="","",IF($K11&lt;0,IF($F11="Best-by","⚠ CHECK (best-by passed)","⛔ EXPIRED — DISCARD"),IF($K11&lt;=2,"🔴 URGENT",IF($K11&lt;=7,"🟡 USE SOON","🟢 OK"))))</f>
        <v/>
      </c>
      <c r="M11" s="20">
        <f>IF($E11="","",TODAY()-$E11)</f>
        <v/>
      </c>
      <c r="N11" s="21" t="n"/>
      <c r="O11" s="15" t="n"/>
      <c r="P11" s="39" t="n"/>
      <c r="Q11" s="40">
        <f>IF(OR($N11="",$P11=""),"",$N11*$P11)</f>
        <v/>
      </c>
      <c r="R11" s="15" t="n"/>
      <c r="S11" s="15" t="n"/>
      <c r="T11" s="15" t="n"/>
    </row>
    <row r="12">
      <c r="A12" s="9" t="n">
        <v>8</v>
      </c>
      <c r="B12" s="15" t="n"/>
      <c r="C12" s="15" t="n"/>
      <c r="D12" s="15" t="n"/>
      <c r="E12" s="37" t="n"/>
      <c r="F12" s="17" t="n"/>
      <c r="G12" s="37" t="n"/>
      <c r="H12" s="37" t="n"/>
      <c r="I12" s="18" t="n"/>
      <c r="J12" s="41">
        <f>IF($G12="","",IF($H12="",$G12,IF($I12="",$G12,MIN($G12,$H12+$I12))))</f>
        <v/>
      </c>
      <c r="K12" s="25">
        <f>IF($J12="","",$J12-TODAY())</f>
        <v/>
      </c>
      <c r="L12" s="9">
        <f>IF($K12="","",IF($K12&lt;0,IF($F12="Best-by","⚠ CHECK (best-by passed)","⛔ EXPIRED — DISCARD"),IF($K12&lt;=2,"🔴 URGENT",IF($K12&lt;=7,"🟡 USE SOON","🟢 OK"))))</f>
        <v/>
      </c>
      <c r="M12" s="25">
        <f>IF($E12="","",TODAY()-$E12)</f>
        <v/>
      </c>
      <c r="N12" s="21" t="n"/>
      <c r="O12" s="15" t="n"/>
      <c r="P12" s="39" t="n"/>
      <c r="Q12" s="42">
        <f>IF(OR($N12="",$P12=""),"",$N12*$P12)</f>
        <v/>
      </c>
      <c r="R12" s="15" t="n"/>
      <c r="S12" s="15" t="n"/>
      <c r="T12" s="15" t="n"/>
    </row>
    <row r="13">
      <c r="A13" s="8" t="n">
        <v>9</v>
      </c>
      <c r="B13" s="15" t="n"/>
      <c r="C13" s="15" t="n"/>
      <c r="D13" s="15" t="n"/>
      <c r="E13" s="37" t="n"/>
      <c r="F13" s="17" t="n"/>
      <c r="G13" s="37" t="n"/>
      <c r="H13" s="37" t="n"/>
      <c r="I13" s="18" t="n"/>
      <c r="J13" s="38">
        <f>IF($G13="","",IF($H13="",$G13,IF($I13="",$G13,MIN($G13,$H13+$I13))))</f>
        <v/>
      </c>
      <c r="K13" s="20">
        <f>IF($J13="","",$J13-TODAY())</f>
        <v/>
      </c>
      <c r="L13" s="8">
        <f>IF($K13="","",IF($K13&lt;0,IF($F13="Best-by","⚠ CHECK (best-by passed)","⛔ EXPIRED — DISCARD"),IF($K13&lt;=2,"🔴 URGENT",IF($K13&lt;=7,"🟡 USE SOON","🟢 OK"))))</f>
        <v/>
      </c>
      <c r="M13" s="20">
        <f>IF($E13="","",TODAY()-$E13)</f>
        <v/>
      </c>
      <c r="N13" s="21" t="n"/>
      <c r="O13" s="15" t="n"/>
      <c r="P13" s="39" t="n"/>
      <c r="Q13" s="40">
        <f>IF(OR($N13="",$P13=""),"",$N13*$P13)</f>
        <v/>
      </c>
      <c r="R13" s="15" t="n"/>
      <c r="S13" s="15" t="n"/>
      <c r="T13" s="15" t="n"/>
    </row>
    <row r="14">
      <c r="A14" s="9" t="n">
        <v>10</v>
      </c>
      <c r="B14" s="15" t="n"/>
      <c r="C14" s="15" t="n"/>
      <c r="D14" s="15" t="n"/>
      <c r="E14" s="37" t="n"/>
      <c r="F14" s="17" t="n"/>
      <c r="G14" s="37" t="n"/>
      <c r="H14" s="37" t="n"/>
      <c r="I14" s="18" t="n"/>
      <c r="J14" s="41">
        <f>IF($G14="","",IF($H14="",$G14,IF($I14="",$G14,MIN($G14,$H14+$I14))))</f>
        <v/>
      </c>
      <c r="K14" s="25">
        <f>IF($J14="","",$J14-TODAY())</f>
        <v/>
      </c>
      <c r="L14" s="9">
        <f>IF($K14="","",IF($K14&lt;0,IF($F14="Best-by","⚠ CHECK (best-by passed)","⛔ EXPIRED — DISCARD"),IF($K14&lt;=2,"🔴 URGENT",IF($K14&lt;=7,"🟡 USE SOON","🟢 OK"))))</f>
        <v/>
      </c>
      <c r="M14" s="25">
        <f>IF($E14="","",TODAY()-$E14)</f>
        <v/>
      </c>
      <c r="N14" s="21" t="n"/>
      <c r="O14" s="15" t="n"/>
      <c r="P14" s="39" t="n"/>
      <c r="Q14" s="42">
        <f>IF(OR($N14="",$P14=""),"",$N14*$P14)</f>
        <v/>
      </c>
      <c r="R14" s="15" t="n"/>
      <c r="S14" s="15" t="n"/>
      <c r="T14" s="15" t="n"/>
    </row>
    <row r="15">
      <c r="A15" s="8" t="n">
        <v>11</v>
      </c>
      <c r="B15" s="15" t="n"/>
      <c r="C15" s="15" t="n"/>
      <c r="D15" s="15" t="n"/>
      <c r="E15" s="37" t="n"/>
      <c r="F15" s="17" t="n"/>
      <c r="G15" s="37" t="n"/>
      <c r="H15" s="37" t="n"/>
      <c r="I15" s="18" t="n"/>
      <c r="J15" s="38">
        <f>IF($G15="","",IF($H15="",$G15,IF($I15="",$G15,MIN($G15,$H15+$I15))))</f>
        <v/>
      </c>
      <c r="K15" s="20">
        <f>IF($J15="","",$J15-TODAY())</f>
        <v/>
      </c>
      <c r="L15" s="8">
        <f>IF($K15="","",IF($K15&lt;0,IF($F15="Best-by","⚠ CHECK (best-by passed)","⛔ EXPIRED — DISCARD"),IF($K15&lt;=2,"🔴 URGENT",IF($K15&lt;=7,"🟡 USE SOON","🟢 OK"))))</f>
        <v/>
      </c>
      <c r="M15" s="20">
        <f>IF($E15="","",TODAY()-$E15)</f>
        <v/>
      </c>
      <c r="N15" s="21" t="n"/>
      <c r="O15" s="15" t="n"/>
      <c r="P15" s="39" t="n"/>
      <c r="Q15" s="40">
        <f>IF(OR($N15="",$P15=""),"",$N15*$P15)</f>
        <v/>
      </c>
      <c r="R15" s="15" t="n"/>
      <c r="S15" s="15" t="n"/>
      <c r="T15" s="15" t="n"/>
    </row>
    <row r="16">
      <c r="A16" s="9" t="n">
        <v>12</v>
      </c>
      <c r="B16" s="15" t="n"/>
      <c r="C16" s="15" t="n"/>
      <c r="D16" s="15" t="n"/>
      <c r="E16" s="37" t="n"/>
      <c r="F16" s="17" t="n"/>
      <c r="G16" s="37" t="n"/>
      <c r="H16" s="37" t="n"/>
      <c r="I16" s="18" t="n"/>
      <c r="J16" s="41">
        <f>IF($G16="","",IF($H16="",$G16,IF($I16="",$G16,MIN($G16,$H16+$I16))))</f>
        <v/>
      </c>
      <c r="K16" s="25">
        <f>IF($J16="","",$J16-TODAY())</f>
        <v/>
      </c>
      <c r="L16" s="9">
        <f>IF($K16="","",IF($K16&lt;0,IF($F16="Best-by","⚠ CHECK (best-by passed)","⛔ EXPIRED — DISCARD"),IF($K16&lt;=2,"🔴 URGENT",IF($K16&lt;=7,"🟡 USE SOON","🟢 OK"))))</f>
        <v/>
      </c>
      <c r="M16" s="25">
        <f>IF($E16="","",TODAY()-$E16)</f>
        <v/>
      </c>
      <c r="N16" s="21" t="n"/>
      <c r="O16" s="15" t="n"/>
      <c r="P16" s="39" t="n"/>
      <c r="Q16" s="42">
        <f>IF(OR($N16="",$P16=""),"",$N16*$P16)</f>
        <v/>
      </c>
      <c r="R16" s="15" t="n"/>
      <c r="S16" s="15" t="n"/>
      <c r="T16" s="15" t="n"/>
    </row>
    <row r="17">
      <c r="A17" s="8" t="n">
        <v>13</v>
      </c>
      <c r="B17" s="15" t="n"/>
      <c r="C17" s="15" t="n"/>
      <c r="D17" s="15" t="n"/>
      <c r="E17" s="37" t="n"/>
      <c r="F17" s="17" t="n"/>
      <c r="G17" s="37" t="n"/>
      <c r="H17" s="37" t="n"/>
      <c r="I17" s="18" t="n"/>
      <c r="J17" s="38">
        <f>IF($G17="","",IF($H17="",$G17,IF($I17="",$G17,MIN($G17,$H17+$I17))))</f>
        <v/>
      </c>
      <c r="K17" s="20">
        <f>IF($J17="","",$J17-TODAY())</f>
        <v/>
      </c>
      <c r="L17" s="8">
        <f>IF($K17="","",IF($K17&lt;0,IF($F17="Best-by","⚠ CHECK (best-by passed)","⛔ EXPIRED — DISCARD"),IF($K17&lt;=2,"🔴 URGENT",IF($K17&lt;=7,"🟡 USE SOON","🟢 OK"))))</f>
        <v/>
      </c>
      <c r="M17" s="20">
        <f>IF($E17="","",TODAY()-$E17)</f>
        <v/>
      </c>
      <c r="N17" s="21" t="n"/>
      <c r="O17" s="15" t="n"/>
      <c r="P17" s="39" t="n"/>
      <c r="Q17" s="40">
        <f>IF(OR($N17="",$P17=""),"",$N17*$P17)</f>
        <v/>
      </c>
      <c r="R17" s="15" t="n"/>
      <c r="S17" s="15" t="n"/>
      <c r="T17" s="15" t="n"/>
    </row>
    <row r="18">
      <c r="A18" s="9" t="n">
        <v>14</v>
      </c>
      <c r="B18" s="15" t="n"/>
      <c r="C18" s="15" t="n"/>
      <c r="D18" s="15" t="n"/>
      <c r="E18" s="37" t="n"/>
      <c r="F18" s="17" t="n"/>
      <c r="G18" s="37" t="n"/>
      <c r="H18" s="37" t="n"/>
      <c r="I18" s="18" t="n"/>
      <c r="J18" s="41">
        <f>IF($G18="","",IF($H18="",$G18,IF($I18="",$G18,MIN($G18,$H18+$I18))))</f>
        <v/>
      </c>
      <c r="K18" s="25">
        <f>IF($J18="","",$J18-TODAY())</f>
        <v/>
      </c>
      <c r="L18" s="9">
        <f>IF($K18="","",IF($K18&lt;0,IF($F18="Best-by","⚠ CHECK (best-by passed)","⛔ EXPIRED — DISCARD"),IF($K18&lt;=2,"🔴 URGENT",IF($K18&lt;=7,"🟡 USE SOON","🟢 OK"))))</f>
        <v/>
      </c>
      <c r="M18" s="25">
        <f>IF($E18="","",TODAY()-$E18)</f>
        <v/>
      </c>
      <c r="N18" s="21" t="n"/>
      <c r="O18" s="15" t="n"/>
      <c r="P18" s="39" t="n"/>
      <c r="Q18" s="42">
        <f>IF(OR($N18="",$P18=""),"",$N18*$P18)</f>
        <v/>
      </c>
      <c r="R18" s="15" t="n"/>
      <c r="S18" s="15" t="n"/>
      <c r="T18" s="15" t="n"/>
    </row>
    <row r="19">
      <c r="A19" s="8" t="n">
        <v>15</v>
      </c>
      <c r="B19" s="15" t="n"/>
      <c r="C19" s="15" t="n"/>
      <c r="D19" s="15" t="n"/>
      <c r="E19" s="37" t="n"/>
      <c r="F19" s="17" t="n"/>
      <c r="G19" s="37" t="n"/>
      <c r="H19" s="37" t="n"/>
      <c r="I19" s="18" t="n"/>
      <c r="J19" s="38">
        <f>IF($G19="","",IF($H19="",$G19,IF($I19="",$G19,MIN($G19,$H19+$I19))))</f>
        <v/>
      </c>
      <c r="K19" s="20">
        <f>IF($J19="","",$J19-TODAY())</f>
        <v/>
      </c>
      <c r="L19" s="8">
        <f>IF($K19="","",IF($K19&lt;0,IF($F19="Best-by","⚠ CHECK (best-by passed)","⛔ EXPIRED — DISCARD"),IF($K19&lt;=2,"🔴 URGENT",IF($K19&lt;=7,"🟡 USE SOON","🟢 OK"))))</f>
        <v/>
      </c>
      <c r="M19" s="20">
        <f>IF($E19="","",TODAY()-$E19)</f>
        <v/>
      </c>
      <c r="N19" s="21" t="n"/>
      <c r="O19" s="15" t="n"/>
      <c r="P19" s="39" t="n"/>
      <c r="Q19" s="40">
        <f>IF(OR($N19="",$P19=""),"",$N19*$P19)</f>
        <v/>
      </c>
      <c r="R19" s="15" t="n"/>
      <c r="S19" s="15" t="n"/>
      <c r="T19" s="15" t="n"/>
    </row>
    <row r="20">
      <c r="A20" s="9" t="n">
        <v>16</v>
      </c>
      <c r="B20" s="15" t="n"/>
      <c r="C20" s="15" t="n"/>
      <c r="D20" s="15" t="n"/>
      <c r="E20" s="37" t="n"/>
      <c r="F20" s="17" t="n"/>
      <c r="G20" s="37" t="n"/>
      <c r="H20" s="37" t="n"/>
      <c r="I20" s="18" t="n"/>
      <c r="J20" s="41">
        <f>IF($G20="","",IF($H20="",$G20,IF($I20="",$G20,MIN($G20,$H20+$I20))))</f>
        <v/>
      </c>
      <c r="K20" s="25">
        <f>IF($J20="","",$J20-TODAY())</f>
        <v/>
      </c>
      <c r="L20" s="9">
        <f>IF($K20="","",IF($K20&lt;0,IF($F20="Best-by","⚠ CHECK (best-by passed)","⛔ EXPIRED — DISCARD"),IF($K20&lt;=2,"🔴 URGENT",IF($K20&lt;=7,"🟡 USE SOON","🟢 OK"))))</f>
        <v/>
      </c>
      <c r="M20" s="25">
        <f>IF($E20="","",TODAY()-$E20)</f>
        <v/>
      </c>
      <c r="N20" s="21" t="n"/>
      <c r="O20" s="15" t="n"/>
      <c r="P20" s="39" t="n"/>
      <c r="Q20" s="42">
        <f>IF(OR($N20="",$P20=""),"",$N20*$P20)</f>
        <v/>
      </c>
      <c r="R20" s="15" t="n"/>
      <c r="S20" s="15" t="n"/>
      <c r="T20" s="15" t="n"/>
    </row>
    <row r="21">
      <c r="A21" s="8" t="n">
        <v>17</v>
      </c>
      <c r="B21" s="15" t="n"/>
      <c r="C21" s="15" t="n"/>
      <c r="D21" s="15" t="n"/>
      <c r="E21" s="37" t="n"/>
      <c r="F21" s="17" t="n"/>
      <c r="G21" s="37" t="n"/>
      <c r="H21" s="37" t="n"/>
      <c r="I21" s="18" t="n"/>
      <c r="J21" s="38">
        <f>IF($G21="","",IF($H21="",$G21,IF($I21="",$G21,MIN($G21,$H21+$I21))))</f>
        <v/>
      </c>
      <c r="K21" s="20">
        <f>IF($J21="","",$J21-TODAY())</f>
        <v/>
      </c>
      <c r="L21" s="8">
        <f>IF($K21="","",IF($K21&lt;0,IF($F21="Best-by","⚠ CHECK (best-by passed)","⛔ EXPIRED — DISCARD"),IF($K21&lt;=2,"🔴 URGENT",IF($K21&lt;=7,"🟡 USE SOON","🟢 OK"))))</f>
        <v/>
      </c>
      <c r="M21" s="20">
        <f>IF($E21="","",TODAY()-$E21)</f>
        <v/>
      </c>
      <c r="N21" s="21" t="n"/>
      <c r="O21" s="15" t="n"/>
      <c r="P21" s="39" t="n"/>
      <c r="Q21" s="40">
        <f>IF(OR($N21="",$P21=""),"",$N21*$P21)</f>
        <v/>
      </c>
      <c r="R21" s="15" t="n"/>
      <c r="S21" s="15" t="n"/>
      <c r="T21" s="15" t="n"/>
    </row>
    <row r="22">
      <c r="A22" s="9" t="n">
        <v>18</v>
      </c>
      <c r="B22" s="15" t="n"/>
      <c r="C22" s="15" t="n"/>
      <c r="D22" s="15" t="n"/>
      <c r="E22" s="37" t="n"/>
      <c r="F22" s="17" t="n"/>
      <c r="G22" s="37" t="n"/>
      <c r="H22" s="37" t="n"/>
      <c r="I22" s="18" t="n"/>
      <c r="J22" s="41">
        <f>IF($G22="","",IF($H22="",$G22,IF($I22="",$G22,MIN($G22,$H22+$I22))))</f>
        <v/>
      </c>
      <c r="K22" s="25">
        <f>IF($J22="","",$J22-TODAY())</f>
        <v/>
      </c>
      <c r="L22" s="9">
        <f>IF($K22="","",IF($K22&lt;0,IF($F22="Best-by","⚠ CHECK (best-by passed)","⛔ EXPIRED — DISCARD"),IF($K22&lt;=2,"🔴 URGENT",IF($K22&lt;=7,"🟡 USE SOON","🟢 OK"))))</f>
        <v/>
      </c>
      <c r="M22" s="25">
        <f>IF($E22="","",TODAY()-$E22)</f>
        <v/>
      </c>
      <c r="N22" s="21" t="n"/>
      <c r="O22" s="15" t="n"/>
      <c r="P22" s="39" t="n"/>
      <c r="Q22" s="42">
        <f>IF(OR($N22="",$P22=""),"",$N22*$P22)</f>
        <v/>
      </c>
      <c r="R22" s="15" t="n"/>
      <c r="S22" s="15" t="n"/>
      <c r="T22" s="15" t="n"/>
    </row>
    <row r="23">
      <c r="A23" s="8" t="n">
        <v>19</v>
      </c>
      <c r="B23" s="15" t="n"/>
      <c r="C23" s="15" t="n"/>
      <c r="D23" s="15" t="n"/>
      <c r="E23" s="37" t="n"/>
      <c r="F23" s="17" t="n"/>
      <c r="G23" s="37" t="n"/>
      <c r="H23" s="37" t="n"/>
      <c r="I23" s="18" t="n"/>
      <c r="J23" s="38">
        <f>IF($G23="","",IF($H23="",$G23,IF($I23="",$G23,MIN($G23,$H23+$I23))))</f>
        <v/>
      </c>
      <c r="K23" s="20">
        <f>IF($J23="","",$J23-TODAY())</f>
        <v/>
      </c>
      <c r="L23" s="8">
        <f>IF($K23="","",IF($K23&lt;0,IF($F23="Best-by","⚠ CHECK (best-by passed)","⛔ EXPIRED — DISCARD"),IF($K23&lt;=2,"🔴 URGENT",IF($K23&lt;=7,"🟡 USE SOON","🟢 OK"))))</f>
        <v/>
      </c>
      <c r="M23" s="20">
        <f>IF($E23="","",TODAY()-$E23)</f>
        <v/>
      </c>
      <c r="N23" s="21" t="n"/>
      <c r="O23" s="15" t="n"/>
      <c r="P23" s="39" t="n"/>
      <c r="Q23" s="40">
        <f>IF(OR($N23="",$P23=""),"",$N23*$P23)</f>
        <v/>
      </c>
      <c r="R23" s="15" t="n"/>
      <c r="S23" s="15" t="n"/>
      <c r="T23" s="15" t="n"/>
    </row>
    <row r="24">
      <c r="A24" s="9" t="n">
        <v>20</v>
      </c>
      <c r="B24" s="15" t="n"/>
      <c r="C24" s="15" t="n"/>
      <c r="D24" s="15" t="n"/>
      <c r="E24" s="37" t="n"/>
      <c r="F24" s="17" t="n"/>
      <c r="G24" s="37" t="n"/>
      <c r="H24" s="37" t="n"/>
      <c r="I24" s="18" t="n"/>
      <c r="J24" s="41">
        <f>IF($G24="","",IF($H24="",$G24,IF($I24="",$G24,MIN($G24,$H24+$I24))))</f>
        <v/>
      </c>
      <c r="K24" s="25">
        <f>IF($J24="","",$J24-TODAY())</f>
        <v/>
      </c>
      <c r="L24" s="9">
        <f>IF($K24="","",IF($K24&lt;0,IF($F24="Best-by","⚠ CHECK (best-by passed)","⛔ EXPIRED — DISCARD"),IF($K24&lt;=2,"🔴 URGENT",IF($K24&lt;=7,"🟡 USE SOON","🟢 OK"))))</f>
        <v/>
      </c>
      <c r="M24" s="25">
        <f>IF($E24="","",TODAY()-$E24)</f>
        <v/>
      </c>
      <c r="N24" s="21" t="n"/>
      <c r="O24" s="15" t="n"/>
      <c r="P24" s="39" t="n"/>
      <c r="Q24" s="42">
        <f>IF(OR($N24="",$P24=""),"",$N24*$P24)</f>
        <v/>
      </c>
      <c r="R24" s="15" t="n"/>
      <c r="S24" s="15" t="n"/>
      <c r="T24" s="15" t="n"/>
    </row>
    <row r="25">
      <c r="A25" s="8" t="n">
        <v>21</v>
      </c>
      <c r="B25" s="15" t="n"/>
      <c r="C25" s="15" t="n"/>
      <c r="D25" s="15" t="n"/>
      <c r="E25" s="37" t="n"/>
      <c r="F25" s="17" t="n"/>
      <c r="G25" s="37" t="n"/>
      <c r="H25" s="37" t="n"/>
      <c r="I25" s="18" t="n"/>
      <c r="J25" s="38">
        <f>IF($G25="","",IF($H25="",$G25,IF($I25="",$G25,MIN($G25,$H25+$I25))))</f>
        <v/>
      </c>
      <c r="K25" s="20">
        <f>IF($J25="","",$J25-TODAY())</f>
        <v/>
      </c>
      <c r="L25" s="8">
        <f>IF($K25="","",IF($K25&lt;0,IF($F25="Best-by","⚠ CHECK (best-by passed)","⛔ EXPIRED — DISCARD"),IF($K25&lt;=2,"🔴 URGENT",IF($K25&lt;=7,"🟡 USE SOON","🟢 OK"))))</f>
        <v/>
      </c>
      <c r="M25" s="20">
        <f>IF($E25="","",TODAY()-$E25)</f>
        <v/>
      </c>
      <c r="N25" s="21" t="n"/>
      <c r="O25" s="15" t="n"/>
      <c r="P25" s="39" t="n"/>
      <c r="Q25" s="40">
        <f>IF(OR($N25="",$P25=""),"",$N25*$P25)</f>
        <v/>
      </c>
      <c r="R25" s="15" t="n"/>
      <c r="S25" s="15" t="n"/>
      <c r="T25" s="15" t="n"/>
    </row>
    <row r="26">
      <c r="A26" s="9" t="n">
        <v>22</v>
      </c>
      <c r="B26" s="15" t="n"/>
      <c r="C26" s="15" t="n"/>
      <c r="D26" s="15" t="n"/>
      <c r="E26" s="37" t="n"/>
      <c r="F26" s="17" t="n"/>
      <c r="G26" s="37" t="n"/>
      <c r="H26" s="37" t="n"/>
      <c r="I26" s="18" t="n"/>
      <c r="J26" s="41">
        <f>IF($G26="","",IF($H26="",$G26,IF($I26="",$G26,MIN($G26,$H26+$I26))))</f>
        <v/>
      </c>
      <c r="K26" s="25">
        <f>IF($J26="","",$J26-TODAY())</f>
        <v/>
      </c>
      <c r="L26" s="9">
        <f>IF($K26="","",IF($K26&lt;0,IF($F26="Best-by","⚠ CHECK (best-by passed)","⛔ EXPIRED — DISCARD"),IF($K26&lt;=2,"🔴 URGENT",IF($K26&lt;=7,"🟡 USE SOON","🟢 OK"))))</f>
        <v/>
      </c>
      <c r="M26" s="25">
        <f>IF($E26="","",TODAY()-$E26)</f>
        <v/>
      </c>
      <c r="N26" s="21" t="n"/>
      <c r="O26" s="15" t="n"/>
      <c r="P26" s="39" t="n"/>
      <c r="Q26" s="42">
        <f>IF(OR($N26="",$P26=""),"",$N26*$P26)</f>
        <v/>
      </c>
      <c r="R26" s="15" t="n"/>
      <c r="S26" s="15" t="n"/>
      <c r="T26" s="15" t="n"/>
    </row>
    <row r="27">
      <c r="A27" s="8" t="n">
        <v>23</v>
      </c>
      <c r="B27" s="15" t="n"/>
      <c r="C27" s="15" t="n"/>
      <c r="D27" s="15" t="n"/>
      <c r="E27" s="37" t="n"/>
      <c r="F27" s="17" t="n"/>
      <c r="G27" s="37" t="n"/>
      <c r="H27" s="37" t="n"/>
      <c r="I27" s="18" t="n"/>
      <c r="J27" s="38">
        <f>IF($G27="","",IF($H27="",$G27,IF($I27="",$G27,MIN($G27,$H27+$I27))))</f>
        <v/>
      </c>
      <c r="K27" s="20">
        <f>IF($J27="","",$J27-TODAY())</f>
        <v/>
      </c>
      <c r="L27" s="8">
        <f>IF($K27="","",IF($K27&lt;0,IF($F27="Best-by","⚠ CHECK (best-by passed)","⛔ EXPIRED — DISCARD"),IF($K27&lt;=2,"🔴 URGENT",IF($K27&lt;=7,"🟡 USE SOON","🟢 OK"))))</f>
        <v/>
      </c>
      <c r="M27" s="20">
        <f>IF($E27="","",TODAY()-$E27)</f>
        <v/>
      </c>
      <c r="N27" s="21" t="n"/>
      <c r="O27" s="15" t="n"/>
      <c r="P27" s="39" t="n"/>
      <c r="Q27" s="40">
        <f>IF(OR($N27="",$P27=""),"",$N27*$P27)</f>
        <v/>
      </c>
      <c r="R27" s="15" t="n"/>
      <c r="S27" s="15" t="n"/>
      <c r="T27" s="15" t="n"/>
    </row>
    <row r="28">
      <c r="A28" s="9" t="n">
        <v>24</v>
      </c>
      <c r="B28" s="15" t="n"/>
      <c r="C28" s="15" t="n"/>
      <c r="D28" s="15" t="n"/>
      <c r="E28" s="37" t="n"/>
      <c r="F28" s="17" t="n"/>
      <c r="G28" s="37" t="n"/>
      <c r="H28" s="37" t="n"/>
      <c r="I28" s="18" t="n"/>
      <c r="J28" s="41">
        <f>IF($G28="","",IF($H28="",$G28,IF($I28="",$G28,MIN($G28,$H28+$I28))))</f>
        <v/>
      </c>
      <c r="K28" s="25">
        <f>IF($J28="","",$J28-TODAY())</f>
        <v/>
      </c>
      <c r="L28" s="9">
        <f>IF($K28="","",IF($K28&lt;0,IF($F28="Best-by","⚠ CHECK (best-by passed)","⛔ EXPIRED — DISCARD"),IF($K28&lt;=2,"🔴 URGENT",IF($K28&lt;=7,"🟡 USE SOON","🟢 OK"))))</f>
        <v/>
      </c>
      <c r="M28" s="25">
        <f>IF($E28="","",TODAY()-$E28)</f>
        <v/>
      </c>
      <c r="N28" s="21" t="n"/>
      <c r="O28" s="15" t="n"/>
      <c r="P28" s="39" t="n"/>
      <c r="Q28" s="42">
        <f>IF(OR($N28="",$P28=""),"",$N28*$P28)</f>
        <v/>
      </c>
      <c r="R28" s="15" t="n"/>
      <c r="S28" s="15" t="n"/>
      <c r="T28" s="15" t="n"/>
    </row>
    <row r="29">
      <c r="A29" s="8" t="n">
        <v>25</v>
      </c>
      <c r="B29" s="15" t="n"/>
      <c r="C29" s="15" t="n"/>
      <c r="D29" s="15" t="n"/>
      <c r="E29" s="37" t="n"/>
      <c r="F29" s="17" t="n"/>
      <c r="G29" s="37" t="n"/>
      <c r="H29" s="37" t="n"/>
      <c r="I29" s="18" t="n"/>
      <c r="J29" s="38">
        <f>IF($G29="","",IF($H29="",$G29,IF($I29="",$G29,MIN($G29,$H29+$I29))))</f>
        <v/>
      </c>
      <c r="K29" s="20">
        <f>IF($J29="","",$J29-TODAY())</f>
        <v/>
      </c>
      <c r="L29" s="8">
        <f>IF($K29="","",IF($K29&lt;0,IF($F29="Best-by","⚠ CHECK (best-by passed)","⛔ EXPIRED — DISCARD"),IF($K29&lt;=2,"🔴 URGENT",IF($K29&lt;=7,"🟡 USE SOON","🟢 OK"))))</f>
        <v/>
      </c>
      <c r="M29" s="20">
        <f>IF($E29="","",TODAY()-$E29)</f>
        <v/>
      </c>
      <c r="N29" s="21" t="n"/>
      <c r="O29" s="15" t="n"/>
      <c r="P29" s="39" t="n"/>
      <c r="Q29" s="40">
        <f>IF(OR($N29="",$P29=""),"",$N29*$P29)</f>
        <v/>
      </c>
      <c r="R29" s="15" t="n"/>
      <c r="S29" s="15" t="n"/>
      <c r="T29" s="15" t="n"/>
    </row>
    <row r="30">
      <c r="A30" s="9" t="n">
        <v>26</v>
      </c>
      <c r="B30" s="15" t="n"/>
      <c r="C30" s="15" t="n"/>
      <c r="D30" s="15" t="n"/>
      <c r="E30" s="37" t="n"/>
      <c r="F30" s="17" t="n"/>
      <c r="G30" s="37" t="n"/>
      <c r="H30" s="37" t="n"/>
      <c r="I30" s="18" t="n"/>
      <c r="J30" s="41">
        <f>IF($G30="","",IF($H30="",$G30,IF($I30="",$G30,MIN($G30,$H30+$I30))))</f>
        <v/>
      </c>
      <c r="K30" s="25">
        <f>IF($J30="","",$J30-TODAY())</f>
        <v/>
      </c>
      <c r="L30" s="9">
        <f>IF($K30="","",IF($K30&lt;0,IF($F30="Best-by","⚠ CHECK (best-by passed)","⛔ EXPIRED — DISCARD"),IF($K30&lt;=2,"🔴 URGENT",IF($K30&lt;=7,"🟡 USE SOON","🟢 OK"))))</f>
        <v/>
      </c>
      <c r="M30" s="25">
        <f>IF($E30="","",TODAY()-$E30)</f>
        <v/>
      </c>
      <c r="N30" s="21" t="n"/>
      <c r="O30" s="15" t="n"/>
      <c r="P30" s="39" t="n"/>
      <c r="Q30" s="42">
        <f>IF(OR($N30="",$P30=""),"",$N30*$P30)</f>
        <v/>
      </c>
      <c r="R30" s="15" t="n"/>
      <c r="S30" s="15" t="n"/>
      <c r="T30" s="15" t="n"/>
    </row>
    <row r="31">
      <c r="A31" s="8" t="n">
        <v>27</v>
      </c>
      <c r="B31" s="15" t="n"/>
      <c r="C31" s="15" t="n"/>
      <c r="D31" s="15" t="n"/>
      <c r="E31" s="37" t="n"/>
      <c r="F31" s="17" t="n"/>
      <c r="G31" s="37" t="n"/>
      <c r="H31" s="37" t="n"/>
      <c r="I31" s="18" t="n"/>
      <c r="J31" s="38">
        <f>IF($G31="","",IF($H31="",$G31,IF($I31="",$G31,MIN($G31,$H31+$I31))))</f>
        <v/>
      </c>
      <c r="K31" s="20">
        <f>IF($J31="","",$J31-TODAY())</f>
        <v/>
      </c>
      <c r="L31" s="8">
        <f>IF($K31="","",IF($K31&lt;0,IF($F31="Best-by","⚠ CHECK (best-by passed)","⛔ EXPIRED — DISCARD"),IF($K31&lt;=2,"🔴 URGENT",IF($K31&lt;=7,"🟡 USE SOON","🟢 OK"))))</f>
        <v/>
      </c>
      <c r="M31" s="20">
        <f>IF($E31="","",TODAY()-$E31)</f>
        <v/>
      </c>
      <c r="N31" s="21" t="n"/>
      <c r="O31" s="15" t="n"/>
      <c r="P31" s="39" t="n"/>
      <c r="Q31" s="40">
        <f>IF(OR($N31="",$P31=""),"",$N31*$P31)</f>
        <v/>
      </c>
      <c r="R31" s="15" t="n"/>
      <c r="S31" s="15" t="n"/>
      <c r="T31" s="15" t="n"/>
    </row>
    <row r="32">
      <c r="A32" s="9" t="n">
        <v>28</v>
      </c>
      <c r="B32" s="15" t="n"/>
      <c r="C32" s="15" t="n"/>
      <c r="D32" s="15" t="n"/>
      <c r="E32" s="37" t="n"/>
      <c r="F32" s="17" t="n"/>
      <c r="G32" s="37" t="n"/>
      <c r="H32" s="37" t="n"/>
      <c r="I32" s="18" t="n"/>
      <c r="J32" s="41">
        <f>IF($G32="","",IF($H32="",$G32,IF($I32="",$G32,MIN($G32,$H32+$I32))))</f>
        <v/>
      </c>
      <c r="K32" s="25">
        <f>IF($J32="","",$J32-TODAY())</f>
        <v/>
      </c>
      <c r="L32" s="9">
        <f>IF($K32="","",IF($K32&lt;0,IF($F32="Best-by","⚠ CHECK (best-by passed)","⛔ EXPIRED — DISCARD"),IF($K32&lt;=2,"🔴 URGENT",IF($K32&lt;=7,"🟡 USE SOON","🟢 OK"))))</f>
        <v/>
      </c>
      <c r="M32" s="25">
        <f>IF($E32="","",TODAY()-$E32)</f>
        <v/>
      </c>
      <c r="N32" s="21" t="n"/>
      <c r="O32" s="15" t="n"/>
      <c r="P32" s="39" t="n"/>
      <c r="Q32" s="42">
        <f>IF(OR($N32="",$P32=""),"",$N32*$P32)</f>
        <v/>
      </c>
      <c r="R32" s="15" t="n"/>
      <c r="S32" s="15" t="n"/>
      <c r="T32" s="15" t="n"/>
    </row>
    <row r="33">
      <c r="A33" s="8" t="n">
        <v>29</v>
      </c>
      <c r="B33" s="15" t="n"/>
      <c r="C33" s="15" t="n"/>
      <c r="D33" s="15" t="n"/>
      <c r="E33" s="37" t="n"/>
      <c r="F33" s="17" t="n"/>
      <c r="G33" s="37" t="n"/>
      <c r="H33" s="37" t="n"/>
      <c r="I33" s="18" t="n"/>
      <c r="J33" s="38">
        <f>IF($G33="","",IF($H33="",$G33,IF($I33="",$G33,MIN($G33,$H33+$I33))))</f>
        <v/>
      </c>
      <c r="K33" s="20">
        <f>IF($J33="","",$J33-TODAY())</f>
        <v/>
      </c>
      <c r="L33" s="8">
        <f>IF($K33="","",IF($K33&lt;0,IF($F33="Best-by","⚠ CHECK (best-by passed)","⛔ EXPIRED — DISCARD"),IF($K33&lt;=2,"🔴 URGENT",IF($K33&lt;=7,"🟡 USE SOON","🟢 OK"))))</f>
        <v/>
      </c>
      <c r="M33" s="20">
        <f>IF($E33="","",TODAY()-$E33)</f>
        <v/>
      </c>
      <c r="N33" s="21" t="n"/>
      <c r="O33" s="15" t="n"/>
      <c r="P33" s="39" t="n"/>
      <c r="Q33" s="40">
        <f>IF(OR($N33="",$P33=""),"",$N33*$P33)</f>
        <v/>
      </c>
      <c r="R33" s="15" t="n"/>
      <c r="S33" s="15" t="n"/>
      <c r="T33" s="15" t="n"/>
    </row>
    <row r="34">
      <c r="A34" s="9" t="n">
        <v>30</v>
      </c>
      <c r="B34" s="15" t="n"/>
      <c r="C34" s="15" t="n"/>
      <c r="D34" s="15" t="n"/>
      <c r="E34" s="37" t="n"/>
      <c r="F34" s="17" t="n"/>
      <c r="G34" s="37" t="n"/>
      <c r="H34" s="37" t="n"/>
      <c r="I34" s="18" t="n"/>
      <c r="J34" s="41">
        <f>IF($G34="","",IF($H34="",$G34,IF($I34="",$G34,MIN($G34,$H34+$I34))))</f>
        <v/>
      </c>
      <c r="K34" s="25">
        <f>IF($J34="","",$J34-TODAY())</f>
        <v/>
      </c>
      <c r="L34" s="9">
        <f>IF($K34="","",IF($K34&lt;0,IF($F34="Best-by","⚠ CHECK (best-by passed)","⛔ EXPIRED — DISCARD"),IF($K34&lt;=2,"🔴 URGENT",IF($K34&lt;=7,"🟡 USE SOON","🟢 OK"))))</f>
        <v/>
      </c>
      <c r="M34" s="25">
        <f>IF($E34="","",TODAY()-$E34)</f>
        <v/>
      </c>
      <c r="N34" s="21" t="n"/>
      <c r="O34" s="15" t="n"/>
      <c r="P34" s="39" t="n"/>
      <c r="Q34" s="42">
        <f>IF(OR($N34="",$P34=""),"",$N34*$P34)</f>
        <v/>
      </c>
      <c r="R34" s="15" t="n"/>
      <c r="S34" s="15" t="n"/>
      <c r="T34" s="15" t="n"/>
    </row>
    <row r="35">
      <c r="A35" s="8" t="n">
        <v>31</v>
      </c>
      <c r="B35" s="15" t="n"/>
      <c r="C35" s="15" t="n"/>
      <c r="D35" s="15" t="n"/>
      <c r="E35" s="37" t="n"/>
      <c r="F35" s="17" t="n"/>
      <c r="G35" s="37" t="n"/>
      <c r="H35" s="37" t="n"/>
      <c r="I35" s="18" t="n"/>
      <c r="J35" s="38">
        <f>IF($G35="","",IF($H35="",$G35,IF($I35="",$G35,MIN($G35,$H35+$I35))))</f>
        <v/>
      </c>
      <c r="K35" s="20">
        <f>IF($J35="","",$J35-TODAY())</f>
        <v/>
      </c>
      <c r="L35" s="8">
        <f>IF($K35="","",IF($K35&lt;0,IF($F35="Best-by","⚠ CHECK (best-by passed)","⛔ EXPIRED — DISCARD"),IF($K35&lt;=2,"🔴 URGENT",IF($K35&lt;=7,"🟡 USE SOON","🟢 OK"))))</f>
        <v/>
      </c>
      <c r="M35" s="20">
        <f>IF($E35="","",TODAY()-$E35)</f>
        <v/>
      </c>
      <c r="N35" s="21" t="n"/>
      <c r="O35" s="15" t="n"/>
      <c r="P35" s="39" t="n"/>
      <c r="Q35" s="40">
        <f>IF(OR($N35="",$P35=""),"",$N35*$P35)</f>
        <v/>
      </c>
      <c r="R35" s="15" t="n"/>
      <c r="S35" s="15" t="n"/>
      <c r="T35" s="15" t="n"/>
    </row>
    <row r="36">
      <c r="A36" s="9" t="n">
        <v>32</v>
      </c>
      <c r="B36" s="15" t="n"/>
      <c r="C36" s="15" t="n"/>
      <c r="D36" s="15" t="n"/>
      <c r="E36" s="37" t="n"/>
      <c r="F36" s="17" t="n"/>
      <c r="G36" s="37" t="n"/>
      <c r="H36" s="37" t="n"/>
      <c r="I36" s="18" t="n"/>
      <c r="J36" s="41">
        <f>IF($G36="","",IF($H36="",$G36,IF($I36="",$G36,MIN($G36,$H36+$I36))))</f>
        <v/>
      </c>
      <c r="K36" s="25">
        <f>IF($J36="","",$J36-TODAY())</f>
        <v/>
      </c>
      <c r="L36" s="9">
        <f>IF($K36="","",IF($K36&lt;0,IF($F36="Best-by","⚠ CHECK (best-by passed)","⛔ EXPIRED — DISCARD"),IF($K36&lt;=2,"🔴 URGENT",IF($K36&lt;=7,"🟡 USE SOON","🟢 OK"))))</f>
        <v/>
      </c>
      <c r="M36" s="25">
        <f>IF($E36="","",TODAY()-$E36)</f>
        <v/>
      </c>
      <c r="N36" s="21" t="n"/>
      <c r="O36" s="15" t="n"/>
      <c r="P36" s="39" t="n"/>
      <c r="Q36" s="42">
        <f>IF(OR($N36="",$P36=""),"",$N36*$P36)</f>
        <v/>
      </c>
      <c r="R36" s="15" t="n"/>
      <c r="S36" s="15" t="n"/>
      <c r="T36" s="15" t="n"/>
    </row>
    <row r="37">
      <c r="A37" s="8" t="n">
        <v>33</v>
      </c>
      <c r="B37" s="15" t="n"/>
      <c r="C37" s="15" t="n"/>
      <c r="D37" s="15" t="n"/>
      <c r="E37" s="37" t="n"/>
      <c r="F37" s="17" t="n"/>
      <c r="G37" s="37" t="n"/>
      <c r="H37" s="37" t="n"/>
      <c r="I37" s="18" t="n"/>
      <c r="J37" s="38">
        <f>IF($G37="","",IF($H37="",$G37,IF($I37="",$G37,MIN($G37,$H37+$I37))))</f>
        <v/>
      </c>
      <c r="K37" s="20">
        <f>IF($J37="","",$J37-TODAY())</f>
        <v/>
      </c>
      <c r="L37" s="8">
        <f>IF($K37="","",IF($K37&lt;0,IF($F37="Best-by","⚠ CHECK (best-by passed)","⛔ EXPIRED — DISCARD"),IF($K37&lt;=2,"🔴 URGENT",IF($K37&lt;=7,"🟡 USE SOON","🟢 OK"))))</f>
        <v/>
      </c>
      <c r="M37" s="20">
        <f>IF($E37="","",TODAY()-$E37)</f>
        <v/>
      </c>
      <c r="N37" s="21" t="n"/>
      <c r="O37" s="15" t="n"/>
      <c r="P37" s="39" t="n"/>
      <c r="Q37" s="40">
        <f>IF(OR($N37="",$P37=""),"",$N37*$P37)</f>
        <v/>
      </c>
      <c r="R37" s="15" t="n"/>
      <c r="S37" s="15" t="n"/>
      <c r="T37" s="15" t="n"/>
    </row>
    <row r="38">
      <c r="A38" s="9" t="n">
        <v>34</v>
      </c>
      <c r="B38" s="15" t="n"/>
      <c r="C38" s="15" t="n"/>
      <c r="D38" s="15" t="n"/>
      <c r="E38" s="37" t="n"/>
      <c r="F38" s="17" t="n"/>
      <c r="G38" s="37" t="n"/>
      <c r="H38" s="37" t="n"/>
      <c r="I38" s="18" t="n"/>
      <c r="J38" s="41">
        <f>IF($G38="","",IF($H38="",$G38,IF($I38="",$G38,MIN($G38,$H38+$I38))))</f>
        <v/>
      </c>
      <c r="K38" s="25">
        <f>IF($J38="","",$J38-TODAY())</f>
        <v/>
      </c>
      <c r="L38" s="9">
        <f>IF($K38="","",IF($K38&lt;0,IF($F38="Best-by","⚠ CHECK (best-by passed)","⛔ EXPIRED — DISCARD"),IF($K38&lt;=2,"🔴 URGENT",IF($K38&lt;=7,"🟡 USE SOON","🟢 OK"))))</f>
        <v/>
      </c>
      <c r="M38" s="25">
        <f>IF($E38="","",TODAY()-$E38)</f>
        <v/>
      </c>
      <c r="N38" s="21" t="n"/>
      <c r="O38" s="15" t="n"/>
      <c r="P38" s="39" t="n"/>
      <c r="Q38" s="42">
        <f>IF(OR($N38="",$P38=""),"",$N38*$P38)</f>
        <v/>
      </c>
      <c r="R38" s="15" t="n"/>
      <c r="S38" s="15" t="n"/>
      <c r="T38" s="15" t="n"/>
    </row>
    <row r="39">
      <c r="A39" s="8" t="n">
        <v>35</v>
      </c>
      <c r="B39" s="15" t="n"/>
      <c r="C39" s="15" t="n"/>
      <c r="D39" s="15" t="n"/>
      <c r="E39" s="37" t="n"/>
      <c r="F39" s="17" t="n"/>
      <c r="G39" s="37" t="n"/>
      <c r="H39" s="37" t="n"/>
      <c r="I39" s="18" t="n"/>
      <c r="J39" s="38">
        <f>IF($G39="","",IF($H39="",$G39,IF($I39="",$G39,MIN($G39,$H39+$I39))))</f>
        <v/>
      </c>
      <c r="K39" s="20">
        <f>IF($J39="","",$J39-TODAY())</f>
        <v/>
      </c>
      <c r="L39" s="8">
        <f>IF($K39="","",IF($K39&lt;0,IF($F39="Best-by","⚠ CHECK (best-by passed)","⛔ EXPIRED — DISCARD"),IF($K39&lt;=2,"🔴 URGENT",IF($K39&lt;=7,"🟡 USE SOON","🟢 OK"))))</f>
        <v/>
      </c>
      <c r="M39" s="20">
        <f>IF($E39="","",TODAY()-$E39)</f>
        <v/>
      </c>
      <c r="N39" s="21" t="n"/>
      <c r="O39" s="15" t="n"/>
      <c r="P39" s="39" t="n"/>
      <c r="Q39" s="40">
        <f>IF(OR($N39="",$P39=""),"",$N39*$P39)</f>
        <v/>
      </c>
      <c r="R39" s="15" t="n"/>
      <c r="S39" s="15" t="n"/>
      <c r="T39" s="15" t="n"/>
    </row>
    <row r="40">
      <c r="A40" s="9" t="n">
        <v>36</v>
      </c>
      <c r="B40" s="15" t="n"/>
      <c r="C40" s="15" t="n"/>
      <c r="D40" s="15" t="n"/>
      <c r="E40" s="37" t="n"/>
      <c r="F40" s="17" t="n"/>
      <c r="G40" s="37" t="n"/>
      <c r="H40" s="37" t="n"/>
      <c r="I40" s="18" t="n"/>
      <c r="J40" s="41">
        <f>IF($G40="","",IF($H40="",$G40,IF($I40="",$G40,MIN($G40,$H40+$I40))))</f>
        <v/>
      </c>
      <c r="K40" s="25">
        <f>IF($J40="","",$J40-TODAY())</f>
        <v/>
      </c>
      <c r="L40" s="9">
        <f>IF($K40="","",IF($K40&lt;0,IF($F40="Best-by","⚠ CHECK (best-by passed)","⛔ EXPIRED — DISCARD"),IF($K40&lt;=2,"🔴 URGENT",IF($K40&lt;=7,"🟡 USE SOON","🟢 OK"))))</f>
        <v/>
      </c>
      <c r="M40" s="25">
        <f>IF($E40="","",TODAY()-$E40)</f>
        <v/>
      </c>
      <c r="N40" s="21" t="n"/>
      <c r="O40" s="15" t="n"/>
      <c r="P40" s="39" t="n"/>
      <c r="Q40" s="42">
        <f>IF(OR($N40="",$P40=""),"",$N40*$P40)</f>
        <v/>
      </c>
      <c r="R40" s="15" t="n"/>
      <c r="S40" s="15" t="n"/>
      <c r="T40" s="15" t="n"/>
    </row>
    <row r="41">
      <c r="A41" s="8" t="n">
        <v>37</v>
      </c>
      <c r="B41" s="15" t="n"/>
      <c r="C41" s="15" t="n"/>
      <c r="D41" s="15" t="n"/>
      <c r="E41" s="37" t="n"/>
      <c r="F41" s="17" t="n"/>
      <c r="G41" s="37" t="n"/>
      <c r="H41" s="37" t="n"/>
      <c r="I41" s="18" t="n"/>
      <c r="J41" s="38">
        <f>IF($G41="","",IF($H41="",$G41,IF($I41="",$G41,MIN($G41,$H41+$I41))))</f>
        <v/>
      </c>
      <c r="K41" s="20">
        <f>IF($J41="","",$J41-TODAY())</f>
        <v/>
      </c>
      <c r="L41" s="8">
        <f>IF($K41="","",IF($K41&lt;0,IF($F41="Best-by","⚠ CHECK (best-by passed)","⛔ EXPIRED — DISCARD"),IF($K41&lt;=2,"🔴 URGENT",IF($K41&lt;=7,"🟡 USE SOON","🟢 OK"))))</f>
        <v/>
      </c>
      <c r="M41" s="20">
        <f>IF($E41="","",TODAY()-$E41)</f>
        <v/>
      </c>
      <c r="N41" s="21" t="n"/>
      <c r="O41" s="15" t="n"/>
      <c r="P41" s="39" t="n"/>
      <c r="Q41" s="40">
        <f>IF(OR($N41="",$P41=""),"",$N41*$P41)</f>
        <v/>
      </c>
      <c r="R41" s="15" t="n"/>
      <c r="S41" s="15" t="n"/>
      <c r="T41" s="15" t="n"/>
    </row>
    <row r="42">
      <c r="A42" s="9" t="n">
        <v>38</v>
      </c>
      <c r="B42" s="15" t="n"/>
      <c r="C42" s="15" t="n"/>
      <c r="D42" s="15" t="n"/>
      <c r="E42" s="37" t="n"/>
      <c r="F42" s="17" t="n"/>
      <c r="G42" s="37" t="n"/>
      <c r="H42" s="37" t="n"/>
      <c r="I42" s="18" t="n"/>
      <c r="J42" s="41">
        <f>IF($G42="","",IF($H42="",$G42,IF($I42="",$G42,MIN($G42,$H42+$I42))))</f>
        <v/>
      </c>
      <c r="K42" s="25">
        <f>IF($J42="","",$J42-TODAY())</f>
        <v/>
      </c>
      <c r="L42" s="9">
        <f>IF($K42="","",IF($K42&lt;0,IF($F42="Best-by","⚠ CHECK (best-by passed)","⛔ EXPIRED — DISCARD"),IF($K42&lt;=2,"🔴 URGENT",IF($K42&lt;=7,"🟡 USE SOON","🟢 OK"))))</f>
        <v/>
      </c>
      <c r="M42" s="25">
        <f>IF($E42="","",TODAY()-$E42)</f>
        <v/>
      </c>
      <c r="N42" s="21" t="n"/>
      <c r="O42" s="15" t="n"/>
      <c r="P42" s="39" t="n"/>
      <c r="Q42" s="42">
        <f>IF(OR($N42="",$P42=""),"",$N42*$P42)</f>
        <v/>
      </c>
      <c r="R42" s="15" t="n"/>
      <c r="S42" s="15" t="n"/>
      <c r="T42" s="15" t="n"/>
    </row>
    <row r="43">
      <c r="A43" s="8" t="n">
        <v>39</v>
      </c>
      <c r="B43" s="15" t="n"/>
      <c r="C43" s="15" t="n"/>
      <c r="D43" s="15" t="n"/>
      <c r="E43" s="37" t="n"/>
      <c r="F43" s="17" t="n"/>
      <c r="G43" s="37" t="n"/>
      <c r="H43" s="37" t="n"/>
      <c r="I43" s="18" t="n"/>
      <c r="J43" s="38">
        <f>IF($G43="","",IF($H43="",$G43,IF($I43="",$G43,MIN($G43,$H43+$I43))))</f>
        <v/>
      </c>
      <c r="K43" s="20">
        <f>IF($J43="","",$J43-TODAY())</f>
        <v/>
      </c>
      <c r="L43" s="8">
        <f>IF($K43="","",IF($K43&lt;0,IF($F43="Best-by","⚠ CHECK (best-by passed)","⛔ EXPIRED — DISCARD"),IF($K43&lt;=2,"🔴 URGENT",IF($K43&lt;=7,"🟡 USE SOON","🟢 OK"))))</f>
        <v/>
      </c>
      <c r="M43" s="20">
        <f>IF($E43="","",TODAY()-$E43)</f>
        <v/>
      </c>
      <c r="N43" s="21" t="n"/>
      <c r="O43" s="15" t="n"/>
      <c r="P43" s="39" t="n"/>
      <c r="Q43" s="40">
        <f>IF(OR($N43="",$P43=""),"",$N43*$P43)</f>
        <v/>
      </c>
      <c r="R43" s="15" t="n"/>
      <c r="S43" s="15" t="n"/>
      <c r="T43" s="15" t="n"/>
    </row>
    <row r="44">
      <c r="A44" s="9" t="n">
        <v>40</v>
      </c>
      <c r="B44" s="15" t="n"/>
      <c r="C44" s="15" t="n"/>
      <c r="D44" s="15" t="n"/>
      <c r="E44" s="37" t="n"/>
      <c r="F44" s="17" t="n"/>
      <c r="G44" s="37" t="n"/>
      <c r="H44" s="37" t="n"/>
      <c r="I44" s="18" t="n"/>
      <c r="J44" s="41">
        <f>IF($G44="","",IF($H44="",$G44,IF($I44="",$G44,MIN($G44,$H44+$I44))))</f>
        <v/>
      </c>
      <c r="K44" s="25">
        <f>IF($J44="","",$J44-TODAY())</f>
        <v/>
      </c>
      <c r="L44" s="9">
        <f>IF($K44="","",IF($K44&lt;0,IF($F44="Best-by","⚠ CHECK (best-by passed)","⛔ EXPIRED — DISCARD"),IF($K44&lt;=2,"🔴 URGENT",IF($K44&lt;=7,"🟡 USE SOON","🟢 OK"))))</f>
        <v/>
      </c>
      <c r="M44" s="25">
        <f>IF($E44="","",TODAY()-$E44)</f>
        <v/>
      </c>
      <c r="N44" s="21" t="n"/>
      <c r="O44" s="15" t="n"/>
      <c r="P44" s="39" t="n"/>
      <c r="Q44" s="42">
        <f>IF(OR($N44="",$P44=""),"",$N44*$P44)</f>
        <v/>
      </c>
      <c r="R44" s="15" t="n"/>
      <c r="S44" s="15" t="n"/>
      <c r="T44" s="15" t="n"/>
    </row>
    <row r="45">
      <c r="A45" s="8" t="n">
        <v>41</v>
      </c>
      <c r="B45" s="15" t="n"/>
      <c r="C45" s="15" t="n"/>
      <c r="D45" s="15" t="n"/>
      <c r="E45" s="37" t="n"/>
      <c r="F45" s="17" t="n"/>
      <c r="G45" s="37" t="n"/>
      <c r="H45" s="37" t="n"/>
      <c r="I45" s="18" t="n"/>
      <c r="J45" s="38">
        <f>IF($G45="","",IF($H45="",$G45,IF($I45="",$G45,MIN($G45,$H45+$I45))))</f>
        <v/>
      </c>
      <c r="K45" s="20">
        <f>IF($J45="","",$J45-TODAY())</f>
        <v/>
      </c>
      <c r="L45" s="8">
        <f>IF($K45="","",IF($K45&lt;0,IF($F45="Best-by","⚠ CHECK (best-by passed)","⛔ EXPIRED — DISCARD"),IF($K45&lt;=2,"🔴 URGENT",IF($K45&lt;=7,"🟡 USE SOON","🟢 OK"))))</f>
        <v/>
      </c>
      <c r="M45" s="20">
        <f>IF($E45="","",TODAY()-$E45)</f>
        <v/>
      </c>
      <c r="N45" s="21" t="n"/>
      <c r="O45" s="15" t="n"/>
      <c r="P45" s="39" t="n"/>
      <c r="Q45" s="40">
        <f>IF(OR($N45="",$P45=""),"",$N45*$P45)</f>
        <v/>
      </c>
      <c r="R45" s="15" t="n"/>
      <c r="S45" s="15" t="n"/>
      <c r="T45" s="15" t="n"/>
    </row>
    <row r="46">
      <c r="A46" s="9" t="n">
        <v>42</v>
      </c>
      <c r="B46" s="15" t="n"/>
      <c r="C46" s="15" t="n"/>
      <c r="D46" s="15" t="n"/>
      <c r="E46" s="37" t="n"/>
      <c r="F46" s="17" t="n"/>
      <c r="G46" s="37" t="n"/>
      <c r="H46" s="37" t="n"/>
      <c r="I46" s="18" t="n"/>
      <c r="J46" s="41">
        <f>IF($G46="","",IF($H46="",$G46,IF($I46="",$G46,MIN($G46,$H46+$I46))))</f>
        <v/>
      </c>
      <c r="K46" s="25">
        <f>IF($J46="","",$J46-TODAY())</f>
        <v/>
      </c>
      <c r="L46" s="9">
        <f>IF($K46="","",IF($K46&lt;0,IF($F46="Best-by","⚠ CHECK (best-by passed)","⛔ EXPIRED — DISCARD"),IF($K46&lt;=2,"🔴 URGENT",IF($K46&lt;=7,"🟡 USE SOON","🟢 OK"))))</f>
        <v/>
      </c>
      <c r="M46" s="25">
        <f>IF($E46="","",TODAY()-$E46)</f>
        <v/>
      </c>
      <c r="N46" s="21" t="n"/>
      <c r="O46" s="15" t="n"/>
      <c r="P46" s="39" t="n"/>
      <c r="Q46" s="42">
        <f>IF(OR($N46="",$P46=""),"",$N46*$P46)</f>
        <v/>
      </c>
      <c r="R46" s="15" t="n"/>
      <c r="S46" s="15" t="n"/>
      <c r="T46" s="15" t="n"/>
    </row>
    <row r="47">
      <c r="A47" s="8" t="n">
        <v>43</v>
      </c>
      <c r="B47" s="15" t="n"/>
      <c r="C47" s="15" t="n"/>
      <c r="D47" s="15" t="n"/>
      <c r="E47" s="37" t="n"/>
      <c r="F47" s="17" t="n"/>
      <c r="G47" s="37" t="n"/>
      <c r="H47" s="37" t="n"/>
      <c r="I47" s="18" t="n"/>
      <c r="J47" s="38">
        <f>IF($G47="","",IF($H47="",$G47,IF($I47="",$G47,MIN($G47,$H47+$I47))))</f>
        <v/>
      </c>
      <c r="K47" s="20">
        <f>IF($J47="","",$J47-TODAY())</f>
        <v/>
      </c>
      <c r="L47" s="8">
        <f>IF($K47="","",IF($K47&lt;0,IF($F47="Best-by","⚠ CHECK (best-by passed)","⛔ EXPIRED — DISCARD"),IF($K47&lt;=2,"🔴 URGENT",IF($K47&lt;=7,"🟡 USE SOON","🟢 OK"))))</f>
        <v/>
      </c>
      <c r="M47" s="20">
        <f>IF($E47="","",TODAY()-$E47)</f>
        <v/>
      </c>
      <c r="N47" s="21" t="n"/>
      <c r="O47" s="15" t="n"/>
      <c r="P47" s="39" t="n"/>
      <c r="Q47" s="40">
        <f>IF(OR($N47="",$P47=""),"",$N47*$P47)</f>
        <v/>
      </c>
      <c r="R47" s="15" t="n"/>
      <c r="S47" s="15" t="n"/>
      <c r="T47" s="15" t="n"/>
    </row>
    <row r="48">
      <c r="A48" s="9" t="n">
        <v>44</v>
      </c>
      <c r="B48" s="15" t="n"/>
      <c r="C48" s="15" t="n"/>
      <c r="D48" s="15" t="n"/>
      <c r="E48" s="37" t="n"/>
      <c r="F48" s="17" t="n"/>
      <c r="G48" s="37" t="n"/>
      <c r="H48" s="37" t="n"/>
      <c r="I48" s="18" t="n"/>
      <c r="J48" s="41">
        <f>IF($G48="","",IF($H48="",$G48,IF($I48="",$G48,MIN($G48,$H48+$I48))))</f>
        <v/>
      </c>
      <c r="K48" s="25">
        <f>IF($J48="","",$J48-TODAY())</f>
        <v/>
      </c>
      <c r="L48" s="9">
        <f>IF($K48="","",IF($K48&lt;0,IF($F48="Best-by","⚠ CHECK (best-by passed)","⛔ EXPIRED — DISCARD"),IF($K48&lt;=2,"🔴 URGENT",IF($K48&lt;=7,"🟡 USE SOON","🟢 OK"))))</f>
        <v/>
      </c>
      <c r="M48" s="25">
        <f>IF($E48="","",TODAY()-$E48)</f>
        <v/>
      </c>
      <c r="N48" s="21" t="n"/>
      <c r="O48" s="15" t="n"/>
      <c r="P48" s="39" t="n"/>
      <c r="Q48" s="42">
        <f>IF(OR($N48="",$P48=""),"",$N48*$P48)</f>
        <v/>
      </c>
      <c r="R48" s="15" t="n"/>
      <c r="S48" s="15" t="n"/>
      <c r="T48" s="15" t="n"/>
    </row>
    <row r="49">
      <c r="A49" s="8" t="n">
        <v>45</v>
      </c>
      <c r="B49" s="15" t="n"/>
      <c r="C49" s="15" t="n"/>
      <c r="D49" s="15" t="n"/>
      <c r="E49" s="37" t="n"/>
      <c r="F49" s="17" t="n"/>
      <c r="G49" s="37" t="n"/>
      <c r="H49" s="37" t="n"/>
      <c r="I49" s="18" t="n"/>
      <c r="J49" s="38">
        <f>IF($G49="","",IF($H49="",$G49,IF($I49="",$G49,MIN($G49,$H49+$I49))))</f>
        <v/>
      </c>
      <c r="K49" s="20">
        <f>IF($J49="","",$J49-TODAY())</f>
        <v/>
      </c>
      <c r="L49" s="8">
        <f>IF($K49="","",IF($K49&lt;0,IF($F49="Best-by","⚠ CHECK (best-by passed)","⛔ EXPIRED — DISCARD"),IF($K49&lt;=2,"🔴 URGENT",IF($K49&lt;=7,"🟡 USE SOON","🟢 OK"))))</f>
        <v/>
      </c>
      <c r="M49" s="20">
        <f>IF($E49="","",TODAY()-$E49)</f>
        <v/>
      </c>
      <c r="N49" s="21" t="n"/>
      <c r="O49" s="15" t="n"/>
      <c r="P49" s="39" t="n"/>
      <c r="Q49" s="40">
        <f>IF(OR($N49="",$P49=""),"",$N49*$P49)</f>
        <v/>
      </c>
      <c r="R49" s="15" t="n"/>
      <c r="S49" s="15" t="n"/>
      <c r="T49" s="15" t="n"/>
    </row>
    <row r="50">
      <c r="A50" s="9" t="n">
        <v>46</v>
      </c>
      <c r="B50" s="15" t="n"/>
      <c r="C50" s="15" t="n"/>
      <c r="D50" s="15" t="n"/>
      <c r="E50" s="37" t="n"/>
      <c r="F50" s="17" t="n"/>
      <c r="G50" s="37" t="n"/>
      <c r="H50" s="37" t="n"/>
      <c r="I50" s="18" t="n"/>
      <c r="J50" s="41">
        <f>IF($G50="","",IF($H50="",$G50,IF($I50="",$G50,MIN($G50,$H50+$I50))))</f>
        <v/>
      </c>
      <c r="K50" s="25">
        <f>IF($J50="","",$J50-TODAY())</f>
        <v/>
      </c>
      <c r="L50" s="9">
        <f>IF($K50="","",IF($K50&lt;0,IF($F50="Best-by","⚠ CHECK (best-by passed)","⛔ EXPIRED — DISCARD"),IF($K50&lt;=2,"🔴 URGENT",IF($K50&lt;=7,"🟡 USE SOON","🟢 OK"))))</f>
        <v/>
      </c>
      <c r="M50" s="25">
        <f>IF($E50="","",TODAY()-$E50)</f>
        <v/>
      </c>
      <c r="N50" s="21" t="n"/>
      <c r="O50" s="15" t="n"/>
      <c r="P50" s="39" t="n"/>
      <c r="Q50" s="42">
        <f>IF(OR($N50="",$P50=""),"",$N50*$P50)</f>
        <v/>
      </c>
      <c r="R50" s="15" t="n"/>
      <c r="S50" s="15" t="n"/>
      <c r="T50" s="15" t="n"/>
    </row>
    <row r="51">
      <c r="A51" s="8" t="n">
        <v>47</v>
      </c>
      <c r="B51" s="15" t="n"/>
      <c r="C51" s="15" t="n"/>
      <c r="D51" s="15" t="n"/>
      <c r="E51" s="37" t="n"/>
      <c r="F51" s="17" t="n"/>
      <c r="G51" s="37" t="n"/>
      <c r="H51" s="37" t="n"/>
      <c r="I51" s="18" t="n"/>
      <c r="J51" s="38">
        <f>IF($G51="","",IF($H51="",$G51,IF($I51="",$G51,MIN($G51,$H51+$I51))))</f>
        <v/>
      </c>
      <c r="K51" s="20">
        <f>IF($J51="","",$J51-TODAY())</f>
        <v/>
      </c>
      <c r="L51" s="8">
        <f>IF($K51="","",IF($K51&lt;0,IF($F51="Best-by","⚠ CHECK (best-by passed)","⛔ EXPIRED — DISCARD"),IF($K51&lt;=2,"🔴 URGENT",IF($K51&lt;=7,"🟡 USE SOON","🟢 OK"))))</f>
        <v/>
      </c>
      <c r="M51" s="20">
        <f>IF($E51="","",TODAY()-$E51)</f>
        <v/>
      </c>
      <c r="N51" s="21" t="n"/>
      <c r="O51" s="15" t="n"/>
      <c r="P51" s="39" t="n"/>
      <c r="Q51" s="40">
        <f>IF(OR($N51="",$P51=""),"",$N51*$P51)</f>
        <v/>
      </c>
      <c r="R51" s="15" t="n"/>
      <c r="S51" s="15" t="n"/>
      <c r="T51" s="15" t="n"/>
    </row>
    <row r="52">
      <c r="A52" s="9" t="n">
        <v>48</v>
      </c>
      <c r="B52" s="15" t="n"/>
      <c r="C52" s="15" t="n"/>
      <c r="D52" s="15" t="n"/>
      <c r="E52" s="37" t="n"/>
      <c r="F52" s="17" t="n"/>
      <c r="G52" s="37" t="n"/>
      <c r="H52" s="37" t="n"/>
      <c r="I52" s="18" t="n"/>
      <c r="J52" s="41">
        <f>IF($G52="","",IF($H52="",$G52,IF($I52="",$G52,MIN($G52,$H52+$I52))))</f>
        <v/>
      </c>
      <c r="K52" s="25">
        <f>IF($J52="","",$J52-TODAY())</f>
        <v/>
      </c>
      <c r="L52" s="9">
        <f>IF($K52="","",IF($K52&lt;0,IF($F52="Best-by","⚠ CHECK (best-by passed)","⛔ EXPIRED — DISCARD"),IF($K52&lt;=2,"🔴 URGENT",IF($K52&lt;=7,"🟡 USE SOON","🟢 OK"))))</f>
        <v/>
      </c>
      <c r="M52" s="25">
        <f>IF($E52="","",TODAY()-$E52)</f>
        <v/>
      </c>
      <c r="N52" s="21" t="n"/>
      <c r="O52" s="15" t="n"/>
      <c r="P52" s="39" t="n"/>
      <c r="Q52" s="42">
        <f>IF(OR($N52="",$P52=""),"",$N52*$P52)</f>
        <v/>
      </c>
      <c r="R52" s="15" t="n"/>
      <c r="S52" s="15" t="n"/>
      <c r="T52" s="15" t="n"/>
    </row>
    <row r="53">
      <c r="A53" s="8" t="n">
        <v>49</v>
      </c>
      <c r="B53" s="15" t="n"/>
      <c r="C53" s="15" t="n"/>
      <c r="D53" s="15" t="n"/>
      <c r="E53" s="37" t="n"/>
      <c r="F53" s="17" t="n"/>
      <c r="G53" s="37" t="n"/>
      <c r="H53" s="37" t="n"/>
      <c r="I53" s="18" t="n"/>
      <c r="J53" s="38">
        <f>IF($G53="","",IF($H53="",$G53,IF($I53="",$G53,MIN($G53,$H53+$I53))))</f>
        <v/>
      </c>
      <c r="K53" s="20">
        <f>IF($J53="","",$J53-TODAY())</f>
        <v/>
      </c>
      <c r="L53" s="8">
        <f>IF($K53="","",IF($K53&lt;0,IF($F53="Best-by","⚠ CHECK (best-by passed)","⛔ EXPIRED — DISCARD"),IF($K53&lt;=2,"🔴 URGENT",IF($K53&lt;=7,"🟡 USE SOON","🟢 OK"))))</f>
        <v/>
      </c>
      <c r="M53" s="20">
        <f>IF($E53="","",TODAY()-$E53)</f>
        <v/>
      </c>
      <c r="N53" s="21" t="n"/>
      <c r="O53" s="15" t="n"/>
      <c r="P53" s="39" t="n"/>
      <c r="Q53" s="40">
        <f>IF(OR($N53="",$P53=""),"",$N53*$P53)</f>
        <v/>
      </c>
      <c r="R53" s="15" t="n"/>
      <c r="S53" s="15" t="n"/>
      <c r="T53" s="15" t="n"/>
    </row>
    <row r="54">
      <c r="A54" s="9" t="n">
        <v>50</v>
      </c>
      <c r="B54" s="15" t="n"/>
      <c r="C54" s="15" t="n"/>
      <c r="D54" s="15" t="n"/>
      <c r="E54" s="37" t="n"/>
      <c r="F54" s="17" t="n"/>
      <c r="G54" s="37" t="n"/>
      <c r="H54" s="37" t="n"/>
      <c r="I54" s="18" t="n"/>
      <c r="J54" s="41">
        <f>IF($G54="","",IF($H54="",$G54,IF($I54="",$G54,MIN($G54,$H54+$I54))))</f>
        <v/>
      </c>
      <c r="K54" s="25">
        <f>IF($J54="","",$J54-TODAY())</f>
        <v/>
      </c>
      <c r="L54" s="9">
        <f>IF($K54="","",IF($K54&lt;0,IF($F54="Best-by","⚠ CHECK (best-by passed)","⛔ EXPIRED — DISCARD"),IF($K54&lt;=2,"🔴 URGENT",IF($K54&lt;=7,"🟡 USE SOON","🟢 OK"))))</f>
        <v/>
      </c>
      <c r="M54" s="25">
        <f>IF($E54="","",TODAY()-$E54)</f>
        <v/>
      </c>
      <c r="N54" s="21" t="n"/>
      <c r="O54" s="15" t="n"/>
      <c r="P54" s="39" t="n"/>
      <c r="Q54" s="42">
        <f>IF(OR($N54="",$P54=""),"",$N54*$P54)</f>
        <v/>
      </c>
      <c r="R54" s="15" t="n"/>
      <c r="S54" s="15" t="n"/>
      <c r="T5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T54"/>
  <mergeCells count="1">
    <mergeCell ref="A1:T1"/>
  </mergeCells>
  <conditionalFormatting sqref="L5:L54">
    <cfRule type="containsText" priority="1" operator="containsText" dxfId="0" stopIfTrue="1" text="EXPIRED">
      <formula>NOT(ISERROR(SEARCH("EXPIRED",L5)))</formula>
    </cfRule>
    <cfRule type="containsText" priority="2" operator="containsText" dxfId="0" stopIfTrue="1" text="URGENT">
      <formula>NOT(ISERROR(SEARCH("URGENT",L5)))</formula>
    </cfRule>
    <cfRule type="containsText" priority="3" operator="containsText" dxfId="1" stopIfTrue="1" text="CHECK">
      <formula>NOT(ISERROR(SEARCH("CHECK",L5)))</formula>
    </cfRule>
    <cfRule type="containsText" priority="4" operator="containsText" dxfId="1" stopIfTrue="1" text="SOON">
      <formula>NOT(ISERROR(SEARCH("SOON",L5)))</formula>
    </cfRule>
    <cfRule type="containsText" priority="5" operator="containsText" dxfId="2" stopIfTrue="1" text="OK">
      <formula>NOT(ISERROR(SEARCH("OK",L5)))</formula>
    </cfRule>
  </conditionalFormatting>
  <dataValidations count="4">
    <dataValidation sqref="F5:F54" showDropDown="0" showInputMessage="1" showErrorMessage="1" allowBlank="1" errorTitle="Invalid date type" error="Choose a value from the list." promptTitle="Invalid date type" prompt="Use-by = perishables (meat, fish, fresh dairy). Best-by = dry goods, canned goods and frozen items. Passed doesn't mean the same thing in both cases." type="list" errorStyle="stop">
      <formula1>"Use-by,Best-by"</formula1>
    </dataValidation>
    <dataValidation sqref="O5:O54" showDropDown="0" showInputMessage="1" showErrorMessage="1" allowBlank="1" errorTitle="Invalid unit" error="Choose a value from the list." promptTitle="Invalid unit" prompt="The same purchase unit as the other 8 templates in the kit." type="list" errorStyle="stop">
      <formula1>"lb,oz,kg,gal,qt,L,each,dozen,case,tray,keg,bag,roll,pack,bottle,can"</formula1>
    </dataValidation>
    <dataValidation sqref="R5:R54" showDropDown="0" showInputMessage="1" showErrorMessage="1" allowBlank="1" errorTitle="Invalid zone" error="Choose a value from the list." promptTitle="Invalid zone" prompt="The 11 zones from the &quot;Storage Map&quot; tab. If you change the names there, update this drop-down too." type="list" errorStyle="stop">
      <formula1>"Raw meat cooler,Seafood cooler,Prepared foods cooler,Produce cooler,Walk-in freezer,Thawing shelf,Dry storage,Wine &amp; liquor storage,Trash &amp; recycling,Dairy &amp; egg cooler,Chemical storage"</formula1>
    </dataValidation>
    <dataValidation sqref="C5:C54" showDropDown="0" showInputMessage="1" showErrorMessage="1" allowBlank="1" errorTitle="Invalid category" error="Choose a value from the list. This is the kit's single taxonomy: if each template uses different wording, the SUMIF formulas in the analysis sheets won't add up correctly." promptTitle="Invalid category" prompt="The kit's 10 categories. They're the same across all 9 templates: the analysis in 05 and 07 aggregates by this exact text." type="list" errorStyle="stop">
      <formula1>"Meat &amp; Poultry,Seafood,Dairy &amp; Eggs,Produce,Dry Goods,Frozen,Alcoholic Beverages,Non-Alcoholic Beverages,Paper &amp; Cleaning,Other"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0" customWidth="1" min="3" max="3"/>
    <col width="70" customWidth="1" min="4" max="4"/>
  </cols>
  <sheetData>
    <row r="1">
      <c r="A1" s="27" t="inlineStr">
        <is>
          <t>⚠️ EXPIRATION ALERTS</t>
        </is>
      </c>
    </row>
    <row r="2">
      <c r="A2" s="14" t="inlineStr">
        <is>
          <t>Everything here calculates automatically from "FIFO Tracker". Nothing gets typed here.</t>
        </is>
      </c>
    </row>
    <row r="3">
      <c r="A3" s="28" t="inlineStr">
        <is>
          <t>Status</t>
        </is>
      </c>
      <c r="B3" s="28" t="inlineStr">
        <is>
          <t># of lots</t>
        </is>
      </c>
      <c r="C3" s="28" t="inlineStr">
        <is>
          <t>Value at risk</t>
        </is>
      </c>
      <c r="D3" s="28" t="inlineStr">
        <is>
          <t>What to do</t>
        </is>
      </c>
    </row>
    <row r="4">
      <c r="A4" t="inlineStr">
        <is>
          <t>⛔ EXPIRED — DISCARD</t>
        </is>
      </c>
      <c r="B4" s="29">
        <f>COUNTIF('FIFO Tracker'!$L$5:$L$54,"*EXPIRED*")</f>
        <v>1.0</v>
      </c>
      <c r="C4" s="43">
        <f>SUMIF('FIFO Tracker'!$L$5:$L$54,"*EXPIRED*",'FIFO Tracker'!$Q$5:$Q$54)</f>
        <v>92.0</v>
      </c>
      <c r="D4" s="31" t="inlineStr">
        <is>
          <t>Mandatory removal and waste log entry in template 05 (Food Waste Log &amp; Action Plan). Never used, under any circumstances.</t>
        </is>
      </c>
    </row>
    <row r="5">
      <c r="A5" s="12" t="inlineStr">
        <is>
          <t>⚠ CHECK (best-by passed)</t>
        </is>
      </c>
      <c r="B5" s="29">
        <f>COUNTIF('FIFO Tracker'!$L$5:$L$54,"*CHECK*")</f>
        <v>1.0</v>
      </c>
      <c r="C5" s="43">
        <f>SUMIF('FIFO Tracker'!$L$5:$L$54,"*CHECK*",'FIFO Tracker'!$Q$5:$Q$54)</f>
        <v>14.940000000000001</v>
      </c>
      <c r="D5" s="31" t="inlineStr">
        <is>
          <t>Best-by has passed: organoleptic check (appearance, smell, texture) before deciding. It isn't automatically waste.</t>
        </is>
      </c>
    </row>
    <row r="6">
      <c r="A6" t="inlineStr">
        <is>
          <t>🔴 URGENT</t>
        </is>
      </c>
      <c r="B6" s="29">
        <f>COUNTIF('FIFO Tracker'!$L$5:$L$54,"*URGENT*")</f>
        <v>1.0</v>
      </c>
      <c r="C6" s="43">
        <f>SUMIF('FIFO Tracker'!$L$5:$L$54,"*URGENT*",'FIFO Tracker'!$Q$5:$Q$54)</f>
        <v>37.2</v>
      </c>
      <c r="D6" s="31" t="inlineStr">
        <is>
          <t>2 days or less left: use in today's service.</t>
        </is>
      </c>
    </row>
    <row r="7">
      <c r="A7" s="3" t="inlineStr">
        <is>
          <t>🟡 USE SOON</t>
        </is>
      </c>
      <c r="B7" s="29">
        <f>COUNTIF('FIFO Tracker'!$L$5:$L$54,"*SOON*")</f>
        <v>2.0</v>
      </c>
      <c r="C7" s="43">
        <f>SUMIF('FIFO Tracker'!$L$5:$L$54,"*SOON*",'FIFO Tracker'!$Q$5:$Q$54)</f>
        <v>87.5</v>
      </c>
      <c r="D7" s="31" t="inlineStr">
        <is>
          <t>7 days or less left: prioritize it in this week's production.</t>
        </is>
      </c>
    </row>
    <row r="8">
      <c r="A8" s="3" t="inlineStr">
        <is>
          <t>🟢 OK</t>
        </is>
      </c>
      <c r="B8" s="29">
        <f>COUNTIF('FIFO Tracker'!$L$5:$L$54,"*OK*")</f>
        <v>1.0</v>
      </c>
      <c r="C8" s="43">
        <f>SUMIF('FIFO Tracker'!$L$5:$L$54,"*OK*",'FIFO Tracker'!$Q$5:$Q$54)</f>
        <v>52.5</v>
      </c>
      <c r="D8" s="31" t="inlineStr">
        <is>
          <t>Out of risk. Place it behind whatever expires sooner.</t>
        </is>
      </c>
    </row>
    <row r="9">
      <c r="A9" s="32" t="inlineStr">
        <is>
          <t>VALUE ACTUALLY AT RISK (everything except 🟢 OK)</t>
        </is>
      </c>
      <c r="B9" s="33">
        <f>SUM($B$4:$B$7)</f>
        <v>5.0</v>
      </c>
      <c r="C9" s="44">
        <f>SUM($C$4:$C$7)</f>
        <v>231.64</v>
      </c>
      <c r="D9" s="31" t="inlineStr">
        <is>
          <t>It's the sum of the four statuses above, excluding what's out of risk. This is the number that gets someone to act.</t>
        </is>
      </c>
    </row>
    <row r="10">
      <c r="A10" s="35" t="inlineStr">
        <is>
          <t>TOTAL lots logged / total stock value</t>
        </is>
      </c>
      <c r="B10" s="33">
        <f>COUNTIF('FIFO Tracker'!$B$5:$B$54,"&lt;&gt;")</f>
        <v>6.0</v>
      </c>
      <c r="C10" s="44">
        <f>SUM('FIFO Tracker'!$Q$5:$Q$54)</f>
        <v>284.14</v>
      </c>
      <c r="D10" s="31" t="inlineStr">
        <is>
          <t>All the stock you've logged in "FIFO Tracker", whether at risk or not. Don't confuse it with the row above.</t>
        </is>
      </c>
    </row>
    <row r="12">
      <c r="A12" s="36" t="inlineStr">
        <is>
          <t>ACTION PROTOCOL</t>
        </is>
      </c>
    </row>
    <row r="13">
      <c r="A13" s="31" t="inlineStr">
        <is>
          <t>1. ⛔ EXPIRED — DISCARD: mandatory removal of the product, write it off stock, and log it in template 05 (Food Waste Log &amp; Action Plan). A product past its use-by date is never used, under any circumstances — not for staff meals, not for prep.</t>
        </is>
      </c>
    </row>
    <row r="14">
      <c r="A14" s="31" t="inlineStr">
        <is>
          <t>2. ⚠ CHECK (best-by passed): a passed best-by date does NOT mean you have to throw it out. Organoleptic check (appearance, smell, texture) and a call from whoever's in charge; when in doubt, discard it.</t>
        </is>
      </c>
    </row>
    <row r="15">
      <c r="A15" s="31" t="inlineStr">
        <is>
          <t>3. 🔴 URGENT: use in TODAY's service. Note it in the briefing and put it at the front of everything.</t>
        </is>
      </c>
    </row>
    <row r="16">
      <c r="A16" s="31" t="inlineStr">
        <is>
          <t>4. 🟡 USE SOON: prioritize it in this week's production and check it at the start of every morning shift.</t>
        </is>
      </c>
    </row>
    <row r="18">
      <c r="A18" s="14" t="inlineStr">
        <is>
          <t>To see them one by one: on "FIFO Tracker", click the arrow on the Status header and filter for whichever you want. The autofilter is already set up.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3A047"/>
    <outlinePr summaryBelow="1" summaryRight="1"/>
    <pageSetUpPr fitToPage="1"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16" customWidth="1" min="4" max="4"/>
    <col width="52" customWidth="1" min="5" max="5"/>
  </cols>
  <sheetData>
    <row r="1">
      <c r="A1" s="5" t="inlineStr">
        <is>
          <t>STORAGE MAP — STORAGE ZONES</t>
        </is>
      </c>
    </row>
    <row r="3">
      <c r="A3" s="7" t="inlineStr">
        <is>
          <t>Zone</t>
        </is>
      </c>
      <c r="B3" s="7" t="inlineStr">
        <is>
          <t>Temperature</t>
        </is>
      </c>
      <c r="C3" s="7" t="inlineStr">
        <is>
          <t>What's stored here</t>
        </is>
      </c>
      <c r="D3" s="7" t="inlineStr">
        <is>
          <t>Capacity</t>
        </is>
      </c>
      <c r="E3" s="7" t="inlineStr">
        <is>
          <t>Notes</t>
        </is>
      </c>
    </row>
    <row r="4">
      <c r="A4" s="8" t="inlineStr">
        <is>
          <t>Raw meat cooler</t>
        </is>
      </c>
      <c r="B4" s="15" t="inlineStr">
        <is>
          <t>41 °F (5 °C) or below</t>
        </is>
      </c>
      <c r="C4" s="15" t="inlineStr">
        <is>
          <t>Raw meat, poultry and game; always on the bottom shelves</t>
        </is>
      </c>
      <c r="D4" s="15" t="inlineStr">
        <is>
          <t>2 shelving units</t>
        </is>
      </c>
      <c r="E4" s="15" t="inlineStr">
        <is>
          <t>Never in the same cooler as ready-to-eat food.</t>
        </is>
      </c>
    </row>
    <row r="5">
      <c r="A5" s="9" t="inlineStr">
        <is>
          <t>Seafood cooler</t>
        </is>
      </c>
      <c r="B5" s="15" t="inlineStr">
        <is>
          <t>41 °F (5 °C) or below, fish on ice</t>
        </is>
      </c>
      <c r="C5" s="15" t="inlineStr">
        <is>
          <t>Fish and shellfish on ice</t>
        </is>
      </c>
      <c r="D5" s="15" t="inlineStr">
        <is>
          <t>1 ice bin</t>
        </is>
      </c>
      <c r="E5" s="15" t="inlineStr">
        <is>
          <t>Self-draining ice; replenish every service.</t>
        </is>
      </c>
    </row>
    <row r="6">
      <c r="A6" s="8" t="inlineStr">
        <is>
          <t>Prepared foods cooler</t>
        </is>
      </c>
      <c r="B6" s="15" t="inlineStr">
        <is>
          <t>41 °F (5 °C) or below</t>
        </is>
      </c>
      <c r="C6" s="15" t="inlineStr">
        <is>
          <t>Dairy, house-made prep, fresh-cut produce and desserts</t>
        </is>
      </c>
      <c r="D6" s="15" t="inlineStr">
        <is>
          <t>3 shelving units</t>
        </is>
      </c>
      <c r="E6" s="15" t="inlineStr">
        <is>
          <t>Everything covered, labeled and dated. Never next to raw products.</t>
        </is>
      </c>
    </row>
    <row r="7">
      <c r="A7" s="9" t="inlineStr">
        <is>
          <t>Produce cooler</t>
        </is>
      </c>
      <c r="B7" s="15" t="inlineStr">
        <is>
          <t>34-41 °F (1-5 °C)</t>
        </is>
      </c>
      <c r="C7" s="15" t="inlineStr">
        <is>
          <t>Produce</t>
        </is>
      </c>
      <c r="D7" s="15" t="inlineStr">
        <is>
          <t>2 shelving units</t>
        </is>
      </c>
      <c r="E7" s="15" t="inlineStr">
        <is>
          <t>Don't wash until use; keep ethylene-producing fruit apart.</t>
        </is>
      </c>
    </row>
    <row r="8">
      <c r="A8" s="8" t="inlineStr">
        <is>
          <t>Walk-in freezer</t>
        </is>
      </c>
      <c r="B8" s="15" t="inlineStr">
        <is>
          <t>0 °F (-18 °C) or below</t>
        </is>
      </c>
      <c r="C8" s="15" t="inlineStr">
        <is>
          <t>Frozen</t>
        </is>
      </c>
      <c r="D8" s="15" t="inlineStr">
        <is>
          <t>1 walk-in unit</t>
        </is>
      </c>
      <c r="E8" s="15" t="inlineStr">
        <is>
          <t>Write the freezing date. Never refreeze thawed food.</t>
        </is>
      </c>
    </row>
    <row r="9">
      <c r="A9" s="9" t="inlineStr">
        <is>
          <t>Thawing shelf</t>
        </is>
      </c>
      <c r="B9" s="15" t="inlineStr">
        <is>
          <t>41 °F (5 °C) or below</t>
        </is>
      </c>
      <c r="C9" s="15" t="inlineStr">
        <is>
          <t>Food being thawed, labeled</t>
        </is>
      </c>
      <c r="D9" s="15" t="inlineStr">
        <is>
          <t>1 shelving unit</t>
        </is>
      </c>
      <c r="E9" s="15" t="inlineStr">
        <is>
          <t>Rack over a tray, covered and labeled THAWING with the date; thaw at 41 °F (5 °C) or below.</t>
        </is>
      </c>
    </row>
    <row r="10">
      <c r="A10" s="8" t="inlineStr">
        <is>
          <t>Dry storage</t>
        </is>
      </c>
      <c r="B10" s="15" t="inlineStr">
        <is>
          <t>Cool and dry, 50-70 °F (10-21 °C), under 60% humidity</t>
        </is>
      </c>
      <c r="C10" s="15" t="inlineStr">
        <is>
          <t>Dry goods, canned goods and non-alcoholic beverages</t>
        </is>
      </c>
      <c r="D10" s="15" t="inlineStr">
        <is>
          <t>4 shelving units</t>
        </is>
      </c>
      <c r="E10" s="15" t="inlineStr">
        <is>
          <t>Keep product at least 6 in (15 cm) off the floor and away from the wall.</t>
        </is>
      </c>
    </row>
    <row r="11">
      <c r="A11" s="9" t="inlineStr">
        <is>
          <t>Wine &amp; liquor storage</t>
        </is>
      </c>
      <c r="B11" s="15" t="inlineStr">
        <is>
          <t>55-60 °F (13-16 °C)</t>
        </is>
      </c>
      <c r="C11" s="15" t="inlineStr">
        <is>
          <t>Wine, beer and spirits</t>
        </is>
      </c>
      <c r="D11" s="15" t="inlineStr">
        <is>
          <t>1 wine rack</t>
        </is>
      </c>
      <c r="E11" s="15" t="inlineStr">
        <is>
          <t>No direct light or vibration; wine bottles on their side.</t>
        </is>
      </c>
    </row>
    <row r="12">
      <c r="A12" s="8" t="inlineStr">
        <is>
          <t>Trash &amp; recycling</t>
        </is>
      </c>
      <c r="B12" s="15" t="inlineStr">
        <is>
          <t>Ambient, separate area</t>
        </is>
      </c>
      <c r="C12" s="15" t="inlineStr">
        <is>
          <t>Trash, recycling and empty containers</t>
        </is>
      </c>
      <c r="D12" s="15" t="inlineStr">
        <is>
          <t>3 lidded bins</t>
        </is>
      </c>
      <c r="E12" s="15" t="inlineStr">
        <is>
          <t>Away from food flow; lidded, foot-pedal bins.</t>
        </is>
      </c>
    </row>
    <row r="13">
      <c r="A13" s="9" t="inlineStr">
        <is>
          <t>Dairy &amp; egg cooler</t>
        </is>
      </c>
      <c r="B13" s="15" t="inlineStr">
        <is>
          <t>41 °F (5 °C) or below; shell eggs 45 °F (7 °C) or below</t>
        </is>
      </c>
      <c r="C13" s="15" t="inlineStr">
        <is>
          <t>Shell eggs and dairy: always refrigerated</t>
        </is>
      </c>
      <c r="D13" s="15" t="inlineStr">
        <is>
          <t>1 shelving unit</t>
        </is>
      </c>
      <c r="E13" s="15" t="inlineStr">
        <is>
          <t>Shell eggs must be held at 45 °F (7 °C) or below (21 CFR 115.50 and 118.4(e); FDA Food Code 2022 §3-202.11(C)). Store them below ready-to-eat food.</t>
        </is>
      </c>
    </row>
    <row r="14">
      <c r="A14" s="8" t="inlineStr">
        <is>
          <t>Chemical storage</t>
        </is>
      </c>
      <c r="B14" s="15" t="inlineStr">
        <is>
          <t>Ambient, separate and labeled</t>
        </is>
      </c>
      <c r="C14" s="15" t="inlineStr">
        <is>
          <t>Cleaning chemicals, sanitizers and their Safety Data Sheets</t>
        </is>
      </c>
      <c r="D14" s="15" t="inlineStr">
        <is>
          <t>1 cabinet</t>
        </is>
      </c>
      <c r="E14" s="15" t="inlineStr">
        <is>
          <t>Separate and labeled; NEVER above or next to food or on work surfaces (FDA Food Code 2022 §7-201.11).</t>
        </is>
      </c>
    </row>
    <row r="16">
      <c r="A16" s="14" t="inlineStr">
        <is>
          <t>Sample zones: replace them with your own. The names in the Zone column are what shows up in the "FIFO Tracker" drop-down, so if you edit them, update that drop-down too. Keeping raw and prepared foods separate isn't optional, and cleaning supplies and chemicals NEVER go in the food dry storage: those are the first two things an inspection looks at.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FIFO &amp; Expiration Date Tracker</dc:title>
  <dc:description xmlns:dc="http://purl.org/dc/elements/1.1/">aichef.pro/en/digital-products/restaurant-inventory-templates</dc:description>
  <dc:subject xmlns:dc="http://purl.org/dc/elements/1.1/">Restaurant Inventory Kit Pro · v2.0</dc:subject>
  <dcterms:created xmlns:dcterms="http://purl.org/dc/terms/" xmlns:xsi="http://www.w3.org/2001/XMLSchema-instance" xsi:type="dcterms:W3CDTF">2026-04-05T09:47:46Z</dcterms:created>
  <dcterms:modified xmlns:dcterms="http://purl.org/dc/terms/" xmlns:xsi="http://www.w3.org/2001/XMLSchema-instance" xsi:type="dcterms:W3CDTF">2026-09-25T19:48:23Z</dcterms:modified>
  <cp:lastModifiedBy>AI Chef Pro</cp:lastModifiedBy>
  <cp:category>AI Chef Pro · Digital products</cp:category>
  <cp:keywords>restaurant inventory template, par sheet, AI Chef Pro</cp:keywords>
</cp:coreProperties>
</file>