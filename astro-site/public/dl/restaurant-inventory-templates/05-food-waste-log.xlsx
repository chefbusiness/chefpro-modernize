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Waste Log" sheetId="2" state="visible" r:id="rId2"/>
    <sheet xmlns:r="http://schemas.openxmlformats.org/officeDocument/2006/relationships" name="Waste by Category" sheetId="3" state="visible" r:id="rId3"/>
    <sheet xmlns:r="http://schemas.openxmlformats.org/officeDocument/2006/relationships" name="Waste Dashboard" sheetId="4" state="visible" r:id="rId4"/>
    <sheet xmlns:r="http://schemas.openxmlformats.org/officeDocument/2006/relationships" name="Action Plan" sheetId="5" state="visible" r:id="rId5"/>
  </sheets>
  <definedNames>
    <definedName name="_xlnm.Print_Titles" localSheetId="1">'Daily Waste Log'!$3:$3</definedName>
    <definedName name="_xlnm.Print_Area" localSheetId="1">'Daily Waste Log'!$A$1:$J$105</definedName>
    <definedName name="_xlnm.Print_Titles" localSheetId="2">'Waste by Category'!$3:$3</definedName>
    <definedName name="_xlnm.Print_Area" localSheetId="2">'Waste by Category'!$A$1:$I$14</definedName>
    <definedName name="_xlnm.Print_Titles" localSheetId="3">'Waste Dashboard'!$3:$3</definedName>
    <definedName name="_xlnm.Print_Area" localSheetId="3">'Waste Dashboard'!$A$1:$D$13</definedName>
    <definedName name="_xlnm.Print_Titles" localSheetId="4">'Action Plan'!$3:$3</definedName>
    <definedName name="_xlnm.Print_Area" localSheetId="4">'Action Plan'!$A$1:$I$25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4444"/>
      <sz val="14"/>
    </font>
    <font>
      <b val="1"/>
      <color rgb="00FFFFFF"/>
      <sz val="10"/>
    </font>
    <font>
      <b val="1"/>
      <sz val="12"/>
    </font>
    <font>
      <b val="1"/>
      <color rgb="00FF4444"/>
      <sz val="12"/>
    </font>
    <font>
      <b val="1"/>
      <color rgb="00FFD700"/>
      <sz val="14"/>
    </font>
    <font>
      <b val="1"/>
    </font>
    <font>
      <i val="1"/>
      <sz val="9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4444"/>
      </patternFill>
    </fill>
    <fill>
      <patternFill patternType="solid">
        <fgColor rgb="00F5F5F5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0" fontId="6" fillId="0" borderId="0" pivotButton="0" quotePrefix="0" xfId="0"/>
    <xf numFmtId="4" fontId="7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3" fillId="5" borderId="1" applyAlignment="1" applyProtection="1" pivotButton="0" quotePrefix="0" xfId="0">
      <alignment vertical="center" wrapText="1"/>
      <protection locked="0" hidden="0"/>
    </xf>
    <xf numFmtId="0" fontId="3" fillId="5" borderId="1" applyAlignment="1" applyProtection="1" pivotButton="0" quotePrefix="0" xfId="0">
      <alignment vertical="center" wrapText="1"/>
      <protection locked="0" hidden="0"/>
    </xf>
    <xf numFmtId="165" fontId="3" fillId="5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5" fontId="7" fillId="0" borderId="0" pivotButton="0" quotePrefix="0" xfId="0"/>
    <xf numFmtId="0" fontId="11" fillId="0" borderId="0" applyAlignment="1" pivotButton="0" quotePrefix="0" xfId="0">
      <alignment vertical="center"/>
    </xf>
    <xf numFmtId="0" fontId="12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5" borderId="0" applyProtection="1" pivotButton="0" quotePrefix="0" xfId="0">
      <protection locked="0" hidden="0"/>
    </xf>
    <xf numFmtId="0" fontId="0" fillId="5" borderId="0" applyProtection="1" pivotButton="0" quotePrefix="0" xfId="0">
      <protection locked="0" hidden="0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9" fillId="0" borderId="0" pivotButton="0" quotePrefix="0" xfId="0"/>
    <xf numFmtId="165" fontId="9" fillId="0" borderId="0" pivotButton="0" quotePrefix="0" xfId="0"/>
    <xf numFmtId="166" fontId="9" fillId="0" borderId="0" pivotButton="0" quotePrefix="0" xfId="0"/>
    <xf numFmtId="1" fontId="0" fillId="5" borderId="0" applyProtection="1" pivotButton="0" quotePrefix="0" xfId="0">
      <protection locked="0" hidden="0"/>
    </xf>
    <xf numFmtId="166" fontId="0" fillId="5" borderId="0" applyProtection="1" pivotButton="0" quotePrefix="0" xfId="0">
      <protection locked="0" hidden="0"/>
    </xf>
    <xf numFmtId="0" fontId="0" fillId="5" borderId="0" applyAlignment="1" applyProtection="1" pivotButton="0" quotePrefix="0" xfId="0">
      <alignment vertical="top" wrapText="1"/>
      <protection locked="0" hidden="0"/>
    </xf>
    <xf numFmtId="164" fontId="0" fillId="5" borderId="0" applyProtection="1" pivotButton="0" quotePrefix="0" xfId="0">
      <protection locked="0" hidden="0"/>
    </xf>
    <xf numFmtId="165" fontId="0" fillId="5" borderId="0" applyAlignment="1" applyProtection="1" pivotButton="0" quotePrefix="0" xfId="0">
      <alignment vertical="top" wrapText="1"/>
      <protection locked="0" hidden="0"/>
    </xf>
    <xf numFmtId="0" fontId="9" fillId="0" borderId="0" applyAlignment="1" pivotButton="0" quotePrefix="0" xfId="0">
      <alignment horizontal="right"/>
    </xf>
    <xf numFmtId="14" fontId="3" fillId="5" borderId="1" applyAlignment="1" applyProtection="1" pivotButton="0" quotePrefix="0" xfId="0">
      <alignment vertical="center" wrapText="1"/>
      <protection locked="0" hidden="0"/>
    </xf>
    <xf numFmtId="165" fontId="3" fillId="5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5" fontId="7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5" fontId="0" fillId="5" borderId="0" applyProtection="1" pivotButton="0" quotePrefix="0" xfId="0">
      <protection locked="0" hidden="0"/>
    </xf>
    <xf numFmtId="165" fontId="0" fillId="0" borderId="0" pivotButton="0" quotePrefix="0" xfId="0"/>
    <xf numFmtId="166" fontId="0" fillId="0" borderId="0" pivotButton="0" quotePrefix="0" xfId="0"/>
    <xf numFmtId="165" fontId="9" fillId="0" borderId="0" pivotButton="0" quotePrefix="0" xfId="0"/>
    <xf numFmtId="166" fontId="9" fillId="0" borderId="0" pivotButton="0" quotePrefix="0" xfId="0"/>
    <xf numFmtId="166" fontId="0" fillId="5" borderId="0" applyProtection="1" pivotButton="0" quotePrefix="0" xfId="0">
      <protection locked="0" hidden="0"/>
    </xf>
    <xf numFmtId="14" fontId="0" fillId="5" borderId="0" applyProtection="1" pivotButton="0" quotePrefix="0" xfId="0">
      <protection locked="0" hidden="0"/>
    </xf>
    <xf numFmtId="165" fontId="0" fillId="5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Food Waste Log &amp; Action Plan</t>
        </is>
      </c>
    </row>
    <row r="2">
      <c r="A2" s="17" t="inlineStr">
        <is>
          <t>AI Chef Pro — aichef.pro</t>
        </is>
      </c>
    </row>
    <row r="3">
      <c r="A3" s="3" t="n"/>
    </row>
    <row r="4">
      <c r="A4" s="18" t="inlineStr">
        <is>
          <t>Log every instance of waste, see where you're losing money, and put a plan on it with an owner and a date.</t>
        </is>
      </c>
    </row>
    <row r="5">
      <c r="A5" s="18" t="inlineStr">
        <is>
          <t>1. Log every instance of waste on "Daily Waste Log": date, product, category, quantity, unit, price and reason.</t>
        </is>
      </c>
    </row>
    <row r="6">
      <c r="A6" s="18" t="inlineStr">
        <is>
          <t>2. The line's cost calculates itself. If you're missing the price, the cell warns you instead of valuing the waste at 0.00 and making you think you lost nothing.</t>
        </is>
      </c>
    </row>
    <row r="7">
      <c r="A7" s="18" t="inlineStr">
        <is>
          <t>3. "Waste by Category" aggregates by the kit's 10 categories and counts the reasons. Don't type anything there except last month's cost, which is what gives you the trend.</t>
        </is>
      </c>
    </row>
    <row r="8">
      <c r="A8" s="18" t="inlineStr">
        <is>
          <t>4. In "Waste Dashboard", type the month's purchases in the green cell, net of any tax you can reclaim (in the U.S., usually the invoice subtotal). Without it the 3% target cannot be calculated; the target percentage is editable too.</t>
        </is>
      </c>
    </row>
    <row r="9">
      <c r="A9" s="18" t="inlineStr">
        <is>
          <t>5. "Action Plan" turns the analysis into tasks. It comes with five typical causes already written in for you to adapt to your place.</t>
        </is>
      </c>
    </row>
    <row r="10">
      <c r="A10" s="18" t="inlineStr">
        <is>
          <t>TARGET: keep waste below 3% of the month's purchases. It is a percentage of YOUR purchases, not a fixed dollar amount: $500 of waste is a lot for a bar and very little for a hotel.</t>
        </is>
      </c>
    </row>
    <row r="11">
      <c r="A11" s="4" t="n"/>
    </row>
    <row r="12">
      <c r="A12" s="18" t="inlineStr">
        <is>
          <t>To edit a locked cell: Review → Unprotect Sheet (no password). Green cells are already editable without unprotecting anything.</t>
        </is>
      </c>
    </row>
    <row r="13">
      <c r="A13" s="18" t="inlineStr">
        <is>
          <t>Designed by John Guerrero — chef and restaurant consultant since 2010, in professional kitchens since age 17 · johnguerrero.es</t>
        </is>
      </c>
    </row>
    <row r="14">
      <c r="A14" s="18" t="inlineStr">
        <is>
          <t>Version 2.0 · September 2026 · aichef.pro/en/digital-products/restaurant-inventory-templates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J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8" customWidth="1" min="5" max="5"/>
    <col width="12" customWidth="1" min="6" max="6"/>
    <col width="12" customWidth="1" min="7" max="7"/>
    <col width="18" customWidth="1" min="8" max="8"/>
    <col width="14" customWidth="1" min="9" max="9"/>
    <col width="25" customWidth="1" min="10" max="10"/>
  </cols>
  <sheetData>
    <row r="1">
      <c r="A1" s="5" t="inlineStr">
        <is>
          <t>DAILY WASTE LOG</t>
        </is>
      </c>
    </row>
    <row r="2">
      <c r="A2" s="19" t="inlineStr">
        <is>
          <t>The first three lines are a SAMPLE so the analysis and dashboard start with numbers: delete them before starting your month.</t>
        </is>
      </c>
    </row>
    <row r="3">
      <c r="A3" s="6" t="inlineStr">
        <is>
          <t>Date</t>
        </is>
      </c>
      <c r="B3" s="6" t="inlineStr">
        <is>
          <t>Product</t>
        </is>
      </c>
      <c r="C3" s="6" t="inlineStr">
        <is>
          <t>Category</t>
        </is>
      </c>
      <c r="D3" s="6" t="inlineStr">
        <is>
          <t>Quantity</t>
        </is>
      </c>
      <c r="E3" s="6" t="inlineStr">
        <is>
          <t>Unit</t>
        </is>
      </c>
      <c r="F3" s="6" t="inlineStr">
        <is>
          <t>Price/unit</t>
        </is>
      </c>
      <c r="G3" s="6" t="inlineStr">
        <is>
          <t>Total Cost</t>
        </is>
      </c>
      <c r="H3" s="6" t="inlineStr">
        <is>
          <t>Reason</t>
        </is>
      </c>
      <c r="I3" s="6" t="inlineStr">
        <is>
          <t>Handled by</t>
        </is>
      </c>
      <c r="J3" s="6" t="inlineStr">
        <is>
          <t>Corrective Action</t>
        </is>
      </c>
    </row>
    <row r="4">
      <c r="A4" s="46" t="n"/>
      <c r="B4" s="21" t="inlineStr">
        <is>
          <t>Beef tenderloin (sample)</t>
        </is>
      </c>
      <c r="C4" s="21" t="inlineStr">
        <is>
          <t>Meat &amp; Poultry</t>
        </is>
      </c>
      <c r="D4" s="21" t="n">
        <v>2.5</v>
      </c>
      <c r="E4" s="21" t="inlineStr">
        <is>
          <t>lb</t>
        </is>
      </c>
      <c r="F4" s="47" t="n">
        <v>17.21</v>
      </c>
      <c r="G4" s="48">
        <f>IF($D4="","",IF($F4="","⚠ missing cost",$D4*$F4))</f>
        <v>43.025000000000006</v>
      </c>
      <c r="H4" s="21" t="inlineStr">
        <is>
          <t>Prep error</t>
        </is>
      </c>
      <c r="I4" s="21" t="inlineStr">
        <is>
          <t>Head chef</t>
        </is>
      </c>
      <c r="J4" s="21" t="inlineStr">
        <is>
          <t>Butcher yield test with a target yield and weighed trim</t>
        </is>
      </c>
    </row>
    <row r="5">
      <c r="A5" s="46" t="n"/>
      <c r="B5" s="21" t="inlineStr">
        <is>
          <t>Fresh cod fillet (sample)</t>
        </is>
      </c>
      <c r="C5" s="21" t="inlineStr">
        <is>
          <t>Seafood</t>
        </is>
      </c>
      <c r="D5" s="21" t="n">
        <v>5</v>
      </c>
      <c r="E5" s="21" t="inlineStr">
        <is>
          <t>lb</t>
        </is>
      </c>
      <c r="F5" s="47" t="n">
        <v>11.5</v>
      </c>
      <c r="G5" s="49">
        <f>IF($D5="","",IF($F5="","⚠ missing cost",$D5*$F5))</f>
        <v>57.5</v>
      </c>
      <c r="H5" s="21" t="inlineStr">
        <is>
          <t>Cold chain failure</t>
        </is>
      </c>
      <c r="I5" s="21" t="inlineStr">
        <is>
          <t>Sous chef</t>
        </is>
      </c>
      <c r="J5" s="21" t="inlineStr">
        <is>
          <t>Check the walk-in twice a day and make sure the door closes</t>
        </is>
      </c>
    </row>
    <row r="6">
      <c r="A6" s="46" t="n"/>
      <c r="B6" s="21" t="inlineStr">
        <is>
          <t>Romaine lettuce (sample)</t>
        </is>
      </c>
      <c r="C6" s="21" t="inlineStr">
        <is>
          <t>Produce</t>
        </is>
      </c>
      <c r="D6" s="21" t="n">
        <v>6</v>
      </c>
      <c r="E6" s="21" t="inlineStr">
        <is>
          <t>each</t>
        </is>
      </c>
      <c r="F6" s="47" t="n">
        <v>1.6</v>
      </c>
      <c r="G6" s="48">
        <f>IF($D6="","",IF($F6="","⚠ missing cost",$D6*$F6))</f>
        <v>9.600000000000001</v>
      </c>
      <c r="H6" s="21" t="inlineStr">
        <is>
          <t>Past use-by date</t>
        </is>
      </c>
      <c r="I6" s="21" t="inlineStr">
        <is>
          <t>Purchasing manager</t>
        </is>
      </c>
      <c r="J6" s="21" t="inlineStr">
        <is>
          <t>Label the opening date and use in expiration order (FEFO)</t>
        </is>
      </c>
    </row>
    <row r="7">
      <c r="A7" s="46" t="n"/>
      <c r="B7" s="21" t="n"/>
      <c r="C7" s="21" t="n"/>
      <c r="D7" s="21" t="n"/>
      <c r="E7" s="21" t="n"/>
      <c r="F7" s="47" t="n"/>
      <c r="G7" s="49">
        <f>IF($D7="","",IF($F7="","⚠ missing cost",$D7*$F7))</f>
        <v/>
      </c>
      <c r="H7" s="21" t="n"/>
      <c r="I7" s="21" t="n"/>
      <c r="J7" s="21" t="n"/>
    </row>
    <row r="8">
      <c r="A8" s="46" t="n"/>
      <c r="B8" s="21" t="n"/>
      <c r="C8" s="21" t="n"/>
      <c r="D8" s="21" t="n"/>
      <c r="E8" s="21" t="n"/>
      <c r="F8" s="47" t="n"/>
      <c r="G8" s="48">
        <f>IF($D8="","",IF($F8="","⚠ missing cost",$D8*$F8))</f>
        <v/>
      </c>
      <c r="H8" s="21" t="n"/>
      <c r="I8" s="21" t="n"/>
      <c r="J8" s="21" t="n"/>
    </row>
    <row r="9">
      <c r="A9" s="46" t="n"/>
      <c r="B9" s="21" t="n"/>
      <c r="C9" s="21" t="n"/>
      <c r="D9" s="21" t="n"/>
      <c r="E9" s="21" t="n"/>
      <c r="F9" s="47" t="n"/>
      <c r="G9" s="49">
        <f>IF($D9="","",IF($F9="","⚠ missing cost",$D9*$F9))</f>
        <v/>
      </c>
      <c r="H9" s="21" t="n"/>
      <c r="I9" s="21" t="n"/>
      <c r="J9" s="21" t="n"/>
    </row>
    <row r="10">
      <c r="A10" s="46" t="n"/>
      <c r="B10" s="21" t="n"/>
      <c r="C10" s="21" t="n"/>
      <c r="D10" s="21" t="n"/>
      <c r="E10" s="21" t="n"/>
      <c r="F10" s="47" t="n"/>
      <c r="G10" s="48">
        <f>IF($D10="","",IF($F10="","⚠ missing cost",$D10*$F10))</f>
        <v/>
      </c>
      <c r="H10" s="21" t="n"/>
      <c r="I10" s="21" t="n"/>
      <c r="J10" s="21" t="n"/>
    </row>
    <row r="11">
      <c r="A11" s="46" t="n"/>
      <c r="B11" s="21" t="n"/>
      <c r="C11" s="21" t="n"/>
      <c r="D11" s="21" t="n"/>
      <c r="E11" s="21" t="n"/>
      <c r="F11" s="47" t="n"/>
      <c r="G11" s="49">
        <f>IF($D11="","",IF($F11="","⚠ missing cost",$D11*$F11))</f>
        <v/>
      </c>
      <c r="H11" s="21" t="n"/>
      <c r="I11" s="21" t="n"/>
      <c r="J11" s="21" t="n"/>
    </row>
    <row r="12">
      <c r="A12" s="46" t="n"/>
      <c r="B12" s="21" t="n"/>
      <c r="C12" s="21" t="n"/>
      <c r="D12" s="21" t="n"/>
      <c r="E12" s="21" t="n"/>
      <c r="F12" s="47" t="n"/>
      <c r="G12" s="48">
        <f>IF($D12="","",IF($F12="","⚠ missing cost",$D12*$F12))</f>
        <v/>
      </c>
      <c r="H12" s="21" t="n"/>
      <c r="I12" s="21" t="n"/>
      <c r="J12" s="21" t="n"/>
    </row>
    <row r="13">
      <c r="A13" s="46" t="n"/>
      <c r="B13" s="21" t="n"/>
      <c r="C13" s="21" t="n"/>
      <c r="D13" s="21" t="n"/>
      <c r="E13" s="21" t="n"/>
      <c r="F13" s="47" t="n"/>
      <c r="G13" s="49">
        <f>IF($D13="","",IF($F13="","⚠ missing cost",$D13*$F13))</f>
        <v/>
      </c>
      <c r="H13" s="21" t="n"/>
      <c r="I13" s="21" t="n"/>
      <c r="J13" s="21" t="n"/>
    </row>
    <row r="14">
      <c r="A14" s="46" t="n"/>
      <c r="B14" s="21" t="n"/>
      <c r="C14" s="21" t="n"/>
      <c r="D14" s="21" t="n"/>
      <c r="E14" s="21" t="n"/>
      <c r="F14" s="47" t="n"/>
      <c r="G14" s="48">
        <f>IF($D14="","",IF($F14="","⚠ missing cost",$D14*$F14))</f>
        <v/>
      </c>
      <c r="H14" s="21" t="n"/>
      <c r="I14" s="21" t="n"/>
      <c r="J14" s="21" t="n"/>
    </row>
    <row r="15">
      <c r="A15" s="46" t="n"/>
      <c r="B15" s="21" t="n"/>
      <c r="C15" s="21" t="n"/>
      <c r="D15" s="21" t="n"/>
      <c r="E15" s="21" t="n"/>
      <c r="F15" s="47" t="n"/>
      <c r="G15" s="49">
        <f>IF($D15="","",IF($F15="","⚠ missing cost",$D15*$F15))</f>
        <v/>
      </c>
      <c r="H15" s="21" t="n"/>
      <c r="I15" s="21" t="n"/>
      <c r="J15" s="21" t="n"/>
    </row>
    <row r="16">
      <c r="A16" s="46" t="n"/>
      <c r="B16" s="21" t="n"/>
      <c r="C16" s="21" t="n"/>
      <c r="D16" s="21" t="n"/>
      <c r="E16" s="21" t="n"/>
      <c r="F16" s="47" t="n"/>
      <c r="G16" s="48">
        <f>IF($D16="","",IF($F16="","⚠ missing cost",$D16*$F16))</f>
        <v/>
      </c>
      <c r="H16" s="21" t="n"/>
      <c r="I16" s="21" t="n"/>
      <c r="J16" s="21" t="n"/>
    </row>
    <row r="17">
      <c r="A17" s="46" t="n"/>
      <c r="B17" s="21" t="n"/>
      <c r="C17" s="21" t="n"/>
      <c r="D17" s="21" t="n"/>
      <c r="E17" s="21" t="n"/>
      <c r="F17" s="47" t="n"/>
      <c r="G17" s="49">
        <f>IF($D17="","",IF($F17="","⚠ missing cost",$D17*$F17))</f>
        <v/>
      </c>
      <c r="H17" s="21" t="n"/>
      <c r="I17" s="21" t="n"/>
      <c r="J17" s="21" t="n"/>
    </row>
    <row r="18">
      <c r="A18" s="46" t="n"/>
      <c r="B18" s="21" t="n"/>
      <c r="C18" s="21" t="n"/>
      <c r="D18" s="21" t="n"/>
      <c r="E18" s="21" t="n"/>
      <c r="F18" s="47" t="n"/>
      <c r="G18" s="48">
        <f>IF($D18="","",IF($F18="","⚠ missing cost",$D18*$F18))</f>
        <v/>
      </c>
      <c r="H18" s="21" t="n"/>
      <c r="I18" s="21" t="n"/>
      <c r="J18" s="21" t="n"/>
    </row>
    <row r="19">
      <c r="A19" s="46" t="n"/>
      <c r="B19" s="21" t="n"/>
      <c r="C19" s="21" t="n"/>
      <c r="D19" s="21" t="n"/>
      <c r="E19" s="21" t="n"/>
      <c r="F19" s="47" t="n"/>
      <c r="G19" s="49">
        <f>IF($D19="","",IF($F19="","⚠ missing cost",$D19*$F19))</f>
        <v/>
      </c>
      <c r="H19" s="21" t="n"/>
      <c r="I19" s="21" t="n"/>
      <c r="J19" s="21" t="n"/>
    </row>
    <row r="20">
      <c r="A20" s="46" t="n"/>
      <c r="B20" s="21" t="n"/>
      <c r="C20" s="21" t="n"/>
      <c r="D20" s="21" t="n"/>
      <c r="E20" s="21" t="n"/>
      <c r="F20" s="47" t="n"/>
      <c r="G20" s="48">
        <f>IF($D20="","",IF($F20="","⚠ missing cost",$D20*$F20))</f>
        <v/>
      </c>
      <c r="H20" s="21" t="n"/>
      <c r="I20" s="21" t="n"/>
      <c r="J20" s="21" t="n"/>
    </row>
    <row r="21">
      <c r="A21" s="46" t="n"/>
      <c r="B21" s="21" t="n"/>
      <c r="C21" s="21" t="n"/>
      <c r="D21" s="21" t="n"/>
      <c r="E21" s="21" t="n"/>
      <c r="F21" s="47" t="n"/>
      <c r="G21" s="49">
        <f>IF($D21="","",IF($F21="","⚠ missing cost",$D21*$F21))</f>
        <v/>
      </c>
      <c r="H21" s="21" t="n"/>
      <c r="I21" s="21" t="n"/>
      <c r="J21" s="21" t="n"/>
    </row>
    <row r="22">
      <c r="A22" s="46" t="n"/>
      <c r="B22" s="21" t="n"/>
      <c r="C22" s="21" t="n"/>
      <c r="D22" s="21" t="n"/>
      <c r="E22" s="21" t="n"/>
      <c r="F22" s="47" t="n"/>
      <c r="G22" s="48">
        <f>IF($D22="","",IF($F22="","⚠ missing cost",$D22*$F22))</f>
        <v/>
      </c>
      <c r="H22" s="21" t="n"/>
      <c r="I22" s="21" t="n"/>
      <c r="J22" s="21" t="n"/>
    </row>
    <row r="23">
      <c r="A23" s="46" t="n"/>
      <c r="B23" s="21" t="n"/>
      <c r="C23" s="21" t="n"/>
      <c r="D23" s="21" t="n"/>
      <c r="E23" s="21" t="n"/>
      <c r="F23" s="47" t="n"/>
      <c r="G23" s="49">
        <f>IF($D23="","",IF($F23="","⚠ missing cost",$D23*$F23))</f>
        <v/>
      </c>
      <c r="H23" s="21" t="n"/>
      <c r="I23" s="21" t="n"/>
      <c r="J23" s="21" t="n"/>
    </row>
    <row r="24">
      <c r="A24" s="46" t="n"/>
      <c r="B24" s="21" t="n"/>
      <c r="C24" s="21" t="n"/>
      <c r="D24" s="21" t="n"/>
      <c r="E24" s="21" t="n"/>
      <c r="F24" s="47" t="n"/>
      <c r="G24" s="48">
        <f>IF($D24="","",IF($F24="","⚠ missing cost",$D24*$F24))</f>
        <v/>
      </c>
      <c r="H24" s="21" t="n"/>
      <c r="I24" s="21" t="n"/>
      <c r="J24" s="21" t="n"/>
    </row>
    <row r="25">
      <c r="A25" s="46" t="n"/>
      <c r="B25" s="21" t="n"/>
      <c r="C25" s="21" t="n"/>
      <c r="D25" s="21" t="n"/>
      <c r="E25" s="21" t="n"/>
      <c r="F25" s="47" t="n"/>
      <c r="G25" s="49">
        <f>IF($D25="","",IF($F25="","⚠ missing cost",$D25*$F25))</f>
        <v/>
      </c>
      <c r="H25" s="21" t="n"/>
      <c r="I25" s="21" t="n"/>
      <c r="J25" s="21" t="n"/>
    </row>
    <row r="26">
      <c r="A26" s="46" t="n"/>
      <c r="B26" s="21" t="n"/>
      <c r="C26" s="21" t="n"/>
      <c r="D26" s="21" t="n"/>
      <c r="E26" s="21" t="n"/>
      <c r="F26" s="47" t="n"/>
      <c r="G26" s="48">
        <f>IF($D26="","",IF($F26="","⚠ missing cost",$D26*$F26))</f>
        <v/>
      </c>
      <c r="H26" s="21" t="n"/>
      <c r="I26" s="21" t="n"/>
      <c r="J26" s="21" t="n"/>
    </row>
    <row r="27">
      <c r="A27" s="46" t="n"/>
      <c r="B27" s="21" t="n"/>
      <c r="C27" s="21" t="n"/>
      <c r="D27" s="21" t="n"/>
      <c r="E27" s="21" t="n"/>
      <c r="F27" s="47" t="n"/>
      <c r="G27" s="49">
        <f>IF($D27="","",IF($F27="","⚠ missing cost",$D27*$F27))</f>
        <v/>
      </c>
      <c r="H27" s="21" t="n"/>
      <c r="I27" s="21" t="n"/>
      <c r="J27" s="21" t="n"/>
    </row>
    <row r="28">
      <c r="A28" s="46" t="n"/>
      <c r="B28" s="21" t="n"/>
      <c r="C28" s="21" t="n"/>
      <c r="D28" s="21" t="n"/>
      <c r="E28" s="21" t="n"/>
      <c r="F28" s="47" t="n"/>
      <c r="G28" s="48">
        <f>IF($D28="","",IF($F28="","⚠ missing cost",$D28*$F28))</f>
        <v/>
      </c>
      <c r="H28" s="21" t="n"/>
      <c r="I28" s="21" t="n"/>
      <c r="J28" s="21" t="n"/>
    </row>
    <row r="29">
      <c r="A29" s="46" t="n"/>
      <c r="B29" s="21" t="n"/>
      <c r="C29" s="21" t="n"/>
      <c r="D29" s="21" t="n"/>
      <c r="E29" s="21" t="n"/>
      <c r="F29" s="47" t="n"/>
      <c r="G29" s="49">
        <f>IF($D29="","",IF($F29="","⚠ missing cost",$D29*$F29))</f>
        <v/>
      </c>
      <c r="H29" s="21" t="n"/>
      <c r="I29" s="21" t="n"/>
      <c r="J29" s="21" t="n"/>
    </row>
    <row r="30">
      <c r="A30" s="46" t="n"/>
      <c r="B30" s="21" t="n"/>
      <c r="C30" s="21" t="n"/>
      <c r="D30" s="21" t="n"/>
      <c r="E30" s="21" t="n"/>
      <c r="F30" s="47" t="n"/>
      <c r="G30" s="48">
        <f>IF($D30="","",IF($F30="","⚠ missing cost",$D30*$F30))</f>
        <v/>
      </c>
      <c r="H30" s="21" t="n"/>
      <c r="I30" s="21" t="n"/>
      <c r="J30" s="21" t="n"/>
    </row>
    <row r="31">
      <c r="A31" s="46" t="n"/>
      <c r="B31" s="21" t="n"/>
      <c r="C31" s="21" t="n"/>
      <c r="D31" s="21" t="n"/>
      <c r="E31" s="21" t="n"/>
      <c r="F31" s="47" t="n"/>
      <c r="G31" s="49">
        <f>IF($D31="","",IF($F31="","⚠ missing cost",$D31*$F31))</f>
        <v/>
      </c>
      <c r="H31" s="21" t="n"/>
      <c r="I31" s="21" t="n"/>
      <c r="J31" s="21" t="n"/>
    </row>
    <row r="32">
      <c r="A32" s="46" t="n"/>
      <c r="B32" s="21" t="n"/>
      <c r="C32" s="21" t="n"/>
      <c r="D32" s="21" t="n"/>
      <c r="E32" s="21" t="n"/>
      <c r="F32" s="47" t="n"/>
      <c r="G32" s="48">
        <f>IF($D32="","",IF($F32="","⚠ missing cost",$D32*$F32))</f>
        <v/>
      </c>
      <c r="H32" s="21" t="n"/>
      <c r="I32" s="21" t="n"/>
      <c r="J32" s="21" t="n"/>
    </row>
    <row r="33">
      <c r="A33" s="46" t="n"/>
      <c r="B33" s="21" t="n"/>
      <c r="C33" s="21" t="n"/>
      <c r="D33" s="21" t="n"/>
      <c r="E33" s="21" t="n"/>
      <c r="F33" s="47" t="n"/>
      <c r="G33" s="49">
        <f>IF($D33="","",IF($F33="","⚠ missing cost",$D33*$F33))</f>
        <v/>
      </c>
      <c r="H33" s="21" t="n"/>
      <c r="I33" s="21" t="n"/>
      <c r="J33" s="21" t="n"/>
    </row>
    <row r="34">
      <c r="A34" s="46" t="n"/>
      <c r="B34" s="21" t="n"/>
      <c r="C34" s="21" t="n"/>
      <c r="D34" s="21" t="n"/>
      <c r="E34" s="21" t="n"/>
      <c r="F34" s="47" t="n"/>
      <c r="G34" s="48">
        <f>IF($D34="","",IF($F34="","⚠ missing cost",$D34*$F34))</f>
        <v/>
      </c>
      <c r="H34" s="21" t="n"/>
      <c r="I34" s="21" t="n"/>
      <c r="J34" s="21" t="n"/>
    </row>
    <row r="35">
      <c r="A35" s="46" t="n"/>
      <c r="B35" s="21" t="n"/>
      <c r="C35" s="21" t="n"/>
      <c r="D35" s="21" t="n"/>
      <c r="E35" s="21" t="n"/>
      <c r="F35" s="47" t="n"/>
      <c r="G35" s="49">
        <f>IF($D35="","",IF($F35="","⚠ missing cost",$D35*$F35))</f>
        <v/>
      </c>
      <c r="H35" s="21" t="n"/>
      <c r="I35" s="21" t="n"/>
      <c r="J35" s="21" t="n"/>
    </row>
    <row r="36">
      <c r="A36" s="46" t="n"/>
      <c r="B36" s="21" t="n"/>
      <c r="C36" s="21" t="n"/>
      <c r="D36" s="21" t="n"/>
      <c r="E36" s="21" t="n"/>
      <c r="F36" s="47" t="n"/>
      <c r="G36" s="48">
        <f>IF($D36="","",IF($F36="","⚠ missing cost",$D36*$F36))</f>
        <v/>
      </c>
      <c r="H36" s="21" t="n"/>
      <c r="I36" s="21" t="n"/>
      <c r="J36" s="21" t="n"/>
    </row>
    <row r="37">
      <c r="A37" s="46" t="n"/>
      <c r="B37" s="21" t="n"/>
      <c r="C37" s="21" t="n"/>
      <c r="D37" s="21" t="n"/>
      <c r="E37" s="21" t="n"/>
      <c r="F37" s="47" t="n"/>
      <c r="G37" s="49">
        <f>IF($D37="","",IF($F37="","⚠ missing cost",$D37*$F37))</f>
        <v/>
      </c>
      <c r="H37" s="21" t="n"/>
      <c r="I37" s="21" t="n"/>
      <c r="J37" s="21" t="n"/>
    </row>
    <row r="38">
      <c r="A38" s="46" t="n"/>
      <c r="B38" s="21" t="n"/>
      <c r="C38" s="21" t="n"/>
      <c r="D38" s="21" t="n"/>
      <c r="E38" s="21" t="n"/>
      <c r="F38" s="47" t="n"/>
      <c r="G38" s="48">
        <f>IF($D38="","",IF($F38="","⚠ missing cost",$D38*$F38))</f>
        <v/>
      </c>
      <c r="H38" s="21" t="n"/>
      <c r="I38" s="21" t="n"/>
      <c r="J38" s="21" t="n"/>
    </row>
    <row r="39">
      <c r="A39" s="46" t="n"/>
      <c r="B39" s="21" t="n"/>
      <c r="C39" s="21" t="n"/>
      <c r="D39" s="21" t="n"/>
      <c r="E39" s="21" t="n"/>
      <c r="F39" s="47" t="n"/>
      <c r="G39" s="49">
        <f>IF($D39="","",IF($F39="","⚠ missing cost",$D39*$F39))</f>
        <v/>
      </c>
      <c r="H39" s="21" t="n"/>
      <c r="I39" s="21" t="n"/>
      <c r="J39" s="21" t="n"/>
    </row>
    <row r="40">
      <c r="A40" s="46" t="n"/>
      <c r="B40" s="21" t="n"/>
      <c r="C40" s="21" t="n"/>
      <c r="D40" s="21" t="n"/>
      <c r="E40" s="21" t="n"/>
      <c r="F40" s="47" t="n"/>
      <c r="G40" s="48">
        <f>IF($D40="","",IF($F40="","⚠ missing cost",$D40*$F40))</f>
        <v/>
      </c>
      <c r="H40" s="21" t="n"/>
      <c r="I40" s="21" t="n"/>
      <c r="J40" s="21" t="n"/>
    </row>
    <row r="41">
      <c r="A41" s="46" t="n"/>
      <c r="B41" s="21" t="n"/>
      <c r="C41" s="21" t="n"/>
      <c r="D41" s="21" t="n"/>
      <c r="E41" s="21" t="n"/>
      <c r="F41" s="47" t="n"/>
      <c r="G41" s="49">
        <f>IF($D41="","",IF($F41="","⚠ missing cost",$D41*$F41))</f>
        <v/>
      </c>
      <c r="H41" s="21" t="n"/>
      <c r="I41" s="21" t="n"/>
      <c r="J41" s="21" t="n"/>
    </row>
    <row r="42">
      <c r="A42" s="46" t="n"/>
      <c r="B42" s="21" t="n"/>
      <c r="C42" s="21" t="n"/>
      <c r="D42" s="21" t="n"/>
      <c r="E42" s="21" t="n"/>
      <c r="F42" s="47" t="n"/>
      <c r="G42" s="48">
        <f>IF($D42="","",IF($F42="","⚠ missing cost",$D42*$F42))</f>
        <v/>
      </c>
      <c r="H42" s="21" t="n"/>
      <c r="I42" s="21" t="n"/>
      <c r="J42" s="21" t="n"/>
    </row>
    <row r="43">
      <c r="A43" s="46" t="n"/>
      <c r="B43" s="21" t="n"/>
      <c r="C43" s="21" t="n"/>
      <c r="D43" s="21" t="n"/>
      <c r="E43" s="21" t="n"/>
      <c r="F43" s="47" t="n"/>
      <c r="G43" s="49">
        <f>IF($D43="","",IF($F43="","⚠ missing cost",$D43*$F43))</f>
        <v/>
      </c>
      <c r="H43" s="21" t="n"/>
      <c r="I43" s="21" t="n"/>
      <c r="J43" s="21" t="n"/>
    </row>
    <row r="44">
      <c r="A44" s="46" t="n"/>
      <c r="B44" s="21" t="n"/>
      <c r="C44" s="21" t="n"/>
      <c r="D44" s="21" t="n"/>
      <c r="E44" s="21" t="n"/>
      <c r="F44" s="47" t="n"/>
      <c r="G44" s="48">
        <f>IF($D44="","",IF($F44="","⚠ missing cost",$D44*$F44))</f>
        <v/>
      </c>
      <c r="H44" s="21" t="n"/>
      <c r="I44" s="21" t="n"/>
      <c r="J44" s="21" t="n"/>
    </row>
    <row r="45">
      <c r="A45" s="46" t="n"/>
      <c r="B45" s="21" t="n"/>
      <c r="C45" s="21" t="n"/>
      <c r="D45" s="21" t="n"/>
      <c r="E45" s="21" t="n"/>
      <c r="F45" s="47" t="n"/>
      <c r="G45" s="49">
        <f>IF($D45="","",IF($F45="","⚠ missing cost",$D45*$F45))</f>
        <v/>
      </c>
      <c r="H45" s="21" t="n"/>
      <c r="I45" s="21" t="n"/>
      <c r="J45" s="21" t="n"/>
    </row>
    <row r="46">
      <c r="A46" s="46" t="n"/>
      <c r="B46" s="21" t="n"/>
      <c r="C46" s="21" t="n"/>
      <c r="D46" s="21" t="n"/>
      <c r="E46" s="21" t="n"/>
      <c r="F46" s="47" t="n"/>
      <c r="G46" s="48">
        <f>IF($D46="","",IF($F46="","⚠ missing cost",$D46*$F46))</f>
        <v/>
      </c>
      <c r="H46" s="21" t="n"/>
      <c r="I46" s="21" t="n"/>
      <c r="J46" s="21" t="n"/>
    </row>
    <row r="47">
      <c r="A47" s="46" t="n"/>
      <c r="B47" s="21" t="n"/>
      <c r="C47" s="21" t="n"/>
      <c r="D47" s="21" t="n"/>
      <c r="E47" s="21" t="n"/>
      <c r="F47" s="47" t="n"/>
      <c r="G47" s="49">
        <f>IF($D47="","",IF($F47="","⚠ missing cost",$D47*$F47))</f>
        <v/>
      </c>
      <c r="H47" s="21" t="n"/>
      <c r="I47" s="21" t="n"/>
      <c r="J47" s="21" t="n"/>
    </row>
    <row r="48">
      <c r="A48" s="46" t="n"/>
      <c r="B48" s="21" t="n"/>
      <c r="C48" s="21" t="n"/>
      <c r="D48" s="21" t="n"/>
      <c r="E48" s="21" t="n"/>
      <c r="F48" s="47" t="n"/>
      <c r="G48" s="48">
        <f>IF($D48="","",IF($F48="","⚠ missing cost",$D48*$F48))</f>
        <v/>
      </c>
      <c r="H48" s="21" t="n"/>
      <c r="I48" s="21" t="n"/>
      <c r="J48" s="21" t="n"/>
    </row>
    <row r="49">
      <c r="A49" s="46" t="n"/>
      <c r="B49" s="21" t="n"/>
      <c r="C49" s="21" t="n"/>
      <c r="D49" s="21" t="n"/>
      <c r="E49" s="21" t="n"/>
      <c r="F49" s="47" t="n"/>
      <c r="G49" s="49">
        <f>IF($D49="","",IF($F49="","⚠ missing cost",$D49*$F49))</f>
        <v/>
      </c>
      <c r="H49" s="21" t="n"/>
      <c r="I49" s="21" t="n"/>
      <c r="J49" s="21" t="n"/>
    </row>
    <row r="50">
      <c r="A50" s="46" t="n"/>
      <c r="B50" s="21" t="n"/>
      <c r="C50" s="21" t="n"/>
      <c r="D50" s="21" t="n"/>
      <c r="E50" s="21" t="n"/>
      <c r="F50" s="47" t="n"/>
      <c r="G50" s="48">
        <f>IF($D50="","",IF($F50="","⚠ missing cost",$D50*$F50))</f>
        <v/>
      </c>
      <c r="H50" s="21" t="n"/>
      <c r="I50" s="21" t="n"/>
      <c r="J50" s="21" t="n"/>
    </row>
    <row r="51">
      <c r="A51" s="46" t="n"/>
      <c r="B51" s="21" t="n"/>
      <c r="C51" s="21" t="n"/>
      <c r="D51" s="21" t="n"/>
      <c r="E51" s="21" t="n"/>
      <c r="F51" s="47" t="n"/>
      <c r="G51" s="49">
        <f>IF($D51="","",IF($F51="","⚠ missing cost",$D51*$F51))</f>
        <v/>
      </c>
      <c r="H51" s="21" t="n"/>
      <c r="I51" s="21" t="n"/>
      <c r="J51" s="21" t="n"/>
    </row>
    <row r="52">
      <c r="A52" s="46" t="n"/>
      <c r="B52" s="21" t="n"/>
      <c r="C52" s="21" t="n"/>
      <c r="D52" s="21" t="n"/>
      <c r="E52" s="21" t="n"/>
      <c r="F52" s="47" t="n"/>
      <c r="G52" s="48">
        <f>IF($D52="","",IF($F52="","⚠ missing cost",$D52*$F52))</f>
        <v/>
      </c>
      <c r="H52" s="21" t="n"/>
      <c r="I52" s="21" t="n"/>
      <c r="J52" s="21" t="n"/>
    </row>
    <row r="53">
      <c r="A53" s="46" t="n"/>
      <c r="B53" s="21" t="n"/>
      <c r="C53" s="21" t="n"/>
      <c r="D53" s="21" t="n"/>
      <c r="E53" s="21" t="n"/>
      <c r="F53" s="47" t="n"/>
      <c r="G53" s="49">
        <f>IF($D53="","",IF($F53="","⚠ missing cost",$D53*$F53))</f>
        <v/>
      </c>
      <c r="H53" s="21" t="n"/>
      <c r="I53" s="21" t="n"/>
      <c r="J53" s="21" t="n"/>
    </row>
    <row r="54">
      <c r="A54" s="46" t="n"/>
      <c r="B54" s="21" t="n"/>
      <c r="C54" s="21" t="n"/>
      <c r="D54" s="21" t="n"/>
      <c r="E54" s="21" t="n"/>
      <c r="F54" s="47" t="n"/>
      <c r="G54" s="48">
        <f>IF($D54="","",IF($F54="","⚠ missing cost",$D54*$F54))</f>
        <v/>
      </c>
      <c r="H54" s="21" t="n"/>
      <c r="I54" s="21" t="n"/>
      <c r="J54" s="21" t="n"/>
    </row>
    <row r="55">
      <c r="A55" s="46" t="n"/>
      <c r="B55" s="21" t="n"/>
      <c r="C55" s="21" t="n"/>
      <c r="D55" s="21" t="n"/>
      <c r="E55" s="21" t="n"/>
      <c r="F55" s="47" t="n"/>
      <c r="G55" s="49">
        <f>IF($D55="","",IF($F55="","⚠ missing cost",$D55*$F55))</f>
        <v/>
      </c>
      <c r="H55" s="21" t="n"/>
      <c r="I55" s="21" t="n"/>
      <c r="J55" s="21" t="n"/>
    </row>
    <row r="56">
      <c r="A56" s="46" t="n"/>
      <c r="B56" s="21" t="n"/>
      <c r="C56" s="21" t="n"/>
      <c r="D56" s="21" t="n"/>
      <c r="E56" s="21" t="n"/>
      <c r="F56" s="47" t="n"/>
      <c r="G56" s="48">
        <f>IF($D56="","",IF($F56="","⚠ missing cost",$D56*$F56))</f>
        <v/>
      </c>
      <c r="H56" s="21" t="n"/>
      <c r="I56" s="21" t="n"/>
      <c r="J56" s="21" t="n"/>
    </row>
    <row r="57">
      <c r="A57" s="46" t="n"/>
      <c r="B57" s="21" t="n"/>
      <c r="C57" s="21" t="n"/>
      <c r="D57" s="21" t="n"/>
      <c r="E57" s="21" t="n"/>
      <c r="F57" s="47" t="n"/>
      <c r="G57" s="49">
        <f>IF($D57="","",IF($F57="","⚠ missing cost",$D57*$F57))</f>
        <v/>
      </c>
      <c r="H57" s="21" t="n"/>
      <c r="I57" s="21" t="n"/>
      <c r="J57" s="21" t="n"/>
    </row>
    <row r="58">
      <c r="A58" s="46" t="n"/>
      <c r="B58" s="21" t="n"/>
      <c r="C58" s="21" t="n"/>
      <c r="D58" s="21" t="n"/>
      <c r="E58" s="21" t="n"/>
      <c r="F58" s="47" t="n"/>
      <c r="G58" s="48">
        <f>IF($D58="","",IF($F58="","⚠ missing cost",$D58*$F58))</f>
        <v/>
      </c>
      <c r="H58" s="21" t="n"/>
      <c r="I58" s="21" t="n"/>
      <c r="J58" s="21" t="n"/>
    </row>
    <row r="59">
      <c r="A59" s="46" t="n"/>
      <c r="B59" s="21" t="n"/>
      <c r="C59" s="21" t="n"/>
      <c r="D59" s="21" t="n"/>
      <c r="E59" s="21" t="n"/>
      <c r="F59" s="47" t="n"/>
      <c r="G59" s="49">
        <f>IF($D59="","",IF($F59="","⚠ missing cost",$D59*$F59))</f>
        <v/>
      </c>
      <c r="H59" s="21" t="n"/>
      <c r="I59" s="21" t="n"/>
      <c r="J59" s="21" t="n"/>
    </row>
    <row r="60">
      <c r="A60" s="46" t="n"/>
      <c r="B60" s="21" t="n"/>
      <c r="C60" s="21" t="n"/>
      <c r="D60" s="21" t="n"/>
      <c r="E60" s="21" t="n"/>
      <c r="F60" s="47" t="n"/>
      <c r="G60" s="48">
        <f>IF($D60="","",IF($F60="","⚠ missing cost",$D60*$F60))</f>
        <v/>
      </c>
      <c r="H60" s="21" t="n"/>
      <c r="I60" s="21" t="n"/>
      <c r="J60" s="21" t="n"/>
    </row>
    <row r="61">
      <c r="A61" s="46" t="n"/>
      <c r="B61" s="21" t="n"/>
      <c r="C61" s="21" t="n"/>
      <c r="D61" s="21" t="n"/>
      <c r="E61" s="21" t="n"/>
      <c r="F61" s="47" t="n"/>
      <c r="G61" s="49">
        <f>IF($D61="","",IF($F61="","⚠ missing cost",$D61*$F61))</f>
        <v/>
      </c>
      <c r="H61" s="21" t="n"/>
      <c r="I61" s="21" t="n"/>
      <c r="J61" s="21" t="n"/>
    </row>
    <row r="62">
      <c r="A62" s="46" t="n"/>
      <c r="B62" s="21" t="n"/>
      <c r="C62" s="21" t="n"/>
      <c r="D62" s="21" t="n"/>
      <c r="E62" s="21" t="n"/>
      <c r="F62" s="47" t="n"/>
      <c r="G62" s="48">
        <f>IF($D62="","",IF($F62="","⚠ missing cost",$D62*$F62))</f>
        <v/>
      </c>
      <c r="H62" s="21" t="n"/>
      <c r="I62" s="21" t="n"/>
      <c r="J62" s="21" t="n"/>
    </row>
    <row r="63">
      <c r="A63" s="46" t="n"/>
      <c r="B63" s="21" t="n"/>
      <c r="C63" s="21" t="n"/>
      <c r="D63" s="21" t="n"/>
      <c r="E63" s="21" t="n"/>
      <c r="F63" s="47" t="n"/>
      <c r="G63" s="49">
        <f>IF($D63="","",IF($F63="","⚠ missing cost",$D63*$F63))</f>
        <v/>
      </c>
      <c r="H63" s="21" t="n"/>
      <c r="I63" s="21" t="n"/>
      <c r="J63" s="21" t="n"/>
    </row>
    <row r="64">
      <c r="A64" s="46" t="n"/>
      <c r="B64" s="21" t="n"/>
      <c r="C64" s="21" t="n"/>
      <c r="D64" s="21" t="n"/>
      <c r="E64" s="21" t="n"/>
      <c r="F64" s="47" t="n"/>
      <c r="G64" s="48">
        <f>IF($D64="","",IF($F64="","⚠ missing cost",$D64*$F64))</f>
        <v/>
      </c>
      <c r="H64" s="21" t="n"/>
      <c r="I64" s="21" t="n"/>
      <c r="J64" s="21" t="n"/>
    </row>
    <row r="65">
      <c r="A65" s="46" t="n"/>
      <c r="B65" s="21" t="n"/>
      <c r="C65" s="21" t="n"/>
      <c r="D65" s="21" t="n"/>
      <c r="E65" s="21" t="n"/>
      <c r="F65" s="47" t="n"/>
      <c r="G65" s="49">
        <f>IF($D65="","",IF($F65="","⚠ missing cost",$D65*$F65))</f>
        <v/>
      </c>
      <c r="H65" s="21" t="n"/>
      <c r="I65" s="21" t="n"/>
      <c r="J65" s="21" t="n"/>
    </row>
    <row r="66">
      <c r="A66" s="46" t="n"/>
      <c r="B66" s="21" t="n"/>
      <c r="C66" s="21" t="n"/>
      <c r="D66" s="21" t="n"/>
      <c r="E66" s="21" t="n"/>
      <c r="F66" s="47" t="n"/>
      <c r="G66" s="48">
        <f>IF($D66="","",IF($F66="","⚠ missing cost",$D66*$F66))</f>
        <v/>
      </c>
      <c r="H66" s="21" t="n"/>
      <c r="I66" s="21" t="n"/>
      <c r="J66" s="21" t="n"/>
    </row>
    <row r="67">
      <c r="A67" s="46" t="n"/>
      <c r="B67" s="21" t="n"/>
      <c r="C67" s="21" t="n"/>
      <c r="D67" s="21" t="n"/>
      <c r="E67" s="21" t="n"/>
      <c r="F67" s="47" t="n"/>
      <c r="G67" s="49">
        <f>IF($D67="","",IF($F67="","⚠ missing cost",$D67*$F67))</f>
        <v/>
      </c>
      <c r="H67" s="21" t="n"/>
      <c r="I67" s="21" t="n"/>
      <c r="J67" s="21" t="n"/>
    </row>
    <row r="68">
      <c r="A68" s="46" t="n"/>
      <c r="B68" s="21" t="n"/>
      <c r="C68" s="21" t="n"/>
      <c r="D68" s="21" t="n"/>
      <c r="E68" s="21" t="n"/>
      <c r="F68" s="47" t="n"/>
      <c r="G68" s="48">
        <f>IF($D68="","",IF($F68="","⚠ missing cost",$D68*$F68))</f>
        <v/>
      </c>
      <c r="H68" s="21" t="n"/>
      <c r="I68" s="21" t="n"/>
      <c r="J68" s="21" t="n"/>
    </row>
    <row r="69">
      <c r="A69" s="46" t="n"/>
      <c r="B69" s="21" t="n"/>
      <c r="C69" s="21" t="n"/>
      <c r="D69" s="21" t="n"/>
      <c r="E69" s="21" t="n"/>
      <c r="F69" s="47" t="n"/>
      <c r="G69" s="49">
        <f>IF($D69="","",IF($F69="","⚠ missing cost",$D69*$F69))</f>
        <v/>
      </c>
      <c r="H69" s="21" t="n"/>
      <c r="I69" s="21" t="n"/>
      <c r="J69" s="21" t="n"/>
    </row>
    <row r="70">
      <c r="A70" s="46" t="n"/>
      <c r="B70" s="21" t="n"/>
      <c r="C70" s="21" t="n"/>
      <c r="D70" s="21" t="n"/>
      <c r="E70" s="21" t="n"/>
      <c r="F70" s="47" t="n"/>
      <c r="G70" s="48">
        <f>IF($D70="","",IF($F70="","⚠ missing cost",$D70*$F70))</f>
        <v/>
      </c>
      <c r="H70" s="21" t="n"/>
      <c r="I70" s="21" t="n"/>
      <c r="J70" s="21" t="n"/>
    </row>
    <row r="71">
      <c r="A71" s="46" t="n"/>
      <c r="B71" s="21" t="n"/>
      <c r="C71" s="21" t="n"/>
      <c r="D71" s="21" t="n"/>
      <c r="E71" s="21" t="n"/>
      <c r="F71" s="47" t="n"/>
      <c r="G71" s="49">
        <f>IF($D71="","",IF($F71="","⚠ missing cost",$D71*$F71))</f>
        <v/>
      </c>
      <c r="H71" s="21" t="n"/>
      <c r="I71" s="21" t="n"/>
      <c r="J71" s="21" t="n"/>
    </row>
    <row r="72">
      <c r="A72" s="46" t="n"/>
      <c r="B72" s="21" t="n"/>
      <c r="C72" s="21" t="n"/>
      <c r="D72" s="21" t="n"/>
      <c r="E72" s="21" t="n"/>
      <c r="F72" s="47" t="n"/>
      <c r="G72" s="48">
        <f>IF($D72="","",IF($F72="","⚠ missing cost",$D72*$F72))</f>
        <v/>
      </c>
      <c r="H72" s="21" t="n"/>
      <c r="I72" s="21" t="n"/>
      <c r="J72" s="21" t="n"/>
    </row>
    <row r="73">
      <c r="A73" s="46" t="n"/>
      <c r="B73" s="21" t="n"/>
      <c r="C73" s="21" t="n"/>
      <c r="D73" s="21" t="n"/>
      <c r="E73" s="21" t="n"/>
      <c r="F73" s="47" t="n"/>
      <c r="G73" s="49">
        <f>IF($D73="","",IF($F73="","⚠ missing cost",$D73*$F73))</f>
        <v/>
      </c>
      <c r="H73" s="21" t="n"/>
      <c r="I73" s="21" t="n"/>
      <c r="J73" s="21" t="n"/>
    </row>
    <row r="74">
      <c r="A74" s="46" t="n"/>
      <c r="B74" s="21" t="n"/>
      <c r="C74" s="21" t="n"/>
      <c r="D74" s="21" t="n"/>
      <c r="E74" s="21" t="n"/>
      <c r="F74" s="47" t="n"/>
      <c r="G74" s="48">
        <f>IF($D74="","",IF($F74="","⚠ missing cost",$D74*$F74))</f>
        <v/>
      </c>
      <c r="H74" s="21" t="n"/>
      <c r="I74" s="21" t="n"/>
      <c r="J74" s="21" t="n"/>
    </row>
    <row r="75">
      <c r="A75" s="46" t="n"/>
      <c r="B75" s="21" t="n"/>
      <c r="C75" s="21" t="n"/>
      <c r="D75" s="21" t="n"/>
      <c r="E75" s="21" t="n"/>
      <c r="F75" s="47" t="n"/>
      <c r="G75" s="49">
        <f>IF($D75="","",IF($F75="","⚠ missing cost",$D75*$F75))</f>
        <v/>
      </c>
      <c r="H75" s="21" t="n"/>
      <c r="I75" s="21" t="n"/>
      <c r="J75" s="21" t="n"/>
    </row>
    <row r="76">
      <c r="A76" s="46" t="n"/>
      <c r="B76" s="21" t="n"/>
      <c r="C76" s="21" t="n"/>
      <c r="D76" s="21" t="n"/>
      <c r="E76" s="21" t="n"/>
      <c r="F76" s="47" t="n"/>
      <c r="G76" s="48">
        <f>IF($D76="","",IF($F76="","⚠ missing cost",$D76*$F76))</f>
        <v/>
      </c>
      <c r="H76" s="21" t="n"/>
      <c r="I76" s="21" t="n"/>
      <c r="J76" s="21" t="n"/>
    </row>
    <row r="77">
      <c r="A77" s="46" t="n"/>
      <c r="B77" s="21" t="n"/>
      <c r="C77" s="21" t="n"/>
      <c r="D77" s="21" t="n"/>
      <c r="E77" s="21" t="n"/>
      <c r="F77" s="47" t="n"/>
      <c r="G77" s="49">
        <f>IF($D77="","",IF($F77="","⚠ missing cost",$D77*$F77))</f>
        <v/>
      </c>
      <c r="H77" s="21" t="n"/>
      <c r="I77" s="21" t="n"/>
      <c r="J77" s="21" t="n"/>
    </row>
    <row r="78">
      <c r="A78" s="46" t="n"/>
      <c r="B78" s="21" t="n"/>
      <c r="C78" s="21" t="n"/>
      <c r="D78" s="21" t="n"/>
      <c r="E78" s="21" t="n"/>
      <c r="F78" s="47" t="n"/>
      <c r="G78" s="48">
        <f>IF($D78="","",IF($F78="","⚠ missing cost",$D78*$F78))</f>
        <v/>
      </c>
      <c r="H78" s="21" t="n"/>
      <c r="I78" s="21" t="n"/>
      <c r="J78" s="21" t="n"/>
    </row>
    <row r="79">
      <c r="A79" s="46" t="n"/>
      <c r="B79" s="21" t="n"/>
      <c r="C79" s="21" t="n"/>
      <c r="D79" s="21" t="n"/>
      <c r="E79" s="21" t="n"/>
      <c r="F79" s="47" t="n"/>
      <c r="G79" s="49">
        <f>IF($D79="","",IF($F79="","⚠ missing cost",$D79*$F79))</f>
        <v/>
      </c>
      <c r="H79" s="21" t="n"/>
      <c r="I79" s="21" t="n"/>
      <c r="J79" s="21" t="n"/>
    </row>
    <row r="80">
      <c r="A80" s="46" t="n"/>
      <c r="B80" s="21" t="n"/>
      <c r="C80" s="21" t="n"/>
      <c r="D80" s="21" t="n"/>
      <c r="E80" s="21" t="n"/>
      <c r="F80" s="47" t="n"/>
      <c r="G80" s="48">
        <f>IF($D80="","",IF($F80="","⚠ missing cost",$D80*$F80))</f>
        <v/>
      </c>
      <c r="H80" s="21" t="n"/>
      <c r="I80" s="21" t="n"/>
      <c r="J80" s="21" t="n"/>
    </row>
    <row r="81">
      <c r="A81" s="46" t="n"/>
      <c r="B81" s="21" t="n"/>
      <c r="C81" s="21" t="n"/>
      <c r="D81" s="21" t="n"/>
      <c r="E81" s="21" t="n"/>
      <c r="F81" s="47" t="n"/>
      <c r="G81" s="49">
        <f>IF($D81="","",IF($F81="","⚠ missing cost",$D81*$F81))</f>
        <v/>
      </c>
      <c r="H81" s="21" t="n"/>
      <c r="I81" s="21" t="n"/>
      <c r="J81" s="21" t="n"/>
    </row>
    <row r="82">
      <c r="A82" s="46" t="n"/>
      <c r="B82" s="21" t="n"/>
      <c r="C82" s="21" t="n"/>
      <c r="D82" s="21" t="n"/>
      <c r="E82" s="21" t="n"/>
      <c r="F82" s="47" t="n"/>
      <c r="G82" s="48">
        <f>IF($D82="","",IF($F82="","⚠ missing cost",$D82*$F82))</f>
        <v/>
      </c>
      <c r="H82" s="21" t="n"/>
      <c r="I82" s="21" t="n"/>
      <c r="J82" s="21" t="n"/>
    </row>
    <row r="83">
      <c r="A83" s="46" t="n"/>
      <c r="B83" s="21" t="n"/>
      <c r="C83" s="21" t="n"/>
      <c r="D83" s="21" t="n"/>
      <c r="E83" s="21" t="n"/>
      <c r="F83" s="47" t="n"/>
      <c r="G83" s="49">
        <f>IF($D83="","",IF($F83="","⚠ missing cost",$D83*$F83))</f>
        <v/>
      </c>
      <c r="H83" s="21" t="n"/>
      <c r="I83" s="21" t="n"/>
      <c r="J83" s="21" t="n"/>
    </row>
    <row r="84">
      <c r="A84" s="46" t="n"/>
      <c r="B84" s="21" t="n"/>
      <c r="C84" s="21" t="n"/>
      <c r="D84" s="21" t="n"/>
      <c r="E84" s="21" t="n"/>
      <c r="F84" s="47" t="n"/>
      <c r="G84" s="48">
        <f>IF($D84="","",IF($F84="","⚠ missing cost",$D84*$F84))</f>
        <v/>
      </c>
      <c r="H84" s="21" t="n"/>
      <c r="I84" s="21" t="n"/>
      <c r="J84" s="21" t="n"/>
    </row>
    <row r="85">
      <c r="A85" s="46" t="n"/>
      <c r="B85" s="21" t="n"/>
      <c r="C85" s="21" t="n"/>
      <c r="D85" s="21" t="n"/>
      <c r="E85" s="21" t="n"/>
      <c r="F85" s="47" t="n"/>
      <c r="G85" s="49">
        <f>IF($D85="","",IF($F85="","⚠ missing cost",$D85*$F85))</f>
        <v/>
      </c>
      <c r="H85" s="21" t="n"/>
      <c r="I85" s="21" t="n"/>
      <c r="J85" s="21" t="n"/>
    </row>
    <row r="86">
      <c r="A86" s="46" t="n"/>
      <c r="B86" s="21" t="n"/>
      <c r="C86" s="21" t="n"/>
      <c r="D86" s="21" t="n"/>
      <c r="E86" s="21" t="n"/>
      <c r="F86" s="47" t="n"/>
      <c r="G86" s="48">
        <f>IF($D86="","",IF($F86="","⚠ missing cost",$D86*$F86))</f>
        <v/>
      </c>
      <c r="H86" s="21" t="n"/>
      <c r="I86" s="21" t="n"/>
      <c r="J86" s="21" t="n"/>
    </row>
    <row r="87">
      <c r="A87" s="46" t="n"/>
      <c r="B87" s="21" t="n"/>
      <c r="C87" s="21" t="n"/>
      <c r="D87" s="21" t="n"/>
      <c r="E87" s="21" t="n"/>
      <c r="F87" s="47" t="n"/>
      <c r="G87" s="49">
        <f>IF($D87="","",IF($F87="","⚠ missing cost",$D87*$F87))</f>
        <v/>
      </c>
      <c r="H87" s="21" t="n"/>
      <c r="I87" s="21" t="n"/>
      <c r="J87" s="21" t="n"/>
    </row>
    <row r="88">
      <c r="A88" s="46" t="n"/>
      <c r="B88" s="21" t="n"/>
      <c r="C88" s="21" t="n"/>
      <c r="D88" s="21" t="n"/>
      <c r="E88" s="21" t="n"/>
      <c r="F88" s="47" t="n"/>
      <c r="G88" s="48">
        <f>IF($D88="","",IF($F88="","⚠ missing cost",$D88*$F88))</f>
        <v/>
      </c>
      <c r="H88" s="21" t="n"/>
      <c r="I88" s="21" t="n"/>
      <c r="J88" s="21" t="n"/>
    </row>
    <row r="89">
      <c r="A89" s="46" t="n"/>
      <c r="B89" s="21" t="n"/>
      <c r="C89" s="21" t="n"/>
      <c r="D89" s="21" t="n"/>
      <c r="E89" s="21" t="n"/>
      <c r="F89" s="47" t="n"/>
      <c r="G89" s="49">
        <f>IF($D89="","",IF($F89="","⚠ missing cost",$D89*$F89))</f>
        <v/>
      </c>
      <c r="H89" s="21" t="n"/>
      <c r="I89" s="21" t="n"/>
      <c r="J89" s="21" t="n"/>
    </row>
    <row r="90">
      <c r="A90" s="46" t="n"/>
      <c r="B90" s="21" t="n"/>
      <c r="C90" s="21" t="n"/>
      <c r="D90" s="21" t="n"/>
      <c r="E90" s="21" t="n"/>
      <c r="F90" s="47" t="n"/>
      <c r="G90" s="48">
        <f>IF($D90="","",IF($F90="","⚠ missing cost",$D90*$F90))</f>
        <v/>
      </c>
      <c r="H90" s="21" t="n"/>
      <c r="I90" s="21" t="n"/>
      <c r="J90" s="21" t="n"/>
    </row>
    <row r="91">
      <c r="A91" s="46" t="n"/>
      <c r="B91" s="21" t="n"/>
      <c r="C91" s="21" t="n"/>
      <c r="D91" s="21" t="n"/>
      <c r="E91" s="21" t="n"/>
      <c r="F91" s="47" t="n"/>
      <c r="G91" s="49">
        <f>IF($D91="","",IF($F91="","⚠ missing cost",$D91*$F91))</f>
        <v/>
      </c>
      <c r="H91" s="21" t="n"/>
      <c r="I91" s="21" t="n"/>
      <c r="J91" s="21" t="n"/>
    </row>
    <row r="92">
      <c r="A92" s="46" t="n"/>
      <c r="B92" s="21" t="n"/>
      <c r="C92" s="21" t="n"/>
      <c r="D92" s="21" t="n"/>
      <c r="E92" s="21" t="n"/>
      <c r="F92" s="47" t="n"/>
      <c r="G92" s="48">
        <f>IF($D92="","",IF($F92="","⚠ missing cost",$D92*$F92))</f>
        <v/>
      </c>
      <c r="H92" s="21" t="n"/>
      <c r="I92" s="21" t="n"/>
      <c r="J92" s="21" t="n"/>
    </row>
    <row r="93">
      <c r="A93" s="46" t="n"/>
      <c r="B93" s="21" t="n"/>
      <c r="C93" s="21" t="n"/>
      <c r="D93" s="21" t="n"/>
      <c r="E93" s="21" t="n"/>
      <c r="F93" s="47" t="n"/>
      <c r="G93" s="49">
        <f>IF($D93="","",IF($F93="","⚠ missing cost",$D93*$F93))</f>
        <v/>
      </c>
      <c r="H93" s="21" t="n"/>
      <c r="I93" s="21" t="n"/>
      <c r="J93" s="21" t="n"/>
    </row>
    <row r="94">
      <c r="A94" s="46" t="n"/>
      <c r="B94" s="21" t="n"/>
      <c r="C94" s="21" t="n"/>
      <c r="D94" s="21" t="n"/>
      <c r="E94" s="21" t="n"/>
      <c r="F94" s="47" t="n"/>
      <c r="G94" s="48">
        <f>IF($D94="","",IF($F94="","⚠ missing cost",$D94*$F94))</f>
        <v/>
      </c>
      <c r="H94" s="21" t="n"/>
      <c r="I94" s="21" t="n"/>
      <c r="J94" s="21" t="n"/>
    </row>
    <row r="95">
      <c r="A95" s="46" t="n"/>
      <c r="B95" s="21" t="n"/>
      <c r="C95" s="21" t="n"/>
      <c r="D95" s="21" t="n"/>
      <c r="E95" s="21" t="n"/>
      <c r="F95" s="47" t="n"/>
      <c r="G95" s="49">
        <f>IF($D95="","",IF($F95="","⚠ missing cost",$D95*$F95))</f>
        <v/>
      </c>
      <c r="H95" s="21" t="n"/>
      <c r="I95" s="21" t="n"/>
      <c r="J95" s="21" t="n"/>
    </row>
    <row r="96">
      <c r="A96" s="46" t="n"/>
      <c r="B96" s="21" t="n"/>
      <c r="C96" s="21" t="n"/>
      <c r="D96" s="21" t="n"/>
      <c r="E96" s="21" t="n"/>
      <c r="F96" s="47" t="n"/>
      <c r="G96" s="48">
        <f>IF($D96="","",IF($F96="","⚠ missing cost",$D96*$F96))</f>
        <v/>
      </c>
      <c r="H96" s="21" t="n"/>
      <c r="I96" s="21" t="n"/>
      <c r="J96" s="21" t="n"/>
    </row>
    <row r="97">
      <c r="A97" s="46" t="n"/>
      <c r="B97" s="21" t="n"/>
      <c r="C97" s="21" t="n"/>
      <c r="D97" s="21" t="n"/>
      <c r="E97" s="21" t="n"/>
      <c r="F97" s="47" t="n"/>
      <c r="G97" s="49">
        <f>IF($D97="","",IF($F97="","⚠ missing cost",$D97*$F97))</f>
        <v/>
      </c>
      <c r="H97" s="21" t="n"/>
      <c r="I97" s="21" t="n"/>
      <c r="J97" s="21" t="n"/>
    </row>
    <row r="98">
      <c r="A98" s="46" t="n"/>
      <c r="B98" s="21" t="n"/>
      <c r="C98" s="21" t="n"/>
      <c r="D98" s="21" t="n"/>
      <c r="E98" s="21" t="n"/>
      <c r="F98" s="47" t="n"/>
      <c r="G98" s="48">
        <f>IF($D98="","",IF($F98="","⚠ missing cost",$D98*$F98))</f>
        <v/>
      </c>
      <c r="H98" s="21" t="n"/>
      <c r="I98" s="21" t="n"/>
      <c r="J98" s="21" t="n"/>
    </row>
    <row r="99">
      <c r="A99" s="46" t="n"/>
      <c r="B99" s="21" t="n"/>
      <c r="C99" s="21" t="n"/>
      <c r="D99" s="21" t="n"/>
      <c r="E99" s="21" t="n"/>
      <c r="F99" s="47" t="n"/>
      <c r="G99" s="49">
        <f>IF($D99="","",IF($F99="","⚠ missing cost",$D99*$F99))</f>
        <v/>
      </c>
      <c r="H99" s="21" t="n"/>
      <c r="I99" s="21" t="n"/>
      <c r="J99" s="21" t="n"/>
    </row>
    <row r="100">
      <c r="A100" s="46" t="n"/>
      <c r="B100" s="21" t="n"/>
      <c r="C100" s="21" t="n"/>
      <c r="D100" s="21" t="n"/>
      <c r="E100" s="21" t="n"/>
      <c r="F100" s="47" t="n"/>
      <c r="G100" s="48">
        <f>IF($D100="","",IF($F100="","⚠ missing cost",$D100*$F100))</f>
        <v/>
      </c>
      <c r="H100" s="21" t="n"/>
      <c r="I100" s="21" t="n"/>
      <c r="J100" s="21" t="n"/>
    </row>
    <row r="101">
      <c r="A101" s="46" t="n"/>
      <c r="B101" s="21" t="n"/>
      <c r="C101" s="21" t="n"/>
      <c r="D101" s="21" t="n"/>
      <c r="E101" s="21" t="n"/>
      <c r="F101" s="47" t="n"/>
      <c r="G101" s="49">
        <f>IF($D101="","",IF($F101="","⚠ missing cost",$D101*$F101))</f>
        <v/>
      </c>
      <c r="H101" s="21" t="n"/>
      <c r="I101" s="21" t="n"/>
      <c r="J101" s="21" t="n"/>
    </row>
    <row r="102">
      <c r="A102" s="46" t="n"/>
      <c r="B102" s="21" t="n"/>
      <c r="C102" s="21" t="n"/>
      <c r="D102" s="21" t="n"/>
      <c r="E102" s="21" t="n"/>
      <c r="F102" s="47" t="n"/>
      <c r="G102" s="48">
        <f>IF($D102="","",IF($F102="","⚠ missing cost",$D102*$F102))</f>
        <v/>
      </c>
      <c r="H102" s="21" t="n"/>
      <c r="I102" s="21" t="n"/>
      <c r="J102" s="21" t="n"/>
    </row>
    <row r="103">
      <c r="A103" s="46" t="n"/>
      <c r="B103" s="21" t="n"/>
      <c r="C103" s="21" t="n"/>
      <c r="D103" s="21" t="n"/>
      <c r="E103" s="21" t="n"/>
      <c r="F103" s="47" t="n"/>
      <c r="G103" s="49">
        <f>IF($D103="","",IF($F103="","⚠ missing cost",$D103*$F103))</f>
        <v/>
      </c>
      <c r="H103" s="21" t="n"/>
      <c r="I103" s="21" t="n"/>
      <c r="J103" s="21" t="n"/>
    </row>
    <row r="105">
      <c r="F105" s="11" t="inlineStr">
        <is>
          <t>MONTH TOTAL:</t>
        </is>
      </c>
      <c r="G105" s="50">
        <f>SUM(G4:G103)</f>
        <v>110.125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J2"/>
    <mergeCell ref="A1:J1"/>
  </mergeCells>
  <dataValidations count="3">
    <dataValidation sqref="H4:H103" showDropDown="0" showInputMessage="1" showErrorMessage="1" allowBlank="1" errorTitle="Invalid reason" error="Choose a value from the list. If each line uses different wording, the COUNTIF and SUMIF formulas in the analysis sheets won't add up correctly." promptTitle="Invalid reason" prompt="The reason is what turns the log into an action plan: the analysis counts how many times each one repeats." type="list" errorStyle="stop">
      <formula1>"Past use-by date,Poor condition on arrival,Breakage or spill,Prep error,Overproduction,Customer return,Cold chain failure,Butchery trim loss,Dish sent back,Unexplained variance"</formula1>
    </dataValidation>
    <dataValidation sqref="C4:C103" showDropDown="0" showInputMessage="1" showErrorMessage="1" allowBlank="1" errorTitle="Invalid category" error="Choose a value from the list. This is the kit's single taxonomy: if each template uses different wording, the SUMIF formulas in the analysis sheets won't add up correctly." promptTitle="Invalid category" prompt="The kit's 10 categories. They're the same across all 9 templates: the analysis in 05 and 07 aggregates by this exact text." type="list" errorStyle="stop">
      <formula1>"Meat &amp; Poultry,Seafood,Dairy &amp; Eggs,Produce,Dry Goods,Frozen,Alcoholic Beverages,Non-Alcoholic Beverages,Paper &amp; Cleaning,Other"</formula1>
    </dataValidation>
    <dataValidation sqref="E4:E103" showDropDown="0" showInputMessage="1" showErrorMessage="1" allowBlank="1" errorTitle="Invalid unit" error="Choose a value from the list. This is the kit's single taxonomy: if each template uses different wording, the SUMIF formulas in the analysis sheets won't add up correctly." promptTitle="Invalid unit" prompt="REAL purchase unit: draft beer is by the keg, eggs by the dozen, and wine by the bottle (750 ml each)." type="list" errorStyle="stop">
      <formula1>"lb,oz,kg,gal,qt,L,each,dozen,case,tray,keg,bag,roll,pack,bottle,can"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4" customWidth="1" min="4" max="4"/>
    <col width="22" customWidth="1" min="5" max="5"/>
    <col width="24" customWidth="1" min="6" max="6"/>
    <col width="4" customWidth="1" min="7" max="7"/>
    <col width="30" customWidth="1" min="8" max="8"/>
    <col width="14" customWidth="1" min="9" max="9"/>
  </cols>
  <sheetData>
    <row r="1">
      <c r="A1" s="26" t="inlineStr">
        <is>
          <t>WASTE ANALYSIS BY CATEGORY</t>
        </is>
      </c>
    </row>
    <row r="3">
      <c r="A3" s="27" t="inlineStr">
        <is>
          <t>Category</t>
        </is>
      </c>
      <c r="B3" s="27" t="inlineStr">
        <is>
          <t># Incidents</t>
        </is>
      </c>
      <c r="C3" s="27" t="inlineStr">
        <is>
          <t>Total Cost</t>
        </is>
      </c>
      <c r="D3" s="27" t="inlineStr">
        <is>
          <t>% of Total</t>
        </is>
      </c>
      <c r="E3" s="27" t="inlineStr">
        <is>
          <t>Prior month cost</t>
        </is>
      </c>
      <c r="F3" s="27" t="inlineStr">
        <is>
          <t>Trend vs prior month (%)</t>
        </is>
      </c>
      <c r="H3" s="27" t="inlineStr">
        <is>
          <t>Reason</t>
        </is>
      </c>
      <c r="I3" s="27" t="inlineStr">
        <is>
          <t># of times</t>
        </is>
      </c>
    </row>
    <row r="4">
      <c r="A4" s="28" t="inlineStr">
        <is>
          <t>Meat &amp; Poultry</t>
        </is>
      </c>
      <c r="B4" s="29">
        <f>COUNTIF('Daily Waste Log'!$C$4:$C$103,$A4)</f>
        <v>1.0</v>
      </c>
      <c r="C4" s="51">
        <f>SUMIF('Daily Waste Log'!$C$4:$C$103,$A4,'Daily Waste Log'!$G$4:$G$103)</f>
        <v>43.025000000000006</v>
      </c>
      <c r="D4" s="52">
        <f>IFERROR($C4/$C$14,"")</f>
        <v>0.39069239500567543</v>
      </c>
      <c r="E4" s="53" t="n"/>
      <c r="F4" s="52">
        <f>IFERROR(IF($E4="","",$C4/$E4-1),"")</f>
        <v/>
      </c>
      <c r="H4" s="33" t="inlineStr">
        <is>
          <t>Past use-by date</t>
        </is>
      </c>
      <c r="I4" s="34">
        <f>COUNTIF('Daily Waste Log'!$H$4:$H$103,$H4)</f>
        <v>1.0</v>
      </c>
    </row>
    <row r="5">
      <c r="A5" t="inlineStr">
        <is>
          <t>Seafood</t>
        </is>
      </c>
      <c r="B5" s="34">
        <f>COUNTIF('Daily Waste Log'!$C$4:$C$103,$A5)</f>
        <v>1.0</v>
      </c>
      <c r="C5" s="54">
        <f>SUMIF('Daily Waste Log'!$C$4:$C$103,$A5,'Daily Waste Log'!$G$4:$G$103)</f>
        <v>57.5</v>
      </c>
      <c r="D5" s="55">
        <f>IFERROR($C5/$C$14,"")</f>
        <v>0.5221339387060159</v>
      </c>
      <c r="E5" s="53" t="n"/>
      <c r="F5" s="55">
        <f>IFERROR(IF($E5="","",$C5/$E5-1),"")</f>
        <v/>
      </c>
      <c r="H5" s="33" t="inlineStr">
        <is>
          <t>Poor condition on arrival</t>
        </is>
      </c>
      <c r="I5" s="34">
        <f>COUNTIF('Daily Waste Log'!$H$4:$H$103,$H5)</f>
        <v>0.0</v>
      </c>
    </row>
    <row r="6">
      <c r="A6" s="28" t="inlineStr">
        <is>
          <t>Dairy &amp; Eggs</t>
        </is>
      </c>
      <c r="B6" s="29">
        <f>COUNTIF('Daily Waste Log'!$C$4:$C$103,$A6)</f>
        <v>0.0</v>
      </c>
      <c r="C6" s="51">
        <f>SUMIF('Daily Waste Log'!$C$4:$C$103,$A6,'Daily Waste Log'!$G$4:$G$103)</f>
        <v>0.0</v>
      </c>
      <c r="D6" s="52">
        <f>IFERROR($C6/$C$14,"")</f>
        <v>0.0</v>
      </c>
      <c r="E6" s="53" t="n"/>
      <c r="F6" s="52">
        <f>IFERROR(IF($E6="","",$C6/$E6-1),"")</f>
        <v/>
      </c>
      <c r="H6" s="33" t="inlineStr">
        <is>
          <t>Breakage or spill</t>
        </is>
      </c>
      <c r="I6" s="34">
        <f>COUNTIF('Daily Waste Log'!$H$4:$H$103,$H6)</f>
        <v>0.0</v>
      </c>
    </row>
    <row r="7">
      <c r="A7" t="inlineStr">
        <is>
          <t>Produce</t>
        </is>
      </c>
      <c r="B7" s="34">
        <f>COUNTIF('Daily Waste Log'!$C$4:$C$103,$A7)</f>
        <v>1.0</v>
      </c>
      <c r="C7" s="54">
        <f>SUMIF('Daily Waste Log'!$C$4:$C$103,$A7,'Daily Waste Log'!$G$4:$G$103)</f>
        <v>9.600000000000001</v>
      </c>
      <c r="D7" s="55">
        <f>IFERROR($C7/$C$14,"")</f>
        <v>0.08717366628830875</v>
      </c>
      <c r="E7" s="53" t="n"/>
      <c r="F7" s="55">
        <f>IFERROR(IF($E7="","",$C7/$E7-1),"")</f>
        <v/>
      </c>
      <c r="H7" s="33" t="inlineStr">
        <is>
          <t>Prep error</t>
        </is>
      </c>
      <c r="I7" s="34">
        <f>COUNTIF('Daily Waste Log'!$H$4:$H$103,$H7)</f>
        <v>1.0</v>
      </c>
    </row>
    <row r="8">
      <c r="A8" s="28" t="inlineStr">
        <is>
          <t>Dry Goods</t>
        </is>
      </c>
      <c r="B8" s="29">
        <f>COUNTIF('Daily Waste Log'!$C$4:$C$103,$A8)</f>
        <v>0.0</v>
      </c>
      <c r="C8" s="51">
        <f>SUMIF('Daily Waste Log'!$C$4:$C$103,$A8,'Daily Waste Log'!$G$4:$G$103)</f>
        <v>0.0</v>
      </c>
      <c r="D8" s="52">
        <f>IFERROR($C8/$C$14,"")</f>
        <v>0.0</v>
      </c>
      <c r="E8" s="53" t="n"/>
      <c r="F8" s="52">
        <f>IFERROR(IF($E8="","",$C8/$E8-1),"")</f>
        <v/>
      </c>
      <c r="H8" s="33" t="inlineStr">
        <is>
          <t>Overproduction</t>
        </is>
      </c>
      <c r="I8" s="34">
        <f>COUNTIF('Daily Waste Log'!$H$4:$H$103,$H8)</f>
        <v>0.0</v>
      </c>
    </row>
    <row r="9">
      <c r="A9" t="inlineStr">
        <is>
          <t>Frozen</t>
        </is>
      </c>
      <c r="B9" s="34">
        <f>COUNTIF('Daily Waste Log'!$C$4:$C$103,$A9)</f>
        <v>0.0</v>
      </c>
      <c r="C9" s="54">
        <f>SUMIF('Daily Waste Log'!$C$4:$C$103,$A9,'Daily Waste Log'!$G$4:$G$103)</f>
        <v>0.0</v>
      </c>
      <c r="D9" s="55">
        <f>IFERROR($C9/$C$14,"")</f>
        <v>0.0</v>
      </c>
      <c r="E9" s="53" t="n"/>
      <c r="F9" s="55">
        <f>IFERROR(IF($E9="","",$C9/$E9-1),"")</f>
        <v/>
      </c>
      <c r="H9" s="33" t="inlineStr">
        <is>
          <t>Customer return</t>
        </is>
      </c>
      <c r="I9" s="34">
        <f>COUNTIF('Daily Waste Log'!$H$4:$H$103,$H9)</f>
        <v>0.0</v>
      </c>
    </row>
    <row r="10">
      <c r="A10" s="28" t="inlineStr">
        <is>
          <t>Alcoholic Beverages</t>
        </is>
      </c>
      <c r="B10" s="29">
        <f>COUNTIF('Daily Waste Log'!$C$4:$C$103,$A10)</f>
        <v>0.0</v>
      </c>
      <c r="C10" s="51">
        <f>SUMIF('Daily Waste Log'!$C$4:$C$103,$A10,'Daily Waste Log'!$G$4:$G$103)</f>
        <v>0.0</v>
      </c>
      <c r="D10" s="52">
        <f>IFERROR($C10/$C$14,"")</f>
        <v>0.0</v>
      </c>
      <c r="E10" s="53" t="n"/>
      <c r="F10" s="52">
        <f>IFERROR(IF($E10="","",$C10/$E10-1),"")</f>
        <v/>
      </c>
      <c r="H10" s="33" t="inlineStr">
        <is>
          <t>Cold chain failure</t>
        </is>
      </c>
      <c r="I10" s="34">
        <f>COUNTIF('Daily Waste Log'!$H$4:$H$103,$H10)</f>
        <v>1.0</v>
      </c>
    </row>
    <row r="11">
      <c r="A11" t="inlineStr">
        <is>
          <t>Non-Alcoholic Beverages</t>
        </is>
      </c>
      <c r="B11" s="34">
        <f>COUNTIF('Daily Waste Log'!$C$4:$C$103,$A11)</f>
        <v>0.0</v>
      </c>
      <c r="C11" s="54">
        <f>SUMIF('Daily Waste Log'!$C$4:$C$103,$A11,'Daily Waste Log'!$G$4:$G$103)</f>
        <v>0.0</v>
      </c>
      <c r="D11" s="55">
        <f>IFERROR($C11/$C$14,"")</f>
        <v>0.0</v>
      </c>
      <c r="E11" s="53" t="n"/>
      <c r="F11" s="55">
        <f>IFERROR(IF($E11="","",$C11/$E11-1),"")</f>
        <v/>
      </c>
      <c r="H11" s="33" t="inlineStr">
        <is>
          <t>Butchery trim loss</t>
        </is>
      </c>
      <c r="I11" s="34">
        <f>COUNTIF('Daily Waste Log'!$H$4:$H$103,$H11)</f>
        <v>0.0</v>
      </c>
    </row>
    <row r="12">
      <c r="A12" s="28" t="inlineStr">
        <is>
          <t>Paper &amp; Cleaning</t>
        </is>
      </c>
      <c r="B12" s="29">
        <f>COUNTIF('Daily Waste Log'!$C$4:$C$103,$A12)</f>
        <v>0.0</v>
      </c>
      <c r="C12" s="51">
        <f>SUMIF('Daily Waste Log'!$C$4:$C$103,$A12,'Daily Waste Log'!$G$4:$G$103)</f>
        <v>0.0</v>
      </c>
      <c r="D12" s="52">
        <f>IFERROR($C12/$C$14,"")</f>
        <v>0.0</v>
      </c>
      <c r="E12" s="53" t="n"/>
      <c r="F12" s="52">
        <f>IFERROR(IF($E12="","",$C12/$E12-1),"")</f>
        <v/>
      </c>
      <c r="H12" s="33" t="inlineStr">
        <is>
          <t>Dish sent back</t>
        </is>
      </c>
      <c r="I12" s="34">
        <f>COUNTIF('Daily Waste Log'!$H$4:$H$103,$H12)</f>
        <v>0.0</v>
      </c>
    </row>
    <row r="13">
      <c r="A13" t="inlineStr">
        <is>
          <t>Other</t>
        </is>
      </c>
      <c r="B13" s="34">
        <f>COUNTIF('Daily Waste Log'!$C$4:$C$103,$A13)</f>
        <v>0.0</v>
      </c>
      <c r="C13" s="54">
        <f>SUMIF('Daily Waste Log'!$C$4:$C$103,$A13,'Daily Waste Log'!$G$4:$G$103)</f>
        <v>0.0</v>
      </c>
      <c r="D13" s="55">
        <f>IFERROR($C13/$C$14,"")</f>
        <v>0.0</v>
      </c>
      <c r="E13" s="53" t="n"/>
      <c r="F13" s="55">
        <f>IFERROR(IF($E13="","",$C13/$E13-1),"")</f>
        <v/>
      </c>
      <c r="H13" s="33" t="inlineStr">
        <is>
          <t>Unexplained variance</t>
        </is>
      </c>
      <c r="I13" s="34">
        <f>COUNTIF('Daily Waste Log'!$H$4:$H$103,$H13)</f>
        <v>0.0</v>
      </c>
    </row>
    <row r="14">
      <c r="A14" s="15" t="inlineStr">
        <is>
          <t>MONTH TOTAL</t>
        </is>
      </c>
      <c r="B14" s="37">
        <f>SUM($B$4:$B$13)</f>
        <v>3.0</v>
      </c>
      <c r="C14" s="56">
        <f>SUM($C$4:$C$13)</f>
        <v>110.125</v>
      </c>
      <c r="D14" s="57">
        <f>IFERROR(SUM($D$4:$D$13),"")</f>
        <v>1.0</v>
      </c>
      <c r="E14" s="56">
        <f>SUM($E$4:$E$13)</f>
        <v>0.0</v>
      </c>
      <c r="F14" s="57">
        <f>IFERROR(IF($E$14=0,"",$C$14/$E$14-1),"")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F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6" customWidth="1" min="4" max="4"/>
  </cols>
  <sheetData>
    <row r="1">
      <c r="A1" s="26" t="inlineStr">
        <is>
          <t>WASTE DASHBOARD — MONTH</t>
        </is>
      </c>
    </row>
    <row r="3">
      <c r="A3" s="27" t="inlineStr">
        <is>
          <t>KPI</t>
        </is>
      </c>
      <c r="B3" s="27" t="inlineStr">
        <is>
          <t>Result</t>
        </is>
      </c>
      <c r="C3" s="27" t="inlineStr">
        <is>
          <t>Target</t>
        </is>
      </c>
      <c r="D3" s="27" t="inlineStr">
        <is>
          <t>Status</t>
        </is>
      </c>
    </row>
    <row r="4">
      <c r="A4" t="inlineStr">
        <is>
          <t>Total waste cost</t>
        </is>
      </c>
      <c r="B4" s="54">
        <f>'Daily Waste Log'!$G$105</f>
        <v>110.125</v>
      </c>
      <c r="C4" s="54">
        <f>IFERROR(IF($B$10="","",$B$10*$B$11),"")</f>
        <v>447.0</v>
      </c>
      <c r="D4" t="str">
        <f>IF(OR($B$4="",$C$4=""),"",IF($B$4&lt;=$C$4,"🟢 OK","🔴 ALERT"))</f>
        <v>🟢 OK</v>
      </c>
    </row>
    <row r="5">
      <c r="A5" t="inlineStr">
        <is>
          <t>% waste over purchases</t>
        </is>
      </c>
      <c r="B5" s="55">
        <f>IFERROR($B$4/$B$10,"")</f>
        <v>0.007390939597315436</v>
      </c>
      <c r="C5" s="55">
        <f>IF($B$11="","",$B$11)</f>
        <v>0.03</v>
      </c>
      <c r="D5" t="str">
        <f>IF(OR($B$5="",$C$5=""),"",IF($B$5&lt;=$C$5,"🟢 OK",IF($B$5&lt;=$C$5*1.5,"🟡 REVIEW","🔴 ALERT")))</f>
        <v>🟢 OK</v>
      </c>
    </row>
    <row r="6">
      <c r="A6" t="inlineStr">
        <is>
          <t># of incidents</t>
        </is>
      </c>
      <c r="B6" s="34">
        <f>COUNTIF('Daily Waste Log'!$B$4:$B$103,"&lt;&gt;")</f>
        <v>3.0</v>
      </c>
      <c r="C6" s="40" t="n">
        <v>20</v>
      </c>
      <c r="D6" t="str">
        <f>IF($B$6="","",IF($B$6&lt;=$C$6,"🟢 OK","🟡 REVIEW"))</f>
        <v>🟢 OK</v>
      </c>
    </row>
    <row r="7">
      <c r="A7" t="inlineStr">
        <is>
          <t>Category with the most waste</t>
        </is>
      </c>
      <c r="B7" t="str">
        <f>IF(MAX('Waste by Category'!$C$4:$C$13)&lt;=0,"— no waste logged —",IFERROR(INDEX('Waste by Category'!$A$4:$A$13,MATCH(MAX('Waste by Category'!$C$4:$C$13),'Waste by Category'!$C$4:$C$13,0)),""))</f>
        <v>Seafood</v>
      </c>
      <c r="C7" t="inlineStr">
        <is>
          <t>Tackle it in the plan</t>
        </is>
      </c>
    </row>
    <row r="8">
      <c r="A8" t="inlineStr">
        <is>
          <t>Most frequent reason</t>
        </is>
      </c>
      <c r="B8" t="str">
        <f>IF(MAX('Waste by Category'!$I$4:$I$13)&lt;=0,"— no waste logged —",IFERROR(INDEX('Waste by Category'!$H$4:$H$13,MATCH(MAX('Waste by Category'!$I$4:$I$13),'Waste by Category'!$I$4:$I$13,0))&amp;" · "&amp;MAX('Waste by Category'!$I$4:$I$13)&amp;" times",""))</f>
        <v>Past use-by date · 1 times</v>
      </c>
      <c r="C8" t="inlineStr">
        <is>
          <t>Tackle it in the plan</t>
        </is>
      </c>
      <c r="D8" t="inlineStr">
        <is>
          <t>If several reasons tie, it shows the first one on the list: check the reasons table in the analysis to see them all.</t>
        </is>
      </c>
    </row>
    <row r="10">
      <c r="A10" s="15" t="inlineStr">
        <is>
          <t>Month's purchases (pre-tax)</t>
        </is>
      </c>
      <c r="B10" s="53" t="n">
        <v>14900</v>
      </c>
    </row>
    <row r="11">
      <c r="A11" s="15" t="inlineStr">
        <is>
          <t>Waste target over purchases</t>
        </is>
      </c>
      <c r="B11" s="58" t="n">
        <v>0.03</v>
      </c>
    </row>
    <row r="13">
      <c r="A13" s="19" t="inlineStr">
        <is>
          <t>Type the month's purchases in the green cell, net of recoverable tax (the subtotal of your vendor invoices). Without it, the kit's own 3% target cannot be calculated: that is why the dollar target is no longer a fixed "under $500" but that percentage of YOUR purchases.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13:D13"/>
  </mergeCells>
  <conditionalFormatting sqref="D4:D8">
    <cfRule type="containsText" priority="1" operator="containsText" dxfId="0" stopIfTrue="1" text="ALERT">
      <formula>NOT(ISERROR(SEARCH("ALERT",D4)))</formula>
    </cfRule>
    <cfRule type="containsText" priority="2" operator="containsText" dxfId="1" stopIfTrue="1" text="REVIEW">
      <formula>NOT(ISERROR(SEARCH("REVIEW",D4)))</formula>
    </cfRule>
    <cfRule type="containsText" priority="3" operator="containsText" dxfId="2" stopIfTrue="1" text="OK">
      <formula>NOT(ISERROR(SEARCH("OK",D4)))</formula>
    </cfRule>
  </conditionalFormatting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40" customWidth="1" min="3" max="3"/>
    <col width="44" customWidth="1" min="4" max="4"/>
    <col width="52" customWidth="1" min="5" max="5"/>
    <col width="24" customWidth="1" min="6" max="6"/>
    <col width="14" customWidth="1" min="7" max="7"/>
    <col width="20" customWidth="1" min="8" max="8"/>
    <col width="24" customWidth="1" min="9" max="9"/>
  </cols>
  <sheetData>
    <row r="1">
      <c r="A1" s="26" t="inlineStr">
        <is>
          <t>ACTION PLAN — WASTE REDUCTION</t>
        </is>
      </c>
    </row>
    <row r="2">
      <c r="A2" s="19" t="inlineStr">
        <is>
          <t>The first five rows are the most common causes of kitchen waste, already written in. Adapt them, add a date and an owner, and estimate the monthly cost you avoid.</t>
        </is>
      </c>
    </row>
    <row r="3">
      <c r="A3" s="27" t="inlineStr">
        <is>
          <t>Priority</t>
        </is>
      </c>
      <c r="B3" s="27" t="inlineStr">
        <is>
          <t>Category</t>
        </is>
      </c>
      <c r="C3" s="27" t="inlineStr">
        <is>
          <t>Problem detected</t>
        </is>
      </c>
      <c r="D3" s="27" t="inlineStr">
        <is>
          <t>Root cause</t>
        </is>
      </c>
      <c r="E3" s="27" t="inlineStr">
        <is>
          <t>Corrective action</t>
        </is>
      </c>
      <c r="F3" s="27" t="inlineStr">
        <is>
          <t>Handled by</t>
        </is>
      </c>
      <c r="G3" s="27" t="inlineStr">
        <is>
          <t>Due date</t>
        </is>
      </c>
      <c r="H3" s="27" t="inlineStr">
        <is>
          <t>Monthly cost avoided</t>
        </is>
      </c>
      <c r="I3" s="27" t="inlineStr">
        <is>
          <t>Status and follow-up</t>
        </is>
      </c>
    </row>
    <row r="4">
      <c r="A4" s="42" t="inlineStr">
        <is>
          <t>High</t>
        </is>
      </c>
      <c r="B4" s="42" t="inlineStr">
        <is>
          <t>Meat &amp; Poultry</t>
        </is>
      </c>
      <c r="C4" s="42" t="inlineStr">
        <is>
          <t>Prepped food is thrown out at the end of service</t>
        </is>
      </c>
      <c r="D4" s="42" t="inlineStr">
        <is>
          <t>Overproduction: prep is done by habit, not against the cover forecast</t>
        </is>
      </c>
      <c r="E4" s="42" t="inlineStr">
        <is>
          <t>Prep against the day's forecast and log the leftovers in the waste log before closing</t>
        </is>
      </c>
      <c r="F4" s="42" t="inlineStr">
        <is>
          <t>Head chef</t>
        </is>
      </c>
      <c r="G4" s="59" t="n"/>
      <c r="H4" s="60" t="n">
        <v>250</v>
      </c>
      <c r="I4" s="42" t="inlineStr">
        <is>
          <t>Pending</t>
        </is>
      </c>
    </row>
    <row r="5">
      <c r="A5" s="42" t="inlineStr">
        <is>
          <t>High</t>
        </is>
      </c>
      <c r="B5" s="42" t="inlineStr">
        <is>
          <t>Produce</t>
        </is>
      </c>
      <c r="C5" s="42" t="inlineStr">
        <is>
          <t>Expired product turns up with newer stock in front of it</t>
        </is>
      </c>
      <c r="D5" s="42" t="inlineStr">
        <is>
          <t>Date labeling is incomplete: opening dates are not written down</t>
        </is>
      </c>
      <c r="E5" s="42" t="inlineStr">
        <is>
          <t>Date-label everything you open and put what expires first in front</t>
        </is>
      </c>
      <c r="F5" s="42" t="inlineStr">
        <is>
          <t>Sous chef</t>
        </is>
      </c>
      <c r="G5" s="59" t="n"/>
      <c r="H5" s="60" t="n">
        <v>175</v>
      </c>
      <c r="I5" s="42" t="inlineStr">
        <is>
          <t>In progress</t>
        </is>
      </c>
    </row>
    <row r="6">
      <c r="A6" s="42" t="inlineStr">
        <is>
          <t>Medium</t>
        </is>
      </c>
      <c r="B6" s="42" t="inlineStr">
        <is>
          <t>Seafood</t>
        </is>
      </c>
      <c r="C6" s="42" t="inlineStr">
        <is>
          <t>Product lost to a cold chain failure</t>
        </is>
      </c>
      <c r="D6" s="42" t="inlineStr">
        <is>
          <t>The walk-in isn't checked daily and the door is left open during service</t>
        </is>
      </c>
      <c r="E6" s="42" t="inlineStr">
        <is>
          <t>Temperature log twice a day and a door check at the end of every service</t>
        </is>
      </c>
      <c r="F6" s="42" t="inlineStr">
        <is>
          <t>HACCP / food safety plan lead</t>
        </is>
      </c>
      <c r="G6" s="59" t="n"/>
      <c r="H6" s="60" t="n">
        <v>135</v>
      </c>
      <c r="I6" s="42" t="inlineStr">
        <is>
          <t>Pending</t>
        </is>
      </c>
    </row>
    <row r="7">
      <c r="A7" s="42" t="inlineStr">
        <is>
          <t>Medium</t>
        </is>
      </c>
      <c r="B7" s="42" t="inlineStr">
        <is>
          <t>Meat &amp; Poultry</t>
        </is>
      </c>
      <c r="C7" s="42" t="inlineStr">
        <is>
          <t>Butchery trim loss runs above plan</t>
        </is>
      </c>
      <c r="D7" s="42" t="inlineStr">
        <is>
          <t>Every cook trims differently: there is no yield test</t>
        </is>
      </c>
      <c r="E7" s="42" t="inlineStr">
        <is>
          <t>Butcher yield test with a target yield and weighed trim once a week</t>
        </is>
      </c>
      <c r="F7" s="42" t="inlineStr">
        <is>
          <t>Station chef</t>
        </is>
      </c>
      <c r="G7" s="59" t="n"/>
      <c r="H7" s="60" t="n">
        <v>110</v>
      </c>
      <c r="I7" s="42" t="inlineStr">
        <is>
          <t>Pending</t>
        </is>
      </c>
    </row>
    <row r="8">
      <c r="A8" s="42" t="inlineStr">
        <is>
          <t>Low</t>
        </is>
      </c>
      <c r="B8" s="42" t="inlineStr">
        <is>
          <t>Dry Goods</t>
        </is>
      </c>
      <c r="C8" s="42" t="inlineStr">
        <is>
          <t>Dead stock in dry storage</t>
        </is>
      </c>
      <c r="D8" s="42" t="inlineStr">
        <is>
          <t>Orders exceed real usage: nobody checks on-hand before ordering</t>
        </is>
      </c>
      <c r="E8" s="42" t="inlineStr">
        <is>
          <t>Order from the "Order Qty" column of the inventory sheet and respect the reorder point</t>
        </is>
      </c>
      <c r="F8" s="42" t="inlineStr">
        <is>
          <t>Purchasing manager</t>
        </is>
      </c>
      <c r="G8" s="59" t="n"/>
      <c r="H8" s="60" t="n">
        <v>55</v>
      </c>
      <c r="I8" s="42" t="inlineStr">
        <is>
          <t>Pending</t>
        </is>
      </c>
    </row>
    <row r="9">
      <c r="A9" s="33" t="n"/>
      <c r="B9" s="33" t="n"/>
      <c r="C9" s="33" t="n"/>
      <c r="D9" s="33" t="n"/>
      <c r="E9" s="33" t="n"/>
      <c r="F9" s="33" t="n"/>
      <c r="G9" s="59" t="n"/>
      <c r="H9" s="53" t="n"/>
      <c r="I9" s="33" t="n"/>
    </row>
    <row r="10">
      <c r="A10" s="33" t="n"/>
      <c r="B10" s="33" t="n"/>
      <c r="C10" s="33" t="n"/>
      <c r="D10" s="33" t="n"/>
      <c r="E10" s="33" t="n"/>
      <c r="F10" s="33" t="n"/>
      <c r="G10" s="59" t="n"/>
      <c r="H10" s="53" t="n"/>
      <c r="I10" s="33" t="n"/>
    </row>
    <row r="11">
      <c r="A11" s="33" t="n"/>
      <c r="B11" s="33" t="n"/>
      <c r="C11" s="33" t="n"/>
      <c r="D11" s="33" t="n"/>
      <c r="E11" s="33" t="n"/>
      <c r="F11" s="33" t="n"/>
      <c r="G11" s="59" t="n"/>
      <c r="H11" s="53" t="n"/>
      <c r="I11" s="33" t="n"/>
    </row>
    <row r="12">
      <c r="A12" s="33" t="n"/>
      <c r="B12" s="33" t="n"/>
      <c r="C12" s="33" t="n"/>
      <c r="D12" s="33" t="n"/>
      <c r="E12" s="33" t="n"/>
      <c r="F12" s="33" t="n"/>
      <c r="G12" s="59" t="n"/>
      <c r="H12" s="53" t="n"/>
      <c r="I12" s="33" t="n"/>
    </row>
    <row r="13">
      <c r="A13" s="33" t="n"/>
      <c r="B13" s="33" t="n"/>
      <c r="C13" s="33" t="n"/>
      <c r="D13" s="33" t="n"/>
      <c r="E13" s="33" t="n"/>
      <c r="F13" s="33" t="n"/>
      <c r="G13" s="59" t="n"/>
      <c r="H13" s="53" t="n"/>
      <c r="I13" s="33" t="n"/>
    </row>
    <row r="14">
      <c r="A14" s="33" t="n"/>
      <c r="B14" s="33" t="n"/>
      <c r="C14" s="33" t="n"/>
      <c r="D14" s="33" t="n"/>
      <c r="E14" s="33" t="n"/>
      <c r="F14" s="33" t="n"/>
      <c r="G14" s="59" t="n"/>
      <c r="H14" s="53" t="n"/>
      <c r="I14" s="33" t="n"/>
    </row>
    <row r="15">
      <c r="A15" s="33" t="n"/>
      <c r="B15" s="33" t="n"/>
      <c r="C15" s="33" t="n"/>
      <c r="D15" s="33" t="n"/>
      <c r="E15" s="33" t="n"/>
      <c r="F15" s="33" t="n"/>
      <c r="G15" s="59" t="n"/>
      <c r="H15" s="53" t="n"/>
      <c r="I15" s="33" t="n"/>
    </row>
    <row r="16">
      <c r="A16" s="33" t="n"/>
      <c r="B16" s="33" t="n"/>
      <c r="C16" s="33" t="n"/>
      <c r="D16" s="33" t="n"/>
      <c r="E16" s="33" t="n"/>
      <c r="F16" s="33" t="n"/>
      <c r="G16" s="59" t="n"/>
      <c r="H16" s="53" t="n"/>
      <c r="I16" s="33" t="n"/>
    </row>
    <row r="17">
      <c r="A17" s="33" t="n"/>
      <c r="B17" s="33" t="n"/>
      <c r="C17" s="33" t="n"/>
      <c r="D17" s="33" t="n"/>
      <c r="E17" s="33" t="n"/>
      <c r="F17" s="33" t="n"/>
      <c r="G17" s="59" t="n"/>
      <c r="H17" s="53" t="n"/>
      <c r="I17" s="33" t="n"/>
    </row>
    <row r="18">
      <c r="A18" s="33" t="n"/>
      <c r="B18" s="33" t="n"/>
      <c r="C18" s="33" t="n"/>
      <c r="D18" s="33" t="n"/>
      <c r="E18" s="33" t="n"/>
      <c r="F18" s="33" t="n"/>
      <c r="G18" s="59" t="n"/>
      <c r="H18" s="53" t="n"/>
      <c r="I18" s="33" t="n"/>
    </row>
    <row r="19">
      <c r="A19" s="33" t="n"/>
      <c r="B19" s="33" t="n"/>
      <c r="C19" s="33" t="n"/>
      <c r="D19" s="33" t="n"/>
      <c r="E19" s="33" t="n"/>
      <c r="F19" s="33" t="n"/>
      <c r="G19" s="59" t="n"/>
      <c r="H19" s="53" t="n"/>
      <c r="I19" s="33" t="n"/>
    </row>
    <row r="20">
      <c r="A20" s="33" t="n"/>
      <c r="B20" s="33" t="n"/>
      <c r="C20" s="33" t="n"/>
      <c r="D20" s="33" t="n"/>
      <c r="E20" s="33" t="n"/>
      <c r="F20" s="33" t="n"/>
      <c r="G20" s="59" t="n"/>
      <c r="H20" s="53" t="n"/>
      <c r="I20" s="33" t="n"/>
    </row>
    <row r="21">
      <c r="A21" s="33" t="n"/>
      <c r="B21" s="33" t="n"/>
      <c r="C21" s="33" t="n"/>
      <c r="D21" s="33" t="n"/>
      <c r="E21" s="33" t="n"/>
      <c r="F21" s="33" t="n"/>
      <c r="G21" s="59" t="n"/>
      <c r="H21" s="53" t="n"/>
      <c r="I21" s="33" t="n"/>
    </row>
    <row r="22">
      <c r="A22" s="33" t="n"/>
      <c r="B22" s="33" t="n"/>
      <c r="C22" s="33" t="n"/>
      <c r="D22" s="33" t="n"/>
      <c r="E22" s="33" t="n"/>
      <c r="F22" s="33" t="n"/>
      <c r="G22" s="59" t="n"/>
      <c r="H22" s="53" t="n"/>
      <c r="I22" s="33" t="n"/>
    </row>
    <row r="23">
      <c r="A23" s="33" t="n"/>
      <c r="B23" s="33" t="n"/>
      <c r="C23" s="33" t="n"/>
      <c r="D23" s="33" t="n"/>
      <c r="E23" s="33" t="n"/>
      <c r="F23" s="33" t="n"/>
      <c r="G23" s="59" t="n"/>
      <c r="H23" s="53" t="n"/>
      <c r="I23" s="33" t="n"/>
    </row>
    <row r="25">
      <c r="G25" s="45" t="inlineStr">
        <is>
          <t>TOTAL ESTIMATED SAVINGS</t>
        </is>
      </c>
      <c r="H25" s="56">
        <f>SUM($H$4:$H$23)</f>
        <v>725.0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I2"/>
    <mergeCell ref="A1:I1"/>
  </mergeCells>
  <dataValidations count="2">
    <dataValidation sqref="A4:A23" showDropDown="0" showInputMessage="1" showErrorMessage="1" allowBlank="1" errorTitle="Invalid priority" error="Choose a value from the list. If each line uses different wording, the COUNTIF and SUMIF formulas in the analysis sheets won't add up correctly." promptTitle="Invalid priority" prompt="Prioritize by money, not by convenience: check the &quot;Total Cost&quot; column in the category analysis first." type="list" errorStyle="stop">
      <formula1>"High,Medium,Low"</formula1>
    </dataValidation>
    <dataValidation sqref="I4:I23" showDropDown="0" showInputMessage="1" showErrorMessage="1" allowBlank="1" errorTitle="Invalid status" error="Choose a value from the list. If each line uses different wording, the COUNTIF and SUMIF formulas in the analysis sheets won't add up correctly." promptTitle="Invalid status" prompt="A plan with no follow-up is just a list of good intentions." type="list" errorStyle="stop">
      <formula1>"Pending,In progress,Implemented,Verified,Dropped"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Waste Log &amp; Action Plan</dc:title>
  <dc:description xmlns:dc="http://purl.org/dc/elements/1.1/">aichef.pro/en/digital-products/restaurant-inventory-templates</dc:description>
  <dc:subject xmlns:dc="http://purl.org/dc/elements/1.1/">Restaurant Inventory Kit Pro · v2.0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2026-09-25T19:48:22Z</dcterms:modified>
  <cp:lastModifiedBy>AI Chef Pro</cp:lastModifiedBy>
  <cp:category>AI Chef Pro · Digital products</cp:category>
  <cp:keywords>restaurant inventory template, par sheet, AI Chef Pro</cp:keywords>
</cp:coreProperties>
</file>