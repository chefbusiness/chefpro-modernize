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ceiving Log" sheetId="2" state="visible" r:id="rId2"/>
    <sheet xmlns:r="http://schemas.openxmlformats.org/officeDocument/2006/relationships" name="Discrepancy Log" sheetId="3" state="visible" r:id="rId3"/>
    <sheet xmlns:r="http://schemas.openxmlformats.org/officeDocument/2006/relationships" name="Receiving Temps" sheetId="4" state="visible" r:id="rId4"/>
  </sheets>
  <definedNames>
    <definedName name="_xlnm.Print_Titles" localSheetId="1">'Receiving Log'!$3:$3</definedName>
    <definedName name="_xlnm.Print_Area" localSheetId="1">'Receiving Log'!$A$1:$V$45</definedName>
    <definedName name="_xlnm.Print_Titles" localSheetId="2">'Discrepancy Log'!$3:$3</definedName>
    <definedName name="_xlnm.Print_Area" localSheetId="2">'Discrepancy Log'!$A$1:$K$26</definedName>
    <definedName name="_xlnm.Print_Titles" localSheetId="3">'Receiving Temps'!$3:$3</definedName>
    <definedName name="_xlnm.Print_Area" localSheetId="3">'Receiving Temps'!$A$1:$H$20</definedName>
  </definedNames>
  <calcPr calcId="124519" fullCalcOnLoad="1"/>
</workbook>
</file>

<file path=xl/styles.xml><?xml version="1.0" encoding="utf-8"?>
<styleSheet xmlns="http://schemas.openxmlformats.org/spreadsheetml/2006/main">
  <numFmts count="2">
    <numFmt numFmtId="164" formatCode="m/d/yyyy"/>
    <numFmt numFmtId="165" formatCode="#,##0.00"/>
  </numFmts>
  <fonts count="11">
    <font>
      <name val="Calibri"/>
      <family val="2"/>
      <color theme="1"/>
      <sz val="11"/>
      <scheme val="minor"/>
    </font>
    <font>
      <b val="1"/>
      <color rgb="00FFD700"/>
      <sz val="16"/>
    </font>
    <font>
      <color rgb="00888888"/>
      <sz val="10"/>
    </font>
    <font>
      <sz val="10"/>
    </font>
    <font>
      <b val="1"/>
      <color rgb="00FFD700"/>
      <sz val="14"/>
    </font>
    <font>
      <b val="1"/>
      <color rgb="00FFFFFF"/>
      <sz val="10"/>
    </font>
    <font>
      <b val="1"/>
      <color rgb="00FF4444"/>
      <sz val="14"/>
    </font>
    <font>
      <b val="1"/>
      <sz val="13"/>
    </font>
    <font>
      <b val="1"/>
      <color rgb="00FFFFFF"/>
    </font>
    <font>
      <i val="1"/>
      <sz val="9"/>
    </font>
    <font>
      <b val="1"/>
    </font>
  </fonts>
  <fills count="6">
    <fill>
      <patternFill/>
    </fill>
    <fill>
      <patternFill patternType="gray125"/>
    </fill>
    <fill>
      <patternFill patternType="solid">
        <fgColor rgb="002D2D2D"/>
      </patternFill>
    </fill>
    <fill>
      <patternFill patternType="solid">
        <fgColor rgb="00F5F5F5"/>
      </patternFill>
    </fill>
    <fill>
      <patternFill patternType="solid">
        <fgColor rgb="00FF4444"/>
      </patternFill>
    </fill>
    <fill>
      <patternFill patternType="solid">
        <f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wrapText="1"/>
    </xf>
    <xf numFmtId="0" fontId="4" fillId="0" borderId="0" pivotButton="0" quotePrefix="0" xfId="0"/>
    <xf numFmtId="0" fontId="5" fillId="2" borderId="1" applyAlignment="1" pivotButton="0" quotePrefix="0" xfId="0">
      <alignment horizontal="center" vertical="center" wrapText="1"/>
    </xf>
    <xf numFmtId="0" fontId="3" fillId="0" borderId="1" applyAlignment="1" pivotButton="0" quotePrefix="0" xfId="0">
      <alignment vertical="center" wrapText="1"/>
    </xf>
    <xf numFmtId="0" fontId="3" fillId="3" borderId="1" applyAlignment="1" pivotButton="0" quotePrefix="0" xfId="0">
      <alignment vertical="center" wrapText="1"/>
    </xf>
    <xf numFmtId="0" fontId="6" fillId="0" borderId="0" pivotButton="0" quotePrefix="0" xfId="0"/>
    <xf numFmtId="0" fontId="5" fillId="4" borderId="1" applyAlignment="1" pivotButton="0" quotePrefix="0" xfId="0">
      <alignment horizontal="center" vertical="center" wrapText="1"/>
    </xf>
    <xf numFmtId="0" fontId="7"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7" fillId="0" borderId="0" applyAlignment="1" pivotButton="0" quotePrefix="0" xfId="0">
      <alignment vertical="center"/>
    </xf>
    <xf numFmtId="0" fontId="9" fillId="0" borderId="0" applyAlignment="1" pivotButton="0" quotePrefix="0" xfId="0">
      <alignment vertical="top" wrapText="1"/>
    </xf>
    <xf numFmtId="0" fontId="8" fillId="2" borderId="0" applyAlignment="1" pivotButton="0" quotePrefix="0" xfId="0">
      <alignment horizontal="center" vertical="center" wrapText="1"/>
    </xf>
    <xf numFmtId="164" fontId="0" fillId="5" borderId="0" applyProtection="1" pivotButton="0" quotePrefix="0" xfId="0">
      <protection locked="0" hidden="0"/>
    </xf>
    <xf numFmtId="0" fontId="0" fillId="5" borderId="0" applyProtection="1" pivotButton="0" quotePrefix="0" xfId="0">
      <protection locked="0" hidden="0"/>
    </xf>
    <xf numFmtId="0" fontId="0" fillId="3" borderId="0" pivotButton="0" quotePrefix="0" xfId="0"/>
    <xf numFmtId="165" fontId="0" fillId="5" borderId="0" applyProtection="1" pivotButton="0" quotePrefix="0" xfId="0">
      <protection locked="0" hidden="0"/>
    </xf>
    <xf numFmtId="165" fontId="0" fillId="3" borderId="0" pivotButton="0" quotePrefix="0" xfId="0"/>
    <xf numFmtId="165" fontId="0" fillId="0" borderId="0" pivotButton="0" quotePrefix="0" xfId="0"/>
    <xf numFmtId="0" fontId="10" fillId="0" borderId="0" applyAlignment="1" pivotButton="0" quotePrefix="0" xfId="0">
      <alignment horizontal="right"/>
    </xf>
    <xf numFmtId="0" fontId="10" fillId="0" borderId="0" pivotButton="0" quotePrefix="0" xfId="0"/>
    <xf numFmtId="165" fontId="10" fillId="0" borderId="0" pivotButton="0" quotePrefix="0" xfId="0"/>
    <xf numFmtId="0" fontId="8" fillId="4" borderId="0" applyAlignment="1" pivotButton="0" quotePrefix="0" xfId="0">
      <alignment horizontal="center" vertical="center" wrapText="1"/>
    </xf>
    <xf numFmtId="0" fontId="0" fillId="3" borderId="0" applyAlignment="1" pivotButton="0" quotePrefix="0" xfId="0">
      <alignment horizontal="general" vertical="top" wrapText="1"/>
    </xf>
    <xf numFmtId="0" fontId="0" fillId="3" borderId="0" applyAlignment="1" pivotButton="0" quotePrefix="0" xfId="0">
      <alignment horizontal="center" vertical="top" wrapText="1"/>
    </xf>
    <xf numFmtId="0" fontId="0" fillId="0" borderId="0" applyAlignment="1" pivotButton="0" quotePrefix="0" xfId="0">
      <alignment horizontal="general" vertical="top" wrapText="1"/>
    </xf>
    <xf numFmtId="0" fontId="0" fillId="0" borderId="0" applyAlignment="1" pivotButton="0" quotePrefix="0" xfId="0">
      <alignment horizontal="center" vertical="top" wrapText="1"/>
    </xf>
    <xf numFmtId="14" fontId="0" fillId="5" borderId="0" applyProtection="1" pivotButton="0" quotePrefix="0" xfId="0">
      <protection locked="0" hidden="0"/>
    </xf>
    <xf numFmtId="165" fontId="0" fillId="5" borderId="0" applyProtection="1" pivotButton="0" quotePrefix="0" xfId="0">
      <protection locked="0" hidden="0"/>
    </xf>
    <xf numFmtId="165" fontId="0" fillId="3" borderId="0" pivotButton="0" quotePrefix="0" xfId="0"/>
    <xf numFmtId="165" fontId="0" fillId="0" borderId="0" pivotButton="0" quotePrefix="0" xfId="0"/>
    <xf numFmtId="165" fontId="10" fillId="0" borderId="0" pivotButton="0" quotePrefix="0" xfId="0"/>
  </cellXfs>
  <cellStyles count="1">
    <cellStyle name="Normal" xfId="0" builtinId="0" hidden="0"/>
  </cellStyles>
  <dxfs count="3">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A15"/>
  <sheetViews>
    <sheetView workbookViewId="0">
      <selection activeCell="A1" sqref="A1"/>
    </sheetView>
  </sheetViews>
  <sheetFormatPr baseColWidth="8" defaultRowHeight="15"/>
  <cols>
    <col width="100" customWidth="1" min="1" max="1"/>
  </cols>
  <sheetData>
    <row r="1">
      <c r="A1" s="11" t="inlineStr">
        <is>
          <t>Receiving Log (Temperatures &amp; Credit Requests)</t>
        </is>
      </c>
    </row>
    <row r="2">
      <c r="A2" s="12" t="inlineStr">
        <is>
          <t>AI Chef Pro — aichef.pro</t>
        </is>
      </c>
    </row>
    <row r="3">
      <c r="A3" s="3" t="n"/>
    </row>
    <row r="4">
      <c r="A4" s="13" t="inlineStr">
        <is>
          <t>Check every delivery and keep the record an inspector will ask for: packing slip, lot number, temperature, compliance and signature.</t>
        </is>
      </c>
    </row>
    <row r="5">
      <c r="A5" s="13" t="inlineStr">
        <is>
          <t>1. When a vendor arrives, open "Receiving Log" and log one line per product.</t>
        </is>
      </c>
    </row>
    <row r="6">
      <c r="A6" s="13" t="inlineStr">
        <is>
          <t>2. Fill in the invoice/packing slip number and the lot number. These are the two pieces of data that support backward traceability: without them, the record doesn't hold up as a documentation prerequisite of your HACCP / food safety plan.</t>
        </is>
      </c>
    </row>
    <row r="7">
      <c r="A7" s="13" t="inlineStr">
        <is>
          <t>3. Choose the product's category (the same 10 used across the kit) and the "Suggested Family" column proposes the food safety family on its own. REFINE it in the "Family" column when the line calls for it: most raw meat, poultry, fish and dairy share the 41 °F (5 °C) limit, but live shellfish and shell eggs may arrive at up to 45 °F (7 °C), hot food must arrive at 135 °F (57 °C) or above, and frozen food must arrive frozen. Shell eggs are bought under "Dairy &amp; Eggs", so switch them to "Shell eggs".</t>
        </is>
      </c>
    </row>
    <row r="8">
      <c r="A8" s="13" t="inlineStr">
        <is>
          <t>4. Type the measured temperature: the cell turns RED and the temperature check column says REJECT as soon as it falls outside its family's range. There are five possible answers and it pays to know them: ACCEPT · REJECT (too warm) · REJECT (too cold), because fish at -4 °F (-20 °C) arrived frozen and lettuce at 28 °F (-2 °C) is frost-damaged · N/A when that family is not temperature-controlled (dry goods, beverages, non-food) · and NO LIMIT FOR THIS FAMILY when what you typed in "Family" is not in the table. That last one is not a bug: it is the file refusing to give you an approval it cannot back up.</t>
        </is>
      </c>
    </row>
    <row r="9">
      <c r="A9" s="13" t="inlineStr">
        <is>
          <t>5. The difference between what you ordered and what you received calculates itself, and if you enter the price/unit, so does its VALUE IN YOUR CURRENCY: that's what you actually claim back from the vendor. Log whatever you don't accept in "Discrepancy Log" with that amount; the sum of that column minus credits received is what they owe you.</t>
        </is>
      </c>
    </row>
    <row r="10">
      <c r="A10" s="14" t="inlineStr">
        <is>
          <t>6. The "Receiving Temps" tab cites the regulation behind each limit and, on the right, bridges the kit's 10 purchasing categories with the regulatory families. Edit it only if your health authority tells you otherwise; it's protected without a password so it doesn't get deleted by accident, because every line's verdict depends on it.</t>
        </is>
      </c>
    </row>
    <row r="11">
      <c r="A11" s="13" t="inlineStr">
        <is>
          <t>Thresholds taken from the FDA Food Code 2022. They document your records; they don't replace your HACCP / food safety plan or a consultant.</t>
        </is>
      </c>
    </row>
    <row r="13">
      <c r="A13" s="14" t="inlineStr">
        <is>
          <t>To edit a locked cell: Review → Unprotect Sheet (no password). Green cells are already editable without unprotecting anything.</t>
        </is>
      </c>
    </row>
    <row r="14">
      <c r="A14" s="14" t="inlineStr">
        <is>
          <t>Designed by John Guerrero — chef and restaurant consultant since 2010, in professional kitchens since age 17 · johnguerrero.es</t>
        </is>
      </c>
    </row>
    <row r="15">
      <c r="A15" s="14" t="inlineStr">
        <is>
          <t>Version 2.0 · September 2026 · aichef.pro/en/digital-products/restaurant-inventory-templates · info@aichef.pro</t>
        </is>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V45"/>
  <sheetViews>
    <sheetView workbookViewId="0">
      <pane ySplit="3" topLeftCell="A4" activePane="bottomLeft" state="frozen"/>
      <selection pane="bottomLeft" activeCell="A1" sqref="A1"/>
    </sheetView>
  </sheetViews>
  <sheetFormatPr baseColWidth="8" defaultRowHeight="15"/>
  <cols>
    <col width="12" customWidth="1" min="1" max="1"/>
    <col width="24" customWidth="1" min="2" max="2"/>
    <col width="16" customWidth="1" min="3" max="3"/>
    <col width="26" customWidth="1" min="4" max="4"/>
    <col width="18" customWidth="1" min="5" max="5"/>
    <col width="32" customWidth="1" min="6" max="6"/>
    <col width="32" customWidth="1" min="7" max="7"/>
    <col width="14" customWidth="1" min="8" max="8"/>
    <col width="11" customWidth="1" min="9" max="9"/>
    <col width="12" customWidth="1" min="10" max="10"/>
    <col width="13" customWidth="1" min="11" max="11"/>
    <col width="13" customWidth="1" min="12" max="12"/>
    <col width="17" customWidth="1" min="13" max="13"/>
    <col width="12" customWidth="1" min="14" max="14"/>
    <col width="10" customWidth="1" min="15" max="15"/>
    <col hidden="1" width="11" customWidth="1" min="16" max="16"/>
    <col width="11" customWidth="1" min="17" max="17"/>
    <col width="20" customWidth="1" min="18" max="18"/>
    <col width="13" customWidth="1" min="19" max="19"/>
    <col width="34" customWidth="1" min="20" max="20"/>
    <col width="18" customWidth="1" min="21" max="21"/>
    <col width="14" customWidth="1" min="22" max="22"/>
  </cols>
  <sheetData>
    <row r="1">
      <c r="A1" s="15" t="inlineStr">
        <is>
          <t>RECEIVING LOG</t>
        </is>
      </c>
    </row>
    <row r="2">
      <c r="A2" s="16" t="inlineStr">
        <is>
          <t>One line per product received. The first FOUR are a SAMPLE and tell a single story together with the Discrepancy Log: a short delivery, one rejected for temperature, one in poor condition, and one with no temperature control. Delete them before you start.</t>
        </is>
      </c>
    </row>
    <row r="3">
      <c r="A3" s="17" t="inlineStr">
        <is>
          <t>Date</t>
        </is>
      </c>
      <c r="B3" s="17" t="inlineStr">
        <is>
          <t>Vendor</t>
        </is>
      </c>
      <c r="C3" s="17" t="inlineStr">
        <is>
          <t>Invoice/packing slip #</t>
        </is>
      </c>
      <c r="D3" s="17" t="inlineStr">
        <is>
          <t>Product</t>
        </is>
      </c>
      <c r="E3" s="17" t="inlineStr">
        <is>
          <t>Category (kit)</t>
        </is>
      </c>
      <c r="F3" s="17" t="inlineStr">
        <is>
          <t>Suggested Family</t>
        </is>
      </c>
      <c r="G3" s="17" t="inlineStr">
        <is>
          <t>Family</t>
        </is>
      </c>
      <c r="H3" s="17" t="inlineStr">
        <is>
          <t>Lot #</t>
        </is>
      </c>
      <c r="I3" s="17" t="inlineStr">
        <is>
          <t>Ordered (units)</t>
        </is>
      </c>
      <c r="J3" s="17" t="inlineStr">
        <is>
          <t>Received (units)</t>
        </is>
      </c>
      <c r="K3" s="17" t="inlineStr">
        <is>
          <t>Difference (units)</t>
        </is>
      </c>
      <c r="L3" s="17" t="inlineStr">
        <is>
          <t>Price/unit</t>
        </is>
      </c>
      <c r="M3" s="17" t="inlineStr">
        <is>
          <t>Value of difference</t>
        </is>
      </c>
      <c r="N3" s="17" t="inlineStr">
        <is>
          <t>Use-by</t>
        </is>
      </c>
      <c r="O3" s="17" t="inlineStr">
        <is>
          <t>Temp. °F</t>
        </is>
      </c>
      <c r="P3" s="17" t="inlineStr">
        <is>
          <t>Min temp. (°F)</t>
        </is>
      </c>
      <c r="Q3" s="17" t="inlineStr">
        <is>
          <t>Max temp. (°F)</t>
        </is>
      </c>
      <c r="R3" s="17" t="inlineStr">
        <is>
          <t>Compliant (temp.)</t>
        </is>
      </c>
      <c r="S3" s="17" t="inlineStr">
        <is>
          <t>Visual quality</t>
        </is>
      </c>
      <c r="T3" s="17" t="inlineStr">
        <is>
          <t>Discrepancy</t>
        </is>
      </c>
      <c r="U3" s="17" t="inlineStr">
        <is>
          <t>Received by</t>
        </is>
      </c>
      <c r="V3" s="17" t="inlineStr">
        <is>
          <t>Signature</t>
        </is>
      </c>
    </row>
    <row r="4">
      <c r="A4" s="32" t="n">
        <v>46252</v>
      </c>
      <c r="B4" s="19" t="inlineStr">
        <is>
          <t>Prime Cut Meats (sample)</t>
        </is>
      </c>
      <c r="C4" s="19" t="inlineStr">
        <is>
          <t>INV-24518</t>
        </is>
      </c>
      <c r="D4" s="19" t="inlineStr">
        <is>
          <t>Beef tenderloin (sample)</t>
        </is>
      </c>
      <c r="E4" s="19" t="inlineStr">
        <is>
          <t>Meat &amp; Poultry</t>
        </is>
      </c>
      <c r="F4" s="20" t="str">
        <f>IF($E4="","",IFERROR(VLOOKUP($E4,'Receiving Temps'!$G$4:$H$13,2,FALSE),""))</f>
        <v>Raw beef, pork &amp; lamb</v>
      </c>
      <c r="G4" s="19" t="inlineStr">
        <is>
          <t>Raw beef, pork &amp; lamb</t>
        </is>
      </c>
      <c r="H4" s="19" t="inlineStr">
        <is>
          <t>L-260817</t>
        </is>
      </c>
      <c r="I4" s="19" t="n">
        <v>24</v>
      </c>
      <c r="J4" s="19" t="n">
        <v>20</v>
      </c>
      <c r="K4" s="20">
        <f>IF(OR($I4="",$J4=""),"",$J4-$I4)</f>
        <v>-4.0</v>
      </c>
      <c r="L4" s="33" t="n">
        <v>17.21</v>
      </c>
      <c r="M4" s="34">
        <f>IF(OR($K4="",$L4=""),"",$K4*$L4)</f>
        <v>-68.84</v>
      </c>
      <c r="N4" s="32" t="n">
        <v>46259</v>
      </c>
      <c r="O4" s="19" t="n">
        <v>37</v>
      </c>
      <c r="P4" s="20">
        <f>IF(IF($G4="",$F4,$G4)="","",IFERROR(VLOOKUP(IF($G4="",$F4,$G4),'Receiving Temps'!$A$4:$E$18,3,FALSE),""))</f>
        <v>30.0</v>
      </c>
      <c r="Q4" s="20">
        <f>IF(IF($G4="",$F4,$G4)="","",IFERROR(VLOOKUP(IF($G4="",$F4,$G4),'Receiving Temps'!$A$4:$E$18,4,FALSE),""))</f>
        <v>41.0</v>
      </c>
      <c r="R4" s="20" t="str">
        <f>IF(OR($O4="",IF($G4="",$F4,$G4)=""),"",IF($Q4="N/A","N/A",IF($Q4="","⚠ NO LIMIT FOR THIS FAMILY",IF($O4&lt;$P4,"✗ REJECT (too cold)",IF($O4&lt;=$Q4,"✓ ACCEPT","✗ REJECT (too warm)")))))</f>
        <v>✓ ACCEPT</v>
      </c>
      <c r="S4" s="19" t="inlineStr">
        <is>
          <t>✓</t>
        </is>
      </c>
      <c r="T4" s="19" t="inlineStr">
        <is>
          <t>4 lb short of the 24 lb ordered: credit requested by email the same day</t>
        </is>
      </c>
      <c r="U4" s="19" t="inlineStr">
        <is>
          <t>Head chef</t>
        </is>
      </c>
      <c r="V4" s="19" t="n"/>
    </row>
    <row r="5">
      <c r="A5" s="32" t="n">
        <v>46252</v>
      </c>
      <c r="B5" s="19" t="inlineStr">
        <is>
          <t>Harbor Fresh Seafood (sample)</t>
        </is>
      </c>
      <c r="C5" s="19" t="inlineStr">
        <is>
          <t>INV-0091</t>
        </is>
      </c>
      <c r="D5" s="19" t="inlineStr">
        <is>
          <t>Fresh cod fillet (sample)</t>
        </is>
      </c>
      <c r="E5" s="19" t="inlineStr">
        <is>
          <t>Seafood</t>
        </is>
      </c>
      <c r="F5" t="str">
        <f>IF($E5="","",IFERROR(VLOOKUP($E5,'Receiving Temps'!$G$4:$H$13,2,FALSE),""))</f>
        <v>Fresh fish &amp; shucked shellfish</v>
      </c>
      <c r="G5" s="19" t="inlineStr">
        <is>
          <t>Fresh fish &amp; shucked shellfish</t>
        </is>
      </c>
      <c r="H5" s="19" t="inlineStr">
        <is>
          <t>L-260818</t>
        </is>
      </c>
      <c r="I5" s="19" t="n">
        <v>20</v>
      </c>
      <c r="J5" s="19" t="n">
        <v>20</v>
      </c>
      <c r="K5">
        <f>IF(OR($I5="",$J5=""),"",$J5-$I5)</f>
        <v>0.0</v>
      </c>
      <c r="L5" s="33" t="n">
        <v>11.5</v>
      </c>
      <c r="M5" s="35">
        <f>IF(OR($K5="",$L5=""),"",$K5*$L5)</f>
        <v>0.0</v>
      </c>
      <c r="N5" s="32" t="n">
        <v>46255</v>
      </c>
      <c r="O5" s="19" t="n">
        <v>46</v>
      </c>
      <c r="P5">
        <f>IF(IF($G5="",$F5,$G5)="","",IFERROR(VLOOKUP(IF($G5="",$F5,$G5),'Receiving Temps'!$A$4:$E$18,3,FALSE),""))</f>
        <v>30.0</v>
      </c>
      <c r="Q5">
        <f>IF(IF($G5="",$F5,$G5)="","",IFERROR(VLOOKUP(IF($G5="",$F5,$G5),'Receiving Temps'!$A$4:$E$18,4,FALSE),""))</f>
        <v>41.0</v>
      </c>
      <c r="R5" t="str">
        <f>IF(OR($O5="",IF($G5="",$F5,$G5)=""),"",IF($Q5="N/A","N/A",IF($Q5="","⚠ NO LIMIT FOR THIS FAMILY",IF($O5&lt;$P5,"✗ REJECT (too cold)",IF($O5&lt;=$Q5,"✓ ACCEPT","✗ REJECT (too warm)")))))</f>
        <v>✗ REJECT (too warm)</v>
      </c>
      <c r="S5" s="19" t="inlineStr">
        <is>
          <t>✗</t>
        </is>
      </c>
      <c r="T5" s="19" t="inlineStr">
        <is>
          <t>Arrived at 46 °F against its group's 41 °F limit: whole lot sent back with the driver</t>
        </is>
      </c>
      <c r="U5" s="19" t="inlineStr">
        <is>
          <t>Sous chef</t>
        </is>
      </c>
      <c r="V5" s="19" t="n"/>
    </row>
    <row r="6">
      <c r="A6" s="32" t="n">
        <v>46253</v>
      </c>
      <c r="B6" s="19" t="inlineStr">
        <is>
          <t>Green Valley Produce (sample)</t>
        </is>
      </c>
      <c r="C6" s="19" t="inlineStr">
        <is>
          <t>INV-7742</t>
        </is>
      </c>
      <c r="D6" s="19" t="inlineStr">
        <is>
          <t>Tomatoes (sample)</t>
        </is>
      </c>
      <c r="E6" s="19" t="inlineStr">
        <is>
          <t>Produce</t>
        </is>
      </c>
      <c r="F6" s="20" t="str">
        <f>IF($E6="","",IFERROR(VLOOKUP($E6,'Receiving Temps'!$G$4:$H$13,2,FALSE),""))</f>
        <v>Whole produce</v>
      </c>
      <c r="G6" s="19" t="inlineStr">
        <is>
          <t>Whole produce</t>
        </is>
      </c>
      <c r="H6" s="19" t="inlineStr">
        <is>
          <t>L-260819</t>
        </is>
      </c>
      <c r="I6" s="19" t="n">
        <v>75</v>
      </c>
      <c r="J6" s="19" t="n">
        <v>75</v>
      </c>
      <c r="K6" s="20">
        <f>IF(OR($I6="",$J6=""),"",$J6-$I6)</f>
        <v>0.0</v>
      </c>
      <c r="L6" s="33" t="n">
        <v>1.98</v>
      </c>
      <c r="M6" s="34">
        <f>IF(OR($K6="",$L6=""),"",$K6*$L6)</f>
        <v>0.0</v>
      </c>
      <c r="N6" s="32" t="n">
        <v>46260</v>
      </c>
      <c r="O6" s="19" t="n">
        <v>48</v>
      </c>
      <c r="P6" s="20">
        <f>IF(IF($G6="",$F6,$G6)="","",IFERROR(VLOOKUP(IF($G6="",$F6,$G6),'Receiving Temps'!$A$4:$E$18,3,FALSE),""))</f>
        <v>32.0</v>
      </c>
      <c r="Q6" s="20">
        <f>IF(IF($G6="",$F6,$G6)="","",IFERROR(VLOOKUP(IF($G6="",$F6,$G6),'Receiving Temps'!$A$4:$E$18,4,FALSE),""))</f>
        <v>54.0</v>
      </c>
      <c r="R6" s="20" t="str">
        <f>IF(OR($O6="",IF($G6="",$F6,$G6)=""),"",IF($Q6="N/A","N/A",IF($Q6="","⚠ NO LIMIT FOR THIS FAMILY",IF($O6&lt;$P6,"✗ REJECT (too cold)",IF($O6&lt;=$Q6,"✓ ACCEPT","✗ REJECT (too warm)")))))</f>
        <v>✓ ACCEPT</v>
      </c>
      <c r="S6" s="19" t="inlineStr">
        <is>
          <t>✗</t>
        </is>
      </c>
      <c r="T6" s="19" t="inlineStr">
        <is>
          <t>Two 25 lb cases with mold at the bottom: pulled and entered in the waste log</t>
        </is>
      </c>
      <c r="U6" s="19" t="inlineStr">
        <is>
          <t>Purchasing manager</t>
        </is>
      </c>
      <c r="V6" s="19" t="n"/>
    </row>
    <row r="7">
      <c r="A7" s="32" t="n">
        <v>46253</v>
      </c>
      <c r="B7" s="19" t="inlineStr">
        <is>
          <t>Pantry Foodservice Supply (sample)</t>
        </is>
      </c>
      <c r="C7" s="19" t="inlineStr">
        <is>
          <t>INV-7743</t>
        </is>
      </c>
      <c r="D7" s="19" t="inlineStr">
        <is>
          <t>All-purpose flour, 50 lb bags (sample)</t>
        </is>
      </c>
      <c r="E7" s="19" t="inlineStr">
        <is>
          <t>Dry Goods</t>
        </is>
      </c>
      <c r="F7" t="str">
        <f>IF($E7="","",IFERROR(VLOOKUP($E7,'Receiving Temps'!$G$4:$H$13,2,FALSE),""))</f>
        <v>Dry &amp; canned goods (ambient)</v>
      </c>
      <c r="G7" s="19" t="inlineStr">
        <is>
          <t>Dry &amp; canned goods (ambient)</t>
        </is>
      </c>
      <c r="H7" s="19" t="inlineStr">
        <is>
          <t>L-260820</t>
        </is>
      </c>
      <c r="I7" s="19" t="n">
        <v>100</v>
      </c>
      <c r="J7" s="19" t="n">
        <v>100</v>
      </c>
      <c r="K7">
        <f>IF(OR($I7="",$J7=""),"",$J7-$I7)</f>
        <v>0.0</v>
      </c>
      <c r="L7" s="33" t="n">
        <v>0.6</v>
      </c>
      <c r="M7" s="35">
        <f>IF(OR($K7="",$L7=""),"",$K7*$L7)</f>
        <v>0.0</v>
      </c>
      <c r="N7" s="32" t="n">
        <v>46437</v>
      </c>
      <c r="O7" s="19" t="n">
        <v>72</v>
      </c>
      <c r="P7" t="str">
        <f>IF(IF($G7="",$F7,$G7)="","",IFERROR(VLOOKUP(IF($G7="",$F7,$G7),'Receiving Temps'!$A$4:$E$18,3,FALSE),""))</f>
        <v>N/A</v>
      </c>
      <c r="Q7" t="str">
        <f>IF(IF($G7="",$F7,$G7)="","",IFERROR(VLOOKUP(IF($G7="",$F7,$G7),'Receiving Temps'!$A$4:$E$18,4,FALSE),""))</f>
        <v>N/A</v>
      </c>
      <c r="R7" t="str">
        <f>IF(OR($O7="",IF($G7="",$F7,$G7)=""),"",IF($Q7="N/A","N/A",IF($Q7="","⚠ NO LIMIT FOR THIS FAMILY",IF($O7&lt;$P7,"✗ REJECT (too cold)",IF($O7&lt;=$Q7,"✓ ACCEPT","✗ REJECT (too warm)")))))</f>
        <v>N/A</v>
      </c>
      <c r="S7" s="19" t="inlineStr">
        <is>
          <t>✓</t>
        </is>
      </c>
      <c r="T7" s="19" t="n"/>
      <c r="U7" s="19" t="inlineStr">
        <is>
          <t>Purchasing manager</t>
        </is>
      </c>
      <c r="V7" s="19" t="n"/>
    </row>
    <row r="8">
      <c r="A8" s="32" t="n"/>
      <c r="B8" s="19" t="n"/>
      <c r="C8" s="19" t="n"/>
      <c r="D8" s="19" t="n"/>
      <c r="E8" s="19" t="n"/>
      <c r="F8" s="20">
        <f>IF($E8="","",IFERROR(VLOOKUP($E8,'Receiving Temps'!$G$4:$H$13,2,FALSE),""))</f>
        <v/>
      </c>
      <c r="G8" s="19" t="n"/>
      <c r="H8" s="19" t="n"/>
      <c r="I8" s="19" t="n"/>
      <c r="J8" s="19" t="n"/>
      <c r="K8" s="20">
        <f>IF(OR($I8="",$J8=""),"",$J8-$I8)</f>
        <v/>
      </c>
      <c r="L8" s="33" t="n"/>
      <c r="M8" s="34">
        <f>IF(OR($K8="",$L8=""),"",$K8*$L8)</f>
        <v/>
      </c>
      <c r="N8" s="32" t="n"/>
      <c r="O8" s="19" t="n"/>
      <c r="P8" s="20">
        <f>IF(IF($G8="",$F8,$G8)="","",IFERROR(VLOOKUP(IF($G8="",$F8,$G8),'Receiving Temps'!$A$4:$E$18,3,FALSE),""))</f>
        <v/>
      </c>
      <c r="Q8" s="20">
        <f>IF(IF($G8="",$F8,$G8)="","",IFERROR(VLOOKUP(IF($G8="",$F8,$G8),'Receiving Temps'!$A$4:$E$18,4,FALSE),""))</f>
        <v/>
      </c>
      <c r="R8" s="20">
        <f>IF(OR($O8="",IF($G8="",$F8,$G8)=""),"",IF($Q8="N/A","N/A",IF($Q8="","⚠ NO LIMIT FOR THIS FAMILY",IF($O8&lt;$P8,"✗ REJECT (too cold)",IF($O8&lt;=$Q8,"✓ ACCEPT","✗ REJECT (too warm)")))))</f>
        <v/>
      </c>
      <c r="S8" s="19" t="n"/>
      <c r="T8" s="19" t="n"/>
      <c r="U8" s="19" t="n"/>
      <c r="V8" s="19" t="n"/>
    </row>
    <row r="9">
      <c r="A9" s="32" t="n"/>
      <c r="B9" s="19" t="n"/>
      <c r="C9" s="19" t="n"/>
      <c r="D9" s="19" t="n"/>
      <c r="E9" s="19" t="n"/>
      <c r="F9">
        <f>IF($E9="","",IFERROR(VLOOKUP($E9,'Receiving Temps'!$G$4:$H$13,2,FALSE),""))</f>
        <v/>
      </c>
      <c r="G9" s="19" t="n"/>
      <c r="H9" s="19" t="n"/>
      <c r="I9" s="19" t="n"/>
      <c r="J9" s="19" t="n"/>
      <c r="K9">
        <f>IF(OR($I9="",$J9=""),"",$J9-$I9)</f>
        <v/>
      </c>
      <c r="L9" s="33" t="n"/>
      <c r="M9" s="35">
        <f>IF(OR($K9="",$L9=""),"",$K9*$L9)</f>
        <v/>
      </c>
      <c r="N9" s="32" t="n"/>
      <c r="O9" s="19" t="n"/>
      <c r="P9">
        <f>IF(IF($G9="",$F9,$G9)="","",IFERROR(VLOOKUP(IF($G9="",$F9,$G9),'Receiving Temps'!$A$4:$E$18,3,FALSE),""))</f>
        <v/>
      </c>
      <c r="Q9">
        <f>IF(IF($G9="",$F9,$G9)="","",IFERROR(VLOOKUP(IF($G9="",$F9,$G9),'Receiving Temps'!$A$4:$E$18,4,FALSE),""))</f>
        <v/>
      </c>
      <c r="R9">
        <f>IF(OR($O9="",IF($G9="",$F9,$G9)=""),"",IF($Q9="N/A","N/A",IF($Q9="","⚠ NO LIMIT FOR THIS FAMILY",IF($O9&lt;$P9,"✗ REJECT (too cold)",IF($O9&lt;=$Q9,"✓ ACCEPT","✗ REJECT (too warm)")))))</f>
        <v/>
      </c>
      <c r="S9" s="19" t="n"/>
      <c r="T9" s="19" t="n"/>
      <c r="U9" s="19" t="n"/>
      <c r="V9" s="19" t="n"/>
    </row>
    <row r="10">
      <c r="A10" s="32" t="n"/>
      <c r="B10" s="19" t="n"/>
      <c r="C10" s="19" t="n"/>
      <c r="D10" s="19" t="n"/>
      <c r="E10" s="19" t="n"/>
      <c r="F10" s="20">
        <f>IF($E10="","",IFERROR(VLOOKUP($E10,'Receiving Temps'!$G$4:$H$13,2,FALSE),""))</f>
        <v/>
      </c>
      <c r="G10" s="19" t="n"/>
      <c r="H10" s="19" t="n"/>
      <c r="I10" s="19" t="n"/>
      <c r="J10" s="19" t="n"/>
      <c r="K10" s="20">
        <f>IF(OR($I10="",$J10=""),"",$J10-$I10)</f>
        <v/>
      </c>
      <c r="L10" s="33" t="n"/>
      <c r="M10" s="34">
        <f>IF(OR($K10="",$L10=""),"",$K10*$L10)</f>
        <v/>
      </c>
      <c r="N10" s="32" t="n"/>
      <c r="O10" s="19" t="n"/>
      <c r="P10" s="20">
        <f>IF(IF($G10="",$F10,$G10)="","",IFERROR(VLOOKUP(IF($G10="",$F10,$G10),'Receiving Temps'!$A$4:$E$18,3,FALSE),""))</f>
        <v/>
      </c>
      <c r="Q10" s="20">
        <f>IF(IF($G10="",$F10,$G10)="","",IFERROR(VLOOKUP(IF($G10="",$F10,$G10),'Receiving Temps'!$A$4:$E$18,4,FALSE),""))</f>
        <v/>
      </c>
      <c r="R10" s="20">
        <f>IF(OR($O10="",IF($G10="",$F10,$G10)=""),"",IF($Q10="N/A","N/A",IF($Q10="","⚠ NO LIMIT FOR THIS FAMILY",IF($O10&lt;$P10,"✗ REJECT (too cold)",IF($O10&lt;=$Q10,"✓ ACCEPT","✗ REJECT (too warm)")))))</f>
        <v/>
      </c>
      <c r="S10" s="19" t="n"/>
      <c r="T10" s="19" t="n"/>
      <c r="U10" s="19" t="n"/>
      <c r="V10" s="19" t="n"/>
    </row>
    <row r="11">
      <c r="A11" s="32" t="n"/>
      <c r="B11" s="19" t="n"/>
      <c r="C11" s="19" t="n"/>
      <c r="D11" s="19" t="n"/>
      <c r="E11" s="19" t="n"/>
      <c r="F11">
        <f>IF($E11="","",IFERROR(VLOOKUP($E11,'Receiving Temps'!$G$4:$H$13,2,FALSE),""))</f>
        <v/>
      </c>
      <c r="G11" s="19" t="n"/>
      <c r="H11" s="19" t="n"/>
      <c r="I11" s="19" t="n"/>
      <c r="J11" s="19" t="n"/>
      <c r="K11">
        <f>IF(OR($I11="",$J11=""),"",$J11-$I11)</f>
        <v/>
      </c>
      <c r="L11" s="33" t="n"/>
      <c r="M11" s="35">
        <f>IF(OR($K11="",$L11=""),"",$K11*$L11)</f>
        <v/>
      </c>
      <c r="N11" s="32" t="n"/>
      <c r="O11" s="19" t="n"/>
      <c r="P11">
        <f>IF(IF($G11="",$F11,$G11)="","",IFERROR(VLOOKUP(IF($G11="",$F11,$G11),'Receiving Temps'!$A$4:$E$18,3,FALSE),""))</f>
        <v/>
      </c>
      <c r="Q11">
        <f>IF(IF($G11="",$F11,$G11)="","",IFERROR(VLOOKUP(IF($G11="",$F11,$G11),'Receiving Temps'!$A$4:$E$18,4,FALSE),""))</f>
        <v/>
      </c>
      <c r="R11">
        <f>IF(OR($O11="",IF($G11="",$F11,$G11)=""),"",IF($Q11="N/A","N/A",IF($Q11="","⚠ NO LIMIT FOR THIS FAMILY",IF($O11&lt;$P11,"✗ REJECT (too cold)",IF($O11&lt;=$Q11,"✓ ACCEPT","✗ REJECT (too warm)")))))</f>
        <v/>
      </c>
      <c r="S11" s="19" t="n"/>
      <c r="T11" s="19" t="n"/>
      <c r="U11" s="19" t="n"/>
      <c r="V11" s="19" t="n"/>
    </row>
    <row r="12">
      <c r="A12" s="32" t="n"/>
      <c r="B12" s="19" t="n"/>
      <c r="C12" s="19" t="n"/>
      <c r="D12" s="19" t="n"/>
      <c r="E12" s="19" t="n"/>
      <c r="F12" s="20">
        <f>IF($E12="","",IFERROR(VLOOKUP($E12,'Receiving Temps'!$G$4:$H$13,2,FALSE),""))</f>
        <v/>
      </c>
      <c r="G12" s="19" t="n"/>
      <c r="H12" s="19" t="n"/>
      <c r="I12" s="19" t="n"/>
      <c r="J12" s="19" t="n"/>
      <c r="K12" s="20">
        <f>IF(OR($I12="",$J12=""),"",$J12-$I12)</f>
        <v/>
      </c>
      <c r="L12" s="33" t="n"/>
      <c r="M12" s="34">
        <f>IF(OR($K12="",$L12=""),"",$K12*$L12)</f>
        <v/>
      </c>
      <c r="N12" s="32" t="n"/>
      <c r="O12" s="19" t="n"/>
      <c r="P12" s="20">
        <f>IF(IF($G12="",$F12,$G12)="","",IFERROR(VLOOKUP(IF($G12="",$F12,$G12),'Receiving Temps'!$A$4:$E$18,3,FALSE),""))</f>
        <v/>
      </c>
      <c r="Q12" s="20">
        <f>IF(IF($G12="",$F12,$G12)="","",IFERROR(VLOOKUP(IF($G12="",$F12,$G12),'Receiving Temps'!$A$4:$E$18,4,FALSE),""))</f>
        <v/>
      </c>
      <c r="R12" s="20">
        <f>IF(OR($O12="",IF($G12="",$F12,$G12)=""),"",IF($Q12="N/A","N/A",IF($Q12="","⚠ NO LIMIT FOR THIS FAMILY",IF($O12&lt;$P12,"✗ REJECT (too cold)",IF($O12&lt;=$Q12,"✓ ACCEPT","✗ REJECT (too warm)")))))</f>
        <v/>
      </c>
      <c r="S12" s="19" t="n"/>
      <c r="T12" s="19" t="n"/>
      <c r="U12" s="19" t="n"/>
      <c r="V12" s="19" t="n"/>
    </row>
    <row r="13">
      <c r="A13" s="32" t="n"/>
      <c r="B13" s="19" t="n"/>
      <c r="C13" s="19" t="n"/>
      <c r="D13" s="19" t="n"/>
      <c r="E13" s="19" t="n"/>
      <c r="F13">
        <f>IF($E13="","",IFERROR(VLOOKUP($E13,'Receiving Temps'!$G$4:$H$13,2,FALSE),""))</f>
        <v/>
      </c>
      <c r="G13" s="19" t="n"/>
      <c r="H13" s="19" t="n"/>
      <c r="I13" s="19" t="n"/>
      <c r="J13" s="19" t="n"/>
      <c r="K13">
        <f>IF(OR($I13="",$J13=""),"",$J13-$I13)</f>
        <v/>
      </c>
      <c r="L13" s="33" t="n"/>
      <c r="M13" s="35">
        <f>IF(OR($K13="",$L13=""),"",$K13*$L13)</f>
        <v/>
      </c>
      <c r="N13" s="32" t="n"/>
      <c r="O13" s="19" t="n"/>
      <c r="P13">
        <f>IF(IF($G13="",$F13,$G13)="","",IFERROR(VLOOKUP(IF($G13="",$F13,$G13),'Receiving Temps'!$A$4:$E$18,3,FALSE),""))</f>
        <v/>
      </c>
      <c r="Q13">
        <f>IF(IF($G13="",$F13,$G13)="","",IFERROR(VLOOKUP(IF($G13="",$F13,$G13),'Receiving Temps'!$A$4:$E$18,4,FALSE),""))</f>
        <v/>
      </c>
      <c r="R13">
        <f>IF(OR($O13="",IF($G13="",$F13,$G13)=""),"",IF($Q13="N/A","N/A",IF($Q13="","⚠ NO LIMIT FOR THIS FAMILY",IF($O13&lt;$P13,"✗ REJECT (too cold)",IF($O13&lt;=$Q13,"✓ ACCEPT","✗ REJECT (too warm)")))))</f>
        <v/>
      </c>
      <c r="S13" s="19" t="n"/>
      <c r="T13" s="19" t="n"/>
      <c r="U13" s="19" t="n"/>
      <c r="V13" s="19" t="n"/>
    </row>
    <row r="14">
      <c r="A14" s="32" t="n"/>
      <c r="B14" s="19" t="n"/>
      <c r="C14" s="19" t="n"/>
      <c r="D14" s="19" t="n"/>
      <c r="E14" s="19" t="n"/>
      <c r="F14" s="20">
        <f>IF($E14="","",IFERROR(VLOOKUP($E14,'Receiving Temps'!$G$4:$H$13,2,FALSE),""))</f>
        <v/>
      </c>
      <c r="G14" s="19" t="n"/>
      <c r="H14" s="19" t="n"/>
      <c r="I14" s="19" t="n"/>
      <c r="J14" s="19" t="n"/>
      <c r="K14" s="20">
        <f>IF(OR($I14="",$J14=""),"",$J14-$I14)</f>
        <v/>
      </c>
      <c r="L14" s="33" t="n"/>
      <c r="M14" s="34">
        <f>IF(OR($K14="",$L14=""),"",$K14*$L14)</f>
        <v/>
      </c>
      <c r="N14" s="32" t="n"/>
      <c r="O14" s="19" t="n"/>
      <c r="P14" s="20">
        <f>IF(IF($G14="",$F14,$G14)="","",IFERROR(VLOOKUP(IF($G14="",$F14,$G14),'Receiving Temps'!$A$4:$E$18,3,FALSE),""))</f>
        <v/>
      </c>
      <c r="Q14" s="20">
        <f>IF(IF($G14="",$F14,$G14)="","",IFERROR(VLOOKUP(IF($G14="",$F14,$G14),'Receiving Temps'!$A$4:$E$18,4,FALSE),""))</f>
        <v/>
      </c>
      <c r="R14" s="20">
        <f>IF(OR($O14="",IF($G14="",$F14,$G14)=""),"",IF($Q14="N/A","N/A",IF($Q14="","⚠ NO LIMIT FOR THIS FAMILY",IF($O14&lt;$P14,"✗ REJECT (too cold)",IF($O14&lt;=$Q14,"✓ ACCEPT","✗ REJECT (too warm)")))))</f>
        <v/>
      </c>
      <c r="S14" s="19" t="n"/>
      <c r="T14" s="19" t="n"/>
      <c r="U14" s="19" t="n"/>
      <c r="V14" s="19" t="n"/>
    </row>
    <row r="15">
      <c r="A15" s="32" t="n"/>
      <c r="B15" s="19" t="n"/>
      <c r="C15" s="19" t="n"/>
      <c r="D15" s="19" t="n"/>
      <c r="E15" s="19" t="n"/>
      <c r="F15">
        <f>IF($E15="","",IFERROR(VLOOKUP($E15,'Receiving Temps'!$G$4:$H$13,2,FALSE),""))</f>
        <v/>
      </c>
      <c r="G15" s="19" t="n"/>
      <c r="H15" s="19" t="n"/>
      <c r="I15" s="19" t="n"/>
      <c r="J15" s="19" t="n"/>
      <c r="K15">
        <f>IF(OR($I15="",$J15=""),"",$J15-$I15)</f>
        <v/>
      </c>
      <c r="L15" s="33" t="n"/>
      <c r="M15" s="35">
        <f>IF(OR($K15="",$L15=""),"",$K15*$L15)</f>
        <v/>
      </c>
      <c r="N15" s="32" t="n"/>
      <c r="O15" s="19" t="n"/>
      <c r="P15">
        <f>IF(IF($G15="",$F15,$G15)="","",IFERROR(VLOOKUP(IF($G15="",$F15,$G15),'Receiving Temps'!$A$4:$E$18,3,FALSE),""))</f>
        <v/>
      </c>
      <c r="Q15">
        <f>IF(IF($G15="",$F15,$G15)="","",IFERROR(VLOOKUP(IF($G15="",$F15,$G15),'Receiving Temps'!$A$4:$E$18,4,FALSE),""))</f>
        <v/>
      </c>
      <c r="R15">
        <f>IF(OR($O15="",IF($G15="",$F15,$G15)=""),"",IF($Q15="N/A","N/A",IF($Q15="","⚠ NO LIMIT FOR THIS FAMILY",IF($O15&lt;$P15,"✗ REJECT (too cold)",IF($O15&lt;=$Q15,"✓ ACCEPT","✗ REJECT (too warm)")))))</f>
        <v/>
      </c>
      <c r="S15" s="19" t="n"/>
      <c r="T15" s="19" t="n"/>
      <c r="U15" s="19" t="n"/>
      <c r="V15" s="19" t="n"/>
    </row>
    <row r="16">
      <c r="A16" s="32" t="n"/>
      <c r="B16" s="19" t="n"/>
      <c r="C16" s="19" t="n"/>
      <c r="D16" s="19" t="n"/>
      <c r="E16" s="19" t="n"/>
      <c r="F16" s="20">
        <f>IF($E16="","",IFERROR(VLOOKUP($E16,'Receiving Temps'!$G$4:$H$13,2,FALSE),""))</f>
        <v/>
      </c>
      <c r="G16" s="19" t="n"/>
      <c r="H16" s="19" t="n"/>
      <c r="I16" s="19" t="n"/>
      <c r="J16" s="19" t="n"/>
      <c r="K16" s="20">
        <f>IF(OR($I16="",$J16=""),"",$J16-$I16)</f>
        <v/>
      </c>
      <c r="L16" s="33" t="n"/>
      <c r="M16" s="34">
        <f>IF(OR($K16="",$L16=""),"",$K16*$L16)</f>
        <v/>
      </c>
      <c r="N16" s="32" t="n"/>
      <c r="O16" s="19" t="n"/>
      <c r="P16" s="20">
        <f>IF(IF($G16="",$F16,$G16)="","",IFERROR(VLOOKUP(IF($G16="",$F16,$G16),'Receiving Temps'!$A$4:$E$18,3,FALSE),""))</f>
        <v/>
      </c>
      <c r="Q16" s="20">
        <f>IF(IF($G16="",$F16,$G16)="","",IFERROR(VLOOKUP(IF($G16="",$F16,$G16),'Receiving Temps'!$A$4:$E$18,4,FALSE),""))</f>
        <v/>
      </c>
      <c r="R16" s="20">
        <f>IF(OR($O16="",IF($G16="",$F16,$G16)=""),"",IF($Q16="N/A","N/A",IF($Q16="","⚠ NO LIMIT FOR THIS FAMILY",IF($O16&lt;$P16,"✗ REJECT (too cold)",IF($O16&lt;=$Q16,"✓ ACCEPT","✗ REJECT (too warm)")))))</f>
        <v/>
      </c>
      <c r="S16" s="19" t="n"/>
      <c r="T16" s="19" t="n"/>
      <c r="U16" s="19" t="n"/>
      <c r="V16" s="19" t="n"/>
    </row>
    <row r="17">
      <c r="A17" s="32" t="n"/>
      <c r="B17" s="19" t="n"/>
      <c r="C17" s="19" t="n"/>
      <c r="D17" s="19" t="n"/>
      <c r="E17" s="19" t="n"/>
      <c r="F17">
        <f>IF($E17="","",IFERROR(VLOOKUP($E17,'Receiving Temps'!$G$4:$H$13,2,FALSE),""))</f>
        <v/>
      </c>
      <c r="G17" s="19" t="n"/>
      <c r="H17" s="19" t="n"/>
      <c r="I17" s="19" t="n"/>
      <c r="J17" s="19" t="n"/>
      <c r="K17">
        <f>IF(OR($I17="",$J17=""),"",$J17-$I17)</f>
        <v/>
      </c>
      <c r="L17" s="33" t="n"/>
      <c r="M17" s="35">
        <f>IF(OR($K17="",$L17=""),"",$K17*$L17)</f>
        <v/>
      </c>
      <c r="N17" s="32" t="n"/>
      <c r="O17" s="19" t="n"/>
      <c r="P17">
        <f>IF(IF($G17="",$F17,$G17)="","",IFERROR(VLOOKUP(IF($G17="",$F17,$G17),'Receiving Temps'!$A$4:$E$18,3,FALSE),""))</f>
        <v/>
      </c>
      <c r="Q17">
        <f>IF(IF($G17="",$F17,$G17)="","",IFERROR(VLOOKUP(IF($G17="",$F17,$G17),'Receiving Temps'!$A$4:$E$18,4,FALSE),""))</f>
        <v/>
      </c>
      <c r="R17">
        <f>IF(OR($O17="",IF($G17="",$F17,$G17)=""),"",IF($Q17="N/A","N/A",IF($Q17="","⚠ NO LIMIT FOR THIS FAMILY",IF($O17&lt;$P17,"✗ REJECT (too cold)",IF($O17&lt;=$Q17,"✓ ACCEPT","✗ REJECT (too warm)")))))</f>
        <v/>
      </c>
      <c r="S17" s="19" t="n"/>
      <c r="T17" s="19" t="n"/>
      <c r="U17" s="19" t="n"/>
      <c r="V17" s="19" t="n"/>
    </row>
    <row r="18">
      <c r="A18" s="32" t="n"/>
      <c r="B18" s="19" t="n"/>
      <c r="C18" s="19" t="n"/>
      <c r="D18" s="19" t="n"/>
      <c r="E18" s="19" t="n"/>
      <c r="F18" s="20">
        <f>IF($E18="","",IFERROR(VLOOKUP($E18,'Receiving Temps'!$G$4:$H$13,2,FALSE),""))</f>
        <v/>
      </c>
      <c r="G18" s="19" t="n"/>
      <c r="H18" s="19" t="n"/>
      <c r="I18" s="19" t="n"/>
      <c r="J18" s="19" t="n"/>
      <c r="K18" s="20">
        <f>IF(OR($I18="",$J18=""),"",$J18-$I18)</f>
        <v/>
      </c>
      <c r="L18" s="33" t="n"/>
      <c r="M18" s="34">
        <f>IF(OR($K18="",$L18=""),"",$K18*$L18)</f>
        <v/>
      </c>
      <c r="N18" s="32" t="n"/>
      <c r="O18" s="19" t="n"/>
      <c r="P18" s="20">
        <f>IF(IF($G18="",$F18,$G18)="","",IFERROR(VLOOKUP(IF($G18="",$F18,$G18),'Receiving Temps'!$A$4:$E$18,3,FALSE),""))</f>
        <v/>
      </c>
      <c r="Q18" s="20">
        <f>IF(IF($G18="",$F18,$G18)="","",IFERROR(VLOOKUP(IF($G18="",$F18,$G18),'Receiving Temps'!$A$4:$E$18,4,FALSE),""))</f>
        <v/>
      </c>
      <c r="R18" s="20">
        <f>IF(OR($O18="",IF($G18="",$F18,$G18)=""),"",IF($Q18="N/A","N/A",IF($Q18="","⚠ NO LIMIT FOR THIS FAMILY",IF($O18&lt;$P18,"✗ REJECT (too cold)",IF($O18&lt;=$Q18,"✓ ACCEPT","✗ REJECT (too warm)")))))</f>
        <v/>
      </c>
      <c r="S18" s="19" t="n"/>
      <c r="T18" s="19" t="n"/>
      <c r="U18" s="19" t="n"/>
      <c r="V18" s="19" t="n"/>
    </row>
    <row r="19">
      <c r="A19" s="32" t="n"/>
      <c r="B19" s="19" t="n"/>
      <c r="C19" s="19" t="n"/>
      <c r="D19" s="19" t="n"/>
      <c r="E19" s="19" t="n"/>
      <c r="F19">
        <f>IF($E19="","",IFERROR(VLOOKUP($E19,'Receiving Temps'!$G$4:$H$13,2,FALSE),""))</f>
        <v/>
      </c>
      <c r="G19" s="19" t="n"/>
      <c r="H19" s="19" t="n"/>
      <c r="I19" s="19" t="n"/>
      <c r="J19" s="19" t="n"/>
      <c r="K19">
        <f>IF(OR($I19="",$J19=""),"",$J19-$I19)</f>
        <v/>
      </c>
      <c r="L19" s="33" t="n"/>
      <c r="M19" s="35">
        <f>IF(OR($K19="",$L19=""),"",$K19*$L19)</f>
        <v/>
      </c>
      <c r="N19" s="32" t="n"/>
      <c r="O19" s="19" t="n"/>
      <c r="P19">
        <f>IF(IF($G19="",$F19,$G19)="","",IFERROR(VLOOKUP(IF($G19="",$F19,$G19),'Receiving Temps'!$A$4:$E$18,3,FALSE),""))</f>
        <v/>
      </c>
      <c r="Q19">
        <f>IF(IF($G19="",$F19,$G19)="","",IFERROR(VLOOKUP(IF($G19="",$F19,$G19),'Receiving Temps'!$A$4:$E$18,4,FALSE),""))</f>
        <v/>
      </c>
      <c r="R19">
        <f>IF(OR($O19="",IF($G19="",$F19,$G19)=""),"",IF($Q19="N/A","N/A",IF($Q19="","⚠ NO LIMIT FOR THIS FAMILY",IF($O19&lt;$P19,"✗ REJECT (too cold)",IF($O19&lt;=$Q19,"✓ ACCEPT","✗ REJECT (too warm)")))))</f>
        <v/>
      </c>
      <c r="S19" s="19" t="n"/>
      <c r="T19" s="19" t="n"/>
      <c r="U19" s="19" t="n"/>
      <c r="V19" s="19" t="n"/>
    </row>
    <row r="20">
      <c r="A20" s="32" t="n"/>
      <c r="B20" s="19" t="n"/>
      <c r="C20" s="19" t="n"/>
      <c r="D20" s="19" t="n"/>
      <c r="E20" s="19" t="n"/>
      <c r="F20" s="20">
        <f>IF($E20="","",IFERROR(VLOOKUP($E20,'Receiving Temps'!$G$4:$H$13,2,FALSE),""))</f>
        <v/>
      </c>
      <c r="G20" s="19" t="n"/>
      <c r="H20" s="19" t="n"/>
      <c r="I20" s="19" t="n"/>
      <c r="J20" s="19" t="n"/>
      <c r="K20" s="20">
        <f>IF(OR($I20="",$J20=""),"",$J20-$I20)</f>
        <v/>
      </c>
      <c r="L20" s="33" t="n"/>
      <c r="M20" s="34">
        <f>IF(OR($K20="",$L20=""),"",$K20*$L20)</f>
        <v/>
      </c>
      <c r="N20" s="32" t="n"/>
      <c r="O20" s="19" t="n"/>
      <c r="P20" s="20">
        <f>IF(IF($G20="",$F20,$G20)="","",IFERROR(VLOOKUP(IF($G20="",$F20,$G20),'Receiving Temps'!$A$4:$E$18,3,FALSE),""))</f>
        <v/>
      </c>
      <c r="Q20" s="20">
        <f>IF(IF($G20="",$F20,$G20)="","",IFERROR(VLOOKUP(IF($G20="",$F20,$G20),'Receiving Temps'!$A$4:$E$18,4,FALSE),""))</f>
        <v/>
      </c>
      <c r="R20" s="20">
        <f>IF(OR($O20="",IF($G20="",$F20,$G20)=""),"",IF($Q20="N/A","N/A",IF($Q20="","⚠ NO LIMIT FOR THIS FAMILY",IF($O20&lt;$P20,"✗ REJECT (too cold)",IF($O20&lt;=$Q20,"✓ ACCEPT","✗ REJECT (too warm)")))))</f>
        <v/>
      </c>
      <c r="S20" s="19" t="n"/>
      <c r="T20" s="19" t="n"/>
      <c r="U20" s="19" t="n"/>
      <c r="V20" s="19" t="n"/>
    </row>
    <row r="21">
      <c r="A21" s="32" t="n"/>
      <c r="B21" s="19" t="n"/>
      <c r="C21" s="19" t="n"/>
      <c r="D21" s="19" t="n"/>
      <c r="E21" s="19" t="n"/>
      <c r="F21">
        <f>IF($E21="","",IFERROR(VLOOKUP($E21,'Receiving Temps'!$G$4:$H$13,2,FALSE),""))</f>
        <v/>
      </c>
      <c r="G21" s="19" t="n"/>
      <c r="H21" s="19" t="n"/>
      <c r="I21" s="19" t="n"/>
      <c r="J21" s="19" t="n"/>
      <c r="K21">
        <f>IF(OR($I21="",$J21=""),"",$J21-$I21)</f>
        <v/>
      </c>
      <c r="L21" s="33" t="n"/>
      <c r="M21" s="35">
        <f>IF(OR($K21="",$L21=""),"",$K21*$L21)</f>
        <v/>
      </c>
      <c r="N21" s="32" t="n"/>
      <c r="O21" s="19" t="n"/>
      <c r="P21">
        <f>IF(IF($G21="",$F21,$G21)="","",IFERROR(VLOOKUP(IF($G21="",$F21,$G21),'Receiving Temps'!$A$4:$E$18,3,FALSE),""))</f>
        <v/>
      </c>
      <c r="Q21">
        <f>IF(IF($G21="",$F21,$G21)="","",IFERROR(VLOOKUP(IF($G21="",$F21,$G21),'Receiving Temps'!$A$4:$E$18,4,FALSE),""))</f>
        <v/>
      </c>
      <c r="R21">
        <f>IF(OR($O21="",IF($G21="",$F21,$G21)=""),"",IF($Q21="N/A","N/A",IF($Q21="","⚠ NO LIMIT FOR THIS FAMILY",IF($O21&lt;$P21,"✗ REJECT (too cold)",IF($O21&lt;=$Q21,"✓ ACCEPT","✗ REJECT (too warm)")))))</f>
        <v/>
      </c>
      <c r="S21" s="19" t="n"/>
      <c r="T21" s="19" t="n"/>
      <c r="U21" s="19" t="n"/>
      <c r="V21" s="19" t="n"/>
    </row>
    <row r="22">
      <c r="A22" s="32" t="n"/>
      <c r="B22" s="19" t="n"/>
      <c r="C22" s="19" t="n"/>
      <c r="D22" s="19" t="n"/>
      <c r="E22" s="19" t="n"/>
      <c r="F22" s="20">
        <f>IF($E22="","",IFERROR(VLOOKUP($E22,'Receiving Temps'!$G$4:$H$13,2,FALSE),""))</f>
        <v/>
      </c>
      <c r="G22" s="19" t="n"/>
      <c r="H22" s="19" t="n"/>
      <c r="I22" s="19" t="n"/>
      <c r="J22" s="19" t="n"/>
      <c r="K22" s="20">
        <f>IF(OR($I22="",$J22=""),"",$J22-$I22)</f>
        <v/>
      </c>
      <c r="L22" s="33" t="n"/>
      <c r="M22" s="34">
        <f>IF(OR($K22="",$L22=""),"",$K22*$L22)</f>
        <v/>
      </c>
      <c r="N22" s="32" t="n"/>
      <c r="O22" s="19" t="n"/>
      <c r="P22" s="20">
        <f>IF(IF($G22="",$F22,$G22)="","",IFERROR(VLOOKUP(IF($G22="",$F22,$G22),'Receiving Temps'!$A$4:$E$18,3,FALSE),""))</f>
        <v/>
      </c>
      <c r="Q22" s="20">
        <f>IF(IF($G22="",$F22,$G22)="","",IFERROR(VLOOKUP(IF($G22="",$F22,$G22),'Receiving Temps'!$A$4:$E$18,4,FALSE),""))</f>
        <v/>
      </c>
      <c r="R22" s="20">
        <f>IF(OR($O22="",IF($G22="",$F22,$G22)=""),"",IF($Q22="N/A","N/A",IF($Q22="","⚠ NO LIMIT FOR THIS FAMILY",IF($O22&lt;$P22,"✗ REJECT (too cold)",IF($O22&lt;=$Q22,"✓ ACCEPT","✗ REJECT (too warm)")))))</f>
        <v/>
      </c>
      <c r="S22" s="19" t="n"/>
      <c r="T22" s="19" t="n"/>
      <c r="U22" s="19" t="n"/>
      <c r="V22" s="19" t="n"/>
    </row>
    <row r="23">
      <c r="A23" s="32" t="n"/>
      <c r="B23" s="19" t="n"/>
      <c r="C23" s="19" t="n"/>
      <c r="D23" s="19" t="n"/>
      <c r="E23" s="19" t="n"/>
      <c r="F23">
        <f>IF($E23="","",IFERROR(VLOOKUP($E23,'Receiving Temps'!$G$4:$H$13,2,FALSE),""))</f>
        <v/>
      </c>
      <c r="G23" s="19" t="n"/>
      <c r="H23" s="19" t="n"/>
      <c r="I23" s="19" t="n"/>
      <c r="J23" s="19" t="n"/>
      <c r="K23">
        <f>IF(OR($I23="",$J23=""),"",$J23-$I23)</f>
        <v/>
      </c>
      <c r="L23" s="33" t="n"/>
      <c r="M23" s="35">
        <f>IF(OR($K23="",$L23=""),"",$K23*$L23)</f>
        <v/>
      </c>
      <c r="N23" s="32" t="n"/>
      <c r="O23" s="19" t="n"/>
      <c r="P23">
        <f>IF(IF($G23="",$F23,$G23)="","",IFERROR(VLOOKUP(IF($G23="",$F23,$G23),'Receiving Temps'!$A$4:$E$18,3,FALSE),""))</f>
        <v/>
      </c>
      <c r="Q23">
        <f>IF(IF($G23="",$F23,$G23)="","",IFERROR(VLOOKUP(IF($G23="",$F23,$G23),'Receiving Temps'!$A$4:$E$18,4,FALSE),""))</f>
        <v/>
      </c>
      <c r="R23">
        <f>IF(OR($O23="",IF($G23="",$F23,$G23)=""),"",IF($Q23="N/A","N/A",IF($Q23="","⚠ NO LIMIT FOR THIS FAMILY",IF($O23&lt;$P23,"✗ REJECT (too cold)",IF($O23&lt;=$Q23,"✓ ACCEPT","✗ REJECT (too warm)")))))</f>
        <v/>
      </c>
      <c r="S23" s="19" t="n"/>
      <c r="T23" s="19" t="n"/>
      <c r="U23" s="19" t="n"/>
      <c r="V23" s="19" t="n"/>
    </row>
    <row r="24">
      <c r="A24" s="32" t="n"/>
      <c r="B24" s="19" t="n"/>
      <c r="C24" s="19" t="n"/>
      <c r="D24" s="19" t="n"/>
      <c r="E24" s="19" t="n"/>
      <c r="F24" s="20">
        <f>IF($E24="","",IFERROR(VLOOKUP($E24,'Receiving Temps'!$G$4:$H$13,2,FALSE),""))</f>
        <v/>
      </c>
      <c r="G24" s="19" t="n"/>
      <c r="H24" s="19" t="n"/>
      <c r="I24" s="19" t="n"/>
      <c r="J24" s="19" t="n"/>
      <c r="K24" s="20">
        <f>IF(OR($I24="",$J24=""),"",$J24-$I24)</f>
        <v/>
      </c>
      <c r="L24" s="33" t="n"/>
      <c r="M24" s="34">
        <f>IF(OR($K24="",$L24=""),"",$K24*$L24)</f>
        <v/>
      </c>
      <c r="N24" s="32" t="n"/>
      <c r="O24" s="19" t="n"/>
      <c r="P24" s="20">
        <f>IF(IF($G24="",$F24,$G24)="","",IFERROR(VLOOKUP(IF($G24="",$F24,$G24),'Receiving Temps'!$A$4:$E$18,3,FALSE),""))</f>
        <v/>
      </c>
      <c r="Q24" s="20">
        <f>IF(IF($G24="",$F24,$G24)="","",IFERROR(VLOOKUP(IF($G24="",$F24,$G24),'Receiving Temps'!$A$4:$E$18,4,FALSE),""))</f>
        <v/>
      </c>
      <c r="R24" s="20">
        <f>IF(OR($O24="",IF($G24="",$F24,$G24)=""),"",IF($Q24="N/A","N/A",IF($Q24="","⚠ NO LIMIT FOR THIS FAMILY",IF($O24&lt;$P24,"✗ REJECT (too cold)",IF($O24&lt;=$Q24,"✓ ACCEPT","✗ REJECT (too warm)")))))</f>
        <v/>
      </c>
      <c r="S24" s="19" t="n"/>
      <c r="T24" s="19" t="n"/>
      <c r="U24" s="19" t="n"/>
      <c r="V24" s="19" t="n"/>
    </row>
    <row r="25">
      <c r="A25" s="32" t="n"/>
      <c r="B25" s="19" t="n"/>
      <c r="C25" s="19" t="n"/>
      <c r="D25" s="19" t="n"/>
      <c r="E25" s="19" t="n"/>
      <c r="F25">
        <f>IF($E25="","",IFERROR(VLOOKUP($E25,'Receiving Temps'!$G$4:$H$13,2,FALSE),""))</f>
        <v/>
      </c>
      <c r="G25" s="19" t="n"/>
      <c r="H25" s="19" t="n"/>
      <c r="I25" s="19" t="n"/>
      <c r="J25" s="19" t="n"/>
      <c r="K25">
        <f>IF(OR($I25="",$J25=""),"",$J25-$I25)</f>
        <v/>
      </c>
      <c r="L25" s="33" t="n"/>
      <c r="M25" s="35">
        <f>IF(OR($K25="",$L25=""),"",$K25*$L25)</f>
        <v/>
      </c>
      <c r="N25" s="32" t="n"/>
      <c r="O25" s="19" t="n"/>
      <c r="P25">
        <f>IF(IF($G25="",$F25,$G25)="","",IFERROR(VLOOKUP(IF($G25="",$F25,$G25),'Receiving Temps'!$A$4:$E$18,3,FALSE),""))</f>
        <v/>
      </c>
      <c r="Q25">
        <f>IF(IF($G25="",$F25,$G25)="","",IFERROR(VLOOKUP(IF($G25="",$F25,$G25),'Receiving Temps'!$A$4:$E$18,4,FALSE),""))</f>
        <v/>
      </c>
      <c r="R25">
        <f>IF(OR($O25="",IF($G25="",$F25,$G25)=""),"",IF($Q25="N/A","N/A",IF($Q25="","⚠ NO LIMIT FOR THIS FAMILY",IF($O25&lt;$P25,"✗ REJECT (too cold)",IF($O25&lt;=$Q25,"✓ ACCEPT","✗ REJECT (too warm)")))))</f>
        <v/>
      </c>
      <c r="S25" s="19" t="n"/>
      <c r="T25" s="19" t="n"/>
      <c r="U25" s="19" t="n"/>
      <c r="V25" s="19" t="n"/>
    </row>
    <row r="26">
      <c r="A26" s="32" t="n"/>
      <c r="B26" s="19" t="n"/>
      <c r="C26" s="19" t="n"/>
      <c r="D26" s="19" t="n"/>
      <c r="E26" s="19" t="n"/>
      <c r="F26" s="20">
        <f>IF($E26="","",IFERROR(VLOOKUP($E26,'Receiving Temps'!$G$4:$H$13,2,FALSE),""))</f>
        <v/>
      </c>
      <c r="G26" s="19" t="n"/>
      <c r="H26" s="19" t="n"/>
      <c r="I26" s="19" t="n"/>
      <c r="J26" s="19" t="n"/>
      <c r="K26" s="20">
        <f>IF(OR($I26="",$J26=""),"",$J26-$I26)</f>
        <v/>
      </c>
      <c r="L26" s="33" t="n"/>
      <c r="M26" s="34">
        <f>IF(OR($K26="",$L26=""),"",$K26*$L26)</f>
        <v/>
      </c>
      <c r="N26" s="32" t="n"/>
      <c r="O26" s="19" t="n"/>
      <c r="P26" s="20">
        <f>IF(IF($G26="",$F26,$G26)="","",IFERROR(VLOOKUP(IF($G26="",$F26,$G26),'Receiving Temps'!$A$4:$E$18,3,FALSE),""))</f>
        <v/>
      </c>
      <c r="Q26" s="20">
        <f>IF(IF($G26="",$F26,$G26)="","",IFERROR(VLOOKUP(IF($G26="",$F26,$G26),'Receiving Temps'!$A$4:$E$18,4,FALSE),""))</f>
        <v/>
      </c>
      <c r="R26" s="20">
        <f>IF(OR($O26="",IF($G26="",$F26,$G26)=""),"",IF($Q26="N/A","N/A",IF($Q26="","⚠ NO LIMIT FOR THIS FAMILY",IF($O26&lt;$P26,"✗ REJECT (too cold)",IF($O26&lt;=$Q26,"✓ ACCEPT","✗ REJECT (too warm)")))))</f>
        <v/>
      </c>
      <c r="S26" s="19" t="n"/>
      <c r="T26" s="19" t="n"/>
      <c r="U26" s="19" t="n"/>
      <c r="V26" s="19" t="n"/>
    </row>
    <row r="27">
      <c r="A27" s="32" t="n"/>
      <c r="B27" s="19" t="n"/>
      <c r="C27" s="19" t="n"/>
      <c r="D27" s="19" t="n"/>
      <c r="E27" s="19" t="n"/>
      <c r="F27">
        <f>IF($E27="","",IFERROR(VLOOKUP($E27,'Receiving Temps'!$G$4:$H$13,2,FALSE),""))</f>
        <v/>
      </c>
      <c r="G27" s="19" t="n"/>
      <c r="H27" s="19" t="n"/>
      <c r="I27" s="19" t="n"/>
      <c r="J27" s="19" t="n"/>
      <c r="K27">
        <f>IF(OR($I27="",$J27=""),"",$J27-$I27)</f>
        <v/>
      </c>
      <c r="L27" s="33" t="n"/>
      <c r="M27" s="35">
        <f>IF(OR($K27="",$L27=""),"",$K27*$L27)</f>
        <v/>
      </c>
      <c r="N27" s="32" t="n"/>
      <c r="O27" s="19" t="n"/>
      <c r="P27">
        <f>IF(IF($G27="",$F27,$G27)="","",IFERROR(VLOOKUP(IF($G27="",$F27,$G27),'Receiving Temps'!$A$4:$E$18,3,FALSE),""))</f>
        <v/>
      </c>
      <c r="Q27">
        <f>IF(IF($G27="",$F27,$G27)="","",IFERROR(VLOOKUP(IF($G27="",$F27,$G27),'Receiving Temps'!$A$4:$E$18,4,FALSE),""))</f>
        <v/>
      </c>
      <c r="R27">
        <f>IF(OR($O27="",IF($G27="",$F27,$G27)=""),"",IF($Q27="N/A","N/A",IF($Q27="","⚠ NO LIMIT FOR THIS FAMILY",IF($O27&lt;$P27,"✗ REJECT (too cold)",IF($O27&lt;=$Q27,"✓ ACCEPT","✗ REJECT (too warm)")))))</f>
        <v/>
      </c>
      <c r="S27" s="19" t="n"/>
      <c r="T27" s="19" t="n"/>
      <c r="U27" s="19" t="n"/>
      <c r="V27" s="19" t="n"/>
    </row>
    <row r="28">
      <c r="A28" s="32" t="n"/>
      <c r="B28" s="19" t="n"/>
      <c r="C28" s="19" t="n"/>
      <c r="D28" s="19" t="n"/>
      <c r="E28" s="19" t="n"/>
      <c r="F28" s="20">
        <f>IF($E28="","",IFERROR(VLOOKUP($E28,'Receiving Temps'!$G$4:$H$13,2,FALSE),""))</f>
        <v/>
      </c>
      <c r="G28" s="19" t="n"/>
      <c r="H28" s="19" t="n"/>
      <c r="I28" s="19" t="n"/>
      <c r="J28" s="19" t="n"/>
      <c r="K28" s="20">
        <f>IF(OR($I28="",$J28=""),"",$J28-$I28)</f>
        <v/>
      </c>
      <c r="L28" s="33" t="n"/>
      <c r="M28" s="34">
        <f>IF(OR($K28="",$L28=""),"",$K28*$L28)</f>
        <v/>
      </c>
      <c r="N28" s="32" t="n"/>
      <c r="O28" s="19" t="n"/>
      <c r="P28" s="20">
        <f>IF(IF($G28="",$F28,$G28)="","",IFERROR(VLOOKUP(IF($G28="",$F28,$G28),'Receiving Temps'!$A$4:$E$18,3,FALSE),""))</f>
        <v/>
      </c>
      <c r="Q28" s="20">
        <f>IF(IF($G28="",$F28,$G28)="","",IFERROR(VLOOKUP(IF($G28="",$F28,$G28),'Receiving Temps'!$A$4:$E$18,4,FALSE),""))</f>
        <v/>
      </c>
      <c r="R28" s="20">
        <f>IF(OR($O28="",IF($G28="",$F28,$G28)=""),"",IF($Q28="N/A","N/A",IF($Q28="","⚠ NO LIMIT FOR THIS FAMILY",IF($O28&lt;$P28,"✗ REJECT (too cold)",IF($O28&lt;=$Q28,"✓ ACCEPT","✗ REJECT (too warm)")))))</f>
        <v/>
      </c>
      <c r="S28" s="19" t="n"/>
      <c r="T28" s="19" t="n"/>
      <c r="U28" s="19" t="n"/>
      <c r="V28" s="19" t="n"/>
    </row>
    <row r="29">
      <c r="A29" s="32" t="n"/>
      <c r="B29" s="19" t="n"/>
      <c r="C29" s="19" t="n"/>
      <c r="D29" s="19" t="n"/>
      <c r="E29" s="19" t="n"/>
      <c r="F29">
        <f>IF($E29="","",IFERROR(VLOOKUP($E29,'Receiving Temps'!$G$4:$H$13,2,FALSE),""))</f>
        <v/>
      </c>
      <c r="G29" s="19" t="n"/>
      <c r="H29" s="19" t="n"/>
      <c r="I29" s="19" t="n"/>
      <c r="J29" s="19" t="n"/>
      <c r="K29">
        <f>IF(OR($I29="",$J29=""),"",$J29-$I29)</f>
        <v/>
      </c>
      <c r="L29" s="33" t="n"/>
      <c r="M29" s="35">
        <f>IF(OR($K29="",$L29=""),"",$K29*$L29)</f>
        <v/>
      </c>
      <c r="N29" s="32" t="n"/>
      <c r="O29" s="19" t="n"/>
      <c r="P29">
        <f>IF(IF($G29="",$F29,$G29)="","",IFERROR(VLOOKUP(IF($G29="",$F29,$G29),'Receiving Temps'!$A$4:$E$18,3,FALSE),""))</f>
        <v/>
      </c>
      <c r="Q29">
        <f>IF(IF($G29="",$F29,$G29)="","",IFERROR(VLOOKUP(IF($G29="",$F29,$G29),'Receiving Temps'!$A$4:$E$18,4,FALSE),""))</f>
        <v/>
      </c>
      <c r="R29">
        <f>IF(OR($O29="",IF($G29="",$F29,$G29)=""),"",IF($Q29="N/A","N/A",IF($Q29="","⚠ NO LIMIT FOR THIS FAMILY",IF($O29&lt;$P29,"✗ REJECT (too cold)",IF($O29&lt;=$Q29,"✓ ACCEPT","✗ REJECT (too warm)")))))</f>
        <v/>
      </c>
      <c r="S29" s="19" t="n"/>
      <c r="T29" s="19" t="n"/>
      <c r="U29" s="19" t="n"/>
      <c r="V29" s="19" t="n"/>
    </row>
    <row r="30">
      <c r="A30" s="32" t="n"/>
      <c r="B30" s="19" t="n"/>
      <c r="C30" s="19" t="n"/>
      <c r="D30" s="19" t="n"/>
      <c r="E30" s="19" t="n"/>
      <c r="F30" s="20">
        <f>IF($E30="","",IFERROR(VLOOKUP($E30,'Receiving Temps'!$G$4:$H$13,2,FALSE),""))</f>
        <v/>
      </c>
      <c r="G30" s="19" t="n"/>
      <c r="H30" s="19" t="n"/>
      <c r="I30" s="19" t="n"/>
      <c r="J30" s="19" t="n"/>
      <c r="K30" s="20">
        <f>IF(OR($I30="",$J30=""),"",$J30-$I30)</f>
        <v/>
      </c>
      <c r="L30" s="33" t="n"/>
      <c r="M30" s="34">
        <f>IF(OR($K30="",$L30=""),"",$K30*$L30)</f>
        <v/>
      </c>
      <c r="N30" s="32" t="n"/>
      <c r="O30" s="19" t="n"/>
      <c r="P30" s="20">
        <f>IF(IF($G30="",$F30,$G30)="","",IFERROR(VLOOKUP(IF($G30="",$F30,$G30),'Receiving Temps'!$A$4:$E$18,3,FALSE),""))</f>
        <v/>
      </c>
      <c r="Q30" s="20">
        <f>IF(IF($G30="",$F30,$G30)="","",IFERROR(VLOOKUP(IF($G30="",$F30,$G30),'Receiving Temps'!$A$4:$E$18,4,FALSE),""))</f>
        <v/>
      </c>
      <c r="R30" s="20">
        <f>IF(OR($O30="",IF($G30="",$F30,$G30)=""),"",IF($Q30="N/A","N/A",IF($Q30="","⚠ NO LIMIT FOR THIS FAMILY",IF($O30&lt;$P30,"✗ REJECT (too cold)",IF($O30&lt;=$Q30,"✓ ACCEPT","✗ REJECT (too warm)")))))</f>
        <v/>
      </c>
      <c r="S30" s="19" t="n"/>
      <c r="T30" s="19" t="n"/>
      <c r="U30" s="19" t="n"/>
      <c r="V30" s="19" t="n"/>
    </row>
    <row r="31">
      <c r="A31" s="32" t="n"/>
      <c r="B31" s="19" t="n"/>
      <c r="C31" s="19" t="n"/>
      <c r="D31" s="19" t="n"/>
      <c r="E31" s="19" t="n"/>
      <c r="F31">
        <f>IF($E31="","",IFERROR(VLOOKUP($E31,'Receiving Temps'!$G$4:$H$13,2,FALSE),""))</f>
        <v/>
      </c>
      <c r="G31" s="19" t="n"/>
      <c r="H31" s="19" t="n"/>
      <c r="I31" s="19" t="n"/>
      <c r="J31" s="19" t="n"/>
      <c r="K31">
        <f>IF(OR($I31="",$J31=""),"",$J31-$I31)</f>
        <v/>
      </c>
      <c r="L31" s="33" t="n"/>
      <c r="M31" s="35">
        <f>IF(OR($K31="",$L31=""),"",$K31*$L31)</f>
        <v/>
      </c>
      <c r="N31" s="32" t="n"/>
      <c r="O31" s="19" t="n"/>
      <c r="P31">
        <f>IF(IF($G31="",$F31,$G31)="","",IFERROR(VLOOKUP(IF($G31="",$F31,$G31),'Receiving Temps'!$A$4:$E$18,3,FALSE),""))</f>
        <v/>
      </c>
      <c r="Q31">
        <f>IF(IF($G31="",$F31,$G31)="","",IFERROR(VLOOKUP(IF($G31="",$F31,$G31),'Receiving Temps'!$A$4:$E$18,4,FALSE),""))</f>
        <v/>
      </c>
      <c r="R31">
        <f>IF(OR($O31="",IF($G31="",$F31,$G31)=""),"",IF($Q31="N/A","N/A",IF($Q31="","⚠ NO LIMIT FOR THIS FAMILY",IF($O31&lt;$P31,"✗ REJECT (too cold)",IF($O31&lt;=$Q31,"✓ ACCEPT","✗ REJECT (too warm)")))))</f>
        <v/>
      </c>
      <c r="S31" s="19" t="n"/>
      <c r="T31" s="19" t="n"/>
      <c r="U31" s="19" t="n"/>
      <c r="V31" s="19" t="n"/>
    </row>
    <row r="32">
      <c r="A32" s="32" t="n"/>
      <c r="B32" s="19" t="n"/>
      <c r="C32" s="19" t="n"/>
      <c r="D32" s="19" t="n"/>
      <c r="E32" s="19" t="n"/>
      <c r="F32" s="20">
        <f>IF($E32="","",IFERROR(VLOOKUP($E32,'Receiving Temps'!$G$4:$H$13,2,FALSE),""))</f>
        <v/>
      </c>
      <c r="G32" s="19" t="n"/>
      <c r="H32" s="19" t="n"/>
      <c r="I32" s="19" t="n"/>
      <c r="J32" s="19" t="n"/>
      <c r="K32" s="20">
        <f>IF(OR($I32="",$J32=""),"",$J32-$I32)</f>
        <v/>
      </c>
      <c r="L32" s="33" t="n"/>
      <c r="M32" s="34">
        <f>IF(OR($K32="",$L32=""),"",$K32*$L32)</f>
        <v/>
      </c>
      <c r="N32" s="32" t="n"/>
      <c r="O32" s="19" t="n"/>
      <c r="P32" s="20">
        <f>IF(IF($G32="",$F32,$G32)="","",IFERROR(VLOOKUP(IF($G32="",$F32,$G32),'Receiving Temps'!$A$4:$E$18,3,FALSE),""))</f>
        <v/>
      </c>
      <c r="Q32" s="20">
        <f>IF(IF($G32="",$F32,$G32)="","",IFERROR(VLOOKUP(IF($G32="",$F32,$G32),'Receiving Temps'!$A$4:$E$18,4,FALSE),""))</f>
        <v/>
      </c>
      <c r="R32" s="20">
        <f>IF(OR($O32="",IF($G32="",$F32,$G32)=""),"",IF($Q32="N/A","N/A",IF($Q32="","⚠ NO LIMIT FOR THIS FAMILY",IF($O32&lt;$P32,"✗ REJECT (too cold)",IF($O32&lt;=$Q32,"✓ ACCEPT","✗ REJECT (too warm)")))))</f>
        <v/>
      </c>
      <c r="S32" s="19" t="n"/>
      <c r="T32" s="19" t="n"/>
      <c r="U32" s="19" t="n"/>
      <c r="V32" s="19" t="n"/>
    </row>
    <row r="33">
      <c r="A33" s="32" t="n"/>
      <c r="B33" s="19" t="n"/>
      <c r="C33" s="19" t="n"/>
      <c r="D33" s="19" t="n"/>
      <c r="E33" s="19" t="n"/>
      <c r="F33">
        <f>IF($E33="","",IFERROR(VLOOKUP($E33,'Receiving Temps'!$G$4:$H$13,2,FALSE),""))</f>
        <v/>
      </c>
      <c r="G33" s="19" t="n"/>
      <c r="H33" s="19" t="n"/>
      <c r="I33" s="19" t="n"/>
      <c r="J33" s="19" t="n"/>
      <c r="K33">
        <f>IF(OR($I33="",$J33=""),"",$J33-$I33)</f>
        <v/>
      </c>
      <c r="L33" s="33" t="n"/>
      <c r="M33" s="35">
        <f>IF(OR($K33="",$L33=""),"",$K33*$L33)</f>
        <v/>
      </c>
      <c r="N33" s="32" t="n"/>
      <c r="O33" s="19" t="n"/>
      <c r="P33">
        <f>IF(IF($G33="",$F33,$G33)="","",IFERROR(VLOOKUP(IF($G33="",$F33,$G33),'Receiving Temps'!$A$4:$E$18,3,FALSE),""))</f>
        <v/>
      </c>
      <c r="Q33">
        <f>IF(IF($G33="",$F33,$G33)="","",IFERROR(VLOOKUP(IF($G33="",$F33,$G33),'Receiving Temps'!$A$4:$E$18,4,FALSE),""))</f>
        <v/>
      </c>
      <c r="R33">
        <f>IF(OR($O33="",IF($G33="",$F33,$G33)=""),"",IF($Q33="N/A","N/A",IF($Q33="","⚠ NO LIMIT FOR THIS FAMILY",IF($O33&lt;$P33,"✗ REJECT (too cold)",IF($O33&lt;=$Q33,"✓ ACCEPT","✗ REJECT (too warm)")))))</f>
        <v/>
      </c>
      <c r="S33" s="19" t="n"/>
      <c r="T33" s="19" t="n"/>
      <c r="U33" s="19" t="n"/>
      <c r="V33" s="19" t="n"/>
    </row>
    <row r="34">
      <c r="A34" s="32" t="n"/>
      <c r="B34" s="19" t="n"/>
      <c r="C34" s="19" t="n"/>
      <c r="D34" s="19" t="n"/>
      <c r="E34" s="19" t="n"/>
      <c r="F34" s="20">
        <f>IF($E34="","",IFERROR(VLOOKUP($E34,'Receiving Temps'!$G$4:$H$13,2,FALSE),""))</f>
        <v/>
      </c>
      <c r="G34" s="19" t="n"/>
      <c r="H34" s="19" t="n"/>
      <c r="I34" s="19" t="n"/>
      <c r="J34" s="19" t="n"/>
      <c r="K34" s="20">
        <f>IF(OR($I34="",$J34=""),"",$J34-$I34)</f>
        <v/>
      </c>
      <c r="L34" s="33" t="n"/>
      <c r="M34" s="34">
        <f>IF(OR($K34="",$L34=""),"",$K34*$L34)</f>
        <v/>
      </c>
      <c r="N34" s="32" t="n"/>
      <c r="O34" s="19" t="n"/>
      <c r="P34" s="20">
        <f>IF(IF($G34="",$F34,$G34)="","",IFERROR(VLOOKUP(IF($G34="",$F34,$G34),'Receiving Temps'!$A$4:$E$18,3,FALSE),""))</f>
        <v/>
      </c>
      <c r="Q34" s="20">
        <f>IF(IF($G34="",$F34,$G34)="","",IFERROR(VLOOKUP(IF($G34="",$F34,$G34),'Receiving Temps'!$A$4:$E$18,4,FALSE),""))</f>
        <v/>
      </c>
      <c r="R34" s="20">
        <f>IF(OR($O34="",IF($G34="",$F34,$G34)=""),"",IF($Q34="N/A","N/A",IF($Q34="","⚠ NO LIMIT FOR THIS FAMILY",IF($O34&lt;$P34,"✗ REJECT (too cold)",IF($O34&lt;=$Q34,"✓ ACCEPT","✗ REJECT (too warm)")))))</f>
        <v/>
      </c>
      <c r="S34" s="19" t="n"/>
      <c r="T34" s="19" t="n"/>
      <c r="U34" s="19" t="n"/>
      <c r="V34" s="19" t="n"/>
    </row>
    <row r="35">
      <c r="A35" s="32" t="n"/>
      <c r="B35" s="19" t="n"/>
      <c r="C35" s="19" t="n"/>
      <c r="D35" s="19" t="n"/>
      <c r="E35" s="19" t="n"/>
      <c r="F35">
        <f>IF($E35="","",IFERROR(VLOOKUP($E35,'Receiving Temps'!$G$4:$H$13,2,FALSE),""))</f>
        <v/>
      </c>
      <c r="G35" s="19" t="n"/>
      <c r="H35" s="19" t="n"/>
      <c r="I35" s="19" t="n"/>
      <c r="J35" s="19" t="n"/>
      <c r="K35">
        <f>IF(OR($I35="",$J35=""),"",$J35-$I35)</f>
        <v/>
      </c>
      <c r="L35" s="33" t="n"/>
      <c r="M35" s="35">
        <f>IF(OR($K35="",$L35=""),"",$K35*$L35)</f>
        <v/>
      </c>
      <c r="N35" s="32" t="n"/>
      <c r="O35" s="19" t="n"/>
      <c r="P35">
        <f>IF(IF($G35="",$F35,$G35)="","",IFERROR(VLOOKUP(IF($G35="",$F35,$G35),'Receiving Temps'!$A$4:$E$18,3,FALSE),""))</f>
        <v/>
      </c>
      <c r="Q35">
        <f>IF(IF($G35="",$F35,$G35)="","",IFERROR(VLOOKUP(IF($G35="",$F35,$G35),'Receiving Temps'!$A$4:$E$18,4,FALSE),""))</f>
        <v/>
      </c>
      <c r="R35">
        <f>IF(OR($O35="",IF($G35="",$F35,$G35)=""),"",IF($Q35="N/A","N/A",IF($Q35="","⚠ NO LIMIT FOR THIS FAMILY",IF($O35&lt;$P35,"✗ REJECT (too cold)",IF($O35&lt;=$Q35,"✓ ACCEPT","✗ REJECT (too warm)")))))</f>
        <v/>
      </c>
      <c r="S35" s="19" t="n"/>
      <c r="T35" s="19" t="n"/>
      <c r="U35" s="19" t="n"/>
      <c r="V35" s="19" t="n"/>
    </row>
    <row r="36">
      <c r="A36" s="32" t="n"/>
      <c r="B36" s="19" t="n"/>
      <c r="C36" s="19" t="n"/>
      <c r="D36" s="19" t="n"/>
      <c r="E36" s="19" t="n"/>
      <c r="F36" s="20">
        <f>IF($E36="","",IFERROR(VLOOKUP($E36,'Receiving Temps'!$G$4:$H$13,2,FALSE),""))</f>
        <v/>
      </c>
      <c r="G36" s="19" t="n"/>
      <c r="H36" s="19" t="n"/>
      <c r="I36" s="19" t="n"/>
      <c r="J36" s="19" t="n"/>
      <c r="K36" s="20">
        <f>IF(OR($I36="",$J36=""),"",$J36-$I36)</f>
        <v/>
      </c>
      <c r="L36" s="33" t="n"/>
      <c r="M36" s="34">
        <f>IF(OR($K36="",$L36=""),"",$K36*$L36)</f>
        <v/>
      </c>
      <c r="N36" s="32" t="n"/>
      <c r="O36" s="19" t="n"/>
      <c r="P36" s="20">
        <f>IF(IF($G36="",$F36,$G36)="","",IFERROR(VLOOKUP(IF($G36="",$F36,$G36),'Receiving Temps'!$A$4:$E$18,3,FALSE),""))</f>
        <v/>
      </c>
      <c r="Q36" s="20">
        <f>IF(IF($G36="",$F36,$G36)="","",IFERROR(VLOOKUP(IF($G36="",$F36,$G36),'Receiving Temps'!$A$4:$E$18,4,FALSE),""))</f>
        <v/>
      </c>
      <c r="R36" s="20">
        <f>IF(OR($O36="",IF($G36="",$F36,$G36)=""),"",IF($Q36="N/A","N/A",IF($Q36="","⚠ NO LIMIT FOR THIS FAMILY",IF($O36&lt;$P36,"✗ REJECT (too cold)",IF($O36&lt;=$Q36,"✓ ACCEPT","✗ REJECT (too warm)")))))</f>
        <v/>
      </c>
      <c r="S36" s="19" t="n"/>
      <c r="T36" s="19" t="n"/>
      <c r="U36" s="19" t="n"/>
      <c r="V36" s="19" t="n"/>
    </row>
    <row r="37">
      <c r="A37" s="32" t="n"/>
      <c r="B37" s="19" t="n"/>
      <c r="C37" s="19" t="n"/>
      <c r="D37" s="19" t="n"/>
      <c r="E37" s="19" t="n"/>
      <c r="F37">
        <f>IF($E37="","",IFERROR(VLOOKUP($E37,'Receiving Temps'!$G$4:$H$13,2,FALSE),""))</f>
        <v/>
      </c>
      <c r="G37" s="19" t="n"/>
      <c r="H37" s="19" t="n"/>
      <c r="I37" s="19" t="n"/>
      <c r="J37" s="19" t="n"/>
      <c r="K37">
        <f>IF(OR($I37="",$J37=""),"",$J37-$I37)</f>
        <v/>
      </c>
      <c r="L37" s="33" t="n"/>
      <c r="M37" s="35">
        <f>IF(OR($K37="",$L37=""),"",$K37*$L37)</f>
        <v/>
      </c>
      <c r="N37" s="32" t="n"/>
      <c r="O37" s="19" t="n"/>
      <c r="P37">
        <f>IF(IF($G37="",$F37,$G37)="","",IFERROR(VLOOKUP(IF($G37="",$F37,$G37),'Receiving Temps'!$A$4:$E$18,3,FALSE),""))</f>
        <v/>
      </c>
      <c r="Q37">
        <f>IF(IF($G37="",$F37,$G37)="","",IFERROR(VLOOKUP(IF($G37="",$F37,$G37),'Receiving Temps'!$A$4:$E$18,4,FALSE),""))</f>
        <v/>
      </c>
      <c r="R37">
        <f>IF(OR($O37="",IF($G37="",$F37,$G37)=""),"",IF($Q37="N/A","N/A",IF($Q37="","⚠ NO LIMIT FOR THIS FAMILY",IF($O37&lt;$P37,"✗ REJECT (too cold)",IF($O37&lt;=$Q37,"✓ ACCEPT","✗ REJECT (too warm)")))))</f>
        <v/>
      </c>
      <c r="S37" s="19" t="n"/>
      <c r="T37" s="19" t="n"/>
      <c r="U37" s="19" t="n"/>
      <c r="V37" s="19" t="n"/>
    </row>
    <row r="38">
      <c r="A38" s="32" t="n"/>
      <c r="B38" s="19" t="n"/>
      <c r="C38" s="19" t="n"/>
      <c r="D38" s="19" t="n"/>
      <c r="E38" s="19" t="n"/>
      <c r="F38" s="20">
        <f>IF($E38="","",IFERROR(VLOOKUP($E38,'Receiving Temps'!$G$4:$H$13,2,FALSE),""))</f>
        <v/>
      </c>
      <c r="G38" s="19" t="n"/>
      <c r="H38" s="19" t="n"/>
      <c r="I38" s="19" t="n"/>
      <c r="J38" s="19" t="n"/>
      <c r="K38" s="20">
        <f>IF(OR($I38="",$J38=""),"",$J38-$I38)</f>
        <v/>
      </c>
      <c r="L38" s="33" t="n"/>
      <c r="M38" s="34">
        <f>IF(OR($K38="",$L38=""),"",$K38*$L38)</f>
        <v/>
      </c>
      <c r="N38" s="32" t="n"/>
      <c r="O38" s="19" t="n"/>
      <c r="P38" s="20">
        <f>IF(IF($G38="",$F38,$G38)="","",IFERROR(VLOOKUP(IF($G38="",$F38,$G38),'Receiving Temps'!$A$4:$E$18,3,FALSE),""))</f>
        <v/>
      </c>
      <c r="Q38" s="20">
        <f>IF(IF($G38="",$F38,$G38)="","",IFERROR(VLOOKUP(IF($G38="",$F38,$G38),'Receiving Temps'!$A$4:$E$18,4,FALSE),""))</f>
        <v/>
      </c>
      <c r="R38" s="20">
        <f>IF(OR($O38="",IF($G38="",$F38,$G38)=""),"",IF($Q38="N/A","N/A",IF($Q38="","⚠ NO LIMIT FOR THIS FAMILY",IF($O38&lt;$P38,"✗ REJECT (too cold)",IF($O38&lt;=$Q38,"✓ ACCEPT","✗ REJECT (too warm)")))))</f>
        <v/>
      </c>
      <c r="S38" s="19" t="n"/>
      <c r="T38" s="19" t="n"/>
      <c r="U38" s="19" t="n"/>
      <c r="V38" s="19" t="n"/>
    </row>
    <row r="39">
      <c r="A39" s="32" t="n"/>
      <c r="B39" s="19" t="n"/>
      <c r="C39" s="19" t="n"/>
      <c r="D39" s="19" t="n"/>
      <c r="E39" s="19" t="n"/>
      <c r="F39">
        <f>IF($E39="","",IFERROR(VLOOKUP($E39,'Receiving Temps'!$G$4:$H$13,2,FALSE),""))</f>
        <v/>
      </c>
      <c r="G39" s="19" t="n"/>
      <c r="H39" s="19" t="n"/>
      <c r="I39" s="19" t="n"/>
      <c r="J39" s="19" t="n"/>
      <c r="K39">
        <f>IF(OR($I39="",$J39=""),"",$J39-$I39)</f>
        <v/>
      </c>
      <c r="L39" s="33" t="n"/>
      <c r="M39" s="35">
        <f>IF(OR($K39="",$L39=""),"",$K39*$L39)</f>
        <v/>
      </c>
      <c r="N39" s="32" t="n"/>
      <c r="O39" s="19" t="n"/>
      <c r="P39">
        <f>IF(IF($G39="",$F39,$G39)="","",IFERROR(VLOOKUP(IF($G39="",$F39,$G39),'Receiving Temps'!$A$4:$E$18,3,FALSE),""))</f>
        <v/>
      </c>
      <c r="Q39">
        <f>IF(IF($G39="",$F39,$G39)="","",IFERROR(VLOOKUP(IF($G39="",$F39,$G39),'Receiving Temps'!$A$4:$E$18,4,FALSE),""))</f>
        <v/>
      </c>
      <c r="R39">
        <f>IF(OR($O39="",IF($G39="",$F39,$G39)=""),"",IF($Q39="N/A","N/A",IF($Q39="","⚠ NO LIMIT FOR THIS FAMILY",IF($O39&lt;$P39,"✗ REJECT (too cold)",IF($O39&lt;=$Q39,"✓ ACCEPT","✗ REJECT (too warm)")))))</f>
        <v/>
      </c>
      <c r="S39" s="19" t="n"/>
      <c r="T39" s="19" t="n"/>
      <c r="U39" s="19" t="n"/>
      <c r="V39" s="19" t="n"/>
    </row>
    <row r="40">
      <c r="A40" s="32" t="n"/>
      <c r="B40" s="19" t="n"/>
      <c r="C40" s="19" t="n"/>
      <c r="D40" s="19" t="n"/>
      <c r="E40" s="19" t="n"/>
      <c r="F40" s="20">
        <f>IF($E40="","",IFERROR(VLOOKUP($E40,'Receiving Temps'!$G$4:$H$13,2,FALSE),""))</f>
        <v/>
      </c>
      <c r="G40" s="19" t="n"/>
      <c r="H40" s="19" t="n"/>
      <c r="I40" s="19" t="n"/>
      <c r="J40" s="19" t="n"/>
      <c r="K40" s="20">
        <f>IF(OR($I40="",$J40=""),"",$J40-$I40)</f>
        <v/>
      </c>
      <c r="L40" s="33" t="n"/>
      <c r="M40" s="34">
        <f>IF(OR($K40="",$L40=""),"",$K40*$L40)</f>
        <v/>
      </c>
      <c r="N40" s="32" t="n"/>
      <c r="O40" s="19" t="n"/>
      <c r="P40" s="20">
        <f>IF(IF($G40="",$F40,$G40)="","",IFERROR(VLOOKUP(IF($G40="",$F40,$G40),'Receiving Temps'!$A$4:$E$18,3,FALSE),""))</f>
        <v/>
      </c>
      <c r="Q40" s="20">
        <f>IF(IF($G40="",$F40,$G40)="","",IFERROR(VLOOKUP(IF($G40="",$F40,$G40),'Receiving Temps'!$A$4:$E$18,4,FALSE),""))</f>
        <v/>
      </c>
      <c r="R40" s="20">
        <f>IF(OR($O40="",IF($G40="",$F40,$G40)=""),"",IF($Q40="N/A","N/A",IF($Q40="","⚠ NO LIMIT FOR THIS FAMILY",IF($O40&lt;$P40,"✗ REJECT (too cold)",IF($O40&lt;=$Q40,"✓ ACCEPT","✗ REJECT (too warm)")))))</f>
        <v/>
      </c>
      <c r="S40" s="19" t="n"/>
      <c r="T40" s="19" t="n"/>
      <c r="U40" s="19" t="n"/>
      <c r="V40" s="19" t="n"/>
    </row>
    <row r="41">
      <c r="A41" s="32" t="n"/>
      <c r="B41" s="19" t="n"/>
      <c r="C41" s="19" t="n"/>
      <c r="D41" s="19" t="n"/>
      <c r="E41" s="19" t="n"/>
      <c r="F41">
        <f>IF($E41="","",IFERROR(VLOOKUP($E41,'Receiving Temps'!$G$4:$H$13,2,FALSE),""))</f>
        <v/>
      </c>
      <c r="G41" s="19" t="n"/>
      <c r="H41" s="19" t="n"/>
      <c r="I41" s="19" t="n"/>
      <c r="J41" s="19" t="n"/>
      <c r="K41">
        <f>IF(OR($I41="",$J41=""),"",$J41-$I41)</f>
        <v/>
      </c>
      <c r="L41" s="33" t="n"/>
      <c r="M41" s="35">
        <f>IF(OR($K41="",$L41=""),"",$K41*$L41)</f>
        <v/>
      </c>
      <c r="N41" s="32" t="n"/>
      <c r="O41" s="19" t="n"/>
      <c r="P41">
        <f>IF(IF($G41="",$F41,$G41)="","",IFERROR(VLOOKUP(IF($G41="",$F41,$G41),'Receiving Temps'!$A$4:$E$18,3,FALSE),""))</f>
        <v/>
      </c>
      <c r="Q41">
        <f>IF(IF($G41="",$F41,$G41)="","",IFERROR(VLOOKUP(IF($G41="",$F41,$G41),'Receiving Temps'!$A$4:$E$18,4,FALSE),""))</f>
        <v/>
      </c>
      <c r="R41">
        <f>IF(OR($O41="",IF($G41="",$F41,$G41)=""),"",IF($Q41="N/A","N/A",IF($Q41="","⚠ NO LIMIT FOR THIS FAMILY",IF($O41&lt;$P41,"✗ REJECT (too cold)",IF($O41&lt;=$Q41,"✓ ACCEPT","✗ REJECT (too warm)")))))</f>
        <v/>
      </c>
      <c r="S41" s="19" t="n"/>
      <c r="T41" s="19" t="n"/>
      <c r="U41" s="19" t="n"/>
      <c r="V41" s="19" t="n"/>
    </row>
    <row r="42">
      <c r="A42" s="32" t="n"/>
      <c r="B42" s="19" t="n"/>
      <c r="C42" s="19" t="n"/>
      <c r="D42" s="19" t="n"/>
      <c r="E42" s="19" t="n"/>
      <c r="F42" s="20">
        <f>IF($E42="","",IFERROR(VLOOKUP($E42,'Receiving Temps'!$G$4:$H$13,2,FALSE),""))</f>
        <v/>
      </c>
      <c r="G42" s="19" t="n"/>
      <c r="H42" s="19" t="n"/>
      <c r="I42" s="19" t="n"/>
      <c r="J42" s="19" t="n"/>
      <c r="K42" s="20">
        <f>IF(OR($I42="",$J42=""),"",$J42-$I42)</f>
        <v/>
      </c>
      <c r="L42" s="33" t="n"/>
      <c r="M42" s="34">
        <f>IF(OR($K42="",$L42=""),"",$K42*$L42)</f>
        <v/>
      </c>
      <c r="N42" s="32" t="n"/>
      <c r="O42" s="19" t="n"/>
      <c r="P42" s="20">
        <f>IF(IF($G42="",$F42,$G42)="","",IFERROR(VLOOKUP(IF($G42="",$F42,$G42),'Receiving Temps'!$A$4:$E$18,3,FALSE),""))</f>
        <v/>
      </c>
      <c r="Q42" s="20">
        <f>IF(IF($G42="",$F42,$G42)="","",IFERROR(VLOOKUP(IF($G42="",$F42,$G42),'Receiving Temps'!$A$4:$E$18,4,FALSE),""))</f>
        <v/>
      </c>
      <c r="R42" s="20">
        <f>IF(OR($O42="",IF($G42="",$F42,$G42)=""),"",IF($Q42="N/A","N/A",IF($Q42="","⚠ NO LIMIT FOR THIS FAMILY",IF($O42&lt;$P42,"✗ REJECT (too cold)",IF($O42&lt;=$Q42,"✓ ACCEPT","✗ REJECT (too warm)")))))</f>
        <v/>
      </c>
      <c r="S42" s="19" t="n"/>
      <c r="T42" s="19" t="n"/>
      <c r="U42" s="19" t="n"/>
      <c r="V42" s="19" t="n"/>
    </row>
    <row r="43">
      <c r="A43" s="32" t="n"/>
      <c r="B43" s="19" t="n"/>
      <c r="C43" s="19" t="n"/>
      <c r="D43" s="19" t="n"/>
      <c r="E43" s="19" t="n"/>
      <c r="F43">
        <f>IF($E43="","",IFERROR(VLOOKUP($E43,'Receiving Temps'!$G$4:$H$13,2,FALSE),""))</f>
        <v/>
      </c>
      <c r="G43" s="19" t="n"/>
      <c r="H43" s="19" t="n"/>
      <c r="I43" s="19" t="n"/>
      <c r="J43" s="19" t="n"/>
      <c r="K43">
        <f>IF(OR($I43="",$J43=""),"",$J43-$I43)</f>
        <v/>
      </c>
      <c r="L43" s="33" t="n"/>
      <c r="M43" s="35">
        <f>IF(OR($K43="",$L43=""),"",$K43*$L43)</f>
        <v/>
      </c>
      <c r="N43" s="32" t="n"/>
      <c r="O43" s="19" t="n"/>
      <c r="P43">
        <f>IF(IF($G43="",$F43,$G43)="","",IFERROR(VLOOKUP(IF($G43="",$F43,$G43),'Receiving Temps'!$A$4:$E$18,3,FALSE),""))</f>
        <v/>
      </c>
      <c r="Q43">
        <f>IF(IF($G43="",$F43,$G43)="","",IFERROR(VLOOKUP(IF($G43="",$F43,$G43),'Receiving Temps'!$A$4:$E$18,4,FALSE),""))</f>
        <v/>
      </c>
      <c r="R43">
        <f>IF(OR($O43="",IF($G43="",$F43,$G43)=""),"",IF($Q43="N/A","N/A",IF($Q43="","⚠ NO LIMIT FOR THIS FAMILY",IF($O43&lt;$P43,"✗ REJECT (too cold)",IF($O43&lt;=$Q43,"✓ ACCEPT","✗ REJECT (too warm)")))))</f>
        <v/>
      </c>
      <c r="S43" s="19" t="n"/>
      <c r="T43" s="19" t="n"/>
      <c r="U43" s="19" t="n"/>
      <c r="V43" s="19" t="n"/>
    </row>
    <row r="45">
      <c r="B45" s="24" t="inlineStr">
        <is>
          <t>Deliveries logged:</t>
        </is>
      </c>
      <c r="D45" s="25">
        <f>COUNTIF($D$4:$D$43,"&lt;&gt;")</f>
        <v>4.0</v>
      </c>
      <c r="F45" s="24" t="inlineStr">
        <is>
          <t>Lines to reject:</t>
        </is>
      </c>
      <c r="H45" s="25">
        <f>COUNTIF($R$4:$R$43,"*REJECT*")</f>
        <v>1.0</v>
      </c>
      <c r="I45" s="24" t="inlineStr">
        <is>
          <t>Total difference (units):</t>
        </is>
      </c>
      <c r="K45" s="25">
        <f>SUM($K$4:$K$43)</f>
        <v>-4.0</v>
      </c>
      <c r="L45" s="24" t="inlineStr">
        <is>
          <t>Value of difference:</t>
        </is>
      </c>
      <c r="N45" s="36">
        <f>SUM($M$4:$M$43)</f>
        <v>-68.84</v>
      </c>
    </row>
  </sheetData>
  <sheetProtection selectLockedCells="0" selectUnlockedCells="0" sheet="1" objects="0" insertRows="1" insertHyperlinks="1" autoFilter="0" scenarios="0" formatColumns="0" deleteColumns="1" insertColumns="1" pivotTables="1" deleteRows="1" formatCells="1" formatRows="0" sort="0"/>
  <mergeCells count="6">
    <mergeCell ref="F45:G45"/>
    <mergeCell ref="A1:V1"/>
    <mergeCell ref="I45:J45"/>
    <mergeCell ref="B45:C45"/>
    <mergeCell ref="A2:V2"/>
    <mergeCell ref="L45:M45"/>
  </mergeCells>
  <conditionalFormatting sqref="R4:R43">
    <cfRule type="containsText" priority="1" operator="containsText" dxfId="0" stopIfTrue="1" text="REJECT">
      <formula>NOT(ISERROR(SEARCH("REJECT",R4)))</formula>
    </cfRule>
    <cfRule type="containsText" priority="2" operator="containsText" dxfId="1" stopIfTrue="1" text="NO LIMIT">
      <formula>NOT(ISERROR(SEARCH("NO LIMIT",R4)))</formula>
    </cfRule>
    <cfRule type="containsText" priority="3" operator="containsText" dxfId="2" stopIfTrue="1" text="ACCEPT">
      <formula>NOT(ISERROR(SEARCH("ACCEPT",R4)))</formula>
    </cfRule>
  </conditionalFormatting>
  <conditionalFormatting sqref="O4:O43">
    <cfRule type="expression" priority="4" dxfId="0" stopIfTrue="1">
      <formula>AND($O4&lt;&gt;"",ISNUMBER(SEARCH("REJECT",$R4)))</formula>
    </cfRule>
  </conditionalFormatting>
  <dataValidations count="3">
    <dataValidation sqref="E4:E43" showDropDown="0" showInputMessage="1" showErrorMessage="1" allowBlank="1" errorTitle="Invalid category" error="Choose a value from the list. If each line uses different wording, the COUNTIF and SUMIF formulas in the analysis sheets won't add up correctly." promptTitle="Invalid category" prompt="The kit's 10 categories, the same as the other eight templates. This is where the suggested regulatory family comes from." type="list" errorStyle="stop">
      <formula1>"Meat &amp; Poultry,Seafood,Dairy &amp; Eggs,Produce,Dry Goods,Frozen,Alcoholic Beverages,Non-Alcoholic Beverages,Paper &amp; Cleaning,Other"</formula1>
    </dataValidation>
    <dataValidation sqref="G4:G43" showDropDown="0" showInputMessage="1" showErrorMessage="1" allowBlank="1" errorTitle="Invalid family" error="Choose a value from the list. If each line uses different wording, the COUNTIF and SUMIF formulas in the analysis sheets won't add up correctly." promptTitle="Invalid family" prompt="Only if you want to FINE-TUNE the suggested family: shell eggs, live shellfish and hot-held TCS food each have their own threshold. Leave it blank to use the suggested one." type="list" errorStyle="stop">
      <formula1>='Receiving Temps'!$A$4:$A$18</formula1>
    </dataValidation>
    <dataValidation sqref="S4:S43" showDropDown="0" showInputMessage="1" showErrorMessage="1" allowBlank="1" errorTitle="Invalid mark" error="Choose a value from the list. If each line uses different wording, the COUNTIF and SUMIF formulas in the analysis sheets won't add up correctly." promptTitle="Invalid mark" prompt="Visual and organoleptic condition of the product: packaging, smell, color, and presence of ice or free water." type="list" errorStyle="stop">
      <formula1>"✓,✗,—"</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K26"/>
  <sheetViews>
    <sheetView workbookViewId="0">
      <pane ySplit="3" topLeftCell="A4" activePane="bottomLeft" state="frozen"/>
      <selection pane="bottomLeft" activeCell="A1" sqref="A1"/>
    </sheetView>
  </sheetViews>
  <sheetFormatPr baseColWidth="8" defaultRowHeight="15"/>
  <cols>
    <col width="12" customWidth="1" min="1" max="1"/>
    <col width="14" customWidth="1" min="2" max="2"/>
    <col width="24" customWidth="1" min="3" max="3"/>
    <col width="26" customWidth="1" min="4" max="4"/>
    <col width="26" customWidth="1" min="5" max="5"/>
    <col width="38" customWidth="1" min="6" max="6"/>
    <col width="34" customWidth="1" min="7" max="7"/>
    <col width="20" customWidth="1" min="8" max="8"/>
    <col width="18" customWidth="1" min="9" max="9"/>
    <col width="18" customWidth="1" min="10" max="10"/>
    <col width="20" customWidth="1" min="11" max="11"/>
  </cols>
  <sheetData>
    <row r="1">
      <c r="A1" s="15" t="inlineStr">
        <is>
          <t>DISCREPANCY LOG — RECEIVING</t>
        </is>
      </c>
    </row>
    <row r="2">
      <c r="A2" s="16" t="inlineStr">
        <is>
          <t>The sum of "Amount claimed" minus "Credit received" is what your vendor owes you. The first three lines are an example.</t>
        </is>
      </c>
    </row>
    <row r="3">
      <c r="A3" s="27" t="inlineStr">
        <is>
          <t>Date</t>
        </is>
      </c>
      <c r="B3" s="27" t="inlineStr">
        <is>
          <t>Invoice/packing slip #</t>
        </is>
      </c>
      <c r="C3" s="27" t="inlineStr">
        <is>
          <t>Vendor</t>
        </is>
      </c>
      <c r="D3" s="27" t="inlineStr">
        <is>
          <t>Product</t>
        </is>
      </c>
      <c r="E3" s="27" t="inlineStr">
        <is>
          <t>Discrepancy type</t>
        </is>
      </c>
      <c r="F3" s="27" t="inlineStr">
        <is>
          <t>Description</t>
        </is>
      </c>
      <c r="G3" s="27" t="inlineStr">
        <is>
          <t>Action taken</t>
        </is>
      </c>
      <c r="H3" s="27" t="inlineStr">
        <is>
          <t>Handled by</t>
        </is>
      </c>
      <c r="I3" s="27" t="inlineStr">
        <is>
          <t>Amount claimed</t>
        </is>
      </c>
      <c r="J3" s="27" t="inlineStr">
        <is>
          <t>Credit received</t>
        </is>
      </c>
      <c r="K3" s="27" t="inlineStr">
        <is>
          <t>Status</t>
        </is>
      </c>
    </row>
    <row r="4">
      <c r="A4" s="32" t="n">
        <v>46252</v>
      </c>
      <c r="B4" s="19" t="inlineStr">
        <is>
          <t>INV-24518</t>
        </is>
      </c>
      <c r="C4" s="19" t="inlineStr">
        <is>
          <t>Prime Cut Meats (sample)</t>
        </is>
      </c>
      <c r="D4" s="19" t="inlineStr">
        <is>
          <t>Beef tenderloin (sample)</t>
        </is>
      </c>
      <c r="E4" s="19" t="inlineStr">
        <is>
          <t>Wrong quantity</t>
        </is>
      </c>
      <c r="F4" s="19" t="inlineStr">
        <is>
          <t>4 lb short of the 24 lb ordered: only 20 lb received</t>
        </is>
      </c>
      <c r="G4" s="19" t="inlineStr">
        <is>
          <t>Credit requested by email the same day</t>
        </is>
      </c>
      <c r="H4" s="19" t="inlineStr">
        <is>
          <t>Head chef</t>
        </is>
      </c>
      <c r="I4" s="33" t="n">
        <v>68.84</v>
      </c>
      <c r="J4" s="33" t="n">
        <v>0</v>
      </c>
      <c r="K4" s="19" t="inlineStr">
        <is>
          <t>Claimed</t>
        </is>
      </c>
    </row>
    <row r="5">
      <c r="A5" s="32" t="n">
        <v>46252</v>
      </c>
      <c r="B5" s="19" t="inlineStr">
        <is>
          <t>INV-0091</t>
        </is>
      </c>
      <c r="C5" s="19" t="inlineStr">
        <is>
          <t>Harbor Fresh Seafood (sample)</t>
        </is>
      </c>
      <c r="D5" s="19" t="inlineStr">
        <is>
          <t>Fresh cod fillet (sample)</t>
        </is>
      </c>
      <c r="E5" s="19" t="inlineStr">
        <is>
          <t>Temperature out of range</t>
        </is>
      </c>
      <c r="F5" s="19" t="inlineStr">
        <is>
          <t>Arrived at 46 °F against its group's 41 °F limit</t>
        </is>
      </c>
      <c r="G5" s="19" t="inlineStr">
        <is>
          <t>Whole lot (20 lb) sent back with the driver on the spot</t>
        </is>
      </c>
      <c r="H5" s="19" t="inlineStr">
        <is>
          <t>Sous chef</t>
        </is>
      </c>
      <c r="I5" s="33" t="n">
        <v>230</v>
      </c>
      <c r="J5" s="33" t="n">
        <v>230</v>
      </c>
      <c r="K5" s="19" t="inlineStr">
        <is>
          <t>Credit received</t>
        </is>
      </c>
    </row>
    <row r="6">
      <c r="A6" s="32" t="n">
        <v>46253</v>
      </c>
      <c r="B6" s="19" t="inlineStr">
        <is>
          <t>INV-7742</t>
        </is>
      </c>
      <c r="C6" s="19" t="inlineStr">
        <is>
          <t>Green Valley Produce (sample)</t>
        </is>
      </c>
      <c r="D6" s="19" t="inlineStr">
        <is>
          <t>Tomatoes (sample)</t>
        </is>
      </c>
      <c r="E6" s="19" t="inlineStr">
        <is>
          <t>Poor condition</t>
        </is>
      </c>
      <c r="F6" s="19" t="inlineStr">
        <is>
          <t>Two 25 lb cases with mold at the bottom</t>
        </is>
      </c>
      <c r="G6" s="19" t="inlineStr">
        <is>
          <t>Pulled and entered in the waste log</t>
        </is>
      </c>
      <c r="H6" s="19" t="inlineStr">
        <is>
          <t>Purchasing manager</t>
        </is>
      </c>
      <c r="I6" s="33" t="n">
        <v>99</v>
      </c>
      <c r="J6" s="33" t="n">
        <v>0</v>
      </c>
      <c r="K6" s="19" t="inlineStr">
        <is>
          <t>Open</t>
        </is>
      </c>
    </row>
    <row r="7">
      <c r="A7" s="32" t="n"/>
      <c r="B7" s="19" t="n"/>
      <c r="C7" s="19" t="n"/>
      <c r="D7" s="19" t="n"/>
      <c r="E7" s="19" t="n"/>
      <c r="F7" s="19" t="n"/>
      <c r="G7" s="19" t="n"/>
      <c r="H7" s="19" t="n"/>
      <c r="I7" s="33" t="n"/>
      <c r="J7" s="33" t="n"/>
      <c r="K7" s="19" t="n"/>
    </row>
    <row r="8">
      <c r="A8" s="32" t="n"/>
      <c r="B8" s="19" t="n"/>
      <c r="C8" s="19" t="n"/>
      <c r="D8" s="19" t="n"/>
      <c r="E8" s="19" t="n"/>
      <c r="F8" s="19" t="n"/>
      <c r="G8" s="19" t="n"/>
      <c r="H8" s="19" t="n"/>
      <c r="I8" s="33" t="n"/>
      <c r="J8" s="33" t="n"/>
      <c r="K8" s="19" t="n"/>
    </row>
    <row r="9">
      <c r="A9" s="32" t="n"/>
      <c r="B9" s="19" t="n"/>
      <c r="C9" s="19" t="n"/>
      <c r="D9" s="19" t="n"/>
      <c r="E9" s="19" t="n"/>
      <c r="F9" s="19" t="n"/>
      <c r="G9" s="19" t="n"/>
      <c r="H9" s="19" t="n"/>
      <c r="I9" s="33" t="n"/>
      <c r="J9" s="33" t="n"/>
      <c r="K9" s="19" t="n"/>
    </row>
    <row r="10">
      <c r="A10" s="32" t="n"/>
      <c r="B10" s="19" t="n"/>
      <c r="C10" s="19" t="n"/>
      <c r="D10" s="19" t="n"/>
      <c r="E10" s="19" t="n"/>
      <c r="F10" s="19" t="n"/>
      <c r="G10" s="19" t="n"/>
      <c r="H10" s="19" t="n"/>
      <c r="I10" s="33" t="n"/>
      <c r="J10" s="33" t="n"/>
      <c r="K10" s="19" t="n"/>
    </row>
    <row r="11">
      <c r="A11" s="32" t="n"/>
      <c r="B11" s="19" t="n"/>
      <c r="C11" s="19" t="n"/>
      <c r="D11" s="19" t="n"/>
      <c r="E11" s="19" t="n"/>
      <c r="F11" s="19" t="n"/>
      <c r="G11" s="19" t="n"/>
      <c r="H11" s="19" t="n"/>
      <c r="I11" s="33" t="n"/>
      <c r="J11" s="33" t="n"/>
      <c r="K11" s="19" t="n"/>
    </row>
    <row r="12">
      <c r="A12" s="32" t="n"/>
      <c r="B12" s="19" t="n"/>
      <c r="C12" s="19" t="n"/>
      <c r="D12" s="19" t="n"/>
      <c r="E12" s="19" t="n"/>
      <c r="F12" s="19" t="n"/>
      <c r="G12" s="19" t="n"/>
      <c r="H12" s="19" t="n"/>
      <c r="I12" s="33" t="n"/>
      <c r="J12" s="33" t="n"/>
      <c r="K12" s="19" t="n"/>
    </row>
    <row r="13">
      <c r="A13" s="32" t="n"/>
      <c r="B13" s="19" t="n"/>
      <c r="C13" s="19" t="n"/>
      <c r="D13" s="19" t="n"/>
      <c r="E13" s="19" t="n"/>
      <c r="F13" s="19" t="n"/>
      <c r="G13" s="19" t="n"/>
      <c r="H13" s="19" t="n"/>
      <c r="I13" s="33" t="n"/>
      <c r="J13" s="33" t="n"/>
      <c r="K13" s="19" t="n"/>
    </row>
    <row r="14">
      <c r="A14" s="32" t="n"/>
      <c r="B14" s="19" t="n"/>
      <c r="C14" s="19" t="n"/>
      <c r="D14" s="19" t="n"/>
      <c r="E14" s="19" t="n"/>
      <c r="F14" s="19" t="n"/>
      <c r="G14" s="19" t="n"/>
      <c r="H14" s="19" t="n"/>
      <c r="I14" s="33" t="n"/>
      <c r="J14" s="33" t="n"/>
      <c r="K14" s="19" t="n"/>
    </row>
    <row r="15">
      <c r="A15" s="32" t="n"/>
      <c r="B15" s="19" t="n"/>
      <c r="C15" s="19" t="n"/>
      <c r="D15" s="19" t="n"/>
      <c r="E15" s="19" t="n"/>
      <c r="F15" s="19" t="n"/>
      <c r="G15" s="19" t="n"/>
      <c r="H15" s="19" t="n"/>
      <c r="I15" s="33" t="n"/>
      <c r="J15" s="33" t="n"/>
      <c r="K15" s="19" t="n"/>
    </row>
    <row r="16">
      <c r="A16" s="32" t="n"/>
      <c r="B16" s="19" t="n"/>
      <c r="C16" s="19" t="n"/>
      <c r="D16" s="19" t="n"/>
      <c r="E16" s="19" t="n"/>
      <c r="F16" s="19" t="n"/>
      <c r="G16" s="19" t="n"/>
      <c r="H16" s="19" t="n"/>
      <c r="I16" s="33" t="n"/>
      <c r="J16" s="33" t="n"/>
      <c r="K16" s="19" t="n"/>
    </row>
    <row r="17">
      <c r="A17" s="32" t="n"/>
      <c r="B17" s="19" t="n"/>
      <c r="C17" s="19" t="n"/>
      <c r="D17" s="19" t="n"/>
      <c r="E17" s="19" t="n"/>
      <c r="F17" s="19" t="n"/>
      <c r="G17" s="19" t="n"/>
      <c r="H17" s="19" t="n"/>
      <c r="I17" s="33" t="n"/>
      <c r="J17" s="33" t="n"/>
      <c r="K17" s="19" t="n"/>
    </row>
    <row r="18">
      <c r="A18" s="32" t="n"/>
      <c r="B18" s="19" t="n"/>
      <c r="C18" s="19" t="n"/>
      <c r="D18" s="19" t="n"/>
      <c r="E18" s="19" t="n"/>
      <c r="F18" s="19" t="n"/>
      <c r="G18" s="19" t="n"/>
      <c r="H18" s="19" t="n"/>
      <c r="I18" s="33" t="n"/>
      <c r="J18" s="33" t="n"/>
      <c r="K18" s="19" t="n"/>
    </row>
    <row r="19">
      <c r="A19" s="32" t="n"/>
      <c r="B19" s="19" t="n"/>
      <c r="C19" s="19" t="n"/>
      <c r="D19" s="19" t="n"/>
      <c r="E19" s="19" t="n"/>
      <c r="F19" s="19" t="n"/>
      <c r="G19" s="19" t="n"/>
      <c r="H19" s="19" t="n"/>
      <c r="I19" s="33" t="n"/>
      <c r="J19" s="33" t="n"/>
      <c r="K19" s="19" t="n"/>
    </row>
    <row r="20">
      <c r="A20" s="32" t="n"/>
      <c r="B20" s="19" t="n"/>
      <c r="C20" s="19" t="n"/>
      <c r="D20" s="19" t="n"/>
      <c r="E20" s="19" t="n"/>
      <c r="F20" s="19" t="n"/>
      <c r="G20" s="19" t="n"/>
      <c r="H20" s="19" t="n"/>
      <c r="I20" s="33" t="n"/>
      <c r="J20" s="33" t="n"/>
      <c r="K20" s="19" t="n"/>
    </row>
    <row r="21">
      <c r="A21" s="32" t="n"/>
      <c r="B21" s="19" t="n"/>
      <c r="C21" s="19" t="n"/>
      <c r="D21" s="19" t="n"/>
      <c r="E21" s="19" t="n"/>
      <c r="F21" s="19" t="n"/>
      <c r="G21" s="19" t="n"/>
      <c r="H21" s="19" t="n"/>
      <c r="I21" s="33" t="n"/>
      <c r="J21" s="33" t="n"/>
      <c r="K21" s="19" t="n"/>
    </row>
    <row r="22">
      <c r="A22" s="32" t="n"/>
      <c r="B22" s="19" t="n"/>
      <c r="C22" s="19" t="n"/>
      <c r="D22" s="19" t="n"/>
      <c r="E22" s="19" t="n"/>
      <c r="F22" s="19" t="n"/>
      <c r="G22" s="19" t="n"/>
      <c r="H22" s="19" t="n"/>
      <c r="I22" s="33" t="n"/>
      <c r="J22" s="33" t="n"/>
      <c r="K22" s="19" t="n"/>
    </row>
    <row r="23">
      <c r="A23" s="32" t="n"/>
      <c r="B23" s="19" t="n"/>
      <c r="C23" s="19" t="n"/>
      <c r="D23" s="19" t="n"/>
      <c r="E23" s="19" t="n"/>
      <c r="F23" s="19" t="n"/>
      <c r="G23" s="19" t="n"/>
      <c r="H23" s="19" t="n"/>
      <c r="I23" s="33" t="n"/>
      <c r="J23" s="33" t="n"/>
      <c r="K23" s="19" t="n"/>
    </row>
    <row r="25">
      <c r="H25" s="24" t="inlineStr">
        <is>
          <t>TOTALS</t>
        </is>
      </c>
      <c r="I25" s="36">
        <f>SUM($I$4:$I$23)</f>
        <v>397.84000000000003</v>
      </c>
      <c r="J25" s="36">
        <f>SUM($J$4:$J$23)</f>
        <v>230.0</v>
      </c>
    </row>
    <row r="26">
      <c r="H26" s="24" t="inlineStr">
        <is>
          <t>PENDING CREDIT</t>
        </is>
      </c>
      <c r="I26" s="36">
        <f>IFERROR($I$25-$J$25,"")</f>
        <v>167.84000000000003</v>
      </c>
    </row>
  </sheetData>
  <sheetProtection selectLockedCells="0" selectUnlockedCells="0" sheet="1" objects="0" insertRows="1" insertHyperlinks="1" autoFilter="0" scenarios="0" formatColumns="0" deleteColumns="1" insertColumns="1" pivotTables="1" deleteRows="1" formatCells="1" formatRows="0" sort="0"/>
  <mergeCells count="2">
    <mergeCell ref="A2:K2"/>
    <mergeCell ref="A1:K1"/>
  </mergeCells>
  <dataValidations count="2">
    <dataValidation sqref="E4:E23" showDropDown="0" showInputMessage="1" showErrorMessage="1" allowBlank="1" errorTitle="Invalid discrepancy type" error="Choose a value from the list. If each line uses different wording, the COUNTIF and SUMIF formulas in the analysis sheets won't add up correctly." promptTitle="Invalid discrepancy type" prompt="Grouping discrepancies by type is what tells you whether the problem is the vendor's, the carrier's, or your own receiving process." type="list" errorStyle="stop">
      <formula1>"Wrong quantity,Temperature out of range,Poor condition,Short shelf life,Not ordered,Price differs from quote,Missing lot no. or invoice"</formula1>
    </dataValidation>
    <dataValidation sqref="K4:K23" showDropDown="0" showInputMessage="1" showErrorMessage="1" allowBlank="1" errorTitle="Invalid status" error="Choose a value from the list. If each line uses different wording, the COUNTIF and SUMIF formulas in the analysis sheets won't add up correctly." promptTitle="Invalid status" prompt="As long as the status isn't &quot;Credit received&quot; or &quot;Closed&quot;, that money is still pending." type="list" errorStyle="stop">
      <formula1>"Open,Claimed,Credit received,Closed without credit,Closed"</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H20"/>
  <sheetViews>
    <sheetView workbookViewId="0">
      <pane ySplit="3" topLeftCell="A4" activePane="bottomLeft" state="frozen"/>
      <selection pane="bottomLeft" activeCell="A1" sqref="A1"/>
    </sheetView>
  </sheetViews>
  <sheetFormatPr baseColWidth="8" defaultRowHeight="15"/>
  <cols>
    <col width="46" customWidth="1" min="1" max="1"/>
    <col width="44" customWidth="1" min="2" max="2"/>
    <col width="14" customWidth="1" min="3" max="3"/>
    <col width="14" customWidth="1" min="4" max="4"/>
    <col width="52" customWidth="1" min="5" max="5"/>
    <col width="4" customWidth="1" min="6" max="6"/>
    <col width="24" customWidth="1" min="7" max="7"/>
    <col width="40" customWidth="1" min="8" max="8"/>
  </cols>
  <sheetData>
    <row r="1">
      <c r="A1" s="15" t="inlineStr">
        <is>
          <t>RECEIVING TEMPERATURES — LEGAL LIMITS</t>
        </is>
      </c>
    </row>
    <row r="3">
      <c r="A3" s="17" t="inlineStr">
        <is>
          <t>Family</t>
        </is>
      </c>
      <c r="B3" s="17" t="inlineStr">
        <is>
          <t>Ideal temp.</t>
        </is>
      </c>
      <c r="C3" s="17" t="inlineStr">
        <is>
          <t>Min. acceptable temp. (°F)</t>
        </is>
      </c>
      <c r="D3" s="17" t="inlineStr">
        <is>
          <t>Max. acceptable temp. (°F)</t>
        </is>
      </c>
      <c r="E3" s="17" t="inlineStr">
        <is>
          <t>Regulatory basis</t>
        </is>
      </c>
      <c r="G3" s="17" t="inlineStr">
        <is>
          <t>Kit category</t>
        </is>
      </c>
      <c r="H3" s="17" t="inlineStr">
        <is>
          <t>Default family</t>
        </is>
      </c>
    </row>
    <row r="4">
      <c r="A4" s="28" t="inlineStr">
        <is>
          <t>Raw beef, pork &amp; lamb</t>
        </is>
      </c>
      <c r="B4" s="28" t="inlineStr">
        <is>
          <t>41 °F (5 °C) or below</t>
        </is>
      </c>
      <c r="C4" s="29" t="n">
        <v>30</v>
      </c>
      <c r="D4" s="29" t="n">
        <v>41</v>
      </c>
      <c r="E4" s="28" t="inlineStr">
        <is>
          <t>FDA Food Code 2022 §3-202.11(A)</t>
        </is>
      </c>
      <c r="G4" t="inlineStr">
        <is>
          <t>Meat &amp; Poultry</t>
        </is>
      </c>
      <c r="H4" s="14" t="inlineStr">
        <is>
          <t>Raw beef, pork &amp; lamb</t>
        </is>
      </c>
    </row>
    <row r="5">
      <c r="A5" s="30" t="inlineStr">
        <is>
          <t>Ground &amp; variety meats</t>
        </is>
      </c>
      <c r="B5" s="30" t="inlineStr">
        <is>
          <t>41 °F (5 °C) or below</t>
        </is>
      </c>
      <c r="C5" s="31" t="n">
        <v>30</v>
      </c>
      <c r="D5" s="31" t="n">
        <v>41</v>
      </c>
      <c r="E5" s="30" t="inlineStr">
        <is>
          <t>FDA Food Code 2022 §3-202.11(A)</t>
        </is>
      </c>
      <c r="G5" t="inlineStr">
        <is>
          <t>Seafood</t>
        </is>
      </c>
      <c r="H5" s="14" t="inlineStr">
        <is>
          <t>Fresh fish &amp; shucked shellfish</t>
        </is>
      </c>
    </row>
    <row r="6">
      <c r="A6" s="28" t="inlineStr">
        <is>
          <t>Raw poultry</t>
        </is>
      </c>
      <c r="B6" s="28" t="inlineStr">
        <is>
          <t>41 °F (5 °C) or below</t>
        </is>
      </c>
      <c r="C6" s="29" t="n">
        <v>30</v>
      </c>
      <c r="D6" s="29" t="n">
        <v>41</v>
      </c>
      <c r="E6" s="28" t="inlineStr">
        <is>
          <t>FDA Food Code 2022 §3-202.11(A)</t>
        </is>
      </c>
      <c r="G6" t="inlineStr">
        <is>
          <t>Dairy &amp; Eggs</t>
        </is>
      </c>
      <c r="H6" s="14" t="inlineStr">
        <is>
          <t>Dairy &amp; other refrigerated TCS</t>
        </is>
      </c>
    </row>
    <row r="7">
      <c r="A7" s="30" t="inlineStr">
        <is>
          <t>Marinated &amp; processed raw meat</t>
        </is>
      </c>
      <c r="B7" s="30" t="inlineStr">
        <is>
          <t>41 °F (5 °C) or below</t>
        </is>
      </c>
      <c r="C7" s="31" t="n">
        <v>30</v>
      </c>
      <c r="D7" s="31" t="n">
        <v>41</v>
      </c>
      <c r="E7" s="30" t="inlineStr">
        <is>
          <t>FDA Food Code 2022 §3-202.11(A)</t>
        </is>
      </c>
      <c r="G7" t="inlineStr">
        <is>
          <t>Produce</t>
        </is>
      </c>
      <c r="H7" s="14" t="inlineStr">
        <is>
          <t>Whole produce</t>
        </is>
      </c>
    </row>
    <row r="8">
      <c r="A8" s="28" t="inlineStr">
        <is>
          <t>Live shellfish (shellstock)</t>
        </is>
      </c>
      <c r="B8" s="28" t="inlineStr">
        <is>
          <t>45 °F (7 °C) air temp or below</t>
        </is>
      </c>
      <c r="C8" s="29" t="n">
        <v>32</v>
      </c>
      <c r="D8" s="29" t="n">
        <v>45</v>
      </c>
      <c r="E8" s="28" t="inlineStr">
        <is>
          <t>FDA Food Code 2022 §3-202.11(B); NSSP</t>
        </is>
      </c>
      <c r="G8" t="inlineStr">
        <is>
          <t>Dry Goods</t>
        </is>
      </c>
      <c r="H8" s="14" t="inlineStr">
        <is>
          <t>Dry &amp; canned goods (ambient)</t>
        </is>
      </c>
    </row>
    <row r="9">
      <c r="A9" s="30" t="inlineStr">
        <is>
          <t>Fresh fish &amp; shucked shellfish</t>
        </is>
      </c>
      <c r="B9" s="30" t="inlineStr">
        <is>
          <t>41 °F (5 °C) or below, on ice</t>
        </is>
      </c>
      <c r="C9" s="31" t="n">
        <v>30</v>
      </c>
      <c r="D9" s="31" t="n">
        <v>41</v>
      </c>
      <c r="E9" s="30" t="inlineStr">
        <is>
          <t>FDA Food Code 2022 §3-202.11(A)</t>
        </is>
      </c>
      <c r="G9" t="inlineStr">
        <is>
          <t>Frozen</t>
        </is>
      </c>
      <c r="H9" s="14" t="inlineStr">
        <is>
          <t>Frozen food</t>
        </is>
      </c>
    </row>
    <row r="10">
      <c r="A10" s="28" t="inlineStr">
        <is>
          <t>Frozen food</t>
        </is>
      </c>
      <c r="B10" s="28" t="inlineStr">
        <is>
          <t>Frozen solid, 0 °F (-18 °C) or below</t>
        </is>
      </c>
      <c r="C10" s="29" t="n">
        <v>-40</v>
      </c>
      <c r="D10" s="29" t="n">
        <v>0</v>
      </c>
      <c r="E10" s="28" t="inlineStr">
        <is>
          <t>FDA Food Code 2022 §3-202.11(E) "received frozen"</t>
        </is>
      </c>
      <c r="G10" t="inlineStr">
        <is>
          <t>Alcoholic Beverages</t>
        </is>
      </c>
      <c r="H10" s="14" t="inlineStr">
        <is>
          <t>Beverages (ambient)</t>
        </is>
      </c>
    </row>
    <row r="11">
      <c r="A11" s="30" t="inlineStr">
        <is>
          <t>Cold ready-to-eat TCS food</t>
        </is>
      </c>
      <c r="B11" s="30" t="inlineStr">
        <is>
          <t>41 °F (5 °C) or below</t>
        </is>
      </c>
      <c r="C11" s="31" t="n">
        <v>30</v>
      </c>
      <c r="D11" s="31" t="n">
        <v>41</v>
      </c>
      <c r="E11" s="30" t="inlineStr">
        <is>
          <t>FDA Food Code 2022 §3-202.11(A)</t>
        </is>
      </c>
      <c r="G11" t="inlineStr">
        <is>
          <t>Non-Alcoholic Beverages</t>
        </is>
      </c>
      <c r="H11" s="14" t="inlineStr">
        <is>
          <t>Beverages (ambient)</t>
        </is>
      </c>
    </row>
    <row r="12">
      <c r="A12" s="28" t="inlineStr">
        <is>
          <t>Hot TCS food (received hot)</t>
        </is>
      </c>
      <c r="B12" s="28" t="inlineStr">
        <is>
          <t>135 °F (57 °C) or above</t>
        </is>
      </c>
      <c r="C12" s="29" t="n">
        <v>135</v>
      </c>
      <c r="D12" s="29" t="n">
        <v>212</v>
      </c>
      <c r="E12" s="28" t="inlineStr">
        <is>
          <t>FDA Food Code 2022 §3-202.11(D); max = physical limit</t>
        </is>
      </c>
      <c r="G12" t="inlineStr">
        <is>
          <t>Paper &amp; Cleaning</t>
        </is>
      </c>
      <c r="H12" s="14" t="inlineStr">
        <is>
          <t>Non-food (cleaning &amp; disposables)</t>
        </is>
      </c>
    </row>
    <row r="13">
      <c r="A13" s="30" t="inlineStr">
        <is>
          <t>Dairy &amp; other refrigerated TCS</t>
        </is>
      </c>
      <c r="B13" s="30" t="inlineStr">
        <is>
          <t>41 °F (5 °C) or below; fluid milk up to 45 °F</t>
        </is>
      </c>
      <c r="C13" s="31" t="n">
        <v>30</v>
      </c>
      <c r="D13" s="31" t="n">
        <v>41</v>
      </c>
      <c r="E13" s="30" t="inlineStr">
        <is>
          <t>FDA Food Code 2022 §3-202.11(A)-(B)</t>
        </is>
      </c>
      <c r="G13" t="inlineStr">
        <is>
          <t>Other</t>
        </is>
      </c>
      <c r="H13" s="14" t="inlineStr">
        <is>
          <t>Dry &amp; canned goods (ambient)</t>
        </is>
      </c>
    </row>
    <row r="14">
      <c r="A14" s="28" t="inlineStr">
        <is>
          <t>Whole produce</t>
        </is>
      </c>
      <c r="B14" s="28" t="inlineStr">
        <is>
          <t>32-54 °F (0-12 °C), per item</t>
        </is>
      </c>
      <c r="C14" s="29" t="n">
        <v>32</v>
      </c>
      <c r="D14" s="29" t="n">
        <v>54</v>
      </c>
      <c r="E14" s="28" t="inlineStr">
        <is>
          <t>No legal limit; industry practice</t>
        </is>
      </c>
    </row>
    <row r="15">
      <c r="A15" s="30" t="inlineStr">
        <is>
          <t>Shell eggs</t>
        </is>
      </c>
      <c r="B15" s="30" t="inlineStr">
        <is>
          <t>45 °F (7 °C) air temp or below</t>
        </is>
      </c>
      <c r="C15" s="31" t="n">
        <v>30</v>
      </c>
      <c r="D15" s="31" t="n">
        <v>45</v>
      </c>
      <c r="E15" s="30" t="inlineStr">
        <is>
          <t>FDA Food Code 2022 §3-202.11(C); 21 CFR 118.4(e)</t>
        </is>
      </c>
      <c r="G15" s="14" t="inlineStr">
        <is>
          <t>This is where the log's "Suggested Family" column comes from. REFINE it in the "Family" column when the line calls for it: live shellfish and shell eggs may arrive at up to 45 °F, hot food must arrive at 135 °F or above, and frozen food must arrive frozen. Shell eggs are bought under "Dairy &amp; Eggs", whose default family is dairy (41 °F): switch them to "Shell eggs".</t>
        </is>
      </c>
    </row>
    <row r="16">
      <c r="A16" s="28" t="inlineStr">
        <is>
          <t>Dry &amp; canned goods (ambient)</t>
        </is>
      </c>
      <c r="B16" s="28" t="inlineStr">
        <is>
          <t>Cool and dry, 50-70 °F (10-21 °C)</t>
        </is>
      </c>
      <c r="C16" s="29" t="inlineStr">
        <is>
          <t>N/A</t>
        </is>
      </c>
      <c r="D16" s="29" t="inlineStr">
        <is>
          <t>N/A</t>
        </is>
      </c>
      <c r="E16" s="28" t="inlineStr">
        <is>
          <t>FDA Food Code 2022 §3-202.15 package integrity</t>
        </is>
      </c>
    </row>
    <row r="17">
      <c r="A17" s="30" t="inlineStr">
        <is>
          <t>Beverages (ambient)</t>
        </is>
      </c>
      <c r="B17" s="30" t="inlineStr">
        <is>
          <t>Cool and dry; draft beer kegs 34-38 °F (1-3 °C)</t>
        </is>
      </c>
      <c r="C17" s="31" t="inlineStr">
        <is>
          <t>N/A</t>
        </is>
      </c>
      <c r="D17" s="31" t="inlineStr">
        <is>
          <t>N/A</t>
        </is>
      </c>
      <c r="E17" s="30" t="inlineStr">
        <is>
          <t>No legal limit; follow the manufacturer</t>
        </is>
      </c>
    </row>
    <row r="18">
      <c r="A18" s="28" t="inlineStr">
        <is>
          <t>Non-food (cleaning &amp; disposables)</t>
        </is>
      </c>
      <c r="B18" s="28" t="inlineStr">
        <is>
          <t>Ambient, stored away from food</t>
        </is>
      </c>
      <c r="C18" s="29" t="inlineStr">
        <is>
          <t>N/A</t>
        </is>
      </c>
      <c r="D18" s="29" t="inlineStr">
        <is>
          <t>N/A</t>
        </is>
      </c>
      <c r="E18" s="28" t="inlineStr">
        <is>
          <t>FDA Food Code 2022 §7-201.11</t>
        </is>
      </c>
    </row>
    <row r="20">
      <c r="A20" s="16" t="inlineStr">
        <is>
          <t>The "Min. acceptable temp. (°F)" and "Max. acceptable temp. (°F)" columns are what the "Receiving Log" tab compares against: that's why they're numbers instead of a note on paper that can't be checked against any data. "N/A" means that family isn't temperature-controlled at receiving. Frozen goods must arrive frozen solid, at 0 °F (-18 °C) or below. These thresholds document your receiving record; they don't replace your HACCP / food safety plan or a consultant.</t>
        </is>
      </c>
    </row>
  </sheetData>
  <sheetProtection selectLockedCells="0" selectUnlockedCells="0" sheet="1" objects="0" insertRows="1" insertHyperlinks="1" autoFilter="0" scenarios="0" formatColumns="0" deleteColumns="1" insertColumns="1" pivotTables="1" deleteRows="1" formatCells="1" formatRows="0" sort="0"/>
  <mergeCells count="3">
    <mergeCell ref="A1:E1"/>
    <mergeCell ref="A20:E20"/>
    <mergeCell ref="G15:H18"/>
  </mergeCell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Receiving Log (Temperatures &amp; Credit Requests)</dc:title>
  <dc:description xmlns:dc="http://purl.org/dc/elements/1.1/">aichef.pro/en/digital-products/restaurant-inventory-templates</dc:description>
  <dc:subject xmlns:dc="http://purl.org/dc/elements/1.1/">Restaurant Inventory Kit Pro · v2.0</dc:subject>
  <dcterms:created xmlns:dcterms="http://purl.org/dc/terms/" xmlns:xsi="http://www.w3.org/2001/XMLSchema-instance" xsi:type="dcterms:W3CDTF">2026-04-05T09:47:45Z</dcterms:created>
  <dcterms:modified xmlns:dcterms="http://purl.org/dc/terms/" xmlns:xsi="http://www.w3.org/2001/XMLSchema-instance" xsi:type="dcterms:W3CDTF">2026-09-25T19:48:22Z</dcterms:modified>
  <cp:lastModifiedBy>AI Chef Pro</cp:lastModifiedBy>
  <cp:category>AI Chef Pro · Digital products</cp:category>
  <cp:keywords>restaurant inventory template, par sheet, AI Chef Pro</cp:keywords>
</cp:coreProperties>
</file>