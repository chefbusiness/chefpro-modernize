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order Calculator" sheetId="2" state="visible" r:id="rId2"/>
    <sheet xmlns:r="http://schemas.openxmlformats.org/officeDocument/2006/relationships" name="Parameters" sheetId="3" state="visible" r:id="rId3"/>
  </sheets>
  <definedNames>
    <definedName name="_xlnm.Print_Titles" localSheetId="1">'Reorder Calculator'!$3:$3</definedName>
    <definedName name="_xlnm.Print_Area" localSheetId="1">'Reorder Calculator'!$A$1:$O$35</definedName>
    <definedName name="_xlnm.Print_Titles" localSheetId="2">'Parameters'!$3:$3</definedName>
    <definedName name="_xlnm.Print_Area" localSheetId="2">'Parameters'!$A$1:$D$15</definedName>
  </definedNames>
  <calcPr calcId="124519" fullCalcOnLoad="1"/>
</workbook>
</file>

<file path=xl/styles.xml><?xml version="1.0" encoding="utf-8"?>
<styleSheet xmlns="http://schemas.openxmlformats.org/spreadsheetml/2006/main">
  <numFmts count="2">
    <numFmt numFmtId="164" formatCode="#,##0.00"/>
    <numFmt numFmtId="165" formatCode="0.0%"/>
  </numFmts>
  <fonts count="8">
    <font>
      <name val="Calibri"/>
      <family val="2"/>
      <color theme="1"/>
      <sz val="11"/>
      <scheme val="minor"/>
    </font>
    <font>
      <b val="1"/>
      <color rgb="00FFD700"/>
      <sz val="16"/>
    </font>
    <font>
      <color rgb="00888888"/>
      <sz val="10"/>
    </font>
    <font>
      <sz val="10"/>
    </font>
    <font>
      <b val="1"/>
      <color rgb="00FFD700"/>
      <sz val="14"/>
    </font>
    <font>
      <b val="1"/>
      <color rgb="00FFFFFF"/>
      <sz val="10"/>
    </font>
    <font>
      <b val="1"/>
    </font>
    <font>
      <i val="1"/>
      <color rgb="00666666"/>
      <sz val="9"/>
    </font>
  </fonts>
  <fills count="5">
    <fill>
      <patternFill/>
    </fill>
    <fill>
      <patternFill patternType="gray125"/>
    </fill>
    <fill>
      <patternFill patternType="solid">
        <fgColor rgb="002D2D2D"/>
      </patternFill>
    </fill>
    <fill>
      <patternFill patternType="solid">
        <fgColor rgb="00F5F5F5"/>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wrapText="1"/>
    </xf>
    <xf numFmtId="0" fontId="4" fillId="0" borderId="0" pivotButton="0" quotePrefix="0" xfId="0"/>
    <xf numFmtId="0" fontId="5" fillId="2" borderId="1" applyAlignment="1" pivotButton="0" quotePrefix="0" xfId="0">
      <alignment horizontal="center" vertical="center" wrapText="1"/>
    </xf>
    <xf numFmtId="0" fontId="3" fillId="0" borderId="1" applyAlignment="1" pivotButton="0" quotePrefix="0" xfId="0">
      <alignment vertical="center" wrapText="1"/>
    </xf>
    <xf numFmtId="0" fontId="3" fillId="3" borderId="1" applyAlignment="1" pivotButton="0" quotePrefix="0" xfId="0">
      <alignment vertical="center" wrapText="1"/>
    </xf>
    <xf numFmtId="0" fontId="6" fillId="0" borderId="0" pivotButton="0" quotePrefix="0" xfId="0"/>
    <xf numFmtId="0" fontId="3" fillId="0" borderId="0" applyAlignment="1" pivotButton="0" quotePrefix="0" xfId="0">
      <alignment vertical="top" wrapText="1"/>
    </xf>
    <xf numFmtId="0" fontId="7" fillId="0" borderId="0" applyAlignment="1" pivotButton="0" quotePrefix="0" xfId="0">
      <alignment vertical="center"/>
    </xf>
    <xf numFmtId="0" fontId="3" fillId="4" borderId="1" applyAlignment="1" applyProtection="1" pivotButton="0" quotePrefix="0" xfId="0">
      <alignment vertical="center" wrapText="1"/>
      <protection locked="0" hidden="0"/>
    </xf>
    <xf numFmtId="4" fontId="3" fillId="4" borderId="1" applyAlignment="1" applyProtection="1" pivotButton="0" quotePrefix="0" xfId="0">
      <alignment vertical="center" wrapText="1"/>
      <protection locked="0" hidden="0"/>
    </xf>
    <xf numFmtId="1" fontId="3" fillId="4" borderId="1" applyAlignment="1" applyProtection="1" pivotButton="0" quotePrefix="0" xfId="0">
      <alignment vertical="center" wrapText="1"/>
      <protection locked="0" hidden="0"/>
    </xf>
    <xf numFmtId="4" fontId="3" fillId="0" borderId="1" applyAlignment="1" pivotButton="0" quotePrefix="0" xfId="0">
      <alignment vertical="center" wrapText="1"/>
    </xf>
    <xf numFmtId="164" fontId="3" fillId="4" borderId="1" applyAlignment="1" applyProtection="1" pivotButton="0" quotePrefix="0" xfId="0">
      <alignment vertical="center" wrapText="1"/>
      <protection locked="0" hidden="0"/>
    </xf>
    <xf numFmtId="1" fontId="3" fillId="0" borderId="1" applyAlignment="1" pivotButton="0" quotePrefix="0" xfId="0">
      <alignment vertical="center" wrapText="1"/>
    </xf>
    <xf numFmtId="4" fontId="3" fillId="3" borderId="1" applyAlignment="1" pivotButton="0" quotePrefix="0" xfId="0">
      <alignment vertical="center" wrapText="1"/>
    </xf>
    <xf numFmtId="1" fontId="3" fillId="3" borderId="1" applyAlignment="1" pivotButton="0" quotePrefix="0" xfId="0">
      <alignment vertical="center" wrapText="1"/>
    </xf>
    <xf numFmtId="0" fontId="5" fillId="2" borderId="0" applyAlignment="1" pivotButton="0" quotePrefix="0" xfId="0">
      <alignment horizontal="center" vertical="center" wrapText="1"/>
    </xf>
    <xf numFmtId="0" fontId="0" fillId="0" borderId="0" applyAlignment="1" pivotButton="0" quotePrefix="0" xfId="0">
      <alignment vertical="top" wrapText="1"/>
    </xf>
    <xf numFmtId="164" fontId="0" fillId="4" borderId="0" applyProtection="1" pivotButton="0" quotePrefix="0" xfId="0">
      <protection locked="0" hidden="0"/>
    </xf>
    <xf numFmtId="165" fontId="0" fillId="4"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A26"/>
  <sheetViews>
    <sheetView workbookViewId="0">
      <selection activeCell="A1" sqref="A1"/>
    </sheetView>
  </sheetViews>
  <sheetFormatPr baseColWidth="8" defaultRowHeight="15"/>
  <cols>
    <col width="80" customWidth="1" min="1" max="1"/>
  </cols>
  <sheetData>
    <row r="1">
      <c r="A1" s="1" t="inlineStr">
        <is>
          <t>BONUS: Reorder Point &amp; Order Quantity Calculator</t>
        </is>
      </c>
    </row>
    <row r="2">
      <c r="A2" s="2" t="inlineStr">
        <is>
          <t>AI Chef Pro — aichef.pro</t>
        </is>
      </c>
    </row>
    <row r="3">
      <c r="A3" s="3" t="n"/>
    </row>
    <row r="4">
      <c r="A4" s="4" t="inlineStr">
        <is>
          <t>Calculate when to order each product and how much you should order.</t>
        </is>
      </c>
    </row>
    <row r="5">
      <c r="A5" s="4" t="n"/>
    </row>
    <row r="6">
      <c r="A6" s="4" t="inlineStr">
        <is>
          <t>THE TWO FORMULAS:</t>
        </is>
      </c>
    </row>
    <row r="7">
      <c r="A7" s="4" t="inlineStr">
        <is>
          <t>Reorder point = daily usage x lead time + safety stock</t>
        </is>
      </c>
    </row>
    <row r="8">
      <c r="A8" s="4" t="inlineStr">
        <is>
          <t>Safety stock = daily usage x coverage days (that's why coverage is typed in DAYS and the column next to it converts it to units)</t>
        </is>
      </c>
    </row>
    <row r="9">
      <c r="A9" s="4" t="n"/>
    </row>
    <row r="10">
      <c r="A10" s="4" t="inlineStr">
        <is>
          <t>TABS:</t>
        </is>
      </c>
    </row>
    <row r="11">
      <c r="A11" s="4" t="inlineStr">
        <is>
          <t>1. Reorder Calculator — one line per product; columns WITHOUT a green fill calculate themselves (in this kit, green is always what you type)</t>
        </is>
      </c>
    </row>
    <row r="12">
      <c r="A12" s="4" t="inlineStr">
        <is>
          <t>2. Parameters — order cost, carrying cost and shelf-life factor, all editable; the EOQ and the suggested-quantity cap come from these</t>
        </is>
      </c>
    </row>
    <row r="13">
      <c r="A13" s="4" t="n"/>
    </row>
    <row r="14">
      <c r="A14" s="4" t="inlineStr">
        <is>
          <t>HOW IT'S USED:</t>
        </is>
      </c>
    </row>
    <row r="15">
      <c r="A15" s="4" t="inlineStr">
        <is>
          <t>Fill in the green cells: daily usage, lead time, coverage, price, shelf life and vendor.</t>
        </is>
      </c>
    </row>
    <row r="16">
      <c r="A16" s="4" t="inlineStr">
        <is>
          <t>When stock drops to the reorder point, place the order. Not before, not after.</t>
        </is>
      </c>
    </row>
    <row r="17">
      <c r="A17" s="4" t="inlineStr">
        <is>
          <t>The theoretical EOQ is the Wilson formula: the batch size that minimizes the cost of ordering plus the cost of holding stock. It comes from the price and the two parameters on the other tab, not from numbers buried inside the formula.</t>
        </is>
      </c>
    </row>
    <row r="18">
      <c r="A18" s="4" t="inlineStr">
        <is>
          <t>The suggested quantity caps that EOQ three times, and the smallest of the three wins: the EOQ itself, 70% of what you use within the shelf life (the EOQ ignores that food spoils), and your max stock (there's no point ordering more than fits in your walk-in cooler).</t>
        </is>
      </c>
    </row>
    <row r="19">
      <c r="A19" s="4" t="inlineStr">
        <is>
          <t>The milk example, with the file's own numbers: 2 gal a day, a 12-day shelf life and a maximum stock of 16 gal. The EOQ comes out at 64 gal. The shelf-life cap brings it down to 17 gal, which is 70% of those 12 days (8.4 days of use, not 12: the other 30% is the margin for a slow day). And the maximum stock finally sets it at 16 gal.</t>
        </is>
      </c>
    </row>
    <row r="21">
      <c r="A21" s="4" t="inlineStr">
        <is>
          <t>The parameters come with an order cost of 3 (in your currency), a 25% annual holding cost and a 70% shelf-life factor. Replace them with yours in "Parameters": they are three green cells and they affect all 30 lines.</t>
        </is>
      </c>
    </row>
    <row r="22">
      <c r="A22" s="4" t="inlineStr">
        <is>
          <t>The first 8 lines carry sample data consistent with template 01 (Kitchen &amp; Bar Inventory Sheet with Par Levels): daily usage is chosen so the reorder point here is EXACTLY the par level there, and max stock is its Par Max. Delete them and add your own.</t>
        </is>
      </c>
    </row>
    <row r="24">
      <c r="A24" s="10" t="inlineStr">
        <is>
          <t>To edit a locked cell: Review → Unprotect Sheet (no password). Green cells are already editable without unprotecting anything.</t>
        </is>
      </c>
    </row>
    <row r="25">
      <c r="A25" s="10" t="inlineStr">
        <is>
          <t>Designed by John Guerrero — chef and restaurant consultant since 2010, in professional kitchens since age 17 · johnguerrero.es</t>
        </is>
      </c>
    </row>
    <row r="26">
      <c r="A26" s="10" t="inlineStr">
        <is>
          <t>Version 2.0 · September 2026 · aichef.pro/en/digital-products/restaurant-inventory-templates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O3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17" customWidth="1" min="4" max="4"/>
    <col width="14" customWidth="1" min="5" max="5"/>
    <col width="18" customWidth="1" min="6" max="6"/>
    <col width="17" customWidth="1" min="7" max="7"/>
    <col width="17" customWidth="1" min="8" max="8"/>
    <col width="14" customWidth="1" min="9" max="9"/>
    <col width="14" customWidth="1" min="10" max="10"/>
    <col width="20" customWidth="1" min="11" max="11"/>
    <col width="15" customWidth="1" min="12" max="12"/>
    <col width="20" customWidth="1" min="13" max="13"/>
    <col width="18" customWidth="1" min="14" max="14"/>
    <col width="30" customWidth="1" min="15" max="15"/>
  </cols>
  <sheetData>
    <row r="1">
      <c r="A1" s="5" t="inlineStr">
        <is>
          <t>CALCULATOR — OPTIMAL REORDER POINT</t>
        </is>
      </c>
    </row>
    <row r="2">
      <c r="A2" s="11" t="inlineStr">
        <is>
          <t>Sample data; illustrative pre-tax prices — replace them with your own. Daily usage and shelf life are for YOUR place: the sample figures are for a 60-cover restaurant and come from the SAME table as the par levels on template 01 (Kitchen &amp; Bar Inventory Sheet with Par Levels), so the reorder point here and the par level there are the same number.</t>
        </is>
      </c>
    </row>
    <row r="3">
      <c r="A3" s="6" t="inlineStr">
        <is>
          <t>#</t>
        </is>
      </c>
      <c r="B3" s="6" t="inlineStr">
        <is>
          <t>Product</t>
        </is>
      </c>
      <c r="C3" s="6" t="inlineStr">
        <is>
          <t>Category</t>
        </is>
      </c>
      <c r="D3" s="6" t="inlineStr">
        <is>
          <t>Daily usage (units/day)</t>
        </is>
      </c>
      <c r="E3" s="6" t="inlineStr">
        <is>
          <t>Lead time (days)</t>
        </is>
      </c>
      <c r="F3" s="6" t="inlineStr">
        <is>
          <t>Safety coverage (days)</t>
        </is>
      </c>
      <c r="G3" s="6" t="inlineStr">
        <is>
          <t>Safety stock (units)</t>
        </is>
      </c>
      <c r="H3" s="6" t="inlineStr">
        <is>
          <t>Reorder point (units)</t>
        </is>
      </c>
      <c r="I3" s="6" t="inlineStr">
        <is>
          <t>Price/unit</t>
        </is>
      </c>
      <c r="J3" s="6" t="inlineStr">
        <is>
          <t>Shelf life (days)</t>
        </is>
      </c>
      <c r="K3" s="6" t="inlineStr">
        <is>
          <t>Max stock (units) — par max from 01</t>
        </is>
      </c>
      <c r="L3" s="6" t="inlineStr">
        <is>
          <t>Theoretical EOQ (units)</t>
        </is>
      </c>
      <c r="M3" s="6" t="inlineStr">
        <is>
          <t>Suggested order quantity (units)</t>
        </is>
      </c>
      <c r="N3" s="6" t="inlineStr">
        <is>
          <t>Order frequency (days)</t>
        </is>
      </c>
      <c r="O3" s="6" t="inlineStr">
        <is>
          <t>Vendor</t>
        </is>
      </c>
    </row>
    <row r="4">
      <c r="A4" s="7" t="n">
        <v>1</v>
      </c>
      <c r="B4" s="12" t="inlineStr">
        <is>
          <t>Boneless chicken breast</t>
        </is>
      </c>
      <c r="C4" s="12" t="inlineStr">
        <is>
          <t>Meat &amp; Poultry</t>
        </is>
      </c>
      <c r="D4" s="13" t="n">
        <v>9</v>
      </c>
      <c r="E4" s="14" t="n">
        <v>1</v>
      </c>
      <c r="F4" s="14" t="n">
        <v>1</v>
      </c>
      <c r="G4" s="15">
        <f>IF(OR($D4="",$F4=""),"",$D4*$F4)</f>
        <v>9.0</v>
      </c>
      <c r="H4" s="15">
        <f>IF(OR($D4="",$E4="",$F4=""),"",$D4*$E4+$G4)</f>
        <v>18.0</v>
      </c>
      <c r="I4" s="16" t="n">
        <v>3.1</v>
      </c>
      <c r="J4" s="14" t="n">
        <v>4</v>
      </c>
      <c r="K4" s="13" t="n">
        <v>40</v>
      </c>
      <c r="L4" s="15">
        <f>IFERROR(IF(OR($D4="",$D4&lt;=0,$I4="",$I4&lt;=0,Parameters!$D$4&lt;=0,Parameters!$D$5&lt;=0),"",ROUND(SQRT(2*$D4*365*Parameters!$D$4/($I4*Parameters!$D$5)),0)),"")</f>
        <v>159.0</v>
      </c>
      <c r="M4" s="15">
        <f>IFERROR(IF(OR($L4="",$J4=""),"",MIN($L4,ROUND($D4*$J4*Parameters!$D$12,0),IF($K4="",$L4,$K4))),"")</f>
        <v>25.0</v>
      </c>
      <c r="N4" s="17">
        <f>IF(OR($D4="",$D4&lt;=0,$M4=""),"",ROUND($M4/$D4,0))</f>
        <v>3.0</v>
      </c>
      <c r="O4" s="12" t="inlineStr">
        <is>
          <t>Prime Cut Meats (sample)</t>
        </is>
      </c>
    </row>
    <row r="5">
      <c r="A5" s="8" t="n">
        <v>2</v>
      </c>
      <c r="B5" s="12" t="inlineStr">
        <is>
          <t>Beef tenderloin (PSMO)</t>
        </is>
      </c>
      <c r="C5" s="12" t="inlineStr">
        <is>
          <t>Meat &amp; Poultry</t>
        </is>
      </c>
      <c r="D5" s="13" t="n">
        <v>2</v>
      </c>
      <c r="E5" s="14" t="n">
        <v>2</v>
      </c>
      <c r="F5" s="14" t="n">
        <v>1</v>
      </c>
      <c r="G5" s="18">
        <f>IF(OR($D5="",$F5=""),"",$D5*$F5)</f>
        <v>2.0</v>
      </c>
      <c r="H5" s="18">
        <f>IF(OR($D5="",$E5="",$F5=""),"",$D5*$E5+$G5)</f>
        <v>6.0</v>
      </c>
      <c r="I5" s="16" t="n">
        <v>17.21</v>
      </c>
      <c r="J5" s="14" t="n">
        <v>8</v>
      </c>
      <c r="K5" s="13" t="n">
        <v>18</v>
      </c>
      <c r="L5" s="18">
        <f>IFERROR(IF(OR($D5="",$D5&lt;=0,$I5="",$I5&lt;=0,Parameters!$D$4&lt;=0,Parameters!$D$5&lt;=0),"",ROUND(SQRT(2*$D5*365*Parameters!$D$4/($I5*Parameters!$D$5)),0)),"")</f>
        <v>32.0</v>
      </c>
      <c r="M5" s="18">
        <f>IFERROR(IF(OR($L5="",$J5=""),"",MIN($L5,ROUND($D5*$J5*Parameters!$D$12,0),IF($K5="",$L5,$K5))),"")</f>
        <v>11.0</v>
      </c>
      <c r="N5" s="19">
        <f>IF(OR($D5="",$D5&lt;=0,$M5=""),"",ROUND($M5/$D5,0))</f>
        <v>6.0</v>
      </c>
      <c r="O5" s="12" t="inlineStr">
        <is>
          <t>Prime Cut Meats (sample)</t>
        </is>
      </c>
    </row>
    <row r="6">
      <c r="A6" s="7" t="n">
        <v>3</v>
      </c>
      <c r="B6" s="12" t="inlineStr">
        <is>
          <t>Fresh salmon fillet</t>
        </is>
      </c>
      <c r="C6" s="12" t="inlineStr">
        <is>
          <t>Seafood</t>
        </is>
      </c>
      <c r="D6" s="13" t="n">
        <v>4</v>
      </c>
      <c r="E6" s="14" t="n">
        <v>1</v>
      </c>
      <c r="F6" s="14" t="n">
        <v>1</v>
      </c>
      <c r="G6" s="15">
        <f>IF(OR($D6="",$F6=""),"",$D6*$F6)</f>
        <v>4.0</v>
      </c>
      <c r="H6" s="15">
        <f>IF(OR($D6="",$E6="",$F6=""),"",$D6*$E6+$G6)</f>
        <v>8.0</v>
      </c>
      <c r="I6" s="16" t="n">
        <v>9.949999999999999</v>
      </c>
      <c r="J6" s="14" t="n">
        <v>3</v>
      </c>
      <c r="K6" s="13" t="n">
        <v>20</v>
      </c>
      <c r="L6" s="15">
        <f>IFERROR(IF(OR($D6="",$D6&lt;=0,$I6="",$I6&lt;=0,Parameters!$D$4&lt;=0,Parameters!$D$5&lt;=0),"",ROUND(SQRT(2*$D6*365*Parameters!$D$4/($I6*Parameters!$D$5)),0)),"")</f>
        <v>59.0</v>
      </c>
      <c r="M6" s="15">
        <f>IFERROR(IF(OR($L6="",$J6=""),"",MIN($L6,ROUND($D6*$J6*Parameters!$D$12,0),IF($K6="",$L6,$K6))),"")</f>
        <v>8.0</v>
      </c>
      <c r="N6" s="17">
        <f>IF(OR($D6="",$D6&lt;=0,$M6=""),"",ROUND($M6/$D6,0))</f>
        <v>2.0</v>
      </c>
      <c r="O6" s="12" t="inlineStr">
        <is>
          <t>Harbor Fresh Seafood (sample)</t>
        </is>
      </c>
    </row>
    <row r="7">
      <c r="A7" s="8" t="n">
        <v>4</v>
      </c>
      <c r="B7" s="12" t="inlineStr">
        <is>
          <t>Whole milk</t>
        </is>
      </c>
      <c r="C7" s="12" t="inlineStr">
        <is>
          <t>Dairy &amp; Eggs</t>
        </is>
      </c>
      <c r="D7" s="13" t="n">
        <v>2</v>
      </c>
      <c r="E7" s="14" t="n">
        <v>2</v>
      </c>
      <c r="F7" s="14" t="n">
        <v>1</v>
      </c>
      <c r="G7" s="18">
        <f>IF(OR($D7="",$F7=""),"",$D7*$F7)</f>
        <v>2.0</v>
      </c>
      <c r="H7" s="18">
        <f>IF(OR($D7="",$E7="",$F7=""),"",$D7*$E7+$G7)</f>
        <v>6.0</v>
      </c>
      <c r="I7" s="16" t="n">
        <v>4.23</v>
      </c>
      <c r="J7" s="14" t="n">
        <v>12</v>
      </c>
      <c r="K7" s="13" t="n">
        <v>16</v>
      </c>
      <c r="L7" s="18">
        <f>IFERROR(IF(OR($D7="",$D7&lt;=0,$I7="",$I7&lt;=0,Parameters!$D$4&lt;=0,Parameters!$D$5&lt;=0),"",ROUND(SQRT(2*$D7*365*Parameters!$D$4/($I7*Parameters!$D$5)),0)),"")</f>
        <v>64.0</v>
      </c>
      <c r="M7" s="18">
        <f>IFERROR(IF(OR($L7="",$J7=""),"",MIN($L7,ROUND($D7*$J7*Parameters!$D$12,0),IF($K7="",$L7,$K7))),"")</f>
        <v>16.0</v>
      </c>
      <c r="N7" s="19">
        <f>IF(OR($D7="",$D7&lt;=0,$M7=""),"",ROUND($M7/$D7,0))</f>
        <v>8.0</v>
      </c>
      <c r="O7" s="12" t="inlineStr">
        <is>
          <t>Pantry Foodservice Supply (sample)</t>
        </is>
      </c>
    </row>
    <row r="8">
      <c r="A8" s="7" t="n">
        <v>5</v>
      </c>
      <c r="B8" s="12" t="inlineStr">
        <is>
          <t>Russet potatoes</t>
        </is>
      </c>
      <c r="C8" s="12" t="inlineStr">
        <is>
          <t>Produce</t>
        </is>
      </c>
      <c r="D8" s="13" t="n">
        <v>12.5</v>
      </c>
      <c r="E8" s="14" t="n">
        <v>2</v>
      </c>
      <c r="F8" s="14" t="n">
        <v>2</v>
      </c>
      <c r="G8" s="15">
        <f>IF(OR($D8="",$F8=""),"",$D8*$F8)</f>
        <v>25.0</v>
      </c>
      <c r="H8" s="15">
        <f>IF(OR($D8="",$E8="",$F8=""),"",$D8*$E8+$G8)</f>
        <v>50.0</v>
      </c>
      <c r="I8" s="16" t="n">
        <v>0.73</v>
      </c>
      <c r="J8" s="14" t="n">
        <v>30</v>
      </c>
      <c r="K8" s="13" t="n">
        <v>150</v>
      </c>
      <c r="L8" s="15">
        <f>IFERROR(IF(OR($D8="",$D8&lt;=0,$I8="",$I8&lt;=0,Parameters!$D$4&lt;=0,Parameters!$D$5&lt;=0),"",ROUND(SQRT(2*$D8*365*Parameters!$D$4/($I8*Parameters!$D$5)),0)),"")</f>
        <v>387.0</v>
      </c>
      <c r="M8" s="15">
        <f>IFERROR(IF(OR($L8="",$J8=""),"",MIN($L8,ROUND($D8*$J8*Parameters!$D$12,0),IF($K8="",$L8,$K8))),"")</f>
        <v>150.0</v>
      </c>
      <c r="N8" s="17">
        <f>IF(OR($D8="",$D8&lt;=0,$M8=""),"",ROUND($M8/$D8,0))</f>
        <v>12.0</v>
      </c>
      <c r="O8" s="12" t="inlineStr">
        <is>
          <t>Green Valley Produce (sample)</t>
        </is>
      </c>
    </row>
    <row r="9">
      <c r="A9" s="8" t="n">
        <v>6</v>
      </c>
      <c r="B9" s="12" t="inlineStr">
        <is>
          <t>Extra virgin olive oil</t>
        </is>
      </c>
      <c r="C9" s="12" t="inlineStr">
        <is>
          <t>Dry Goods</t>
        </is>
      </c>
      <c r="D9" s="13" t="n">
        <v>0.6</v>
      </c>
      <c r="E9" s="14" t="n">
        <v>4</v>
      </c>
      <c r="F9" s="14" t="n">
        <v>1</v>
      </c>
      <c r="G9" s="18">
        <f>IF(OR($D9="",$F9=""),"",$D9*$F9)</f>
        <v>0.6</v>
      </c>
      <c r="H9" s="18">
        <f>IF(OR($D9="",$E9="",$F9=""),"",$D9*$E9+$G9)</f>
        <v>3.0</v>
      </c>
      <c r="I9" s="16" t="n">
        <v>32.48</v>
      </c>
      <c r="J9" s="14" t="n">
        <v>540</v>
      </c>
      <c r="K9" s="13" t="n">
        <v>8</v>
      </c>
      <c r="L9" s="18">
        <f>IFERROR(IF(OR($D9="",$D9&lt;=0,$I9="",$I9&lt;=0,Parameters!$D$4&lt;=0,Parameters!$D$5&lt;=0),"",ROUND(SQRT(2*$D9*365*Parameters!$D$4/($I9*Parameters!$D$5)),0)),"")</f>
        <v>13.0</v>
      </c>
      <c r="M9" s="18">
        <f>IFERROR(IF(OR($L9="",$J9=""),"",MIN($L9,ROUND($D9*$J9*Parameters!$D$12,0),IF($K9="",$L9,$K9))),"")</f>
        <v>8.0</v>
      </c>
      <c r="N9" s="19">
        <f>IF(OR($D9="",$D9&lt;=0,$M9=""),"",ROUND($M9/$D9,0))</f>
        <v>13.0</v>
      </c>
      <c r="O9" s="12" t="inlineStr">
        <is>
          <t>Pantry Foodservice Supply (sample)</t>
        </is>
      </c>
    </row>
    <row r="10">
      <c r="A10" s="7" t="n">
        <v>7</v>
      </c>
      <c r="B10" s="12" t="inlineStr">
        <is>
          <t>Arborio rice</t>
        </is>
      </c>
      <c r="C10" s="12" t="inlineStr">
        <is>
          <t>Dry Goods</t>
        </is>
      </c>
      <c r="D10" s="13" t="n">
        <v>4</v>
      </c>
      <c r="E10" s="14" t="n">
        <v>4</v>
      </c>
      <c r="F10" s="14" t="n">
        <v>1</v>
      </c>
      <c r="G10" s="15">
        <f>IF(OR($D10="",$F10=""),"",$D10*$F10)</f>
        <v>4.0</v>
      </c>
      <c r="H10" s="15">
        <f>IF(OR($D10="",$E10="",$F10=""),"",$D10*$E10+$G10)</f>
        <v>20.0</v>
      </c>
      <c r="I10" s="16" t="n">
        <v>2.1</v>
      </c>
      <c r="J10" s="14" t="n">
        <v>720</v>
      </c>
      <c r="K10" s="13" t="n">
        <v>50</v>
      </c>
      <c r="L10" s="15">
        <f>IFERROR(IF(OR($D10="",$D10&lt;=0,$I10="",$I10&lt;=0,Parameters!$D$4&lt;=0,Parameters!$D$5&lt;=0),"",ROUND(SQRT(2*$D10*365*Parameters!$D$4/($I10*Parameters!$D$5)),0)),"")</f>
        <v>129.0</v>
      </c>
      <c r="M10" s="15">
        <f>IFERROR(IF(OR($L10="",$J10=""),"",MIN($L10,ROUND($D10*$J10*Parameters!$D$12,0),IF($K10="",$L10,$K10))),"")</f>
        <v>50.0</v>
      </c>
      <c r="N10" s="17">
        <f>IF(OR($D10="",$D10&lt;=0,$M10=""),"",ROUND($M10/$D10,0))</f>
        <v>13.0</v>
      </c>
      <c r="O10" s="12" t="inlineStr">
        <is>
          <t>Pantry Foodservice Supply (sample)</t>
        </is>
      </c>
    </row>
    <row r="11">
      <c r="A11" s="8" t="n">
        <v>8</v>
      </c>
      <c r="B11" s="12" t="inlineStr">
        <is>
          <t>Draft beer (1/2 bbl)</t>
        </is>
      </c>
      <c r="C11" s="12" t="inlineStr">
        <is>
          <t>Alcoholic Beverages</t>
        </is>
      </c>
      <c r="D11" s="13" t="n">
        <v>0.25</v>
      </c>
      <c r="E11" s="14" t="n">
        <v>3</v>
      </c>
      <c r="F11" s="14" t="n">
        <v>5</v>
      </c>
      <c r="G11" s="18">
        <f>IF(OR($D11="",$F11=""),"",$D11*$F11)</f>
        <v>1.25</v>
      </c>
      <c r="H11" s="18">
        <f>IF(OR($D11="",$E11="",$F11=""),"",$D11*$E11+$G11)</f>
        <v>2.0</v>
      </c>
      <c r="I11" s="16" t="n">
        <v>165</v>
      </c>
      <c r="J11" s="14" t="n">
        <v>120</v>
      </c>
      <c r="K11" s="13" t="n">
        <v>6</v>
      </c>
      <c r="L11" s="18">
        <f>IFERROR(IF(OR($D11="",$D11&lt;=0,$I11="",$I11&lt;=0,Parameters!$D$4&lt;=0,Parameters!$D$5&lt;=0),"",ROUND(SQRT(2*$D11*365*Parameters!$D$4/($I11*Parameters!$D$5)),0)),"")</f>
        <v>4.0</v>
      </c>
      <c r="M11" s="18">
        <f>IFERROR(IF(OR($L11="",$J11=""),"",MIN($L11,ROUND($D11*$J11*Parameters!$D$12,0),IF($K11="",$L11,$K11))),"")</f>
        <v>4.0</v>
      </c>
      <c r="N11" s="19">
        <f>IF(OR($D11="",$D11&lt;=0,$M11=""),"",ROUND($M11/$D11,0))</f>
        <v>16.0</v>
      </c>
      <c r="O11" s="12" t="inlineStr">
        <is>
          <t>Metro Beverage Distributors (sample)</t>
        </is>
      </c>
    </row>
    <row r="12">
      <c r="A12" s="7" t="n">
        <v>9</v>
      </c>
      <c r="B12" s="12" t="n"/>
      <c r="C12" s="12" t="n"/>
      <c r="D12" s="13" t="n"/>
      <c r="E12" s="14" t="n"/>
      <c r="F12" s="14" t="n"/>
      <c r="G12" s="15">
        <f>IF(OR($D12="",$F12=""),"",$D12*$F12)</f>
        <v/>
      </c>
      <c r="H12" s="15">
        <f>IF(OR($D12="",$E12="",$F12=""),"",$D12*$E12+$G12)</f>
        <v/>
      </c>
      <c r="I12" s="16" t="n"/>
      <c r="J12" s="14" t="n"/>
      <c r="K12" s="13" t="n"/>
      <c r="L12" s="15">
        <f>IFERROR(IF(OR($D12="",$D12&lt;=0,$I12="",$I12&lt;=0,Parameters!$D$4&lt;=0,Parameters!$D$5&lt;=0),"",ROUND(SQRT(2*$D12*365*Parameters!$D$4/($I12*Parameters!$D$5)),0)),"")</f>
        <v/>
      </c>
      <c r="M12" s="15">
        <f>IFERROR(IF(OR($L12="",$J12=""),"",MIN($L12,ROUND($D12*$J12*Parameters!$D$12,0),IF($K12="",$L12,$K12))),"")</f>
        <v/>
      </c>
      <c r="N12" s="17">
        <f>IF(OR($D12="",$D12&lt;=0,$M12=""),"",ROUND($M12/$D12,0))</f>
        <v/>
      </c>
      <c r="O12" s="12" t="n"/>
    </row>
    <row r="13">
      <c r="A13" s="8" t="n">
        <v>10</v>
      </c>
      <c r="B13" s="12" t="n"/>
      <c r="C13" s="12" t="n"/>
      <c r="D13" s="13" t="n"/>
      <c r="E13" s="14" t="n"/>
      <c r="F13" s="14" t="n"/>
      <c r="G13" s="18">
        <f>IF(OR($D13="",$F13=""),"",$D13*$F13)</f>
        <v/>
      </c>
      <c r="H13" s="18">
        <f>IF(OR($D13="",$E13="",$F13=""),"",$D13*$E13+$G13)</f>
        <v/>
      </c>
      <c r="I13" s="16" t="n"/>
      <c r="J13" s="14" t="n"/>
      <c r="K13" s="13" t="n"/>
      <c r="L13" s="18">
        <f>IFERROR(IF(OR($D13="",$D13&lt;=0,$I13="",$I13&lt;=0,Parameters!$D$4&lt;=0,Parameters!$D$5&lt;=0),"",ROUND(SQRT(2*$D13*365*Parameters!$D$4/($I13*Parameters!$D$5)),0)),"")</f>
        <v/>
      </c>
      <c r="M13" s="18">
        <f>IFERROR(IF(OR($L13="",$J13=""),"",MIN($L13,ROUND($D13*$J13*Parameters!$D$12,0),IF($K13="",$L13,$K13))),"")</f>
        <v/>
      </c>
      <c r="N13" s="19">
        <f>IF(OR($D13="",$D13&lt;=0,$M13=""),"",ROUND($M13/$D13,0))</f>
        <v/>
      </c>
      <c r="O13" s="12" t="n"/>
    </row>
    <row r="14">
      <c r="A14" s="7" t="n">
        <v>11</v>
      </c>
      <c r="B14" s="12" t="n"/>
      <c r="C14" s="12" t="n"/>
      <c r="D14" s="13" t="n"/>
      <c r="E14" s="14" t="n"/>
      <c r="F14" s="14" t="n"/>
      <c r="G14" s="15">
        <f>IF(OR($D14="",$F14=""),"",$D14*$F14)</f>
        <v/>
      </c>
      <c r="H14" s="15">
        <f>IF(OR($D14="",$E14="",$F14=""),"",$D14*$E14+$G14)</f>
        <v/>
      </c>
      <c r="I14" s="16" t="n"/>
      <c r="J14" s="14" t="n"/>
      <c r="K14" s="13" t="n"/>
      <c r="L14" s="15">
        <f>IFERROR(IF(OR($D14="",$D14&lt;=0,$I14="",$I14&lt;=0,Parameters!$D$4&lt;=0,Parameters!$D$5&lt;=0),"",ROUND(SQRT(2*$D14*365*Parameters!$D$4/($I14*Parameters!$D$5)),0)),"")</f>
        <v/>
      </c>
      <c r="M14" s="15">
        <f>IFERROR(IF(OR($L14="",$J14=""),"",MIN($L14,ROUND($D14*$J14*Parameters!$D$12,0),IF($K14="",$L14,$K14))),"")</f>
        <v/>
      </c>
      <c r="N14" s="17">
        <f>IF(OR($D14="",$D14&lt;=0,$M14=""),"",ROUND($M14/$D14,0))</f>
        <v/>
      </c>
      <c r="O14" s="12" t="n"/>
    </row>
    <row r="15">
      <c r="A15" s="8" t="n">
        <v>12</v>
      </c>
      <c r="B15" s="12" t="n"/>
      <c r="C15" s="12" t="n"/>
      <c r="D15" s="13" t="n"/>
      <c r="E15" s="14" t="n"/>
      <c r="F15" s="14" t="n"/>
      <c r="G15" s="18">
        <f>IF(OR($D15="",$F15=""),"",$D15*$F15)</f>
        <v/>
      </c>
      <c r="H15" s="18">
        <f>IF(OR($D15="",$E15="",$F15=""),"",$D15*$E15+$G15)</f>
        <v/>
      </c>
      <c r="I15" s="16" t="n"/>
      <c r="J15" s="14" t="n"/>
      <c r="K15" s="13" t="n"/>
      <c r="L15" s="18">
        <f>IFERROR(IF(OR($D15="",$D15&lt;=0,$I15="",$I15&lt;=0,Parameters!$D$4&lt;=0,Parameters!$D$5&lt;=0),"",ROUND(SQRT(2*$D15*365*Parameters!$D$4/($I15*Parameters!$D$5)),0)),"")</f>
        <v/>
      </c>
      <c r="M15" s="18">
        <f>IFERROR(IF(OR($L15="",$J15=""),"",MIN($L15,ROUND($D15*$J15*Parameters!$D$12,0),IF($K15="",$L15,$K15))),"")</f>
        <v/>
      </c>
      <c r="N15" s="19">
        <f>IF(OR($D15="",$D15&lt;=0,$M15=""),"",ROUND($M15/$D15,0))</f>
        <v/>
      </c>
      <c r="O15" s="12" t="n"/>
    </row>
    <row r="16">
      <c r="A16" s="7" t="n">
        <v>13</v>
      </c>
      <c r="B16" s="12" t="n"/>
      <c r="C16" s="12" t="n"/>
      <c r="D16" s="13" t="n"/>
      <c r="E16" s="14" t="n"/>
      <c r="F16" s="14" t="n"/>
      <c r="G16" s="15">
        <f>IF(OR($D16="",$F16=""),"",$D16*$F16)</f>
        <v/>
      </c>
      <c r="H16" s="15">
        <f>IF(OR($D16="",$E16="",$F16=""),"",$D16*$E16+$G16)</f>
        <v/>
      </c>
      <c r="I16" s="16" t="n"/>
      <c r="J16" s="14" t="n"/>
      <c r="K16" s="13" t="n"/>
      <c r="L16" s="15">
        <f>IFERROR(IF(OR($D16="",$D16&lt;=0,$I16="",$I16&lt;=0,Parameters!$D$4&lt;=0,Parameters!$D$5&lt;=0),"",ROUND(SQRT(2*$D16*365*Parameters!$D$4/($I16*Parameters!$D$5)),0)),"")</f>
        <v/>
      </c>
      <c r="M16" s="15">
        <f>IFERROR(IF(OR($L16="",$J16=""),"",MIN($L16,ROUND($D16*$J16*Parameters!$D$12,0),IF($K16="",$L16,$K16))),"")</f>
        <v/>
      </c>
      <c r="N16" s="17">
        <f>IF(OR($D16="",$D16&lt;=0,$M16=""),"",ROUND($M16/$D16,0))</f>
        <v/>
      </c>
      <c r="O16" s="12" t="n"/>
    </row>
    <row r="17">
      <c r="A17" s="8" t="n">
        <v>14</v>
      </c>
      <c r="B17" s="12" t="n"/>
      <c r="C17" s="12" t="n"/>
      <c r="D17" s="13" t="n"/>
      <c r="E17" s="14" t="n"/>
      <c r="F17" s="14" t="n"/>
      <c r="G17" s="18">
        <f>IF(OR($D17="",$F17=""),"",$D17*$F17)</f>
        <v/>
      </c>
      <c r="H17" s="18">
        <f>IF(OR($D17="",$E17="",$F17=""),"",$D17*$E17+$G17)</f>
        <v/>
      </c>
      <c r="I17" s="16" t="n"/>
      <c r="J17" s="14" t="n"/>
      <c r="K17" s="13" t="n"/>
      <c r="L17" s="18">
        <f>IFERROR(IF(OR($D17="",$D17&lt;=0,$I17="",$I17&lt;=0,Parameters!$D$4&lt;=0,Parameters!$D$5&lt;=0),"",ROUND(SQRT(2*$D17*365*Parameters!$D$4/($I17*Parameters!$D$5)),0)),"")</f>
        <v/>
      </c>
      <c r="M17" s="18">
        <f>IFERROR(IF(OR($L17="",$J17=""),"",MIN($L17,ROUND($D17*$J17*Parameters!$D$12,0),IF($K17="",$L17,$K17))),"")</f>
        <v/>
      </c>
      <c r="N17" s="19">
        <f>IF(OR($D17="",$D17&lt;=0,$M17=""),"",ROUND($M17/$D17,0))</f>
        <v/>
      </c>
      <c r="O17" s="12" t="n"/>
    </row>
    <row r="18">
      <c r="A18" s="7" t="n">
        <v>15</v>
      </c>
      <c r="B18" s="12" t="n"/>
      <c r="C18" s="12" t="n"/>
      <c r="D18" s="13" t="n"/>
      <c r="E18" s="14" t="n"/>
      <c r="F18" s="14" t="n"/>
      <c r="G18" s="15">
        <f>IF(OR($D18="",$F18=""),"",$D18*$F18)</f>
        <v/>
      </c>
      <c r="H18" s="15">
        <f>IF(OR($D18="",$E18="",$F18=""),"",$D18*$E18+$G18)</f>
        <v/>
      </c>
      <c r="I18" s="16" t="n"/>
      <c r="J18" s="14" t="n"/>
      <c r="K18" s="13" t="n"/>
      <c r="L18" s="15">
        <f>IFERROR(IF(OR($D18="",$D18&lt;=0,$I18="",$I18&lt;=0,Parameters!$D$4&lt;=0,Parameters!$D$5&lt;=0),"",ROUND(SQRT(2*$D18*365*Parameters!$D$4/($I18*Parameters!$D$5)),0)),"")</f>
        <v/>
      </c>
      <c r="M18" s="15">
        <f>IFERROR(IF(OR($L18="",$J18=""),"",MIN($L18,ROUND($D18*$J18*Parameters!$D$12,0),IF($K18="",$L18,$K18))),"")</f>
        <v/>
      </c>
      <c r="N18" s="17">
        <f>IF(OR($D18="",$D18&lt;=0,$M18=""),"",ROUND($M18/$D18,0))</f>
        <v/>
      </c>
      <c r="O18" s="12" t="n"/>
    </row>
    <row r="19">
      <c r="A19" s="8" t="n">
        <v>16</v>
      </c>
      <c r="B19" s="12" t="n"/>
      <c r="C19" s="12" t="n"/>
      <c r="D19" s="13" t="n"/>
      <c r="E19" s="14" t="n"/>
      <c r="F19" s="14" t="n"/>
      <c r="G19" s="18">
        <f>IF(OR($D19="",$F19=""),"",$D19*$F19)</f>
        <v/>
      </c>
      <c r="H19" s="18">
        <f>IF(OR($D19="",$E19="",$F19=""),"",$D19*$E19+$G19)</f>
        <v/>
      </c>
      <c r="I19" s="16" t="n"/>
      <c r="J19" s="14" t="n"/>
      <c r="K19" s="13" t="n"/>
      <c r="L19" s="18">
        <f>IFERROR(IF(OR($D19="",$D19&lt;=0,$I19="",$I19&lt;=0,Parameters!$D$4&lt;=0,Parameters!$D$5&lt;=0),"",ROUND(SQRT(2*$D19*365*Parameters!$D$4/($I19*Parameters!$D$5)),0)),"")</f>
        <v/>
      </c>
      <c r="M19" s="18">
        <f>IFERROR(IF(OR($L19="",$J19=""),"",MIN($L19,ROUND($D19*$J19*Parameters!$D$12,0),IF($K19="",$L19,$K19))),"")</f>
        <v/>
      </c>
      <c r="N19" s="19">
        <f>IF(OR($D19="",$D19&lt;=0,$M19=""),"",ROUND($M19/$D19,0))</f>
        <v/>
      </c>
      <c r="O19" s="12" t="n"/>
    </row>
    <row r="20">
      <c r="A20" s="7" t="n">
        <v>17</v>
      </c>
      <c r="B20" s="12" t="n"/>
      <c r="C20" s="12" t="n"/>
      <c r="D20" s="13" t="n"/>
      <c r="E20" s="14" t="n"/>
      <c r="F20" s="14" t="n"/>
      <c r="G20" s="15">
        <f>IF(OR($D20="",$F20=""),"",$D20*$F20)</f>
        <v/>
      </c>
      <c r="H20" s="15">
        <f>IF(OR($D20="",$E20="",$F20=""),"",$D20*$E20+$G20)</f>
        <v/>
      </c>
      <c r="I20" s="16" t="n"/>
      <c r="J20" s="14" t="n"/>
      <c r="K20" s="13" t="n"/>
      <c r="L20" s="15">
        <f>IFERROR(IF(OR($D20="",$D20&lt;=0,$I20="",$I20&lt;=0,Parameters!$D$4&lt;=0,Parameters!$D$5&lt;=0),"",ROUND(SQRT(2*$D20*365*Parameters!$D$4/($I20*Parameters!$D$5)),0)),"")</f>
        <v/>
      </c>
      <c r="M20" s="15">
        <f>IFERROR(IF(OR($L20="",$J20=""),"",MIN($L20,ROUND($D20*$J20*Parameters!$D$12,0),IF($K20="",$L20,$K20))),"")</f>
        <v/>
      </c>
      <c r="N20" s="17">
        <f>IF(OR($D20="",$D20&lt;=0,$M20=""),"",ROUND($M20/$D20,0))</f>
        <v/>
      </c>
      <c r="O20" s="12" t="n"/>
    </row>
    <row r="21">
      <c r="A21" s="8" t="n">
        <v>18</v>
      </c>
      <c r="B21" s="12" t="n"/>
      <c r="C21" s="12" t="n"/>
      <c r="D21" s="13" t="n"/>
      <c r="E21" s="14" t="n"/>
      <c r="F21" s="14" t="n"/>
      <c r="G21" s="18">
        <f>IF(OR($D21="",$F21=""),"",$D21*$F21)</f>
        <v/>
      </c>
      <c r="H21" s="18">
        <f>IF(OR($D21="",$E21="",$F21=""),"",$D21*$E21+$G21)</f>
        <v/>
      </c>
      <c r="I21" s="16" t="n"/>
      <c r="J21" s="14" t="n"/>
      <c r="K21" s="13" t="n"/>
      <c r="L21" s="18">
        <f>IFERROR(IF(OR($D21="",$D21&lt;=0,$I21="",$I21&lt;=0,Parameters!$D$4&lt;=0,Parameters!$D$5&lt;=0),"",ROUND(SQRT(2*$D21*365*Parameters!$D$4/($I21*Parameters!$D$5)),0)),"")</f>
        <v/>
      </c>
      <c r="M21" s="18">
        <f>IFERROR(IF(OR($L21="",$J21=""),"",MIN($L21,ROUND($D21*$J21*Parameters!$D$12,0),IF($K21="",$L21,$K21))),"")</f>
        <v/>
      </c>
      <c r="N21" s="19">
        <f>IF(OR($D21="",$D21&lt;=0,$M21=""),"",ROUND($M21/$D21,0))</f>
        <v/>
      </c>
      <c r="O21" s="12" t="n"/>
    </row>
    <row r="22">
      <c r="A22" s="7" t="n">
        <v>19</v>
      </c>
      <c r="B22" s="12" t="n"/>
      <c r="C22" s="12" t="n"/>
      <c r="D22" s="13" t="n"/>
      <c r="E22" s="14" t="n"/>
      <c r="F22" s="14" t="n"/>
      <c r="G22" s="15">
        <f>IF(OR($D22="",$F22=""),"",$D22*$F22)</f>
        <v/>
      </c>
      <c r="H22" s="15">
        <f>IF(OR($D22="",$E22="",$F22=""),"",$D22*$E22+$G22)</f>
        <v/>
      </c>
      <c r="I22" s="16" t="n"/>
      <c r="J22" s="14" t="n"/>
      <c r="K22" s="13" t="n"/>
      <c r="L22" s="15">
        <f>IFERROR(IF(OR($D22="",$D22&lt;=0,$I22="",$I22&lt;=0,Parameters!$D$4&lt;=0,Parameters!$D$5&lt;=0),"",ROUND(SQRT(2*$D22*365*Parameters!$D$4/($I22*Parameters!$D$5)),0)),"")</f>
        <v/>
      </c>
      <c r="M22" s="15">
        <f>IFERROR(IF(OR($L22="",$J22=""),"",MIN($L22,ROUND($D22*$J22*Parameters!$D$12,0),IF($K22="",$L22,$K22))),"")</f>
        <v/>
      </c>
      <c r="N22" s="17">
        <f>IF(OR($D22="",$D22&lt;=0,$M22=""),"",ROUND($M22/$D22,0))</f>
        <v/>
      </c>
      <c r="O22" s="12" t="n"/>
    </row>
    <row r="23">
      <c r="A23" s="8" t="n">
        <v>20</v>
      </c>
      <c r="B23" s="12" t="n"/>
      <c r="C23" s="12" t="n"/>
      <c r="D23" s="13" t="n"/>
      <c r="E23" s="14" t="n"/>
      <c r="F23" s="14" t="n"/>
      <c r="G23" s="18">
        <f>IF(OR($D23="",$F23=""),"",$D23*$F23)</f>
        <v/>
      </c>
      <c r="H23" s="18">
        <f>IF(OR($D23="",$E23="",$F23=""),"",$D23*$E23+$G23)</f>
        <v/>
      </c>
      <c r="I23" s="16" t="n"/>
      <c r="J23" s="14" t="n"/>
      <c r="K23" s="13" t="n"/>
      <c r="L23" s="18">
        <f>IFERROR(IF(OR($D23="",$D23&lt;=0,$I23="",$I23&lt;=0,Parameters!$D$4&lt;=0,Parameters!$D$5&lt;=0),"",ROUND(SQRT(2*$D23*365*Parameters!$D$4/($I23*Parameters!$D$5)),0)),"")</f>
        <v/>
      </c>
      <c r="M23" s="18">
        <f>IFERROR(IF(OR($L23="",$J23=""),"",MIN($L23,ROUND($D23*$J23*Parameters!$D$12,0),IF($K23="",$L23,$K23))),"")</f>
        <v/>
      </c>
      <c r="N23" s="19">
        <f>IF(OR($D23="",$D23&lt;=0,$M23=""),"",ROUND($M23/$D23,0))</f>
        <v/>
      </c>
      <c r="O23" s="12" t="n"/>
    </row>
    <row r="24">
      <c r="A24" s="7" t="n">
        <v>21</v>
      </c>
      <c r="B24" s="12" t="n"/>
      <c r="C24" s="12" t="n"/>
      <c r="D24" s="13" t="n"/>
      <c r="E24" s="14" t="n"/>
      <c r="F24" s="14" t="n"/>
      <c r="G24" s="15">
        <f>IF(OR($D24="",$F24=""),"",$D24*$F24)</f>
        <v/>
      </c>
      <c r="H24" s="15">
        <f>IF(OR($D24="",$E24="",$F24=""),"",$D24*$E24+$G24)</f>
        <v/>
      </c>
      <c r="I24" s="16" t="n"/>
      <c r="J24" s="14" t="n"/>
      <c r="K24" s="13" t="n"/>
      <c r="L24" s="15">
        <f>IFERROR(IF(OR($D24="",$D24&lt;=0,$I24="",$I24&lt;=0,Parameters!$D$4&lt;=0,Parameters!$D$5&lt;=0),"",ROUND(SQRT(2*$D24*365*Parameters!$D$4/($I24*Parameters!$D$5)),0)),"")</f>
        <v/>
      </c>
      <c r="M24" s="15">
        <f>IFERROR(IF(OR($L24="",$J24=""),"",MIN($L24,ROUND($D24*$J24*Parameters!$D$12,0),IF($K24="",$L24,$K24))),"")</f>
        <v/>
      </c>
      <c r="N24" s="17">
        <f>IF(OR($D24="",$D24&lt;=0,$M24=""),"",ROUND($M24/$D24,0))</f>
        <v/>
      </c>
      <c r="O24" s="12" t="n"/>
    </row>
    <row r="25">
      <c r="A25" s="8" t="n">
        <v>22</v>
      </c>
      <c r="B25" s="12" t="n"/>
      <c r="C25" s="12" t="n"/>
      <c r="D25" s="13" t="n"/>
      <c r="E25" s="14" t="n"/>
      <c r="F25" s="14" t="n"/>
      <c r="G25" s="18">
        <f>IF(OR($D25="",$F25=""),"",$D25*$F25)</f>
        <v/>
      </c>
      <c r="H25" s="18">
        <f>IF(OR($D25="",$E25="",$F25=""),"",$D25*$E25+$G25)</f>
        <v/>
      </c>
      <c r="I25" s="16" t="n"/>
      <c r="J25" s="14" t="n"/>
      <c r="K25" s="13" t="n"/>
      <c r="L25" s="18">
        <f>IFERROR(IF(OR($D25="",$D25&lt;=0,$I25="",$I25&lt;=0,Parameters!$D$4&lt;=0,Parameters!$D$5&lt;=0),"",ROUND(SQRT(2*$D25*365*Parameters!$D$4/($I25*Parameters!$D$5)),0)),"")</f>
        <v/>
      </c>
      <c r="M25" s="18">
        <f>IFERROR(IF(OR($L25="",$J25=""),"",MIN($L25,ROUND($D25*$J25*Parameters!$D$12,0),IF($K25="",$L25,$K25))),"")</f>
        <v/>
      </c>
      <c r="N25" s="19">
        <f>IF(OR($D25="",$D25&lt;=0,$M25=""),"",ROUND($M25/$D25,0))</f>
        <v/>
      </c>
      <c r="O25" s="12" t="n"/>
    </row>
    <row r="26">
      <c r="A26" s="7" t="n">
        <v>23</v>
      </c>
      <c r="B26" s="12" t="n"/>
      <c r="C26" s="12" t="n"/>
      <c r="D26" s="13" t="n"/>
      <c r="E26" s="14" t="n"/>
      <c r="F26" s="14" t="n"/>
      <c r="G26" s="15">
        <f>IF(OR($D26="",$F26=""),"",$D26*$F26)</f>
        <v/>
      </c>
      <c r="H26" s="15">
        <f>IF(OR($D26="",$E26="",$F26=""),"",$D26*$E26+$G26)</f>
        <v/>
      </c>
      <c r="I26" s="16" t="n"/>
      <c r="J26" s="14" t="n"/>
      <c r="K26" s="13" t="n"/>
      <c r="L26" s="15">
        <f>IFERROR(IF(OR($D26="",$D26&lt;=0,$I26="",$I26&lt;=0,Parameters!$D$4&lt;=0,Parameters!$D$5&lt;=0),"",ROUND(SQRT(2*$D26*365*Parameters!$D$4/($I26*Parameters!$D$5)),0)),"")</f>
        <v/>
      </c>
      <c r="M26" s="15">
        <f>IFERROR(IF(OR($L26="",$J26=""),"",MIN($L26,ROUND($D26*$J26*Parameters!$D$12,0),IF($K26="",$L26,$K26))),"")</f>
        <v/>
      </c>
      <c r="N26" s="17">
        <f>IF(OR($D26="",$D26&lt;=0,$M26=""),"",ROUND($M26/$D26,0))</f>
        <v/>
      </c>
      <c r="O26" s="12" t="n"/>
    </row>
    <row r="27">
      <c r="A27" s="8" t="n">
        <v>24</v>
      </c>
      <c r="B27" s="12" t="n"/>
      <c r="C27" s="12" t="n"/>
      <c r="D27" s="13" t="n"/>
      <c r="E27" s="14" t="n"/>
      <c r="F27" s="14" t="n"/>
      <c r="G27" s="18">
        <f>IF(OR($D27="",$F27=""),"",$D27*$F27)</f>
        <v/>
      </c>
      <c r="H27" s="18">
        <f>IF(OR($D27="",$E27="",$F27=""),"",$D27*$E27+$G27)</f>
        <v/>
      </c>
      <c r="I27" s="16" t="n"/>
      <c r="J27" s="14" t="n"/>
      <c r="K27" s="13" t="n"/>
      <c r="L27" s="18">
        <f>IFERROR(IF(OR($D27="",$D27&lt;=0,$I27="",$I27&lt;=0,Parameters!$D$4&lt;=0,Parameters!$D$5&lt;=0),"",ROUND(SQRT(2*$D27*365*Parameters!$D$4/($I27*Parameters!$D$5)),0)),"")</f>
        <v/>
      </c>
      <c r="M27" s="18">
        <f>IFERROR(IF(OR($L27="",$J27=""),"",MIN($L27,ROUND($D27*$J27*Parameters!$D$12,0),IF($K27="",$L27,$K27))),"")</f>
        <v/>
      </c>
      <c r="N27" s="19">
        <f>IF(OR($D27="",$D27&lt;=0,$M27=""),"",ROUND($M27/$D27,0))</f>
        <v/>
      </c>
      <c r="O27" s="12" t="n"/>
    </row>
    <row r="28">
      <c r="A28" s="7" t="n">
        <v>25</v>
      </c>
      <c r="B28" s="12" t="n"/>
      <c r="C28" s="12" t="n"/>
      <c r="D28" s="13" t="n"/>
      <c r="E28" s="14" t="n"/>
      <c r="F28" s="14" t="n"/>
      <c r="G28" s="15">
        <f>IF(OR($D28="",$F28=""),"",$D28*$F28)</f>
        <v/>
      </c>
      <c r="H28" s="15">
        <f>IF(OR($D28="",$E28="",$F28=""),"",$D28*$E28+$G28)</f>
        <v/>
      </c>
      <c r="I28" s="16" t="n"/>
      <c r="J28" s="14" t="n"/>
      <c r="K28" s="13" t="n"/>
      <c r="L28" s="15">
        <f>IFERROR(IF(OR($D28="",$D28&lt;=0,$I28="",$I28&lt;=0,Parameters!$D$4&lt;=0,Parameters!$D$5&lt;=0),"",ROUND(SQRT(2*$D28*365*Parameters!$D$4/($I28*Parameters!$D$5)),0)),"")</f>
        <v/>
      </c>
      <c r="M28" s="15">
        <f>IFERROR(IF(OR($L28="",$J28=""),"",MIN($L28,ROUND($D28*$J28*Parameters!$D$12,0),IF($K28="",$L28,$K28))),"")</f>
        <v/>
      </c>
      <c r="N28" s="17">
        <f>IF(OR($D28="",$D28&lt;=0,$M28=""),"",ROUND($M28/$D28,0))</f>
        <v/>
      </c>
      <c r="O28" s="12" t="n"/>
    </row>
    <row r="29">
      <c r="A29" s="8" t="n">
        <v>26</v>
      </c>
      <c r="B29" s="12" t="n"/>
      <c r="C29" s="12" t="n"/>
      <c r="D29" s="13" t="n"/>
      <c r="E29" s="14" t="n"/>
      <c r="F29" s="14" t="n"/>
      <c r="G29" s="18">
        <f>IF(OR($D29="",$F29=""),"",$D29*$F29)</f>
        <v/>
      </c>
      <c r="H29" s="18">
        <f>IF(OR($D29="",$E29="",$F29=""),"",$D29*$E29+$G29)</f>
        <v/>
      </c>
      <c r="I29" s="16" t="n"/>
      <c r="J29" s="14" t="n"/>
      <c r="K29" s="13" t="n"/>
      <c r="L29" s="18">
        <f>IFERROR(IF(OR($D29="",$D29&lt;=0,$I29="",$I29&lt;=0,Parameters!$D$4&lt;=0,Parameters!$D$5&lt;=0),"",ROUND(SQRT(2*$D29*365*Parameters!$D$4/($I29*Parameters!$D$5)),0)),"")</f>
        <v/>
      </c>
      <c r="M29" s="18">
        <f>IFERROR(IF(OR($L29="",$J29=""),"",MIN($L29,ROUND($D29*$J29*Parameters!$D$12,0),IF($K29="",$L29,$K29))),"")</f>
        <v/>
      </c>
      <c r="N29" s="19">
        <f>IF(OR($D29="",$D29&lt;=0,$M29=""),"",ROUND($M29/$D29,0))</f>
        <v/>
      </c>
      <c r="O29" s="12" t="n"/>
    </row>
    <row r="30">
      <c r="A30" s="7" t="n">
        <v>27</v>
      </c>
      <c r="B30" s="12" t="n"/>
      <c r="C30" s="12" t="n"/>
      <c r="D30" s="13" t="n"/>
      <c r="E30" s="14" t="n"/>
      <c r="F30" s="14" t="n"/>
      <c r="G30" s="15">
        <f>IF(OR($D30="",$F30=""),"",$D30*$F30)</f>
        <v/>
      </c>
      <c r="H30" s="15">
        <f>IF(OR($D30="",$E30="",$F30=""),"",$D30*$E30+$G30)</f>
        <v/>
      </c>
      <c r="I30" s="16" t="n"/>
      <c r="J30" s="14" t="n"/>
      <c r="K30" s="13" t="n"/>
      <c r="L30" s="15">
        <f>IFERROR(IF(OR($D30="",$D30&lt;=0,$I30="",$I30&lt;=0,Parameters!$D$4&lt;=0,Parameters!$D$5&lt;=0),"",ROUND(SQRT(2*$D30*365*Parameters!$D$4/($I30*Parameters!$D$5)),0)),"")</f>
        <v/>
      </c>
      <c r="M30" s="15">
        <f>IFERROR(IF(OR($L30="",$J30=""),"",MIN($L30,ROUND($D30*$J30*Parameters!$D$12,0),IF($K30="",$L30,$K30))),"")</f>
        <v/>
      </c>
      <c r="N30" s="17">
        <f>IF(OR($D30="",$D30&lt;=0,$M30=""),"",ROUND($M30/$D30,0))</f>
        <v/>
      </c>
      <c r="O30" s="12" t="n"/>
    </row>
    <row r="31">
      <c r="A31" s="8" t="n">
        <v>28</v>
      </c>
      <c r="B31" s="12" t="n"/>
      <c r="C31" s="12" t="n"/>
      <c r="D31" s="13" t="n"/>
      <c r="E31" s="14" t="n"/>
      <c r="F31" s="14" t="n"/>
      <c r="G31" s="18">
        <f>IF(OR($D31="",$F31=""),"",$D31*$F31)</f>
        <v/>
      </c>
      <c r="H31" s="18">
        <f>IF(OR($D31="",$E31="",$F31=""),"",$D31*$E31+$G31)</f>
        <v/>
      </c>
      <c r="I31" s="16" t="n"/>
      <c r="J31" s="14" t="n"/>
      <c r="K31" s="13" t="n"/>
      <c r="L31" s="18">
        <f>IFERROR(IF(OR($D31="",$D31&lt;=0,$I31="",$I31&lt;=0,Parameters!$D$4&lt;=0,Parameters!$D$5&lt;=0),"",ROUND(SQRT(2*$D31*365*Parameters!$D$4/($I31*Parameters!$D$5)),0)),"")</f>
        <v/>
      </c>
      <c r="M31" s="18">
        <f>IFERROR(IF(OR($L31="",$J31=""),"",MIN($L31,ROUND($D31*$J31*Parameters!$D$12,0),IF($K31="",$L31,$K31))),"")</f>
        <v/>
      </c>
      <c r="N31" s="19">
        <f>IF(OR($D31="",$D31&lt;=0,$M31=""),"",ROUND($M31/$D31,0))</f>
        <v/>
      </c>
      <c r="O31" s="12" t="n"/>
    </row>
    <row r="32">
      <c r="A32" s="7" t="n">
        <v>29</v>
      </c>
      <c r="B32" s="12" t="n"/>
      <c r="C32" s="12" t="n"/>
      <c r="D32" s="13" t="n"/>
      <c r="E32" s="14" t="n"/>
      <c r="F32" s="14" t="n"/>
      <c r="G32" s="15">
        <f>IF(OR($D32="",$F32=""),"",$D32*$F32)</f>
        <v/>
      </c>
      <c r="H32" s="15">
        <f>IF(OR($D32="",$E32="",$F32=""),"",$D32*$E32+$G32)</f>
        <v/>
      </c>
      <c r="I32" s="16" t="n"/>
      <c r="J32" s="14" t="n"/>
      <c r="K32" s="13" t="n"/>
      <c r="L32" s="15">
        <f>IFERROR(IF(OR($D32="",$D32&lt;=0,$I32="",$I32&lt;=0,Parameters!$D$4&lt;=0,Parameters!$D$5&lt;=0),"",ROUND(SQRT(2*$D32*365*Parameters!$D$4/($I32*Parameters!$D$5)),0)),"")</f>
        <v/>
      </c>
      <c r="M32" s="15">
        <f>IFERROR(IF(OR($L32="",$J32=""),"",MIN($L32,ROUND($D32*$J32*Parameters!$D$12,0),IF($K32="",$L32,$K32))),"")</f>
        <v/>
      </c>
      <c r="N32" s="17">
        <f>IF(OR($D32="",$D32&lt;=0,$M32=""),"",ROUND($M32/$D32,0))</f>
        <v/>
      </c>
      <c r="O32" s="12" t="n"/>
    </row>
    <row r="33">
      <c r="A33" s="8" t="n">
        <v>30</v>
      </c>
      <c r="B33" s="12" t="n"/>
      <c r="C33" s="12" t="n"/>
      <c r="D33" s="13" t="n"/>
      <c r="E33" s="14" t="n"/>
      <c r="F33" s="14" t="n"/>
      <c r="G33" s="18">
        <f>IF(OR($D33="",$F33=""),"",$D33*$F33)</f>
        <v/>
      </c>
      <c r="H33" s="18">
        <f>IF(OR($D33="",$E33="",$F33=""),"",$D33*$E33+$G33)</f>
        <v/>
      </c>
      <c r="I33" s="16" t="n"/>
      <c r="J33" s="14" t="n"/>
      <c r="K33" s="13" t="n"/>
      <c r="L33" s="18">
        <f>IFERROR(IF(OR($D33="",$D33&lt;=0,$I33="",$I33&lt;=0,Parameters!$D$4&lt;=0,Parameters!$D$5&lt;=0),"",ROUND(SQRT(2*$D33*365*Parameters!$D$4/($I33*Parameters!$D$5)),0)),"")</f>
        <v/>
      </c>
      <c r="M33" s="18">
        <f>IFERROR(IF(OR($L33="",$J33=""),"",MIN($L33,ROUND($D33*$J33*Parameters!$D$12,0),IF($K33="",$L33,$K33))),"")</f>
        <v/>
      </c>
      <c r="N33" s="19">
        <f>IF(OR($D33="",$D33&lt;=0,$M33=""),"",ROUND($M33/$D33,0))</f>
        <v/>
      </c>
      <c r="O33" s="12" t="n"/>
    </row>
    <row r="35">
      <c r="A35" s="11" t="inlineStr">
        <is>
          <t>Columns WITHOUT a green fill (don't touch): safety stock, reorder point, theoretical EOQ, suggested quantity and frequency. If frequency comes out blank, it's because daily usage is empty or zero, not because the formula is broken. The suggested quantity carries THREE caps: the EOQ, 70% of what you use within the shelf life, and your max stock — whichever of the three is smallest wins.</t>
        </is>
      </c>
    </row>
  </sheetData>
  <sheetProtection selectLockedCells="0" selectUnlockedCells="0" sheet="1" objects="0" insertRows="1" insertHyperlinks="1" autoFilter="0" scenarios="0" formatColumns="0" deleteColumns="1" insertColumns="1" pivotTables="1" deleteRows="1" formatCells="1" formatRows="0" sort="0"/>
  <mergeCells count="1">
    <mergeCell ref="A1:O1"/>
  </mergeCells>
  <dataValidations count="1">
    <dataValidation sqref="C4:C33" showDropDown="0" showInputMessage="1" showErrorMessage="1" allowBlank="1" errorTitle="Invalid category" error="Choose a value from the list." promptTitle="Invalid category" prompt="The kit's 10 categories. They're the same across all 9 templates." type="list" errorStyle="stop">
      <formula1>"Meat &amp; Poultry,Seafood,Dairy &amp; Eggs,Produce,Dry Goods,Frozen,Alcoholic Beverages,Non-Alcoholic Beverages,Paper &amp; Cleaning,Other"</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78909C"/>
    <outlinePr summaryBelow="1" summaryRight="1"/>
    <pageSetUpPr fitToPage="1"/>
  </sheetPr>
  <dimension ref="A1:D15"/>
  <sheetViews>
    <sheetView workbookViewId="0">
      <pane ySplit="3" topLeftCell="A4" activePane="bottomLeft" state="frozen"/>
      <selection pane="bottomLeft" activeCell="A1" sqref="A1"/>
    </sheetView>
  </sheetViews>
  <sheetFormatPr baseColWidth="8" defaultRowHeight="15"/>
  <cols>
    <col width="38" customWidth="1" min="1" max="1"/>
    <col width="34" customWidth="1" min="2" max="2"/>
    <col width="62" customWidth="1" min="3" max="3"/>
    <col width="20" customWidth="1" min="4" max="4"/>
  </cols>
  <sheetData>
    <row r="1">
      <c r="A1" s="5" t="inlineStr">
        <is>
          <t>REFERENCE PARAMETERS</t>
        </is>
      </c>
    </row>
    <row r="3">
      <c r="A3" s="20" t="inlineStr">
        <is>
          <t>Parameter</t>
        </is>
      </c>
      <c r="B3" s="20" t="inlineStr">
        <is>
          <t>Typical range</t>
        </is>
      </c>
      <c r="C3" s="20" t="inlineStr">
        <is>
          <t>Notes</t>
        </is>
      </c>
      <c r="D3" s="20" t="inlineStr">
        <is>
          <t>Used in the formula</t>
        </is>
      </c>
    </row>
    <row r="4">
      <c r="A4" t="inlineStr">
        <is>
          <t>Order cost</t>
        </is>
      </c>
      <c r="B4" t="inlineStr">
        <is>
          <t>2-5 (in your currency)</t>
        </is>
      </c>
      <c r="C4" s="21" t="inlineStr">
        <is>
          <t>What it costs you to PLACE an order: time to make it, receiving, matching the packing slip, and logging the invoice.</t>
        </is>
      </c>
      <c r="D4" s="22" t="n">
        <v>3</v>
      </c>
    </row>
    <row r="5">
      <c r="A5" t="inlineStr">
        <is>
          <t>Carrying cost (% annual)</t>
        </is>
      </c>
      <c r="B5" t="inlineStr">
        <is>
          <t>20-30% annual</t>
        </is>
      </c>
      <c r="C5" s="21" t="inlineStr">
        <is>
          <t>On the product's VALUE: tied-up capital, refrigeration, insurance, and the waste from what spoils while it waits.</t>
        </is>
      </c>
      <c r="D5" s="23" t="n">
        <v>0.25</v>
      </c>
    </row>
    <row r="6">
      <c r="A6" t="inlineStr">
        <is>
          <t>Meat lead time</t>
        </is>
      </c>
      <c r="B6" t="inlineStr">
        <is>
          <t>1-2 days</t>
        </is>
      </c>
      <c r="C6" s="21" t="inlineStr">
        <is>
          <t>Typically daily deliveries.</t>
        </is>
      </c>
    </row>
    <row r="7">
      <c r="A7" t="inlineStr">
        <is>
          <t>Seafood lead time</t>
        </is>
      </c>
      <c r="B7" t="inlineStr">
        <is>
          <t>1 day</t>
        </is>
      </c>
      <c r="C7" s="21" t="inlineStr">
        <is>
          <t>Daily delivery required.</t>
        </is>
      </c>
    </row>
    <row r="8">
      <c r="A8" t="inlineStr">
        <is>
          <t>Dry goods lead time</t>
        </is>
      </c>
      <c r="B8" t="inlineStr">
        <is>
          <t>3-5 days</t>
        </is>
      </c>
      <c r="C8" s="21" t="inlineStr">
        <is>
          <t>Weekly orders.</t>
        </is>
      </c>
    </row>
    <row r="9">
      <c r="A9" t="inlineStr">
        <is>
          <t>Frozen lead time</t>
        </is>
      </c>
      <c r="B9" t="inlineStr">
        <is>
          <t>2-3 days</t>
        </is>
      </c>
      <c r="C9" s="21" t="inlineStr">
        <is>
          <t>Orders twice a week.</t>
        </is>
      </c>
    </row>
    <row r="10">
      <c r="A10" t="inlineStr">
        <is>
          <t>Safety coverage (days) — column F</t>
        </is>
      </c>
      <c r="B10" t="inlineStr">
        <is>
          <t>1-3 days</t>
        </is>
      </c>
      <c r="C10" s="21" t="inlineStr">
        <is>
          <t>Typed in DAYS. Column G converts it to units: daily usage x coverage days. It used to be entered in days here and added as units there, and the reorder point came out half of what it should be.</t>
        </is>
      </c>
    </row>
    <row r="11">
      <c r="A11" t="inlineStr">
        <is>
          <t>Shelf life (days) — column J</t>
        </is>
      </c>
      <c r="B11" t="inlineStr">
        <is>
          <t>Fresh 2-5 · refrigerated 7-15 · dry 180-720</t>
        </is>
      </c>
      <c r="C11" s="21" t="inlineStr">
        <is>
          <t>Days the product holds up in your walk-in cooler from the moment you receive it.</t>
        </is>
      </c>
    </row>
    <row r="12">
      <c r="A12" t="inlineStr">
        <is>
          <t>Shelf-life factor</t>
        </is>
      </c>
      <c r="B12" t="inlineStr">
        <is>
          <t>0.7 (70%)</t>
        </is>
      </c>
      <c r="C12" s="21" t="inlineStr">
        <is>
          <t>The suggested quantity never exceeds this percentage of what you use within the shelf life: the rest is the cushion for a slow day. It's a genuine green cell, not a number buried inside the 30 formulas.</t>
        </is>
      </c>
      <c r="D12" s="23" t="n">
        <v>0.7</v>
      </c>
    </row>
    <row r="13">
      <c r="A13" t="inlineStr">
        <is>
          <t>Max stock (units) — column K</t>
        </is>
      </c>
      <c r="B13" t="inlineStr">
        <is>
          <t>The Par Max from template 01 (Kitchen &amp; Bar Inventory Sheet with Par Levels)</t>
        </is>
      </c>
      <c r="C13" s="21" t="inlineStr">
        <is>
          <t>The third cap on the suggested quantity: no matter what the EOQ and shelf life say, you don't order more than fits in your walk-in cooler. Leave it blank if you don't want that cap.</t>
        </is>
      </c>
    </row>
    <row r="15">
      <c r="A15" s="11" t="inlineStr">
        <is>
          <t>The THREE green cells feed the formulas: order cost, annual carrying cost, and the shelf-life factor. The rest of the table is reference material so you know what to type in each column of the Reorder Calculator.</t>
        </is>
      </c>
    </row>
  </sheetData>
  <sheetProtection selectLockedCells="0" selectUnlockedCells="0" sheet="1" objects="0" insertRows="1" insertHyperlinks="1" autoFilter="0" scenarios="0" formatColumns="0" deleteColumns="1" insertColumns="1" pivotTables="1" deleteRows="1" formatCells="1" formatRows="0" sort="0"/>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BONUS: Reorder Point &amp; Order Quantity Calculator</dc:title>
  <dc:description xmlns:dc="http://purl.org/dc/elements/1.1/">aichef.pro/en/digital-products/restaurant-inventory-templates</dc:description>
  <dc:subject xmlns:dc="http://purl.org/dc/elements/1.1/">Restaurant Inventory Kit Pro · v2.0</dc:subject>
  <dcterms:created xmlns:dcterms="http://purl.org/dc/terms/" xmlns:xsi="http://www.w3.org/2001/XMLSchema-instance" xsi:type="dcterms:W3CDTF">2026-04-05T09:47:46Z</dcterms:created>
  <dcterms:modified xmlns:dcterms="http://purl.org/dc/terms/" xmlns:xsi="http://www.w3.org/2001/XMLSchema-instance" xsi:type="dcterms:W3CDTF">2026-09-25T19:48:24Z</dcterms:modified>
  <cp:lastModifiedBy>AI Chef Pro</cp:lastModifiedBy>
  <cp:category>AI Chef Pro · Digital products</cp:category>
  <cp:keywords>restaurant inventory template, par sheet, AI Chef Pro</cp:keywords>
</cp:coreProperties>
</file>