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Vendor Directory" sheetId="2" state="visible" r:id="rId2"/>
    <sheet xmlns:r="http://schemas.openxmlformats.org/officeDocument/2006/relationships" name="Price Comparison" sheetId="3" state="visible" r:id="rId3"/>
    <sheet xmlns:r="http://schemas.openxmlformats.org/officeDocument/2006/relationships" name="Vendor Scorecard" sheetId="4" state="visible" r:id="rId4"/>
    <sheet xmlns:r="http://schemas.openxmlformats.org/officeDocument/2006/relationships" name="Vendor Terms" sheetId="5" state="visible" r:id="rId5"/>
  </sheets>
  <definedNames>
    <definedName name="_xlnm.Print_Titles" localSheetId="1">'Vendor Directory'!$3:$3</definedName>
    <definedName name="_xlnm.Print_Area" localSheetId="1">'Vendor Directory'!$A$1:$S$23</definedName>
    <definedName name="_xlnm.Print_Titles" localSheetId="2">'Price Comparison'!$3:$3</definedName>
    <definedName name="_xlnm.Print_Area" localSheetId="2">'Price Comparison'!$A$1:$U$13</definedName>
    <definedName name="_xlnm.Print_Titles" localSheetId="3">'Vendor Scorecard'!$3:$3</definedName>
    <definedName name="_xlnm.Print_Area" localSheetId="3">'Vendor Scorecard'!$A$1:$J$13</definedName>
    <definedName name="_xlnm.Print_Titles" localSheetId="4">'Vendor Terms'!$3:$3</definedName>
    <definedName name="_xlnm.Print_Area" localSheetId="4">'Vendor Terms'!$A$1:$J$13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0"/>
    <numFmt numFmtId="166" formatCode="m/d/yyyy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D700"/>
      <sz val="16"/>
    </font>
    <font>
      <color rgb="00888888"/>
      <sz val="10"/>
    </font>
    <font>
      <sz val="10"/>
    </font>
    <font>
      <b val="1"/>
      <color rgb="00FFD700"/>
      <sz val="14"/>
    </font>
    <font>
      <b val="1"/>
      <color rgb="00FFFFFF"/>
      <sz val="10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3" fillId="4" borderId="1" applyAlignment="1" applyProtection="1" pivotButton="0" quotePrefix="0" xfId="0">
      <alignment vertical="center" wrapText="1"/>
      <protection locked="0" hidden="0"/>
    </xf>
    <xf numFmtId="1" fontId="3" fillId="4" borderId="1" applyAlignment="1" applyProtection="1" pivotButton="0" quotePrefix="0" xfId="0">
      <alignment vertical="center" wrapText="1"/>
      <protection locked="0" hidden="0"/>
    </xf>
    <xf numFmtId="165" fontId="3" fillId="4" borderId="1" applyAlignment="1" applyProtection="1" pivotButton="0" quotePrefix="0" xfId="0">
      <alignment vertical="center" wrapText="1"/>
      <protection locked="0" hidden="0"/>
    </xf>
    <xf numFmtId="166" fontId="3" fillId="4" borderId="1" applyAlignment="1" applyProtection="1" pivotButton="0" quotePrefix="0" xfId="0">
      <alignment vertical="center" wrapText="1"/>
      <protection locked="0" hidden="0"/>
    </xf>
    <xf numFmtId="165" fontId="3" fillId="0" borderId="1" applyAlignment="1" pivotButton="0" quotePrefix="0" xfId="0">
      <alignment vertical="center" wrapText="1"/>
    </xf>
    <xf numFmtId="167" fontId="3" fillId="0" borderId="1" applyAlignment="1" pivotButton="0" quotePrefix="0" xfId="0">
      <alignment vertical="center" wrapText="1"/>
    </xf>
    <xf numFmtId="166" fontId="0" fillId="4" borderId="0" applyProtection="1" pivotButton="0" quotePrefix="0" xfId="0">
      <protection locked="0" hidden="0"/>
    </xf>
    <xf numFmtId="165" fontId="0" fillId="0" borderId="0" pivotButton="0" quotePrefix="0" xfId="0"/>
    <xf numFmtId="165" fontId="3" fillId="3" borderId="1" applyAlignment="1" pivotButton="0" quotePrefix="0" xfId="0">
      <alignment vertical="center" wrapText="1"/>
    </xf>
    <xf numFmtId="167" fontId="3" fillId="3" borderId="1" applyAlignment="1" pivotButton="0" quotePrefix="0" xfId="0">
      <alignment vertical="center" wrapText="1"/>
    </xf>
    <xf numFmtId="167" fontId="3" fillId="4" borderId="1" applyAlignment="1" applyProtection="1" pivotButton="0" quotePrefix="0" xfId="0">
      <alignment vertical="center" wrapText="1"/>
      <protection locked="0" hidden="0"/>
    </xf>
    <xf numFmtId="1" fontId="3" fillId="0" borderId="1" applyAlignment="1" pivotButton="0" quotePrefix="0" xfId="0">
      <alignment vertical="center" wrapText="1"/>
    </xf>
    <xf numFmtId="1" fontId="3" fillId="3" borderId="1" applyAlignment="1" pivotButton="0" quotePrefix="0" xfId="0">
      <alignment vertical="center" wrapText="1"/>
    </xf>
    <xf numFmtId="165" fontId="3" fillId="4" borderId="1" applyAlignment="1" applyProtection="1" pivotButton="0" quotePrefix="0" xfId="0">
      <alignment vertical="center" wrapText="1"/>
      <protection locked="0" hidden="0"/>
    </xf>
    <xf numFmtId="14" fontId="3" fillId="4" borderId="1" applyAlignment="1" applyProtection="1" pivotButton="0" quotePrefix="0" xfId="0">
      <alignment vertical="center" wrapText="1"/>
      <protection locked="0" hidden="0"/>
    </xf>
    <xf numFmtId="165" fontId="3" fillId="0" borderId="1" applyAlignment="1" pivotButton="0" quotePrefix="0" xfId="0">
      <alignment vertical="center" wrapText="1"/>
    </xf>
    <xf numFmtId="167" fontId="3" fillId="0" borderId="1" applyAlignment="1" pivotButton="0" quotePrefix="0" xfId="0">
      <alignment vertical="center" wrapText="1"/>
    </xf>
    <xf numFmtId="14" fontId="0" fillId="4" borderId="0" applyProtection="1" pivotButton="0" quotePrefix="0" xfId="0">
      <protection locked="0" hidden="0"/>
    </xf>
    <xf numFmtId="165" fontId="0" fillId="0" borderId="0" pivotButton="0" quotePrefix="0" xfId="0"/>
    <xf numFmtId="165" fontId="3" fillId="3" borderId="1" applyAlignment="1" pivotButton="0" quotePrefix="0" xfId="0">
      <alignment vertical="center" wrapText="1"/>
    </xf>
    <xf numFmtId="167" fontId="3" fillId="3" borderId="1" applyAlignment="1" pivotButton="0" quotePrefix="0" xfId="0">
      <alignment vertical="center" wrapText="1"/>
    </xf>
    <xf numFmtId="167" fontId="3" fillId="4" borderId="1" applyAlignment="1" applyProtection="1" pivotButton="0" quotePrefix="0" xfId="0">
      <alignment vertical="center" wrapText="1"/>
      <protection locked="0" hidden="0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Vendor List, Price Comparison &amp; Scorecard</t>
        </is>
      </c>
    </row>
    <row r="2">
      <c r="A2" s="2" t="inlineStr">
        <is>
          <t>AI Chef Pro — aichef.pro</t>
        </is>
      </c>
    </row>
    <row r="3">
      <c r="A3" s="3" t="n"/>
    </row>
    <row r="4">
      <c r="A4" s="4" t="inlineStr">
        <is>
          <t>Set up your vendors, approve them, and compare their prices — all in one file.</t>
        </is>
      </c>
    </row>
    <row r="5">
      <c r="A5" s="4" t="n"/>
    </row>
    <row r="6">
      <c r="A6" s="4" t="inlineStr">
        <is>
          <t>TABS:</t>
        </is>
      </c>
    </row>
    <row r="7">
      <c r="A7" s="4" t="inlineStr">
        <is>
          <t>1. Vendor Directory — tax info (Tax ID (EIN / VAT no.)), food safety info (Food license / FDA reg. no.), contact, order and delivery days, and approval status</t>
        </is>
      </c>
    </row>
    <row r="8">
      <c r="A8" s="4" t="inlineStr">
        <is>
          <t>2. Price Comparison — up to 5 vendors per product, compared by price normalized per unit</t>
        </is>
      </c>
    </row>
    <row r="9">
      <c r="A9" s="4" t="inlineStr">
        <is>
          <t>3. Vendor Scorecard — quality, price, timeliness, service and flexibility (1-5), with an A/B/C/D grade</t>
        </is>
      </c>
    </row>
    <row r="10">
      <c r="A10" s="4" t="inlineStr">
        <is>
          <t>4. Vendor Terms — payment terms, order minimum, volume rebate, delivery fee and hours</t>
        </is>
      </c>
    </row>
    <row r="12">
      <c r="A12" s="4" t="inlineStr">
        <is>
          <t>HOW TO USE:</t>
        </is>
      </c>
    </row>
    <row r="13">
      <c r="A13" s="4" t="inlineStr">
        <is>
          <t>1. Set up each vendor in the directory. Ask them in writing for their Tax ID (EIN / VAT no.) and their Food license / FDA reg. no.: without that you can't approve them or set them up in accounting.</t>
        </is>
      </c>
    </row>
    <row r="14">
      <c r="A14" s="4" t="inlineStr">
        <is>
          <t>2. Mark Approved and note the date. Review the paperwork at least once a year: it's the vendor-approval prerequisite your HACCP / food safety plan requires.</t>
        </is>
      </c>
    </row>
    <row r="15">
      <c r="A15" s="4" t="inlineStr">
        <is>
          <t>3. In the comparison, fill in the pack size and the content of each line BEFORE entering prices. That's what keeps you from comparing a 5-quart jug to a quart and picking the priciest vendor while thinking it's the cheapest.</t>
        </is>
      </c>
    </row>
    <row r="16">
      <c r="A16" s="4" t="inlineStr">
        <is>
          <t>4. Enter each vendor's price in their column. The best price, the best vendor and the % difference come out automatically.</t>
        </is>
      </c>
    </row>
    <row r="17">
      <c r="A17" s="4" t="inlineStr">
        <is>
          <t>5. Score your vendors every quarter. The grade needs at least 3 scored criteria.</t>
        </is>
      </c>
    </row>
    <row r="19">
      <c r="A19" s="4" t="inlineStr">
        <is>
          <t>The 6 sample profiles are marked (sample): delete them once you add your own.</t>
        </is>
      </c>
    </row>
    <row r="21">
      <c r="A21" s="11" t="inlineStr">
        <is>
          <t>To edit a locked cell: Review → Unprotect Sheet (no password). Green cells are already editable without unprotecting anything.</t>
        </is>
      </c>
    </row>
    <row r="22">
      <c r="A22" s="11" t="inlineStr">
        <is>
          <t>Designed by John Guerrero — chef and restaurant consultant since 2010, in professional kitchens since age 17 · johnguerrero.es</t>
        </is>
      </c>
    </row>
    <row r="23">
      <c r="A23" s="11" t="inlineStr">
        <is>
          <t>Version 2.0 · September 2026 · aichef.pro/en/digital-products/restaurant-inventory-templates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13" customWidth="1" min="4" max="4"/>
    <col width="20" customWidth="1" min="5" max="5"/>
    <col width="18" customWidth="1" min="6" max="6"/>
    <col width="14" customWidth="1" min="7" max="7"/>
    <col width="26" customWidth="1" min="8" max="8"/>
    <col width="26" customWidth="1" min="9" max="9"/>
    <col width="32" customWidth="1" min="10" max="10"/>
    <col width="20" customWidth="1" min="11" max="11"/>
    <col width="14" customWidth="1" min="12" max="12"/>
    <col width="12" customWidth="1" min="13" max="13"/>
    <col width="14" customWidth="1" min="14" max="14"/>
    <col width="20" customWidth="1" min="15" max="15"/>
    <col width="14" customWidth="1" min="16" max="16"/>
    <col width="14" customWidth="1" min="17" max="17"/>
    <col width="14" customWidth="1" min="18" max="18"/>
    <col width="40" customWidth="1" min="19" max="19"/>
  </cols>
  <sheetData>
    <row r="1">
      <c r="A1" s="5" t="inlineStr">
        <is>
          <t>VENDOR DIRECTORY</t>
        </is>
      </c>
    </row>
    <row r="2">
      <c r="A2" s="12" t="inlineStr">
        <is>
          <t>Sample profiles (one per purchasing category). The Food license / FDA reg. no. comes from the vendor: ask for it in writing and keep it with their spec sheet.</t>
        </is>
      </c>
    </row>
    <row r="3">
      <c r="A3" s="6" t="inlineStr">
        <is>
          <t>#</t>
        </is>
      </c>
      <c r="B3" s="6" t="inlineStr">
        <is>
          <t>Vendor</t>
        </is>
      </c>
      <c r="C3" s="6" t="inlineStr">
        <is>
          <t>Category</t>
        </is>
      </c>
      <c r="D3" s="6" t="inlineStr">
        <is>
          <t>Tax ID (EIN / VAT no.)</t>
        </is>
      </c>
      <c r="E3" s="6" t="inlineStr">
        <is>
          <t>Food license / FDA reg. no.</t>
        </is>
      </c>
      <c r="F3" s="6" t="inlineStr">
        <is>
          <t>Contact</t>
        </is>
      </c>
      <c r="G3" s="6" t="inlineStr">
        <is>
          <t>Phone</t>
        </is>
      </c>
      <c r="H3" s="6" t="inlineStr">
        <is>
          <t>Email</t>
        </is>
      </c>
      <c r="I3" s="6" t="inlineStr">
        <is>
          <t>Issue contact</t>
        </is>
      </c>
      <c r="J3" s="6" t="inlineStr">
        <is>
          <t>Address</t>
        </is>
      </c>
      <c r="K3" s="6" t="inlineStr">
        <is>
          <t>Order day</t>
        </is>
      </c>
      <c r="L3" s="6" t="inlineStr">
        <is>
          <t>Delivery day</t>
        </is>
      </c>
      <c r="M3" s="6" t="inlineStr">
        <is>
          <t>Lead time (days)</t>
        </is>
      </c>
      <c r="N3" s="6" t="inlineStr">
        <is>
          <t>Order Minimum</t>
        </is>
      </c>
      <c r="O3" s="6" t="inlineStr">
        <is>
          <t>Payment terms</t>
        </is>
      </c>
      <c r="P3" s="6" t="inlineStr">
        <is>
          <t>Approved (Y/N)</t>
        </is>
      </c>
      <c r="Q3" s="6" t="inlineStr">
        <is>
          <t>Approval date</t>
        </is>
      </c>
      <c r="R3" s="6" t="inlineStr">
        <is>
          <t>Last review date</t>
        </is>
      </c>
      <c r="S3" s="6" t="inlineStr">
        <is>
          <t>Notes</t>
        </is>
      </c>
    </row>
    <row r="4">
      <c r="A4" s="7" t="n">
        <v>1</v>
      </c>
      <c r="B4" s="13" t="inlineStr">
        <is>
          <t>Prime Cut Meats (sample)</t>
        </is>
      </c>
      <c r="C4" s="13" t="inlineStr">
        <is>
          <t>Meat &amp; Poultry</t>
        </is>
      </c>
      <c r="D4" s="13" t="inlineStr">
        <is>
          <t>00-0000001</t>
        </is>
      </c>
      <c r="E4" s="13" t="inlineStr">
        <is>
          <t>USDA Est. 00001</t>
        </is>
      </c>
      <c r="F4" s="13" t="inlineStr">
        <is>
          <t>Mike Reynolds</t>
        </is>
      </c>
      <c r="G4" s="13" t="inlineStr">
        <is>
          <t>(555) 555-0101</t>
        </is>
      </c>
      <c r="H4" s="13" t="inlineStr">
        <is>
          <t>orders@primecutmeats.example</t>
        </is>
      </c>
      <c r="I4" s="13" t="inlineStr">
        <is>
          <t>credits@primecutmeats.example · (555) 555-0102</t>
        </is>
      </c>
      <c r="J4" s="13" t="inlineStr">
        <is>
          <t>1200 Industrial Pkwy, Unit 12 · Anytown, USA 00001</t>
        </is>
      </c>
      <c r="K4" s="13" t="inlineStr">
        <is>
          <t>Mon &amp; Thu by 12 p.m.</t>
        </is>
      </c>
      <c r="L4" s="13" t="inlineStr">
        <is>
          <t>Tue &amp; Fri</t>
        </is>
      </c>
      <c r="M4" s="14" t="n">
        <v>1</v>
      </c>
      <c r="N4" s="26" t="n">
        <v>300</v>
      </c>
      <c r="O4" s="13" t="inlineStr">
        <is>
          <t>Net 30</t>
        </is>
      </c>
      <c r="P4" s="13" t="inlineStr">
        <is>
          <t>Y</t>
        </is>
      </c>
      <c r="Q4" s="27" t="n">
        <v>46063</v>
      </c>
      <c r="R4" s="27" t="n">
        <v>46218</v>
      </c>
      <c r="S4" s="13" t="inlineStr">
        <is>
          <t>Require an invoice with lot numbers and arrival temperature.</t>
        </is>
      </c>
    </row>
    <row r="5">
      <c r="A5" s="8" t="n">
        <v>2</v>
      </c>
      <c r="B5" s="13" t="inlineStr">
        <is>
          <t>Harbor Fresh Seafood (sample)</t>
        </is>
      </c>
      <c r="C5" s="13" t="inlineStr">
        <is>
          <t>Seafood</t>
        </is>
      </c>
      <c r="D5" s="13" t="inlineStr">
        <is>
          <t>00-0000002</t>
        </is>
      </c>
      <c r="E5" s="13" t="inlineStr">
        <is>
          <t>FDA Reg. 00000000002</t>
        </is>
      </c>
      <c r="F5" s="13" t="inlineStr">
        <is>
          <t>Dana Whitfield</t>
        </is>
      </c>
      <c r="G5" s="13" t="inlineStr">
        <is>
          <t>(555) 555-0103</t>
        </is>
      </c>
      <c r="H5" s="13" t="inlineStr">
        <is>
          <t>orders@harborfreshseafood.example</t>
        </is>
      </c>
      <c r="I5" s="13" t="inlineStr">
        <is>
          <t>credits@harborfreshseafood.example · (555) 555-0104</t>
        </is>
      </c>
      <c r="J5" s="13" t="inlineStr">
        <is>
          <t>Pier 8, Harbor Market · Anytown, USA 00002</t>
        </is>
      </c>
      <c r="K5" s="13" t="inlineStr">
        <is>
          <t>Daily by 5 p.m.</t>
        </is>
      </c>
      <c r="L5" s="13" t="inlineStr">
        <is>
          <t>Tue to Sat</t>
        </is>
      </c>
      <c r="M5" s="14" t="n">
        <v>1</v>
      </c>
      <c r="N5" s="26" t="n">
        <v>200</v>
      </c>
      <c r="O5" s="13" t="inlineStr">
        <is>
          <t>Net 15</t>
        </is>
      </c>
      <c r="P5" s="13" t="inlineStr">
        <is>
          <t>Y</t>
        </is>
      </c>
      <c r="Q5" s="27" t="n">
        <v>46086</v>
      </c>
      <c r="R5" s="27" t="n">
        <v>46223</v>
      </c>
      <c r="S5" s="13" t="inlineStr">
        <is>
          <t>Arrives on ice; reject anything above 41 °F.</t>
        </is>
      </c>
    </row>
    <row r="6">
      <c r="A6" s="7" t="n">
        <v>3</v>
      </c>
      <c r="B6" s="13" t="inlineStr">
        <is>
          <t>Green Valley Produce (sample)</t>
        </is>
      </c>
      <c r="C6" s="13" t="inlineStr">
        <is>
          <t>Produce</t>
        </is>
      </c>
      <c r="D6" s="13" t="inlineStr">
        <is>
          <t>00-0000003</t>
        </is>
      </c>
      <c r="E6" s="13" t="inlineStr">
        <is>
          <t>PACA Lic. 00000003</t>
        </is>
      </c>
      <c r="F6" s="13" t="inlineStr">
        <is>
          <t>Carlos Mendez</t>
        </is>
      </c>
      <c r="G6" s="13" t="inlineStr">
        <is>
          <t>(555) 555-0105</t>
        </is>
      </c>
      <c r="H6" s="13" t="inlineStr">
        <is>
          <t>orders@greenvalleyproduce.example</t>
        </is>
      </c>
      <c r="I6" s="13" t="inlineStr">
        <is>
          <t>credits@greenvalleyproduce.example</t>
        </is>
      </c>
      <c r="J6" s="13" t="inlineStr">
        <is>
          <t>Produce Terminal, Bldg 4 · Anytown, USA 00003</t>
        </is>
      </c>
      <c r="K6" s="13" t="inlineStr">
        <is>
          <t>Mon, Wed &amp; Fri by 6 p.m.</t>
        </is>
      </c>
      <c r="L6" s="13" t="inlineStr">
        <is>
          <t>Tue, Thu &amp; Sat</t>
        </is>
      </c>
      <c r="M6" s="14" t="n">
        <v>1</v>
      </c>
      <c r="N6" s="26" t="n">
        <v>150</v>
      </c>
      <c r="O6" s="13" t="inlineStr">
        <is>
          <t>COD</t>
        </is>
      </c>
      <c r="P6" s="13" t="inlineStr">
        <is>
          <t>Y</t>
        </is>
      </c>
      <c r="Q6" s="27" t="n">
        <v>46034</v>
      </c>
      <c r="R6" s="27" t="n">
        <v>46215</v>
      </c>
      <c r="S6" s="13" t="inlineStr">
        <is>
          <t>Seasonal produce: confirm prices every week.</t>
        </is>
      </c>
    </row>
    <row r="7">
      <c r="A7" s="8" t="n">
        <v>4</v>
      </c>
      <c r="B7" s="13" t="inlineStr">
        <is>
          <t>Pantry Foodservice Supply (sample)</t>
        </is>
      </c>
      <c r="C7" s="13" t="inlineStr">
        <is>
          <t>Dry Goods</t>
        </is>
      </c>
      <c r="D7" s="13" t="inlineStr">
        <is>
          <t>00-0000004</t>
        </is>
      </c>
      <c r="E7" s="13" t="inlineStr">
        <is>
          <t>FDA Reg. 00000000004</t>
        </is>
      </c>
      <c r="F7" s="13" t="inlineStr">
        <is>
          <t>Tom Becker</t>
        </is>
      </c>
      <c r="G7" s="13" t="inlineStr">
        <is>
          <t>(555) 555-0106</t>
        </is>
      </c>
      <c r="H7" s="13" t="inlineStr">
        <is>
          <t>orders@pantryfoodservice.example</t>
        </is>
      </c>
      <c r="I7" s="13" t="inlineStr">
        <is>
          <t>credits@pantryfoodservice.example</t>
        </is>
      </c>
      <c r="J7" s="13" t="inlineStr">
        <is>
          <t>450 Commerce Dr, Suite 27 · Anytown, USA 00004</t>
        </is>
      </c>
      <c r="K7" s="13" t="inlineStr">
        <is>
          <t>Tue by 2 p.m.</t>
        </is>
      </c>
      <c r="L7" s="13" t="inlineStr">
        <is>
          <t>Thu</t>
        </is>
      </c>
      <c r="M7" s="14" t="n">
        <v>2</v>
      </c>
      <c r="N7" s="26" t="n">
        <v>500</v>
      </c>
      <c r="O7" s="13" t="inlineStr">
        <is>
          <t>Net 45</t>
        </is>
      </c>
      <c r="P7" s="13" t="inlineStr">
        <is>
          <t>Y</t>
        </is>
      </c>
      <c r="Q7" s="27" t="n">
        <v>46073</v>
      </c>
      <c r="R7" s="27" t="n">
        <v>46221</v>
      </c>
      <c r="S7" s="13" t="inlineStr">
        <is>
          <t>2% volume rebate on purchases over $2,000 a month.</t>
        </is>
      </c>
    </row>
    <row r="8">
      <c r="A8" s="7" t="n">
        <v>5</v>
      </c>
      <c r="B8" s="13" t="inlineStr">
        <is>
          <t>Metro Beverage Distributors (sample)</t>
        </is>
      </c>
      <c r="C8" s="13" t="inlineStr">
        <is>
          <t>Alcoholic Beverages</t>
        </is>
      </c>
      <c r="D8" s="13" t="inlineStr">
        <is>
          <t>00-0000005</t>
        </is>
      </c>
      <c r="E8" s="13" t="inlineStr">
        <is>
          <t>State dist. lic. 000005</t>
        </is>
      </c>
      <c r="F8" s="13" t="inlineStr">
        <is>
          <t>Jen Park</t>
        </is>
      </c>
      <c r="G8" s="13" t="inlineStr">
        <is>
          <t>(555) 555-0107</t>
        </is>
      </c>
      <c r="H8" s="13" t="inlineStr">
        <is>
          <t>orders@metrobeverage.example</t>
        </is>
      </c>
      <c r="I8" s="13" t="inlineStr">
        <is>
          <t>credits@metrobeverage.example</t>
        </is>
      </c>
      <c r="J8" s="13" t="inlineStr">
        <is>
          <t>82 Route 40 · Anytown, USA 00005</t>
        </is>
      </c>
      <c r="K8" s="13" t="inlineStr">
        <is>
          <t>Mon by 12 p.m.</t>
        </is>
      </c>
      <c r="L8" s="13" t="inlineStr">
        <is>
          <t>Wed</t>
        </is>
      </c>
      <c r="M8" s="14" t="n">
        <v>2</v>
      </c>
      <c r="N8" s="26" t="n">
        <v>250</v>
      </c>
      <c r="O8" s="13" t="inlineStr">
        <is>
          <t>Net 30</t>
        </is>
      </c>
      <c r="P8" s="13" t="inlineStr">
        <is>
          <t>Y</t>
        </is>
      </c>
      <c r="Q8" s="27" t="n">
        <v>46050</v>
      </c>
      <c r="R8" s="27" t="n">
        <v>46213</v>
      </c>
      <c r="S8" s="13" t="inlineStr">
        <is>
          <t>Kegs and CO2 cylinders on loan: check the deposit on every invoice.</t>
        </is>
      </c>
    </row>
    <row r="9">
      <c r="A9" s="8" t="n">
        <v>6</v>
      </c>
      <c r="B9" s="13" t="inlineStr">
        <is>
          <t>ProClean Janitorial Supply (sample)</t>
        </is>
      </c>
      <c r="C9" s="13" t="inlineStr">
        <is>
          <t>Paper &amp; Cleaning</t>
        </is>
      </c>
      <c r="D9" s="13" t="inlineStr">
        <is>
          <t>00-0000006</t>
        </is>
      </c>
      <c r="E9" s="13" t="inlineStr">
        <is>
          <t>N/A (non-food supplier)</t>
        </is>
      </c>
      <c r="F9" s="13" t="inlineStr">
        <is>
          <t>Lisa Grant</t>
        </is>
      </c>
      <c r="G9" s="13" t="inlineStr">
        <is>
          <t>(555) 555-0108</t>
        </is>
      </c>
      <c r="H9" s="13" t="inlineStr">
        <is>
          <t>orders@procleansupply.example</t>
        </is>
      </c>
      <c r="I9" s="13" t="inlineStr">
        <is>
          <t>credits@procleansupply.example</t>
        </is>
      </c>
      <c r="J9" s="13" t="inlineStr">
        <is>
          <t>15 Industry Ave · Anytown, USA 00006</t>
        </is>
      </c>
      <c r="K9" s="13" t="inlineStr">
        <is>
          <t>Wed by 4 p.m.</t>
        </is>
      </c>
      <c r="L9" s="13" t="inlineStr">
        <is>
          <t>Fri</t>
        </is>
      </c>
      <c r="M9" s="14" t="n">
        <v>2</v>
      </c>
      <c r="N9" s="26" t="n">
        <v>150</v>
      </c>
      <c r="O9" s="13" t="inlineStr">
        <is>
          <t>Net 30</t>
        </is>
      </c>
      <c r="P9" s="13" t="inlineStr">
        <is>
          <t>Pending</t>
        </is>
      </c>
      <c r="Q9" s="27" t="n">
        <v>46056</v>
      </c>
      <c r="R9" s="27" t="n">
        <v>46237</v>
      </c>
      <c r="S9" s="13" t="inlineStr">
        <is>
          <t>Grade D (2.2/5) at the last review: approval ON HOLD until it improves. Find an alternative before the next review.</t>
        </is>
      </c>
    </row>
    <row r="10">
      <c r="A10" s="7" t="n">
        <v>7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4" t="n"/>
      <c r="N10" s="26" t="n"/>
      <c r="O10" s="13" t="n"/>
      <c r="P10" s="13" t="n"/>
      <c r="Q10" s="27" t="n"/>
      <c r="R10" s="27" t="n"/>
      <c r="S10" s="13" t="n"/>
    </row>
    <row r="11">
      <c r="A11" s="8" t="n">
        <v>8</v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4" t="n"/>
      <c r="N11" s="26" t="n"/>
      <c r="O11" s="13" t="n"/>
      <c r="P11" s="13" t="n"/>
      <c r="Q11" s="27" t="n"/>
      <c r="R11" s="27" t="n"/>
      <c r="S11" s="13" t="n"/>
    </row>
    <row r="12">
      <c r="A12" s="7" t="n">
        <v>9</v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4" t="n"/>
      <c r="N12" s="26" t="n"/>
      <c r="O12" s="13" t="n"/>
      <c r="P12" s="13" t="n"/>
      <c r="Q12" s="27" t="n"/>
      <c r="R12" s="27" t="n"/>
      <c r="S12" s="13" t="n"/>
    </row>
    <row r="13">
      <c r="A13" s="8" t="n">
        <v>10</v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4" t="n"/>
      <c r="N13" s="26" t="n"/>
      <c r="O13" s="13" t="n"/>
      <c r="P13" s="13" t="n"/>
      <c r="Q13" s="27" t="n"/>
      <c r="R13" s="27" t="n"/>
      <c r="S13" s="13" t="n"/>
    </row>
    <row r="14">
      <c r="A14" s="7" t="n">
        <v>11</v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4" t="n"/>
      <c r="N14" s="26" t="n"/>
      <c r="O14" s="13" t="n"/>
      <c r="P14" s="13" t="n"/>
      <c r="Q14" s="27" t="n"/>
      <c r="R14" s="27" t="n"/>
      <c r="S14" s="13" t="n"/>
    </row>
    <row r="15">
      <c r="A15" s="8" t="n">
        <v>12</v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4" t="n"/>
      <c r="N15" s="26" t="n"/>
      <c r="O15" s="13" t="n"/>
      <c r="P15" s="13" t="n"/>
      <c r="Q15" s="27" t="n"/>
      <c r="R15" s="27" t="n"/>
      <c r="S15" s="13" t="n"/>
    </row>
    <row r="16">
      <c r="A16" s="7" t="n">
        <v>13</v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4" t="n"/>
      <c r="N16" s="26" t="n"/>
      <c r="O16" s="13" t="n"/>
      <c r="P16" s="13" t="n"/>
      <c r="Q16" s="27" t="n"/>
      <c r="R16" s="27" t="n"/>
      <c r="S16" s="13" t="n"/>
    </row>
    <row r="17">
      <c r="A17" s="8" t="n">
        <v>14</v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4" t="n"/>
      <c r="N17" s="26" t="n"/>
      <c r="O17" s="13" t="n"/>
      <c r="P17" s="13" t="n"/>
      <c r="Q17" s="27" t="n"/>
      <c r="R17" s="27" t="n"/>
      <c r="S17" s="13" t="n"/>
    </row>
    <row r="18">
      <c r="A18" s="7" t="n">
        <v>15</v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4" t="n"/>
      <c r="N18" s="26" t="n"/>
      <c r="O18" s="13" t="n"/>
      <c r="P18" s="13" t="n"/>
      <c r="Q18" s="27" t="n"/>
      <c r="R18" s="27" t="n"/>
      <c r="S18" s="13" t="n"/>
    </row>
    <row r="19">
      <c r="A19" s="8" t="n">
        <v>16</v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4" t="n"/>
      <c r="N19" s="26" t="n"/>
      <c r="O19" s="13" t="n"/>
      <c r="P19" s="13" t="n"/>
      <c r="Q19" s="27" t="n"/>
      <c r="R19" s="27" t="n"/>
      <c r="S19" s="13" t="n"/>
    </row>
    <row r="20">
      <c r="A20" s="7" t="n">
        <v>17</v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4" t="n"/>
      <c r="N20" s="26" t="n"/>
      <c r="O20" s="13" t="n"/>
      <c r="P20" s="13" t="n"/>
      <c r="Q20" s="27" t="n"/>
      <c r="R20" s="27" t="n"/>
      <c r="S20" s="13" t="n"/>
    </row>
    <row r="21">
      <c r="A21" s="8" t="n">
        <v>18</v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4" t="n"/>
      <c r="N21" s="26" t="n"/>
      <c r="O21" s="13" t="n"/>
      <c r="P21" s="13" t="n"/>
      <c r="Q21" s="27" t="n"/>
      <c r="R21" s="27" t="n"/>
      <c r="S21" s="13" t="n"/>
    </row>
    <row r="22">
      <c r="A22" s="7" t="n">
        <v>19</v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4" t="n"/>
      <c r="N22" s="26" t="n"/>
      <c r="O22" s="13" t="n"/>
      <c r="P22" s="13" t="n"/>
      <c r="Q22" s="27" t="n"/>
      <c r="R22" s="27" t="n"/>
      <c r="S22" s="13" t="n"/>
    </row>
    <row r="23">
      <c r="A23" s="8" t="n">
        <v>20</v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4" t="n"/>
      <c r="N23" s="26" t="n"/>
      <c r="O23" s="13" t="n"/>
      <c r="P23" s="13" t="n"/>
      <c r="Q23" s="27" t="n"/>
      <c r="R23" s="27" t="n"/>
      <c r="S23" s="1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1:S1"/>
  </mergeCells>
  <dataValidations count="2">
    <dataValidation sqref="C4:C23" showDropDown="0" showInputMessage="1" showErrorMessage="1" allowBlank="1" errorTitle="Invalid category" error="Choose a value from the list." promptTitle="Invalid category" prompt="The main category this vendor supplies you. These are the kit's 10 categories." type="list" errorStyle="stop">
      <formula1>"Meat &amp; Poultry,Seafood,Dairy &amp; Eggs,Produce,Dry Goods,Frozen,Alcoholic Beverages,Non-Alcoholic Beverages,Paper &amp; Cleaning,Other"</formula1>
    </dataValidation>
    <dataValidation sqref="P4:P23" showDropDown="0" showInputMessage="1" showErrorMessage="1" allowBlank="1" errorTitle="Approved (Y/N)" error="Choose a value from the list." promptTitle="Approved (Y/N)" prompt="Y only once you have their Tax ID (EIN / VAT no.), their Food license / FDA reg. no. and the spec sheets for what they supply you. It's the vendor-approval prerequisite of your HACCP / food safety plan." type="list" errorStyle="stop">
      <formula1>"Y,N,Pending"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B800"/>
    <outlinePr summaryBelow="1" summaryRight="1"/>
    <pageSetUpPr fitToPage="1"/>
  </sheetPr>
  <dimension ref="A1:U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9" customWidth="1" min="3" max="3"/>
    <col width="22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5" customWidth="1" min="11" max="11"/>
    <col width="26" customWidth="1" min="12" max="12"/>
    <col width="12" customWidth="1" min="13" max="13"/>
    <col width="14" customWidth="1" min="14" max="14"/>
    <col width="13" customWidth="1" min="15" max="15"/>
    <col hidden="1" width="10" customWidth="1" min="16" max="16"/>
    <col hidden="1" width="10" customWidth="1" min="17" max="17"/>
    <col hidden="1" width="10" customWidth="1" min="18" max="18"/>
    <col hidden="1" width="10" customWidth="1" min="19" max="19"/>
    <col hidden="1" width="10" customWidth="1" min="20" max="20"/>
    <col width="24" customWidth="1" min="21" max="21"/>
  </cols>
  <sheetData>
    <row r="1">
      <c r="A1" s="5" t="inlineStr">
        <is>
          <t>PRICE COMPARISON BY VENDOR</t>
        </is>
      </c>
    </row>
    <row r="2">
      <c r="A2" s="12" t="inlineStr">
        <is>
          <t>The five price columns are the first five vendors in the directory: ask them for a quote on the SAME pack size. Fill in Pack Size and Content BEFORE the prices: without Content there's no per-unit price to compare, and the row will tell you so. Columns P to T (hidden) are that per-unit price. And check the Status column: an expired comparison is worse than not having one, because you'd be negotiating with a number the vendor no longer honors.</t>
        </is>
      </c>
    </row>
    <row r="3">
      <c r="A3" s="6" t="inlineStr">
        <is>
          <t>#</t>
        </is>
      </c>
      <c r="B3" s="6" t="inlineStr">
        <is>
          <t>Product</t>
        </is>
      </c>
      <c r="C3" s="6" t="inlineStr">
        <is>
          <t>Unit</t>
        </is>
      </c>
      <c r="D3" s="6" t="inlineStr">
        <is>
          <t>Pack size</t>
        </is>
      </c>
      <c r="E3" s="6" t="inlineStr">
        <is>
          <t>Content (lb/gal/each)</t>
        </is>
      </c>
      <c r="F3" s="6" t="str">
        <f>IF('Vendor Directory'!$B$4="","Vendor 1",'Vendor Directory'!$B$4)</f>
        <v>Prime Cut Meats (sample)</v>
      </c>
      <c r="G3" s="6" t="str">
        <f>IF('Vendor Directory'!$B$5="","Vendor 2",'Vendor Directory'!$B$5)</f>
        <v>Harbor Fresh Seafood (sample)</v>
      </c>
      <c r="H3" s="6" t="str">
        <f>IF('Vendor Directory'!$B$6="","Vendor 3",'Vendor Directory'!$B$6)</f>
        <v>Green Valley Produce (sample)</v>
      </c>
      <c r="I3" s="6" t="str">
        <f>IF('Vendor Directory'!$B$7="","Vendor 4",'Vendor Directory'!$B$7)</f>
        <v>Pantry Foodservice Supply (sample)</v>
      </c>
      <c r="J3" s="6" t="str">
        <f>IF('Vendor Directory'!$B$8="","Vendor 5",'Vendor Directory'!$B$8)</f>
        <v>Metro Beverage Distributors (sample)</v>
      </c>
      <c r="K3" s="6" t="inlineStr">
        <is>
          <t>Best price/unit</t>
        </is>
      </c>
      <c r="L3" s="6" t="inlineStr">
        <is>
          <t>Best vendor</t>
        </is>
      </c>
      <c r="M3" s="6" t="inlineStr">
        <is>
          <t>% Difference</t>
        </is>
      </c>
      <c r="N3" s="6" t="inlineStr">
        <is>
          <t>Quote date</t>
        </is>
      </c>
      <c r="O3" s="6" t="inlineStr">
        <is>
          <t>Valid until</t>
        </is>
      </c>
      <c r="P3" t="inlineStr">
        <is>
          <t>Norm. 1</t>
        </is>
      </c>
      <c r="Q3" t="inlineStr">
        <is>
          <t>Norm. 2</t>
        </is>
      </c>
      <c r="R3" t="inlineStr">
        <is>
          <t>Norm. 3</t>
        </is>
      </c>
      <c r="S3" t="inlineStr">
        <is>
          <t>Norm. 4</t>
        </is>
      </c>
      <c r="T3" t="inlineStr">
        <is>
          <t>Norm. 5</t>
        </is>
      </c>
      <c r="U3" t="inlineStr">
        <is>
          <t>Quote status</t>
        </is>
      </c>
    </row>
    <row r="4">
      <c r="A4" s="7" t="n">
        <v>1</v>
      </c>
      <c r="B4" s="13" t="inlineStr">
        <is>
          <t>Boneless chicken breast</t>
        </is>
      </c>
      <c r="C4" s="13" t="inlineStr">
        <is>
          <t>lb</t>
        </is>
      </c>
      <c r="D4" s="13" t="inlineStr">
        <is>
          <t>Case, 40 lb</t>
        </is>
      </c>
      <c r="E4" s="13" t="n">
        <v>40</v>
      </c>
      <c r="F4" s="26" t="n">
        <v>124</v>
      </c>
      <c r="G4" s="26" t="n">
        <v>128</v>
      </c>
      <c r="H4" s="26" t="n">
        <v>131.2</v>
      </c>
      <c r="I4" s="26" t="n"/>
      <c r="J4" s="26" t="n">
        <v>126.4</v>
      </c>
      <c r="K4" s="28">
        <f>IF(COUNT($F4:$J4)=0,"",IF($E4="","⚠ missing pack size",IF(COUNT($P4:$T4)=0,"",MIN($P4:$T4))))</f>
        <v>3.1</v>
      </c>
      <c r="L4" s="7" t="str">
        <f>IF(OR($K4="",$K4="⚠ missing pack size"),"",IFERROR(INDEX($F$3:$J$3,MATCH($K4,$P4:$T4,0)),""))</f>
        <v>Prime Cut Meats (sample)</v>
      </c>
      <c r="M4" s="29">
        <f>IF(OR($K4="",$K4="⚠ missing pack size"),"",IFERROR((MAX($P4:$T4)-$K4)/$K4,""))</f>
        <v>0.058064516129032163</v>
      </c>
      <c r="N4" s="30">
        <f>TODAY()-21</f>
        <v>46269.0</v>
      </c>
      <c r="O4" s="30">
        <f>TODAY()+9</f>
        <v>46299.0</v>
      </c>
      <c r="P4" s="31">
        <f>IF(OR($F4="",$F4&lt;=0,$E4="",$E4&lt;=0),"",IFERROR($F4/$E4,""))</f>
        <v>3.1</v>
      </c>
      <c r="Q4" s="31">
        <f>IF(OR($G4="",$G4&lt;=0,$E4="",$E4&lt;=0),"",IFERROR($G4/$E4,""))</f>
        <v>3.2</v>
      </c>
      <c r="R4" s="31">
        <f>IF(OR($H4="",$H4&lt;=0,$E4="",$E4&lt;=0),"",IFERROR($H4/$E4,""))</f>
        <v>3.28</v>
      </c>
      <c r="S4" s="31">
        <f>IF(OR($I4="",$I4&lt;=0,$E4="",$E4&lt;=0),"",IFERROR($I4/$E4,""))</f>
        <v/>
      </c>
      <c r="T4" s="31">
        <f>IF(OR($J4="",$J4&lt;=0,$E4="",$E4&lt;=0),"",IFERROR($J4/$E4,""))</f>
        <v>3.16</v>
      </c>
      <c r="U4" t="str">
        <f>IF($O4="","",IF($O4&lt;TODAY(),"⛔ QUOTE EXPIRED",IF($O4-TODAY()&lt;=7,"🟡 expires this week","🟢 current")))</f>
        <v>🟢 current</v>
      </c>
    </row>
    <row r="5">
      <c r="A5" s="8" t="n">
        <v>2</v>
      </c>
      <c r="B5" s="13" t="inlineStr">
        <is>
          <t>Beef tenderloin (PSMO)</t>
        </is>
      </c>
      <c r="C5" s="13" t="inlineStr">
        <is>
          <t>lb</t>
        </is>
      </c>
      <c r="D5" s="13" t="inlineStr">
        <is>
          <t>Whole PSMO, about 6 lb</t>
        </is>
      </c>
      <c r="E5" s="13" t="n">
        <v>6</v>
      </c>
      <c r="F5" s="26" t="n"/>
      <c r="G5" s="26" t="n"/>
      <c r="H5" s="26" t="n"/>
      <c r="I5" s="26" t="n"/>
      <c r="J5" s="26" t="n"/>
      <c r="K5" s="32">
        <f>IF(COUNT($F5:$J5)=0,"",IF($E5="","⚠ missing pack size",IF(COUNT($P5:$T5)=0,"",MIN($P5:$T5))))</f>
        <v/>
      </c>
      <c r="L5" s="8">
        <f>IF(OR($K5="",$K5="⚠ missing pack size"),"",IFERROR(INDEX($F$3:$J$3,MATCH($K5,$P5:$T5,0)),""))</f>
        <v/>
      </c>
      <c r="M5" s="33">
        <f>IF(OR($K5="",$K5="⚠ missing pack size"),"",IFERROR((MAX($P5:$T5)-$K5)/$K5,""))</f>
        <v/>
      </c>
      <c r="N5" s="30" t="n"/>
      <c r="O5" s="30" t="n"/>
      <c r="P5" s="31">
        <f>IF(OR($F5="",$F5&lt;=0,$E5="",$E5&lt;=0),"",IFERROR($F5/$E5,""))</f>
        <v/>
      </c>
      <c r="Q5" s="31">
        <f>IF(OR($G5="",$G5&lt;=0,$E5="",$E5&lt;=0),"",IFERROR($G5/$E5,""))</f>
        <v/>
      </c>
      <c r="R5" s="31">
        <f>IF(OR($H5="",$H5&lt;=0,$E5="",$E5&lt;=0),"",IFERROR($H5/$E5,""))</f>
        <v/>
      </c>
      <c r="S5" s="31">
        <f>IF(OR($I5="",$I5&lt;=0,$E5="",$E5&lt;=0),"",IFERROR($I5/$E5,""))</f>
        <v/>
      </c>
      <c r="T5" s="31">
        <f>IF(OR($J5="",$J5&lt;=0,$E5="",$E5&lt;=0),"",IFERROR($J5/$E5,""))</f>
        <v/>
      </c>
      <c r="U5">
        <f>IF($O5="","",IF($O5&lt;TODAY(),"⛔ QUOTE EXPIRED",IF($O5-TODAY()&lt;=7,"🟡 expires this week","🟢 current")))</f>
        <v/>
      </c>
    </row>
    <row r="6">
      <c r="A6" s="7" t="n">
        <v>3</v>
      </c>
      <c r="B6" s="13" t="inlineStr">
        <is>
          <t>Fresh salmon fillet</t>
        </is>
      </c>
      <c r="C6" s="13" t="inlineStr">
        <is>
          <t>lb</t>
        </is>
      </c>
      <c r="D6" s="13" t="inlineStr">
        <is>
          <t>Whole side, about 3 lb</t>
        </is>
      </c>
      <c r="E6" s="13" t="n">
        <v>3</v>
      </c>
      <c r="F6" s="26" t="n"/>
      <c r="G6" s="26" t="n"/>
      <c r="H6" s="26" t="n"/>
      <c r="I6" s="26" t="n"/>
      <c r="J6" s="26" t="n"/>
      <c r="K6" s="28">
        <f>IF(COUNT($F6:$J6)=0,"",IF($E6="","⚠ missing pack size",IF(COUNT($P6:$T6)=0,"",MIN($P6:$T6))))</f>
        <v/>
      </c>
      <c r="L6" s="7">
        <f>IF(OR($K6="",$K6="⚠ missing pack size"),"",IFERROR(INDEX($F$3:$J$3,MATCH($K6,$P6:$T6,0)),""))</f>
        <v/>
      </c>
      <c r="M6" s="29">
        <f>IF(OR($K6="",$K6="⚠ missing pack size"),"",IFERROR((MAX($P6:$T6)-$K6)/$K6,""))</f>
        <v/>
      </c>
      <c r="N6" s="30" t="n"/>
      <c r="O6" s="30" t="n"/>
      <c r="P6" s="31">
        <f>IF(OR($F6="",$F6&lt;=0,$E6="",$E6&lt;=0),"",IFERROR($F6/$E6,""))</f>
        <v/>
      </c>
      <c r="Q6" s="31">
        <f>IF(OR($G6="",$G6&lt;=0,$E6="",$E6&lt;=0),"",IFERROR($G6/$E6,""))</f>
        <v/>
      </c>
      <c r="R6" s="31">
        <f>IF(OR($H6="",$H6&lt;=0,$E6="",$E6&lt;=0),"",IFERROR($H6/$E6,""))</f>
        <v/>
      </c>
      <c r="S6" s="31">
        <f>IF(OR($I6="",$I6&lt;=0,$E6="",$E6&lt;=0),"",IFERROR($I6/$E6,""))</f>
        <v/>
      </c>
      <c r="T6" s="31">
        <f>IF(OR($J6="",$J6&lt;=0,$E6="",$E6&lt;=0),"",IFERROR($J6/$E6,""))</f>
        <v/>
      </c>
      <c r="U6">
        <f>IF($O6="","",IF($O6&lt;TODAY(),"⛔ QUOTE EXPIRED",IF($O6-TODAY()&lt;=7,"🟡 expires this week","🟢 current")))</f>
        <v/>
      </c>
    </row>
    <row r="7">
      <c r="A7" s="8" t="n">
        <v>4</v>
      </c>
      <c r="B7" s="13" t="inlineStr">
        <is>
          <t>Extra virgin olive oil</t>
        </is>
      </c>
      <c r="C7" s="13" t="inlineStr">
        <is>
          <t>gal</t>
        </is>
      </c>
      <c r="D7" s="13" t="inlineStr">
        <is>
          <t>Case, 4 x 1 gal</t>
        </is>
      </c>
      <c r="E7" s="13" t="n">
        <v>4</v>
      </c>
      <c r="F7" s="26" t="n">
        <v>136</v>
      </c>
      <c r="G7" s="26" t="n">
        <v>134</v>
      </c>
      <c r="H7" s="26" t="n">
        <v>132.8</v>
      </c>
      <c r="I7" s="26" t="n">
        <v>129.92</v>
      </c>
      <c r="J7" s="26" t="n">
        <v>138</v>
      </c>
      <c r="K7" s="32">
        <f>IF(COUNT($F7:$J7)=0,"",IF($E7="","⚠ missing pack size",IF(COUNT($P7:$T7)=0,"",MIN($P7:$T7))))</f>
        <v>32.48</v>
      </c>
      <c r="L7" s="8" t="str">
        <f>IF(OR($K7="",$K7="⚠ missing pack size"),"",IFERROR(INDEX($F$3:$J$3,MATCH($K7,$P7:$T7,0)),""))</f>
        <v>Pantry Foodservice Supply (sample)</v>
      </c>
      <c r="M7" s="33">
        <f>IF(OR($K7="",$K7="⚠ missing pack size"),"",IFERROR((MAX($P7:$T7)-$K7)/$K7,""))</f>
        <v>0.06219211822660109</v>
      </c>
      <c r="N7" s="30">
        <f>TODAY()-21</f>
        <v>46269.0</v>
      </c>
      <c r="O7" s="30">
        <f>TODAY()+9</f>
        <v>46299.0</v>
      </c>
      <c r="P7" s="31">
        <f>IF(OR($F7="",$F7&lt;=0,$E7="",$E7&lt;=0),"",IFERROR($F7/$E7,""))</f>
        <v>34.0</v>
      </c>
      <c r="Q7" s="31">
        <f>IF(OR($G7="",$G7&lt;=0,$E7="",$E7&lt;=0),"",IFERROR($G7/$E7,""))</f>
        <v>33.5</v>
      </c>
      <c r="R7" s="31">
        <f>IF(OR($H7="",$H7&lt;=0,$E7="",$E7&lt;=0),"",IFERROR($H7/$E7,""))</f>
        <v>33.2</v>
      </c>
      <c r="S7" s="31">
        <f>IF(OR($I7="",$I7&lt;=0,$E7="",$E7&lt;=0),"",IFERROR($I7/$E7,""))</f>
        <v>32.48</v>
      </c>
      <c r="T7" s="31">
        <f>IF(OR($J7="",$J7&lt;=0,$E7="",$E7&lt;=0),"",IFERROR($J7/$E7,""))</f>
        <v>34.5</v>
      </c>
      <c r="U7" t="str">
        <f>IF($O7="","",IF($O7&lt;TODAY(),"⛔ QUOTE EXPIRED",IF($O7-TODAY()&lt;=7,"🟡 expires this week","🟢 current")))</f>
        <v>🟢 current</v>
      </c>
    </row>
    <row r="8">
      <c r="A8" s="7" t="n">
        <v>5</v>
      </c>
      <c r="B8" s="13" t="inlineStr">
        <is>
          <t>Tomatoes</t>
        </is>
      </c>
      <c r="C8" s="13" t="inlineStr">
        <is>
          <t>lb</t>
        </is>
      </c>
      <c r="D8" s="13" t="inlineStr">
        <is>
          <t>25 lb case</t>
        </is>
      </c>
      <c r="E8" s="13" t="n">
        <v>25</v>
      </c>
      <c r="F8" s="26" t="n">
        <v>51.25</v>
      </c>
      <c r="G8" s="26" t="n">
        <v>52.5</v>
      </c>
      <c r="H8" s="26" t="n">
        <v>49.5</v>
      </c>
      <c r="I8" s="26" t="n">
        <v>50.5</v>
      </c>
      <c r="J8" s="26" t="n">
        <v>49.75</v>
      </c>
      <c r="K8" s="28">
        <f>IF(COUNT($F8:$J8)=0,"",IF($E8="","⚠ missing pack size",IF(COUNT($P8:$T8)=0,"",MIN($P8:$T8))))</f>
        <v>1.98</v>
      </c>
      <c r="L8" s="7" t="str">
        <f>IF(OR($K8="",$K8="⚠ missing pack size"),"",IFERROR(INDEX($F$3:$J$3,MATCH($K8,$P8:$T8,0)),""))</f>
        <v>Green Valley Produce (sample)</v>
      </c>
      <c r="M8" s="29">
        <f>IF(OR($K8="",$K8="⚠ missing pack size"),"",IFERROR((MAX($P8:$T8)-$K8)/$K8,""))</f>
        <v>0.06060606060606066</v>
      </c>
      <c r="N8" s="30">
        <f>TODAY()-14</f>
        <v>46276.0</v>
      </c>
      <c r="O8" s="30">
        <f>TODAY()+16</f>
        <v>46306.0</v>
      </c>
      <c r="P8" s="31">
        <f>IF(OR($F8="",$F8&lt;=0,$E8="",$E8&lt;=0),"",IFERROR($F8/$E8,""))</f>
        <v>2.05</v>
      </c>
      <c r="Q8" s="31">
        <f>IF(OR($G8="",$G8&lt;=0,$E8="",$E8&lt;=0),"",IFERROR($G8/$E8,""))</f>
        <v>2.1</v>
      </c>
      <c r="R8" s="31">
        <f>IF(OR($H8="",$H8&lt;=0,$E8="",$E8&lt;=0),"",IFERROR($H8/$E8,""))</f>
        <v>1.98</v>
      </c>
      <c r="S8" s="31">
        <f>IF(OR($I8="",$I8&lt;=0,$E8="",$E8&lt;=0),"",IFERROR($I8/$E8,""))</f>
        <v>2.02</v>
      </c>
      <c r="T8" s="31">
        <f>IF(OR($J8="",$J8&lt;=0,$E8="",$E8&lt;=0),"",IFERROR($J8/$E8,""))</f>
        <v>1.99</v>
      </c>
      <c r="U8" t="str">
        <f>IF($O8="","",IF($O8&lt;TODAY(),"⛔ QUOTE EXPIRED",IF($O8-TODAY()&lt;=7,"🟡 expires this week","🟢 current")))</f>
        <v>🟢 current</v>
      </c>
    </row>
    <row r="9">
      <c r="A9" s="8" t="n">
        <v>6</v>
      </c>
      <c r="B9" s="13" t="inlineStr">
        <is>
          <t>Romaine lettuce</t>
        </is>
      </c>
      <c r="C9" s="13" t="inlineStr">
        <is>
          <t>each</t>
        </is>
      </c>
      <c r="D9" s="13" t="inlineStr">
        <is>
          <t>Case, 24 heads</t>
        </is>
      </c>
      <c r="E9" s="13" t="n">
        <v>24</v>
      </c>
      <c r="F9" s="26" t="n"/>
      <c r="G9" s="26" t="n"/>
      <c r="H9" s="26" t="n"/>
      <c r="I9" s="26" t="n"/>
      <c r="J9" s="26" t="n"/>
      <c r="K9" s="32">
        <f>IF(COUNT($F9:$J9)=0,"",IF($E9="","⚠ missing pack size",IF(COUNT($P9:$T9)=0,"",MIN($P9:$T9))))</f>
        <v/>
      </c>
      <c r="L9" s="8">
        <f>IF(OR($K9="",$K9="⚠ missing pack size"),"",IFERROR(INDEX($F$3:$J$3,MATCH($K9,$P9:$T9,0)),""))</f>
        <v/>
      </c>
      <c r="M9" s="33">
        <f>IF(OR($K9="",$K9="⚠ missing pack size"),"",IFERROR((MAX($P9:$T9)-$K9)/$K9,""))</f>
        <v/>
      </c>
      <c r="N9" s="30" t="n"/>
      <c r="O9" s="30" t="n"/>
      <c r="P9" s="31">
        <f>IF(OR($F9="",$F9&lt;=0,$E9="",$E9&lt;=0),"",IFERROR($F9/$E9,""))</f>
        <v/>
      </c>
      <c r="Q9" s="31">
        <f>IF(OR($G9="",$G9&lt;=0,$E9="",$E9&lt;=0),"",IFERROR($G9/$E9,""))</f>
        <v/>
      </c>
      <c r="R9" s="31">
        <f>IF(OR($H9="",$H9&lt;=0,$E9="",$E9&lt;=0),"",IFERROR($H9/$E9,""))</f>
        <v/>
      </c>
      <c r="S9" s="31">
        <f>IF(OR($I9="",$I9&lt;=0,$E9="",$E9&lt;=0),"",IFERROR($I9/$E9,""))</f>
        <v/>
      </c>
      <c r="T9" s="31">
        <f>IF(OR($J9="",$J9&lt;=0,$E9="",$E9&lt;=0),"",IFERROR($J9/$E9,""))</f>
        <v/>
      </c>
      <c r="U9">
        <f>IF($O9="","",IF($O9&lt;TODAY(),"⛔ QUOTE EXPIRED",IF($O9-TODAY()&lt;=7,"🟡 expires this week","🟢 current")))</f>
        <v/>
      </c>
    </row>
    <row r="10">
      <c r="A10" s="7" t="n">
        <v>7</v>
      </c>
      <c r="B10" s="13" t="inlineStr">
        <is>
          <t>Arborio rice</t>
        </is>
      </c>
      <c r="C10" s="13" t="inlineStr">
        <is>
          <t>lb</t>
        </is>
      </c>
      <c r="D10" s="13" t="inlineStr">
        <is>
          <t>25 lb bag</t>
        </is>
      </c>
      <c r="E10" s="13" t="n">
        <v>25</v>
      </c>
      <c r="F10" s="26" t="n"/>
      <c r="G10" s="26" t="n"/>
      <c r="H10" s="26" t="n"/>
      <c r="I10" s="26" t="n"/>
      <c r="J10" s="26" t="n"/>
      <c r="K10" s="28">
        <f>IF(COUNT($F10:$J10)=0,"",IF($E10="","⚠ missing pack size",IF(COUNT($P10:$T10)=0,"",MIN($P10:$T10))))</f>
        <v/>
      </c>
      <c r="L10" s="7">
        <f>IF(OR($K10="",$K10="⚠ missing pack size"),"",IFERROR(INDEX($F$3:$J$3,MATCH($K10,$P10:$T10,0)),""))</f>
        <v/>
      </c>
      <c r="M10" s="29">
        <f>IF(OR($K10="",$K10="⚠ missing pack size"),"",IFERROR((MAX($P10:$T10)-$K10)/$K10,""))</f>
        <v/>
      </c>
      <c r="N10" s="30" t="n"/>
      <c r="O10" s="30" t="n"/>
      <c r="P10" s="31">
        <f>IF(OR($F10="",$F10&lt;=0,$E10="",$E10&lt;=0),"",IFERROR($F10/$E10,""))</f>
        <v/>
      </c>
      <c r="Q10" s="31">
        <f>IF(OR($G10="",$G10&lt;=0,$E10="",$E10&lt;=0),"",IFERROR($G10/$E10,""))</f>
        <v/>
      </c>
      <c r="R10" s="31">
        <f>IF(OR($H10="",$H10&lt;=0,$E10="",$E10&lt;=0),"",IFERROR($H10/$E10,""))</f>
        <v/>
      </c>
      <c r="S10" s="31">
        <f>IF(OR($I10="",$I10&lt;=0,$E10="",$E10&lt;=0),"",IFERROR($I10/$E10,""))</f>
        <v/>
      </c>
      <c r="T10" s="31">
        <f>IF(OR($J10="",$J10&lt;=0,$E10="",$E10&lt;=0),"",IFERROR($J10/$E10,""))</f>
        <v/>
      </c>
      <c r="U10">
        <f>IF($O10="","",IF($O10&lt;TODAY(),"⛔ QUOTE EXPIRED",IF($O10-TODAY()&lt;=7,"🟡 expires this week","🟢 current")))</f>
        <v/>
      </c>
    </row>
    <row r="11">
      <c r="A11" s="8" t="n">
        <v>8</v>
      </c>
      <c r="B11" s="13" t="inlineStr">
        <is>
          <t>Large eggs</t>
        </is>
      </c>
      <c r="C11" s="13" t="inlineStr">
        <is>
          <t>dozen</t>
        </is>
      </c>
      <c r="D11" s="13" t="inlineStr">
        <is>
          <t>15 dozen case</t>
        </is>
      </c>
      <c r="E11" s="13" t="n">
        <v>15</v>
      </c>
      <c r="F11" s="26" t="n"/>
      <c r="G11" s="26" t="n"/>
      <c r="H11" s="26" t="n"/>
      <c r="I11" s="26" t="n"/>
      <c r="J11" s="26" t="n"/>
      <c r="K11" s="32">
        <f>IF(COUNT($F11:$J11)=0,"",IF($E11="","⚠ missing pack size",IF(COUNT($P11:$T11)=0,"",MIN($P11:$T11))))</f>
        <v/>
      </c>
      <c r="L11" s="8">
        <f>IF(OR($K11="",$K11="⚠ missing pack size"),"",IFERROR(INDEX($F$3:$J$3,MATCH($K11,$P11:$T11,0)),""))</f>
        <v/>
      </c>
      <c r="M11" s="33">
        <f>IF(OR($K11="",$K11="⚠ missing pack size"),"",IFERROR((MAX($P11:$T11)-$K11)/$K11,""))</f>
        <v/>
      </c>
      <c r="N11" s="30" t="n"/>
      <c r="O11" s="30" t="n"/>
      <c r="P11" s="31">
        <f>IF(OR($F11="",$F11&lt;=0,$E11="",$E11&lt;=0),"",IFERROR($F11/$E11,""))</f>
        <v/>
      </c>
      <c r="Q11" s="31">
        <f>IF(OR($G11="",$G11&lt;=0,$E11="",$E11&lt;=0),"",IFERROR($G11/$E11,""))</f>
        <v/>
      </c>
      <c r="R11" s="31">
        <f>IF(OR($H11="",$H11&lt;=0,$E11="",$E11&lt;=0),"",IFERROR($H11/$E11,""))</f>
        <v/>
      </c>
      <c r="S11" s="31">
        <f>IF(OR($I11="",$I11&lt;=0,$E11="",$E11&lt;=0),"",IFERROR($I11/$E11,""))</f>
        <v/>
      </c>
      <c r="T11" s="31">
        <f>IF(OR($J11="",$J11&lt;=0,$E11="",$E11&lt;=0),"",IFERROR($J11/$E11,""))</f>
        <v/>
      </c>
      <c r="U11">
        <f>IF($O11="","",IF($O11&lt;TODAY(),"⛔ QUOTE EXPIRED",IF($O11-TODAY()&lt;=7,"🟡 expires this week","🟢 current")))</f>
        <v/>
      </c>
    </row>
    <row r="12">
      <c r="A12" s="7" t="n">
        <v>9</v>
      </c>
      <c r="B12" s="13" t="inlineStr">
        <is>
          <t>Whole milk</t>
        </is>
      </c>
      <c r="C12" s="13" t="inlineStr">
        <is>
          <t>gal</t>
        </is>
      </c>
      <c r="D12" s="13" t="inlineStr">
        <is>
          <t>Case, 4 x 1 gal</t>
        </is>
      </c>
      <c r="E12" s="13" t="n">
        <v>4</v>
      </c>
      <c r="F12" s="26" t="n"/>
      <c r="G12" s="26" t="n"/>
      <c r="H12" s="26" t="n"/>
      <c r="I12" s="26" t="n"/>
      <c r="J12" s="26" t="n"/>
      <c r="K12" s="28">
        <f>IF(COUNT($F12:$J12)=0,"",IF($E12="","⚠ missing pack size",IF(COUNT($P12:$T12)=0,"",MIN($P12:$T12))))</f>
        <v/>
      </c>
      <c r="L12" s="7">
        <f>IF(OR($K12="",$K12="⚠ missing pack size"),"",IFERROR(INDEX($F$3:$J$3,MATCH($K12,$P12:$T12,0)),""))</f>
        <v/>
      </c>
      <c r="M12" s="29">
        <f>IF(OR($K12="",$K12="⚠ missing pack size"),"",IFERROR((MAX($P12:$T12)-$K12)/$K12,""))</f>
        <v/>
      </c>
      <c r="N12" s="30" t="n"/>
      <c r="O12" s="30" t="n"/>
      <c r="P12" s="31">
        <f>IF(OR($F12="",$F12&lt;=0,$E12="",$E12&lt;=0),"",IFERROR($F12/$E12,""))</f>
        <v/>
      </c>
      <c r="Q12" s="31">
        <f>IF(OR($G12="",$G12&lt;=0,$E12="",$E12&lt;=0),"",IFERROR($G12/$E12,""))</f>
        <v/>
      </c>
      <c r="R12" s="31">
        <f>IF(OR($H12="",$H12&lt;=0,$E12="",$E12&lt;=0),"",IFERROR($H12/$E12,""))</f>
        <v/>
      </c>
      <c r="S12" s="31">
        <f>IF(OR($I12="",$I12&lt;=0,$E12="",$E12&lt;=0),"",IFERROR($I12/$E12,""))</f>
        <v/>
      </c>
      <c r="T12" s="31">
        <f>IF(OR($J12="",$J12&lt;=0,$E12="",$E12&lt;=0),"",IFERROR($J12/$E12,""))</f>
        <v/>
      </c>
      <c r="U12">
        <f>IF($O12="","",IF($O12&lt;TODAY(),"⛔ QUOTE EXPIRED",IF($O12-TODAY()&lt;=7,"🟡 expires this week","🟢 current")))</f>
        <v/>
      </c>
    </row>
    <row r="13">
      <c r="A13" s="8" t="n">
        <v>10</v>
      </c>
      <c r="B13" s="13" t="inlineStr">
        <is>
          <t>Parmesan</t>
        </is>
      </c>
      <c r="C13" s="13" t="inlineStr">
        <is>
          <t>lb</t>
        </is>
      </c>
      <c r="D13" s="13" t="inlineStr">
        <is>
          <t>Case, 2 x 5 lb wedges</t>
        </is>
      </c>
      <c r="E13" s="13" t="n">
        <v>10</v>
      </c>
      <c r="F13" s="26" t="n"/>
      <c r="G13" s="26" t="n"/>
      <c r="H13" s="26" t="n"/>
      <c r="I13" s="26" t="n"/>
      <c r="J13" s="26" t="n"/>
      <c r="K13" s="32">
        <f>IF(COUNT($F13:$J13)=0,"",IF($E13="","⚠ missing pack size",IF(COUNT($P13:$T13)=0,"",MIN($P13:$T13))))</f>
        <v/>
      </c>
      <c r="L13" s="8">
        <f>IF(OR($K13="",$K13="⚠ missing pack size"),"",IFERROR(INDEX($F$3:$J$3,MATCH($K13,$P13:$T13,0)),""))</f>
        <v/>
      </c>
      <c r="M13" s="33">
        <f>IF(OR($K13="",$K13="⚠ missing pack size"),"",IFERROR((MAX($P13:$T13)-$K13)/$K13,""))</f>
        <v/>
      </c>
      <c r="N13" s="30" t="n"/>
      <c r="O13" s="30" t="n"/>
      <c r="P13" s="31">
        <f>IF(OR($F13="",$F13&lt;=0,$E13="",$E13&lt;=0),"",IFERROR($F13/$E13,""))</f>
        <v/>
      </c>
      <c r="Q13" s="31">
        <f>IF(OR($G13="",$G13&lt;=0,$E13="",$E13&lt;=0),"",IFERROR($G13/$E13,""))</f>
        <v/>
      </c>
      <c r="R13" s="31">
        <f>IF(OR($H13="",$H13&lt;=0,$E13="",$E13&lt;=0),"",IFERROR($H13/$E13,""))</f>
        <v/>
      </c>
      <c r="S13" s="31">
        <f>IF(OR($I13="",$I13&lt;=0,$E13="",$E13&lt;=0),"",IFERROR($I13/$E13,""))</f>
        <v/>
      </c>
      <c r="T13" s="31">
        <f>IF(OR($J13="",$J13&lt;=0,$E13="",$E13&lt;=0),"",IFERROR($J13/$E13,""))</f>
        <v/>
      </c>
      <c r="U13">
        <f>IF($O13="","",IF($O13&lt;TODAY(),"⛔ QUOTE EXPIRED",IF($O13-TODAY()&lt;=7,"🟡 expires this week","🟢 current")))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1:M1"/>
  </mergeCells>
  <conditionalFormatting sqref="U4:U13">
    <cfRule type="containsText" priority="1" operator="containsText" dxfId="0" stopIfTrue="1" text="EXPIRED">
      <formula>NOT(ISERROR(SEARCH("EXPIRED",U4)))</formula>
    </cfRule>
    <cfRule type="containsText" priority="2" operator="containsText" dxfId="1" stopIfTrue="1" text="expires">
      <formula>NOT(ISERROR(SEARCH("expires",U4)))</formula>
    </cfRule>
    <cfRule type="containsText" priority="3" operator="containsText" dxfId="2" stopIfTrue="1" text="current">
      <formula>NOT(ISERROR(SEARCH("current",U4)))</formula>
    </cfRule>
  </conditionalFormatting>
  <dataValidations count="1">
    <dataValidation sqref="C4:C13" showDropDown="0" showInputMessage="1" showErrorMessage="1" allowBlank="1" errorTitle="Invalid unit" error="Choose a value from the list." promptTitle="Invalid unit" prompt="The same unit list as the rest of the kit. Pack size (case, jug, bag…) goes in the column next to it." type="list" errorStyle="stop">
      <formula1>"lb,oz,kg,gal,qt,L,each,dozen,case,tray,keg,bag,roll,pack,bottle,can"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C853"/>
    <outlinePr summaryBelow="1" summaryRight="1"/>
    <pageSetUpPr fitToPage="1"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0" customWidth="1" min="8" max="8"/>
    <col width="18" customWidth="1" min="9" max="9"/>
    <col width="38" customWidth="1" min="10" max="10"/>
  </cols>
  <sheetData>
    <row r="1">
      <c r="A1" s="5" t="inlineStr">
        <is>
          <t>VENDOR SCORECARD</t>
        </is>
      </c>
    </row>
    <row r="2">
      <c r="A2" s="12" t="inlineStr">
        <is>
          <t>The grade needs at least 3 scored criteria: with just one, the average doesn't mean anything. The last column cross-checks the grade against the "Approved" box in the directory: a "D — Replace" that's still marked Approved is a contradiction, and vendor approval is a prerequisite of your HACCP / food safety plan.</t>
        </is>
      </c>
    </row>
    <row r="3">
      <c r="A3" s="6" t="inlineStr">
        <is>
          <t>#</t>
        </is>
      </c>
      <c r="B3" s="6" t="inlineStr">
        <is>
          <t>Vendor</t>
        </is>
      </c>
      <c r="C3" s="6" t="inlineStr">
        <is>
          <t>Quality (1-5)</t>
        </is>
      </c>
      <c r="D3" s="6" t="inlineStr">
        <is>
          <t>Price (1-5)</t>
        </is>
      </c>
      <c r="E3" s="6" t="inlineStr">
        <is>
          <t>Timeliness (1-5)</t>
        </is>
      </c>
      <c r="F3" s="6" t="inlineStr">
        <is>
          <t>Service (1-5)</t>
        </is>
      </c>
      <c r="G3" s="6" t="inlineStr">
        <is>
          <t>Flexibility (1-5)</t>
        </is>
      </c>
      <c r="H3" s="6" t="inlineStr">
        <is>
          <t>AVERAGE SCORE (1-5)</t>
        </is>
      </c>
      <c r="I3" s="6" t="inlineStr">
        <is>
          <t>Grade</t>
        </is>
      </c>
      <c r="J3" s="6" t="inlineStr">
        <is>
          <t>Consistency with directory</t>
        </is>
      </c>
    </row>
    <row r="4">
      <c r="A4" s="7" t="n">
        <v>1</v>
      </c>
      <c r="B4" s="13" t="inlineStr">
        <is>
          <t>Prime Cut Meats (sample)</t>
        </is>
      </c>
      <c r="C4" s="13" t="n">
        <v>5</v>
      </c>
      <c r="D4" s="26" t="n">
        <v>4</v>
      </c>
      <c r="E4" s="13" t="n">
        <v>5</v>
      </c>
      <c r="F4" s="13" t="n">
        <v>5</v>
      </c>
      <c r="G4" s="13" t="n">
        <v>5</v>
      </c>
      <c r="H4" s="9">
        <f>IF(COUNT($C4:$G4)&lt;3,"",AVERAGE($C4:$G4))</f>
        <v>4.8</v>
      </c>
      <c r="I4" s="7" t="str">
        <f>IF($H4="","",IF($H4&gt;=4.5,"A — Preferred",IF($H4&gt;=3.5,"B — Approved",IF($H4&gt;=2.5,"C — Monitor","D — Replace"))))</f>
        <v>A — Preferred</v>
      </c>
      <c r="J4" t="str">
        <f>IF($I4="","",IF(IFERROR(VLOOKUP($B4,'Vendor Directory'!$B$4:$P$23,15,FALSE),"")&lt;&gt;"Y","—",IF(LEFT($I4,1)="D","⚠ D grade but still approved: review it",IF(LEFT($I4,1)="C","🟡 C grade: monitor it, still approved","✓ consistent"))))</f>
        <v>✓ consistent</v>
      </c>
    </row>
    <row r="5">
      <c r="A5" s="8" t="n">
        <v>2</v>
      </c>
      <c r="B5" s="13" t="inlineStr">
        <is>
          <t>Harbor Fresh Seafood (sample)</t>
        </is>
      </c>
      <c r="C5" s="13" t="n">
        <v>5</v>
      </c>
      <c r="D5" s="26" t="n">
        <v>3</v>
      </c>
      <c r="E5" s="13" t="n">
        <v>4</v>
      </c>
      <c r="F5" s="13" t="n">
        <v>4</v>
      </c>
      <c r="G5" s="13" t="n">
        <v>3</v>
      </c>
      <c r="H5" s="10">
        <f>IF(COUNT($C5:$G5)&lt;3,"",AVERAGE($C5:$G5))</f>
        <v>3.8</v>
      </c>
      <c r="I5" s="8" t="str">
        <f>IF($H5="","",IF($H5&gt;=4.5,"A — Preferred",IF($H5&gt;=3.5,"B — Approved",IF($H5&gt;=2.5,"C — Monitor","D — Replace"))))</f>
        <v>B — Approved</v>
      </c>
      <c r="J5" t="str">
        <f>IF($I5="","",IF(IFERROR(VLOOKUP($B5,'Vendor Directory'!$B$4:$P$23,15,FALSE),"")&lt;&gt;"Y","—",IF(LEFT($I5,1)="D","⚠ D grade but still approved: review it",IF(LEFT($I5,1)="C","🟡 C grade: monitor it, still approved","✓ consistent"))))</f>
        <v>✓ consistent</v>
      </c>
    </row>
    <row r="6">
      <c r="A6" s="7" t="n">
        <v>3</v>
      </c>
      <c r="B6" s="13" t="inlineStr">
        <is>
          <t>Green Valley Produce (sample)</t>
        </is>
      </c>
      <c r="C6" s="13" t="n">
        <v>4</v>
      </c>
      <c r="D6" s="26" t="n">
        <v>4</v>
      </c>
      <c r="E6" s="13" t="n">
        <v>3</v>
      </c>
      <c r="F6" s="13" t="n">
        <v>4</v>
      </c>
      <c r="G6" s="13" t="n">
        <v>4</v>
      </c>
      <c r="H6" s="9">
        <f>IF(COUNT($C6:$G6)&lt;3,"",AVERAGE($C6:$G6))</f>
        <v>3.8</v>
      </c>
      <c r="I6" s="7" t="str">
        <f>IF($H6="","",IF($H6&gt;=4.5,"A — Preferred",IF($H6&gt;=3.5,"B — Approved",IF($H6&gt;=2.5,"C — Monitor","D — Replace"))))</f>
        <v>B — Approved</v>
      </c>
      <c r="J6" t="str">
        <f>IF($I6="","",IF(IFERROR(VLOOKUP($B6,'Vendor Directory'!$B$4:$P$23,15,FALSE),"")&lt;&gt;"Y","—",IF(LEFT($I6,1)="D","⚠ D grade but still approved: review it",IF(LEFT($I6,1)="C","🟡 C grade: monitor it, still approved","✓ consistent"))))</f>
        <v>✓ consistent</v>
      </c>
    </row>
    <row r="7">
      <c r="A7" s="8" t="n">
        <v>4</v>
      </c>
      <c r="B7" s="13" t="inlineStr">
        <is>
          <t>Pantry Foodservice Supply (sample)</t>
        </is>
      </c>
      <c r="C7" s="13" t="n">
        <v>3</v>
      </c>
      <c r="D7" s="26" t="n">
        <v>5</v>
      </c>
      <c r="E7" s="13" t="n">
        <v>4</v>
      </c>
      <c r="F7" s="13" t="n">
        <v>3</v>
      </c>
      <c r="G7" s="13" t="n">
        <v>2</v>
      </c>
      <c r="H7" s="10">
        <f>IF(COUNT($C7:$G7)&lt;3,"",AVERAGE($C7:$G7))</f>
        <v>3.4</v>
      </c>
      <c r="I7" s="8" t="str">
        <f>IF($H7="","",IF($H7&gt;=4.5,"A — Preferred",IF($H7&gt;=3.5,"B — Approved",IF($H7&gt;=2.5,"C — Monitor","D — Replace"))))</f>
        <v>C — Monitor</v>
      </c>
      <c r="J7" t="str">
        <f>IF($I7="","",IF(IFERROR(VLOOKUP($B7,'Vendor Directory'!$B$4:$P$23,15,FALSE),"")&lt;&gt;"Y","—",IF(LEFT($I7,1)="D","⚠ D grade but still approved: review it",IF(LEFT($I7,1)="C","🟡 C grade: monitor it, still approved","✓ consistent"))))</f>
        <v>🟡 C grade: monitor it, still approved</v>
      </c>
    </row>
    <row r="8">
      <c r="A8" s="7" t="n">
        <v>5</v>
      </c>
      <c r="B8" s="13" t="inlineStr">
        <is>
          <t>Metro Beverage Distributors (sample)</t>
        </is>
      </c>
      <c r="C8" s="13" t="n">
        <v>4</v>
      </c>
      <c r="D8" s="26" t="n">
        <v>4</v>
      </c>
      <c r="E8" s="13" t="n">
        <v>5</v>
      </c>
      <c r="F8" s="13" t="n">
        <v>4</v>
      </c>
      <c r="G8" s="13" t="n">
        <v>4</v>
      </c>
      <c r="H8" s="9">
        <f>IF(COUNT($C8:$G8)&lt;3,"",AVERAGE($C8:$G8))</f>
        <v>4.2</v>
      </c>
      <c r="I8" s="7" t="str">
        <f>IF($H8="","",IF($H8&gt;=4.5,"A — Preferred",IF($H8&gt;=3.5,"B — Approved",IF($H8&gt;=2.5,"C — Monitor","D — Replace"))))</f>
        <v>B — Approved</v>
      </c>
      <c r="J8" t="str">
        <f>IF($I8="","",IF(IFERROR(VLOOKUP($B8,'Vendor Directory'!$B$4:$P$23,15,FALSE),"")&lt;&gt;"Y","—",IF(LEFT($I8,1)="D","⚠ D grade but still approved: review it",IF(LEFT($I8,1)="C","🟡 C grade: monitor it, still approved","✓ consistent"))))</f>
        <v>✓ consistent</v>
      </c>
    </row>
    <row r="9">
      <c r="A9" s="8" t="n">
        <v>6</v>
      </c>
      <c r="B9" s="13" t="inlineStr">
        <is>
          <t>ProClean Janitorial Supply (sample)</t>
        </is>
      </c>
      <c r="C9" s="13" t="n">
        <v>2</v>
      </c>
      <c r="D9" s="26" t="n">
        <v>3</v>
      </c>
      <c r="E9" s="13" t="n">
        <v>2</v>
      </c>
      <c r="F9" s="13" t="n">
        <v>2</v>
      </c>
      <c r="G9" s="13" t="n">
        <v>2</v>
      </c>
      <c r="H9" s="10">
        <f>IF(COUNT($C9:$G9)&lt;3,"",AVERAGE($C9:$G9))</f>
        <v>2.2</v>
      </c>
      <c r="I9" s="8" t="str">
        <f>IF($H9="","",IF($H9&gt;=4.5,"A — Preferred",IF($H9&gt;=3.5,"B — Approved",IF($H9&gt;=2.5,"C — Monitor","D — Replace"))))</f>
        <v>D — Replace</v>
      </c>
      <c r="J9" t="str">
        <f>IF($I9="","",IF(IFERROR(VLOOKUP($B9,'Vendor Directory'!$B$4:$P$23,15,FALSE),"")&lt;&gt;"Y","—",IF(LEFT($I9,1)="D","⚠ D grade but still approved: review it",IF(LEFT($I9,1)="C","🟡 C grade: monitor it, still approved","✓ consistent"))))</f>
        <v>—</v>
      </c>
    </row>
    <row r="10">
      <c r="A10" s="7" t="n">
        <v>7</v>
      </c>
      <c r="B10" s="13" t="n"/>
      <c r="C10" s="13" t="n"/>
      <c r="D10" s="26" t="n"/>
      <c r="E10" s="13" t="n"/>
      <c r="F10" s="13" t="n"/>
      <c r="G10" s="13" t="n"/>
      <c r="H10" s="9">
        <f>IF(COUNT($C10:$G10)&lt;3,"",AVERAGE($C10:$G10))</f>
        <v/>
      </c>
      <c r="I10" s="7">
        <f>IF($H10="","",IF($H10&gt;=4.5,"A — Preferred",IF($H10&gt;=3.5,"B — Approved",IF($H10&gt;=2.5,"C — Monitor","D — Replace"))))</f>
        <v/>
      </c>
      <c r="J10">
        <f>IF($I10="","",IF(IFERROR(VLOOKUP($B10,'Vendor Directory'!$B$4:$P$23,15,FALSE),"")&lt;&gt;"Y","—",IF(LEFT($I10,1)="D","⚠ D grade but still approved: review it",IF(LEFT($I10,1)="C","🟡 C grade: monitor it, still approved","✓ consistent"))))</f>
        <v/>
      </c>
    </row>
    <row r="11">
      <c r="A11" s="8" t="n">
        <v>8</v>
      </c>
      <c r="B11" s="13" t="n"/>
      <c r="C11" s="13" t="n"/>
      <c r="D11" s="26" t="n"/>
      <c r="E11" s="13" t="n"/>
      <c r="F11" s="13" t="n"/>
      <c r="G11" s="13" t="n"/>
      <c r="H11" s="10">
        <f>IF(COUNT($C11:$G11)&lt;3,"",AVERAGE($C11:$G11))</f>
        <v/>
      </c>
      <c r="I11" s="8">
        <f>IF($H11="","",IF($H11&gt;=4.5,"A — Preferred",IF($H11&gt;=3.5,"B — Approved",IF($H11&gt;=2.5,"C — Monitor","D — Replace"))))</f>
        <v/>
      </c>
      <c r="J11">
        <f>IF($I11="","",IF(IFERROR(VLOOKUP($B11,'Vendor Directory'!$B$4:$P$23,15,FALSE),"")&lt;&gt;"Y","—",IF(LEFT($I11,1)="D","⚠ D grade but still approved: review it",IF(LEFT($I11,1)="C","🟡 C grade: monitor it, still approved","✓ consistent"))))</f>
        <v/>
      </c>
    </row>
    <row r="12">
      <c r="A12" s="7" t="n">
        <v>9</v>
      </c>
      <c r="B12" s="13" t="n"/>
      <c r="C12" s="13" t="n"/>
      <c r="D12" s="26" t="n"/>
      <c r="E12" s="13" t="n"/>
      <c r="F12" s="13" t="n"/>
      <c r="G12" s="13" t="n"/>
      <c r="H12" s="9">
        <f>IF(COUNT($C12:$G12)&lt;3,"",AVERAGE($C12:$G12))</f>
        <v/>
      </c>
      <c r="I12" s="7">
        <f>IF($H12="","",IF($H12&gt;=4.5,"A — Preferred",IF($H12&gt;=3.5,"B — Approved",IF($H12&gt;=2.5,"C — Monitor","D — Replace"))))</f>
        <v/>
      </c>
      <c r="J12">
        <f>IF($I12="","",IF(IFERROR(VLOOKUP($B12,'Vendor Directory'!$B$4:$P$23,15,FALSE),"")&lt;&gt;"Y","—",IF(LEFT($I12,1)="D","⚠ D grade but still approved: review it",IF(LEFT($I12,1)="C","🟡 C grade: monitor it, still approved","✓ consistent"))))</f>
        <v/>
      </c>
    </row>
    <row r="13">
      <c r="A13" s="8" t="n">
        <v>10</v>
      </c>
      <c r="B13" s="13" t="n"/>
      <c r="C13" s="13" t="n"/>
      <c r="D13" s="26" t="n"/>
      <c r="E13" s="13" t="n"/>
      <c r="F13" s="13" t="n"/>
      <c r="G13" s="13" t="n"/>
      <c r="H13" s="10">
        <f>IF(COUNT($C13:$G13)&lt;3,"",AVERAGE($C13:$G13))</f>
        <v/>
      </c>
      <c r="I13" s="8">
        <f>IF($H13="","",IF($H13&gt;=4.5,"A — Preferred",IF($H13&gt;=3.5,"B — Approved",IF($H13&gt;=2.5,"C — Monitor","D — Replace"))))</f>
        <v/>
      </c>
      <c r="J13">
        <f>IF($I13="","",IF(IFERROR(VLOOKUP($B13,'Vendor Directory'!$B$4:$P$23,15,FALSE),"")&lt;&gt;"Y","—",IF(LEFT($I13,1)="D","⚠ D grade but still approved: review it",IF(LEFT($I13,1)="C","🟡 C grade: monitor it, still approved","✓ consistent"))))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1:I1"/>
  </mergeCell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7E57C2"/>
    <outlinePr summaryBelow="1" summaryRight="1"/>
    <pageSetUpPr fitToPage="1"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16" customWidth="1" min="4" max="4"/>
    <col width="12" customWidth="1" min="5" max="5"/>
    <col width="24" customWidth="1" min="6" max="6"/>
    <col width="18" customWidth="1" min="7" max="7"/>
    <col width="16" customWidth="1" min="8" max="8"/>
    <col width="16" customWidth="1" min="9" max="9"/>
    <col width="34" customWidth="1" min="10" max="10"/>
  </cols>
  <sheetData>
    <row r="1">
      <c r="A1" s="5" t="inlineStr">
        <is>
          <t>VENDOR TERMS</t>
        </is>
      </c>
    </row>
    <row r="2">
      <c r="A2" s="12" t="inlineStr">
        <is>
          <t>Vendor, payment terms, order minimum, and order and delivery days ARE PULLED AUTOMATICALLY from the Vendor Directory: they're entered once, in one place. What you fill in here is the negotiation-specific part: volume rebate, delivery fee, delivery window and notes.</t>
        </is>
      </c>
    </row>
    <row r="3">
      <c r="A3" s="6" t="inlineStr">
        <is>
          <t>#</t>
        </is>
      </c>
      <c r="B3" s="6" t="inlineStr">
        <is>
          <t>Vendor</t>
        </is>
      </c>
      <c r="C3" s="6" t="inlineStr">
        <is>
          <t>Payment terms</t>
        </is>
      </c>
      <c r="D3" s="6" t="inlineStr">
        <is>
          <t>Order Minimum</t>
        </is>
      </c>
      <c r="E3" s="6" t="inlineStr">
        <is>
          <t>Volume rebate (%)</t>
        </is>
      </c>
      <c r="F3" s="6" t="inlineStr">
        <is>
          <t>Delivery fee</t>
        </is>
      </c>
      <c r="G3" s="6" t="inlineStr">
        <is>
          <t>Delivery window</t>
        </is>
      </c>
      <c r="H3" s="6" t="inlineStr">
        <is>
          <t>Order days</t>
        </is>
      </c>
      <c r="I3" s="6" t="inlineStr">
        <is>
          <t>Delivery days</t>
        </is>
      </c>
      <c r="J3" s="6" t="inlineStr">
        <is>
          <t>Notes</t>
        </is>
      </c>
    </row>
    <row r="4">
      <c r="A4" s="7" t="n">
        <v>1</v>
      </c>
      <c r="B4" s="7" t="str">
        <f>IF('Vendor Directory'!$B4="","",'Vendor Directory'!$B4)</f>
        <v>Prime Cut Meats (sample)</v>
      </c>
      <c r="C4" s="7" t="str">
        <f>IF('Vendor Directory'!$O4="","",'Vendor Directory'!$O4)</f>
        <v>Net 30</v>
      </c>
      <c r="D4" s="28">
        <f>IF('Vendor Directory'!$N4="","",'Vendor Directory'!$N4)</f>
        <v>300.0</v>
      </c>
      <c r="E4" s="34" t="n">
        <v>0.02</v>
      </c>
      <c r="F4" s="13" t="inlineStr">
        <is>
          <t>Free over $300</t>
        </is>
      </c>
      <c r="G4" s="13" t="inlineStr">
        <is>
          <t>7:00-9:00 a.m.</t>
        </is>
      </c>
      <c r="H4" s="24" t="str">
        <f>IF('Vendor Directory'!$K4="","",'Vendor Directory'!$K4)</f>
        <v>Mon &amp; Thu by 12 p.m.</v>
      </c>
      <c r="I4" s="24" t="str">
        <f>IF('Vendor Directory'!$L4="","",'Vendor Directory'!$L4)</f>
        <v>Tue &amp; Fri</v>
      </c>
      <c r="J4" s="13" t="inlineStr">
        <is>
          <t>$25 delivery fee below the minimum.</t>
        </is>
      </c>
    </row>
    <row r="5">
      <c r="A5" s="8" t="n">
        <v>2</v>
      </c>
      <c r="B5" s="8" t="str">
        <f>IF('Vendor Directory'!$B5="","",'Vendor Directory'!$B5)</f>
        <v>Harbor Fresh Seafood (sample)</v>
      </c>
      <c r="C5" s="8" t="str">
        <f>IF('Vendor Directory'!$O5="","",'Vendor Directory'!$O5)</f>
        <v>Net 15</v>
      </c>
      <c r="D5" s="32">
        <f>IF('Vendor Directory'!$N5="","",'Vendor Directory'!$N5)</f>
        <v>200.0</v>
      </c>
      <c r="E5" s="34" t="n">
        <v>0</v>
      </c>
      <c r="F5" s="13" t="inlineStr">
        <is>
          <t>Free</t>
        </is>
      </c>
      <c r="G5" s="13" t="inlineStr">
        <is>
          <t>6:30-8:00 a.m.</t>
        </is>
      </c>
      <c r="H5" s="25" t="str">
        <f>IF('Vendor Directory'!$K5="","",'Vendor Directory'!$K5)</f>
        <v>Daily by 5 p.m.</v>
      </c>
      <c r="I5" s="25" t="str">
        <f>IF('Vendor Directory'!$L5="","",'Vendor Directory'!$L5)</f>
        <v>Tue to Sat</v>
      </c>
      <c r="J5" s="13" t="inlineStr">
        <is>
          <t>Market price, set the day before delivery.</t>
        </is>
      </c>
    </row>
    <row r="6">
      <c r="A6" s="7" t="n">
        <v>3</v>
      </c>
      <c r="B6" s="7" t="str">
        <f>IF('Vendor Directory'!$B6="","",'Vendor Directory'!$B6)</f>
        <v>Green Valley Produce (sample)</v>
      </c>
      <c r="C6" s="7" t="str">
        <f>IF('Vendor Directory'!$O6="","",'Vendor Directory'!$O6)</f>
        <v>COD</v>
      </c>
      <c r="D6" s="28">
        <f>IF('Vendor Directory'!$N6="","",'Vendor Directory'!$N6)</f>
        <v>150.0</v>
      </c>
      <c r="E6" s="34" t="n">
        <v>0</v>
      </c>
      <c r="F6" s="13" t="inlineStr">
        <is>
          <t>Free over $150</t>
        </is>
      </c>
      <c r="G6" s="13" t="inlineStr">
        <is>
          <t>6:00-8:00 a.m.</t>
        </is>
      </c>
      <c r="H6" s="24" t="str">
        <f>IF('Vendor Directory'!$K6="","",'Vendor Directory'!$K6)</f>
        <v>Mon, Wed &amp; Fri by 6 p.m.</v>
      </c>
      <c r="I6" s="24" t="str">
        <f>IF('Vendor Directory'!$L6="","",'Vendor Directory'!$L6)</f>
        <v>Tue, Thu &amp; Sat</v>
      </c>
      <c r="J6" s="13" t="inlineStr">
        <is>
          <t>No order minimum on Saturdays.</t>
        </is>
      </c>
    </row>
    <row r="7">
      <c r="A7" s="8" t="n">
        <v>4</v>
      </c>
      <c r="B7" s="8" t="str">
        <f>IF('Vendor Directory'!$B7="","",'Vendor Directory'!$B7)</f>
        <v>Pantry Foodservice Supply (sample)</v>
      </c>
      <c r="C7" s="8" t="str">
        <f>IF('Vendor Directory'!$O7="","",'Vendor Directory'!$O7)</f>
        <v>Net 45</v>
      </c>
      <c r="D7" s="32">
        <f>IF('Vendor Directory'!$N7="","",'Vendor Directory'!$N7)</f>
        <v>500.0</v>
      </c>
      <c r="E7" s="34" t="n">
        <v>0.02</v>
      </c>
      <c r="F7" s="13" t="inlineStr">
        <is>
          <t>$35 below the minimum</t>
        </is>
      </c>
      <c r="G7" s="13" t="inlineStr">
        <is>
          <t>9:00 a.m.-1:00 p.m.</t>
        </is>
      </c>
      <c r="H7" s="25" t="str">
        <f>IF('Vendor Directory'!$K7="","",'Vendor Directory'!$K7)</f>
        <v>Tue by 2 p.m.</v>
      </c>
      <c r="I7" s="25" t="str">
        <f>IF('Vendor Directory'!$L7="","",'Vendor Directory'!$L7)</f>
        <v>Thu</v>
      </c>
      <c r="J7" s="13" t="inlineStr">
        <is>
          <t>Rebate paid quarterly.</t>
        </is>
      </c>
    </row>
    <row r="8">
      <c r="A8" s="7" t="n">
        <v>5</v>
      </c>
      <c r="B8" s="7" t="str">
        <f>IF('Vendor Directory'!$B8="","",'Vendor Directory'!$B8)</f>
        <v>Metro Beverage Distributors (sample)</v>
      </c>
      <c r="C8" s="7" t="str">
        <f>IF('Vendor Directory'!$O8="","",'Vendor Directory'!$O8)</f>
        <v>Net 30</v>
      </c>
      <c r="D8" s="28">
        <f>IF('Vendor Directory'!$N8="","",'Vendor Directory'!$N8)</f>
        <v>250.0</v>
      </c>
      <c r="E8" s="34" t="n">
        <v>0.03</v>
      </c>
      <c r="F8" s="13" t="inlineStr">
        <is>
          <t>Free over $250</t>
        </is>
      </c>
      <c r="G8" s="13" t="inlineStr">
        <is>
          <t>10:00 a.m.-1:00 p.m.</t>
        </is>
      </c>
      <c r="H8" s="24" t="str">
        <f>IF('Vendor Directory'!$K8="","",'Vendor Directory'!$K8)</f>
        <v>Mon by 12 p.m.</v>
      </c>
      <c r="I8" s="24" t="str">
        <f>IF('Vendor Directory'!$L8="","",'Vendor Directory'!$L8)</f>
        <v>Wed</v>
      </c>
      <c r="J8" s="13" t="inlineStr">
        <is>
          <t>Deposit on kegs and returnable crates.</t>
        </is>
      </c>
    </row>
    <row r="9">
      <c r="A9" s="8" t="n">
        <v>6</v>
      </c>
      <c r="B9" s="8" t="str">
        <f>IF('Vendor Directory'!$B9="","",'Vendor Directory'!$B9)</f>
        <v>ProClean Janitorial Supply (sample)</v>
      </c>
      <c r="C9" s="8" t="str">
        <f>IF('Vendor Directory'!$O9="","",'Vendor Directory'!$O9)</f>
        <v>Net 30</v>
      </c>
      <c r="D9" s="32">
        <f>IF('Vendor Directory'!$N9="","",'Vendor Directory'!$N9)</f>
        <v>150.0</v>
      </c>
      <c r="E9" s="34" t="n">
        <v>0</v>
      </c>
      <c r="F9" s="13" t="inlineStr">
        <is>
          <t>Free over $150</t>
        </is>
      </c>
      <c r="G9" s="13" t="inlineStr">
        <is>
          <t>11:00 a.m.-2:00 p.m.</t>
        </is>
      </c>
      <c r="H9" s="25" t="str">
        <f>IF('Vendor Directory'!$K9="","",'Vendor Directory'!$K9)</f>
        <v>Wed by 4 p.m.</v>
      </c>
      <c r="I9" s="25" t="str">
        <f>IF('Vendor Directory'!$L9="","",'Vendor Directory'!$L9)</f>
        <v>Fri</v>
      </c>
      <c r="J9" s="13" t="inlineStr">
        <is>
          <t>Safety Data Sheets (SDS) with every delivery.</t>
        </is>
      </c>
    </row>
    <row r="10">
      <c r="A10" s="7" t="n">
        <v>7</v>
      </c>
      <c r="B10" s="7">
        <f>IF('Vendor Directory'!$B10="","",'Vendor Directory'!$B10)</f>
        <v/>
      </c>
      <c r="C10" s="7">
        <f>IF('Vendor Directory'!$O10="","",'Vendor Directory'!$O10)</f>
        <v/>
      </c>
      <c r="D10" s="28">
        <f>IF('Vendor Directory'!$N10="","",'Vendor Directory'!$N10)</f>
        <v/>
      </c>
      <c r="E10" s="34" t="n"/>
      <c r="F10" s="13" t="n"/>
      <c r="G10" s="13" t="n"/>
      <c r="H10" s="24">
        <f>IF('Vendor Directory'!$K10="","",'Vendor Directory'!$K10)</f>
        <v/>
      </c>
      <c r="I10" s="24">
        <f>IF('Vendor Directory'!$L10="","",'Vendor Directory'!$L10)</f>
        <v/>
      </c>
      <c r="J10" s="13" t="n"/>
    </row>
    <row r="11">
      <c r="A11" s="8" t="n">
        <v>8</v>
      </c>
      <c r="B11" s="8">
        <f>IF('Vendor Directory'!$B11="","",'Vendor Directory'!$B11)</f>
        <v/>
      </c>
      <c r="C11" s="8">
        <f>IF('Vendor Directory'!$O11="","",'Vendor Directory'!$O11)</f>
        <v/>
      </c>
      <c r="D11" s="32">
        <f>IF('Vendor Directory'!$N11="","",'Vendor Directory'!$N11)</f>
        <v/>
      </c>
      <c r="E11" s="34" t="n"/>
      <c r="F11" s="13" t="n"/>
      <c r="G11" s="13" t="n"/>
      <c r="H11" s="25">
        <f>IF('Vendor Directory'!$K11="","",'Vendor Directory'!$K11)</f>
        <v/>
      </c>
      <c r="I11" s="25">
        <f>IF('Vendor Directory'!$L11="","",'Vendor Directory'!$L11)</f>
        <v/>
      </c>
      <c r="J11" s="13" t="n"/>
    </row>
    <row r="12">
      <c r="A12" s="7" t="n">
        <v>9</v>
      </c>
      <c r="B12" s="7">
        <f>IF('Vendor Directory'!$B12="","",'Vendor Directory'!$B12)</f>
        <v/>
      </c>
      <c r="C12" s="7">
        <f>IF('Vendor Directory'!$O12="","",'Vendor Directory'!$O12)</f>
        <v/>
      </c>
      <c r="D12" s="28">
        <f>IF('Vendor Directory'!$N12="","",'Vendor Directory'!$N12)</f>
        <v/>
      </c>
      <c r="E12" s="34" t="n"/>
      <c r="F12" s="13" t="n"/>
      <c r="G12" s="13" t="n"/>
      <c r="H12" s="24">
        <f>IF('Vendor Directory'!$K12="","",'Vendor Directory'!$K12)</f>
        <v/>
      </c>
      <c r="I12" s="24">
        <f>IF('Vendor Directory'!$L12="","",'Vendor Directory'!$L12)</f>
        <v/>
      </c>
      <c r="J12" s="13" t="n"/>
    </row>
    <row r="13">
      <c r="A13" s="8" t="n">
        <v>10</v>
      </c>
      <c r="B13" s="8">
        <f>IF('Vendor Directory'!$B13="","",'Vendor Directory'!$B13)</f>
        <v/>
      </c>
      <c r="C13" s="8">
        <f>IF('Vendor Directory'!$O13="","",'Vendor Directory'!$O13)</f>
        <v/>
      </c>
      <c r="D13" s="32">
        <f>IF('Vendor Directory'!$N13="","",'Vendor Directory'!$N13)</f>
        <v/>
      </c>
      <c r="E13" s="34" t="n"/>
      <c r="F13" s="13" t="n"/>
      <c r="G13" s="13" t="n"/>
      <c r="H13" s="25">
        <f>IF('Vendor Directory'!$K13="","",'Vendor Directory'!$K13)</f>
        <v/>
      </c>
      <c r="I13" s="25">
        <f>IF('Vendor Directory'!$L13="","",'Vendor Directory'!$L13)</f>
        <v/>
      </c>
      <c r="J13" s="1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1:J1"/>
  </mergeCell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Vendor List, Price Comparison &amp; Scorecard</dc:title>
  <dc:description xmlns:dc="http://purl.org/dc/elements/1.1/">aichef.pro/en/digital-products/restaurant-inventory-templates</dc:description>
  <dc:subject xmlns:dc="http://purl.org/dc/elements/1.1/">Restaurant Inventory Kit Pro · v2.0</dc:subject>
  <dcterms:created xmlns:dcterms="http://purl.org/dc/terms/" xmlns:xsi="http://www.w3.org/2001/XMLSchema-instance" xsi:type="dcterms:W3CDTF">2026-04-05T09:47:45Z</dcterms:created>
  <dcterms:modified xmlns:dcterms="http://purl.org/dc/terms/" xmlns:xsi="http://www.w3.org/2001/XMLSchema-instance" xsi:type="dcterms:W3CDTF">2026-09-25T19:48:21Z</dcterms:modified>
  <cp:lastModifiedBy>AI Chef Pro</cp:lastModifiedBy>
  <cp:category>AI Chef Pro · Digital products</cp:category>
  <cp:keywords>restaurant inventory template, par sheet, AI Chef Pro</cp:keywords>
</cp:coreProperties>
</file>