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cktail Station" sheetId="2" state="visible" r:id="rId2"/>
    <sheet xmlns:r="http://schemas.openxmlformats.org/officeDocument/2006/relationships" name="Draft Beer Station" sheetId="3" state="visible" r:id="rId3"/>
    <sheet xmlns:r="http://schemas.openxmlformats.org/officeDocument/2006/relationships" name="Wine &amp; Cellar" sheetId="4" state="visible" r:id="rId4"/>
  </sheets>
  <definedNames>
    <definedName name="_xlnm.Print_Area" localSheetId="0">'Instructions'!$A$1:$B$39</definedName>
    <definedName name="_xlnm.Print_Titles" localSheetId="1">'Cocktail Station'!$4:$4</definedName>
    <definedName name="_xlnm.Print_Area" localSheetId="1">'Cocktail Station'!$A$1:$G$31</definedName>
    <definedName name="_xlnm.Print_Titles" localSheetId="2">'Draft Beer Station'!$4:$4</definedName>
    <definedName name="_xlnm.Print_Area" localSheetId="2">'Draft Beer Station'!$A$1:$G$28</definedName>
    <definedName name="_xlnm.Print_Titles" localSheetId="3">'Wine &amp; Cellar'!$4:$4</definedName>
    <definedName name="_xlnm.Print_Area" localSheetId="3">'Wine &amp; Cellar'!$A$1:$G$27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8" t="inlineStr">
        <is>
          <t>02 · Bar Station Checklists: Cocktails, Draft Beer &amp; Wine</t>
        </is>
      </c>
    </row>
    <row r="4" ht="18" customHeight="1">
      <c r="B4" s="29" t="inlineStr">
        <is>
          <t>Tasks organized by service area.</t>
        </is>
      </c>
    </row>
    <row r="5">
      <c r="B5" s="3" t="n"/>
    </row>
    <row r="6" ht="16" customHeight="1">
      <c r="B6" s="30" t="inlineStr">
        <is>
          <t>▸ Each tab covers a specific zone of the bar</t>
        </is>
      </c>
    </row>
    <row r="7" ht="16" customHeight="1">
      <c r="B7" s="30" t="inlineStr">
        <is>
          <t>▸ Tasks are in chronological order</t>
        </is>
      </c>
    </row>
    <row r="8" ht="16" customHeight="1">
      <c r="B8" s="30" t="inlineStr">
        <is>
          <t>▸ Customize with your bar's cocktail menu</t>
        </is>
      </c>
    </row>
    <row r="9">
      <c r="B9" s="3" t="n"/>
    </row>
    <row r="10" ht="18" customHeight="1">
      <c r="B10" s="29" t="inlineStr">
        <is>
          <t>How the counter works</t>
        </is>
      </c>
    </row>
    <row r="11">
      <c r="B11" s="3" t="n"/>
    </row>
    <row r="12" ht="32" customHeight="1">
      <c r="B12" s="30" t="inlineStr">
        <is>
          <t>▸ Mark ✓ in the "✓ Done" column (dropdown): that is the column that counts completed tasks.</t>
        </is>
      </c>
    </row>
    <row r="13" ht="32" customHeight="1">
      <c r="B13" s="30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14" ht="32" customHeight="1">
      <c r="B14" s="30" t="inlineStr">
        <is>
          <t>▸ The denominator counts the tasks written in the "Task" column, not a fixed number: if you add or delete tasks, the total adjusts by itself.</t>
        </is>
      </c>
    </row>
    <row r="16" ht="18" customHeight="1">
      <c r="B16" s="29" t="inlineStr">
        <is>
          <t>Free rows</t>
        </is>
      </c>
    </row>
    <row r="18" ht="32" customHeight="1">
      <c r="B18" s="30" t="inlineStr">
        <is>
          <t>▸ At the end of each table there are 5 free green rows INSIDE the range the counter covers: write your own tasks there.</t>
        </is>
      </c>
    </row>
    <row r="19" ht="32" customHeight="1">
      <c r="B19" s="30" t="inlineStr">
        <is>
          <t>▸ If you need more, insert rows INSIDE the table (right-click → Insert), never below the last one: anything typed outside the range is not counted.</t>
        </is>
      </c>
    </row>
    <row r="21" ht="18" customHeight="1">
      <c r="B21" s="29" t="inlineStr">
        <is>
          <t>Sheet protection</t>
        </is>
      </c>
    </row>
    <row r="23" ht="32" customHeight="1">
      <c r="B23" s="30" t="inlineStr">
        <is>
          <t>▸ Sheets with formulas are protected WITHOUT a password: the input cells (the green ones) are unlocked, so calculations never get overwritten by accident.</t>
        </is>
      </c>
    </row>
    <row r="24" ht="32" customHeight="1">
      <c r="B24" s="30" t="inlineStr">
        <is>
          <t>▸ You can insert and delete rows with protection on. To change the structure: Review → Unprotect Sheet.</t>
        </is>
      </c>
    </row>
    <row r="26" ht="18" customHeight="1">
      <c r="B26" s="29" t="inlineStr">
        <is>
          <t>Works with</t>
        </is>
      </c>
    </row>
    <row r="28" ht="31" customHeight="1">
      <c r="B28" s="30" t="inlineStr">
        <is>
          <t>▸ 08-venue-opening-closing-checklist.xlsx — checklist for the WHOLE VENUE: it is the BACKBONE of the day.</t>
        </is>
      </c>
    </row>
    <row r="29" ht="16" customHeight="1">
      <c r="B29" s="30" t="inlineStr">
        <is>
          <t>▸ 01-bar-opening-closing-checklists.xlsx — the same day with DETAIL by area (the bar).</t>
        </is>
      </c>
    </row>
    <row r="30" ht="31" customHeight="1">
      <c r="B30" s="30" t="inlineStr">
        <is>
          <t>▸ 09-cash-drawer-opening-closing.xlsx — the CASH: starting bank, count by denomination, POS Z report and over/short.</t>
        </is>
      </c>
    </row>
    <row r="31" ht="63" customHeight="1">
      <c r="B31" s="30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2" ht="47" customHeight="1">
      <c r="B32" s="30" t="inlineStr">
        <is>
          <t>▸ You are in 02-bar-station-checklists-cocktails-beer-wine.xlsx: it is one MORE layer, not a repeat — the backbone of the day is in 08-venue-opening-closing-checklist.xlsx and 01-bar-opening-closing-checklists.xlsx.</t>
        </is>
      </c>
    </row>
    <row r="34" ht="18" customHeight="1">
      <c r="B34" s="29" t="inlineStr">
        <is>
          <t>— Bar Checklists Kit Pro · AI Chef Pro · aichef.pro</t>
        </is>
      </c>
    </row>
    <row r="36" ht="35" customHeight="1">
      <c r="B36" s="29" t="inlineStr">
        <is>
          <t>Designed by John Guerrero — chef and restaurant consultant since 2010, in professional kitchens since age 17 · johnguerrero.es</t>
        </is>
      </c>
    </row>
    <row r="37" ht="18" customHeight="1">
      <c r="B37" s="29" t="inlineStr">
        <is>
          <t>Contact: info@aichef.pro</t>
        </is>
      </c>
    </row>
    <row r="39" ht="34.5" customHeight="1">
      <c r="B39" s="29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Classic Cocktail Station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Cocktail Pre-Service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Check base spirits stock: gin, vodka, rum, tequila, whiskey, brandy</t>
        </is>
      </c>
      <c r="C6" s="36" t="inlineStr">
        <is>
          <t>Cocktails</t>
        </is>
      </c>
      <c r="D6" s="37" t="inlineStr">
        <is>
          <t>Head bartender</t>
        </is>
      </c>
      <c r="E6" s="37" t="inlineStr">
        <is>
          <t>4:00 PM</t>
        </is>
      </c>
      <c r="F6" s="38" t="n"/>
      <c r="G6" s="39" t="n"/>
    </row>
    <row r="7">
      <c r="A7" s="34" t="n">
        <v>2</v>
      </c>
      <c r="B7" s="35" t="inlineStr">
        <is>
          <t>Check stock of vermouth (sweet, blanc, dry), bitters and liqueurs</t>
        </is>
      </c>
      <c r="C7" s="36" t="inlineStr">
        <is>
          <t>Cocktails</t>
        </is>
      </c>
      <c r="D7" s="37" t="inlineStr">
        <is>
          <t>Head bartender</t>
        </is>
      </c>
      <c r="E7" s="37" t="inlineStr">
        <is>
          <t>4:00 PM</t>
        </is>
      </c>
      <c r="F7" s="38" t="n"/>
      <c r="G7" s="39" t="n"/>
    </row>
    <row r="8">
      <c r="A8" s="34" t="n">
        <v>3</v>
      </c>
      <c r="B8" s="35" t="inlineStr">
        <is>
          <t>Prep batches of high-volume cocktails (Negroni, Margarita pre-mix)</t>
        </is>
      </c>
      <c r="C8" s="36" t="inlineStr">
        <is>
          <t>Cocktails</t>
        </is>
      </c>
      <c r="D8" s="37" t="inlineStr">
        <is>
          <t>Head bartender</t>
        </is>
      </c>
      <c r="E8" s="37" t="inlineStr">
        <is>
          <t>4:30 PM</t>
        </is>
      </c>
      <c r="F8" s="38" t="n"/>
      <c r="G8" s="39" t="n"/>
    </row>
    <row r="9">
      <c r="A9" s="34" t="n">
        <v>4</v>
      </c>
      <c r="B9" s="35" t="inlineStr">
        <is>
          <t>Prep the day's infusions (if applicable: infused gin, spiced vodka) in labeled jars, never in a liquor bottle</t>
        </is>
      </c>
      <c r="C9" s="36" t="inlineStr">
        <is>
          <t>Cocktails</t>
        </is>
      </c>
      <c r="D9" s="37" t="inlineStr">
        <is>
          <t>Head bartender</t>
        </is>
      </c>
      <c r="E9" s="37" t="inlineStr">
        <is>
          <t>4:30 PM</t>
        </is>
      </c>
      <c r="F9" s="38" t="n"/>
      <c r="G9" s="39" t="n"/>
    </row>
    <row r="10">
      <c r="A10" s="34" t="n">
        <v>5</v>
      </c>
      <c r="B10" s="35" t="inlineStr">
        <is>
          <t>Prep specialty syrups: honey-ginger, cinnamon, lavender, orgeat</t>
        </is>
      </c>
      <c r="C10" s="36" t="inlineStr">
        <is>
          <t>Cocktails</t>
        </is>
      </c>
      <c r="D10" s="37" t="inlineStr">
        <is>
          <t>Bartender</t>
        </is>
      </c>
      <c r="E10" s="37" t="inlineStr">
        <is>
          <t>4:30 PM</t>
        </is>
      </c>
      <c r="F10" s="38" t="n"/>
      <c r="G10" s="39" t="n"/>
    </row>
    <row r="11">
      <c r="A11" s="34" t="n">
        <v>6</v>
      </c>
      <c r="B11" s="35" t="inlineStr">
        <is>
          <t>Keep the cocktail menu's allergens in writing and make sure the whole team knows where to find them: orgeat has ALMOND (tree nuts), sours EGG WHITE, flips WHOLE EGG and often cream (MILK); sulfites in wine and vermouth are listed as a sensitivity (not one of the 9 major allergens; in the UK they are one of the 14)</t>
        </is>
      </c>
      <c r="C11" s="36" t="inlineStr">
        <is>
          <t>Cocktails</t>
        </is>
      </c>
      <c r="D11" s="37" t="inlineStr">
        <is>
          <t>Head bartender</t>
        </is>
      </c>
      <c r="E11" s="37" t="inlineStr">
        <is>
          <t>4:00 PM</t>
        </is>
      </c>
      <c r="F11" s="38" t="n"/>
      <c r="G11" s="39" t="n"/>
    </row>
    <row r="12">
      <c r="A12" s="34" t="n">
        <v>7</v>
      </c>
      <c r="B12" s="35" t="inlineStr">
        <is>
          <t>Check stock of bitters: Angostura, Peychaud's and orange bitters</t>
        </is>
      </c>
      <c r="C12" s="36" t="inlineStr">
        <is>
          <t>Cocktails</t>
        </is>
      </c>
      <c r="D12" s="37" t="inlineStr">
        <is>
          <t>Bartender</t>
        </is>
      </c>
      <c r="E12" s="37" t="inlineStr">
        <is>
          <t>4:15 PM</t>
        </is>
      </c>
      <c r="F12" s="38" t="n"/>
      <c r="G12" s="39" t="n"/>
    </row>
    <row r="13">
      <c r="A13" s="34" t="n">
        <v>8</v>
      </c>
      <c r="B13" s="35" t="inlineStr">
        <is>
          <t>Cut fresh citrus twists (lemon, orange, grapefruit peel)</t>
        </is>
      </c>
      <c r="C13" s="36" t="inlineStr">
        <is>
          <t>Cocktails</t>
        </is>
      </c>
      <c r="D13" s="37" t="inlineStr">
        <is>
          <t>Barback</t>
        </is>
      </c>
      <c r="E13" s="37" t="inlineStr">
        <is>
          <t>4:30 PM</t>
        </is>
      </c>
      <c r="F13" s="38" t="n"/>
      <c r="G13" s="39" t="n"/>
    </row>
    <row r="14">
      <c r="A14" s="40" t="n"/>
      <c r="B14" s="40" t="n"/>
      <c r="C14" s="40" t="n"/>
      <c r="D14" s="40" t="n"/>
      <c r="E14" s="40" t="n"/>
      <c r="F14" s="40" t="n"/>
      <c r="G14" s="40" t="n"/>
    </row>
    <row r="15">
      <c r="A15" s="31" t="inlineStr">
        <is>
          <t xml:space="preserve">  During Service</t>
        </is>
      </c>
      <c r="B15" s="32" t="n"/>
      <c r="C15" s="32" t="n"/>
      <c r="D15" s="32" t="n"/>
      <c r="E15" s="32" t="n"/>
      <c r="F15" s="32" t="n"/>
      <c r="G15" s="33" t="n"/>
    </row>
    <row r="16">
      <c r="A16" s="34" t="n">
        <v>9</v>
      </c>
      <c r="B16" s="35" t="inlineStr">
        <is>
          <t>Keep the speed rail organized, bottles labels-out</t>
        </is>
      </c>
      <c r="C16" s="36" t="inlineStr">
        <is>
          <t>Cocktails</t>
        </is>
      </c>
      <c r="D16" s="37" t="inlineStr">
        <is>
          <t>Bartender</t>
        </is>
      </c>
      <c r="E16" s="37" t="inlineStr">
        <is>
          <t>Ongoing</t>
        </is>
      </c>
      <c r="F16" s="38" t="n"/>
      <c r="G16" s="39" t="n"/>
    </row>
    <row r="17">
      <c r="A17" s="34" t="n">
        <v>10</v>
      </c>
      <c r="B17" s="35" t="inlineStr">
        <is>
          <t>Refill ice every hour (sooner at peak) ALWAYS with a scoop or tongs, never a glass: a broken glass means dumping the whole ice well. Ice is food (FDA Food Code): keep the scoop out of the ice or with the handle out</t>
        </is>
      </c>
      <c r="C17" s="36" t="inlineStr">
        <is>
          <t>Cocktails</t>
        </is>
      </c>
      <c r="D17" s="37" t="inlineStr">
        <is>
          <t>Barback</t>
        </is>
      </c>
      <c r="E17" s="37" t="inlineStr">
        <is>
          <t>Ongoing</t>
        </is>
      </c>
      <c r="F17" s="38" t="n"/>
      <c r="G17" s="39" t="n"/>
    </row>
    <row r="18">
      <c r="A18" s="34" t="n">
        <v>11</v>
      </c>
      <c r="B18" s="35" t="inlineStr">
        <is>
          <t>Restock garnish and mise en place</t>
        </is>
      </c>
      <c r="C18" s="36" t="inlineStr">
        <is>
          <t>Cocktails</t>
        </is>
      </c>
      <c r="D18" s="37" t="inlineStr">
        <is>
          <t>Barback</t>
        </is>
      </c>
      <c r="E18" s="37" t="inlineStr">
        <is>
          <t>Ongoing</t>
        </is>
      </c>
      <c r="F18" s="38" t="n"/>
      <c r="G18" s="39" t="n"/>
    </row>
    <row r="19">
      <c r="A19" s="34" t="n">
        <v>12</v>
      </c>
      <c r="B19" s="35" t="inlineStr">
        <is>
          <t>Quality-check every cocktail before serving (look and aroma)</t>
        </is>
      </c>
      <c r="C19" s="36" t="inlineStr">
        <is>
          <t>Cocktails</t>
        </is>
      </c>
      <c r="D19" s="37" t="inlineStr">
        <is>
          <t>Head bartender</t>
        </is>
      </c>
      <c r="E19" s="37" t="inlineStr">
        <is>
          <t>Ongoing</t>
        </is>
      </c>
      <c r="F19" s="38" t="n"/>
      <c r="G19" s="39" t="n"/>
    </row>
    <row r="20">
      <c r="A20" s="34" t="n">
        <v>13</v>
      </c>
      <c r="B20" s="35" t="inlineStr">
        <is>
          <t>Keep the station clean between drinks (wipe, organize)</t>
        </is>
      </c>
      <c r="C20" s="36" t="inlineStr">
        <is>
          <t>Cocktails</t>
        </is>
      </c>
      <c r="D20" s="37" t="inlineStr">
        <is>
          <t>Bartender</t>
        </is>
      </c>
      <c r="E20" s="37" t="inlineStr">
        <is>
          <t>Ongoing</t>
        </is>
      </c>
      <c r="F20" s="38" t="n"/>
      <c r="G20" s="39" t="n"/>
    </row>
    <row r="21">
      <c r="A21" s="41" t="n"/>
      <c r="B21" s="42" t="n"/>
      <c r="C21" s="36" t="n"/>
      <c r="D21" s="37" t="n"/>
      <c r="E21" s="37" t="n"/>
      <c r="F21" s="38" t="n"/>
      <c r="G21" s="39" t="n"/>
    </row>
    <row r="22">
      <c r="A22" s="41" t="n"/>
      <c r="B22" s="42" t="n"/>
      <c r="C22" s="36" t="n"/>
      <c r="D22" s="37" t="n"/>
      <c r="E22" s="37" t="n"/>
      <c r="F22" s="38" t="n"/>
      <c r="G22" s="39" t="n"/>
    </row>
    <row r="23">
      <c r="A23" s="41" t="n"/>
      <c r="B23" s="42" t="n"/>
      <c r="C23" s="36" t="n"/>
      <c r="D23" s="37" t="n"/>
      <c r="E23" s="37" t="n"/>
      <c r="F23" s="38" t="n"/>
      <c r="G23" s="39" t="n"/>
    </row>
    <row r="24">
      <c r="A24" s="41" t="n"/>
      <c r="B24" s="42" t="n"/>
      <c r="C24" s="36" t="n"/>
      <c r="D24" s="37" t="n"/>
      <c r="E24" s="37" t="n"/>
      <c r="F24" s="38" t="n"/>
      <c r="G24" s="39" t="n"/>
    </row>
    <row r="25">
      <c r="A25" s="41" t="n"/>
      <c r="B25" s="42" t="n"/>
      <c r="C25" s="36" t="n"/>
      <c r="D25" s="37" t="n"/>
      <c r="E25" s="37" t="n"/>
      <c r="F25" s="38" t="n"/>
      <c r="G25" s="39" t="n"/>
    </row>
    <row r="27">
      <c r="A27" s="16" t="inlineStr">
        <is>
          <t>Tasks done:</t>
        </is>
      </c>
      <c r="D27" s="16">
        <f>COUNTIFS(B5:B25,"?*",F5:F25,"✓")</f>
        <v>0.0</v>
      </c>
      <c r="E27" s="17" t="inlineStr">
        <is>
          <t>of</t>
        </is>
      </c>
      <c r="F27" s="16">
        <f>COUNTIF(B5:B25,"?*")-COUNTIF(F5:F25,"N/A")</f>
        <v>13.0</v>
      </c>
    </row>
    <row r="29">
      <c r="A29" s="16" t="inlineStr">
        <is>
          <t>Verified by:</t>
        </is>
      </c>
      <c r="B29" s="43" t="n"/>
      <c r="C29" s="32" t="n"/>
      <c r="D29" s="33" t="n"/>
      <c r="E29" s="16" t="inlineStr">
        <is>
          <t>Signature:</t>
        </is>
      </c>
      <c r="F29" s="43" t="n"/>
      <c r="G29" s="33" t="n"/>
    </row>
    <row r="31">
      <c r="A31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F29:G29"/>
    <mergeCell ref="A27:C27"/>
    <mergeCell ref="A2:G2"/>
    <mergeCell ref="A15:G15"/>
    <mergeCell ref="B29:D29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1 F12 F13 F16 F17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Draft Beer Station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44" t="inlineStr">
        <is>
          <t xml:space="preserve">  Prep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Check keg CO₂ pressure (PSI set by your draft tech)</t>
        </is>
      </c>
      <c r="C6" s="36" t="inlineStr">
        <is>
          <t>Bar</t>
        </is>
      </c>
      <c r="D6" s="37" t="inlineStr">
        <is>
          <t>Bartender</t>
        </is>
      </c>
      <c r="E6" s="37" t="inlineStr">
        <is>
          <t>4:00 PM</t>
        </is>
      </c>
      <c r="F6" s="38" t="n"/>
      <c r="G6" s="39" t="n"/>
    </row>
    <row r="7">
      <c r="A7" s="34" t="n">
        <v>2</v>
      </c>
      <c r="B7" s="35" t="inlineStr">
        <is>
          <t>Flush the taps: pour off the first few ounces from each faucet until the beer runs clear and cold</t>
        </is>
      </c>
      <c r="C7" s="36" t="inlineStr">
        <is>
          <t>Bar</t>
        </is>
      </c>
      <c r="D7" s="37" t="inlineStr">
        <is>
          <t>Bartender</t>
        </is>
      </c>
      <c r="E7" s="37" t="inlineStr">
        <is>
          <t>4:00 PM</t>
        </is>
      </c>
      <c r="F7" s="38" t="n"/>
      <c r="G7" s="39" t="n"/>
    </row>
    <row r="8">
      <c r="A8" s="34" t="n">
        <v>3</v>
      </c>
      <c r="B8" s="35" t="inlineStr">
        <is>
          <t>Check keg temperature in the walk-in (38 °F) — log reading: ____ °F</t>
        </is>
      </c>
      <c r="C8" s="36" t="inlineStr">
        <is>
          <t>Bar</t>
        </is>
      </c>
      <c r="D8" s="37" t="inlineStr">
        <is>
          <t>Bartender</t>
        </is>
      </c>
      <c r="E8" s="37" t="inlineStr">
        <is>
          <t>4:00 PM</t>
        </is>
      </c>
      <c r="F8" s="38" t="n"/>
      <c r="G8" s="39" t="n"/>
    </row>
    <row r="9">
      <c r="A9" s="34" t="n">
        <v>4</v>
      </c>
      <c r="B9" s="35" t="inlineStr">
        <is>
          <t>Check backup keg stock for each brand</t>
        </is>
      </c>
      <c r="C9" s="36" t="inlineStr">
        <is>
          <t>Bar</t>
        </is>
      </c>
      <c r="D9" s="37" t="inlineStr">
        <is>
          <t>Bartender</t>
        </is>
      </c>
      <c r="E9" s="37" t="inlineStr">
        <is>
          <t>4:15 PM</t>
        </is>
      </c>
      <c r="F9" s="38" t="n"/>
      <c r="G9" s="39" t="n"/>
    </row>
    <row r="10">
      <c r="A10" s="34" t="n">
        <v>5</v>
      </c>
      <c r="B10" s="35" t="inlineStr">
        <is>
          <t>Clean the faucet nozzles with hot water</t>
        </is>
      </c>
      <c r="C10" s="36" t="inlineStr">
        <is>
          <t>Bar</t>
        </is>
      </c>
      <c r="D10" s="37" t="inlineStr">
        <is>
          <t>Barback</t>
        </is>
      </c>
      <c r="E10" s="37" t="inlineStr">
        <is>
          <t>4:00 PM</t>
        </is>
      </c>
      <c r="F10" s="38" t="n"/>
      <c r="G10" s="39" t="n"/>
    </row>
    <row r="11">
      <c r="A11" s="34" t="n">
        <v>6</v>
      </c>
      <c r="B11" s="35" t="inlineStr">
        <is>
          <t>Prep beer glassware (chill the glasses if that is your bar's style)</t>
        </is>
      </c>
      <c r="C11" s="36" t="inlineStr">
        <is>
          <t>Bar</t>
        </is>
      </c>
      <c r="D11" s="37" t="inlineStr">
        <is>
          <t>Barback</t>
        </is>
      </c>
      <c r="E11" s="37" t="inlineStr">
        <is>
          <t>4:00 PM</t>
        </is>
      </c>
      <c r="F11" s="38" t="n"/>
      <c r="G11" s="39" t="n"/>
    </row>
    <row r="12">
      <c r="A12" s="40" t="n"/>
      <c r="B12" s="40" t="n"/>
      <c r="C12" s="40" t="n"/>
      <c r="D12" s="40" t="n"/>
      <c r="E12" s="40" t="n"/>
      <c r="F12" s="40" t="n"/>
      <c r="G12" s="40" t="n"/>
    </row>
    <row r="13">
      <c r="A13" s="45" t="inlineStr">
        <is>
          <t xml:space="preserve">  Bottle Stock Control</t>
        </is>
      </c>
      <c r="B13" s="32" t="n"/>
      <c r="C13" s="32" t="n"/>
      <c r="D13" s="32" t="n"/>
      <c r="E13" s="32" t="n"/>
      <c r="F13" s="32" t="n"/>
      <c r="G13" s="33" t="n"/>
    </row>
    <row r="14">
      <c r="A14" s="34" t="n">
        <v>7</v>
      </c>
      <c r="B14" s="35" t="inlineStr">
        <is>
          <t>Check bottled and canned beer stock in the walk-in</t>
        </is>
      </c>
      <c r="C14" s="36" t="inlineStr">
        <is>
          <t>Stockroom</t>
        </is>
      </c>
      <c r="D14" s="37" t="inlineStr">
        <is>
          <t>Barback</t>
        </is>
      </c>
      <c r="E14" s="37" t="inlineStr">
        <is>
          <t>4:00 PM</t>
        </is>
      </c>
      <c r="F14" s="38" t="n"/>
      <c r="G14" s="39" t="n"/>
    </row>
    <row r="15">
      <c r="A15" s="34" t="n">
        <v>8</v>
      </c>
      <c r="B15" s="35" t="inlineStr">
        <is>
          <t>Restock the bar cooler from the stockroom</t>
        </is>
      </c>
      <c r="C15" s="36" t="inlineStr">
        <is>
          <t>Stockroom</t>
        </is>
      </c>
      <c r="D15" s="37" t="inlineStr">
        <is>
          <t>Barback</t>
        </is>
      </c>
      <c r="E15" s="37" t="inlineStr">
        <is>
          <t>4:15 PM</t>
        </is>
      </c>
      <c r="F15" s="38" t="n"/>
      <c r="G15" s="39" t="n"/>
    </row>
    <row r="16">
      <c r="A16" s="34" t="n">
        <v>9</v>
      </c>
      <c r="B16" s="35" t="inlineStr">
        <is>
          <t>Check stock of sodas and mixers: tonic, soda water, cola, ginger ale, ginger beer</t>
        </is>
      </c>
      <c r="C16" s="36" t="inlineStr">
        <is>
          <t>Stockroom</t>
        </is>
      </c>
      <c r="D16" s="37" t="inlineStr">
        <is>
          <t>Barback</t>
        </is>
      </c>
      <c r="E16" s="37" t="inlineStr">
        <is>
          <t>4:15 PM</t>
        </is>
      </c>
      <c r="F16" s="38" t="n"/>
      <c r="G16" s="39" t="n"/>
    </row>
    <row r="17">
      <c r="A17" s="34" t="n">
        <v>10</v>
      </c>
      <c r="B17" s="35" t="inlineStr">
        <is>
          <t>Check stock of still and sparkling water</t>
        </is>
      </c>
      <c r="C17" s="36" t="inlineStr">
        <is>
          <t>Stockroom</t>
        </is>
      </c>
      <c r="D17" s="37" t="inlineStr">
        <is>
          <t>Barback</t>
        </is>
      </c>
      <c r="E17" s="37" t="inlineStr">
        <is>
          <t>4:15 PM</t>
        </is>
      </c>
      <c r="F17" s="38" t="n"/>
      <c r="G17" s="39" t="n"/>
    </row>
    <row r="18">
      <c r="A18" s="41" t="n"/>
      <c r="B18" s="42" t="n"/>
      <c r="C18" s="36" t="n"/>
      <c r="D18" s="37" t="n"/>
      <c r="E18" s="37" t="n"/>
      <c r="F18" s="38" t="n"/>
      <c r="G18" s="39" t="n"/>
    </row>
    <row r="19">
      <c r="A19" s="41" t="n"/>
      <c r="B19" s="42" t="n"/>
      <c r="C19" s="36" t="n"/>
      <c r="D19" s="37" t="n"/>
      <c r="E19" s="37" t="n"/>
      <c r="F19" s="38" t="n"/>
      <c r="G19" s="39" t="n"/>
    </row>
    <row r="20">
      <c r="A20" s="41" t="n"/>
      <c r="B20" s="42" t="n"/>
      <c r="C20" s="36" t="n"/>
      <c r="D20" s="37" t="n"/>
      <c r="E20" s="37" t="n"/>
      <c r="F20" s="38" t="n"/>
      <c r="G20" s="39" t="n"/>
    </row>
    <row r="21">
      <c r="A21" s="41" t="n"/>
      <c r="B21" s="42" t="n"/>
      <c r="C21" s="36" t="n"/>
      <c r="D21" s="37" t="n"/>
      <c r="E21" s="37" t="n"/>
      <c r="F21" s="38" t="n"/>
      <c r="G21" s="39" t="n"/>
    </row>
    <row r="22">
      <c r="A22" s="41" t="n"/>
      <c r="B22" s="42" t="n"/>
      <c r="C22" s="36" t="n"/>
      <c r="D22" s="37" t="n"/>
      <c r="E22" s="37" t="n"/>
      <c r="F22" s="38" t="n"/>
      <c r="G22" s="39" t="n"/>
    </row>
    <row r="24">
      <c r="A24" s="16" t="inlineStr">
        <is>
          <t>Tasks done:</t>
        </is>
      </c>
      <c r="D24" s="16">
        <f>COUNTIFS(B5:B22,"?*",F5:F22,"✓")</f>
        <v>0.0</v>
      </c>
      <c r="E24" s="17" t="inlineStr">
        <is>
          <t>of</t>
        </is>
      </c>
      <c r="F24" s="16">
        <f>COUNTIF(B5:B22,"?*")-COUNTIF(F5:F22,"N/A")</f>
        <v>10.0</v>
      </c>
    </row>
    <row r="26">
      <c r="A26" s="16" t="inlineStr">
        <is>
          <t>Verified by:</t>
        </is>
      </c>
      <c r="B26" s="43" t="n"/>
      <c r="C26" s="32" t="n"/>
      <c r="D26" s="33" t="n"/>
      <c r="E26" s="16" t="inlineStr">
        <is>
          <t>Signature:</t>
        </is>
      </c>
      <c r="F26" s="43" t="n"/>
      <c r="G26" s="33" t="n"/>
    </row>
    <row r="28">
      <c r="A28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3:G13"/>
    <mergeCell ref="A1:G1"/>
    <mergeCell ref="B26:D26"/>
    <mergeCell ref="A2:G2"/>
    <mergeCell ref="F26:G26"/>
    <mergeCell ref="A24:C24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0 F11 F14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Wine by the Glass &amp; Cellar Station</t>
        </is>
      </c>
    </row>
    <row r="2">
      <c r="A2" s="5" t="inlineStr">
        <is>
          <t>Month: ________________   Year: 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45" t="inlineStr">
        <is>
          <t xml:space="preserve">  Wine by the Glass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Check open wines by the glass (white and rosé wines in the cooler at 46–50 °F)</t>
        </is>
      </c>
      <c r="C6" s="36" t="inlineStr">
        <is>
          <t>Stockroom</t>
        </is>
      </c>
      <c r="D6" s="37" t="inlineStr">
        <is>
          <t>Bartender</t>
        </is>
      </c>
      <c r="E6" s="37" t="inlineStr">
        <is>
          <t>4:00 PM</t>
        </is>
      </c>
      <c r="F6" s="38" t="n"/>
      <c r="G6" s="39" t="n"/>
    </row>
    <row r="7">
      <c r="A7" s="34" t="n">
        <v>2</v>
      </c>
      <c r="B7" s="35" t="inlineStr">
        <is>
          <t>Check open red wines (room temperature or 61–64 °F)</t>
        </is>
      </c>
      <c r="C7" s="36" t="inlineStr">
        <is>
          <t>Stockroom</t>
        </is>
      </c>
      <c r="D7" s="37" t="inlineStr">
        <is>
          <t>Bartender</t>
        </is>
      </c>
      <c r="E7" s="37" t="inlineStr">
        <is>
          <t>4:00 PM</t>
        </is>
      </c>
      <c r="F7" s="38" t="n"/>
      <c r="G7" s="39" t="n"/>
    </row>
    <row r="8">
      <c r="A8" s="34" t="n">
        <v>3</v>
      </c>
      <c r="B8" s="35" t="inlineStr">
        <is>
          <t>Make sure no open wine is more than 3 days old (smell, taste)</t>
        </is>
      </c>
      <c r="C8" s="36" t="inlineStr">
        <is>
          <t>Stockroom</t>
        </is>
      </c>
      <c r="D8" s="37" t="inlineStr">
        <is>
          <t>Bartender</t>
        </is>
      </c>
      <c r="E8" s="37" t="inlineStr">
        <is>
          <t>4:00 PM</t>
        </is>
      </c>
      <c r="F8" s="38" t="n"/>
      <c r="G8" s="39" t="n"/>
    </row>
    <row r="9">
      <c r="A9" s="34" t="n">
        <v>4</v>
      </c>
      <c r="B9" s="35" t="inlineStr">
        <is>
          <t>Open new bottles if any wine is down to fewer than 2 glasses</t>
        </is>
      </c>
      <c r="C9" s="36" t="inlineStr">
        <is>
          <t>Stockroom</t>
        </is>
      </c>
      <c r="D9" s="37" t="inlineStr">
        <is>
          <t>Bartender</t>
        </is>
      </c>
      <c r="E9" s="37" t="inlineStr">
        <is>
          <t>4:15 PM</t>
        </is>
      </c>
      <c r="F9" s="38" t="n"/>
      <c r="G9" s="39" t="n"/>
    </row>
    <row r="10">
      <c r="A10" s="34" t="n">
        <v>5</v>
      </c>
      <c r="B10" s="35" t="inlineStr">
        <is>
          <t>Update the wines-by-the-glass board (if anything changed)</t>
        </is>
      </c>
      <c r="C10" s="36" t="inlineStr">
        <is>
          <t>Stockroom</t>
        </is>
      </c>
      <c r="D10" s="37" t="inlineStr">
        <is>
          <t>Bartender</t>
        </is>
      </c>
      <c r="E10" s="37" t="inlineStr">
        <is>
          <t>4:30 PM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5" t="inlineStr">
        <is>
          <t xml:space="preserve">  Cellar &amp; Reserves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Check cellar / wine fridge temperature (54–61 °F)</t>
        </is>
      </c>
      <c r="C13" s="36" t="inlineStr">
        <is>
          <t>Stockroom</t>
        </is>
      </c>
      <c r="D13" s="37" t="inlineStr">
        <is>
          <t>Bartender</t>
        </is>
      </c>
      <c r="E13" s="37" t="inlineStr">
        <is>
          <t>4:00 PM</t>
        </is>
      </c>
      <c r="F13" s="38" t="n"/>
      <c r="G13" s="39" t="n"/>
    </row>
    <row r="14">
      <c r="A14" s="34" t="n">
        <v>7</v>
      </c>
      <c r="B14" s="35" t="inlineStr">
        <is>
          <t>Check stock of wines on the list (mark the sold-out ones)</t>
        </is>
      </c>
      <c r="C14" s="36" t="inlineStr">
        <is>
          <t>Stockroom</t>
        </is>
      </c>
      <c r="D14" s="37" t="inlineStr">
        <is>
          <t>Bartender</t>
        </is>
      </c>
      <c r="E14" s="37" t="inlineStr">
        <is>
          <t>Weekly</t>
        </is>
      </c>
      <c r="F14" s="38" t="n"/>
      <c r="G14" s="39" t="n"/>
    </row>
    <row r="15">
      <c r="A15" s="34" t="n">
        <v>8</v>
      </c>
      <c r="B15" s="35" t="inlineStr">
        <is>
          <t>Organize bottles by section/appellation</t>
        </is>
      </c>
      <c r="C15" s="36" t="inlineStr">
        <is>
          <t>Stockroom</t>
        </is>
      </c>
      <c r="D15" s="37" t="inlineStr">
        <is>
          <t>Barback</t>
        </is>
      </c>
      <c r="E15" s="37" t="inlineStr">
        <is>
          <t>Weekly</t>
        </is>
      </c>
      <c r="F15" s="38" t="n"/>
      <c r="G15" s="39" t="n"/>
    </row>
    <row r="16">
      <c r="A16" s="34" t="n">
        <v>9</v>
      </c>
      <c r="B16" s="35" t="inlineStr">
        <is>
          <t>Check the condition of special wines / vintages</t>
        </is>
      </c>
      <c r="C16" s="36" t="inlineStr">
        <is>
          <t>Stockroom</t>
        </is>
      </c>
      <c r="D16" s="37" t="inlineStr">
        <is>
          <t>Head bartender</t>
        </is>
      </c>
      <c r="E16" s="37" t="inlineStr">
        <is>
          <t>Monthly</t>
        </is>
      </c>
      <c r="F16" s="38" t="n"/>
      <c r="G16" s="39" t="n"/>
    </row>
    <row r="17">
      <c r="A17" s="41" t="n"/>
      <c r="B17" s="42" t="n"/>
      <c r="C17" s="36" t="n"/>
      <c r="D17" s="37" t="n"/>
      <c r="E17" s="37" t="n"/>
      <c r="F17" s="38" t="n"/>
      <c r="G17" s="39" t="n"/>
    </row>
    <row r="18">
      <c r="A18" s="41" t="n"/>
      <c r="B18" s="42" t="n"/>
      <c r="C18" s="36" t="n"/>
      <c r="D18" s="37" t="n"/>
      <c r="E18" s="37" t="n"/>
      <c r="F18" s="38" t="n"/>
      <c r="G18" s="39" t="n"/>
    </row>
    <row r="19">
      <c r="A19" s="41" t="n"/>
      <c r="B19" s="42" t="n"/>
      <c r="C19" s="36" t="n"/>
      <c r="D19" s="37" t="n"/>
      <c r="E19" s="37" t="n"/>
      <c r="F19" s="38" t="n"/>
      <c r="G19" s="39" t="n"/>
    </row>
    <row r="20">
      <c r="A20" s="41" t="n"/>
      <c r="B20" s="42" t="n"/>
      <c r="C20" s="36" t="n"/>
      <c r="D20" s="37" t="n"/>
      <c r="E20" s="37" t="n"/>
      <c r="F20" s="38" t="n"/>
      <c r="G20" s="39" t="n"/>
    </row>
    <row r="21">
      <c r="A21" s="41" t="n"/>
      <c r="B21" s="42" t="n"/>
      <c r="C21" s="36" t="n"/>
      <c r="D21" s="37" t="n"/>
      <c r="E21" s="37" t="n"/>
      <c r="F21" s="38" t="n"/>
      <c r="G21" s="39" t="n"/>
    </row>
    <row r="23">
      <c r="A23" s="16" t="inlineStr">
        <is>
          <t>Tasks done:</t>
        </is>
      </c>
      <c r="D23" s="16">
        <f>COUNTIFS(B5:B21,"?*",F5:F21,"✓")</f>
        <v>0.0</v>
      </c>
      <c r="E23" s="17" t="inlineStr">
        <is>
          <t>of</t>
        </is>
      </c>
      <c r="F23" s="16">
        <f>COUNTIF(B5:B21,"?*")-COUNTIF(F5:F21,"N/A")</f>
        <v>9.0</v>
      </c>
    </row>
    <row r="25">
      <c r="A25" s="16" t="inlineStr">
        <is>
          <t>Verified by:</t>
        </is>
      </c>
      <c r="B25" s="43" t="n"/>
      <c r="C25" s="32" t="n"/>
      <c r="D25" s="33" t="n"/>
      <c r="E25" s="16" t="inlineStr">
        <is>
          <t>Signature:</t>
        </is>
      </c>
      <c r="F25" s="43" t="n"/>
      <c r="G25" s="33" t="n"/>
    </row>
    <row r="27">
      <c r="A27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3:C23"/>
    <mergeCell ref="F25:G25"/>
    <mergeCell ref="A12:G12"/>
    <mergeCell ref="A2:G2"/>
    <mergeCell ref="B25:D25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0 F13 F14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 Station Checklists: Cocktails, Draft Beer &amp; Wine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2026-10-17T22:57:54Z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