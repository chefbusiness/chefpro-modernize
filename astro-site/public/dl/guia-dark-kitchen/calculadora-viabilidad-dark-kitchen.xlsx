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sión Inicial" sheetId="1" state="visible" r:id="rId1"/>
    <sheet xmlns:r="http://schemas.openxmlformats.org/officeDocument/2006/relationships" name="P&amp;L Mensual" sheetId="2" state="visible" r:id="rId2"/>
    <sheet xmlns:r="http://schemas.openxmlformats.org/officeDocument/2006/relationships" name="Punto de Equilibrio" sheetId="3" state="visible" r:id="rId3"/>
  </sheets>
  <definedNames>
    <definedName name="_xlnm.Print_Titles" localSheetId="0">'Inversión Inicial'!$4:$4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D700"/>
      <sz val="12"/>
    </font>
    <font>
      <name val="Calibri"/>
      <b val="1"/>
      <color rgb="001565C0"/>
      <sz val="12"/>
    </font>
    <font>
      <name val="Calibri"/>
      <b val="1"/>
      <sz val="11"/>
    </font>
    <font>
      <name val="Calibri"/>
      <b val="1"/>
      <color rgb="001565C0"/>
      <sz val="11"/>
    </font>
    <font>
      <name val="Calibri"/>
      <b val="1"/>
      <color rgb="00FFD700"/>
      <sz val="14"/>
    </font>
    <font>
      <name val="Calibri"/>
      <b val="1"/>
      <color rgb="001565C0"/>
      <sz val="14"/>
    </font>
    <font>
      <name val="Calibri"/>
      <b val="1"/>
      <color rgb="00D32F2F"/>
      <sz val="14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center" vertical="center" wrapText="1"/>
    </xf>
    <xf numFmtId="165" fontId="8" fillId="0" borderId="0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16" customWidth="1" min="4" max="4"/>
    <col width="30" customWidth="1" min="5" max="5"/>
  </cols>
  <sheetData>
    <row r="1" ht="30" customHeight="1">
      <c r="A1" s="1" t="inlineStr">
        <is>
          <t>Inversión Inicial — Dark Kitchen</t>
        </is>
      </c>
    </row>
    <row r="2" ht="20" customHeight="1">
      <c r="A2" s="2" t="inlineStr">
        <is>
          <t>AI Chef Pro · aichef.pro — Cómo Montar una Dark Kitchen</t>
        </is>
      </c>
    </row>
    <row r="3"/>
    <row r="4">
      <c r="A4" s="3" t="inlineStr">
        <is>
          <t>Categoría</t>
        </is>
      </c>
      <c r="B4" s="3" t="inlineStr">
        <is>
          <t>Concepto</t>
        </is>
      </c>
      <c r="C4" s="3" t="inlineStr">
        <is>
          <t>Presupuesto (€)</t>
        </is>
      </c>
      <c r="D4" s="3" t="inlineStr">
        <is>
          <t>Real (€)</t>
        </is>
      </c>
      <c r="E4" s="3" t="inlineStr">
        <is>
          <t>Notas</t>
        </is>
      </c>
    </row>
    <row r="5">
      <c r="A5" s="4" t="inlineStr">
        <is>
          <t>Obra Civil</t>
        </is>
      </c>
      <c r="B5" s="4" t="inlineStr">
        <is>
          <t>Acondicionamiento del local (suelos, paredes, techos)</t>
        </is>
      </c>
      <c r="C5" s="5" t="n">
        <v>8000</v>
      </c>
      <c r="D5" s="5" t="n"/>
      <c r="E5" s="4" t="inlineStr"/>
    </row>
    <row r="6">
      <c r="A6" s="6" t="inlineStr">
        <is>
          <t>Obra Civil</t>
        </is>
      </c>
      <c r="B6" s="6" t="inlineStr">
        <is>
          <t>Instalación eléctrica</t>
        </is>
      </c>
      <c r="C6" s="5" t="n">
        <v>3500</v>
      </c>
      <c r="D6" s="5" t="n"/>
      <c r="E6" s="6" t="inlineStr"/>
    </row>
    <row r="7">
      <c r="A7" s="4" t="inlineStr">
        <is>
          <t>Obra Civil</t>
        </is>
      </c>
      <c r="B7" s="4" t="inlineStr">
        <is>
          <t>Fontanería y saneamiento</t>
        </is>
      </c>
      <c r="C7" s="5" t="n">
        <v>1500</v>
      </c>
      <c r="D7" s="5" t="n"/>
      <c r="E7" s="4" t="inlineStr"/>
    </row>
    <row r="8">
      <c r="A8" s="6" t="inlineStr">
        <is>
          <t>Obra Civil</t>
        </is>
      </c>
      <c r="B8" s="6" t="inlineStr">
        <is>
          <t>Instalación de gas</t>
        </is>
      </c>
      <c r="C8" s="5" t="n">
        <v>1200</v>
      </c>
      <c r="D8" s="5" t="n"/>
      <c r="E8" s="6" t="inlineStr"/>
    </row>
    <row r="9">
      <c r="A9" s="4" t="inlineStr">
        <is>
          <t>Obra Civil</t>
        </is>
      </c>
      <c r="B9" s="4" t="inlineStr">
        <is>
          <t>Extracción de humos y ventilación</t>
        </is>
      </c>
      <c r="C9" s="5" t="n">
        <v>3500</v>
      </c>
      <c r="D9" s="5" t="n"/>
      <c r="E9" s="4" t="inlineStr"/>
    </row>
    <row r="10">
      <c r="A10" s="6" t="inlineStr">
        <is>
          <t>Obra Civil</t>
        </is>
      </c>
      <c r="B10" s="6" t="inlineStr">
        <is>
          <t>Sistema contra incendios</t>
        </is>
      </c>
      <c r="C10" s="5" t="n">
        <v>600</v>
      </c>
      <c r="D10" s="5" t="n"/>
      <c r="E10" s="6" t="inlineStr"/>
    </row>
    <row r="11">
      <c r="A11" s="4" t="inlineStr">
        <is>
          <t>Equipamiento</t>
        </is>
      </c>
      <c r="B11" s="4" t="inlineStr">
        <is>
          <t>Horno de convección profesional</t>
        </is>
      </c>
      <c r="C11" s="5" t="n">
        <v>3500</v>
      </c>
      <c r="D11" s="5" t="n"/>
      <c r="E11" s="4" t="inlineStr"/>
    </row>
    <row r="12">
      <c r="A12" s="6" t="inlineStr">
        <is>
          <t>Equipamiento</t>
        </is>
      </c>
      <c r="B12" s="6" t="inlineStr">
        <is>
          <t>Plancha industrial</t>
        </is>
      </c>
      <c r="C12" s="5" t="n">
        <v>1200</v>
      </c>
      <c r="D12" s="5" t="n"/>
      <c r="E12" s="6" t="inlineStr"/>
    </row>
    <row r="13">
      <c r="A13" s="4" t="inlineStr">
        <is>
          <t>Equipamiento</t>
        </is>
      </c>
      <c r="B13" s="4" t="inlineStr">
        <is>
          <t>Freidora industrial</t>
        </is>
      </c>
      <c r="C13" s="5" t="n">
        <v>1200</v>
      </c>
      <c r="D13" s="5" t="n"/>
      <c r="E13" s="4" t="inlineStr"/>
    </row>
    <row r="14">
      <c r="A14" s="6" t="inlineStr">
        <is>
          <t>Equipamiento</t>
        </is>
      </c>
      <c r="B14" s="6" t="inlineStr">
        <is>
          <t>Cocina de inducción</t>
        </is>
      </c>
      <c r="C14" s="5" t="n">
        <v>1000</v>
      </c>
      <c r="D14" s="5" t="n"/>
      <c r="E14" s="6" t="inlineStr"/>
    </row>
    <row r="15">
      <c r="A15" s="4" t="inlineStr">
        <is>
          <t>Equipamiento</t>
        </is>
      </c>
      <c r="B15" s="4" t="inlineStr">
        <is>
          <t>Cámara frigorífica</t>
        </is>
      </c>
      <c r="C15" s="5" t="n">
        <v>2800</v>
      </c>
      <c r="D15" s="5" t="n"/>
      <c r="E15" s="4" t="inlineStr"/>
    </row>
    <row r="16">
      <c r="A16" s="6" t="inlineStr">
        <is>
          <t>Equipamiento</t>
        </is>
      </c>
      <c r="B16" s="6" t="inlineStr">
        <is>
          <t>Congelador industrial</t>
        </is>
      </c>
      <c r="C16" s="5" t="n">
        <v>1500</v>
      </c>
      <c r="D16" s="5" t="n"/>
      <c r="E16" s="6" t="inlineStr"/>
    </row>
    <row r="17">
      <c r="A17" s="4" t="inlineStr">
        <is>
          <t>Equipamiento</t>
        </is>
      </c>
      <c r="B17" s="4" t="inlineStr">
        <is>
          <t>Mesa refrigerada</t>
        </is>
      </c>
      <c r="C17" s="5" t="n">
        <v>2200</v>
      </c>
      <c r="D17" s="5" t="n"/>
      <c r="E17" s="4" t="inlineStr"/>
    </row>
    <row r="18">
      <c r="A18" s="6" t="inlineStr">
        <is>
          <t>Equipamiento</t>
        </is>
      </c>
      <c r="B18" s="6" t="inlineStr">
        <is>
          <t>Lavavajillas industrial</t>
        </is>
      </c>
      <c r="C18" s="5" t="n">
        <v>2000</v>
      </c>
      <c r="D18" s="5" t="n"/>
      <c r="E18" s="6" t="inlineStr"/>
    </row>
    <row r="19">
      <c r="A19" s="4" t="inlineStr">
        <is>
          <t>Equipamiento</t>
        </is>
      </c>
      <c r="B19" s="4" t="inlineStr">
        <is>
          <t>Mesas de trabajo, estanterías y menaje</t>
        </is>
      </c>
      <c r="C19" s="5" t="n">
        <v>2000</v>
      </c>
      <c r="D19" s="5" t="n"/>
      <c r="E19" s="4" t="inlineStr"/>
    </row>
    <row r="20">
      <c r="A20" s="6" t="inlineStr">
        <is>
          <t>Tecnología</t>
        </is>
      </c>
      <c r="B20" s="6" t="inlineStr">
        <is>
          <t>Tablets para plataformas (x3)</t>
        </is>
      </c>
      <c r="C20" s="5" t="n">
        <v>600</v>
      </c>
      <c r="D20" s="5" t="n"/>
      <c r="E20" s="6" t="inlineStr"/>
    </row>
    <row r="21">
      <c r="A21" s="4" t="inlineStr">
        <is>
          <t>Tecnología</t>
        </is>
      </c>
      <c r="B21" s="4" t="inlineStr">
        <is>
          <t>KDS + integrador de pedidos</t>
        </is>
      </c>
      <c r="C21" s="5" t="n">
        <v>1200</v>
      </c>
      <c r="D21" s="5" t="n"/>
      <c r="E21" s="4" t="inlineStr"/>
    </row>
    <row r="22">
      <c r="A22" s="6" t="inlineStr">
        <is>
          <t>Tecnología</t>
        </is>
      </c>
      <c r="B22" s="6" t="inlineStr">
        <is>
          <t>TPV y software de gestión</t>
        </is>
      </c>
      <c r="C22" s="5" t="n">
        <v>800</v>
      </c>
      <c r="D22" s="5" t="n"/>
      <c r="E22" s="6" t="inlineStr"/>
    </row>
    <row r="23">
      <c r="A23" s="4" t="inlineStr">
        <is>
          <t>Tecnología</t>
        </is>
      </c>
      <c r="B23" s="4" t="inlineStr">
        <is>
          <t>WiFi + cámaras de seguridad</t>
        </is>
      </c>
      <c r="C23" s="5" t="n">
        <v>500</v>
      </c>
      <c r="D23" s="5" t="n"/>
      <c r="E23" s="4" t="inlineStr"/>
    </row>
    <row r="24">
      <c r="A24" s="6" t="inlineStr">
        <is>
          <t>Licencias</t>
        </is>
      </c>
      <c r="B24" s="6" t="inlineStr">
        <is>
          <t>Proyecto técnico (arquitecto/ingeniero)</t>
        </is>
      </c>
      <c r="C24" s="5" t="n">
        <v>2500</v>
      </c>
      <c r="D24" s="5" t="n"/>
      <c r="E24" s="6" t="inlineStr"/>
    </row>
    <row r="25">
      <c r="A25" s="4" t="inlineStr">
        <is>
          <t>Licencias</t>
        </is>
      </c>
      <c r="B25" s="4" t="inlineStr">
        <is>
          <t>Tasas municipales de licencia</t>
        </is>
      </c>
      <c r="C25" s="5" t="n">
        <v>500</v>
      </c>
      <c r="D25" s="5" t="n"/>
      <c r="E25" s="4" t="inlineStr"/>
    </row>
    <row r="26">
      <c r="A26" s="6" t="inlineStr">
        <is>
          <t>Licencias</t>
        </is>
      </c>
      <c r="B26" s="6" t="inlineStr">
        <is>
          <t>Plan APPCC + consultoría sanitaria</t>
        </is>
      </c>
      <c r="C26" s="5" t="n">
        <v>800</v>
      </c>
      <c r="D26" s="5" t="n"/>
      <c r="E26" s="6" t="inlineStr"/>
    </row>
    <row r="27">
      <c r="A27" s="4" t="inlineStr">
        <is>
          <t>Licencias</t>
        </is>
      </c>
      <c r="B27" s="4" t="inlineStr">
        <is>
          <t>Constitución de empresa (notario + registro)</t>
        </is>
      </c>
      <c r="C27" s="5" t="n">
        <v>700</v>
      </c>
      <c r="D27" s="5" t="n"/>
      <c r="E27" s="4" t="inlineStr"/>
    </row>
    <row r="28">
      <c r="A28" s="6" t="inlineStr">
        <is>
          <t>Seguros</t>
        </is>
      </c>
      <c r="B28" s="6" t="inlineStr">
        <is>
          <t>Seguro de responsabilidad civil (1er año)</t>
        </is>
      </c>
      <c r="C28" s="5" t="n">
        <v>400</v>
      </c>
      <c r="D28" s="5" t="n"/>
      <c r="E28" s="6" t="inlineStr"/>
    </row>
    <row r="29">
      <c r="A29" s="4" t="inlineStr">
        <is>
          <t>Seguros</t>
        </is>
      </c>
      <c r="B29" s="4" t="inlineStr">
        <is>
          <t>Seguro de local y contenido (1er año)</t>
        </is>
      </c>
      <c r="C29" s="5" t="n">
        <v>300</v>
      </c>
      <c r="D29" s="5" t="n"/>
      <c r="E29" s="4" t="inlineStr"/>
    </row>
    <row r="30">
      <c r="A30" s="6" t="inlineStr">
        <is>
          <t>Marketing</t>
        </is>
      </c>
      <c r="B30" s="6" t="inlineStr">
        <is>
          <t>Sesión de fotografía profesional</t>
        </is>
      </c>
      <c r="C30" s="5" t="n">
        <v>400</v>
      </c>
      <c r="D30" s="5" t="n"/>
      <c r="E30" s="6" t="inlineStr"/>
    </row>
    <row r="31">
      <c r="A31" s="4" t="inlineStr">
        <is>
          <t>Marketing</t>
        </is>
      </c>
      <c r="B31" s="4" t="inlineStr">
        <is>
          <t>Diseño de marca y packaging</t>
        </is>
      </c>
      <c r="C31" s="5" t="n">
        <v>1500</v>
      </c>
      <c r="D31" s="5" t="n"/>
      <c r="E31" s="4" t="inlineStr"/>
    </row>
    <row r="32">
      <c r="A32" s="6" t="inlineStr">
        <is>
          <t>Marketing</t>
        </is>
      </c>
      <c r="B32" s="6" t="inlineStr">
        <is>
          <t>Campañas de lanzamiento (1er mes)</t>
        </is>
      </c>
      <c r="C32" s="5" t="n">
        <v>2000</v>
      </c>
      <c r="D32" s="5" t="n"/>
      <c r="E32" s="6" t="inlineStr"/>
    </row>
    <row r="33">
      <c r="A33" s="4" t="inlineStr">
        <is>
          <t>Capital Circulante</t>
        </is>
      </c>
      <c r="B33" s="4" t="inlineStr">
        <is>
          <t>Stock inicial de materias primas</t>
        </is>
      </c>
      <c r="C33" s="5" t="n">
        <v>2000</v>
      </c>
      <c r="D33" s="5" t="n"/>
      <c r="E33" s="4" t="inlineStr"/>
    </row>
    <row r="34">
      <c r="A34" s="6" t="inlineStr">
        <is>
          <t>Capital Circulante</t>
        </is>
      </c>
      <c r="B34" s="6" t="inlineStr">
        <is>
          <t>Fondo de maniobra (2 meses de gastos fijos)</t>
        </is>
      </c>
      <c r="C34" s="5" t="n">
        <v>8000</v>
      </c>
      <c r="D34" s="5" t="n"/>
      <c r="E34" s="6" t="inlineStr"/>
    </row>
    <row r="35">
      <c r="B35" s="7" t="inlineStr">
        <is>
          <t>INVERSIÓN TOTAL</t>
        </is>
      </c>
      <c r="C35" s="8">
        <f>SUM(C5:C34)</f>
        <v>57900.0</v>
      </c>
      <c r="D35" s="8">
        <f>SUM(D5:D34)</f>
        <v>0.0</v>
      </c>
    </row>
  </sheetData>
  <mergeCells count="2">
    <mergeCell ref="A1:E1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5" customWidth="1" min="4" max="4"/>
  </cols>
  <sheetData>
    <row r="1" ht="30" customHeight="1">
      <c r="A1" s="1" t="inlineStr">
        <is>
          <t>Cuenta de Resultados Mensual — Dark Kitchen</t>
        </is>
      </c>
    </row>
    <row r="2" ht="20" customHeight="1">
      <c r="A2" s="2" t="inlineStr">
        <is>
          <t>AI Chef Pro · aichef.pro — Cómo Montar una Dark Kitchen</t>
        </is>
      </c>
    </row>
    <row r="3"/>
    <row r="4">
      <c r="A4" s="7" t="inlineStr">
        <is>
          <t>PARÁMETROS DE ENTRADA</t>
        </is>
      </c>
    </row>
    <row r="5">
      <c r="A5" s="9" t="inlineStr">
        <is>
          <t>Pedidos por día</t>
        </is>
      </c>
      <c r="B5" s="10" t="n">
        <v>35</v>
      </c>
    </row>
    <row r="6">
      <c r="A6" s="9" t="inlineStr">
        <is>
          <t>Ticket medio (€)</t>
        </is>
      </c>
      <c r="B6" s="5" t="n">
        <v>22</v>
      </c>
    </row>
    <row r="7">
      <c r="A7" s="9" t="inlineStr">
        <is>
          <t>Días operativos al mes</t>
        </is>
      </c>
      <c r="B7" s="10" t="n">
        <v>30</v>
      </c>
    </row>
    <row r="8">
      <c r="A8" s="9" t="inlineStr">
        <is>
          <t>Comisión media plataformas (%)</t>
        </is>
      </c>
      <c r="B8" s="11" t="n">
        <v>0.3</v>
      </c>
    </row>
    <row r="9">
      <c r="A9" s="9" t="inlineStr">
        <is>
          <t>Food cost (%)</t>
        </is>
      </c>
      <c r="B9" s="11" t="n">
        <v>0.3</v>
      </c>
    </row>
    <row r="10">
      <c r="A10" s="9" t="inlineStr">
        <is>
          <t>Coste packaging por pedido (€)</t>
        </is>
      </c>
      <c r="B10" s="5" t="n">
        <v>0.8</v>
      </c>
    </row>
    <row r="11"/>
    <row r="12"/>
    <row r="13">
      <c r="A13" s="7" t="inlineStr">
        <is>
          <t>CUENTA DE RESULTADOS</t>
        </is>
      </c>
    </row>
    <row r="14">
      <c r="A14" s="9" t="inlineStr">
        <is>
          <t>Ingresos brutos</t>
        </is>
      </c>
      <c r="B14" s="12">
        <f>B5*B6*B7</f>
        <v>23100.0</v>
      </c>
    </row>
    <row r="15">
      <c r="A15" s="4" t="inlineStr">
        <is>
          <t>(-) Comisiones de plataformas</t>
        </is>
      </c>
      <c r="B15" s="13">
        <f>-B5*B6*B7*B8</f>
        <v>-6930.0</v>
      </c>
    </row>
    <row r="16">
      <c r="A16" s="9" t="inlineStr">
        <is>
          <t>= Ingresos netos</t>
        </is>
      </c>
      <c r="B16" s="12">
        <f>B5*B6*B7*(1-B8)</f>
        <v>16169.999999999998</v>
      </c>
    </row>
    <row r="17"/>
    <row r="18">
      <c r="A18" s="4" t="inlineStr">
        <is>
          <t>(-) Coste de materia prima (food cost)</t>
        </is>
      </c>
      <c r="B18" s="13">
        <f>-B5*B6*B7*B9</f>
        <v>-6930.0</v>
      </c>
    </row>
    <row r="19">
      <c r="A19" s="4" t="inlineStr">
        <is>
          <t>(-) Packaging</t>
        </is>
      </c>
      <c r="B19" s="13">
        <f>-B5*B7*B10</f>
        <v>-840.0</v>
      </c>
    </row>
    <row r="20">
      <c r="A20" s="9" t="inlineStr">
        <is>
          <t>= Margen bruto</t>
        </is>
      </c>
      <c r="B20" s="12">
        <f>B5*B6*B7*(1-B8-B9)-B5*B7*B10</f>
        <v>8400.0</v>
      </c>
    </row>
    <row r="21"/>
    <row r="22">
      <c r="A22" s="7" t="inlineStr">
        <is>
          <t>COSTES FIJOS MENSUALES</t>
        </is>
      </c>
    </row>
    <row r="23">
      <c r="A23" s="4" t="inlineStr">
        <is>
          <t>Alquiler del local</t>
        </is>
      </c>
      <c r="B23" s="5" t="n">
        <v>1500</v>
      </c>
    </row>
    <row r="24">
      <c r="A24" s="4" t="inlineStr">
        <is>
          <t>Suministros (luz, agua, gas)</t>
        </is>
      </c>
      <c r="B24" s="5" t="n">
        <v>600</v>
      </c>
    </row>
    <row r="25">
      <c r="A25" s="4" t="inlineStr">
        <is>
          <t>Personal (1 jefe cocina + 1 ayudante)</t>
        </is>
      </c>
      <c r="B25" s="5" t="n">
        <v>3800</v>
      </c>
    </row>
    <row r="26">
      <c r="A26" s="4" t="inlineStr">
        <is>
          <t>Seguros</t>
        </is>
      </c>
      <c r="B26" s="5" t="n">
        <v>60</v>
      </c>
    </row>
    <row r="27">
      <c r="A27" s="4" t="inlineStr">
        <is>
          <t>Gestoría/asesoría</t>
        </is>
      </c>
      <c r="B27" s="5" t="n">
        <v>200</v>
      </c>
    </row>
    <row r="28">
      <c r="A28" s="4" t="inlineStr">
        <is>
          <t>Software y tecnología</t>
        </is>
      </c>
      <c r="B28" s="5" t="n">
        <v>150</v>
      </c>
    </row>
    <row r="29">
      <c r="A29" s="4" t="inlineStr">
        <is>
          <t>Limpieza y DDD</t>
        </is>
      </c>
      <c r="B29" s="5" t="n">
        <v>120</v>
      </c>
    </row>
    <row r="30">
      <c r="A30" s="4" t="inlineStr">
        <is>
          <t>Marketing en plataformas (5% ingresos)</t>
        </is>
      </c>
      <c r="B30" s="13">
        <f>B14*0.05</f>
        <v>1155.0</v>
      </c>
    </row>
    <row r="31"/>
    <row r="32">
      <c r="A32" s="9" t="inlineStr">
        <is>
          <t>TOTAL COSTES FIJOS</t>
        </is>
      </c>
      <c r="B32" s="14">
        <f>SUM(B23:B30)</f>
        <v>7585.0</v>
      </c>
    </row>
    <row r="33"/>
    <row r="34">
      <c r="A34" s="15" t="inlineStr">
        <is>
          <t>EBITDA MENSUAL</t>
        </is>
      </c>
      <c r="B34" s="16">
        <f>B20-B32</f>
        <v>815.0</v>
      </c>
    </row>
    <row r="35">
      <c r="A35" s="9" t="inlineStr">
        <is>
          <t>Margen EBITDA (%)</t>
        </is>
      </c>
      <c r="B35" s="17">
        <f>IF(B14=0,0,B34/B14)</f>
        <v>0.03528138528138528</v>
      </c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5" customWidth="1" min="5" max="5"/>
  </cols>
  <sheetData>
    <row r="1" ht="30" customHeight="1">
      <c r="A1" s="1" t="inlineStr">
        <is>
          <t>Análisis del Punto de Equilibrio — Dark Kitchen</t>
        </is>
      </c>
    </row>
    <row r="2" ht="20" customHeight="1">
      <c r="A2" s="2" t="inlineStr">
        <is>
          <t>AI Chef Pro · aichef.pro — Cómo Montar una Dark Kitchen</t>
        </is>
      </c>
    </row>
    <row r="3"/>
    <row r="4">
      <c r="A4" s="7" t="inlineStr">
        <is>
          <t>CÁLCULO DEL BREAK-EVEN</t>
        </is>
      </c>
    </row>
    <row r="5">
      <c r="A5" s="9" t="inlineStr">
        <is>
          <t>Ticket medio (€)</t>
        </is>
      </c>
      <c r="B5" s="13">
        <f>'P&amp;L Mensual'!B6</f>
        <v>22.0</v>
      </c>
    </row>
    <row r="6">
      <c r="A6" s="9" t="inlineStr">
        <is>
          <t>Comisión media plataformas (%)</t>
        </is>
      </c>
      <c r="B6" s="18">
        <f>'P&amp;L Mensual'!B8</f>
        <v>0.3</v>
      </c>
    </row>
    <row r="7">
      <c r="A7" s="9" t="inlineStr">
        <is>
          <t>Food cost (%)</t>
        </is>
      </c>
      <c r="B7" s="18">
        <f>'P&amp;L Mensual'!B9</f>
        <v>0.3</v>
      </c>
    </row>
    <row r="8">
      <c r="A8" s="9" t="inlineStr">
        <is>
          <t>Packaging por pedido (€)</t>
        </is>
      </c>
      <c r="B8" s="13">
        <f>'P&amp;L Mensual'!B10</f>
        <v>0.8</v>
      </c>
    </row>
    <row r="9">
      <c r="A9" s="9" t="inlineStr">
        <is>
          <t>Total costes fijos mensuales (€)</t>
        </is>
      </c>
      <c r="B9" s="13">
        <f>'P&amp;L Mensual'!B32</f>
        <v>7585.0</v>
      </c>
    </row>
    <row r="10"/>
    <row r="11">
      <c r="A11" s="7" t="inlineStr">
        <is>
          <t>RESULTADOS</t>
        </is>
      </c>
    </row>
    <row r="12">
      <c r="A12" s="9" t="inlineStr">
        <is>
          <t>Margen de contribución por pedido (€)</t>
        </is>
      </c>
      <c r="B12" s="14">
        <f>B5*(1-B6-B7)-B8</f>
        <v>7.999999999999999</v>
      </c>
    </row>
    <row r="13">
      <c r="A13" s="9" t="inlineStr">
        <is>
          <t>Pedidos necesarios al mes (break-even)</t>
        </is>
      </c>
      <c r="B13" s="19">
        <f>ROUNDUP(B9/B12,0)</f>
        <v>949.0</v>
      </c>
    </row>
    <row r="14">
      <c r="A14" s="9" t="inlineStr">
        <is>
          <t>Pedidos necesarios al día (30 días)</t>
        </is>
      </c>
      <c r="B14" s="19">
        <f>ROUNDUP(B13/30,0)</f>
        <v>32.0</v>
      </c>
    </row>
    <row r="15">
      <c r="A15" s="9" t="inlineStr">
        <is>
          <t>Facturación mensual mínima (€)</t>
        </is>
      </c>
      <c r="B15" s="20">
        <f>B13*B5</f>
        <v>20878.0</v>
      </c>
    </row>
    <row r="16"/>
    <row r="17"/>
    <row r="18">
      <c r="A18" s="7" t="inlineStr">
        <is>
          <t>ESCENARIOS DE FACTURACIÓN</t>
        </is>
      </c>
    </row>
    <row r="19">
      <c r="A19" s="21" t="inlineStr"/>
      <c r="B19" s="3" t="inlineStr">
        <is>
          <t>Pesimista</t>
        </is>
      </c>
      <c r="C19" s="3" t="inlineStr">
        <is>
          <t>Realista</t>
        </is>
      </c>
      <c r="D19" s="3" t="inlineStr">
        <is>
          <t>Optimista</t>
        </is>
      </c>
    </row>
    <row r="20">
      <c r="A20" s="9" t="inlineStr">
        <is>
          <t>Pedidos/día</t>
        </is>
      </c>
      <c r="B20" s="10" t="n">
        <v>20</v>
      </c>
      <c r="C20" s="10" t="n">
        <v>40</v>
      </c>
      <c r="D20" s="10" t="n">
        <v>65</v>
      </c>
    </row>
    <row r="21">
      <c r="A21" s="9" t="inlineStr">
        <is>
          <t>Ticket medio (€)</t>
        </is>
      </c>
      <c r="B21" s="5">
        <f>B5</f>
        <v>22.0</v>
      </c>
      <c r="C21" s="5">
        <f>B5</f>
        <v>22.0</v>
      </c>
      <c r="D21" s="5">
        <f>B5</f>
        <v>22.0</v>
      </c>
    </row>
    <row r="22">
      <c r="A22" s="4" t="inlineStr">
        <is>
          <t>Facturación bruta mensual (€)</t>
        </is>
      </c>
      <c r="B22" s="12">
        <f>B20*B21*30</f>
        <v>13200.0</v>
      </c>
      <c r="C22" s="12">
        <f>C20*C21*30</f>
        <v>26400.0</v>
      </c>
      <c r="D22" s="12">
        <f>D20*D21*30</f>
        <v>42900.0</v>
      </c>
    </row>
    <row r="23">
      <c r="A23" s="4" t="inlineStr">
        <is>
          <t>(-) Comisiones plataformas (€)</t>
        </is>
      </c>
      <c r="B23" s="12">
        <f>-B22*B6</f>
        <v>-3960.0</v>
      </c>
      <c r="C23" s="12">
        <f>-C22*B6</f>
        <v>-7920.0</v>
      </c>
      <c r="D23" s="12">
        <f>-D22*B6</f>
        <v>-12870.0</v>
      </c>
    </row>
    <row r="24">
      <c r="A24" s="4" t="inlineStr">
        <is>
          <t>(-) Food cost (€)</t>
        </is>
      </c>
      <c r="B24" s="12">
        <f>-B22*B7</f>
        <v>-3960.0</v>
      </c>
      <c r="C24" s="12">
        <f>-C22*B7</f>
        <v>-7920.0</v>
      </c>
      <c r="D24" s="12">
        <f>-D22*B7</f>
        <v>-12870.0</v>
      </c>
    </row>
    <row r="25">
      <c r="A25" s="4" t="inlineStr">
        <is>
          <t>(-) Packaging (€)</t>
        </is>
      </c>
      <c r="B25" s="12">
        <f>-B20*30*B8</f>
        <v>-480.0</v>
      </c>
      <c r="C25" s="12">
        <f>-C20*30*B8</f>
        <v>-960.0</v>
      </c>
      <c r="D25" s="12">
        <f>-D20*30*B8</f>
        <v>-1560.0</v>
      </c>
    </row>
    <row r="26">
      <c r="A26" s="9" t="inlineStr">
        <is>
          <t>= Margen bruto (€)</t>
        </is>
      </c>
      <c r="B26" s="12">
        <f>SUM(B22:B25)</f>
        <v>4800.0</v>
      </c>
      <c r="C26" s="12">
        <f>SUM(C22:C25)</f>
        <v>9600.0</v>
      </c>
      <c r="D26" s="12">
        <f>SUM(D22:D25)</f>
        <v>15600.0</v>
      </c>
    </row>
    <row r="27">
      <c r="A27" s="4" t="inlineStr">
        <is>
          <t>(-) Costes fijos (€)</t>
        </is>
      </c>
      <c r="B27" s="12">
        <f>-B9</f>
        <v>-7585.0</v>
      </c>
      <c r="C27" s="12">
        <f>-B9</f>
        <v>-7585.0</v>
      </c>
      <c r="D27" s="12">
        <f>-B9</f>
        <v>-7585.0</v>
      </c>
    </row>
    <row r="28">
      <c r="A28" s="9" t="inlineStr">
        <is>
          <t>= EBITDA mensual (€)</t>
        </is>
      </c>
      <c r="B28" s="12">
        <f>B26+B27</f>
        <v>-2785.0</v>
      </c>
      <c r="C28" s="12">
        <f>C26+C27</f>
        <v>2015.0</v>
      </c>
      <c r="D28" s="12">
        <f>D26+D27</f>
        <v>8015.0</v>
      </c>
    </row>
    <row r="29">
      <c r="A29" s="9" t="inlineStr">
        <is>
          <t>Margen EBITDA (%)</t>
        </is>
      </c>
      <c r="B29" s="22">
        <f>IF(B22=0,0,B28/B22)</f>
        <v>-0.2109848484848485</v>
      </c>
      <c r="C29" s="22">
        <f>IF(C22=0,0,C28/C22)</f>
        <v>0.07632575757575757</v>
      </c>
      <c r="D29" s="22">
        <f>IF(D22=0,0,D28/D22)</f>
        <v>0.18682983682983684</v>
      </c>
    </row>
  </sheetData>
  <mergeCells count="2">
    <mergeCell ref="A1:E1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Inversión Inicial — Dark Kitchen · Cómo Montar una Dark Kitchen en España</dc:title>
  <dc:description xmlns:dc="http://purl.org/dc/elements/1.1/">aichef.pro/guia-dark-kitchen</dc:description>
  <dc:subject xmlns:dc="http://purl.org/dc/elements/1.1/">Cómo Montar una Dark Kitchen en España · v1.1</dc:subject>
  <dcterms:created xmlns:dcterms="http://purl.org/dc/terms/" xmlns:xsi="http://www.w3.org/2001/XMLSchema-instance" xsi:type="dcterms:W3CDTF">2026-04-05T16:22:16Z</dcterms:created>
  <dcterms:modified xmlns:dcterms="http://purl.org/dc/terms/" xmlns:xsi="http://www.w3.org/2001/XMLSchema-instance" xsi:type="dcterms:W3CDTF">2026-08-22T09:12:25Z</dcterms:modified>
  <cp:lastModifiedBy>AI Chef Pro</cp:lastModifiedBy>
  <cp:category>AI Chef Pro · Productos digitales</cp:category>
  <cp:keywords>guia dark kitchen, AI Chef Pro</cp:keywords>
</cp:coreProperties>
</file>