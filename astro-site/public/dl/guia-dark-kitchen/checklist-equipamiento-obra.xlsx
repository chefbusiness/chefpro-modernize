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Equipamiento" sheetId="1" state="visible" r:id="rId1"/>
  </sheets>
  <definedNames>
    <definedName name="_xlnm.Print_Titles" localSheetId="0">'Checklist Equipamiento'!$4:$4</definedName>
  </definedNames>
  <calcPr calcId="124519" fullCalcOnLoad="1"/>
</workbook>
</file>

<file path=xl/styles.xml><?xml version="1.0" encoding="utf-8"?>
<styleSheet xmlns="http://schemas.openxmlformats.org/spreadsheetml/2006/main">
  <numFmts count="2">
    <numFmt numFmtId="164" formatCode="#,##0.00 €"/>
    <numFmt numFmtId="165" formatCode="0.0%"/>
  </numFmts>
  <fonts count="7">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b val="1"/>
      <sz val="11"/>
    </font>
    <font>
      <name val="Calibri"/>
      <b val="1"/>
      <color rgb="001565C0"/>
      <sz val="11"/>
    </font>
  </fonts>
  <fills count="5">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F5F5F5"/>
        <bgColor rgb="00F5F5F5"/>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164" fontId="4" fillId="3" borderId="1" applyAlignment="1" pivotButton="0" quotePrefix="0" xfId="0">
      <alignment horizontal="center" vertical="center" wrapText="1"/>
    </xf>
    <xf numFmtId="165" fontId="4"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165" fontId="4" fillId="4" borderId="1" applyAlignment="1" pivotButton="0" quotePrefix="0" xfId="0">
      <alignment horizontal="center" vertical="center" wrapText="1"/>
    </xf>
    <xf numFmtId="0" fontId="5" fillId="0" borderId="0" applyAlignment="1" pivotButton="0" quotePrefix="0" xfId="0">
      <alignment horizontal="center" vertical="center" wrapText="1"/>
    </xf>
    <xf numFmtId="164" fontId="6" fillId="0" borderId="0" applyAlignment="1" pivotButton="0" quotePrefix="0" xfId="0">
      <alignment horizontal="center" vertical="center" wrapText="1"/>
    </xf>
    <xf numFmtId="165" fontId="6"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45"/>
  <sheetViews>
    <sheetView workbookViewId="0">
      <pane ySplit="4" topLeftCell="A5" activePane="bottomLeft" state="frozen"/>
      <selection pane="bottomLeft" activeCell="A1" sqref="A1"/>
    </sheetView>
  </sheetViews>
  <sheetFormatPr baseColWidth="8" defaultRowHeight="15"/>
  <cols>
    <col width="5" customWidth="1" min="1" max="1"/>
    <col width="18" customWidth="1" min="2" max="2"/>
    <col width="55" customWidth="1" min="3" max="3"/>
    <col width="18" customWidth="1" min="4" max="4"/>
    <col width="16" customWidth="1" min="5" max="5"/>
    <col width="14" customWidth="1" min="6" max="6"/>
    <col width="14" customWidth="1" min="7" max="7"/>
    <col width="14" customWidth="1" min="8" max="8"/>
    <col width="30" customWidth="1" min="9" max="9"/>
  </cols>
  <sheetData>
    <row r="1" ht="30" customHeight="1">
      <c r="A1" s="1" t="inlineStr">
        <is>
          <t>Checklist de Equipamiento y Obra — Dark Kitchen</t>
        </is>
      </c>
    </row>
    <row r="2" ht="20" customHeight="1">
      <c r="A2" s="2" t="inlineStr">
        <is>
          <t>AI Chef Pro · aichef.pro — Cómo Montar una Dark Kitchen</t>
        </is>
      </c>
    </row>
    <row r="3"/>
    <row r="4">
      <c r="A4" s="3" t="inlineStr">
        <is>
          <t>#</t>
        </is>
      </c>
      <c r="B4" s="3" t="inlineStr">
        <is>
          <t>Zona</t>
        </is>
      </c>
      <c r="C4" s="3" t="inlineStr">
        <is>
          <t>Equipo/Concepto</t>
        </is>
      </c>
      <c r="D4" s="3" t="inlineStr">
        <is>
          <t>Proveedor</t>
        </is>
      </c>
      <c r="E4" s="3" t="inlineStr">
        <is>
          <t>Presupuesto (€)</t>
        </is>
      </c>
      <c r="F4" s="3" t="inlineStr">
        <is>
          <t>Real (€)</t>
        </is>
      </c>
      <c r="G4" s="3" t="inlineStr">
        <is>
          <t>Desviación (%)</t>
        </is>
      </c>
      <c r="H4" s="3" t="inlineStr">
        <is>
          <t>Estado</t>
        </is>
      </c>
      <c r="I4" s="3" t="inlineStr">
        <is>
          <t>Notas</t>
        </is>
      </c>
    </row>
    <row r="5">
      <c r="A5" s="4" t="n">
        <v>1</v>
      </c>
      <c r="B5" s="5" t="inlineStr">
        <is>
          <t>Obra Civil</t>
        </is>
      </c>
      <c r="C5" s="5" t="inlineStr">
        <is>
          <t>Acondicionamiento general del local (suelos, paredes, techos)</t>
        </is>
      </c>
      <c r="D5" s="4" t="inlineStr"/>
      <c r="E5" s="6" t="n">
        <v>6000</v>
      </c>
      <c r="F5" s="6" t="n"/>
      <c r="G5" s="7">
        <f>IF(E5=0,"",((F5-E5)/E5))</f>
        <v>-1.0</v>
      </c>
      <c r="H5" s="4" t="inlineStr">
        <is>
          <t>Pendiente</t>
        </is>
      </c>
      <c r="I5" s="5" t="inlineStr"/>
    </row>
    <row r="6">
      <c r="A6" s="8" t="n">
        <v>2</v>
      </c>
      <c r="B6" s="9" t="inlineStr">
        <is>
          <t>Obra Civil</t>
        </is>
      </c>
      <c r="C6" s="9" t="inlineStr">
        <is>
          <t>Revestimiento de suelos (resina epoxi antideslizante)</t>
        </is>
      </c>
      <c r="D6" s="8" t="inlineStr"/>
      <c r="E6" s="6" t="n">
        <v>2500</v>
      </c>
      <c r="F6" s="6" t="n"/>
      <c r="G6" s="10">
        <f>IF(E6=0,"",((F6-E6)/E6))</f>
        <v>-1.0</v>
      </c>
      <c r="H6" s="8" t="inlineStr">
        <is>
          <t>Pendiente</t>
        </is>
      </c>
      <c r="I6" s="9" t="inlineStr"/>
    </row>
    <row r="7">
      <c r="A7" s="4" t="n">
        <v>3</v>
      </c>
      <c r="B7" s="5" t="inlineStr">
        <is>
          <t>Obra Civil</t>
        </is>
      </c>
      <c r="C7" s="5" t="inlineStr">
        <is>
          <t>Alicatado de paredes hasta 2 m de altura</t>
        </is>
      </c>
      <c r="D7" s="4" t="inlineStr"/>
      <c r="E7" s="6" t="n">
        <v>1800</v>
      </c>
      <c r="F7" s="6" t="n"/>
      <c r="G7" s="7">
        <f>IF(E7=0,"",((F7-E7)/E7))</f>
        <v>-1.0</v>
      </c>
      <c r="H7" s="4" t="inlineStr">
        <is>
          <t>Pendiente</t>
        </is>
      </c>
      <c r="I7" s="5" t="inlineStr"/>
    </row>
    <row r="8">
      <c r="A8" s="8" t="n">
        <v>4</v>
      </c>
      <c r="B8" s="9" t="inlineStr">
        <is>
          <t>Obra Civil</t>
        </is>
      </c>
      <c r="C8" s="9" t="inlineStr">
        <is>
          <t>Puerta de acceso de riders con cierre automático</t>
        </is>
      </c>
      <c r="D8" s="8" t="inlineStr"/>
      <c r="E8" s="6" t="n">
        <v>500</v>
      </c>
      <c r="F8" s="6" t="n"/>
      <c r="G8" s="10">
        <f>IF(E8=0,"",((F8-E8)/E8))</f>
        <v>-1.0</v>
      </c>
      <c r="H8" s="8" t="inlineStr">
        <is>
          <t>Pendiente</t>
        </is>
      </c>
      <c r="I8" s="9" t="inlineStr"/>
    </row>
    <row r="9">
      <c r="A9" s="4" t="n">
        <v>5</v>
      </c>
      <c r="B9" s="5" t="inlineStr">
        <is>
          <t>Obra Civil</t>
        </is>
      </c>
      <c r="C9" s="5" t="inlineStr">
        <is>
          <t>Pintura y acabados generales</t>
        </is>
      </c>
      <c r="D9" s="4" t="inlineStr"/>
      <c r="E9" s="6" t="n">
        <v>800</v>
      </c>
      <c r="F9" s="6" t="n"/>
      <c r="G9" s="7">
        <f>IF(E9=0,"",((F9-E9)/E9))</f>
        <v>-1.0</v>
      </c>
      <c r="H9" s="4" t="inlineStr">
        <is>
          <t>Pendiente</t>
        </is>
      </c>
      <c r="I9" s="5" t="inlineStr"/>
    </row>
    <row r="10">
      <c r="A10" s="8" t="n">
        <v>6</v>
      </c>
      <c r="B10" s="9" t="inlineStr">
        <is>
          <t>Obra Civil</t>
        </is>
      </c>
      <c r="C10" s="9" t="inlineStr">
        <is>
          <t>Aseo y vestuario para personal</t>
        </is>
      </c>
      <c r="D10" s="8" t="inlineStr"/>
      <c r="E10" s="6" t="n">
        <v>1200</v>
      </c>
      <c r="F10" s="6" t="n"/>
      <c r="G10" s="10">
        <f>IF(E10=0,"",((F10-E10)/E10))</f>
        <v>-1.0</v>
      </c>
      <c r="H10" s="8" t="inlineStr">
        <is>
          <t>Pendiente</t>
        </is>
      </c>
      <c r="I10" s="9" t="inlineStr"/>
    </row>
    <row r="11">
      <c r="A11" s="4" t="n">
        <v>7</v>
      </c>
      <c r="B11" s="5" t="inlineStr">
        <is>
          <t>Instalaciones</t>
        </is>
      </c>
      <c r="C11" s="5" t="inlineStr">
        <is>
          <t>Instalación eléctrica completa (cuadro, cableado, tomas)</t>
        </is>
      </c>
      <c r="D11" s="4" t="inlineStr"/>
      <c r="E11" s="6" t="n">
        <v>3500</v>
      </c>
      <c r="F11" s="6" t="n"/>
      <c r="G11" s="7">
        <f>IF(E11=0,"",((F11-E11)/E11))</f>
        <v>-1.0</v>
      </c>
      <c r="H11" s="4" t="inlineStr">
        <is>
          <t>Pendiente</t>
        </is>
      </c>
      <c r="I11" s="5" t="inlineStr"/>
    </row>
    <row r="12">
      <c r="A12" s="8" t="n">
        <v>8</v>
      </c>
      <c r="B12" s="9" t="inlineStr">
        <is>
          <t>Instalaciones</t>
        </is>
      </c>
      <c r="C12" s="9" t="inlineStr">
        <is>
          <t>Instalación de fontanería (agua fría y caliente)</t>
        </is>
      </c>
      <c r="D12" s="8" t="inlineStr"/>
      <c r="E12" s="6" t="n">
        <v>1500</v>
      </c>
      <c r="F12" s="6" t="n"/>
      <c r="G12" s="10">
        <f>IF(E12=0,"",((F12-E12)/E12))</f>
        <v>-1.0</v>
      </c>
      <c r="H12" s="8" t="inlineStr">
        <is>
          <t>Pendiente</t>
        </is>
      </c>
      <c r="I12" s="9" t="inlineStr"/>
    </row>
    <row r="13">
      <c r="A13" s="4" t="n">
        <v>9</v>
      </c>
      <c r="B13" s="5" t="inlineStr">
        <is>
          <t>Instalaciones</t>
        </is>
      </c>
      <c r="C13" s="5" t="inlineStr">
        <is>
          <t>Instalación de gas (acometida y canalizaciones)</t>
        </is>
      </c>
      <c r="D13" s="4" t="inlineStr"/>
      <c r="E13" s="6" t="n">
        <v>1200</v>
      </c>
      <c r="F13" s="6" t="n"/>
      <c r="G13" s="7">
        <f>IF(E13=0,"",((F13-E13)/E13))</f>
        <v>-1.0</v>
      </c>
      <c r="H13" s="4" t="inlineStr">
        <is>
          <t>Pendiente</t>
        </is>
      </c>
      <c r="I13" s="5" t="inlineStr"/>
    </row>
    <row r="14">
      <c r="A14" s="8" t="n">
        <v>10</v>
      </c>
      <c r="B14" s="9" t="inlineStr">
        <is>
          <t>Instalaciones</t>
        </is>
      </c>
      <c r="C14" s="9" t="inlineStr">
        <is>
          <t>Sistema de extracción y ventilación (campana + conductos)</t>
        </is>
      </c>
      <c r="D14" s="8" t="inlineStr"/>
      <c r="E14" s="6" t="n">
        <v>3500</v>
      </c>
      <c r="F14" s="6" t="n"/>
      <c r="G14" s="10">
        <f>IF(E14=0,"",((F14-E14)/E14))</f>
        <v>-1.0</v>
      </c>
      <c r="H14" s="8" t="inlineStr">
        <is>
          <t>Pendiente</t>
        </is>
      </c>
      <c r="I14" s="9" t="inlineStr"/>
    </row>
    <row r="15">
      <c r="A15" s="4" t="n">
        <v>11</v>
      </c>
      <c r="B15" s="5" t="inlineStr">
        <is>
          <t>Instalaciones</t>
        </is>
      </c>
      <c r="C15" s="5" t="inlineStr">
        <is>
          <t>Sistema contra incendios (extintores, BIE, señalización)</t>
        </is>
      </c>
      <c r="D15" s="4" t="inlineStr"/>
      <c r="E15" s="6" t="n">
        <v>600</v>
      </c>
      <c r="F15" s="6" t="n"/>
      <c r="G15" s="7">
        <f>IF(E15=0,"",((F15-E15)/E15))</f>
        <v>-1.0</v>
      </c>
      <c r="H15" s="4" t="inlineStr">
        <is>
          <t>Pendiente</t>
        </is>
      </c>
      <c r="I15" s="5" t="inlineStr"/>
    </row>
    <row r="16">
      <c r="A16" s="8" t="n">
        <v>12</v>
      </c>
      <c r="B16" s="9" t="inlineStr">
        <is>
          <t>Instalaciones</t>
        </is>
      </c>
      <c r="C16" s="9" t="inlineStr">
        <is>
          <t>Iluminación LED para cocina (norma mínima 500 lux)</t>
        </is>
      </c>
      <c r="D16" s="8" t="inlineStr"/>
      <c r="E16" s="6" t="n">
        <v>800</v>
      </c>
      <c r="F16" s="6" t="n"/>
      <c r="G16" s="10">
        <f>IF(E16=0,"",((F16-E16)/E16))</f>
        <v>-1.0</v>
      </c>
      <c r="H16" s="8" t="inlineStr">
        <is>
          <t>Pendiente</t>
        </is>
      </c>
      <c r="I16" s="9" t="inlineStr"/>
    </row>
    <row r="17">
      <c r="A17" s="4" t="n">
        <v>13</v>
      </c>
      <c r="B17" s="5" t="inlineStr">
        <is>
          <t>Cocina Caliente</t>
        </is>
      </c>
      <c r="C17" s="5" t="inlineStr">
        <is>
          <t>Horno de convección profesional (10 bandejas GN 1/1)</t>
        </is>
      </c>
      <c r="D17" s="4" t="inlineStr">
        <is>
          <t>Rational/Unox</t>
        </is>
      </c>
      <c r="E17" s="6" t="n">
        <v>3500</v>
      </c>
      <c r="F17" s="6" t="n"/>
      <c r="G17" s="7">
        <f>IF(E17=0,"",((F17-E17)/E17))</f>
        <v>-1.0</v>
      </c>
      <c r="H17" s="4" t="inlineStr">
        <is>
          <t>Pendiente</t>
        </is>
      </c>
      <c r="I17" s="5" t="inlineStr"/>
    </row>
    <row r="18">
      <c r="A18" s="8" t="n">
        <v>14</v>
      </c>
      <c r="B18" s="9" t="inlineStr">
        <is>
          <t>Cocina Caliente</t>
        </is>
      </c>
      <c r="C18" s="9" t="inlineStr">
        <is>
          <t>Plancha/grill industrial 80 cm (lisa + estriada)</t>
        </is>
      </c>
      <c r="D18" s="8" t="inlineStr">
        <is>
          <t>Repagas</t>
        </is>
      </c>
      <c r="E18" s="6" t="n">
        <v>1200</v>
      </c>
      <c r="F18" s="6" t="n"/>
      <c r="G18" s="10">
        <f>IF(E18=0,"",((F18-E18)/E18))</f>
        <v>-1.0</v>
      </c>
      <c r="H18" s="8" t="inlineStr">
        <is>
          <t>Pendiente</t>
        </is>
      </c>
      <c r="I18" s="9" t="inlineStr"/>
    </row>
    <row r="19">
      <c r="A19" s="4" t="n">
        <v>15</v>
      </c>
      <c r="B19" s="5" t="inlineStr">
        <is>
          <t>Cocina Caliente</t>
        </is>
      </c>
      <c r="C19" s="5" t="inlineStr">
        <is>
          <t>Freidora industrial doble cuba (2x10L)</t>
        </is>
      </c>
      <c r="D19" s="4" t="inlineStr">
        <is>
          <t>Fagor</t>
        </is>
      </c>
      <c r="E19" s="6" t="n">
        <v>1200</v>
      </c>
      <c r="F19" s="6" t="n"/>
      <c r="G19" s="7">
        <f>IF(E19=0,"",((F19-E19)/E19))</f>
        <v>-1.0</v>
      </c>
      <c r="H19" s="4" t="inlineStr">
        <is>
          <t>Pendiente</t>
        </is>
      </c>
      <c r="I19" s="5" t="inlineStr"/>
    </row>
    <row r="20">
      <c r="A20" s="8" t="n">
        <v>16</v>
      </c>
      <c r="B20" s="9" t="inlineStr">
        <is>
          <t>Cocina Caliente</t>
        </is>
      </c>
      <c r="C20" s="9" t="inlineStr">
        <is>
          <t>Cocina de inducción 4 fuegos</t>
        </is>
      </c>
      <c r="D20" s="8" t="inlineStr">
        <is>
          <t>Hendi</t>
        </is>
      </c>
      <c r="E20" s="6" t="n">
        <v>1000</v>
      </c>
      <c r="F20" s="6" t="n"/>
      <c r="G20" s="10">
        <f>IF(E20=0,"",((F20-E20)/E20))</f>
        <v>-1.0</v>
      </c>
      <c r="H20" s="8" t="inlineStr">
        <is>
          <t>Pendiente</t>
        </is>
      </c>
      <c r="I20" s="9" t="inlineStr"/>
    </row>
    <row r="21">
      <c r="A21" s="4" t="n">
        <v>17</v>
      </c>
      <c r="B21" s="5" t="inlineStr">
        <is>
          <t>Cocina Caliente</t>
        </is>
      </c>
      <c r="C21" s="5" t="inlineStr">
        <is>
          <t>Campana extractora con filtros antigrasa</t>
        </is>
      </c>
      <c r="D21" s="4" t="inlineStr">
        <is>
          <t>Halton</t>
        </is>
      </c>
      <c r="E21" s="6" t="n">
        <v>2500</v>
      </c>
      <c r="F21" s="6" t="n"/>
      <c r="G21" s="7">
        <f>IF(E21=0,"",((F21-E21)/E21))</f>
        <v>-1.0</v>
      </c>
      <c r="H21" s="4" t="inlineStr">
        <is>
          <t>Pendiente</t>
        </is>
      </c>
      <c r="I21" s="5" t="inlineStr"/>
    </row>
    <row r="22">
      <c r="A22" s="8" t="n">
        <v>18</v>
      </c>
      <c r="B22" s="9" t="inlineStr">
        <is>
          <t>Cocina Caliente</t>
        </is>
      </c>
      <c r="C22" s="9" t="inlineStr">
        <is>
          <t>Salamandra/gratinador</t>
        </is>
      </c>
      <c r="D22" s="8" t="inlineStr">
        <is>
          <t>Repagas</t>
        </is>
      </c>
      <c r="E22" s="6" t="n">
        <v>600</v>
      </c>
      <c r="F22" s="6" t="n"/>
      <c r="G22" s="10">
        <f>IF(E22=0,"",((F22-E22)/E22))</f>
        <v>-1.0</v>
      </c>
      <c r="H22" s="8" t="inlineStr">
        <is>
          <t>Pendiente</t>
        </is>
      </c>
      <c r="I22" s="9" t="inlineStr"/>
    </row>
    <row r="23">
      <c r="A23" s="4" t="n">
        <v>19</v>
      </c>
      <c r="B23" s="5" t="inlineStr">
        <is>
          <t>Cocina Caliente</t>
        </is>
      </c>
      <c r="C23" s="5" t="inlineStr">
        <is>
          <t>Baño maría 3 cubetas GN</t>
        </is>
      </c>
      <c r="D23" s="4" t="inlineStr"/>
      <c r="E23" s="6" t="n">
        <v>350</v>
      </c>
      <c r="F23" s="6" t="n"/>
      <c r="G23" s="7">
        <f>IF(E23=0,"",((F23-E23)/E23))</f>
        <v>-1.0</v>
      </c>
      <c r="H23" s="4" t="inlineStr">
        <is>
          <t>Pendiente</t>
        </is>
      </c>
      <c r="I23" s="5" t="inlineStr"/>
    </row>
    <row r="24">
      <c r="A24" s="8" t="n">
        <v>20</v>
      </c>
      <c r="B24" s="9" t="inlineStr">
        <is>
          <t>Cocina Fría</t>
        </is>
      </c>
      <c r="C24" s="9" t="inlineStr">
        <is>
          <t>Cámara frigorífica walk-in (6 m³)</t>
        </is>
      </c>
      <c r="D24" s="8" t="inlineStr">
        <is>
          <t>Infricool</t>
        </is>
      </c>
      <c r="E24" s="6" t="n">
        <v>2800</v>
      </c>
      <c r="F24" s="6" t="n"/>
      <c r="G24" s="10">
        <f>IF(E24=0,"",((F24-E24)/E24))</f>
        <v>-1.0</v>
      </c>
      <c r="H24" s="8" t="inlineStr">
        <is>
          <t>Pendiente</t>
        </is>
      </c>
      <c r="I24" s="9" t="inlineStr"/>
    </row>
    <row r="25">
      <c r="A25" s="4" t="n">
        <v>21</v>
      </c>
      <c r="B25" s="5" t="inlineStr">
        <is>
          <t>Cocina Fría</t>
        </is>
      </c>
      <c r="C25" s="5" t="inlineStr">
        <is>
          <t>Armario congelador vertical (700L)</t>
        </is>
      </c>
      <c r="D25" s="4" t="inlineStr">
        <is>
          <t>Coreco</t>
        </is>
      </c>
      <c r="E25" s="6" t="n">
        <v>1500</v>
      </c>
      <c r="F25" s="6" t="n"/>
      <c r="G25" s="7">
        <f>IF(E25=0,"",((F25-E25)/E25))</f>
        <v>-1.0</v>
      </c>
      <c r="H25" s="4" t="inlineStr">
        <is>
          <t>Pendiente</t>
        </is>
      </c>
      <c r="I25" s="5" t="inlineStr"/>
    </row>
    <row r="26">
      <c r="A26" s="8" t="n">
        <v>22</v>
      </c>
      <c r="B26" s="9" t="inlineStr">
        <is>
          <t>Cocina Fría</t>
        </is>
      </c>
      <c r="C26" s="9" t="inlineStr">
        <is>
          <t>Mesa refrigerada 3 puertas</t>
        </is>
      </c>
      <c r="D26" s="8" t="inlineStr">
        <is>
          <t>Infricool</t>
        </is>
      </c>
      <c r="E26" s="6" t="n">
        <v>2200</v>
      </c>
      <c r="F26" s="6" t="n"/>
      <c r="G26" s="10">
        <f>IF(E26=0,"",((F26-E26)/E26))</f>
        <v>-1.0</v>
      </c>
      <c r="H26" s="8" t="inlineStr">
        <is>
          <t>Pendiente</t>
        </is>
      </c>
      <c r="I26" s="9" t="inlineStr"/>
    </row>
    <row r="27">
      <c r="A27" s="4" t="n">
        <v>23</v>
      </c>
      <c r="B27" s="5" t="inlineStr">
        <is>
          <t>Cocina Fría</t>
        </is>
      </c>
      <c r="C27" s="5" t="inlineStr">
        <is>
          <t>Cortadora de fiambres profesional</t>
        </is>
      </c>
      <c r="D27" s="4" t="inlineStr">
        <is>
          <t>Sammic</t>
        </is>
      </c>
      <c r="E27" s="6" t="n">
        <v>600</v>
      </c>
      <c r="F27" s="6" t="n"/>
      <c r="G27" s="7">
        <f>IF(E27=0,"",((F27-E27)/E27))</f>
        <v>-1.0</v>
      </c>
      <c r="H27" s="4" t="inlineStr">
        <is>
          <t>Pendiente</t>
        </is>
      </c>
      <c r="I27" s="5" t="inlineStr"/>
    </row>
    <row r="28">
      <c r="A28" s="8" t="n">
        <v>24</v>
      </c>
      <c r="B28" s="9" t="inlineStr">
        <is>
          <t>Cocina Fría</t>
        </is>
      </c>
      <c r="C28" s="9" t="inlineStr">
        <is>
          <t>Envasadora al vacío de campana</t>
        </is>
      </c>
      <c r="D28" s="8" t="inlineStr">
        <is>
          <t>Sammic</t>
        </is>
      </c>
      <c r="E28" s="6" t="n">
        <v>700</v>
      </c>
      <c r="F28" s="6" t="n"/>
      <c r="G28" s="10">
        <f>IF(E28=0,"",((F28-E28)/E28))</f>
        <v>-1.0</v>
      </c>
      <c r="H28" s="8" t="inlineStr">
        <is>
          <t>Pendiente</t>
        </is>
      </c>
      <c r="I28" s="9" t="inlineStr"/>
    </row>
    <row r="29">
      <c r="A29" s="4" t="n">
        <v>25</v>
      </c>
      <c r="B29" s="5" t="inlineStr">
        <is>
          <t>Almacenamiento</t>
        </is>
      </c>
      <c r="C29" s="5" t="inlineStr">
        <is>
          <t>Estanterías de acero inoxidable (x4 unidades)</t>
        </is>
      </c>
      <c r="D29" s="4" t="inlineStr">
        <is>
          <t>Distform</t>
        </is>
      </c>
      <c r="E29" s="6" t="n">
        <v>900</v>
      </c>
      <c r="F29" s="6" t="n"/>
      <c r="G29" s="7">
        <f>IF(E29=0,"",((F29-E29)/E29))</f>
        <v>-1.0</v>
      </c>
      <c r="H29" s="4" t="inlineStr">
        <is>
          <t>Pendiente</t>
        </is>
      </c>
      <c r="I29" s="5" t="inlineStr"/>
    </row>
    <row r="30">
      <c r="A30" s="8" t="n">
        <v>26</v>
      </c>
      <c r="B30" s="9" t="inlineStr">
        <is>
          <t>Almacenamiento</t>
        </is>
      </c>
      <c r="C30" s="9" t="inlineStr">
        <is>
          <t>Contenedores GN de policarbonato con tapa (lote completo)</t>
        </is>
      </c>
      <c r="D30" s="8" t="inlineStr"/>
      <c r="E30" s="6" t="n">
        <v>350</v>
      </c>
      <c r="F30" s="6" t="n"/>
      <c r="G30" s="10">
        <f>IF(E30=0,"",((F30-E30)/E30))</f>
        <v>-1.0</v>
      </c>
      <c r="H30" s="8" t="inlineStr">
        <is>
          <t>Pendiente</t>
        </is>
      </c>
      <c r="I30" s="9" t="inlineStr"/>
    </row>
    <row r="31">
      <c r="A31" s="4" t="n">
        <v>27</v>
      </c>
      <c r="B31" s="5" t="inlineStr">
        <is>
          <t>Almacenamiento</t>
        </is>
      </c>
      <c r="C31" s="5" t="inlineStr">
        <is>
          <t>Estantería para almacén seco con ruedas</t>
        </is>
      </c>
      <c r="D31" s="4" t="inlineStr"/>
      <c r="E31" s="6" t="n">
        <v>250</v>
      </c>
      <c r="F31" s="6" t="n"/>
      <c r="G31" s="7">
        <f>IF(E31=0,"",((F31-E31)/E31))</f>
        <v>-1.0</v>
      </c>
      <c r="H31" s="4" t="inlineStr">
        <is>
          <t>Pendiente</t>
        </is>
      </c>
      <c r="I31" s="5" t="inlineStr"/>
    </row>
    <row r="32">
      <c r="A32" s="8" t="n">
        <v>28</v>
      </c>
      <c r="B32" s="9" t="inlineStr">
        <is>
          <t>Almacenamiento</t>
        </is>
      </c>
      <c r="C32" s="9" t="inlineStr">
        <is>
          <t>Contenedores de ingredientes con dosificador (x10)</t>
        </is>
      </c>
      <c r="D32" s="8" t="inlineStr"/>
      <c r="E32" s="6" t="n">
        <v>150</v>
      </c>
      <c r="F32" s="6" t="n"/>
      <c r="G32" s="10">
        <f>IF(E32=0,"",((F32-E32)/E32))</f>
        <v>-1.0</v>
      </c>
      <c r="H32" s="8" t="inlineStr">
        <is>
          <t>Pendiente</t>
        </is>
      </c>
      <c r="I32" s="9" t="inlineStr"/>
    </row>
    <row r="33">
      <c r="A33" s="4" t="n">
        <v>29</v>
      </c>
      <c r="B33" s="5" t="inlineStr">
        <is>
          <t>Expedición</t>
        </is>
      </c>
      <c r="C33" s="5" t="inlineStr">
        <is>
          <t>Estantería térmica de expedición con calor y frío</t>
        </is>
      </c>
      <c r="D33" s="4" t="inlineStr"/>
      <c r="E33" s="6" t="n">
        <v>1200</v>
      </c>
      <c r="F33" s="6" t="n"/>
      <c r="G33" s="7">
        <f>IF(E33=0,"",((F33-E33)/E33))</f>
        <v>-1.0</v>
      </c>
      <c r="H33" s="4" t="inlineStr">
        <is>
          <t>Pendiente</t>
        </is>
      </c>
      <c r="I33" s="5" t="inlineStr"/>
    </row>
    <row r="34">
      <c r="A34" s="8" t="n">
        <v>30</v>
      </c>
      <c r="B34" s="9" t="inlineStr">
        <is>
          <t>Expedición</t>
        </is>
      </c>
      <c r="C34" s="9" t="inlineStr">
        <is>
          <t>Mesa de emplatado/montaje de acero inoxidable</t>
        </is>
      </c>
      <c r="D34" s="8" t="inlineStr">
        <is>
          <t>Distform</t>
        </is>
      </c>
      <c r="E34" s="6" t="n">
        <v>450</v>
      </c>
      <c r="F34" s="6" t="n"/>
      <c r="G34" s="10">
        <f>IF(E34=0,"",((F34-E34)/E34))</f>
        <v>-1.0</v>
      </c>
      <c r="H34" s="8" t="inlineStr">
        <is>
          <t>Pendiente</t>
        </is>
      </c>
      <c r="I34" s="9" t="inlineStr"/>
    </row>
    <row r="35">
      <c r="A35" s="4" t="n">
        <v>31</v>
      </c>
      <c r="B35" s="5" t="inlineStr">
        <is>
          <t>Expedición</t>
        </is>
      </c>
      <c r="C35" s="5" t="inlineStr">
        <is>
          <t>Dispensador de bolsas y envases de delivery</t>
        </is>
      </c>
      <c r="D35" s="4" t="inlineStr"/>
      <c r="E35" s="6" t="n">
        <v>200</v>
      </c>
      <c r="F35" s="6" t="n"/>
      <c r="G35" s="7">
        <f>IF(E35=0,"",((F35-E35)/E35))</f>
        <v>-1.0</v>
      </c>
      <c r="H35" s="4" t="inlineStr">
        <is>
          <t>Pendiente</t>
        </is>
      </c>
      <c r="I35" s="5" t="inlineStr"/>
    </row>
    <row r="36">
      <c r="A36" s="8" t="n">
        <v>32</v>
      </c>
      <c r="B36" s="9" t="inlineStr">
        <is>
          <t>Expedición</t>
        </is>
      </c>
      <c r="C36" s="9" t="inlineStr">
        <is>
          <t>Precintadora/selladora de envases</t>
        </is>
      </c>
      <c r="D36" s="8" t="inlineStr"/>
      <c r="E36" s="6" t="n">
        <v>300</v>
      </c>
      <c r="F36" s="6" t="n"/>
      <c r="G36" s="10">
        <f>IF(E36=0,"",((F36-E36)/E36))</f>
        <v>-1.0</v>
      </c>
      <c r="H36" s="8" t="inlineStr">
        <is>
          <t>Pendiente</t>
        </is>
      </c>
      <c r="I36" s="9" t="inlineStr"/>
    </row>
    <row r="37">
      <c r="A37" s="4" t="n">
        <v>33</v>
      </c>
      <c r="B37" s="5" t="inlineStr">
        <is>
          <t>Expedición</t>
        </is>
      </c>
      <c r="C37" s="5" t="inlineStr">
        <is>
          <t>Impresora de etiquetas para pedidos</t>
        </is>
      </c>
      <c r="D37" s="4" t="inlineStr">
        <is>
          <t>Brother</t>
        </is>
      </c>
      <c r="E37" s="6" t="n">
        <v>250</v>
      </c>
      <c r="F37" s="6" t="n"/>
      <c r="G37" s="7">
        <f>IF(E37=0,"",((F37-E37)/E37))</f>
        <v>-1.0</v>
      </c>
      <c r="H37" s="4" t="inlineStr">
        <is>
          <t>Pendiente</t>
        </is>
      </c>
      <c r="I37" s="5" t="inlineStr"/>
    </row>
    <row r="38">
      <c r="A38" s="8" t="n">
        <v>34</v>
      </c>
      <c r="B38" s="9" t="inlineStr">
        <is>
          <t>Tecnología</t>
        </is>
      </c>
      <c r="C38" s="9" t="inlineStr">
        <is>
          <t>Tablets para plataformas de delivery (x3)</t>
        </is>
      </c>
      <c r="D38" s="8" t="inlineStr"/>
      <c r="E38" s="6" t="n">
        <v>600</v>
      </c>
      <c r="F38" s="6" t="n"/>
      <c r="G38" s="10">
        <f>IF(E38=0,"",((F38-E38)/E38))</f>
        <v>-1.0</v>
      </c>
      <c r="H38" s="8" t="inlineStr">
        <is>
          <t>Pendiente</t>
        </is>
      </c>
      <c r="I38" s="9" t="inlineStr"/>
    </row>
    <row r="39">
      <c r="A39" s="4" t="n">
        <v>35</v>
      </c>
      <c r="B39" s="5" t="inlineStr">
        <is>
          <t>Tecnología</t>
        </is>
      </c>
      <c r="C39" s="5" t="inlineStr">
        <is>
          <t>KDS (Kitchen Display System) pantalla + soporte</t>
        </is>
      </c>
      <c r="D39" s="4" t="inlineStr">
        <is>
          <t>Ordatic</t>
        </is>
      </c>
      <c r="E39" s="6" t="n">
        <v>500</v>
      </c>
      <c r="F39" s="6" t="n"/>
      <c r="G39" s="7">
        <f>IF(E39=0,"",((F39-E39)/E39))</f>
        <v>-1.0</v>
      </c>
      <c r="H39" s="4" t="inlineStr">
        <is>
          <t>Pendiente</t>
        </is>
      </c>
      <c r="I39" s="5" t="inlineStr"/>
    </row>
    <row r="40">
      <c r="A40" s="8" t="n">
        <v>36</v>
      </c>
      <c r="B40" s="9" t="inlineStr">
        <is>
          <t>Tecnología</t>
        </is>
      </c>
      <c r="C40" s="9" t="inlineStr">
        <is>
          <t>Router WiFi de alta velocidad (fibra)</t>
        </is>
      </c>
      <c r="D40" s="8" t="inlineStr"/>
      <c r="E40" s="6" t="n">
        <v>100</v>
      </c>
      <c r="F40" s="6" t="n"/>
      <c r="G40" s="10">
        <f>IF(E40=0,"",((F40-E40)/E40))</f>
        <v>-1.0</v>
      </c>
      <c r="H40" s="8" t="inlineStr">
        <is>
          <t>Pendiente</t>
        </is>
      </c>
      <c r="I40" s="9" t="inlineStr"/>
    </row>
    <row r="41">
      <c r="A41" s="4" t="n">
        <v>37</v>
      </c>
      <c r="B41" s="5" t="inlineStr">
        <is>
          <t>Tecnología</t>
        </is>
      </c>
      <c r="C41" s="5" t="inlineStr">
        <is>
          <t>Software integrador de pedidos (12 meses)</t>
        </is>
      </c>
      <c r="D41" s="4" t="inlineStr">
        <is>
          <t>Ordatic/Deliverect</t>
        </is>
      </c>
      <c r="E41" s="6" t="n">
        <v>900</v>
      </c>
      <c r="F41" s="6" t="n"/>
      <c r="G41" s="7">
        <f>IF(E41=0,"",((F41-E41)/E41))</f>
        <v>-1.0</v>
      </c>
      <c r="H41" s="4" t="inlineStr">
        <is>
          <t>Pendiente</t>
        </is>
      </c>
      <c r="I41" s="5" t="inlineStr"/>
    </row>
    <row r="42">
      <c r="A42" s="8" t="n">
        <v>38</v>
      </c>
      <c r="B42" s="9" t="inlineStr">
        <is>
          <t>Tecnología</t>
        </is>
      </c>
      <c r="C42" s="9" t="inlineStr">
        <is>
          <t>TPV con software de gestión</t>
        </is>
      </c>
      <c r="D42" s="8" t="inlineStr"/>
      <c r="E42" s="6" t="n">
        <v>800</v>
      </c>
      <c r="F42" s="6" t="n"/>
      <c r="G42" s="10">
        <f>IF(E42=0,"",((F42-E42)/E42))</f>
        <v>-1.0</v>
      </c>
      <c r="H42" s="8" t="inlineStr">
        <is>
          <t>Pendiente</t>
        </is>
      </c>
      <c r="I42" s="9" t="inlineStr"/>
    </row>
    <row r="43">
      <c r="A43" s="4" t="n">
        <v>39</v>
      </c>
      <c r="B43" s="5" t="inlineStr">
        <is>
          <t>Tecnología</t>
        </is>
      </c>
      <c r="C43" s="5" t="inlineStr">
        <is>
          <t>Cámaras de seguridad (4 unidades + grabador)</t>
        </is>
      </c>
      <c r="D43" s="4" t="inlineStr"/>
      <c r="E43" s="6" t="n">
        <v>400</v>
      </c>
      <c r="F43" s="6" t="n"/>
      <c r="G43" s="7">
        <f>IF(E43=0,"",((F43-E43)/E43))</f>
        <v>-1.0</v>
      </c>
      <c r="H43" s="4" t="inlineStr">
        <is>
          <t>Pendiente</t>
        </is>
      </c>
      <c r="I43" s="5" t="inlineStr"/>
    </row>
    <row r="44">
      <c r="A44" s="8" t="n">
        <v>40</v>
      </c>
      <c r="B44" s="9" t="inlineStr">
        <is>
          <t>Tecnología</t>
        </is>
      </c>
      <c r="C44" s="9" t="inlineStr">
        <is>
          <t>Sistema de música ambiental (opcional)</t>
        </is>
      </c>
      <c r="D44" s="8" t="inlineStr"/>
      <c r="E44" s="6" t="n">
        <v>150</v>
      </c>
      <c r="F44" s="6" t="n"/>
      <c r="G44" s="10">
        <f>IF(E44=0,"",((F44-E44)/E44))</f>
        <v>-1.0</v>
      </c>
      <c r="H44" s="8" t="inlineStr">
        <is>
          <t>Pendiente</t>
        </is>
      </c>
      <c r="I44" s="9" t="inlineStr"/>
    </row>
    <row r="45">
      <c r="D45" s="11" t="inlineStr">
        <is>
          <t>TOTAL</t>
        </is>
      </c>
      <c r="E45" s="12">
        <f>SUM(E5:E44)</f>
        <v>49550.0</v>
      </c>
      <c r="F45" s="12">
        <f>SUM(F5:F44)</f>
        <v>0.0</v>
      </c>
      <c r="G45" s="13">
        <f>IF(E45=0,"",((F45-E45)/E45))</f>
        <v>-1.0</v>
      </c>
    </row>
  </sheetData>
  <mergeCells count="2">
    <mergeCell ref="A2:I2"/>
    <mergeCell ref="A1:I1"/>
  </mergeCells>
  <dataValidations count="1">
    <dataValidation sqref="H5 H6 H7 H8 H9 H10 H11 H12 H13 H14 H15 H16 H17 H18 H19 H20 H21 H22 H23 H24 H25 H26 H27 H28 H29 H30 H31 H32 H33 H34 H35 H36 H37 H38 H39 H40 H41 H42 H43 H44" showDropDown="0" showInputMessage="0" showErrorMessage="0" allowBlank="1" type="list">
      <formula1>"Pendiente,Pedido,Recibido,Instalado"</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de Equipamiento y Obra — Dark Kitchen · Cómo Montar una Dark Kitchen en España</dc:title>
  <dc:description xmlns:dc="http://purl.org/dc/elements/1.1/">aichef.pro/guia-dark-kitchen</dc:description>
  <dc:subject xmlns:dc="http://purl.org/dc/elements/1.1/">Cómo Montar una Dark Kitchen en España · v1.1</dc:subject>
  <dcterms:created xmlns:dcterms="http://purl.org/dc/terms/" xmlns:xsi="http://www.w3.org/2001/XMLSchema-instance" xsi:type="dcterms:W3CDTF">2026-04-05T16:22:15Z</dcterms:created>
  <dcterms:modified xmlns:dcterms="http://purl.org/dc/terms/" xmlns:xsi="http://www.w3.org/2001/XMLSchema-instance" xsi:type="dcterms:W3CDTF">2026-08-22T09:12:25Z</dcterms:modified>
  <cp:lastModifiedBy>AI Chef Pro</cp:lastModifiedBy>
  <cp:category>AI Chef Pro · Productos digitales</cp:category>
  <cp:keywords>guia dark kitchen, AI Chef Pro</cp:keywords>
</cp:coreProperties>
</file>