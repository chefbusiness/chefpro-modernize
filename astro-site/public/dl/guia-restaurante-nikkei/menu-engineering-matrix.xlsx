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atrix" sheetId="2" state="visible" r:id="rId2"/>
  </sheets>
  <definedNames>
    <definedName name="_xlnm.Print_Titles" localSheetId="1">'Matrix'!$4:$4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1565C0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164" fontId="4" fillId="2" borderId="1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C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Menú Engineering Matrix — Restaurante Nikkei</t>
        </is>
      </c>
    </row>
    <row r="2">
      <c r="A2" s="2" t="inlineStr">
        <is>
          <t>AI Chef Pro · aichef.pro — Restaurante Nikkei</t>
        </is>
      </c>
    </row>
    <row r="3"/>
    <row r="4">
      <c r="A4" s="3" t="inlineStr">
        <is>
          <t>Instrucciones de uso</t>
        </is>
      </c>
    </row>
    <row r="5">
      <c r="A5" s="4" t="inlineStr">
        <is>
          <t>1. Introduce los platos de tu carta con ventas y food cost.</t>
        </is>
      </c>
    </row>
    <row r="6">
      <c r="A6" s="4" t="inlineStr">
        <is>
          <t>2. La matrix clasifica automáticamente cada plato.</t>
        </is>
      </c>
    </row>
    <row r="7">
      <c r="A7" s="4" t="inlineStr">
        <is>
          <t>3. Stars = mantener. Plowhorses = subir precio. Puzzles = promocionar. Dogs = eliminar.</t>
        </is>
      </c>
    </row>
    <row r="8"/>
    <row r="9">
      <c r="A9" s="5" t="inlineStr">
        <is>
          <t>Celdas verdes = campos editables</t>
        </is>
      </c>
    </row>
    <row r="10"/>
    <row r="11">
      <c r="A11" s="5" t="inlineStr">
        <is>
          <t>Versión 1.1 · agosto 2026 · aichef.pro/guia-restaurante-nikkei · info@aichef.pro</t>
        </is>
      </c>
    </row>
  </sheetData>
  <mergeCells count="2">
    <mergeCell ref="A2:C2"/>
    <mergeCell ref="A1:C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9C27B0"/>
    <outlinePr summaryBelow="1" summaryRight="1"/>
    <pageSetUpPr fitToPage="1"/>
  </sheetPr>
  <dimension ref="A1:J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12" customWidth="1" min="4" max="4"/>
    <col width="10" customWidth="1" min="5" max="5"/>
    <col width="16" customWidth="1" min="6" max="6"/>
    <col width="12" customWidth="1" min="7" max="7"/>
    <col width="14" customWidth="1" min="8" max="8"/>
    <col width="12" customWidth="1" min="9" max="9"/>
    <col width="14" customWidth="1" min="10" max="10"/>
  </cols>
  <sheetData>
    <row r="1" ht="30" customHeight="1">
      <c r="A1" s="1" t="inlineStr">
        <is>
          <t>Menú Engineering Matrix — Restaurante Nikkei</t>
        </is>
      </c>
    </row>
    <row r="2">
      <c r="A2" s="2" t="inlineStr">
        <is>
          <t>AI Chef Pro · aichef.pro — Restaurante Nikkei</t>
        </is>
      </c>
    </row>
    <row r="3"/>
    <row r="4">
      <c r="A4" s="6" t="inlineStr">
        <is>
          <t>#</t>
        </is>
      </c>
      <c r="B4" s="6" t="inlineStr">
        <is>
          <t>Plato</t>
        </is>
      </c>
      <c r="C4" s="6" t="inlineStr">
        <is>
          <t>PVP (€)</t>
        </is>
      </c>
      <c r="D4" s="6" t="inlineStr">
        <is>
          <t>Food Cost (€)</t>
        </is>
      </c>
      <c r="E4" s="6" t="inlineStr">
        <is>
          <t>% Food Cost</t>
        </is>
      </c>
      <c r="F4" s="6" t="inlineStr">
        <is>
          <t>Uds. Vendidas/Mes</t>
        </is>
      </c>
      <c r="G4" s="6" t="inlineStr">
        <is>
          <t>Margen Unit. (€)</t>
        </is>
      </c>
      <c r="H4" s="6" t="inlineStr">
        <is>
          <t>Margen Total (€)</t>
        </is>
      </c>
      <c r="I4" s="6" t="inlineStr">
        <is>
          <t>Popularidad</t>
        </is>
      </c>
      <c r="J4" s="6" t="inlineStr">
        <is>
          <t>Clasificación</t>
        </is>
      </c>
    </row>
    <row r="5">
      <c r="A5" s="7" t="n">
        <v>1</v>
      </c>
      <c r="B5" s="8" t="inlineStr">
        <is>
          <t>Tiradito atún ají amarillo</t>
        </is>
      </c>
      <c r="C5" s="9" t="n">
        <v>18</v>
      </c>
      <c r="D5" s="9" t="n">
        <v>4.5</v>
      </c>
      <c r="E5" s="10">
        <f>D5/C5</f>
        <v>0.25</v>
      </c>
      <c r="F5" s="8" t="n">
        <v>200</v>
      </c>
      <c r="G5" s="11">
        <f>C5-D5</f>
        <v>13.5</v>
      </c>
      <c r="H5" s="11">
        <f>G5*F5</f>
        <v>2700.0</v>
      </c>
    </row>
    <row r="6">
      <c r="A6" s="7" t="n">
        <v>2</v>
      </c>
      <c r="B6" s="8" t="inlineStr">
        <is>
          <t>Tiradito corvina ají limo</t>
        </is>
      </c>
      <c r="C6" s="9" t="n">
        <v>17</v>
      </c>
      <c r="D6" s="9" t="n">
        <v>4</v>
      </c>
      <c r="E6" s="10">
        <f>D6/C6</f>
        <v>0.23529411764705882</v>
      </c>
      <c r="F6" s="8" t="n">
        <v>160</v>
      </c>
      <c r="G6" s="11">
        <f>C6-D6</f>
        <v>13.0</v>
      </c>
      <c r="H6" s="11">
        <f>G6*F6</f>
        <v>2080.0</v>
      </c>
    </row>
    <row r="7">
      <c r="A7" s="7" t="n">
        <v>3</v>
      </c>
      <c r="B7" s="8" t="inlineStr">
        <is>
          <t>Ceviche nikkei pescado+langostinos</t>
        </is>
      </c>
      <c r="C7" s="9" t="n">
        <v>19</v>
      </c>
      <c r="D7" s="9" t="n">
        <v>5.5</v>
      </c>
      <c r="E7" s="10">
        <f>D7/C7</f>
        <v>0.2894736842105263</v>
      </c>
      <c r="F7" s="8" t="n">
        <v>140</v>
      </c>
      <c r="G7" s="11">
        <f>C7-D7</f>
        <v>13.5</v>
      </c>
      <c r="H7" s="11">
        <f>G7*F7</f>
        <v>1890.0</v>
      </c>
    </row>
    <row r="8">
      <c r="A8" s="7" t="n">
        <v>4</v>
      </c>
      <c r="B8" s="8" t="inlineStr">
        <is>
          <t>Causa nikkei de atún</t>
        </is>
      </c>
      <c r="C8" s="9" t="n">
        <v>14</v>
      </c>
      <c r="D8" s="9" t="n">
        <v>3.2</v>
      </c>
      <c r="E8" s="10">
        <f>D8/C8</f>
        <v>0.2285714285714286</v>
      </c>
      <c r="F8" s="8" t="n">
        <v>170</v>
      </c>
      <c r="G8" s="11">
        <f>C8-D8</f>
        <v>10.8</v>
      </c>
      <c r="H8" s="11">
        <f>G8*F8</f>
        <v>1836.0000000000002</v>
      </c>
    </row>
    <row r="9">
      <c r="A9" s="7" t="n">
        <v>5</v>
      </c>
      <c r="B9" s="8" t="inlineStr">
        <is>
          <t>Causa nikkei de pulpo al olivo</t>
        </is>
      </c>
      <c r="C9" s="9" t="n">
        <v>16</v>
      </c>
      <c r="D9" s="9" t="n">
        <v>4.5</v>
      </c>
      <c r="E9" s="10">
        <f>D9/C9</f>
        <v>0.28125</v>
      </c>
      <c r="F9" s="8" t="n">
        <v>90</v>
      </c>
      <c r="G9" s="11">
        <f>C9-D9</f>
        <v>11.5</v>
      </c>
      <c r="H9" s="11">
        <f>G9*F9</f>
        <v>1035.0</v>
      </c>
    </row>
    <row r="10">
      <c r="A10" s="7" t="n">
        <v>6</v>
      </c>
      <c r="B10" s="8" t="inlineStr">
        <is>
          <t>Maki acevichado (8 piezas)</t>
        </is>
      </c>
      <c r="C10" s="9" t="n">
        <v>15</v>
      </c>
      <c r="D10" s="9" t="n">
        <v>3.8</v>
      </c>
      <c r="E10" s="10">
        <f>D10/C10</f>
        <v>0.2533333333333333</v>
      </c>
      <c r="F10" s="8" t="n">
        <v>210</v>
      </c>
      <c r="G10" s="11">
        <f>C10-D10</f>
        <v>11.2</v>
      </c>
      <c r="H10" s="11">
        <f>G10*F10</f>
        <v>2352.0</v>
      </c>
    </row>
    <row r="11">
      <c r="A11" s="7" t="n">
        <v>7</v>
      </c>
      <c r="B11" s="8" t="inlineStr">
        <is>
          <t>Uramaki crunch nikkei (8)</t>
        </is>
      </c>
      <c r="C11" s="9" t="n">
        <v>14</v>
      </c>
      <c r="D11" s="9" t="n">
        <v>3.5</v>
      </c>
      <c r="E11" s="10">
        <f>D11/C11</f>
        <v>0.25</v>
      </c>
      <c r="F11" s="8" t="n">
        <v>180</v>
      </c>
      <c r="G11" s="11">
        <f>C11-D11</f>
        <v>10.5</v>
      </c>
      <c r="H11" s="11">
        <f>G11*F11</f>
        <v>1890.0</v>
      </c>
    </row>
    <row r="12">
      <c r="A12" s="7" t="n">
        <v>8</v>
      </c>
      <c r="B12" s="8" t="inlineStr">
        <is>
          <t>Nigiri atún al ají limo (2)</t>
        </is>
      </c>
      <c r="C12" s="9" t="n">
        <v>11</v>
      </c>
      <c r="D12" s="9" t="n">
        <v>2.8</v>
      </c>
      <c r="E12" s="10">
        <f>D12/C12</f>
        <v>0.2545454545454545</v>
      </c>
      <c r="F12" s="8" t="n">
        <v>120</v>
      </c>
      <c r="G12" s="11">
        <f>C12-D12</f>
        <v>8.2</v>
      </c>
      <c r="H12" s="11">
        <f>G12*F12</f>
        <v>983.9999999999999</v>
      </c>
    </row>
    <row r="13">
      <c r="A13" s="7" t="n">
        <v>9</v>
      </c>
      <c r="B13" s="8" t="inlineStr">
        <is>
          <t>Anticucho corazón con miso (3)</t>
        </is>
      </c>
      <c r="C13" s="9" t="n">
        <v>12</v>
      </c>
      <c r="D13" s="9" t="n">
        <v>2.2</v>
      </c>
      <c r="E13" s="10">
        <f>D13/C13</f>
        <v>0.18333333333333335</v>
      </c>
      <c r="F13" s="8" t="n">
        <v>150</v>
      </c>
      <c r="G13" s="11">
        <f>C13-D13</f>
        <v>9.8</v>
      </c>
      <c r="H13" s="11">
        <f>G13*F13</f>
        <v>1470.0</v>
      </c>
    </row>
    <row r="14">
      <c r="A14" s="7" t="n">
        <v>10</v>
      </c>
      <c r="B14" s="8" t="inlineStr">
        <is>
          <t>Anticucho pulpo al olivo nikkei</t>
        </is>
      </c>
      <c r="C14" s="9" t="n">
        <v>18</v>
      </c>
      <c r="D14" s="9" t="n">
        <v>5.5</v>
      </c>
      <c r="E14" s="10">
        <f>D14/C14</f>
        <v>0.3055555555555556</v>
      </c>
      <c r="F14" s="8" t="n">
        <v>70</v>
      </c>
      <c r="G14" s="11">
        <f>C14-D14</f>
        <v>12.5</v>
      </c>
      <c r="H14" s="11">
        <f>G14*F14</f>
        <v>875.0</v>
      </c>
    </row>
    <row r="15">
      <c r="A15" s="7" t="n">
        <v>11</v>
      </c>
      <c r="B15" s="8" t="inlineStr">
        <is>
          <t>Chita a la parrilla robata</t>
        </is>
      </c>
      <c r="C15" s="9" t="n">
        <v>28</v>
      </c>
      <c r="D15" s="9" t="n">
        <v>9</v>
      </c>
      <c r="E15" s="10">
        <f>D15/C15</f>
        <v>0.32142857142857145</v>
      </c>
      <c r="F15" s="8" t="n">
        <v>60</v>
      </c>
      <c r="G15" s="11">
        <f>C15-D15</f>
        <v>19.0</v>
      </c>
      <c r="H15" s="11">
        <f>G15*F15</f>
        <v>1140.0</v>
      </c>
    </row>
    <row r="16">
      <c r="A16" s="7" t="n">
        <v>12</v>
      </c>
      <c r="B16" s="8" t="inlineStr">
        <is>
          <t>Arroz chaufa de mariscos</t>
        </is>
      </c>
      <c r="C16" s="9" t="n">
        <v>16</v>
      </c>
      <c r="D16" s="9" t="n">
        <v>4.5</v>
      </c>
      <c r="E16" s="10">
        <f>D16/C16</f>
        <v>0.28125</v>
      </c>
      <c r="F16" s="8" t="n">
        <v>140</v>
      </c>
      <c r="G16" s="11">
        <f>C16-D16</f>
        <v>11.5</v>
      </c>
      <c r="H16" s="11">
        <f>G16*F16</f>
        <v>1610.0</v>
      </c>
    </row>
    <row r="17">
      <c r="A17" s="7" t="n">
        <v>13</v>
      </c>
      <c r="B17" s="8" t="inlineStr">
        <is>
          <t>Tataki atún con ají amarillo</t>
        </is>
      </c>
      <c r="C17" s="9" t="n">
        <v>20</v>
      </c>
      <c r="D17" s="9" t="n">
        <v>6</v>
      </c>
      <c r="E17" s="10">
        <f>D17/C17</f>
        <v>0.3</v>
      </c>
      <c r="F17" s="8" t="n">
        <v>80</v>
      </c>
      <c r="G17" s="11">
        <f>C17-D17</f>
        <v>14.0</v>
      </c>
      <c r="H17" s="11">
        <f>G17*F17</f>
        <v>1120.0</v>
      </c>
    </row>
    <row r="18">
      <c r="A18" s="7" t="n">
        <v>14</v>
      </c>
      <c r="B18" s="8" t="inlineStr">
        <is>
          <t>Pisco Sour clásico</t>
        </is>
      </c>
      <c r="C18" s="9" t="n">
        <v>12</v>
      </c>
      <c r="D18" s="9" t="n">
        <v>1.8</v>
      </c>
      <c r="E18" s="10">
        <f>D18/C18</f>
        <v>0.15</v>
      </c>
      <c r="F18" s="8" t="n">
        <v>320</v>
      </c>
      <c r="G18" s="11">
        <f>C18-D18</f>
        <v>10.2</v>
      </c>
      <c r="H18" s="11">
        <f>G18*F18</f>
        <v>3264.0</v>
      </c>
    </row>
    <row r="19">
      <c r="A19" s="7" t="n">
        <v>15</v>
      </c>
      <c r="B19" s="8" t="inlineStr">
        <is>
          <t>Chilcano de pisco</t>
        </is>
      </c>
      <c r="C19" s="9" t="n">
        <v>11</v>
      </c>
      <c r="D19" s="9" t="n">
        <v>1.6</v>
      </c>
      <c r="E19" s="10">
        <f>D19/C19</f>
        <v>0.14545454545454548</v>
      </c>
      <c r="F19" s="8" t="n">
        <v>180</v>
      </c>
      <c r="G19" s="11">
        <f>C19-D19</f>
        <v>9.4</v>
      </c>
      <c r="H19" s="11">
        <f>G19*F19</f>
        <v>1692.0</v>
      </c>
    </row>
    <row r="20"/>
    <row r="21"/>
    <row r="22">
      <c r="A22" s="12" t="inlineStr">
        <is>
          <t>AI Chef Pro · aichef.pro — Restaurante Nikkei</t>
        </is>
      </c>
    </row>
  </sheetData>
  <mergeCells count="3">
    <mergeCell ref="A2:J2"/>
    <mergeCell ref="A22:J22"/>
    <mergeCell ref="A1:J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Menú Engineering Matrix — Restaurante Nikkei · Cómo Montar un Restaurante Nikkei 60 Plazas</dc:title>
  <dc:description xmlns:dc="http://purl.org/dc/elements/1.1/">aichef.pro/guia-restaurante-nikkei</dc:description>
  <dc:subject xmlns:dc="http://purl.org/dc/elements/1.1/">Cómo Montar un Restaurante Nikkei 60 Plazas · v1.1</dc:subject>
  <dcterms:created xmlns:dcterms="http://purl.org/dc/terms/" xmlns:xsi="http://www.w3.org/2001/XMLSchema-instance" xsi:type="dcterms:W3CDTF">2026-04-13T23:17:45Z</dcterms:created>
  <dcterms:modified xmlns:dcterms="http://purl.org/dc/terms/" xmlns:xsi="http://www.w3.org/2001/XMLSchema-instance" xsi:type="dcterms:W3CDTF">2026-08-22T09:12:51Z</dcterms:modified>
  <cp:lastModifiedBy>AI Chef Pro</cp:lastModifiedBy>
  <cp:category>AI Chef Pro · Productos digitales</cp:category>
  <cp:keywords>guia restaurante nikkei, AI Chef Pro</cp:keywords>
</cp:coreProperties>
</file>