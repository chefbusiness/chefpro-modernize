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</sheets>
  <definedNames>
    <definedName name="_xlnm.Print_Titles" localSheetId="1">'Escandallo'!$4:$4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Escandallo Maestro — Restaurante Nikkei</t>
        </is>
      </c>
    </row>
    <row r="2">
      <c r="A2" s="2" t="inlineStr">
        <is>
          <t>AI Chef Pro · aichef.pro — Restaurante Nikkei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Una ficha técnica por plato.</t>
        </is>
      </c>
    </row>
    <row r="6">
      <c r="A6" s="4" t="inlineStr">
        <is>
          <t>2. Introduce ingredientes, cantidades y precios.</t>
        </is>
      </c>
    </row>
    <row r="7">
      <c r="A7" s="4" t="inlineStr">
        <is>
          <t>3. El food cost se calcula automáticamente.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aichef.pro/guia-restaurante-nikkei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" t="inlineStr">
        <is>
          <t>Escandallo Maestro — Fichas Técnicas de Platos Nikkei</t>
        </is>
      </c>
    </row>
    <row r="2">
      <c r="A2" s="2" t="inlineStr">
        <is>
          <t>AI Chef Pro · aichef.pro — Restaurante Nikkei</t>
        </is>
      </c>
    </row>
    <row r="3"/>
    <row r="4">
      <c r="A4" s="6" t="inlineStr">
        <is>
          <t>#</t>
        </is>
      </c>
      <c r="B4" s="6" t="inlineStr">
        <is>
          <t>Ingrediente</t>
        </is>
      </c>
      <c r="C4" s="6" t="inlineStr">
        <is>
          <t>Cantidad (g/ml)</t>
        </is>
      </c>
      <c r="D4" s="6" t="inlineStr">
        <is>
          <t>Precio/Kg (€)</t>
        </is>
      </c>
      <c r="E4" s="6" t="inlineStr">
        <is>
          <t>Coste (€)</t>
        </is>
      </c>
      <c r="F4" s="6" t="inlineStr">
        <is>
          <t>Merma (%)</t>
        </is>
      </c>
      <c r="G4" s="6" t="inlineStr">
        <is>
          <t>Coste Real (€)</t>
        </is>
      </c>
    </row>
    <row r="5">
      <c r="A5" s="7" t="n"/>
      <c r="B5" s="8" t="inlineStr">
        <is>
          <t>NOMBRE DEL PLATO:</t>
        </is>
      </c>
      <c r="C5" s="9" t="inlineStr">
        <is>
          <t>Ejemplo: Tiradito de Atún en Leche de Tigre de Ají Amarillo</t>
        </is>
      </c>
    </row>
    <row r="6">
      <c r="A6" s="10" t="n">
        <v>1</v>
      </c>
      <c r="B6" s="9" t="inlineStr">
        <is>
          <t>Atún rojo sashimi-grade (previamente congelado -20°C/24h)</t>
        </is>
      </c>
      <c r="C6" s="9" t="n">
        <v>120</v>
      </c>
      <c r="D6" s="11" t="n">
        <v>55</v>
      </c>
      <c r="E6" s="12">
        <f>(C6/1000)*D6</f>
        <v>6.6</v>
      </c>
      <c r="F6" s="13" t="n">
        <v>0.18</v>
      </c>
      <c r="G6" s="12">
        <f>E6*(1+F6)</f>
        <v>7.787999999999999</v>
      </c>
    </row>
    <row r="7">
      <c r="A7" s="10" t="n">
        <v>2</v>
      </c>
      <c r="B7" s="9" t="inlineStr">
        <is>
          <t>Limón peruano / mezcla lima-limón</t>
        </is>
      </c>
      <c r="C7" s="9" t="n">
        <v>40</v>
      </c>
      <c r="D7" s="11" t="n">
        <v>6</v>
      </c>
      <c r="E7" s="12">
        <f>(C7/1000)*D7</f>
        <v>0.24</v>
      </c>
      <c r="F7" s="13" t="n">
        <v>0.1</v>
      </c>
      <c r="G7" s="12">
        <f>E7*(1+F7)</f>
        <v>0.264</v>
      </c>
    </row>
    <row r="8">
      <c r="A8" s="10" t="n">
        <v>3</v>
      </c>
      <c r="B8" s="9" t="inlineStr">
        <is>
          <t>Ají amarillo en pasta (importación Perú)</t>
        </is>
      </c>
      <c r="C8" s="9" t="n">
        <v>20</v>
      </c>
      <c r="D8" s="11" t="n">
        <v>28</v>
      </c>
      <c r="E8" s="12">
        <f>(C8/1000)*D8</f>
        <v>0.56</v>
      </c>
      <c r="F8" s="13" t="n">
        <v>0</v>
      </c>
      <c r="G8" s="12">
        <f>E8*(1+F8)</f>
        <v>0.56</v>
      </c>
    </row>
    <row r="9">
      <c r="A9" s="10" t="n">
        <v>4</v>
      </c>
      <c r="B9" s="9" t="inlineStr">
        <is>
          <t>Ajo fresco</t>
        </is>
      </c>
      <c r="C9" s="9" t="n">
        <v>5</v>
      </c>
      <c r="D9" s="11" t="n">
        <v>7</v>
      </c>
      <c r="E9" s="12">
        <f>(C9/1000)*D9</f>
        <v>0.035</v>
      </c>
      <c r="F9" s="13" t="n">
        <v>0.1</v>
      </c>
      <c r="G9" s="12">
        <f>E9*(1+F9)</f>
        <v>0.038500000000000006</v>
      </c>
    </row>
    <row r="10">
      <c r="A10" s="10" t="n">
        <v>5</v>
      </c>
      <c r="B10" s="9" t="inlineStr">
        <is>
          <t>Jengibre (kion)</t>
        </is>
      </c>
      <c r="C10" s="9" t="n">
        <v>4</v>
      </c>
      <c r="D10" s="11" t="n">
        <v>9</v>
      </c>
      <c r="E10" s="12">
        <f>(C10/1000)*D10</f>
        <v>0.036000000000000004</v>
      </c>
      <c r="F10" s="13" t="n">
        <v>0.15</v>
      </c>
      <c r="G10" s="12">
        <f>E10*(1+F10)</f>
        <v>0.0414</v>
      </c>
    </row>
    <row r="11">
      <c r="A11" s="10" t="n">
        <v>6</v>
      </c>
      <c r="B11" s="9" t="inlineStr">
        <is>
          <t>Cilantro fresco</t>
        </is>
      </c>
      <c r="C11" s="9" t="n">
        <v>3</v>
      </c>
      <c r="D11" s="11" t="n">
        <v>18</v>
      </c>
      <c r="E11" s="12">
        <f>(C11/1000)*D11</f>
        <v>0.054</v>
      </c>
      <c r="F11" s="13" t="n">
        <v>0.1</v>
      </c>
      <c r="G11" s="12">
        <f>E11*(1+F11)</f>
        <v>0.0594</v>
      </c>
    </row>
    <row r="12">
      <c r="A12" s="10" t="n">
        <v>7</v>
      </c>
      <c r="B12" s="9" t="inlineStr">
        <is>
          <t>Fumet de pescado concentrado</t>
        </is>
      </c>
      <c r="C12" s="9" t="n">
        <v>25</v>
      </c>
      <c r="D12" s="11" t="n">
        <v>8</v>
      </c>
      <c r="E12" s="12">
        <f>(C12/1000)*D12</f>
        <v>0.2</v>
      </c>
      <c r="F12" s="13" t="n">
        <v>0</v>
      </c>
      <c r="G12" s="12">
        <f>E12*(1+F12)</f>
        <v>0.2</v>
      </c>
    </row>
    <row r="13">
      <c r="A13" s="10" t="n">
        <v>8</v>
      </c>
      <c r="B13" s="9" t="inlineStr">
        <is>
          <t>Ají limo fresco (decoración)</t>
        </is>
      </c>
      <c r="C13" s="9" t="n">
        <v>3</v>
      </c>
      <c r="D13" s="11" t="n">
        <v>32</v>
      </c>
      <c r="E13" s="12">
        <f>(C13/1000)*D13</f>
        <v>0.096</v>
      </c>
      <c r="F13" s="13" t="n">
        <v>0</v>
      </c>
      <c r="G13" s="12">
        <f>E13*(1+F13)</f>
        <v>0.096</v>
      </c>
    </row>
    <row r="14">
      <c r="A14" s="10" t="n">
        <v>9</v>
      </c>
      <c r="B14" s="9" t="inlineStr">
        <is>
          <t>Choclo peruano cocido</t>
        </is>
      </c>
      <c r="C14" s="9" t="n">
        <v>25</v>
      </c>
      <c r="D14" s="11" t="n">
        <v>12</v>
      </c>
      <c r="E14" s="12">
        <f>(C14/1000)*D14</f>
        <v>0.30000000000000004</v>
      </c>
      <c r="F14" s="13" t="n">
        <v>0.05</v>
      </c>
      <c r="G14" s="12">
        <f>E14*(1+F14)</f>
        <v>0.31500000000000006</v>
      </c>
    </row>
    <row r="15">
      <c r="A15" s="10" t="n">
        <v>10</v>
      </c>
      <c r="B15" s="9" t="inlineStr">
        <is>
          <t>Camote dulce cocido</t>
        </is>
      </c>
      <c r="C15" s="9" t="n">
        <v>30</v>
      </c>
      <c r="D15" s="11" t="n">
        <v>3.5</v>
      </c>
      <c r="E15" s="12">
        <f>(C15/1000)*D15</f>
        <v>0.105</v>
      </c>
      <c r="F15" s="13" t="n">
        <v>0.1</v>
      </c>
      <c r="G15" s="12">
        <f>E15*(1+F15)</f>
        <v>0.1155</v>
      </c>
    </row>
    <row r="16">
      <c r="A16" s="10" t="n">
        <v>11</v>
      </c>
      <c r="B16" s="9" t="inlineStr">
        <is>
          <t>Cebolla roja juliana</t>
        </is>
      </c>
      <c r="C16" s="9" t="n">
        <v>15</v>
      </c>
      <c r="D16" s="11" t="n">
        <v>2.5</v>
      </c>
      <c r="E16" s="12">
        <f>(C16/1000)*D16</f>
        <v>0.0375</v>
      </c>
      <c r="F16" s="13" t="n">
        <v>0.12</v>
      </c>
      <c r="G16" s="12">
        <f>E16*(1+F16)</f>
        <v>0.042</v>
      </c>
    </row>
    <row r="17">
      <c r="A17" s="10" t="n">
        <v>12</v>
      </c>
      <c r="B17" s="9" t="inlineStr">
        <is>
          <t>Aceite de sésamo (toque japonés)</t>
        </is>
      </c>
      <c r="C17" s="9" t="n">
        <v>3</v>
      </c>
      <c r="D17" s="11" t="n">
        <v>28</v>
      </c>
      <c r="E17" s="12">
        <f>(C17/1000)*D17</f>
        <v>0.084</v>
      </c>
      <c r="F17" s="13" t="n">
        <v>0</v>
      </c>
      <c r="G17" s="12">
        <f>E17*(1+F17)</f>
        <v>0.084</v>
      </c>
    </row>
    <row r="18">
      <c r="A18" s="10" t="n">
        <v>13</v>
      </c>
      <c r="B18" s="9" t="inlineStr">
        <is>
          <t>Salsa soja premium</t>
        </is>
      </c>
      <c r="C18" s="9" t="n">
        <v>5</v>
      </c>
      <c r="D18" s="11" t="n">
        <v>18</v>
      </c>
      <c r="E18" s="12">
        <f>(C18/1000)*D18</f>
        <v>0.09</v>
      </c>
      <c r="F18" s="13" t="n">
        <v>0</v>
      </c>
      <c r="G18" s="12">
        <f>E18*(1+F18)</f>
        <v>0.09</v>
      </c>
    </row>
    <row r="19"/>
    <row r="20">
      <c r="B20" s="8" t="inlineStr">
        <is>
          <t>COSTE TOTAL PLATO</t>
        </is>
      </c>
      <c r="G20" s="14">
        <f>SUM(G6:G18)</f>
        <v>9.6938</v>
      </c>
    </row>
    <row r="21">
      <c r="B21" s="8" t="inlineStr">
        <is>
          <t>PVP sugerido (food cost 33%)</t>
        </is>
      </c>
      <c r="G21" s="12">
        <f>G20/0.33</f>
        <v>29.37515151515151</v>
      </c>
    </row>
    <row r="22">
      <c r="B22" s="8" t="inlineStr">
        <is>
          <t>PVP con IVA (10%)</t>
        </is>
      </c>
      <c r="G22" s="12">
        <f>G21*1.10</f>
        <v>32.312666666666665</v>
      </c>
    </row>
    <row r="23"/>
    <row r="24">
      <c r="A24" s="15" t="inlineStr">
        <is>
          <t>AI Chef Pro · aichef.pro — Restaurante Nikkei</t>
        </is>
      </c>
    </row>
  </sheetData>
  <mergeCells count="3">
    <mergeCell ref="A24:G24"/>
    <mergeCell ref="A2:H2"/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Maestro — Restaurante Nikkei · Cómo Montar un Restaurante Nikkei 60 Plazas</dc:title>
  <dc:description xmlns:dc="http://purl.org/dc/elements/1.1/">aichef.pro/guia-restaurante-nikkei</dc:description>
  <dc:subject xmlns:dc="http://purl.org/dc/elements/1.1/">Cómo Montar un Restaurante Nikkei 60 Plazas · v1.1</dc:subject>
  <dcterms:created xmlns:dcterms="http://purl.org/dc/terms/" xmlns:xsi="http://www.w3.org/2001/XMLSchema-instance" xsi:type="dcterms:W3CDTF">2026-04-13T23:17:45Z</dcterms:created>
  <dcterms:modified xmlns:dcterms="http://purl.org/dc/terms/" xmlns:xsi="http://www.w3.org/2001/XMLSchema-instance" xsi:type="dcterms:W3CDTF">2026-08-22T09:12:51Z</dcterms:modified>
  <cp:lastModifiedBy>AI Chef Pro</cp:lastModifiedBy>
  <cp:category>AI Chef Pro · Productos digitales</cp:category>
  <cp:keywords>guia restaurante nikkei, AI Chef Pro</cp:keywords>
</cp:coreProperties>
</file>