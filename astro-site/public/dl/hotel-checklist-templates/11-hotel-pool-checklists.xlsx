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ol Opening" sheetId="2" state="visible" r:id="rId2"/>
    <sheet xmlns:r="http://schemas.openxmlformats.org/officeDocument/2006/relationships" name="Pool Closing" sheetId="3" state="visible" r:id="rId3"/>
    <sheet xmlns:r="http://schemas.openxmlformats.org/officeDocument/2006/relationships" name="Weekly Pool Maintenance" sheetId="4" state="visible" r:id="rId4"/>
    <sheet xmlns:r="http://schemas.openxmlformats.org/officeDocument/2006/relationships" name="Towel Service" sheetId="5" state="visible" r:id="rId5"/>
  </sheets>
  <definedNames>
    <definedName name="_xlnm.Print_Titles" localSheetId="1">'Pool Opening'!$5:$5</definedName>
    <definedName name="_xlnm.Print_Titles" localSheetId="2">'Pool Closing'!$5:$5</definedName>
    <definedName name="_xlnm.Print_Titles" localSheetId="3">'Weekly Pool Maintenance'!$5:$5</definedName>
    <definedName name="_xlnm.Print_Titles" localSheetId="4">'Towel Service'!$5:$5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17" t="inlineStr">
        <is>
          <t>11 · Hotel Pool Checklists: Daily Opening &amp; Closing, Weekly Maintenance &amp; Towel Service</t>
        </is>
      </c>
    </row>
    <row r="4">
      <c r="B4" s="2" t="inlineStr">
        <is>
          <t>How to use this template:</t>
        </is>
      </c>
    </row>
    <row r="5">
      <c r="B5" s="3" t="inlineStr">
        <is>
          <t>▸ 4 checklists: opening, closing, weekly maintenance and towel service.</t>
        </is>
      </c>
    </row>
    <row r="6">
      <c r="B6" s="18" t="inlineStr">
        <is>
          <t>▸ Includes chemical control, safety and code compliance (MAHC 2024 and your state or county pool code).</t>
        </is>
      </c>
    </row>
    <row r="7">
      <c r="B7" s="18" t="inlineStr">
        <is>
          <t>▸ MAHC 2024 (CDC model code; your state or local code governs): free chlorine at least 1.0 ppm (2.0 ppm with cyanuric acid / stabilizer) and pH 7.0–7.8; test before opening and every 2 h with manual dosing or every 4 h with automatic; keep the pool log 3 years, available to the inspector.</t>
        </is>
      </c>
    </row>
    <row r="9">
      <c r="B9" s="2" t="inlineStr">
        <is>
          <t>Customization:</t>
        </is>
      </c>
    </row>
    <row r="10">
      <c r="B10" s="18" t="inlineStr">
        <is>
          <t>▸ Adjust to your state or county pool code: the MAHC is a model code; many states require a qualified operator (e.g., Texas accepts the CPO course).</t>
        </is>
      </c>
    </row>
    <row r="11">
      <c r="B11" s="3" t="inlineStr">
        <is>
          <t>▸ Add specific protocols if you have a heated indoor pool.</t>
        </is>
      </c>
    </row>
    <row r="13">
      <c r="B13" s="18" t="inlineStr">
        <is>
          <t>Designed by John Guerrero — chef and restaurant consultant since 2010, in professional kitchens since age 17 · johnguerrero.es</t>
        </is>
      </c>
    </row>
    <row r="14">
      <c r="B14" s="18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Pool Opening — Daily Checklist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Water and safety control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Measure free chlorine and pH and record them in the pool log: free chlorine at least 1.0 ppm (2.0 with CYA), pH 7.0–7.8, before opening and every 2 h (manual) or 4 h (automatic); if a reading is out of range, keep the pool closed until it is corrected; keep records 3 years (MAHC 2024; your state or local code governs)</t>
        </is>
      </c>
      <c r="C6" s="10" t="inlineStr">
        <is>
          <t>Pool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Run the automatic or manual pool cleaner and skim leaves with a net</t>
        </is>
      </c>
      <c r="C7" s="10" t="inlineStr">
        <is>
          <t>Pool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the water level and top off if needed</t>
        </is>
      </c>
      <c r="C8" s="10" t="inlineStr">
        <is>
          <t>Pool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Clean the pool edges, deck and shower area</t>
        </is>
      </c>
      <c r="C9" s="10" t="inlineStr">
        <is>
          <t>Pool</t>
        </is>
      </c>
      <c r="D9" s="11" t="n"/>
      <c r="E9" s="12" t="n"/>
      <c r="F9" s="11" t="n"/>
      <c r="G9" s="13" t="n"/>
    </row>
    <row r="11">
      <c r="A11" s="6" t="inlineStr">
        <is>
          <t>Area setup</t>
        </is>
      </c>
    </row>
    <row r="12">
      <c r="A12" s="7" t="inlineStr">
        <is>
          <t>#</t>
        </is>
      </c>
      <c r="B12" s="7" t="inlineStr">
        <is>
          <t>Task</t>
        </is>
      </c>
      <c r="C12" s="7" t="inlineStr">
        <is>
          <t>Area</t>
        </is>
      </c>
      <c r="D12" s="7" t="inlineStr">
        <is>
          <t>Assigned to</t>
        </is>
      </c>
      <c r="E12" s="7" t="inlineStr">
        <is>
          <t>✓</t>
        </is>
      </c>
      <c r="F12" s="7" t="inlineStr">
        <is>
          <t>Time</t>
        </is>
      </c>
      <c r="G12" s="7" t="inlineStr">
        <is>
          <t>Notes</t>
        </is>
      </c>
    </row>
    <row r="13">
      <c r="A13" s="8" t="n">
        <v>1</v>
      </c>
      <c r="B13" s="9" t="inlineStr">
        <is>
          <t>Set out loungers and umbrellas per the established layout</t>
        </is>
      </c>
      <c r="C13" s="10" t="inlineStr">
        <is>
          <t>Pool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Place depth markers and rules signs where visible; if no lifeguard is on duty, post "No Lifeguard on Duty" and that children under 14 need direct supervision by an adult 18 or older, with hours (MAHC 2024 §6.4.2.2.3.4)</t>
        </is>
      </c>
      <c r="C14" s="10" t="inlineStr">
        <is>
          <t>Pool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Check the ring buoy with rope, reaching pole, first aid kit and emergency phone are in place and working</t>
        </is>
      </c>
      <c r="C15" s="10" t="inlineStr">
        <is>
          <t>Pool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Clean showers and foot rinses and check they work</t>
        </is>
      </c>
      <c r="C16" s="10" t="inlineStr">
        <is>
          <t>Pool</t>
        </is>
      </c>
      <c r="D16" s="11" t="n"/>
      <c r="E16" s="12" t="n"/>
      <c r="F16" s="11" t="n"/>
      <c r="G16" s="13" t="n"/>
    </row>
    <row r="17">
      <c r="B17" s="16" t="inlineStr">
        <is>
          <t>Tasks done:</t>
        </is>
      </c>
      <c r="C17">
        <f>COUNTIFS(B6:B16,"?*",E6:E16,"✓")-COUNTIFS(B6:B16,"Task",E6:E16,"✓")</f>
        <v>0.0</v>
      </c>
      <c r="D17" t="inlineStr">
        <is>
          <t>of</t>
        </is>
      </c>
      <c r="E17">
        <f>COUNTIF(B6:B16,"?*")-COUNTIF(B6:B16,"Task")-COUNTIF(E6:E16,"N/A")</f>
        <v>8.0</v>
      </c>
    </row>
    <row r="18">
      <c r="A18" s="14" t="inlineStr">
        <is>
          <t>Signed off by: _________________  Date: ___/___/______</t>
        </is>
      </c>
    </row>
    <row r="19">
      <c r="A19" s="14" t="inlineStr">
        <is>
          <t>© 2026 AI Chef Pro · aichef.pro</t>
        </is>
      </c>
    </row>
  </sheetData>
  <mergeCells count="6">
    <mergeCell ref="A1:G1"/>
    <mergeCell ref="A18:G18"/>
    <mergeCell ref="A4:G4"/>
    <mergeCell ref="A2:G2"/>
    <mergeCell ref="A19:G19"/>
    <mergeCell ref="A11:G11"/>
  </mergeCells>
  <conditionalFormatting sqref="A6:G16">
    <cfRule type="expression" priority="1" dxfId="0">
      <formula>AND($E6="✓",$B6&lt;&gt;"Task")</formula>
    </cfRule>
  </conditionalFormatting>
  <dataValidations count="1">
    <dataValidation sqref="E6 E7 E8 E9 E13 E14 E15 E16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Pool Closing — Daily Checklist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Pickup and closing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Collect all abandoned towels and send to laundry</t>
        </is>
      </c>
      <c r="C6" s="10" t="inlineStr">
        <is>
          <t>Pool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Stack loungers and cover with tarps if applicable</t>
        </is>
      </c>
      <c r="C7" s="10" t="inlineStr">
        <is>
          <t>Pool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Second free chlorine and pH reading, in the pool log (every 2 or 4 h by dosing type, MAHC 2024 §5.7.5)</t>
        </is>
      </c>
      <c r="C8" s="10" t="inlineStr">
        <is>
          <t>Pool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pool is empty of swimmers</t>
        </is>
      </c>
      <c r="C9" s="10" t="inlineStr">
        <is>
          <t>Pool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Turn off pool area lighting</t>
        </is>
      </c>
      <c r="C10" s="10" t="inlineStr">
        <is>
          <t>Pool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Collect pool toys/floats and store</t>
        </is>
      </c>
      <c r="C11" s="10" t="inlineStr">
        <is>
          <t>Pool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Close pool access: self-closing, self-latching gate per your state code</t>
        </is>
      </c>
      <c r="C12" s="10" t="inlineStr">
        <is>
          <t>Pool</t>
        </is>
      </c>
      <c r="D12" s="11" t="n"/>
      <c r="E12" s="12" t="n"/>
      <c r="F12" s="11" t="n"/>
      <c r="G12" s="13" t="n"/>
    </row>
    <row r="13">
      <c r="B13" s="16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Weekly Pool Maintenance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Technical maintenance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Backwash the filtration system</t>
        </is>
      </c>
      <c r="C6" s="10" t="inlineStr">
        <is>
          <t>Pool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circulation pumps and automatic dosing</t>
        </is>
      </c>
      <c r="C7" s="10" t="inlineStr">
        <is>
          <t>Pool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chemical stock in storage: stored separately, labeled, with SDS and PPE at hand (OSHA HazCom 29 CFR 1910.1200); weekly total alkalinity (MAHC 2024 §5.7.5)</t>
        </is>
      </c>
      <c r="C8" s="10" t="inlineStr">
        <is>
          <t>Pool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Clean skimmers, overflow grates and drains; check drain covers are intact, bolted down and within their service life (Virginia Graeme Baker Act, 15 U.S.C. 8003)</t>
        </is>
      </c>
      <c r="C9" s="10" t="inlineStr">
        <is>
          <t>Pool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ladders, handrails and pool shell joints</t>
        </is>
      </c>
      <c r="C10" s="10" t="inlineStr">
        <is>
          <t>Pool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underwater and exterior lighting</t>
        </is>
      </c>
      <c r="C11" s="10" t="inlineStr">
        <is>
          <t>Pool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Update the pool log with all actions (kept 3 years, MAHC 2024 §6.4.1.2.1)</t>
        </is>
      </c>
      <c r="C12" s="10" t="inlineStr">
        <is>
          <t>Pool</t>
        </is>
      </c>
      <c r="D12" s="11" t="n"/>
      <c r="E12" s="12" t="n"/>
      <c r="F12" s="11" t="n"/>
      <c r="G12" s="13" t="n"/>
    </row>
    <row r="13">
      <c r="B13" s="16" t="inlineStr">
        <is>
          <t>Tasks done:</t>
        </is>
      </c>
      <c r="C13">
        <f>COUNTIFS(B6:B12,"?*",E6:E12,"✓")-COUNTIFS(B6:B12,"Task",E6:E12,"✓")</f>
        <v>0.0</v>
      </c>
      <c r="D13" t="inlineStr">
        <is>
          <t>of</t>
        </is>
      </c>
      <c r="E13">
        <f>COUNTIF(B6:B12,"?*")-COUNTIF(B6:B12,"Task")-COUNTIF(E6:E12,"N/A")</f>
        <v>7.0</v>
      </c>
    </row>
    <row r="14">
      <c r="A14" s="14" t="inlineStr">
        <is>
          <t>Signed off by: _________________  Date: ___/___/______</t>
        </is>
      </c>
    </row>
    <row r="15">
      <c r="A15" s="14" t="inlineStr">
        <is>
          <t>© 2026 AI Chef Pro · aichef.pro</t>
        </is>
      </c>
    </row>
  </sheetData>
  <mergeCells count="5">
    <mergeCell ref="A14:G14"/>
    <mergeCell ref="A1:G1"/>
    <mergeCell ref="A4:G4"/>
    <mergeCell ref="A2:G2"/>
    <mergeCell ref="A15:G15"/>
  </mergeCells>
  <conditionalFormatting sqref="A6:G12">
    <cfRule type="expression" priority="1" dxfId="0">
      <formula>$E6="✓"</formula>
    </cfRule>
  </conditionalFormatting>
  <dataValidations count="1">
    <dataValidation sqref="E6 E7 E8 E9 E10 E11 E12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0F7FA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Pool Towel Service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Towel operations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Set up the towel station with enough stock</t>
        </is>
      </c>
      <c r="C6" s="10" t="inlineStr">
        <is>
          <t>Pool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Distribution system: by room, wristband or towel card</t>
        </is>
      </c>
      <c r="C7" s="10" t="inlineStr">
        <is>
          <t>Pool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Restock at midday (second delivery from laundry)</t>
        </is>
      </c>
      <c r="C8" s="10" t="inlineStr">
        <is>
          <t>Pool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Collect abandoned towels from loungers every hour</t>
        </is>
      </c>
      <c r="C9" s="10" t="inlineStr">
        <is>
          <t>Pool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Final towel count and send to laundry with a linen count sheet</t>
        </is>
      </c>
      <c r="C10" s="10" t="inlineStr">
        <is>
          <t>Pool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Log losses and shrinkage (room charge if applicable)</t>
        </is>
      </c>
      <c r="C11" s="15" t="inlineStr">
        <is>
          <t>Admin</t>
        </is>
      </c>
      <c r="D11" s="11" t="n"/>
      <c r="E11" s="12" t="n"/>
      <c r="F11" s="11" t="n"/>
      <c r="G11" s="13" t="n"/>
    </row>
    <row r="12">
      <c r="B12" s="16" t="inlineStr">
        <is>
          <t>Tasks done:</t>
        </is>
      </c>
      <c r="C12">
        <f>COUNTIFS(B6:B11,"?*",E6:E11,"✓")-COUNTIFS(B6:B11,"Task",E6:E11,"✓")</f>
        <v>0.0</v>
      </c>
      <c r="D12" t="inlineStr">
        <is>
          <t>of</t>
        </is>
      </c>
      <c r="E12">
        <f>COUNTIF(B6:B11,"?*")-COUNTIF(B6:B11,"Task")-COUNTIF(E6:E11,"N/A")</f>
        <v>6.0</v>
      </c>
    </row>
    <row r="13">
      <c r="A13" s="14" t="inlineStr">
        <is>
          <t>Signed off by: _________________  Date: ___/___/______</t>
        </is>
      </c>
    </row>
    <row r="14">
      <c r="A14" s="14" t="inlineStr">
        <is>
          <t>© 2026 AI Chef Pro · aichef.pro</t>
        </is>
      </c>
    </row>
  </sheetData>
  <mergeCells count="5">
    <mergeCell ref="A13:G13"/>
    <mergeCell ref="A14:G14"/>
    <mergeCell ref="A1:G1"/>
    <mergeCell ref="A4:G4"/>
    <mergeCell ref="A2:G2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Pool Checklists: Daily Opening &amp; Closing, Weekly Maintenance &amp; Towel Service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2026-10-27T07:30:33Z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