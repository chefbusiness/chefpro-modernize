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steurización" sheetId="2" state="visible" r:id="rId2"/>
    <sheet xmlns:r="http://schemas.openxmlformats.org/officeDocument/2006/relationships" name="Mantecación" sheetId="3" state="visible" r:id="rId3"/>
  </sheets>
  <definedNames>
    <definedName name="_xlnm.Print_Titles" localSheetId="1">'Pasteurización'!$5:$5</definedName>
    <definedName name="_xlnm.Print_Titles" localSheetId="2">'Mantecación'!$5:$5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02 · Partidas de Producción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para las dos fases clave de producción de helado artesanal.</t>
        </is>
      </c>
    </row>
    <row r="6">
      <c r="B6" s="3" t="inlineStr">
        <is>
          <t>▸ Pasteurización: mezcla, tratamiento térmico, enfriamiento y maduración.</t>
        </is>
      </c>
    </row>
    <row r="7">
      <c r="B7" s="3" t="inlineStr">
        <is>
          <t>▸ Mantecación: texturización, extracción, abatimiento y almacenaje.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temperaturas y tiempos a tu maquinaria y recetas.</t>
        </is>
      </c>
    </row>
    <row r="11">
      <c r="B11" s="3" t="inlineStr">
        <is>
          <t>▸ Usa las notas para registrar lotes, rendimientos y overrun.</t>
        </is>
      </c>
    </row>
    <row r="12">
      <c r="B12" s="3" t="inlineStr">
        <is>
          <t>▸ Imprime y deja en el obrador junto a las fichas técnicas.</t>
        </is>
      </c>
    </row>
    <row r="13"/>
    <row r="14">
      <c r="B14" s="2" t="inlineStr">
        <is>
          <t>Vida útil y caducidades:</t>
        </is>
      </c>
    </row>
    <row r="15">
      <c r="B15" s="3" t="inlineStr">
        <is>
          <t>▸ Al pie de «Mantecación» tienes una tabla editable de vida útil por familia: ajústala a tu producto y a tu proveedor. Está fuera del contador porque es una referencia, no una tarea.</t>
        </is>
      </c>
    </row>
    <row r="16">
      <c r="B16" s="3" t="inlineStr">
        <is>
          <t>▸ La mezcla base pasteurizada NO se congela: se madura a 2-4 °C y se manteca en 3-5 días. Lo que se congela es el producto terminado, a −18 °C.</t>
        </is>
      </c>
    </row>
    <row r="17"/>
    <row r="18">
      <c r="B18" s="3" t="inlineStr">
        <is>
          <t>Diseñado por John Guerrero — chef y consultor gastronómico desde 2010, en cocina desde los 17 años · johnguerrero.es</t>
        </is>
      </c>
    </row>
    <row r="19">
      <c r="B19" s="3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Partida de Pasteurización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Preparación de la mezcla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Pesar todos los ingredientes según ficha técnica del sabor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Mezclar ingredientes secos (azúcares, estabilizantes, leche en polvo)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Añadir líquidos (leche, nata) al pasteurizador</t>
        </is>
      </c>
      <c r="C8" s="10" t="inlineStr">
        <is>
          <t>Pasteurizador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Incorporar mezcla de secos sobre líquidos con batidora/turbo</t>
        </is>
      </c>
      <c r="C9" s="10" t="inlineStr">
        <is>
          <t>Pasteurizador</t>
        </is>
      </c>
      <c r="D9" s="11" t="n"/>
      <c r="E9" s="12" t="n"/>
      <c r="F9" s="11" t="n"/>
      <c r="G9" s="13" t="n"/>
    </row>
    <row r="10"/>
    <row r="11">
      <c r="A11" s="6" t="inlineStr">
        <is>
          <t>Pasteurización y enfriamiento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Añadir grasas y emulsionantes al alcanzar 40-50 °C en ascenso</t>
        </is>
      </c>
      <c r="C13" s="10" t="inlineStr">
        <is>
          <t>Pasteurizador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Pasteurizar a 85 °C durante 15 segundos (alta pasteurización)</t>
        </is>
      </c>
      <c r="C14" s="10" t="inlineStr">
        <is>
          <t>Pasteurizador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Enfriar rápidamente a 4 °C en abatidor o ciclo de enfriamiento</t>
        </is>
      </c>
      <c r="C15" s="14" t="inlineStr">
        <is>
          <t>Abatidor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Verificar temperatura final de la mezcla (&lt;4 °C)</t>
        </is>
      </c>
      <c r="C16" s="10" t="inlineStr">
        <is>
          <t>Obrador</t>
        </is>
      </c>
      <c r="D16" s="11" t="n"/>
      <c r="E16" s="12" t="n"/>
      <c r="F16" s="11" t="n"/>
      <c r="G16" s="13" t="n"/>
    </row>
    <row r="17"/>
    <row r="18">
      <c r="A18" s="6" t="inlineStr">
        <is>
          <t>Maduración</t>
        </is>
      </c>
    </row>
    <row r="19">
      <c r="A19" s="7" t="inlineStr">
        <is>
          <t>#</t>
        </is>
      </c>
      <c r="B19" s="7" t="inlineStr">
        <is>
          <t>Tarea</t>
        </is>
      </c>
      <c r="C19" s="7" t="inlineStr">
        <is>
          <t>Zona</t>
        </is>
      </c>
      <c r="D19" s="7" t="inlineStr">
        <is>
          <t>Responsable</t>
        </is>
      </c>
      <c r="E19" s="7" t="inlineStr">
        <is>
          <t>✓</t>
        </is>
      </c>
      <c r="F19" s="7" t="inlineStr">
        <is>
          <t>Hora</t>
        </is>
      </c>
      <c r="G19" s="7" t="inlineStr">
        <is>
          <t>Notas</t>
        </is>
      </c>
    </row>
    <row r="20">
      <c r="A20" s="8" t="n">
        <v>1</v>
      </c>
      <c r="B20" s="9" t="inlineStr">
        <is>
          <t>Trasvasar mezcla a contenedor de maduración limpio</t>
        </is>
      </c>
      <c r="C20" s="14" t="inlineStr">
        <is>
          <t>Maduración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Etiquetar: sabor, fecha, hora inicio maduración, lote</t>
        </is>
      </c>
      <c r="C21" s="14" t="inlineStr">
        <is>
          <t>Maduración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Respetar tiempo de maduración: mínimo 4h, óptimo 8-12h a 2-4 °C</t>
        </is>
      </c>
      <c r="C22" s="14" t="inlineStr">
        <is>
          <t>Maduración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Limpiar y desinfectar pasteurizador tras cada uso</t>
        </is>
      </c>
      <c r="C23" s="15" t="inlineStr">
        <is>
          <t>Limpieza</t>
        </is>
      </c>
      <c r="D23" s="11" t="n"/>
      <c r="E23" s="12" t="n"/>
      <c r="F23" s="11" t="n"/>
      <c r="G23" s="13" t="n"/>
    </row>
    <row r="24">
      <c r="A24" s="8" t="n">
        <v>5</v>
      </c>
      <c r="B24" s="9" t="inlineStr">
        <is>
          <t>Registrar lote de producción en hoja de trazabilidad</t>
        </is>
      </c>
      <c r="C24" s="16" t="inlineStr">
        <is>
          <t>Admin</t>
        </is>
      </c>
      <c r="D24" s="11" t="n"/>
      <c r="E24" s="12" t="n"/>
      <c r="F24" s="11" t="n"/>
      <c r="G24" s="13" t="n"/>
    </row>
    <row r="25">
      <c r="B25" s="18" t="inlineStr">
        <is>
          <t>Tareas completadas:</t>
        </is>
      </c>
      <c r="C25">
        <f>COUNTIFS(B6:B24,"?*",E6:E24,"✓")-COUNTIFS(B6:B24,"Tarea",E6:E24,"✓")</f>
        <v>0.0</v>
      </c>
      <c r="D25" t="inlineStr">
        <is>
          <t>de</t>
        </is>
      </c>
      <c r="E25">
        <f>COUNTIF(B6:B24,"?*")-COUNTIF(B6:B24,"Tarea")-COUNTIF(E6:E24,"N/A")</f>
        <v>13.0</v>
      </c>
    </row>
    <row r="26">
      <c r="A26" s="17" t="inlineStr">
        <is>
          <t>Firma responsable: _________________  Fecha: ___/___/______</t>
        </is>
      </c>
    </row>
    <row r="27">
      <c r="A27" s="17" t="inlineStr">
        <is>
          <t>© 2026 AI Chef Pro · aichef.pro</t>
        </is>
      </c>
    </row>
  </sheetData>
  <mergeCells count="7">
    <mergeCell ref="A4:G4"/>
    <mergeCell ref="A1:G1"/>
    <mergeCell ref="A27:G27"/>
    <mergeCell ref="A2:G2"/>
    <mergeCell ref="A18:G18"/>
    <mergeCell ref="A11:G11"/>
    <mergeCell ref="A26:G26"/>
  </mergeCells>
  <conditionalFormatting sqref="A6:G24">
    <cfRule type="expression" priority="1" dxfId="0">
      <formula>$E6="✓"</formula>
    </cfRule>
  </conditionalFormatting>
  <dataValidations count="1">
    <dataValidation sqref="E6 E7 E8 E9 E13 E14 E15 E16 E20 E21 E22 E23 E2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Partida de Mantecación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Preparación de mantecación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que la mezcla ha completado tiempo de maduración</t>
        </is>
      </c>
      <c r="C6" s="14" t="inlineStr">
        <is>
          <t>Maduración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Agitar suavemente la mezcla antes de verter en mantecadora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Programar mantecadora: crema −7 °C/−9 °C | sorbete −10 °C/−12 °C</t>
        </is>
      </c>
      <c r="C8" s="10" t="inlineStr">
        <is>
          <t>Mantecadora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Preparar cubetas pre-enfriadas en congelador (−20 °C)</t>
        </is>
      </c>
      <c r="C9" s="14" t="inlineStr">
        <is>
          <t>Cámara</t>
        </is>
      </c>
      <c r="D9" s="11" t="n"/>
      <c r="E9" s="12" t="n"/>
      <c r="F9" s="11" t="n"/>
      <c r="G9" s="13" t="n"/>
    </row>
    <row r="10"/>
    <row r="11">
      <c r="A11" s="6" t="inlineStr">
        <is>
          <t>Mantecación y extracción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Verter mezcla en mantecadora y comenzar ciclo</t>
        </is>
      </c>
      <c r="C13" s="10" t="inlineStr">
        <is>
          <t>Mantecadora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Añadir variegatos, inclusiones o ripple en último minuto si procede</t>
        </is>
      </c>
      <c r="C14" s="10" t="inlineStr">
        <is>
          <t>Mantecadora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Extraer helado en cubeta pre-enfriada con espátula</t>
        </is>
      </c>
      <c r="C15" s="10" t="inlineStr">
        <is>
          <t>Obrador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Etiquetar cubeta: sabor, fecha de producción, caducidad y lote — la vida útil por familia está en la tabla del pie de esta hoja</t>
        </is>
      </c>
      <c r="C16" s="10" t="inlineStr">
        <is>
          <t>Obrador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Pesar cubeta y registrar rendimiento / overrun</t>
        </is>
      </c>
      <c r="C17" s="10" t="inlineStr">
        <is>
          <t>Obrador</t>
        </is>
      </c>
      <c r="D17" s="11" t="n"/>
      <c r="E17" s="12" t="n"/>
      <c r="F17" s="11" t="n"/>
      <c r="G17" s="13" t="n"/>
    </row>
    <row r="18"/>
    <row r="19">
      <c r="A19" s="6" t="inlineStr">
        <is>
          <t>Abatimiento y almacenaje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Abatir cubeta a −18 °C en abatidor (ciclo de congelación)</t>
        </is>
      </c>
      <c r="C21" s="14" t="inlineStr">
        <is>
          <t>Abatidor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Trasladar cubeta a cámara de conservación −18 °C/−20 °C</t>
        </is>
      </c>
      <c r="C22" s="14" t="inlineStr">
        <is>
          <t>Cámara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Registrar producción del día: sabor, kg, lote, destino</t>
        </is>
      </c>
      <c r="C23" s="16" t="inlineStr">
        <is>
          <t>Admin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Limpiar mantecadora: desmontar cuchillas, batidor y junta; el cilindro se limpia en su sitio</t>
        </is>
      </c>
      <c r="C24" s="15" t="inlineStr">
        <is>
          <t>Limpieza</t>
        </is>
      </c>
      <c r="D24" s="11" t="n"/>
      <c r="E24" s="12" t="n"/>
      <c r="F24" s="11" t="n"/>
      <c r="G24" s="13" t="n"/>
    </row>
    <row r="25">
      <c r="A25" s="8" t="n">
        <v>5</v>
      </c>
      <c r="B25" s="9" t="inlineStr">
        <is>
          <t>Desinfectar superficies de obrador y utensilios utilizados</t>
        </is>
      </c>
      <c r="C25" s="15" t="inlineStr">
        <is>
          <t>Limpieza</t>
        </is>
      </c>
      <c r="D25" s="11" t="n"/>
      <c r="E25" s="12" t="n"/>
      <c r="F25" s="11" t="n"/>
      <c r="G25" s="13" t="n"/>
    </row>
    <row r="26">
      <c r="B26" s="18" t="inlineStr">
        <is>
          <t>Tareas completadas:</t>
        </is>
      </c>
      <c r="C26">
        <f>COUNTIFS(B6:B25,"?*",E6:E25,"✓")-COUNTIFS(B6:B25,"Tarea",E6:E25,"✓")</f>
        <v>0.0</v>
      </c>
      <c r="D26" t="inlineStr">
        <is>
          <t>de</t>
        </is>
      </c>
      <c r="E26">
        <f>COUNTIF(B6:B25,"?*")-COUNTIF(B6:B25,"Tarea")-COUNTIF(E6:E25,"N/A")</f>
        <v>14.0</v>
      </c>
    </row>
    <row r="27">
      <c r="A27" s="17" t="inlineStr">
        <is>
          <t>Firma responsable: _________________  Fecha: ___/___/______</t>
        </is>
      </c>
    </row>
    <row r="28">
      <c r="A28" s="17" t="n"/>
    </row>
    <row r="29">
      <c r="A29" s="6" t="inlineStr">
        <is>
          <t>VIDA ÚTIL ORIENTATIVA — ajústala a tu producto, a tu maquinaria y a tu proveedor</t>
        </is>
      </c>
    </row>
    <row r="30">
      <c r="A30" s="7" t="n"/>
      <c r="B30" s="7" t="inlineStr">
        <is>
          <t>Familia</t>
        </is>
      </c>
      <c r="C30" s="7" t="inlineStr">
        <is>
          <t>Vida útil</t>
        </is>
      </c>
      <c r="D30" s="7" t="inlineStr">
        <is>
          <t>Notas</t>
        </is>
      </c>
      <c r="E30" s="19" t="n"/>
      <c r="F30" s="19" t="n"/>
      <c r="G30" s="20" t="n"/>
    </row>
    <row r="31">
      <c r="A31" s="8" t="n"/>
      <c r="B31" s="21" t="inlineStr">
        <is>
          <t>Helado y sorbete artesanal en cubeta tapada</t>
        </is>
      </c>
      <c r="C31" s="22" t="inlineStr">
        <is>
          <t>2-3 meses a −18 °C</t>
        </is>
      </c>
      <c r="D31" s="23" t="inlineStr">
        <is>
          <t>En vitrina de servicio la calidad cae en 3-5 días: rota por sabor, no por la fecha larga de la cámara</t>
        </is>
      </c>
      <c r="E31" s="19" t="n"/>
      <c r="F31" s="19" t="n"/>
      <c r="G31" s="20" t="n"/>
    </row>
    <row r="32">
      <c r="A32" s="8" t="n"/>
      <c r="B32" s="21" t="inlineStr">
        <is>
          <t>Mezcla base pasteurizada, sin mantecar</t>
        </is>
      </c>
      <c r="C32" s="22" t="inlineStr">
        <is>
          <t>3-5 días a 2-4 °C</t>
        </is>
      </c>
      <c r="D32" s="23" t="inlineStr">
        <is>
          <t>La base no se congela: al descongelar se separa y pierde estructura</t>
        </is>
      </c>
      <c r="E32" s="19" t="n"/>
      <c r="F32" s="19" t="n"/>
      <c r="G32" s="20" t="n"/>
    </row>
    <row r="33">
      <c r="A33" s="8" t="n"/>
      <c r="B33" s="21" t="inlineStr">
        <is>
          <t>Tarta helada y semifrío montados</t>
        </is>
      </c>
      <c r="C33" s="22" t="inlineStr">
        <is>
          <t>1 mes a −18 °C</t>
        </is>
      </c>
      <c r="D33" s="23" t="inlineStr">
        <is>
          <t>Envueltos y en caja: absorben el olor de la cámara con una facilidad enorme</t>
        </is>
      </c>
      <c r="E33" s="19" t="n"/>
      <c r="F33" s="19" t="n"/>
      <c r="G33" s="20" t="n"/>
    </row>
    <row r="34">
      <c r="A34" s="8" t="n"/>
      <c r="B34" s="21" t="inlineStr">
        <is>
          <t>Fruta y purés de fruta congelados</t>
        </is>
      </c>
      <c r="C34" s="22" t="inlineStr">
        <is>
          <t>6-12 meses a −18 °C</t>
        </is>
      </c>
      <c r="D34" s="23" t="inlineStr">
        <is>
          <t>Congela en porciones de un solo uso: descongelar y volver a congelar no se hace</t>
        </is>
      </c>
      <c r="E34" s="19" t="n"/>
      <c r="F34" s="19" t="n"/>
      <c r="G34" s="20" t="n"/>
    </row>
    <row r="35">
      <c r="A35" s="8" t="n"/>
      <c r="B35" s="21" t="inlineStr">
        <is>
          <t>Frutos secos, pastas y pralinés</t>
        </is>
      </c>
      <c r="C35" s="22" t="inlineStr">
        <is>
          <t>6 meses a −18 °C · 2-3 meses en frío</t>
        </is>
      </c>
      <c r="D35" s="23" t="inlineStr">
        <is>
          <t>La grasa del fruto seco se enrancia sin avisar: fecha de apertura en el bote, siempre</t>
        </is>
      </c>
      <c r="E35" s="19" t="n"/>
      <c r="F35" s="19" t="n"/>
      <c r="G35" s="20" t="n"/>
    </row>
    <row r="36">
      <c r="A36" s="8" t="n"/>
      <c r="B36" s="21" t="inlineStr">
        <is>
          <t>Variegatos, salsas y toppings abiertos</t>
        </is>
      </c>
      <c r="C36" s="22" t="inlineStr">
        <is>
          <t>Lo que diga el fabricante</t>
        </is>
      </c>
      <c r="D36" s="23" t="inlineStr">
        <is>
          <t>El plazo cuenta desde la APERTURA: anótala en el envase el mismo día</t>
        </is>
      </c>
      <c r="E36" s="19" t="n"/>
      <c r="F36" s="19" t="n"/>
      <c r="G36" s="20" t="n"/>
    </row>
    <row r="37">
      <c r="A37" s="17" t="inlineStr">
        <is>
          <t>© 2026 AI Chef Pro · aichef.pro</t>
        </is>
      </c>
    </row>
  </sheetData>
  <mergeCells count="15">
    <mergeCell ref="D36:G36"/>
    <mergeCell ref="A4:G4"/>
    <mergeCell ref="D31:G31"/>
    <mergeCell ref="A1:G1"/>
    <mergeCell ref="D33:G33"/>
    <mergeCell ref="A27:G27"/>
    <mergeCell ref="D32:G32"/>
    <mergeCell ref="A2:G2"/>
    <mergeCell ref="A11:G11"/>
    <mergeCell ref="D30:G30"/>
    <mergeCell ref="D34:G34"/>
    <mergeCell ref="A19:G19"/>
    <mergeCell ref="D35:G35"/>
    <mergeCell ref="A37:G37"/>
    <mergeCell ref="A29:G29"/>
  </mergeCells>
  <conditionalFormatting sqref="A6:G25">
    <cfRule type="expression" priority="1" dxfId="0">
      <formula>$E6="✓"</formula>
    </cfRule>
  </conditionalFormatting>
  <dataValidations count="1">
    <dataValidation sqref="E6 E7 E8 E9 E13 E14 E15 E16 E17 E21 E22 E23 E24 E25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Partidas de Producción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2026-08-23T18:36:19Z</dcterms:modified>
  <cp:lastModifiedBy>AI Chef Pro</cp:lastModifiedBy>
  <cp:category>AI Chef Pro · Productos digitales</cp:category>
  <cp:keywords>kit tareas heladeria, AI Chef Pro</cp:keywords>
</cp:coreProperties>
</file>