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ing Calculator" sheetId="1" state="visible" r:id="rId1"/>
    <sheet xmlns:r="http://schemas.openxmlformats.org/officeDocument/2006/relationships" name="Meat Yield &amp; Smoke Schedule" sheetId="2" state="visible" r:id="rId2"/>
    <sheet xmlns:r="http://schemas.openxmlformats.org/officeDocument/2006/relationships" name="Shopping List by Guest Count" sheetId="3" state="visible" r:id="rId3"/>
    <sheet xmlns:r="http://schemas.openxmlformats.org/officeDocument/2006/relationships" name="3 Example Quotes" sheetId="4" state="visible" r:id="rId4"/>
    <sheet xmlns:r="http://schemas.openxmlformats.org/officeDocument/2006/relationships" name="Instructions" sheetId="5" state="visible" r:id="rId5"/>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6">
    <font>
      <name val="Calibri"/>
      <family val="2"/>
      <color theme="1"/>
      <sz val="11"/>
      <scheme val="minor"/>
    </font>
    <font>
      <name val="Calibri"/>
      <b val="1"/>
      <sz val="14"/>
    </font>
    <font>
      <name val="Calibri"/>
      <sz val="11"/>
    </font>
    <font>
      <name val="Calibri"/>
      <b val="1"/>
      <sz val="11"/>
    </font>
    <font>
      <name val="Calibri"/>
      <i val="1"/>
      <sz val="11"/>
    </font>
    <font>
      <name val="Calibri"/>
      <b val="1"/>
      <sz val="13"/>
    </font>
  </fonts>
  <fills count="4">
    <fill>
      <patternFill/>
    </fill>
    <fill>
      <patternFill patternType="gray125"/>
    </fill>
    <fill>
      <patternFill patternType="solid">
        <fgColor rgb="00F2F2F2"/>
      </patternFill>
    </fill>
    <fill>
      <patternFill patternType="solid">
        <fgColor rgb="00E8F5E9"/>
      </patternFill>
    </fill>
  </fills>
  <borders count="1">
    <border>
      <left/>
      <right/>
      <top/>
      <bottom/>
      <diagonal/>
    </border>
  </borders>
  <cellStyleXfs count="1">
    <xf numFmtId="0" fontId="0" fillId="0" borderId="0"/>
  </cellStyleXfs>
  <cellXfs count="28">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2" borderId="0" applyAlignment="1" pivotButton="0" quotePrefix="0" xfId="0">
      <alignment vertical="top"/>
    </xf>
    <xf numFmtId="0" fontId="2" fillId="0" borderId="0" applyAlignment="1" pivotButton="0" quotePrefix="0" xfId="0">
      <alignment vertical="top"/>
    </xf>
    <xf numFmtId="0" fontId="2" fillId="3" borderId="0" applyAlignment="1" applyProtection="1" pivotButton="0" quotePrefix="0" xfId="0">
      <alignment vertical="top" wrapText="1"/>
      <protection locked="0" hidden="0"/>
    </xf>
    <xf numFmtId="3" fontId="2" fillId="3" borderId="0" applyAlignment="1" applyProtection="1" pivotButton="0" quotePrefix="0" xfId="0">
      <alignment vertical="top"/>
      <protection locked="0" hidden="0"/>
    </xf>
    <xf numFmtId="9" fontId="2" fillId="3" borderId="0" applyAlignment="1" applyProtection="1" pivotButton="0" quotePrefix="0" xfId="0">
      <alignment vertical="top"/>
      <protection locked="0" hidden="0"/>
    </xf>
    <xf numFmtId="4" fontId="2" fillId="3" borderId="0" applyAlignment="1" applyProtection="1" pivotButton="0" quotePrefix="0" xfId="0">
      <alignment vertical="top"/>
      <protection locked="0" hidden="0"/>
    </xf>
    <xf numFmtId="0" fontId="2" fillId="3" borderId="0" applyAlignment="1" applyProtection="1" pivotButton="0" quotePrefix="0" xfId="0">
      <alignment vertical="top"/>
      <protection locked="0" hidden="0"/>
    </xf>
    <xf numFmtId="164" fontId="2" fillId="3" borderId="0" applyAlignment="1" applyProtection="1" pivotButton="0" quotePrefix="0" xfId="0">
      <alignment vertical="top"/>
      <protection locked="0" hidden="0"/>
    </xf>
    <xf numFmtId="165" fontId="2" fillId="3" borderId="0" applyAlignment="1" applyProtection="1" pivotButton="0" quotePrefix="0" xfId="0">
      <alignment vertical="top"/>
      <protection locked="0" hidden="0"/>
    </xf>
    <xf numFmtId="3" fontId="2" fillId="0" borderId="0" applyAlignment="1" pivotButton="0" quotePrefix="0" xfId="0">
      <alignment vertical="top"/>
    </xf>
    <xf numFmtId="164" fontId="2" fillId="0" borderId="0" applyAlignment="1" pivotButton="0" quotePrefix="0" xfId="0">
      <alignment vertical="top"/>
    </xf>
    <xf numFmtId="9" fontId="2" fillId="0" borderId="0" applyAlignment="1" pivotButton="0" quotePrefix="0" xfId="0">
      <alignment vertical="top"/>
    </xf>
    <xf numFmtId="0" fontId="3" fillId="0" borderId="0" applyAlignment="1" pivotButton="0" quotePrefix="0" xfId="0">
      <alignment vertical="top"/>
    </xf>
    <xf numFmtId="0" fontId="3" fillId="0" borderId="0" applyAlignment="1" pivotButton="0" quotePrefix="0" xfId="0">
      <alignment vertical="top" wrapText="1"/>
    </xf>
    <xf numFmtId="4" fontId="2" fillId="0" borderId="0" applyAlignment="1" pivotButton="0" quotePrefix="0" xfId="0">
      <alignment vertical="top"/>
    </xf>
    <xf numFmtId="4" fontId="3" fillId="0" borderId="0" applyAlignment="1" pivotButton="0" quotePrefix="0" xfId="0">
      <alignment vertical="top"/>
    </xf>
    <xf numFmtId="165" fontId="3" fillId="0" borderId="0" applyAlignment="1" pivotButton="0" quotePrefix="0" xfId="0">
      <alignment vertical="top"/>
    </xf>
    <xf numFmtId="0" fontId="3" fillId="2" borderId="0" applyAlignment="1" pivotButton="0" quotePrefix="0" xfId="0">
      <alignment vertical="top" wrapText="1"/>
    </xf>
    <xf numFmtId="0" fontId="4" fillId="0" borderId="0" applyAlignment="1" pivotButton="0" quotePrefix="0" xfId="0">
      <alignment vertical="top" wrapText="1"/>
    </xf>
    <xf numFmtId="18" fontId="2" fillId="3" borderId="0" applyAlignment="1" applyProtection="1" pivotButton="0" quotePrefix="0" xfId="0">
      <alignment vertical="top"/>
      <protection locked="0" hidden="0"/>
    </xf>
    <xf numFmtId="18" fontId="2" fillId="0" borderId="0" applyAlignment="1" pivotButton="0" quotePrefix="0" xfId="0">
      <alignment vertical="top"/>
    </xf>
    <xf numFmtId="3" fontId="3" fillId="0" borderId="0" applyAlignment="1" pivotButton="0" quotePrefix="0" xfId="0">
      <alignment vertical="top"/>
    </xf>
    <xf numFmtId="3" fontId="3" fillId="3" borderId="0" applyAlignment="1" applyProtection="1" pivotButton="0" quotePrefix="0" xfId="0">
      <alignment vertical="top"/>
      <protection locked="0" hidden="0"/>
    </xf>
    <xf numFmtId="165" fontId="2" fillId="0" borderId="0" applyAlignment="1" pivotButton="0" quotePrefix="0" xfId="0">
      <alignment vertical="top"/>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116"/>
  <sheetViews>
    <sheetView showGridLines="0" workbookViewId="0">
      <pane ySplit="4" topLeftCell="A5" activePane="bottomLeft" state="frozen"/>
      <selection pane="bottomLeft" activeCell="A1" sqref="A1"/>
    </sheetView>
  </sheetViews>
  <sheetFormatPr baseColWidth="8" defaultRowHeight="15"/>
  <cols>
    <col width="62" customWidth="1" min="1" max="1"/>
    <col width="34" customWidth="1" min="2" max="2"/>
    <col width="80" customWidth="1" min="3" max="3"/>
    <col width="16" customWidth="1" min="4" max="4"/>
    <col width="22" customWidth="1" min="5" max="5"/>
    <col width="70" customWidth="1" min="6" max="6"/>
  </cols>
  <sheetData>
    <row r="1">
      <c r="A1" s="1" t="inlineStr">
        <is>
          <t>BBQ CATERING PRICING CALCULATOR — POUNDS OF MEAT PER GUEST TO QUOTE</t>
        </is>
      </c>
    </row>
    <row r="2" ht="48" customHeight="1">
      <c r="A2" s="2" t="inlineStr">
        <is>
          <t>Type in the GREEN cells; everything else is calculated. Pick the package and the five meat lines, type your raw meat prices per lb (left blank on purpose), your staff and your costs: the tab turns them into pounds to buy, a price per guest and a full quote. Amounts are in US dollars (or your own currency) and exclude sales tax unless the row says otherwise. Every default value is a kit estimate: replace it with your own numbers.</t>
        </is>
      </c>
    </row>
    <row r="4">
      <c r="A4" s="3" t="inlineStr">
        <is>
          <t>INPUTS</t>
        </is>
      </c>
      <c r="B4" s="3" t="inlineStr">
        <is>
          <t>Value</t>
        </is>
      </c>
      <c r="C4" s="3" t="inlineStr">
        <is>
          <t>Notes</t>
        </is>
      </c>
    </row>
    <row r="5" ht="32" customHeight="1">
      <c r="A5" s="4" t="inlineStr">
        <is>
          <t>Package</t>
        </is>
      </c>
      <c r="B5" s="5" t="inlineStr">
        <is>
          <t>Full-service BBQ buffet (staffed, carving station)</t>
        </is>
      </c>
      <c r="C5" s="2" t="inlineStr">
        <is>
          <t>Choose from the list (table at the bottom of this tab): it sets the cooked meat per guest, the suggested staff and the food cost used while your meat prices are blank.</t>
        </is>
      </c>
    </row>
    <row r="6">
      <c r="A6" s="4" t="inlineStr">
        <is>
          <t>Guests expected</t>
        </is>
      </c>
      <c r="B6" s="6" t="n">
        <v>75</v>
      </c>
      <c r="C6" s="2" t="inlineStr">
        <is>
          <t>Whole number. You cook and buy for these guests.</t>
        </is>
      </c>
    </row>
    <row r="7" ht="47" customHeight="1">
      <c r="A7" s="4" t="inlineStr">
        <is>
          <t>Guest minimum in your contract</t>
        </is>
      </c>
      <c r="B7" s="6" t="n">
        <v>30</v>
      </c>
      <c r="C7" s="2" t="inlineStr">
        <is>
          <t>If fewer guests confirm, you bill the minimum (billable guests in the results). Operators read for this kit use 30 (eventective.com, Owen's BBQ) and 75 for full catering (hutchinsbbq.com). 0 = no minimum.</t>
        </is>
      </c>
    </row>
    <row r="8" ht="32" customHeight="1">
      <c r="A8" s="4" t="inlineStr">
        <is>
          <t>Meat line 1: cut</t>
        </is>
      </c>
      <c r="B8" s="5" t="inlineStr">
        <is>
          <t>Packer brisket (whole, untrimmed)</t>
        </is>
      </c>
      <c r="C8" s="2" t="inlineStr">
        <is>
          <t>Choose from the cuts on the "Meat Yield &amp; Smoke Schedule" tab (its yield and piece weight are used here).</t>
        </is>
      </c>
    </row>
    <row r="9">
      <c r="A9" s="4" t="inlineStr">
        <is>
          <t>Meat line 1: share of the cooked meat</t>
        </is>
      </c>
      <c r="B9" s="7" t="n">
        <v>0.35</v>
      </c>
      <c r="C9" s="2" t="inlineStr">
        <is>
          <t>The five shares must add up to 100% (check in the results). 0% = line not used.</t>
        </is>
      </c>
    </row>
    <row r="10" ht="32" customHeight="1">
      <c r="A10" s="4" t="inlineStr">
        <is>
          <t>Meat line 1: your raw price per lb</t>
        </is>
      </c>
      <c r="B10" s="8" t="n"/>
      <c r="C10" s="2" t="inlineStr">
        <is>
          <t>Left blank on purpose: type your supplier's price per pound of RAW meat. This kit does not guess meat prices.</t>
        </is>
      </c>
    </row>
    <row r="11">
      <c r="A11" s="4" t="inlineStr">
        <is>
          <t>Meat line 2: cut</t>
        </is>
      </c>
      <c r="B11" s="5" t="inlineStr">
        <is>
          <t>Pork butt (bone-in shoulder)</t>
        </is>
      </c>
      <c r="C11" s="2" t="inlineStr">
        <is>
          <t>Choose a cut from the list.</t>
        </is>
      </c>
    </row>
    <row r="12">
      <c r="A12" s="4" t="inlineStr">
        <is>
          <t>Meat line 2: share of the cooked meat</t>
        </is>
      </c>
      <c r="B12" s="7" t="n">
        <v>0.3</v>
      </c>
    </row>
    <row r="13">
      <c r="A13" s="4" t="inlineStr">
        <is>
          <t>Meat line 2: your raw price per lb</t>
        </is>
      </c>
      <c r="B13" s="8" t="n"/>
      <c r="C13" s="2" t="inlineStr">
        <is>
          <t>Your supplier's price per raw lb.</t>
        </is>
      </c>
    </row>
    <row r="14">
      <c r="A14" s="4" t="inlineStr">
        <is>
          <t>Meat line 3: cut</t>
        </is>
      </c>
      <c r="B14" s="5" t="inlineStr">
        <is>
          <t>St. Louis ribs</t>
        </is>
      </c>
      <c r="C14" s="2" t="inlineStr">
        <is>
          <t>Choose a cut from the list.</t>
        </is>
      </c>
    </row>
    <row r="15">
      <c r="A15" s="4" t="inlineStr">
        <is>
          <t>Meat line 3: share of the cooked meat</t>
        </is>
      </c>
      <c r="B15" s="7" t="n">
        <v>0.15</v>
      </c>
    </row>
    <row r="16">
      <c r="A16" s="4" t="inlineStr">
        <is>
          <t>Meat line 3: your raw price per lb</t>
        </is>
      </c>
      <c r="B16" s="8" t="n"/>
      <c r="C16" s="2" t="inlineStr">
        <is>
          <t>Your supplier's price per raw lb.</t>
        </is>
      </c>
    </row>
    <row r="17">
      <c r="A17" s="4" t="inlineStr">
        <is>
          <t>Meat line 4: cut</t>
        </is>
      </c>
      <c r="B17" s="5" t="inlineStr">
        <is>
          <t>Chicken thighs (bone-in)</t>
        </is>
      </c>
      <c r="C17" s="2" t="inlineStr">
        <is>
          <t>Choose a cut from the list.</t>
        </is>
      </c>
    </row>
    <row r="18">
      <c r="A18" s="4" t="inlineStr">
        <is>
          <t>Meat line 4: share of the cooked meat</t>
        </is>
      </c>
      <c r="B18" s="7" t="n">
        <v>0.15</v>
      </c>
    </row>
    <row r="19">
      <c r="A19" s="4" t="inlineStr">
        <is>
          <t>Meat line 4: your raw price per lb</t>
        </is>
      </c>
      <c r="B19" s="8" t="n"/>
      <c r="C19" s="2" t="inlineStr">
        <is>
          <t>Your supplier's price per raw lb.</t>
        </is>
      </c>
    </row>
    <row r="20">
      <c r="A20" s="4" t="inlineStr">
        <is>
          <t>Meat line 5: cut</t>
        </is>
      </c>
      <c r="B20" s="5" t="inlineStr">
        <is>
          <t>Sausage (smoked links)</t>
        </is>
      </c>
      <c r="C20" s="2" t="inlineStr">
        <is>
          <t>Choose a cut from the list.</t>
        </is>
      </c>
    </row>
    <row r="21">
      <c r="A21" s="4" t="inlineStr">
        <is>
          <t>Meat line 5: share of the cooked meat</t>
        </is>
      </c>
      <c r="B21" s="7" t="n">
        <v>0.05</v>
      </c>
    </row>
    <row r="22">
      <c r="A22" s="4" t="inlineStr">
        <is>
          <t>Meat line 5: your raw price per lb</t>
        </is>
      </c>
      <c r="B22" s="8" t="n"/>
      <c r="C22" s="2" t="inlineStr">
        <is>
          <t>Your supplier's price per raw lb.</t>
        </is>
      </c>
    </row>
    <row r="23" ht="32" customHeight="1">
      <c r="A23" s="4" t="inlineStr">
        <is>
          <t>Sides per guest (mac and cheese, beans, slaw, potato salad)</t>
        </is>
      </c>
      <c r="B23" s="8" t="n">
        <v>2</v>
      </c>
      <c r="C23" s="2" t="inlineStr">
        <is>
          <t>Kit estimate. Used together with your meat prices; while they are blank, the package food cost replaces it.</t>
        </is>
      </c>
    </row>
    <row r="24">
      <c r="A24" s="4" t="inlineStr">
        <is>
          <t>Bread, pickles, onions and BBQ sauce per guest</t>
        </is>
      </c>
      <c r="B24" s="8" t="n">
        <v>0.6</v>
      </c>
      <c r="C24" s="2" t="inlineStr">
        <is>
          <t>Kit estimate. Same rule as the sides.</t>
        </is>
      </c>
    </row>
    <row r="25">
      <c r="A25" s="4" t="inlineStr">
        <is>
          <t>Disposables per guest (pans, plates, cutlery, butcher paper, foil)</t>
        </is>
      </c>
      <c r="B25" s="8" t="n">
        <v>0.75</v>
      </c>
      <c r="C25" s="2" t="inlineStr">
        <is>
          <t>Kit estimate.</t>
        </is>
      </c>
    </row>
    <row r="26" ht="32" customHeight="1">
      <c r="A26" s="4" t="inlineStr">
        <is>
          <t>Wood or charcoal per raw lb of meat (lb)</t>
        </is>
      </c>
      <c r="B26" s="8" t="n">
        <v>0.6</v>
      </c>
      <c r="C26" s="2" t="inlineStr">
        <is>
          <t>Kit estimate: a full cook burns about 60-100 lb of wood. Pellets or charcoal: use your own ratio.</t>
        </is>
      </c>
    </row>
    <row r="27">
      <c r="A27" s="4" t="inlineStr">
        <is>
          <t>Wood or charcoal cost per lb</t>
        </is>
      </c>
      <c r="B27" s="8" t="n">
        <v>0.15</v>
      </c>
      <c r="C27" s="2" t="inlineStr">
        <is>
          <t>Kit estimate: use your supplier's price.</t>
        </is>
      </c>
    </row>
    <row r="28" ht="32" customHeight="1">
      <c r="A28" s="4" t="inlineStr">
        <is>
          <t>Live pit on site (smoker trailer at the event)?</t>
        </is>
      </c>
      <c r="B28" s="9" t="inlineStr">
        <is>
          <t>No</t>
        </is>
      </c>
      <c r="C28" s="2" t="inlineStr">
        <is>
          <t>Yes = you tow the smoker trailer and cook or carve at the event, for a flat fee (next row). Ask your county first: cooking at the event can make the trailer a mobile food unit.</t>
        </is>
      </c>
    </row>
    <row r="29" ht="32" customHeight="1">
      <c r="A29" s="4" t="inlineStr">
        <is>
          <t>Live pit on site fee (flat, per event)</t>
        </is>
      </c>
      <c r="B29" s="8" t="n">
        <v>650</v>
      </c>
      <c r="C29" s="2" t="inlineStr">
        <is>
          <t>Charged on top of the per-guest price when the switch above is Yes. A Los Angeles operator charges $650 for the smoker on site (eventective.com, Owen's BBQ).</t>
        </is>
      </c>
    </row>
    <row r="30">
      <c r="A30" s="4" t="inlineStr">
        <is>
          <t>Pit crew on event day (pitmasters, pit cooks)</t>
        </is>
      </c>
      <c r="B30" s="6" t="n">
        <v>1</v>
      </c>
      <c r="C30" s="2" t="inlineStr">
        <is>
          <t>Compare with the suggested number in the results.</t>
        </is>
      </c>
    </row>
    <row r="31">
      <c r="A31" s="4" t="inlineStr">
        <is>
          <t>Servers, buffet attendants and carvers</t>
        </is>
      </c>
      <c r="B31" s="6" t="n">
        <v>3</v>
      </c>
      <c r="C31" s="2" t="inlineStr">
        <is>
          <t>Compare with the suggested number in the results.</t>
        </is>
      </c>
    </row>
    <row r="32">
      <c r="A32" s="4" t="inlineStr">
        <is>
          <t>Hours each on event day (loading, travel, setup, service, breakdown)</t>
        </is>
      </c>
      <c r="B32" s="10" t="n">
        <v>6</v>
      </c>
      <c r="C32" s="2" t="inlineStr">
        <is>
          <t>Kit estimate.</t>
        </is>
      </c>
    </row>
    <row r="33" ht="32" customHeight="1">
      <c r="A33" s="4" t="inlineStr">
        <is>
          <t>Overnight cook and prep hours (pit cook, total)</t>
        </is>
      </c>
      <c r="B33" s="10" t="n">
        <v>8</v>
      </c>
      <c r="C33" s="2" t="inlineStr">
        <is>
          <t>Trimming, rubs and the overnight cook for this event. One pit cook can watch several cooks at once: count only the hours this event takes. Kit estimate.</t>
        </is>
      </c>
    </row>
    <row r="34" ht="32" customHeight="1">
      <c r="A34" s="4" t="inlineStr">
        <is>
          <t>Pit crew hourly wage</t>
        </is>
      </c>
      <c r="B34" s="8" t="n">
        <v>21</v>
      </c>
      <c r="C34" s="2" t="inlineStr">
        <is>
          <t>Kit estimate, about the 75th percentile of restaurant cooks (BLS OEWS, May 2025: $21.45). W-2 employees.</t>
        </is>
      </c>
    </row>
    <row r="35" ht="32" customHeight="1">
      <c r="A35" s="4" t="inlineStr">
        <is>
          <t>Server / attendant hourly wage</t>
        </is>
      </c>
      <c r="B35" s="8" t="n">
        <v>18</v>
      </c>
      <c r="C35" s="2" t="inlineStr">
        <is>
          <t>Kit estimate, about the 75th percentile of nonrestaurant food servers (BLS OEWS, May 2025: $18.51). W-2.</t>
        </is>
      </c>
    </row>
    <row r="36">
      <c r="A36" s="4" t="inlineStr">
        <is>
          <t>Employer payroll taxes and workers' comp (% of wages)</t>
        </is>
      </c>
      <c r="B36" s="7" t="n">
        <v>0.1</v>
      </c>
      <c r="C36" s="2" t="inlineStr">
        <is>
          <t>Kit estimate.</t>
        </is>
      </c>
    </row>
    <row r="37">
      <c r="A37" s="4" t="inlineStr">
        <is>
          <t>Rentals passed through (tables, linens, chafing dishes, tent)</t>
        </is>
      </c>
      <c r="B37" s="8" t="n">
        <v>0</v>
      </c>
      <c r="C37" s="2" t="inlineStr">
        <is>
          <t>What the rental company charges you for this event.</t>
        </is>
      </c>
    </row>
    <row r="38">
      <c r="A38" s="4" t="inlineStr">
        <is>
          <t>Round-trip miles</t>
        </is>
      </c>
      <c r="B38" s="6" t="n">
        <v>30</v>
      </c>
      <c r="C38" s="2" t="inlineStr">
        <is>
          <t>Commissary → venue → commissary.</t>
        </is>
      </c>
    </row>
    <row r="39">
      <c r="A39" s="4" t="inlineStr">
        <is>
          <t>Cost per mile (van, or pickup + smoker trailer)</t>
        </is>
      </c>
      <c r="B39" s="8" t="n">
        <v>0.7</v>
      </c>
      <c r="C39" s="2" t="inlineStr">
        <is>
          <t>Kit estimate: use your real cost per mile or the current IRS standard mileage rate.</t>
        </is>
      </c>
    </row>
    <row r="40">
      <c r="A40" s="4" t="inlineStr">
        <is>
          <t>Flat event or travel fee charged to the client</t>
        </is>
      </c>
      <c r="B40" s="8" t="n">
        <v>0</v>
      </c>
      <c r="C40" s="2" t="inlineStr">
        <is>
          <t>Optional flat charge on top of the per-guest price. 0 = none.</t>
        </is>
      </c>
    </row>
    <row r="41" ht="32" customHeight="1">
      <c r="A41" s="4" t="inlineStr">
        <is>
          <t>Marketplace fee on this booking (% of subtotal)</t>
        </is>
      </c>
      <c r="B41" s="7" t="n">
        <v>0</v>
      </c>
      <c r="C41" s="2" t="inlineStr">
        <is>
          <t>Corporate catering marketplaces such as ezCater keep about 15% (Kit estimate). 0 = direct booking.</t>
        </is>
      </c>
    </row>
    <row r="42" ht="32" customHeight="1">
      <c r="A42" s="4" t="inlineStr">
        <is>
          <t>Target gross margin on the food &amp; service subtotal</t>
        </is>
      </c>
      <c r="B42" s="7" t="n">
        <v>0.45</v>
      </c>
      <c r="C42" s="2" t="inlineStr">
        <is>
          <t>Share of the subtotal left after the direct costs above and the marketplace fee. Kit estimate.</t>
        </is>
      </c>
    </row>
    <row r="43" ht="32" customHeight="1">
      <c r="A43" s="4" t="inlineStr">
        <is>
          <t>Service charge (% of subtotal)</t>
        </is>
      </c>
      <c r="B43" s="7" t="n">
        <v>0</v>
      </c>
      <c r="C43" s="2" t="inlineStr">
        <is>
          <t>Added on top. The part you pay out to staff is wages, not tips (IRS Rev. Rul. 2012-18), with payroll taxes; the part you keep is revenue.</t>
        </is>
      </c>
    </row>
    <row r="44">
      <c r="A44" s="4" t="inlineStr">
        <is>
          <t>Sales tax rate (state + local)</t>
        </is>
      </c>
      <c r="B44" s="11" t="n">
        <v>0.08</v>
      </c>
      <c r="C44" s="2" t="inlineStr">
        <is>
          <t>Kit estimate: use your own state + local rate.</t>
        </is>
      </c>
    </row>
    <row r="45" ht="62" customHeight="1">
      <c r="A45" s="4" t="inlineStr">
        <is>
          <t>Does your state tax the service charge?</t>
        </is>
      </c>
      <c r="B45" s="9" t="inlineStr">
        <is>
          <t>Yes</t>
        </is>
      </c>
      <c r="C45" s="2" t="inlineStr">
        <is>
          <t>Sales tax always applies to the food &amp; service subtotal here. CA: a mandatory service charge is taxable. NY: not taxable only if it is separately stated, identified as a gratuity and all of it goes to the staff. TX: not taxable up to 20% if separately stated and paid to the staff. Check your state.</t>
        </is>
      </c>
    </row>
    <row r="46" ht="32" customHeight="1">
      <c r="A46" s="4" t="inlineStr">
        <is>
          <t>Nonrefundable deposit to book the date (% of total)</t>
        </is>
      </c>
      <c r="B46" s="7" t="n">
        <v>0.5</v>
      </c>
      <c r="C46" s="2" t="inlineStr">
        <is>
          <t>A 50% nonrefundable deposit is what the operators read for this kit ask (eventective.com, hutchinsbbq.com); the balance is due before the event.</t>
        </is>
      </c>
    </row>
    <row r="47" ht="32" customHeight="1">
      <c r="A47" s="4" t="inlineStr">
        <is>
          <t>Cancellation tier 1 starts at (days before the event)</t>
        </is>
      </c>
      <c r="B47" s="6" t="n">
        <v>60</v>
      </c>
      <c r="C47" s="2" t="inlineStr">
        <is>
          <t>Tiers run with no gaps: tier 1 = this many days or more; tier 2 = from the next threshold up to here; and so on.</t>
        </is>
      </c>
    </row>
    <row r="48">
      <c r="A48" s="4" t="inlineStr">
        <is>
          <t>Cancellation tier 2 starts at (days before the event)</t>
        </is>
      </c>
      <c r="B48" s="6" t="n">
        <v>30</v>
      </c>
    </row>
    <row r="49">
      <c r="A49" s="4" t="inlineStr">
        <is>
          <t>Cancellation tier 3 starts at (days before the event)</t>
        </is>
      </c>
      <c r="B49" s="6" t="n">
        <v>14</v>
      </c>
      <c r="C49" s="2" t="inlineStr">
        <is>
          <t>Tier 4 = fewer days than this, or a no-show.</t>
        </is>
      </c>
    </row>
    <row r="50">
      <c r="A50" s="4" t="inlineStr">
        <is>
          <t>Share of the total you keep in tier 1</t>
        </is>
      </c>
      <c r="B50" s="7" t="n">
        <v>0.5</v>
      </c>
      <c r="C50" s="2" t="inlineStr">
        <is>
          <t>Kit estimate: the nonrefundable deposit.</t>
        </is>
      </c>
    </row>
    <row r="51">
      <c r="A51" s="4" t="inlineStr">
        <is>
          <t>Share of the total you keep in tier 2</t>
        </is>
      </c>
      <c r="B51" s="7" t="n">
        <v>0.75</v>
      </c>
      <c r="C51" s="2" t="inlineStr">
        <is>
          <t>Kit estimate.</t>
        </is>
      </c>
    </row>
    <row r="52">
      <c r="A52" s="4" t="inlineStr">
        <is>
          <t>Share of the total you keep in tier 3</t>
        </is>
      </c>
      <c r="B52" s="7" t="n">
        <v>0.9</v>
      </c>
      <c r="C52" s="2" t="inlineStr">
        <is>
          <t>Kit estimate.</t>
        </is>
      </c>
    </row>
    <row r="53">
      <c r="A53" s="4" t="inlineStr">
        <is>
          <t>Share of the total you keep in tier 4</t>
        </is>
      </c>
      <c r="B53" s="7" t="n">
        <v>1</v>
      </c>
      <c r="C53" s="2" t="inlineStr">
        <is>
          <t>Kit estimate: the meat is already bought.</t>
        </is>
      </c>
    </row>
    <row r="55">
      <c r="A55" s="3" t="inlineStr">
        <is>
          <t>CALCULATION</t>
        </is>
      </c>
      <c r="B55" s="3" t="inlineStr">
        <is>
          <t>Value</t>
        </is>
      </c>
      <c r="C55" s="3" t="inlineStr">
        <is>
          <t>Notes</t>
        </is>
      </c>
    </row>
    <row r="56">
      <c r="A56" s="4" t="inlineStr">
        <is>
          <t>Billable guests</t>
        </is>
      </c>
      <c r="B56" s="12">
        <f>MAX($B$6,$B$7)</f>
        <v>75.0</v>
      </c>
      <c r="C56" s="2" t="inlineStr">
        <is>
          <t>The larger of guests expected and the minimum.</t>
        </is>
      </c>
    </row>
    <row r="57">
      <c r="A57" s="4" t="inlineStr">
        <is>
          <t>Cooked meat per guest for this package (oz)</t>
        </is>
      </c>
      <c r="B57" s="13">
        <f>IFERROR(INDEX('Pricing Calculator'!$B$113:$B$115,MATCH($B$5,'Pricing Calculator'!$A$113:$A$115,0)),0)</f>
        <v>8.0</v>
      </c>
      <c r="C57" s="2" t="inlineStr">
        <is>
          <t>From the package table below.</t>
        </is>
      </c>
    </row>
    <row r="58">
      <c r="A58" s="4" t="inlineStr">
        <is>
          <t>Cooked meat to serve (lb)</t>
        </is>
      </c>
      <c r="B58" s="13">
        <f>$B$6*$B$57/16</f>
        <v>37.5</v>
      </c>
      <c r="C58" s="2" t="inlineStr">
        <is>
          <t>Guests expected × oz per guest ÷ 16.</t>
        </is>
      </c>
    </row>
    <row r="59">
      <c r="A59" s="4" t="inlineStr">
        <is>
          <t>Meat mix check</t>
        </is>
      </c>
      <c r="B59" s="2" t="str">
        <f>IF(ROUND($B$9+$B$12+$B$15+$B$18+$B$21,4)=1,"OK","Adjust: the five shares must add up to 100%")</f>
        <v>OK</v>
      </c>
      <c r="C59" s="2" t="inlineStr">
        <is>
          <t>The five shares must add up to 100%.</t>
        </is>
      </c>
    </row>
    <row r="60">
      <c r="A60" s="4" t="inlineStr">
        <is>
          <t>Meat line 1: yield (cooked ÷ raw)</t>
        </is>
      </c>
      <c r="B60" s="14">
        <f>IFERROR(INDEX('Meat Yield &amp; Smoke Schedule'!$J$10:$J$22,MATCH($B$8,'Meat Yield &amp; Smoke Schedule'!$A$10:$A$22,0)),0)</f>
        <v>0.5</v>
      </c>
      <c r="C60" s="2" t="inlineStr">
        <is>
          <t>From the "Meat Yield &amp; Smoke Schedule" tab.</t>
        </is>
      </c>
    </row>
    <row r="61">
      <c r="A61" s="4" t="inlineStr">
        <is>
          <t>Meat line 1: raw lb to buy</t>
        </is>
      </c>
      <c r="B61" s="13">
        <f>IF($B$60&gt;0,$B$58*$B$9/$B$60,0)</f>
        <v>26.25</v>
      </c>
      <c r="C61" s="2" t="inlineStr">
        <is>
          <t>Cooked lb × share ÷ yield.</t>
        </is>
      </c>
    </row>
    <row r="62">
      <c r="A62" s="4" t="inlineStr">
        <is>
          <t>Meat line 1: pieces (packers, butts, racks…)</t>
        </is>
      </c>
      <c r="B62" s="12">
        <f>IFERROR(IF(INDEX('Meat Yield &amp; Smoke Schedule'!$B$10:$B$22,MATCH($B$8,'Meat Yield &amp; Smoke Schedule'!$A$10:$A$22,0))&gt;0,ROUNDUP($B$61/INDEX('Meat Yield &amp; Smoke Schedule'!$B$10:$B$22,MATCH($B$8,'Meat Yield &amp; Smoke Schedule'!$A$10:$A$22,0)),0),0),0)</f>
        <v>2.0</v>
      </c>
      <c r="C62" s="2" t="inlineStr">
        <is>
          <t>Raw lb ÷ raw weight per piece on the "Meat Yield &amp; Smoke Schedule" tab, rounded up.</t>
        </is>
      </c>
    </row>
    <row r="63">
      <c r="A63" s="4" t="inlineStr">
        <is>
          <t>Meat line 1: price missing? (1 = yes)</t>
        </is>
      </c>
      <c r="B63" s="12">
        <f>IF($B$9&gt;0,IF(ISNUMBER($B$10),IF($B$10&gt;0,0,1),1),0)</f>
        <v>1.0</v>
      </c>
    </row>
    <row r="64">
      <c r="A64" s="4" t="inlineStr">
        <is>
          <t>Meat line 2: yield (cooked ÷ raw)</t>
        </is>
      </c>
      <c r="B64" s="14">
        <f>IFERROR(INDEX('Meat Yield &amp; Smoke Schedule'!$J$10:$J$22,MATCH($B$11,'Meat Yield &amp; Smoke Schedule'!$A$10:$A$22,0)),0)</f>
        <v>0.5</v>
      </c>
    </row>
    <row r="65">
      <c r="A65" s="4" t="inlineStr">
        <is>
          <t>Meat line 2: raw lb to buy</t>
        </is>
      </c>
      <c r="B65" s="13">
        <f>IF($B$64&gt;0,$B$58*$B$12/$B$64,0)</f>
        <v>22.5</v>
      </c>
    </row>
    <row r="66">
      <c r="A66" s="4" t="inlineStr">
        <is>
          <t>Meat line 2: pieces (packers, butts, racks…)</t>
        </is>
      </c>
      <c r="B66" s="12">
        <f>IFERROR(IF(INDEX('Meat Yield &amp; Smoke Schedule'!$B$10:$B$22,MATCH($B$11,'Meat Yield &amp; Smoke Schedule'!$A$10:$A$22,0))&gt;0,ROUNDUP($B$65/INDEX('Meat Yield &amp; Smoke Schedule'!$B$10:$B$22,MATCH($B$11,'Meat Yield &amp; Smoke Schedule'!$A$10:$A$22,0)),0),0),0)</f>
        <v>3.0</v>
      </c>
    </row>
    <row r="67">
      <c r="A67" s="4" t="inlineStr">
        <is>
          <t>Meat line 2: price missing? (1 = yes)</t>
        </is>
      </c>
      <c r="B67" s="12">
        <f>IF($B$12&gt;0,IF(ISNUMBER($B$13),IF($B$13&gt;0,0,1),1),0)</f>
        <v>1.0</v>
      </c>
    </row>
    <row r="68">
      <c r="A68" s="4" t="inlineStr">
        <is>
          <t>Meat line 3: yield (cooked ÷ raw)</t>
        </is>
      </c>
      <c r="B68" s="14">
        <f>IFERROR(INDEX('Meat Yield &amp; Smoke Schedule'!$J$10:$J$22,MATCH($B$14,'Meat Yield &amp; Smoke Schedule'!$A$10:$A$22,0)),0)</f>
        <v>0.65</v>
      </c>
    </row>
    <row r="69">
      <c r="A69" s="4" t="inlineStr">
        <is>
          <t>Meat line 3: raw lb to buy</t>
        </is>
      </c>
      <c r="B69" s="13">
        <f>IF($B$68&gt;0,$B$58*$B$15/$B$68,0)</f>
        <v>8.653846153846153</v>
      </c>
    </row>
    <row r="70">
      <c r="A70" s="4" t="inlineStr">
        <is>
          <t>Meat line 3: pieces (packers, butts, racks…)</t>
        </is>
      </c>
      <c r="B70" s="12">
        <f>IFERROR(IF(INDEX('Meat Yield &amp; Smoke Schedule'!$B$10:$B$22,MATCH($B$14,'Meat Yield &amp; Smoke Schedule'!$A$10:$A$22,0))&gt;0,ROUNDUP($B$69/INDEX('Meat Yield &amp; Smoke Schedule'!$B$10:$B$22,MATCH($B$14,'Meat Yield &amp; Smoke Schedule'!$A$10:$A$22,0)),0),0),0)</f>
        <v>3.0</v>
      </c>
    </row>
    <row r="71">
      <c r="A71" s="4" t="inlineStr">
        <is>
          <t>Meat line 3: price missing? (1 = yes)</t>
        </is>
      </c>
      <c r="B71" s="12">
        <f>IF($B$15&gt;0,IF(ISNUMBER($B$16),IF($B$16&gt;0,0,1),1),0)</f>
        <v>1.0</v>
      </c>
    </row>
    <row r="72">
      <c r="A72" s="4" t="inlineStr">
        <is>
          <t>Meat line 4: yield (cooked ÷ raw)</t>
        </is>
      </c>
      <c r="B72" s="14">
        <f>IFERROR(INDEX('Meat Yield &amp; Smoke Schedule'!$J$10:$J$22,MATCH($B$17,'Meat Yield &amp; Smoke Schedule'!$A$10:$A$22,0)),0)</f>
        <v>0.68</v>
      </c>
    </row>
    <row r="73">
      <c r="A73" s="4" t="inlineStr">
        <is>
          <t>Meat line 4: raw lb to buy</t>
        </is>
      </c>
      <c r="B73" s="13">
        <f>IF($B$72&gt;0,$B$58*$B$18/$B$72,0)</f>
        <v>8.272058823529411</v>
      </c>
    </row>
    <row r="74">
      <c r="A74" s="4" t="inlineStr">
        <is>
          <t>Meat line 4: pieces (packers, butts, racks…)</t>
        </is>
      </c>
      <c r="B74" s="12">
        <f>IFERROR(IF(INDEX('Meat Yield &amp; Smoke Schedule'!$B$10:$B$22,MATCH($B$17,'Meat Yield &amp; Smoke Schedule'!$A$10:$A$22,0))&gt;0,ROUNDUP($B$73/INDEX('Meat Yield &amp; Smoke Schedule'!$B$10:$B$22,MATCH($B$17,'Meat Yield &amp; Smoke Schedule'!$A$10:$A$22,0)),0),0),0)</f>
        <v>26.0</v>
      </c>
    </row>
    <row r="75">
      <c r="A75" s="4" t="inlineStr">
        <is>
          <t>Meat line 4: price missing? (1 = yes)</t>
        </is>
      </c>
      <c r="B75" s="12">
        <f>IF($B$18&gt;0,IF(ISNUMBER($B$19),IF($B$19&gt;0,0,1),1),0)</f>
        <v>1.0</v>
      </c>
    </row>
    <row r="76">
      <c r="A76" s="4" t="inlineStr">
        <is>
          <t>Meat line 5: yield (cooked ÷ raw)</t>
        </is>
      </c>
      <c r="B76" s="14">
        <f>IFERROR(INDEX('Meat Yield &amp; Smoke Schedule'!$J$10:$J$22,MATCH($B$20,'Meat Yield &amp; Smoke Schedule'!$A$10:$A$22,0)),0)</f>
        <v>0.88</v>
      </c>
    </row>
    <row r="77">
      <c r="A77" s="4" t="inlineStr">
        <is>
          <t>Meat line 5: raw lb to buy</t>
        </is>
      </c>
      <c r="B77" s="13">
        <f>IF($B$76&gt;0,$B$58*$B$21/$B$76,0)</f>
        <v>2.1306818181818183</v>
      </c>
    </row>
    <row r="78">
      <c r="A78" s="4" t="inlineStr">
        <is>
          <t>Meat line 5: pieces (packers, butts, racks…)</t>
        </is>
      </c>
      <c r="B78" s="12">
        <f>IFERROR(IF(INDEX('Meat Yield &amp; Smoke Schedule'!$B$10:$B$22,MATCH($B$20,'Meat Yield &amp; Smoke Schedule'!$A$10:$A$22,0))&gt;0,ROUNDUP($B$77/INDEX('Meat Yield &amp; Smoke Schedule'!$B$10:$B$22,MATCH($B$20,'Meat Yield &amp; Smoke Schedule'!$A$10:$A$22,0)),0),0),0)</f>
        <v>9.0</v>
      </c>
    </row>
    <row r="79">
      <c r="A79" s="4" t="inlineStr">
        <is>
          <t>Meat line 5: price missing? (1 = yes)</t>
        </is>
      </c>
      <c r="B79" s="12">
        <f>IF($B$21&gt;0,IF(ISNUMBER($B$22),IF($B$22&gt;0,0,1),1),0)</f>
        <v>1.0</v>
      </c>
    </row>
    <row r="80">
      <c r="A80" s="4" t="inlineStr">
        <is>
          <t>Raw meat to buy, all lines (lb)</t>
        </is>
      </c>
      <c r="B80" s="13">
        <f>$B$61+$B$65+$B$69+$B$73+$B$77</f>
        <v>67.80658679555738</v>
      </c>
    </row>
    <row r="81">
      <c r="A81" s="4" t="inlineStr">
        <is>
          <t>Wood or charcoal (lb)</t>
        </is>
      </c>
      <c r="B81" s="13">
        <f>$B$80*$B$26</f>
        <v>40.683952077334425</v>
      </c>
    </row>
    <row r="82">
      <c r="A82" s="4" t="inlineStr">
        <is>
          <t>Meat lines in use with no price</t>
        </is>
      </c>
      <c r="B82" s="12">
        <f>$B$63+$B$67+$B$71+$B$75+$B$79</f>
        <v>5.0</v>
      </c>
    </row>
    <row r="83" ht="32" customHeight="1">
      <c r="A83" s="15" t="inlineStr">
        <is>
          <t>Meat prices</t>
        </is>
      </c>
      <c r="B83" s="16" t="str">
        <f>IF($B$82=0,"Complete: food cost uses your meat prices","Missing: food cost uses the package estimate per guest")</f>
        <v>Missing: food cost uses the package estimate per guest</v>
      </c>
      <c r="C83" s="2" t="inlineStr">
        <is>
          <t>While any price is missing, the food cost uses the package estimate. Type your prices to cost your real menu.</t>
        </is>
      </c>
    </row>
    <row r="84">
      <c r="A84" s="4" t="inlineStr">
        <is>
          <t>Raw meat cost (only when every price is typed)</t>
        </is>
      </c>
      <c r="B84" s="17">
        <f>IF($B$82=0,IF(ISNUMBER($B$10),$B$61*$B$10,0)+IF(ISNUMBER($B$13),$B$65*$B$13,0)+IF(ISNUMBER($B$16),$B$69*$B$16,0)+IF(ISNUMBER($B$19),$B$73*$B$19,0)+IF(ISNUMBER($B$22),$B$77*$B$22,0),0)</f>
        <v>0.0</v>
      </c>
      <c r="C84" s="2" t="inlineStr">
        <is>
          <t>Raw lb × your price per lb, line by line.</t>
        </is>
      </c>
    </row>
    <row r="85" ht="32" customHeight="1">
      <c r="A85" s="4" t="inlineStr">
        <is>
          <t>Food cost (meat, sides, bread and sauces)</t>
        </is>
      </c>
      <c r="B85" s="17">
        <f>IF($B$82=0,$B$84+$B$6*($B$23+$B$24),$B$6*IFERROR(INDEX('Pricing Calculator'!$E$113:$E$115,MATCH($B$5,'Pricing Calculator'!$A$113:$A$115,0)),0))</f>
        <v>600.0</v>
      </c>
      <c r="C85" s="2" t="inlineStr">
        <is>
          <t>With your prices: meat + (sides + bread and sauces) × guests. Without them: the package estimate × guests.</t>
        </is>
      </c>
    </row>
    <row r="86">
      <c r="A86" s="4" t="inlineStr">
        <is>
          <t>Disposables</t>
        </is>
      </c>
      <c r="B86" s="17">
        <f>$B$6*$B$25</f>
        <v>56.25</v>
      </c>
    </row>
    <row r="87">
      <c r="A87" s="4" t="inlineStr">
        <is>
          <t>Wood or charcoal</t>
        </is>
      </c>
      <c r="B87" s="17">
        <f>$B$81*$B$27</f>
        <v>6.1025928116001635</v>
      </c>
    </row>
    <row r="88">
      <c r="A88" s="4" t="inlineStr">
        <is>
          <t>Staff cost (wages + payroll taxes)</t>
        </is>
      </c>
      <c r="B88" s="17">
        <f>(($B$30*$B$34+$B$31*$B$35)*$B$32+$B$33*$B$34)*(1+$B$36)</f>
        <v>679.8000000000001</v>
      </c>
    </row>
    <row r="89">
      <c r="A89" s="4" t="inlineStr">
        <is>
          <t>Rentals and mileage</t>
        </is>
      </c>
      <c r="B89" s="17">
        <f>$B$37+$B$38*$B$39</f>
        <v>21.0</v>
      </c>
    </row>
    <row r="90">
      <c r="A90" s="4" t="inlineStr">
        <is>
          <t>Total direct cost</t>
        </is>
      </c>
      <c r="B90" s="17">
        <f>$B$85+$B$86+$B$87+$B$88+$B$89</f>
        <v>1363.1525928116002</v>
      </c>
    </row>
    <row r="91">
      <c r="A91" s="4" t="inlineStr">
        <is>
          <t>Direct cost per billable guest</t>
        </is>
      </c>
      <c r="B91" s="17">
        <f>$B$90/$B$56</f>
        <v>18.17536790415467</v>
      </c>
    </row>
    <row r="92" ht="47" customHeight="1">
      <c r="A92" s="15" t="inlineStr">
        <is>
          <t>PRICE PER GUEST before fees, service charge and tax</t>
        </is>
      </c>
      <c r="B92" s="18">
        <f>ROUNDUP($B$90/(1-$B$42-$B$41)/$B$56*2,0)/2</f>
        <v>33.5</v>
      </c>
      <c r="C92" s="2" t="inlineStr">
        <is>
          <t>Rounded up to the next 0.50. Market check: drop-off runs about $15-$30 per person and full-service up to $75 (q39kc.com); a Los Angeles operator charges $40-58 for parties and $65-85 for weddings (eventective.com).</t>
        </is>
      </c>
    </row>
    <row r="93">
      <c r="A93" s="4" t="inlineStr">
        <is>
          <t>Equivalent price per lb of cooked meat</t>
        </is>
      </c>
      <c r="B93" s="17">
        <f>$B$92/($B$57/16)</f>
        <v>67.0</v>
      </c>
      <c r="C93" s="2" t="inlineStr">
        <is>
          <t>The same price expressed per cooked pound, the way many drop-off menus quote.</t>
        </is>
      </c>
    </row>
    <row r="94">
      <c r="A94" s="4" t="inlineStr">
        <is>
          <t>Live pit on site fee</t>
        </is>
      </c>
      <c r="B94" s="17">
        <f>IF($B$28="Yes",$B$29,0)</f>
        <v>0.0</v>
      </c>
    </row>
    <row r="95">
      <c r="A95" s="4" t="inlineStr">
        <is>
          <t>Food &amp; service subtotal</t>
        </is>
      </c>
      <c r="B95" s="17">
        <f>$B$92*$B$56+$B$94+$B$40</f>
        <v>2512.5</v>
      </c>
      <c r="C95" s="2" t="inlineStr">
        <is>
          <t>Price per guest × billable guests + live pit fee + event fee.</t>
        </is>
      </c>
    </row>
    <row r="96">
      <c r="A96" s="4" t="inlineStr">
        <is>
          <t>Service charge</t>
        </is>
      </c>
      <c r="B96" s="17">
        <f>$B$95*$B$43</f>
        <v>0.0</v>
      </c>
    </row>
    <row r="97">
      <c r="A97" s="4" t="inlineStr">
        <is>
          <t>Sales tax</t>
        </is>
      </c>
      <c r="B97" s="17">
        <f>($B$95+IF($B$45="Yes",$B$96,0))*$B$44</f>
        <v>201.0</v>
      </c>
      <c r="C97" s="2" t="inlineStr">
        <is>
          <t>On the subtotal, plus the service charge if your state taxes it.</t>
        </is>
      </c>
    </row>
    <row r="98">
      <c r="A98" s="15" t="inlineStr">
        <is>
          <t>TOTAL TO QUOTE</t>
        </is>
      </c>
      <c r="B98" s="18">
        <f>$B$95+$B$96+$B$97</f>
        <v>2713.5</v>
      </c>
    </row>
    <row r="99">
      <c r="A99" s="4" t="inlineStr">
        <is>
          <t>Nonrefundable deposit to book the date</t>
        </is>
      </c>
      <c r="B99" s="17">
        <f>$B$98*$B$46</f>
        <v>1356.75</v>
      </c>
    </row>
    <row r="100">
      <c r="A100" s="4" t="inlineStr">
        <is>
          <t>Balance due before the event</t>
        </is>
      </c>
      <c r="B100" s="17">
        <f>$B$98-$B$99</f>
        <v>1356.75</v>
      </c>
    </row>
    <row r="101">
      <c r="A101" s="4" t="inlineStr">
        <is>
          <t>Marketplace fee</t>
        </is>
      </c>
      <c r="B101" s="17">
        <f>$B$95*$B$41</f>
        <v>0.0</v>
      </c>
      <c r="C101" s="2" t="inlineStr">
        <is>
          <t>What the marketplace keeps.</t>
        </is>
      </c>
    </row>
    <row r="102">
      <c r="A102" s="4" t="inlineStr">
        <is>
          <t>Gross profit on the subtotal</t>
        </is>
      </c>
      <c r="B102" s="17">
        <f>$B$95-$B$101-$B$90</f>
        <v>1149.3474071883998</v>
      </c>
    </row>
    <row r="103" ht="32" customHeight="1">
      <c r="A103" s="15" t="inlineStr">
        <is>
          <t>Gross margin (calculated)</t>
        </is>
      </c>
      <c r="B103" s="19">
        <f>IF($B$95=0,0,$B$102/$B$95)</f>
        <v>0.45745170435359195</v>
      </c>
      <c r="C103" s="2" t="inlineStr">
        <is>
          <t>Calculated from the costs above, never typed. It is at or above the target because the price is rounded up.</t>
        </is>
      </c>
    </row>
    <row r="104">
      <c r="A104" s="4" t="inlineStr">
        <is>
          <t>Suggested pit crew for this package (Kit estimate)</t>
        </is>
      </c>
      <c r="B104" s="12">
        <f>IFERROR(IF(INDEX('Pricing Calculator'!$D$113:$D$115,MATCH($B$5,'Pricing Calculator'!$A$113:$A$115,0))&gt;0,ROUNDUP($B$6/INDEX('Pricing Calculator'!$D$113:$D$115,MATCH($B$5,'Pricing Calculator'!$A$113:$A$115,0)),0),0),0)</f>
        <v>1.0</v>
      </c>
      <c r="C104" s="2" t="inlineStr">
        <is>
          <t>From the package table below.</t>
        </is>
      </c>
    </row>
    <row r="105">
      <c r="A105" s="4" t="inlineStr">
        <is>
          <t>Suggested servers and attendants for this package (Kit estimate)</t>
        </is>
      </c>
      <c r="B105" s="12">
        <f>IFERROR(IF(INDEX('Pricing Calculator'!$C$113:$C$115,MATCH($B$5,'Pricing Calculator'!$A$113:$A$115,0))&gt;0,ROUNDUP($B$6/INDEX('Pricing Calculator'!$C$113:$C$115,MATCH($B$5,'Pricing Calculator'!$A$113:$A$115,0)),0),0),0)</f>
        <v>3.0</v>
      </c>
      <c r="C105" s="2" t="inlineStr">
        <is>
          <t>From the package table below.</t>
        </is>
      </c>
    </row>
    <row r="106">
      <c r="A106" s="4" t="inlineStr">
        <is>
          <t>Cancellation tiers check</t>
        </is>
      </c>
      <c r="B106" s="2" t="str">
        <f>IF(AND($B$47&gt;$B$48,$B$48&gt;$B$49),"OK","Adjust: tier 1 &gt; tier 2 &gt; tier 3 days")</f>
        <v>OK</v>
      </c>
      <c r="C106" s="2" t="inlineStr">
        <is>
          <t>Tier days must go down: tier 1 &gt; tier 2 &gt; tier 3.</t>
        </is>
      </c>
    </row>
    <row r="107">
      <c r="A107" s="4" t="inlineStr">
        <is>
          <t>Cancellation in tier 1: amount you keep</t>
        </is>
      </c>
      <c r="B107" s="17">
        <f>$B$98*$B$50</f>
        <v>1356.75</v>
      </c>
    </row>
    <row r="108">
      <c r="A108" s="4" t="inlineStr">
        <is>
          <t>Cancellation in tier 2: amount you keep</t>
        </is>
      </c>
      <c r="B108" s="17">
        <f>$B$98*$B$51</f>
        <v>2035.125</v>
      </c>
    </row>
    <row r="109">
      <c r="A109" s="4" t="inlineStr">
        <is>
          <t>Cancellation in tier 3: amount you keep</t>
        </is>
      </c>
      <c r="B109" s="17">
        <f>$B$98*$B$52</f>
        <v>2442.15</v>
      </c>
    </row>
    <row r="110">
      <c r="A110" s="4" t="inlineStr">
        <is>
          <t>Cancellation in tier 4 or no-show: amount you keep</t>
        </is>
      </c>
      <c r="B110" s="17">
        <f>$B$98*$B$53</f>
        <v>2713.5</v>
      </c>
    </row>
    <row r="112" ht="45" customHeight="1">
      <c r="A112" s="20" t="inlineStr">
        <is>
          <t>PACKAGES (Kit estimate — edit the numbers)</t>
        </is>
      </c>
      <c r="B112" s="20" t="inlineStr">
        <is>
          <t>Cooked meat per guest (oz)</t>
        </is>
      </c>
      <c r="C112" s="20" t="inlineStr">
        <is>
          <t>Guests per server or attendant (0 = none)</t>
        </is>
      </c>
      <c r="D112" s="20" t="inlineStr">
        <is>
          <t>Guests per pit crew member</t>
        </is>
      </c>
      <c r="E112" s="20" t="inlineStr">
        <is>
          <t>Food cost per guest while meat prices are blank</t>
        </is>
      </c>
      <c r="F112" s="20" t="inlineStr">
        <is>
          <t>Notes</t>
        </is>
      </c>
    </row>
    <row r="113" ht="48" customHeight="1">
      <c r="A113" s="2" t="inlineStr">
        <is>
          <t>Drop-off (delivered &amp; set, disposable pans)</t>
        </is>
      </c>
      <c r="B113" s="10" t="n">
        <v>6</v>
      </c>
      <c r="C113" s="6" t="n">
        <v>0</v>
      </c>
      <c r="D113" s="6" t="n">
        <v>150</v>
      </c>
      <c r="E113" s="8" t="n">
        <v>6.5</v>
      </c>
      <c r="F113" s="2" t="inlineStr">
        <is>
          <t>Delivered and set in disposable pans, no servers on site. 6 oz cooked is inside the 6-8 oz of sonnybryans.com and the one-third to one-half pound of hutchinsbbq.com.</t>
        </is>
      </c>
    </row>
    <row r="114" ht="48" customHeight="1">
      <c r="A114" s="2" t="inlineStr">
        <is>
          <t>Full-service BBQ buffet (staffed, carving station)</t>
        </is>
      </c>
      <c r="B114" s="10" t="n">
        <v>8</v>
      </c>
      <c r="C114" s="6" t="n">
        <v>30</v>
      </c>
      <c r="D114" s="6" t="n">
        <v>100</v>
      </c>
      <c r="E114" s="8" t="n">
        <v>8</v>
      </c>
      <c r="F114" s="2" t="inlineStr">
        <is>
          <t>Staffed buffet with a carving station: about 1 server or buffet attendant per 25-30 guests (Kit estimate). 8 oz = half a pound of cooked meat per guest.</t>
        </is>
      </c>
    </row>
    <row r="115" ht="48" customHeight="1">
      <c r="A115" s="2" t="inlineStr">
        <is>
          <t>Live-fire premium (Argentine asado / Santa Maria / whole hog)</t>
        </is>
      </c>
      <c r="B115" s="10" t="n">
        <v>8</v>
      </c>
      <c r="C115" s="6" t="n">
        <v>25</v>
      </c>
      <c r="D115" s="6" t="n">
        <v>50</v>
      </c>
      <c r="E115" s="8" t="n">
        <v>17</v>
      </c>
      <c r="F115" s="2" t="inlineStr">
        <is>
          <t>Argentine asado, Santa Maria tri-tip or whole hog cooked at the event: more pit crew per guest and pricier cuts. Pick the cuts in the meat lines.</t>
        </is>
      </c>
    </row>
    <row r="116" ht="32" customHeight="1">
      <c r="A116" s="21" t="inlineStr">
        <is>
          <t>The food cost per guest in this table (Kit estimates: $6.50 drop-off, $8 buffet, $17 live-fire) is only a placeholder while your meat prices are blank. It is not a meat price: as soon as every meat line in use has a price, the calculator costs your real pounds instead.</t>
        </is>
      </c>
    </row>
  </sheetData>
  <sheetProtection selectLockedCells="0" selectUnlockedCells="0" sheet="1" objects="0" insertRows="1" insertHyperlinks="1" autoFilter="1" scenarios="0" formatColumns="1" deleteColumns="1" insertColumns="1" pivotTables="1" deleteRows="1" formatCells="1" formatRows="1" sort="1"/>
  <mergeCells count="2">
    <mergeCell ref="A116:F116"/>
    <mergeCell ref="A2:C2"/>
  </mergeCells>
  <dataValidations count="14">
    <dataValidation sqref="B5" showDropDown="0" showInputMessage="0" showErrorMessage="1" allowBlank="0" errorTitle="Invalid package" error="Choose a package from the list." type="list">
      <formula1>$A$113:$A$115</formula1>
    </dataValidation>
    <dataValidation sqref="B8 B11 B14 B17 B20" showDropDown="0" showInputMessage="0" showErrorMessage="1" allowBlank="0" errorTitle="Invalid cut" error="Choose a cut from the list on the &quot;Meat Yield &amp; Smoke Schedule&quot; tab." type="list">
      <formula1>'Meat Yield &amp; Smoke Schedule'!$A$10:$A$22</formula1>
    </dataValidation>
    <dataValidation sqref="B28 B45" showDropDown="0" showInputMessage="0" showErrorMessage="1" allowBlank="0" errorTitle="Invalid entry" error="Choose Yes or No." type="list">
      <formula1>"Yes,No"</formula1>
    </dataValidation>
    <dataValidation sqref="B6" showDropDown="0" showInputMessage="0" showErrorMessage="1" allowBlank="0" errorTitle="Invalid count" error="Enter a whole number of 1 or more." type="whole" operator="between">
      <formula1>1</formula1>
      <formula2>100000</formula2>
    </dataValidation>
    <dataValidation sqref="B7 B30 B31 B38" showDropDown="0" showInputMessage="0" showErrorMessage="1" allowBlank="0" errorTitle="Invalid count" error="Enter a whole number of 0 or more." type="whole" operator="between">
      <formula1>0</formula1>
      <formula2>100000</formula2>
    </dataValidation>
    <dataValidation sqref="B47 B48 B49" showDropDown="0" showInputMessage="0" showErrorMessage="1" allowBlank="0" errorTitle="Invalid days" error="Enter a whole number of days between 1 and 730." type="whole" operator="between">
      <formula1>1</formula1>
      <formula2>730</formula2>
    </dataValidation>
    <dataValidation sqref="B10 B13 B16 B19 B22" showDropDown="0" showInputMessage="0" showErrorMessage="1" allowBlank="1" errorTitle="Invalid price" error="Type your raw price per lb (a number of 0 or more), or leave it blank." type="decimal" operator="greaterThanOrEqual">
      <formula1>0</formula1>
    </dataValidation>
    <dataValidation sqref="B23 B24 B25 B26 B27 B29 B32 B33 B34 B35 B37 B39 B40" showDropDown="0" showInputMessage="0" showErrorMessage="1" allowBlank="0" errorTitle="Invalid amount" error="Enter a number greater than or equal to 0." type="decimal" operator="greaterThanOrEqual">
      <formula1>0</formula1>
    </dataValidation>
    <dataValidation sqref="B9 B12 B15 B18 B21 B36 B43 B44 B46 B50 B51 B52 B53" showDropDown="0" showInputMessage="0" showErrorMessage="1" allowBlank="0" errorTitle="Invalid percentage" error="Enter a percentage between 0 and 1 (0.20 = 20%)." type="decimal" operator="between">
      <formula1>0</formula1>
      <formula2>1</formula2>
    </dataValidation>
    <dataValidation sqref="B41" showDropDown="0" showInputMessage="0" showErrorMessage="1" allowBlank="0" errorTitle="Invalid percentage" error="Enter a fee between 0 and 30% (0.15 = 15%)." type="decimal" operator="between">
      <formula1>0</formula1>
      <formula2>0.3</formula2>
    </dataValidation>
    <dataValidation sqref="B42" showDropDown="0" showInputMessage="0" showErrorMessage="1" allowBlank="0" errorTitle="Invalid percentage" error="Enter a target margin between 0 and 65% (0.45 = 45%)." type="decimal" operator="between">
      <formula1>0</formula1>
      <formula2>0.65</formula2>
    </dataValidation>
    <dataValidation sqref="B113 B114 B115" showDropDown="0" showInputMessage="0" showErrorMessage="1" allowBlank="0" errorTitle="Invalid amount" error="Enter the cooked oz of meat per guest, between 0.5 and 32." type="decimal" operator="between">
      <formula1>0.5</formula1>
      <formula2>32</formula2>
    </dataValidation>
    <dataValidation sqref="C113 C114 C115 D113 D114 D115" showDropDown="0" showInputMessage="0" showErrorMessage="1" allowBlank="0" errorTitle="Invalid count" error="Enter a whole number of guests, 0 or more." type="whole" operator="between">
      <formula1>0</formula1>
      <formula2>10000</formula2>
    </dataValidation>
    <dataValidation sqref="E113 E114 E115" showDropDown="0" showInputMessage="0" showErrorMessage="1" allowBlank="0" errorTitle="Invalid amount" error="Enter a number greater than or equal to 0." type="decimal" operator="greaterThanOrEqual">
      <formula1>0</formula1>
    </dataValidation>
  </dataValidations>
  <printOptions horizontalCentered="1"/>
  <pageMargins left="0.75" right="0.75" top="1" bottom="1" header="0.5" footer="0.5"/>
  <pageSetup orientation="portrait" paperSize="1" fitToHeight="0" fitToWidth="1"/>
  <headerFooter>
    <oddHeader/>
    <oddFooter>&amp;CAI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O30"/>
  <sheetViews>
    <sheetView showGridLines="0" workbookViewId="0">
      <pane xSplit="1" ySplit="9" topLeftCell="B10" activePane="bottomRight" state="frozen"/>
      <selection pane="topRight"/>
      <selection pane="bottomLeft"/>
      <selection pane="bottomRight" activeCell="A1" sqref="A1"/>
    </sheetView>
  </sheetViews>
  <sheetFormatPr baseColWidth="8" defaultRowHeight="15"/>
  <cols>
    <col width="36" customWidth="1" min="1" max="1"/>
    <col width="11" customWidth="1" min="2" max="2"/>
    <col width="10" customWidth="1" min="3" max="3"/>
    <col width="8" customWidth="1" min="4" max="4"/>
    <col width="11" customWidth="1" min="5" max="5"/>
    <col width="8" customWidth="1" min="6" max="6"/>
    <col width="34" customWidth="1" min="7" max="7"/>
    <col width="9" customWidth="1" min="8" max="8"/>
    <col width="9" customWidth="1" min="9" max="9"/>
    <col width="9" customWidth="1" min="10" max="10"/>
    <col width="26" customWidth="1" min="11" max="11"/>
    <col width="11" customWidth="1" min="12" max="12"/>
    <col width="11" customWidth="1" min="13" max="13"/>
    <col width="12" customWidth="1" min="14" max="14"/>
    <col width="13" customWidth="1" min="15" max="15"/>
  </cols>
  <sheetData>
    <row r="1">
      <c r="A1" s="1" t="inlineStr">
        <is>
          <t>MEAT YIELD &amp; SMOKE SCHEDULE — 13 CUTS</t>
        </is>
      </c>
    </row>
    <row r="2" ht="60" customHeight="1">
      <c r="A2" s="2" t="inlineStr">
        <is>
          <t>Raw weight, pit temperature, cook and rest times and yield for 13 cuts (green cells: kit estimates, edit them with your own test cooks). The QUALITY target (when the meat is done the way guests expect) and the FDA Food Code MINIMUM (the legal safety floor, 2022 Food Code 3-401.11) are different numbers and sit in separate columns. Type your service time below: the tab tells you when to start each cook.</t>
        </is>
      </c>
    </row>
    <row r="4">
      <c r="A4" s="3" t="inlineStr">
        <is>
          <t>SCHEDULE INPUTS</t>
        </is>
      </c>
    </row>
    <row r="5">
      <c r="A5" s="4" t="inlineStr">
        <is>
          <t>Service time on event day</t>
        </is>
      </c>
      <c r="B5" s="22" t="n">
        <v>0.75</v>
      </c>
      <c r="C5" s="4" t="inlineStr">
        <is>
          <t>Type a time such as 6:00 PM.</t>
        </is>
      </c>
    </row>
    <row r="6">
      <c r="A6" s="4" t="inlineStr">
        <is>
          <t>Safety cushion before service (hours)</t>
        </is>
      </c>
      <c r="B6" s="10" t="n">
        <v>1</v>
      </c>
      <c r="C6" s="4" t="inlineStr">
        <is>
          <t>Extra time for a slow cook or the stall. Kit estimate.</t>
        </is>
      </c>
    </row>
    <row r="7">
      <c r="A7" s="4" t="inlineStr">
        <is>
          <t>Cooked oz per serving of one meat</t>
        </is>
      </c>
      <c r="B7" s="10" t="n">
        <v>4</v>
      </c>
      <c r="C7" s="4" t="inlineStr">
        <is>
          <t>With 2 meats on the plate, 4 oz each = half a pound of cooked meat per guest.</t>
        </is>
      </c>
    </row>
    <row r="9" ht="45" customHeight="1">
      <c r="A9" s="20" t="inlineStr">
        <is>
          <t>Cut</t>
        </is>
      </c>
      <c r="B9" s="20" t="inlineStr">
        <is>
          <t>Raw weight per piece (lb)</t>
        </is>
      </c>
      <c r="C9" s="20" t="inlineStr">
        <is>
          <t>Pit or grill temp (°F)</t>
        </is>
      </c>
      <c r="D9" s="20" t="inlineStr">
        <is>
          <t>(°C)</t>
        </is>
      </c>
      <c r="E9" s="20" t="inlineStr">
        <is>
          <t>Quality target (°F, Kit estimate)</t>
        </is>
      </c>
      <c r="F9" s="20" t="inlineStr">
        <is>
          <t>(°C)</t>
        </is>
      </c>
      <c r="G9" s="20" t="inlineStr">
        <is>
          <t>FDA Food Code minimum (safety)</t>
        </is>
      </c>
      <c r="H9" s="20" t="inlineStr">
        <is>
          <t>Cook hours</t>
        </is>
      </c>
      <c r="I9" s="20" t="inlineStr">
        <is>
          <t>Rest and hold hours</t>
        </is>
      </c>
      <c r="J9" s="20" t="inlineStr">
        <is>
          <t>Yield (cooked ÷ raw)</t>
        </is>
      </c>
      <c r="K9" s="20" t="inlineStr">
        <is>
          <t>Yield source</t>
        </is>
      </c>
      <c r="L9" s="20" t="inlineStr">
        <is>
          <t>Servings per raw lb</t>
        </is>
      </c>
      <c r="M9" s="20" t="inlineStr">
        <is>
          <t>Cooked lb per piece</t>
        </is>
      </c>
      <c r="N9" s="20" t="inlineStr">
        <is>
          <t>Start the pit by</t>
        </is>
      </c>
      <c r="O9" s="20" t="inlineStr">
        <is>
          <t>Day</t>
        </is>
      </c>
    </row>
    <row r="10" ht="30" customHeight="1">
      <c r="A10" s="4" t="inlineStr">
        <is>
          <t>Packer brisket (whole, untrimmed)</t>
        </is>
      </c>
      <c r="B10" s="8" t="n">
        <v>14</v>
      </c>
      <c r="C10" s="6" t="n">
        <v>250</v>
      </c>
      <c r="D10" s="12">
        <f>ROUND((C10-32)*5/9,0)</f>
        <v>121.0</v>
      </c>
      <c r="E10" s="6" t="n">
        <v>203</v>
      </c>
      <c r="F10" s="12">
        <f>ROUND((E10-32)*5/9,0)</f>
        <v>95.0</v>
      </c>
      <c r="G10" s="2" t="inlineStr">
        <is>
          <t>145 °F (63 °C) for 4 min as a whole roast; 155 °F (68 °C) for 17 s if injected</t>
        </is>
      </c>
      <c r="H10" s="8" t="n">
        <v>12</v>
      </c>
      <c r="I10" s="8" t="n">
        <v>2</v>
      </c>
      <c r="J10" s="7" t="n">
        <v>0.5</v>
      </c>
      <c r="K10" s="2" t="inlineStr">
        <is>
          <t>fieryfoodscentral.com (about 50% of the fresh weight)</t>
        </is>
      </c>
      <c r="L10" s="13">
        <f>IF($B$7&gt;0,J10*16/$B$7,0)</f>
        <v>2.0</v>
      </c>
      <c r="M10" s="13">
        <f>B10*J10</f>
        <v>7.0</v>
      </c>
      <c r="N10" s="23">
        <f>($B$5-(H10+I10+$B$6)/24)-INT(($B$5-(H10+I10+$B$6)/24))</f>
        <v>0.125</v>
      </c>
      <c r="O10" s="4" t="str">
        <f>IF(($B$5-(H10+I10+$B$6)/24)&gt;=0,"Event day",IF(($B$5-(H10+I10+$B$6)/24)&gt;=-1,"Day before","2 days before"))</f>
        <v>Event day</v>
      </c>
    </row>
    <row r="11" ht="30" customHeight="1">
      <c r="A11" s="4" t="inlineStr">
        <is>
          <t>Pork butt (bone-in shoulder)</t>
        </is>
      </c>
      <c r="B11" s="8" t="n">
        <v>8</v>
      </c>
      <c r="C11" s="6" t="n">
        <v>250</v>
      </c>
      <c r="D11" s="12">
        <f>ROUND((C11-32)*5/9,0)</f>
        <v>121.0</v>
      </c>
      <c r="E11" s="6" t="n">
        <v>200</v>
      </c>
      <c r="F11" s="12">
        <f>ROUND((E11-32)*5/9,0)</f>
        <v>93.0</v>
      </c>
      <c r="G11" s="2" t="inlineStr">
        <is>
          <t>145 °F (63 °C) for 4 min as a whole roast; 155 °F (68 °C) for 17 s if injected</t>
        </is>
      </c>
      <c r="H11" s="8" t="n">
        <v>10</v>
      </c>
      <c r="I11" s="8" t="n">
        <v>1.5</v>
      </c>
      <c r="J11" s="7" t="n">
        <v>0.5</v>
      </c>
      <c r="K11" s="2" t="inlineStr">
        <is>
          <t>fieryfoodscentral.com (about 50% of the fresh weight)</t>
        </is>
      </c>
      <c r="L11" s="13">
        <f>IF($B$7&gt;0,J11*16/$B$7,0)</f>
        <v>2.0</v>
      </c>
      <c r="M11" s="13">
        <f>B11*J11</f>
        <v>4.0</v>
      </c>
      <c r="N11" s="23">
        <f>($B$5-(H11+I11+$B$6)/24)-INT(($B$5-(H11+I11+$B$6)/24))</f>
        <v>0.22916666666666663</v>
      </c>
      <c r="O11" s="4" t="str">
        <f>IF(($B$5-(H11+I11+$B$6)/24)&gt;=0,"Event day",IF(($B$5-(H11+I11+$B$6)/24)&gt;=-1,"Day before","2 days before"))</f>
        <v>Event day</v>
      </c>
    </row>
    <row r="12" ht="30" customHeight="1">
      <c r="A12" s="4" t="inlineStr">
        <is>
          <t>St. Louis ribs</t>
        </is>
      </c>
      <c r="B12" s="8" t="n">
        <v>3</v>
      </c>
      <c r="C12" s="6" t="n">
        <v>250</v>
      </c>
      <c r="D12" s="12">
        <f>ROUND((C12-32)*5/9,0)</f>
        <v>121.0</v>
      </c>
      <c r="E12" s="6" t="n">
        <v>198</v>
      </c>
      <c r="F12" s="12">
        <f>ROUND((E12-32)*5/9,0)</f>
        <v>92.0</v>
      </c>
      <c r="G12" s="2" t="inlineStr">
        <is>
          <t>145 °F (63 °C) for 15 s; 155 °F (68 °C) for 17 s if injected or tenderized</t>
        </is>
      </c>
      <c r="H12" s="8" t="n">
        <v>5.5</v>
      </c>
      <c r="I12" s="8" t="n">
        <v>0.5</v>
      </c>
      <c r="J12" s="7" t="n">
        <v>0.65</v>
      </c>
      <c r="K12" s="2" t="inlineStr">
        <is>
          <t>Kit estimate</t>
        </is>
      </c>
      <c r="L12" s="13">
        <f>IF($B$7&gt;0,J12*16/$B$7,0)</f>
        <v>2.6</v>
      </c>
      <c r="M12" s="13">
        <f>B12*J12</f>
        <v>1.9500000000000002</v>
      </c>
      <c r="N12" s="23">
        <f>($B$5-(H12+I12+$B$6)/24)-INT(($B$5-(H12+I12+$B$6)/24))</f>
        <v>0.4583333333333333</v>
      </c>
      <c r="O12" s="4" t="str">
        <f>IF(($B$5-(H12+I12+$B$6)/24)&gt;=0,"Event day",IF(($B$5-(H12+I12+$B$6)/24)&gt;=-1,"Day before","2 days before"))</f>
        <v>Event day</v>
      </c>
    </row>
    <row r="13" ht="30" customHeight="1">
      <c r="A13" s="4" t="inlineStr">
        <is>
          <t>Baby back ribs</t>
        </is>
      </c>
      <c r="B13" s="8" t="n">
        <v>2.25</v>
      </c>
      <c r="C13" s="6" t="n">
        <v>250</v>
      </c>
      <c r="D13" s="12">
        <f>ROUND((C13-32)*5/9,0)</f>
        <v>121.0</v>
      </c>
      <c r="E13" s="6" t="n">
        <v>195</v>
      </c>
      <c r="F13" s="12">
        <f>ROUND((E13-32)*5/9,0)</f>
        <v>91.0</v>
      </c>
      <c r="G13" s="2" t="inlineStr">
        <is>
          <t>145 °F (63 °C) for 15 s; 155 °F (68 °C) for 17 s if injected or tenderized</t>
        </is>
      </c>
      <c r="H13" s="8" t="n">
        <v>4.5</v>
      </c>
      <c r="I13" s="8" t="n">
        <v>0.5</v>
      </c>
      <c r="J13" s="7" t="n">
        <v>0.6</v>
      </c>
      <c r="K13" s="2" t="inlineStr">
        <is>
          <t>Kit estimate</t>
        </is>
      </c>
      <c r="L13" s="13">
        <f>IF($B$7&gt;0,J13*16/$B$7,0)</f>
        <v>2.4</v>
      </c>
      <c r="M13" s="13">
        <f>B13*J13</f>
        <v>1.3499999999999999</v>
      </c>
      <c r="N13" s="23">
        <f>($B$5-(H13+I13+$B$6)/24)-INT(($B$5-(H13+I13+$B$6)/24))</f>
        <v>0.5</v>
      </c>
      <c r="O13" s="4" t="str">
        <f>IF(($B$5-(H13+I13+$B$6)/24)&gt;=0,"Event day",IF(($B$5-(H13+I13+$B$6)/24)&gt;=-1,"Day before","2 days before"))</f>
        <v>Event day</v>
      </c>
    </row>
    <row r="14" ht="30" customHeight="1">
      <c r="A14" s="4" t="inlineStr">
        <is>
          <t>Beef plate ribs (3-bone)</t>
        </is>
      </c>
      <c r="B14" s="8" t="n">
        <v>5.5</v>
      </c>
      <c r="C14" s="6" t="n">
        <v>275</v>
      </c>
      <c r="D14" s="12">
        <f>ROUND((C14-32)*5/9,0)</f>
        <v>135.0</v>
      </c>
      <c r="E14" s="6" t="n">
        <v>203</v>
      </c>
      <c r="F14" s="12">
        <f>ROUND((E14-32)*5/9,0)</f>
        <v>95.0</v>
      </c>
      <c r="G14" s="2" t="inlineStr">
        <is>
          <t>145 °F (63 °C) for 15 s; 155 °F (68 °C) for 17 s if injected or tenderized</t>
        </is>
      </c>
      <c r="H14" s="8" t="n">
        <v>9</v>
      </c>
      <c r="I14" s="8" t="n">
        <v>1</v>
      </c>
      <c r="J14" s="7" t="n">
        <v>0.55</v>
      </c>
      <c r="K14" s="2" t="inlineStr">
        <is>
          <t>Kit estimate</t>
        </is>
      </c>
      <c r="L14" s="13">
        <f>IF($B$7&gt;0,J14*16/$B$7,0)</f>
        <v>2.2</v>
      </c>
      <c r="M14" s="13">
        <f>B14*J14</f>
        <v>3.0250000000000004</v>
      </c>
      <c r="N14" s="23">
        <f>($B$5-(H14+I14+$B$6)/24)-INT(($B$5-(H14+I14+$B$6)/24))</f>
        <v>0.2916666666666667</v>
      </c>
      <c r="O14" s="4" t="str">
        <f>IF(($B$5-(H14+I14+$B$6)/24)&gt;=0,"Event day",IF(($B$5-(H14+I14+$B$6)/24)&gt;=-1,"Day before","2 days before"))</f>
        <v>Event day</v>
      </c>
    </row>
    <row r="15" ht="30" customHeight="1">
      <c r="A15" s="4" t="inlineStr">
        <is>
          <t>Chicken thighs (bone-in)</t>
        </is>
      </c>
      <c r="B15" s="8" t="n">
        <v>0.33</v>
      </c>
      <c r="C15" s="6" t="n">
        <v>300</v>
      </c>
      <c r="D15" s="12">
        <f>ROUND((C15-32)*5/9,0)</f>
        <v>149.0</v>
      </c>
      <c r="E15" s="6" t="n">
        <v>185</v>
      </c>
      <c r="F15" s="12">
        <f>ROUND((E15-32)*5/9,0)</f>
        <v>85.0</v>
      </c>
      <c r="G15" s="2" t="inlineStr">
        <is>
          <t>165 °F (74 °C), instantaneous (poultry)</t>
        </is>
      </c>
      <c r="H15" s="8" t="n">
        <v>1.75</v>
      </c>
      <c r="I15" s="8" t="n">
        <v>0.25</v>
      </c>
      <c r="J15" s="7" t="n">
        <v>0.68</v>
      </c>
      <c r="K15" s="2" t="inlineStr">
        <is>
          <t>Kit estimate (65-70%)</t>
        </is>
      </c>
      <c r="L15" s="13">
        <f>IF($B$7&gt;0,J15*16/$B$7,0)</f>
        <v>2.72</v>
      </c>
      <c r="M15" s="13">
        <f>B15*J15</f>
        <v>0.22440000000000002</v>
      </c>
      <c r="N15" s="23">
        <f>($B$5-(H15+I15+$B$6)/24)-INT(($B$5-(H15+I15+$B$6)/24))</f>
        <v>0.625</v>
      </c>
      <c r="O15" s="4" t="str">
        <f>IF(($B$5-(H15+I15+$B$6)/24)&gt;=0,"Event day",IF(($B$5-(H15+I15+$B$6)/24)&gt;=-1,"Day before","2 days before"))</f>
        <v>Event day</v>
      </c>
    </row>
    <row r="16" ht="30" customHeight="1">
      <c r="A16" s="4" t="inlineStr">
        <is>
          <t>Chicken halves</t>
        </is>
      </c>
      <c r="B16" s="8" t="n">
        <v>2</v>
      </c>
      <c r="C16" s="6" t="n">
        <v>300</v>
      </c>
      <c r="D16" s="12">
        <f>ROUND((C16-32)*5/9,0)</f>
        <v>149.0</v>
      </c>
      <c r="E16" s="6" t="n">
        <v>175</v>
      </c>
      <c r="F16" s="12">
        <f>ROUND((E16-32)*5/9,0)</f>
        <v>79.0</v>
      </c>
      <c r="G16" s="2" t="inlineStr">
        <is>
          <t>165 °F (74 °C), instantaneous (poultry)</t>
        </is>
      </c>
      <c r="H16" s="8" t="n">
        <v>2.5</v>
      </c>
      <c r="I16" s="8" t="n">
        <v>0.25</v>
      </c>
      <c r="J16" s="7" t="n">
        <v>0.65</v>
      </c>
      <c r="K16" s="2" t="inlineStr">
        <is>
          <t>Kit estimate (65-70%)</t>
        </is>
      </c>
      <c r="L16" s="13">
        <f>IF($B$7&gt;0,J16*16/$B$7,0)</f>
        <v>2.6</v>
      </c>
      <c r="M16" s="13">
        <f>B16*J16</f>
        <v>1.3</v>
      </c>
      <c r="N16" s="23">
        <f>($B$5-(H16+I16+$B$6)/24)-INT(($B$5-(H16+I16+$B$6)/24))</f>
        <v>0.59375</v>
      </c>
      <c r="O16" s="4" t="str">
        <f>IF(($B$5-(H16+I16+$B$6)/24)&gt;=0,"Event day",IF(($B$5-(H16+I16+$B$6)/24)&gt;=-1,"Day before","2 days before"))</f>
        <v>Event day</v>
      </c>
    </row>
    <row r="17" ht="30" customHeight="1">
      <c r="A17" s="4" t="inlineStr">
        <is>
          <t>Turkey breast (bone-in)</t>
        </is>
      </c>
      <c r="B17" s="8" t="n">
        <v>7</v>
      </c>
      <c r="C17" s="6" t="n">
        <v>275</v>
      </c>
      <c r="D17" s="12">
        <f>ROUND((C17-32)*5/9,0)</f>
        <v>135.0</v>
      </c>
      <c r="E17" s="6" t="n">
        <v>165</v>
      </c>
      <c r="F17" s="12">
        <f>ROUND((E17-32)*5/9,0)</f>
        <v>74.0</v>
      </c>
      <c r="G17" s="2" t="inlineStr">
        <is>
          <t>165 °F (74 °C), instantaneous (poultry)</t>
        </is>
      </c>
      <c r="H17" s="8" t="n">
        <v>4</v>
      </c>
      <c r="I17" s="8" t="n">
        <v>0.5</v>
      </c>
      <c r="J17" s="7" t="n">
        <v>0.7</v>
      </c>
      <c r="K17" s="2" t="inlineStr">
        <is>
          <t>Kit estimate</t>
        </is>
      </c>
      <c r="L17" s="13">
        <f>IF($B$7&gt;0,J17*16/$B$7,0)</f>
        <v>2.8</v>
      </c>
      <c r="M17" s="13">
        <f>B17*J17</f>
        <v>4.8999999999999995</v>
      </c>
      <c r="N17" s="23">
        <f>($B$5-(H17+I17+$B$6)/24)-INT(($B$5-(H17+I17+$B$6)/24))</f>
        <v>0.5208333333333334</v>
      </c>
      <c r="O17" s="4" t="str">
        <f>IF(($B$5-(H17+I17+$B$6)/24)&gt;=0,"Event day",IF(($B$5-(H17+I17+$B$6)/24)&gt;=-1,"Day before","2 days before"))</f>
        <v>Event day</v>
      </c>
    </row>
    <row r="18" ht="30" customHeight="1">
      <c r="A18" s="4" t="inlineStr">
        <is>
          <t>Sausage (smoked links)</t>
        </is>
      </c>
      <c r="B18" s="8" t="n">
        <v>0.25</v>
      </c>
      <c r="C18" s="6" t="n">
        <v>275</v>
      </c>
      <c r="D18" s="12">
        <f>ROUND((C18-32)*5/9,0)</f>
        <v>135.0</v>
      </c>
      <c r="E18" s="6" t="n">
        <v>165</v>
      </c>
      <c r="F18" s="12">
        <f>ROUND((E18-32)*5/9,0)</f>
        <v>74.0</v>
      </c>
      <c r="G18" s="2" t="inlineStr">
        <is>
          <t>155 °F (68 °C) for 17 s (ground meat, sausage included)</t>
        </is>
      </c>
      <c r="H18" s="8" t="n">
        <v>1.5</v>
      </c>
      <c r="I18" s="8" t="n">
        <v>0.25</v>
      </c>
      <c r="J18" s="7" t="n">
        <v>0.88</v>
      </c>
      <c r="K18" s="2" t="inlineStr">
        <is>
          <t>Kit estimate (85-90%)</t>
        </is>
      </c>
      <c r="L18" s="13">
        <f>IF($B$7&gt;0,J18*16/$B$7,0)</f>
        <v>3.52</v>
      </c>
      <c r="M18" s="13">
        <f>B18*J18</f>
        <v>0.22</v>
      </c>
      <c r="N18" s="23">
        <f>($B$5-(H18+I18+$B$6)/24)-INT(($B$5-(H18+I18+$B$6)/24))</f>
        <v>0.6354166666666666</v>
      </c>
      <c r="O18" s="4" t="str">
        <f>IF(($B$5-(H18+I18+$B$6)/24)&gt;=0,"Event day",IF(($B$5-(H18+I18+$B$6)/24)&gt;=-1,"Day before","2 days before"))</f>
        <v>Event day</v>
      </c>
    </row>
    <row r="19" ht="30" customHeight="1">
      <c r="A19" s="4" t="inlineStr">
        <is>
          <t>Tri-tip (Santa Maria, over red oak)</t>
        </is>
      </c>
      <c r="B19" s="8" t="n">
        <v>2.5</v>
      </c>
      <c r="C19" s="6" t="n">
        <v>375</v>
      </c>
      <c r="D19" s="12">
        <f>ROUND((C19-32)*5/9,0)</f>
        <v>191.0</v>
      </c>
      <c r="E19" s="6" t="n">
        <v>145</v>
      </c>
      <c r="F19" s="12">
        <f>ROUND((E19-32)*5/9,0)</f>
        <v>63.0</v>
      </c>
      <c r="G19" s="2" t="inlineStr">
        <is>
          <t>145 °F (63 °C) for 4 min as a whole roast; 155 °F (68 °C) for 17 s if injected</t>
        </is>
      </c>
      <c r="H19" s="8" t="n">
        <v>1</v>
      </c>
      <c r="I19" s="8" t="n">
        <v>0.25</v>
      </c>
      <c r="J19" s="7" t="n">
        <v>0.75</v>
      </c>
      <c r="K19" s="2" t="inlineStr">
        <is>
          <t>Kit estimate</t>
        </is>
      </c>
      <c r="L19" s="13">
        <f>IF($B$7&gt;0,J19*16/$B$7,0)</f>
        <v>3.0</v>
      </c>
      <c r="M19" s="13">
        <f>B19*J19</f>
        <v>1.875</v>
      </c>
      <c r="N19" s="23">
        <f>($B$5-(H19+I19+$B$6)/24)-INT(($B$5-(H19+I19+$B$6)/24))</f>
        <v>0.65625</v>
      </c>
      <c r="O19" s="4" t="str">
        <f>IF(($B$5-(H19+I19+$B$6)/24)&gt;=0,"Event day",IF(($B$5-(H19+I19+$B$6)/24)&gt;=-1,"Day before","2 days before"))</f>
        <v>Event day</v>
      </c>
    </row>
    <row r="20" ht="30" customHeight="1">
      <c r="A20" s="4" t="inlineStr">
        <is>
          <t>Picanha (top sirloin cap)</t>
        </is>
      </c>
      <c r="B20" s="8" t="n">
        <v>3</v>
      </c>
      <c r="C20" s="6" t="n">
        <v>400</v>
      </c>
      <c r="D20" s="12">
        <f>ROUND((C20-32)*5/9,0)</f>
        <v>204.0</v>
      </c>
      <c r="E20" s="6" t="n">
        <v>145</v>
      </c>
      <c r="F20" s="12">
        <f>ROUND((E20-32)*5/9,0)</f>
        <v>63.0</v>
      </c>
      <c r="G20" s="2" t="inlineStr">
        <is>
          <t>145 °F (63 °C) for 4 min as a whole roast; 155 °F (68 °C) for 17 s if injected</t>
        </is>
      </c>
      <c r="H20" s="8" t="n">
        <v>1</v>
      </c>
      <c r="I20" s="8" t="n">
        <v>0.25</v>
      </c>
      <c r="J20" s="7" t="n">
        <v>0.75</v>
      </c>
      <c r="K20" s="2" t="inlineStr">
        <is>
          <t>Kit estimate</t>
        </is>
      </c>
      <c r="L20" s="13">
        <f>IF($B$7&gt;0,J20*16/$B$7,0)</f>
        <v>3.0</v>
      </c>
      <c r="M20" s="13">
        <f>B20*J20</f>
        <v>2.25</v>
      </c>
      <c r="N20" s="23">
        <f>($B$5-(H20+I20+$B$6)/24)-INT(($B$5-(H20+I20+$B$6)/24))</f>
        <v>0.65625</v>
      </c>
      <c r="O20" s="4" t="str">
        <f>IF(($B$5-(H20+I20+$B$6)/24)&gt;=0,"Event day",IF(($B$5-(H20+I20+$B$6)/24)&gt;=-1,"Day before","2 days before"))</f>
        <v>Event day</v>
      </c>
    </row>
    <row r="21" ht="30" customHeight="1">
      <c r="A21" s="4" t="inlineStr">
        <is>
          <t>Tomahawk / bone-in ribeye</t>
        </is>
      </c>
      <c r="B21" s="8" t="n">
        <v>3</v>
      </c>
      <c r="C21" s="6" t="n">
        <v>250</v>
      </c>
      <c r="D21" s="12">
        <f>ROUND((C21-32)*5/9,0)</f>
        <v>121.0</v>
      </c>
      <c r="E21" s="6" t="n">
        <v>145</v>
      </c>
      <c r="F21" s="12">
        <f>ROUND((E21-32)*5/9,0)</f>
        <v>63.0</v>
      </c>
      <c r="G21" s="2" t="inlineStr">
        <is>
          <t>145 °F (63 °C) for 15 s; 155 °F (68 °C) for 17 s if injected or tenderized</t>
        </is>
      </c>
      <c r="H21" s="8" t="n">
        <v>1.5</v>
      </c>
      <c r="I21" s="8" t="n">
        <v>0.25</v>
      </c>
      <c r="J21" s="7" t="n">
        <v>0.7</v>
      </c>
      <c r="K21" s="2" t="inlineStr">
        <is>
          <t>Kit estimate</t>
        </is>
      </c>
      <c r="L21" s="13">
        <f>IF($B$7&gt;0,J21*16/$B$7,0)</f>
        <v>2.8</v>
      </c>
      <c r="M21" s="13">
        <f>B21*J21</f>
        <v>2.0999999999999996</v>
      </c>
      <c r="N21" s="23">
        <f>($B$5-(H21+I21+$B$6)/24)-INT(($B$5-(H21+I21+$B$6)/24))</f>
        <v>0.6354166666666666</v>
      </c>
      <c r="O21" s="4" t="str">
        <f>IF(($B$5-(H21+I21+$B$6)/24)&gt;=0,"Event day",IF(($B$5-(H21+I21+$B$6)/24)&gt;=-1,"Day before","2 days before"))</f>
        <v>Event day</v>
      </c>
    </row>
    <row r="22" ht="30" customHeight="1">
      <c r="A22" s="4" t="inlineStr">
        <is>
          <t>Whole hog (optional, dressed)</t>
        </is>
      </c>
      <c r="B22" s="8" t="n">
        <v>120</v>
      </c>
      <c r="C22" s="6" t="n">
        <v>250</v>
      </c>
      <c r="D22" s="12">
        <f>ROUND((C22-32)*5/9,0)</f>
        <v>121.0</v>
      </c>
      <c r="E22" s="6" t="n">
        <v>200</v>
      </c>
      <c r="F22" s="12">
        <f>ROUND((E22-32)*5/9,0)</f>
        <v>93.0</v>
      </c>
      <c r="G22" s="2" t="inlineStr">
        <is>
          <t>145 °F (63 °C) for 4 min as a whole roast; 155 °F (68 °C) for 17 s if injected</t>
        </is>
      </c>
      <c r="H22" s="8" t="n">
        <v>14</v>
      </c>
      <c r="I22" s="8" t="n">
        <v>1</v>
      </c>
      <c r="J22" s="7" t="n">
        <v>0.35</v>
      </c>
      <c r="K22" s="2" t="inlineStr">
        <is>
          <t>Kit estimate</t>
        </is>
      </c>
      <c r="L22" s="13">
        <f>IF($B$7&gt;0,J22*16/$B$7,0)</f>
        <v>1.4</v>
      </c>
      <c r="M22" s="13">
        <f>B22*J22</f>
        <v>42.0</v>
      </c>
      <c r="N22" s="23">
        <f>($B$5-(H22+I22+$B$6)/24)-INT(($B$5-(H22+I22+$B$6)/24))</f>
        <v>0.08333333333333337</v>
      </c>
      <c r="O22" s="4" t="str">
        <f>IF(($B$5-(H22+I22+$B$6)/24)&gt;=0,"Event day",IF(($B$5-(H22+I22+$B$6)/24)&gt;=-1,"Day before","2 days before"))</f>
        <v>Event day</v>
      </c>
    </row>
    <row r="24" ht="32" customHeight="1">
      <c r="A24" s="2" t="inlineStr">
        <is>
          <t>Quality target = the internal temperature at which the cut is done the way guests expect (Kit estimate: probe-tender brisket around 203 °F). Food Code minimum = the legal safety floor. Pull a cut when it reaches BOTH; never write one in place of the other.</t>
        </is>
      </c>
    </row>
    <row r="25" ht="32" customHeight="1">
      <c r="A25" s="2" t="inlineStr">
        <is>
          <t>Injecting a brisket or a pork butt makes it non-intact: its minimum becomes 155 °F (68 °C) for 17 seconds. Serving whole-muscle beef below its minimum (a medium-rare tri-tip, picanha or tomahawk): check your county rules before you put it on the menu.</t>
        </is>
      </c>
    </row>
    <row r="26" ht="32" customHeight="1">
      <c r="A26" s="2" t="inlineStr">
        <is>
          <t>Hot holding: keep cooked meat at 135 °F (57 °C) or above (3-501.16), in insulated food carriers or hot boxes, and probe it before you serve.</t>
        </is>
      </c>
    </row>
    <row r="27" ht="32" customHeight="1">
      <c r="A27" s="2" t="inlineStr">
        <is>
          <t>Cooling leftovers: to 70 °F (21 °C) within 2 hours and to 41 °F (5 °C) within a total of 6 hours (3-501.14); slice or portion brisket so it cools fast. Reheating cooked meat for hot holding: to 165 °F (74 °C) for 15 seconds (3-403.11).</t>
        </is>
      </c>
    </row>
    <row r="28" ht="32" customHeight="1">
      <c r="A28" s="2" t="inlineStr">
        <is>
          <t>Yield: brisket and pork butt end up at about 50% of their raw weight (fieryfoodscentral.com, Dr. BBQ); every other yield is a kit estimate. Weigh your own raw and cooked pounds on your test cook and type them here: the "Pricing Calculator" and "Shopping List by Guest Count" tabs follow.</t>
        </is>
      </c>
    </row>
    <row r="29" ht="32" customHeight="1">
      <c r="A29" s="2" t="inlineStr">
        <is>
          <t>Whole hog: buy it from a USDA- or state-inspected plant; custom-exempt meat is marked "not for sale" (nichemeatprocessing.org).</t>
        </is>
      </c>
    </row>
    <row r="30" ht="32" customHeight="1">
      <c r="A30" s="2" t="inlineStr">
        <is>
          <t>Start the pit by = service time − cook hours − rest and hold hours − safety cushion. Long cooks start the day before: plan the overnight shift of your pit cook.</t>
        </is>
      </c>
    </row>
  </sheetData>
  <sheetProtection selectLockedCells="0" selectUnlockedCells="0" sheet="1" objects="0" insertRows="1" insertHyperlinks="1" autoFilter="1" scenarios="0" formatColumns="1" deleteColumns="1" insertColumns="1" pivotTables="1" deleteRows="1" formatCells="1" formatRows="1" sort="1"/>
  <mergeCells count="8">
    <mergeCell ref="A29:O29"/>
    <mergeCell ref="A25:O25"/>
    <mergeCell ref="A26:O26"/>
    <mergeCell ref="A24:O24"/>
    <mergeCell ref="A2:O2"/>
    <mergeCell ref="A28:O28"/>
    <mergeCell ref="A27:O27"/>
    <mergeCell ref="A30:O30"/>
  </mergeCells>
  <dataValidations count="5">
    <dataValidation sqref="B10 B11 B12 B13 B14 B15 B16 B17 B18 B19 B20 B21 B22 C10 C11 C12 C13 C14 C15 C16 C17 C18 C19 C20 C21 C22 E10 E11 E12 E13 E14 E15 E16 E17 E18 E19 E20 E21 E22 H10 H11 H12 H13 H14 H15 H16 H17 H18 H19 H20 H21 H22 I10 I11 I12 I13 I14 I15 I16 I17 I18 I19 I20 I21 I22" showDropDown="0" showInputMessage="0" showErrorMessage="1" allowBlank="0" errorTitle="Invalid amount" error="Enter a number greater than or equal to 0." type="decimal" operator="greaterThanOrEqual">
      <formula1>0</formula1>
    </dataValidation>
    <dataValidation sqref="J10 J11 J12 J13 J14 J15 J16 J17 J18 J19 J20 J21 J22" showDropDown="0" showInputMessage="0" showErrorMessage="1" allowBlank="0" errorTitle="Invalid yield" error="Enter a yield between 0.05 and 1 (0.50 = 50%)." type="decimal" operator="between">
      <formula1>0.05</formula1>
      <formula2>1</formula2>
    </dataValidation>
    <dataValidation sqref="B5" showDropDown="0" showInputMessage="0" showErrorMessage="1" allowBlank="0" errorTitle="Invalid time" error="Type a time of day, such as 6:00 PM." type="time" operator="between">
      <formula1>0</formula1>
      <formula2>0.999988</formula2>
    </dataValidation>
    <dataValidation sqref="B6" showDropDown="0" showInputMessage="0" showErrorMessage="1" allowBlank="0" errorTitle="Invalid hours" error="Enter the cushion in hours, between 0 and 12." type="decimal" operator="between">
      <formula1>0</formula1>
      <formula2>12</formula2>
    </dataValidation>
    <dataValidation sqref="B7" showDropDown="0" showInputMessage="0" showErrorMessage="1" allowBlank="0" errorTitle="Invalid amount" error="Enter the cooked oz per serving, between 0.5 and 32." type="decimal" operator="between">
      <formula1>0.5</formula1>
      <formula2>32</formula2>
    </dataValidation>
  </dataValidations>
  <printOptions horizontalCentered="1"/>
  <pageMargins left="0.75" right="0.75" top="1" bottom="1" header="0.5" footer="0.5"/>
  <pageSetup orientation="landscape" paperSize="1" fitToHeight="0" fitToWidth="1"/>
  <headerFooter>
    <oddHeader/>
    <oddFooter>&amp;CAI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37"/>
  <sheetViews>
    <sheetView showGridLines="0" workbookViewId="0">
      <pane xSplit="1" ySplit="14" topLeftCell="B15" activePane="bottomRight" state="frozen"/>
      <selection pane="topRight"/>
      <selection pane="bottomLeft"/>
      <selection pane="bottomRight" activeCell="A1" sqref="A1"/>
    </sheetView>
  </sheetViews>
  <sheetFormatPr baseColWidth="8" defaultRowHeight="15"/>
  <cols>
    <col width="50" customWidth="1" min="1" max="1"/>
    <col width="16" customWidth="1" min="2" max="2"/>
    <col width="14" customWidth="1" min="3" max="3"/>
    <col width="14" customWidth="1" min="4" max="4"/>
    <col width="14" customWidth="1" min="5" max="5"/>
    <col width="14" customWidth="1" min="6" max="6"/>
    <col width="56" customWidth="1" min="7" max="7"/>
  </cols>
  <sheetData>
    <row r="1">
      <c r="A1" s="1" t="inlineStr">
        <is>
          <t>SHOPPING LIST BY GUEST COUNT — WHAT TO BUY AND BRING</t>
        </is>
      </c>
    </row>
    <row r="2" ht="48" customHeight="1">
      <c r="A2" s="2" t="inlineStr">
        <is>
          <t>It reads the package, the meat lines (cut and share) and the wood ratio from the "Pricing Calculator" tab and the yields and piece weights from the "Meat Yield &amp; Smoke Schedule" tab. Column B is your event; columns C-F are reference sizes (40, 80, 150 and 300 guests: edit them). Green cells are kit estimates: edit them.</t>
        </is>
      </c>
    </row>
    <row r="4">
      <c r="A4" s="3" t="inlineStr">
        <is>
          <t>ASSUMPTIONS (Kit estimate — edit)</t>
        </is>
      </c>
      <c r="B4" s="3" t="inlineStr">
        <is>
          <t>Value</t>
        </is>
      </c>
      <c r="G4" s="3" t="inlineStr">
        <is>
          <t>Notes</t>
        </is>
      </c>
    </row>
    <row r="5">
      <c r="A5" s="4" t="inlineStr">
        <is>
          <t>Number of sides on the menu</t>
        </is>
      </c>
      <c r="B5" s="6" t="n">
        <v>2</v>
      </c>
      <c r="G5" s="2" t="inlineStr">
        <is>
          <t>Kit estimate (3 meats + 2 sides is a common package).</t>
        </is>
      </c>
    </row>
    <row r="6">
      <c r="A6" s="4" t="inlineStr">
        <is>
          <t>Portion of each side per guest (oz)</t>
        </is>
      </c>
      <c r="B6" s="10" t="n">
        <v>4</v>
      </c>
      <c r="G6" s="2" t="inlineStr">
        <is>
          <t>Kit estimate.</t>
        </is>
      </c>
    </row>
    <row r="7">
      <c r="A7" s="4" t="inlineStr">
        <is>
          <t>Oz of sides per half hotel pan (2.5 in deep)</t>
        </is>
      </c>
      <c r="B7" s="6" t="n">
        <v>128</v>
      </c>
      <c r="G7" s="2" t="inlineStr">
        <is>
          <t>Kit estimate: about a gallon.</t>
        </is>
      </c>
    </row>
    <row r="8">
      <c r="A8" s="4" t="inlineStr">
        <is>
          <t>Rolls or bread slices per guest</t>
        </is>
      </c>
      <c r="B8" s="10" t="n">
        <v>1.5</v>
      </c>
      <c r="G8" s="2" t="inlineStr">
        <is>
          <t>Kit estimate.</t>
        </is>
      </c>
    </row>
    <row r="9">
      <c r="A9" s="4" t="inlineStr">
        <is>
          <t>BBQ sauce per guest (oz)</t>
        </is>
      </c>
      <c r="B9" s="10" t="n">
        <v>2</v>
      </c>
      <c r="G9" s="2" t="inlineStr">
        <is>
          <t>Kit estimate.</t>
        </is>
      </c>
    </row>
    <row r="10">
      <c r="A10" s="4" t="inlineStr">
        <is>
          <t>Butcher paper and foil per raw lb (ft of roll)</t>
        </is>
      </c>
      <c r="B10" s="10" t="n">
        <v>1.5</v>
      </c>
      <c r="G10" s="2" t="inlineStr">
        <is>
          <t>Kit estimate.</t>
        </is>
      </c>
    </row>
    <row r="11">
      <c r="A11" s="4" t="inlineStr">
        <is>
          <t>Cooked meat per full hotel pan (lb)</t>
        </is>
      </c>
      <c r="B11" s="10" t="n">
        <v>15</v>
      </c>
      <c r="G11" s="2" t="inlineStr">
        <is>
          <t>Kit estimate.</t>
        </is>
      </c>
    </row>
    <row r="12">
      <c r="A12" s="4" t="inlineStr">
        <is>
          <t>Full hotel pans per insulated food carrier or hot box</t>
        </is>
      </c>
      <c r="B12" s="6" t="n">
        <v>4</v>
      </c>
      <c r="G12" s="2" t="inlineStr">
        <is>
          <t>Kit estimate: check your model.</t>
        </is>
      </c>
    </row>
    <row r="14">
      <c r="A14" s="3" t="inlineStr">
        <is>
          <t>QUANTITIES</t>
        </is>
      </c>
      <c r="B14" s="3" t="inlineStr">
        <is>
          <t>Your event</t>
        </is>
      </c>
      <c r="C14" s="3" t="inlineStr">
        <is>
          <t>Reference</t>
        </is>
      </c>
      <c r="D14" s="3" t="inlineStr">
        <is>
          <t>Reference</t>
        </is>
      </c>
      <c r="E14" s="3" t="inlineStr">
        <is>
          <t>Reference</t>
        </is>
      </c>
      <c r="F14" s="3" t="inlineStr">
        <is>
          <t>Reference</t>
        </is>
      </c>
      <c r="G14" s="3" t="inlineStr">
        <is>
          <t>Notes</t>
        </is>
      </c>
    </row>
    <row r="15">
      <c r="A15" s="15" t="inlineStr">
        <is>
          <t>Guests</t>
        </is>
      </c>
      <c r="B15" s="24">
        <f>'Pricing Calculator'!$B$6</f>
        <v>75.0</v>
      </c>
      <c r="C15" s="25" t="n">
        <v>40</v>
      </c>
      <c r="D15" s="25" t="n">
        <v>80</v>
      </c>
      <c r="E15" s="25" t="n">
        <v>150</v>
      </c>
      <c r="F15" s="25" t="n">
        <v>300</v>
      </c>
      <c r="G15" s="2" t="inlineStr">
        <is>
          <t>Column B comes from the "Pricing Calculator" tab.</t>
        </is>
      </c>
    </row>
    <row r="16">
      <c r="A16" s="4" t="inlineStr">
        <is>
          <t>Cooked meat to serve (lb)</t>
        </is>
      </c>
      <c r="B16" s="13">
        <f>B$15*IFERROR(INDEX('Pricing Calculator'!$B$113:$B$115,MATCH('Pricing Calculator'!$B$5,'Pricing Calculator'!$A$113:$A$115,0)),0)/16</f>
        <v>37.5</v>
      </c>
      <c r="C16" s="13">
        <f>C$15*IFERROR(INDEX('Pricing Calculator'!$B$113:$B$115,MATCH('Pricing Calculator'!$B$5,'Pricing Calculator'!$A$113:$A$115,0)),0)/16</f>
        <v>20.0</v>
      </c>
      <c r="D16" s="13">
        <f>D$15*IFERROR(INDEX('Pricing Calculator'!$B$113:$B$115,MATCH('Pricing Calculator'!$B$5,'Pricing Calculator'!$A$113:$A$115,0)),0)/16</f>
        <v>40.0</v>
      </c>
      <c r="E16" s="13">
        <f>E$15*IFERROR(INDEX('Pricing Calculator'!$B$113:$B$115,MATCH('Pricing Calculator'!$B$5,'Pricing Calculator'!$A$113:$A$115,0)),0)/16</f>
        <v>75.0</v>
      </c>
      <c r="F16" s="13">
        <f>F$15*IFERROR(INDEX('Pricing Calculator'!$B$113:$B$115,MATCH('Pricing Calculator'!$B$5,'Pricing Calculator'!$A$113:$A$115,0)),0)/16</f>
        <v>150.0</v>
      </c>
      <c r="G16" s="2" t="inlineStr">
        <is>
          <t>Guests × oz per guest of the package ÷ 16.</t>
        </is>
      </c>
    </row>
    <row r="17">
      <c r="A17" s="4" t="str">
        <f>"Raw lb: "&amp;'Pricing Calculator'!$B$8</f>
        <v>Raw lb: Packer brisket (whole, untrimmed)</v>
      </c>
      <c r="B17" s="13">
        <f>IFERROR(IF(INDEX('Meat Yield &amp; Smoke Schedule'!$J$10:$J$22,MATCH('Pricing Calculator'!$B$8,'Meat Yield &amp; Smoke Schedule'!$A$10:$A$22,0))&gt;0,B$16*'Pricing Calculator'!$B$9/INDEX('Meat Yield &amp; Smoke Schedule'!$J$10:$J$22,MATCH('Pricing Calculator'!$B$8,'Meat Yield &amp; Smoke Schedule'!$A$10:$A$22,0)),0),0)</f>
        <v>26.25</v>
      </c>
      <c r="C17" s="13">
        <f>IFERROR(IF(INDEX('Meat Yield &amp; Smoke Schedule'!$J$10:$J$22,MATCH('Pricing Calculator'!$B$8,'Meat Yield &amp; Smoke Schedule'!$A$10:$A$22,0))&gt;0,C$16*'Pricing Calculator'!$B$9/INDEX('Meat Yield &amp; Smoke Schedule'!$J$10:$J$22,MATCH('Pricing Calculator'!$B$8,'Meat Yield &amp; Smoke Schedule'!$A$10:$A$22,0)),0),0)</f>
        <v>14.0</v>
      </c>
      <c r="D17" s="13">
        <f>IFERROR(IF(INDEX('Meat Yield &amp; Smoke Schedule'!$J$10:$J$22,MATCH('Pricing Calculator'!$B$8,'Meat Yield &amp; Smoke Schedule'!$A$10:$A$22,0))&gt;0,D$16*'Pricing Calculator'!$B$9/INDEX('Meat Yield &amp; Smoke Schedule'!$J$10:$J$22,MATCH('Pricing Calculator'!$B$8,'Meat Yield &amp; Smoke Schedule'!$A$10:$A$22,0)),0),0)</f>
        <v>28.0</v>
      </c>
      <c r="E17" s="13">
        <f>IFERROR(IF(INDEX('Meat Yield &amp; Smoke Schedule'!$J$10:$J$22,MATCH('Pricing Calculator'!$B$8,'Meat Yield &amp; Smoke Schedule'!$A$10:$A$22,0))&gt;0,E$16*'Pricing Calculator'!$B$9/INDEX('Meat Yield &amp; Smoke Schedule'!$J$10:$J$22,MATCH('Pricing Calculator'!$B$8,'Meat Yield &amp; Smoke Schedule'!$A$10:$A$22,0)),0),0)</f>
        <v>52.5</v>
      </c>
      <c r="F17" s="13">
        <f>IFERROR(IF(INDEX('Meat Yield &amp; Smoke Schedule'!$J$10:$J$22,MATCH('Pricing Calculator'!$B$8,'Meat Yield &amp; Smoke Schedule'!$A$10:$A$22,0))&gt;0,F$16*'Pricing Calculator'!$B$9/INDEX('Meat Yield &amp; Smoke Schedule'!$J$10:$J$22,MATCH('Pricing Calculator'!$B$8,'Meat Yield &amp; Smoke Schedule'!$A$10:$A$22,0)),0),0)</f>
        <v>105.0</v>
      </c>
    </row>
    <row r="18">
      <c r="A18" s="4" t="str">
        <f>"   Pieces: "&amp;'Pricing Calculator'!$B$8</f>
        <v>   Pieces: Packer brisket (whole, untrimmed)</v>
      </c>
      <c r="B18" s="12">
        <f>IFERROR(IF(INDEX('Meat Yield &amp; Smoke Schedule'!$B$10:$B$22,MATCH('Pricing Calculator'!$B$8,'Meat Yield &amp; Smoke Schedule'!$A$10:$A$22,0))&gt;0,ROUNDUP(B$17/INDEX('Meat Yield &amp; Smoke Schedule'!$B$10:$B$22,MATCH('Pricing Calculator'!$B$8,'Meat Yield &amp; Smoke Schedule'!$A$10:$A$22,0)),0),0),0)</f>
        <v>2.0</v>
      </c>
      <c r="C18" s="12">
        <f>IFERROR(IF(INDEX('Meat Yield &amp; Smoke Schedule'!$B$10:$B$22,MATCH('Pricing Calculator'!$B$8,'Meat Yield &amp; Smoke Schedule'!$A$10:$A$22,0))&gt;0,ROUNDUP(C$17/INDEX('Meat Yield &amp; Smoke Schedule'!$B$10:$B$22,MATCH('Pricing Calculator'!$B$8,'Meat Yield &amp; Smoke Schedule'!$A$10:$A$22,0)),0),0),0)</f>
        <v>1.0</v>
      </c>
      <c r="D18" s="12">
        <f>IFERROR(IF(INDEX('Meat Yield &amp; Smoke Schedule'!$B$10:$B$22,MATCH('Pricing Calculator'!$B$8,'Meat Yield &amp; Smoke Schedule'!$A$10:$A$22,0))&gt;0,ROUNDUP(D$17/INDEX('Meat Yield &amp; Smoke Schedule'!$B$10:$B$22,MATCH('Pricing Calculator'!$B$8,'Meat Yield &amp; Smoke Schedule'!$A$10:$A$22,0)),0),0),0)</f>
        <v>2.0</v>
      </c>
      <c r="E18" s="12">
        <f>IFERROR(IF(INDEX('Meat Yield &amp; Smoke Schedule'!$B$10:$B$22,MATCH('Pricing Calculator'!$B$8,'Meat Yield &amp; Smoke Schedule'!$A$10:$A$22,0))&gt;0,ROUNDUP(E$17/INDEX('Meat Yield &amp; Smoke Schedule'!$B$10:$B$22,MATCH('Pricing Calculator'!$B$8,'Meat Yield &amp; Smoke Schedule'!$A$10:$A$22,0)),0),0),0)</f>
        <v>4.0</v>
      </c>
      <c r="F18" s="12">
        <f>IFERROR(IF(INDEX('Meat Yield &amp; Smoke Schedule'!$B$10:$B$22,MATCH('Pricing Calculator'!$B$8,'Meat Yield &amp; Smoke Schedule'!$A$10:$A$22,0))&gt;0,ROUNDUP(F$17/INDEX('Meat Yield &amp; Smoke Schedule'!$B$10:$B$22,MATCH('Pricing Calculator'!$B$8,'Meat Yield &amp; Smoke Schedule'!$A$10:$A$22,0)),0),0),0)</f>
        <v>8.0</v>
      </c>
    </row>
    <row r="19">
      <c r="A19" s="4" t="str">
        <f>"Raw lb: "&amp;'Pricing Calculator'!$B$11</f>
        <v>Raw lb: Pork butt (bone-in shoulder)</v>
      </c>
      <c r="B19" s="13">
        <f>IFERROR(IF(INDEX('Meat Yield &amp; Smoke Schedule'!$J$10:$J$22,MATCH('Pricing Calculator'!$B$11,'Meat Yield &amp; Smoke Schedule'!$A$10:$A$22,0))&gt;0,B$16*'Pricing Calculator'!$B$12/INDEX('Meat Yield &amp; Smoke Schedule'!$J$10:$J$22,MATCH('Pricing Calculator'!$B$11,'Meat Yield &amp; Smoke Schedule'!$A$10:$A$22,0)),0),0)</f>
        <v>22.5</v>
      </c>
      <c r="C19" s="13">
        <f>IFERROR(IF(INDEX('Meat Yield &amp; Smoke Schedule'!$J$10:$J$22,MATCH('Pricing Calculator'!$B$11,'Meat Yield &amp; Smoke Schedule'!$A$10:$A$22,0))&gt;0,C$16*'Pricing Calculator'!$B$12/INDEX('Meat Yield &amp; Smoke Schedule'!$J$10:$J$22,MATCH('Pricing Calculator'!$B$11,'Meat Yield &amp; Smoke Schedule'!$A$10:$A$22,0)),0),0)</f>
        <v>12.0</v>
      </c>
      <c r="D19" s="13">
        <f>IFERROR(IF(INDEX('Meat Yield &amp; Smoke Schedule'!$J$10:$J$22,MATCH('Pricing Calculator'!$B$11,'Meat Yield &amp; Smoke Schedule'!$A$10:$A$22,0))&gt;0,D$16*'Pricing Calculator'!$B$12/INDEX('Meat Yield &amp; Smoke Schedule'!$J$10:$J$22,MATCH('Pricing Calculator'!$B$11,'Meat Yield &amp; Smoke Schedule'!$A$10:$A$22,0)),0),0)</f>
        <v>24.0</v>
      </c>
      <c r="E19" s="13">
        <f>IFERROR(IF(INDEX('Meat Yield &amp; Smoke Schedule'!$J$10:$J$22,MATCH('Pricing Calculator'!$B$11,'Meat Yield &amp; Smoke Schedule'!$A$10:$A$22,0))&gt;0,E$16*'Pricing Calculator'!$B$12/INDEX('Meat Yield &amp; Smoke Schedule'!$J$10:$J$22,MATCH('Pricing Calculator'!$B$11,'Meat Yield &amp; Smoke Schedule'!$A$10:$A$22,0)),0),0)</f>
        <v>45.0</v>
      </c>
      <c r="F19" s="13">
        <f>IFERROR(IF(INDEX('Meat Yield &amp; Smoke Schedule'!$J$10:$J$22,MATCH('Pricing Calculator'!$B$11,'Meat Yield &amp; Smoke Schedule'!$A$10:$A$22,0))&gt;0,F$16*'Pricing Calculator'!$B$12/INDEX('Meat Yield &amp; Smoke Schedule'!$J$10:$J$22,MATCH('Pricing Calculator'!$B$11,'Meat Yield &amp; Smoke Schedule'!$A$10:$A$22,0)),0),0)</f>
        <v>90.0</v>
      </c>
    </row>
    <row r="20">
      <c r="A20" s="4" t="str">
        <f>"   Pieces: "&amp;'Pricing Calculator'!$B$11</f>
        <v>   Pieces: Pork butt (bone-in shoulder)</v>
      </c>
      <c r="B20" s="12">
        <f>IFERROR(IF(INDEX('Meat Yield &amp; Smoke Schedule'!$B$10:$B$22,MATCH('Pricing Calculator'!$B$11,'Meat Yield &amp; Smoke Schedule'!$A$10:$A$22,0))&gt;0,ROUNDUP(B$19/INDEX('Meat Yield &amp; Smoke Schedule'!$B$10:$B$22,MATCH('Pricing Calculator'!$B$11,'Meat Yield &amp; Smoke Schedule'!$A$10:$A$22,0)),0),0),0)</f>
        <v>3.0</v>
      </c>
      <c r="C20" s="12">
        <f>IFERROR(IF(INDEX('Meat Yield &amp; Smoke Schedule'!$B$10:$B$22,MATCH('Pricing Calculator'!$B$11,'Meat Yield &amp; Smoke Schedule'!$A$10:$A$22,0))&gt;0,ROUNDUP(C$19/INDEX('Meat Yield &amp; Smoke Schedule'!$B$10:$B$22,MATCH('Pricing Calculator'!$B$11,'Meat Yield &amp; Smoke Schedule'!$A$10:$A$22,0)),0),0),0)</f>
        <v>2.0</v>
      </c>
      <c r="D20" s="12">
        <f>IFERROR(IF(INDEX('Meat Yield &amp; Smoke Schedule'!$B$10:$B$22,MATCH('Pricing Calculator'!$B$11,'Meat Yield &amp; Smoke Schedule'!$A$10:$A$22,0))&gt;0,ROUNDUP(D$19/INDEX('Meat Yield &amp; Smoke Schedule'!$B$10:$B$22,MATCH('Pricing Calculator'!$B$11,'Meat Yield &amp; Smoke Schedule'!$A$10:$A$22,0)),0),0),0)</f>
        <v>3.0</v>
      </c>
      <c r="E20" s="12">
        <f>IFERROR(IF(INDEX('Meat Yield &amp; Smoke Schedule'!$B$10:$B$22,MATCH('Pricing Calculator'!$B$11,'Meat Yield &amp; Smoke Schedule'!$A$10:$A$22,0))&gt;0,ROUNDUP(E$19/INDEX('Meat Yield &amp; Smoke Schedule'!$B$10:$B$22,MATCH('Pricing Calculator'!$B$11,'Meat Yield &amp; Smoke Schedule'!$A$10:$A$22,0)),0),0),0)</f>
        <v>6.0</v>
      </c>
      <c r="F20" s="12">
        <f>IFERROR(IF(INDEX('Meat Yield &amp; Smoke Schedule'!$B$10:$B$22,MATCH('Pricing Calculator'!$B$11,'Meat Yield &amp; Smoke Schedule'!$A$10:$A$22,0))&gt;0,ROUNDUP(F$19/INDEX('Meat Yield &amp; Smoke Schedule'!$B$10:$B$22,MATCH('Pricing Calculator'!$B$11,'Meat Yield &amp; Smoke Schedule'!$A$10:$A$22,0)),0),0),0)</f>
        <v>12.0</v>
      </c>
    </row>
    <row r="21">
      <c r="A21" s="4" t="str">
        <f>"Raw lb: "&amp;'Pricing Calculator'!$B$14</f>
        <v>Raw lb: St. Louis ribs</v>
      </c>
      <c r="B21" s="13">
        <f>IFERROR(IF(INDEX('Meat Yield &amp; Smoke Schedule'!$J$10:$J$22,MATCH('Pricing Calculator'!$B$14,'Meat Yield &amp; Smoke Schedule'!$A$10:$A$22,0))&gt;0,B$16*'Pricing Calculator'!$B$15/INDEX('Meat Yield &amp; Smoke Schedule'!$J$10:$J$22,MATCH('Pricing Calculator'!$B$14,'Meat Yield &amp; Smoke Schedule'!$A$10:$A$22,0)),0),0)</f>
        <v>8.653846153846153</v>
      </c>
      <c r="C21" s="13">
        <f>IFERROR(IF(INDEX('Meat Yield &amp; Smoke Schedule'!$J$10:$J$22,MATCH('Pricing Calculator'!$B$14,'Meat Yield &amp; Smoke Schedule'!$A$10:$A$22,0))&gt;0,C$16*'Pricing Calculator'!$B$15/INDEX('Meat Yield &amp; Smoke Schedule'!$J$10:$J$22,MATCH('Pricing Calculator'!$B$14,'Meat Yield &amp; Smoke Schedule'!$A$10:$A$22,0)),0),0)</f>
        <v>4.615384615384615</v>
      </c>
      <c r="D21" s="13">
        <f>IFERROR(IF(INDEX('Meat Yield &amp; Smoke Schedule'!$J$10:$J$22,MATCH('Pricing Calculator'!$B$14,'Meat Yield &amp; Smoke Schedule'!$A$10:$A$22,0))&gt;0,D$16*'Pricing Calculator'!$B$15/INDEX('Meat Yield &amp; Smoke Schedule'!$J$10:$J$22,MATCH('Pricing Calculator'!$B$14,'Meat Yield &amp; Smoke Schedule'!$A$10:$A$22,0)),0),0)</f>
        <v>9.23076923076923</v>
      </c>
      <c r="E21" s="13">
        <f>IFERROR(IF(INDEX('Meat Yield &amp; Smoke Schedule'!$J$10:$J$22,MATCH('Pricing Calculator'!$B$14,'Meat Yield &amp; Smoke Schedule'!$A$10:$A$22,0))&gt;0,E$16*'Pricing Calculator'!$B$15/INDEX('Meat Yield &amp; Smoke Schedule'!$J$10:$J$22,MATCH('Pricing Calculator'!$B$14,'Meat Yield &amp; Smoke Schedule'!$A$10:$A$22,0)),0),0)</f>
        <v>17.307692307692307</v>
      </c>
      <c r="F21" s="13">
        <f>IFERROR(IF(INDEX('Meat Yield &amp; Smoke Schedule'!$J$10:$J$22,MATCH('Pricing Calculator'!$B$14,'Meat Yield &amp; Smoke Schedule'!$A$10:$A$22,0))&gt;0,F$16*'Pricing Calculator'!$B$15/INDEX('Meat Yield &amp; Smoke Schedule'!$J$10:$J$22,MATCH('Pricing Calculator'!$B$14,'Meat Yield &amp; Smoke Schedule'!$A$10:$A$22,0)),0),0)</f>
        <v>34.61538461538461</v>
      </c>
    </row>
    <row r="22">
      <c r="A22" s="4" t="str">
        <f>"   Pieces: "&amp;'Pricing Calculator'!$B$14</f>
        <v>   Pieces: St. Louis ribs</v>
      </c>
      <c r="B22" s="12">
        <f>IFERROR(IF(INDEX('Meat Yield &amp; Smoke Schedule'!$B$10:$B$22,MATCH('Pricing Calculator'!$B$14,'Meat Yield &amp; Smoke Schedule'!$A$10:$A$22,0))&gt;0,ROUNDUP(B$21/INDEX('Meat Yield &amp; Smoke Schedule'!$B$10:$B$22,MATCH('Pricing Calculator'!$B$14,'Meat Yield &amp; Smoke Schedule'!$A$10:$A$22,0)),0),0),0)</f>
        <v>3.0</v>
      </c>
      <c r="C22" s="12">
        <f>IFERROR(IF(INDEX('Meat Yield &amp; Smoke Schedule'!$B$10:$B$22,MATCH('Pricing Calculator'!$B$14,'Meat Yield &amp; Smoke Schedule'!$A$10:$A$22,0))&gt;0,ROUNDUP(C$21/INDEX('Meat Yield &amp; Smoke Schedule'!$B$10:$B$22,MATCH('Pricing Calculator'!$B$14,'Meat Yield &amp; Smoke Schedule'!$A$10:$A$22,0)),0),0),0)</f>
        <v>2.0</v>
      </c>
      <c r="D22" s="12">
        <f>IFERROR(IF(INDEX('Meat Yield &amp; Smoke Schedule'!$B$10:$B$22,MATCH('Pricing Calculator'!$B$14,'Meat Yield &amp; Smoke Schedule'!$A$10:$A$22,0))&gt;0,ROUNDUP(D$21/INDEX('Meat Yield &amp; Smoke Schedule'!$B$10:$B$22,MATCH('Pricing Calculator'!$B$14,'Meat Yield &amp; Smoke Schedule'!$A$10:$A$22,0)),0),0),0)</f>
        <v>4.0</v>
      </c>
      <c r="E22" s="12">
        <f>IFERROR(IF(INDEX('Meat Yield &amp; Smoke Schedule'!$B$10:$B$22,MATCH('Pricing Calculator'!$B$14,'Meat Yield &amp; Smoke Schedule'!$A$10:$A$22,0))&gt;0,ROUNDUP(E$21/INDEX('Meat Yield &amp; Smoke Schedule'!$B$10:$B$22,MATCH('Pricing Calculator'!$B$14,'Meat Yield &amp; Smoke Schedule'!$A$10:$A$22,0)),0),0),0)</f>
        <v>6.0</v>
      </c>
      <c r="F22" s="12">
        <f>IFERROR(IF(INDEX('Meat Yield &amp; Smoke Schedule'!$B$10:$B$22,MATCH('Pricing Calculator'!$B$14,'Meat Yield &amp; Smoke Schedule'!$A$10:$A$22,0))&gt;0,ROUNDUP(F$21/INDEX('Meat Yield &amp; Smoke Schedule'!$B$10:$B$22,MATCH('Pricing Calculator'!$B$14,'Meat Yield &amp; Smoke Schedule'!$A$10:$A$22,0)),0),0),0)</f>
        <v>12.0</v>
      </c>
    </row>
    <row r="23">
      <c r="A23" s="4" t="str">
        <f>"Raw lb: "&amp;'Pricing Calculator'!$B$17</f>
        <v>Raw lb: Chicken thighs (bone-in)</v>
      </c>
      <c r="B23" s="13">
        <f>IFERROR(IF(INDEX('Meat Yield &amp; Smoke Schedule'!$J$10:$J$22,MATCH('Pricing Calculator'!$B$17,'Meat Yield &amp; Smoke Schedule'!$A$10:$A$22,0))&gt;0,B$16*'Pricing Calculator'!$B$18/INDEX('Meat Yield &amp; Smoke Schedule'!$J$10:$J$22,MATCH('Pricing Calculator'!$B$17,'Meat Yield &amp; Smoke Schedule'!$A$10:$A$22,0)),0),0)</f>
        <v>8.272058823529411</v>
      </c>
      <c r="C23" s="13">
        <f>IFERROR(IF(INDEX('Meat Yield &amp; Smoke Schedule'!$J$10:$J$22,MATCH('Pricing Calculator'!$B$17,'Meat Yield &amp; Smoke Schedule'!$A$10:$A$22,0))&gt;0,C$16*'Pricing Calculator'!$B$18/INDEX('Meat Yield &amp; Smoke Schedule'!$J$10:$J$22,MATCH('Pricing Calculator'!$B$17,'Meat Yield &amp; Smoke Schedule'!$A$10:$A$22,0)),0),0)</f>
        <v>4.411764705882352</v>
      </c>
      <c r="D23" s="13">
        <f>IFERROR(IF(INDEX('Meat Yield &amp; Smoke Schedule'!$J$10:$J$22,MATCH('Pricing Calculator'!$B$17,'Meat Yield &amp; Smoke Schedule'!$A$10:$A$22,0))&gt;0,D$16*'Pricing Calculator'!$B$18/INDEX('Meat Yield &amp; Smoke Schedule'!$J$10:$J$22,MATCH('Pricing Calculator'!$B$17,'Meat Yield &amp; Smoke Schedule'!$A$10:$A$22,0)),0),0)</f>
        <v>8.823529411764705</v>
      </c>
      <c r="E23" s="13">
        <f>IFERROR(IF(INDEX('Meat Yield &amp; Smoke Schedule'!$J$10:$J$22,MATCH('Pricing Calculator'!$B$17,'Meat Yield &amp; Smoke Schedule'!$A$10:$A$22,0))&gt;0,E$16*'Pricing Calculator'!$B$18/INDEX('Meat Yield &amp; Smoke Schedule'!$J$10:$J$22,MATCH('Pricing Calculator'!$B$17,'Meat Yield &amp; Smoke Schedule'!$A$10:$A$22,0)),0),0)</f>
        <v>16.544117647058822</v>
      </c>
      <c r="F23" s="13">
        <f>IFERROR(IF(INDEX('Meat Yield &amp; Smoke Schedule'!$J$10:$J$22,MATCH('Pricing Calculator'!$B$17,'Meat Yield &amp; Smoke Schedule'!$A$10:$A$22,0))&gt;0,F$16*'Pricing Calculator'!$B$18/INDEX('Meat Yield &amp; Smoke Schedule'!$J$10:$J$22,MATCH('Pricing Calculator'!$B$17,'Meat Yield &amp; Smoke Schedule'!$A$10:$A$22,0)),0),0)</f>
        <v>33.088235294117645</v>
      </c>
    </row>
    <row r="24">
      <c r="A24" s="4" t="str">
        <f>"   Pieces: "&amp;'Pricing Calculator'!$B$17</f>
        <v>   Pieces: Chicken thighs (bone-in)</v>
      </c>
      <c r="B24" s="12">
        <f>IFERROR(IF(INDEX('Meat Yield &amp; Smoke Schedule'!$B$10:$B$22,MATCH('Pricing Calculator'!$B$17,'Meat Yield &amp; Smoke Schedule'!$A$10:$A$22,0))&gt;0,ROUNDUP(B$23/INDEX('Meat Yield &amp; Smoke Schedule'!$B$10:$B$22,MATCH('Pricing Calculator'!$B$17,'Meat Yield &amp; Smoke Schedule'!$A$10:$A$22,0)),0),0),0)</f>
        <v>26.0</v>
      </c>
      <c r="C24" s="12">
        <f>IFERROR(IF(INDEX('Meat Yield &amp; Smoke Schedule'!$B$10:$B$22,MATCH('Pricing Calculator'!$B$17,'Meat Yield &amp; Smoke Schedule'!$A$10:$A$22,0))&gt;0,ROUNDUP(C$23/INDEX('Meat Yield &amp; Smoke Schedule'!$B$10:$B$22,MATCH('Pricing Calculator'!$B$17,'Meat Yield &amp; Smoke Schedule'!$A$10:$A$22,0)),0),0),0)</f>
        <v>14.0</v>
      </c>
      <c r="D24" s="12">
        <f>IFERROR(IF(INDEX('Meat Yield &amp; Smoke Schedule'!$B$10:$B$22,MATCH('Pricing Calculator'!$B$17,'Meat Yield &amp; Smoke Schedule'!$A$10:$A$22,0))&gt;0,ROUNDUP(D$23/INDEX('Meat Yield &amp; Smoke Schedule'!$B$10:$B$22,MATCH('Pricing Calculator'!$B$17,'Meat Yield &amp; Smoke Schedule'!$A$10:$A$22,0)),0),0),0)</f>
        <v>27.0</v>
      </c>
      <c r="E24" s="12">
        <f>IFERROR(IF(INDEX('Meat Yield &amp; Smoke Schedule'!$B$10:$B$22,MATCH('Pricing Calculator'!$B$17,'Meat Yield &amp; Smoke Schedule'!$A$10:$A$22,0))&gt;0,ROUNDUP(E$23/INDEX('Meat Yield &amp; Smoke Schedule'!$B$10:$B$22,MATCH('Pricing Calculator'!$B$17,'Meat Yield &amp; Smoke Schedule'!$A$10:$A$22,0)),0),0),0)</f>
        <v>51.0</v>
      </c>
      <c r="F24" s="12">
        <f>IFERROR(IF(INDEX('Meat Yield &amp; Smoke Schedule'!$B$10:$B$22,MATCH('Pricing Calculator'!$B$17,'Meat Yield &amp; Smoke Schedule'!$A$10:$A$22,0))&gt;0,ROUNDUP(F$23/INDEX('Meat Yield &amp; Smoke Schedule'!$B$10:$B$22,MATCH('Pricing Calculator'!$B$17,'Meat Yield &amp; Smoke Schedule'!$A$10:$A$22,0)),0),0),0)</f>
        <v>101.0</v>
      </c>
    </row>
    <row r="25">
      <c r="A25" s="4" t="str">
        <f>"Raw lb: "&amp;'Pricing Calculator'!$B$20</f>
        <v>Raw lb: Sausage (smoked links)</v>
      </c>
      <c r="B25" s="13">
        <f>IFERROR(IF(INDEX('Meat Yield &amp; Smoke Schedule'!$J$10:$J$22,MATCH('Pricing Calculator'!$B$20,'Meat Yield &amp; Smoke Schedule'!$A$10:$A$22,0))&gt;0,B$16*'Pricing Calculator'!$B$21/INDEX('Meat Yield &amp; Smoke Schedule'!$J$10:$J$22,MATCH('Pricing Calculator'!$B$20,'Meat Yield &amp; Smoke Schedule'!$A$10:$A$22,0)),0),0)</f>
        <v>2.1306818181818183</v>
      </c>
      <c r="C25" s="13">
        <f>IFERROR(IF(INDEX('Meat Yield &amp; Smoke Schedule'!$J$10:$J$22,MATCH('Pricing Calculator'!$B$20,'Meat Yield &amp; Smoke Schedule'!$A$10:$A$22,0))&gt;0,C$16*'Pricing Calculator'!$B$21/INDEX('Meat Yield &amp; Smoke Schedule'!$J$10:$J$22,MATCH('Pricing Calculator'!$B$20,'Meat Yield &amp; Smoke Schedule'!$A$10:$A$22,0)),0),0)</f>
        <v>1.1363636363636365</v>
      </c>
      <c r="D25" s="13">
        <f>IFERROR(IF(INDEX('Meat Yield &amp; Smoke Schedule'!$J$10:$J$22,MATCH('Pricing Calculator'!$B$20,'Meat Yield &amp; Smoke Schedule'!$A$10:$A$22,0))&gt;0,D$16*'Pricing Calculator'!$B$21/INDEX('Meat Yield &amp; Smoke Schedule'!$J$10:$J$22,MATCH('Pricing Calculator'!$B$20,'Meat Yield &amp; Smoke Schedule'!$A$10:$A$22,0)),0),0)</f>
        <v>2.272727272727273</v>
      </c>
      <c r="E25" s="13">
        <f>IFERROR(IF(INDEX('Meat Yield &amp; Smoke Schedule'!$J$10:$J$22,MATCH('Pricing Calculator'!$B$20,'Meat Yield &amp; Smoke Schedule'!$A$10:$A$22,0))&gt;0,E$16*'Pricing Calculator'!$B$21/INDEX('Meat Yield &amp; Smoke Schedule'!$J$10:$J$22,MATCH('Pricing Calculator'!$B$20,'Meat Yield &amp; Smoke Schedule'!$A$10:$A$22,0)),0),0)</f>
        <v>4.261363636363637</v>
      </c>
      <c r="F25" s="13">
        <f>IFERROR(IF(INDEX('Meat Yield &amp; Smoke Schedule'!$J$10:$J$22,MATCH('Pricing Calculator'!$B$20,'Meat Yield &amp; Smoke Schedule'!$A$10:$A$22,0))&gt;0,F$16*'Pricing Calculator'!$B$21/INDEX('Meat Yield &amp; Smoke Schedule'!$J$10:$J$22,MATCH('Pricing Calculator'!$B$20,'Meat Yield &amp; Smoke Schedule'!$A$10:$A$22,0)),0),0)</f>
        <v>8.522727272727273</v>
      </c>
    </row>
    <row r="26">
      <c r="A26" s="4" t="str">
        <f>"   Pieces: "&amp;'Pricing Calculator'!$B$20</f>
        <v>   Pieces: Sausage (smoked links)</v>
      </c>
      <c r="B26" s="12">
        <f>IFERROR(IF(INDEX('Meat Yield &amp; Smoke Schedule'!$B$10:$B$22,MATCH('Pricing Calculator'!$B$20,'Meat Yield &amp; Smoke Schedule'!$A$10:$A$22,0))&gt;0,ROUNDUP(B$25/INDEX('Meat Yield &amp; Smoke Schedule'!$B$10:$B$22,MATCH('Pricing Calculator'!$B$20,'Meat Yield &amp; Smoke Schedule'!$A$10:$A$22,0)),0),0),0)</f>
        <v>9.0</v>
      </c>
      <c r="C26" s="12">
        <f>IFERROR(IF(INDEX('Meat Yield &amp; Smoke Schedule'!$B$10:$B$22,MATCH('Pricing Calculator'!$B$20,'Meat Yield &amp; Smoke Schedule'!$A$10:$A$22,0))&gt;0,ROUNDUP(C$25/INDEX('Meat Yield &amp; Smoke Schedule'!$B$10:$B$22,MATCH('Pricing Calculator'!$B$20,'Meat Yield &amp; Smoke Schedule'!$A$10:$A$22,0)),0),0),0)</f>
        <v>5.0</v>
      </c>
      <c r="D26" s="12">
        <f>IFERROR(IF(INDEX('Meat Yield &amp; Smoke Schedule'!$B$10:$B$22,MATCH('Pricing Calculator'!$B$20,'Meat Yield &amp; Smoke Schedule'!$A$10:$A$22,0))&gt;0,ROUNDUP(D$25/INDEX('Meat Yield &amp; Smoke Schedule'!$B$10:$B$22,MATCH('Pricing Calculator'!$B$20,'Meat Yield &amp; Smoke Schedule'!$A$10:$A$22,0)),0),0),0)</f>
        <v>10.0</v>
      </c>
      <c r="E26" s="12">
        <f>IFERROR(IF(INDEX('Meat Yield &amp; Smoke Schedule'!$B$10:$B$22,MATCH('Pricing Calculator'!$B$20,'Meat Yield &amp; Smoke Schedule'!$A$10:$A$22,0))&gt;0,ROUNDUP(E$25/INDEX('Meat Yield &amp; Smoke Schedule'!$B$10:$B$22,MATCH('Pricing Calculator'!$B$20,'Meat Yield &amp; Smoke Schedule'!$A$10:$A$22,0)),0),0),0)</f>
        <v>18.0</v>
      </c>
      <c r="F26" s="12">
        <f>IFERROR(IF(INDEX('Meat Yield &amp; Smoke Schedule'!$B$10:$B$22,MATCH('Pricing Calculator'!$B$20,'Meat Yield &amp; Smoke Schedule'!$A$10:$A$22,0))&gt;0,ROUNDUP(F$25/INDEX('Meat Yield &amp; Smoke Schedule'!$B$10:$B$22,MATCH('Pricing Calculator'!$B$20,'Meat Yield &amp; Smoke Schedule'!$A$10:$A$22,0)),0),0),0)</f>
        <v>35.0</v>
      </c>
    </row>
    <row r="27">
      <c r="A27" s="4" t="inlineStr">
        <is>
          <t>Raw meat, all lines (lb)</t>
        </is>
      </c>
      <c r="B27" s="13">
        <f>B$17+B$19+B$21+B$23+B$25</f>
        <v>67.80658679555738</v>
      </c>
      <c r="C27" s="13">
        <f>C$17+C$19+C$21+C$23+C$25</f>
        <v>36.1635129576306</v>
      </c>
      <c r="D27" s="13">
        <f>D$17+D$19+D$21+D$23+D$25</f>
        <v>72.3270259152612</v>
      </c>
      <c r="E27" s="13">
        <f>E$17+E$19+E$21+E$23+E$25</f>
        <v>135.61317359111476</v>
      </c>
      <c r="F27" s="13">
        <f>F$17+F$19+F$21+F$23+F$25</f>
        <v>271.2263471822295</v>
      </c>
    </row>
    <row r="28">
      <c r="A28" s="4" t="inlineStr">
        <is>
          <t>Sides (gallons)</t>
        </is>
      </c>
      <c r="B28" s="13">
        <f>B$15*$B$5*$B$6/128</f>
        <v>4.6875</v>
      </c>
      <c r="C28" s="13">
        <f>C$15*$B$5*$B$6/128</f>
        <v>2.5</v>
      </c>
      <c r="D28" s="13">
        <f>D$15*$B$5*$B$6/128</f>
        <v>5.0</v>
      </c>
      <c r="E28" s="13">
        <f>E$15*$B$5*$B$6/128</f>
        <v>9.375</v>
      </c>
      <c r="F28" s="13">
        <f>F$15*$B$5*$B$6/128</f>
        <v>18.75</v>
      </c>
      <c r="G28" s="2" t="inlineStr">
        <is>
          <t>1 gallon = 128 oz (3.8 liters).</t>
        </is>
      </c>
    </row>
    <row r="29">
      <c r="A29" s="4" t="inlineStr">
        <is>
          <t>Sides (half hotel pans)</t>
        </is>
      </c>
      <c r="B29" s="12">
        <f>ROUNDUP(B$15*$B$5*$B$6/$B$7,0)</f>
        <v>5.0</v>
      </c>
      <c r="C29" s="12">
        <f>ROUNDUP(C$15*$B$5*$B$6/$B$7,0)</f>
        <v>3.0</v>
      </c>
      <c r="D29" s="12">
        <f>ROUNDUP(D$15*$B$5*$B$6/$B$7,0)</f>
        <v>5.0</v>
      </c>
      <c r="E29" s="12">
        <f>ROUNDUP(E$15*$B$5*$B$6/$B$7,0)</f>
        <v>10.0</v>
      </c>
      <c r="F29" s="12">
        <f>ROUNDUP(F$15*$B$5*$B$6/$B$7,0)</f>
        <v>19.0</v>
      </c>
    </row>
    <row r="30">
      <c r="A30" s="4" t="inlineStr">
        <is>
          <t>Rolls or bread slices</t>
        </is>
      </c>
      <c r="B30" s="12">
        <f>ROUNDUP(B$15*$B$8,0)</f>
        <v>113.0</v>
      </c>
      <c r="C30" s="12">
        <f>ROUNDUP(C$15*$B$8,0)</f>
        <v>60.0</v>
      </c>
      <c r="D30" s="12">
        <f>ROUNDUP(D$15*$B$8,0)</f>
        <v>120.0</v>
      </c>
      <c r="E30" s="12">
        <f>ROUNDUP(E$15*$B$8,0)</f>
        <v>225.0</v>
      </c>
      <c r="F30" s="12">
        <f>ROUNDUP(F$15*$B$8,0)</f>
        <v>450.0</v>
      </c>
    </row>
    <row r="31">
      <c r="A31" s="4" t="inlineStr">
        <is>
          <t>BBQ sauce (gallons)</t>
        </is>
      </c>
      <c r="B31" s="17">
        <f>B$15*$B$9/128</f>
        <v>1.171875</v>
      </c>
      <c r="C31" s="17">
        <f>C$15*$B$9/128</f>
        <v>0.625</v>
      </c>
      <c r="D31" s="17">
        <f>D$15*$B$9/128</f>
        <v>1.25</v>
      </c>
      <c r="E31" s="17">
        <f>E$15*$B$9/128</f>
        <v>2.34375</v>
      </c>
      <c r="F31" s="17">
        <f>F$15*$B$9/128</f>
        <v>4.6875</v>
      </c>
    </row>
    <row r="32">
      <c r="A32" s="4" t="inlineStr">
        <is>
          <t>Wood or charcoal (lb)</t>
        </is>
      </c>
      <c r="B32" s="13">
        <f>B$27*'Pricing Calculator'!$B$26</f>
        <v>40.683952077334425</v>
      </c>
      <c r="C32" s="13">
        <f>C$27*'Pricing Calculator'!$B$26</f>
        <v>21.69810777457836</v>
      </c>
      <c r="D32" s="13">
        <f>D$27*'Pricing Calculator'!$B$26</f>
        <v>43.39621554915672</v>
      </c>
      <c r="E32" s="13">
        <f>E$27*'Pricing Calculator'!$B$26</f>
        <v>81.36790415466885</v>
      </c>
      <c r="F32" s="13">
        <f>F$27*'Pricing Calculator'!$B$26</f>
        <v>162.7358083093377</v>
      </c>
      <c r="G32" s="2" t="inlineStr">
        <is>
          <t>Raw lb × the wood ratio of the "Pricing Calculator" tab.</t>
        </is>
      </c>
    </row>
    <row r="33">
      <c r="A33" s="4" t="inlineStr">
        <is>
          <t>Butcher paper and foil (ft of roll)</t>
        </is>
      </c>
      <c r="B33" s="12">
        <f>ROUNDUP(B$27*$B$10,0)</f>
        <v>102.0</v>
      </c>
      <c r="C33" s="12">
        <f>ROUNDUP(C$27*$B$10,0)</f>
        <v>55.0</v>
      </c>
      <c r="D33" s="12">
        <f>ROUNDUP(D$27*$B$10,0)</f>
        <v>109.0</v>
      </c>
      <c r="E33" s="12">
        <f>ROUNDUP(E$27*$B$10,0)</f>
        <v>204.0</v>
      </c>
      <c r="F33" s="12">
        <f>ROUNDUP(F$27*$B$10,0)</f>
        <v>407.0</v>
      </c>
    </row>
    <row r="34">
      <c r="A34" s="4" t="inlineStr">
        <is>
          <t>Full hotel pans for the meat</t>
        </is>
      </c>
      <c r="B34" s="12">
        <f>ROUNDUP(B$16/$B$11,0)</f>
        <v>3.0</v>
      </c>
      <c r="C34" s="12">
        <f>ROUNDUP(C$16/$B$11,0)</f>
        <v>2.0</v>
      </c>
      <c r="D34" s="12">
        <f>ROUNDUP(D$16/$B$11,0)</f>
        <v>3.0</v>
      </c>
      <c r="E34" s="12">
        <f>ROUNDUP(E$16/$B$11,0)</f>
        <v>5.0</v>
      </c>
      <c r="F34" s="12">
        <f>ROUNDUP(F$16/$B$11,0)</f>
        <v>10.0</v>
      </c>
    </row>
    <row r="35">
      <c r="A35" s="4" t="inlineStr">
        <is>
          <t>Insulated food carriers or hot boxes</t>
        </is>
      </c>
      <c r="B35" s="12">
        <f>ROUNDUP(B$34/$B$12,0)</f>
        <v>1.0</v>
      </c>
      <c r="C35" s="12">
        <f>ROUNDUP(C$34/$B$12,0)</f>
        <v>1.0</v>
      </c>
      <c r="D35" s="12">
        <f>ROUNDUP(D$34/$B$12,0)</f>
        <v>1.0</v>
      </c>
      <c r="E35" s="12">
        <f>ROUNDUP(E$34/$B$12,0)</f>
        <v>2.0</v>
      </c>
      <c r="F35" s="12">
        <f>ROUNDUP(F$34/$B$12,0)</f>
        <v>3.0</v>
      </c>
      <c r="G35" s="2" t="inlineStr">
        <is>
          <t>Keep the meat at 135 °F (57 °C) or above until you serve it.</t>
        </is>
      </c>
    </row>
    <row r="36">
      <c r="A36" s="4" t="inlineStr">
        <is>
          <t>Pit crew (suggested)</t>
        </is>
      </c>
      <c r="B36" s="12">
        <f>IF(IFERROR(INDEX('Pricing Calculator'!$D$113:$D$115,MATCH('Pricing Calculator'!$B$5,'Pricing Calculator'!$A$113:$A$115,0)),0)&gt;0,ROUNDUP(B$15/IFERROR(INDEX('Pricing Calculator'!$D$113:$D$115,MATCH('Pricing Calculator'!$B$5,'Pricing Calculator'!$A$113:$A$115,0)),0),0),0)</f>
        <v>1.0</v>
      </c>
      <c r="C36" s="12">
        <f>IF(IFERROR(INDEX('Pricing Calculator'!$D$113:$D$115,MATCH('Pricing Calculator'!$B$5,'Pricing Calculator'!$A$113:$A$115,0)),0)&gt;0,ROUNDUP(C$15/IFERROR(INDEX('Pricing Calculator'!$D$113:$D$115,MATCH('Pricing Calculator'!$B$5,'Pricing Calculator'!$A$113:$A$115,0)),0),0),0)</f>
        <v>1.0</v>
      </c>
      <c r="D36" s="12">
        <f>IF(IFERROR(INDEX('Pricing Calculator'!$D$113:$D$115,MATCH('Pricing Calculator'!$B$5,'Pricing Calculator'!$A$113:$A$115,0)),0)&gt;0,ROUNDUP(D$15/IFERROR(INDEX('Pricing Calculator'!$D$113:$D$115,MATCH('Pricing Calculator'!$B$5,'Pricing Calculator'!$A$113:$A$115,0)),0),0),0)</f>
        <v>1.0</v>
      </c>
      <c r="E36" s="12">
        <f>IF(IFERROR(INDEX('Pricing Calculator'!$D$113:$D$115,MATCH('Pricing Calculator'!$B$5,'Pricing Calculator'!$A$113:$A$115,0)),0)&gt;0,ROUNDUP(E$15/IFERROR(INDEX('Pricing Calculator'!$D$113:$D$115,MATCH('Pricing Calculator'!$B$5,'Pricing Calculator'!$A$113:$A$115,0)),0),0),0)</f>
        <v>2.0</v>
      </c>
      <c r="F36" s="12">
        <f>IF(IFERROR(INDEX('Pricing Calculator'!$D$113:$D$115,MATCH('Pricing Calculator'!$B$5,'Pricing Calculator'!$A$113:$A$115,0)),0)&gt;0,ROUNDUP(F$15/IFERROR(INDEX('Pricing Calculator'!$D$113:$D$115,MATCH('Pricing Calculator'!$B$5,'Pricing Calculator'!$A$113:$A$115,0)),0),0),0)</f>
        <v>3.0</v>
      </c>
      <c r="G36" s="2" t="inlineStr">
        <is>
          <t>From the package table of the "Pricing Calculator" tab.</t>
        </is>
      </c>
    </row>
    <row r="37">
      <c r="A37" s="4" t="inlineStr">
        <is>
          <t>Servers and attendants (suggested)</t>
        </is>
      </c>
      <c r="B37" s="12">
        <f>IF(IFERROR(INDEX('Pricing Calculator'!$C$113:$C$115,MATCH('Pricing Calculator'!$B$5,'Pricing Calculator'!$A$113:$A$115,0)),0)&gt;0,ROUNDUP(B$15/IFERROR(INDEX('Pricing Calculator'!$C$113:$C$115,MATCH('Pricing Calculator'!$B$5,'Pricing Calculator'!$A$113:$A$115,0)),0),0),0)</f>
        <v>3.0</v>
      </c>
      <c r="C37" s="12">
        <f>IF(IFERROR(INDEX('Pricing Calculator'!$C$113:$C$115,MATCH('Pricing Calculator'!$B$5,'Pricing Calculator'!$A$113:$A$115,0)),0)&gt;0,ROUNDUP(C$15/IFERROR(INDEX('Pricing Calculator'!$C$113:$C$115,MATCH('Pricing Calculator'!$B$5,'Pricing Calculator'!$A$113:$A$115,0)),0),0),0)</f>
        <v>2.0</v>
      </c>
      <c r="D37" s="12">
        <f>IF(IFERROR(INDEX('Pricing Calculator'!$C$113:$C$115,MATCH('Pricing Calculator'!$B$5,'Pricing Calculator'!$A$113:$A$115,0)),0)&gt;0,ROUNDUP(D$15/IFERROR(INDEX('Pricing Calculator'!$C$113:$C$115,MATCH('Pricing Calculator'!$B$5,'Pricing Calculator'!$A$113:$A$115,0)),0),0),0)</f>
        <v>3.0</v>
      </c>
      <c r="E37" s="12">
        <f>IF(IFERROR(INDEX('Pricing Calculator'!$C$113:$C$115,MATCH('Pricing Calculator'!$B$5,'Pricing Calculator'!$A$113:$A$115,0)),0)&gt;0,ROUNDUP(E$15/IFERROR(INDEX('Pricing Calculator'!$C$113:$C$115,MATCH('Pricing Calculator'!$B$5,'Pricing Calculator'!$A$113:$A$115,0)),0),0),0)</f>
        <v>5.0</v>
      </c>
      <c r="F37" s="12">
        <f>IF(IFERROR(INDEX('Pricing Calculator'!$C$113:$C$115,MATCH('Pricing Calculator'!$B$5,'Pricing Calculator'!$A$113:$A$115,0)),0)&gt;0,ROUNDUP(F$15/IFERROR(INDEX('Pricing Calculator'!$C$113:$C$115,MATCH('Pricing Calculator'!$B$5,'Pricing Calculator'!$A$113:$A$115,0)),0),0),0)</f>
        <v>10.0</v>
      </c>
      <c r="G37" s="2" t="inlineStr">
        <is>
          <t>0 for drop-off.</t>
        </is>
      </c>
    </row>
  </sheetData>
  <sheetProtection selectLockedCells="0" selectUnlockedCells="0" sheet="1" objects="0" insertRows="1" insertHyperlinks="1" autoFilter="1" scenarios="0" formatColumns="1" deleteColumns="1" insertColumns="1" pivotTables="1" deleteRows="1" formatCells="1" formatRows="1" sort="1"/>
  <mergeCells count="1">
    <mergeCell ref="A2:G2"/>
  </mergeCells>
  <dataValidations count="3">
    <dataValidation sqref="C15 D15 E15 F15" showDropDown="0" showInputMessage="0" showErrorMessage="1" allowBlank="0" errorTitle="Invalid count" error="Enter a whole number of guests, 1 or more." type="whole" operator="between">
      <formula1>1</formula1>
      <formula2>100000</formula2>
    </dataValidation>
    <dataValidation sqref="B5 B7 B12" showDropDown="0" showInputMessage="0" showErrorMessage="1" allowBlank="0" errorTitle="Invalid count" error="Enter a whole number of 0 or more." type="whole" operator="between">
      <formula1>0</formula1>
      <formula2>10000</formula2>
    </dataValidation>
    <dataValidation sqref="B6 B8 B9 B10 B11" showDropDown="0" showInputMessage="0" showErrorMessage="1" allowBlank="0" errorTitle="Invalid amount" error="Enter a number greater than or equal to 0." type="decimal" operator="greaterThanOrEqual">
      <formula1>0</formula1>
    </dataValidation>
  </dataValidations>
  <printOptions horizontalCentered="1"/>
  <pageMargins left="0.75" right="0.75" top="1" bottom="1" header="0.5" footer="0.5"/>
  <pageSetup orientation="landscape" paperSize="1" fitToHeight="0" fitToWidth="1"/>
  <headerFooter>
    <oddHeader/>
    <oddFooter>&amp;CAI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D11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2" customWidth="1" min="1" max="1"/>
    <col width="30" customWidth="1" min="2" max="2"/>
    <col width="30" customWidth="1" min="3" max="3"/>
    <col width="30" customWidth="1" min="4" max="4"/>
  </cols>
  <sheetData>
    <row r="1">
      <c r="A1" s="1" t="inlineStr">
        <is>
          <t>3 EXAMPLE QUOTES — calculated with the same formulas as the "Pricing Calculator" tab</t>
        </is>
      </c>
    </row>
    <row r="2" ht="48" customHeight="1">
      <c r="A2" s="2" t="inlineStr">
        <is>
          <t>Kit estimates for illustration. No meat price is typed here: until you type yours, the food cost uses the package estimate per guest, as in the "Pricing Calculator" tab. Each quote lands within 10% of the price of its line in the workbook's example mix ($22 drop-off, $35 party, $52 wedding). Change the inputs in "Pricing Calculator" to price your own events.</t>
        </is>
      </c>
    </row>
    <row r="4" ht="45" customHeight="1">
      <c r="A4" s="3" t="inlineStr">
        <is>
          <t>INPUTS</t>
        </is>
      </c>
      <c r="B4" s="20" t="inlineStr">
        <is>
          <t>Corporate drop-off, 40 guests</t>
        </is>
      </c>
      <c r="C4" s="20" t="inlineStr">
        <is>
          <t>Graduation party, staffed buffet, 70 guests</t>
        </is>
      </c>
      <c r="D4" s="20" t="inlineStr">
        <is>
          <t>Wedding, 130 guests, full-service + live pit on site</t>
        </is>
      </c>
    </row>
    <row r="5" ht="32" customHeight="1">
      <c r="A5" s="4" t="inlineStr">
        <is>
          <t>Package</t>
        </is>
      </c>
      <c r="B5" s="2" t="inlineStr">
        <is>
          <t>Drop-off (delivered &amp; set, disposable pans)</t>
        </is>
      </c>
      <c r="C5" s="2" t="inlineStr">
        <is>
          <t>Full-service BBQ buffet (staffed, carving station)</t>
        </is>
      </c>
      <c r="D5" s="2" t="inlineStr">
        <is>
          <t>Full-service BBQ buffet (staffed, carving station)</t>
        </is>
      </c>
    </row>
    <row r="6">
      <c r="A6" s="4" t="inlineStr">
        <is>
          <t>Guests expected</t>
        </is>
      </c>
      <c r="B6" s="12" t="n">
        <v>40</v>
      </c>
      <c r="C6" s="12" t="n">
        <v>70</v>
      </c>
      <c r="D6" s="12" t="n">
        <v>130</v>
      </c>
    </row>
    <row r="7">
      <c r="A7" s="4" t="inlineStr">
        <is>
          <t>Guest minimum in your contract</t>
        </is>
      </c>
      <c r="B7" s="12" t="n">
        <v>20</v>
      </c>
      <c r="C7" s="12" t="n">
        <v>30</v>
      </c>
      <c r="D7" s="12" t="n">
        <v>75</v>
      </c>
    </row>
    <row r="8" ht="32" customHeight="1">
      <c r="A8" s="4" t="inlineStr">
        <is>
          <t>Meat line 1: cut</t>
        </is>
      </c>
      <c r="B8" s="2" t="inlineStr">
        <is>
          <t>Packer brisket (whole, untrimmed)</t>
        </is>
      </c>
      <c r="C8" s="2" t="inlineStr">
        <is>
          <t>Packer brisket (whole, untrimmed)</t>
        </is>
      </c>
      <c r="D8" s="2" t="inlineStr">
        <is>
          <t>Packer brisket (whole, untrimmed)</t>
        </is>
      </c>
    </row>
    <row r="9">
      <c r="A9" s="4" t="inlineStr">
        <is>
          <t>Meat line 1: share of the cooked meat</t>
        </is>
      </c>
      <c r="B9" s="14" t="n">
        <v>0.35</v>
      </c>
      <c r="C9" s="14" t="n">
        <v>0.35</v>
      </c>
      <c r="D9" s="14" t="n">
        <v>0.35</v>
      </c>
    </row>
    <row r="10">
      <c r="A10" s="4" t="inlineStr">
        <is>
          <t>Meat line 1: your raw price per lb</t>
        </is>
      </c>
      <c r="B10" s="17" t="n"/>
      <c r="C10" s="17" t="n"/>
      <c r="D10" s="17" t="n"/>
    </row>
    <row r="11" ht="32" customHeight="1">
      <c r="A11" s="4" t="inlineStr">
        <is>
          <t>Meat line 2: cut</t>
        </is>
      </c>
      <c r="B11" s="2" t="inlineStr">
        <is>
          <t>Pork butt (bone-in shoulder)</t>
        </is>
      </c>
      <c r="C11" s="2" t="inlineStr">
        <is>
          <t>Pork butt (bone-in shoulder)</t>
        </is>
      </c>
      <c r="D11" s="2" t="inlineStr">
        <is>
          <t>Pork butt (bone-in shoulder)</t>
        </is>
      </c>
    </row>
    <row r="12">
      <c r="A12" s="4" t="inlineStr">
        <is>
          <t>Meat line 2: share of the cooked meat</t>
        </is>
      </c>
      <c r="B12" s="14" t="n">
        <v>0.35</v>
      </c>
      <c r="C12" s="14" t="n">
        <v>0.3</v>
      </c>
      <c r="D12" s="14" t="n">
        <v>0.3</v>
      </c>
    </row>
    <row r="13">
      <c r="A13" s="4" t="inlineStr">
        <is>
          <t>Meat line 2: your raw price per lb</t>
        </is>
      </c>
      <c r="B13" s="17" t="n"/>
      <c r="C13" s="17" t="n"/>
      <c r="D13" s="17" t="n"/>
    </row>
    <row r="14" ht="32" customHeight="1">
      <c r="A14" s="4" t="inlineStr">
        <is>
          <t>Meat line 3: cut</t>
        </is>
      </c>
      <c r="B14" s="2" t="inlineStr">
        <is>
          <t>St. Louis ribs</t>
        </is>
      </c>
      <c r="C14" s="2" t="inlineStr">
        <is>
          <t>St. Louis ribs</t>
        </is>
      </c>
      <c r="D14" s="2" t="inlineStr">
        <is>
          <t>St. Louis ribs</t>
        </is>
      </c>
    </row>
    <row r="15">
      <c r="A15" s="4" t="inlineStr">
        <is>
          <t>Meat line 3: share of the cooked meat</t>
        </is>
      </c>
      <c r="B15" s="14" t="n">
        <v>0</v>
      </c>
      <c r="C15" s="14" t="n">
        <v>0.15</v>
      </c>
      <c r="D15" s="14" t="n">
        <v>0.15</v>
      </c>
    </row>
    <row r="16">
      <c r="A16" s="4" t="inlineStr">
        <is>
          <t>Meat line 3: your raw price per lb</t>
        </is>
      </c>
      <c r="B16" s="17" t="n"/>
      <c r="C16" s="17" t="n"/>
      <c r="D16" s="17" t="n"/>
    </row>
    <row r="17" ht="32" customHeight="1">
      <c r="A17" s="4" t="inlineStr">
        <is>
          <t>Meat line 4: cut</t>
        </is>
      </c>
      <c r="B17" s="2" t="inlineStr">
        <is>
          <t>Chicken thighs (bone-in)</t>
        </is>
      </c>
      <c r="C17" s="2" t="inlineStr">
        <is>
          <t>Chicken thighs (bone-in)</t>
        </is>
      </c>
      <c r="D17" s="2" t="inlineStr">
        <is>
          <t>Chicken thighs (bone-in)</t>
        </is>
      </c>
    </row>
    <row r="18">
      <c r="A18" s="4" t="inlineStr">
        <is>
          <t>Meat line 4: share of the cooked meat</t>
        </is>
      </c>
      <c r="B18" s="14" t="n">
        <v>0.2</v>
      </c>
      <c r="C18" s="14" t="n">
        <v>0.15</v>
      </c>
      <c r="D18" s="14" t="n">
        <v>0.15</v>
      </c>
    </row>
    <row r="19">
      <c r="A19" s="4" t="inlineStr">
        <is>
          <t>Meat line 4: your raw price per lb</t>
        </is>
      </c>
      <c r="B19" s="17" t="n"/>
      <c r="C19" s="17" t="n"/>
      <c r="D19" s="17" t="n"/>
    </row>
    <row r="20" ht="32" customHeight="1">
      <c r="A20" s="4" t="inlineStr">
        <is>
          <t>Meat line 5: cut</t>
        </is>
      </c>
      <c r="B20" s="2" t="inlineStr">
        <is>
          <t>Sausage (smoked links)</t>
        </is>
      </c>
      <c r="C20" s="2" t="inlineStr">
        <is>
          <t>Sausage (smoked links)</t>
        </is>
      </c>
      <c r="D20" s="2" t="inlineStr">
        <is>
          <t>Sausage (smoked links)</t>
        </is>
      </c>
    </row>
    <row r="21">
      <c r="A21" s="4" t="inlineStr">
        <is>
          <t>Meat line 5: share of the cooked meat</t>
        </is>
      </c>
      <c r="B21" s="14" t="n">
        <v>0.1</v>
      </c>
      <c r="C21" s="14" t="n">
        <v>0.05</v>
      </c>
      <c r="D21" s="14" t="n">
        <v>0.05</v>
      </c>
    </row>
    <row r="22">
      <c r="A22" s="4" t="inlineStr">
        <is>
          <t>Meat line 5: your raw price per lb</t>
        </is>
      </c>
      <c r="B22" s="17" t="n"/>
      <c r="C22" s="17" t="n"/>
      <c r="D22" s="17" t="n"/>
    </row>
    <row r="23">
      <c r="A23" s="4" t="inlineStr">
        <is>
          <t>Sides per guest (mac and cheese, beans, slaw, potato salad)</t>
        </is>
      </c>
      <c r="B23" s="17" t="n">
        <v>2</v>
      </c>
      <c r="C23" s="17" t="n">
        <v>2</v>
      </c>
      <c r="D23" s="17" t="n">
        <v>2</v>
      </c>
    </row>
    <row r="24">
      <c r="A24" s="4" t="inlineStr">
        <is>
          <t>Bread, pickles, onions and BBQ sauce per guest</t>
        </is>
      </c>
      <c r="B24" s="17" t="n">
        <v>0.6</v>
      </c>
      <c r="C24" s="17" t="n">
        <v>0.6</v>
      </c>
      <c r="D24" s="17" t="n">
        <v>0.6</v>
      </c>
    </row>
    <row r="25">
      <c r="A25" s="4" t="inlineStr">
        <is>
          <t>Disposables per guest (pans, plates, cutlery, butcher paper, foil)</t>
        </is>
      </c>
      <c r="B25" s="17" t="n">
        <v>0.75</v>
      </c>
      <c r="C25" s="17" t="n">
        <v>0.75</v>
      </c>
      <c r="D25" s="17" t="n">
        <v>0.75</v>
      </c>
    </row>
    <row r="26">
      <c r="A26" s="4" t="inlineStr">
        <is>
          <t>Wood or charcoal per raw lb of meat (lb)</t>
        </is>
      </c>
      <c r="B26" s="17" t="n">
        <v>0.6</v>
      </c>
      <c r="C26" s="17" t="n">
        <v>0.6</v>
      </c>
      <c r="D26" s="17" t="n">
        <v>0.6</v>
      </c>
    </row>
    <row r="27">
      <c r="A27" s="4" t="inlineStr">
        <is>
          <t>Wood or charcoal cost per lb</t>
        </is>
      </c>
      <c r="B27" s="17" t="n">
        <v>0.15</v>
      </c>
      <c r="C27" s="17" t="n">
        <v>0.15</v>
      </c>
      <c r="D27" s="17" t="n">
        <v>0.15</v>
      </c>
    </row>
    <row r="28">
      <c r="A28" s="4" t="inlineStr">
        <is>
          <t>Live pit on site (smoker trailer at the event)?</t>
        </is>
      </c>
      <c r="B28" s="4" t="inlineStr">
        <is>
          <t>No</t>
        </is>
      </c>
      <c r="C28" s="4" t="inlineStr">
        <is>
          <t>No</t>
        </is>
      </c>
      <c r="D28" s="4" t="inlineStr">
        <is>
          <t>Yes</t>
        </is>
      </c>
    </row>
    <row r="29">
      <c r="A29" s="4" t="inlineStr">
        <is>
          <t>Live pit on site fee (flat, per event)</t>
        </is>
      </c>
      <c r="B29" s="17" t="n">
        <v>650</v>
      </c>
      <c r="C29" s="17" t="n">
        <v>650</v>
      </c>
      <c r="D29" s="17" t="n">
        <v>650</v>
      </c>
    </row>
    <row r="30">
      <c r="A30" s="4" t="inlineStr">
        <is>
          <t>Pit crew on event day (pitmasters, pit cooks)</t>
        </is>
      </c>
      <c r="B30" s="12" t="n">
        <v>1</v>
      </c>
      <c r="C30" s="12" t="n">
        <v>1</v>
      </c>
      <c r="D30" s="12" t="n">
        <v>2</v>
      </c>
    </row>
    <row r="31">
      <c r="A31" s="4" t="inlineStr">
        <is>
          <t>Servers, buffet attendants and carvers</t>
        </is>
      </c>
      <c r="B31" s="12" t="n">
        <v>0</v>
      </c>
      <c r="C31" s="12" t="n">
        <v>2</v>
      </c>
      <c r="D31" s="12" t="n">
        <v>5</v>
      </c>
    </row>
    <row r="32">
      <c r="A32" s="4" t="inlineStr">
        <is>
          <t>Hours each on event day (loading, travel, setup, service, breakdown)</t>
        </is>
      </c>
      <c r="B32" s="13" t="n">
        <v>4</v>
      </c>
      <c r="C32" s="13" t="n">
        <v>6</v>
      </c>
      <c r="D32" s="13" t="n">
        <v>8</v>
      </c>
    </row>
    <row r="33">
      <c r="A33" s="4" t="inlineStr">
        <is>
          <t>Overnight cook and prep hours (pit cook, total)</t>
        </is>
      </c>
      <c r="B33" s="13" t="n">
        <v>6</v>
      </c>
      <c r="C33" s="13" t="n">
        <v>8</v>
      </c>
      <c r="D33" s="13" t="n">
        <v>10</v>
      </c>
    </row>
    <row r="34">
      <c r="A34" s="4" t="inlineStr">
        <is>
          <t>Pit crew hourly wage</t>
        </is>
      </c>
      <c r="B34" s="17" t="n">
        <v>21</v>
      </c>
      <c r="C34" s="17" t="n">
        <v>21</v>
      </c>
      <c r="D34" s="17" t="n">
        <v>21</v>
      </c>
    </row>
    <row r="35">
      <c r="A35" s="4" t="inlineStr">
        <is>
          <t>Server / attendant hourly wage</t>
        </is>
      </c>
      <c r="B35" s="17" t="n">
        <v>18</v>
      </c>
      <c r="C35" s="17" t="n">
        <v>18</v>
      </c>
      <c r="D35" s="17" t="n">
        <v>18</v>
      </c>
    </row>
    <row r="36">
      <c r="A36" s="4" t="inlineStr">
        <is>
          <t>Employer payroll taxes and workers' comp (% of wages)</t>
        </is>
      </c>
      <c r="B36" s="14" t="n">
        <v>0.1</v>
      </c>
      <c r="C36" s="14" t="n">
        <v>0.1</v>
      </c>
      <c r="D36" s="14" t="n">
        <v>0.1</v>
      </c>
    </row>
    <row r="37">
      <c r="A37" s="4" t="inlineStr">
        <is>
          <t>Rentals passed through (tables, linens, chafing dishes, tent)</t>
        </is>
      </c>
      <c r="B37" s="17" t="n">
        <v>0</v>
      </c>
      <c r="C37" s="17" t="n">
        <v>0</v>
      </c>
      <c r="D37" s="17" t="n">
        <v>600</v>
      </c>
    </row>
    <row r="38">
      <c r="A38" s="4" t="inlineStr">
        <is>
          <t>Round-trip miles</t>
        </is>
      </c>
      <c r="B38" s="12" t="n">
        <v>20</v>
      </c>
      <c r="C38" s="12" t="n">
        <v>30</v>
      </c>
      <c r="D38" s="12" t="n">
        <v>60</v>
      </c>
    </row>
    <row r="39">
      <c r="A39" s="4" t="inlineStr">
        <is>
          <t>Cost per mile (van, or pickup + smoker trailer)</t>
        </is>
      </c>
      <c r="B39" s="17" t="n">
        <v>0.7</v>
      </c>
      <c r="C39" s="17" t="n">
        <v>0.7</v>
      </c>
      <c r="D39" s="17" t="n">
        <v>0.7</v>
      </c>
    </row>
    <row r="40">
      <c r="A40" s="4" t="inlineStr">
        <is>
          <t>Flat event or travel fee charged to the client</t>
        </is>
      </c>
      <c r="B40" s="17" t="n">
        <v>0</v>
      </c>
      <c r="C40" s="17" t="n">
        <v>0</v>
      </c>
      <c r="D40" s="17" t="n">
        <v>0</v>
      </c>
    </row>
    <row r="41">
      <c r="A41" s="4" t="inlineStr">
        <is>
          <t>Marketplace fee on this booking (% of subtotal)</t>
        </is>
      </c>
      <c r="B41" s="14" t="n">
        <v>0</v>
      </c>
      <c r="C41" s="14" t="n">
        <v>0</v>
      </c>
      <c r="D41" s="14" t="n">
        <v>0</v>
      </c>
    </row>
    <row r="42">
      <c r="A42" s="4" t="inlineStr">
        <is>
          <t>Target gross margin on the food &amp; service subtotal</t>
        </is>
      </c>
      <c r="B42" s="14" t="n">
        <v>0.4</v>
      </c>
      <c r="C42" s="14" t="n">
        <v>0.5</v>
      </c>
      <c r="D42" s="14" t="n">
        <v>0.5</v>
      </c>
    </row>
    <row r="43">
      <c r="A43" s="4" t="inlineStr">
        <is>
          <t>Service charge (% of subtotal)</t>
        </is>
      </c>
      <c r="B43" s="14" t="n">
        <v>0</v>
      </c>
      <c r="C43" s="14" t="n">
        <v>0</v>
      </c>
      <c r="D43" s="14" t="n">
        <v>0.1</v>
      </c>
    </row>
    <row r="44">
      <c r="A44" s="4" t="inlineStr">
        <is>
          <t>Sales tax rate (state + local)</t>
        </is>
      </c>
      <c r="B44" s="26" t="n">
        <v>0.08</v>
      </c>
      <c r="C44" s="26" t="n">
        <v>0.08</v>
      </c>
      <c r="D44" s="26" t="n">
        <v>0.08</v>
      </c>
    </row>
    <row r="45">
      <c r="A45" s="4" t="inlineStr">
        <is>
          <t>Does your state tax the service charge?</t>
        </is>
      </c>
      <c r="B45" s="4" t="inlineStr">
        <is>
          <t>Yes</t>
        </is>
      </c>
      <c r="C45" s="4" t="inlineStr">
        <is>
          <t>Yes</t>
        </is>
      </c>
      <c r="D45" s="4" t="inlineStr">
        <is>
          <t>Yes</t>
        </is>
      </c>
    </row>
    <row r="46">
      <c r="A46" s="4" t="inlineStr">
        <is>
          <t>Nonrefundable deposit to book the date (% of total)</t>
        </is>
      </c>
      <c r="B46" s="14" t="n">
        <v>0.5</v>
      </c>
      <c r="C46" s="14" t="n">
        <v>0.5</v>
      </c>
      <c r="D46" s="14" t="n">
        <v>0.5</v>
      </c>
    </row>
    <row r="47">
      <c r="A47" s="4" t="inlineStr">
        <is>
          <t>Cancellation tier 1 starts at (days before the event)</t>
        </is>
      </c>
      <c r="B47" s="12" t="n">
        <v>60</v>
      </c>
      <c r="C47" s="12" t="n">
        <v>60</v>
      </c>
      <c r="D47" s="12" t="n">
        <v>60</v>
      </c>
    </row>
    <row r="48">
      <c r="A48" s="4" t="inlineStr">
        <is>
          <t>Cancellation tier 2 starts at (days before the event)</t>
        </is>
      </c>
      <c r="B48" s="12" t="n">
        <v>30</v>
      </c>
      <c r="C48" s="12" t="n">
        <v>30</v>
      </c>
      <c r="D48" s="12" t="n">
        <v>30</v>
      </c>
    </row>
    <row r="49">
      <c r="A49" s="4" t="inlineStr">
        <is>
          <t>Cancellation tier 3 starts at (days before the event)</t>
        </is>
      </c>
      <c r="B49" s="12" t="n">
        <v>14</v>
      </c>
      <c r="C49" s="12" t="n">
        <v>14</v>
      </c>
      <c r="D49" s="12" t="n">
        <v>14</v>
      </c>
    </row>
    <row r="50">
      <c r="A50" s="4" t="inlineStr">
        <is>
          <t>Share of the total you keep in tier 1</t>
        </is>
      </c>
      <c r="B50" s="14" t="n">
        <v>0.5</v>
      </c>
      <c r="C50" s="14" t="n">
        <v>0.5</v>
      </c>
      <c r="D50" s="14" t="n">
        <v>0.5</v>
      </c>
    </row>
    <row r="51">
      <c r="A51" s="4" t="inlineStr">
        <is>
          <t>Share of the total you keep in tier 2</t>
        </is>
      </c>
      <c r="B51" s="14" t="n">
        <v>0.75</v>
      </c>
      <c r="C51" s="14" t="n">
        <v>0.75</v>
      </c>
      <c r="D51" s="14" t="n">
        <v>0.75</v>
      </c>
    </row>
    <row r="52">
      <c r="A52" s="4" t="inlineStr">
        <is>
          <t>Share of the total you keep in tier 3</t>
        </is>
      </c>
      <c r="B52" s="14" t="n">
        <v>0.9</v>
      </c>
      <c r="C52" s="14" t="n">
        <v>0.9</v>
      </c>
      <c r="D52" s="14" t="n">
        <v>0.9</v>
      </c>
    </row>
    <row r="53">
      <c r="A53" s="4" t="inlineStr">
        <is>
          <t>Share of the total you keep in tier 4</t>
        </is>
      </c>
      <c r="B53" s="14" t="n">
        <v>1</v>
      </c>
      <c r="C53" s="14" t="n">
        <v>1</v>
      </c>
      <c r="D53" s="14" t="n">
        <v>1</v>
      </c>
    </row>
    <row r="55" ht="45" customHeight="1">
      <c r="A55" s="3" t="inlineStr">
        <is>
          <t>RESULT</t>
        </is>
      </c>
      <c r="B55" s="20" t="inlineStr">
        <is>
          <t>Corporate drop-off, 40 guests</t>
        </is>
      </c>
      <c r="C55" s="20" t="inlineStr">
        <is>
          <t>Graduation party, staffed buffet, 70 guests</t>
        </is>
      </c>
      <c r="D55" s="20" t="inlineStr">
        <is>
          <t>Wedding, 130 guests, full-service + live pit on site</t>
        </is>
      </c>
    </row>
    <row r="56">
      <c r="A56" s="4" t="inlineStr">
        <is>
          <t>Billable guests</t>
        </is>
      </c>
      <c r="B56" s="12">
        <f>MAX($B$6,$B$7)</f>
        <v>40.0</v>
      </c>
      <c r="C56" s="12">
        <f>MAX($C$6,$C$7)</f>
        <v>70.0</v>
      </c>
      <c r="D56" s="12">
        <f>MAX($D$6,$D$7)</f>
        <v>130.0</v>
      </c>
    </row>
    <row r="57">
      <c r="A57" s="4" t="inlineStr">
        <is>
          <t>Cooked meat per guest for this package (oz)</t>
        </is>
      </c>
      <c r="B57" s="13">
        <f>IFERROR(INDEX('Pricing Calculator'!$B$113:$B$115,MATCH($B$5,'Pricing Calculator'!$A$113:$A$115,0)),0)</f>
        <v>6.0</v>
      </c>
      <c r="C57" s="13">
        <f>IFERROR(INDEX('Pricing Calculator'!$B$113:$B$115,MATCH($C$5,'Pricing Calculator'!$A$113:$A$115,0)),0)</f>
        <v>8.0</v>
      </c>
      <c r="D57" s="13">
        <f>IFERROR(INDEX('Pricing Calculator'!$B$113:$B$115,MATCH($D$5,'Pricing Calculator'!$A$113:$A$115,0)),0)</f>
        <v>8.0</v>
      </c>
    </row>
    <row r="58">
      <c r="A58" s="4" t="inlineStr">
        <is>
          <t>Cooked meat to serve (lb)</t>
        </is>
      </c>
      <c r="B58" s="13">
        <f>$B$6*$B$57/16</f>
        <v>15.0</v>
      </c>
      <c r="C58" s="13">
        <f>$C$6*$C$57/16</f>
        <v>35.0</v>
      </c>
      <c r="D58" s="13">
        <f>$D$6*$D$57/16</f>
        <v>65.0</v>
      </c>
    </row>
    <row r="59" ht="32" customHeight="1">
      <c r="A59" s="4" t="inlineStr">
        <is>
          <t>Meat mix check</t>
        </is>
      </c>
      <c r="B59" s="2" t="str">
        <f>IF(ROUND($B$9+$B$12+$B$15+$B$18+$B$21,4)=1,"OK","Adjust: the five shares must add up to 100%")</f>
        <v>OK</v>
      </c>
      <c r="C59" s="2" t="str">
        <f>IF(ROUND($C$9+$C$12+$C$15+$C$18+$C$21,4)=1,"OK","Adjust: the five shares must add up to 100%")</f>
        <v>OK</v>
      </c>
      <c r="D59" s="2" t="str">
        <f>IF(ROUND($D$9+$D$12+$D$15+$D$18+$D$21,4)=1,"OK","Adjust: the five shares must add up to 100%")</f>
        <v>OK</v>
      </c>
    </row>
    <row r="60">
      <c r="A60" s="4" t="inlineStr">
        <is>
          <t>Meat line 1: yield (cooked ÷ raw)</t>
        </is>
      </c>
      <c r="B60" s="14">
        <f>IFERROR(INDEX('Meat Yield &amp; Smoke Schedule'!$J$10:$J$22,MATCH($B$8,'Meat Yield &amp; Smoke Schedule'!$A$10:$A$22,0)),0)</f>
        <v>0.5</v>
      </c>
      <c r="C60" s="14">
        <f>IFERROR(INDEX('Meat Yield &amp; Smoke Schedule'!$J$10:$J$22,MATCH($C$8,'Meat Yield &amp; Smoke Schedule'!$A$10:$A$22,0)),0)</f>
        <v>0.5</v>
      </c>
      <c r="D60" s="14">
        <f>IFERROR(INDEX('Meat Yield &amp; Smoke Schedule'!$J$10:$J$22,MATCH($D$8,'Meat Yield &amp; Smoke Schedule'!$A$10:$A$22,0)),0)</f>
        <v>0.5</v>
      </c>
    </row>
    <row r="61">
      <c r="A61" s="4" t="inlineStr">
        <is>
          <t>Meat line 1: raw lb to buy</t>
        </is>
      </c>
      <c r="B61" s="13">
        <f>IF($B$60&gt;0,$B$58*$B$9/$B$60,0)</f>
        <v>10.5</v>
      </c>
      <c r="C61" s="13">
        <f>IF($C$60&gt;0,$C$58*$C$9/$C$60,0)</f>
        <v>24.5</v>
      </c>
      <c r="D61" s="13">
        <f>IF($D$60&gt;0,$D$58*$D$9/$D$60,0)</f>
        <v>45.5</v>
      </c>
    </row>
    <row r="62">
      <c r="A62" s="4" t="inlineStr">
        <is>
          <t>Meat line 1: pieces (packers, butts, racks…)</t>
        </is>
      </c>
      <c r="B62" s="12">
        <f>IFERROR(IF(INDEX('Meat Yield &amp; Smoke Schedule'!$B$10:$B$22,MATCH($B$8,'Meat Yield &amp; Smoke Schedule'!$A$10:$A$22,0))&gt;0,ROUNDUP($B$61/INDEX('Meat Yield &amp; Smoke Schedule'!$B$10:$B$22,MATCH($B$8,'Meat Yield &amp; Smoke Schedule'!$A$10:$A$22,0)),0),0),0)</f>
        <v>1.0</v>
      </c>
      <c r="C62" s="12">
        <f>IFERROR(IF(INDEX('Meat Yield &amp; Smoke Schedule'!$B$10:$B$22,MATCH($C$8,'Meat Yield &amp; Smoke Schedule'!$A$10:$A$22,0))&gt;0,ROUNDUP($C$61/INDEX('Meat Yield &amp; Smoke Schedule'!$B$10:$B$22,MATCH($C$8,'Meat Yield &amp; Smoke Schedule'!$A$10:$A$22,0)),0),0),0)</f>
        <v>2.0</v>
      </c>
      <c r="D62" s="12">
        <f>IFERROR(IF(INDEX('Meat Yield &amp; Smoke Schedule'!$B$10:$B$22,MATCH($D$8,'Meat Yield &amp; Smoke Schedule'!$A$10:$A$22,0))&gt;0,ROUNDUP($D$61/INDEX('Meat Yield &amp; Smoke Schedule'!$B$10:$B$22,MATCH($D$8,'Meat Yield &amp; Smoke Schedule'!$A$10:$A$22,0)),0),0),0)</f>
        <v>4.0</v>
      </c>
    </row>
    <row r="63">
      <c r="A63" s="4" t="inlineStr">
        <is>
          <t>Meat line 1: price missing? (1 = yes)</t>
        </is>
      </c>
      <c r="B63" s="12">
        <f>IF($B$9&gt;0,IF(ISNUMBER($B$10),IF($B$10&gt;0,0,1),1),0)</f>
        <v>1.0</v>
      </c>
      <c r="C63" s="12">
        <f>IF($C$9&gt;0,IF(ISNUMBER($C$10),IF($C$10&gt;0,0,1),1),0)</f>
        <v>1.0</v>
      </c>
      <c r="D63" s="12">
        <f>IF($D$9&gt;0,IF(ISNUMBER($D$10),IF($D$10&gt;0,0,1),1),0)</f>
        <v>1.0</v>
      </c>
    </row>
    <row r="64">
      <c r="A64" s="4" t="inlineStr">
        <is>
          <t>Meat line 2: yield (cooked ÷ raw)</t>
        </is>
      </c>
      <c r="B64" s="14">
        <f>IFERROR(INDEX('Meat Yield &amp; Smoke Schedule'!$J$10:$J$22,MATCH($B$11,'Meat Yield &amp; Smoke Schedule'!$A$10:$A$22,0)),0)</f>
        <v>0.5</v>
      </c>
      <c r="C64" s="14">
        <f>IFERROR(INDEX('Meat Yield &amp; Smoke Schedule'!$J$10:$J$22,MATCH($C$11,'Meat Yield &amp; Smoke Schedule'!$A$10:$A$22,0)),0)</f>
        <v>0.5</v>
      </c>
      <c r="D64" s="14">
        <f>IFERROR(INDEX('Meat Yield &amp; Smoke Schedule'!$J$10:$J$22,MATCH($D$11,'Meat Yield &amp; Smoke Schedule'!$A$10:$A$22,0)),0)</f>
        <v>0.5</v>
      </c>
    </row>
    <row r="65">
      <c r="A65" s="4" t="inlineStr">
        <is>
          <t>Meat line 2: raw lb to buy</t>
        </is>
      </c>
      <c r="B65" s="13">
        <f>IF($B$64&gt;0,$B$58*$B$12/$B$64,0)</f>
        <v>10.5</v>
      </c>
      <c r="C65" s="13">
        <f>IF($C$64&gt;0,$C$58*$C$12/$C$64,0)</f>
        <v>21.0</v>
      </c>
      <c r="D65" s="13">
        <f>IF($D$64&gt;0,$D$58*$D$12/$D$64,0)</f>
        <v>39.0</v>
      </c>
    </row>
    <row r="66">
      <c r="A66" s="4" t="inlineStr">
        <is>
          <t>Meat line 2: pieces (packers, butts, racks…)</t>
        </is>
      </c>
      <c r="B66" s="12">
        <f>IFERROR(IF(INDEX('Meat Yield &amp; Smoke Schedule'!$B$10:$B$22,MATCH($B$11,'Meat Yield &amp; Smoke Schedule'!$A$10:$A$22,0))&gt;0,ROUNDUP($B$65/INDEX('Meat Yield &amp; Smoke Schedule'!$B$10:$B$22,MATCH($B$11,'Meat Yield &amp; Smoke Schedule'!$A$10:$A$22,0)),0),0),0)</f>
        <v>2.0</v>
      </c>
      <c r="C66" s="12">
        <f>IFERROR(IF(INDEX('Meat Yield &amp; Smoke Schedule'!$B$10:$B$22,MATCH($C$11,'Meat Yield &amp; Smoke Schedule'!$A$10:$A$22,0))&gt;0,ROUNDUP($C$65/INDEX('Meat Yield &amp; Smoke Schedule'!$B$10:$B$22,MATCH($C$11,'Meat Yield &amp; Smoke Schedule'!$A$10:$A$22,0)),0),0),0)</f>
        <v>3.0</v>
      </c>
      <c r="D66" s="12">
        <f>IFERROR(IF(INDEX('Meat Yield &amp; Smoke Schedule'!$B$10:$B$22,MATCH($D$11,'Meat Yield &amp; Smoke Schedule'!$A$10:$A$22,0))&gt;0,ROUNDUP($D$65/INDEX('Meat Yield &amp; Smoke Schedule'!$B$10:$B$22,MATCH($D$11,'Meat Yield &amp; Smoke Schedule'!$A$10:$A$22,0)),0),0),0)</f>
        <v>5.0</v>
      </c>
    </row>
    <row r="67">
      <c r="A67" s="4" t="inlineStr">
        <is>
          <t>Meat line 2: price missing? (1 = yes)</t>
        </is>
      </c>
      <c r="B67" s="12">
        <f>IF($B$12&gt;0,IF(ISNUMBER($B$13),IF($B$13&gt;0,0,1),1),0)</f>
        <v>1.0</v>
      </c>
      <c r="C67" s="12">
        <f>IF($C$12&gt;0,IF(ISNUMBER($C$13),IF($C$13&gt;0,0,1),1),0)</f>
        <v>1.0</v>
      </c>
      <c r="D67" s="12">
        <f>IF($D$12&gt;0,IF(ISNUMBER($D$13),IF($D$13&gt;0,0,1),1),0)</f>
        <v>1.0</v>
      </c>
    </row>
    <row r="68">
      <c r="A68" s="4" t="inlineStr">
        <is>
          <t>Meat line 3: yield (cooked ÷ raw)</t>
        </is>
      </c>
      <c r="B68" s="14">
        <f>IFERROR(INDEX('Meat Yield &amp; Smoke Schedule'!$J$10:$J$22,MATCH($B$14,'Meat Yield &amp; Smoke Schedule'!$A$10:$A$22,0)),0)</f>
        <v>0.65</v>
      </c>
      <c r="C68" s="14">
        <f>IFERROR(INDEX('Meat Yield &amp; Smoke Schedule'!$J$10:$J$22,MATCH($C$14,'Meat Yield &amp; Smoke Schedule'!$A$10:$A$22,0)),0)</f>
        <v>0.65</v>
      </c>
      <c r="D68" s="14">
        <f>IFERROR(INDEX('Meat Yield &amp; Smoke Schedule'!$J$10:$J$22,MATCH($D$14,'Meat Yield &amp; Smoke Schedule'!$A$10:$A$22,0)),0)</f>
        <v>0.65</v>
      </c>
    </row>
    <row r="69">
      <c r="A69" s="4" t="inlineStr">
        <is>
          <t>Meat line 3: raw lb to buy</t>
        </is>
      </c>
      <c r="B69" s="13">
        <f>IF($B$68&gt;0,$B$58*$B$15/$B$68,0)</f>
        <v>0.0</v>
      </c>
      <c r="C69" s="13">
        <f>IF($C$68&gt;0,$C$58*$C$15/$C$68,0)</f>
        <v>8.076923076923077</v>
      </c>
      <c r="D69" s="13">
        <f>IF($D$68&gt;0,$D$58*$D$15/$D$68,0)</f>
        <v>15.0</v>
      </c>
    </row>
    <row r="70">
      <c r="A70" s="4" t="inlineStr">
        <is>
          <t>Meat line 3: pieces (packers, butts, racks…)</t>
        </is>
      </c>
      <c r="B70" s="12">
        <f>IFERROR(IF(INDEX('Meat Yield &amp; Smoke Schedule'!$B$10:$B$22,MATCH($B$14,'Meat Yield &amp; Smoke Schedule'!$A$10:$A$22,0))&gt;0,ROUNDUP($B$69/INDEX('Meat Yield &amp; Smoke Schedule'!$B$10:$B$22,MATCH($B$14,'Meat Yield &amp; Smoke Schedule'!$A$10:$A$22,0)),0),0),0)</f>
        <v>0.0</v>
      </c>
      <c r="C70" s="12">
        <f>IFERROR(IF(INDEX('Meat Yield &amp; Smoke Schedule'!$B$10:$B$22,MATCH($C$14,'Meat Yield &amp; Smoke Schedule'!$A$10:$A$22,0))&gt;0,ROUNDUP($C$69/INDEX('Meat Yield &amp; Smoke Schedule'!$B$10:$B$22,MATCH($C$14,'Meat Yield &amp; Smoke Schedule'!$A$10:$A$22,0)),0),0),0)</f>
        <v>3.0</v>
      </c>
      <c r="D70" s="12">
        <f>IFERROR(IF(INDEX('Meat Yield &amp; Smoke Schedule'!$B$10:$B$22,MATCH($D$14,'Meat Yield &amp; Smoke Schedule'!$A$10:$A$22,0))&gt;0,ROUNDUP($D$69/INDEX('Meat Yield &amp; Smoke Schedule'!$B$10:$B$22,MATCH($D$14,'Meat Yield &amp; Smoke Schedule'!$A$10:$A$22,0)),0),0),0)</f>
        <v>5.0</v>
      </c>
    </row>
    <row r="71">
      <c r="A71" s="4" t="inlineStr">
        <is>
          <t>Meat line 3: price missing? (1 = yes)</t>
        </is>
      </c>
      <c r="B71" s="12">
        <f>IF($B$15&gt;0,IF(ISNUMBER($B$16),IF($B$16&gt;0,0,1),1),0)</f>
        <v>0.0</v>
      </c>
      <c r="C71" s="12">
        <f>IF($C$15&gt;0,IF(ISNUMBER($C$16),IF($C$16&gt;0,0,1),1),0)</f>
        <v>1.0</v>
      </c>
      <c r="D71" s="12">
        <f>IF($D$15&gt;0,IF(ISNUMBER($D$16),IF($D$16&gt;0,0,1),1),0)</f>
        <v>1.0</v>
      </c>
    </row>
    <row r="72">
      <c r="A72" s="4" t="inlineStr">
        <is>
          <t>Meat line 4: yield (cooked ÷ raw)</t>
        </is>
      </c>
      <c r="B72" s="14">
        <f>IFERROR(INDEX('Meat Yield &amp; Smoke Schedule'!$J$10:$J$22,MATCH($B$17,'Meat Yield &amp; Smoke Schedule'!$A$10:$A$22,0)),0)</f>
        <v>0.68</v>
      </c>
      <c r="C72" s="14">
        <f>IFERROR(INDEX('Meat Yield &amp; Smoke Schedule'!$J$10:$J$22,MATCH($C$17,'Meat Yield &amp; Smoke Schedule'!$A$10:$A$22,0)),0)</f>
        <v>0.68</v>
      </c>
      <c r="D72" s="14">
        <f>IFERROR(INDEX('Meat Yield &amp; Smoke Schedule'!$J$10:$J$22,MATCH($D$17,'Meat Yield &amp; Smoke Schedule'!$A$10:$A$22,0)),0)</f>
        <v>0.68</v>
      </c>
    </row>
    <row r="73">
      <c r="A73" s="4" t="inlineStr">
        <is>
          <t>Meat line 4: raw lb to buy</t>
        </is>
      </c>
      <c r="B73" s="13">
        <f>IF($B$72&gt;0,$B$58*$B$18/$B$72,0)</f>
        <v>4.411764705882352</v>
      </c>
      <c r="C73" s="13">
        <f>IF($C$72&gt;0,$C$58*$C$18/$C$72,0)</f>
        <v>7.720588235294117</v>
      </c>
      <c r="D73" s="13">
        <f>IF($D$72&gt;0,$D$58*$D$18/$D$72,0)</f>
        <v>14.338235294117647</v>
      </c>
    </row>
    <row r="74">
      <c r="A74" s="4" t="inlineStr">
        <is>
          <t>Meat line 4: pieces (packers, butts, racks…)</t>
        </is>
      </c>
      <c r="B74" s="12">
        <f>IFERROR(IF(INDEX('Meat Yield &amp; Smoke Schedule'!$B$10:$B$22,MATCH($B$17,'Meat Yield &amp; Smoke Schedule'!$A$10:$A$22,0))&gt;0,ROUNDUP($B$73/INDEX('Meat Yield &amp; Smoke Schedule'!$B$10:$B$22,MATCH($B$17,'Meat Yield &amp; Smoke Schedule'!$A$10:$A$22,0)),0),0),0)</f>
        <v>14.0</v>
      </c>
      <c r="C74" s="12">
        <f>IFERROR(IF(INDEX('Meat Yield &amp; Smoke Schedule'!$B$10:$B$22,MATCH($C$17,'Meat Yield &amp; Smoke Schedule'!$A$10:$A$22,0))&gt;0,ROUNDUP($C$73/INDEX('Meat Yield &amp; Smoke Schedule'!$B$10:$B$22,MATCH($C$17,'Meat Yield &amp; Smoke Schedule'!$A$10:$A$22,0)),0),0),0)</f>
        <v>24.0</v>
      </c>
      <c r="D74" s="12">
        <f>IFERROR(IF(INDEX('Meat Yield &amp; Smoke Schedule'!$B$10:$B$22,MATCH($D$17,'Meat Yield &amp; Smoke Schedule'!$A$10:$A$22,0))&gt;0,ROUNDUP($D$73/INDEX('Meat Yield &amp; Smoke Schedule'!$B$10:$B$22,MATCH($D$17,'Meat Yield &amp; Smoke Schedule'!$A$10:$A$22,0)),0),0),0)</f>
        <v>44.0</v>
      </c>
    </row>
    <row r="75">
      <c r="A75" s="4" t="inlineStr">
        <is>
          <t>Meat line 4: price missing? (1 = yes)</t>
        </is>
      </c>
      <c r="B75" s="12">
        <f>IF($B$18&gt;0,IF(ISNUMBER($B$19),IF($B$19&gt;0,0,1),1),0)</f>
        <v>1.0</v>
      </c>
      <c r="C75" s="12">
        <f>IF($C$18&gt;0,IF(ISNUMBER($C$19),IF($C$19&gt;0,0,1),1),0)</f>
        <v>1.0</v>
      </c>
      <c r="D75" s="12">
        <f>IF($D$18&gt;0,IF(ISNUMBER($D$19),IF($D$19&gt;0,0,1),1),0)</f>
        <v>1.0</v>
      </c>
    </row>
    <row r="76">
      <c r="A76" s="4" t="inlineStr">
        <is>
          <t>Meat line 5: yield (cooked ÷ raw)</t>
        </is>
      </c>
      <c r="B76" s="14">
        <f>IFERROR(INDEX('Meat Yield &amp; Smoke Schedule'!$J$10:$J$22,MATCH($B$20,'Meat Yield &amp; Smoke Schedule'!$A$10:$A$22,0)),0)</f>
        <v>0.88</v>
      </c>
      <c r="C76" s="14">
        <f>IFERROR(INDEX('Meat Yield &amp; Smoke Schedule'!$J$10:$J$22,MATCH($C$20,'Meat Yield &amp; Smoke Schedule'!$A$10:$A$22,0)),0)</f>
        <v>0.88</v>
      </c>
      <c r="D76" s="14">
        <f>IFERROR(INDEX('Meat Yield &amp; Smoke Schedule'!$J$10:$J$22,MATCH($D$20,'Meat Yield &amp; Smoke Schedule'!$A$10:$A$22,0)),0)</f>
        <v>0.88</v>
      </c>
    </row>
    <row r="77">
      <c r="A77" s="4" t="inlineStr">
        <is>
          <t>Meat line 5: raw lb to buy</t>
        </is>
      </c>
      <c r="B77" s="13">
        <f>IF($B$76&gt;0,$B$58*$B$21/$B$76,0)</f>
        <v>1.7045454545454546</v>
      </c>
      <c r="C77" s="13">
        <f>IF($C$76&gt;0,$C$58*$C$21/$C$76,0)</f>
        <v>1.9886363636363635</v>
      </c>
      <c r="D77" s="13">
        <f>IF($D$76&gt;0,$D$58*$D$21/$D$76,0)</f>
        <v>3.6931818181818183</v>
      </c>
    </row>
    <row r="78">
      <c r="A78" s="4" t="inlineStr">
        <is>
          <t>Meat line 5: pieces (packers, butts, racks…)</t>
        </is>
      </c>
      <c r="B78" s="12">
        <f>IFERROR(IF(INDEX('Meat Yield &amp; Smoke Schedule'!$B$10:$B$22,MATCH($B$20,'Meat Yield &amp; Smoke Schedule'!$A$10:$A$22,0))&gt;0,ROUNDUP($B$77/INDEX('Meat Yield &amp; Smoke Schedule'!$B$10:$B$22,MATCH($B$20,'Meat Yield &amp; Smoke Schedule'!$A$10:$A$22,0)),0),0),0)</f>
        <v>7.0</v>
      </c>
      <c r="C78" s="12">
        <f>IFERROR(IF(INDEX('Meat Yield &amp; Smoke Schedule'!$B$10:$B$22,MATCH($C$20,'Meat Yield &amp; Smoke Schedule'!$A$10:$A$22,0))&gt;0,ROUNDUP($C$77/INDEX('Meat Yield &amp; Smoke Schedule'!$B$10:$B$22,MATCH($C$20,'Meat Yield &amp; Smoke Schedule'!$A$10:$A$22,0)),0),0),0)</f>
        <v>8.0</v>
      </c>
      <c r="D78" s="12">
        <f>IFERROR(IF(INDEX('Meat Yield &amp; Smoke Schedule'!$B$10:$B$22,MATCH($D$20,'Meat Yield &amp; Smoke Schedule'!$A$10:$A$22,0))&gt;0,ROUNDUP($D$77/INDEX('Meat Yield &amp; Smoke Schedule'!$B$10:$B$22,MATCH($D$20,'Meat Yield &amp; Smoke Schedule'!$A$10:$A$22,0)),0),0),0)</f>
        <v>15.0</v>
      </c>
    </row>
    <row r="79">
      <c r="A79" s="4" t="inlineStr">
        <is>
          <t>Meat line 5: price missing? (1 = yes)</t>
        </is>
      </c>
      <c r="B79" s="12">
        <f>IF($B$21&gt;0,IF(ISNUMBER($B$22),IF($B$22&gt;0,0,1),1),0)</f>
        <v>1.0</v>
      </c>
      <c r="C79" s="12">
        <f>IF($C$21&gt;0,IF(ISNUMBER($C$22),IF($C$22&gt;0,0,1),1),0)</f>
        <v>1.0</v>
      </c>
      <c r="D79" s="12">
        <f>IF($D$21&gt;0,IF(ISNUMBER($D$22),IF($D$22&gt;0,0,1),1),0)</f>
        <v>1.0</v>
      </c>
    </row>
    <row r="80">
      <c r="A80" s="4" t="inlineStr">
        <is>
          <t>Raw meat to buy, all lines (lb)</t>
        </is>
      </c>
      <c r="B80" s="13">
        <f>$B$61+$B$65+$B$69+$B$73+$B$77</f>
        <v>27.116310160427805</v>
      </c>
      <c r="C80" s="13">
        <f>$C$61+$C$65+$C$69+$C$73+$C$77</f>
        <v>63.28614767585356</v>
      </c>
      <c r="D80" s="13">
        <f>$D$61+$D$65+$D$69+$D$73+$D$77</f>
        <v>117.53141711229947</v>
      </c>
    </row>
    <row r="81">
      <c r="A81" s="4" t="inlineStr">
        <is>
          <t>Wood or charcoal (lb)</t>
        </is>
      </c>
      <c r="B81" s="13">
        <f>$B$80*$B$26</f>
        <v>16.26978609625668</v>
      </c>
      <c r="C81" s="13">
        <f>$C$80*$C$26</f>
        <v>37.971688605512135</v>
      </c>
      <c r="D81" s="13">
        <f>$D$80*$D$26</f>
        <v>70.51885026737968</v>
      </c>
    </row>
    <row r="82">
      <c r="A82" s="4" t="inlineStr">
        <is>
          <t>Meat lines in use with no price</t>
        </is>
      </c>
      <c r="B82" s="12">
        <f>$B$63+$B$67+$B$71+$B$75+$B$79</f>
        <v>4.0</v>
      </c>
      <c r="C82" s="12">
        <f>$C$63+$C$67+$C$71+$C$75+$C$79</f>
        <v>5.0</v>
      </c>
      <c r="D82" s="12">
        <f>$D$63+$D$67+$D$71+$D$75+$D$79</f>
        <v>5.0</v>
      </c>
    </row>
    <row r="83" ht="32" customHeight="1">
      <c r="A83" s="15" t="inlineStr">
        <is>
          <t>Meat prices</t>
        </is>
      </c>
      <c r="B83" s="16" t="str">
        <f>IF($B$82=0,"Complete: food cost uses your meat prices","Missing: food cost uses the package estimate per guest")</f>
        <v>Missing: food cost uses the package estimate per guest</v>
      </c>
      <c r="C83" s="16" t="str">
        <f>IF($C$82=0,"Complete: food cost uses your meat prices","Missing: food cost uses the package estimate per guest")</f>
        <v>Missing: food cost uses the package estimate per guest</v>
      </c>
      <c r="D83" s="16" t="str">
        <f>IF($D$82=0,"Complete: food cost uses your meat prices","Missing: food cost uses the package estimate per guest")</f>
        <v>Missing: food cost uses the package estimate per guest</v>
      </c>
    </row>
    <row r="84">
      <c r="A84" s="4" t="inlineStr">
        <is>
          <t>Raw meat cost (only when every price is typed)</t>
        </is>
      </c>
      <c r="B84" s="17">
        <f>IF($B$82=0,IF(ISNUMBER($B$10),$B$61*$B$10,0)+IF(ISNUMBER($B$13),$B$65*$B$13,0)+IF(ISNUMBER($B$16),$B$69*$B$16,0)+IF(ISNUMBER($B$19),$B$73*$B$19,0)+IF(ISNUMBER($B$22),$B$77*$B$22,0),0)</f>
        <v>0.0</v>
      </c>
      <c r="C84" s="17">
        <f>IF($C$82=0,IF(ISNUMBER($C$10),$C$61*$C$10,0)+IF(ISNUMBER($C$13),$C$65*$C$13,0)+IF(ISNUMBER($C$16),$C$69*$C$16,0)+IF(ISNUMBER($C$19),$C$73*$C$19,0)+IF(ISNUMBER($C$22),$C$77*$C$22,0),0)</f>
        <v>0.0</v>
      </c>
      <c r="D84" s="17">
        <f>IF($D$82=0,IF(ISNUMBER($D$10),$D$61*$D$10,0)+IF(ISNUMBER($D$13),$D$65*$D$13,0)+IF(ISNUMBER($D$16),$D$69*$D$16,0)+IF(ISNUMBER($D$19),$D$73*$D$19,0)+IF(ISNUMBER($D$22),$D$77*$D$22,0),0)</f>
        <v>0.0</v>
      </c>
    </row>
    <row r="85">
      <c r="A85" s="4" t="inlineStr">
        <is>
          <t>Food cost (meat, sides, bread and sauces)</t>
        </is>
      </c>
      <c r="B85" s="17">
        <f>IF($B$82=0,$B$84+$B$6*($B$23+$B$24),$B$6*IFERROR(INDEX('Pricing Calculator'!$E$113:$E$115,MATCH($B$5,'Pricing Calculator'!$A$113:$A$115,0)),0))</f>
        <v>260.0</v>
      </c>
      <c r="C85" s="17">
        <f>IF($C$82=0,$C$84+$C$6*($C$23+$C$24),$C$6*IFERROR(INDEX('Pricing Calculator'!$E$113:$E$115,MATCH($C$5,'Pricing Calculator'!$A$113:$A$115,0)),0))</f>
        <v>560.0</v>
      </c>
      <c r="D85" s="17">
        <f>IF($D$82=0,$D$84+$D$6*($D$23+$D$24),$D$6*IFERROR(INDEX('Pricing Calculator'!$E$113:$E$115,MATCH($D$5,'Pricing Calculator'!$A$113:$A$115,0)),0))</f>
        <v>1040.0</v>
      </c>
    </row>
    <row r="86">
      <c r="A86" s="4" t="inlineStr">
        <is>
          <t>Disposables</t>
        </is>
      </c>
      <c r="B86" s="17">
        <f>$B$6*$B$25</f>
        <v>30.0</v>
      </c>
      <c r="C86" s="17">
        <f>$C$6*$C$25</f>
        <v>52.5</v>
      </c>
      <c r="D86" s="17">
        <f>$D$6*$D$25</f>
        <v>97.5</v>
      </c>
    </row>
    <row r="87">
      <c r="A87" s="4" t="inlineStr">
        <is>
          <t>Wood or charcoal</t>
        </is>
      </c>
      <c r="B87" s="17">
        <f>$B$81*$B$27</f>
        <v>2.440467914438502</v>
      </c>
      <c r="C87" s="17">
        <f>$C$81*$C$27</f>
        <v>5.69575329082682</v>
      </c>
      <c r="D87" s="17">
        <f>$D$81*$D$27</f>
        <v>10.57782754010695</v>
      </c>
    </row>
    <row r="88">
      <c r="A88" s="4" t="inlineStr">
        <is>
          <t>Staff cost (wages + payroll taxes)</t>
        </is>
      </c>
      <c r="B88" s="17">
        <f>(($B$30*$B$34+$B$31*$B$35)*$B$32+$B$33*$B$34)*(1+$B$36)</f>
        <v>231.00000000000003</v>
      </c>
      <c r="C88" s="17">
        <f>(($C$30*$C$34+$C$31*$C$35)*$C$32+$C$33*$C$34)*(1+$C$36)</f>
        <v>561.0</v>
      </c>
      <c r="D88" s="17">
        <f>(($D$30*$D$34+$D$31*$D$35)*$D$32+$D$33*$D$34)*(1+$D$36)</f>
        <v>1392.6000000000001</v>
      </c>
    </row>
    <row r="89">
      <c r="A89" s="4" t="inlineStr">
        <is>
          <t>Rentals and mileage</t>
        </is>
      </c>
      <c r="B89" s="17">
        <f>$B$37+$B$38*$B$39</f>
        <v>14.0</v>
      </c>
      <c r="C89" s="17">
        <f>$C$37+$C$38*$C$39</f>
        <v>21.0</v>
      </c>
      <c r="D89" s="17">
        <f>$D$37+$D$38*$D$39</f>
        <v>642.0</v>
      </c>
    </row>
    <row r="90">
      <c r="A90" s="4" t="inlineStr">
        <is>
          <t>Total direct cost</t>
        </is>
      </c>
      <c r="B90" s="17">
        <f>$B$85+$B$86+$B$87+$B$88+$B$89</f>
        <v>537.4404679144385</v>
      </c>
      <c r="C90" s="17">
        <f>$C$85+$C$86+$C$87+$C$88+$C$89</f>
        <v>1200.1957532908268</v>
      </c>
      <c r="D90" s="17">
        <f>$D$85+$D$86+$D$87+$D$88+$D$89</f>
        <v>3182.677827540107</v>
      </c>
    </row>
    <row r="91">
      <c r="A91" s="4" t="inlineStr">
        <is>
          <t>Direct cost per billable guest</t>
        </is>
      </c>
      <c r="B91" s="17">
        <f>$B$90/$B$56</f>
        <v>13.436011697860962</v>
      </c>
      <c r="C91" s="17">
        <f>$C$90/$C$56</f>
        <v>17.145653618440384</v>
      </c>
      <c r="D91" s="17">
        <f>$D$90/$D$56</f>
        <v>24.4821371349239</v>
      </c>
    </row>
    <row r="92">
      <c r="A92" s="15" t="inlineStr">
        <is>
          <t>PRICE PER GUEST before fees, service charge and tax</t>
        </is>
      </c>
      <c r="B92" s="18">
        <f>ROUNDUP($B$90/(1-$B$42-$B$41)/$B$56*2,0)/2</f>
        <v>22.5</v>
      </c>
      <c r="C92" s="18">
        <f>ROUNDUP($C$90/(1-$C$42-$C$41)/$C$56*2,0)/2</f>
        <v>34.5</v>
      </c>
      <c r="D92" s="18">
        <f>ROUNDUP($D$90/(1-$D$42-$D$41)/$D$56*2,0)/2</f>
        <v>49.0</v>
      </c>
    </row>
    <row r="93">
      <c r="A93" s="4" t="inlineStr">
        <is>
          <t>Equivalent price per lb of cooked meat</t>
        </is>
      </c>
      <c r="B93" s="17">
        <f>$B$92/($B$57/16)</f>
        <v>60.0</v>
      </c>
      <c r="C93" s="17">
        <f>$C$92/($C$57/16)</f>
        <v>69.0</v>
      </c>
      <c r="D93" s="17">
        <f>$D$92/($D$57/16)</f>
        <v>98.0</v>
      </c>
    </row>
    <row r="94">
      <c r="A94" s="4" t="inlineStr">
        <is>
          <t>Live pit on site fee</t>
        </is>
      </c>
      <c r="B94" s="17">
        <f>IF($B$28="Yes",$B$29,0)</f>
        <v>0.0</v>
      </c>
      <c r="C94" s="17">
        <f>IF($C$28="Yes",$C$29,0)</f>
        <v>0.0</v>
      </c>
      <c r="D94" s="17">
        <f>IF($D$28="Yes",$D$29,0)</f>
        <v>650.0</v>
      </c>
    </row>
    <row r="95">
      <c r="A95" s="4" t="inlineStr">
        <is>
          <t>Food &amp; service subtotal</t>
        </is>
      </c>
      <c r="B95" s="17">
        <f>$B$92*$B$56+$B$94+$B$40</f>
        <v>900.0</v>
      </c>
      <c r="C95" s="17">
        <f>$C$92*$C$56+$C$94+$C$40</f>
        <v>2415.0</v>
      </c>
      <c r="D95" s="17">
        <f>$D$92*$D$56+$D$94+$D$40</f>
        <v>7020.0</v>
      </c>
    </row>
    <row r="96">
      <c r="A96" s="4" t="inlineStr">
        <is>
          <t>Service charge</t>
        </is>
      </c>
      <c r="B96" s="17">
        <f>$B$95*$B$43</f>
        <v>0.0</v>
      </c>
      <c r="C96" s="17">
        <f>$C$95*$C$43</f>
        <v>0.0</v>
      </c>
      <c r="D96" s="17">
        <f>$D$95*$D$43</f>
        <v>702.0</v>
      </c>
    </row>
    <row r="97">
      <c r="A97" s="4" t="inlineStr">
        <is>
          <t>Sales tax</t>
        </is>
      </c>
      <c r="B97" s="17">
        <f>($B$95+IF($B$45="Yes",$B$96,0))*$B$44</f>
        <v>72.0</v>
      </c>
      <c r="C97" s="17">
        <f>($C$95+IF($C$45="Yes",$C$96,0))*$C$44</f>
        <v>193.20000000000002</v>
      </c>
      <c r="D97" s="17">
        <f>($D$95+IF($D$45="Yes",$D$96,0))*$D$44</f>
        <v>617.76</v>
      </c>
    </row>
    <row r="98">
      <c r="A98" s="15" t="inlineStr">
        <is>
          <t>TOTAL TO QUOTE</t>
        </is>
      </c>
      <c r="B98" s="18">
        <f>$B$95+$B$96+$B$97</f>
        <v>972.0</v>
      </c>
      <c r="C98" s="18">
        <f>$C$95+$C$96+$C$97</f>
        <v>2608.2</v>
      </c>
      <c r="D98" s="18">
        <f>$D$95+$D$96+$D$97</f>
        <v>8339.76</v>
      </c>
    </row>
    <row r="99">
      <c r="A99" s="4" t="inlineStr">
        <is>
          <t>Nonrefundable deposit to book the date</t>
        </is>
      </c>
      <c r="B99" s="17">
        <f>$B$98*$B$46</f>
        <v>486.0</v>
      </c>
      <c r="C99" s="17">
        <f>$C$98*$C$46</f>
        <v>1304.1</v>
      </c>
      <c r="D99" s="17">
        <f>$D$98*$D$46</f>
        <v>4169.88</v>
      </c>
    </row>
    <row r="100">
      <c r="A100" s="4" t="inlineStr">
        <is>
          <t>Balance due before the event</t>
        </is>
      </c>
      <c r="B100" s="17">
        <f>$B$98-$B$99</f>
        <v>486.0</v>
      </c>
      <c r="C100" s="17">
        <f>$C$98-$C$99</f>
        <v>1304.1</v>
      </c>
      <c r="D100" s="17">
        <f>$D$98-$D$99</f>
        <v>4169.88</v>
      </c>
    </row>
    <row r="101">
      <c r="A101" s="4" t="inlineStr">
        <is>
          <t>Marketplace fee</t>
        </is>
      </c>
      <c r="B101" s="17">
        <f>$B$95*$B$41</f>
        <v>0.0</v>
      </c>
      <c r="C101" s="17">
        <f>$C$95*$C$41</f>
        <v>0.0</v>
      </c>
      <c r="D101" s="17">
        <f>$D$95*$D$41</f>
        <v>0.0</v>
      </c>
    </row>
    <row r="102">
      <c r="A102" s="4" t="inlineStr">
        <is>
          <t>Gross profit on the subtotal</t>
        </is>
      </c>
      <c r="B102" s="17">
        <f>$B$95-$B$101-$B$90</f>
        <v>362.5595320855615</v>
      </c>
      <c r="C102" s="17">
        <f>$C$95-$C$101-$C$90</f>
        <v>1214.8042467091732</v>
      </c>
      <c r="D102" s="17">
        <f>$D$95-$D$101-$D$90</f>
        <v>3837.322172459893</v>
      </c>
    </row>
    <row r="103">
      <c r="A103" s="15" t="inlineStr">
        <is>
          <t>Gross margin (calculated)</t>
        </is>
      </c>
      <c r="B103" s="19">
        <f>IF($B$95=0,0,$B$102/$B$95)</f>
        <v>0.4028439245395128</v>
      </c>
      <c r="C103" s="19">
        <f>IF($C$95=0,0,$C$102/$C$95)</f>
        <v>0.5030245327988295</v>
      </c>
      <c r="D103" s="19">
        <f>IF($D$95=0,0,$D$102/$D$95)</f>
        <v>0.5466270900940019</v>
      </c>
    </row>
    <row r="104">
      <c r="A104" s="4" t="inlineStr">
        <is>
          <t>Suggested pit crew for this package (Kit estimate)</t>
        </is>
      </c>
      <c r="B104" s="12">
        <f>IFERROR(IF(INDEX('Pricing Calculator'!$D$113:$D$115,MATCH($B$5,'Pricing Calculator'!$A$113:$A$115,0))&gt;0,ROUNDUP($B$6/INDEX('Pricing Calculator'!$D$113:$D$115,MATCH($B$5,'Pricing Calculator'!$A$113:$A$115,0)),0),0),0)</f>
        <v>1.0</v>
      </c>
      <c r="C104" s="12">
        <f>IFERROR(IF(INDEX('Pricing Calculator'!$D$113:$D$115,MATCH($C$5,'Pricing Calculator'!$A$113:$A$115,0))&gt;0,ROUNDUP($C$6/INDEX('Pricing Calculator'!$D$113:$D$115,MATCH($C$5,'Pricing Calculator'!$A$113:$A$115,0)),0),0),0)</f>
        <v>1.0</v>
      </c>
      <c r="D104" s="12">
        <f>IFERROR(IF(INDEX('Pricing Calculator'!$D$113:$D$115,MATCH($D$5,'Pricing Calculator'!$A$113:$A$115,0))&gt;0,ROUNDUP($D$6/INDEX('Pricing Calculator'!$D$113:$D$115,MATCH($D$5,'Pricing Calculator'!$A$113:$A$115,0)),0),0),0)</f>
        <v>2.0</v>
      </c>
    </row>
    <row r="105">
      <c r="A105" s="4" t="inlineStr">
        <is>
          <t>Suggested servers and attendants for this package (Kit estimate)</t>
        </is>
      </c>
      <c r="B105" s="12">
        <f>IFERROR(IF(INDEX('Pricing Calculator'!$C$113:$C$115,MATCH($B$5,'Pricing Calculator'!$A$113:$A$115,0))&gt;0,ROUNDUP($B$6/INDEX('Pricing Calculator'!$C$113:$C$115,MATCH($B$5,'Pricing Calculator'!$A$113:$A$115,0)),0),0),0)</f>
        <v>0.0</v>
      </c>
      <c r="C105" s="12">
        <f>IFERROR(IF(INDEX('Pricing Calculator'!$C$113:$C$115,MATCH($C$5,'Pricing Calculator'!$A$113:$A$115,0))&gt;0,ROUNDUP($C$6/INDEX('Pricing Calculator'!$C$113:$C$115,MATCH($C$5,'Pricing Calculator'!$A$113:$A$115,0)),0),0),0)</f>
        <v>3.0</v>
      </c>
      <c r="D105" s="12">
        <f>IFERROR(IF(INDEX('Pricing Calculator'!$C$113:$C$115,MATCH($D$5,'Pricing Calculator'!$A$113:$A$115,0))&gt;0,ROUNDUP($D$6/INDEX('Pricing Calculator'!$C$113:$C$115,MATCH($D$5,'Pricing Calculator'!$A$113:$A$115,0)),0),0),0)</f>
        <v>5.0</v>
      </c>
    </row>
    <row r="106" ht="32" customHeight="1">
      <c r="A106" s="4" t="inlineStr">
        <is>
          <t>Cancellation tiers check</t>
        </is>
      </c>
      <c r="B106" s="2" t="str">
        <f>IF(AND($B$47&gt;$B$48,$B$48&gt;$B$49),"OK","Adjust: tier 1 &gt; tier 2 &gt; tier 3 days")</f>
        <v>OK</v>
      </c>
      <c r="C106" s="2" t="str">
        <f>IF(AND($C$47&gt;$C$48,$C$48&gt;$C$49),"OK","Adjust: tier 1 &gt; tier 2 &gt; tier 3 days")</f>
        <v>OK</v>
      </c>
      <c r="D106" s="2" t="str">
        <f>IF(AND($D$47&gt;$D$48,$D$48&gt;$D$49),"OK","Adjust: tier 1 &gt; tier 2 &gt; tier 3 days")</f>
        <v>OK</v>
      </c>
    </row>
    <row r="107">
      <c r="A107" s="4" t="inlineStr">
        <is>
          <t>Cancellation in tier 1: amount you keep</t>
        </is>
      </c>
      <c r="B107" s="17">
        <f>$B$98*$B$50</f>
        <v>486.0</v>
      </c>
      <c r="C107" s="17">
        <f>$C$98*$C$50</f>
        <v>1304.1</v>
      </c>
      <c r="D107" s="17">
        <f>$D$98*$D$50</f>
        <v>4169.88</v>
      </c>
    </row>
    <row r="108">
      <c r="A108" s="4" t="inlineStr">
        <is>
          <t>Cancellation in tier 2: amount you keep</t>
        </is>
      </c>
      <c r="B108" s="17">
        <f>$B$98*$B$51</f>
        <v>729.0</v>
      </c>
      <c r="C108" s="17">
        <f>$C$98*$C$51</f>
        <v>1956.1499999999999</v>
      </c>
      <c r="D108" s="17">
        <f>$D$98*$D$51</f>
        <v>6254.82</v>
      </c>
    </row>
    <row r="109">
      <c r="A109" s="4" t="inlineStr">
        <is>
          <t>Cancellation in tier 3: amount you keep</t>
        </is>
      </c>
      <c r="B109" s="17">
        <f>$B$98*$B$52</f>
        <v>874.8000000000001</v>
      </c>
      <c r="C109" s="17">
        <f>$C$98*$C$52</f>
        <v>2347.38</v>
      </c>
      <c r="D109" s="17">
        <f>$D$98*$D$52</f>
        <v>7505.784000000001</v>
      </c>
    </row>
    <row r="110">
      <c r="A110" s="4" t="inlineStr">
        <is>
          <t>Cancellation in tier 4 or no-show: amount you keep</t>
        </is>
      </c>
      <c r="B110" s="17">
        <f>$B$98*$B$53</f>
        <v>972.0</v>
      </c>
      <c r="C110" s="17">
        <f>$C$98*$C$53</f>
        <v>2608.2</v>
      </c>
      <c r="D110" s="17">
        <f>$D$98*$D$53</f>
        <v>8339.76</v>
      </c>
    </row>
    <row r="112">
      <c r="A112" s="15" t="inlineStr">
        <is>
          <t>Price per guest with the live pit and event fees spread over the billable guests</t>
        </is>
      </c>
      <c r="B112" s="18">
        <f>$B$95/$B$56</f>
        <v>22.5</v>
      </c>
      <c r="C112" s="18">
        <f>$C$95/$C$56</f>
        <v>34.5</v>
      </c>
      <c r="D112" s="18">
        <f>$D$95/$D$56</f>
        <v>54.0</v>
      </c>
    </row>
    <row r="114">
      <c r="A114" s="3" t="inlineStr">
        <is>
          <t>WHAT EACH EXAMPLE SHOWS</t>
        </is>
      </c>
    </row>
    <row r="115" ht="62" customHeight="1">
      <c r="A115" s="16" t="inlineStr">
        <is>
          <t>Corporate drop-off, 40 guests</t>
        </is>
      </c>
      <c r="B115" s="2" t="inlineStr">
        <is>
          <t>Boxed BBQ lunch for an office, delivered and set (20-guest delivery minimum, as at hutchinsbbq.com). It lands within 10% of the $22 drop-off line in the workbook's example mix and inside the $15-$30 per person drop-off range (q39kc.com).</t>
        </is>
      </c>
    </row>
    <row r="116" ht="62" customHeight="1">
      <c r="A116" s="16" t="inlineStr">
        <is>
          <t>Graduation party, staffed buffet, 70 guests</t>
        </is>
      </c>
      <c r="B116" s="2" t="inlineStr">
        <is>
          <t>Backyard graduation party with a staffed buffet and a carving station, 30-guest minimum. Within 10% of the $35 party line of the example mix, below the $40-58 that a Los Angeles operator charges for parties (eventective.com).</t>
        </is>
      </c>
    </row>
    <row r="117" ht="62" customHeight="1">
      <c r="A117" s="16" t="inlineStr">
        <is>
          <t>Wedding, 130 guests, full-service + live pit on site</t>
        </is>
      </c>
      <c r="B117" s="2" t="inlineStr">
        <is>
          <t>Full-service wedding with the smoker trailer on site for a $650 flat fee, rentals passed through and a 10% service charge; 75-guest minimum. The price per guest, with the live pit fee spread over the guests, lands within 10% of the $52 wedding line of the example mix, below the $65-85 of Los Angeles (eventective.com).</t>
        </is>
      </c>
    </row>
  </sheetData>
  <sheetProtection selectLockedCells="0" selectUnlockedCells="0" sheet="1" objects="0" insertRows="1" insertHyperlinks="1" autoFilter="1" scenarios="0" formatColumns="1" deleteColumns="1" insertColumns="1" pivotTables="1" deleteRows="1" formatCells="1" formatRows="1" sort="1"/>
  <mergeCells count="4">
    <mergeCell ref="B115:D115"/>
    <mergeCell ref="B117:D117"/>
    <mergeCell ref="A2:D2"/>
    <mergeCell ref="B116:D116"/>
  </mergeCells>
  <printOptions horizontalCentered="1"/>
  <pageMargins left="0.75" right="0.75" top="1" bottom="1" header="0.5" footer="0.5"/>
  <pageSetup orientation="landscape" paperSize="1" fitToHeight="0" fitToWidth="1"/>
  <headerFooter>
    <oddHeader/>
    <oddFooter>&amp;CAI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29"/>
  <sheetViews>
    <sheetView showGridLines="0" workbookViewId="0">
      <selection activeCell="A1" sqref="A1"/>
    </sheetView>
  </sheetViews>
  <sheetFormatPr baseColWidth="8" defaultRowHeight="15"/>
  <cols>
    <col width="110" customWidth="1" min="1" max="1"/>
  </cols>
  <sheetData>
    <row r="1">
      <c r="A1" s="27" t="inlineStr">
        <is>
          <t>HOW TO USE THE BBQ CATERING PRICING CALCULATOR</t>
        </is>
      </c>
    </row>
    <row r="2" ht="30" customHeight="1">
      <c r="A2" s="2" t="inlineStr">
        <is>
          <t>This workbook turns pounds of meat into a price per guest and a full quote, tells you when to start each cook and builds the shopping list. You type only in the GREEN cells; the gross margin is calculated, never typed.</t>
        </is>
      </c>
    </row>
    <row r="3" ht="60" customHeight="1">
      <c r="A3" s="2" t="inlineStr">
        <is>
          <t>1. "Pricing Calculator": choose the package (drop-off, full-service BBQ buffet or live-fire premium), the guests and your guest minimum. The package sets the cooked meat per guest: 6 oz for drop-off and 8 oz (half a pound) for the buffet and live-fire, inside the "one-third to one-half pound of meat per guest" of hutchinsbbq.com and the 6-8 oz of sonnybryans.com; 1/4 to 1/3 lb of cooked meat (Dr. BBQ, fieryfoodscentral.com) is the floor.</t>
        </is>
      </c>
    </row>
    <row r="4" ht="45" customHeight="1">
      <c r="A4" s="2" t="inlineStr">
        <is>
          <t>2. Pick the cut and the share of each of the five meat lines (they must add up to 100%) and type your raw price per lb for every line you use. The prices are blank on purpose: this kit does not guess 2026 meat prices. While any of them is missing, the food cost uses the package estimate per guest and the "Meat prices" row says so.</t>
        </is>
      </c>
    </row>
    <row r="5" ht="75" customHeight="1">
      <c r="A5" s="2" t="inlineStr">
        <is>
          <t>3. Enter sides, bread and sauces, disposables, wood, the live pit on site switch and its fee, your staff (event day and overnight cook hours), rentals and mileage. Then the marketplace fee, your target margin, the service charge, the sales tax rate and the switch "Does your state tax the service charge?". The price per guest is the direct cost divided by (1 - target margin - marketplace fee) and by the billable guests, rounded up to the next 0.50; the live pit fee and any event fee go on top. The tab also shows the same price per cooked lb.</t>
        </is>
      </c>
    </row>
    <row r="6" ht="45" customHeight="1">
      <c r="A6" s="2" t="inlineStr">
        <is>
          <t>4. Deposit and cancellation: a 50% nonrefundable deposit books the date (the operators read for this kit ask for it: eventective.com, hutchinsbbq.com) and four cancellation tiers with no gaps tell you what you keep. Put the same tiers in your contract, with a force majeure clause for a county burn ban (propane backup or a new date).</t>
        </is>
      </c>
    </row>
    <row r="7" ht="45" customHeight="1">
      <c r="A7" s="2" t="inlineStr">
        <is>
          <t>5. "Meat Yield &amp; Smoke Schedule": the raw weight, pit temperature, quality target, Food Code minimum, cook and rest hours and yield of 13 cuts, and the time to start each cook for your service time. The meat lines of the first tab read their yield and piece weight here: replace the kit estimates with the numbers from your own test cook.</t>
        </is>
      </c>
    </row>
    <row r="8" ht="30" customHeight="1">
      <c r="A8" s="2" t="inlineStr">
        <is>
          <t>6. "Shopping List by Guest Count": pounds and pieces per meat line, sides, rolls, sauce, wood, butcher paper, hotel pans, hot boxes and the suggested crew for your event and for 40, 80, 150 and 300 guests.</t>
        </is>
      </c>
    </row>
    <row r="9" ht="30" customHeight="1">
      <c r="A9" s="2" t="inlineStr">
        <is>
          <t>7. "3 Example Quotes": three complete quotes calculated with the same formulas. To move from these per-package prices to the average price per guest of the financial projections, weight each package price by its guests in the year.</t>
        </is>
      </c>
    </row>
    <row r="10">
      <c r="A10" s="16" t="inlineStr">
        <is>
          <t>FOOD SAFETY (FDA FOOD CODE 2022)</t>
        </is>
      </c>
    </row>
    <row r="12" ht="75" customHeight="1">
      <c r="A12" s="2" t="inlineStr">
        <is>
          <t>Cook to the minimum: 145 °F (63 °C) for 15 seconds for intact meat; 145 °F for 4 minutes for whole roasts; 155 °F (68 °C) for 17 seconds for injected, tenderized or ground meat, sausage included; 165 °F (74 °C) for poultry (3-401.11). Hold hot at 135 °F (57 °C) or above (3-501.16). Cool to 70 °F (21 °C) within 2 hours and to 41 °F (5 °C) within a total of 6 hours (3-501.14). Reheat for hot holding to 165 °F (3-403.11). The quality target of each cut is a different number: see the "Meat Yield &amp; Smoke Schedule" tab.</t>
        </is>
      </c>
    </row>
    <row r="13">
      <c r="A13" s="16" t="inlineStr">
        <is>
          <t>SERVICE CHARGE, GRATUITY AND SALES TAX (US)</t>
        </is>
      </c>
    </row>
    <row r="15" ht="45" customHeight="1">
      <c r="A15" s="2" t="inlineStr">
        <is>
          <t>A mandatory service charge is not a tip: the part you pay out to the staff is wages, with payroll taxes (IRS Rev. Rul. 2012-18), and the part you keep is revenue. A voluntary gratuity is the client's decision and belongs to the staff: this calculator keeps it out of the price and the total.</t>
        </is>
      </c>
    </row>
    <row r="16" ht="30" customHeight="1">
      <c r="A16" s="2" t="inlineStr">
        <is>
          <t>Sales tax: many states tax the whole catering invoice (food, staff, rentals and fees); whether the service charge is taxable depends on the state (California taxes a mandatory one: cdtfa.ca.gov). Set your rate and the switch.</t>
        </is>
      </c>
    </row>
    <row r="17">
      <c r="A17" s="16" t="inlineStr">
        <is>
          <t>LIVE PIT ON SITE</t>
        </is>
      </c>
    </row>
    <row r="19" ht="45" customHeight="1">
      <c r="A19" s="2" t="inlineStr">
        <is>
          <t>Towing the smoker trailer to the event and cooking there is a premium you charge for, not the base of the business. Ask your county first: cooking at the event can make the trailer a mobile food unit that must operate from your commissary, and the fire marshal sets the rules for solid fuel, propane and tents.</t>
        </is>
      </c>
    </row>
    <row r="20" ht="16" customHeight="1">
      <c r="A20" s="2" t="inlineStr">
        <is>
          <t>UK: if you are VAT-registered, enter 0.20 as the tax rate: VAT applies to catering for events and functions.</t>
        </is>
      </c>
    </row>
    <row r="21">
      <c r="A21" s="16" t="inlineStr">
        <is>
          <t>KIT ESTIMATES</t>
        </is>
      </c>
    </row>
    <row r="23" ht="45" customHeight="1">
      <c r="A23" s="2" t="inlineStr">
        <is>
          <t>Every default value, every yield except brisket and pork butt, the package food cost per guest and the three example quotes are kit estimates for illustration, not market prices. Replace them with your own wages, supplier prices, yields and tax rate before you quote.</t>
        </is>
      </c>
    </row>
    <row r="25">
      <c r="A25" s="2" t="inlineStr">
        <is>
          <t>To edit a cell that is not green: Review → Unprotect Sheet (there is no password).</t>
        </is>
      </c>
    </row>
    <row r="26">
      <c r="A26" s="2" t="inlineStr">
        <is>
          <t>More templates and kits in the catalog at aichef.pro/en/digital-products</t>
        </is>
      </c>
    </row>
    <row r="27">
      <c r="A27" s="2" t="inlineStr">
        <is>
          <t>Designed by John Guerrero — chef and restaurant consultant since 2010, in the kitchen since age 17 · johnguerrero.es</t>
        </is>
      </c>
    </row>
    <row r="28">
      <c r="A28" s="2" t="inlineStr">
        <is>
          <t>Version 2.2 · October 2026 · aichef.pro/en/digital-products/bbq-catering-business-plan · info@aichef.pro</t>
        </is>
      </c>
    </row>
    <row r="29">
      <c r="A29" s="21" t="inlineStr">
        <is>
          <t>Planning tool, not financial, tax or legal advice. Requirements vary by state, county and city — check with your accountant and local authorities.</t>
        </is>
      </c>
    </row>
  </sheetData>
  <sheetProtection selectLockedCells="0" selectUnlockedCells="0" sheet="1" objects="0" insertRows="1" insertHyperlinks="1" autoFilter="1" scenarios="0" formatColumns="1" deleteColumns="1" insertColumns="1" pivotTables="1" deleteRows="1" formatCells="1" formatRows="1" sort="1"/>
  <printOptions horizontalCentered="1"/>
  <pageMargins left="0.75" right="0.75" top="1" bottom="1" header="0.5" footer="0.5"/>
  <pageSetup orientation="portrait" paperSize="1" fitToHeight="0" fitToWidth="1"/>
  <headerFooter>
    <oddHeader/>
    <oddFooter>&amp;CAI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BBQ Catering Pricing Calculator (Pounds of Meat per Guest to Quote + Smoke Schedule &amp; Shopping List) · BBQ Catering Business Plan Kit</dc:title>
  <dc:description xmlns:dc="http://purl.org/dc/elements/1.1/">aichef.pro/en/digital-products/bbq-catering-business-plan</dc:description>
  <dc:subject xmlns:dc="http://purl.org/dc/elements/1.1/">BBQ Catering Business Plan Kit · v2.2</dc:subject>
  <dcterms:created xmlns:dcterms="http://purl.org/dc/terms/" xmlns:xsi="http://www.w3.org/2001/XMLSchema-instance" xsi:type="dcterms:W3CDTF">2026-10-24T13:03:15Z</dcterms:created>
  <dcterms:modified xmlns:dcterms="http://purl.org/dc/terms/" xmlns:xsi="http://www.w3.org/2001/XMLSchema-instance" xsi:type="dcterms:W3CDTF">2026-10-24T13:03:15Z</dcterms:modified>
  <cp:lastModifiedBy>AI Chef Pro</cp:lastModifiedBy>
  <cp:category>AI Chef Pro · Digital products</cp:category>
  <cp:keywords>bbq catering business plan, bbq business plan, bbq business plan template, barbecue catering business plan, how to start a bbq catering business, bbq catering prices, smoker trailer, AI Chef Pro</cp:keywords>
</cp:coreProperties>
</file>