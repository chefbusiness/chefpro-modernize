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Assumptions" sheetId="1" state="visible" r:id="rId1"/>
    <sheet xmlns:r="http://schemas.openxmlformats.org/officeDocument/2006/relationships" name="Startup Costs" sheetId="2" state="visible" r:id="rId2"/>
    <sheet xmlns:r="http://schemas.openxmlformats.org/officeDocument/2006/relationships" name="3-Year P&amp;L" sheetId="3" state="visible" r:id="rId3"/>
    <sheet xmlns:r="http://schemas.openxmlformats.org/officeDocument/2006/relationships" name="Break-Even" sheetId="4" state="visible" r:id="rId4"/>
    <sheet xmlns:r="http://schemas.openxmlformats.org/officeDocument/2006/relationships" name="Scenarios" sheetId="5" state="visible" r:id="rId5"/>
    <sheet xmlns:r="http://schemas.openxmlformats.org/officeDocument/2006/relationships" name="Staffing" sheetId="6" state="visible" r:id="rId6"/>
    <sheet xmlns:r="http://schemas.openxmlformats.org/officeDocument/2006/relationships" name="Instructions" sheetId="7" state="visible" r:id="rId7"/>
    <sheet xmlns:r="http://schemas.openxmlformats.org/officeDocument/2006/relationships" name="12-Month Cash Flow" sheetId="8" state="visible" r:id="rId8"/>
    <sheet xmlns:r="http://schemas.openxmlformats.org/officeDocument/2006/relationships" name="Financing" sheetId="9" state="visible" r:id="rId9"/>
  </sheets>
  <definedNames>
    <definedName name="_xlnm.Print_Titles" localSheetId="1">'Startup Costs'!$5:$5</definedName>
    <definedName name="_xlnm.Print_Titles" localSheetId="2">'3-Year P&amp;L'!$4:$4</definedName>
    <definedName name="_xlnm.Print_Titles" localSheetId="3">'Break-Even'!$4:$4</definedName>
    <definedName name="_xlnm.Print_Titles" localSheetId="4">'Scenarios'!$4:$4</definedName>
    <definedName name="_xlnm.Print_Titles" localSheetId="5">'Staffing'!$4:$4</definedName>
    <definedName name="_xlnm.Print_Titles" localSheetId="7">'12-Month Cash Flow'!$4:$4</definedName>
    <definedName name="_xlnm.Print_Titles" localSheetId="8">'Financing'!$4:$4</definedName>
  </definedNames>
  <calcPr calcId="124519" fullCalcOnLoad="1"/>
</workbook>
</file>

<file path=xl/styles.xml><?xml version="1.0" encoding="utf-8"?>
<styleSheet xmlns="http://schemas.openxmlformats.org/spreadsheetml/2006/main">
  <numFmts count="4">
    <numFmt numFmtId="164" formatCode="#,##0"/>
    <numFmt numFmtId="165" formatCode="#,##0.00"/>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b val="1"/>
      <sz val="11"/>
    </font>
    <font>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7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164" fontId="11" fillId="0" borderId="0" pivotButton="0" quotePrefix="0" xfId="0"/>
    <xf numFmtId="166" fontId="11" fillId="0" borderId="0" pivotButton="0" quotePrefix="0" xfId="0"/>
    <xf numFmtId="0" fontId="12" fillId="0" borderId="0" pivotButton="0" quotePrefix="0" xfId="0"/>
    <xf numFmtId="164" fontId="0" fillId="0" borderId="0" pivotButton="0" quotePrefix="0" xfId="0"/>
    <xf numFmtId="0" fontId="11"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3" fontId="0" fillId="0" borderId="0" pivotButton="0" quotePrefix="0" xfId="0"/>
    <xf numFmtId="166" fontId="12" fillId="4" borderId="0" applyProtection="1" pivotButton="0" quotePrefix="0" xfId="0">
      <protection locked="0" hidden="0"/>
    </xf>
    <xf numFmtId="167" fontId="9" fillId="0" borderId="3" pivotButton="0" quotePrefix="0" xfId="0"/>
    <xf numFmtId="167" fontId="10" fillId="0" borderId="3" pivotButton="0" quotePrefix="0" xfId="0"/>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1" fillId="0" borderId="0" pivotButton="0" quotePrefix="0" xfId="0"/>
    <xf numFmtId="4" fontId="11" fillId="0" borderId="0" pivotButton="0" quotePrefix="0" xfId="0"/>
    <xf numFmtId="165" fontId="11" fillId="0" borderId="0" pivotButton="0" quotePrefix="0" xfId="0"/>
    <xf numFmtId="164" fontId="12" fillId="4" borderId="0" applyProtection="1" pivotButton="0" quotePrefix="0" xfId="0">
      <protection locked="0" hidden="0"/>
    </xf>
    <xf numFmtId="3" fontId="12" fillId="4" borderId="0" applyProtection="1" pivotButton="0" quotePrefix="0" xfId="0">
      <protection locked="0" hidden="0"/>
    </xf>
    <xf numFmtId="167" fontId="12"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6" fontId="9" fillId="4" borderId="3" applyProtection="1" pivotButton="0" quotePrefix="0" xfId="0">
      <protection locked="0" hidden="0"/>
    </xf>
    <xf numFmtId="4" fontId="9" fillId="0" borderId="3" pivotButton="0" quotePrefix="0" xfId="0"/>
    <xf numFmtId="4" fontId="10" fillId="0" borderId="3" pivotButton="0" quotePrefix="0" xfId="0"/>
    <xf numFmtId="166" fontId="0" fillId="4" borderId="0" applyProtection="1" pivotButton="0" quotePrefix="0" xfId="0">
      <protection locked="0" hidden="0"/>
    </xf>
    <xf numFmtId="4" fontId="0" fillId="0" borderId="0" pivotButton="0" quotePrefix="0" xfId="0"/>
    <xf numFmtId="166" fontId="0" fillId="0" borderId="0" pivotButton="0" quotePrefix="0" xfId="0"/>
    <xf numFmtId="3" fontId="10" fillId="0" borderId="3" pivotButton="0" quotePrefix="0" xfId="0"/>
    <xf numFmtId="166" fontId="10" fillId="0" borderId="3" pivotButton="0" quotePrefix="0" xfId="0"/>
    <xf numFmtId="166" fontId="9" fillId="0" borderId="3" pivotButton="0" quotePrefix="0" xfId="0"/>
    <xf numFmtId="166" fontId="11" fillId="0" borderId="0" pivotButton="0" quotePrefix="0" xfId="0"/>
    <xf numFmtId="166" fontId="12" fillId="4" borderId="0" applyProtection="1" pivotButton="0" quotePrefix="0" xfId="0">
      <protection locked="0" hidden="0"/>
    </xf>
    <xf numFmtId="4" fontId="9" fillId="4" borderId="3" applyProtection="1" pivotButton="0" quotePrefix="0" xfId="0">
      <protection locked="0" hidden="0"/>
    </xf>
    <xf numFmtId="0" fontId="0" fillId="0" borderId="0" applyAlignment="1" pivotButton="0" quotePrefix="0" xfId="0">
      <alignment horizontal="left" vertical="top" wrapText="1"/>
    </xf>
    <xf numFmtId="166" fontId="9" fillId="4" borderId="3" applyProtection="1" pivotButton="0" quotePrefix="0" xfId="0">
      <protection locked="0" hidden="0"/>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ASSUMPTIONS — the RATES and DRIVERS of the model are typed here</t>
        </is>
      </c>
    </row>
    <row r="2" ht="59.75" customHeight="1">
      <c r="A2" s="17" t="inlineStr">
        <is>
          <t>Change the GREEN cells: the rest of the workbook recalculates on its own. Expense items are typed on their own tab (also in green) and are not repeated here. Amounts are in US dollars (or your own currency).</t>
        </is>
      </c>
    </row>
    <row r="3">
      <c r="A3" s="16" t="inlineStr">
        <is>
          <t>BUSINESS ACTIVITY</t>
        </is>
      </c>
    </row>
    <row r="4">
      <c r="A4" t="inlineStr">
        <is>
          <t>Events per year (year-1 average)</t>
        </is>
      </c>
      <c r="B4" s="18" t="n">
        <v>150</v>
      </c>
      <c r="C4" t="inlineStr">
        <is>
          <t>Average number of events you cater per year, counting every drop-off, buffet, wedding, party and live-fire booking. It is the main volume driver of the whole workbook: the P&amp;L, break-even and scenarios all read it, and years 2 and 3 grow in events. The example is a full-time pitmaster with a pit cook, not the average first year. Compare it with the capacity row further down.</t>
        </is>
      </c>
    </row>
    <row r="5">
      <c r="A5" t="inlineStr">
        <is>
          <t>Average price per guest (excl. sales tax, service included)</t>
        </is>
      </c>
      <c r="B5" s="24" t="n">
        <v>38</v>
      </c>
      <c r="C5" t="inlineStr">
        <is>
          <t>EXCL. sales tax, with staffing and the service charge included and the voluntary gratuity left out: the blended price per guest across everything you sell, not the price of any one package. Price per guest incl. sales tax = this value × (1 + your sales tax rate). Operators quote by package (drop-off, staffed buffet, full-service); the benchmarks table on the "Instructions" tab shows the ranges. To bring a quote from the Pricing Calculator here, divide its subtotal plus the service charge you keep by the billable guests (its own price per guest excludes the service charge), then weight each package by the guests you expect to serve in a year.</t>
        </is>
      </c>
    </row>
    <row r="6">
      <c r="A6" t="inlineStr">
        <is>
          <t>Average guests per event</t>
        </is>
      </c>
      <c r="B6" s="18" t="n">
        <v>75</v>
      </c>
      <c r="C6" t="inlineStr">
        <is>
          <t>Average number of guests per event across your whole mix, from drop-off lunches for a few dozen people to weddings of well over a hundred. Operators set guest minimums (see the benchmarks table on the "Instructions" tab). Sales per event = guests × price per guest. One cell for the whole workbook: the P&amp;L, break-even and scenarios all read it, so they always agree.</t>
        </is>
      </c>
    </row>
    <row r="7">
      <c r="A7" t="inlineStr">
        <is>
          <t>Volume growth in year 2</t>
        </is>
      </c>
      <c r="B7" s="63" t="n">
        <v>0.12</v>
      </c>
      <c r="C7" t="inlineStr">
        <is>
          <t>Growth in events in year 2 over year 1 (enter 0.12 for 12%). Kept conservative on purpose: reviews and wedding bookings build up months ahead, and a single smoker trailer limits how fast you can grow.</t>
        </is>
      </c>
    </row>
    <row r="8">
      <c r="A8" t="inlineStr">
        <is>
          <t>Volume growth in year 3</t>
        </is>
      </c>
      <c r="B8" s="63" t="n">
        <v>0.08</v>
      </c>
      <c r="C8" t="inlineStr">
        <is>
          <t>Growth in events in year 3 over year 2, kept conservative for the same reason: repeat corporate clients and planner referrals build up slowly, and one smoker trailer limits the weekends you can sell.</t>
        </is>
      </c>
    </row>
    <row r="9">
      <c r="A9" t="inlineStr">
        <is>
          <t>Price per guest incl. sales tax (calculated)</t>
        </is>
      </c>
      <c r="B9" s="64">
        <f>IFERROR(IF($B$5="","",$B$5*(1+SUMPRODUCT('3-Year P&amp;L'!$E$10:$E$11,'3-Year P&amp;L'!$G$10:$G$11))),"")</f>
        <v>41.040000000000006</v>
      </c>
      <c r="C9" t="str">
        <f>IFERROR("Price per guest excl. sales tax plus the weighted sales tax of your sales lines ("&amp;TEXT(SUMPRODUCT('3-Year P&amp;L'!$E$10:$E$11,'3-Year P&amp;L'!$G$10:$G$11)*100,"0")&amp;"%), rounded. In the US the quote adds sales tax on top, and many states tax the whole catering invoice (food, staff, rentals and the service charge); in the UK, VAT is included in the price.","")</f>
        <v>Price per guest excl. sales tax plus the weighted sales tax of your sales lines (8%), rounded. In the US the quote adds sales tax on top, and many states tax the whole catering invoice (food, staff, rentals and the service charge); in the UK, VAT is included in the price.</v>
      </c>
    </row>
    <row r="10">
      <c r="A10" s="16" t="inlineStr">
        <is>
          <t>SALES MIX AND COST OF GOODS SOLD</t>
        </is>
      </c>
    </row>
    <row r="11">
      <c r="A11" t="inlineStr">
        <is>
          <t>BBQ PACKAGES share of sales (smoked meats, sides, bread &amp; sauces, staffing)</t>
        </is>
      </c>
      <c r="B11" s="63" t="n">
        <v>0.88</v>
      </c>
      <c r="C11" t="inlineStr">
        <is>
          <t>Share of sales that comes from BBQ packages: smoked meats, sides, bread and sauces, and the staffing that serves them. It is an INPUT: change it here and the P&amp;L, the cash flow and the sales tax collected recalculate on their own. The rest of your sales are add-ons.</t>
        </is>
      </c>
    </row>
    <row r="12">
      <c r="A12" t="inlineStr">
        <is>
          <t>ADD-ONS share of sales (live pit on site, desserts, appetizers, non-alcoholic drinks, rentals, travel fees)</t>
        </is>
      </c>
      <c r="B12" s="65">
        <f>IFERROR(IF(COUNT(B11)=0,"",1-B11),"")</f>
        <v>0.12</v>
      </c>
      <c r="C12" t="inlineStr">
        <is>
          <t>Calculated as the remainder: BBQ packages + add-ons = 100%. Add-ons are the live pit on site, desserts, appetizers, non-alcoholic drinks, rentals and travel fees.</t>
        </is>
      </c>
    </row>
    <row r="13">
      <c r="A13" t="inlineStr">
        <is>
          <t>Cost of goods on BBQ PACKAGE sales (raw meat, sides, bread, sauces)</t>
        </is>
      </c>
      <c r="B13" s="63" t="n">
        <v>0.28</v>
      </c>
      <c r="C13" t="inlineStr">
        <is>
          <t>Cost of goods sold on BBQ package sales: raw meat (bought at raw weight: brisket and pork butt yield about half after smoking), sides, bread and sauces, with a cushion for overproduction. The example sits inside the 28-35% food cost range for caterers in the benchmarks table on the "Instructions" tab. Meat prices swing, so it is the most sensitive lever in the plan: test it at the top of the range before you trust the result.</t>
        </is>
      </c>
    </row>
    <row r="14">
      <c r="A14" t="inlineStr">
        <is>
          <t>Cost of goods on ADD-ON sales</t>
        </is>
      </c>
      <c r="B14" s="63" t="n">
        <v>0.35</v>
      </c>
      <c r="C14" t="inlineStr">
        <is>
          <t>Cost of goods sold on add-ons: bought-in desserts and appetizers, and rentals you pass on at close to cost. The live pit on site is almost all margin. There is no alcohol in this line: the client buys it separately.</t>
        </is>
      </c>
    </row>
    <row r="15">
      <c r="A15" t="inlineStr">
        <is>
          <t>Disposables, wood &amp; cooking fuel as % of sales</t>
        </is>
      </c>
      <c r="B15" s="63" t="n">
        <v>0.035</v>
      </c>
      <c r="C15" t="inlineStr">
        <is>
          <t>Disposables, wood and cooking fuel as a % of sales: plates, cutlery, napkins and foil pans, plus the wood, charcoal, pellets and propane backup that go into every cook (roughly 60-100 lb of wood per cook, or 27-45 kg: Kit estimate). It scales with the pounds of meat you smoke and the number of events. Vehicle and trailer fuel is NOT here: it has its own fixed line on the "3-Year P&amp;L" tab. Some cities restrict foam and single-use plastics, so check your local rules.</t>
        </is>
      </c>
    </row>
    <row r="16">
      <c r="A16" t="inlineStr">
        <is>
          <t>Corporate catering marketplace share of sales (e.g. ezCater)</t>
        </is>
      </c>
      <c r="B16" s="63" t="n">
        <v>0.06</v>
      </c>
      <c r="C16" t="inlineStr">
        <is>
          <t>Share of your sales that comes through corporate catering marketplaces such as ezCater, rather than from clients who book you directly. Set it to 0 if you only sell direct. The marketplace sends you the order but keeps a commission (next row).</t>
        </is>
      </c>
    </row>
    <row r="17">
      <c r="A17" t="inlineStr">
        <is>
          <t>Marketplace commission on those sales</t>
        </is>
      </c>
      <c r="B17" s="63" t="n">
        <v>0.15</v>
      </c>
      <c r="C17" t="inlineStr">
        <is>
          <t>Commission the marketplace keeps on those sales. ezCater charges about 15% on food and delivery (Kit estimate); fees change, so check the current schedule when you sign up. Not used while the marketplace share is 0%.</t>
        </is>
      </c>
    </row>
    <row r="18">
      <c r="A18" t="inlineStr">
        <is>
          <t>Card processing fee</t>
        </is>
      </c>
      <c r="B18" s="63" t="n">
        <v>0.03</v>
      </c>
      <c r="C18" t="inlineStr">
        <is>
          <t>Card and ACH fees on total sales. Private clients pay their deposit and balance by card; many companies pay by ACH or check, which lowers the cost. The example is a blended rate: a percentage plus a per-transaction fee, which weighs more on small invoices. Check your processor's statement and enter your effective rate (Kit estimate).</t>
        </is>
      </c>
    </row>
    <row r="19">
      <c r="A19" s="16" t="inlineStr">
        <is>
          <t>LABOR</t>
        </is>
      </c>
    </row>
    <row r="20">
      <c r="A20" t="inlineStr">
        <is>
          <t>Employer payroll taxes</t>
        </is>
      </c>
      <c r="B20" s="63" t="n">
        <v>0.1</v>
      </c>
      <c r="C20" t="inlineStr">
        <is>
          <t>FICA (Social Security 6.2% + Medicare 1.45%) + federal and state unemployment taxes (FUTA / SUTA). Workers' comp is in the insurance line. The example uses a lean 10% with no benefits; ask your payroll provider for your rate.</t>
        </is>
      </c>
    </row>
    <row r="21">
      <c r="A21" t="inlineStr">
        <is>
          <t>Monthly pay periods per year (keep 12)</t>
        </is>
      </c>
      <c r="B21" s="18" t="n">
        <v>12</v>
      </c>
      <c r="C21" t="inlineStr">
        <is>
          <t>Annual gross pay = monthly gross pay × this number. Keep 12 in the US: it counts the monthly salaries the model pays in a year, not how often you run payroll (weekly or biweekly payroll pays the same annual amount)</t>
        </is>
      </c>
    </row>
    <row r="22">
      <c r="A22" t="inlineStr">
        <is>
          <t>Federal minimum wage, annual full-time</t>
        </is>
      </c>
      <c r="B22" s="18" t="n">
        <v>15080</v>
      </c>
      <c r="C22" t="inlineStr">
        <is>
          <t>US federal minimum wage: 7.25 per hour × 2,080 hours = 15,080 per year for a full-time job. Your state or city may set a higher floor: enter it in the state / local minimum wage cell below. Check the current rates at dol.gov</t>
        </is>
      </c>
    </row>
    <row r="23">
      <c r="A23" s="16" t="inlineStr">
        <is>
          <t>COMMISSARY KITCHEN, TRAILER PARKING AND FIXED COSTS</t>
        </is>
      </c>
    </row>
    <row r="24">
      <c r="A24" t="inlineStr">
        <is>
          <t>Commissary kitchen rent &amp; smoker trailer parking, per month</t>
        </is>
      </c>
      <c r="B24" s="18" t="n">
        <v>1800</v>
      </c>
      <c r="C24" t="inlineStr">
        <is>
          <t>Monthly cost of your commissary kitchen (hours + storage) and the parking spot for your smoker trailer: one cell for everything you pay the commissary. Pick one where you can smoke in the yard, and ask the health department and the fire marshal before you sign. The deposit and the months before opening are calculated from it. Shared kitchens charge roughly 15-45 per hour (The Food Corridor, 2023 Shared Kitchen Operator Survey): multiply by your cook hours and add storage and parking. A permitted commissary is required: smoked meat for clients cannot be cooked in a home kitchen, and cottage food rules do not cover it. Get quotes in your area before you sign.</t>
        </is>
      </c>
    </row>
    <row r="25">
      <c r="A25" t="inlineStr">
        <is>
          <t>Commissary deposit (months)</t>
        </is>
      </c>
      <c r="B25" s="18" t="n">
        <v>1</v>
      </c>
      <c r="C25" t="inlineStr">
        <is>
          <t>Months of deposit on the commissary agreement. Many shared kitchens ask for one month up front: far less than the deposit on a commercial lease. Negotiate it in the written agreement.</t>
        </is>
      </c>
    </row>
    <row r="26">
      <c r="A26" t="inlineStr">
        <is>
          <t>Monthly utilities (water, power and phone not covered by the commissary)</t>
        </is>
      </c>
      <c r="B26" s="18" t="n">
        <v>150</v>
      </c>
      <c r="C26" t="inlineStr">
        <is>
          <t>Water, electricity and phone that the commissary fee does not cover. Wood, charcoal and propane backup are not here: they scale with your cooks and live in the disposables, wood and cooking fuel row above. It is the one cell for this cost, so you change it in one place and the rest of the workbook follows.</t>
        </is>
      </c>
    </row>
    <row r="27">
      <c r="A27" t="inlineStr">
        <is>
          <t>Insurance (per year)</t>
        </is>
      </c>
      <c r="B27" s="18" t="n">
        <v>6000</v>
      </c>
      <c r="C27" t="inlineStr">
        <is>
          <t>General liability or a BOP (venues and planners often require 1M per occurrence), commercial auto that covers the smoker trailer, workers' comp for your W-2 staff and inland marine for the smoker. Venues ask for a certificate of insurance (COI) naming them as additional insured. Add liquor liability only if the client supplies alcohol and your staff serves it. Insureon publishes averages for small businesses (see the benchmarks table on the "Instructions" tab); the example is a Kit estimate, so get quotes from an insurance agent. It is counted once, as an annual expense, not also in startup costs.</t>
        </is>
      </c>
    </row>
    <row r="28">
      <c r="A28" t="inlineStr">
        <is>
          <t>Miscellaneous and contingency as % of sales</t>
        </is>
      </c>
      <c r="B28" s="63" t="n">
        <v>0.03</v>
      </c>
      <c r="C28" t="inlineStr">
        <is>
          <t>Extra meat on the day, ice and parking at the venue: the unbudgeted costs of each event. It is a VARIABLE cost: it rises and falls with the number of events, so it cannot sit among the fixed costs or it would move the break-even without anyone noticing. Fuel is not here: vehicle and trailer fuel has its own fixed line on the "3-Year P&amp;L" tab, and cooking fuel is in the disposables row.</t>
        </is>
      </c>
    </row>
    <row r="29">
      <c r="A29" s="16" t="inlineStr">
        <is>
          <t>FINANCING</t>
        </is>
      </c>
    </row>
    <row r="30">
      <c r="A30" t="inlineStr">
        <is>
          <t>Owner's equity contributed</t>
        </is>
      </c>
      <c r="B30" s="18" t="n">
        <v>35000</v>
      </c>
      <c r="C30" t="inlineStr">
        <is>
          <t>Your own money. Lenders usually expect an owner equity injection (often around 10% for SBA start-ups; many want 20-30%) on the total cash needed in this plan.</t>
        </is>
      </c>
    </row>
    <row r="31">
      <c r="A31" t="inlineStr">
        <is>
          <t>Loan requested</t>
        </is>
      </c>
      <c r="B31" s="18" t="n">
        <v>101000</v>
      </c>
      <c r="C31" t="inlineStr">
        <is>
          <t>Principal requested: bank or SBA 7(a). The example loan is above the $50,000 ceiling of the SBA Microloan, so it fits an SBA 7(a) loan or a secured bank loan. If your loan is an SBA 7(a), this is the cell. It is the only loan that the amortization schedule, the P&amp;L interest and the DSCR use. The "Financing" tab checks that the sources of funds match the total cash needed on the "Startup Costs" tab (which includes working capital and the smoker trailer, van and fit-out contingency): copy the loan suggested there into this cell until the difference reaches zero. A lender will ask for your plan and projections.</t>
        </is>
      </c>
    </row>
    <row r="32">
      <c r="A32" t="inlineStr">
        <is>
          <t>Nominal annual interest rate (not APR)</t>
        </is>
      </c>
      <c r="B32" s="63" t="n">
        <v>0.1</v>
      </c>
      <c r="C32" t="inlineStr">
        <is>
          <t>Nominal annual rate (not APR). The example (10%) is the kit's assumption for an SBA 7(a) loan. A smaller loan secured by a smoker trailer, a used van and kitchen equipment often prices above a storefront loan: ask two lenders for quotes, and ask about SBA-guaranteed loans, before you set it.</t>
        </is>
      </c>
    </row>
    <row r="33">
      <c r="A33" t="inlineStr">
        <is>
          <t>Loan term (years)</t>
        </is>
      </c>
      <c r="B33" s="18" t="n">
        <v>7</v>
      </c>
      <c r="C33" t="inlineStr">
        <is>
          <t>Total years, interest-only period included. A smoker trailer and a van lose value faster than a storefront build-out, so the term is shorter. SBA 7(a) allows up to 10 years for equipment and working capital.</t>
        </is>
      </c>
    </row>
    <row r="34">
      <c r="A34" t="inlineStr">
        <is>
          <t>Interest-only period (years)</t>
        </is>
      </c>
      <c r="B34" s="18" t="n">
        <v>0</v>
      </c>
      <c r="C34" t="inlineStr">
        <is>
          <t>ZERO by default: repayment starts in year 1, so the year-1 DSCR already measures the full loan payment. If you negotiate an interest-only first year, enter it here and read the year-1 DSCR with care.</t>
        </is>
      </c>
    </row>
    <row r="35">
      <c r="A35" t="inlineStr">
        <is>
          <t>Working capital (months of fixed costs)</t>
        </is>
      </c>
      <c r="B35" s="18" t="n">
        <v>3</v>
      </c>
      <c r="C35" t="inlineStr">
        <is>
          <t>The minimum this workbook asks for (see "Instructions"): a cushion below 3 months does not cover a slow stretch, such as the off-season for weddings or a corporate client who pays late.</t>
        </is>
      </c>
    </row>
    <row r="36">
      <c r="A36" s="16" t="inlineStr">
        <is>
          <t>TAXES</t>
        </is>
      </c>
    </row>
    <row r="37">
      <c r="A37" t="inlineStr">
        <is>
          <t>Effective income tax rate (years 1-2)</t>
        </is>
      </c>
      <c r="B37" s="63" t="n">
        <v>0.25</v>
      </c>
      <c r="C37" t="inlineStr">
        <is>
          <t>Example: 21% federal rate for a C corporation plus state tax, rounded to 25%. If you operate as a sole proprietorship, LLC taxed as a pass-through or S corporation, the business itself pays 0% here and you pay tax on the profit personally: set this to 0 and budget for your personal tax separately. The model applies this rate to the first two years with positive taxable income</t>
        </is>
      </c>
    </row>
    <row r="38">
      <c r="A38" t="inlineStr">
        <is>
          <t>Effective income tax rate (from year 3)</t>
        </is>
      </c>
      <c r="B38" s="63" t="n">
        <v>0.25</v>
      </c>
      <c r="C38" t="inlineStr">
        <is>
          <t>From the third year with positive taxable income. Same example rate (21% federal C corporation + state). Confirm the rate that applies to you with your accountant and change it here</t>
        </is>
      </c>
    </row>
    <row r="39">
      <c r="A39" t="inlineStr">
        <is>
          <t>Sales tax rate on sales</t>
        </is>
      </c>
      <c r="B39" s="63" t="n">
        <v>0.08</v>
      </c>
      <c r="C39" t="inlineStr">
        <is>
          <t>Example rate: state + local sales tax combined, applied to the whole invoice (food, staffing, rentals and the service charge). It varies widely by state and city: look up yours. UK: 20% VAT applies to catering for events and functions (VAT Notice 709/1).</t>
        </is>
      </c>
    </row>
    <row r="40">
      <c r="A40" t="inlineStr">
        <is>
          <t>Sales tax rate on alcohol sold (licensed only)</t>
        </is>
      </c>
      <c r="B40" s="63" t="n">
        <v>0.08</v>
      </c>
      <c r="C40" t="inlineStr">
        <is>
          <t>Same example rate as above. Some states add separate liquor taxes: include them here if they apply to you. Alcohol served on site has its own rate in the sales tax breakdown block, further down. Utilities, equipment and services are handled in the cell below</t>
        </is>
      </c>
    </row>
    <row r="41">
      <c r="A41" t="inlineStr">
        <is>
          <t>Recoverable input tax on purchases and capex</t>
        </is>
      </c>
      <c r="B41" s="63" t="n">
        <v>0</v>
      </c>
      <c r="C41" t="inlineStr">
        <is>
          <t>In the US, the sales tax you pay on purchases is a cost, not a credit: leave this at 0%. UK: 20% if you are VAT-registered</t>
        </is>
      </c>
    </row>
    <row r="42">
      <c r="A42" t="inlineStr">
        <is>
          <t>Net operating losses carried forward</t>
        </is>
      </c>
      <c r="B42" s="18" t="n">
        <v>0</v>
      </c>
      <c r="C42" t="inlineStr">
        <is>
          <t>Net operating losses from earlier years still to be offset at the start. Federal rules let you offset up to 80% of taxable income in a year; the model offsets 100% as a simplification</t>
        </is>
      </c>
    </row>
    <row r="43">
      <c r="A43" s="16" t="inlineStr">
        <is>
          <t>DEPRECIATION</t>
        </is>
      </c>
    </row>
    <row r="44">
      <c r="A44" t="inlineStr">
        <is>
          <t>Useful life of the smoker trailer, van and fit-outs (years)</t>
        </is>
      </c>
      <c r="B44" s="18" t="n">
        <v>7</v>
      </c>
      <c r="C44" t="inlineStr">
        <is>
          <t>The smoker trailer, the van, their upfits (warming cabinet, storage boxes, racks, wrap) and the trailer inspection: everything mounted on a vehicle is depreciated with it. Straight-line book depreciation; tax methods such as MACRS or Section 179 are separate, so confirm with your accountant.</t>
        </is>
      </c>
    </row>
    <row r="45">
      <c r="A45" t="inlineStr">
        <is>
          <t>Useful life of the live-fire rig, holding equipment, pit tools and software (years)</t>
        </is>
      </c>
      <c r="B45" s="18" t="n">
        <v>5</v>
      </c>
      <c r="C45" t="inlineStr">
        <is>
          <t>The live-fire rig, commissary storage fit-out, software, smallwares and pit tools, and holding and service equipment. Loading and unloading at every event wears them faster than a fixed kitchen, so a short life is prudent. Straight-line book depreciation; MACRS or Section 179 are tax treatments: confirm with your accountant.</t>
        </is>
      </c>
    </row>
    <row r="47">
      <c r="A47" s="16" t="inlineStr">
        <is>
          <t>GROWTH AND COST INFLATION</t>
        </is>
      </c>
    </row>
    <row r="48">
      <c r="A48" t="inlineStr">
        <is>
          <t>Annual increase in fixed costs</t>
        </is>
      </c>
      <c r="B48" s="63" t="n">
        <v>0</v>
      </c>
      <c r="C48" t="inlineStr">
        <is>
          <t>SET TO ZERO: all three columns are in year-1 prices (real terms). Raise it if you want to project in nominal terms</t>
        </is>
      </c>
    </row>
    <row r="49">
      <c r="A49" s="16" t="inlineStr">
        <is>
          <t>RAMP-UP AND CAPACITY</t>
        </is>
      </c>
    </row>
    <row r="51">
      <c r="A51" t="inlineStr">
        <is>
          <t>Max events a year your pit and crew can handle</t>
        </is>
      </c>
      <c r="B51" s="18" t="n">
        <v>220</v>
      </c>
      <c r="C51" t="inlineStr">
        <is>
          <t>INFORMATION ONLY: it does not enter any calculation in this workbook. It is your estimate of the most events a year your pit and crew can handle with one smoker trailer; Saturdays in May, June and October are the bottleneck. Compare it with the events per year you plan and with the optimistic scenario: if the plan goes above it, you need a second pit or more staff. Volume itself is driven by the "Events per year" cell above.</t>
        </is>
      </c>
    </row>
    <row r="52">
      <c r="A52" t="inlineStr">
        <is>
          <t>Month-1 activity as a % of steady-state activity</t>
        </is>
      </c>
      <c r="B52" s="63" t="n">
        <v>0.5</v>
      </c>
      <c r="C52" t="inlineStr">
        <is>
          <t>A new caterer does not book in month one what it books in month eight: weddings are reserved months ahead and corporate clients want to try you first. Events per year above is the year-1 AVERAGE: the ramp only spreads year 1's sales across the months (slower start, stronger finish) and keeps the annual total. At 100% there is no ramp.</t>
        </is>
      </c>
    </row>
    <row r="53">
      <c r="A53" t="inlineStr">
        <is>
          <t>Months to reach steady state</t>
        </is>
      </c>
      <c r="B53" s="18" t="n">
        <v>8</v>
      </c>
      <c r="C53" t="inlineStr">
        <is>
          <t>The ramp rises in a straight line from the percentage above to 100% over this number of months</t>
        </is>
      </c>
    </row>
    <row r="54">
      <c r="A54" t="inlineStr">
        <is>
          <t>Months of commissary rent BEFORE opening</t>
        </is>
      </c>
      <c r="B54" s="18" t="n">
        <v>1</v>
      </c>
      <c r="C54" t="inlineStr">
        <is>
          <t>Getting the commissary agreement, the permits, the fire inspection and the trailer ready takes weeks, and your test cooks happen before your first booking, so you pay commissary rent before you earn anything. It belongs in startup costs, not in the P&amp;L.</t>
        </is>
      </c>
    </row>
    <row r="55">
      <c r="A55" t="inlineStr">
        <is>
          <t>Contingency on the trailer, van and fit-out lines (%)</t>
        </is>
      </c>
      <c r="B55" s="63" t="n">
        <v>0.1</v>
      </c>
      <c r="C55" t="inlineStr">
        <is>
          <t>Calculated by formula on the smoker trailer, its upfit, the van, its upfit and the trailer inspection lines: if you change the trailer price, the contingency recalculates on its own. The note on that row of the "Startup Costs" tab lists exactly which lines are included.</t>
        </is>
      </c>
    </row>
    <row r="57">
      <c r="A57" s="16" t="inlineStr">
        <is>
          <t>RECEIPTS, PAYMENTS AND SALES TAX BREAKDOWN</t>
        </is>
      </c>
    </row>
    <row r="58">
      <c r="A58" t="inlineStr">
        <is>
          <t>Average collection days</t>
        </is>
      </c>
      <c r="B58" s="18" t="n">
        <v>7</v>
      </c>
      <c r="C58" t="inlineStr">
        <is>
          <t>Average days between the event and the money in your bank. Private clients usually pay a 50% nonrefundable deposit when they book and the balance days before the event, and many companies pay at 30 days, so the example sits in between. Raise it if clients or marketplaces pay later. The workbook does not model deposits: they improve your real cash flow.</t>
        </is>
      </c>
    </row>
    <row r="59">
      <c r="A59" t="inlineStr">
        <is>
          <t>Average days to pay suppliers</t>
        </is>
      </c>
      <c r="B59" s="18" t="n">
        <v>7</v>
      </c>
      <c r="C59" t="inlineStr">
        <is>
          <t>What your suppliers finance for you. It is the first thing you lose if you fall behind on a payment</t>
        </is>
      </c>
    </row>
    <row r="60">
      <c r="A60" t="inlineStr">
        <is>
          <t>Month of extra pay period 1 (only if pay periods &gt; 12)</t>
        </is>
      </c>
      <c r="B60" s="18" t="n">
        <v>7</v>
      </c>
      <c r="C60" t="inlineStr">
        <is>
          <t>Month of the year (1-12) when the first extra pay period is paid out. Only used if pay periods &gt; 12</t>
        </is>
      </c>
    </row>
    <row r="61">
      <c r="A61" t="inlineStr">
        <is>
          <t>Month of extra pay period 2 (only if pay periods &gt; 12)</t>
        </is>
      </c>
      <c r="B61" s="18" t="n">
        <v>12</v>
      </c>
      <c r="C61" t="inlineStr">
        <is>
          <t>Month of the year (1-12) when the second extra pay period is paid out. Only used if pay periods &gt; 12</t>
        </is>
      </c>
    </row>
    <row r="62">
      <c r="A62" t="inlineStr">
        <is>
          <t>ALCOHOL as a share of add-on sales (0%: no liquor license; the client supplies any alcohol)</t>
        </is>
      </c>
      <c r="B62" s="63" t="n">
        <v>0</v>
      </c>
      <c r="C62" t="inlineStr">
        <is>
          <t>ZERO by default: a BBQ caterer sells no alcohol. If the client supplies it, a licensed service should pour it under its own insurance. Selling alcohol requires a liquor license (and, in some states, an event-by-event caterer's permit): check your state before adding it. Keep liquor liability coverage whenever your staff pours at your events.</t>
        </is>
      </c>
    </row>
    <row r="63">
      <c r="A63" t="inlineStr">
        <is>
          <t>Sales tax rate on alcohol served on site</t>
        </is>
      </c>
      <c r="B63" s="63" t="n">
        <v>0.08</v>
      </c>
      <c r="C63" t="inlineStr">
        <is>
          <t>Only used if you enter alcohol sales above, which is zero in this plan. Example rate: the same as the rest of the sales (state + local combined). Some states tax alcohol at a different rate or add liquor taxes: if you sell alcohol, enter the rate that applies.</t>
        </is>
      </c>
    </row>
    <row r="64">
      <c r="A64" s="16" t="inlineStr">
        <is>
          <t>CONTROL THRESHOLDS AND FLOORS</t>
        </is>
      </c>
    </row>
    <row r="65">
      <c r="A65" t="inlineStr">
        <is>
          <t>DSCR limit (minimum acceptable)</t>
        </is>
      </c>
      <c r="B65" s="24" t="n">
        <v>1.15</v>
      </c>
      <c r="C65" t="inlineStr">
        <is>
          <t>Below 1.0 the business does not generate enough to repay the loan. Lenders often write a minimum DSCR into the loan covenants: ask yours. Kit default: 1.15×</t>
        </is>
      </c>
    </row>
    <row r="66">
      <c r="A66" t="inlineStr">
        <is>
          <t>DSCR target (green)</t>
        </is>
      </c>
      <c r="B66" s="24" t="n">
        <v>1.25</v>
      </c>
      <c r="C66" t="inlineStr">
        <is>
          <t>What lenders commonly look for before approving a loan comfortably. Kit default: 1.25× (editable estimate)</t>
        </is>
      </c>
    </row>
    <row r="67">
      <c r="A67" t="inlineStr">
        <is>
          <t>Minimum cushion above break-even</t>
        </is>
      </c>
      <c r="B67" s="63" t="n">
        <v>0.15</v>
      </c>
      <c r="C67" t="inlineStr">
        <is>
          <t>Minimum cushion of the plan above break-even (plan ÷ break-even − 1). The drop you can absorb is 1 − break-even ÷ plan: a 15% cushion lets events fall by about 13% before costs stop being covered</t>
        </is>
      </c>
    </row>
    <row r="68">
      <c r="A68" t="inlineStr">
        <is>
          <t>State / local minimum wage, annual full-time</t>
        </is>
      </c>
      <c r="B68" s="18" t="n"/>
      <c r="C68" t="inlineStr">
        <is>
          <t>Enter the minimum wage of your state or city, annualized for a full-time job (hourly rate × 2,080 hours). The pay floor in the "Staffing" tab is the HIGHER of this cell and the federal minimum. With 0 or blank, the traffic light compares only against the federal floor. Check current rates at dol.gov.</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nvalid amount" error="Enter a number greater than or equal to 0." type="decimal" operator="greaterThanOrEqual">
      <formula1>0</formula1>
    </dataValidation>
    <dataValidation sqref="B7 B8 B11 B13 B14 B15 B16 B17 B18 B20 B28 B32 B37 B38 B39 B40 B41 B48 B52 B55 B62 B63 B67" showDropDown="0" showInputMessage="0" showErrorMessage="1" allowBlank="1" errorTitle="Invalid percentage" error="Enter a percentage between 0 and 1 (0.35 = 35%)." type="decimal" operator="between">
      <formula1>0</formula1>
      <formula2>1</formula2>
    </dataValidation>
    <dataValidation sqref="B6 B58 B59" showDropDown="0" showInputMessage="0" showErrorMessage="1" allowBlank="1" errorTitle="Value out of range" error="Enter a whole number from 1 to 365: guests per event or days." type="whole" operator="between">
      <formula1>1</formula1>
      <formula2>365</formula2>
    </dataValidation>
    <dataValidation sqref="B34" showDropDown="0" showInputMessage="0" showErrorMessage="1" allowBlank="1" errorTitle="Invalid count" error="Whole years of interest-only period, from 0 to 15. If it equals or exceeds the loan term, the sheet ignores it." type="whole" operator="between">
      <formula1>0</formula1>
      <formula2>15</formula2>
    </dataValidation>
    <dataValidation sqref="B53 B54" showDropDown="0" showInputMessage="0" showErrorMessage="1" allowBlank="1" errorTitle="Invalid count" error="Whole number of months (0 to 24)." type="whole" operator="between">
      <formula1>0</formula1>
      <formula2>24</formula2>
    </dataValidation>
    <dataValidation sqref="B60 B61" showDropDown="0" showInputMessage="0" showErrorMessage="1" allowBlank="1" errorTitle="Invalid count" error="Month of the year, from 1 to 12." type="whole" operator="between">
      <formula1>1</formula1>
      <formula2>12</formula2>
    </dataValidation>
    <dataValidation sqref="B33" showDropDown="0" showInputMessage="0" showErrorMessage="1" allowBlank="1" errorTitle="Invalid count" error="Loan term in whole years: the amortization schedule in this workbook runs up to 15 years." type="whole" operator="between">
      <formula1>1</formula1>
      <formula2>15</formula2>
    </dataValidation>
    <dataValidation sqref="B44 B45" showDropDown="0" showInputMessage="0" showErrorMessage="1" allowBlank="1" errorTitle="Invalid count" error="Useful life in WHOLE YEARS (1 to 50). Depreciation here is straight-line book depreciation; tax rules such as MACRS or Section 179 are separate." type="whole" operator="between">
      <formula1>1</formula1>
      <formula2>50</formula2>
    </dataValidation>
    <dataValidation sqref="B4 B25 B35 B51" showDropDown="0" showInputMessage="0" showErrorMessage="1" allowBlank="1" errorTitle="Invalid count" error="Enter a WHOLE number of 1 or more: this cell is a count and several formulas divide by it." type="whole" operator="between">
      <formula1>1</formula1>
      <formula2>100000</formula2>
    </dataValidation>
    <dataValidation sqref="B21" showDropDown="0" showInputMessage="0" showErrorMessage="1" allowBlank="1" errorTitle="Invalid count" error="Monthly pay periods per year, from 12 to 16. Keep 12 in the US: it is not your payroll frequency. Extra pay periods apply only if you enter more than 12." type="whole" operator="between">
      <formula1>12</formula1>
      <formula2>16</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3"/>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BUSINESS PLAN: BBQ CATERING COMPANY</t>
        </is>
      </c>
    </row>
    <row r="2">
      <c r="A2" s="2" t="inlineStr">
        <is>
          <t>Estimated Startup Costs</t>
        </is>
      </c>
    </row>
    <row r="3">
      <c r="A3" s="3" t="inlineStr">
        <is>
          <t>US kit example (2026) — replace with your own quotes.</t>
        </is>
      </c>
    </row>
    <row r="5">
      <c r="A5" s="25" t="inlineStr">
        <is>
          <t>Item</t>
        </is>
      </c>
      <c r="B5" s="25" t="inlineStr">
        <is>
          <t>Amount</t>
        </is>
      </c>
      <c r="C5" s="25" t="inlineStr">
        <is>
          <t>% of startup costs</t>
        </is>
      </c>
      <c r="D5" s="25" t="inlineStr">
        <is>
          <t>Notes</t>
        </is>
      </c>
      <c r="E5" s="25" t="inlineStr">
        <is>
          <t>Taxable / recoverable tax?</t>
        </is>
      </c>
    </row>
    <row r="6">
      <c r="A6" s="25" t="inlineStr">
        <is>
          <t>STARTUP COSTS</t>
        </is>
      </c>
      <c r="B6" s="66">
        <f>IFERROR(IF(COUNT(B7:B23)=0,"",SUM(B7:B23)),"")</f>
        <v>83300.0</v>
      </c>
      <c r="C6" s="67">
        <f>IFERROR(B6/$B$26,"")</f>
        <v>0.6139871129043433</v>
      </c>
      <c r="D6" s="28" t="n"/>
      <c r="E6" s="28" t="n"/>
    </row>
    <row r="7">
      <c r="A7" s="28" t="inlineStr">
        <is>
          <t>Smoker trailer (offset / reverse-flow, 500-gal class, new)</t>
        </is>
      </c>
      <c r="B7" s="49" t="n">
        <v>20000</v>
      </c>
      <c r="C7" s="68">
        <f>IFERROR(B7/$B$26,"")</f>
        <v>0.14741587344642096</v>
      </c>
      <c r="D7" s="28" t="inlineStr">
        <is>
          <t>A new offset or reverse-flow smoker trailer, 500-gallon class (wood, charcoal or pellets). Examples we read: Meadow Creek TS500 at $20,395 (webstaurantstore.com); Yoder Frontiersman at $8,495-$16,295 plus shipping (yodersmokers.com). The tow vehicle is YOUR pickup, at 0 in this plan. If you don't have one, budget a used pickup that tows at least 5,000 lb (2,270 kg), checked against the loaded trailer weight: roughly 25,000-40,000 (Kit estimate).</t>
        </is>
      </c>
      <c r="E7" s="31" t="inlineStr">
        <is>
          <t>Yes</t>
        </is>
      </c>
    </row>
    <row r="8">
      <c r="A8" s="28" t="inlineStr">
        <is>
          <t>Smoker trailer upfit (warming cabinet, hand sink + water tanks if your county requires, storage boxes, lights)</t>
        </is>
      </c>
      <c r="B8" s="49" t="n">
        <v>3500</v>
      </c>
      <c r="C8" s="68">
        <f>IFERROR(B8/$B$26,"")</f>
        <v>0.025797777853123666</v>
      </c>
      <c r="D8" s="28" t="inlineStr">
        <is>
          <t>Warming cabinet, hand sink and water tanks if your county requires them (smoking or serving at the event can make the trailer a mobile food unit), storage boxes and lights.</t>
        </is>
      </c>
      <c r="E8" s="31" t="inlineStr">
        <is>
          <t>Yes</t>
        </is>
      </c>
    </row>
    <row r="9">
      <c r="A9" s="28" t="inlineStr">
        <is>
          <t>Live-fire rig (Santa Maria grill, Argentine parrilla, asado crosses, La Caja China)</t>
        </is>
      </c>
      <c r="B9" s="49" t="n">
        <v>4500</v>
      </c>
      <c r="C9" s="68">
        <f>IFERROR(B9/$B$26,"")</f>
        <v>0.033168571525444716</v>
      </c>
      <c r="D9" s="28" t="inlineStr">
        <is>
          <t>Live-fire rig for the premium line: Santa Maria grill, Argentine parrilla, asado crosses and La Caja China for pig roasts. It is depreciated with the equipment. Lower it to 0 if you will only smoke.</t>
        </is>
      </c>
      <c r="E9" s="31" t="inlineStr">
        <is>
          <t>Yes</t>
        </is>
      </c>
    </row>
    <row r="10">
      <c r="A10" s="28" t="inlineStr">
        <is>
          <t>Commissary storage fit-out (racks, meat lugs, vacuum sealer)</t>
        </is>
      </c>
      <c r="B10" s="49" t="n">
        <v>1500</v>
      </c>
      <c r="C10" s="68">
        <f>IFERROR(B10/$B$26,"")</f>
        <v>0.011056190508481572</v>
      </c>
      <c r="D10" s="28" t="inlineStr">
        <is>
          <t>Racks, meat lugs and a vacuum sealer in the commissary. Ask the kitchen what it already provides before you budget this line.</t>
        </is>
      </c>
      <c r="E10" s="31" t="inlineStr">
        <is>
          <t>Yes</t>
        </is>
      </c>
    </row>
    <row r="11">
      <c r="A11" s="28" t="inlineStr">
        <is>
          <t>Used cargo van</t>
        </is>
      </c>
      <c r="B11" s="49" t="n">
        <v>18000</v>
      </c>
      <c r="C11" s="68">
        <f>IFERROR(B11/$B$26,"")</f>
        <v>0.13267428610177887</v>
      </c>
      <c r="D11" s="28" t="inlineStr">
        <is>
          <t>A used cargo van for drop-offs and buffets: it carries the hot boxes and insulated food carriers. It is not refrigerated: cooked meat travels in hot holding at 135 °F (57 °C) or above, and raw meat goes from your supplier to the commissary. Prices vary with size, mileage and condition, so get several quotes. A Transit-size van does not need a CDL (that starts at 26,001 lb GVWR).</t>
        </is>
      </c>
      <c r="E11" s="31" t="inlineStr">
        <is>
          <t>Yes</t>
        </is>
      </c>
    </row>
    <row r="12">
      <c r="A12" s="28" t="inlineStr">
        <is>
          <t>Van upfit (shelving, racks, tie-downs, wrap)</t>
        </is>
      </c>
      <c r="B12" s="49" t="n">
        <v>3000</v>
      </c>
      <c r="C12" s="68">
        <f>IFERROR(B12/$B$26,"")</f>
        <v>0.022112381016963143</v>
      </c>
      <c r="D12" s="28" t="inlineStr">
        <is>
          <t>Shelving, racks, tie-downs for hot boxes and carriers, and the vehicle wrap.</t>
        </is>
      </c>
      <c r="E12" s="31" t="inlineStr">
        <is>
          <t>Yes</t>
        </is>
      </c>
    </row>
    <row r="13">
      <c r="A13" s="28" t="inlineStr">
        <is>
          <t>LLC formation, contracts and legal</t>
        </is>
      </c>
      <c r="B13" s="49" t="n">
        <v>1500</v>
      </c>
      <c r="C13" s="68">
        <f>IFERROR(B13/$B$26,"")</f>
        <v>0.011056190508481572</v>
      </c>
      <c r="D13" s="28" t="inlineStr">
        <is>
          <t>State filing fees for the LLC (Secretary of State) plus an attorney's review of your standard contract (50% nonrefundable deposit, cancellation tiers and a burn ban clause) or a filing service; a registered agent is also needed. Fees vary a lot by state. The "Taxable / recoverable tax?" column is set to No: it only matters if you enter a recoverable input tax rate (for example UK VAT).</t>
        </is>
      </c>
      <c r="E13" s="31" t="inlineStr">
        <is>
          <t>No</t>
        </is>
      </c>
    </row>
    <row r="14">
      <c r="A14" s="28" t="inlineStr">
        <is>
          <t>First-year permits and certifications (catering / health permit, MFU or temporary event permits, fire inspection, ServSafe Manager)</t>
        </is>
      </c>
      <c r="B14" s="49" t="n">
        <v>2500</v>
      </c>
      <c r="C14" s="68">
        <f>IFERROR(B14/$B$26,"")</f>
        <v>0.01842698418080262</v>
      </c>
      <c r="D14" s="28" t="inlineStr">
        <is>
          <t>Varies a lot by city, county and state: get the amounts for yours before you close the budget. Expect the catering or health permit, mobile food unit or temporary event permits, the fire marshal inspection, the business license, the sales tax permit, ServSafe Manager and food handler cards.</t>
        </is>
      </c>
      <c r="E14" s="31" t="inlineStr">
        <is>
          <t>No</t>
        </is>
      </c>
    </row>
    <row r="15">
      <c r="A15" s="28" t="inlineStr">
        <is>
          <t>Plan review / trailer inspection (only if your county requires it)</t>
        </is>
      </c>
      <c r="B15" s="49" t="n">
        <v>500</v>
      </c>
      <c r="C15" s="68">
        <f>IFERROR(B15/$B$26,"")</f>
        <v>0.003685396836160524</v>
      </c>
      <c r="D15" s="28" t="inlineStr">
        <is>
          <t>Only if your county requires it: some review the trailer or your written procedures before issuing the permit and charge a plan review fee. In Texas, a mobile food unit works out of a central preparation facility (25 TAC §228.221). If your county doesn't, enter 0.</t>
        </is>
      </c>
      <c r="E15" s="31" t="inlineStr">
        <is>
          <t>Yes</t>
        </is>
      </c>
    </row>
    <row r="16">
      <c r="A16" s="28" t="inlineStr">
        <is>
          <t>Catering software, card reader and tablet</t>
        </is>
      </c>
      <c r="B16" s="49" t="n">
        <v>1200</v>
      </c>
      <c r="C16" s="68">
        <f>IFERROR(B16/$B$26,"")</f>
        <v>0.008844952406785258</v>
      </c>
      <c r="D16" s="28" t="inlineStr">
        <is>
          <t>Catering software for proposals, e-signature contracts, deposits and final balances, plus a card reader and a tablet.</t>
        </is>
      </c>
      <c r="E16" s="31" t="inlineStr">
        <is>
          <t>Yes</t>
        </is>
      </c>
    </row>
    <row r="17">
      <c r="A17" s="28" t="inlineStr">
        <is>
          <t>Smallwares &amp; pit tools (knives, hotel pans, probe thermometers, butcher paper)</t>
        </is>
      </c>
      <c r="B17" s="49" t="n">
        <v>3500</v>
      </c>
      <c r="C17" s="68">
        <f>IFERROR(B17/$B$26,"")</f>
        <v>0.025797777853123666</v>
      </c>
      <c r="D17" s="28" t="inlineStr">
        <is>
          <t>Knives, cutting boards, hotel pans, calibrated probe thermometers, butcher paper and foil, and heat-resistant gloves: the tools that get depreciated. Daily disposables are NOT depreciated: they go in the disposables, wood and cooking fuel line of the P&amp;L, at the % of sales set in the "0. Assumptions" tab.</t>
        </is>
      </c>
      <c r="E17" s="31" t="inlineStr">
        <is>
          <t>Yes</t>
        </is>
      </c>
    </row>
    <row r="18">
      <c r="A18" s="28" t="inlineStr">
        <is>
          <t>Opening inventory (meat for test cooks, rubs, sauces, wood, disposables)</t>
        </is>
      </c>
      <c r="B18" s="49" t="n">
        <v>4000</v>
      </c>
      <c r="C18" s="68">
        <f>IFERROR(B18/$B$26,"")</f>
        <v>0.029483174689284193</v>
      </c>
      <c r="D18" s="28" t="inlineStr">
        <is>
          <t>Meat for your test cooks, rubs, sauces, wood and disposables for your first events. With 0% recoverable input tax (the US default), any sales tax you pay on this purchase is treated as a cost.</t>
        </is>
      </c>
      <c r="E18" s="31" t="inlineStr">
        <is>
          <t>Yes</t>
        </is>
      </c>
    </row>
    <row r="19">
      <c r="A19" s="28" t="inlineStr">
        <is>
          <t>Website, photos, launch and first bridal show</t>
        </is>
      </c>
      <c r="B19" s="49" t="n">
        <v>5000</v>
      </c>
      <c r="C19" s="68">
        <f>IFERROR(B19/$B$26,"")</f>
        <v>0.03685396836160524</v>
      </c>
      <c r="D19" s="28" t="inlineStr">
        <is>
          <t>Website, photos of the meat and the smoker trailer, listings on The Knot, WeddingWire, Zola and ezCater, Google Business Profile and your first bridal show.</t>
        </is>
      </c>
      <c r="E19" s="31" t="inlineStr">
        <is>
          <t>Yes</t>
        </is>
      </c>
    </row>
    <row r="20">
      <c r="A20" s="28" t="inlineStr">
        <is>
          <t>Holding &amp; service equipment (insulated food carriers, hot boxes, chafing dishes, coolers, canopy, carving board)</t>
        </is>
      </c>
      <c r="B20" s="49" t="n">
        <v>6500</v>
      </c>
      <c r="C20" s="68">
        <f>IFERROR(B20/$B$26,"")</f>
        <v>0.04791015887008681</v>
      </c>
      <c r="D20" s="28" t="inlineStr">
        <is>
          <t>Six insulated food carriers, two hot boxes, ten chafing dishes, coolers, tables, a canopy and a cutting board for the carving station.</t>
        </is>
      </c>
      <c r="E20" s="31" t="inlineStr">
        <is>
          <t>Yes</t>
        </is>
      </c>
    </row>
    <row r="21">
      <c r="A21" s="28" t="inlineStr">
        <is>
          <t>Commissary deposit</t>
        </is>
      </c>
      <c r="B21" s="40">
        <f>IFERROR(IF('0. Assumptions'!$B$24="","",'0. Assumptions'!$B$24*'0. Assumptions'!$B$25),"")</f>
        <v>1800.0</v>
      </c>
      <c r="C21" s="68">
        <f>IFERROR(B21/$B$26,"")</f>
        <v>0.013267428610177887</v>
      </c>
      <c r="D21" s="28" t="str">
        <f>IFERROR(""&amp;TEXT('0. Assumptions'!$B$25,"0")&amp;IF('0. Assumptions'!$B$25=1," month"," months")&amp;" of rent, from ""0. Assumptions"". Refundable when the commissary agreement ends: it is not depreciated and carries no tax","")</f>
        <v>1 month of rent, from "0. Assumptions". Refundable when the commissary agreement ends: it is not depreciated and carries no tax</v>
      </c>
      <c r="E21" s="28" t="inlineStr">
        <is>
          <t>No</t>
        </is>
      </c>
    </row>
    <row r="22">
      <c r="A22" s="28" t="inlineStr">
        <is>
          <t>Commissary rent before opening</t>
        </is>
      </c>
      <c r="B22" s="40">
        <f>IFERROR(IF('0. Assumptions'!$B$24="","",'0. Assumptions'!$B$24*'0. Assumptions'!$B$54),"")</f>
        <v>1800.0</v>
      </c>
      <c r="C22" s="68">
        <f>IFERROR(B22/$B$26,"")</f>
        <v>0.013267428610177887</v>
      </c>
      <c r="D22" s="28" t="str">
        <f>IFERROR("Rent "&amp;IF('0. Assumptions'!$B$54=1,"for the month","for the "&amp;TEXT('0. Assumptions'!$B$54,"0")&amp;" months")&amp;" of test cooks, permits and pre-sales before opening. It does not overlap the P&amp;L, which starts on opening day: its twelve months are twelve trading months","")</f>
        <v>Rent for the month of test cooks, permits and pre-sales before opening. It does not overlap the P&amp;L, which starts on opening day: its twelve months are twelve trading months</v>
      </c>
      <c r="E22" s="28" t="inlineStr">
        <is>
          <t>Yes</t>
        </is>
      </c>
    </row>
    <row r="23">
      <c r="A23" s="28" t="inlineStr">
        <is>
          <t>Smoker trailer, van and fit-out contingency</t>
        </is>
      </c>
      <c r="B23" s="40">
        <f>IFERROR(IF(COUNT(B7,B8,B11,B12,B15)=0,"",ROUND((B7+B8+B11+B12+B15)*'0. Assumptions'!$B$55,0)),"")</f>
        <v>4500.0</v>
      </c>
      <c r="C23" s="68">
        <f>IFERROR(B23/$B$26,"")</f>
        <v>0.033168571525444716</v>
      </c>
      <c r="D23" s="28" t="str">
        <f>IFERROR("At "&amp;TEXT('0. Assumptions'!$B$55,"0%")&amp;" of the BUILD-OUT items of this block (smoker trailer, smoker trailer upfit, used cargo van, van upfit and the plan review / trailer inspection), not of the whole block: the other items are left out. No lender funds a build-out without a "&amp;"cushion: the percentage is in ""0. Assumptions""","")</f>
        <v>At 10% of the BUILD-OUT items of this block (smoker trailer, smoker trailer upfit, used cargo van, van upfit and the plan review / trailer inspection), not of the whole block: the other items are left out. No lender funds a build-out without a cushion: the percentage is in "0. Assumptions"</v>
      </c>
      <c r="E23" s="28" t="inlineStr">
        <is>
          <t>Yes</t>
        </is>
      </c>
    </row>
    <row r="24">
      <c r="A24" s="16" t="inlineStr">
        <is>
          <t>WORKING CAPITAL</t>
        </is>
      </c>
      <c r="B24" s="52">
        <f>IFERROR(IF(B25="","",B25),"")</f>
        <v>52370.6</v>
      </c>
      <c r="C24" s="69">
        <f>IFERROR(B24/$B$26,"")</f>
        <v>0.3860128870956567</v>
      </c>
    </row>
    <row r="25">
      <c r="A25" s="35" t="inlineStr">
        <is>
          <t>Operating cushion until break-even</t>
        </is>
      </c>
      <c r="B25" s="42">
        <f>IFERROR(IF('0. Assumptions'!$B$35*('3-Year P&amp;L'!$B$38-'3-Year P&amp;L'!$B$36)=0,"",'0. Assumptions'!$B$35*('3-Year P&amp;L'!$B$38-'3-Year P&amp;L'!$B$36)/12),"")</f>
        <v>52370.6</v>
      </c>
      <c r="C25" s="65">
        <f>IFERROR(B25/$B$26,"")</f>
        <v>0.3860128870956567</v>
      </c>
      <c r="D25" t="str">
        <f>IFERROR("Covers "&amp;TEXT('0. Assumptions'!$B$35,"0")&amp;IF('0. Assumptions'!$B$35=1," month"," months")&amp;" of year-1 CASH fixed costs (the P&amp;L fixed costs minus depreciation, which is not paid out), the minimum the Instructions of this workbook ask for","")</f>
        <v>Covers 3 months of year-1 CASH fixed costs (the P&amp;L fixed costs minus depreciation, which is not paid out), the minimum the Instructions of this workbook ask for</v>
      </c>
      <c r="E25" s="35" t="inlineStr">
        <is>
          <t>No</t>
        </is>
      </c>
    </row>
    <row r="26">
      <c r="A26" s="16" t="inlineStr">
        <is>
          <t>TOTAL STARTUP COSTS (sum of the blocks)</t>
        </is>
      </c>
      <c r="B26" s="52">
        <f>IFERROR(B6+B24,"")</f>
        <v>135670.6</v>
      </c>
      <c r="D26" s="37" t="str">
        <f>IFERROR("The percentages in column C are read on this figure, which includes the working capital ("&amp;TEXT(C24,"0%")&amp;" of the total). To compare the breakdown with another plan, use the CAPEX row below.","")</f>
        <v>The percentages in column C are read on this figure, which includes the working capital (39% of the total). To compare the breakdown with another plan, use the CAPEX row below.</v>
      </c>
    </row>
    <row r="27">
      <c r="A27" s="16" t="inlineStr">
        <is>
          <t>CAPEX (startup costs excluding working capital)</t>
        </is>
      </c>
      <c r="B27" s="52">
        <f>IFERROR(B26-B24,"")</f>
        <v>83300.0</v>
      </c>
      <c r="D27" s="16" t="inlineStr">
        <is>
          <t>What you buy: smoker trailer, van, upfits, live-fire rig, equipment, launch and formation costs. The cash cushion is not an investment: it is working capital.</t>
        </is>
      </c>
    </row>
    <row r="28">
      <c r="A28" s="35" t="inlineStr">
        <is>
          <t>Recoverable input tax on capex</t>
        </is>
      </c>
      <c r="B28" s="42">
        <f>IFERROR(IF(B26="","",SUMIF($E$7:$E$23,"Yes",$B$7:$B$23)*'0. Assumptions'!$B$41),"")</f>
        <v>0.0</v>
      </c>
      <c r="D28" t="str">
        <f>IFERROR("At "&amp;TEXT('0. Assumptions'!$B$41,"0%")&amp;" on the items marked ""Yes"" in the tax column. US: the sales tax you pay on equipment is part of its cost and is not recovered, so this rate is 0. UK (VAT-registered): 20%, reclaimed on your VAT return, but you pay it first, so the loan has to cover it","")</f>
        <v>At 0% on the items marked "Yes" in the tax column. US: the sales tax you pay on equipment is part of its cost and is not recovered, so this rate is 0. UK (VAT-registered): 20%, reclaimed on your VAT return, but you pay it first, so the loan has to cover it</v>
      </c>
    </row>
    <row r="29">
      <c r="A29" s="16" t="inlineStr">
        <is>
          <t>TOTAL CASH NEEDED AT LAUNCH</t>
        </is>
      </c>
      <c r="B29" s="52">
        <f>IFERROR(B26+B28,"")</f>
        <v>135670.6</v>
      </c>
      <c r="D29" s="16" t="inlineStr">
        <is>
          <t>This is the figure the Financing tab has to cover</t>
        </is>
      </c>
    </row>
    <row r="30">
      <c r="A30" s="16" t="inlineStr">
        <is>
          <t>DEPRECIATION BASES (not added to startup costs)</t>
        </is>
      </c>
    </row>
    <row r="31">
      <c r="A31" s="35" t="inlineStr">
        <is>
          <t>Smoker trailer, van and fit-outs (depreciated over the vehicle life)</t>
        </is>
      </c>
      <c r="B31" s="42">
        <f>IFERROR(IF(B7="","",B7+B8+B11+B12+B15+B23),"")</f>
        <v>49500.0</v>
      </c>
      <c r="D31" t="str">
        <f>IFERROR("Depreciated over "&amp;TEXT('0. Assumptions'!$B$44,"0")&amp;" years","")</f>
        <v>Depreciated over 7 years</v>
      </c>
    </row>
    <row r="32">
      <c r="A32" s="35" t="inlineStr">
        <is>
          <t>Machinery, furniture and equipment</t>
        </is>
      </c>
      <c r="B32" s="42">
        <f>IFERROR(IF(B9="","",B9+B10+B16+B17+B20),"")</f>
        <v>17200.0</v>
      </c>
      <c r="D32" t="str">
        <f>IFERROR("Depreciated over "&amp;TEXT('0. Assumptions'!$B$45,"0")&amp;" years","")</f>
        <v>Depreciated over 5 years</v>
      </c>
    </row>
    <row r="33">
      <c r="A33" s="16" t="inlineStr">
        <is>
          <t>Annual depreciation of fixed assets</t>
        </is>
      </c>
      <c r="B33" s="52">
        <f>IFERROR(B31/MAX(1,'0. Assumptions'!$B$44)+B32/MAX(1,'0. Assumptions'!$B$45),"")</f>
        <v>10511.428571428572</v>
      </c>
      <c r="D33" s="37" t="str">
        <f>IFERROR("Not depreciated, because they are not fixed assets: LLC formation and legal, first-year permits and certifications, opening inventory, website, photos and launch, the commissary deposit, pre-opening commissary rent and the working capital "&amp;"reserve. They add up to "&amp;TEXT(B26-B31-B32,"#,##0")&amp;" of the "&amp;TEXT(B26,"#,##0")&amp;" total investment.","")</f>
        <v>Not depreciated, because they are not fixed assets: LLC formation and legal, first-year permits and certifications, opening inventory, website, photos and launch, the commissary deposit, pre-opening commissary rent and the working capital reserve. They add up to 68971 of the 135671 total investment.</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9">
    <cfRule type="expression" priority="1" dxfId="0" stopIfTrue="1">
      <formula>AND(ISNUMBER(B29),B29&gt;0)</formula>
    </cfRule>
  </conditionalFormatting>
  <dataValidations count="2">
    <dataValidation sqref="E7:E20" showDropDown="0" showInputMessage="0" showErrorMessage="1" allowBlank="1" errorTitle="Invalid entry" error="Enter &quot;Yes&quot; or &quot;No&quot;: the recoverable input tax on startup costs comes from this column." type="list">
      <formula1>"Yes,No"</formula1>
    </dataValidation>
    <dataValidation sqref="B7 B8 B9 B10 B11 B12 B13 B14 B15 B16 B17 B18 B19 B20"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9"/>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8" t="inlineStr">
        <is>
          <t>PRO FORMA P&amp;L — 3 YEARS</t>
        </is>
      </c>
    </row>
    <row r="2">
      <c r="A2" s="3" t="inlineStr">
        <is>
          <t>Base case — BBQ caterer (smoked meats, off-site)</t>
        </is>
      </c>
    </row>
    <row r="4">
      <c r="A4" s="39" t="inlineStr">
        <is>
          <t>Item</t>
        </is>
      </c>
      <c r="B4" s="39" t="inlineStr">
        <is>
          <t>Year 1</t>
        </is>
      </c>
      <c r="C4" s="39" t="inlineStr">
        <is>
          <t>Year 2</t>
        </is>
      </c>
      <c r="D4" s="39" t="inlineStr">
        <is>
          <t>Year 3</t>
        </is>
      </c>
      <c r="E4" s="39" t="inlineStr">
        <is>
          <t>% of sales (year 1)</t>
        </is>
      </c>
      <c r="F4" s="39" t="inlineStr">
        <is>
          <t>Notes</t>
        </is>
      </c>
      <c r="G4" s="39" t="inlineStr">
        <is>
          <t>Sales tax rate on the line (%)</t>
        </is>
      </c>
      <c r="H4" s="28" t="n"/>
    </row>
    <row r="5">
      <c r="A5" s="25" t="inlineStr">
        <is>
          <t>REVENUE</t>
        </is>
      </c>
      <c r="B5" s="28" t="n"/>
      <c r="C5" s="28" t="n"/>
      <c r="D5" s="28" t="n"/>
      <c r="E5" s="28" t="n"/>
      <c r="F5" s="28" t="n"/>
      <c r="G5" s="28" t="n"/>
      <c r="H5" s="28" t="n"/>
    </row>
    <row r="6">
      <c r="A6" s="28" t="inlineStr">
        <is>
          <t>Events per year (average)</t>
        </is>
      </c>
      <c r="B6" s="40">
        <f>IFERROR(IF('0. Assumptions'!$B$4="","",'0. Assumptions'!$B$4),"")</f>
        <v>150.0</v>
      </c>
      <c r="C6" s="40">
        <f>IFERROR(B6*(1+'0. Assumptions'!$B$7),"")</f>
        <v>168.00000000000003</v>
      </c>
      <c r="D6" s="40">
        <f>IFERROR(C6*(1+'0. Assumptions'!$B$8),"")</f>
        <v>181.44000000000005</v>
      </c>
      <c r="E6" s="28" t="n"/>
      <c r="F6" s="28" t="inlineStr">
        <is>
          <t>Growth for years 2 and 3 is set in "0. Assumptions"</t>
        </is>
      </c>
      <c r="G6" s="28" t="n"/>
      <c r="H6" s="28" t="n"/>
    </row>
    <row r="7">
      <c r="A7" s="28" t="inlineStr">
        <is>
          <t>Average price per guest (excl. sales tax)</t>
        </is>
      </c>
      <c r="B7" s="61">
        <f>IFERROR(IF('0. Assumptions'!$B$5="","",'0. Assumptions'!$B$5),"")</f>
        <v>38.0</v>
      </c>
      <c r="C7" s="61">
        <f>IFERROR(IF(B7="","",B7),"")</f>
        <v>38.0</v>
      </c>
      <c r="D7" s="61">
        <f>IFERROR(IF(C7="","",C7),"")</f>
        <v>38.0</v>
      </c>
      <c r="E7" s="28" t="n"/>
      <c r="F7" s="28" t="inlineStr">
        <is>
          <t>Held constant at year-1 prices: a price increase is a separate decision</t>
        </is>
      </c>
      <c r="G7" s="28" t="n"/>
      <c r="H7" s="28" t="n"/>
    </row>
    <row r="8">
      <c r="A8" s="28" t="inlineStr">
        <is>
          <t>Average guests per event</t>
        </is>
      </c>
      <c r="B8" s="40">
        <f>IFERROR(IF('0. Assumptions'!$B$6="","",'0. Assumptions'!$B$6),"")</f>
        <v>75.0</v>
      </c>
      <c r="C8" s="40">
        <f>IFERROR(IF(B8="","",B8),"")</f>
        <v>75.0</v>
      </c>
      <c r="D8" s="40">
        <f>IFERROR(IF(C8="","",C8),"")</f>
        <v>75.0</v>
      </c>
      <c r="E8" s="28" t="n"/>
      <c r="F8" s="28" t="n"/>
      <c r="G8" s="28" t="n"/>
      <c r="H8" s="28" t="n"/>
    </row>
    <row r="9">
      <c r="A9" s="25" t="inlineStr">
        <is>
          <t>TOTAL REVENUE (excl. sales tax)</t>
        </is>
      </c>
      <c r="B9" s="66">
        <f>IFERROR(IF(B6*B7*B8=0,"",B6*B7*B8),"")</f>
        <v>427500.0</v>
      </c>
      <c r="C9" s="66">
        <f>IFERROR(IF(C6*C7*C8=0,"",C6*C7*C8),"")</f>
        <v>478800.00000000006</v>
      </c>
      <c r="D9" s="66">
        <f>IFERROR(IF(D6*D7*D8=0,"",D6*D7*D8),"")</f>
        <v>517104.0000000002</v>
      </c>
      <c r="E9" s="67">
        <f>IFERROR(IF(B9="","",1),"")</f>
        <v>1.0</v>
      </c>
      <c r="F9" s="28" t="n"/>
      <c r="G9" s="28" t="n"/>
      <c r="H9" s="28" t="n"/>
    </row>
    <row r="10">
      <c r="A10" s="28" t="inlineStr">
        <is>
          <t>BBQ package sales (smoked meats, sides, bread &amp; sauces, staffing)</t>
        </is>
      </c>
      <c r="B10" s="40">
        <f>IFERROR(IF(B9="","",B9*$E$10),"")</f>
        <v>376200.0</v>
      </c>
      <c r="C10" s="40">
        <f>IFERROR(IF(C9="","",C9*$E$10),"")</f>
        <v>421344.00000000006</v>
      </c>
      <c r="D10" s="40">
        <f>IFERROR(IF(D9="","",D9*$E$10),"")</f>
        <v>455051.52000000014</v>
      </c>
      <c r="E10" s="68">
        <f>IFERROR(IF('0. Assumptions'!$B$11="","",'0. Assumptions'!$B$11),"")</f>
        <v>0.88</v>
      </c>
      <c r="F10" s="28" t="inlineStr">
        <is>
          <t>Sales of BBQ packages: the smoked meats, sides, bread and sauces plus the staffing that serves them, across drop-offs, buffets, parties, weddings and live-fire events. All of it carries cost of goods sold at the BBQ package rate.</t>
        </is>
      </c>
      <c r="G10" s="68">
        <f>IFERROR(IF(B9="","",'0. Assumptions'!$B$39),"")</f>
        <v>0.08</v>
      </c>
      <c r="H10" s="28" t="n"/>
    </row>
    <row r="11">
      <c r="A11" s="28" t="inlineStr">
        <is>
          <t>Add-on sales (live pit on site, desserts, appetizers, drinks, rentals, travel fees)</t>
        </is>
      </c>
      <c r="B11" s="40">
        <f>IFERROR(IF(B9="","",B9*$E$11),"")</f>
        <v>51300.0</v>
      </c>
      <c r="C11" s="40">
        <f>IFERROR(IF(C9="","",C9*$E$11),"")</f>
        <v>57456.00000000001</v>
      </c>
      <c r="D11" s="40">
        <f>IFERROR(IF(D9="","",D9*$E$11),"")</f>
        <v>62052.48000000002</v>
      </c>
      <c r="E11" s="68">
        <f>IFERROR(IF('0. Assumptions'!$B$12="","",'0. Assumptions'!$B$12),"")</f>
        <v>0.12</v>
      </c>
      <c r="F11" s="28" t="inlineStr">
        <is>
          <t>Sales of add-ons: the live pit on site (your smoker trailer at the event, a paid extra), desserts, appetizers, non-alcoholic drinks, rentals and travel fees. The client buys any alcohol separately, so there is no alcohol revenue.</t>
        </is>
      </c>
      <c r="G11" s="68">
        <f>IFERROR(IF(B9="","",('0. Assumptions'!$B$62*((1-'0. Assumptions'!$B$16)*'0. Assumptions'!$B$63+'0. Assumptions'!$B$16*'0. Assumptions'!$B$40)+(1-'0. Assumptions'!$B$62)*'0. Assumptions'!$B$39)),"")</f>
        <v>0.08</v>
      </c>
      <c r="H11" s="28" t="n"/>
    </row>
    <row r="12">
      <c r="A12" s="25" t="inlineStr">
        <is>
          <t>VARIABLE COSTS</t>
        </is>
      </c>
      <c r="B12" s="28" t="n"/>
      <c r="C12" s="28" t="n"/>
      <c r="D12" s="28" t="n"/>
      <c r="E12" s="28" t="n"/>
      <c r="F12" s="28" t="n"/>
      <c r="G12" s="28" t="n"/>
      <c r="H12" s="28" t="n"/>
    </row>
    <row r="13">
      <c r="A13" s="28" t="inlineStr">
        <is>
          <t>Cost of goods — BBQ packages (meat, sides, bread &amp; sauces)</t>
        </is>
      </c>
      <c r="B13" s="40">
        <f>IFERROR(IF(B9="","",B9*'0. Assumptions'!$B$11*'0. Assumptions'!$B$13),"")</f>
        <v>105336.00000000001</v>
      </c>
      <c r="C13" s="40">
        <f>IFERROR(IF(C9="","",C9*'0. Assumptions'!$B$11*'0. Assumptions'!$B$13),"")</f>
        <v>117976.32000000002</v>
      </c>
      <c r="D13" s="40">
        <f>IFERROR(IF(D9="","",D9*'0. Assumptions'!$B$11*'0. Assumptions'!$B$13),"")</f>
        <v>127414.42560000005</v>
      </c>
      <c r="E13" s="68">
        <f>IFERROR(B13/$B$9,"")</f>
        <v>0.24640000000000004</v>
      </c>
      <c r="F13" s="28" t="str">
        <f>IFERROR("At "&amp;TEXT('0. Assumptions'!$B$13,"0%")&amp;" of BBQ PACKAGE sales (raw meat, sides, bread and sauces), not of total sales: add-ons have their own line","")</f>
        <v>At 28% of BBQ PACKAGE sales (raw meat, sides, bread and sauces), not of total sales: add-ons have their own line</v>
      </c>
      <c r="G13" s="68">
        <f>IFERROR(IF(B9="","",'0. Assumptions'!$B$41),"")</f>
        <v>0.0</v>
      </c>
      <c r="H13" s="28" t="n"/>
    </row>
    <row r="14">
      <c r="A14" s="28" t="inlineStr">
        <is>
          <t>Cost of goods — add-ons</t>
        </is>
      </c>
      <c r="B14" s="40">
        <f>IFERROR(IF(B9="","",B9*'0. Assumptions'!$B$12*'0. Assumptions'!$B$14),"")</f>
        <v>17955.0</v>
      </c>
      <c r="C14" s="40">
        <f>IFERROR(IF(C9="","",C9*'0. Assumptions'!$B$12*'0. Assumptions'!$B$14),"")</f>
        <v>20109.600000000002</v>
      </c>
      <c r="D14" s="40">
        <f>IFERROR(IF(D9="","",D9*'0. Assumptions'!$B$12*'0. Assumptions'!$B$14),"")</f>
        <v>21718.368000000006</v>
      </c>
      <c r="E14" s="68">
        <f>IFERROR(B14/$B$9,"")</f>
        <v>0.042</v>
      </c>
      <c r="F14" s="28" t="str">
        <f>IFERROR("At "&amp;TEXT('0. Assumptions'!$B$14,"0%")&amp;" of ADD-ON sales","")</f>
        <v>At 35% of ADD-ON sales</v>
      </c>
      <c r="G14" s="68">
        <f>IFERROR(IF(B9="","",'0. Assumptions'!$B$41),"")</f>
        <v>0.0</v>
      </c>
      <c r="H14" s="28" t="n"/>
    </row>
    <row r="15">
      <c r="A15" s="28" t="inlineStr">
        <is>
          <t>Disposables, wood &amp; cooking fuel</t>
        </is>
      </c>
      <c r="B15" s="40">
        <f>IFERROR(IF(B9="","",B9*'0. Assumptions'!$B$15),"")</f>
        <v>14962.500000000002</v>
      </c>
      <c r="C15" s="40">
        <f>IFERROR(IF(C9="","",C9*'0. Assumptions'!$B$15),"")</f>
        <v>16758.000000000004</v>
      </c>
      <c r="D15" s="40">
        <f>IFERROR(IF(D9="","",D9*'0. Assumptions'!$B$15),"")</f>
        <v>18098.640000000007</v>
      </c>
      <c r="E15" s="68">
        <f>IFERROR(B15/$B$9,"")</f>
        <v>0.035</v>
      </c>
      <c r="F15" s="28" t="n"/>
      <c r="G15" s="68">
        <f>IFERROR(IF(B9="","",'0. Assumptions'!$B$41),"")</f>
        <v>0.0</v>
      </c>
      <c r="H15" s="28" t="n"/>
    </row>
    <row r="16">
      <c r="A16" s="28" t="inlineStr">
        <is>
          <t>Corporate catering marketplace fees</t>
        </is>
      </c>
      <c r="B16" s="40">
        <f>IFERROR(IF(B9="","",B9*'0. Assumptions'!$B$16*'0. Assumptions'!$B$17),"")</f>
        <v>3847.5</v>
      </c>
      <c r="C16" s="40">
        <f>IFERROR(IF(C9="","",C9*'0. Assumptions'!$B$16*'0. Assumptions'!$B$17),"")</f>
        <v>4309.200000000001</v>
      </c>
      <c r="D16" s="40">
        <f>IFERROR(IF(D9="","",D9*'0. Assumptions'!$B$16*'0. Assumptions'!$B$17),"")</f>
        <v>4653.9360000000015</v>
      </c>
      <c r="E16" s="68">
        <f>IFERROR(B16/$B$9,"")</f>
        <v>0.009</v>
      </c>
      <c r="F16" s="28" t="inlineStr">
        <is>
          <t>Applied to the sales of THAT CHANNEL. With 0% corporate catering marketplace sales in Assumptions, this line is zero</t>
        </is>
      </c>
      <c r="G16" s="68">
        <f>IFERROR(IF(B9="","",'0. Assumptions'!$B$41),"")</f>
        <v>0.0</v>
      </c>
      <c r="H16" s="28" t="n"/>
    </row>
    <row r="17">
      <c r="A17" s="28" t="inlineStr">
        <is>
          <t>Card processing fees</t>
        </is>
      </c>
      <c r="B17" s="40">
        <f>IFERROR(IF(B9="","",B9*'0. Assumptions'!$B$18),"")</f>
        <v>12825.0</v>
      </c>
      <c r="C17" s="40">
        <f>IFERROR(IF(C9="","",C9*'0. Assumptions'!$B$18),"")</f>
        <v>14364.000000000002</v>
      </c>
      <c r="D17" s="40">
        <f>IFERROR(IF(D9="","",D9*'0. Assumptions'!$B$18),"")</f>
        <v>15513.120000000004</v>
      </c>
      <c r="E17" s="68">
        <f>IFERROR(B17/$B$9,"")</f>
        <v>0.03</v>
      </c>
      <c r="F17" s="28" t="inlineStr">
        <is>
          <t>Card processing fees are not subject to sales tax: no tax is recovered or deducted for them</t>
        </is>
      </c>
      <c r="G17" s="68" t="n">
        <v>0</v>
      </c>
      <c r="H17" s="28" t="n"/>
    </row>
    <row r="18">
      <c r="A18" s="28" t="inlineStr">
        <is>
          <t>Miscellaneous and contingency</t>
        </is>
      </c>
      <c r="B18" s="40">
        <f>IFERROR(IF(B9="","",B9*'0. Assumptions'!$B$28),"")</f>
        <v>12825.0</v>
      </c>
      <c r="C18" s="40">
        <f>IFERROR(IF(C9="","",C9*'0. Assumptions'!$B$28),"")</f>
        <v>14364.000000000002</v>
      </c>
      <c r="D18" s="40">
        <f>IFERROR(IF(D9="","",D9*'0. Assumptions'!$B$28),"")</f>
        <v>15513.120000000004</v>
      </c>
      <c r="E18" s="68">
        <f>IFERROR(B18/$B$9,"")</f>
        <v>0.03</v>
      </c>
      <c r="F18" s="28" t="str">
        <f>IFERROR("At "&amp;TEXT('0. Assumptions'!$B$28,"0%")&amp;" of sales: a cushion for unbudgeted event costs (extra meat, ice, venue parking). It is a VARIABLE cost: it moves with the number of events, so it cannot sit in fixed costs (vehicle and trailer fuel, maintenance and registration are in row "&amp;"27; wood, charcoal and propane are in row 15)","")</f>
        <v>At 3% of sales: a cushion for unbudgeted event costs (extra meat, ice, venue parking). It is a VARIABLE cost: it moves with the number of events, so it cannot sit in fixed costs (vehicle and trailer fuel, maintenance and registration are in row 27; wood, charcoal and propane are in row 15)</v>
      </c>
      <c r="G18" s="68">
        <f>IFERROR(IF(B9="","",'0. Assumptions'!$B$41),"")</f>
        <v>0.0</v>
      </c>
      <c r="H18" s="28" t="n"/>
    </row>
    <row r="19">
      <c r="A19" s="25" t="inlineStr">
        <is>
          <t>TOTAL VARIABLE COSTS</t>
        </is>
      </c>
      <c r="B19" s="66">
        <f>IFERROR(IF(B9="","",SUM(B13:B18)),"")</f>
        <v>167751.00000000003</v>
      </c>
      <c r="C19" s="66">
        <f>IFERROR(IF(C9="","",SUM(C13:C18)),"")</f>
        <v>187881.12000000002</v>
      </c>
      <c r="D19" s="66">
        <f>IFERROR(IF(D9="","",SUM(D13:D18)),"")</f>
        <v>202911.60960000008</v>
      </c>
      <c r="E19" s="67">
        <f>IFERROR(B19/$B$9,"")</f>
        <v>0.3924000000000001</v>
      </c>
      <c r="F19" s="28" t="n"/>
      <c r="G19" s="28" t="n"/>
      <c r="H19" s="28" t="n"/>
    </row>
    <row r="20">
      <c r="A20" s="25" t="inlineStr">
        <is>
          <t>GROSS MARGIN</t>
        </is>
      </c>
      <c r="B20" s="66">
        <f>IFERROR(IF(B9="","",B9-B19),"")</f>
        <v>259748.99999999997</v>
      </c>
      <c r="C20" s="66">
        <f>IFERROR(IF(C9="","",C9-C19),"")</f>
        <v>290918.88</v>
      </c>
      <c r="D20" s="66">
        <f>IFERROR(IF(D9="","",D9-D19),"")</f>
        <v>314192.3904000001</v>
      </c>
      <c r="E20" s="67">
        <f>IFERROR(B20/$B$9,"")</f>
        <v>0.6075999999999999</v>
      </c>
      <c r="F20" s="28" t="n"/>
      <c r="G20" s="28" t="n"/>
      <c r="H20" s="28" t="n"/>
    </row>
    <row r="21">
      <c r="A21" s="25" t="inlineStr">
        <is>
          <t>FIXED COSTS</t>
        </is>
      </c>
      <c r="B21" s="28" t="n"/>
      <c r="C21" s="28" t="n"/>
      <c r="D21" s="28" t="n"/>
      <c r="E21" s="28" t="n"/>
      <c r="F21" s="28" t="n"/>
      <c r="G21" s="28" t="n"/>
      <c r="H21" s="28" t="n"/>
    </row>
    <row r="22">
      <c r="A22" s="28" t="inlineStr">
        <is>
          <t>Commissary kitchen rent &amp; smoker trailer parking</t>
        </is>
      </c>
      <c r="B22" s="40">
        <f>IFERROR(IF(B9="","",'0. Assumptions'!$B$24*12),"")</f>
        <v>21600.0</v>
      </c>
      <c r="C22" s="40">
        <f>IFERROR(IF(C9="","",B22*(1+'0. Assumptions'!$B$48)),"")</f>
        <v>21600.0</v>
      </c>
      <c r="D22" s="40">
        <f>IFERROR(IF(D9="","",C22*(1+'0. Assumptions'!$B$48)),"")</f>
        <v>21600.0</v>
      </c>
      <c r="E22" s="68">
        <f>IFERROR(B22/$B$9,"")</f>
        <v>0.05052631578947368</v>
      </c>
      <c r="F22" s="28" t="inlineStr">
        <is>
          <t>The monthly amount is typed in "0. Assumptions"; here it is multiplied by twelve. It covers your commissary hours, storage and the parking spot for the smoker trailer, not storefront rent. The months before opening are on the "Startup Costs" tab and are NOT counted twice.</t>
        </is>
      </c>
      <c r="G22" s="68">
        <f>IFERROR(IF(B9="","",'0. Assumptions'!$B$41),"")</f>
        <v>0.0</v>
      </c>
      <c r="H22" s="28" t="n"/>
    </row>
    <row r="23">
      <c r="A23" s="28" t="inlineStr">
        <is>
          <t>Labor (wages + employer payroll taxes)</t>
        </is>
      </c>
      <c r="B23" s="40">
        <f>IFERROR(IF(B9="","",Staffing!$G$9),"")</f>
        <v>139682.4</v>
      </c>
      <c r="C23" s="40">
        <f>IFERROR(IF(C9="","",Staffing!$B$13),"")</f>
        <v>144682.4</v>
      </c>
      <c r="D23" s="40">
        <f>IFERROR(IF(D9="","",Staffing!$B$14),"")</f>
        <v>149682.4</v>
      </c>
      <c r="E23" s="68">
        <f>IFERROR(B23/$B$9,"")</f>
        <v>0.32674245614035086</v>
      </c>
      <c r="F23" s="28" t="inlineStr">
        <is>
          <t>Comes from the Staffing tab: it is the SAME number, not a separate estimate. Years 2 and 3 add the new hires declared on that tab, not a percentage of volume</t>
        </is>
      </c>
      <c r="G23" s="68" t="n">
        <v>0</v>
      </c>
      <c r="H23" s="28" t="n"/>
    </row>
    <row r="24">
      <c r="A24" s="28" t="inlineStr">
        <is>
          <t>Utilities (water, power and phone not covered by the commissary)</t>
        </is>
      </c>
      <c r="B24" s="40">
        <f>IFERROR(IF(B9="","",'0. Assumptions'!$B$26*12),"")</f>
        <v>1800.0</v>
      </c>
      <c r="C24" s="40">
        <f>IFERROR(IF(C9="","",B24*(1+'0. Assumptions'!$B$48)),"")</f>
        <v>1800.0</v>
      </c>
      <c r="D24" s="40">
        <f>IFERROR(IF(D9="","",C24*(1+'0. Assumptions'!$B$48)),"")</f>
        <v>1800.0</v>
      </c>
      <c r="E24" s="68">
        <f>IFERROR(B24/$B$9,"")</f>
        <v>0.004210526315789474</v>
      </c>
      <c r="F24" s="28" t="inlineStr">
        <is>
          <t>Water, electricity and phone that the commissary fee does not cover. No propane or wood here: they scale with your cooks and sit in the disposables, wood and cooking fuel line.</t>
        </is>
      </c>
      <c r="G24" s="68">
        <f>IFERROR(IF(B9="","",'0. Assumptions'!$B$41),"")</f>
        <v>0.0</v>
      </c>
      <c r="H24" s="28" t="n"/>
    </row>
    <row r="25">
      <c r="A25" s="28" t="inlineStr">
        <is>
          <t>Insurance (general liability, commercial auto with the trailer, workers' comp, inland marine)</t>
        </is>
      </c>
      <c r="B25" s="40">
        <f>IFERROR(IF(B9="","",'0. Assumptions'!$B$27),"")</f>
        <v>6000.0</v>
      </c>
      <c r="C25" s="40">
        <f>IFERROR(IF(C9="","",B25*(1+'0. Assumptions'!$B$48)),"")</f>
        <v>6000.0</v>
      </c>
      <c r="D25" s="40">
        <f>IFERROR(IF(D9="","",C25*(1+'0. Assumptions'!$B$48)),"")</f>
        <v>6000.0</v>
      </c>
      <c r="E25" s="68">
        <f>IFERROR(B25/$B$9,"")</f>
        <v>0.014035087719298246</v>
      </c>
      <c r="F25" s="28" t="inlineStr">
        <is>
          <t>Insurance premiums are not subject to sales tax: there is no recoverable tax on them</t>
        </is>
      </c>
      <c r="G25" s="68" t="n">
        <v>0</v>
      </c>
      <c r="H25" s="28" t="n"/>
    </row>
    <row r="26">
      <c r="A26" s="28" t="inlineStr">
        <is>
          <t>Annual permits and licenses (catering / health permit, MFU or event permits, fire inspections)</t>
        </is>
      </c>
      <c r="B26" s="49" t="n">
        <v>1200</v>
      </c>
      <c r="C26" s="40">
        <f>IFERROR(IF(C9="","",B26*(1+'0. Assumptions'!$B$48)),"")</f>
        <v>1200.0</v>
      </c>
      <c r="D26" s="40">
        <f>IFERROR(IF(D9="","",C26*(1+'0. Assumptions'!$B$48)),"")</f>
        <v>1200.0</v>
      </c>
      <c r="E26" s="68">
        <f>IFERROR(B26/$B$9,"")</f>
        <v>0.002807017543859649</v>
      </c>
      <c r="F26" s="28" t="n"/>
      <c r="G26" s="68">
        <f>IFERROR(IF(B9="","",'0. Assumptions'!$B$41),"")</f>
        <v>0.0</v>
      </c>
      <c r="H26" s="28" t="n"/>
    </row>
    <row r="27">
      <c r="A27" s="28" t="inlineStr">
        <is>
          <t>Vehicle &amp; trailer fuel, maintenance and registration</t>
        </is>
      </c>
      <c r="B27" s="49" t="n">
        <v>6000</v>
      </c>
      <c r="C27" s="40">
        <f>IFERROR(IF(C9="","",B27*(1+'0. Assumptions'!$B$48)),"")</f>
        <v>6000.0</v>
      </c>
      <c r="D27" s="40">
        <f>IFERROR(IF(D9="","",C27*(1+'0. Assumptions'!$B$48)),"")</f>
        <v>6000.0</v>
      </c>
      <c r="E27" s="68">
        <f>IFERROR(B27/$B$9,"")</f>
        <v>0.014035087719298246</v>
      </c>
      <c r="F27" s="28" t="n"/>
      <c r="G27" s="68">
        <f>IFERROR(IF(B9="","",'0. Assumptions'!$B$41),"")</f>
        <v>0.0</v>
      </c>
      <c r="H27" s="28" t="n"/>
    </row>
    <row r="28">
      <c r="A28" s="28" t="inlineStr">
        <is>
          <t>Marketing and advertising</t>
        </is>
      </c>
      <c r="B28" s="49" t="n">
        <v>10000</v>
      </c>
      <c r="C28" s="40">
        <f>IFERROR(IF(C9="","",B28*(1+'0. Assumptions'!$B$48)),"")</f>
        <v>10000.0</v>
      </c>
      <c r="D28" s="40">
        <f>IFERROR(IF(D9="","",C28*(1+'0. Assumptions'!$B$48)),"")</f>
        <v>10000.0</v>
      </c>
      <c r="E28" s="68">
        <f>IFERROR(B28/$B$9,"")</f>
        <v>0.023391812865497075</v>
      </c>
      <c r="F28" s="28" t="n"/>
      <c r="G28" s="68">
        <f>IFERROR(IF(B9="","",'0. Assumptions'!$B$41),"")</f>
        <v>0.0</v>
      </c>
      <c r="H28" s="28" t="n"/>
    </row>
    <row r="29">
      <c r="A29" s="28" t="inlineStr">
        <is>
          <t>Accounting / bookkeeping</t>
        </is>
      </c>
      <c r="B29" s="49" t="n">
        <v>3000</v>
      </c>
      <c r="C29" s="40">
        <f>IFERROR(IF(C9="","",B29*(1+'0. Assumptions'!$B$48)),"")</f>
        <v>3000.0</v>
      </c>
      <c r="D29" s="40">
        <f>IFERROR(IF(D9="","",C29*(1+'0. Assumptions'!$B$48)),"")</f>
        <v>3000.0</v>
      </c>
      <c r="E29" s="68">
        <f>IFERROR(B29/$B$9,"")</f>
        <v>0.007017543859649123</v>
      </c>
      <c r="F29" s="28" t="n"/>
      <c r="G29" s="68">
        <f>IFERROR(IF(B9="","",'0. Assumptions'!$B$41),"")</f>
        <v>0.0</v>
      </c>
      <c r="H29" s="28" t="n"/>
    </row>
    <row r="30">
      <c r="A30" s="28" t="inlineStr">
        <is>
          <t>Software (catering / CRM, e-signature, POS, website)</t>
        </is>
      </c>
      <c r="B30" s="49" t="n">
        <v>2400</v>
      </c>
      <c r="C30" s="40">
        <f>IFERROR(IF(C9="","",B30*(1+'0. Assumptions'!$B$48)),"")</f>
        <v>2400.0</v>
      </c>
      <c r="D30" s="40">
        <f>IFERROR(IF(D9="","",C30*(1+'0. Assumptions'!$B$48)),"")</f>
        <v>2400.0</v>
      </c>
      <c r="E30" s="68">
        <f>IFERROR(B30/$B$9,"")</f>
        <v>0.005614035087719298</v>
      </c>
      <c r="F30" s="28" t="n"/>
      <c r="G30" s="68">
        <f>IFERROR(IF(B9="","",'0. Assumptions'!$B$41),"")</f>
        <v>0.0</v>
      </c>
      <c r="H30" s="28" t="n"/>
    </row>
    <row r="31">
      <c r="A31" s="28" t="inlineStr">
        <is>
          <t>Linens, uniforms and cleaning</t>
        </is>
      </c>
      <c r="B31" s="49" t="n">
        <v>2400</v>
      </c>
      <c r="C31" s="40">
        <f>IFERROR(IF(C9="","",B31*(1+'0. Assumptions'!$B$48)),"")</f>
        <v>2400.0</v>
      </c>
      <c r="D31" s="40">
        <f>IFERROR(IF(D9="","",C31*(1+'0. Assumptions'!$B$48)),"")</f>
        <v>2400.0</v>
      </c>
      <c r="E31" s="68">
        <f>IFERROR(B31/$B$9,"")</f>
        <v>0.005614035087719298</v>
      </c>
      <c r="F31" s="28" t="n"/>
      <c r="G31" s="68">
        <f>IFERROR(IF(B9="","",'0. Assumptions'!$B$41),"")</f>
        <v>0.0</v>
      </c>
      <c r="H31" s="28" t="n"/>
    </row>
    <row r="32">
      <c r="A32" s="28" t="inlineStr">
        <is>
          <t>Waste, grease and ash disposal</t>
        </is>
      </c>
      <c r="B32" s="49" t="n">
        <v>1200</v>
      </c>
      <c r="C32" s="40">
        <f>IFERROR(IF(C9="","",B32*(1+'0. Assumptions'!$B$48)),"")</f>
        <v>1200.0</v>
      </c>
      <c r="D32" s="40">
        <f>IFERROR(IF(D9="","",C32*(1+'0. Assumptions'!$B$48)),"")</f>
        <v>1200.0</v>
      </c>
      <c r="E32" s="68">
        <f>IFERROR(B32/$B$9,"")</f>
        <v>0.002807017543859649</v>
      </c>
      <c r="F32" s="28" t="inlineStr">
        <is>
          <t>Licensed hauler for trash, grease and ash. Ask the commissary first: many include pickup in the fee. If yours does not, get a quote in your area. Let ash cool completely and keep it in a metal container with a lid.</t>
        </is>
      </c>
      <c r="G32" s="68">
        <f>IFERROR(IF(B9="","",'0. Assumptions'!$B$41),"")</f>
        <v>0.0</v>
      </c>
      <c r="H32" s="28" t="n"/>
    </row>
    <row r="33">
      <c r="A33" s="28" t="inlineStr">
        <is>
          <t>Smoker &amp; equipment repair</t>
        </is>
      </c>
      <c r="B33" s="49" t="n">
        <v>1500</v>
      </c>
      <c r="C33" s="40">
        <f>IFERROR(IF(C9="","",B33*(1+'0. Assumptions'!$B$48)),"")</f>
        <v>1500.0</v>
      </c>
      <c r="D33" s="40">
        <f>IFERROR(IF(D9="","",C33*(1+'0. Assumptions'!$B$48)),"")</f>
        <v>1500.0</v>
      </c>
      <c r="E33" s="68">
        <f>IFERROR(B33/$B$9,"")</f>
        <v>0.0035087719298245615</v>
      </c>
      <c r="F33" s="28" t="inlineStr">
        <is>
          <t>Repairs for the smoker and your equipment: doors, gaskets, thermometers, and the wheels and lights of the trailer.</t>
        </is>
      </c>
      <c r="G33" s="68">
        <f>IFERROR(IF(B9="","",'0. Assumptions'!$B$41),"")</f>
        <v>0.0</v>
      </c>
      <c r="H33" s="28" t="n"/>
    </row>
    <row r="34">
      <c r="A34" s="28" t="inlineStr">
        <is>
          <t>Food safety training (ServSafe Manager, food handler cards)</t>
        </is>
      </c>
      <c r="B34" s="49" t="n">
        <v>600</v>
      </c>
      <c r="C34" s="40">
        <f>IFERROR(IF(C9="","",B34*(1+'0. Assumptions'!$B$48)),"")</f>
        <v>600.0</v>
      </c>
      <c r="D34" s="40">
        <f>IFERROR(IF(D9="","",C34*(1+'0. Assumptions'!$B$48)),"")</f>
        <v>600.0</v>
      </c>
      <c r="E34" s="68">
        <f>IFERROR(B34/$B$9,"")</f>
        <v>0.0014035087719298245</v>
      </c>
      <c r="F34" s="28" t="inlineStr">
        <is>
          <t>ServSafe Manager (Certified Food Protection Manager) and food handler cards for you and your team, plus their renewals. The required cards vary by state.</t>
        </is>
      </c>
      <c r="G34" s="68">
        <f>IFERROR(IF(B9="","",'0. Assumptions'!$B$41),"")</f>
        <v>0.0</v>
      </c>
      <c r="H34" s="28" t="n"/>
    </row>
    <row r="35">
      <c r="A35" s="28" t="inlineStr">
        <is>
          <t>Tastings for prospects</t>
        </is>
      </c>
      <c r="B35" s="49" t="n">
        <v>2000</v>
      </c>
      <c r="C35" s="40">
        <f>IFERROR(IF(C9="","",B35*(1+'0. Assumptions'!$B$48)),"")</f>
        <v>2000.0</v>
      </c>
      <c r="D35" s="40">
        <f>IFERROR(IF(D9="","",C35*(1+'0. Assumptions'!$B$48)),"")</f>
        <v>2000.0</v>
      </c>
      <c r="E35" s="68">
        <f>IFERROR(B35/$B$9,"")</f>
        <v>0.004678362573099415</v>
      </c>
      <c r="F35" s="28" t="inlineStr">
        <is>
          <t>Food cost and labor for the tastings you offer couples, planners and companies (meat, sides and pit hours). Many caterers charge a fee and credit it toward the booking: if you do, lower this line.</t>
        </is>
      </c>
      <c r="G35" s="68">
        <f>IFERROR(IF(B9="","",'0. Assumptions'!$B$41),"")</f>
        <v>0.0</v>
      </c>
      <c r="H35" s="28" t="n"/>
    </row>
    <row r="36">
      <c r="A36" s="28" t="inlineStr">
        <is>
          <t>Depreciation of fixed assets</t>
        </is>
      </c>
      <c r="B36" s="40">
        <f>IFERROR(IF(B9="","",'Startup Costs'!$B$33),"")</f>
        <v>10511.428571428572</v>
      </c>
      <c r="C36" s="40">
        <f>IFERROR(IF(C9="","",B36),"")</f>
        <v>10511.428571428572</v>
      </c>
      <c r="D36" s="40">
        <f>IFERROR(IF(D9="","",B36),"")</f>
        <v>10511.428571428572</v>
      </c>
      <c r="E36" s="68">
        <f>IFERROR(B36/$B$9,"")</f>
        <v>0.02458813700918964</v>
      </c>
      <c r="F36" s="28" t="inlineStr">
        <is>
          <t>Comes from the depreciation bases on the Startup Costs tab: real fixed assets only. It does NOT rise with inflation: it is a charge on the HISTORICAL cost of the assets</t>
        </is>
      </c>
      <c r="G36" s="68" t="n">
        <v>0</v>
      </c>
      <c r="H36" s="28" t="n"/>
    </row>
    <row r="37">
      <c r="A37" s="28" t="inlineStr">
        <is>
          <t>Interest expense (loan interest)</t>
        </is>
      </c>
      <c r="B37" s="40">
        <f>IFERROR(IF(B9="","",Financing!$B$44),"")</f>
        <v>10100.0</v>
      </c>
      <c r="C37" s="40">
        <f>IFERROR(IF(C9="","",Financing!$B$46),"")</f>
        <v>9035.404453023986</v>
      </c>
      <c r="D37" s="40">
        <f>IFERROR(IF(D9="","",Financing!$B$48),"")</f>
        <v>7864.34935135037</v>
      </c>
      <c r="E37" s="68">
        <f>IFERROR(B37/$B$9,"")</f>
        <v>0.023625730994152046</v>
      </c>
      <c r="F37" s="28" t="inlineStr">
        <is>
          <t>Only INTEREST is an expense. Principal repaid appears on the cash flow tab</t>
        </is>
      </c>
      <c r="G37" s="68" t="n">
        <v>0</v>
      </c>
      <c r="H37" s="28" t="n"/>
    </row>
    <row r="38">
      <c r="A38" s="16" t="inlineStr">
        <is>
          <t>TOTAL FIXED COSTS</t>
        </is>
      </c>
      <c r="B38" s="52">
        <f>IFERROR(IF(B9="","",SUM(B22:B37)),"")</f>
        <v>219993.82857142857</v>
      </c>
      <c r="C38" s="52">
        <f>IFERROR(IF(C9="","",SUM(C22:C37)),"")</f>
        <v>223929.23302445255</v>
      </c>
      <c r="D38" s="52">
        <f>IFERROR(IF(D9="","",SUM(D22:D37)),"")</f>
        <v>227758.17792277894</v>
      </c>
      <c r="E38" s="69">
        <f>IFERROR(B38/$B$9,"")</f>
        <v>0.5146054469507101</v>
      </c>
    </row>
    <row r="39">
      <c r="A39" s="35" t="inlineStr">
        <is>
          <t>Recoverable input tax on variable costs</t>
        </is>
      </c>
      <c r="B39" s="42">
        <f>IFERROR(IF(B9="","",SUMPRODUCT(B13:B18,G13:G18)),"")</f>
        <v>0.0</v>
      </c>
      <c r="C39" s="42">
        <f>IFERROR(IF(C9="","",SUMPRODUCT(C13:C18,G13:G18)),"")</f>
        <v>0.0</v>
      </c>
      <c r="D39" s="42">
        <f>IFERROR(IF(D9="","",SUMPRODUCT(D13:D18,G13:G18)),"")</f>
        <v>0.0</v>
      </c>
      <c r="F39" s="35" t="inlineStr">
        <is>
          <t>Each line at ITS OWN rate, read from the column next to it. It is what the cash flow tab overpays to suppliers and later deducts (zero wherever no tax is recoverable)</t>
        </is>
      </c>
    </row>
    <row r="40">
      <c r="A40" s="35" t="inlineStr">
        <is>
          <t>Recoverable input tax on fixed costs</t>
        </is>
      </c>
      <c r="B40" s="42">
        <f>IFERROR(IF(B9="","",SUMPRODUCT(B22:B37,G22:G37)),"")</f>
        <v>0.0</v>
      </c>
      <c r="C40" s="42">
        <f>IFERROR(IF(C9="","",SUMPRODUCT(C22:C37,G22:G37)),"")</f>
        <v>0.0</v>
      </c>
      <c r="D40" s="42">
        <f>IFERROR(IF(D9="","",SUMPRODUCT(D22:D37,G22:G37)),"")</f>
        <v>0.0</v>
      </c>
    </row>
    <row r="41">
      <c r="A41" s="16" t="inlineStr">
        <is>
          <t>PRE-TAX INCOME (EBT)</t>
        </is>
      </c>
      <c r="B41" s="52">
        <f>IFERROR(IF(B9="","",B20-B38),"")</f>
        <v>39755.1714285714</v>
      </c>
      <c r="C41" s="52">
        <f>IFERROR(IF(C9="","",C20-C38),"")</f>
        <v>66989.64697554745</v>
      </c>
      <c r="D41" s="52">
        <f>IFERROR(IF(D9="","",D20-D38),"")</f>
        <v>86434.21247722115</v>
      </c>
      <c r="E41" s="69">
        <f>IFERROR(B41/$B$9,"")</f>
        <v>0.09299455304928982</v>
      </c>
    </row>
    <row r="42">
      <c r="A42" s="35" t="inlineStr">
        <is>
          <t>Net operating losses carried forward (opening)</t>
        </is>
      </c>
      <c r="B42" s="42">
        <f>IFERROR(IF(B9="","",'0. Assumptions'!$B$42),"")</f>
        <v>0.0</v>
      </c>
      <c r="C42" s="42">
        <f>IFERROR(IF(C9="","",B47),"")</f>
        <v>0.0</v>
      </c>
      <c r="D42" s="42">
        <f>IFERROR(IF(D9="","",C47),"")</f>
        <v>0.0</v>
      </c>
      <c r="F42" s="35" t="inlineStr">
        <is>
          <t>Federal rules let a year's losses offset the profits of later years (the federal limit is 80% of taxable income; this model offsets 100% as a simplification)</t>
        </is>
      </c>
    </row>
    <row r="43">
      <c r="A43" s="35" t="inlineStr">
        <is>
          <t>Taxable income (after loss offset)</t>
        </is>
      </c>
      <c r="B43" s="42">
        <f>IFERROR(IF(B9="","",MAX(0,B41-B42)),"")</f>
        <v>39755.1714285714</v>
      </c>
      <c r="C43" s="42">
        <f>IFERROR(IF(C9="","",MAX(0,C41-C42)),"")</f>
        <v>66989.64697554745</v>
      </c>
      <c r="D43" s="42">
        <f>IFERROR(IF(D9="","",MAX(0,D41-D42)),"")</f>
        <v>86434.21247722115</v>
      </c>
    </row>
    <row r="44">
      <c r="A44" s="35" t="inlineStr">
        <is>
          <t>Years with positive taxable income (cumulative)</t>
        </is>
      </c>
      <c r="B44" s="42">
        <f>IFERROR(IF(B9="","",IF(B43&gt;0,1,0)),"")</f>
        <v>1.0</v>
      </c>
      <c r="C44" s="42">
        <f>IFERROR(IF(C9="","",B44+IF(C43&gt;0,1,0)),"")</f>
        <v>2.0</v>
      </c>
      <c r="D44" s="42">
        <f>IFERROR(IF(D9="","",C44+IF(D43&gt;0,1,0)),"")</f>
        <v>3.0</v>
      </c>
    </row>
    <row r="45">
      <c r="A45" s="35" t="inlineStr">
        <is>
          <t>Effective income tax rate applied</t>
        </is>
      </c>
      <c r="B45" s="65">
        <f>IFERROR(IF(B9="","",IF(B43&lt;=0,"",IF(B44&lt;=2,'0. Assumptions'!$B$37,'0. Assumptions'!$B$38))),"")</f>
        <v>0.25</v>
      </c>
      <c r="C45" s="65">
        <f>IFERROR(IF(C9="","",IF(C43&lt;=0,"",IF(C44&lt;=2,'0. Assumptions'!$B$37,'0. Assumptions'!$B$38))),"")</f>
        <v>0.25</v>
      </c>
      <c r="D45" s="65">
        <f>IFERROR(IF(D9="","",IF(D43&lt;=0,"",IF(D44&lt;=2,'0. Assumptions'!$B$37,'0. Assumptions'!$B$38))),"")</f>
        <v>0.25</v>
      </c>
      <c r="F45" s="35" t="inlineStr">
        <is>
          <t>The "years 1-2" rate applies to the first two years with positive taxable income, not to the first two calendar years of the business. The model approximates this by counting the first two profitable years</t>
        </is>
      </c>
    </row>
    <row r="46">
      <c r="A46" s="35" t="inlineStr">
        <is>
          <t>Income tax</t>
        </is>
      </c>
      <c r="B46" s="42">
        <f>IFERROR(IF(B9="","",IF(B45="",0,B43*B45)),"")</f>
        <v>9938.79285714285</v>
      </c>
      <c r="C46" s="42">
        <f>IFERROR(IF(C9="","",IF(C45="",0,C43*C45)),"")</f>
        <v>16747.411743886863</v>
      </c>
      <c r="D46" s="42">
        <f>IFERROR(IF(D9="","",IF(D45="",0,D43*D45)),"")</f>
        <v>21608.55311930529</v>
      </c>
    </row>
    <row r="47">
      <c r="A47" s="35" t="inlineStr">
        <is>
          <t>Net operating losses carried forward (closing)</t>
        </is>
      </c>
      <c r="B47" s="42">
        <f>IFERROR(IF(B9="","",MAX(0,B42-B41)),"")</f>
        <v>0.0</v>
      </c>
      <c r="C47" s="42">
        <f>IFERROR(IF(C9="","",MAX(0,C42-C41)),"")</f>
        <v>0.0</v>
      </c>
      <c r="D47" s="42">
        <f>IFERROR(IF(D9="","",MAX(0,D42-D41)),"")</f>
        <v>0.0</v>
      </c>
    </row>
    <row r="48">
      <c r="A48" s="16" t="inlineStr">
        <is>
          <t>NET INCOME</t>
        </is>
      </c>
      <c r="B48" s="52">
        <f>IFERROR(IF(B9="","",B41-B46),"")</f>
        <v>29816.378571428548</v>
      </c>
      <c r="C48" s="52">
        <f>IFERROR(IF(C9="","",C41-C46),"")</f>
        <v>50242.23523166059</v>
      </c>
      <c r="D48" s="52">
        <f>IFERROR(IF(D9="","",D41-D46),"")</f>
        <v>64825.659357915865</v>
      </c>
      <c r="E48" s="69">
        <f>IFERROR(B48/$B$9,"")</f>
        <v>0.06974591478696736</v>
      </c>
    </row>
    <row r="49">
      <c r="A49" s="16" t="inlineStr">
        <is>
          <t>KEY RATIOS</t>
        </is>
      </c>
    </row>
    <row r="50">
      <c r="A50" s="16" t="inlineStr">
        <is>
          <t>Ratio</t>
        </is>
      </c>
      <c r="B50" s="16" t="inlineStr">
        <is>
          <t>Year 1</t>
        </is>
      </c>
      <c r="C50" s="16" t="inlineStr">
        <is>
          <t>Year 2</t>
        </is>
      </c>
      <c r="D50" s="16" t="inlineStr">
        <is>
          <t>Year 3</t>
        </is>
      </c>
      <c r="E50" s="16" t="inlineStr">
        <is>
          <t>Threshold</t>
        </is>
      </c>
      <c r="F50" s="16" t="inlineStr">
        <is>
          <t>Comment</t>
        </is>
      </c>
    </row>
    <row r="51">
      <c r="A51" s="35" t="inlineStr">
        <is>
          <t>Gross margin / Sales</t>
        </is>
      </c>
      <c r="B51" s="65">
        <f>IFERROR(IF(B9="","",B20/B9),"")</f>
        <v>0.6075999999999999</v>
      </c>
      <c r="C51" s="65">
        <f>IFERROR(IF(C9="","",C20/C9),"")</f>
        <v>0.6075999999999999</v>
      </c>
      <c r="D51" s="65">
        <f>IFERROR(IF(D9="","",D20/D9),"")</f>
        <v>0.6075999999999999</v>
      </c>
      <c r="E51" s="70" t="n">
        <v>0.58</v>
      </c>
      <c r="F51" s="35" t="inlineStr">
        <is>
          <t>Floor set by this workbook: kit benchmark (editable estimate). The workbook's gross margin also subtracts card fees, marketplace commissions and miscellaneous costs, so the floor sits below the 65-70% that caterer pricing guides quote on food cost alone.</t>
        </is>
      </c>
    </row>
    <row r="52">
      <c r="A52" s="35" t="inlineStr">
        <is>
          <t>Cost of goods sold (BBQ packages + add-ons)</t>
        </is>
      </c>
      <c r="B52" s="42">
        <f>IFERROR(IF(B9="","",B13+B14),"")</f>
        <v>123291.00000000001</v>
      </c>
      <c r="C52" s="42">
        <f>IFERROR(IF(C9="","",C13+C14),"")</f>
        <v>138085.92</v>
      </c>
      <c r="D52" s="42">
        <f>IFERROR(IF(D9="","",D13+D14),"")</f>
        <v>149132.79360000006</v>
      </c>
    </row>
    <row r="53">
      <c r="A53" s="35" t="inlineStr">
        <is>
          <t>Cost of goods sold / Sales</t>
        </is>
      </c>
      <c r="B53" s="65">
        <f>IFERROR(IF(B9="","",B52/B9),"")</f>
        <v>0.28840000000000005</v>
      </c>
      <c r="C53" s="65">
        <f>IFERROR(IF(C9="","",C52/C9),"")</f>
        <v>0.2884</v>
      </c>
      <c r="D53" s="65">
        <f>IFERROR(IF(D9="","",D52/D9),"")</f>
        <v>0.28840000000000005</v>
      </c>
      <c r="E53" s="70" t="n">
        <v>0.35</v>
      </c>
      <c r="F53" s="35" t="inlineStr">
        <is>
          <t>Ceiling for cost of goods (disposables, wood and cooking fuel have their own line): kit benchmark (editable estimate), based on the 28-35% food cost range for caterers in the benchmarks table.</t>
        </is>
      </c>
    </row>
    <row r="54">
      <c r="A54" s="35" t="inlineStr">
        <is>
          <t>Labor cost / Sales</t>
        </is>
      </c>
      <c r="B54" s="65">
        <f>IFERROR(IF(B9="","",B23/B9),"")</f>
        <v>0.32674245614035086</v>
      </c>
      <c r="C54" s="65">
        <f>IFERROR(IF(C9="","",C23/C9),"")</f>
        <v>0.30217710944026727</v>
      </c>
      <c r="D54" s="65">
        <f>IFERROR(IF(D9="","",D23/D9),"")</f>
        <v>0.2894628546675329</v>
      </c>
      <c r="E54" s="70" t="n">
        <v>0.38</v>
      </c>
      <c r="F54" s="35" t="inlineStr">
        <is>
          <t>Ceiling: kit benchmark (editable estimate), above the 25-35% labor range that pricing guides report because it includes the owner/pitmaster's own pay.</t>
        </is>
      </c>
    </row>
    <row r="55">
      <c r="A55" s="35" t="inlineStr">
        <is>
          <t>Commissary &amp; parking / Sales</t>
        </is>
      </c>
      <c r="B55" s="65">
        <f>IFERROR(IF(B9="","",B22/B9),"")</f>
        <v>0.05052631578947368</v>
      </c>
      <c r="C55" s="65">
        <f>IFERROR(IF(C9="","",C22/C9),"")</f>
        <v>0.045112781954887216</v>
      </c>
      <c r="D55" s="65">
        <f>IFERROR(IF(D9="","",D22/D9),"")</f>
        <v>0.041771094402673334</v>
      </c>
      <c r="E55" s="70" t="n">
        <v>0.07000000000000001</v>
      </c>
      <c r="F55" s="35" t="inlineStr">
        <is>
          <t>There is no storefront rent in this workbook: 7% is a prudent ceiling for the commissary kitchen and smoker trailer parking, a kit benchmark (editable estimate). A business with its own fixed kitchen carries a much higher occupancy cost.</t>
        </is>
      </c>
    </row>
    <row r="56">
      <c r="A56" s="35" t="inlineStr">
        <is>
          <t>Net income / Sales</t>
        </is>
      </c>
      <c r="B56" s="65">
        <f>IFERROR(IF(B9="","",B48/B9),"")</f>
        <v>0.06974591478696736</v>
      </c>
      <c r="C56" s="65">
        <f>IFERROR(IF(C9="","",C48/C9),"")</f>
        <v>0.10493365754315076</v>
      </c>
      <c r="D56" s="65">
        <f>IFERROR(IF(D9="","",D48/D9),"")</f>
        <v>0.12536290447940035</v>
      </c>
      <c r="E56" s="70" t="n">
        <v>0.05</v>
      </c>
      <c r="F56" s="35" t="inlineStr">
        <is>
          <t>Floor of 5%: a kit benchmark (editable estimate), a little below the 7-8% average net margin that caterers report (itsacheckmate.com). A new business with a loan to repay starts lower.</t>
        </is>
      </c>
    </row>
    <row r="57">
      <c r="A57" s="35" t="inlineStr">
        <is>
          <t>Break-even reached</t>
        </is>
      </c>
      <c r="B57" t="str">
        <f>IFERROR(IF(B9="","",IF(B9&gt;='Break-Even'!$B$16,"Yes","No")),"")</f>
        <v>Yes</v>
      </c>
      <c r="C57" t="str">
        <f>IFERROR(IF(C9="","",IF(C9&gt;='Break-Even'!$C$16,"Yes","No")),"")</f>
        <v>Yes</v>
      </c>
      <c r="D57" t="str">
        <f>IFERROR(IF(D9="","",IF(D9&gt;='Break-Even'!$D$16,"Yes","No")),"")</f>
        <v>Yes</v>
      </c>
      <c r="F57" s="35" t="inlineStr">
        <is>
          <t>Compares each year's sales with that same year's threshold, which the Break-Even tab calculates with that year's fixed costs</t>
        </is>
      </c>
    </row>
    <row r="59" ht="165" customHeight="1">
      <c r="A59" s="17" t="inlineStr">
        <is>
          <t>All figures are EXCL. SALES TAX. Years 2 and 3 are in year-1 prices unless you raise cost inflation in the "0. Assumptions" tab. The "Sales tax rate on the line (%)" column shows, on SALES lines, the rate collected on each one and, on COST lines, the rate paid on that item. The cash flow tab reads it: insurance and card fees carry no sales tax, and wages, depreciation and interest carry none either.</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1:D51">
    <cfRule type="expression" priority="1" dxfId="1" stopIfTrue="1">
      <formula>AND(ISNUMBER(B51),B51&lt;$E$51)</formula>
    </cfRule>
    <cfRule type="expression" priority="2" dxfId="0" stopIfTrue="1">
      <formula>AND(ISNUMBER(B51),B51&gt;=$E$51)</formula>
    </cfRule>
  </conditionalFormatting>
  <conditionalFormatting sqref="B53:D53">
    <cfRule type="expression" priority="3" dxfId="1" stopIfTrue="1">
      <formula>AND(ISNUMBER(B53),B53&gt;$E$53)</formula>
    </cfRule>
    <cfRule type="expression" priority="4" dxfId="0" stopIfTrue="1">
      <formula>AND(ISNUMBER(B53),B53&lt;=$E$53)</formula>
    </cfRule>
  </conditionalFormatting>
  <conditionalFormatting sqref="B54:D54">
    <cfRule type="expression" priority="5" dxfId="1" stopIfTrue="1">
      <formula>AND(ISNUMBER(B54),B54&gt;$E$54)</formula>
    </cfRule>
    <cfRule type="expression" priority="6" dxfId="0" stopIfTrue="1">
      <formula>AND(ISNUMBER(B54),B54&lt;=$E$54)</formula>
    </cfRule>
  </conditionalFormatting>
  <conditionalFormatting sqref="B55:D55">
    <cfRule type="expression" priority="7" dxfId="1" stopIfTrue="1">
      <formula>AND(ISNUMBER(B55),B55&gt;$E$55)</formula>
    </cfRule>
    <cfRule type="expression" priority="8" dxfId="0" stopIfTrue="1">
      <formula>AND(ISNUMBER(B55),B55&lt;=$E$55)</formula>
    </cfRule>
  </conditionalFormatting>
  <conditionalFormatting sqref="B56:D56">
    <cfRule type="expression" priority="9" dxfId="1" stopIfTrue="1">
      <formula>AND(ISNUMBER(B56),B56&lt;$E$56)</formula>
    </cfRule>
    <cfRule type="expression" priority="10" dxfId="0" stopIfTrue="1">
      <formula>AND(ISNUMBER(B56),B56&gt;=$E$56)</formula>
    </cfRule>
  </conditionalFormatting>
  <conditionalFormatting sqref="B57:D57">
    <cfRule type="containsText" priority="11" operator="containsText" dxfId="0" stopIfTrue="1" text="Yes">
      <formula>NOT(ISERROR(SEARCH("Yes",B57)))</formula>
    </cfRule>
    <cfRule type="containsText" priority="12" operator="containsText" dxfId="1" stopIfTrue="1" text="No">
      <formula>NOT(ISERROR(SEARCH("No",B57)))</formula>
    </cfRule>
  </conditionalFormatting>
  <conditionalFormatting sqref="B41:E41">
    <cfRule type="expression" priority="13" dxfId="1" stopIfTrue="1">
      <formula>AND(ISNUMBER(B41),B41&lt;0)</formula>
    </cfRule>
    <cfRule type="expression" priority="14" dxfId="0" stopIfTrue="1">
      <formula>AND(ISNUMBER(B41),B41&gt;0)</formula>
    </cfRule>
  </conditionalFormatting>
  <conditionalFormatting sqref="B48:E48">
    <cfRule type="expression" priority="15" dxfId="1" stopIfTrue="1">
      <formula>AND(ISNUMBER(B48),B48&lt;0)</formula>
    </cfRule>
    <cfRule type="expression" priority="16" dxfId="0" stopIfTrue="1">
      <formula>AND(ISNUMBER(B48),B48&gt;0)</formula>
    </cfRule>
  </conditionalFormatting>
  <conditionalFormatting sqref="B56:E56">
    <cfRule type="expression" priority="17" dxfId="1" stopIfTrue="1">
      <formula>AND(ISNUMBER(B56),B56&lt;0)</formula>
    </cfRule>
    <cfRule type="expression" priority="18" dxfId="0" stopIfTrue="1">
      <formula>AND(ISNUMBER(B56),B56&gt;0)</formula>
    </cfRule>
  </conditionalFormatting>
  <dataValidations count="2">
    <dataValidation sqref="B26 B27 B28 B29 B30 B31 B32 B33 B34 B35" showDropDown="0" showInputMessage="0" showErrorMessage="1" allowBlank="1" errorTitle="Invalid amount" error="Enter a number greater than or equal to 0." type="decimal" operator="greaterThanOrEqual">
      <formula1>0</formula1>
    </dataValidation>
    <dataValidation sqref="E51 E53 E54 E55 E56"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36"/>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BREAK-EVEN ANALYSIS</t>
        </is>
      </c>
    </row>
    <row r="2">
      <c r="A2" s="3" t="inlineStr">
        <is>
          <t>Break-even — BBQ Catering</t>
        </is>
      </c>
    </row>
    <row r="4">
      <c r="A4" s="25" t="inlineStr">
        <is>
          <t>Variable</t>
        </is>
      </c>
      <c r="B4" s="25" t="inlineStr">
        <is>
          <t>Year 1</t>
        </is>
      </c>
      <c r="C4" s="25" t="inlineStr">
        <is>
          <t>Year 2</t>
        </is>
      </c>
      <c r="D4" s="25" t="inlineStr">
        <is>
          <t>Year 3</t>
        </is>
      </c>
      <c r="E4" s="25" t="inlineStr">
        <is>
          <t>Notes</t>
        </is>
      </c>
      <c r="F4" s="28" t="n"/>
    </row>
    <row r="5">
      <c r="A5" s="25" t="inlineStr">
        <is>
          <t>BASE DATA BY YEAR</t>
        </is>
      </c>
      <c r="B5" s="28" t="n"/>
      <c r="C5" s="28" t="n"/>
      <c r="D5" s="28" t="n"/>
      <c r="E5" s="28" t="n"/>
      <c r="F5" s="28" t="n"/>
    </row>
    <row r="6">
      <c r="A6" s="28" t="inlineStr">
        <is>
          <t>Annual fixed costs</t>
        </is>
      </c>
      <c r="B6" s="61">
        <f>IFERROR(IF('3-Year P&amp;L'!$B$9="","",'3-Year P&amp;L'!$B$38),"")</f>
        <v>219993.82857142857</v>
      </c>
      <c r="C6" s="61">
        <f>IFERROR(IF('3-Year P&amp;L'!$C$9="","",'3-Year P&amp;L'!$C$38),"")</f>
        <v>223929.23302445255</v>
      </c>
      <c r="D6" s="61">
        <f>IFERROR(IF('3-Year P&amp;L'!$D$9="","",'3-Year P&amp;L'!$D$38),"")</f>
        <v>227758.17792277894</v>
      </c>
      <c r="E6" s="28" t="inlineStr">
        <is>
          <t>The SAME fixed costs as the P&amp;L. Each year has its own, which is why the threshold cannot be a single one for all three years</t>
        </is>
      </c>
      <c r="F6" s="28" t="n"/>
    </row>
    <row r="7">
      <c r="A7" s="28" t="inlineStr">
        <is>
          <t>Monthly fixed costs</t>
        </is>
      </c>
      <c r="B7" s="61">
        <f>IFERROR(IF('3-Year P&amp;L'!$B$9="","",B6/12),"")</f>
        <v>18332.819047619047</v>
      </c>
      <c r="C7" s="61">
        <f>IFERROR(IF('3-Year P&amp;L'!$C$9="","",C6/12),"")</f>
        <v>18660.769418704378</v>
      </c>
      <c r="D7" s="61">
        <f>IFERROR(IF('3-Year P&amp;L'!$D$9="","",D6/12),"")</f>
        <v>18979.848160231577</v>
      </c>
      <c r="E7" s="28" t="n"/>
      <c r="F7" s="28" t="n"/>
    </row>
    <row r="8">
      <c r="A8" s="28" t="inlineStr">
        <is>
          <t>Average price per guest (excl. sales tax)</t>
        </is>
      </c>
      <c r="B8" s="61">
        <f>IFERROR(IF('3-Year P&amp;L'!$B$9="","",'3-Year P&amp;L'!$B$7),"")</f>
        <v>38.0</v>
      </c>
      <c r="C8" s="61">
        <f>IFERROR(IF('3-Year P&amp;L'!$C$9="","",'3-Year P&amp;L'!$C$7),"")</f>
        <v>38.0</v>
      </c>
      <c r="D8" s="61">
        <f>IFERROR(IF('3-Year P&amp;L'!$D$9="","",'3-Year P&amp;L'!$D$7),"")</f>
        <v>38.0</v>
      </c>
      <c r="E8" s="28" t="n"/>
      <c r="F8" s="28" t="n"/>
    </row>
    <row r="9">
      <c r="A9" s="28" t="inlineStr">
        <is>
          <t>Variable cost per guest</t>
        </is>
      </c>
      <c r="B9" s="61">
        <f>IFERROR(IF('3-Year P&amp;L'!$B$9="","",'3-Year P&amp;L'!$B$19/('3-Year P&amp;L'!$B$6*'3-Year P&amp;L'!$B$8)),"")</f>
        <v>14.911200000000003</v>
      </c>
      <c r="C9" s="61">
        <f>IFERROR(IF('3-Year P&amp;L'!$C$9="","",'3-Year P&amp;L'!$C$19/('3-Year P&amp;L'!$C$6*'3-Year P&amp;L'!$C$8)),"")</f>
        <v>14.9112</v>
      </c>
      <c r="D9" s="61">
        <f>IFERROR(IF('3-Year P&amp;L'!$D$9="","",'3-Year P&amp;L'!$D$19/('3-Year P&amp;L'!$D$6*'3-Year P&amp;L'!$D$8)),"")</f>
        <v>14.911200000000003</v>
      </c>
      <c r="E9" s="28" t="inlineStr">
        <is>
          <t>Comes from the P&amp;L total variable costs, not from a separate estimate. It includes miscellaneous and contingency, which is a percentage of sales</t>
        </is>
      </c>
      <c r="F9" s="28" t="n"/>
    </row>
    <row r="10">
      <c r="A10" s="28" t="inlineStr">
        <is>
          <t>Contribution margin per guest</t>
        </is>
      </c>
      <c r="B10" s="61">
        <f>IFERROR(IF('3-Year P&amp;L'!$B$9="","",B8-B9),"")</f>
        <v>23.0888</v>
      </c>
      <c r="C10" s="61">
        <f>IFERROR(IF('3-Year P&amp;L'!$C$9="","",C8-C9),"")</f>
        <v>23.0888</v>
      </c>
      <c r="D10" s="61">
        <f>IFERROR(IF('3-Year P&amp;L'!$D$9="","",D8-D9),"")</f>
        <v>23.0888</v>
      </c>
      <c r="E10" s="28" t="inlineStr">
        <is>
          <t>Price per guest minus variable cost per guest</t>
        </is>
      </c>
      <c r="F10" s="28" t="n"/>
    </row>
    <row r="11">
      <c r="A11" s="28" t="inlineStr">
        <is>
          <t>Average guests per event</t>
        </is>
      </c>
      <c r="B11" s="40">
        <f>IFERROR(IF('3-Year P&amp;L'!$B$9="","",'3-Year P&amp;L'!$B$8),"")</f>
        <v>75.0</v>
      </c>
      <c r="C11" s="40">
        <f>IFERROR(IF('3-Year P&amp;L'!$C$9="","",'3-Year P&amp;L'!$C$8),"")</f>
        <v>75.0</v>
      </c>
      <c r="D11" s="40">
        <f>IFERROR(IF('3-Year P&amp;L'!$D$9="","",'3-Year P&amp;L'!$D$8),"")</f>
        <v>75.0</v>
      </c>
      <c r="E11" s="28" t="inlineStr">
        <is>
          <t>The same calendar as the P&amp;L and the scenarios</t>
        </is>
      </c>
      <c r="F11" s="28" t="n"/>
    </row>
    <row r="12">
      <c r="A12" s="28" t="inlineStr">
        <is>
          <t>Principal repaid in the year</t>
        </is>
      </c>
      <c r="B12" s="61">
        <f>IFERROR(IF('3-Year P&amp;L'!$B$9="","",Financing!$B$45),"")</f>
        <v>10645.955469760149</v>
      </c>
      <c r="C12" s="61">
        <f>IFERROR(IF('3-Year P&amp;L'!$C$9="","",Financing!$B$47),"")</f>
        <v>11710.551016736163</v>
      </c>
      <c r="D12" s="61">
        <f>IFERROR(IF('3-Year P&amp;L'!$D$9="","",Financing!$B$49),"")</f>
        <v>12881.606118409778</v>
      </c>
      <c r="E12" s="28" t="inlineStr">
        <is>
          <t>Principal is NOT a P&amp;L expense, but it leaves the cash account. Without it, the published break-even threshold would sit below the real one</t>
        </is>
      </c>
      <c r="F12" s="28" t="n"/>
    </row>
    <row r="13">
      <c r="A13" s="25" t="inlineStr">
        <is>
          <t>ACCOUNTING BREAK-EVEN (includes depreciation)</t>
        </is>
      </c>
      <c r="B13" s="28" t="n"/>
      <c r="C13" s="28" t="n"/>
      <c r="D13" s="28" t="n"/>
      <c r="E13" s="28" t="n"/>
      <c r="F13" s="28" t="n"/>
    </row>
    <row r="14">
      <c r="A14" s="28" t="inlineStr">
        <is>
          <t>Guests needed per year</t>
        </is>
      </c>
      <c r="B14" s="40">
        <f>IFERROR(IF('3-Year P&amp;L'!$B$9="","",IF(B10&lt;=0,"",B6/B10)),"")</f>
        <v>9528.162077346098</v>
      </c>
      <c r="C14" s="40">
        <f>IFERROR(IF('3-Year P&amp;L'!$C$9="","",IF(C10&lt;=0,"",C6/C10)),"")</f>
        <v>9698.608547193988</v>
      </c>
      <c r="D14" s="40">
        <f>IFERROR(IF('3-Year P&amp;L'!$D$9="","",IF(D10&lt;=0,"",D6/D10)),"")</f>
        <v>9864.44414273496</v>
      </c>
      <c r="E14" s="28" t="n"/>
      <c r="F14" s="28" t="n"/>
    </row>
    <row r="15">
      <c r="A15" s="28" t="inlineStr">
        <is>
          <t>Events needed per year</t>
        </is>
      </c>
      <c r="B15" s="44">
        <f>IFERROR(IF('3-Year P&amp;L'!$B$9="","",B14/B11),"")</f>
        <v>127.04216103128131</v>
      </c>
      <c r="C15" s="44">
        <f>IFERROR(IF('3-Year P&amp;L'!$C$9="","",C14/C11),"")</f>
        <v>129.31478062925316</v>
      </c>
      <c r="D15" s="44">
        <f>IFERROR(IF('3-Year P&amp;L'!$D$9="","",D14/D11),"")</f>
        <v>131.5259219031328</v>
      </c>
      <c r="E15" s="28" t="n"/>
      <c r="F15" s="28" t="n"/>
    </row>
    <row r="16">
      <c r="A16" s="25" t="inlineStr">
        <is>
          <t>Revenue needed per year</t>
        </is>
      </c>
      <c r="B16" s="66">
        <f>IFERROR(IF('3-Year P&amp;L'!$B$9="","",B14*B8),"")</f>
        <v>362070.15893915173</v>
      </c>
      <c r="C16" s="66">
        <f>IFERROR(IF('3-Year P&amp;L'!$C$9="","",C14*C8),"")</f>
        <v>368547.12479337153</v>
      </c>
      <c r="D16" s="66">
        <f>IFERROR(IF('3-Year P&amp;L'!$D$9="","",D14*D8),"")</f>
        <v>374848.87742392847</v>
      </c>
      <c r="E16" s="28" t="n"/>
      <c r="F16" s="28" t="n"/>
    </row>
    <row r="17">
      <c r="A17" s="25" t="inlineStr">
        <is>
          <t>CASH BREAK-EVEN (loan payments in, depreciation out)</t>
        </is>
      </c>
      <c r="B17" s="28" t="n"/>
      <c r="C17" s="28" t="n"/>
      <c r="D17" s="28" t="n"/>
      <c r="E17" s="28" t="n"/>
      <c r="F17" s="28" t="n"/>
    </row>
    <row r="18">
      <c r="A18" s="28" t="inlineStr">
        <is>
          <t>Cash fixed costs + principal repaid for the year</t>
        </is>
      </c>
      <c r="B18" s="61">
        <f>IFERROR(IF('3-Year P&amp;L'!$B$9="","",B6-'3-Year P&amp;L'!$B$36+B12),"")</f>
        <v>220128.35546976014</v>
      </c>
      <c r="C18" s="61">
        <f>IFERROR(IF('3-Year P&amp;L'!$C$9="","",C6-'3-Year P&amp;L'!$C$36+C12),"")</f>
        <v>225128.35546976014</v>
      </c>
      <c r="D18" s="61">
        <f>IFERROR(IF('3-Year P&amp;L'!$D$9="","",D6-'3-Year P&amp;L'!$D$36+D12),"")</f>
        <v>230128.35546976014</v>
      </c>
      <c r="E18" s="28" t="inlineStr">
        <is>
          <t>The P&amp;L fixed costs without depreciation (which is not paid in cash) and WITH principal repaid (which is). This is the threshold that decides whether cash holds up</t>
        </is>
      </c>
      <c r="F18" s="28" t="n"/>
    </row>
    <row r="19">
      <c r="A19" s="28" t="inlineStr">
        <is>
          <t>Guests needed per year (cash)</t>
        </is>
      </c>
      <c r="B19" s="40">
        <f>IFERROR(IF('3-Year P&amp;L'!$B$9="","",IF(B10&lt;=0,"",B18/B10)),"")</f>
        <v>9533.98857756835</v>
      </c>
      <c r="C19" s="40">
        <f>IFERROR(IF('3-Year P&amp;L'!$C$9="","",IF(C10&lt;=0,"",C18/C10)),"")</f>
        <v>9750.543790485437</v>
      </c>
      <c r="D19" s="40">
        <f>IFERROR(IF('3-Year P&amp;L'!$D$9="","",IF(D10&lt;=0,"",D18/D10)),"")</f>
        <v>9967.099003402522</v>
      </c>
      <c r="E19" s="28" t="n"/>
      <c r="F19" s="28" t="n"/>
    </row>
    <row r="20">
      <c r="A20" s="25" t="inlineStr">
        <is>
          <t>Events needed per year (cash)</t>
        </is>
      </c>
      <c r="B20" s="45">
        <f>IFERROR(IF('3-Year P&amp;L'!$B$9="","",B19/B11),"")</f>
        <v>127.11984770091134</v>
      </c>
      <c r="C20" s="45">
        <f>IFERROR(IF('3-Year P&amp;L'!$C$9="","",C19/C11),"")</f>
        <v>130.00725053980582</v>
      </c>
      <c r="D20" s="45">
        <f>IFERROR(IF('3-Year P&amp;L'!$D$9="","",D19/D11),"")</f>
        <v>132.8946533787003</v>
      </c>
      <c r="E20" s="28" t="n"/>
      <c r="F20" s="28" t="n"/>
    </row>
    <row r="21">
      <c r="A21" s="28" t="inlineStr">
        <is>
          <t>Revenue needed per year (cash)</t>
        </is>
      </c>
      <c r="B21" s="40">
        <f>IFERROR(IF('3-Year P&amp;L'!$B$9="","",B19*B8),"")</f>
        <v>362291.5659475973</v>
      </c>
      <c r="C21" s="40">
        <f>IFERROR(IF('3-Year P&amp;L'!$C$9="","",C19*C8),"")</f>
        <v>370520.6640384466</v>
      </c>
      <c r="D21" s="40">
        <f>IFERROR(IF('3-Year P&amp;L'!$D$9="","",D19*D8),"")</f>
        <v>378749.76212929585</v>
      </c>
      <c r="E21" s="28" t="n"/>
      <c r="F21" s="28" t="n"/>
    </row>
    <row r="22">
      <c r="A22" s="25" t="inlineStr">
        <is>
          <t>COMPARISON WITH THE PLAN</t>
        </is>
      </c>
      <c r="B22" s="28" t="n"/>
      <c r="C22" s="28" t="n"/>
      <c r="D22" s="28" t="n"/>
      <c r="E22" s="28" t="n"/>
      <c r="F22" s="28" t="n"/>
    </row>
    <row r="23">
      <c r="A23" s="28" t="inlineStr">
        <is>
          <t>Events per year in the plan</t>
        </is>
      </c>
      <c r="B23" s="40">
        <f>IFERROR(IF('3-Year P&amp;L'!$B$9="","",'3-Year P&amp;L'!$B$6),"")</f>
        <v>150.0</v>
      </c>
      <c r="C23" s="40">
        <f>IFERROR(IF('3-Year P&amp;L'!$C$9="","",'3-Year P&amp;L'!$C$6),"")</f>
        <v>168.00000000000003</v>
      </c>
      <c r="D23" s="40">
        <f>IFERROR(IF('3-Year P&amp;L'!$D$9="","",'3-Year P&amp;L'!$D$6),"")</f>
        <v>181.44000000000005</v>
      </c>
      <c r="E23" s="28" t="n"/>
      <c r="F23" s="28" t="n"/>
    </row>
    <row r="24">
      <c r="A24" s="28" t="inlineStr">
        <is>
          <t>Cushion above CASH break-even (%)</t>
        </is>
      </c>
      <c r="B24" s="68">
        <f>IFERROR(IF('3-Year P&amp;L'!$B$9="","",B23/B20-1),"")</f>
        <v>0.17998882718079767</v>
      </c>
      <c r="C24" s="68">
        <f>IFERROR(IF('3-Year P&amp;L'!$C$9="","",C23/C20-1),"")</f>
        <v>0.2922356199553773</v>
      </c>
      <c r="D24" s="68">
        <f>IFERROR(IF('3-Year P&amp;L'!$D$9="","",D23/D20-1),"")</f>
        <v>0.3652919465688631</v>
      </c>
      <c r="E24" s="28" t="inlineStr">
        <is>
          <t>How far the plan sits above the cash break-even (plan ÷ break-even − 1); the drop you can absorb is 1 − break-even ÷ plan. The required minimum is set in the "0. Assumptions" tab</t>
        </is>
      </c>
      <c r="F24" s="28" t="n"/>
    </row>
    <row r="25">
      <c r="A25" s="25" t="inlineStr">
        <is>
          <t>INTERPRETATION</t>
        </is>
      </c>
      <c r="B25" s="28" t="n"/>
      <c r="C25" s="28" t="n"/>
      <c r="D25" s="28" t="n"/>
      <c r="E25" s="28" t="n"/>
      <c r="F25" s="28" t="n"/>
    </row>
    <row r="26" ht="46" customHeight="1">
      <c r="A26" s="28" t="str">
        <f>IFERROR("With the average price per guest excl. sales tax above, you need "&amp;TEXT(ROUNDUP(B15,0),"0")&amp;" events a year at your average of "&amp;TEXT(B11,"0")&amp;" guests per event to avoid losing money (accounting break-even, depreciation included), and "&amp;TEXT(ROUNDUP(B20,0),"0")&amp;" for cash to hold (cash break-even: depreciation out, because it is not paid, and the year's loan payment in"&amp;IF(B12=0,"; no principal is repaid this year (interest-only period or no loan)","")&amp;"). The ""Revenue needed per year"" rows show the same figures in your currency.","")</f>
        <v>With the average price per guest excl. sales tax above, you need 128 events a year at your average of 75 guests per event to avoid losing money (accounting break-even, depreciation included), and 128 for cash to hold (cash break-even: depreciation out, because it is not paid, and the year's loan payment in). The "Revenue needed per year" rows show the same figures in your currency.</v>
      </c>
      <c r="B26" s="28" t="n"/>
      <c r="C26" s="28" t="n"/>
      <c r="D26" s="28" t="n"/>
      <c r="E26" s="28" t="n"/>
      <c r="F26" s="28" t="n"/>
    </row>
    <row r="27">
      <c r="A27" s="28" t="n"/>
      <c r="B27" s="28" t="n"/>
      <c r="C27" s="28" t="n"/>
      <c r="D27" s="28" t="n"/>
      <c r="E27" s="28" t="n"/>
      <c r="F27" s="28" t="n"/>
    </row>
    <row r="28">
      <c r="A28" s="25" t="inlineStr">
        <is>
          <t>BREAK-EVEN SENSITIVITY</t>
        </is>
      </c>
      <c r="B28" s="28" t="n"/>
      <c r="C28" s="28" t="n"/>
      <c r="D28" s="28" t="n"/>
      <c r="E28" s="28" t="n"/>
      <c r="F28" s="28" t="n"/>
    </row>
    <row r="29" ht="75" customHeight="1">
      <c r="A29" s="46" t="inlineStr">
        <is>
          <t>Events per year needed to cover costs for each price per guest (columns, in steps around the plan's price) and each variable cost per guest (rows). Green cells are below the events per year the plan forecasts.</t>
        </is>
      </c>
      <c r="B29" s="28" t="n"/>
      <c r="C29" s="28" t="n"/>
      <c r="D29" s="28" t="n"/>
      <c r="E29" s="28" t="n"/>
      <c r="F29" s="28" t="n"/>
    </row>
    <row r="30">
      <c r="A30" s="28" t="n"/>
      <c r="B30" s="28" t="n"/>
      <c r="C30" s="28" t="n"/>
      <c r="D30" s="28" t="n"/>
      <c r="E30" s="28" t="n"/>
      <c r="F30" s="28" t="n"/>
    </row>
    <row r="31" ht="45" customHeight="1">
      <c r="A31" s="39" t="inlineStr">
        <is>
          <t>Events per year needed: price per guest excl. sales tax (columns) × variable cost per guest (rows)</t>
        </is>
      </c>
      <c r="B31" s="62">
        <f>IFERROR($B$8-3,"")</f>
        <v>35.0</v>
      </c>
      <c r="C31" s="62">
        <f>IFERROR(IF($B$8="","",$B$8),"")</f>
        <v>38.0</v>
      </c>
      <c r="D31" s="62">
        <f>IFERROR($B$8+3,"")</f>
        <v>41.0</v>
      </c>
      <c r="E31" s="62">
        <f>IFERROR($B$8+6,"")</f>
        <v>44.0</v>
      </c>
      <c r="F31" s="28" t="n"/>
    </row>
    <row r="32">
      <c r="A32" s="61">
        <f>IFERROR($B$9*0.85,"")</f>
        <v>12.674520000000001</v>
      </c>
      <c r="B32" s="44">
        <f>IFERROR(IF($B$31-$A32&lt;=0,"",$B$6/($B$31-$A32)/$B$11),"")</f>
        <v>131.385799885111</v>
      </c>
      <c r="C32" s="44">
        <f>IFERROR(IF($C$31-$A32&lt;=0,"",$B$6/($C$31-$A32)/$B$11),"")</f>
        <v>115.82213042434132</v>
      </c>
      <c r="D32" s="44">
        <f>IFERROR(IF($D$31-$A32&lt;=0,"",$B$6/($D$31-$A32)/$B$11),"")</f>
        <v>103.55521063081889</v>
      </c>
      <c r="E32" s="44">
        <f>IFERROR(IF($E$31-$A32&lt;=0,"",$B$6/($E$31-$A32)/$B$11),"")</f>
        <v>93.63786437172064</v>
      </c>
      <c r="F32" s="28" t="n"/>
    </row>
    <row r="33">
      <c r="A33" s="61">
        <f>IFERROR($B$9*0.925,"")</f>
        <v>13.792860000000003</v>
      </c>
      <c r="B33" s="44">
        <f>IFERROR(IF($B$31-$A33&lt;=0,"",$B$6/($B$31-$A33)/$B$11),"")</f>
        <v>138.31431525510033</v>
      </c>
      <c r="C33" s="44">
        <f>IFERROR(IF($C$31-$A33&lt;=0,"",$B$6/($C$31-$A33)/$B$11),"")</f>
        <v>121.1729699427131</v>
      </c>
      <c r="D33" s="44">
        <f>IFERROR(IF($D$31-$A33&lt;=0,"",$B$6/($D$31-$A33)/$B$11),"")</f>
        <v>107.81181144431382</v>
      </c>
      <c r="E33" s="44">
        <f>IFERROR(IF($E$31-$A33&lt;=0,"",$B$6/($E$31-$A33)/$B$11),"")</f>
        <v>97.10456029995055</v>
      </c>
      <c r="F33" s="28" t="n"/>
    </row>
    <row r="34">
      <c r="A34" s="64">
        <f>IFERROR($B$9*1.0,"")</f>
        <v>14.911200000000003</v>
      </c>
      <c r="B34" s="48">
        <f>IFERROR(IF($B$31-$A34&lt;=0,"",$B$6/($B$31-$A34)/$B$11),"")</f>
        <v>146.01424911488232</v>
      </c>
      <c r="C34" s="48">
        <f>IFERROR(IF($C$31-$A34&lt;=0,"",$B$6/($C$31-$A34)/$B$11),"")</f>
        <v>127.04216103128131</v>
      </c>
      <c r="D34" s="48">
        <f>IFERROR(IF($D$31-$A34&lt;=0,"",$B$6/($D$31-$A34)/$B$11),"")</f>
        <v>112.43334486902609</v>
      </c>
      <c r="E34" s="48">
        <f>IFERROR(IF($E$31-$A34&lt;=0,"",$B$6/($E$31-$A34)/$B$11),"")</f>
        <v>100.83781550352877</v>
      </c>
    </row>
    <row r="35">
      <c r="A35" s="64">
        <f>IFERROR($B$9*1.075,"")</f>
        <v>16.02954</v>
      </c>
      <c r="B35" s="48">
        <f>IFERROR(IF($B$31-$A35&lt;=0,"",$B$6/($B$31-$A35)/$B$11),"")</f>
        <v>154.6220306528702</v>
      </c>
      <c r="C35" s="48">
        <f>IFERROR(IF($C$31-$A35&lt;=0,"",$B$6/($C$31-$A35)/$B$11),"")</f>
        <v>133.5088590598034</v>
      </c>
      <c r="D35" s="48">
        <f>IFERROR(IF($D$31-$A35&lt;=0,"",$B$6/($D$31-$A35)/$B$11),"")</f>
        <v>117.46884308975677</v>
      </c>
      <c r="E35" s="48">
        <f>IFERROR(IF($E$31-$A35&lt;=0,"",$B$6/($E$31-$A35)/$B$11),"")</f>
        <v>104.86960341800055</v>
      </c>
    </row>
    <row r="36">
      <c r="A36" s="64">
        <f>IFERROR($B$9*1.15,"")</f>
        <v>17.14788</v>
      </c>
      <c r="B36" s="48">
        <f>IFERROR(IF($B$31-$A36&lt;=0,"",$B$6/($B$31-$A36)/$B$11),"")</f>
        <v>164.30827529834258</v>
      </c>
      <c r="C36" s="48">
        <f>IFERROR(IF($C$31-$A36&lt;=0,"",$B$6/($C$31-$A36)/$B$11),"")</f>
        <v>140.66920042753677</v>
      </c>
      <c r="D36" s="48">
        <f>IFERROR(IF($D$31-$A36&lt;=0,"",$B$6/($D$31-$A36)/$B$11),"")</f>
        <v>122.9765340615026</v>
      </c>
      <c r="E36" s="48">
        <f>IFERROR(IF($E$31-$A36&lt;=0,"",$B$6/($E$31-$A36)/$B$11),"")</f>
        <v>109.23722401132751</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Assumptions'!$B$67)</formula>
    </cfRule>
  </conditionalFormatting>
  <conditionalFormatting sqref="B32:E36">
    <cfRule type="expression" priority="4" dxfId="1" stopIfTrue="1">
      <formula>AND(ISNUMBER(B32),B32&gt;$B$23)</formula>
    </cfRule>
    <cfRule type="expression" priority="5" dxfId="0" stopIfTrue="1">
      <formula>AND(ISNUMBER(B32),B32&lt;=$B$23)</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SCENARIO ANALYSIS</t>
        </is>
      </c>
    </row>
    <row r="4">
      <c r="A4" s="25" t="inlineStr">
        <is>
          <t>Metric</t>
        </is>
      </c>
      <c r="B4" s="25" t="inlineStr">
        <is>
          <t>Pessimistic</t>
        </is>
      </c>
      <c r="C4" s="25" t="inlineStr">
        <is>
          <t>Base</t>
        </is>
      </c>
      <c r="D4" s="25" t="inlineStr">
        <is>
          <t>Optimistic</t>
        </is>
      </c>
      <c r="E4" s="25" t="inlineStr">
        <is>
          <t>Notes</t>
        </is>
      </c>
      <c r="F4" s="28" t="n"/>
    </row>
    <row r="5">
      <c r="A5" s="28" t="inlineStr">
        <is>
          <t>Events per year</t>
        </is>
      </c>
      <c r="B5" s="49" t="n">
        <v>113</v>
      </c>
      <c r="C5" s="40">
        <f>IFERROR(IF('3-Year P&amp;L'!$B$6="","",'3-Year P&amp;L'!$B$6),"")</f>
        <v>150.0</v>
      </c>
      <c r="D5" s="49" t="n">
        <v>188</v>
      </c>
      <c r="E5" s="28" t="n"/>
      <c r="F5" s="28" t="n"/>
    </row>
    <row r="6">
      <c r="A6" s="28" t="inlineStr">
        <is>
          <t>Average price per guest (excl. sales tax)</t>
        </is>
      </c>
      <c r="B6" s="71" t="n">
        <v>34.2</v>
      </c>
      <c r="C6" s="61">
        <f>IFERROR(IF('3-Year P&amp;L'!$B$7="","",'3-Year P&amp;L'!$B$7),"")</f>
        <v>38.0</v>
      </c>
      <c r="D6" s="71" t="n">
        <v>41.8</v>
      </c>
      <c r="E6" s="28" t="n"/>
      <c r="F6" s="28" t="n"/>
    </row>
    <row r="7">
      <c r="A7" s="28" t="inlineStr">
        <is>
          <t>Average guests per event</t>
        </is>
      </c>
      <c r="B7" s="49" t="n">
        <v>68</v>
      </c>
      <c r="C7" s="40">
        <f>IFERROR(IF('3-Year P&amp;L'!$B$8="","",'3-Year P&amp;L'!$B$8),"")</f>
        <v>75.0</v>
      </c>
      <c r="D7" s="49" t="n">
        <v>83</v>
      </c>
      <c r="E7" s="28" t="n"/>
      <c r="F7" s="28" t="n"/>
    </row>
    <row r="8">
      <c r="A8" s="25" t="inlineStr">
        <is>
          <t>ANNUAL REVENUE (excl. sales tax)</t>
        </is>
      </c>
      <c r="B8" s="66">
        <f>IFERROR(IF(B5*B6*B7=0,"",B5*B6*B7),"")</f>
        <v>262792.80000000005</v>
      </c>
      <c r="C8" s="66">
        <f>IFERROR(IF(C5*C6*C7=0,"",C5*C6*C7),"")</f>
        <v>427500.0</v>
      </c>
      <c r="D8" s="66">
        <f>IFERROR(IF(D5*D6*D7=0,"",D5*D6*D7),"")</f>
        <v>652247.2</v>
      </c>
      <c r="E8" s="28" t="n"/>
      <c r="F8" s="28" t="n"/>
    </row>
    <row r="9">
      <c r="A9" s="28" t="inlineStr">
        <is>
          <t>Cost of goods — BBQ packages (meat, sides, bread &amp; sauces)</t>
        </is>
      </c>
      <c r="B9" s="40">
        <f>IFERROR(IF(B8="","",B8*'0. Assumptions'!$B$11*'0. Assumptions'!$B$13),"")</f>
        <v>64752.14592000002</v>
      </c>
      <c r="C9" s="40">
        <f>IFERROR(IF(C8="","",C8*'0. Assumptions'!$B$11*'0. Assumptions'!$B$13),"")</f>
        <v>105336.00000000001</v>
      </c>
      <c r="D9" s="40">
        <f>IFERROR(IF(D8="","",D8*'0. Assumptions'!$B$11*'0. Assumptions'!$B$13),"")</f>
        <v>160713.71008000002</v>
      </c>
      <c r="E9" s="28" t="n"/>
      <c r="F9" s="28" t="n"/>
    </row>
    <row r="10">
      <c r="A10" s="28" t="inlineStr">
        <is>
          <t>Cost of goods — add-ons</t>
        </is>
      </c>
      <c r="B10" s="40">
        <f>IFERROR(IF(B8="","",B8*'0. Assumptions'!$B$12*'0. Assumptions'!$B$14),"")</f>
        <v>11037.297600000002</v>
      </c>
      <c r="C10" s="40">
        <f>IFERROR(IF(C8="","",C8*'0. Assumptions'!$B$12*'0. Assumptions'!$B$14),"")</f>
        <v>17955.0</v>
      </c>
      <c r="D10" s="40">
        <f>IFERROR(IF(D8="","",D8*'0. Assumptions'!$B$12*'0. Assumptions'!$B$14),"")</f>
        <v>27394.382399999995</v>
      </c>
      <c r="E10" s="28" t="n"/>
      <c r="F10" s="28" t="n"/>
    </row>
    <row r="11">
      <c r="A11" s="28" t="inlineStr">
        <is>
          <t>Disposables, wood &amp; cooking fuel</t>
        </is>
      </c>
      <c r="B11" s="40">
        <f>IFERROR(IF(B8="","",B8*'0. Assumptions'!$B$15),"")</f>
        <v>9197.748000000003</v>
      </c>
      <c r="C11" s="40">
        <f>IFERROR(IF(C8="","",C8*'0. Assumptions'!$B$15),"")</f>
        <v>14962.500000000002</v>
      </c>
      <c r="D11" s="40">
        <f>IFERROR(IF(D8="","",D8*'0. Assumptions'!$B$15),"")</f>
        <v>22828.652000000002</v>
      </c>
      <c r="E11" s="28" t="n"/>
      <c r="F11" s="28" t="n"/>
    </row>
    <row r="12">
      <c r="A12" s="28" t="inlineStr">
        <is>
          <t>Corporate catering marketplace fees</t>
        </is>
      </c>
      <c r="B12" s="40">
        <f>IFERROR(IF(B8="","",B8*'0. Assumptions'!$B$16*'0. Assumptions'!$B$17),"")</f>
        <v>2365.1352</v>
      </c>
      <c r="C12" s="40">
        <f>IFERROR(IF(C8="","",C8*'0. Assumptions'!$B$16*'0. Assumptions'!$B$17),"")</f>
        <v>3847.5</v>
      </c>
      <c r="D12" s="40">
        <f>IFERROR(IF(D8="","",D8*'0. Assumptions'!$B$16*'0. Assumptions'!$B$17),"")</f>
        <v>5870.224799999999</v>
      </c>
      <c r="E12" s="28" t="n"/>
      <c r="F12" s="28" t="n"/>
    </row>
    <row r="13">
      <c r="A13" s="28" t="inlineStr">
        <is>
          <t>Card processing fees</t>
        </is>
      </c>
      <c r="B13" s="40">
        <f>IFERROR(IF(B8="","",B8*'0. Assumptions'!$B$18),"")</f>
        <v>7883.7840000000015</v>
      </c>
      <c r="C13" s="40">
        <f>IFERROR(IF(C8="","",C8*'0. Assumptions'!$B$18),"")</f>
        <v>12825.0</v>
      </c>
      <c r="D13" s="40">
        <f>IFERROR(IF(D8="","",D8*'0. Assumptions'!$B$18),"")</f>
        <v>19567.415999999997</v>
      </c>
      <c r="E13" s="28" t="n"/>
      <c r="F13" s="28" t="n"/>
    </row>
    <row r="14">
      <c r="A14" s="28" t="inlineStr">
        <is>
          <t>Miscellaneous and contingency</t>
        </is>
      </c>
      <c r="B14" s="40">
        <f>IFERROR(IF(B8="","",B8*'0. Assumptions'!$B$28),"")</f>
        <v>7883.7840000000015</v>
      </c>
      <c r="C14" s="40">
        <f>IFERROR(IF(C8="","",C8*'0. Assumptions'!$B$28),"")</f>
        <v>12825.0</v>
      </c>
      <c r="D14" s="40">
        <f>IFERROR(IF(D8="","",D8*'0. Assumptions'!$B$28),"")</f>
        <v>19567.415999999997</v>
      </c>
      <c r="E14" s="28" t="n"/>
      <c r="F14" s="28" t="n"/>
    </row>
    <row r="15">
      <c r="A15" s="28" t="inlineStr">
        <is>
          <t>TOTAL VARIABLE COSTS</t>
        </is>
      </c>
      <c r="B15" s="40">
        <f>IFERROR(IF(B8="","",SUM(B9:B14)),"")</f>
        <v>103119.89472000003</v>
      </c>
      <c r="C15" s="40">
        <f>IFERROR(IF(C8="","",SUM(C9:C14)),"")</f>
        <v>167751.00000000003</v>
      </c>
      <c r="D15" s="40">
        <f>IFERROR(IF(D8="","",SUM(D9:D14)),"")</f>
        <v>255941.80128</v>
      </c>
      <c r="E15" s="28" t="n"/>
      <c r="F15" s="28" t="n"/>
    </row>
    <row r="16">
      <c r="A16" s="35" t="inlineStr">
        <is>
          <t>GROSS MARGIN</t>
        </is>
      </c>
      <c r="B16" s="42">
        <f>IFERROR(IF(B8="","",B8-B15),"")</f>
        <v>159672.90528</v>
      </c>
      <c r="C16" s="42">
        <f>IFERROR(IF(C8="","",C8-C15),"")</f>
        <v>259748.99999999997</v>
      </c>
      <c r="D16" s="42">
        <f>IFERROR(IF(D8="","",D8-D15),"")</f>
        <v>396305.39871999994</v>
      </c>
    </row>
    <row r="17">
      <c r="A17" s="35" t="inlineStr">
        <is>
          <t>FIXED COSTS (the P&amp;L's)</t>
        </is>
      </c>
      <c r="B17" s="42">
        <f>IFERROR(IF(B8="","",'3-Year P&amp;L'!$B$38),"")</f>
        <v>219993.82857142857</v>
      </c>
      <c r="C17" s="42">
        <f>IFERROR(IF(C8="","",'3-Year P&amp;L'!$B$38),"")</f>
        <v>219993.82857142857</v>
      </c>
      <c r="D17" s="42">
        <f>IFERROR(IF(D8="","",'3-Year P&amp;L'!$B$38),"")</f>
        <v>219993.82857142857</v>
      </c>
      <c r="E17" s="35" t="inlineStr">
        <is>
          <t>Fixed costs do not change with the scenario: that is why they are fixed</t>
        </is>
      </c>
    </row>
    <row r="18">
      <c r="A18" s="16" t="inlineStr">
        <is>
          <t>PRE-TAX INCOME (EBT)</t>
        </is>
      </c>
      <c r="B18" s="52">
        <f>IFERROR(IF(B8="","",B16-B17),"")</f>
        <v>-60320.92329142857</v>
      </c>
      <c r="C18" s="52">
        <f>IFERROR(IF(C8="","",C16-C17),"")</f>
        <v>39755.1714285714</v>
      </c>
      <c r="D18" s="52">
        <f>IFERROR(IF(D8="","",D16-D17),"")</f>
        <v>176311.57014857137</v>
      </c>
    </row>
    <row r="19">
      <c r="A19" s="35" t="inlineStr">
        <is>
          <t>Income tax</t>
        </is>
      </c>
      <c r="B19" s="42">
        <f>IFERROR(IF(B8="","",MAX(0,B18-'0. Assumptions'!$B$42)*'0. Assumptions'!$B$37),"")</f>
        <v>0.0</v>
      </c>
      <c r="C19" s="42">
        <f>IFERROR(IF(C8="","",MAX(0,C18-'0. Assumptions'!$B$42)*'0. Assumptions'!$B$37),"")</f>
        <v>9938.79285714285</v>
      </c>
      <c r="D19" s="42">
        <f>IFERROR(IF(D8="","",MAX(0,D18-'0. Assumptions'!$B$42)*'0. Assumptions'!$B$37),"")</f>
        <v>44077.89253714284</v>
      </c>
      <c r="E19" s="35" t="inlineStr">
        <is>
          <t>At the "years 1-2" effective income tax rate, offsetting prior net operating losses</t>
        </is>
      </c>
    </row>
    <row r="20">
      <c r="A20" s="16" t="inlineStr">
        <is>
          <t>NET INCOME</t>
        </is>
      </c>
      <c r="B20" s="52">
        <f>IFERROR(IF(B8="","",B18-B19),"")</f>
        <v>-60320.92329142857</v>
      </c>
      <c r="C20" s="52">
        <f>IFERROR(IF(C8="","",C18-C19),"")</f>
        <v>29816.378571428548</v>
      </c>
      <c r="D20" s="52">
        <f>IFERROR(IF(D8="","",D18-D19),"")</f>
        <v>132233.67761142852</v>
      </c>
    </row>
    <row r="21">
      <c r="A21" s="35" t="inlineStr">
        <is>
          <t>Events per year to break even</t>
        </is>
      </c>
      <c r="B21" s="48">
        <f>IFERROR(IF(B8="","",IF(B6-B15/(B5*B7)&lt;=0,"",B17/(B6-B15/(B5*B7))/B7)),"")</f>
        <v>155.6889228324526</v>
      </c>
      <c r="C21" s="48">
        <f>IFERROR(IF(C8="","",IF(C6-C15/(C5*C7)&lt;=0,"",C17/(C6-C15/(C5*C7))/C7)),"")</f>
        <v>127.04216103128131</v>
      </c>
      <c r="D21" s="48">
        <f>IFERROR(IF(D8="","",IF(D6-D15/(D5*D7)&lt;=0,"",D17/(D6-D15/(D5*D7))/D7)),"")</f>
        <v>104.36103042000109</v>
      </c>
    </row>
    <row r="22">
      <c r="A22" s="16" t="inlineStr">
        <is>
          <t>WHAT EACH SCENARIO DEMANDS</t>
        </is>
      </c>
    </row>
    <row r="23">
      <c r="A23" s="35" t="inlineStr">
        <is>
          <t>Labor cost / Sales</t>
        </is>
      </c>
      <c r="B23" s="65">
        <f>IFERROR(IF(B8="","",'3-Year P&amp;L'!$B$23/B8),"")</f>
        <v>0.5315305442158231</v>
      </c>
      <c r="C23" s="65">
        <f>IFERROR(IF(C8="","",'3-Year P&amp;L'!$B$23/C8),"")</f>
        <v>0.32674245614035086</v>
      </c>
      <c r="D23" s="65">
        <f>IFERROR(IF(D8="","",'3-Year P&amp;L'!$B$23/D8),"")</f>
        <v>0.21415561461973315</v>
      </c>
      <c r="E23" s="35" t="inlineStr">
        <is>
          <t>The SAME staffing in all three scenarios. In the pessimistic case your real event-staff cost falls with the number of events (you pay hours per event), so the real result would be somewhat better than shown. If labor cost still blows up, adjust it in the "Staffing" tab, not here</t>
        </is>
      </c>
    </row>
    <row r="24">
      <c r="A24" s="35" t="inlineStr">
        <is>
          <t>Guests per year per full-time equivalent</t>
        </is>
      </c>
      <c r="B24" s="42">
        <f>IFERROR(IF(B8="","",B5*B7/Staffing!$C$9),"")</f>
        <v>2696.1403508771928</v>
      </c>
      <c r="C24" s="42">
        <f>IFERROR(IF(C8="","",C5*C7/Staffing!$C$9),"")</f>
        <v>3947.3684210526317</v>
      </c>
      <c r="D24" s="42">
        <f>IFERROR(IF(D8="","",D5*D7/Staffing!$C$9),"")</f>
        <v>5475.087719298245</v>
      </c>
      <c r="E24" s="35" t="inlineStr">
        <is>
          <t>Guests each full-time equivalent in the "Staffing" table would have to serve in a year. In the optimistic scenario it tells you whether you need to hire</t>
        </is>
      </c>
    </row>
    <row r="25">
      <c r="A25" s="16" t="inlineStr">
        <is>
          <t>Year-1 closing cash balance (estimate, same method in all three scenarios)</t>
        </is>
      </c>
      <c r="B25" s="52">
        <f>IFERROR(IF(B8="","",'Startup Costs'!$B$25+B20+'3-Year P&amp;L'!$B$36-Financing!$B$45),"")</f>
        <v>-8084.850189760145</v>
      </c>
      <c r="C25" s="52">
        <f>IFERROR(IF(C8="","",'Startup Costs'!$B$25+C20+'3-Year P&amp;L'!$B$36-Financing!$B$45),"")</f>
        <v>82052.45167309698</v>
      </c>
      <c r="D25" s="52">
        <f>IFERROR(IF(D8="","",'Startup Costs'!$B$25+D20+'3-Year P&amp;L'!$B$36-Financing!$B$45),"")</f>
        <v>184469.75071309696</v>
      </c>
      <c r="E25" s="16" t="inlineStr">
        <is>
          <t>ESTIMATED balance: working capital plus the year's result, adding back depreciation (which is not paid) and subtracting loan principal. It does not include the timing gap between receipts and payments or the sales tax settlement, so the three columns can be compared with each other. In red, the scenario runs out of cash</t>
        </is>
      </c>
    </row>
    <row r="26">
      <c r="A26" s="35" t="inlineStr">
        <is>
          <t>Actual month-12 balance from the 12-Month Cash Flow tab (Base case only)</t>
        </is>
      </c>
      <c r="C26" s="42">
        <f>IFERROR(IF(C8="","",'12-Month Cash Flow'!$M$22),"")</f>
        <v>95544.21293286563</v>
      </c>
      <c r="E26" s="35" t="inlineStr">
        <is>
          <t>The ACTUAL base-case balance, with its timing of receipts and payments and its sales tax settlement. It exists only for the Base scenario, the only one with its own monthly cash flow: that is why it is not in the row above, where it would be compared against two estimates</t>
        </is>
      </c>
    </row>
    <row r="28" ht="150" customHeight="1">
      <c r="A28" s="17" t="inlineStr">
        <is>
          <t>The "Base" column reads its three inputs (events per year, price per guest and guests per event) from the "0. Assumptions" tab, so it reproduces EXACTLY year 1 of the P&amp;L. The other two scenarios use the same cost rates: only events, price and guests change. FIXED COSTS are the same in all three, while variable costs follow the sales of each scenario.</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AND(ISNUMBER(B23),B23&gt;'3-Year P&amp;L'!$E$54)</formula>
    </cfRule>
    <cfRule type="expression" priority="2" dxfId="0" stopIfTrue="1">
      <formula>AND(ISNUMBER(B23),B23&lt;='3-Year P&amp;L'!$E$54)</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nvalid amount" error="Enter a number greater than or equal to 0." type="decimal" operator="greaterThanOrEqual">
      <formula1>0</formula1>
    </dataValidation>
    <dataValidation sqref="B7 D7" showDropDown="0" showInputMessage="0" showErrorMessage="1" allowBlank="1" errorTitle="Value out of range" error="Enter a whole number from 1 to 365: guests per event or days." type="whole" operator="between">
      <formula1>1</formula1>
      <formula2>365</formula2>
    </dataValidation>
    <dataValidation sqref="B5 D5" showDropDown="0" showInputMessage="0" showErrorMessage="1" allowBlank="1" errorTitle="Invalid count" error="Enter a WHOLE number of 1 or more: this cell is a count and several formulas divide by it." type="whole" operator="between">
      <formula1>1</formula1>
      <formula2>100000</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5"/>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STAFFING STRUCTURE AND COSTS</t>
        </is>
      </c>
    </row>
    <row r="2">
      <c r="A2" t="str">
        <f>IFERROR("Payroll — "&amp;TEXT('0. Assumptions'!$B$21,"0")&amp;" pay periods + employer taxes "&amp;TEXT('0. Assumptions'!$B$20*100,"0")&amp;"%","")</f>
        <v>Payroll — 12 pay periods + employer taxes 10%</v>
      </c>
    </row>
    <row r="4" ht="45" customHeight="1">
      <c r="A4" s="39" t="inlineStr">
        <is>
          <t>Position</t>
        </is>
      </c>
      <c r="B4" s="39" t="inlineStr">
        <is>
          <t>People</t>
        </is>
      </c>
      <c r="C4" s="39" t="inlineStr">
        <is>
          <t>FTE</t>
        </is>
      </c>
      <c r="D4" s="39" t="inlineStr">
        <is>
          <t>Gross pay per month (total for the position)</t>
        </is>
      </c>
      <c r="E4" s="39" t="inlineStr">
        <is>
          <t>Employer payroll taxes (total for the position)</t>
        </is>
      </c>
      <c r="F4" s="39" t="inlineStr">
        <is>
          <t>Cost per month (total for the position)</t>
        </is>
      </c>
      <c r="G4" s="39" t="inlineStr">
        <is>
          <t>Cost per year</t>
        </is>
      </c>
      <c r="H4" s="39" t="inlineStr">
        <is>
          <t>Hours per week per person</t>
        </is>
      </c>
      <c r="I4" s="39" t="inlineStr">
        <is>
          <t>Hours per year for the position</t>
        </is>
      </c>
      <c r="J4" s="39" t="inlineStr">
        <is>
          <t>Notes</t>
        </is>
      </c>
    </row>
    <row r="5">
      <c r="A5" s="28" t="inlineStr">
        <is>
          <t>Owner / Pitmaster &amp; Sales</t>
        </is>
      </c>
      <c r="B5" s="49" t="n">
        <v>1</v>
      </c>
      <c r="C5" s="51" t="n">
        <v>1</v>
      </c>
      <c r="D5" s="71" t="n">
        <v>4507</v>
      </c>
      <c r="E5" s="61">
        <f>IFERROR(IF(D5="","",D5*'0. Assumptions'!$B$20),"")</f>
        <v>450.70000000000005</v>
      </c>
      <c r="F5" s="61">
        <f>IFERROR(IF(D5="","",D5+E5),"")</f>
        <v>4957.7</v>
      </c>
      <c r="G5" s="61">
        <f>IFERROR(IF(D5="","",F5*MAX(12,'0. Assumptions'!$B$21)),"")</f>
        <v>59492.399999999994</v>
      </c>
      <c r="H5" s="44">
        <f>IFERROR(IF(D5="","",C5*$B$16),"")</f>
        <v>40.0</v>
      </c>
      <c r="I5" s="40">
        <f>IFERROR(IF(D5="","",H5*B5*$B$17),"")</f>
        <v>2000.0</v>
      </c>
      <c r="J5" s="28" t="inlineStr">
        <is>
          <t>Sells, runs the tastings, plans menus, and works the pit and the carving station at weddings and premium events. Covers the main shift at every event. The rest of the owner's pay comes from profit.</t>
        </is>
      </c>
    </row>
    <row r="6">
      <c r="A6" s="28" t="inlineStr">
        <is>
          <t>Pit cook / lead cook (W-2)</t>
        </is>
      </c>
      <c r="B6" s="49" t="n">
        <v>1</v>
      </c>
      <c r="C6" s="51" t="n">
        <v>0.75</v>
      </c>
      <c r="D6" s="71" t="n">
        <v>2730</v>
      </c>
      <c r="E6" s="61">
        <f>IFERROR(IF(D6="","",D6*'0. Assumptions'!$B$20),"")</f>
        <v>273.0</v>
      </c>
      <c r="F6" s="61">
        <f>IFERROR(IF(D6="","",D6+E6),"")</f>
        <v>3003.0</v>
      </c>
      <c r="G6" s="61">
        <f>IFERROR(IF(D6="","",F6*MAX(12,'0. Assumptions'!$B$21)),"")</f>
        <v>36036.0</v>
      </c>
      <c r="H6" s="44">
        <f>IFERROR(IF(D6="","",C6*$B$16),"")</f>
        <v>30.0</v>
      </c>
      <c r="I6" s="40">
        <f>IFERROR(IF(D6="","",H6*B6*$B$17),"")</f>
        <v>1500.0</v>
      </c>
      <c r="J6" s="28" t="inlineStr">
        <is>
          <t>Pit cook / lead cook, part-time W-2: runs the overnight cook with probes and handles hot holding. One pit cook can watch several cooks at once. Paid at or above the pay floor in proportion to FTE, around the 75th percentile for restaurant cooks (BLS OEWS, May 2025).</t>
        </is>
      </c>
    </row>
    <row r="7">
      <c r="A7" s="28" t="inlineStr">
        <is>
          <t>Event staff (servers, buffet attendants, carvers; hourly W-2)</t>
        </is>
      </c>
      <c r="B7" s="49" t="n">
        <v>6</v>
      </c>
      <c r="C7" s="51" t="n">
        <v>0.1</v>
      </c>
      <c r="D7" s="71" t="n">
        <v>1872</v>
      </c>
      <c r="E7" s="61">
        <f>IFERROR(IF(D7="","",D7*'0. Assumptions'!$B$20),"")</f>
        <v>187.20000000000002</v>
      </c>
      <c r="F7" s="61">
        <f>IFERROR(IF(D7="","",D7+E7),"")</f>
        <v>2059.2</v>
      </c>
      <c r="G7" s="61">
        <f>IFERROR(IF(D7="","",F7*MAX(12,'0. Assumptions'!$B$21)),"")</f>
        <v>24710.399999999998</v>
      </c>
      <c r="H7" s="44">
        <f>IFERROR(IF(D7="","",C7*$B$16),"")</f>
        <v>4.0</v>
      </c>
      <c r="I7" s="40">
        <f>IFERROR(IF(D7="","",H7*B7*$B$17),"")</f>
        <v>1200.0</v>
      </c>
      <c r="J7" s="28" t="inlineStr">
        <is>
          <t>Servers, buffet attendants and carvers hired per event and paid hourly as W-2 employees, about one per 25-30 guests at a buffet (Kit estimate). Their FTE is a fraction because they only work event hours. Treating them as 1099 contractors is a misclassification risk (FLSA; California AB5). Paid at or above the pay floor in proportion to FTE. The voluntary gratuity is theirs.</t>
        </is>
      </c>
    </row>
    <row r="8">
      <c r="A8" s="28" t="inlineStr">
        <is>
          <t>Prep cook / driver (part-time W-2)</t>
        </is>
      </c>
      <c r="B8" s="49" t="n">
        <v>1</v>
      </c>
      <c r="C8" s="51" t="n">
        <v>0.5</v>
      </c>
      <c r="D8" s="71" t="n">
        <v>1473</v>
      </c>
      <c r="E8" s="61">
        <f>IFERROR(IF(D8="","",D8*'0. Assumptions'!$B$20),"")</f>
        <v>147.3</v>
      </c>
      <c r="F8" s="61">
        <f>IFERROR(IF(D8="","",D8+E8),"")</f>
        <v>1620.3</v>
      </c>
      <c r="G8" s="61">
        <f>IFERROR(IF(D8="","",F8*MAX(12,'0. Assumptions'!$B$21)),"")</f>
        <v>19443.6</v>
      </c>
      <c r="H8" s="44">
        <f>IFERROR(IF(D8="","",C8*$B$16),"")</f>
        <v>20.0</v>
      </c>
      <c r="I8" s="40">
        <f>IFERROR(IF(D8="","",H8*B8*$B$17),"")</f>
        <v>1000.0</v>
      </c>
      <c r="J8" s="28" t="inlineStr">
        <is>
          <t>Part-time W-2 prep cook and driver: portions and mixes rubs in the commissary, loads the van and drives to venues. Paid at or above the pay floor in proportion to FTE.</t>
        </is>
      </c>
    </row>
    <row r="9">
      <c r="A9" s="16" t="inlineStr">
        <is>
          <t>TOTAL STAFF</t>
        </is>
      </c>
      <c r="B9" s="52">
        <f>IFERROR(IF(COUNT(D5:D8)=0,"",SUM(B5:B8)),"")</f>
        <v>9.0</v>
      </c>
      <c r="C9" s="53">
        <f>IFERROR(IF(COUNT(D5:D8)=0,"",SUMPRODUCT(B5:B8,C5:C8)),"")</f>
        <v>2.85</v>
      </c>
      <c r="D9" s="53">
        <f>IFERROR(IF(COUNT(D5:D8)=0,"",SUM(D5:D8)),"")</f>
        <v>10582.0</v>
      </c>
      <c r="E9" s="53">
        <f>IFERROR(IF(COUNT(D5:D8)=0,"",SUM(E5:E8)),"")</f>
        <v>1058.2</v>
      </c>
      <c r="F9" s="53">
        <f>IFERROR(IF(COUNT(D5:D8)=0,"",SUM(F5:F8)),"")</f>
        <v>11640.199999999999</v>
      </c>
      <c r="G9" s="53">
        <f>IFERROR(IF(COUNT(D5:D8)=0,"",SUM(G5:G8)),"")</f>
        <v>139682.4</v>
      </c>
      <c r="I9" s="52">
        <f>IFERROR(IF(COUNT(D5:D8)=0,"",SUM(I5:I8)),"")</f>
        <v>5700.0</v>
      </c>
    </row>
    <row r="10">
      <c r="A10" s="16" t="inlineStr">
        <is>
          <t>STAFF GROWTH (stepped cost)</t>
        </is>
      </c>
    </row>
    <row r="11">
      <c r="A11" s="35" t="inlineStr">
        <is>
          <t>Annual cost of year-2 hires</t>
        </is>
      </c>
      <c r="B11" s="56" t="n">
        <v>5000</v>
      </c>
      <c r="J11" s="35" t="inlineStr">
        <is>
          <t>FULL ANNUAL cost (gross pay + employer payroll taxes, over all pay periods) of whoever you hire that year. The P&amp;L adds it to the previous year's cost: staffing grows by people, not by a percentage</t>
        </is>
      </c>
    </row>
    <row r="12">
      <c r="A12" s="35" t="inlineStr">
        <is>
          <t>Annual cost of year-3 hires</t>
        </is>
      </c>
      <c r="B12" s="56" t="n">
        <v>5000</v>
      </c>
      <c r="J12" s="35" t="inlineStr">
        <is>
          <t>FULL ANNUAL cost (gross pay + employer payroll taxes, over all pay periods) of whoever you hire that year. The P&amp;L adds it to the previous year's cost: staffing grows by people, not by a percentage</t>
        </is>
      </c>
    </row>
    <row r="13">
      <c r="A13" s="35" t="inlineStr">
        <is>
          <t>Labor cost, year 2</t>
        </is>
      </c>
      <c r="B13" s="42">
        <f>IFERROR(IF(G9="","",G9*(1+'0. Assumptions'!$B$48)+B11),"")</f>
        <v>144682.4</v>
      </c>
    </row>
    <row r="14">
      <c r="A14" s="35" t="inlineStr">
        <is>
          <t>Labor cost, year 3</t>
        </is>
      </c>
      <c r="B14" s="42">
        <f>IFERROR(IF(B13="","",B13*(1+'0. Assumptions'!$B$48)+B12),"")</f>
        <v>149682.4</v>
      </c>
    </row>
    <row r="15">
      <c r="A15" s="16" t="inlineStr">
        <is>
          <t>COVERAGE OF EVENT HOURS</t>
        </is>
      </c>
    </row>
    <row r="16">
      <c r="A16" s="35" t="inlineStr">
        <is>
          <t>Full-time week (hours per week)</t>
        </is>
      </c>
      <c r="B16" s="56" t="n">
        <v>40</v>
      </c>
      <c r="J16" s="35" t="inlineStr">
        <is>
          <t>40 hours a week is the FLSA overtime threshold for non-exempt employees; some states add daily overtime rules. Change it if your own full-time week is different</t>
        </is>
      </c>
    </row>
    <row r="17">
      <c r="A17" s="35" t="inlineStr">
        <is>
          <t>Weeks worked per year per person</t>
        </is>
      </c>
      <c r="B17" s="56" t="n">
        <v>50</v>
      </c>
      <c r="J17" s="35" t="inlineStr">
        <is>
          <t>50 weeks: 52 minus about two weeks of vacation, holidays and average absences. There is no federal vacation requirement in the US: adjust it to your own policy</t>
        </is>
      </c>
    </row>
    <row r="18">
      <c r="A18" s="35" t="inlineStr">
        <is>
          <t>Hours per person per event (portioning, overnight cook, loading, travel, setup, service, breakdown)</t>
        </is>
      </c>
      <c r="B18" s="57" t="n">
        <v>10</v>
      </c>
      <c r="J18" s="35" t="inlineStr">
        <is>
          <t>Hours of work per person for one event: portioning, the overnight cook, loading, travel, setup, two to three hours of service, breakdown and cleanup. Serving is only part of it. Hours × people × events per year sets the event staff cost.</t>
        </is>
      </c>
    </row>
    <row r="19">
      <c r="A19" s="35" t="inlineStr">
        <is>
          <t>People per event (pit crew and event staff, average)</t>
        </is>
      </c>
      <c r="B19" s="57" t="n">
        <v>3.4</v>
      </c>
      <c r="J19" s="35" t="inlineStr">
        <is>
          <t>Average number of people working each event: about 1.5 on a drop-off, 3 on a staffed buffet for 70, 5 on a full-service company event, 7 at a wedding with the live pit (2 on the pit and 5 servers, as in the calculator's example) and 5 on a live-fire booking (Kit estimate). Weighted by the example mix in the Word plan, that averages about 3.4. Raise it for bigger events: the staffing sizes itself.</t>
        </is>
      </c>
    </row>
    <row r="20">
      <c r="A20" s="35" t="inlineStr">
        <is>
          <t>Event hours to cover per year</t>
        </is>
      </c>
      <c r="B20" s="42">
        <f>IFERROR(IF(OR(B18="",B19="",'0. Assumptions'!$B$4=""),"",B18*B19*'0. Assumptions'!$B$4),"")</f>
        <v>5100.0</v>
      </c>
    </row>
    <row r="21">
      <c r="A21" s="35" t="inlineStr">
        <is>
          <t>Hours hired per year</t>
        </is>
      </c>
      <c r="B21" s="42">
        <f>IFERROR(IF(I9="","",I9),"")</f>
        <v>5700.0</v>
      </c>
    </row>
    <row r="22">
      <c r="A22" s="16" t="inlineStr">
        <is>
          <t>Coverage (hired / needed)</t>
        </is>
      </c>
      <c r="B22" s="69">
        <f>IFERROR(B21/B20,"")</f>
        <v>1.1176470588235294</v>
      </c>
      <c r="J22" s="16" t="inlineStr">
        <is>
          <t>Below 100% the staff cannot cover the hours the plan declares: either hire more or cut the hours</t>
        </is>
      </c>
    </row>
    <row r="24" ht="150" customHeight="1">
      <c r="A24" s="17" t="inlineStr">
        <is>
          <t>Columns D-G are TOTALS for the row. Event staff (servers, buffet attendants, carvers) are hourly W-2 employees with payroll taxes and workers' comp: paying them as 1099 contractors is a misclassification risk (FLSA; California AB5). One pit cook can watch several cooks at once.</t>
        </is>
      </c>
    </row>
    <row r="25" ht="150" customHeight="1">
      <c r="A25" s="17" t="inlineStr">
        <is>
          <t>The pay floor is the HIGHER of the federal minimum wage and your state / local minimum wage, both in the "0. Assumptions" tab; part-time positions get it in proportion. There is no single national table above the federal floor: the state / local cell is delivered empty so you can enter the rate for your state and city.</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2">
    <cfRule type="expression" priority="1" dxfId="1" stopIfTrue="1">
      <formula>AND(ISNUMBER(B22),B22&lt;0.9)</formula>
    </cfRule>
    <cfRule type="expression" priority="2" dxfId="2" stopIfTrue="1">
      <formula>AND(ISNUMBER(B22),B22&gt;=0.9)</formula>
    </cfRule>
    <cfRule type="expression" priority="3" dxfId="0" stopIfTrue="1">
      <formula>AND(ISNUMBER(B22),B22&gt;=1)</formula>
    </cfRule>
  </conditionalFormatting>
  <conditionalFormatting sqref="D5:D8">
    <cfRule type="expression" priority="4" dxfId="1" stopIfTrue="1">
      <formula>AND(ISNUMBER(D5),IFERROR(D5/B5,0)*'0. Assumptions'!$B$21&lt;MAX('0. Assumptions'!$B$22,'0. Assumptions'!$B$68)*C5)</formula>
    </cfRule>
  </conditionalFormatting>
  <dataValidations count="4">
    <dataValidation sqref="B5 B6 B8 B11 B12 B16 B17 B18 D5 D6 D7 D8" showDropDown="0" showInputMessage="0" showErrorMessage="1" allowBlank="1" errorTitle="Invalid amount" error="Enter a number greater than or equal to 0." type="decimal" operator="greaterThanOrEqual">
      <formula1>0</formula1>
    </dataValidation>
    <dataValidation sqref="B19" showDropDown="0" showInputMessage="0" showErrorMessage="1" allowBlank="1" errorTitle="Invalid value" error="Enter a number greater than or equal to 0; this cell accepts decimals (1.7 people is an average presence, not a person and a half)." type="decimal" operator="greaterThanOrEqual">
      <formula1>0</formula1>
    </dataValidation>
    <dataValidation sqref="C5 C6 C7 C8" showDropDown="0" showInputMessage="0" showErrorMessage="1" allowBlank="1" errorTitle="Invalid percentage" error="Enter a percentage between 0 and 1 (0.35 = 35%)." type="decimal" operator="between">
      <formula1>0</formula1>
      <formula2>1</formula2>
    </dataValidation>
    <dataValidation sqref="B7" showDropDown="0" showInputMessage="0" showErrorMessage="1" allowBlank="1" errorTitle="Invalid count" error="Enter a WHOLE number of 1 or more: this cell is a count and several formulas divide by it." type="whole" operator="between">
      <formula1>1</formula1>
      <formula2>100000</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4"/>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5" t="inlineStr">
        <is>
          <t>HOW TO USE THIS WORKBOOK — BBQ Catering Financial Projections</t>
        </is>
      </c>
      <c r="B1" s="28" t="n"/>
      <c r="C1" s="28" t="n"/>
      <c r="D1" s="28" t="n"/>
      <c r="E1" s="28" t="n"/>
    </row>
    <row r="2">
      <c r="A2" s="28" t="n"/>
      <c r="B2" s="28" t="n"/>
      <c r="C2" s="28" t="n"/>
      <c r="D2" s="28" t="n"/>
      <c r="E2" s="28" t="n"/>
    </row>
    <row r="3">
      <c r="A3" s="39" t="inlineStr">
        <is>
          <t>HOW TO USE THIS WORKBOOK</t>
        </is>
      </c>
      <c r="B3" s="28" t="n"/>
      <c r="C3" s="28" t="n"/>
      <c r="D3" s="28" t="n"/>
      <c r="E3" s="28" t="n"/>
    </row>
    <row r="4" ht="30" customHeight="1">
      <c r="A4" s="46" t="inlineStr">
        <is>
          <t>This financial plan is a MODEL: you type only in the GREEN cells and everything else recalculates on its own.</t>
        </is>
      </c>
      <c r="B4" s="28" t="n"/>
      <c r="C4" s="28" t="n"/>
      <c r="D4" s="28" t="n"/>
      <c r="E4" s="28" t="n"/>
    </row>
    <row r="5" ht="59.75" customHeight="1">
      <c r="A5" s="46" t="inlineStr">
        <is>
          <t>1. "0. Assumptions" is the control sheet: events per year, price per guest excl. sales tax, guests per event, the mix of BBQ packages and add-ons, cost of goods sold, commissary and smoker trailer parking, financing and taxes.</t>
        </is>
      </c>
      <c r="B5" s="28" t="n"/>
      <c r="C5" s="28" t="n"/>
      <c r="D5" s="28" t="n"/>
      <c r="E5" s="28" t="n"/>
    </row>
    <row r="6" ht="45" customHeight="1">
      <c r="A6" s="46" t="inlineStr">
        <is>
          <t>2. Startup cost items, fixed costs and staffing are typed in their own tab, also in green. No number is typed twice.</t>
        </is>
      </c>
      <c r="B6" s="28" t="n"/>
      <c r="C6" s="28" t="n"/>
      <c r="D6" s="28" t="n"/>
      <c r="E6" s="28" t="n"/>
    </row>
    <row r="7" ht="104.75" customHeight="1">
      <c r="A7" s="46" t="inlineStr">
        <is>
          <t>3. Only "Break-Even" is derived entirely from the rest. The other three tabs also have green cells you can edit: the pessimistic and optimistic scenarios in "Scenarios", seasonality and the launch ramp-up in "12-Month Cash Flow", and the other funding sources in "Financing" (rows 8-11 count as sources but are not amortized: your bank or SBA 7(a) loan goes in "Loan requested" on "0. Assumptions"). Everything else is calculated.</t>
        </is>
      </c>
      <c r="B7" s="28" t="n"/>
      <c r="C7" s="28" t="n"/>
      <c r="D7" s="28" t="n"/>
      <c r="E7" s="28" t="n"/>
    </row>
    <row r="8" ht="210" customHeight="1">
      <c r="A8" s="46" t="inlineStr">
        <is>
          <t>4. All figures are EXCL. SALES TAX. To turn a quoted price into a price excl. sales tax, divide it by 1 + your sales tax rate (with an 8% rate, divide by 1.08); if an item is taxed at a different rate in your state, use that rate. In many states the whole catering invoice is taxable, including staff and rentals; check yours. The rate of each sales line is in the "Sales tax rate on the line (%)" column of the P&amp;L, and from it come the receipts, the sales tax collected and the equivalent price per guest incl. sales tax. With the default 0% recoverable input tax, the sales tax you pay on purchases and startup costs is treated as a cost; in the UK, enter 20% if you are VAT-registered.</t>
        </is>
      </c>
      <c r="B8" s="28" t="n"/>
      <c r="C8" s="28" t="n"/>
      <c r="D8" s="28" t="n"/>
      <c r="E8" s="28" t="n"/>
    </row>
    <row r="9" ht="30" customHeight="1">
      <c r="A9" s="46" t="inlineStr">
        <is>
          <t>5. If you change the staffing, the P&amp;L reads it on its own: labor cost comes from the "Staffing" tab, not from a separate estimate.</t>
        </is>
      </c>
      <c r="B9" s="28" t="n"/>
      <c r="C9" s="28" t="n"/>
      <c r="D9" s="28" t="n"/>
      <c r="E9" s="28" t="n"/>
    </row>
    <row r="10" ht="45" customHeight="1">
      <c r="A10" s="46" t="inlineStr">
        <is>
          <t>6. The "12-Month Cash Flow" tab answers the question that decides a bank deal: in which month the cash runs out. The minimum balance of the year can never be in red.</t>
        </is>
      </c>
      <c r="B10" s="28" t="n"/>
      <c r="C10" s="28" t="n"/>
      <c r="D10" s="28" t="n"/>
      <c r="E10" s="28" t="n"/>
    </row>
    <row r="11" ht="45" customHeight="1">
      <c r="A11" s="46" t="inlineStr">
        <is>
          <t>7. The "Financing" tab matches what you need with what you put in and builds the amortization schedule of the loan. If the difference is red, the plan is not funded.</t>
        </is>
      </c>
      <c r="B11" s="28" t="n"/>
      <c r="C11" s="28" t="n"/>
      <c r="D11" s="28" t="n"/>
      <c r="E11" s="28" t="n"/>
    </row>
    <row r="12" ht="59.75" customHeight="1">
      <c r="A12" s="46" t="inlineStr">
        <is>
          <t>8. The Word business plan in this kit uses the same example figures as this workbook. The workbook is the one that recalculates on its own when you change a green cell: if you change one, update the matching figures in the Word document.</t>
        </is>
      </c>
      <c r="B12" s="28" t="n"/>
      <c r="C12" s="28" t="n"/>
      <c r="D12" s="28" t="n"/>
      <c r="E12" s="28" t="n"/>
    </row>
    <row r="13">
      <c r="A13" s="28" t="n"/>
      <c r="B13" s="28" t="n"/>
      <c r="C13" s="28" t="n"/>
      <c r="D13" s="28" t="n"/>
      <c r="E13" s="28" t="n"/>
    </row>
    <row r="14">
      <c r="A14" s="25" t="inlineStr">
        <is>
          <t>RATIOS AUDITED BY THIS WORKBOOK</t>
        </is>
      </c>
      <c r="B14" s="28" t="n"/>
      <c r="C14" s="28" t="n"/>
      <c r="D14" s="28" t="n"/>
      <c r="E14" s="28" t="n"/>
    </row>
    <row r="15" ht="30" customHeight="1">
      <c r="A15" s="46" t="inlineStr">
        <is>
          <t>Thresholds live in the "Threshold" column of the KEY RATIOS block of the P&amp;L: change them there and the traffic light changes with them.</t>
        </is>
      </c>
      <c r="B15" s="28" t="n"/>
      <c r="C15" s="28" t="n"/>
      <c r="D15" s="28" t="n"/>
      <c r="E15" s="28" t="n"/>
    </row>
    <row r="16">
      <c r="A16" s="28" t="n"/>
      <c r="B16" s="28" t="n"/>
      <c r="C16" s="28" t="n"/>
      <c r="D16" s="28" t="n"/>
      <c r="E16" s="28" t="n"/>
    </row>
    <row r="17">
      <c r="A17" s="25" t="inlineStr">
        <is>
          <t>Ratio</t>
        </is>
      </c>
      <c r="B17" s="25" t="inlineStr">
        <is>
          <t>Year 1 value</t>
        </is>
      </c>
      <c r="C17" s="25" t="inlineStr">
        <is>
          <t>Threshold</t>
        </is>
      </c>
      <c r="D17" s="25" t="inlineStr">
        <is>
          <t>Status</t>
        </is>
      </c>
      <c r="E17" s="28" t="n"/>
    </row>
    <row r="18">
      <c r="A18" s="28" t="inlineStr">
        <is>
          <t>Cost of goods sold / Sales</t>
        </is>
      </c>
      <c r="B18" s="68">
        <f>IFERROR(IF('3-Year P&amp;L'!$B$53="","",'3-Year P&amp;L'!$B$53),"")</f>
        <v>0.28840000000000005</v>
      </c>
      <c r="C18" s="68">
        <f>IFERROR(IF('3-Year P&amp;L'!$E$53="","",'3-Year P&amp;L'!$E$53),"")</f>
        <v>0.35</v>
      </c>
      <c r="D18" s="28" t="str">
        <f>IFERROR(IF(OR(B18="",C18=""),"",IF(B18&lt;=C18,"OK","REVIEW")),"")</f>
        <v>OK</v>
      </c>
      <c r="E18" s="28" t="n"/>
    </row>
    <row r="19">
      <c r="A19" t="inlineStr">
        <is>
          <t>Labor cost / Sales</t>
        </is>
      </c>
      <c r="B19" s="65">
        <f>IFERROR(IF('3-Year P&amp;L'!$B$54="","",'3-Year P&amp;L'!$B$54),"")</f>
        <v>0.32674245614035086</v>
      </c>
      <c r="C19" s="65">
        <f>IFERROR(IF('3-Year P&amp;L'!$E$54="","",'3-Year P&amp;L'!$E$54),"")</f>
        <v>0.38</v>
      </c>
      <c r="D19" t="str">
        <f>IFERROR(IF(OR(B19="",C19=""),"",IF(B19&lt;=C19,"OK","REVIEW")),"")</f>
        <v>OK</v>
      </c>
    </row>
    <row r="20">
      <c r="A20" t="inlineStr">
        <is>
          <t>Commissary &amp; parking / Sales</t>
        </is>
      </c>
      <c r="B20" s="65">
        <f>IFERROR(IF('3-Year P&amp;L'!$B$55="","",'3-Year P&amp;L'!$B$55),"")</f>
        <v>0.05052631578947368</v>
      </c>
      <c r="C20" s="65">
        <f>IFERROR(IF('3-Year P&amp;L'!$E$55="","",'3-Year P&amp;L'!$E$55),"")</f>
        <v>0.07</v>
      </c>
      <c r="D20" t="str">
        <f>IFERROR(IF(OR(B20="",C20=""),"",IF(B20&lt;=C20,"OK","REVIEW")),"")</f>
        <v>OK</v>
      </c>
    </row>
    <row r="21">
      <c r="A21" t="inlineStr">
        <is>
          <t>Net income / Sales</t>
        </is>
      </c>
      <c r="B21" s="65">
        <f>IFERROR(IF('3-Year P&amp;L'!$B$56="","",'3-Year P&amp;L'!$B$56),"")</f>
        <v>0.06974591478696736</v>
      </c>
      <c r="C21" s="65">
        <f>IFERROR(IF('3-Year P&amp;L'!$E$56="","",'3-Year P&amp;L'!$E$56),"")</f>
        <v>0.05</v>
      </c>
      <c r="D21" t="str">
        <f>IFERROR(IF(OR(B21="",C21=""),"",IF(B21&gt;=C21,"OK","REVIEW")),"")</f>
        <v>OK</v>
      </c>
    </row>
    <row r="22">
      <c r="A22" t="inlineStr">
        <is>
          <t>Gross margin / Sales</t>
        </is>
      </c>
      <c r="B22" s="65">
        <f>IFERROR(IF('3-Year P&amp;L'!$B$51="","",'3-Year P&amp;L'!$B$51),"")</f>
        <v>0.6075999999999999</v>
      </c>
      <c r="C22" s="65">
        <f>IFERROR(IF('3-Year P&amp;L'!$E$51="","",'3-Year P&amp;L'!$E$51),"")</f>
        <v>0.58</v>
      </c>
      <c r="D22" t="str">
        <f>IFERROR(IF(OR(B22="",C22=""),"",IF(B22&gt;=C22,"OK","REVIEW")),"")</f>
        <v>OK</v>
      </c>
    </row>
    <row r="24">
      <c r="A24" s="16" t="inlineStr">
        <is>
          <t>THIS PLAN'S KEY FIGURES</t>
        </is>
      </c>
    </row>
    <row r="25">
      <c r="A25" t="inlineStr">
        <is>
          <t>Total startup costs (sum of the blocks)</t>
        </is>
      </c>
      <c r="B25" s="42">
        <f>IFERROR(IF('Startup Costs'!$B$26="","",'Startup Costs'!$B$26),"")</f>
        <v>135670.6</v>
      </c>
    </row>
    <row r="26">
      <c r="A26" t="inlineStr">
        <is>
          <t>Total cash needed at launch</t>
        </is>
      </c>
      <c r="B26" s="42">
        <f>IFERROR(IF('Startup Costs'!$B$29="","",'Startup Costs'!$B$29),"")</f>
        <v>135670.6</v>
      </c>
    </row>
    <row r="27">
      <c r="A27" t="inlineStr">
        <is>
          <t>Working capital funded</t>
        </is>
      </c>
      <c r="B27" s="42">
        <f>IFERROR(IF('Startup Costs'!$B$25="","",'Startup Costs'!$B$25),"")</f>
        <v>52370.6</v>
      </c>
    </row>
    <row r="28">
      <c r="A28" t="inlineStr">
        <is>
          <t>Forecast year-1 revenue</t>
        </is>
      </c>
      <c r="B28" s="42">
        <f>IFERROR(IF('3-Year P&amp;L'!$B$9="","",'3-Year P&amp;L'!$B$9),"")</f>
        <v>427500.0</v>
      </c>
    </row>
    <row r="29">
      <c r="A29" t="inlineStr">
        <is>
          <t>Year-1 net income</t>
        </is>
      </c>
      <c r="B29" s="42">
        <f>IFERROR(IF('3-Year P&amp;L'!$B$48="","",'3-Year P&amp;L'!$B$48),"")</f>
        <v>29816.378571428548</v>
      </c>
    </row>
    <row r="30">
      <c r="A30" t="inlineStr">
        <is>
          <t>Events per year for the ACCOUNTING break-even (depreciation included)</t>
        </is>
      </c>
      <c r="B30" s="48">
        <f>IFERROR(IF('Break-Even'!$B$15="","",'Break-Even'!$B$15),"")</f>
        <v>127.04216103128131</v>
      </c>
    </row>
    <row r="31">
      <c r="A31" t="inlineStr">
        <is>
          <t>Project payback (years), before debt</t>
        </is>
      </c>
      <c r="B31">
        <f>IFERROR(IF('12-Month Cash Flow'!$B$31="","",'12-Month Cash Flow'!$B$31),"")</f>
        <v>2.2</v>
      </c>
    </row>
    <row r="33">
      <c r="A33" s="16" t="inlineStr">
        <is>
          <t>WHY THIS MODEL IS BUILT THIS WAY</t>
        </is>
      </c>
    </row>
    <row r="34">
      <c r="A34" s="16" t="inlineStr">
        <is>
          <t>Item</t>
        </is>
      </c>
      <c r="B34" s="16" t="inlineStr">
        <is>
          <t>Common shortcut</t>
        </is>
      </c>
      <c r="C34" s="16" t="inlineStr">
        <is>
          <t>This workbook</t>
        </is>
      </c>
      <c r="D34" s="16" t="inlineStr">
        <is>
          <t>Why</t>
        </is>
      </c>
    </row>
    <row r="35" ht="60" customHeight="1">
      <c r="A35" s="58" t="inlineStr">
        <is>
          <t>Labor cost in the P&amp;L</t>
        </is>
      </c>
      <c r="B35" s="58" t="inlineStr">
        <is>
          <t>A typed-in number that does not match the Staffing tab</t>
        </is>
      </c>
      <c r="C35" s="58" t="inlineStr">
        <is>
          <t>Read directly from the Staffing tab</t>
        </is>
      </c>
      <c r="D35" s="17" t="inlineStr">
        <is>
          <t>If you change a salary, the whole plan recalculates, so the P&amp;L and the staffing table can never disagree.</t>
        </is>
      </c>
    </row>
    <row r="36" ht="75" customHeight="1">
      <c r="A36" s="58" t="inlineStr">
        <is>
          <t>Staffing</t>
        </is>
      </c>
      <c r="B36" s="58" t="inlineStr">
        <is>
          <t>One line called "staff", with no link to event hours or pay floors</t>
        </is>
      </c>
      <c r="C36" s="58" t="inlineStr">
        <is>
          <t>Positions with their FTE, sized to the hours your events need, with event staff paid per event</t>
        </is>
      </c>
      <c r="D36" s="17" t="inlineStr">
        <is>
          <t>A plan staffed for fewer hours than it sells does not work on its own numbers. This layout makes that gap visible before a lender does.</t>
        </is>
      </c>
    </row>
    <row r="37" ht="60" customHeight="1">
      <c r="A37" s="58" t="inlineStr">
        <is>
          <t>Events, guests and price</t>
        </is>
      </c>
      <c r="B37" s="58" t="inlineStr">
        <is>
          <t>Sales typed as one lump sum, with no link to bookings</t>
        </is>
      </c>
      <c r="C37" s="58" t="inlineStr">
        <is>
          <t>Revenue = events per year × guests per event × price per guest, one cell each for the whole workbook</t>
        </is>
      </c>
      <c r="D37" s="17" t="inlineStr">
        <is>
          <t>Break-even, scenarios and the P&amp;L read the same three cells, so they always agree, and you can see which lever moves the result: more events, bigger events or a higher price.</t>
        </is>
      </c>
    </row>
    <row r="38" ht="60" customHeight="1">
      <c r="A38" s="58" t="inlineStr">
        <is>
          <t>Price per guest</t>
        </is>
      </c>
      <c r="B38" s="58" t="inlineStr">
        <is>
          <t>A price with no statement of whether sales tax or service is included</t>
        </is>
      </c>
      <c r="C38" s="58" t="inlineStr">
        <is>
          <t>Declared EXCL. sales tax, with service included and the voluntary gratuity left out</t>
        </is>
      </c>
      <c r="D38" s="17" t="inlineStr">
        <is>
          <t>Declaring it changes no number: it just says what the number is. Price per guest incl. sales tax = price per guest × (1 + sales tax rate), and the workbook calculates it for you.</t>
        </is>
      </c>
    </row>
    <row r="39" ht="60" customHeight="1">
      <c r="A39" s="58" t="inlineStr">
        <is>
          <t>Commissary kitchen and smoker trailer parking</t>
        </is>
      </c>
      <c r="B39" s="58" t="inlineStr">
        <is>
          <t>Left out: the model shows no cost of space</t>
        </is>
      </c>
      <c r="C39" s="58" t="inlineStr">
        <is>
          <t>A monthly commissary cost (hours + storage) and the parking spot for the smoker trailer, plus a deposit and rent for the months before opening</t>
        </is>
      </c>
      <c r="D39" s="17" t="inlineStr">
        <is>
          <t>Smoked meat has to be cooked in a permitted kitchen, not at home, so a commissary or shared kitchen is a real recurring cost. Leaving it out makes the business look like it has no occupancy cost.</t>
        </is>
      </c>
    </row>
    <row r="40" ht="45" customHeight="1">
      <c r="A40" s="58" t="inlineStr">
        <is>
          <t>Working capital</t>
        </is>
      </c>
      <c r="B40" s="58" t="inlineStr">
        <is>
          <t>A round number labeled "3 months" that does not match the fixed costs</t>
        </is>
      </c>
      <c r="C40" s="58" t="inlineStr">
        <is>
          <t>Three months of cash fixed costs, calculated by formula</t>
        </is>
      </c>
      <c r="D40" s="17" t="inlineStr">
        <is>
          <t>A round number often covers far less than the label says. This cushion is what keeps you open through a slow month between wedding seasons.</t>
        </is>
      </c>
    </row>
    <row r="41" ht="60" customHeight="1">
      <c r="A41" s="58" t="inlineStr">
        <is>
          <t>Depreciation</t>
        </is>
      </c>
      <c r="B41" s="58" t="inlineStr">
        <is>
          <t>One useful life for everything, including items that are not fixed assets</t>
        </is>
      </c>
      <c r="C41" s="58" t="inlineStr">
        <is>
          <t>Two useful lives: the smoker trailer, the van and their upfits on one, and the live-fire rig and the equipment on the other. The Startup Costs tab calculates the annual charge.</t>
        </is>
      </c>
      <c r="D41" s="17" t="inlineStr">
        <is>
          <t>The trailer and the van wear out at a different speed than the rig and the equipment. Working capital, opening inventory and launch marketing are not fixed assets, so they are not depreciated.</t>
        </is>
      </c>
    </row>
    <row r="42" ht="30" customHeight="1">
      <c r="A42" s="58" t="inlineStr">
        <is>
          <t>Smoker trailer and van insurance, and liability</t>
        </is>
      </c>
      <c r="B42" s="58" t="inlineStr">
        <is>
          <t>Counted twice: once in startup costs and again as an annual expense</t>
        </is>
      </c>
      <c r="C42" s="58" t="inlineStr">
        <is>
          <t>Counted once, as an annual expense</t>
        </is>
      </c>
      <c r="D42" s="17" t="inlineStr">
        <is>
          <t>Counting a premium in both places inflates the startup costs, the cash you need to raise and the loan you ask for.</t>
        </is>
      </c>
    </row>
    <row r="43" ht="45" customHeight="1">
      <c r="A43" s="58" t="inlineStr">
        <is>
          <t>Wood, charcoal and propane backup</t>
        </is>
      </c>
      <c r="B43" s="58" t="inlineStr">
        <is>
          <t>A separate fuel line, on top of utilities</t>
        </is>
      </c>
      <c r="C43" s="58" t="inlineStr">
        <is>
          <t>Included in the disposables, wood and cooking fuel line</t>
        </is>
      </c>
      <c r="D43" s="17" t="inlineStr">
        <is>
          <t>Wood, charcoal and propane backup scale with the pounds of meat you smoke and the number of events: here they live in one percentage of sales, and the rest of the workbook follows.</t>
        </is>
      </c>
    </row>
    <row r="44" ht="30" customHeight="1">
      <c r="A44" s="58" t="inlineStr">
        <is>
          <t>Startup contingency</t>
        </is>
      </c>
      <c r="B44" s="58" t="inlineStr">
        <is>
          <t>A lump sum typed by hand</t>
        </is>
      </c>
      <c r="C44" s="58" t="inlineStr">
        <is>
          <t>A percentage calculated on the smoker trailer, van and upfit lines</t>
        </is>
      </c>
      <c r="D44" s="17" t="inlineStr">
        <is>
          <t>If you change the trailer price, the contingency recalculates instead of staying at the old amount.</t>
        </is>
      </c>
    </row>
    <row r="45" ht="74.75" customHeight="1">
      <c r="A45" s="58" t="inlineStr">
        <is>
          <t>Income tax</t>
        </is>
      </c>
      <c r="B45" s="58" t="inlineStr">
        <is>
          <t>A flat rate every year, with no offset for losses</t>
        </is>
      </c>
      <c r="C45" s="58" t="inlineStr">
        <is>
          <t>One effective rate for years 1-2 and another from year 3, offsetting net operating losses carried forward</t>
        </is>
      </c>
      <c r="D45" s="17" t="inlineStr">
        <is>
          <t>A loss in one year reduces taxable profit in later years. The model offsets losses fully as a simplification (federal rules cap the offset at 80% of taxable income). If you operate as a pass-through (sole proprietorship or LLC), set the rate to 0 and budget your personal tax separately.</t>
        </is>
      </c>
    </row>
    <row r="46" ht="45" customHeight="1">
      <c r="A46" s="58" t="inlineStr">
        <is>
          <t>Loan payment</t>
        </is>
      </c>
      <c r="B46" s="58" t="inlineStr">
        <is>
          <t>The full payment deducted in the P&amp;L</t>
        </is>
      </c>
      <c r="C46" s="58" t="inlineStr">
        <is>
          <t>Only interest in the P&amp;L; principal repaid in the cash flow</t>
        </is>
      </c>
      <c r="D46" s="17" t="inlineStr">
        <is>
          <t>Putting the full payment above the line turns the P&amp;L into a cash flow, and a lender spots it immediately.</t>
        </is>
      </c>
    </row>
    <row r="47" ht="45" customHeight="1">
      <c r="A47" s="58" t="inlineStr">
        <is>
          <t>Financing plan</t>
        </is>
      </c>
      <c r="B47" s="58" t="inlineStr">
        <is>
          <t>None</t>
        </is>
      </c>
      <c r="C47" s="58" t="inlineStr">
        <is>
          <t>A dedicated tab: where the money comes from, what it pays for and the amortization schedule year by year</t>
        </is>
      </c>
      <c r="D47" s="17" t="inlineStr">
        <is>
          <t>It is the sheet a lender asks for next to the P&amp;L, and it warns you when the money you put in falls short of what you need.</t>
        </is>
      </c>
    </row>
    <row r="48" ht="30" customHeight="1">
      <c r="A48" s="58" t="inlineStr">
        <is>
          <t>Month-by-month cash flow</t>
        </is>
      </c>
      <c r="B48" s="58" t="inlineStr">
        <is>
          <t>None</t>
        </is>
      </c>
      <c r="C48" s="58" t="inlineStr">
        <is>
          <t>A 12-month tab: cash in, cash out, quarterly sales tax and the cumulative balance</t>
        </is>
      </c>
      <c r="D48" s="17" t="inlineStr">
        <is>
          <t>It answers the one question that decides a loan: in which month does the business run out of cash?</t>
        </is>
      </c>
    </row>
    <row r="49" ht="45" customHeight="1">
      <c r="A49" s="58" t="inlineStr">
        <is>
          <t>Miscellaneous event costs</t>
        </is>
      </c>
      <c r="B49" s="58" t="inlineStr">
        <is>
          <t>A miscellaneous line typed in among the fixed costs</t>
        </is>
      </c>
      <c r="C49" s="58" t="inlineStr">
        <is>
          <t>A percentage of sales, treated as a variable cost; vehicle and trailer fuel has its own fixed line</t>
        </is>
      </c>
      <c r="D49" s="17" t="inlineStr">
        <is>
          <t>Extra meat, ice and venue parking rise and fall with the number of events: among the fixed costs they would distort the break-even.</t>
        </is>
      </c>
    </row>
    <row r="50" ht="30" customHeight="1">
      <c r="A50" s="58" t="inlineStr">
        <is>
          <t>Cost of goods on all sales</t>
        </is>
      </c>
      <c r="B50" s="58" t="inlineStr">
        <is>
          <t>Revenue with no cost of goods sold attached</t>
        </is>
      </c>
      <c r="C50" s="58" t="inlineStr">
        <is>
          <t>Every sale carries its cost of goods: BBQ packages and add-ons each at their own rate</t>
        </is>
      </c>
      <c r="D50" s="17" t="inlineStr">
        <is>
          <t>A revenue line that pays for no ingredients shows a margin that does not exist.</t>
        </is>
      </c>
    </row>
    <row r="51" ht="45" customHeight="1">
      <c r="A51" s="58" t="inlineStr">
        <is>
          <t>Wages and minimum wage</t>
        </is>
      </c>
      <c r="B51" s="58" t="inlineStr">
        <is>
          <t>Wages never compared with any legal floor</t>
        </is>
      </c>
      <c r="C51" s="58" t="inlineStr">
        <is>
          <t>No row below the pay floor in proportion to its FTE, and a cell for your state or local minimum wage</t>
        </is>
      </c>
      <c r="D51" s="17" t="inlineStr">
        <is>
          <t>State and local minimums are often higher than the federal one: enter yours in "0. Assumptions" and the traffic light warns you when a wage falls short.</t>
        </is>
      </c>
    </row>
    <row r="53">
      <c r="A53" s="16" t="inlineStr">
        <is>
          <t>US BBQ CATERING BENCHMARKS (sourced) AND KIT ESTIMATES</t>
        </is>
      </c>
    </row>
    <row r="54">
      <c r="A54" s="16" t="inlineStr">
        <is>
          <t>Benchmark</t>
        </is>
      </c>
      <c r="B54" s="16" t="inlineStr">
        <is>
          <t>Value</t>
        </is>
      </c>
      <c r="C54" s="16" t="inlineStr">
        <is>
          <t>Source</t>
        </is>
      </c>
      <c r="D54" s="16" t="inlineStr">
        <is>
          <t>Note</t>
        </is>
      </c>
    </row>
    <row r="55" ht="60" customHeight="1">
      <c r="A55" t="inlineStr">
        <is>
          <t>Price per person by service type</t>
        </is>
      </c>
      <c r="B55" t="inlineStr">
        <is>
          <t>$15-$30 drop-off · up to $75 full-service</t>
        </is>
      </c>
      <c r="C55" t="inlineStr">
        <is>
          <t>q39kc.com</t>
        </is>
      </c>
      <c r="D55" s="17" t="inlineStr">
        <is>
          <t>A Kansas City operator in 2023 quoted drop-off from $17.50 per person. The example in this workbook blends drop-off, party, corporate, wedding and live-fire events, so its price per guest sits between the two ends.</t>
        </is>
      </c>
    </row>
    <row r="56" ht="45" customHeight="1">
      <c r="A56" t="inlineStr">
        <is>
          <t>Texas-style BBQ caterer, Los Angeles</t>
        </is>
      </c>
      <c r="B56" t="inlineStr">
        <is>
          <t>$40-$58 parties · $65-$85 weddings, per guest</t>
        </is>
      </c>
      <c r="C56" t="inlineStr">
        <is>
          <t>eventective.com</t>
        </is>
      </c>
      <c r="D56" s="17" t="inlineStr">
        <is>
          <t>30-guest minimum and an event fee of $1,000-$1,200. Prices differ a lot by market: collect three local quotes before you set yours.</t>
        </is>
      </c>
    </row>
    <row r="57" ht="45" customHeight="1">
      <c r="A57" t="inlineStr">
        <is>
          <t>Meat per guest</t>
        </is>
      </c>
      <c r="B57" t="inlineStr">
        <is>
          <t>1/3-1/2 lb (150-225 g)</t>
        </is>
      </c>
      <c r="C57" t="inlineStr">
        <is>
          <t>hutchinsbbq.com; sonnybryans.com; fieryfoodscentral.com</t>
        </is>
      </c>
      <c r="D57" s="17" t="inlineStr">
        <is>
          <t>Cooked weight: 6-8 oz with two or three meats; a floor of 1/4-1/3 lb when there are many sides. The Pricing Calculator buys by raw pounds.</t>
        </is>
      </c>
    </row>
    <row r="58" ht="45" customHeight="1">
      <c r="A58" t="inlineStr">
        <is>
          <t>Net profit margin</t>
        </is>
      </c>
      <c r="B58" t="inlineStr">
        <is>
          <t>7-8%</t>
        </is>
      </c>
      <c r="C58" t="inlineStr">
        <is>
          <t>itsacheckmate.com</t>
        </is>
      </c>
      <c r="D58" s="17" t="inlineStr">
        <is>
          <t>Average for caterers. A new business with a loan to repay starts lower: improve it with more events, bigger events or a higher price per guest.</t>
        </is>
      </c>
    </row>
    <row r="59" ht="59.75" customHeight="1">
      <c r="A59" t="inlineStr">
        <is>
          <t>Smoker yield</t>
        </is>
      </c>
      <c r="B59" t="inlineStr">
        <is>
          <t>About 50% of raw weight</t>
        </is>
      </c>
      <c r="C59" t="inlineStr">
        <is>
          <t>fieryfoodscentral.com</t>
        </is>
      </c>
      <c r="D59" s="17" t="inlineStr">
        <is>
          <t>Brisket and pork butt lose about half their weight in the smoker: 300 guests need roughly 200 lb (91 kg) of raw meat at 1/3 lb cooked per guest; at the calculator's 8 oz, about 270 lb (123 kg). Buy and cost by raw weight.</t>
        </is>
      </c>
    </row>
    <row r="60" ht="45" customHeight="1">
      <c r="A60" t="inlineStr">
        <is>
          <t>Food cost</t>
        </is>
      </c>
      <c r="B60" t="inlineStr">
        <is>
          <t>28-35% of price</t>
        </is>
      </c>
      <c r="C60" t="inlineStr">
        <is>
          <t>galleysolutions.com</t>
        </is>
      </c>
      <c r="D60" s="17" t="inlineStr">
        <is>
          <t>Caterer food cost as a share of the price. Meat prices swing, so re-cost every quote and test the result at the top of the range.</t>
        </is>
      </c>
    </row>
    <row r="61" ht="45" customHeight="1">
      <c r="A61" t="inlineStr">
        <is>
          <t>Smoker trailer price</t>
        </is>
      </c>
      <c r="B61" t="inlineStr">
        <is>
          <t>$8,495-$20,395</t>
        </is>
      </c>
      <c r="C61" t="inlineStr">
        <is>
          <t>yodersmokers.com; webstaurantstore.com</t>
        </is>
      </c>
      <c r="D61" s="17" t="inlineStr">
        <is>
          <t>Offset smokers on a trailer: Yoder Frontiersman at $8,495, $11,295 and $16,295 plus shipping; Meadow Creek TS500 (500-gallon class) at $20,395. Your tow vehicle is extra.</t>
        </is>
      </c>
    </row>
    <row r="62" ht="60" customHeight="1">
      <c r="A62" t="inlineStr">
        <is>
          <t>Corporate marketplace commission</t>
        </is>
      </c>
      <c r="B62" t="inlineStr">
        <is>
          <t>About 15%</t>
        </is>
      </c>
      <c r="C62" t="inlineStr">
        <is>
          <t>Kit estimate</t>
        </is>
      </c>
      <c r="D62" s="17" t="inlineStr">
        <is>
          <t>ezCater lists about 15% on food and delivery, plus card processing. Fees change: check the current schedule before you count on a rate.</t>
        </is>
      </c>
    </row>
    <row r="63" ht="120" customHeight="1">
      <c r="A63" t="inlineStr">
        <is>
          <t>Deposit at booking</t>
        </is>
      </c>
      <c r="B63" t="inlineStr">
        <is>
          <t>50% nonrefundable</t>
        </is>
      </c>
      <c r="C63" t="inlineStr">
        <is>
          <t>eventective.com; hutchinsbbq.com</t>
        </is>
      </c>
      <c r="D63" s="17" t="inlineStr">
        <is>
          <t>Common at booking to hold the date. The balance is due about 72 hours before a party or up to 14 days before a wedding; companies often pay at 30 days. The workbook does not model deposits, so they improve your real cash flow.</t>
        </is>
      </c>
    </row>
    <row r="64" ht="89.75" customHeight="1">
      <c r="A64" t="inlineStr">
        <is>
          <t>Hourly pay (BLS OEWS, May 2025)</t>
        </is>
      </c>
      <c r="B64" t="inlineStr">
        <is>
          <t>$18.62 cooks · $17.37 servers · $30.03 head cooks</t>
        </is>
      </c>
      <c r="C64" t="inlineStr">
        <is>
          <t>bls.gov</t>
        </is>
      </c>
      <c r="D64" s="17" t="inlineStr">
        <is>
          <t>Mean hourly wages for restaurant cooks (35-2014) and nonrestaurant food servers (35-3041), and the median for chefs and head cooks (35-1011); 75th percentile $21.45 for cooks and $18.51 for servers. The plan pays the pit cook near the 75th percentile and the owner/pitmaster below the chefs and head cooks median: the rest comes from profit.</t>
        </is>
      </c>
    </row>
    <row r="65" ht="45" customHeight="1">
      <c r="A65" t="inlineStr">
        <is>
          <t>Shared kitchen rate</t>
        </is>
      </c>
      <c r="B65" t="inlineStr">
        <is>
          <t>$15-$45 per hour</t>
        </is>
      </c>
      <c r="C65" t="inlineStr">
        <is>
          <t>thefoodcorridor.com</t>
        </is>
      </c>
      <c r="D65" s="17" t="inlineStr">
        <is>
          <t>2023 Shared Kitchen Operator Survey; 42% of operators charge $20-$29 per hour. Storage and parking cost extra, and not every kitchen lets you smoke in the yard.</t>
        </is>
      </c>
    </row>
    <row r="66" ht="45" customHeight="1">
      <c r="A66" t="inlineStr">
        <is>
          <t>Guest minimums</t>
        </is>
      </c>
      <c r="B66" t="inlineStr">
        <is>
          <t>20 to 75 guests</t>
        </is>
      </c>
      <c r="C66" t="inlineStr">
        <is>
          <t>eventective.com; hutchinsbbq.com; zola.com</t>
        </is>
      </c>
      <c r="D66" s="17" t="inlineStr">
        <is>
          <t>30 guests at one operator; 75 for full catering and 20 for delivery at another; food from $28 per person with a $500 minimum at a third. Set yours by service style.</t>
        </is>
      </c>
    </row>
    <row r="67" ht="59.75" customHeight="1">
      <c r="A67" t="inlineStr">
        <is>
          <t>Insurance</t>
        </is>
      </c>
      <c r="B67" t="inlineStr">
        <is>
          <t>$45 / $96 / $82 / $204 per month</t>
        </is>
      </c>
      <c r="C67" t="inlineStr">
        <is>
          <t>insureon.com</t>
        </is>
      </c>
      <c r="D67" s="17" t="inlineStr">
        <is>
          <t>Insureon averages for businesses under 5 employees: general liability, BOP, workers' comp and commercial auto. Your quotes will differ; add liquor liability only if your staff pours the client's alcohol.</t>
        </is>
      </c>
    </row>
    <row r="68" ht="45" customHeight="1">
      <c r="A68" t="inlineStr">
        <is>
          <t>Wood and event staff</t>
        </is>
      </c>
      <c r="B68" t="inlineStr">
        <is>
          <t>60-100 lb (27-45 kg) of wood per cook · 1 server per 25-30 guests</t>
        </is>
      </c>
      <c r="C68" t="inlineStr">
        <is>
          <t>Kit estimate</t>
        </is>
      </c>
      <c r="D68" s="17" t="inlineStr">
        <is>
          <t>Wood use varies with the smoker, the weather and the fuel. A buffet needs about one server per 25-30 guests; one pit cook can watch several cooks at once.</t>
        </is>
      </c>
    </row>
    <row r="70">
      <c r="A70" s="59" t="inlineStr">
        <is>
          <t>To edit a cell that is not green: Review → Unprotect Sheet (there is no password).</t>
        </is>
      </c>
    </row>
    <row r="71">
      <c r="A71" s="59" t="inlineStr">
        <is>
          <t>More templates and kits in the catalog at aichef.pro/en/digital-products</t>
        </is>
      </c>
    </row>
    <row r="72">
      <c r="A72" s="59" t="inlineStr">
        <is>
          <t>Designed by John Guerrero — chef and restaurant consultant since 2010, in the kitchen since age 17 · johnguerrero.es</t>
        </is>
      </c>
    </row>
    <row r="73">
      <c r="A73" s="59" t="inlineStr">
        <is>
          <t>Version 2.2 · October 2026 · aichef.pro/en/digital-products/bbq-catering-business-plan · info@aichef.pro</t>
        </is>
      </c>
    </row>
    <row r="74" ht="45" customHeight="1">
      <c r="A74" s="72" t="inlineStr">
        <is>
          <t>Planning tool, not financial, tax or legal advice. Requirements vary by state, county and city — check with your accountant and local authorities.</t>
        </is>
      </c>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OK">
      <formula>NOT(ISERROR(SEARCH("OK",D18)))</formula>
    </cfRule>
    <cfRule type="containsText" priority="2" operator="containsText" dxfId="1" stopIfTrue="1" text="REVIEW">
      <formula>NOT(ISERROR(SEARCH("REVIEW",D18)))</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5" t="inlineStr">
        <is>
          <t>CASH FLOW FORECAST — YEAR 1</t>
        </is>
      </c>
      <c r="B1" s="28" t="n"/>
      <c r="C1" s="28" t="n"/>
      <c r="D1" s="28" t="n"/>
      <c r="E1" s="28" t="n"/>
      <c r="F1" s="28" t="n"/>
      <c r="G1" s="28" t="n"/>
      <c r="H1" s="28" t="n"/>
      <c r="I1" s="28" t="n"/>
      <c r="J1" s="28" t="n"/>
      <c r="K1" s="28" t="n"/>
      <c r="L1" s="28" t="n"/>
      <c r="M1" s="28" t="n"/>
      <c r="N1" s="28" t="n"/>
      <c r="O1" s="28" t="n"/>
    </row>
    <row r="2" ht="59.75" customHeight="1">
      <c r="A2" s="46" t="inlineStr">
        <is>
          <t>The P&amp;L tells you whether the business makes money; this tab tells you whether you have cash left to get to the end of the month. It is the first one a lender looks at.</t>
        </is>
      </c>
      <c r="B2" s="28" t="n"/>
      <c r="C2" s="28" t="n"/>
      <c r="D2" s="28" t="n"/>
      <c r="E2" s="28" t="n"/>
      <c r="F2" s="28" t="n"/>
      <c r="G2" s="28" t="n"/>
      <c r="H2" s="28" t="n"/>
      <c r="I2" s="28" t="n"/>
      <c r="J2" s="28" t="n"/>
      <c r="K2" s="28" t="n"/>
      <c r="L2" s="28" t="n"/>
      <c r="M2" s="28" t="n"/>
      <c r="N2" s="28" t="n"/>
      <c r="O2" s="28" t="n"/>
    </row>
    <row r="3">
      <c r="A3" s="28" t="n"/>
      <c r="B3" s="28" t="n"/>
      <c r="C3" s="28" t="n"/>
      <c r="D3" s="28" t="n"/>
      <c r="E3" s="28" t="n"/>
      <c r="F3" s="28" t="n"/>
      <c r="G3" s="28" t="n"/>
      <c r="H3" s="28" t="n"/>
      <c r="I3" s="28" t="n"/>
      <c r="J3" s="28" t="n"/>
      <c r="K3" s="28" t="n"/>
      <c r="L3" s="28" t="n"/>
      <c r="M3" s="28" t="n"/>
      <c r="N3" s="28" t="n"/>
      <c r="O3" s="28" t="n"/>
    </row>
    <row r="4">
      <c r="A4" s="25" t="inlineStr">
        <is>
          <t>Item</t>
        </is>
      </c>
      <c r="B4" s="25" t="inlineStr">
        <is>
          <t>Month 1</t>
        </is>
      </c>
      <c r="C4" s="25" t="inlineStr">
        <is>
          <t>Month 2</t>
        </is>
      </c>
      <c r="D4" s="25" t="inlineStr">
        <is>
          <t>Month 3</t>
        </is>
      </c>
      <c r="E4" s="25" t="inlineStr">
        <is>
          <t>Month 4</t>
        </is>
      </c>
      <c r="F4" s="25" t="inlineStr">
        <is>
          <t>Month 5</t>
        </is>
      </c>
      <c r="G4" s="25" t="inlineStr">
        <is>
          <t>Month 6</t>
        </is>
      </c>
      <c r="H4" s="25" t="inlineStr">
        <is>
          <t>Month 7</t>
        </is>
      </c>
      <c r="I4" s="25" t="inlineStr">
        <is>
          <t>Month 8</t>
        </is>
      </c>
      <c r="J4" s="25" t="inlineStr">
        <is>
          <t>Month 9</t>
        </is>
      </c>
      <c r="K4" s="25" t="inlineStr">
        <is>
          <t>Month 10</t>
        </is>
      </c>
      <c r="L4" s="25" t="inlineStr">
        <is>
          <t>Month 11</t>
        </is>
      </c>
      <c r="M4" s="25" t="inlineStr">
        <is>
          <t>Month 12</t>
        </is>
      </c>
      <c r="N4" s="25" t="inlineStr">
        <is>
          <t>Year</t>
        </is>
      </c>
      <c r="O4" s="28" t="n"/>
    </row>
    <row r="5">
      <c r="A5" s="28" t="inlineStr">
        <is>
          <t>Monthly seasonality (adds up to 100%)</t>
        </is>
      </c>
      <c r="B5" s="73" t="n">
        <v>0.065</v>
      </c>
      <c r="C5" s="73" t="n">
        <v>0.09</v>
      </c>
      <c r="D5" s="73" t="n">
        <v>0.12</v>
      </c>
      <c r="E5" s="73" t="n">
        <v>0.115</v>
      </c>
      <c r="F5" s="73" t="n">
        <v>0.09</v>
      </c>
      <c r="G5" s="73" t="n">
        <v>0.075</v>
      </c>
      <c r="H5" s="73" t="n">
        <v>0.1</v>
      </c>
      <c r="I5" s="73" t="n">
        <v>0.11</v>
      </c>
      <c r="J5" s="73" t="n">
        <v>0.07000000000000001</v>
      </c>
      <c r="K5" s="73" t="n">
        <v>0.09</v>
      </c>
      <c r="L5" s="73" t="n">
        <v>0.035</v>
      </c>
      <c r="M5" s="73" t="n">
        <v>0.04</v>
      </c>
      <c r="N5" s="68">
        <f>IFERROR(IF('3-Year P&amp;L'!$B$9="","",SUM(B5:M5)),"")</f>
        <v>1.0</v>
      </c>
      <c r="O5" s="28" t="inlineStr">
        <is>
          <t>Share of the year's events per month (100% in total). Month 1 = opening month (March in the example). The 50% deposit is not modeled: it improves real cash.</t>
        </is>
      </c>
    </row>
    <row r="6">
      <c r="A6" s="28" t="inlineStr">
        <is>
          <t>Launch ramp-up (% of steady-state activity)</t>
        </is>
      </c>
      <c r="B6" s="68">
        <f>IFERROR(IF('3-Year P&amp;L'!$B$9="","",MIN(1,'0. Assumptions'!$B$52+(1-'0. Assumptions'!$B$52)*0/MAX(1,'0. Assumptions'!$B$53-1))),"")</f>
        <v>0.5</v>
      </c>
      <c r="C6" s="68">
        <f>IFERROR(IF('3-Year P&amp;L'!$B$9="","",MIN(1,'0. Assumptions'!$B$52+(1-'0. Assumptions'!$B$52)*1/MAX(1,'0. Assumptions'!$B$53-1))),"")</f>
        <v>0.5714285714285714</v>
      </c>
      <c r="D6" s="68">
        <f>IFERROR(IF('3-Year P&amp;L'!$B$9="","",MIN(1,'0. Assumptions'!$B$52+(1-'0. Assumptions'!$B$52)*2/MAX(1,'0. Assumptions'!$B$53-1))),"")</f>
        <v>0.6428571428571428</v>
      </c>
      <c r="E6" s="68">
        <f>IFERROR(IF('3-Year P&amp;L'!$B$9="","",MIN(1,'0. Assumptions'!$B$52+(1-'0. Assumptions'!$B$52)*3/MAX(1,'0. Assumptions'!$B$53-1))),"")</f>
        <v>0.7142857142857143</v>
      </c>
      <c r="F6" s="68">
        <f>IFERROR(IF('3-Year P&amp;L'!$B$9="","",MIN(1,'0. Assumptions'!$B$52+(1-'0. Assumptions'!$B$52)*4/MAX(1,'0. Assumptions'!$B$53-1))),"")</f>
        <v>0.7857142857142857</v>
      </c>
      <c r="G6" s="68">
        <f>IFERROR(IF('3-Year P&amp;L'!$B$9="","",MIN(1,'0. Assumptions'!$B$52+(1-'0. Assumptions'!$B$52)*5/MAX(1,'0. Assumptions'!$B$53-1))),"")</f>
        <v>0.8571428571428572</v>
      </c>
      <c r="H6" s="68">
        <f>IFERROR(IF('3-Year P&amp;L'!$B$9="","",MIN(1,'0. Assumptions'!$B$52+(1-'0. Assumptions'!$B$52)*6/MAX(1,'0. Assumptions'!$B$53-1))),"")</f>
        <v>0.9285714285714286</v>
      </c>
      <c r="I6" s="68">
        <f>IFERROR(IF('3-Year P&amp;L'!$B$9="","",MIN(1,'0. Assumptions'!$B$52+(1-'0. Assumptions'!$B$52)*7/MAX(1,'0. Assumptions'!$B$53-1))),"")</f>
        <v>1.0</v>
      </c>
      <c r="J6" s="68">
        <f>IFERROR(IF('3-Year P&amp;L'!$B$9="","",MIN(1,'0. Assumptions'!$B$52+(1-'0. Assumptions'!$B$52)*8/MAX(1,'0. Assumptions'!$B$53-1))),"")</f>
        <v>1.0</v>
      </c>
      <c r="K6" s="68">
        <f>IFERROR(IF('3-Year P&amp;L'!$B$9="","",MIN(1,'0. Assumptions'!$B$52+(1-'0. Assumptions'!$B$52)*9/MAX(1,'0. Assumptions'!$B$53-1))),"")</f>
        <v>1.0</v>
      </c>
      <c r="L6" s="68">
        <f>IFERROR(IF('3-Year P&amp;L'!$B$9="","",MIN(1,'0. Assumptions'!$B$52+(1-'0. Assumptions'!$B$52)*10/MAX(1,'0. Assumptions'!$B$53-1))),"")</f>
        <v>1.0</v>
      </c>
      <c r="M6" s="68">
        <f>IFERROR(IF('3-Year P&amp;L'!$B$9="","",MIN(1,'0. Assumptions'!$B$52+(1-'0. Assumptions'!$B$52)*11/MAX(1,'0. Assumptions'!$B$53-1))),"")</f>
        <v>1.0</v>
      </c>
      <c r="N6" s="28" t="n"/>
      <c r="O6" s="28" t="inlineStr">
        <is>
          <t>Rises in a straight line from the month-1 percentage to 100% over the number of months you set in Assumptions. With month 1 at 100%, the ramp disappears</t>
        </is>
      </c>
    </row>
    <row r="7">
      <c r="A7" s="28" t="inlineStr">
        <is>
          <t>Split of activity by month (calculated)</t>
        </is>
      </c>
      <c r="B7" s="68">
        <f>IFERROR(IF('3-Year P&amp;L'!$B$9="","",B5*B6/SUMPRODUCT($B$5:$M$5,$B$6:$M$6)),"")</f>
        <v>0.03982494529540482</v>
      </c>
      <c r="C7" s="68">
        <f>IFERROR(IF('3-Year P&amp;L'!$B$9="","",C5*C6/SUMPRODUCT($B$5:$M$5,$B$6:$M$6)),"")</f>
        <v>0.06301969365426695</v>
      </c>
      <c r="D7" s="68">
        <f>IFERROR(IF('3-Year P&amp;L'!$B$9="","",D5*D6/SUMPRODUCT($B$5:$M$5,$B$6:$M$6)),"")</f>
        <v>0.09452954048140043</v>
      </c>
      <c r="E7" s="68">
        <f>IFERROR(IF('3-Year P&amp;L'!$B$9="","",E5*E6/SUMPRODUCT($B$5:$M$5,$B$6:$M$6)),"")</f>
        <v>0.10065645514223195</v>
      </c>
      <c r="F7" s="68">
        <f>IFERROR(IF('3-Year P&amp;L'!$B$9="","",F5*F6/SUMPRODUCT($B$5:$M$5,$B$6:$M$6)),"")</f>
        <v>0.08665207877461707</v>
      </c>
      <c r="G7" s="68">
        <f>IFERROR(IF('3-Year P&amp;L'!$B$9="","",G5*G6/SUMPRODUCT($B$5:$M$5,$B$6:$M$6)),"")</f>
        <v>0.0787746170678337</v>
      </c>
      <c r="H7" s="68">
        <f>IFERROR(IF('3-Year P&amp;L'!$B$9="","",H5*H6/SUMPRODUCT($B$5:$M$5,$B$6:$M$6)),"")</f>
        <v>0.1137855579868709</v>
      </c>
      <c r="I7" s="68">
        <f>IFERROR(IF('3-Year P&amp;L'!$B$9="","",I5*I6/SUMPRODUCT($B$5:$M$5,$B$6:$M$6)),"")</f>
        <v>0.13479212253829323</v>
      </c>
      <c r="J7" s="68">
        <f>IFERROR(IF('3-Year P&amp;L'!$B$9="","",J5*J6/SUMPRODUCT($B$5:$M$5,$B$6:$M$6)),"")</f>
        <v>0.08577680525164115</v>
      </c>
      <c r="K7" s="68">
        <f>IFERROR(IF('3-Year P&amp;L'!$B$9="","",K5*K6/SUMPRODUCT($B$5:$M$5,$B$6:$M$6)),"")</f>
        <v>0.11028446389496717</v>
      </c>
      <c r="L7" s="68">
        <f>IFERROR(IF('3-Year P&amp;L'!$B$9="","",L5*L6/SUMPRODUCT($B$5:$M$5,$B$6:$M$6)),"")</f>
        <v>0.042888402625820575</v>
      </c>
      <c r="M7" s="68">
        <f>IFERROR(IF('3-Year P&amp;L'!$B$9="","",M5*M6/SUMPRODUCT($B$5:$M$5,$B$6:$M$6)),"")</f>
        <v>0.04901531728665208</v>
      </c>
      <c r="N7" s="68">
        <f>IFERROR(IF('3-Year P&amp;L'!$B$9="","",SUM(B7:M7)),"")</f>
        <v>0.9999999999999999</v>
      </c>
      <c r="O7" s="28" t="inlineStr">
        <is>
          <t>Seasonality × ramp-up, normalized to 100%: the YEAR brings in what the P&amp;L says, but split the way a business that has just opened would split it</t>
        </is>
      </c>
    </row>
    <row r="8">
      <c r="A8" s="25" t="inlineStr">
        <is>
          <t>CASH IN</t>
        </is>
      </c>
      <c r="B8" s="28" t="n"/>
      <c r="C8" s="28" t="n"/>
      <c r="D8" s="28" t="n"/>
      <c r="E8" s="28" t="n"/>
      <c r="F8" s="28" t="n"/>
      <c r="G8" s="28" t="n"/>
      <c r="H8" s="28" t="n"/>
      <c r="I8" s="28" t="n"/>
      <c r="J8" s="28" t="n"/>
      <c r="K8" s="28" t="n"/>
      <c r="L8" s="28" t="n"/>
      <c r="M8" s="28" t="n"/>
      <c r="N8" s="28" t="n"/>
      <c r="O8" s="28" t="n"/>
    </row>
    <row r="9">
      <c r="A9" s="28" t="inlineStr">
        <is>
          <t>Sales collected (incl. sales tax collected)</t>
        </is>
      </c>
      <c r="B9" s="40">
        <f>IFERROR(IF('3-Year P&amp;L'!$B$9="","",('3-Year P&amp;L'!$B$9+'3-Year P&amp;L'!$B$9*SUMPRODUCT('3-Year P&amp;L'!$E$10:$E$11,'3-Year P&amp;L'!$G$10:$G$11))*B7*(1-MIN(30,'0. Assumptions'!$B$58)/30)),"")</f>
        <v>14096.835886214441</v>
      </c>
      <c r="C9" s="40">
        <f>IFERROR(IF('3-Year P&amp;L'!$B$9="","",('3-Year P&amp;L'!$B$9+'3-Year P&amp;L'!$B$9*SUMPRODUCT('3-Year P&amp;L'!$E$10:$E$11,'3-Year P&amp;L'!$G$10:$G$11))*(C7*(1-MIN(30,'0. Assumptions'!$B$58)/30)+B7*MIN(30,'0. Assumptions'!$B$58)/30)),"")</f>
        <v>26597.42231947483</v>
      </c>
      <c r="D9" s="40">
        <f>IFERROR(IF('3-Year P&amp;L'!$B$9="","",('3-Year P&amp;L'!$B$9+'3-Year P&amp;L'!$B$9*SUMPRODUCT('3-Year P&amp;L'!$E$10:$E$11,'3-Year P&amp;L'!$G$10:$G$11))*(D7*(1-MIN(30,'0. Assumptions'!$B$58)/30)+C7*MIN(30,'0. Assumptions'!$B$58)/30)),"")</f>
        <v>40249.73304157549</v>
      </c>
      <c r="E9" s="40">
        <f>IFERROR(IF('3-Year P&amp;L'!$B$9="","",('3-Year P&amp;L'!$B$9+'3-Year P&amp;L'!$B$9*SUMPRODUCT('3-Year P&amp;L'!$E$10:$E$11,'3-Year P&amp;L'!$G$10:$G$11))*(E7*(1-MIN(30,'0. Assumptions'!$B$58)/30)+D7*MIN(30,'0. Assumptions'!$B$58)/30)),"")</f>
        <v>45813.032822757115</v>
      </c>
      <c r="F9" s="40">
        <f>IFERROR(IF('3-Year P&amp;L'!$B$9="","",('3-Year P&amp;L'!$B$9+'3-Year P&amp;L'!$B$9*SUMPRODUCT('3-Year P&amp;L'!$E$10:$E$11,'3-Year P&amp;L'!$G$10:$G$11))*(F7*(1-MIN(30,'0. Assumptions'!$B$58)/30)+E7*MIN(30,'0. Assumptions'!$B$58)/30)),"")</f>
        <v>41515.95623632385</v>
      </c>
      <c r="G9" s="40">
        <f>IFERROR(IF('3-Year P&amp;L'!$B$9="","",('3-Year P&amp;L'!$B$9+'3-Year P&amp;L'!$B$9*SUMPRODUCT('3-Year P&amp;L'!$E$10:$E$11,'3-Year P&amp;L'!$G$10:$G$11))*(G7*(1-MIN(30,'0. Assumptions'!$B$58)/30)+F7*MIN(30,'0. Assumptions'!$B$58)/30)),"")</f>
        <v>37218.87964989059</v>
      </c>
      <c r="H9" s="40">
        <f>IFERROR(IF('3-Year P&amp;L'!$B$9="","",('3-Year P&amp;L'!$B$9+'3-Year P&amp;L'!$B$9*SUMPRODUCT('3-Year P&amp;L'!$E$10:$E$11,'3-Year P&amp;L'!$G$10:$G$11))*(H7*(1-MIN(30,'0. Assumptions'!$B$58)/30)+G7*MIN(30,'0. Assumptions'!$B$58)/30)),"")</f>
        <v>48763.06345733041</v>
      </c>
      <c r="I9" s="40">
        <f>IFERROR(IF('3-Year P&amp;L'!$B$9="","",('3-Year P&amp;L'!$B$9+'3-Year P&amp;L'!$B$9*SUMPRODUCT('3-Year P&amp;L'!$E$10:$E$11,'3-Year P&amp;L'!$G$10:$G$11))*(I7*(1-MIN(30,'0. Assumptions'!$B$58)/30)+H7*MIN(30,'0. Assumptions'!$B$58)/30)),"")</f>
        <v>59970.485776805246</v>
      </c>
      <c r="J9" s="40">
        <f>IFERROR(IF('3-Year P&amp;L'!$B$9="","",('3-Year P&amp;L'!$B$9+'3-Year P&amp;L'!$B$9*SUMPRODUCT('3-Year P&amp;L'!$E$10:$E$11,'3-Year P&amp;L'!$G$10:$G$11))*(J7*(1-MIN(30,'0. Assumptions'!$B$58)/30)+I7*MIN(30,'0. Assumptions'!$B$58)/30)),"")</f>
        <v>44883.57111597374</v>
      </c>
      <c r="K9" s="40">
        <f>IFERROR(IF('3-Year P&amp;L'!$B$9="","",('3-Year P&amp;L'!$B$9+'3-Year P&amp;L'!$B$9*SUMPRODUCT('3-Year P&amp;L'!$E$10:$E$11,'3-Year P&amp;L'!$G$10:$G$11))*(K7*(1-MIN(30,'0. Assumptions'!$B$58)/30)+J7*MIN(30,'0. Assumptions'!$B$58)/30)),"")</f>
        <v>48278.126914660825</v>
      </c>
      <c r="L9" s="40">
        <f>IFERROR(IF('3-Year P&amp;L'!$B$9="","",('3-Year P&amp;L'!$B$9+'3-Year P&amp;L'!$B$9*SUMPRODUCT('3-Year P&amp;L'!$E$10:$E$11,'3-Year P&amp;L'!$G$10:$G$11))*(L7*(1-MIN(30,'0. Assumptions'!$B$58)/30)+K7*MIN(30,'0. Assumptions'!$B$58)/30)),"")</f>
        <v>27062.15317286652</v>
      </c>
      <c r="M9" s="40">
        <f>IFERROR(IF('3-Year P&amp;L'!$B$9="","",('3-Year P&amp;L'!$B$9+'3-Year P&amp;L'!$B$9*SUMPRODUCT('3-Year P&amp;L'!$E$10:$E$11,'3-Year P&amp;L'!$G$10:$G$11))*(M7*(1-MIN(30,'0. Assumptions'!$B$58)/30)+L7*MIN(30,'0. Assumptions'!$B$58)/30)),"")</f>
        <v>21970.319474835884</v>
      </c>
      <c r="N9" s="40">
        <f>IFERROR(IF('3-Year P&amp;L'!$B$9="","",SUM(B9:M9)),"")</f>
        <v>456419.5798687089</v>
      </c>
      <c r="O9" s="28" t="inlineStr">
        <is>
          <t>The month's sales plus the sales tax collected, adjusted by the average collection days from the Assumptions tab</t>
        </is>
      </c>
    </row>
    <row r="10">
      <c r="A10" s="25" t="inlineStr">
        <is>
          <t>CASH OUT</t>
        </is>
      </c>
      <c r="B10" s="28" t="n"/>
      <c r="C10" s="28" t="n"/>
      <c r="D10" s="28" t="n"/>
      <c r="E10" s="28" t="n"/>
      <c r="F10" s="28" t="n"/>
      <c r="G10" s="28" t="n"/>
      <c r="H10" s="28" t="n"/>
      <c r="I10" s="28" t="n"/>
      <c r="J10" s="28" t="n"/>
      <c r="K10" s="28" t="n"/>
      <c r="L10" s="28" t="n"/>
      <c r="M10" s="28" t="n"/>
      <c r="N10" s="28" t="n"/>
      <c r="O10" s="28" t="n"/>
    </row>
    <row r="11">
      <c r="A11" s="28" t="inlineStr">
        <is>
          <t>Purchases and variable costs (incl. sales tax)</t>
        </is>
      </c>
      <c r="B11" s="40">
        <f>IFERROR(IF('3-Year P&amp;L'!$B$9="","",-('3-Year P&amp;L'!$B$13*(1+'3-Year P&amp;L'!$G$13)+'3-Year P&amp;L'!$B$14*(1+'3-Year P&amp;L'!$G$14)+'3-Year P&amp;L'!$B$15*(1+'3-Year P&amp;L'!$G$15)+'3-Year P&amp;L'!$B$16*(1+'3-Year P&amp;L'!$G$16)+'3-Year P&amp;L'!$B$17*(1+'3-Year P&amp;L'!$G$17)+'3-Year P&amp;L'!$B$18*(1+'3-Year P&amp;L'!$G$18))*B7*(1-MIN(30,'0. Assumptions'!$B$59)/30)),"")</f>
        <v>-5121.850371991249</v>
      </c>
      <c r="C11" s="40">
        <f>IFERROR(IF('3-Year P&amp;L'!$B$9="","",-('3-Year P&amp;L'!$B$13*(1+'3-Year P&amp;L'!$G$13)+'3-Year P&amp;L'!$B$14*(1+'3-Year P&amp;L'!$G$14)+'3-Year P&amp;L'!$B$15*(1+'3-Year P&amp;L'!$G$15)+'3-Year P&amp;L'!$B$16*(1+'3-Year P&amp;L'!$G$16)+'3-Year P&amp;L'!$B$17*(1+'3-Year P&amp;L'!$G$17)+'3-Year P&amp;L'!$B$18*(1+'3-Year P&amp;L'!$G$18))*(C7*(1-MIN(30,'0. Assumptions'!$B$59)/30)+B7*MIN(30,'0. Assumptions'!$B$59)/30)),"")</f>
        <v>-9663.73010940919</v>
      </c>
      <c r="D11" s="40">
        <f>IFERROR(IF('3-Year P&amp;L'!$B$9="","",-('3-Year P&amp;L'!$B$13*(1+'3-Year P&amp;L'!$G$13)+'3-Year P&amp;L'!$B$14*(1+'3-Year P&amp;L'!$G$14)+'3-Year P&amp;L'!$B$15*(1+'3-Year P&amp;L'!$G$15)+'3-Year P&amp;L'!$B$16*(1+'3-Year P&amp;L'!$G$16)+'3-Year P&amp;L'!$B$17*(1+'3-Year P&amp;L'!$G$17)+'3-Year P&amp;L'!$B$18*(1+'3-Year P&amp;L'!$G$18))*(D7*(1-MIN(30,'0. Assumptions'!$B$59)/30)+C7*MIN(30,'0. Assumptions'!$B$59)/30)),"")</f>
        <v>-14624.06967177243</v>
      </c>
      <c r="E11" s="40">
        <f>IFERROR(IF('3-Year P&amp;L'!$B$9="","",-('3-Year P&amp;L'!$B$13*(1+'3-Year P&amp;L'!$G$13)+'3-Year P&amp;L'!$B$14*(1+'3-Year P&amp;L'!$G$14)+'3-Year P&amp;L'!$B$15*(1+'3-Year P&amp;L'!$G$15)+'3-Year P&amp;L'!$B$16*(1+'3-Year P&amp;L'!$G$16)+'3-Year P&amp;L'!$B$17*(1+'3-Year P&amp;L'!$G$17)+'3-Year P&amp;L'!$B$18*(1+'3-Year P&amp;L'!$G$18))*(E7*(1-MIN(30,'0. Assumptions'!$B$59)/30)+D7*MIN(30,'0. Assumptions'!$B$59)/30)),"")</f>
        <v>-16645.401925601753</v>
      </c>
      <c r="F11" s="40">
        <f>IFERROR(IF('3-Year P&amp;L'!$B$9="","",-('3-Year P&amp;L'!$B$13*(1+'3-Year P&amp;L'!$G$13)+'3-Year P&amp;L'!$B$14*(1+'3-Year P&amp;L'!$G$14)+'3-Year P&amp;L'!$B$15*(1+'3-Year P&amp;L'!$G$15)+'3-Year P&amp;L'!$B$16*(1+'3-Year P&amp;L'!$G$16)+'3-Year P&amp;L'!$B$17*(1+'3-Year P&amp;L'!$G$17)+'3-Year P&amp;L'!$B$18*(1+'3-Year P&amp;L'!$G$18))*(F7*(1-MIN(30,'0. Assumptions'!$B$59)/30)+E7*MIN(30,'0. Assumptions'!$B$59)/30)),"")</f>
        <v>-15084.130765864335</v>
      </c>
      <c r="G11" s="40">
        <f>IFERROR(IF('3-Year P&amp;L'!$B$9="","",-('3-Year P&amp;L'!$B$13*(1+'3-Year P&amp;L'!$G$13)+'3-Year P&amp;L'!$B$14*(1+'3-Year P&amp;L'!$G$14)+'3-Year P&amp;L'!$B$15*(1+'3-Year P&amp;L'!$G$15)+'3-Year P&amp;L'!$B$16*(1+'3-Year P&amp;L'!$G$16)+'3-Year P&amp;L'!$B$17*(1+'3-Year P&amp;L'!$G$17)+'3-Year P&amp;L'!$B$18*(1+'3-Year P&amp;L'!$G$18))*(G7*(1-MIN(30,'0. Assumptions'!$B$59)/30)+F7*MIN(30,'0. Assumptions'!$B$59)/30)),"")</f>
        <v>-13522.859606126916</v>
      </c>
      <c r="H11" s="40">
        <f>IFERROR(IF('3-Year P&amp;L'!$B$9="","",-('3-Year P&amp;L'!$B$13*(1+'3-Year P&amp;L'!$G$13)+'3-Year P&amp;L'!$B$14*(1+'3-Year P&amp;L'!$G$14)+'3-Year P&amp;L'!$B$15*(1+'3-Year P&amp;L'!$G$15)+'3-Year P&amp;L'!$B$16*(1+'3-Year P&amp;L'!$G$16)+'3-Year P&amp;L'!$B$17*(1+'3-Year P&amp;L'!$G$17)+'3-Year P&amp;L'!$B$18*(1+'3-Year P&amp;L'!$G$18))*(H7*(1-MIN(30,'0. Assumptions'!$B$59)/30)+G7*MIN(30,'0. Assumptions'!$B$59)/30)),"")</f>
        <v>-17717.24638949672</v>
      </c>
      <c r="I11" s="40">
        <f>IFERROR(IF('3-Year P&amp;L'!$B$9="","",-('3-Year P&amp;L'!$B$13*(1+'3-Year P&amp;L'!$G$13)+'3-Year P&amp;L'!$B$14*(1+'3-Year P&amp;L'!$G$14)+'3-Year P&amp;L'!$B$15*(1+'3-Year P&amp;L'!$G$15)+'3-Year P&amp;L'!$B$16*(1+'3-Year P&amp;L'!$G$16)+'3-Year P&amp;L'!$B$17*(1+'3-Year P&amp;L'!$G$17)+'3-Year P&amp;L'!$B$18*(1+'3-Year P&amp;L'!$G$18))*(I7*(1-MIN(30,'0. Assumptions'!$B$59)/30)+H7*MIN(30,'0. Assumptions'!$B$59)/30)),"")</f>
        <v>-21789.27649890591</v>
      </c>
      <c r="J11" s="40">
        <f>IFERROR(IF('3-Year P&amp;L'!$B$9="","",-('3-Year P&amp;L'!$B$13*(1+'3-Year P&amp;L'!$G$13)+'3-Year P&amp;L'!$B$14*(1+'3-Year P&amp;L'!$G$14)+'3-Year P&amp;L'!$B$15*(1+'3-Year P&amp;L'!$G$15)+'3-Year P&amp;L'!$B$16*(1+'3-Year P&amp;L'!$G$16)+'3-Year P&amp;L'!$B$17*(1+'3-Year P&amp;L'!$G$17)+'3-Year P&amp;L'!$B$18*(1+'3-Year P&amp;L'!$G$18))*(J7*(1-MIN(30,'0. Assumptions'!$B$59)/30)+I7*MIN(30,'0. Assumptions'!$B$59)/30)),"")</f>
        <v>-16307.697505470464</v>
      </c>
      <c r="K11" s="40">
        <f>IFERROR(IF('3-Year P&amp;L'!$B$9="","",-('3-Year P&amp;L'!$B$13*(1+'3-Year P&amp;L'!$G$13)+'3-Year P&amp;L'!$B$14*(1+'3-Year P&amp;L'!$G$14)+'3-Year P&amp;L'!$B$15*(1+'3-Year P&amp;L'!$G$15)+'3-Year P&amp;L'!$B$16*(1+'3-Year P&amp;L'!$G$16)+'3-Year P&amp;L'!$B$17*(1+'3-Year P&amp;L'!$G$17)+'3-Year P&amp;L'!$B$18*(1+'3-Year P&amp;L'!$G$18))*(K7*(1-MIN(30,'0. Assumptions'!$B$59)/30)+J7*MIN(30,'0. Assumptions'!$B$59)/30)),"")</f>
        <v>-17541.052778993435</v>
      </c>
      <c r="L11" s="40">
        <f>IFERROR(IF('3-Year P&amp;L'!$B$9="","",-('3-Year P&amp;L'!$B$13*(1+'3-Year P&amp;L'!$G$13)+'3-Year P&amp;L'!$B$14*(1+'3-Year P&amp;L'!$G$14)+'3-Year P&amp;L'!$B$15*(1+'3-Year P&amp;L'!$G$15)+'3-Year P&amp;L'!$B$16*(1+'3-Year P&amp;L'!$G$16)+'3-Year P&amp;L'!$B$17*(1+'3-Year P&amp;L'!$G$17)+'3-Year P&amp;L'!$B$18*(1+'3-Year P&amp;L'!$G$18))*(L7*(1-MIN(30,'0. Assumptions'!$B$59)/30)+K7*MIN(30,'0. Assumptions'!$B$59)/30)),"")</f>
        <v>-9832.582319474837</v>
      </c>
      <c r="M11" s="40">
        <f>IFERROR(IF('3-Year P&amp;L'!$B$9="","",-('3-Year P&amp;L'!$B$13*(1+'3-Year P&amp;L'!$G$13)+'3-Year P&amp;L'!$B$14*(1+'3-Year P&amp;L'!$G$14)+'3-Year P&amp;L'!$B$15*(1+'3-Year P&amp;L'!$G$15)+'3-Year P&amp;L'!$B$16*(1+'3-Year P&amp;L'!$G$16)+'3-Year P&amp;L'!$B$17*(1+'3-Year P&amp;L'!$G$17)+'3-Year P&amp;L'!$B$18*(1+'3-Year P&amp;L'!$G$18))*(M7*(1-MIN(30,'0. Assumptions'!$B$59)/30)+L7*MIN(30,'0. Assumptions'!$B$59)/30)),"")</f>
        <v>-7982.549409190373</v>
      </c>
      <c r="N11" s="40">
        <f>IFERROR(IF('3-Year P&amp;L'!$B$9="","",SUM(B11:M11)),"")</f>
        <v>-165832.4473522976</v>
      </c>
      <c r="O11" s="28" t="str">
        <f>IFERROR("Meat, sides and add-on purchases, disposables and cooking fuel, fees and contingencies, each at ITS tax rate (column G of the P&amp;L; 0 in the US, where the sales tax you pay is part of the cost) and with the supplier payment days from ""0. Assumptions""."&amp;IF('0. Assumptions'!$B$59=0,""," With "&amp;TEXT('0. Assumptions'!$B$59,"0")&amp;" payment days, the last purchases of the year are paid next year: the ""Year"" column of this row holds "&amp;TEXT(MAX(0,12-ROUNDUP('0. Assumptions'!$B$59/30,0)),"0")&amp;" months of purchases, not the year's cost."),"")</f>
        <v>Meat, sides and add-on purchases, disposables and cooking fuel, fees and contingencies, each at ITS tax rate (column G of the P&amp;L; 0 in the US, where the sales tax you pay is part of the cost) and with the supplier payment days from "0. Assumptions". With 7 payment days, the last purchases of the year are paid next year: the "Year" column of this row holds 11 months of purchases, not the year's cost.</v>
      </c>
    </row>
    <row r="12">
      <c r="A12" s="28" t="inlineStr">
        <is>
          <t>Operating fixed costs (incl. sales tax)</t>
        </is>
      </c>
      <c r="B12" s="40">
        <f>IFERROR(IF('3-Year P&amp;L'!$B$9="","",-('3-Year P&amp;L'!$B$38-'3-Year P&amp;L'!$B$23-'3-Year P&amp;L'!$B$36-'3-Year P&amp;L'!$B$37+'3-Year P&amp;L'!$B$40)/12),"")</f>
        <v>-4975.0</v>
      </c>
      <c r="C12" s="40">
        <f>IFERROR(IF('3-Year P&amp;L'!$B$9="","",-('3-Year P&amp;L'!$B$38-'3-Year P&amp;L'!$B$23-'3-Year P&amp;L'!$B$36-'3-Year P&amp;L'!$B$37+'3-Year P&amp;L'!$B$40)/12),"")</f>
        <v>-4975.0</v>
      </c>
      <c r="D12" s="40">
        <f>IFERROR(IF('3-Year P&amp;L'!$B$9="","",-('3-Year P&amp;L'!$B$38-'3-Year P&amp;L'!$B$23-'3-Year P&amp;L'!$B$36-'3-Year P&amp;L'!$B$37+'3-Year P&amp;L'!$B$40)/12),"")</f>
        <v>-4975.0</v>
      </c>
      <c r="E12" s="40">
        <f>IFERROR(IF('3-Year P&amp;L'!$B$9="","",-('3-Year P&amp;L'!$B$38-'3-Year P&amp;L'!$B$23-'3-Year P&amp;L'!$B$36-'3-Year P&amp;L'!$B$37+'3-Year P&amp;L'!$B$40)/12),"")</f>
        <v>-4975.0</v>
      </c>
      <c r="F12" s="40">
        <f>IFERROR(IF('3-Year P&amp;L'!$B$9="","",-('3-Year P&amp;L'!$B$38-'3-Year P&amp;L'!$B$23-'3-Year P&amp;L'!$B$36-'3-Year P&amp;L'!$B$37+'3-Year P&amp;L'!$B$40)/12),"")</f>
        <v>-4975.0</v>
      </c>
      <c r="G12" s="40">
        <f>IFERROR(IF('3-Year P&amp;L'!$B$9="","",-('3-Year P&amp;L'!$B$38-'3-Year P&amp;L'!$B$23-'3-Year P&amp;L'!$B$36-'3-Year P&amp;L'!$B$37+'3-Year P&amp;L'!$B$40)/12),"")</f>
        <v>-4975.0</v>
      </c>
      <c r="H12" s="40">
        <f>IFERROR(IF('3-Year P&amp;L'!$B$9="","",-('3-Year P&amp;L'!$B$38-'3-Year P&amp;L'!$B$23-'3-Year P&amp;L'!$B$36-'3-Year P&amp;L'!$B$37+'3-Year P&amp;L'!$B$40)/12),"")</f>
        <v>-4975.0</v>
      </c>
      <c r="I12" s="40">
        <f>IFERROR(IF('3-Year P&amp;L'!$B$9="","",-('3-Year P&amp;L'!$B$38-'3-Year P&amp;L'!$B$23-'3-Year P&amp;L'!$B$36-'3-Year P&amp;L'!$B$37+'3-Year P&amp;L'!$B$40)/12),"")</f>
        <v>-4975.0</v>
      </c>
      <c r="J12" s="40">
        <f>IFERROR(IF('3-Year P&amp;L'!$B$9="","",-('3-Year P&amp;L'!$B$38-'3-Year P&amp;L'!$B$23-'3-Year P&amp;L'!$B$36-'3-Year P&amp;L'!$B$37+'3-Year P&amp;L'!$B$40)/12),"")</f>
        <v>-4975.0</v>
      </c>
      <c r="K12" s="40">
        <f>IFERROR(IF('3-Year P&amp;L'!$B$9="","",-('3-Year P&amp;L'!$B$38-'3-Year P&amp;L'!$B$23-'3-Year P&amp;L'!$B$36-'3-Year P&amp;L'!$B$37+'3-Year P&amp;L'!$B$40)/12),"")</f>
        <v>-4975.0</v>
      </c>
      <c r="L12" s="40">
        <f>IFERROR(IF('3-Year P&amp;L'!$B$9="","",-('3-Year P&amp;L'!$B$38-'3-Year P&amp;L'!$B$23-'3-Year P&amp;L'!$B$36-'3-Year P&amp;L'!$B$37+'3-Year P&amp;L'!$B$40)/12),"")</f>
        <v>-4975.0</v>
      </c>
      <c r="M12" s="40">
        <f>IFERROR(IF('3-Year P&amp;L'!$B$9="","",-('3-Year P&amp;L'!$B$38-'3-Year P&amp;L'!$B$23-'3-Year P&amp;L'!$B$36-'3-Year P&amp;L'!$B$37+'3-Year P&amp;L'!$B$40)/12),"")</f>
        <v>-4975.0</v>
      </c>
      <c r="N12" s="40">
        <f>IFERROR(IF('3-Year P&amp;L'!$B$9="","",SUM(B12:M12)),"")</f>
        <v>-59700.0</v>
      </c>
      <c r="O12" s="28" t="inlineStr">
        <is>
          <t>The fixed costs that leave cash, each with its own tax rate: insurance carries none</t>
        </is>
      </c>
    </row>
    <row r="13">
      <c r="A13" s="28" t="inlineStr">
        <is>
          <t>Payroll and employer payroll taxes</t>
        </is>
      </c>
      <c r="B13" s="40">
        <f>IFERROR(IF('3-Year P&amp;L'!$B$9="","",-'3-Year P&amp;L'!$B$23/MAX(12,'0. Assumptions'!$B$21)*(1+IF(1='0. Assumptions'!$B$60,(MAX(12,'0. Assumptions'!$B$21)-12)/2,0)+IF(1='0. Assumptions'!$B$61,(MAX(12,'0. Assumptions'!$B$21)-12)/2,0))),"")</f>
        <v>-11640.199999999999</v>
      </c>
      <c r="C13" s="40">
        <f>IFERROR(IF('3-Year P&amp;L'!$B$9="","",-'3-Year P&amp;L'!$B$23/MAX(12,'0. Assumptions'!$B$21)*(1+IF(2='0. Assumptions'!$B$60,(MAX(12,'0. Assumptions'!$B$21)-12)/2,0)+IF(2='0. Assumptions'!$B$61,(MAX(12,'0. Assumptions'!$B$21)-12)/2,0))),"")</f>
        <v>-11640.199999999999</v>
      </c>
      <c r="D13" s="40">
        <f>IFERROR(IF('3-Year P&amp;L'!$B$9="","",-'3-Year P&amp;L'!$B$23/MAX(12,'0. Assumptions'!$B$21)*(1+IF(3='0. Assumptions'!$B$60,(MAX(12,'0. Assumptions'!$B$21)-12)/2,0)+IF(3='0. Assumptions'!$B$61,(MAX(12,'0. Assumptions'!$B$21)-12)/2,0))),"")</f>
        <v>-11640.199999999999</v>
      </c>
      <c r="E13" s="40">
        <f>IFERROR(IF('3-Year P&amp;L'!$B$9="","",-'3-Year P&amp;L'!$B$23/MAX(12,'0. Assumptions'!$B$21)*(1+IF(4='0. Assumptions'!$B$60,(MAX(12,'0. Assumptions'!$B$21)-12)/2,0)+IF(4='0. Assumptions'!$B$61,(MAX(12,'0. Assumptions'!$B$21)-12)/2,0))),"")</f>
        <v>-11640.199999999999</v>
      </c>
      <c r="F13" s="40">
        <f>IFERROR(IF('3-Year P&amp;L'!$B$9="","",-'3-Year P&amp;L'!$B$23/MAX(12,'0. Assumptions'!$B$21)*(1+IF(5='0. Assumptions'!$B$60,(MAX(12,'0. Assumptions'!$B$21)-12)/2,0)+IF(5='0. Assumptions'!$B$61,(MAX(12,'0. Assumptions'!$B$21)-12)/2,0))),"")</f>
        <v>-11640.199999999999</v>
      </c>
      <c r="G13" s="40">
        <f>IFERROR(IF('3-Year P&amp;L'!$B$9="","",-'3-Year P&amp;L'!$B$23/MAX(12,'0. Assumptions'!$B$21)*(1+IF(6='0. Assumptions'!$B$60,(MAX(12,'0. Assumptions'!$B$21)-12)/2,0)+IF(6='0. Assumptions'!$B$61,(MAX(12,'0. Assumptions'!$B$21)-12)/2,0))),"")</f>
        <v>-11640.199999999999</v>
      </c>
      <c r="H13" s="40">
        <f>IFERROR(IF('3-Year P&amp;L'!$B$9="","",-'3-Year P&amp;L'!$B$23/MAX(12,'0. Assumptions'!$B$21)*(1+IF(7='0. Assumptions'!$B$60,(MAX(12,'0. Assumptions'!$B$21)-12)/2,0)+IF(7='0. Assumptions'!$B$61,(MAX(12,'0. Assumptions'!$B$21)-12)/2,0))),"")</f>
        <v>-11640.199999999999</v>
      </c>
      <c r="I13" s="40">
        <f>IFERROR(IF('3-Year P&amp;L'!$B$9="","",-'3-Year P&amp;L'!$B$23/MAX(12,'0. Assumptions'!$B$21)*(1+IF(8='0. Assumptions'!$B$60,(MAX(12,'0. Assumptions'!$B$21)-12)/2,0)+IF(8='0. Assumptions'!$B$61,(MAX(12,'0. Assumptions'!$B$21)-12)/2,0))),"")</f>
        <v>-11640.199999999999</v>
      </c>
      <c r="J13" s="40">
        <f>IFERROR(IF('3-Year P&amp;L'!$B$9="","",-'3-Year P&amp;L'!$B$23/MAX(12,'0. Assumptions'!$B$21)*(1+IF(9='0. Assumptions'!$B$60,(MAX(12,'0. Assumptions'!$B$21)-12)/2,0)+IF(9='0. Assumptions'!$B$61,(MAX(12,'0. Assumptions'!$B$21)-12)/2,0))),"")</f>
        <v>-11640.199999999999</v>
      </c>
      <c r="K13" s="40">
        <f>IFERROR(IF('3-Year P&amp;L'!$B$9="","",-'3-Year P&amp;L'!$B$23/MAX(12,'0. Assumptions'!$B$21)*(1+IF(10='0. Assumptions'!$B$60,(MAX(12,'0. Assumptions'!$B$21)-12)/2,0)+IF(10='0. Assumptions'!$B$61,(MAX(12,'0. Assumptions'!$B$21)-12)/2,0))),"")</f>
        <v>-11640.199999999999</v>
      </c>
      <c r="L13" s="40">
        <f>IFERROR(IF('3-Year P&amp;L'!$B$9="","",-'3-Year P&amp;L'!$B$23/MAX(12,'0. Assumptions'!$B$21)*(1+IF(11='0. Assumptions'!$B$60,(MAX(12,'0. Assumptions'!$B$21)-12)/2,0)+IF(11='0. Assumptions'!$B$61,(MAX(12,'0. Assumptions'!$B$21)-12)/2,0))),"")</f>
        <v>-11640.199999999999</v>
      </c>
      <c r="M13" s="40">
        <f>IFERROR(IF('3-Year P&amp;L'!$B$9="","",-'3-Year P&amp;L'!$B$23/MAX(12,'0. Assumptions'!$B$21)*(1+IF(12='0. Assumptions'!$B$60,(MAX(12,'0. Assumptions'!$B$21)-12)/2,0)+IF(12='0. Assumptions'!$B$61,(MAX(12,'0. Assumptions'!$B$21)-12)/2,0))),"")</f>
        <v>-11640.199999999999</v>
      </c>
      <c r="N13" s="40">
        <f>IFERROR(IF('3-Year P&amp;L'!$B$9="","",SUM(B13:M13)),"")</f>
        <v>-139682.4</v>
      </c>
      <c r="O13" s="28" t="inlineStr">
        <is>
          <t>Twelve monthly installments plus extra pay periods in the months you set in Assumptions (only if pay periods &gt; 12). The total for the year is the same as the P&amp;L's</t>
        </is>
      </c>
    </row>
    <row r="14">
      <c r="A14" s="28" t="inlineStr">
        <is>
          <t>Loan interest</t>
        </is>
      </c>
      <c r="B14" s="40">
        <f>IFERROR(IF('3-Year P&amp;L'!$B$9="","",-Financing!$B$44/12),"")</f>
        <v>-841.6666666666666</v>
      </c>
      <c r="C14" s="40">
        <f>IFERROR(IF('3-Year P&amp;L'!$B$9="","",-Financing!$B$44/12),"")</f>
        <v>-841.6666666666666</v>
      </c>
      <c r="D14" s="40">
        <f>IFERROR(IF('3-Year P&amp;L'!$B$9="","",-Financing!$B$44/12),"")</f>
        <v>-841.6666666666666</v>
      </c>
      <c r="E14" s="40">
        <f>IFERROR(IF('3-Year P&amp;L'!$B$9="","",-Financing!$B$44/12),"")</f>
        <v>-841.6666666666666</v>
      </c>
      <c r="F14" s="40">
        <f>IFERROR(IF('3-Year P&amp;L'!$B$9="","",-Financing!$B$44/12),"")</f>
        <v>-841.6666666666666</v>
      </c>
      <c r="G14" s="40">
        <f>IFERROR(IF('3-Year P&amp;L'!$B$9="","",-Financing!$B$44/12),"")</f>
        <v>-841.6666666666666</v>
      </c>
      <c r="H14" s="40">
        <f>IFERROR(IF('3-Year P&amp;L'!$B$9="","",-Financing!$B$44/12),"")</f>
        <v>-841.6666666666666</v>
      </c>
      <c r="I14" s="40">
        <f>IFERROR(IF('3-Year P&amp;L'!$B$9="","",-Financing!$B$44/12),"")</f>
        <v>-841.6666666666666</v>
      </c>
      <c r="J14" s="40">
        <f>IFERROR(IF('3-Year P&amp;L'!$B$9="","",-Financing!$B$44/12),"")</f>
        <v>-841.6666666666666</v>
      </c>
      <c r="K14" s="40">
        <f>IFERROR(IF('3-Year P&amp;L'!$B$9="","",-Financing!$B$44/12),"")</f>
        <v>-841.6666666666666</v>
      </c>
      <c r="L14" s="40">
        <f>IFERROR(IF('3-Year P&amp;L'!$B$9="","",-Financing!$B$44/12),"")</f>
        <v>-841.6666666666666</v>
      </c>
      <c r="M14" s="40">
        <f>IFERROR(IF('3-Year P&amp;L'!$B$9="","",-Financing!$B$44/12),"")</f>
        <v>-841.6666666666666</v>
      </c>
      <c r="N14" s="40">
        <f>IFERROR(IF('3-Year P&amp;L'!$B$9="","",SUM(B14:M14)),"")</f>
        <v>-10100.0</v>
      </c>
      <c r="O14" s="28" t="n"/>
    </row>
    <row r="15">
      <c r="A15" s="28" t="inlineStr">
        <is>
          <t>Loan principal repaid</t>
        </is>
      </c>
      <c r="B15" s="40">
        <f>IFERROR(IF('3-Year P&amp;L'!$B$9="","",-Financing!$B$45/12),"")</f>
        <v>-887.1629558133458</v>
      </c>
      <c r="C15" s="40">
        <f>IFERROR(IF('3-Year P&amp;L'!$B$9="","",-Financing!$B$45/12),"")</f>
        <v>-887.1629558133458</v>
      </c>
      <c r="D15" s="40">
        <f>IFERROR(IF('3-Year P&amp;L'!$B$9="","",-Financing!$B$45/12),"")</f>
        <v>-887.1629558133458</v>
      </c>
      <c r="E15" s="40">
        <f>IFERROR(IF('3-Year P&amp;L'!$B$9="","",-Financing!$B$45/12),"")</f>
        <v>-887.1629558133458</v>
      </c>
      <c r="F15" s="40">
        <f>IFERROR(IF('3-Year P&amp;L'!$B$9="","",-Financing!$B$45/12),"")</f>
        <v>-887.1629558133458</v>
      </c>
      <c r="G15" s="40">
        <f>IFERROR(IF('3-Year P&amp;L'!$B$9="","",-Financing!$B$45/12),"")</f>
        <v>-887.1629558133458</v>
      </c>
      <c r="H15" s="40">
        <f>IFERROR(IF('3-Year P&amp;L'!$B$9="","",-Financing!$B$45/12),"")</f>
        <v>-887.1629558133458</v>
      </c>
      <c r="I15" s="40">
        <f>IFERROR(IF('3-Year P&amp;L'!$B$9="","",-Financing!$B$45/12),"")</f>
        <v>-887.1629558133458</v>
      </c>
      <c r="J15" s="40">
        <f>IFERROR(IF('3-Year P&amp;L'!$B$9="","",-Financing!$B$45/12),"")</f>
        <v>-887.1629558133458</v>
      </c>
      <c r="K15" s="40">
        <f>IFERROR(IF('3-Year P&amp;L'!$B$9="","",-Financing!$B$45/12),"")</f>
        <v>-887.1629558133458</v>
      </c>
      <c r="L15" s="40">
        <f>IFERROR(IF('3-Year P&amp;L'!$B$9="","",-Financing!$B$45/12),"")</f>
        <v>-887.1629558133458</v>
      </c>
      <c r="M15" s="40">
        <f>IFERROR(IF('3-Year P&amp;L'!$B$9="","",-Financing!$B$45/12),"")</f>
        <v>-887.1629558133458</v>
      </c>
      <c r="N15" s="40">
        <f>IFERROR(IF('3-Year P&amp;L'!$B$9="","",SUM(B15:M15)),"")</f>
        <v>-10645.955469760149</v>
      </c>
      <c r="O15" s="28" t="n"/>
    </row>
    <row r="16">
      <c r="A16" s="28" t="inlineStr">
        <is>
          <t>Sales tax collected (memo)</t>
        </is>
      </c>
      <c r="B16" s="40">
        <f>IFERROR(IF('3-Year P&amp;L'!$B$9="","",'3-Year P&amp;L'!$B$9*B7*SUMPRODUCT('3-Year P&amp;L'!$E$10:$E$11,'3-Year P&amp;L'!$G$10:$G$11)),"")</f>
        <v>1362.0131291028447</v>
      </c>
      <c r="C16" s="40">
        <f>IFERROR(IF('3-Year P&amp;L'!$B$9="","",'3-Year P&amp;L'!$B$9*C7*SUMPRODUCT('3-Year P&amp;L'!$E$10:$E$11,'3-Year P&amp;L'!$G$10:$G$11)),"")</f>
        <v>2155.2735229759296</v>
      </c>
      <c r="D16" s="40">
        <f>IFERROR(IF('3-Year P&amp;L'!$B$9="","",'3-Year P&amp;L'!$B$9*D7*SUMPRODUCT('3-Year P&amp;L'!$E$10:$E$11,'3-Year P&amp;L'!$G$10:$G$11)),"")</f>
        <v>3232.9102844638946</v>
      </c>
      <c r="E16" s="40">
        <f>IFERROR(IF('3-Year P&amp;L'!$B$9="","",'3-Year P&amp;L'!$B$9*E7*SUMPRODUCT('3-Year P&amp;L'!$E$10:$E$11,'3-Year P&amp;L'!$G$10:$G$11)),"")</f>
        <v>3442.450765864333</v>
      </c>
      <c r="F16" s="40">
        <f>IFERROR(IF('3-Year P&amp;L'!$B$9="","",'3-Year P&amp;L'!$B$9*F7*SUMPRODUCT('3-Year P&amp;L'!$E$10:$E$11,'3-Year P&amp;L'!$G$10:$G$11)),"")</f>
        <v>2963.5010940919037</v>
      </c>
      <c r="G16" s="40">
        <f>IFERROR(IF('3-Year P&amp;L'!$B$9="","",'3-Year P&amp;L'!$B$9*G7*SUMPRODUCT('3-Year P&amp;L'!$E$10:$E$11,'3-Year P&amp;L'!$G$10:$G$11)),"")</f>
        <v>2694.0919037199124</v>
      </c>
      <c r="H16" s="40">
        <f>IFERROR(IF('3-Year P&amp;L'!$B$9="","",'3-Year P&amp;L'!$B$9*H7*SUMPRODUCT('3-Year P&amp;L'!$E$10:$E$11,'3-Year P&amp;L'!$G$10:$G$11)),"")</f>
        <v>3891.466083150985</v>
      </c>
      <c r="I16" s="40">
        <f>IFERROR(IF('3-Year P&amp;L'!$B$9="","",'3-Year P&amp;L'!$B$9*I7*SUMPRODUCT('3-Year P&amp;L'!$E$10:$E$11,'3-Year P&amp;L'!$G$10:$G$11)),"")</f>
        <v>4609.8905908096285</v>
      </c>
      <c r="J16" s="40">
        <f>IFERROR(IF('3-Year P&amp;L'!$B$9="","",'3-Year P&amp;L'!$B$9*J7*SUMPRODUCT('3-Year P&amp;L'!$E$10:$E$11,'3-Year P&amp;L'!$G$10:$G$11)),"")</f>
        <v>2933.5667396061276</v>
      </c>
      <c r="K16" s="40">
        <f>IFERROR(IF('3-Year P&amp;L'!$B$9="","",'3-Year P&amp;L'!$B$9*K7*SUMPRODUCT('3-Year P&amp;L'!$E$10:$E$11,'3-Year P&amp;L'!$G$10:$G$11)),"")</f>
        <v>3771.728665207877</v>
      </c>
      <c r="L16" s="40">
        <f>IFERROR(IF('3-Year P&amp;L'!$B$9="","",'3-Year P&amp;L'!$B$9*L7*SUMPRODUCT('3-Year P&amp;L'!$E$10:$E$11,'3-Year P&amp;L'!$G$10:$G$11)),"")</f>
        <v>1466.7833698030638</v>
      </c>
      <c r="M16" s="40">
        <f>IFERROR(IF('3-Year P&amp;L'!$B$9="","",'3-Year P&amp;L'!$B$9*M7*SUMPRODUCT('3-Year P&amp;L'!$E$10:$E$11,'3-Year P&amp;L'!$G$10:$G$11)),"")</f>
        <v>1676.3238512035011</v>
      </c>
      <c r="N16" s="40">
        <f>IFERROR(IF('3-Year P&amp;L'!$B$9="","",SUM(B16:M16)),"")</f>
        <v>34200.0</v>
      </c>
      <c r="O16" s="28" t="inlineStr">
        <is>
          <t>Each sales line at ITS OWN rate, read from the sales tax column of the P&amp;L (alcohol to go has its own rate cell in the Assumptions tab)</t>
        </is>
      </c>
    </row>
    <row r="17">
      <c r="A17" s="28" t="inlineStr">
        <is>
          <t>Recoverable input tax (memo)</t>
        </is>
      </c>
      <c r="B17" s="40">
        <f>IFERROR(IF('3-Year P&amp;L'!$B$9="","",'3-Year P&amp;L'!$B$39*B7+'3-Year P&amp;L'!$B$40/12),"")</f>
        <v>0.0</v>
      </c>
      <c r="C17" s="40">
        <f>IFERROR(IF('3-Year P&amp;L'!$B$9="","",'3-Year P&amp;L'!$B$39*C7+'3-Year P&amp;L'!$B$40/12),"")</f>
        <v>0.0</v>
      </c>
      <c r="D17" s="40">
        <f>IFERROR(IF('3-Year P&amp;L'!$B$9="","",'3-Year P&amp;L'!$B$39*D7+'3-Year P&amp;L'!$B$40/12),"")</f>
        <v>0.0</v>
      </c>
      <c r="E17" s="40">
        <f>IFERROR(IF('3-Year P&amp;L'!$B$9="","",'3-Year P&amp;L'!$B$39*E7+'3-Year P&amp;L'!$B$40/12),"")</f>
        <v>0.0</v>
      </c>
      <c r="F17" s="40">
        <f>IFERROR(IF('3-Year P&amp;L'!$B$9="","",'3-Year P&amp;L'!$B$39*F7+'3-Year P&amp;L'!$B$40/12),"")</f>
        <v>0.0</v>
      </c>
      <c r="G17" s="40">
        <f>IFERROR(IF('3-Year P&amp;L'!$B$9="","",'3-Year P&amp;L'!$B$39*G7+'3-Year P&amp;L'!$B$40/12),"")</f>
        <v>0.0</v>
      </c>
      <c r="H17" s="40">
        <f>IFERROR(IF('3-Year P&amp;L'!$B$9="","",'3-Year P&amp;L'!$B$39*H7+'3-Year P&amp;L'!$B$40/12),"")</f>
        <v>0.0</v>
      </c>
      <c r="I17" s="40">
        <f>IFERROR(IF('3-Year P&amp;L'!$B$9="","",'3-Year P&amp;L'!$B$39*I7+'3-Year P&amp;L'!$B$40/12),"")</f>
        <v>0.0</v>
      </c>
      <c r="J17" s="40">
        <f>IFERROR(IF('3-Year P&amp;L'!$B$9="","",'3-Year P&amp;L'!$B$39*J7+'3-Year P&amp;L'!$B$40/12),"")</f>
        <v>0.0</v>
      </c>
      <c r="K17" s="40">
        <f>IFERROR(IF('3-Year P&amp;L'!$B$9="","",'3-Year P&amp;L'!$B$39*K7+'3-Year P&amp;L'!$B$40/12),"")</f>
        <v>0.0</v>
      </c>
      <c r="L17" s="40">
        <f>IFERROR(IF('3-Year P&amp;L'!$B$9="","",'3-Year P&amp;L'!$B$39*L7+'3-Year P&amp;L'!$B$40/12),"")</f>
        <v>0.0</v>
      </c>
      <c r="M17" s="40">
        <f>IFERROR(IF('3-Year P&amp;L'!$B$9="","",'3-Year P&amp;L'!$B$39*M7+'3-Year P&amp;L'!$B$40/12),"")</f>
        <v>0.0</v>
      </c>
      <c r="N17" s="40">
        <f>IFERROR(IF('3-Year P&amp;L'!$B$9="","",SUM(B17:M17)),"")</f>
        <v>0.0</v>
      </c>
      <c r="O17" s="28" t="inlineStr">
        <is>
          <t>Each item at its own rate, read from the tax column of the P&amp;L: insurance and card processing fees carry none</t>
        </is>
      </c>
    </row>
    <row r="18">
      <c r="A18" s="28" t="inlineStr">
        <is>
          <t>Carried forward (capex input tax included)</t>
        </is>
      </c>
      <c r="B18" s="28" t="n"/>
      <c r="C18" s="28" t="n"/>
      <c r="D18" s="28" t="n"/>
      <c r="E18" s="40">
        <f>IFERROR(IF('3-Year P&amp;L'!$B$9="","",'Startup Costs'!$B$28),"")</f>
        <v>0.0</v>
      </c>
      <c r="F18" s="28" t="n"/>
      <c r="G18" s="28" t="n"/>
      <c r="H18" s="40">
        <f>IFERROR(IF('3-Year P&amp;L'!$B$9="","",MAX(0,-E19)),"")</f>
        <v>0.0</v>
      </c>
      <c r="I18" s="28" t="n"/>
      <c r="J18" s="28" t="n"/>
      <c r="K18" s="40">
        <f>IFERROR(IF('3-Year P&amp;L'!$B$9="","",MAX(0,-H19)),"")</f>
        <v>0.0</v>
      </c>
      <c r="L18" s="28" t="n"/>
      <c r="M18" s="28" t="n"/>
      <c r="N18" s="28" t="n"/>
      <c r="O18" s="28" t="inlineStr">
        <is>
          <t>Sales tax paid on STARTUP COSTS enters here: it is offset against the tax collected in later quarters until used up. With 0% recoverable input tax (the US default) this line stays at zero</t>
        </is>
      </c>
    </row>
    <row r="19">
      <c r="A19" s="28" t="inlineStr">
        <is>
          <t>Quarterly sales tax return</t>
        </is>
      </c>
      <c r="B19" s="28" t="n"/>
      <c r="C19" s="28" t="n"/>
      <c r="D19" s="28" t="n"/>
      <c r="E19" s="40">
        <f>IFERROR(IF('3-Year P&amp;L'!$B$9="","",SUM(B16:D16)-SUM(B17:D17)-E18),"")</f>
        <v>6750.1969365426685</v>
      </c>
      <c r="F19" s="28" t="n"/>
      <c r="G19" s="28" t="n"/>
      <c r="H19" s="40">
        <f>IFERROR(IF('3-Year P&amp;L'!$B$9="","",SUM(E16:G16)-SUM(E17:G17)-H18),"")</f>
        <v>9100.043763676149</v>
      </c>
      <c r="I19" s="28" t="n"/>
      <c r="J19" s="28" t="n"/>
      <c r="K19" s="40">
        <f>IFERROR(IF('3-Year P&amp;L'!$B$9="","",SUM(H16:J16)-SUM(H17:J17)-K18),"")</f>
        <v>11434.923413566741</v>
      </c>
      <c r="L19" s="28" t="n"/>
      <c r="M19" s="28" t="n"/>
      <c r="N19" s="28" t="n"/>
      <c r="O19" s="28" t="inlineStr">
        <is>
          <t>Sales tax collected minus recoverable input tax for the quarter, minus what was carried forward. If negative, nothing is paid: it is offset in the next quarter. With 0% recoverable input tax (the US default) it equals the sales tax collected in the quarter</t>
        </is>
      </c>
    </row>
    <row r="20">
      <c r="A20" s="28" t="inlineStr">
        <is>
          <t>Sales tax remitted (quarterly filer)</t>
        </is>
      </c>
      <c r="B20" s="28" t="n"/>
      <c r="C20" s="28" t="n"/>
      <c r="D20" s="28" t="n"/>
      <c r="E20" s="40">
        <f>IFERROR(IF('3-Year P&amp;L'!$B$9="","",IF(E19&lt;=0,"",-E19)),"")</f>
        <v>-6750.1969365426685</v>
      </c>
      <c r="F20" s="28" t="n"/>
      <c r="G20" s="28" t="n"/>
      <c r="H20" s="40">
        <f>IFERROR(IF('3-Year P&amp;L'!$B$9="","",IF(H19&lt;=0,"",-H19)),"")</f>
        <v>-9100.043763676149</v>
      </c>
      <c r="I20" s="28" t="n"/>
      <c r="J20" s="28" t="n"/>
      <c r="K20" s="40">
        <f>IFERROR(IF('3-Year P&amp;L'!$B$9="","",IF(K19&lt;=0,"",-K19)),"")</f>
        <v>-11434.923413566741</v>
      </c>
      <c r="L20" s="28" t="n"/>
      <c r="M20" s="28" t="n"/>
      <c r="N20" s="40">
        <f>IFERROR(IF('3-Year P&amp;L'!$B$9="","",SUM(B20:M20)),"")</f>
        <v>-27285.16411378556</v>
      </c>
      <c r="O20" s="28" t="inlineStr">
        <is>
          <t>Cash only leaves when the quarter's result is positive. Months without a settlement are left blank, not zero. The cell turns RED when the payment takes more cash than is left that month. The model settles quarterly, in the month after each plan quarter (Months 4, 7 and 10, and the fourth quarter in Month 13: April, July, October and January when Month 1 is January): if your state requires monthly filing, expect smaller payments every month instead</t>
        </is>
      </c>
    </row>
    <row r="21">
      <c r="A21" s="25" t="inlineStr">
        <is>
          <t>MONTHLY NET CASH FLOW</t>
        </is>
      </c>
      <c r="B21" s="66">
        <f>IFERROR(IF('3-Year P&amp;L'!$B$9="","",SUM(B9:B15)+IF(B20="",0,B20)),"")</f>
        <v>-9369.044108256818</v>
      </c>
      <c r="C21" s="66">
        <f>IFERROR(IF('3-Year P&amp;L'!$B$9="","",SUM(C9:C15)+IF(C20="",0,C20)),"")</f>
        <v>-1410.3374124143738</v>
      </c>
      <c r="D21" s="66">
        <f>IFERROR(IF('3-Year P&amp;L'!$B$9="","",SUM(D9:D15)+IF(D20="",0,D20)),"")</f>
        <v>7281.633747323052</v>
      </c>
      <c r="E21" s="66">
        <f>IFERROR(IF('3-Year P&amp;L'!$B$9="","",SUM(E9:E15)+IF(E20="",0,E20)),"")</f>
        <v>4073.404338132683</v>
      </c>
      <c r="F21" s="66">
        <f>IFERROR(IF('3-Year P&amp;L'!$B$9="","",SUM(F9:F15)+IF(F20="",0,F20)),"")</f>
        <v>8087.795847979506</v>
      </c>
      <c r="G21" s="66">
        <f>IFERROR(IF('3-Year P&amp;L'!$B$9="","",SUM(G9:G15)+IF(G20="",0,G20)),"")</f>
        <v>5351.990421283659</v>
      </c>
      <c r="H21" s="66">
        <f>IFERROR(IF('3-Year P&amp;L'!$B$9="","",SUM(H9:H15)+IF(H20="",0,H20)),"")</f>
        <v>3601.7436816775335</v>
      </c>
      <c r="I21" s="66">
        <f>IFERROR(IF('3-Year P&amp;L'!$B$9="","",SUM(I9:I15)+IF(I20="",0,I20)),"")</f>
        <v>19837.179655419328</v>
      </c>
      <c r="J21" s="66">
        <f>IFERROR(IF('3-Year P&amp;L'!$B$9="","",SUM(J9:J15)+IF(J20="",0,J20)),"")</f>
        <v>10231.843988023265</v>
      </c>
      <c r="K21" s="66">
        <f>IFERROR(IF('3-Year P&amp;L'!$B$9="","",SUM(K9:K15)+IF(K20="",0,K20)),"")</f>
        <v>958.1210996206373</v>
      </c>
      <c r="L21" s="66">
        <f>IFERROR(IF('3-Year P&amp;L'!$B$9="","",SUM(L9:L15)+IF(L20="",0,L20)),"")</f>
        <v>-1114.4587690883272</v>
      </c>
      <c r="M21" s="66">
        <f>IFERROR(IF('3-Year P&amp;L'!$B$9="","",SUM(M9:M15)+IF(M20="",0,M20)),"")</f>
        <v>-4356.2595568345005</v>
      </c>
      <c r="N21" s="66">
        <f>IFERROR(IF('3-Year P&amp;L'!$B$9="","",SUM(B21:M21)),"")</f>
        <v>43173.612932865646</v>
      </c>
      <c r="O21" s="28" t="n"/>
    </row>
    <row r="22">
      <c r="A22" s="25" t="inlineStr">
        <is>
          <t>CUMULATIVE CASH BALANCE</t>
        </is>
      </c>
      <c r="B22" s="66">
        <f>IFERROR(IF('3-Year P&amp;L'!$B$9="","",'Startup Costs'!$B$25+B21),"")</f>
        <v>43001.55589174318</v>
      </c>
      <c r="C22" s="66">
        <f>IFERROR(IF('3-Year P&amp;L'!$B$9="","",B22+C21),"")</f>
        <v>41591.2184793288</v>
      </c>
      <c r="D22" s="66">
        <f>IFERROR(IF('3-Year P&amp;L'!$B$9="","",C22+D21),"")</f>
        <v>48872.852226651856</v>
      </c>
      <c r="E22" s="66">
        <f>IFERROR(IF('3-Year P&amp;L'!$B$9="","",D22+E21),"")</f>
        <v>52946.25656478454</v>
      </c>
      <c r="F22" s="66">
        <f>IFERROR(IF('3-Year P&amp;L'!$B$9="","",E22+F21),"")</f>
        <v>61034.052412764046</v>
      </c>
      <c r="G22" s="66">
        <f>IFERROR(IF('3-Year P&amp;L'!$B$9="","",F22+G21),"")</f>
        <v>66386.04283404771</v>
      </c>
      <c r="H22" s="66">
        <f>IFERROR(IF('3-Year P&amp;L'!$B$9="","",G22+H21),"")</f>
        <v>69987.78651572524</v>
      </c>
      <c r="I22" s="66">
        <f>IFERROR(IF('3-Year P&amp;L'!$B$9="","",H22+I21),"")</f>
        <v>89824.96617114457</v>
      </c>
      <c r="J22" s="66">
        <f>IFERROR(IF('3-Year P&amp;L'!$B$9="","",I22+J21),"")</f>
        <v>100056.81015916783</v>
      </c>
      <c r="K22" s="66">
        <f>IFERROR(IF('3-Year P&amp;L'!$B$9="","",J22+K21),"")</f>
        <v>101014.93125878846</v>
      </c>
      <c r="L22" s="66">
        <f>IFERROR(IF('3-Year P&amp;L'!$B$9="","",K22+L21),"")</f>
        <v>99900.47248970013</v>
      </c>
      <c r="M22" s="66">
        <f>IFERROR(IF('3-Year P&amp;L'!$B$9="","",L22+M21),"")</f>
        <v>95544.21293286563</v>
      </c>
      <c r="N22" s="28" t="n"/>
      <c r="O22" s="28" t="n"/>
    </row>
    <row r="23">
      <c r="A23" s="28" t="inlineStr">
        <is>
          <t>Minimum balance of the year</t>
        </is>
      </c>
      <c r="B23" s="40">
        <f>IFERROR(IF('3-Year P&amp;L'!$B$9="","",IF(COUNT(B22:M22)=0,"",MIN(B22:M22))),"")</f>
        <v>41591.2184793288</v>
      </c>
      <c r="C23" s="28" t="n"/>
      <c r="D23" s="28" t="inlineStr">
        <is>
          <t>If negative, raise working capital or the loan: you run out of cash</t>
        </is>
      </c>
      <c r="E23" s="28" t="n"/>
      <c r="F23" s="28" t="n"/>
      <c r="G23" s="28" t="n"/>
      <c r="H23" s="28" t="n"/>
      <c r="I23" s="28" t="n"/>
      <c r="J23" s="28" t="n"/>
      <c r="K23" s="28" t="n"/>
      <c r="L23" s="28" t="n"/>
      <c r="M23" s="28" t="n"/>
      <c r="N23" s="28" t="n"/>
      <c r="O23" s="28" t="n"/>
    </row>
    <row r="24">
      <c r="A24" s="28" t="inlineStr">
        <is>
          <t>Month when cash bottoms out</t>
        </is>
      </c>
      <c r="B24" s="40">
        <f>IFERROR(IF('3-Year P&amp;L'!$B$9="","",IF(COUNT(B22:M22)=0,"",MATCH(MIN(B22:M22),B22:M22,0))),"")</f>
        <v>2.0</v>
      </c>
      <c r="C24" s="28" t="n"/>
      <c r="D24" s="28" t="inlineStr">
        <is>
          <t>It answers the question that decides a bank deal: in which month the cash runs out</t>
        </is>
      </c>
      <c r="E24" s="28" t="n"/>
      <c r="F24" s="28" t="n"/>
      <c r="G24" s="28" t="n"/>
      <c r="H24" s="28" t="n"/>
      <c r="I24" s="28" t="n"/>
      <c r="J24" s="28" t="n"/>
      <c r="K24" s="28" t="n"/>
      <c r="L24" s="28" t="n"/>
      <c r="M24" s="28" t="n"/>
      <c r="N24" s="28" t="n"/>
      <c r="O24" s="28" t="n"/>
    </row>
    <row r="25">
      <c r="A25" s="25" t="inlineStr">
        <is>
          <t>RETURN ON INVESTMENT</t>
        </is>
      </c>
      <c r="B25" s="28" t="n"/>
      <c r="C25" s="28" t="n"/>
      <c r="D25" s="28" t="n"/>
      <c r="E25" s="28" t="n"/>
      <c r="F25" s="28" t="n"/>
      <c r="G25" s="28" t="n"/>
      <c r="H25" s="28" t="n"/>
      <c r="I25" s="28" t="n"/>
      <c r="J25" s="28" t="n"/>
      <c r="K25" s="28" t="n"/>
      <c r="L25" s="28" t="n"/>
      <c r="M25" s="28" t="n"/>
      <c r="N25" s="28" t="n"/>
      <c r="O25" s="28" t="n"/>
    </row>
    <row r="26">
      <c r="A26" s="28" t="inlineStr">
        <is>
          <t>Free cash flow before debt, year 1</t>
        </is>
      </c>
      <c r="B26" s="40">
        <f>IFERROR(IF('3-Year P&amp;L'!$B$9="","",'3-Year P&amp;L'!$B$48+'3-Year P&amp;L'!$B$36+Financing!$B$44),"")</f>
        <v>50427.80714285712</v>
      </c>
      <c r="C26" s="28" t="n"/>
      <c r="D26" s="28" t="inlineStr">
        <is>
          <t>Net income plus depreciation (which is not paid) plus that year's interest: principal is not subtracted because this flow is BEFORE debt. The SAME basis as years 2 and 3, so the payback compares like with like</t>
        </is>
      </c>
      <c r="E26" s="28" t="n"/>
      <c r="F26" s="28" t="n"/>
      <c r="G26" s="28" t="n"/>
      <c r="H26" s="28" t="n"/>
      <c r="I26" s="28" t="n"/>
      <c r="J26" s="28" t="n"/>
      <c r="K26" s="28" t="n"/>
      <c r="L26" s="28" t="n"/>
      <c r="M26" s="28" t="n"/>
      <c r="N26" s="28" t="n"/>
      <c r="O26" s="28" t="n"/>
    </row>
    <row r="27">
      <c r="A27" s="28" t="inlineStr">
        <is>
          <t>Free cash flow before debt, year 2</t>
        </is>
      </c>
      <c r="B27" s="40">
        <f>IFERROR(IF('3-Year P&amp;L'!$B$9="","",'3-Year P&amp;L'!$C$48+'3-Year P&amp;L'!$C$36+Financing!$B$46),"")</f>
        <v>69789.06825611315</v>
      </c>
      <c r="C27" s="28" t="n"/>
      <c r="D27" s="28" t="inlineStr">
        <is>
          <t>Net income plus depreciation (which is not paid) plus that year's interest: principal is not subtracted because this flow is BEFORE debt. Without a monthly table, it is an estimate</t>
        </is>
      </c>
      <c r="E27" s="28" t="n"/>
      <c r="F27" s="28" t="n"/>
      <c r="G27" s="28" t="n"/>
      <c r="H27" s="28" t="n"/>
      <c r="I27" s="28" t="n"/>
      <c r="J27" s="28" t="n"/>
      <c r="K27" s="28" t="n"/>
      <c r="L27" s="28" t="n"/>
      <c r="M27" s="28" t="n"/>
      <c r="N27" s="28" t="n"/>
      <c r="O27" s="28" t="n"/>
    </row>
    <row r="28">
      <c r="A28" s="28" t="inlineStr">
        <is>
          <t>Free cash flow before debt, year 3</t>
        </is>
      </c>
      <c r="B28" s="40">
        <f>IFERROR(IF('3-Year P&amp;L'!$B$9="","",'3-Year P&amp;L'!$D$48+'3-Year P&amp;L'!$D$36+Financing!$B$48),"")</f>
        <v>83201.43728069481</v>
      </c>
      <c r="C28" s="28" t="n"/>
      <c r="D28" s="28" t="inlineStr">
        <is>
          <t>Net income plus depreciation (which is not paid) plus that year's interest: principal is not subtracted because this flow is BEFORE debt. Without a monthly table, it is an estimate</t>
        </is>
      </c>
      <c r="E28" s="28" t="n"/>
      <c r="F28" s="28" t="n"/>
      <c r="G28" s="28" t="n"/>
      <c r="H28" s="28" t="n"/>
      <c r="I28" s="28" t="n"/>
      <c r="J28" s="28" t="n"/>
      <c r="K28" s="28" t="n"/>
      <c r="L28" s="28" t="n"/>
      <c r="M28" s="28" t="n"/>
      <c r="N28" s="28" t="n"/>
      <c r="O28" s="28" t="n"/>
    </row>
    <row r="29">
      <c r="A29" s="28" t="inlineStr">
        <is>
          <t>For reference: ACTUAL year-1 cash flow (monthly table, before debt)</t>
        </is>
      </c>
      <c r="B29" s="40">
        <f>IFERROR(IF('3-Year P&amp;L'!$B$9="","",N21+Financing!$B$44+Financing!$B$45),"")</f>
        <v>63919.568402625795</v>
      </c>
      <c r="C29" s="28" t="n"/>
      <c r="D29" s="28" t="inlineStr">
        <is>
          <t>The sum of the twelve monthly net cash flows above, adding back the interest and principal paid that year. It is NOT the one the payback uses: it includes sales tax not yet settled and supplier credit, two things that have to be paid back and that years 2 and 3 do not have</t>
        </is>
      </c>
      <c r="E29" s="28" t="n"/>
      <c r="F29" s="28" t="n"/>
      <c r="G29" s="28" t="n"/>
      <c r="H29" s="28" t="n"/>
      <c r="I29" s="28" t="n"/>
      <c r="J29" s="28" t="n"/>
      <c r="K29" s="28" t="n"/>
      <c r="L29" s="28" t="n"/>
      <c r="M29" s="28" t="n"/>
      <c r="N29" s="28" t="n"/>
      <c r="O29" s="28" t="n"/>
    </row>
    <row r="30">
      <c r="A30" s="28" t="inlineStr">
        <is>
          <t>Investment to recover (net of recoverable input tax)</t>
        </is>
      </c>
      <c r="B30" s="40">
        <f>IFERROR(IF('3-Year P&amp;L'!$B$9="","",'Startup Costs'!$B$29-'Startup Costs'!$B$28),"")</f>
        <v>135670.6</v>
      </c>
      <c r="C30" s="28" t="n"/>
      <c r="D30" s="28" t="inlineStr">
        <is>
          <t>CAPEX plus working capital: the total cash needed MINUS the recoverable input tax on startup costs, which is not lost (it is recovered through the quarterly return, and this tab offsets it quarter by quarter; it is zero in the US default). Working capital is recovered when you close, but until then it is tied up</t>
        </is>
      </c>
      <c r="E30" s="28" t="n"/>
      <c r="F30" s="28" t="n"/>
      <c r="G30" s="28" t="n"/>
      <c r="H30" s="28" t="n"/>
      <c r="I30" s="28" t="n"/>
      <c r="J30" s="28" t="n"/>
      <c r="K30" s="28" t="n"/>
      <c r="L30" s="28" t="n"/>
      <c r="M30" s="28" t="n"/>
      <c r="N30" s="28" t="n"/>
      <c r="O30" s="28" t="n"/>
    </row>
    <row r="31">
      <c r="A31" s="25" t="inlineStr">
        <is>
          <t>Project payback (years), before debt</t>
        </is>
      </c>
      <c r="B31" s="25">
        <f>IFERROR(IF('3-Year P&amp;L'!$B$9="","",IF(B26&gt;=B30,ROUND(B30/B26,1),IF(B26+B27&gt;=B30,ROUND(1+(B30-B26)/B27,1),IF(B26+B27+B28&gt;=B30,ROUND(2+(B30-B26-B27)/B28,1),"Over 3 years")))),"")</f>
        <v>2.2</v>
      </c>
      <c r="C31" s="28" t="n"/>
      <c r="D31" s="25" t="inlineStr">
        <is>
          <t>Measures how long the business takes to repay the investment with what it generates BEFORE paying the lender, on the SAME cash flow basis in all three years. Whether you can afford the loan payment is shown by the DSCR in the Financing tab</t>
        </is>
      </c>
      <c r="E31" s="28" t="n"/>
      <c r="F31" s="28" t="n"/>
      <c r="G31" s="28" t="n"/>
      <c r="H31" s="28" t="n"/>
      <c r="I31" s="28" t="n"/>
      <c r="J31" s="28" t="n"/>
      <c r="K31" s="28" t="n"/>
      <c r="L31" s="28" t="n"/>
      <c r="M31" s="28" t="n"/>
      <c r="N31" s="28" t="n"/>
      <c r="O31" s="28" t="n"/>
    </row>
    <row r="32">
      <c r="A32" s="28" t="inlineStr">
        <is>
          <t>Payback on CAPEX, excluding working capital (years)</t>
        </is>
      </c>
      <c r="B32" s="28">
        <f>IFERROR(IF('3-Year P&amp;L'!$B$9="","",IF(B26&gt;='Startup Costs'!$B$27,ROUND('Startup Costs'!$B$27/B26,1),IF(B26+B27&gt;='Startup Costs'!$B$27,ROUND(1+('Startup Costs'!$B$27-B26)/B27,1),IF(B26+B27+B28&gt;='Startup Costs'!$B$27,ROUND(2+('Startup Costs'!$B$27-B26-B27)/B28,1),"Over 3 years")))),"")</f>
        <v>1.5</v>
      </c>
      <c r="C32" s="28" t="n"/>
      <c r="D32" s="28" t="inlineStr">
        <is>
          <t>The same calculation on what you BUY (smoker trailer, van, upfits, live-fire rig, equipment, launch and formation costs), without working capital: that money is not spent, it is tied up and comes back when the business closes. For reference only: the payback that matters is the one above</t>
        </is>
      </c>
      <c r="E32" s="28" t="n"/>
      <c r="F32" s="28" t="n"/>
      <c r="G32" s="28" t="n"/>
      <c r="H32" s="28" t="n"/>
      <c r="I32" s="28" t="n"/>
      <c r="J32" s="28" t="n"/>
      <c r="K32" s="28" t="n"/>
      <c r="L32" s="28" t="n"/>
      <c r="M32" s="28" t="n"/>
      <c r="N32" s="28" t="n"/>
      <c r="O32" s="28" t="n"/>
    </row>
    <row r="33">
      <c r="A33" s="28" t="n"/>
      <c r="B33" s="28" t="n"/>
      <c r="C33" s="28" t="n"/>
      <c r="D33" s="28" t="n"/>
      <c r="E33" s="28" t="n"/>
      <c r="F33" s="28" t="n"/>
      <c r="G33" s="28" t="n"/>
      <c r="H33" s="28" t="n"/>
      <c r="I33" s="28" t="n"/>
      <c r="J33" s="28" t="n"/>
      <c r="K33" s="28" t="n"/>
      <c r="L33" s="28" t="n"/>
      <c r="M33" s="28" t="n"/>
      <c r="N33" s="28" t="n"/>
      <c r="O33" s="28" t="n"/>
    </row>
    <row r="34" ht="134.75" customHeight="1">
      <c r="A34" s="46" t="inlineStr">
        <is>
          <t>Fourth-quarter sales tax is settled in Month 13 (January of the following year when Month 1 is January), so it does not appear in this table. The model pays year-1 income tax in July of year 2 (a simplification: estimated tax payments are usually quarterly). The loan payment is spread in twelve equal parts following the ANNUAL schedule in the Financing tab, and payroll in twelve monthly installments (plus extra pay periods in their month, only if pay periods &gt; 12).</t>
        </is>
      </c>
      <c r="B34" s="28" t="n"/>
      <c r="C34" s="28" t="n"/>
      <c r="D34" s="28" t="n"/>
      <c r="E34" s="28" t="n"/>
      <c r="F34" s="28" t="n"/>
      <c r="G34" s="28" t="n"/>
      <c r="H34" s="28" t="n"/>
      <c r="I34" s="28" t="n"/>
      <c r="J34" s="28" t="n"/>
      <c r="K34" s="28" t="n"/>
      <c r="L34" s="28" t="n"/>
      <c r="M34" s="28" t="n"/>
      <c r="N34" s="28" t="n"/>
      <c r="O34" s="28" t="n"/>
    </row>
    <row r="35">
      <c r="A35" s="28" t="n"/>
      <c r="B35" s="28" t="n"/>
      <c r="C35" s="28" t="n"/>
      <c r="D35" s="28" t="n"/>
      <c r="E35" s="28" t="n"/>
      <c r="F35" s="28" t="n"/>
      <c r="G35" s="28" t="n"/>
      <c r="H35" s="28" t="n"/>
      <c r="I35" s="28" t="n"/>
      <c r="J35" s="28" t="n"/>
      <c r="K35" s="28" t="n"/>
      <c r="L35" s="28" t="n"/>
      <c r="M35" s="28" t="n"/>
      <c r="N35" s="28" t="n"/>
      <c r="O35" s="28" t="n"/>
    </row>
    <row r="36">
      <c r="A36" s="28" t="n"/>
      <c r="B36" s="28" t="n"/>
      <c r="C36" s="28" t="n"/>
      <c r="D36" s="28" t="n"/>
      <c r="E36" s="28" t="n"/>
      <c r="F36" s="28" t="n"/>
      <c r="G36" s="28" t="n"/>
      <c r="H36" s="28" t="n"/>
      <c r="I36" s="28" t="n"/>
      <c r="J36" s="28" t="n"/>
      <c r="K36" s="28" t="n"/>
      <c r="L36" s="28" t="n"/>
      <c r="M36" s="28" t="n"/>
      <c r="N36" s="28" t="n"/>
      <c r="O36" s="28" t="n"/>
    </row>
    <row r="37">
      <c r="A37" s="28" t="n"/>
      <c r="B37" s="28" t="n"/>
      <c r="C37" s="28" t="n"/>
      <c r="D37" s="28" t="n"/>
      <c r="E37" s="28" t="n"/>
      <c r="F37" s="28" t="n"/>
      <c r="G37" s="28" t="n"/>
      <c r="H37" s="28" t="n"/>
      <c r="I37" s="28" t="n"/>
      <c r="J37" s="28" t="n"/>
      <c r="K37" s="28" t="n"/>
      <c r="L37" s="28" t="n"/>
      <c r="M37" s="28" t="n"/>
      <c r="N37" s="28" t="n"/>
      <c r="O37" s="28" t="n"/>
    </row>
    <row r="38">
      <c r="A38" s="28" t="n"/>
      <c r="B38" s="28" t="n"/>
      <c r="C38" s="28" t="n"/>
      <c r="D38" s="28" t="n"/>
      <c r="E38" s="28" t="n"/>
      <c r="F38" s="28" t="n"/>
      <c r="G38" s="28" t="n"/>
      <c r="H38" s="28" t="n"/>
      <c r="I38" s="28" t="n"/>
      <c r="J38" s="28" t="n"/>
      <c r="K38" s="28" t="n"/>
      <c r="L38" s="28" t="n"/>
      <c r="M38" s="28" t="n"/>
      <c r="N38" s="28" t="n"/>
      <c r="O38" s="28" t="n"/>
    </row>
    <row r="39">
      <c r="A39" s="28" t="n"/>
      <c r="B39" s="28" t="n"/>
      <c r="C39" s="28" t="n"/>
      <c r="D39" s="28" t="n"/>
      <c r="E39" s="28" t="n"/>
      <c r="F39" s="28" t="n"/>
      <c r="G39" s="28" t="n"/>
      <c r="H39" s="28" t="n"/>
      <c r="I39" s="28" t="n"/>
      <c r="J39" s="28" t="n"/>
      <c r="K39" s="28" t="n"/>
      <c r="L39" s="28" t="n"/>
      <c r="M39" s="28" t="n"/>
      <c r="N39" s="28" t="n"/>
      <c r="O39" s="28" t="n"/>
    </row>
    <row r="40">
      <c r="A40" s="28" t="n"/>
      <c r="B40" s="28" t="n"/>
      <c r="C40" s="28" t="n"/>
      <c r="D40" s="28" t="n"/>
      <c r="E40" s="28" t="n"/>
      <c r="F40" s="28" t="n"/>
      <c r="G40" s="28" t="n"/>
      <c r="H40" s="28" t="n"/>
      <c r="I40" s="28" t="n"/>
      <c r="J40" s="28" t="n"/>
      <c r="K40" s="28" t="n"/>
      <c r="L40" s="28" t="n"/>
      <c r="M40" s="28" t="n"/>
      <c r="N40" s="28" t="n"/>
      <c r="O40" s="28" t="n"/>
    </row>
    <row r="41">
      <c r="A41" s="28" t="n"/>
      <c r="B41" s="28" t="n"/>
      <c r="C41" s="28" t="n"/>
      <c r="D41" s="28" t="n"/>
      <c r="E41" s="28" t="n"/>
      <c r="F41" s="28" t="n"/>
      <c r="G41" s="28" t="n"/>
      <c r="H41" s="28" t="n"/>
      <c r="I41" s="28" t="n"/>
      <c r="J41" s="28" t="n"/>
      <c r="K41" s="28" t="n"/>
      <c r="L41" s="28" t="n"/>
      <c r="M41" s="28" t="n"/>
      <c r="N41" s="28" t="n"/>
      <c r="O41" s="28" t="n"/>
    </row>
    <row r="42">
      <c r="A42" s="28" t="n"/>
      <c r="B42" s="28" t="n"/>
      <c r="C42" s="28" t="n"/>
      <c r="D42" s="28" t="n"/>
      <c r="E42" s="28" t="n"/>
      <c r="F42" s="28" t="n"/>
      <c r="G42" s="28" t="n"/>
      <c r="H42" s="28" t="n"/>
      <c r="I42" s="28" t="n"/>
      <c r="J42" s="28" t="n"/>
      <c r="K42" s="28" t="n"/>
      <c r="L42" s="28" t="n"/>
      <c r="M42" s="28" t="n"/>
      <c r="N42" s="28" t="n"/>
      <c r="O42" s="28" t="n"/>
    </row>
    <row r="43">
      <c r="A43" s="28" t="n"/>
      <c r="B43" s="28" t="n"/>
      <c r="C43" s="28" t="n"/>
      <c r="D43" s="28" t="n"/>
      <c r="E43" s="28" t="n"/>
      <c r="F43" s="28" t="n"/>
      <c r="G43" s="28" t="n"/>
      <c r="H43" s="28" t="n"/>
      <c r="I43" s="28" t="n"/>
      <c r="J43" s="28" t="n"/>
      <c r="K43" s="28" t="n"/>
      <c r="L43" s="28" t="n"/>
      <c r="M43" s="28" t="n"/>
      <c r="N43" s="28" t="n"/>
      <c r="O43" s="28" t="n"/>
    </row>
    <row r="44">
      <c r="A44" s="28" t="n"/>
      <c r="B44" s="28" t="n"/>
      <c r="C44" s="28" t="n"/>
      <c r="D44" s="28" t="n"/>
      <c r="E44" s="28" t="n"/>
      <c r="F44" s="28" t="n"/>
      <c r="G44" s="28" t="n"/>
      <c r="H44" s="28" t="n"/>
      <c r="I44" s="28" t="n"/>
      <c r="J44" s="28" t="n"/>
      <c r="K44" s="28" t="n"/>
      <c r="L44" s="28" t="n"/>
      <c r="M44" s="28" t="n"/>
      <c r="N44" s="28" t="n"/>
      <c r="O44" s="28" t="n"/>
    </row>
    <row r="45">
      <c r="A45" s="28" t="n"/>
      <c r="B45" s="28" t="n"/>
      <c r="C45" s="28" t="n"/>
      <c r="D45" s="28" t="n"/>
      <c r="E45" s="28" t="n"/>
      <c r="F45" s="28" t="n"/>
      <c r="G45" s="28" t="n"/>
      <c r="H45" s="28" t="n"/>
      <c r="I45" s="28" t="n"/>
      <c r="J45" s="28" t="n"/>
      <c r="K45" s="28" t="n"/>
      <c r="L45" s="28" t="n"/>
      <c r="M45" s="28" t="n"/>
      <c r="N45" s="28" t="n"/>
      <c r="O45" s="28" t="n"/>
    </row>
    <row r="46">
      <c r="A46" s="28" t="n"/>
      <c r="B46" s="28" t="n"/>
      <c r="C46" s="28" t="n"/>
      <c r="D46" s="28" t="n"/>
      <c r="E46" s="28" t="n"/>
      <c r="F46" s="28" t="n"/>
      <c r="G46" s="28" t="n"/>
      <c r="H46" s="28" t="n"/>
      <c r="I46" s="28" t="n"/>
      <c r="J46" s="28" t="n"/>
      <c r="K46" s="28" t="n"/>
      <c r="L46" s="28" t="n"/>
      <c r="M46" s="28" t="n"/>
      <c r="N46" s="28" t="n"/>
      <c r="O46" s="28" t="n"/>
    </row>
    <row r="47">
      <c r="A47" s="28" t="n"/>
      <c r="B47" s="28" t="n"/>
      <c r="C47" s="28" t="n"/>
      <c r="D47" s="28" t="n"/>
      <c r="E47" s="28" t="n"/>
      <c r="F47" s="28" t="n"/>
      <c r="G47" s="28" t="n"/>
      <c r="H47" s="28" t="n"/>
      <c r="I47" s="28" t="n"/>
      <c r="J47" s="28" t="n"/>
      <c r="K47" s="28" t="n"/>
      <c r="L47" s="28" t="n"/>
      <c r="M47" s="28" t="n"/>
      <c r="N47" s="28" t="n"/>
      <c r="O47" s="28" t="n"/>
    </row>
    <row r="48">
      <c r="A48" s="28" t="n"/>
      <c r="B48" s="28" t="n"/>
      <c r="C48" s="28" t="n"/>
      <c r="D48" s="28" t="n"/>
      <c r="E48" s="28" t="n"/>
      <c r="F48" s="28" t="n"/>
      <c r="G48" s="28" t="n"/>
      <c r="H48" s="28" t="n"/>
      <c r="I48" s="28" t="n"/>
      <c r="J48" s="28" t="n"/>
      <c r="K48" s="28" t="n"/>
      <c r="L48" s="28" t="n"/>
      <c r="M48" s="28" t="n"/>
      <c r="N48" s="28" t="n"/>
      <c r="O48" s="28" t="n"/>
    </row>
    <row r="49">
      <c r="A49" s="28" t="n"/>
      <c r="B49" s="28" t="n"/>
      <c r="C49" s="28" t="n"/>
      <c r="D49" s="28" t="n"/>
      <c r="E49" s="28" t="n"/>
      <c r="F49" s="28" t="n"/>
      <c r="G49" s="28" t="n"/>
      <c r="H49" s="28" t="n"/>
      <c r="I49" s="28" t="n"/>
      <c r="J49" s="28" t="n"/>
      <c r="K49" s="28" t="n"/>
      <c r="L49" s="28" t="n"/>
      <c r="M49" s="28" t="n"/>
      <c r="N49" s="28" t="n"/>
      <c r="O49" s="28" t="n"/>
    </row>
    <row r="50">
      <c r="A50" s="28" t="n"/>
      <c r="B50" s="28" t="n"/>
      <c r="C50" s="28" t="n"/>
      <c r="D50" s="28" t="n"/>
      <c r="E50" s="28" t="n"/>
      <c r="F50" s="28" t="n"/>
      <c r="G50" s="28" t="n"/>
      <c r="H50" s="28" t="n"/>
      <c r="I50" s="28" t="n"/>
      <c r="J50" s="28" t="n"/>
      <c r="K50" s="28" t="n"/>
      <c r="L50" s="28" t="n"/>
      <c r="M50" s="28" t="n"/>
      <c r="N50" s="28" t="n"/>
      <c r="O50" s="28" t="n"/>
    </row>
    <row r="51">
      <c r="A51" s="28" t="n"/>
      <c r="B51" s="28" t="n"/>
      <c r="C51" s="28" t="n"/>
      <c r="D51" s="28" t="n"/>
      <c r="E51" s="28" t="n"/>
      <c r="F51" s="28" t="n"/>
      <c r="G51" s="28" t="n"/>
      <c r="H51" s="28" t="n"/>
      <c r="I51" s="28" t="n"/>
      <c r="J51" s="28" t="n"/>
      <c r="K51" s="28" t="n"/>
      <c r="L51" s="28" t="n"/>
      <c r="M51" s="28" t="n"/>
      <c r="N51" s="28" t="n"/>
      <c r="O51" s="28" t="n"/>
    </row>
    <row r="52">
      <c r="A52" s="28" t="n"/>
      <c r="B52" s="28" t="n"/>
      <c r="C52" s="28" t="n"/>
      <c r="D52" s="28" t="n"/>
      <c r="E52" s="28" t="n"/>
      <c r="F52" s="28" t="n"/>
      <c r="G52" s="28" t="n"/>
      <c r="H52" s="28" t="n"/>
      <c r="I52" s="28" t="n"/>
      <c r="J52" s="28" t="n"/>
      <c r="K52" s="28" t="n"/>
      <c r="L52" s="28" t="n"/>
      <c r="M52" s="28" t="n"/>
      <c r="N52" s="28" t="n"/>
      <c r="O52" s="28" t="n"/>
    </row>
    <row r="53">
      <c r="A53" s="28" t="n"/>
      <c r="B53" s="28" t="n"/>
      <c r="C53" s="28" t="n"/>
      <c r="D53" s="28" t="n"/>
      <c r="E53" s="28" t="n"/>
      <c r="F53" s="28" t="n"/>
      <c r="G53" s="28" t="n"/>
      <c r="H53" s="28" t="n"/>
      <c r="I53" s="28" t="n"/>
      <c r="J53" s="28" t="n"/>
      <c r="K53" s="28" t="n"/>
      <c r="L53" s="28" t="n"/>
      <c r="M53" s="28" t="n"/>
      <c r="N53" s="28" t="n"/>
      <c r="O53" s="28" t="n"/>
    </row>
    <row r="54">
      <c r="A54" s="28" t="n"/>
      <c r="B54" s="28" t="n"/>
      <c r="C54" s="28" t="n"/>
      <c r="D54" s="28" t="n"/>
      <c r="E54" s="28" t="n"/>
      <c r="F54" s="28" t="n"/>
      <c r="G54" s="28" t="n"/>
      <c r="H54" s="28" t="n"/>
      <c r="I54" s="28" t="n"/>
      <c r="J54" s="28" t="n"/>
      <c r="K54" s="28" t="n"/>
      <c r="L54" s="28" t="n"/>
      <c r="M54" s="28" t="n"/>
      <c r="N54" s="28" t="n"/>
      <c r="O54" s="28" t="n"/>
    </row>
    <row r="55">
      <c r="A55" s="28" t="n"/>
      <c r="B55" s="28" t="n"/>
      <c r="C55" s="28" t="n"/>
      <c r="D55" s="28" t="n"/>
      <c r="E55" s="28" t="n"/>
      <c r="F55" s="28" t="n"/>
      <c r="G55" s="28" t="n"/>
      <c r="H55" s="28" t="n"/>
      <c r="I55" s="28" t="n"/>
      <c r="J55" s="28" t="n"/>
      <c r="K55" s="28" t="n"/>
      <c r="L55" s="28" t="n"/>
      <c r="M55" s="28" t="n"/>
      <c r="N55" s="28" t="n"/>
      <c r="O55" s="28" t="n"/>
    </row>
    <row r="56">
      <c r="A56" s="28" t="n"/>
      <c r="B56" s="28" t="n"/>
      <c r="C56" s="28" t="n"/>
      <c r="D56" s="28" t="n"/>
      <c r="E56" s="28" t="n"/>
      <c r="F56" s="28" t="n"/>
      <c r="G56" s="28" t="n"/>
      <c r="H56" s="28" t="n"/>
      <c r="I56" s="28" t="n"/>
      <c r="J56" s="28" t="n"/>
      <c r="K56" s="28" t="n"/>
      <c r="L56" s="28" t="n"/>
      <c r="M56" s="28" t="n"/>
      <c r="N56" s="28" t="n"/>
      <c r="O56" s="28" t="n"/>
    </row>
    <row r="57">
      <c r="A57" s="28" t="n"/>
      <c r="B57" s="28" t="n"/>
      <c r="C57" s="28" t="n"/>
      <c r="D57" s="28" t="n"/>
      <c r="E57" s="28" t="n"/>
      <c r="F57" s="28" t="n"/>
      <c r="G57" s="28" t="n"/>
      <c r="H57" s="28" t="n"/>
      <c r="I57" s="28" t="n"/>
      <c r="J57" s="28" t="n"/>
      <c r="K57" s="28" t="n"/>
      <c r="L57" s="28" t="n"/>
      <c r="M57" s="28" t="n"/>
      <c r="N57" s="28" t="n"/>
      <c r="O57" s="28" t="n"/>
    </row>
    <row r="58">
      <c r="A58" s="28" t="n"/>
      <c r="B58" s="28" t="n"/>
      <c r="C58" s="28" t="n"/>
      <c r="D58" s="28" t="n"/>
      <c r="E58" s="28" t="n"/>
      <c r="F58" s="28" t="n"/>
      <c r="G58" s="28" t="n"/>
      <c r="H58" s="28" t="n"/>
      <c r="I58" s="28" t="n"/>
      <c r="J58" s="28" t="n"/>
      <c r="K58" s="28" t="n"/>
      <c r="L58" s="28" t="n"/>
      <c r="M58" s="28" t="n"/>
      <c r="N58" s="28" t="n"/>
      <c r="O58" s="28" t="n"/>
    </row>
    <row r="59">
      <c r="A59" s="28" t="n"/>
      <c r="B59" s="28" t="n"/>
      <c r="C59" s="28" t="n"/>
      <c r="D59" s="28" t="n"/>
      <c r="E59" s="28" t="n"/>
      <c r="F59" s="28" t="n"/>
      <c r="G59" s="28" t="n"/>
      <c r="H59" s="28" t="n"/>
      <c r="I59" s="28" t="n"/>
      <c r="J59" s="28" t="n"/>
      <c r="K59" s="28" t="n"/>
      <c r="L59" s="28" t="n"/>
      <c r="M59" s="28" t="n"/>
      <c r="N59" s="28" t="n"/>
      <c r="O59" s="28" t="n"/>
    </row>
    <row r="60">
      <c r="A60" s="28" t="n"/>
      <c r="B60" s="28" t="n"/>
      <c r="C60" s="28" t="n"/>
      <c r="D60" s="28" t="n"/>
      <c r="E60" s="28" t="n"/>
      <c r="F60" s="28" t="n"/>
      <c r="G60" s="28" t="n"/>
      <c r="H60" s="28" t="n"/>
      <c r="I60" s="28" t="n"/>
      <c r="J60" s="28" t="n"/>
      <c r="K60" s="28" t="n"/>
      <c r="L60" s="28" t="n"/>
      <c r="M60" s="28" t="n"/>
      <c r="N60" s="28" t="n"/>
      <c r="O60" s="28" t="n"/>
    </row>
    <row r="61">
      <c r="A61" s="28" t="n"/>
      <c r="B61" s="28" t="n"/>
      <c r="C61" s="28" t="n"/>
      <c r="D61" s="28" t="n"/>
      <c r="E61" s="28" t="n"/>
      <c r="F61" s="28" t="n"/>
      <c r="G61" s="28" t="n"/>
      <c r="H61" s="28" t="n"/>
      <c r="I61" s="28" t="n"/>
      <c r="J61" s="28" t="n"/>
      <c r="K61" s="28" t="n"/>
      <c r="L61" s="28" t="n"/>
      <c r="M61" s="28" t="n"/>
      <c r="N61" s="28" t="n"/>
      <c r="O61" s="28" t="n"/>
    </row>
    <row r="62">
      <c r="A62" s="28" t="n"/>
      <c r="B62" s="28" t="n"/>
      <c r="C62" s="28" t="n"/>
      <c r="D62" s="28" t="n"/>
      <c r="E62" s="28" t="n"/>
      <c r="F62" s="28" t="n"/>
      <c r="G62" s="28" t="n"/>
      <c r="H62" s="28" t="n"/>
      <c r="I62" s="28" t="n"/>
      <c r="J62" s="28" t="n"/>
      <c r="K62" s="28" t="n"/>
      <c r="L62" s="28" t="n"/>
      <c r="M62" s="28" t="n"/>
      <c r="N62" s="28" t="n"/>
      <c r="O62" s="28" t="n"/>
    </row>
    <row r="63">
      <c r="A63" s="28" t="n"/>
      <c r="B63" s="28" t="n"/>
      <c r="C63" s="28" t="n"/>
      <c r="D63" s="28" t="n"/>
      <c r="E63" s="28" t="n"/>
      <c r="F63" s="28" t="n"/>
      <c r="G63" s="28" t="n"/>
      <c r="H63" s="28" t="n"/>
      <c r="I63" s="28" t="n"/>
      <c r="J63" s="28" t="n"/>
      <c r="K63" s="28" t="n"/>
      <c r="L63" s="28" t="n"/>
      <c r="M63" s="28" t="n"/>
      <c r="N63" s="28" t="n"/>
      <c r="O63" s="28" t="n"/>
    </row>
    <row r="64">
      <c r="A64" s="28" t="n"/>
      <c r="B64" s="28" t="n"/>
      <c r="C64" s="28" t="n"/>
      <c r="D64" s="28" t="n"/>
      <c r="E64" s="28" t="n"/>
      <c r="F64" s="28" t="n"/>
      <c r="G64" s="28" t="n"/>
      <c r="H64" s="28" t="n"/>
      <c r="I64" s="28" t="n"/>
      <c r="J64" s="28" t="n"/>
      <c r="K64" s="28" t="n"/>
      <c r="L64" s="28" t="n"/>
      <c r="M64" s="28" t="n"/>
      <c r="N64" s="28" t="n"/>
      <c r="O64" s="28" t="n"/>
    </row>
    <row r="65">
      <c r="A65" s="28" t="n"/>
      <c r="B65" s="28" t="n"/>
      <c r="C65" s="28" t="n"/>
      <c r="D65" s="28" t="n"/>
      <c r="E65" s="28" t="n"/>
      <c r="F65" s="28" t="n"/>
      <c r="G65" s="28" t="n"/>
      <c r="H65" s="28" t="n"/>
      <c r="I65" s="28" t="n"/>
      <c r="J65" s="28" t="n"/>
      <c r="K65" s="28" t="n"/>
      <c r="L65" s="28" t="n"/>
      <c r="M65" s="28" t="n"/>
      <c r="N65" s="28" t="n"/>
      <c r="O65" s="28" t="n"/>
    </row>
    <row r="66">
      <c r="A66" s="28" t="n"/>
      <c r="B66" s="28" t="n"/>
      <c r="C66" s="28" t="n"/>
      <c r="D66" s="28" t="n"/>
      <c r="E66" s="28" t="n"/>
      <c r="F66" s="28" t="n"/>
      <c r="G66" s="28" t="n"/>
      <c r="H66" s="28" t="n"/>
      <c r="I66" s="28" t="n"/>
      <c r="J66" s="28" t="n"/>
      <c r="K66" s="28" t="n"/>
      <c r="L66" s="28" t="n"/>
      <c r="M66" s="28" t="n"/>
      <c r="N66" s="28" t="n"/>
      <c r="O66" s="28" t="n"/>
    </row>
    <row r="67">
      <c r="A67" s="28" t="n"/>
      <c r="B67" s="28" t="n"/>
      <c r="C67" s="28" t="n"/>
      <c r="D67" s="28" t="n"/>
      <c r="E67" s="28" t="n"/>
      <c r="F67" s="28" t="n"/>
      <c r="G67" s="28" t="n"/>
      <c r="H67" s="28" t="n"/>
      <c r="I67" s="28" t="n"/>
      <c r="J67" s="28" t="n"/>
      <c r="K67" s="28" t="n"/>
      <c r="L67" s="28" t="n"/>
      <c r="M67" s="28" t="n"/>
      <c r="N67" s="28" t="n"/>
      <c r="O67" s="28" t="n"/>
    </row>
    <row r="68">
      <c r="A68" s="28" t="n"/>
      <c r="B68" s="28" t="n"/>
      <c r="C68" s="28" t="n"/>
      <c r="D68" s="28" t="n"/>
      <c r="E68" s="28" t="n"/>
      <c r="F68" s="28" t="n"/>
      <c r="G68" s="28" t="n"/>
      <c r="H68" s="28" t="n"/>
      <c r="I68" s="28" t="n"/>
      <c r="J68" s="28" t="n"/>
      <c r="K68" s="28" t="n"/>
      <c r="L68" s="28" t="n"/>
      <c r="M68" s="28" t="n"/>
      <c r="N68" s="28" t="n"/>
      <c r="O68" s="28" t="n"/>
    </row>
    <row r="69">
      <c r="A69" s="28" t="n"/>
      <c r="B69" s="28" t="n"/>
      <c r="C69" s="28" t="n"/>
      <c r="D69" s="28" t="n"/>
      <c r="E69" s="28" t="n"/>
      <c r="F69" s="28" t="n"/>
      <c r="G69" s="28" t="n"/>
      <c r="H69" s="28" t="n"/>
      <c r="I69" s="28" t="n"/>
      <c r="J69" s="28" t="n"/>
      <c r="K69" s="28" t="n"/>
      <c r="L69" s="28" t="n"/>
      <c r="M69" s="28" t="n"/>
      <c r="N69" s="28" t="n"/>
      <c r="O69" s="28" t="n"/>
    </row>
    <row r="70">
      <c r="A70" s="28" t="n"/>
      <c r="B70" s="28" t="n"/>
      <c r="C70" s="28" t="n"/>
      <c r="D70" s="28" t="n"/>
      <c r="E70" s="28" t="n"/>
      <c r="F70" s="28" t="n"/>
      <c r="G70" s="28" t="n"/>
      <c r="H70" s="28" t="n"/>
      <c r="I70" s="28" t="n"/>
      <c r="J70" s="28" t="n"/>
      <c r="K70" s="28" t="n"/>
      <c r="L70" s="28" t="n"/>
      <c r="M70" s="28" t="n"/>
      <c r="N70" s="28" t="n"/>
      <c r="O70" s="28"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5" t="inlineStr">
        <is>
          <t>FINANCING PLAN</t>
        </is>
      </c>
      <c r="B1" s="28" t="n"/>
      <c r="C1" s="28" t="n"/>
      <c r="D1" s="28" t="n"/>
      <c r="E1" s="28" t="n"/>
      <c r="F1" s="28" t="n"/>
      <c r="G1" s="28" t="n"/>
      <c r="H1" s="28" t="n"/>
    </row>
    <row r="2" ht="45" customHeight="1">
      <c r="A2" s="46" t="inlineStr">
        <is>
          <t>What you need, where it comes from and what it costs to repay. It is the sheet your lender asks for along with the P&amp;L.</t>
        </is>
      </c>
      <c r="B2" s="28" t="n"/>
      <c r="C2" s="28" t="n"/>
      <c r="D2" s="28" t="n"/>
      <c r="E2" s="28" t="n"/>
      <c r="F2" s="28" t="n"/>
      <c r="G2" s="28" t="n"/>
      <c r="H2" s="28" t="n"/>
    </row>
    <row r="3">
      <c r="A3" s="28" t="n"/>
      <c r="B3" s="28" t="n"/>
      <c r="C3" s="28" t="n"/>
      <c r="D3" s="28" t="n"/>
      <c r="E3" s="28" t="n"/>
      <c r="F3" s="28" t="n"/>
      <c r="G3" s="28" t="n"/>
      <c r="H3" s="28" t="n"/>
    </row>
    <row r="4">
      <c r="A4" s="25" t="inlineStr">
        <is>
          <t>Item</t>
        </is>
      </c>
      <c r="B4" s="25" t="inlineStr">
        <is>
          <t>Amount</t>
        </is>
      </c>
      <c r="C4" s="25" t="inlineStr">
        <is>
          <t>Notes</t>
        </is>
      </c>
      <c r="D4" s="28" t="n"/>
      <c r="E4" s="28" t="n"/>
      <c r="F4" s="28" t="n"/>
      <c r="G4" s="28" t="n"/>
      <c r="H4" s="28" t="n"/>
    </row>
    <row r="5">
      <c r="A5" s="25" t="inlineStr">
        <is>
          <t>SOURCES OF FUNDS</t>
        </is>
      </c>
      <c r="B5" s="28" t="n"/>
      <c r="C5" s="28" t="n"/>
      <c r="D5" s="28" t="n"/>
      <c r="E5" s="28" t="n"/>
      <c r="F5" s="28" t="n"/>
      <c r="G5" s="28" t="n"/>
      <c r="H5" s="28" t="n"/>
    </row>
    <row r="6">
      <c r="A6" s="28" t="inlineStr">
        <is>
          <t>Owner's equity (your own money)</t>
        </is>
      </c>
      <c r="B6" s="40">
        <f>IFERROR(IF('0. Assumptions'!$B$30="","",'0. Assumptions'!$B$30),"")</f>
        <v>35000.0</v>
      </c>
      <c r="C6" s="28" t="n"/>
      <c r="D6" s="28" t="n"/>
      <c r="E6" s="28" t="n"/>
      <c r="F6" s="28" t="n"/>
      <c r="G6" s="28" t="n"/>
      <c r="H6" s="28" t="n"/>
    </row>
    <row r="7">
      <c r="A7" s="28" t="inlineStr">
        <is>
          <t>Loan requested — bank or SBA 7(a) (amortized below)</t>
        </is>
      </c>
      <c r="B7" s="40">
        <f>IFERROR(IF('0. Assumptions'!$B$31="","",'0. Assumptions'!$B$31),"")</f>
        <v>101000.0</v>
      </c>
      <c r="C7" s="28" t="n"/>
      <c r="D7" s="28" t="n"/>
      <c r="E7" s="28" t="n"/>
      <c r="F7" s="28" t="n"/>
      <c r="G7" s="28" t="n"/>
      <c r="H7" s="28" t="n"/>
    </row>
    <row r="8">
      <c r="A8" s="28" t="inlineStr">
        <is>
          <t>Other loan (not in the schedule or the DSCR — enter your loan in row 7)</t>
        </is>
      </c>
      <c r="B8" s="49" t="n">
        <v>0</v>
      </c>
      <c r="C8" s="28" t="inlineStr">
        <is>
          <t>A source of funds only: NOT amortized, so it is not in the schedule, the P&amp;L interest or the DSCR. Enter your bank or SBA 7(a) loan in row 7 ("Loan requested" in "0. Assumptions"); use this row only for a second loan</t>
        </is>
      </c>
      <c r="D8" s="28" t="n"/>
      <c r="E8" s="28" t="n"/>
      <c r="F8" s="28" t="n"/>
      <c r="G8" s="28" t="n"/>
      <c r="H8" s="28" t="n"/>
    </row>
    <row r="9">
      <c r="A9" s="28" t="inlineStr">
        <is>
          <t>SBA Microloan (not in the schedule or the DSCR — enter your loan in row 7)</t>
        </is>
      </c>
      <c r="B9" s="49" t="n">
        <v>0</v>
      </c>
      <c r="C9" s="28" t="inlineStr">
        <is>
          <t>SBA Microloans go up to $50,000 through nonprofit intermediaries. Like row 8, a source of funds only: not in the schedule or the DSCR. If it is your only loan, enter it in row 7 instead</t>
        </is>
      </c>
      <c r="D9" s="28" t="n"/>
      <c r="E9" s="28" t="n"/>
      <c r="F9" s="28" t="n"/>
      <c r="G9" s="28" t="n"/>
      <c r="H9" s="28" t="n"/>
    </row>
    <row r="10">
      <c r="A10" s="28" t="inlineStr">
        <is>
          <t>Investors / partners (equity: dilutes, not repaid)</t>
        </is>
      </c>
      <c r="B10" s="49" t="n">
        <v>0</v>
      </c>
      <c r="C10" s="28" t="inlineStr">
        <is>
          <t>Equity: it dilutes your ownership and is not repaid</t>
        </is>
      </c>
      <c r="D10" s="28" t="n"/>
      <c r="E10" s="28" t="n"/>
      <c r="F10" s="28" t="n"/>
      <c r="G10" s="28" t="n"/>
      <c r="H10" s="28" t="n"/>
    </row>
    <row r="11">
      <c r="A11" s="28" t="inlineStr">
        <is>
          <t>Local grants (usually paid after you spend)</t>
        </is>
      </c>
      <c r="B11" s="49" t="n">
        <v>0</v>
      </c>
      <c r="C11" s="28" t="inlineStr">
        <is>
          <t>Usually paid AFTER you document the spending</t>
        </is>
      </c>
      <c r="D11" s="28" t="n"/>
      <c r="E11" s="28" t="n"/>
      <c r="F11" s="28" t="n"/>
      <c r="G11" s="28" t="n"/>
      <c r="H11" s="28" t="n"/>
    </row>
    <row r="12">
      <c r="A12" s="25" t="inlineStr">
        <is>
          <t>TOTAL SOURCES OF FUNDS</t>
        </is>
      </c>
      <c r="B12" s="66">
        <f>IFERROR(IF(COUNT(B6:B11)=0,"",SUM(B6:B11)),"")</f>
        <v>136000.0</v>
      </c>
      <c r="C12" s="28" t="n"/>
      <c r="D12" s="28" t="n"/>
      <c r="E12" s="28" t="n"/>
      <c r="F12" s="28" t="n"/>
      <c r="G12" s="28" t="n"/>
      <c r="H12" s="28" t="n"/>
    </row>
    <row r="13">
      <c r="A13" s="25" t="inlineStr">
        <is>
          <t>USES OF FUNDS</t>
        </is>
      </c>
      <c r="B13" s="28" t="n"/>
      <c r="C13" s="28" t="n"/>
      <c r="D13" s="28" t="n"/>
      <c r="E13" s="28" t="n"/>
      <c r="F13" s="28" t="n"/>
      <c r="G13" s="28" t="n"/>
      <c r="H13" s="28" t="n"/>
    </row>
    <row r="14">
      <c r="A14" s="28" t="inlineStr">
        <is>
          <t>Total cash needed at launch</t>
        </is>
      </c>
      <c r="B14" s="40">
        <f>IFERROR(IF('Startup Costs'!$B$29="","",'Startup Costs'!$B$29),"")</f>
        <v>135670.6</v>
      </c>
      <c r="C14" s="28" t="inlineStr">
        <is>
          <t>Startup costs plus any recoverable tax you have to advance (zero by default in the US)</t>
        </is>
      </c>
      <c r="D14" s="28" t="n"/>
      <c r="E14" s="28" t="n"/>
      <c r="F14" s="28" t="n"/>
      <c r="G14" s="28" t="n"/>
      <c r="H14" s="28" t="n"/>
    </row>
    <row r="15">
      <c r="A15" s="25" t="inlineStr">
        <is>
          <t>Difference (sources - uses)</t>
        </is>
      </c>
      <c r="B15" s="66">
        <f>IFERROR(B12-B14,"")</f>
        <v>329.3999999999942</v>
      </c>
      <c r="C15" s="25" t="inlineStr">
        <is>
          <t>In red (negative), the plan is NOT funded. Far above zero is not free either: you pay interest on money you do not use</t>
        </is>
      </c>
      <c r="D15" s="28" t="n"/>
      <c r="E15" s="28" t="n"/>
      <c r="F15" s="28" t="n"/>
      <c r="G15" s="28" t="n"/>
      <c r="H15" s="28" t="n"/>
    </row>
    <row r="16">
      <c r="A16" s="28" t="inlineStr">
        <is>
          <t>Difference as a % of uses</t>
        </is>
      </c>
      <c r="B16" s="68">
        <f>IFERROR(B15/B14,"")</f>
        <v>0.0024279394356625105</v>
      </c>
      <c r="C16" s="28" t="inlineStr">
        <is>
          <t>Amber above the margin you set: it is debt you pay for without needing it</t>
        </is>
      </c>
      <c r="D16" s="28" t="n"/>
      <c r="E16" s="28" t="n"/>
      <c r="F16" s="28" t="n"/>
      <c r="G16" s="28" t="n"/>
      <c r="H16" s="28" t="n"/>
    </row>
    <row r="17">
      <c r="A17" s="28" t="inlineStr">
        <is>
          <t>Acceptable over-funding (%)</t>
        </is>
      </c>
      <c r="B17" s="73" t="n">
        <v>0.05</v>
      </c>
      <c r="C17" s="28" t="inlineStr">
        <is>
          <t>A small cushion over the need is healthy; 20% extra is interest thrown away</t>
        </is>
      </c>
      <c r="D17" s="28" t="n"/>
      <c r="E17" s="28" t="n"/>
      <c r="F17" s="28" t="n"/>
      <c r="G17" s="28" t="n"/>
      <c r="H17" s="28" t="n"/>
    </row>
    <row r="18">
      <c r="A18" s="28" t="inlineStr">
        <is>
          <t>Loan that would match sources to needs</t>
        </is>
      </c>
      <c r="B18" s="40">
        <f>IFERROR(MAX(0,B14-B12+B7),"")</f>
        <v>100670.6</v>
      </c>
      <c r="C18" s="28" t="inlineStr">
        <is>
          <t>Copy it into "Loan requested" in the "0. Assumptions" tab and the difference goes to zero. Rows 8-11 lower this figure, but only the row-7 loan is amortized and counted in the DSCR</t>
        </is>
      </c>
      <c r="D18" s="28" t="n"/>
      <c r="E18" s="28" t="n"/>
      <c r="F18" s="28" t="n"/>
      <c r="G18" s="28" t="n"/>
      <c r="H18" s="28" t="n"/>
    </row>
    <row r="19">
      <c r="A19" s="25" t="inlineStr">
        <is>
          <t>LOAN TERMS</t>
        </is>
      </c>
      <c r="B19" s="28" t="n"/>
      <c r="C19" s="28" t="n"/>
      <c r="D19" s="28" t="n"/>
      <c r="E19" s="28" t="n"/>
      <c r="F19" s="28" t="n"/>
      <c r="G19" s="28" t="n"/>
      <c r="H19" s="28" t="n"/>
    </row>
    <row r="20">
      <c r="A20" s="28" t="inlineStr">
        <is>
          <t>Principal amount</t>
        </is>
      </c>
      <c r="B20" s="40">
        <f>IFERROR(IF('0. Assumptions'!$B$31=0,"",'0. Assumptions'!$B$31),"")</f>
        <v>101000.0</v>
      </c>
      <c r="C20" s="28" t="n"/>
      <c r="D20" s="28" t="n"/>
      <c r="E20" s="28" t="n"/>
      <c r="F20" s="28" t="n"/>
      <c r="G20" s="28" t="n"/>
      <c r="H20" s="28" t="n"/>
    </row>
    <row r="21">
      <c r="A21" s="28" t="inlineStr">
        <is>
          <t>Nominal annual interest rate (not APR)</t>
        </is>
      </c>
      <c r="B21" s="68">
        <f>IFERROR(IF('0. Assumptions'!$B$32="","",'0. Assumptions'!$B$32),"")</f>
        <v>0.1</v>
      </c>
      <c r="C21" s="28" t="n"/>
      <c r="D21" s="28" t="n"/>
      <c r="E21" s="28" t="n"/>
      <c r="F21" s="28" t="n"/>
      <c r="G21" s="28" t="n"/>
      <c r="H21" s="28" t="n"/>
    </row>
    <row r="22">
      <c r="A22" s="28" t="inlineStr">
        <is>
          <t>Total term (years)</t>
        </is>
      </c>
      <c r="B22" s="40">
        <f>IFERROR(IF('0. Assumptions'!$B$33="","",'0. Assumptions'!$B$33),"")</f>
        <v>7.0</v>
      </c>
      <c r="C22" s="28" t="n"/>
      <c r="D22" s="28" t="n"/>
      <c r="E22" s="28" t="n"/>
      <c r="F22" s="28" t="n"/>
      <c r="G22" s="28" t="n"/>
      <c r="H22" s="28" t="n"/>
    </row>
    <row r="23">
      <c r="A23" s="28" t="inlineStr">
        <is>
          <t>Interest-only period applied (years)</t>
        </is>
      </c>
      <c r="B23" s="40">
        <f>IFERROR(IF(OR('0. Assumptions'!$B$34="",'0. Assumptions'!$B$33=""),"",IF('0. Assumptions'!$B$34&gt;='0. Assumptions'!$B$33,0,'0. Assumptions'!$B$34)),"")</f>
        <v>0.0</v>
      </c>
      <c r="C23" s="28" t="inlineStr">
        <is>
          <t>An interest-only period equal to or longer than the term does not exist: the sheet cancels it at the source</t>
        </is>
      </c>
      <c r="D23" s="28" t="n"/>
      <c r="E23" s="28" t="n"/>
      <c r="F23" s="28" t="n"/>
      <c r="G23" s="28" t="n"/>
      <c r="H23" s="28" t="n"/>
    </row>
    <row r="24">
      <c r="A24" s="25" t="inlineStr">
        <is>
          <t>Annual payment during repayment</t>
        </is>
      </c>
      <c r="B24" s="62">
        <f>IFERROR(IF(B22-B23&lt;=0,"",IF(B21=0,B20/(B22-B23),B20*B21/(1-(1+B21)^-(B22-B23)))),"")</f>
        <v>20745.95546976015</v>
      </c>
      <c r="C24" s="25" t="inlineStr">
        <is>
          <t>Standard amortizing loan with a level annual payment. At a 0% rate it is the principal divided by the repayment years: without that branch the schedule would shut down entirely</t>
        </is>
      </c>
      <c r="D24" s="28" t="n"/>
      <c r="E24" s="28" t="n"/>
      <c r="F24" s="28" t="n"/>
      <c r="G24" s="28" t="n"/>
      <c r="H24" s="28" t="n"/>
    </row>
    <row r="25">
      <c r="A25" s="25" t="inlineStr">
        <is>
          <t>AMORTIZATION SCHEDULE</t>
        </is>
      </c>
      <c r="B25" s="28" t="n"/>
      <c r="C25" s="28" t="n"/>
      <c r="D25" s="28" t="n"/>
      <c r="E25" s="28" t="n"/>
      <c r="F25" s="28" t="n"/>
      <c r="G25" s="28" t="n"/>
      <c r="H25" s="28" t="n"/>
    </row>
    <row r="26">
      <c r="A26" s="25" t="inlineStr">
        <is>
          <t>Year</t>
        </is>
      </c>
      <c r="B26" s="25" t="inlineStr">
        <is>
          <t>Opening balance</t>
        </is>
      </c>
      <c r="C26" s="25" t="inlineStr">
        <is>
          <t>Interest</t>
        </is>
      </c>
      <c r="D26" s="25" t="inlineStr">
        <is>
          <t>Principal repaid</t>
        </is>
      </c>
      <c r="E26" s="25" t="inlineStr">
        <is>
          <t>Total payment</t>
        </is>
      </c>
      <c r="F26" s="25" t="inlineStr">
        <is>
          <t>Closing balance</t>
        </is>
      </c>
      <c r="G26" s="25" t="inlineStr">
        <is>
          <t>Cash flow available for debt service (after tax; from year 4 on, year 3 held flat)</t>
        </is>
      </c>
      <c r="H26" s="25" t="inlineStr">
        <is>
          <t>DSCR for the year</t>
        </is>
      </c>
    </row>
    <row r="27">
      <c r="A27" s="40" t="n">
        <v>1</v>
      </c>
      <c r="B27" s="61">
        <f>IFERROR(IF(B20="","",B20),"")</f>
        <v>101000.0</v>
      </c>
      <c r="C27" s="61">
        <f>IFERROR(IF(OR(1&gt;B22,B27=""),"",B27*B21),"")</f>
        <v>10100.0</v>
      </c>
      <c r="D27" s="61">
        <f>IFERROR(IF(OR(1&gt;B22,B27=""),"",IF(1&lt;=B23,0,MIN(B27,B24-C27))),"")</f>
        <v>10645.955469760149</v>
      </c>
      <c r="E27" s="61">
        <f>IFERROR(IF(C27="","",C27+D27),"")</f>
        <v>20745.95546976015</v>
      </c>
      <c r="F27" s="61">
        <f>IFERROR(IF(D27="","",B27-D27),"")</f>
        <v>90354.04453023986</v>
      </c>
      <c r="G27" s="61">
        <f>IFERROR(IF(E27="","",'3-Year P&amp;L'!$B$41-'3-Year P&amp;L'!$B$46+'3-Year P&amp;L'!$B$36+'3-Year P&amp;L'!$B$37),"")</f>
        <v>50427.80714285712</v>
      </c>
      <c r="H27" s="61">
        <f>IFERROR(IF(OR(E27="",E27=0),"",G27/E27),"")</f>
        <v>2.4307295567255034</v>
      </c>
    </row>
    <row r="28">
      <c r="A28" s="40" t="n">
        <v>2</v>
      </c>
      <c r="B28" s="61">
        <f>IFERROR(IF(OR(2&gt;B22,F27=""),"",F27),"")</f>
        <v>90354.04453023986</v>
      </c>
      <c r="C28" s="61">
        <f>IFERROR(IF(OR(2&gt;B22,B28=""),"",B28*B21),"")</f>
        <v>9035.404453023986</v>
      </c>
      <c r="D28" s="61">
        <f>IFERROR(IF(OR(2&gt;B22,B28=""),"",IF(2&lt;=B23,0,MIN(B28,B24-C28))),"")</f>
        <v>11710.551016736163</v>
      </c>
      <c r="E28" s="61">
        <f>IFERROR(IF(C28="","",C28+D28),"")</f>
        <v>20745.95546976015</v>
      </c>
      <c r="F28" s="61">
        <f>IFERROR(IF(D28="","",B28-D28),"")</f>
        <v>78643.4935135037</v>
      </c>
      <c r="G28" s="61">
        <f>IFERROR(IF(E28="","",'3-Year P&amp;L'!$C$41-'3-Year P&amp;L'!$C$46+'3-Year P&amp;L'!$C$36+'3-Year P&amp;L'!$C$37),"")</f>
        <v>69789.06825611315</v>
      </c>
      <c r="H28" s="61">
        <f>IFERROR(IF(OR(E28="",E28=0),"",G28/E28),"")</f>
        <v>3.3639842887853266</v>
      </c>
    </row>
    <row r="29">
      <c r="A29" s="40" t="n">
        <v>3</v>
      </c>
      <c r="B29" s="61">
        <f>IFERROR(IF(OR(3&gt;B22,F28=""),"",F28),"")</f>
        <v>78643.4935135037</v>
      </c>
      <c r="C29" s="61">
        <f>IFERROR(IF(OR(3&gt;B22,B29=""),"",B29*B21),"")</f>
        <v>7864.34935135037</v>
      </c>
      <c r="D29" s="61">
        <f>IFERROR(IF(OR(3&gt;B22,B29=""),"",IF(3&lt;=B23,0,MIN(B29,B24-C29))),"")</f>
        <v>12881.606118409778</v>
      </c>
      <c r="E29" s="61">
        <f>IFERROR(IF(C29="","",C29+D29),"")</f>
        <v>20745.95546976015</v>
      </c>
      <c r="F29" s="61">
        <f>IFERROR(IF(D29="","",B29-D29),"")</f>
        <v>65761.88739509392</v>
      </c>
      <c r="G29" s="61">
        <f>IFERROR(IF(E29="","",'3-Year P&amp;L'!$D$41-'3-Year P&amp;L'!$D$46+'3-Year P&amp;L'!$D$36+'3-Year P&amp;L'!$D$37),"")</f>
        <v>83201.43728069481</v>
      </c>
      <c r="H29" s="61">
        <f>IFERROR(IF(OR(E29="",E29=0),"",G29/E29),"")</f>
        <v>4.010489533826071</v>
      </c>
    </row>
    <row r="30">
      <c r="A30" s="40" t="n">
        <v>4</v>
      </c>
      <c r="B30" s="61">
        <f>IFERROR(IF(OR(4&gt;B22,F29=""),"",F29),"")</f>
        <v>65761.88739509392</v>
      </c>
      <c r="C30" s="61">
        <f>IFERROR(IF(OR(4&gt;B22,B30=""),"",B30*B21),"")</f>
        <v>6576.188739509392</v>
      </c>
      <c r="D30" s="61">
        <f>IFERROR(IF(OR(4&gt;B22,B30=""),"",IF(4&lt;=B23,0,MIN(B30,B24-C30))),"")</f>
        <v>14169.766730250758</v>
      </c>
      <c r="E30" s="61">
        <f>IFERROR(IF(C30="","",C30+D30),"")</f>
        <v>20745.95546976015</v>
      </c>
      <c r="F30" s="61">
        <f>IFERROR(IF(D30="","",B30-D30),"")</f>
        <v>51592.120664843154</v>
      </c>
      <c r="G30" s="61">
        <f>IFERROR(IF(E30="","",'3-Year P&amp;L'!$D$41-'3-Year P&amp;L'!$D$46+'3-Year P&amp;L'!$D$36+'3-Year P&amp;L'!$D$37),"")</f>
        <v>83201.43728069481</v>
      </c>
      <c r="H30" s="61">
        <f>IFERROR(IF(OR(E30="",E30=0),"",G30/E30),"")</f>
        <v>4.010489533826071</v>
      </c>
    </row>
    <row r="31">
      <c r="A31" s="40" t="n">
        <v>5</v>
      </c>
      <c r="B31" s="61">
        <f>IFERROR(IF(OR(5&gt;B22,F30=""),"",F30),"")</f>
        <v>51592.120664843154</v>
      </c>
      <c r="C31" s="61">
        <f>IFERROR(IF(OR(5&gt;B22,B31=""),"",B31*B21),"")</f>
        <v>5159.212066484316</v>
      </c>
      <c r="D31" s="61">
        <f>IFERROR(IF(OR(5&gt;B22,B31=""),"",IF(5&lt;=B23,0,MIN(B31,B24-C31))),"")</f>
        <v>15586.743403275832</v>
      </c>
      <c r="E31" s="61">
        <f>IFERROR(IF(C31="","",C31+D31),"")</f>
        <v>20745.95546976015</v>
      </c>
      <c r="F31" s="61">
        <f>IFERROR(IF(D31="","",B31-D31),"")</f>
        <v>36005.37726156732</v>
      </c>
      <c r="G31" s="61">
        <f>IFERROR(IF(E31="","",'3-Year P&amp;L'!$D$41-'3-Year P&amp;L'!$D$46+'3-Year P&amp;L'!$D$36+'3-Year P&amp;L'!$D$37),"")</f>
        <v>83201.43728069481</v>
      </c>
      <c r="H31" s="61">
        <f>IFERROR(IF(OR(E31="",E31=0),"",G31/E31),"")</f>
        <v>4.010489533826071</v>
      </c>
    </row>
    <row r="32">
      <c r="A32" s="40" t="n">
        <v>6</v>
      </c>
      <c r="B32" s="61">
        <f>IFERROR(IF(OR(6&gt;B22,F31=""),"",F31),"")</f>
        <v>36005.37726156732</v>
      </c>
      <c r="C32" s="61">
        <f>IFERROR(IF(OR(6&gt;B22,B32=""),"",B32*B21),"")</f>
        <v>3600.5377261567323</v>
      </c>
      <c r="D32" s="61">
        <f>IFERROR(IF(OR(6&gt;B22,B32=""),"",IF(6&lt;=B23,0,MIN(B32,B24-C32))),"")</f>
        <v>17145.417743603415</v>
      </c>
      <c r="E32" s="61">
        <f>IFERROR(IF(C32="","",C32+D32),"")</f>
        <v>20745.95546976015</v>
      </c>
      <c r="F32" s="61">
        <f>IFERROR(IF(D32="","",B32-D32),"")</f>
        <v>18859.959517963907</v>
      </c>
      <c r="G32" s="61">
        <f>IFERROR(IF(E32="","",'3-Year P&amp;L'!$D$41-'3-Year P&amp;L'!$D$46+'3-Year P&amp;L'!$D$36+'3-Year P&amp;L'!$D$37),"")</f>
        <v>83201.43728069481</v>
      </c>
      <c r="H32" s="61">
        <f>IFERROR(IF(OR(E32="",E32=0),"",G32/E32),"")</f>
        <v>4.010489533826071</v>
      </c>
    </row>
    <row r="33">
      <c r="A33" s="40" t="n">
        <v>7</v>
      </c>
      <c r="B33" s="61">
        <f>IFERROR(IF(OR(7&gt;B22,F32=""),"",F32),"")</f>
        <v>18859.959517963907</v>
      </c>
      <c r="C33" s="61">
        <f>IFERROR(IF(OR(7&gt;B22,B33=""),"",B33*B21),"")</f>
        <v>1885.9959517963907</v>
      </c>
      <c r="D33" s="61">
        <f>IFERROR(IF(OR(7&gt;B22,B33=""),"",IF(7&lt;=B23,0,MIN(B33,B24-C33))),"")</f>
        <v>18859.959517963758</v>
      </c>
      <c r="E33" s="61">
        <f>IFERROR(IF(C33="","",C33+D33),"")</f>
        <v>20745.95546976015</v>
      </c>
      <c r="F33" s="61">
        <f>IFERROR(IF(D33="","",B33-D33),"")</f>
        <v>1.4915713109076023e-10</v>
      </c>
      <c r="G33" s="61">
        <f>IFERROR(IF(E33="","",'3-Year P&amp;L'!$D$41-'3-Year P&amp;L'!$D$46+'3-Year P&amp;L'!$D$36+'3-Year P&amp;L'!$D$37),"")</f>
        <v>83201.43728069481</v>
      </c>
      <c r="H33" s="61">
        <f>IFERROR(IF(OR(E33="",E33=0),"",G33/E33),"")</f>
        <v>4.010489533826071</v>
      </c>
    </row>
    <row r="34">
      <c r="A34" s="40" t="n">
        <v>8</v>
      </c>
      <c r="B34" s="61">
        <f>IFERROR(IF(OR(8&gt;B22,F33=""),"",F33),"")</f>
        <v/>
      </c>
      <c r="C34" s="61">
        <f>IFERROR(IF(OR(8&gt;B22,B34=""),"",B34*B21),"")</f>
        <v/>
      </c>
      <c r="D34" s="61">
        <f>IFERROR(IF(OR(8&gt;B22,B34=""),"",IF(8&lt;=B23,0,MIN(B34,B24-C34))),"")</f>
        <v/>
      </c>
      <c r="E34" s="61">
        <f>IFERROR(IF(C34="","",C34+D34),"")</f>
        <v/>
      </c>
      <c r="F34" s="61">
        <f>IFERROR(IF(D34="","",B34-D34),"")</f>
        <v/>
      </c>
      <c r="G34" s="61">
        <f>IFERROR(IF(E34="","",'3-Year P&amp;L'!$D$41-'3-Year P&amp;L'!$D$46+'3-Year P&amp;L'!$D$36+'3-Year P&amp;L'!$D$37),"")</f>
        <v/>
      </c>
      <c r="H34" s="61">
        <f>IFERROR(IF(OR(E34="",E34=0),"",G34/E34),"")</f>
        <v/>
      </c>
    </row>
    <row r="35">
      <c r="A35" s="40" t="n">
        <v>9</v>
      </c>
      <c r="B35" s="61">
        <f>IFERROR(IF(OR(9&gt;B22,F34=""),"",F34),"")</f>
        <v/>
      </c>
      <c r="C35" s="61">
        <f>IFERROR(IF(OR(9&gt;B22,B35=""),"",B35*B21),"")</f>
        <v/>
      </c>
      <c r="D35" s="61">
        <f>IFERROR(IF(OR(9&gt;B22,B35=""),"",IF(9&lt;=B23,0,MIN(B35,B24-C35))),"")</f>
        <v/>
      </c>
      <c r="E35" s="61">
        <f>IFERROR(IF(C35="","",C35+D35),"")</f>
        <v/>
      </c>
      <c r="F35" s="61">
        <f>IFERROR(IF(D35="","",B35-D35),"")</f>
        <v/>
      </c>
      <c r="G35" s="61">
        <f>IFERROR(IF(E35="","",'3-Year P&amp;L'!$D$41-'3-Year P&amp;L'!$D$46+'3-Year P&amp;L'!$D$36+'3-Year P&amp;L'!$D$37),"")</f>
        <v/>
      </c>
      <c r="H35" s="61">
        <f>IFERROR(IF(OR(E35="",E35=0),"",G35/E35),"")</f>
        <v/>
      </c>
    </row>
    <row r="36">
      <c r="A36" s="40" t="n">
        <v>10</v>
      </c>
      <c r="B36" s="61">
        <f>IFERROR(IF(OR(10&gt;B22,F35=""),"",F35),"")</f>
        <v/>
      </c>
      <c r="C36" s="61">
        <f>IFERROR(IF(OR(10&gt;B22,B36=""),"",B36*B21),"")</f>
        <v/>
      </c>
      <c r="D36" s="61">
        <f>IFERROR(IF(OR(10&gt;B22,B36=""),"",IF(10&lt;=B23,0,MIN(B36,B24-C36))),"")</f>
        <v/>
      </c>
      <c r="E36" s="61">
        <f>IFERROR(IF(C36="","",C36+D36),"")</f>
        <v/>
      </c>
      <c r="F36" s="61">
        <f>IFERROR(IF(D36="","",B36-D36),"")</f>
        <v/>
      </c>
      <c r="G36" s="61">
        <f>IFERROR(IF(E36="","",'3-Year P&amp;L'!$D$41-'3-Year P&amp;L'!$D$46+'3-Year P&amp;L'!$D$36+'3-Year P&amp;L'!$D$37),"")</f>
        <v/>
      </c>
      <c r="H36" s="61">
        <f>IFERROR(IF(OR(E36="",E36=0),"",G36/E36),"")</f>
        <v/>
      </c>
    </row>
    <row r="37">
      <c r="A37" s="40" t="n">
        <v>11</v>
      </c>
      <c r="B37" s="61">
        <f>IFERROR(IF(OR(11&gt;B22,F36=""),"",F36),"")</f>
        <v/>
      </c>
      <c r="C37" s="61">
        <f>IFERROR(IF(OR(11&gt;B22,B37=""),"",B37*B21),"")</f>
        <v/>
      </c>
      <c r="D37" s="61">
        <f>IFERROR(IF(OR(11&gt;B22,B37=""),"",IF(11&lt;=B23,0,MIN(B37,B24-C37))),"")</f>
        <v/>
      </c>
      <c r="E37" s="61">
        <f>IFERROR(IF(C37="","",C37+D37),"")</f>
        <v/>
      </c>
      <c r="F37" s="61">
        <f>IFERROR(IF(D37="","",B37-D37),"")</f>
        <v/>
      </c>
      <c r="G37" s="61">
        <f>IFERROR(IF(E37="","",'3-Year P&amp;L'!$D$41-'3-Year P&amp;L'!$D$46+'3-Year P&amp;L'!$D$36+'3-Year P&amp;L'!$D$37),"")</f>
        <v/>
      </c>
      <c r="H37" s="61">
        <f>IFERROR(IF(OR(E37="",E37=0),"",G37/E37),"")</f>
        <v/>
      </c>
    </row>
    <row r="38">
      <c r="A38" s="40" t="n">
        <v>12</v>
      </c>
      <c r="B38" s="61">
        <f>IFERROR(IF(OR(12&gt;B22,F37=""),"",F37),"")</f>
        <v/>
      </c>
      <c r="C38" s="61">
        <f>IFERROR(IF(OR(12&gt;B22,B38=""),"",B38*B21),"")</f>
        <v/>
      </c>
      <c r="D38" s="61">
        <f>IFERROR(IF(OR(12&gt;B22,B38=""),"",IF(12&lt;=B23,0,MIN(B38,B24-C38))),"")</f>
        <v/>
      </c>
      <c r="E38" s="61">
        <f>IFERROR(IF(C38="","",C38+D38),"")</f>
        <v/>
      </c>
      <c r="F38" s="61">
        <f>IFERROR(IF(D38="","",B38-D38),"")</f>
        <v/>
      </c>
      <c r="G38" s="61">
        <f>IFERROR(IF(E38="","",'3-Year P&amp;L'!$D$41-'3-Year P&amp;L'!$D$46+'3-Year P&amp;L'!$D$36+'3-Year P&amp;L'!$D$37),"")</f>
        <v/>
      </c>
      <c r="H38" s="61">
        <f>IFERROR(IF(OR(E38="",E38=0),"",G38/E38),"")</f>
        <v/>
      </c>
    </row>
    <row r="39">
      <c r="A39" s="40" t="n">
        <v>13</v>
      </c>
      <c r="B39" s="61">
        <f>IFERROR(IF(OR(13&gt;B22,F38=""),"",F38),"")</f>
        <v/>
      </c>
      <c r="C39" s="61">
        <f>IFERROR(IF(OR(13&gt;B22,B39=""),"",B39*B21),"")</f>
        <v/>
      </c>
      <c r="D39" s="61">
        <f>IFERROR(IF(OR(13&gt;B22,B39=""),"",IF(13&lt;=B23,0,MIN(B39,B24-C39))),"")</f>
        <v/>
      </c>
      <c r="E39" s="61">
        <f>IFERROR(IF(C39="","",C39+D39),"")</f>
        <v/>
      </c>
      <c r="F39" s="61">
        <f>IFERROR(IF(D39="","",B39-D39),"")</f>
        <v/>
      </c>
      <c r="G39" s="61">
        <f>IFERROR(IF(E39="","",'3-Year P&amp;L'!$D$41-'3-Year P&amp;L'!$D$46+'3-Year P&amp;L'!$D$36+'3-Year P&amp;L'!$D$37),"")</f>
        <v/>
      </c>
      <c r="H39" s="61">
        <f>IFERROR(IF(OR(E39="",E39=0),"",G39/E39),"")</f>
        <v/>
      </c>
    </row>
    <row r="40">
      <c r="A40" s="40" t="n">
        <v>14</v>
      </c>
      <c r="B40" s="61">
        <f>IFERROR(IF(OR(14&gt;B22,F39=""),"",F39),"")</f>
        <v/>
      </c>
      <c r="C40" s="61">
        <f>IFERROR(IF(OR(14&gt;B22,B40=""),"",B40*B21),"")</f>
        <v/>
      </c>
      <c r="D40" s="61">
        <f>IFERROR(IF(OR(14&gt;B22,B40=""),"",IF(14&lt;=B23,0,MIN(B40,B24-C40))),"")</f>
        <v/>
      </c>
      <c r="E40" s="61">
        <f>IFERROR(IF(C40="","",C40+D40),"")</f>
        <v/>
      </c>
      <c r="F40" s="61">
        <f>IFERROR(IF(D40="","",B40-D40),"")</f>
        <v/>
      </c>
      <c r="G40" s="61">
        <f>IFERROR(IF(E40="","",'3-Year P&amp;L'!$D$41-'3-Year P&amp;L'!$D$46+'3-Year P&amp;L'!$D$36+'3-Year P&amp;L'!$D$37),"")</f>
        <v/>
      </c>
      <c r="H40" s="61">
        <f>IFERROR(IF(OR(E40="",E40=0),"",G40/E40),"")</f>
        <v/>
      </c>
    </row>
    <row r="41">
      <c r="A41" s="40" t="n">
        <v>15</v>
      </c>
      <c r="B41" s="61">
        <f>IFERROR(IF(OR(15&gt;B22,F40=""),"",F40),"")</f>
        <v/>
      </c>
      <c r="C41" s="61">
        <f>IFERROR(IF(OR(15&gt;B22,B41=""),"",B41*B21),"")</f>
        <v/>
      </c>
      <c r="D41" s="61">
        <f>IFERROR(IF(OR(15&gt;B22,B41=""),"",IF(15&lt;=B23,0,MIN(B41,B24-C41))),"")</f>
        <v/>
      </c>
      <c r="E41" s="61">
        <f>IFERROR(IF(C41="","",C41+D41),"")</f>
        <v/>
      </c>
      <c r="F41" s="61">
        <f>IFERROR(IF(D41="","",B41-D41),"")</f>
        <v/>
      </c>
      <c r="G41" s="61">
        <f>IFERROR(IF(E41="","",'3-Year P&amp;L'!$D$41-'3-Year P&amp;L'!$D$46+'3-Year P&amp;L'!$D$36+'3-Year P&amp;L'!$D$37),"")</f>
        <v/>
      </c>
      <c r="H41" s="61">
        <f>IFERROR(IF(OR(E41="",E41=0),"",G41/E41),"")</f>
        <v/>
      </c>
    </row>
    <row r="42">
      <c r="A42" s="28" t="inlineStr">
        <is>
          <t>Schedule closing tolerance</t>
        </is>
      </c>
      <c r="B42" s="71" t="n">
        <v>0.01</v>
      </c>
      <c r="C42" s="28" t="inlineStr">
        <is>
          <t>Rounding margin. Above it, the schedule does not close and there is principal left unpaid</t>
        </is>
      </c>
      <c r="D42" s="28" t="n"/>
      <c r="E42" s="28" t="n"/>
      <c r="F42" s="28" t="n"/>
      <c r="G42" s="28" t="n"/>
      <c r="H42" s="28" t="n"/>
    </row>
    <row r="43">
      <c r="A43" s="28" t="inlineStr">
        <is>
          <t>Balance outstanding at maturity</t>
        </is>
      </c>
      <c r="B43" s="61">
        <f>IFERROR(IF(B20="","",ROUND(B20-SUM(D27:D41),2)),"")</f>
        <v>0.0</v>
      </c>
      <c r="C43" s="28" t="inlineStr">
        <is>
          <t>Must be zero: the principal repaid in the schedule has to equal the amount borrowed. If it is positive, the term falls short</t>
        </is>
      </c>
      <c r="D43" s="28" t="n"/>
      <c r="E43" s="28" t="n"/>
      <c r="F43" s="28" t="n"/>
      <c r="G43" s="28" t="n"/>
      <c r="H43" s="28" t="n"/>
    </row>
    <row r="44">
      <c r="A44" s="28" t="inlineStr">
        <is>
          <t>Year-1 interest</t>
        </is>
      </c>
      <c r="B44" s="40">
        <f>IFERROR(IF(B20="","",IF(C27="",0,C27)),"")</f>
        <v>10100.0</v>
      </c>
      <c r="C44" s="28" t="n"/>
      <c r="D44" s="28" t="n"/>
      <c r="E44" s="28" t="n"/>
      <c r="F44" s="28" t="n"/>
      <c r="G44" s="28" t="n"/>
      <c r="H44" s="28" t="n"/>
    </row>
    <row r="45">
      <c r="A45" s="28" t="inlineStr">
        <is>
          <t>Year-1 principal repaid</t>
        </is>
      </c>
      <c r="B45" s="40">
        <f>IFERROR(IF(B20="","",IF(D27="",0,D27)),"")</f>
        <v>10645.955469760149</v>
      </c>
      <c r="C45" s="28" t="n"/>
      <c r="D45" s="28" t="n"/>
      <c r="E45" s="28" t="n"/>
      <c r="F45" s="28" t="n"/>
      <c r="G45" s="28" t="n"/>
      <c r="H45" s="28" t="n"/>
    </row>
    <row r="46">
      <c r="A46" s="28" t="inlineStr">
        <is>
          <t>Year-2 interest</t>
        </is>
      </c>
      <c r="B46" s="40">
        <f>IFERROR(IF(B20="","",IF(C28="",0,C28)),"")</f>
        <v>9035.404453023986</v>
      </c>
      <c r="C46" s="28" t="n"/>
      <c r="D46" s="28" t="n"/>
      <c r="E46" s="28" t="n"/>
      <c r="F46" s="28" t="n"/>
      <c r="G46" s="28" t="n"/>
      <c r="H46" s="28" t="n"/>
    </row>
    <row r="47">
      <c r="A47" s="28" t="inlineStr">
        <is>
          <t>Year-2 principal repaid</t>
        </is>
      </c>
      <c r="B47" s="40">
        <f>IFERROR(IF(B20="","",IF(D28="",0,D28)),"")</f>
        <v>11710.551016736163</v>
      </c>
      <c r="C47" s="28" t="n"/>
      <c r="D47" s="28" t="n"/>
      <c r="E47" s="28" t="n"/>
      <c r="F47" s="28" t="n"/>
      <c r="G47" s="28" t="n"/>
      <c r="H47" s="28" t="n"/>
    </row>
    <row r="48">
      <c r="A48" s="28" t="inlineStr">
        <is>
          <t>Year-3 interest</t>
        </is>
      </c>
      <c r="B48" s="40">
        <f>IFERROR(IF(B20="","",IF(C29="",0,C29)),"")</f>
        <v>7864.34935135037</v>
      </c>
      <c r="C48" s="28" t="n"/>
      <c r="D48" s="28" t="n"/>
      <c r="E48" s="28" t="n"/>
      <c r="F48" s="28" t="n"/>
      <c r="G48" s="28" t="n"/>
      <c r="H48" s="28" t="n"/>
    </row>
    <row r="49">
      <c r="A49" s="28" t="inlineStr">
        <is>
          <t>Year-3 principal repaid</t>
        </is>
      </c>
      <c r="B49" s="40">
        <f>IFERROR(IF(B20="","",IF(D29="",0,D29)),"")</f>
        <v>12881.606118409778</v>
      </c>
      <c r="C49" s="28" t="n"/>
      <c r="D49" s="28" t="n"/>
      <c r="E49" s="28" t="n"/>
      <c r="F49" s="28" t="n"/>
      <c r="G49" s="28" t="n"/>
      <c r="H49" s="28" t="n"/>
    </row>
    <row r="50">
      <c r="A50" s="25" t="inlineStr">
        <is>
          <t>DEBT SERVICE COVERAGE RATIO (DSCR)</t>
        </is>
      </c>
      <c r="B50" s="28" t="n"/>
      <c r="C50" s="28" t="n"/>
      <c r="D50" s="28" t="n"/>
      <c r="E50" s="28" t="n"/>
      <c r="F50" s="28" t="n"/>
      <c r="G50" s="28" t="n"/>
      <c r="H50" s="28" t="n"/>
    </row>
    <row r="51">
      <c r="A51" s="28" t="inlineStr">
        <is>
          <t>Year-1 DSCR</t>
        </is>
      </c>
      <c r="B51" s="61">
        <f>IFERROR(('3-Year P&amp;L'!$B$41-'3-Year P&amp;L'!$B$46+'3-Year P&amp;L'!$B$36+B44)/(B44+B45),"")</f>
        <v>2.4307295567255034</v>
      </c>
      <c r="C51" s="28" t="inlineStr">
        <is>
          <t>An INTEREST-ONLY year, if there is one: with only interest in the denominator the ratio shoots up and does not measure the business</t>
        </is>
      </c>
      <c r="D51" s="28" t="n"/>
      <c r="E51" s="28" t="n"/>
      <c r="F51" s="28" t="n"/>
      <c r="G51" s="28" t="n"/>
      <c r="H51" s="28" t="n"/>
    </row>
    <row r="52">
      <c r="A52" s="28" t="inlineStr">
        <is>
          <t>Year-2 DSCR</t>
        </is>
      </c>
      <c r="B52" s="61">
        <f>IFERROR(('3-Year P&amp;L'!$C$41-'3-Year P&amp;L'!$C$46+'3-Year P&amp;L'!$C$36+B46)/(B46+B47),"")</f>
        <v>3.3639842887853266</v>
      </c>
      <c r="C52" s="28" t="n"/>
      <c r="D52" s="28" t="n"/>
      <c r="E52" s="28" t="n"/>
      <c r="F52" s="28" t="n"/>
      <c r="G52" s="28" t="n"/>
      <c r="H52" s="28" t="n"/>
    </row>
    <row r="53">
      <c r="A53" s="28" t="inlineStr">
        <is>
          <t>Year-3 DSCR</t>
        </is>
      </c>
      <c r="B53" s="61">
        <f>IFERROR(('3-Year P&amp;L'!$D$41-'3-Year P&amp;L'!$D$46+'3-Year P&amp;L'!$D$36+B48)/(B48+B49),"")</f>
        <v>4.010489533826071</v>
      </c>
      <c r="C53" s="28" t="n"/>
      <c r="D53" s="28" t="n"/>
      <c r="E53" s="28" t="n"/>
      <c r="F53" s="28" t="n"/>
      <c r="G53" s="28" t="n"/>
      <c r="H53" s="28" t="n"/>
    </row>
    <row r="54">
      <c r="A54" s="25" t="inlineStr">
        <is>
          <t>Minimum DSCR across the whole schedule</t>
        </is>
      </c>
      <c r="B54" s="62">
        <f>IFERROR(IF(COUNT(H27:H41)=0,"",MIN(H27:H41)),"")</f>
        <v>2.4307295567255034</v>
      </c>
      <c r="C54" s="25" t="inlineStr">
        <is>
          <t>The worst year of the life of the loan, not the best of the three the P&amp;L projects. It is the number that decides a loan. Mind the scope: years 1 to 3 come from the P&amp;L, and from year 4 on the schedule HOLDS year 3's cash flow, so the minimum over those years is a sustained projection, not a calculated year. The cash flow is after tax</t>
        </is>
      </c>
      <c r="D54" s="28" t="n"/>
      <c r="E54" s="28" t="n"/>
      <c r="F54" s="28" t="n"/>
      <c r="G54" s="28" t="n"/>
      <c r="H54" s="28" t="n"/>
    </row>
    <row r="55">
      <c r="A55" s="28" t="n"/>
      <c r="B55" s="28" t="n"/>
      <c r="C55" s="28" t="n"/>
      <c r="D55" s="28" t="n"/>
      <c r="E55" s="28" t="n"/>
      <c r="F55" s="28" t="n"/>
      <c r="G55" s="28" t="n"/>
      <c r="H55" s="28" t="n"/>
    </row>
    <row r="56" ht="165" customHeight="1">
      <c r="A56" s="46" t="inlineStr">
        <is>
          <t>DSCR is calculated BEFORE debt and AFTER tax: income tax is subtracted from pre-tax income, depreciation and interest are added back, and the result is divided by what has to be paid that year. Below the minimum in the "0. Assumptions" tab, the business does not generate enough to repay the loan. In the schedule, the available cash flow from year 4 on is held at year 3's: the P&amp;L projects only three years, and no growth is invented here that has not been calculated.</t>
        </is>
      </c>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Assumptions'!$B$65)</formula>
    </cfRule>
    <cfRule type="expression" priority="7" dxfId="2" stopIfTrue="1">
      <formula>AND(ISNUMBER(B51),B51&gt;='0. Assumptions'!$B$65)</formula>
    </cfRule>
    <cfRule type="expression" priority="8" dxfId="0" stopIfTrue="1">
      <formula>AND(ISNUMBER(B51),B51&gt;='0. Assumptions'!$B$66)</formula>
    </cfRule>
  </conditionalFormatting>
  <conditionalFormatting sqref="B52">
    <cfRule type="expression" priority="9" dxfId="1" stopIfTrue="1">
      <formula>AND(ISNUMBER(B52),B52&lt;'0. Assumptions'!$B$65)</formula>
    </cfRule>
    <cfRule type="expression" priority="10" dxfId="2" stopIfTrue="1">
      <formula>AND(ISNUMBER(B52),B52&gt;='0. Assumptions'!$B$65)</formula>
    </cfRule>
    <cfRule type="expression" priority="11" dxfId="0" stopIfTrue="1">
      <formula>AND(ISNUMBER(B52),B52&gt;='0. Assumptions'!$B$66)</formula>
    </cfRule>
  </conditionalFormatting>
  <conditionalFormatting sqref="B53">
    <cfRule type="expression" priority="12" dxfId="1" stopIfTrue="1">
      <formula>AND(ISNUMBER(B53),B53&lt;'0. Assumptions'!$B$65)</formula>
    </cfRule>
    <cfRule type="expression" priority="13" dxfId="2" stopIfTrue="1">
      <formula>AND(ISNUMBER(B53),B53&gt;='0. Assumptions'!$B$65)</formula>
    </cfRule>
    <cfRule type="expression" priority="14" dxfId="0" stopIfTrue="1">
      <formula>AND(ISNUMBER(B53),B53&gt;='0. Assumptions'!$B$66)</formula>
    </cfRule>
  </conditionalFormatting>
  <conditionalFormatting sqref="B54">
    <cfRule type="expression" priority="15" dxfId="1" stopIfTrue="1">
      <formula>AND(ISNUMBER(B54),B54&lt;'0. Assumptions'!$B$65)</formula>
    </cfRule>
    <cfRule type="expression" priority="16" dxfId="2" stopIfTrue="1">
      <formula>AND(ISNUMBER(B54),B54&gt;='0. Assumptions'!$B$65)</formula>
    </cfRule>
    <cfRule type="expression" priority="17" dxfId="0" stopIfTrue="1">
      <formula>AND(ISNUMBER(B54),B54&gt;='0. Assumptions'!$B$66)</formula>
    </cfRule>
  </conditionalFormatting>
  <dataValidations count="2">
    <dataValidation sqref="B8 B9 B10 B11 B42" showDropDown="0" showInputMessage="0" showErrorMessage="1" allowBlank="1" errorTitle="Invalid amount" error="Enter a number greater than or equal to 0." type="decimal" operator="greaterThanOrEqual">
      <formula1>0</formula1>
    </dataValidation>
    <dataValidation sqref="B1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BBQ Catering Financial Projections: 3-Year P&amp;L, Cash Flow &amp; Financing · BBQ Catering Business Plan Kit</dc:title>
  <dc:description xmlns:dc="http://purl.org/dc/elements/1.1/">aichef.pro/en/digital-products/bbq-catering-business-plan</dc:description>
  <dc:subject xmlns:dc="http://purl.org/dc/elements/1.1/">BBQ Catering Business Plan Kit · v2.2</dc:subject>
  <dcterms:created xmlns:dcterms="http://purl.org/dc/terms/" xmlns:xsi="http://www.w3.org/2001/XMLSchema-instance" xsi:type="dcterms:W3CDTF">2026-03-26T14:46:57Z</dcterms:created>
  <dcterms:modified xmlns:dcterms="http://purl.org/dc/terms/" xmlns:xsi="http://www.w3.org/2001/XMLSchema-instance" xsi:type="dcterms:W3CDTF">2026-10-24T13:48:02Z</dcterms:modified>
  <cp:lastModifiedBy>AI Chef Pro</cp:lastModifiedBy>
  <cp:category>AI Chef Pro · Digital products</cp:category>
  <cp:keywords>bbq catering business plan, bbq business plan, bbq business plan template, barbecue catering business plan, how to start a bbq catering business, bbq catering prices, smoker trailer, AI Chef Pro</cp:keywords>
</cp:coreProperties>
</file>