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150</v>
      </c>
      <c r="C4" t="inlineStr">
        <is>
          <t>Average number of events you cater per year, counting every drop-off, buffet, wedding, party and live-fire booking. It is the main volume driver of the whole workbook: the P&amp;L, break-even and scenarios all read it, and years 2 and 3 grow in events. The example is a full-time pitmaster with a pit cook, not the average first year. Compare it with the capacity row further down.</t>
        </is>
      </c>
    </row>
    <row r="5">
      <c r="A5" t="inlineStr">
        <is>
          <t>Average price per guest (excl. sales tax, service included)</t>
        </is>
      </c>
      <c r="B5" s="24" t="n">
        <v>38</v>
      </c>
      <c r="C5" t="inlineStr">
        <is>
          <t>EXCL. sales tax, with staffing and the service charge included and the voluntary gratuity left out: the blended price per guest across everything you sell, not the price of any one package. Price per guest incl. sales tax = this value × (1 + your sales tax rate). Operators quote by package (drop-off, staffed buffet, full-service); the benchmarks table on the "Instructions" tab shows the ranges. To bring a quote from the Pricing Calculator here, divide its subtotal plus the service charge you keep by the billable guests (its own price per guest excludes the service charge), then weight each package by the guests you expect to serve in a year.</t>
        </is>
      </c>
    </row>
    <row r="6">
      <c r="A6" t="inlineStr">
        <is>
          <t>Average guests per event</t>
        </is>
      </c>
      <c r="B6" s="18" t="n">
        <v>75</v>
      </c>
      <c r="C6" t="inlineStr">
        <is>
          <t>Average number of guests per event across your whole mix, from drop-off lunches for a few dozen people to weddings of well over a hundred. Operators set guest minimums (see the benchmarks table on the "Instructions" tab). Sales per event = guests × price per guest. One cell for the whole workbook: the P&amp;L, break-even and scenarios all read it, so they always agree.</t>
        </is>
      </c>
    </row>
    <row r="7">
      <c r="A7" t="inlineStr">
        <is>
          <t>Volume growth in year 2</t>
        </is>
      </c>
      <c r="B7" s="63" t="n">
        <v>0.12</v>
      </c>
      <c r="C7" t="inlineStr">
        <is>
          <t>Growth in events in year 2 over year 1 (enter 0.12 for 12%). Kept conservative on purpose: reviews and wedding bookings build up months ahead, and a single smoker trailer limits how fast you can grow.</t>
        </is>
      </c>
    </row>
    <row r="8">
      <c r="A8" t="inlineStr">
        <is>
          <t>Volume growth in year 3</t>
        </is>
      </c>
      <c r="B8" s="63" t="n">
        <v>0.08</v>
      </c>
      <c r="C8" t="inlineStr">
        <is>
          <t>Growth in events in year 3 over year 2, kept conservative for the same reason: repeat corporate clients and planner referrals build up slowly, and one smoker trailer limits the weekends you can sell.</t>
        </is>
      </c>
    </row>
    <row r="9">
      <c r="A9" t="inlineStr">
        <is>
          <t>Price per guest incl. sales tax (calculated)</t>
        </is>
      </c>
      <c r="B9" s="64">
        <f>IFERROR(IF($B$5="","",$B$5*(1+SUMPRODUCT('3-Year P&amp;L'!$E$10:$E$11,'3-Year P&amp;L'!$G$10:$G$11))),"")</f>
        <v>41.040000000000006</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BBQ PACKAGES share of sales (smoked meats, sides, bread &amp; sauces, staffing)</t>
        </is>
      </c>
      <c r="B11" s="63" t="n">
        <v>0.88</v>
      </c>
      <c r="C11" t="inlineStr">
        <is>
          <t>Share of sales that comes from BBQ packages: smoked meats, sides, bread and sauces, and the staffing that serves them. It is an INPUT: change it here and the P&amp;L, the cash flow and the sales tax collected recalculate on their own. The rest of your sales are add-ons.</t>
        </is>
      </c>
    </row>
    <row r="12">
      <c r="A12" t="inlineStr">
        <is>
          <t>ADD-ONS share of sales (live pit on site, desserts, appetizers, non-alcoholic drinks, rentals, travel fees)</t>
        </is>
      </c>
      <c r="B12" s="65">
        <f>IFERROR(IF(COUNT(B11)=0,"",1-B11),"")</f>
        <v>0.12</v>
      </c>
      <c r="C12" t="inlineStr">
        <is>
          <t>Calculated as the remainder: BBQ packages + add-ons = 100%. Add-ons are the live pit on site, desserts, appetizers, non-alcoholic drinks, rentals and travel fees.</t>
        </is>
      </c>
    </row>
    <row r="13">
      <c r="A13" t="inlineStr">
        <is>
          <t>Cost of goods on BBQ PACKAGE sales (raw meat, sides, bread, sauces)</t>
        </is>
      </c>
      <c r="B13" s="63" t="n">
        <v>0.28</v>
      </c>
      <c r="C13" t="inlineStr">
        <is>
          <t>Cost of goods sold on BBQ package sales: raw meat (bought at raw weight: brisket and pork butt yield about half after smoking), sides, bread and sauces, with a cushion for overproduction. The example sits inside the 28-35% food cost range for caterers in the benchmarks table on the "Instructions" tab. Meat prices swing, so it is the most sensitive lever in the plan: test it at the top of the range before you trust the result.</t>
        </is>
      </c>
    </row>
    <row r="14">
      <c r="A14" t="inlineStr">
        <is>
          <t>Cost of goods on ADD-ON sales</t>
        </is>
      </c>
      <c r="B14" s="63" t="n">
        <v>0.35</v>
      </c>
      <c r="C14" t="inlineStr">
        <is>
          <t>Cost of goods sold on add-ons: bought-in desserts and appetizers, and rentals you pass on at close to cost. The live pit on site is almost all margin. There is no alcohol in this line: the client buys it separately.</t>
        </is>
      </c>
    </row>
    <row r="15">
      <c r="A15" t="inlineStr">
        <is>
          <t>Disposables, wood &amp; cooking fuel as % of sales</t>
        </is>
      </c>
      <c r="B15" s="63" t="n">
        <v>0.035</v>
      </c>
      <c r="C15" t="inlineStr">
        <is>
          <t>Disposables, wood and cooking fuel as a % of sales: plates, cutlery, napkins and foil pans, plus the wood, charcoal, pellets and propane backup that go into every cook (roughly 60-100 lb of wood per cook, or 27-45 kg: Kit estimate). It scales with the pounds of meat you smoke and the number of events. Vehicle and trailer fuel is NOT here: it has its own fixed line on the "3-Year P&amp;L" tab. Some cities restrict foam and single-use plastics, so check your local rules.</t>
        </is>
      </c>
    </row>
    <row r="16">
      <c r="A16" t="inlineStr">
        <is>
          <t>Corporate catering marketplace share of sales (e.g. ezCater)</t>
        </is>
      </c>
      <c r="B16" s="63" t="n">
        <v>0.06</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0.03</v>
      </c>
      <c r="C18" t="inlineStr">
        <is>
          <t>Card and ACH fees on total sales. Private clients pay their deposit and balance by card; many companies pay by ACH or check, which lowers the cost. The example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TRAILER PARKING AND FIXED COSTS</t>
        </is>
      </c>
    </row>
    <row r="24">
      <c r="A24" t="inlineStr">
        <is>
          <t>Commissary kitchen rent &amp; smoker trailer parking, per month</t>
        </is>
      </c>
      <c r="B24" s="18" t="n">
        <v>1800</v>
      </c>
      <c r="C24" t="inlineStr">
        <is>
          <t>Monthly cost of your commissary kitchen (hours + storage) and the parking spot for your smoker trailer: one cell for everything you pay the commissary. Pick one where you can smoke in the yard, and ask the health department and the fire marshal before you sign. The deposit and the months before opening are calculated from it. Shared kitchens charge roughly 15-45 per hour (The Food Corridor, 2023 Shared Kitchen Operator Survey): multiply by your cook hours and add storage and parking. A permitted commissary is required: smoked meat for clients cannot be cooked in a home kitchen,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(water, power and phone not covered by the commissary)</t>
        </is>
      </c>
      <c r="B26" s="18" t="n">
        <v>150</v>
      </c>
      <c r="C26" t="inlineStr">
        <is>
          <t>Water, electricity and phone that the commissary fee does not cover. Wood, charcoal and propane backup are not here: they scale with your cooks and live in the disposables, wood and cooking fuel row above. It is the one cell for this cost, so you change it in one place and the rest of the workbook follows.</t>
        </is>
      </c>
    </row>
    <row r="27">
      <c r="A27" t="inlineStr">
        <is>
          <t>Insurance (per year)</t>
        </is>
      </c>
      <c r="B27" s="18" t="n">
        <v>6000</v>
      </c>
      <c r="C27" t="inlineStr">
        <is>
          <t>General liability or a BOP (venues and planners often require 1M per occurrence), commercial auto that covers the smoker trailer, workers' comp for your W-2 staff and inland marine for the smoker. Venues ask for a certificate of insurance (COI) naming them as additional insured. Add liquor liability only if the client supplies alcohol and your staff serves it.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Extra meat on the day, ice and parking at the venue: the unbudgeted costs of each event. It is a VARIABLE cost: it rises and falls with the number of events, so it cannot sit among the fixed costs or it would move the break-even without anyone noticing. Fuel is not here: vehicle and trailer fuel has its own fixed line on the "3-Year P&amp;L" tab, and cooking fuel is in the disposables row.</t>
        </is>
      </c>
    </row>
    <row r="29">
      <c r="A29" s="16" t="inlineStr">
        <is>
          <t>FINANCING</t>
        </is>
      </c>
    </row>
    <row r="30">
      <c r="A30" t="inlineStr">
        <is>
          <t>Owner's equity contributed</t>
        </is>
      </c>
      <c r="B30" s="18" t="n">
        <v>35000</v>
      </c>
      <c r="C30" t="inlineStr">
        <is>
          <t>Your own money. Lenders usually expect an owner equity injection (often around 10% for SBA start-ups; many want 20-30%) on the total cash needed in this plan.</t>
        </is>
      </c>
    </row>
    <row r="31">
      <c r="A31" t="inlineStr">
        <is>
          <t>Loan requested</t>
        </is>
      </c>
      <c r="B31" s="18" t="n">
        <v>101000</v>
      </c>
      <c r="C31" t="inlineStr">
        <is>
          <t>Principal requested: bank or SBA 7(a). The example loan is above the $50,000 ceiling of the SBA Microloan, so it fits an SBA 7(a) loan or a secured bank loan. If your loan is an SBA 7(a), this is the cell. It is the only loan that the amortization schedule, the P&amp;L interest and the DSCR use. The "Financing" tab checks that the sources of funds match the total cash needed on the "Startup Costs" tab (which includes working capital and the smoker trailer, van and fit-out contingency): copy the loan suggested there into this cell until the difference reaches zero. A lender will ask for your plan and projections.</t>
        </is>
      </c>
    </row>
    <row r="32">
      <c r="A32" t="inlineStr">
        <is>
          <t>Nominal annual interest rate (not APR)</t>
        </is>
      </c>
      <c r="B32" s="63" t="n">
        <v>0.1</v>
      </c>
      <c r="C32" t="inlineStr">
        <is>
          <t>Nominal annual rate (not APR). The example (10%) is the kit's assumption for an SBA 7(a) loan. A smaller loan secured by a smoker trailer, a used van and kitchen equipment often prices above a storefront loan: ask two lenders for quotes, and ask about SBA-guaranteed loans, before you set it.</t>
        </is>
      </c>
    </row>
    <row r="33">
      <c r="A33" t="inlineStr">
        <is>
          <t>Loan term (years)</t>
        </is>
      </c>
      <c r="B33" s="18" t="n">
        <v>7</v>
      </c>
      <c r="C33" t="inlineStr">
        <is>
          <t>Total years, interest-only period included. A smoker trailer and a van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(food, staffing, rentals and the service charge). It varies widely by state and city: look up yours. UK: 20% VAT applies to catering for events and functions (VAT Notice 709/1).</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smoker trailer, van and fit-outs (years)</t>
        </is>
      </c>
      <c r="B44" s="18" t="n">
        <v>7</v>
      </c>
      <c r="C44" t="inlineStr">
        <is>
          <t>The smoker trailer, the van, their upfits (warming cabinet, storage boxes, racks, wrap) and the trailer inspection: everything mounted on a vehicle is depreciated with it. Straight-line book depreciation; tax methods such as MACRS or Section 179 are separate, so confirm with your accountant.</t>
        </is>
      </c>
    </row>
    <row r="45">
      <c r="A45" t="inlineStr">
        <is>
          <t>Useful life of the live-fire rig, holding equipment, pit tools and software (years)</t>
        </is>
      </c>
      <c r="B45" s="18" t="n">
        <v>5</v>
      </c>
      <c r="C45" t="inlineStr">
        <is>
          <t>The live-fire rig, commissary storage fit-out, software, smallwares and pit tools, and holding and service equipment.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pit and crew can handle</t>
        </is>
      </c>
      <c r="B51" s="18" t="n">
        <v>220</v>
      </c>
      <c r="C51" t="inlineStr">
        <is>
          <t>INFORMATION ONLY: it does not enter any calculation in this workbook. It is your estimate of the most events a year your pit and crew can handle with one smoker trailer; Saturdays in May, June and October are the bottleneck. Compare it with the events per year you plan and with the optimistic scenario: if the plan goes above it, you need a second pit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permits, the fire inspection and the trailer ready takes weeks, and your test cooks happen before your first booking, so you pay commissary rent before you earn anything. It belongs in startup costs, not in the P&amp;L.</t>
        </is>
      </c>
    </row>
    <row r="55">
      <c r="A55" t="inlineStr">
        <is>
          <t>Contingency on the trailer, van and fit-out lines (%)</t>
        </is>
      </c>
      <c r="B55" s="63" t="n">
        <v>0.1</v>
      </c>
      <c r="C55" t="inlineStr">
        <is>
          <t>Calculated by formula on the smoker trailer, its upfit, the van, its upfit and the trailer inspection lines: if you change the trailer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7</v>
      </c>
      <c r="C58" t="inlineStr">
        <is>
          <t>Average days between the event and the money in your bank. Private clients usually pay a 50% nonrefundable deposit when they book and the balance days before the event, and many companies pay at 30 days, so the example sits in between. Raise it if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no liquor license; the client supplies any alcohol)</t>
        </is>
      </c>
      <c r="B62" s="63" t="n">
        <v>0</v>
      </c>
      <c r="C62" t="inlineStr">
        <is>
          <t>ZERO by default: a BBQ caterer sells no alcohol. If the client supplies it, a licensed service should pour it under its own insurance. Selling alcohol requires a liquor license (and, in some states, an event-by-event caterer's permit): check your state before adding it. Keep liquor liability coverage whenever your staff pours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BBQ CATERING COMPANY</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83300.0</v>
      </c>
      <c r="C6" s="67">
        <f>IFERROR(B6/$B$26,"")</f>
        <v>0.6139871129043433</v>
      </c>
      <c r="D6" s="28" t="n"/>
      <c r="E6" s="28" t="n"/>
    </row>
    <row r="7">
      <c r="A7" s="28" t="inlineStr">
        <is>
          <t>Smoker trailer (offset / reverse-flow, 500-gal class, new)</t>
        </is>
      </c>
      <c r="B7" s="49" t="n">
        <v>20000</v>
      </c>
      <c r="C7" s="68">
        <f>IFERROR(B7/$B$26,"")</f>
        <v>0.14741587344642096</v>
      </c>
      <c r="D7" s="28" t="inlineStr">
        <is>
          <t>A new offset or reverse-flow smoker trailer, 500-gallon class (wood, charcoal or pellets). Examples we read: Meadow Creek TS500 at $20,395 (webstaurantstore.com); Yoder Frontiersman at $8,495-$16,295 plus shipping (yodersmokers.com). The tow vehicle is YOUR pickup, at 0 in this plan. If you don't have one, budget a used pickup that tows at least 5,000 lb (2,270 kg), checked against the loaded trailer weight: roughly 25,000-40,000 (Kit estimate).</t>
        </is>
      </c>
      <c r="E7" s="31" t="inlineStr">
        <is>
          <t>Yes</t>
        </is>
      </c>
    </row>
    <row r="8">
      <c r="A8" s="28" t="inlineStr">
        <is>
          <t>Smoker trailer upfit (warming cabinet, hand sink + water tanks if your county requires, storage boxes, lights)</t>
        </is>
      </c>
      <c r="B8" s="49" t="n">
        <v>3500</v>
      </c>
      <c r="C8" s="68">
        <f>IFERROR(B8/$B$26,"")</f>
        <v>0.025797777853123666</v>
      </c>
      <c r="D8" s="28" t="inlineStr">
        <is>
          <t>Warming cabinet, hand sink and water tanks if your county requires them (smoking or serving at the event can make the trailer a mobile food unit), storage boxes and lights.</t>
        </is>
      </c>
      <c r="E8" s="31" t="inlineStr">
        <is>
          <t>Yes</t>
        </is>
      </c>
    </row>
    <row r="9">
      <c r="A9" s="28" t="inlineStr">
        <is>
          <t>Live-fire rig (Santa Maria grill, Argentine parrilla, asado crosses, La Caja China)</t>
        </is>
      </c>
      <c r="B9" s="49" t="n">
        <v>4500</v>
      </c>
      <c r="C9" s="68">
        <f>IFERROR(B9/$B$26,"")</f>
        <v>0.033168571525444716</v>
      </c>
      <c r="D9" s="28" t="inlineStr">
        <is>
          <t>Live-fire rig for the premium line: Santa Maria grill, Argentine parrilla, asado crosses and La Caja China for pig roasts. It is depreciated with the equipment. Lower it to 0 if you will only smoke.</t>
        </is>
      </c>
      <c r="E9" s="31" t="inlineStr">
        <is>
          <t>Yes</t>
        </is>
      </c>
    </row>
    <row r="10">
      <c r="A10" s="28" t="inlineStr">
        <is>
          <t>Commissary storage fit-out (racks, meat lugs, vacuum sealer)</t>
        </is>
      </c>
      <c r="B10" s="49" t="n">
        <v>1500</v>
      </c>
      <c r="C10" s="68">
        <f>IFERROR(B10/$B$26,"")</f>
        <v>0.011056190508481572</v>
      </c>
      <c r="D10" s="28" t="inlineStr">
        <is>
          <t>Racks, meat lugs and a vacuum sealer in the commissary. Ask the kitchen what it already provides before you budget this line.</t>
        </is>
      </c>
      <c r="E10" s="31" t="inlineStr">
        <is>
          <t>Yes</t>
        </is>
      </c>
    </row>
    <row r="11">
      <c r="A11" s="28" t="inlineStr">
        <is>
          <t>Used cargo van</t>
        </is>
      </c>
      <c r="B11" s="49" t="n">
        <v>18000</v>
      </c>
      <c r="C11" s="68">
        <f>IFERROR(B11/$B$26,"")</f>
        <v>0.13267428610177887</v>
      </c>
      <c r="D11" s="28" t="inlineStr">
        <is>
          <t>A used cargo van for drop-offs and buffets: it carries the hot boxes and insulated food carriers. It is not refrigerated: cooked meat travels in hot holding at 135 °F (57 °C) or above, and raw meat goes from your supplier to the commissary. Prices vary with size, mileage and condition, so get several quotes. A Transit-size van does not need a CDL (that starts at 26,001 lb GVWR).</t>
        </is>
      </c>
      <c r="E11" s="31" t="inlineStr">
        <is>
          <t>Yes</t>
        </is>
      </c>
    </row>
    <row r="12">
      <c r="A12" s="28" t="inlineStr">
        <is>
          <t>Van upfit (shelving, racks, tie-downs, wrap)</t>
        </is>
      </c>
      <c r="B12" s="49" t="n">
        <v>3000</v>
      </c>
      <c r="C12" s="68">
        <f>IFERROR(B12/$B$26,"")</f>
        <v>0.022112381016963143</v>
      </c>
      <c r="D12" s="28" t="inlineStr">
        <is>
          <t>Shelving, racks, tie-downs for hot boxes and carriers, and the vehicle wrap.</t>
        </is>
      </c>
      <c r="E12" s="31" t="inlineStr">
        <is>
          <t>Yes</t>
        </is>
      </c>
    </row>
    <row r="13">
      <c r="A13" s="28" t="inlineStr">
        <is>
          <t>LLC formation, contracts and legal</t>
        </is>
      </c>
      <c r="B13" s="49" t="n">
        <v>1500</v>
      </c>
      <c r="C13" s="68">
        <f>IFERROR(B13/$B$26,"")</f>
        <v>0.011056190508481572</v>
      </c>
      <c r="D13" s="28" t="inlineStr">
        <is>
          <t>State filing fees for the LLC (Secretary of State) plus an attorney's review of your standard contract (50% nonrefundable deposit, cancellation tiers and a burn ban clause) or a filing service;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(catering / health permit, MFU or temporary event permits, fire inspection, ServSafe Manager)</t>
        </is>
      </c>
      <c r="B14" s="49" t="n">
        <v>2500</v>
      </c>
      <c r="C14" s="68">
        <f>IFERROR(B14/$B$26,"")</f>
        <v>0.01842698418080262</v>
      </c>
      <c r="D14" s="28" t="inlineStr">
        <is>
          <t>Varies a lot by city, county and state: get the amounts for yours before you close the budget. Expect the catering or health permit, mobile food unit or temporary event permits, the fire marshal inspection, the business license, the sales tax permit, ServSafe Manager and food handler cards.</t>
        </is>
      </c>
      <c r="E14" s="31" t="inlineStr">
        <is>
          <t>No</t>
        </is>
      </c>
    </row>
    <row r="15">
      <c r="A15" s="28" t="inlineStr">
        <is>
          <t>Plan review / trailer inspection (only if your county requires it)</t>
        </is>
      </c>
      <c r="B15" s="49" t="n">
        <v>500</v>
      </c>
      <c r="C15" s="68">
        <f>IFERROR(B15/$B$26,"")</f>
        <v>0.003685396836160524</v>
      </c>
      <c r="D15" s="28" t="inlineStr">
        <is>
          <t>Only if your county requires it: some review the trailer or your written procedures before issuing the permit and charge a plan review fee. In Texas, a mobile food unit works out of a central preparation facility (25 TAC §228.221). If your county doesn't, enter 0.</t>
        </is>
      </c>
      <c r="E15" s="31" t="inlineStr">
        <is>
          <t>Yes</t>
        </is>
      </c>
    </row>
    <row r="16">
      <c r="A16" s="28" t="inlineStr">
        <is>
          <t>Catering software, card reader and tablet</t>
        </is>
      </c>
      <c r="B16" s="49" t="n">
        <v>1200</v>
      </c>
      <c r="C16" s="68">
        <f>IFERROR(B16/$B$26,"")</f>
        <v>0.008844952406785258</v>
      </c>
      <c r="D16" s="28" t="inlineStr">
        <is>
          <t>Catering software for proposals, e-signature contracts, deposits and final balances, plus a card reader and a tablet.</t>
        </is>
      </c>
      <c r="E16" s="31" t="inlineStr">
        <is>
          <t>Yes</t>
        </is>
      </c>
    </row>
    <row r="17">
      <c r="A17" s="28" t="inlineStr">
        <is>
          <t>Smallwares &amp; pit tools (knives, hotel pans, probe thermometers, butcher paper)</t>
        </is>
      </c>
      <c r="B17" s="49" t="n">
        <v>3500</v>
      </c>
      <c r="C17" s="68">
        <f>IFERROR(B17/$B$26,"")</f>
        <v>0.025797777853123666</v>
      </c>
      <c r="D17" s="28" t="inlineStr">
        <is>
          <t>Knives, cutting boards, hotel pans, calibrated probe thermometers, butcher paper and foil, and heat-resistant gloves: the tools that get depreciated. Daily disposables are NOT depreciated: they go in the disposables, wood and cooking fuel line of the P&amp;L, at the % of sales set in the "0. Assumptions" tab.</t>
        </is>
      </c>
      <c r="E17" s="31" t="inlineStr">
        <is>
          <t>Yes</t>
        </is>
      </c>
    </row>
    <row r="18">
      <c r="A18" s="28" t="inlineStr">
        <is>
          <t>Opening inventory (meat for test cooks, rubs, sauces, wood, disposables)</t>
        </is>
      </c>
      <c r="B18" s="49" t="n">
        <v>4000</v>
      </c>
      <c r="C18" s="68">
        <f>IFERROR(B18/$B$26,"")</f>
        <v>0.029483174689284193</v>
      </c>
      <c r="D18" s="28" t="inlineStr">
        <is>
          <t>Meat for your test cooks, rubs, sauces, wood and disposables for your first events. With 0% recoverable input tax (the US default), any sales tax you pay on this purchase is treated as a cost.</t>
        </is>
      </c>
      <c r="E18" s="31" t="inlineStr">
        <is>
          <t>Yes</t>
        </is>
      </c>
    </row>
    <row r="19">
      <c r="A19" s="28" t="inlineStr">
        <is>
          <t>Website, photos, launch and first bridal show</t>
        </is>
      </c>
      <c r="B19" s="49" t="n">
        <v>5000</v>
      </c>
      <c r="C19" s="68">
        <f>IFERROR(B19/$B$26,"")</f>
        <v>0.03685396836160524</v>
      </c>
      <c r="D19" s="28" t="inlineStr">
        <is>
          <t>Website, photos of the meat and the smoker trailer, listings on The Knot, WeddingWire, Zola and ezCater, Google Business Profile and your first bridal show.</t>
        </is>
      </c>
      <c r="E19" s="31" t="inlineStr">
        <is>
          <t>Yes</t>
        </is>
      </c>
    </row>
    <row r="20">
      <c r="A20" s="28" t="inlineStr">
        <is>
          <t>Holding &amp; service equipment (insulated food carriers, hot boxes, chafing dishes, coolers, canopy, carving board)</t>
        </is>
      </c>
      <c r="B20" s="49" t="n">
        <v>6500</v>
      </c>
      <c r="C20" s="68">
        <f>IFERROR(B20/$B$26,"")</f>
        <v>0.04791015887008681</v>
      </c>
      <c r="D20" s="28" t="inlineStr">
        <is>
          <t>Six insulated food carriers, two hot boxes, ten chafing dishes, coolers, tables, a canopy and a cutting board for the carving station.</t>
        </is>
      </c>
      <c r="E20" s="31" t="inlineStr">
        <is>
          <t>Yes</t>
        </is>
      </c>
    </row>
    <row r="21">
      <c r="A21" s="28" t="inlineStr">
        <is>
          <t>Commissary deposit</t>
        </is>
      </c>
      <c r="B21" s="40">
        <f>IFERROR(IF('0. Assumptions'!$B$24="","",'0. Assumptions'!$B$24*'0. Assumptions'!$B$25),"")</f>
        <v>1800.0</v>
      </c>
      <c r="C21" s="68">
        <f>IFERROR(B21/$B$26,"")</f>
        <v>0.013267428610177887</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1800.0</v>
      </c>
      <c r="C22" s="68">
        <f>IFERROR(B22/$B$26,"")</f>
        <v>0.013267428610177887</v>
      </c>
      <c r="D22" s="28" t="str">
        <f>IFERROR("Rent "&amp;IF('0. Assumptions'!$B$54=1,"for the month","for the "&amp;TEXT('0. Assumptions'!$B$54,"0")&amp;" months")&amp;" of test cooks, permits and pre-sales before opening. It does not overlap the P&amp;L, which starts on opening day: its twelve months are twelve trading months","")</f>
        <v>Rent for the month of test cooks, permits and pre-sales before opening. It does not overlap the P&amp;L, which starts on opening day: its twelve months are twelve trading months</v>
      </c>
      <c r="E22" s="28" t="inlineStr">
        <is>
          <t>Yes</t>
        </is>
      </c>
    </row>
    <row r="23">
      <c r="A23" s="28" t="inlineStr">
        <is>
          <t>Smoker trailer, van and fit-out contingency</t>
        </is>
      </c>
      <c r="B23" s="40">
        <f>IFERROR(IF(COUNT(B7,B8,B11,B12,B15)=0,"",ROUND((B7+B8+B11+B12+B15)*'0. Assumptions'!$B$55,0)),"")</f>
        <v>4500.0</v>
      </c>
      <c r="C23" s="68">
        <f>IFERROR(B23/$B$26,"")</f>
        <v>0.033168571525444716</v>
      </c>
      <c r="D23" s="28" t="str">
        <f>IFERROR("At "&amp;TEXT('0. Assumptions'!$B$55,"0%")&amp;" of the BUILD-OUT items of this block (smoker trailer, smoker trailer upfit, used cargo van, van upfit and the plan review / trailer inspection), not of the whole block: the other items are left out. No lender funds a build-out without a cushion: the percentage is in ""0. Assumptions""","")</f>
        <v>At 10% of the BUILD-OUT items of this block (smoker trailer, smoker trailer upfit, used cargo van, van upfit and the plan review / trailer inspection), not of the whole block: the other items are left out. No lender funds a build-out without a cushion: the percentage is in "0. Assumptions"</v>
      </c>
      <c r="E23" s="28" t="inlineStr">
        <is>
          <t>Yes</t>
        </is>
      </c>
    </row>
    <row r="24">
      <c r="A24" s="16" t="inlineStr">
        <is>
          <t>WORKING CAPITAL</t>
        </is>
      </c>
      <c r="B24" s="52">
        <f>IFERROR(IF(B25="","",B25),"")</f>
        <v>52370.6</v>
      </c>
      <c r="C24" s="69">
        <f>IFERROR(B24/$B$26,"")</f>
        <v>0.3860128870956567</v>
      </c>
    </row>
    <row r="25">
      <c r="A25" s="35" t="inlineStr">
        <is>
          <t>Operating cushion until break-even</t>
        </is>
      </c>
      <c r="B25" s="42">
        <f>IFERROR(IF('0. Assumptions'!$B$35*('3-Year P&amp;L'!$B$38-'3-Year P&amp;L'!$B$36)=0,"",'0. Assumptions'!$B$35*('3-Year P&amp;L'!$B$38-'3-Year P&amp;L'!$B$36)/12),"")</f>
        <v>52370.6</v>
      </c>
      <c r="C25" s="65">
        <f>IFERROR(B25/$B$26,"")</f>
        <v>0.3860128870956567</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135670.6</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(39% of the total). To compare the breakdown with another plan, use the CAPEX row below.</v>
      </c>
    </row>
    <row r="27">
      <c r="A27" s="16" t="inlineStr">
        <is>
          <t>CAPEX (startup costs excluding working capital)</t>
        </is>
      </c>
      <c r="B27" s="52">
        <f>IFERROR(B26-B24,"")</f>
        <v>83300.0</v>
      </c>
      <c r="D27" s="16" t="inlineStr">
        <is>
          <t>What you buy: smoker trailer, van, upfits, live-fire rig,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135670.6</v>
      </c>
      <c r="D29" s="16" t="inlineStr">
        <is>
          <t>This is the figure the Financing tab has to cover</t>
        </is>
      </c>
    </row>
    <row r="30">
      <c r="A30" s="16" t="inlineStr">
        <is>
          <t>DEPRECIATION BASES (not added to startup costs)</t>
        </is>
      </c>
    </row>
    <row r="31">
      <c r="A31" s="35" t="inlineStr">
        <is>
          <t>Smoker trailer, van and fit-outs (depreciated over the vehicle life)</t>
        </is>
      </c>
      <c r="B31" s="42">
        <f>IFERROR(IF(B7="","",B7+B8+B11+B12+B15+B23),"")</f>
        <v>49500.0</v>
      </c>
      <c r="D31" t="str">
        <f>IFERROR("Depreciated over "&amp;TEXT('0. Assumptions'!$B$44,"0")&amp;" years","")</f>
        <v>Depreciated over 7 years</v>
      </c>
    </row>
    <row r="32">
      <c r="A32" s="35" t="inlineStr">
        <is>
          <t>Machinery, furniture and equipment</t>
        </is>
      </c>
      <c r="B32" s="42">
        <f>IFERROR(IF(B9="","",B9+B10+B16+B17+B20),"")</f>
        <v>17200.0</v>
      </c>
      <c r="D32" t="str">
        <f>IFERROR("Depreciated over "&amp;TEXT('0. Assumptions'!$B$45,"0")&amp;" years","")</f>
        <v>Depreciated over 5 years</v>
      </c>
    </row>
    <row r="33">
      <c r="A33" s="16" t="inlineStr">
        <is>
          <t>Annual depreciation of fixed assets</t>
        </is>
      </c>
      <c r="B33" s="52">
        <f>IFERROR(B31/MAX(1,'0. Assumptions'!$B$44)+B32/MAX(1,'0. Assumptions'!$B$45),"")</f>
        <v>10511.428571428572</v>
      </c>
      <c r="D33" s="37" t="str">
        <f>IFERROR("Not depreciated, because they are not fixed assets: LLC formation and legal, first-year permits and certifications, opening inventory, website, photos and launch, the commissary deposit, pre-opening commissary rent and the working capital reserve. They add up to "&amp;TEXT(B26-B31-B32,"#,##0")&amp;" of the "&amp;TEXT(B26,"#,##0")&amp;" total investment.","")</f>
        <v>Not depreciated, because they are not fixed assets: LLC formation and legal, first-year permits and certifications, opening inventory, website, photos and launch, the commissary deposit, pre-opening commissary rent and the working capital reserve. They add up to 68971 of the 135671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BBQ caterer (smoked meats, off-site)</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150.0</v>
      </c>
      <c r="C6" s="40">
        <f>IFERROR(B6*(1+'0. Assumptions'!$B$7),"")</f>
        <v>168.00000000000003</v>
      </c>
      <c r="D6" s="40">
        <f>IFERROR(C6*(1+'0. Assumptions'!$B$8),"")</f>
        <v>181.44000000000005</v>
      </c>
      <c r="E6" s="28" t="n"/>
      <c r="F6" s="28" t="inlineStr">
        <is>
          <t>Growth for years 2 and 3 is set in "0. Assumptions"</t>
        </is>
      </c>
      <c r="G6" s="28" t="n"/>
      <c r="H6" s="28" t="n"/>
    </row>
    <row r="7">
      <c r="A7" s="28" t="inlineStr">
        <is>
          <t>Average price per guest (excl. sales tax)</t>
        </is>
      </c>
      <c r="B7" s="61">
        <f>IFERROR(IF('0. Assumptions'!$B$5="","",'0. Assumptions'!$B$5),"")</f>
        <v>38.0</v>
      </c>
      <c r="C7" s="61">
        <f>IFERROR(IF(B7="","",B7),"")</f>
        <v>38.0</v>
      </c>
      <c r="D7" s="61">
        <f>IFERROR(IF(C7="","",C7),"")</f>
        <v>38.0</v>
      </c>
      <c r="E7" s="28" t="n"/>
      <c r="F7" s="28" t="inlineStr">
        <is>
          <t>Held constant at year-1 prices: a price increase is a separate decision</t>
        </is>
      </c>
      <c r="G7" s="28" t="n"/>
      <c r="H7" s="28" t="n"/>
    </row>
    <row r="8">
      <c r="A8" s="28" t="inlineStr">
        <is>
          <t>Average guests per event</t>
        </is>
      </c>
      <c r="B8" s="40">
        <f>IFERROR(IF('0. Assumptions'!$B$6="","",'0. Assumptions'!$B$6),"")</f>
        <v>75.0</v>
      </c>
      <c r="C8" s="40">
        <f>IFERROR(IF(B8="","",B8),"")</f>
        <v>75.0</v>
      </c>
      <c r="D8" s="40">
        <f>IFERROR(IF(C8="","",C8),"")</f>
        <v>75.0</v>
      </c>
      <c r="E8" s="28" t="n"/>
      <c r="F8" s="28" t="n"/>
      <c r="G8" s="28" t="n"/>
      <c r="H8" s="28" t="n"/>
    </row>
    <row r="9">
      <c r="A9" s="25" t="inlineStr">
        <is>
          <t>TOTAL REVENUE (excl. sales tax)</t>
        </is>
      </c>
      <c r="B9" s="66">
        <f>IFERROR(IF(B6*B7*B8=0,"",B6*B7*B8),"")</f>
        <v>427500.0</v>
      </c>
      <c r="C9" s="66">
        <f>IFERROR(IF(C6*C7*C8=0,"",C6*C7*C8),"")</f>
        <v>478800.00000000006</v>
      </c>
      <c r="D9" s="66">
        <f>IFERROR(IF(D6*D7*D8=0,"",D6*D7*D8),"")</f>
        <v>517104.0000000002</v>
      </c>
      <c r="E9" s="67">
        <f>IFERROR(IF(B9="","",1),"")</f>
        <v>1.0</v>
      </c>
      <c r="F9" s="28" t="n"/>
      <c r="G9" s="28" t="n"/>
      <c r="H9" s="28" t="n"/>
    </row>
    <row r="10">
      <c r="A10" s="28" t="inlineStr">
        <is>
          <t>BBQ package sales (smoked meats, sides, bread &amp; sauces, staffing)</t>
        </is>
      </c>
      <c r="B10" s="40">
        <f>IFERROR(IF(B9="","",B9*$E$10),"")</f>
        <v>376200.0</v>
      </c>
      <c r="C10" s="40">
        <f>IFERROR(IF(C9="","",C9*$E$10),"")</f>
        <v>421344.00000000006</v>
      </c>
      <c r="D10" s="40">
        <f>IFERROR(IF(D9="","",D9*$E$10),"")</f>
        <v>455051.52000000014</v>
      </c>
      <c r="E10" s="68">
        <f>IFERROR(IF('0. Assumptions'!$B$11="","",'0. Assumptions'!$B$11),"")</f>
        <v>0.88</v>
      </c>
      <c r="F10" s="28" t="inlineStr">
        <is>
          <t>Sales of BBQ packages: the smoked meats, sides, bread and sauces plus the staffing that serves them, across drop-offs, buffets, parties, weddings and live-fire events. All of it carries cost of goods sold at the BBQ package rate.</t>
        </is>
      </c>
      <c r="G10" s="68">
        <f>IFERROR(IF(B9="","",'0. Assumptions'!$B$39),"")</f>
        <v>0.08</v>
      </c>
      <c r="H10" s="28" t="n"/>
    </row>
    <row r="11">
      <c r="A11" s="28" t="inlineStr">
        <is>
          <t>Add-on sales (live pit on site, desserts, appetizers, drinks, rentals, travel fees)</t>
        </is>
      </c>
      <c r="B11" s="40">
        <f>IFERROR(IF(B9="","",B9*$E$11),"")</f>
        <v>51300.0</v>
      </c>
      <c r="C11" s="40">
        <f>IFERROR(IF(C9="","",C9*$E$11),"")</f>
        <v>57456.00000000001</v>
      </c>
      <c r="D11" s="40">
        <f>IFERROR(IF(D9="","",D9*$E$11),"")</f>
        <v>62052.48000000002</v>
      </c>
      <c r="E11" s="68">
        <f>IFERROR(IF('0. Assumptions'!$B$12="","",'0. Assumptions'!$B$12),"")</f>
        <v>0.12</v>
      </c>
      <c r="F11" s="28" t="inlineStr">
        <is>
          <t>Sales of add-ons: the live pit on site (your smoker trailer at the event, a paid extra), desserts, appetizers, non-alcoholic drinks, rentals and travel fees. The client buys any alcohol separately, so there is no alcohol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BBQ packages (meat, sides, bread &amp; sauces)</t>
        </is>
      </c>
      <c r="B13" s="40">
        <f>IFERROR(IF(B9="","",B9*'0. Assumptions'!$B$11*'0. Assumptions'!$B$13),"")</f>
        <v>105336.00000000001</v>
      </c>
      <c r="C13" s="40">
        <f>IFERROR(IF(C9="","",C9*'0. Assumptions'!$B$11*'0. Assumptions'!$B$13),"")</f>
        <v>117976.32000000002</v>
      </c>
      <c r="D13" s="40">
        <f>IFERROR(IF(D9="","",D9*'0. Assumptions'!$B$11*'0. Assumptions'!$B$13),"")</f>
        <v>127414.42560000005</v>
      </c>
      <c r="E13" s="68">
        <f>IFERROR(B13/$B$9,"")</f>
        <v>0.24640000000000004</v>
      </c>
      <c r="F13" s="28" t="str">
        <f>IFERROR("At "&amp;TEXT('0. Assumptions'!$B$13,"0%")&amp;" of BBQ PACKAGE sales (raw meat, sides, bread and sauces), not of total sales: add-ons have their own line","")</f>
        <v>At 28% of BBQ PACKAGE sales (raw meat, sides, bread and sauces), not of total sales: add-ons have their own line</v>
      </c>
      <c r="G13" s="68">
        <f>IFERROR(IF(B9="","",'0. Assumptions'!$B$41),"")</f>
        <v>0.0</v>
      </c>
      <c r="H13" s="28" t="n"/>
    </row>
    <row r="14">
      <c r="A14" s="28" t="inlineStr">
        <is>
          <t>Cost of goods — add-ons</t>
        </is>
      </c>
      <c r="B14" s="40">
        <f>IFERROR(IF(B9="","",B9*'0. Assumptions'!$B$12*'0. Assumptions'!$B$14),"")</f>
        <v>17955.0</v>
      </c>
      <c r="C14" s="40">
        <f>IFERROR(IF(C9="","",C9*'0. Assumptions'!$B$12*'0. Assumptions'!$B$14),"")</f>
        <v>20109.600000000002</v>
      </c>
      <c r="D14" s="40">
        <f>IFERROR(IF(D9="","",D9*'0. Assumptions'!$B$12*'0. Assumptions'!$B$14),"")</f>
        <v>21718.368000000006</v>
      </c>
      <c r="E14" s="68">
        <f>IFERROR(B14/$B$9,"")</f>
        <v>0.042</v>
      </c>
      <c r="F14" s="28" t="str">
        <f>IFERROR("At "&amp;TEXT('0. Assumptions'!$B$14,"0%")&amp;" of ADD-ON sales","")</f>
        <v>At 35% of ADD-ON sales</v>
      </c>
      <c r="G14" s="68">
        <f>IFERROR(IF(B9="","",'0. Assumptions'!$B$41),"")</f>
        <v>0.0</v>
      </c>
      <c r="H14" s="28" t="n"/>
    </row>
    <row r="15">
      <c r="A15" s="28" t="inlineStr">
        <is>
          <t>Disposables, wood &amp; cooking fuel</t>
        </is>
      </c>
      <c r="B15" s="40">
        <f>IFERROR(IF(B9="","",B9*'0. Assumptions'!$B$15),"")</f>
        <v>14962.500000000002</v>
      </c>
      <c r="C15" s="40">
        <f>IFERROR(IF(C9="","",C9*'0. Assumptions'!$B$15),"")</f>
        <v>16758.000000000004</v>
      </c>
      <c r="D15" s="40">
        <f>IFERROR(IF(D9="","",D9*'0. Assumptions'!$B$15),"")</f>
        <v>18098.640000000007</v>
      </c>
      <c r="E15" s="68">
        <f>IFERROR(B15/$B$9,"")</f>
        <v>0.035</v>
      </c>
      <c r="F15" s="28" t="n"/>
      <c r="G15" s="68">
        <f>IFERROR(IF(B9="","",'0. Assumptions'!$B$41),"")</f>
        <v>0.0</v>
      </c>
      <c r="H15" s="28" t="n"/>
    </row>
    <row r="16">
      <c r="A16" s="28" t="inlineStr">
        <is>
          <t>Corporate catering marketplace fees</t>
        </is>
      </c>
      <c r="B16" s="40">
        <f>IFERROR(IF(B9="","",B9*'0. Assumptions'!$B$16*'0. Assumptions'!$B$17),"")</f>
        <v>3847.5</v>
      </c>
      <c r="C16" s="40">
        <f>IFERROR(IF(C9="","",C9*'0. Assumptions'!$B$16*'0. Assumptions'!$B$17),"")</f>
        <v>4309.200000000001</v>
      </c>
      <c r="D16" s="40">
        <f>IFERROR(IF(D9="","",D9*'0. Assumptions'!$B$16*'0. Assumptions'!$B$17),"")</f>
        <v>4653.9360000000015</v>
      </c>
      <c r="E16" s="68">
        <f>IFERROR(B16/$B$9,"")</f>
        <v>0.009</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12825.0</v>
      </c>
      <c r="C17" s="40">
        <f>IFERROR(IF(C9="","",C9*'0. Assumptions'!$B$18),"")</f>
        <v>14364.000000000002</v>
      </c>
      <c r="D17" s="40">
        <f>IFERROR(IF(D9="","",D9*'0. Assumptions'!$B$18),"")</f>
        <v>15513.120000000004</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12825.0</v>
      </c>
      <c r="C18" s="40">
        <f>IFERROR(IF(C9="","",C9*'0. Assumptions'!$B$28),"")</f>
        <v>14364.000000000002</v>
      </c>
      <c r="D18" s="40">
        <f>IFERROR(IF(D9="","",D9*'0. Assumptions'!$B$28),"")</f>
        <v>15513.120000000004</v>
      </c>
      <c r="E18" s="68">
        <f>IFERROR(B18/$B$9,"")</f>
        <v>0.03</v>
      </c>
      <c r="F18" s="28" t="str">
        <f>IFERROR("At "&amp;TEXT('0. Assumptions'!$B$28,"0%")&amp;" of sales: a cushion for unbudgeted event costs (extra meat, ice, venue parking). It is a VARIABLE cost: it moves with the number of events, so it cannot sit in fixed costs (vehicle and trailer fuel, maintenance and registration are in row 27; wood, charcoal and propane are in row 15)","")</f>
        <v>At 3% of sales: a cushion for unbudgeted event costs (extra meat, ice, venue parking). It is a VARIABLE cost: it moves with the number of events, so it cannot sit in fixed costs (vehicle and trailer fuel, maintenance and registration are in row 27; wood, charcoal and propane are in row 15)</v>
      </c>
      <c r="G18" s="68">
        <f>IFERROR(IF(B9="","",'0. Assumptions'!$B$41),"")</f>
        <v>0.0</v>
      </c>
      <c r="H18" s="28" t="n"/>
    </row>
    <row r="19">
      <c r="A19" s="25" t="inlineStr">
        <is>
          <t>TOTAL VARIABLE COSTS</t>
        </is>
      </c>
      <c r="B19" s="66">
        <f>IFERROR(IF(B9="","",SUM(B13:B18)),"")</f>
        <v>167751.00000000003</v>
      </c>
      <c r="C19" s="66">
        <f>IFERROR(IF(C9="","",SUM(C13:C18)),"")</f>
        <v>187881.12000000002</v>
      </c>
      <c r="D19" s="66">
        <f>IFERROR(IF(D9="","",SUM(D13:D18)),"")</f>
        <v>202911.60960000008</v>
      </c>
      <c r="E19" s="67">
        <f>IFERROR(B19/$B$9,"")</f>
        <v>0.3924000000000001</v>
      </c>
      <c r="F19" s="28" t="n"/>
      <c r="G19" s="28" t="n"/>
      <c r="H19" s="28" t="n"/>
    </row>
    <row r="20">
      <c r="A20" s="25" t="inlineStr">
        <is>
          <t>GROSS MARGIN</t>
        </is>
      </c>
      <c r="B20" s="66">
        <f>IFERROR(IF(B9="","",B9-B19),"")</f>
        <v>259748.99999999997</v>
      </c>
      <c r="C20" s="66">
        <f>IFERROR(IF(C9="","",C9-C19),"")</f>
        <v>290918.88</v>
      </c>
      <c r="D20" s="66">
        <f>IFERROR(IF(D9="","",D9-D19),"")</f>
        <v>314192.3904000001</v>
      </c>
      <c r="E20" s="67">
        <f>IFERROR(B20/$B$9,"")</f>
        <v>0.6075999999999999</v>
      </c>
      <c r="F20" s="28" t="n"/>
      <c r="G20" s="28" t="n"/>
      <c r="H20" s="28" t="n"/>
    </row>
    <row r="21">
      <c r="A21" s="25" t="inlineStr">
        <is>
          <t>FIXED COSTS</t>
        </is>
      </c>
      <c r="B21" s="28" t="n"/>
      <c r="C21" s="28" t="n"/>
      <c r="D21" s="28" t="n"/>
      <c r="E21" s="28" t="n"/>
      <c r="F21" s="28" t="n"/>
      <c r="G21" s="28" t="n"/>
      <c r="H21" s="28" t="n"/>
    </row>
    <row r="22">
      <c r="A22" s="28" t="inlineStr">
        <is>
          <t>Commissary kitchen rent &amp; smoker trailer parking</t>
        </is>
      </c>
      <c r="B22" s="40">
        <f>IFERROR(IF(B9="","",'0. Assumptions'!$B$24*12),"")</f>
        <v>21600.0</v>
      </c>
      <c r="C22" s="40">
        <f>IFERROR(IF(C9="","",B22*(1+'0. Assumptions'!$B$48)),"")</f>
        <v>21600.0</v>
      </c>
      <c r="D22" s="40">
        <f>IFERROR(IF(D9="","",C22*(1+'0. Assumptions'!$B$48)),"")</f>
        <v>21600.0</v>
      </c>
      <c r="E22" s="68">
        <f>IFERROR(B22/$B$9,"")</f>
        <v>0.05052631578947368</v>
      </c>
      <c r="F22" s="28" t="inlineStr">
        <is>
          <t>The monthly amount is typed in "0. Assumptions"; here it is multiplied by twelve. It covers your commissary hours, storage and the parking spot for the smoker trailer,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139682.4</v>
      </c>
      <c r="C23" s="40">
        <f>IFERROR(IF(C9="","",Staffing!$B$13),"")</f>
        <v>144682.4</v>
      </c>
      <c r="D23" s="40">
        <f>IFERROR(IF(D9="","",Staffing!$B$14),"")</f>
        <v>149682.4</v>
      </c>
      <c r="E23" s="68">
        <f>IFERROR(B23/$B$9,"")</f>
        <v>0.32674245614035086</v>
      </c>
      <c r="F23" s="28" t="inlineStr">
        <is>
          <t>Comes from the Staffing tab: it is the SAME number, not a separate estimate. Years 2 and 3 add the new hires declared on that tab, not a percentage of volume</t>
        </is>
      </c>
      <c r="G23" s="68" t="n">
        <v>0</v>
      </c>
      <c r="H23" s="28" t="n"/>
    </row>
    <row r="24">
      <c r="A24" s="28" t="inlineStr">
        <is>
          <t>Utilities (water, power and phone not covered by the commissary)</t>
        </is>
      </c>
      <c r="B24" s="40">
        <f>IFERROR(IF(B9="","",'0. Assumptions'!$B$26*12),"")</f>
        <v>1800.0</v>
      </c>
      <c r="C24" s="40">
        <f>IFERROR(IF(C9="","",B24*(1+'0. Assumptions'!$B$48)),"")</f>
        <v>1800.0</v>
      </c>
      <c r="D24" s="40">
        <f>IFERROR(IF(D9="","",C24*(1+'0. Assumptions'!$B$48)),"")</f>
        <v>1800.0</v>
      </c>
      <c r="E24" s="68">
        <f>IFERROR(B24/$B$9,"")</f>
        <v>0.004210526315789474</v>
      </c>
      <c r="F24" s="28" t="inlineStr">
        <is>
          <t>Water, electricity and phone that the commissary fee does not cover. No propane or wood here: they scale with your cooks and sit in the disposables, wood and cooking fuel line.</t>
        </is>
      </c>
      <c r="G24" s="68">
        <f>IFERROR(IF(B9="","",'0. Assumptions'!$B$41),"")</f>
        <v>0.0</v>
      </c>
      <c r="H24" s="28" t="n"/>
    </row>
    <row r="25">
      <c r="A25" s="28" t="inlineStr">
        <is>
          <t>Insurance (general liability, commercial auto with the trailer, workers' comp, inland marine)</t>
        </is>
      </c>
      <c r="B25" s="40">
        <f>IFERROR(IF(B9="","",'0. Assumptions'!$B$27),"")</f>
        <v>6000.0</v>
      </c>
      <c r="C25" s="40">
        <f>IFERROR(IF(C9="","",B25*(1+'0. Assumptions'!$B$48)),"")</f>
        <v>6000.0</v>
      </c>
      <c r="D25" s="40">
        <f>IFERROR(IF(D9="","",C25*(1+'0. Assumptions'!$B$48)),"")</f>
        <v>6000.0</v>
      </c>
      <c r="E25" s="68">
        <f>IFERROR(B25/$B$9,"")</f>
        <v>0.014035087719298246</v>
      </c>
      <c r="F25" s="28" t="inlineStr">
        <is>
          <t>Insurance premiums are not subject to sales tax: there is no recoverable tax on them</t>
        </is>
      </c>
      <c r="G25" s="68" t="n">
        <v>0</v>
      </c>
      <c r="H25" s="28" t="n"/>
    </row>
    <row r="26">
      <c r="A26" s="28" t="inlineStr">
        <is>
          <t>Annual permits and licenses (catering / health permit, MFU or event permits, fire inspections)</t>
        </is>
      </c>
      <c r="B26" s="49" t="n">
        <v>1200</v>
      </c>
      <c r="C26" s="40">
        <f>IFERROR(IF(C9="","",B26*(1+'0. Assumptions'!$B$48)),"")</f>
        <v>1200.0</v>
      </c>
      <c r="D26" s="40">
        <f>IFERROR(IF(D9="","",C26*(1+'0. Assumptions'!$B$48)),"")</f>
        <v>1200.0</v>
      </c>
      <c r="E26" s="68">
        <f>IFERROR(B26/$B$9,"")</f>
        <v>0.002807017543859649</v>
      </c>
      <c r="F26" s="28" t="n"/>
      <c r="G26" s="68">
        <f>IFERROR(IF(B9="","",'0. Assumptions'!$B$41),"")</f>
        <v>0.0</v>
      </c>
      <c r="H26" s="28" t="n"/>
    </row>
    <row r="27">
      <c r="A27" s="28" t="inlineStr">
        <is>
          <t>Vehicle &amp; trailer fuel, maintenance and registration</t>
        </is>
      </c>
      <c r="B27" s="49" t="n">
        <v>6000</v>
      </c>
      <c r="C27" s="40">
        <f>IFERROR(IF(C9="","",B27*(1+'0. Assumptions'!$B$48)),"")</f>
        <v>6000.0</v>
      </c>
      <c r="D27" s="40">
        <f>IFERROR(IF(D9="","",C27*(1+'0. Assumptions'!$B$48)),"")</f>
        <v>6000.0</v>
      </c>
      <c r="E27" s="68">
        <f>IFERROR(B27/$B$9,"")</f>
        <v>0.014035087719298246</v>
      </c>
      <c r="F27" s="28" t="n"/>
      <c r="G27" s="68">
        <f>IFERROR(IF(B9="","",'0. Assumptions'!$B$41),"")</f>
        <v>0.0</v>
      </c>
      <c r="H27" s="28" t="n"/>
    </row>
    <row r="28">
      <c r="A28" s="28" t="inlineStr">
        <is>
          <t>Marketing and advertising</t>
        </is>
      </c>
      <c r="B28" s="49" t="n">
        <v>10000</v>
      </c>
      <c r="C28" s="40">
        <f>IFERROR(IF(C9="","",B28*(1+'0. Assumptions'!$B$48)),"")</f>
        <v>10000.0</v>
      </c>
      <c r="D28" s="40">
        <f>IFERROR(IF(D9="","",C28*(1+'0. Assumptions'!$B$48)),"")</f>
        <v>10000.0</v>
      </c>
      <c r="E28" s="68">
        <f>IFERROR(B28/$B$9,"")</f>
        <v>0.023391812865497075</v>
      </c>
      <c r="F28" s="28" t="n"/>
      <c r="G28" s="68">
        <f>IFERROR(IF(B9="","",'0. Assumptions'!$B$41),"")</f>
        <v>0.0</v>
      </c>
      <c r="H28" s="28" t="n"/>
    </row>
    <row r="29">
      <c r="A29" s="28" t="inlineStr">
        <is>
          <t>Accounting / bookkeeping</t>
        </is>
      </c>
      <c r="B29" s="49" t="n">
        <v>3000</v>
      </c>
      <c r="C29" s="40">
        <f>IFERROR(IF(C9="","",B29*(1+'0. Assumptions'!$B$48)),"")</f>
        <v>3000.0</v>
      </c>
      <c r="D29" s="40">
        <f>IFERROR(IF(D9="","",C29*(1+'0. Assumptions'!$B$48)),"")</f>
        <v>3000.0</v>
      </c>
      <c r="E29" s="68">
        <f>IFERROR(B29/$B$9,"")</f>
        <v>0.007017543859649123</v>
      </c>
      <c r="F29" s="28" t="n"/>
      <c r="G29" s="68">
        <f>IFERROR(IF(B9="","",'0. Assumptions'!$B$41),"")</f>
        <v>0.0</v>
      </c>
      <c r="H29" s="28" t="n"/>
    </row>
    <row r="30">
      <c r="A30" s="28" t="inlineStr">
        <is>
          <t>Software (catering / CRM, e-signature, POS, website)</t>
        </is>
      </c>
      <c r="B30" s="49" t="n">
        <v>2400</v>
      </c>
      <c r="C30" s="40">
        <f>IFERROR(IF(C9="","",B30*(1+'0. Assumptions'!$B$48)),"")</f>
        <v>2400.0</v>
      </c>
      <c r="D30" s="40">
        <f>IFERROR(IF(D9="","",C30*(1+'0. Assumptions'!$B$48)),"")</f>
        <v>2400.0</v>
      </c>
      <c r="E30" s="68">
        <f>IFERROR(B30/$B$9,"")</f>
        <v>0.005614035087719298</v>
      </c>
      <c r="F30" s="28" t="n"/>
      <c r="G30" s="68">
        <f>IFERROR(IF(B9="","",'0. Assumptions'!$B$41),"")</f>
        <v>0.0</v>
      </c>
      <c r="H30" s="28" t="n"/>
    </row>
    <row r="31">
      <c r="A31" s="28" t="inlineStr">
        <is>
          <t>Linens, uniforms and cleaning</t>
        </is>
      </c>
      <c r="B31" s="49" t="n">
        <v>2400</v>
      </c>
      <c r="C31" s="40">
        <f>IFERROR(IF(C9="","",B31*(1+'0. Assumptions'!$B$48)),"")</f>
        <v>2400.0</v>
      </c>
      <c r="D31" s="40">
        <f>IFERROR(IF(D9="","",C31*(1+'0. Assumptions'!$B$48)),"")</f>
        <v>2400.0</v>
      </c>
      <c r="E31" s="68">
        <f>IFERROR(B31/$B$9,"")</f>
        <v>0.005614035087719298</v>
      </c>
      <c r="F31" s="28" t="n"/>
      <c r="G31" s="68">
        <f>IFERROR(IF(B9="","",'0. Assumptions'!$B$41),"")</f>
        <v>0.0</v>
      </c>
      <c r="H31" s="28" t="n"/>
    </row>
    <row r="32">
      <c r="A32" s="28" t="inlineStr">
        <is>
          <t>Waste, grease and ash disposal</t>
        </is>
      </c>
      <c r="B32" s="49" t="n">
        <v>1200</v>
      </c>
      <c r="C32" s="40">
        <f>IFERROR(IF(C9="","",B32*(1+'0. Assumptions'!$B$48)),"")</f>
        <v>1200.0</v>
      </c>
      <c r="D32" s="40">
        <f>IFERROR(IF(D9="","",C32*(1+'0. Assumptions'!$B$48)),"")</f>
        <v>1200.0</v>
      </c>
      <c r="E32" s="68">
        <f>IFERROR(B32/$B$9,"")</f>
        <v>0.002807017543859649</v>
      </c>
      <c r="F32" s="28" t="inlineStr">
        <is>
          <t>Licensed hauler for trash, grease and ash. Ask the commissary first: many include pickup in the fee. If yours does not, get a quote in your area. Let ash cool completely and keep it in a metal container with a lid.</t>
        </is>
      </c>
      <c r="G32" s="68">
        <f>IFERROR(IF(B9="","",'0. Assumptions'!$B$41),"")</f>
        <v>0.0</v>
      </c>
      <c r="H32" s="28" t="n"/>
    </row>
    <row r="33">
      <c r="A33" s="28" t="inlineStr">
        <is>
          <t>Smoker &amp; equipment repair</t>
        </is>
      </c>
      <c r="B33" s="49" t="n">
        <v>1500</v>
      </c>
      <c r="C33" s="40">
        <f>IFERROR(IF(C9="","",B33*(1+'0. Assumptions'!$B$48)),"")</f>
        <v>1500.0</v>
      </c>
      <c r="D33" s="40">
        <f>IFERROR(IF(D9="","",C33*(1+'0. Assumptions'!$B$48)),"")</f>
        <v>1500.0</v>
      </c>
      <c r="E33" s="68">
        <f>IFERROR(B33/$B$9,"")</f>
        <v>0.0035087719298245615</v>
      </c>
      <c r="F33" s="28" t="inlineStr">
        <is>
          <t>Repairs for the smoker and your equipment: doors, gaskets, thermometers, and the wheels and lights of the trailer.</t>
        </is>
      </c>
      <c r="G33" s="68">
        <f>IFERROR(IF(B9="","",'0. Assumptions'!$B$41),"")</f>
        <v>0.0</v>
      </c>
      <c r="H33" s="28" t="n"/>
    </row>
    <row r="34">
      <c r="A34" s="28" t="inlineStr">
        <is>
          <t>Food safety training (ServSafe Manager, food handler cards)</t>
        </is>
      </c>
      <c r="B34" s="49" t="n">
        <v>600</v>
      </c>
      <c r="C34" s="40">
        <f>IFERROR(IF(C9="","",B34*(1+'0. Assumptions'!$B$48)),"")</f>
        <v>600.0</v>
      </c>
      <c r="D34" s="40">
        <f>IFERROR(IF(D9="","",C34*(1+'0. Assumptions'!$B$48)),"")</f>
        <v>600.0</v>
      </c>
      <c r="E34" s="68">
        <f>IFERROR(B34/$B$9,"")</f>
        <v>0.0014035087719298245</v>
      </c>
      <c r="F34" s="28" t="inlineStr">
        <is>
          <t>ServSafe Manager (Certified Food Protection Manager) and food handler cards for you and your team, plus their renewals. The required cards vary by state.</t>
        </is>
      </c>
      <c r="G34" s="68">
        <f>IFERROR(IF(B9="","",'0. Assumptions'!$B$41),"")</f>
        <v>0.0</v>
      </c>
      <c r="H34" s="28" t="n"/>
    </row>
    <row r="35">
      <c r="A35" s="28" t="inlineStr">
        <is>
          <t>Tastings for prospects</t>
        </is>
      </c>
      <c r="B35" s="49" t="n">
        <v>2000</v>
      </c>
      <c r="C35" s="40">
        <f>IFERROR(IF(C9="","",B35*(1+'0. Assumptions'!$B$48)),"")</f>
        <v>2000.0</v>
      </c>
      <c r="D35" s="40">
        <f>IFERROR(IF(D9="","",C35*(1+'0. Assumptions'!$B$48)),"")</f>
        <v>2000.0</v>
      </c>
      <c r="E35" s="68">
        <f>IFERROR(B35/$B$9,"")</f>
        <v>0.004678362573099415</v>
      </c>
      <c r="F35" s="28" t="inlineStr">
        <is>
          <t>Food cost and labor for the tastings you offer couples, planners and companies (meat, sides and pit hours). Many caterers charge a fee and credit it toward the booking: if you do, lower this line.</t>
        </is>
      </c>
      <c r="G35" s="68">
        <f>IFERROR(IF(B9="","",'0. Assumptions'!$B$41),"")</f>
        <v>0.0</v>
      </c>
      <c r="H35" s="28" t="n"/>
    </row>
    <row r="36">
      <c r="A36" s="28" t="inlineStr">
        <is>
          <t>Depreciation of fixed assets</t>
        </is>
      </c>
      <c r="B36" s="40">
        <f>IFERROR(IF(B9="","",'Startup Costs'!$B$33),"")</f>
        <v>10511.428571428572</v>
      </c>
      <c r="C36" s="40">
        <f>IFERROR(IF(C9="","",B36),"")</f>
        <v>10511.428571428572</v>
      </c>
      <c r="D36" s="40">
        <f>IFERROR(IF(D9="","",B36),"")</f>
        <v>10511.428571428572</v>
      </c>
      <c r="E36" s="68">
        <f>IFERROR(B36/$B$9,"")</f>
        <v>0.02458813700918964</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10100.0</v>
      </c>
      <c r="C37" s="40">
        <f>IFERROR(IF(C9="","",Financing!$B$46),"")</f>
        <v>9035.404453023986</v>
      </c>
      <c r="D37" s="40">
        <f>IFERROR(IF(D9="","",Financing!$B$48),"")</f>
        <v>7864.34935135037</v>
      </c>
      <c r="E37" s="68">
        <f>IFERROR(B37/$B$9,"")</f>
        <v>0.023625730994152046</v>
      </c>
      <c r="F37" s="28" t="inlineStr">
        <is>
          <t>Only INTEREST is an expense. Principal repaid appears on the cash flow tab</t>
        </is>
      </c>
      <c r="G37" s="68" t="n">
        <v>0</v>
      </c>
      <c r="H37" s="28" t="n"/>
    </row>
    <row r="38">
      <c r="A38" s="16" t="inlineStr">
        <is>
          <t>TOTAL FIXED COSTS</t>
        </is>
      </c>
      <c r="B38" s="52">
        <f>IFERROR(IF(B9="","",SUM(B22:B37)),"")</f>
        <v>219993.82857142857</v>
      </c>
      <c r="C38" s="52">
        <f>IFERROR(IF(C9="","",SUM(C22:C37)),"")</f>
        <v>223929.23302445255</v>
      </c>
      <c r="D38" s="52">
        <f>IFERROR(IF(D9="","",SUM(D22:D37)),"")</f>
        <v>227758.17792277894</v>
      </c>
      <c r="E38" s="69">
        <f>IFERROR(B38/$B$9,"")</f>
        <v>0.5146054469507101</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39755.1714285714</v>
      </c>
      <c r="C41" s="52">
        <f>IFERROR(IF(C9="","",C20-C38),"")</f>
        <v>66989.64697554745</v>
      </c>
      <c r="D41" s="52">
        <f>IFERROR(IF(D9="","",D20-D38),"")</f>
        <v>86434.21247722115</v>
      </c>
      <c r="E41" s="69">
        <f>IFERROR(B41/$B$9,"")</f>
        <v>0.09299455304928982</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39755.1714285714</v>
      </c>
      <c r="C43" s="42">
        <f>IFERROR(IF(C9="","",MAX(0,C41-C42)),"")</f>
        <v>66989.64697554745</v>
      </c>
      <c r="D43" s="42">
        <f>IFERROR(IF(D9="","",MAX(0,D41-D42)),"")</f>
        <v>86434.21247722115</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9938.79285714285</v>
      </c>
      <c r="C46" s="42">
        <f>IFERROR(IF(C9="","",IF(C45="",0,C43*C45)),"")</f>
        <v>16747.411743886863</v>
      </c>
      <c r="D46" s="42">
        <f>IFERROR(IF(D9="","",IF(D45="",0,D43*D45)),"")</f>
        <v>21608.55311930529</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29816.378571428548</v>
      </c>
      <c r="C48" s="52">
        <f>IFERROR(IF(C9="","",C41-C46),"")</f>
        <v>50242.23523166059</v>
      </c>
      <c r="D48" s="52">
        <f>IFERROR(IF(D9="","",D41-D46),"")</f>
        <v>64825.659357915865</v>
      </c>
      <c r="E48" s="69">
        <f>IFERROR(B48/$B$9,"")</f>
        <v>0.06974591478696736</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0.6075999999999999</v>
      </c>
      <c r="C51" s="65">
        <f>IFERROR(IF(C9="","",C20/C9),"")</f>
        <v>0.6075999999999999</v>
      </c>
      <c r="D51" s="65">
        <f>IFERROR(IF(D9="","",D20/D9),"")</f>
        <v>0.6075999999999999</v>
      </c>
      <c r="E51" s="70" t="n">
        <v>0.58</v>
      </c>
      <c r="F51" s="35" t="inlineStr">
        <is>
          <t>Floor set by this workbook: kit benchmark (editable estimate). The workbook's gross margin also subtracts card fees, marketplace commissions and miscellaneous costs, so the floor sits below the 65-70% that caterer pricing guides quote on food cost alone.</t>
        </is>
      </c>
    </row>
    <row r="52">
      <c r="A52" s="35" t="inlineStr">
        <is>
          <t>Cost of goods sold (BBQ packages + add-ons)</t>
        </is>
      </c>
      <c r="B52" s="42">
        <f>IFERROR(IF(B9="","",B13+B14),"")</f>
        <v>123291.00000000001</v>
      </c>
      <c r="C52" s="42">
        <f>IFERROR(IF(C9="","",C13+C14),"")</f>
        <v>138085.92</v>
      </c>
      <c r="D52" s="42">
        <f>IFERROR(IF(D9="","",D13+D14),"")</f>
        <v>149132.79360000006</v>
      </c>
    </row>
    <row r="53">
      <c r="A53" s="35" t="inlineStr">
        <is>
          <t>Cost of goods sold / Sales</t>
        </is>
      </c>
      <c r="B53" s="65">
        <f>IFERROR(IF(B9="","",B52/B9),"")</f>
        <v>0.28840000000000005</v>
      </c>
      <c r="C53" s="65">
        <f>IFERROR(IF(C9="","",C52/C9),"")</f>
        <v>0.2884</v>
      </c>
      <c r="D53" s="65">
        <f>IFERROR(IF(D9="","",D52/D9),"")</f>
        <v>0.28840000000000005</v>
      </c>
      <c r="E53" s="70" t="n">
        <v>0.35</v>
      </c>
      <c r="F53" s="35" t="inlineStr">
        <is>
          <t>Ceiling for cost of goods (disposables, wood and cooking fuel have their own line): kit benchmark (editable estimate), based on the 28-35% food cost range for caterers in the benchmarks table.</t>
        </is>
      </c>
    </row>
    <row r="54">
      <c r="A54" s="35" t="inlineStr">
        <is>
          <t>Labor cost / Sales</t>
        </is>
      </c>
      <c r="B54" s="65">
        <f>IFERROR(IF(B9="","",B23/B9),"")</f>
        <v>0.32674245614035086</v>
      </c>
      <c r="C54" s="65">
        <f>IFERROR(IF(C9="","",C23/C9),"")</f>
        <v>0.30217710944026727</v>
      </c>
      <c r="D54" s="65">
        <f>IFERROR(IF(D9="","",D23/D9),"")</f>
        <v>0.2894628546675329</v>
      </c>
      <c r="E54" s="70" t="n">
        <v>0.38</v>
      </c>
      <c r="F54" s="35" t="inlineStr">
        <is>
          <t>Ceiling: kit benchmark (editable estimate), above the 25-35% labor range that pricing guides report because it includes the owner/pitmaster's own pay.</t>
        </is>
      </c>
    </row>
    <row r="55">
      <c r="A55" s="35" t="inlineStr">
        <is>
          <t>Commissary &amp; parking / Sales</t>
        </is>
      </c>
      <c r="B55" s="65">
        <f>IFERROR(IF(B9="","",B22/B9),"")</f>
        <v>0.05052631578947368</v>
      </c>
      <c r="C55" s="65">
        <f>IFERROR(IF(C9="","",C22/C9),"")</f>
        <v>0.045112781954887216</v>
      </c>
      <c r="D55" s="65">
        <f>IFERROR(IF(D9="","",D22/D9),"")</f>
        <v>0.041771094402673334</v>
      </c>
      <c r="E55" s="70" t="n">
        <v>0.07000000000000001</v>
      </c>
      <c r="F55" s="35" t="inlineStr">
        <is>
          <t>There is no storefront rent in this workbook: 7% is a prudent ceiling for the commissary kitchen and smoker trailer parking, a kit benchmark (editable estimate). A business with its own fixed kitchen carries a much higher occupancy cost.</t>
        </is>
      </c>
    </row>
    <row r="56">
      <c r="A56" s="35" t="inlineStr">
        <is>
          <t>Net income / Sales</t>
        </is>
      </c>
      <c r="B56" s="65">
        <f>IFERROR(IF(B9="","",B48/B9),"")</f>
        <v>0.06974591478696736</v>
      </c>
      <c r="C56" s="65">
        <f>IFERROR(IF(C9="","",C48/C9),"")</f>
        <v>0.10493365754315076</v>
      </c>
      <c r="D56" s="65">
        <f>IFERROR(IF(D9="","",D48/D9),"")</f>
        <v>0.12536290447940035</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BBQ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219993.82857142857</v>
      </c>
      <c r="C6" s="61">
        <f>IFERROR(IF('3-Year P&amp;L'!$C$9="","",'3-Year P&amp;L'!$C$38),"")</f>
        <v>223929.23302445255</v>
      </c>
      <c r="D6" s="61">
        <f>IFERROR(IF('3-Year P&amp;L'!$D$9="","",'3-Year P&amp;L'!$D$38),"")</f>
        <v>227758.17792277894</v>
      </c>
      <c r="E6" s="28" t="inlineStr">
        <is>
          <t>The SAME fixed costs as the P&amp;L. Each year has its own, which is why the threshold cannot be a single one for all three years</t>
        </is>
      </c>
      <c r="F6" s="28" t="n"/>
    </row>
    <row r="7">
      <c r="A7" s="28" t="inlineStr">
        <is>
          <t>Monthly fixed costs</t>
        </is>
      </c>
      <c r="B7" s="61">
        <f>IFERROR(IF('3-Year P&amp;L'!$B$9="","",B6/12),"")</f>
        <v>18332.819047619047</v>
      </c>
      <c r="C7" s="61">
        <f>IFERROR(IF('3-Year P&amp;L'!$C$9="","",C6/12),"")</f>
        <v>18660.769418704378</v>
      </c>
      <c r="D7" s="61">
        <f>IFERROR(IF('3-Year P&amp;L'!$D$9="","",D6/12),"")</f>
        <v>18979.848160231577</v>
      </c>
      <c r="E7" s="28" t="n"/>
      <c r="F7" s="28" t="n"/>
    </row>
    <row r="8">
      <c r="A8" s="28" t="inlineStr">
        <is>
          <t>Average price per guest (excl. sales tax)</t>
        </is>
      </c>
      <c r="B8" s="61">
        <f>IFERROR(IF('3-Year P&amp;L'!$B$9="","",'3-Year P&amp;L'!$B$7),"")</f>
        <v>38.0</v>
      </c>
      <c r="C8" s="61">
        <f>IFERROR(IF('3-Year P&amp;L'!$C$9="","",'3-Year P&amp;L'!$C$7),"")</f>
        <v>38.0</v>
      </c>
      <c r="D8" s="61">
        <f>IFERROR(IF('3-Year P&amp;L'!$D$9="","",'3-Year P&amp;L'!$D$7),"")</f>
        <v>38.0</v>
      </c>
      <c r="E8" s="28" t="n"/>
      <c r="F8" s="28" t="n"/>
    </row>
    <row r="9">
      <c r="A9" s="28" t="inlineStr">
        <is>
          <t>Variable cost per guest</t>
        </is>
      </c>
      <c r="B9" s="61">
        <f>IFERROR(IF('3-Year P&amp;L'!$B$9="","",'3-Year P&amp;L'!$B$19/('3-Year P&amp;L'!$B$6*'3-Year P&amp;L'!$B$8)),"")</f>
        <v>14.911200000000003</v>
      </c>
      <c r="C9" s="61">
        <f>IFERROR(IF('3-Year P&amp;L'!$C$9="","",'3-Year P&amp;L'!$C$19/('3-Year P&amp;L'!$C$6*'3-Year P&amp;L'!$C$8)),"")</f>
        <v>14.9112</v>
      </c>
      <c r="D9" s="61">
        <f>IFERROR(IF('3-Year P&amp;L'!$D$9="","",'3-Year P&amp;L'!$D$19/('3-Year P&amp;L'!$D$6*'3-Year P&amp;L'!$D$8)),"")</f>
        <v>14.911200000000003</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23.0888</v>
      </c>
      <c r="C10" s="61">
        <f>IFERROR(IF('3-Year P&amp;L'!$C$9="","",C8-C9),"")</f>
        <v>23.0888</v>
      </c>
      <c r="D10" s="61">
        <f>IFERROR(IF('3-Year P&amp;L'!$D$9="","",D8-D9),"")</f>
        <v>23.0888</v>
      </c>
      <c r="E10" s="28" t="inlineStr">
        <is>
          <t>Price per guest minus variable cost per guest</t>
        </is>
      </c>
      <c r="F10" s="28" t="n"/>
    </row>
    <row r="11">
      <c r="A11" s="28" t="inlineStr">
        <is>
          <t>Average guests per event</t>
        </is>
      </c>
      <c r="B11" s="40">
        <f>IFERROR(IF('3-Year P&amp;L'!$B$9="","",'3-Year P&amp;L'!$B$8),"")</f>
        <v>75.0</v>
      </c>
      <c r="C11" s="40">
        <f>IFERROR(IF('3-Year P&amp;L'!$C$9="","",'3-Year P&amp;L'!$C$8),"")</f>
        <v>75.0</v>
      </c>
      <c r="D11" s="40">
        <f>IFERROR(IF('3-Year P&amp;L'!$D$9="","",'3-Year P&amp;L'!$D$8),"")</f>
        <v>75.0</v>
      </c>
      <c r="E11" s="28" t="inlineStr">
        <is>
          <t>The same calendar as the P&amp;L and the scenarios</t>
        </is>
      </c>
      <c r="F11" s="28" t="n"/>
    </row>
    <row r="12">
      <c r="A12" s="28" t="inlineStr">
        <is>
          <t>Principal repaid in the year</t>
        </is>
      </c>
      <c r="B12" s="61">
        <f>IFERROR(IF('3-Year P&amp;L'!$B$9="","",Financing!$B$45),"")</f>
        <v>10645.955469760149</v>
      </c>
      <c r="C12" s="61">
        <f>IFERROR(IF('3-Year P&amp;L'!$C$9="","",Financing!$B$47),"")</f>
        <v>11710.551016736163</v>
      </c>
      <c r="D12" s="61">
        <f>IFERROR(IF('3-Year P&amp;L'!$D$9="","",Financing!$B$49),"")</f>
        <v>12881.606118409778</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9528.162077346098</v>
      </c>
      <c r="C14" s="40">
        <f>IFERROR(IF('3-Year P&amp;L'!$C$9="","",IF(C10&lt;=0,"",C6/C10)),"")</f>
        <v>9698.608547193988</v>
      </c>
      <c r="D14" s="40">
        <f>IFERROR(IF('3-Year P&amp;L'!$D$9="","",IF(D10&lt;=0,"",D6/D10)),"")</f>
        <v>9864.44414273496</v>
      </c>
      <c r="E14" s="28" t="n"/>
      <c r="F14" s="28" t="n"/>
    </row>
    <row r="15">
      <c r="A15" s="28" t="inlineStr">
        <is>
          <t>Events needed per year</t>
        </is>
      </c>
      <c r="B15" s="44">
        <f>IFERROR(IF('3-Year P&amp;L'!$B$9="","",B14/B11),"")</f>
        <v>127.04216103128131</v>
      </c>
      <c r="C15" s="44">
        <f>IFERROR(IF('3-Year P&amp;L'!$C$9="","",C14/C11),"")</f>
        <v>129.31478062925316</v>
      </c>
      <c r="D15" s="44">
        <f>IFERROR(IF('3-Year P&amp;L'!$D$9="","",D14/D11),"")</f>
        <v>131.5259219031328</v>
      </c>
      <c r="E15" s="28" t="n"/>
      <c r="F15" s="28" t="n"/>
    </row>
    <row r="16">
      <c r="A16" s="25" t="inlineStr">
        <is>
          <t>Revenue needed per year</t>
        </is>
      </c>
      <c r="B16" s="66">
        <f>IFERROR(IF('3-Year P&amp;L'!$B$9="","",B14*B8),"")</f>
        <v>362070.15893915173</v>
      </c>
      <c r="C16" s="66">
        <f>IFERROR(IF('3-Year P&amp;L'!$C$9="","",C14*C8),"")</f>
        <v>368547.12479337153</v>
      </c>
      <c r="D16" s="66">
        <f>IFERROR(IF('3-Year P&amp;L'!$D$9="","",D14*D8),"")</f>
        <v>374848.87742392847</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220128.35546976014</v>
      </c>
      <c r="C18" s="61">
        <f>IFERROR(IF('3-Year P&amp;L'!$C$9="","",C6-'3-Year P&amp;L'!$C$36+C12),"")</f>
        <v>225128.35546976014</v>
      </c>
      <c r="D18" s="61">
        <f>IFERROR(IF('3-Year P&amp;L'!$D$9="","",D6-'3-Year P&amp;L'!$D$36+D12),"")</f>
        <v>230128.35546976014</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9533.98857756835</v>
      </c>
      <c r="C19" s="40">
        <f>IFERROR(IF('3-Year P&amp;L'!$C$9="","",IF(C10&lt;=0,"",C18/C10)),"")</f>
        <v>9750.543790485437</v>
      </c>
      <c r="D19" s="40">
        <f>IFERROR(IF('3-Year P&amp;L'!$D$9="","",IF(D10&lt;=0,"",D18/D10)),"")</f>
        <v>9967.099003402522</v>
      </c>
      <c r="E19" s="28" t="n"/>
      <c r="F19" s="28" t="n"/>
    </row>
    <row r="20">
      <c r="A20" s="25" t="inlineStr">
        <is>
          <t>Events needed per year (cash)</t>
        </is>
      </c>
      <c r="B20" s="45">
        <f>IFERROR(IF('3-Year P&amp;L'!$B$9="","",B19/B11),"")</f>
        <v>127.11984770091134</v>
      </c>
      <c r="C20" s="45">
        <f>IFERROR(IF('3-Year P&amp;L'!$C$9="","",C19/C11),"")</f>
        <v>130.00725053980582</v>
      </c>
      <c r="D20" s="45">
        <f>IFERROR(IF('3-Year P&amp;L'!$D$9="","",D19/D11),"")</f>
        <v>132.8946533787003</v>
      </c>
      <c r="E20" s="28" t="n"/>
      <c r="F20" s="28" t="n"/>
    </row>
    <row r="21">
      <c r="A21" s="28" t="inlineStr">
        <is>
          <t>Revenue needed per year (cash)</t>
        </is>
      </c>
      <c r="B21" s="40">
        <f>IFERROR(IF('3-Year P&amp;L'!$B$9="","",B19*B8),"")</f>
        <v>362291.5659475973</v>
      </c>
      <c r="C21" s="40">
        <f>IFERROR(IF('3-Year P&amp;L'!$C$9="","",C19*C8),"")</f>
        <v>370520.6640384466</v>
      </c>
      <c r="D21" s="40">
        <f>IFERROR(IF('3-Year P&amp;L'!$D$9="","",D19*D8),"")</f>
        <v>378749.76212929585</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150.0</v>
      </c>
      <c r="C23" s="40">
        <f>IFERROR(IF('3-Year P&amp;L'!$C$9="","",'3-Year P&amp;L'!$C$6),"")</f>
        <v>168.00000000000003</v>
      </c>
      <c r="D23" s="40">
        <f>IFERROR(IF('3-Year P&amp;L'!$D$9="","",'3-Year P&amp;L'!$D$6),"")</f>
        <v>181.44000000000005</v>
      </c>
      <c r="E23" s="28" t="n"/>
      <c r="F23" s="28" t="n"/>
    </row>
    <row r="24">
      <c r="A24" s="28" t="inlineStr">
        <is>
          <t>Cushion above CASH break-even (%)</t>
        </is>
      </c>
      <c r="B24" s="68">
        <f>IFERROR(IF('3-Year P&amp;L'!$B$9="","",B23/B20-1),"")</f>
        <v>0.17998882718079767</v>
      </c>
      <c r="C24" s="68">
        <f>IFERROR(IF('3-Year P&amp;L'!$C$9="","",C23/C20-1),"")</f>
        <v>0.2922356199553773</v>
      </c>
      <c r="D24" s="68">
        <f>IFERROR(IF('3-Year P&amp;L'!$D$9="","",D23/D20-1),"")</f>
        <v>0.3652919465688631</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128 events a year at your average of 75 guests per event to avoid losing money (accounting break-even, depreciation included), and 128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IFERROR($B$8-3,"")</f>
        <v>35.0</v>
      </c>
      <c r="C31" s="62">
        <f>IFERROR(IF($B$8="","",$B$8),"")</f>
        <v>38.0</v>
      </c>
      <c r="D31" s="62">
        <f>IFERROR($B$8+3,"")</f>
        <v>41.0</v>
      </c>
      <c r="E31" s="62">
        <f>IFERROR($B$8+6,"")</f>
        <v>44.0</v>
      </c>
      <c r="F31" s="28" t="n"/>
    </row>
    <row r="32">
      <c r="A32" s="61">
        <f>IFERROR($B$9*0.85,"")</f>
        <v>12.674520000000001</v>
      </c>
      <c r="B32" s="44">
        <f>IFERROR(IF($B$31-$A32&lt;=0,"",$B$6/($B$31-$A32)/$B$11),"")</f>
        <v>131.385799885111</v>
      </c>
      <c r="C32" s="44">
        <f>IFERROR(IF($C$31-$A32&lt;=0,"",$B$6/($C$31-$A32)/$B$11),"")</f>
        <v>115.82213042434132</v>
      </c>
      <c r="D32" s="44">
        <f>IFERROR(IF($D$31-$A32&lt;=0,"",$B$6/($D$31-$A32)/$B$11),"")</f>
        <v>103.55521063081889</v>
      </c>
      <c r="E32" s="44">
        <f>IFERROR(IF($E$31-$A32&lt;=0,"",$B$6/($E$31-$A32)/$B$11),"")</f>
        <v>93.63786437172064</v>
      </c>
      <c r="F32" s="28" t="n"/>
    </row>
    <row r="33">
      <c r="A33" s="61">
        <f>IFERROR($B$9*0.925,"")</f>
        <v>13.792860000000003</v>
      </c>
      <c r="B33" s="44">
        <f>IFERROR(IF($B$31-$A33&lt;=0,"",$B$6/($B$31-$A33)/$B$11),"")</f>
        <v>138.31431525510033</v>
      </c>
      <c r="C33" s="44">
        <f>IFERROR(IF($C$31-$A33&lt;=0,"",$B$6/($C$31-$A33)/$B$11),"")</f>
        <v>121.1729699427131</v>
      </c>
      <c r="D33" s="44">
        <f>IFERROR(IF($D$31-$A33&lt;=0,"",$B$6/($D$31-$A33)/$B$11),"")</f>
        <v>107.81181144431382</v>
      </c>
      <c r="E33" s="44">
        <f>IFERROR(IF($E$31-$A33&lt;=0,"",$B$6/($E$31-$A33)/$B$11),"")</f>
        <v>97.10456029995055</v>
      </c>
      <c r="F33" s="28" t="n"/>
    </row>
    <row r="34">
      <c r="A34" s="64">
        <f>IFERROR($B$9*1.0,"")</f>
        <v>14.911200000000003</v>
      </c>
      <c r="B34" s="48">
        <f>IFERROR(IF($B$31-$A34&lt;=0,"",$B$6/($B$31-$A34)/$B$11),"")</f>
        <v>146.01424911488232</v>
      </c>
      <c r="C34" s="48">
        <f>IFERROR(IF($C$31-$A34&lt;=0,"",$B$6/($C$31-$A34)/$B$11),"")</f>
        <v>127.04216103128131</v>
      </c>
      <c r="D34" s="48">
        <f>IFERROR(IF($D$31-$A34&lt;=0,"",$B$6/($D$31-$A34)/$B$11),"")</f>
        <v>112.43334486902609</v>
      </c>
      <c r="E34" s="48">
        <f>IFERROR(IF($E$31-$A34&lt;=0,"",$B$6/($E$31-$A34)/$B$11),"")</f>
        <v>100.83781550352877</v>
      </c>
    </row>
    <row r="35">
      <c r="A35" s="64">
        <f>IFERROR($B$9*1.075,"")</f>
        <v>16.02954</v>
      </c>
      <c r="B35" s="48">
        <f>IFERROR(IF($B$31-$A35&lt;=0,"",$B$6/($B$31-$A35)/$B$11),"")</f>
        <v>154.6220306528702</v>
      </c>
      <c r="C35" s="48">
        <f>IFERROR(IF($C$31-$A35&lt;=0,"",$B$6/($C$31-$A35)/$B$11),"")</f>
        <v>133.5088590598034</v>
      </c>
      <c r="D35" s="48">
        <f>IFERROR(IF($D$31-$A35&lt;=0,"",$B$6/($D$31-$A35)/$B$11),"")</f>
        <v>117.46884308975677</v>
      </c>
      <c r="E35" s="48">
        <f>IFERROR(IF($E$31-$A35&lt;=0,"",$B$6/($E$31-$A35)/$B$11),"")</f>
        <v>104.86960341800055</v>
      </c>
    </row>
    <row r="36">
      <c r="A36" s="64">
        <f>IFERROR($B$9*1.15,"")</f>
        <v>17.14788</v>
      </c>
      <c r="B36" s="48">
        <f>IFERROR(IF($B$31-$A36&lt;=0,"",$B$6/($B$31-$A36)/$B$11),"")</f>
        <v>164.30827529834258</v>
      </c>
      <c r="C36" s="48">
        <f>IFERROR(IF($C$31-$A36&lt;=0,"",$B$6/($C$31-$A36)/$B$11),"")</f>
        <v>140.66920042753677</v>
      </c>
      <c r="D36" s="48">
        <f>IFERROR(IF($D$31-$A36&lt;=0,"",$B$6/($D$31-$A36)/$B$11),"")</f>
        <v>122.9765340615026</v>
      </c>
      <c r="E36" s="48">
        <f>IFERROR(IF($E$31-$A36&lt;=0,"",$B$6/($E$31-$A36)/$B$11),"")</f>
        <v>109.23722401132751</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113</v>
      </c>
      <c r="C5" s="40">
        <f>IFERROR(IF('3-Year P&amp;L'!$B$6="","",'3-Year P&amp;L'!$B$6),"")</f>
        <v>150.0</v>
      </c>
      <c r="D5" s="49" t="n">
        <v>188</v>
      </c>
      <c r="E5" s="28" t="n"/>
      <c r="F5" s="28" t="n"/>
    </row>
    <row r="6">
      <c r="A6" s="28" t="inlineStr">
        <is>
          <t>Average price per guest (excl. sales tax)</t>
        </is>
      </c>
      <c r="B6" s="71" t="n">
        <v>34.2</v>
      </c>
      <c r="C6" s="61">
        <f>IFERROR(IF('3-Year P&amp;L'!$B$7="","",'3-Year P&amp;L'!$B$7),"")</f>
        <v>38.0</v>
      </c>
      <c r="D6" s="71" t="n">
        <v>41.8</v>
      </c>
      <c r="E6" s="28" t="n"/>
      <c r="F6" s="28" t="n"/>
    </row>
    <row r="7">
      <c r="A7" s="28" t="inlineStr">
        <is>
          <t>Average guests per event</t>
        </is>
      </c>
      <c r="B7" s="49" t="n">
        <v>68</v>
      </c>
      <c r="C7" s="40">
        <f>IFERROR(IF('3-Year P&amp;L'!$B$8="","",'3-Year P&amp;L'!$B$8),"")</f>
        <v>75.0</v>
      </c>
      <c r="D7" s="49" t="n">
        <v>83</v>
      </c>
      <c r="E7" s="28" t="n"/>
      <c r="F7" s="28" t="n"/>
    </row>
    <row r="8">
      <c r="A8" s="25" t="inlineStr">
        <is>
          <t>ANNUAL REVENUE (excl. sales tax)</t>
        </is>
      </c>
      <c r="B8" s="66">
        <f>IFERROR(IF(B5*B6*B7=0,"",B5*B6*B7),"")</f>
        <v>262792.80000000005</v>
      </c>
      <c r="C8" s="66">
        <f>IFERROR(IF(C5*C6*C7=0,"",C5*C6*C7),"")</f>
        <v>427500.0</v>
      </c>
      <c r="D8" s="66">
        <f>IFERROR(IF(D5*D6*D7=0,"",D5*D6*D7),"")</f>
        <v>652247.2</v>
      </c>
      <c r="E8" s="28" t="n"/>
      <c r="F8" s="28" t="n"/>
    </row>
    <row r="9">
      <c r="A9" s="28" t="inlineStr">
        <is>
          <t>Cost of goods — BBQ packages (meat, sides, bread &amp; sauces)</t>
        </is>
      </c>
      <c r="B9" s="40">
        <f>IFERROR(IF(B8="","",B8*'0. Assumptions'!$B$11*'0. Assumptions'!$B$13),"")</f>
        <v>64752.14592000002</v>
      </c>
      <c r="C9" s="40">
        <f>IFERROR(IF(C8="","",C8*'0. Assumptions'!$B$11*'0. Assumptions'!$B$13),"")</f>
        <v>105336.00000000001</v>
      </c>
      <c r="D9" s="40">
        <f>IFERROR(IF(D8="","",D8*'0. Assumptions'!$B$11*'0. Assumptions'!$B$13),"")</f>
        <v>160713.71008000002</v>
      </c>
      <c r="E9" s="28" t="n"/>
      <c r="F9" s="28" t="n"/>
    </row>
    <row r="10">
      <c r="A10" s="28" t="inlineStr">
        <is>
          <t>Cost of goods — add-ons</t>
        </is>
      </c>
      <c r="B10" s="40">
        <f>IFERROR(IF(B8="","",B8*'0. Assumptions'!$B$12*'0. Assumptions'!$B$14),"")</f>
        <v>11037.297600000002</v>
      </c>
      <c r="C10" s="40">
        <f>IFERROR(IF(C8="","",C8*'0. Assumptions'!$B$12*'0. Assumptions'!$B$14),"")</f>
        <v>17955.0</v>
      </c>
      <c r="D10" s="40">
        <f>IFERROR(IF(D8="","",D8*'0. Assumptions'!$B$12*'0. Assumptions'!$B$14),"")</f>
        <v>27394.382399999995</v>
      </c>
      <c r="E10" s="28" t="n"/>
      <c r="F10" s="28" t="n"/>
    </row>
    <row r="11">
      <c r="A11" s="28" t="inlineStr">
        <is>
          <t>Disposables, wood &amp; cooking fuel</t>
        </is>
      </c>
      <c r="B11" s="40">
        <f>IFERROR(IF(B8="","",B8*'0. Assumptions'!$B$15),"")</f>
        <v>9197.748000000003</v>
      </c>
      <c r="C11" s="40">
        <f>IFERROR(IF(C8="","",C8*'0. Assumptions'!$B$15),"")</f>
        <v>14962.500000000002</v>
      </c>
      <c r="D11" s="40">
        <f>IFERROR(IF(D8="","",D8*'0. Assumptions'!$B$15),"")</f>
        <v>22828.652000000002</v>
      </c>
      <c r="E11" s="28" t="n"/>
      <c r="F11" s="28" t="n"/>
    </row>
    <row r="12">
      <c r="A12" s="28" t="inlineStr">
        <is>
          <t>Corporate catering marketplace fees</t>
        </is>
      </c>
      <c r="B12" s="40">
        <f>IFERROR(IF(B8="","",B8*'0. Assumptions'!$B$16*'0. Assumptions'!$B$17),"")</f>
        <v>2365.1352</v>
      </c>
      <c r="C12" s="40">
        <f>IFERROR(IF(C8="","",C8*'0. Assumptions'!$B$16*'0. Assumptions'!$B$17),"")</f>
        <v>3847.5</v>
      </c>
      <c r="D12" s="40">
        <f>IFERROR(IF(D8="","",D8*'0. Assumptions'!$B$16*'0. Assumptions'!$B$17),"")</f>
        <v>5870.224799999999</v>
      </c>
      <c r="E12" s="28" t="n"/>
      <c r="F12" s="28" t="n"/>
    </row>
    <row r="13">
      <c r="A13" s="28" t="inlineStr">
        <is>
          <t>Card processing fees</t>
        </is>
      </c>
      <c r="B13" s="40">
        <f>IFERROR(IF(B8="","",B8*'0. Assumptions'!$B$18),"")</f>
        <v>7883.7840000000015</v>
      </c>
      <c r="C13" s="40">
        <f>IFERROR(IF(C8="","",C8*'0. Assumptions'!$B$18),"")</f>
        <v>12825.0</v>
      </c>
      <c r="D13" s="40">
        <f>IFERROR(IF(D8="","",D8*'0. Assumptions'!$B$18),"")</f>
        <v>19567.415999999997</v>
      </c>
      <c r="E13" s="28" t="n"/>
      <c r="F13" s="28" t="n"/>
    </row>
    <row r="14">
      <c r="A14" s="28" t="inlineStr">
        <is>
          <t>Miscellaneous and contingency</t>
        </is>
      </c>
      <c r="B14" s="40">
        <f>IFERROR(IF(B8="","",B8*'0. Assumptions'!$B$28),"")</f>
        <v>7883.7840000000015</v>
      </c>
      <c r="C14" s="40">
        <f>IFERROR(IF(C8="","",C8*'0. Assumptions'!$B$28),"")</f>
        <v>12825.0</v>
      </c>
      <c r="D14" s="40">
        <f>IFERROR(IF(D8="","",D8*'0. Assumptions'!$B$28),"")</f>
        <v>19567.415999999997</v>
      </c>
      <c r="E14" s="28" t="n"/>
      <c r="F14" s="28" t="n"/>
    </row>
    <row r="15">
      <c r="A15" s="28" t="inlineStr">
        <is>
          <t>TOTAL VARIABLE COSTS</t>
        </is>
      </c>
      <c r="B15" s="40">
        <f>IFERROR(IF(B8="","",SUM(B9:B14)),"")</f>
        <v>103119.89472000003</v>
      </c>
      <c r="C15" s="40">
        <f>IFERROR(IF(C8="","",SUM(C9:C14)),"")</f>
        <v>167751.00000000003</v>
      </c>
      <c r="D15" s="40">
        <f>IFERROR(IF(D8="","",SUM(D9:D14)),"")</f>
        <v>255941.80128</v>
      </c>
      <c r="E15" s="28" t="n"/>
      <c r="F15" s="28" t="n"/>
    </row>
    <row r="16">
      <c r="A16" s="35" t="inlineStr">
        <is>
          <t>GROSS MARGIN</t>
        </is>
      </c>
      <c r="B16" s="42">
        <f>IFERROR(IF(B8="","",B8-B15),"")</f>
        <v>159672.90528</v>
      </c>
      <c r="C16" s="42">
        <f>IFERROR(IF(C8="","",C8-C15),"")</f>
        <v>259748.99999999997</v>
      </c>
      <c r="D16" s="42">
        <f>IFERROR(IF(D8="","",D8-D15),"")</f>
        <v>396305.39871999994</v>
      </c>
    </row>
    <row r="17">
      <c r="A17" s="35" t="inlineStr">
        <is>
          <t>FIXED COSTS (the P&amp;L's)</t>
        </is>
      </c>
      <c r="B17" s="42">
        <f>IFERROR(IF(B8="","",'3-Year P&amp;L'!$B$38),"")</f>
        <v>219993.82857142857</v>
      </c>
      <c r="C17" s="42">
        <f>IFERROR(IF(C8="","",'3-Year P&amp;L'!$B$38),"")</f>
        <v>219993.82857142857</v>
      </c>
      <c r="D17" s="42">
        <f>IFERROR(IF(D8="","",'3-Year P&amp;L'!$B$38),"")</f>
        <v>219993.82857142857</v>
      </c>
      <c r="E17" s="35" t="inlineStr">
        <is>
          <t>Fixed costs do not change with the scenario: that is why they are fixed</t>
        </is>
      </c>
    </row>
    <row r="18">
      <c r="A18" s="16" t="inlineStr">
        <is>
          <t>PRE-TAX INCOME (EBT)</t>
        </is>
      </c>
      <c r="B18" s="52">
        <f>IFERROR(IF(B8="","",B16-B17),"")</f>
        <v>-60320.92329142857</v>
      </c>
      <c r="C18" s="52">
        <f>IFERROR(IF(C8="","",C16-C17),"")</f>
        <v>39755.1714285714</v>
      </c>
      <c r="D18" s="52">
        <f>IFERROR(IF(D8="","",D16-D17),"")</f>
        <v>176311.57014857137</v>
      </c>
    </row>
    <row r="19">
      <c r="A19" s="35" t="inlineStr">
        <is>
          <t>Income tax</t>
        </is>
      </c>
      <c r="B19" s="42">
        <f>IFERROR(IF(B8="","",MAX(0,B18-'0. Assumptions'!$B$42)*'0. Assumptions'!$B$37),"")</f>
        <v>0.0</v>
      </c>
      <c r="C19" s="42">
        <f>IFERROR(IF(C8="","",MAX(0,C18-'0. Assumptions'!$B$42)*'0. Assumptions'!$B$37),"")</f>
        <v>9938.79285714285</v>
      </c>
      <c r="D19" s="42">
        <f>IFERROR(IF(D8="","",MAX(0,D18-'0. Assumptions'!$B$42)*'0. Assumptions'!$B$37),"")</f>
        <v>44077.89253714284</v>
      </c>
      <c r="E19" s="35" t="inlineStr">
        <is>
          <t>At the "years 1-2" effective income tax rate, offsetting prior net operating losses</t>
        </is>
      </c>
    </row>
    <row r="20">
      <c r="A20" s="16" t="inlineStr">
        <is>
          <t>NET INCOME</t>
        </is>
      </c>
      <c r="B20" s="52">
        <f>IFERROR(IF(B8="","",B18-B19),"")</f>
        <v>-60320.92329142857</v>
      </c>
      <c r="C20" s="52">
        <f>IFERROR(IF(C8="","",C18-C19),"")</f>
        <v>29816.378571428548</v>
      </c>
      <c r="D20" s="52">
        <f>IFERROR(IF(D8="","",D18-D19),"")</f>
        <v>132233.67761142852</v>
      </c>
    </row>
    <row r="21">
      <c r="A21" s="35" t="inlineStr">
        <is>
          <t>Events per year to break even</t>
        </is>
      </c>
      <c r="B21" s="48">
        <f>IFERROR(IF(B8="","",IF(B6-B15/(B5*B7)&lt;=0,"",B17/(B6-B15/(B5*B7))/B7)),"")</f>
        <v>155.6889228324526</v>
      </c>
      <c r="C21" s="48">
        <f>IFERROR(IF(C8="","",IF(C6-C15/(C5*C7)&lt;=0,"",C17/(C6-C15/(C5*C7))/C7)),"")</f>
        <v>127.04216103128131</v>
      </c>
      <c r="D21" s="48">
        <f>IFERROR(IF(D8="","",IF(D6-D15/(D5*D7)&lt;=0,"",D17/(D6-D15/(D5*D7))/D7)),"")</f>
        <v>104.36103042000109</v>
      </c>
    </row>
    <row r="22">
      <c r="A22" s="16" t="inlineStr">
        <is>
          <t>WHAT EACH SCENARIO DEMANDS</t>
        </is>
      </c>
    </row>
    <row r="23">
      <c r="A23" s="35" t="inlineStr">
        <is>
          <t>Labor cost / Sales</t>
        </is>
      </c>
      <c r="B23" s="65">
        <f>IFERROR(IF(B8="","",'3-Year P&amp;L'!$B$23/B8),"")</f>
        <v>0.5315305442158231</v>
      </c>
      <c r="C23" s="65">
        <f>IFERROR(IF(C8="","",'3-Year P&amp;L'!$B$23/C8),"")</f>
        <v>0.32674245614035086</v>
      </c>
      <c r="D23" s="65">
        <f>IFERROR(IF(D8="","",'3-Year P&amp;L'!$B$23/D8),"")</f>
        <v>0.21415561461973315</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2696.1403508771928</v>
      </c>
      <c r="C24" s="42">
        <f>IFERROR(IF(C8="","",C5*C7/Staffing!$C$9),"")</f>
        <v>3947.3684210526317</v>
      </c>
      <c r="D24" s="42">
        <f>IFERROR(IF(D8="","",D5*D7/Staffing!$C$9),"")</f>
        <v>5475.087719298245</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-8084.850189760145</v>
      </c>
      <c r="C25" s="52">
        <f>IFERROR(IF(C8="","",'Startup Costs'!$B$25+C20+'3-Year P&amp;L'!$B$36-Financing!$B$45),"")</f>
        <v>82052.45167309698</v>
      </c>
      <c r="D25" s="52">
        <f>IFERROR(IF(D8="","",'Startup Costs'!$B$25+D20+'3-Year P&amp;L'!$B$36-Financing!$B$45),"")</f>
        <v>184469.75071309696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95544.21293286563</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Pitmaster &amp; Sales</t>
        </is>
      </c>
      <c r="B5" s="49" t="n">
        <v>1</v>
      </c>
      <c r="C5" s="51" t="n">
        <v>1</v>
      </c>
      <c r="D5" s="71" t="n">
        <v>4507</v>
      </c>
      <c r="E5" s="61">
        <f>IFERROR(IF(D5="","",D5*'0. Assumptions'!$B$20),"")</f>
        <v>450.70000000000005</v>
      </c>
      <c r="F5" s="61">
        <f>IFERROR(IF(D5="","",D5+E5),"")</f>
        <v>4957.7</v>
      </c>
      <c r="G5" s="61">
        <f>IFERROR(IF(D5="","",F5*MAX(12,'0. Assumptions'!$B$21)),"")</f>
        <v>59492.399999999994</v>
      </c>
      <c r="H5" s="44">
        <f>IFERROR(IF(D5="","",C5*$B$16),"")</f>
        <v>40.0</v>
      </c>
      <c r="I5" s="40">
        <f>IFERROR(IF(D5="","",H5*B5*$B$17),"")</f>
        <v>2000.0</v>
      </c>
      <c r="J5" s="28" t="inlineStr">
        <is>
          <t>Sells, runs the tastings, plans menus, and works the pit and the carving station at weddings and premium events. Covers the main shift at every event. The rest of the owner's pay comes from profit.</t>
        </is>
      </c>
    </row>
    <row r="6">
      <c r="A6" s="28" t="inlineStr">
        <is>
          <t>Pit cook / lead cook (W-2)</t>
        </is>
      </c>
      <c r="B6" s="49" t="n">
        <v>1</v>
      </c>
      <c r="C6" s="51" t="n">
        <v>0.75</v>
      </c>
      <c r="D6" s="71" t="n">
        <v>2730</v>
      </c>
      <c r="E6" s="61">
        <f>IFERROR(IF(D6="","",D6*'0. Assumptions'!$B$20),"")</f>
        <v>273.0</v>
      </c>
      <c r="F6" s="61">
        <f>IFERROR(IF(D6="","",D6+E6),"")</f>
        <v>3003.0</v>
      </c>
      <c r="G6" s="61">
        <f>IFERROR(IF(D6="","",F6*MAX(12,'0. Assumptions'!$B$21)),"")</f>
        <v>36036.0</v>
      </c>
      <c r="H6" s="44">
        <f>IFERROR(IF(D6="","",C6*$B$16),"")</f>
        <v>30.0</v>
      </c>
      <c r="I6" s="40">
        <f>IFERROR(IF(D6="","",H6*B6*$B$17),"")</f>
        <v>1500.0</v>
      </c>
      <c r="J6" s="28" t="inlineStr">
        <is>
          <t>Pit cook / lead cook, part-time W-2: runs the overnight cook with probes and handles hot holding. One pit cook can watch several cooks at once. Paid at or above the pay floor in proportion to FTE, around the 75th percentile for restaurant cooks (BLS OEWS, May 2025).</t>
        </is>
      </c>
    </row>
    <row r="7">
      <c r="A7" s="28" t="inlineStr">
        <is>
          <t>Event staff (servers, buffet attendants, carvers; hourly W-2)</t>
        </is>
      </c>
      <c r="B7" s="49" t="n">
        <v>6</v>
      </c>
      <c r="C7" s="51" t="n">
        <v>0.1</v>
      </c>
      <c r="D7" s="71" t="n">
        <v>1872</v>
      </c>
      <c r="E7" s="61">
        <f>IFERROR(IF(D7="","",D7*'0. Assumptions'!$B$20),"")</f>
        <v>187.20000000000002</v>
      </c>
      <c r="F7" s="61">
        <f>IFERROR(IF(D7="","",D7+E7),"")</f>
        <v>2059.2</v>
      </c>
      <c r="G7" s="61">
        <f>IFERROR(IF(D7="","",F7*MAX(12,'0. Assumptions'!$B$21)),"")</f>
        <v>24710.399999999998</v>
      </c>
      <c r="H7" s="44">
        <f>IFERROR(IF(D7="","",C7*$B$16),"")</f>
        <v>4.0</v>
      </c>
      <c r="I7" s="40">
        <f>IFERROR(IF(D7="","",H7*B7*$B$17),"")</f>
        <v>1200.0</v>
      </c>
      <c r="J7" s="28" t="inlineStr">
        <is>
          <t>Servers, buffet attendants and carvers hired per event and paid hourly as W-2 employees, about one per 25-30 guests at a buffet (Kit estimate). Their FTE is a fraction because they only work event hours. Treating them as 1099 contractors is a misclassification risk (FLSA; California AB5). Paid at or above the pay floor in proportion to FTE. The voluntary gratuity is theirs.</t>
        </is>
      </c>
    </row>
    <row r="8">
      <c r="A8" s="28" t="inlineStr">
        <is>
          <t>Prep cook / driver (part-time W-2)</t>
        </is>
      </c>
      <c r="B8" s="49" t="n">
        <v>1</v>
      </c>
      <c r="C8" s="51" t="n">
        <v>0.5</v>
      </c>
      <c r="D8" s="71" t="n">
        <v>1473</v>
      </c>
      <c r="E8" s="61">
        <f>IFERROR(IF(D8="","",D8*'0. Assumptions'!$B$20),"")</f>
        <v>147.3</v>
      </c>
      <c r="F8" s="61">
        <f>IFERROR(IF(D8="","",D8+E8),"")</f>
        <v>1620.3</v>
      </c>
      <c r="G8" s="61">
        <f>IFERROR(IF(D8="","",F8*MAX(12,'0. Assumptions'!$B$21)),"")</f>
        <v>19443.6</v>
      </c>
      <c r="H8" s="44">
        <f>IFERROR(IF(D8="","",C8*$B$16),"")</f>
        <v>20.0</v>
      </c>
      <c r="I8" s="40">
        <f>IFERROR(IF(D8="","",H8*B8*$B$17),"")</f>
        <v>1000.0</v>
      </c>
      <c r="J8" s="28" t="inlineStr">
        <is>
          <t>Part-time W-2 prep cook and driver: portions and mixes rubs in the commissary, loads the van and drives to venues. Paid at or above the pay floor in proportion to FTE.</t>
        </is>
      </c>
    </row>
    <row r="9">
      <c r="A9" s="16" t="inlineStr">
        <is>
          <t>TOTAL STAFF</t>
        </is>
      </c>
      <c r="B9" s="52">
        <f>IFERROR(IF(COUNT(D5:D8)=0,"",SUM(B5:B8)),"")</f>
        <v>9.0</v>
      </c>
      <c r="C9" s="53">
        <f>IFERROR(IF(COUNT(D5:D8)=0,"",SUMPRODUCT(B5:B8,C5:C8)),"")</f>
        <v>2.85</v>
      </c>
      <c r="D9" s="53">
        <f>IFERROR(IF(COUNT(D5:D8)=0,"",SUM(D5:D8)),"")</f>
        <v>10582.0</v>
      </c>
      <c r="E9" s="53">
        <f>IFERROR(IF(COUNT(D5:D8)=0,"",SUM(E5:E8)),"")</f>
        <v>1058.2</v>
      </c>
      <c r="F9" s="53">
        <f>IFERROR(IF(COUNT(D5:D8)=0,"",SUM(F5:F8)),"")</f>
        <v>11640.199999999999</v>
      </c>
      <c r="G9" s="53">
        <f>IFERROR(IF(COUNT(D5:D8)=0,"",SUM(G5:G8)),"")</f>
        <v>139682.4</v>
      </c>
      <c r="I9" s="52">
        <f>IFERROR(IF(COUNT(D5:D8)=0,"",SUM(I5:I8)),"")</f>
        <v>5700.0</v>
      </c>
    </row>
    <row r="10">
      <c r="A10" s="16" t="inlineStr">
        <is>
          <t>STAFF GROWTH (stepped cost)</t>
        </is>
      </c>
    </row>
    <row r="11">
      <c r="A11" s="35" t="inlineStr">
        <is>
          <t>Annual cost of year-2 hires</t>
        </is>
      </c>
      <c r="B11" s="56" t="n">
        <v>5000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5000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144682.4</v>
      </c>
    </row>
    <row r="14">
      <c r="A14" s="35" t="inlineStr">
        <is>
          <t>Labor cost, year 3</t>
        </is>
      </c>
      <c r="B14" s="42">
        <f>IFERROR(IF(B13="","",B13*(1+'0. Assumptions'!$B$48)+B12),"")</f>
        <v>149682.4</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(portioning, overnight cook, loading, travel, setup, service, breakdown)</t>
        </is>
      </c>
      <c r="B18" s="57" t="n">
        <v>10</v>
      </c>
      <c r="J18" s="35" t="inlineStr">
        <is>
          <t>Hours of work per person for one event: portioning, the overnight cook, loading, travel, setup, two to three hours of service, breakdown and cleanup. Serving is only part of it. Hours × people × events per year sets the event staff cost.</t>
        </is>
      </c>
    </row>
    <row r="19">
      <c r="A19" s="35" t="inlineStr">
        <is>
          <t>People per event (pit crew and event staff, average)</t>
        </is>
      </c>
      <c r="B19" s="57" t="n">
        <v>3.4</v>
      </c>
      <c r="J19" s="35" t="inlineStr">
        <is>
          <t>Average number of people working each event: about 1.5 on a drop-off, 3 on a staffed buffet for 70, 5 on a full-service company event, 7 at a wedding with the live pit (2 on the pit and 5 servers, as in the calculator's example) and 5 on a live-fire booking (Kit estimate). Weighted by the example mix in the Word plan, that averages about 3.4. Raise it for bigger events: the staffing sizes itself.</t>
        </is>
      </c>
    </row>
    <row r="20">
      <c r="A20" s="35" t="inlineStr">
        <is>
          <t>Event hours to cover per year</t>
        </is>
      </c>
      <c r="B20" s="42">
        <f>IFERROR(IF(OR(B18="",B19="",'0. Assumptions'!$B$4=""),"",B18*B19*'0. Assumptions'!$B$4),"")</f>
        <v>5100.0</v>
      </c>
    </row>
    <row r="21">
      <c r="A21" s="35" t="inlineStr">
        <is>
          <t>Hours hired per year</t>
        </is>
      </c>
      <c r="B21" s="42">
        <f>IFERROR(IF(I9="","",I9),"")</f>
        <v>5700.0</v>
      </c>
    </row>
    <row r="22">
      <c r="A22" s="16" t="inlineStr">
        <is>
          <t>Coverage (hired / needed)</t>
        </is>
      </c>
      <c r="B22" s="69">
        <f>IFERROR(B21/B20,"")</f>
        <v>1.1176470588235294</v>
      </c>
      <c r="J22" s="16" t="inlineStr">
        <is>
          <t>Below 100% the staff cannot cover the hours the plan declares: either hire more or cut the hours</t>
        </is>
      </c>
    </row>
    <row r="24" ht="150" customHeight="1">
      <c r="A24" s="17" t="inlineStr">
        <is>
          <t>Columns D-G are TOTALS for the row. Event staff (servers, buffet attendants, carvers) are hourly W-2 employees with payroll taxes and workers' comp: paying them as 1099 contractors is a misclassification risk (FLSA; California AB5). One pit cook can watch several cooks at once.</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BBQ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events per year, price per guest excl. sales tax, guests per event, the mix of BBQ packages and add-ons, cost of goods sold, commissary and smoker trailer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0.28840000000000005</v>
      </c>
      <c r="C18" s="68">
        <f>IFERROR(IF('3-Year P&amp;L'!$E$53="","",'3-Year P&amp;L'!$E$53),"")</f>
        <v>0.35</v>
      </c>
      <c r="D18" s="28" t="str">
        <f>IFERROR(IF(OR(B18="",C18=""),"",IF(B18&lt;=C18,"OK","REVIEW")),"")</f>
        <v>OK</v>
      </c>
      <c r="E18" s="28" t="n"/>
    </row>
    <row r="19">
      <c r="A19" t="inlineStr">
        <is>
          <t>Labor cost / Sales</t>
        </is>
      </c>
      <c r="B19" s="65">
        <f>IFERROR(IF('3-Year P&amp;L'!$B$54="","",'3-Year P&amp;L'!$B$54),"")</f>
        <v>0.32674245614035086</v>
      </c>
      <c r="C19" s="65">
        <f>IFERROR(IF('3-Year P&amp;L'!$E$54="","",'3-Year P&amp;L'!$E$54),"")</f>
        <v>0.38</v>
      </c>
      <c r="D19" t="str">
        <f>IFERROR(IF(OR(B19="",C19=""),"",IF(B19&lt;=C19,"OK","REVIEW")),"")</f>
        <v>OK</v>
      </c>
    </row>
    <row r="20">
      <c r="A20" t="inlineStr">
        <is>
          <t>Commissary &amp; parking / Sales</t>
        </is>
      </c>
      <c r="B20" s="65">
        <f>IFERROR(IF('3-Year P&amp;L'!$B$55="","",'3-Year P&amp;L'!$B$55),"")</f>
        <v>0.05052631578947368</v>
      </c>
      <c r="C20" s="65">
        <f>IFERROR(IF('3-Year P&amp;L'!$E$55="","",'3-Year P&amp;L'!$E$55),"")</f>
        <v>0.07</v>
      </c>
      <c r="D20" t="str">
        <f>IFERROR(IF(OR(B20="",C20=""),"",IF(B20&lt;=C20,"OK","REVIEW")),"")</f>
        <v>OK</v>
      </c>
    </row>
    <row r="21">
      <c r="A21" t="inlineStr">
        <is>
          <t>Net income / Sales</t>
        </is>
      </c>
      <c r="B21" s="65">
        <f>IFERROR(IF('3-Year P&amp;L'!$B$56="","",'3-Year P&amp;L'!$B$56),"")</f>
        <v>0.06974591478696736</v>
      </c>
      <c r="C21" s="65">
        <f>IFERROR(IF('3-Year P&amp;L'!$E$56="","",'3-Year P&amp;L'!$E$56),"")</f>
        <v>0.05</v>
      </c>
      <c r="D21" t="str">
        <f>IFERROR(IF(OR(B21="",C21=""),"",IF(B21&gt;=C21,"OK","REVIEW")),"")</f>
        <v>OK</v>
      </c>
    </row>
    <row r="22">
      <c r="A22" t="inlineStr">
        <is>
          <t>Gross margin / Sales</t>
        </is>
      </c>
      <c r="B22" s="65">
        <f>IFERROR(IF('3-Year P&amp;L'!$B$51="","",'3-Year P&amp;L'!$B$51),"")</f>
        <v>0.6075999999999999</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135670.6</v>
      </c>
    </row>
    <row r="26">
      <c r="A26" t="inlineStr">
        <is>
          <t>Total cash needed at launch</t>
        </is>
      </c>
      <c r="B26" s="42">
        <f>IFERROR(IF('Startup Costs'!$B$29="","",'Startup Costs'!$B$29),"")</f>
        <v>135670.6</v>
      </c>
    </row>
    <row r="27">
      <c r="A27" t="inlineStr">
        <is>
          <t>Working capital funded</t>
        </is>
      </c>
      <c r="B27" s="42">
        <f>IFERROR(IF('Startup Costs'!$B$25="","",'Startup Costs'!$B$25),"")</f>
        <v>52370.6</v>
      </c>
    </row>
    <row r="28">
      <c r="A28" t="inlineStr">
        <is>
          <t>Forecast year-1 revenue</t>
        </is>
      </c>
      <c r="B28" s="42">
        <f>IFERROR(IF('3-Year P&amp;L'!$B$9="","",'3-Year P&amp;L'!$B$9),"")</f>
        <v>427500.0</v>
      </c>
    </row>
    <row r="29">
      <c r="A29" t="inlineStr">
        <is>
          <t>Year-1 net income</t>
        </is>
      </c>
      <c r="B29" s="42">
        <f>IFERROR(IF('3-Year P&amp;L'!$B$48="","",'3-Year P&amp;L'!$B$48),"")</f>
        <v>29816.378571428548</v>
      </c>
    </row>
    <row r="30">
      <c r="A30" t="inlineStr">
        <is>
          <t>Events per year for the ACCOUNTING break-even (depreciation included)</t>
        </is>
      </c>
      <c r="B30" s="48">
        <f>IFERROR(IF('Break-Even'!$B$15="","",'Break-Even'!$B$15),"")</f>
        <v>127.04216103128131</v>
      </c>
    </row>
    <row r="31">
      <c r="A31" t="inlineStr">
        <is>
          <t>Project payback (years), before debt</t>
        </is>
      </c>
      <c r="B31">
        <f>IFERROR(IF('12-Month Cash Flow'!$B$31="","",'12-Month Cash Flow'!$B$31),"")</f>
        <v>2.2</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smoker trailer parking</t>
        </is>
      </c>
      <c r="B39" s="58" t="inlineStr">
        <is>
          <t>Left out: the model shows no cost of space</t>
        </is>
      </c>
      <c r="C39" s="58" t="inlineStr">
        <is>
          <t>A monthly commissary cost (hours + storage) and the parking spot for the smoker trailer, plus a deposit and rent for the months before opening</t>
        </is>
      </c>
      <c r="D39" s="17" t="inlineStr">
        <is>
          <t>Smoked meat has to be cooked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smoker trailer, the van and their upfits on one, and the live-fire rig and the equipment on the other. The Startup Costs tab calculates the annual charge.</t>
        </is>
      </c>
      <c r="D41" s="17" t="inlineStr">
        <is>
          <t>The trailer and the van wear out at a different speed than the rig and the equipment. Working capital, opening inventory and launch marketing are not fixed assets, so they are not depreciated.</t>
        </is>
      </c>
    </row>
    <row r="42" ht="30" customHeight="1">
      <c r="A42" s="58" t="inlineStr">
        <is>
          <t>Smoker trailer and van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45" customHeight="1">
      <c r="A43" s="58" t="inlineStr">
        <is>
          <t>Wood, charcoal and propane backup</t>
        </is>
      </c>
      <c r="B43" s="58" t="inlineStr">
        <is>
          <t>A separate fuel line, on top of utilities</t>
        </is>
      </c>
      <c r="C43" s="58" t="inlineStr">
        <is>
          <t>Included in the disposables, wood and cooking fuel line</t>
        </is>
      </c>
      <c r="D43" s="17" t="inlineStr">
        <is>
          <t>Wood, charcoal and propane backup scale with the pounds of meat you smoke and the number of events: here they live in one percentage of sales, and the rest of the workbook follows.</t>
        </is>
      </c>
    </row>
    <row r="44" ht="30" customHeight="1">
      <c r="A44" s="58" t="inlineStr">
        <is>
          <t>Startup contingency</t>
        </is>
      </c>
      <c r="B44" s="58" t="inlineStr">
        <is>
          <t>A lump sum typed by hand</t>
        </is>
      </c>
      <c r="C44" s="58" t="inlineStr">
        <is>
          <t>A percentage calculated on the smoker trailer, van and upfit lines</t>
        </is>
      </c>
      <c r="D44" s="17" t="inlineStr">
        <is>
          <t>If you change the trailer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vehicle and trailer fuel has its own fixed line</t>
        </is>
      </c>
      <c r="D49" s="17" t="inlineStr">
        <is>
          <t>Extra meat, ice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sale carries its cost of goods: BBQ packages and add-ons each at their own rate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BBQ CATERING BENCHMARKS (sourced) AND KIT ESTIMATES</t>
        </is>
      </c>
    </row>
    <row r="54">
      <c r="A54" s="16" t="inlineStr">
        <is>
          <t>Benchmark</t>
        </is>
      </c>
      <c r="B54" s="16" t="inlineStr">
        <is>
          <t>Value</t>
        </is>
      </c>
      <c r="C54" s="16" t="inlineStr">
        <is>
          <t>Source</t>
        </is>
      </c>
      <c r="D54" s="16" t="inlineStr">
        <is>
          <t>Note</t>
        </is>
      </c>
    </row>
    <row r="55" ht="60" customHeight="1">
      <c r="A55" t="inlineStr">
        <is>
          <t>Price per person by service type</t>
        </is>
      </c>
      <c r="B55" t="inlineStr">
        <is>
          <t>$15-$30 drop-off · up to $75 full-service</t>
        </is>
      </c>
      <c r="C55" t="inlineStr">
        <is>
          <t>q39kc.com</t>
        </is>
      </c>
      <c r="D55" s="17" t="inlineStr">
        <is>
          <t>A Kansas City operator in 2023 quoted drop-off from $17.50 per person. The example in this workbook blends drop-off, party, corporate, wedding and live-fire events, so its price per guest sits between the two ends.</t>
        </is>
      </c>
    </row>
    <row r="56" ht="45" customHeight="1">
      <c r="A56" t="inlineStr">
        <is>
          <t>Texas-style BBQ caterer, Los Angeles</t>
        </is>
      </c>
      <c r="B56" t="inlineStr">
        <is>
          <t>$40-$58 parties · $65-$85 weddings, per guest</t>
        </is>
      </c>
      <c r="C56" t="inlineStr">
        <is>
          <t>eventective.com</t>
        </is>
      </c>
      <c r="D56" s="17" t="inlineStr">
        <is>
          <t>30-guest minimum and an event fee of $1,000-$1,200. Prices differ a lot by market: collect three local quotes before you set yours.</t>
        </is>
      </c>
    </row>
    <row r="57" ht="45" customHeight="1">
      <c r="A57" t="inlineStr">
        <is>
          <t>Meat per guest</t>
        </is>
      </c>
      <c r="B57" t="inlineStr">
        <is>
          <t>1/3-1/2 lb (150-225 g)</t>
        </is>
      </c>
      <c r="C57" t="inlineStr">
        <is>
          <t>hutchinsbbq.com; sonnybryans.com; fieryfoodscentral.com</t>
        </is>
      </c>
      <c r="D57" s="17" t="inlineStr">
        <is>
          <t>Cooked weight: 6-8 oz with two or three meats; a floor of 1/4-1/3 lb when there are many sides. The Pricing Calculator buys by raw pounds.</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59.75" customHeight="1">
      <c r="A59" t="inlineStr">
        <is>
          <t>Smoker yield</t>
        </is>
      </c>
      <c r="B59" t="inlineStr">
        <is>
          <t>About 50% of raw weight</t>
        </is>
      </c>
      <c r="C59" t="inlineStr">
        <is>
          <t>fieryfoodscentral.com</t>
        </is>
      </c>
      <c r="D59" s="17" t="inlineStr">
        <is>
          <t>Brisket and pork butt lose about half their weight in the smoker: 300 guests need roughly 200 lb (91 kg) of raw meat at 1/3 lb cooked per guest; at the calculator's 8 oz, about 270 lb (123 kg). Buy and cost by raw weight.</t>
        </is>
      </c>
    </row>
    <row r="60" ht="45" customHeight="1">
      <c r="A60" t="inlineStr">
        <is>
          <t>Food cost</t>
        </is>
      </c>
      <c r="B60" t="inlineStr">
        <is>
          <t>28-35% of price</t>
        </is>
      </c>
      <c r="C60" t="inlineStr">
        <is>
          <t>galleysolutions.com</t>
        </is>
      </c>
      <c r="D60" s="17" t="inlineStr">
        <is>
          <t>Caterer food cost as a share of the price. Meat prices swing, so re-cost every quote and test the result at the top of the range.</t>
        </is>
      </c>
    </row>
    <row r="61" ht="45" customHeight="1">
      <c r="A61" t="inlineStr">
        <is>
          <t>Smoker trailer price</t>
        </is>
      </c>
      <c r="B61" t="inlineStr">
        <is>
          <t>$8,495-$20,395</t>
        </is>
      </c>
      <c r="C61" t="inlineStr">
        <is>
          <t>yodersmokers.com; webstaurantstore.com</t>
        </is>
      </c>
      <c r="D61" s="17" t="inlineStr">
        <is>
          <t>Offset smokers on a trailer: Yoder Frontiersman at $8,495, $11,295 and $16,295 plus shipping; Meadow Creek TS500 (500-gallon class) at $20,395. Your tow vehicle is extra.</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Deposit at booking</t>
        </is>
      </c>
      <c r="B63" t="inlineStr">
        <is>
          <t>50% nonrefundable</t>
        </is>
      </c>
      <c r="C63" t="inlineStr">
        <is>
          <t>eventective.com; hutchinsbbq.com</t>
        </is>
      </c>
      <c r="D63" s="17" t="inlineStr">
        <is>
          <t>Common at booking to hold the date. The balance is due about 72 hours before a party or up to 14 days before a wedding; companies often pay at 30 days. The workbook does not model deposits, so they improve your real cash flow.</t>
        </is>
      </c>
    </row>
    <row r="64" ht="89.75" customHeight="1">
      <c r="A64" t="inlineStr">
        <is>
          <t>Hourly pay (BLS OEWS, May 2025)</t>
        </is>
      </c>
      <c r="B64" t="inlineStr">
        <is>
          <t>$18.62 cooks · $17.37 servers · $30.03 head cooks</t>
        </is>
      </c>
      <c r="C64" t="inlineStr">
        <is>
          <t>bls.gov</t>
        </is>
      </c>
      <c r="D64" s="17" t="inlineStr">
        <is>
          <t>Mean hourly wages for restaurant cooks (35-2014) and nonrestaurant food servers (35-3041), and the median for chefs and head cooks (35-1011); 75th percentile $21.45 for cooks and $18.51 for servers. The plan pays the pit cook near the 75th percentile and the owner/pitmaster below the chefs and head cooks median: the rest comes from profit.</t>
        </is>
      </c>
    </row>
    <row r="65" ht="45" customHeight="1">
      <c r="A65" t="inlineStr">
        <is>
          <t>Shared kitchen rate</t>
        </is>
      </c>
      <c r="B65" t="inlineStr">
        <is>
          <t>$15-$45 per hour</t>
        </is>
      </c>
      <c r="C65" t="inlineStr">
        <is>
          <t>thefoodcorridor.com</t>
        </is>
      </c>
      <c r="D65" s="17" t="inlineStr">
        <is>
          <t>2023 Shared Kitchen Operator Survey; 42% of operators charge $20-$29 per hour. Storage and parking cost extra, and not every kitchen lets you smoke in the yard.</t>
        </is>
      </c>
    </row>
    <row r="66" ht="45" customHeight="1">
      <c r="A66" t="inlineStr">
        <is>
          <t>Guest minimums</t>
        </is>
      </c>
      <c r="B66" t="inlineStr">
        <is>
          <t>20 to 75 guests</t>
        </is>
      </c>
      <c r="C66" t="inlineStr">
        <is>
          <t>eventective.com; hutchinsbbq.com; zola.com</t>
        </is>
      </c>
      <c r="D66" s="17" t="inlineStr">
        <is>
          <t>30 guests at one operator; 75 for full catering and 20 for delivery at another; food from $28 per person with a $500 minimum at a third. Set yours by service style.</t>
        </is>
      </c>
    </row>
    <row r="67" ht="59.75" customHeight="1">
      <c r="A67" t="inlineStr">
        <is>
          <t>Insurance</t>
        </is>
      </c>
      <c r="B67" t="inlineStr">
        <is>
          <t>$45 / $96 / $82 / $204 per month</t>
        </is>
      </c>
      <c r="C67" t="inlineStr">
        <is>
          <t>insureon.com</t>
        </is>
      </c>
      <c r="D67" s="17" t="inlineStr">
        <is>
          <t>Insureon averages for businesses under 5 employees: general liability, BOP, workers' comp and commercial auto. Your quotes will differ; add liquor liability only if your staff pours the client's alcohol.</t>
        </is>
      </c>
    </row>
    <row r="68" ht="45" customHeight="1">
      <c r="A68" t="inlineStr">
        <is>
          <t>Wood and event staff</t>
        </is>
      </c>
      <c r="B68" t="inlineStr">
        <is>
          <t>60-100 lb (27-45 kg) of wood per cook · 1 server per 25-30 guests</t>
        </is>
      </c>
      <c r="C68" t="inlineStr">
        <is>
          <t>Kit estimate</t>
        </is>
      </c>
      <c r="D68" s="17" t="inlineStr">
        <is>
          <t>Wood use varies with the smoker, the weather and the fuel. A buffet needs about one server per 25-30 guests; one pit cook can watch several cooks at once.</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aichef.pro/en/digital-products/bbq-catering-business-plan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0.065</v>
      </c>
      <c r="C5" s="73" t="n">
        <v>0.09</v>
      </c>
      <c r="D5" s="73" t="n">
        <v>0.12</v>
      </c>
      <c r="E5" s="73" t="n">
        <v>0.115</v>
      </c>
      <c r="F5" s="73" t="n">
        <v>0.09</v>
      </c>
      <c r="G5" s="73" t="n">
        <v>0.075</v>
      </c>
      <c r="H5" s="73" t="n">
        <v>0.1</v>
      </c>
      <c r="I5" s="73" t="n">
        <v>0.11</v>
      </c>
      <c r="J5" s="73" t="n">
        <v>0.07000000000000001</v>
      </c>
      <c r="K5" s="73" t="n">
        <v>0.09</v>
      </c>
      <c r="L5" s="73" t="n">
        <v>0.035</v>
      </c>
      <c r="M5" s="73" t="n">
        <v>0.04</v>
      </c>
      <c r="N5" s="68">
        <f>IFERROR(IF('3-Year P&amp;L'!$B$9="","",SUM(B5:M5)),"")</f>
        <v>1.0</v>
      </c>
      <c r="O5" s="28" t="inlineStr">
        <is>
          <t>Share of the year's events per month (100% in total). Month 1 = opening month (March in the example). The 50% deposit is not modeled: it improves real cash.</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0.03982494529540482</v>
      </c>
      <c r="C7" s="68">
        <f>IFERROR(IF('3-Year P&amp;L'!$B$9="","",C5*C6/SUMPRODUCT($B$5:$M$5,$B$6:$M$6)),"")</f>
        <v>0.06301969365426695</v>
      </c>
      <c r="D7" s="68">
        <f>IFERROR(IF('3-Year P&amp;L'!$B$9="","",D5*D6/SUMPRODUCT($B$5:$M$5,$B$6:$M$6)),"")</f>
        <v>0.09452954048140043</v>
      </c>
      <c r="E7" s="68">
        <f>IFERROR(IF('3-Year P&amp;L'!$B$9="","",E5*E6/SUMPRODUCT($B$5:$M$5,$B$6:$M$6)),"")</f>
        <v>0.10065645514223195</v>
      </c>
      <c r="F7" s="68">
        <f>IFERROR(IF('3-Year P&amp;L'!$B$9="","",F5*F6/SUMPRODUCT($B$5:$M$5,$B$6:$M$6)),"")</f>
        <v>0.08665207877461707</v>
      </c>
      <c r="G7" s="68">
        <f>IFERROR(IF('3-Year P&amp;L'!$B$9="","",G5*G6/SUMPRODUCT($B$5:$M$5,$B$6:$M$6)),"")</f>
        <v>0.0787746170678337</v>
      </c>
      <c r="H7" s="68">
        <f>IFERROR(IF('3-Year P&amp;L'!$B$9="","",H5*H6/SUMPRODUCT($B$5:$M$5,$B$6:$M$6)),"")</f>
        <v>0.1137855579868709</v>
      </c>
      <c r="I7" s="68">
        <f>IFERROR(IF('3-Year P&amp;L'!$B$9="","",I5*I6/SUMPRODUCT($B$5:$M$5,$B$6:$M$6)),"")</f>
        <v>0.13479212253829323</v>
      </c>
      <c r="J7" s="68">
        <f>IFERROR(IF('3-Year P&amp;L'!$B$9="","",J5*J6/SUMPRODUCT($B$5:$M$5,$B$6:$M$6)),"")</f>
        <v>0.08577680525164115</v>
      </c>
      <c r="K7" s="68">
        <f>IFERROR(IF('3-Year P&amp;L'!$B$9="","",K5*K6/SUMPRODUCT($B$5:$M$5,$B$6:$M$6)),"")</f>
        <v>0.11028446389496717</v>
      </c>
      <c r="L7" s="68">
        <f>IFERROR(IF('3-Year P&amp;L'!$B$9="","",L5*L6/SUMPRODUCT($B$5:$M$5,$B$6:$M$6)),"")</f>
        <v>0.042888402625820575</v>
      </c>
      <c r="M7" s="68">
        <f>IFERROR(IF('3-Year P&amp;L'!$B$9="","",M5*M6/SUMPRODUCT($B$5:$M$5,$B$6:$M$6)),"")</f>
        <v>0.04901531728665208</v>
      </c>
      <c r="N7" s="68">
        <f>IFERROR(IF('3-Year P&amp;L'!$B$9="","",SUM(B7:M7)),"")</f>
        <v>0.9999999999999999</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14096.835886214441</v>
      </c>
      <c r="C9" s="40">
        <f>IFERROR(IF('3-Year P&amp;L'!$B$9="","",('3-Year P&amp;L'!$B$9+'3-Year P&amp;L'!$B$9*SUMPRODUCT('3-Year P&amp;L'!$E$10:$E$11,'3-Year P&amp;L'!$G$10:$G$11))*(C7*(1-MIN(30,'0. Assumptions'!$B$58)/30)+B7*MIN(30,'0. Assumptions'!$B$58)/30)),"")</f>
        <v>26597.42231947483</v>
      </c>
      <c r="D9" s="40">
        <f>IFERROR(IF('3-Year P&amp;L'!$B$9="","",('3-Year P&amp;L'!$B$9+'3-Year P&amp;L'!$B$9*SUMPRODUCT('3-Year P&amp;L'!$E$10:$E$11,'3-Year P&amp;L'!$G$10:$G$11))*(D7*(1-MIN(30,'0. Assumptions'!$B$58)/30)+C7*MIN(30,'0. Assumptions'!$B$58)/30)),"")</f>
        <v>40249.73304157549</v>
      </c>
      <c r="E9" s="40">
        <f>IFERROR(IF('3-Year P&amp;L'!$B$9="","",('3-Year P&amp;L'!$B$9+'3-Year P&amp;L'!$B$9*SUMPRODUCT('3-Year P&amp;L'!$E$10:$E$11,'3-Year P&amp;L'!$G$10:$G$11))*(E7*(1-MIN(30,'0. Assumptions'!$B$58)/30)+D7*MIN(30,'0. Assumptions'!$B$58)/30)),"")</f>
        <v>45813.032822757115</v>
      </c>
      <c r="F9" s="40">
        <f>IFERROR(IF('3-Year P&amp;L'!$B$9="","",('3-Year P&amp;L'!$B$9+'3-Year P&amp;L'!$B$9*SUMPRODUCT('3-Year P&amp;L'!$E$10:$E$11,'3-Year P&amp;L'!$G$10:$G$11))*(F7*(1-MIN(30,'0. Assumptions'!$B$58)/30)+E7*MIN(30,'0. Assumptions'!$B$58)/30)),"")</f>
        <v>41515.95623632385</v>
      </c>
      <c r="G9" s="40">
        <f>IFERROR(IF('3-Year P&amp;L'!$B$9="","",('3-Year P&amp;L'!$B$9+'3-Year P&amp;L'!$B$9*SUMPRODUCT('3-Year P&amp;L'!$E$10:$E$11,'3-Year P&amp;L'!$G$10:$G$11))*(G7*(1-MIN(30,'0. Assumptions'!$B$58)/30)+F7*MIN(30,'0. Assumptions'!$B$58)/30)),"")</f>
        <v>37218.87964989059</v>
      </c>
      <c r="H9" s="40">
        <f>IFERROR(IF('3-Year P&amp;L'!$B$9="","",('3-Year P&amp;L'!$B$9+'3-Year P&amp;L'!$B$9*SUMPRODUCT('3-Year P&amp;L'!$E$10:$E$11,'3-Year P&amp;L'!$G$10:$G$11))*(H7*(1-MIN(30,'0. Assumptions'!$B$58)/30)+G7*MIN(30,'0. Assumptions'!$B$58)/30)),"")</f>
        <v>48763.06345733041</v>
      </c>
      <c r="I9" s="40">
        <f>IFERROR(IF('3-Year P&amp;L'!$B$9="","",('3-Year P&amp;L'!$B$9+'3-Year P&amp;L'!$B$9*SUMPRODUCT('3-Year P&amp;L'!$E$10:$E$11,'3-Year P&amp;L'!$G$10:$G$11))*(I7*(1-MIN(30,'0. Assumptions'!$B$58)/30)+H7*MIN(30,'0. Assumptions'!$B$58)/30)),"")</f>
        <v>59970.485776805246</v>
      </c>
      <c r="J9" s="40">
        <f>IFERROR(IF('3-Year P&amp;L'!$B$9="","",('3-Year P&amp;L'!$B$9+'3-Year P&amp;L'!$B$9*SUMPRODUCT('3-Year P&amp;L'!$E$10:$E$11,'3-Year P&amp;L'!$G$10:$G$11))*(J7*(1-MIN(30,'0. Assumptions'!$B$58)/30)+I7*MIN(30,'0. Assumptions'!$B$58)/30)),"")</f>
        <v>44883.57111597374</v>
      </c>
      <c r="K9" s="40">
        <f>IFERROR(IF('3-Year P&amp;L'!$B$9="","",('3-Year P&amp;L'!$B$9+'3-Year P&amp;L'!$B$9*SUMPRODUCT('3-Year P&amp;L'!$E$10:$E$11,'3-Year P&amp;L'!$G$10:$G$11))*(K7*(1-MIN(30,'0. Assumptions'!$B$58)/30)+J7*MIN(30,'0. Assumptions'!$B$58)/30)),"")</f>
        <v>48278.126914660825</v>
      </c>
      <c r="L9" s="40">
        <f>IFERROR(IF('3-Year P&amp;L'!$B$9="","",('3-Year P&amp;L'!$B$9+'3-Year P&amp;L'!$B$9*SUMPRODUCT('3-Year P&amp;L'!$E$10:$E$11,'3-Year P&amp;L'!$G$10:$G$11))*(L7*(1-MIN(30,'0. Assumptions'!$B$58)/30)+K7*MIN(30,'0. Assumptions'!$B$58)/30)),"")</f>
        <v>27062.15317286652</v>
      </c>
      <c r="M9" s="40">
        <f>IFERROR(IF('3-Year P&amp;L'!$B$9="","",('3-Year P&amp;L'!$B$9+'3-Year P&amp;L'!$B$9*SUMPRODUCT('3-Year P&amp;L'!$E$10:$E$11,'3-Year P&amp;L'!$G$10:$G$11))*(M7*(1-MIN(30,'0. Assumptions'!$B$58)/30)+L7*MIN(30,'0. Assumptions'!$B$58)/30)),"")</f>
        <v>21970.319474835884</v>
      </c>
      <c r="N9" s="40">
        <f>IFERROR(IF('3-Year P&amp;L'!$B$9="","",SUM(B9:M9)),"")</f>
        <v>456419.5798687089</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-5121.850371991249</v>
      </c>
      <c r="C11" s="40">
        <f>IFERROR(IF('3-Year P&amp;L'!$B$9="","",-('3-Year P&amp;L'!$B$13*(1+'3-Year P&amp;L'!$G$13)+'3-Year P&amp;L'!$B$14*(1+'3-Year P&amp;L'!$G$14)+'3-Year P&amp;L'!$B$15*(1+'3-Year P&amp;L'!$G$15)+'3-Year P&amp;L'!$B$16*(1+'3-Year P&amp;L'!$G$16)+'3-Year P&amp;L'!$B$17*(1+'3-Year P&amp;L'!$G$17)+'3-Year P&amp;L'!$B$18*(1+'3-Year P&amp;L'!$G$18))*(C7*(1-MIN(30,'0. Assumptions'!$B$59)/30)+B7*MIN(30,'0. Assumptions'!$B$59)/30)),"")</f>
        <v>-9663.73010940919</v>
      </c>
      <c r="D11" s="40">
        <f>IFERROR(IF('3-Year P&amp;L'!$B$9="","",-('3-Year P&amp;L'!$B$13*(1+'3-Year P&amp;L'!$G$13)+'3-Year P&amp;L'!$B$14*(1+'3-Year P&amp;L'!$G$14)+'3-Year P&amp;L'!$B$15*(1+'3-Year P&amp;L'!$G$15)+'3-Year P&amp;L'!$B$16*(1+'3-Year P&amp;L'!$G$16)+'3-Year P&amp;L'!$B$17*(1+'3-Year P&amp;L'!$G$17)+'3-Year P&amp;L'!$B$18*(1+'3-Year P&amp;L'!$G$18))*(D7*(1-MIN(30,'0. Assumptions'!$B$59)/30)+C7*MIN(30,'0. Assumptions'!$B$59)/30)),"")</f>
        <v>-14624.06967177243</v>
      </c>
      <c r="E11" s="40">
        <f>IFERROR(IF('3-Year P&amp;L'!$B$9="","",-('3-Year P&amp;L'!$B$13*(1+'3-Year P&amp;L'!$G$13)+'3-Year P&amp;L'!$B$14*(1+'3-Year P&amp;L'!$G$14)+'3-Year P&amp;L'!$B$15*(1+'3-Year P&amp;L'!$G$15)+'3-Year P&amp;L'!$B$16*(1+'3-Year P&amp;L'!$G$16)+'3-Year P&amp;L'!$B$17*(1+'3-Year P&amp;L'!$G$17)+'3-Year P&amp;L'!$B$18*(1+'3-Year P&amp;L'!$G$18))*(E7*(1-MIN(30,'0. Assumptions'!$B$59)/30)+D7*MIN(30,'0. Assumptions'!$B$59)/30)),"")</f>
        <v>-16645.401925601753</v>
      </c>
      <c r="F11" s="40">
        <f>IFERROR(IF('3-Year P&amp;L'!$B$9="","",-('3-Year P&amp;L'!$B$13*(1+'3-Year P&amp;L'!$G$13)+'3-Year P&amp;L'!$B$14*(1+'3-Year P&amp;L'!$G$14)+'3-Year P&amp;L'!$B$15*(1+'3-Year P&amp;L'!$G$15)+'3-Year P&amp;L'!$B$16*(1+'3-Year P&amp;L'!$G$16)+'3-Year P&amp;L'!$B$17*(1+'3-Year P&amp;L'!$G$17)+'3-Year P&amp;L'!$B$18*(1+'3-Year P&amp;L'!$G$18))*(F7*(1-MIN(30,'0. Assumptions'!$B$59)/30)+E7*MIN(30,'0. Assumptions'!$B$59)/30)),"")</f>
        <v>-15084.130765864335</v>
      </c>
      <c r="G11" s="40">
        <f>IFERROR(IF('3-Year P&amp;L'!$B$9="","",-('3-Year P&amp;L'!$B$13*(1+'3-Year P&amp;L'!$G$13)+'3-Year P&amp;L'!$B$14*(1+'3-Year P&amp;L'!$G$14)+'3-Year P&amp;L'!$B$15*(1+'3-Year P&amp;L'!$G$15)+'3-Year P&amp;L'!$B$16*(1+'3-Year P&amp;L'!$G$16)+'3-Year P&amp;L'!$B$17*(1+'3-Year P&amp;L'!$G$17)+'3-Year P&amp;L'!$B$18*(1+'3-Year P&amp;L'!$G$18))*(G7*(1-MIN(30,'0. Assumptions'!$B$59)/30)+F7*MIN(30,'0. Assumptions'!$B$59)/30)),"")</f>
        <v>-13522.859606126916</v>
      </c>
      <c r="H11" s="40">
        <f>IFERROR(IF('3-Year P&amp;L'!$B$9="","",-('3-Year P&amp;L'!$B$13*(1+'3-Year P&amp;L'!$G$13)+'3-Year P&amp;L'!$B$14*(1+'3-Year P&amp;L'!$G$14)+'3-Year P&amp;L'!$B$15*(1+'3-Year P&amp;L'!$G$15)+'3-Year P&amp;L'!$B$16*(1+'3-Year P&amp;L'!$G$16)+'3-Year P&amp;L'!$B$17*(1+'3-Year P&amp;L'!$G$17)+'3-Year P&amp;L'!$B$18*(1+'3-Year P&amp;L'!$G$18))*(H7*(1-MIN(30,'0. Assumptions'!$B$59)/30)+G7*MIN(30,'0. Assumptions'!$B$59)/30)),"")</f>
        <v>-17717.24638949672</v>
      </c>
      <c r="I11" s="40">
        <f>IFERROR(IF('3-Year P&amp;L'!$B$9="","",-('3-Year P&amp;L'!$B$13*(1+'3-Year P&amp;L'!$G$13)+'3-Year P&amp;L'!$B$14*(1+'3-Year P&amp;L'!$G$14)+'3-Year P&amp;L'!$B$15*(1+'3-Year P&amp;L'!$G$15)+'3-Year P&amp;L'!$B$16*(1+'3-Year P&amp;L'!$G$16)+'3-Year P&amp;L'!$B$17*(1+'3-Year P&amp;L'!$G$17)+'3-Year P&amp;L'!$B$18*(1+'3-Year P&amp;L'!$G$18))*(I7*(1-MIN(30,'0. Assumptions'!$B$59)/30)+H7*MIN(30,'0. Assumptions'!$B$59)/30)),"")</f>
        <v>-21789.27649890591</v>
      </c>
      <c r="J11" s="40">
        <f>IFERROR(IF('3-Year P&amp;L'!$B$9="","",-('3-Year P&amp;L'!$B$13*(1+'3-Year P&amp;L'!$G$13)+'3-Year P&amp;L'!$B$14*(1+'3-Year P&amp;L'!$G$14)+'3-Year P&amp;L'!$B$15*(1+'3-Year P&amp;L'!$G$15)+'3-Year P&amp;L'!$B$16*(1+'3-Year P&amp;L'!$G$16)+'3-Year P&amp;L'!$B$17*(1+'3-Year P&amp;L'!$G$17)+'3-Year P&amp;L'!$B$18*(1+'3-Year P&amp;L'!$G$18))*(J7*(1-MIN(30,'0. Assumptions'!$B$59)/30)+I7*MIN(30,'0. Assumptions'!$B$59)/30)),"")</f>
        <v>-16307.697505470464</v>
      </c>
      <c r="K11" s="40">
        <f>IFERROR(IF('3-Year P&amp;L'!$B$9="","",-('3-Year P&amp;L'!$B$13*(1+'3-Year P&amp;L'!$G$13)+'3-Year P&amp;L'!$B$14*(1+'3-Year P&amp;L'!$G$14)+'3-Year P&amp;L'!$B$15*(1+'3-Year P&amp;L'!$G$15)+'3-Year P&amp;L'!$B$16*(1+'3-Year P&amp;L'!$G$16)+'3-Year P&amp;L'!$B$17*(1+'3-Year P&amp;L'!$G$17)+'3-Year P&amp;L'!$B$18*(1+'3-Year P&amp;L'!$G$18))*(K7*(1-MIN(30,'0. Assumptions'!$B$59)/30)+J7*MIN(30,'0. Assumptions'!$B$59)/30)),"")</f>
        <v>-17541.052778993435</v>
      </c>
      <c r="L11" s="40">
        <f>IFERROR(IF('3-Year P&amp;L'!$B$9="","",-('3-Year P&amp;L'!$B$13*(1+'3-Year P&amp;L'!$G$13)+'3-Year P&amp;L'!$B$14*(1+'3-Year P&amp;L'!$G$14)+'3-Year P&amp;L'!$B$15*(1+'3-Year P&amp;L'!$G$15)+'3-Year P&amp;L'!$B$16*(1+'3-Year P&amp;L'!$G$16)+'3-Year P&amp;L'!$B$17*(1+'3-Year P&amp;L'!$G$17)+'3-Year P&amp;L'!$B$18*(1+'3-Year P&amp;L'!$G$18))*(L7*(1-MIN(30,'0. Assumptions'!$B$59)/30)+K7*MIN(30,'0. Assumptions'!$B$59)/30)),"")</f>
        <v>-9832.582319474837</v>
      </c>
      <c r="M11" s="40">
        <f>IFERROR(IF('3-Year P&amp;L'!$B$9="","",-('3-Year P&amp;L'!$B$13*(1+'3-Year P&amp;L'!$G$13)+'3-Year P&amp;L'!$B$14*(1+'3-Year P&amp;L'!$G$14)+'3-Year P&amp;L'!$B$15*(1+'3-Year P&amp;L'!$G$15)+'3-Year P&amp;L'!$B$16*(1+'3-Year P&amp;L'!$G$16)+'3-Year P&amp;L'!$B$17*(1+'3-Year P&amp;L'!$G$17)+'3-Year P&amp;L'!$B$18*(1+'3-Year P&amp;L'!$G$18))*(M7*(1-MIN(30,'0. Assumptions'!$B$59)/30)+L7*MIN(30,'0. Assumptions'!$B$59)/30)),"")</f>
        <v>-7982.549409190373</v>
      </c>
      <c r="N11" s="40">
        <f>IFERROR(IF('3-Year P&amp;L'!$B$9="","",SUM(B11:M11)),"")</f>
        <v>-165832.4473522976</v>
      </c>
      <c r="O11" s="28" t="str">
        <f>IFERROR("Meat, sides and add-on purchases, disposables and cooking fuel,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Meat, sides and add-on purchases, disposables and cooking fuel,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-4975.0</v>
      </c>
      <c r="C12" s="40">
        <f>IFERROR(IF('3-Year P&amp;L'!$B$9="","",-('3-Year P&amp;L'!$B$38-'3-Year P&amp;L'!$B$23-'3-Year P&amp;L'!$B$36-'3-Year P&amp;L'!$B$37+'3-Year P&amp;L'!$B$40)/12),"")</f>
        <v>-4975.0</v>
      </c>
      <c r="D12" s="40">
        <f>IFERROR(IF('3-Year P&amp;L'!$B$9="","",-('3-Year P&amp;L'!$B$38-'3-Year P&amp;L'!$B$23-'3-Year P&amp;L'!$B$36-'3-Year P&amp;L'!$B$37+'3-Year P&amp;L'!$B$40)/12),"")</f>
        <v>-4975.0</v>
      </c>
      <c r="E12" s="40">
        <f>IFERROR(IF('3-Year P&amp;L'!$B$9="","",-('3-Year P&amp;L'!$B$38-'3-Year P&amp;L'!$B$23-'3-Year P&amp;L'!$B$36-'3-Year P&amp;L'!$B$37+'3-Year P&amp;L'!$B$40)/12),"")</f>
        <v>-4975.0</v>
      </c>
      <c r="F12" s="40">
        <f>IFERROR(IF('3-Year P&amp;L'!$B$9="","",-('3-Year P&amp;L'!$B$38-'3-Year P&amp;L'!$B$23-'3-Year P&amp;L'!$B$36-'3-Year P&amp;L'!$B$37+'3-Year P&amp;L'!$B$40)/12),"")</f>
        <v>-4975.0</v>
      </c>
      <c r="G12" s="40">
        <f>IFERROR(IF('3-Year P&amp;L'!$B$9="","",-('3-Year P&amp;L'!$B$38-'3-Year P&amp;L'!$B$23-'3-Year P&amp;L'!$B$36-'3-Year P&amp;L'!$B$37+'3-Year P&amp;L'!$B$40)/12),"")</f>
        <v>-4975.0</v>
      </c>
      <c r="H12" s="40">
        <f>IFERROR(IF('3-Year P&amp;L'!$B$9="","",-('3-Year P&amp;L'!$B$38-'3-Year P&amp;L'!$B$23-'3-Year P&amp;L'!$B$36-'3-Year P&amp;L'!$B$37+'3-Year P&amp;L'!$B$40)/12),"")</f>
        <v>-4975.0</v>
      </c>
      <c r="I12" s="40">
        <f>IFERROR(IF('3-Year P&amp;L'!$B$9="","",-('3-Year P&amp;L'!$B$38-'3-Year P&amp;L'!$B$23-'3-Year P&amp;L'!$B$36-'3-Year P&amp;L'!$B$37+'3-Year P&amp;L'!$B$40)/12),"")</f>
        <v>-4975.0</v>
      </c>
      <c r="J12" s="40">
        <f>IFERROR(IF('3-Year P&amp;L'!$B$9="","",-('3-Year P&amp;L'!$B$38-'3-Year P&amp;L'!$B$23-'3-Year P&amp;L'!$B$36-'3-Year P&amp;L'!$B$37+'3-Year P&amp;L'!$B$40)/12),"")</f>
        <v>-4975.0</v>
      </c>
      <c r="K12" s="40">
        <f>IFERROR(IF('3-Year P&amp;L'!$B$9="","",-('3-Year P&amp;L'!$B$38-'3-Year P&amp;L'!$B$23-'3-Year P&amp;L'!$B$36-'3-Year P&amp;L'!$B$37+'3-Year P&amp;L'!$B$40)/12),"")</f>
        <v>-4975.0</v>
      </c>
      <c r="L12" s="40">
        <f>IFERROR(IF('3-Year P&amp;L'!$B$9="","",-('3-Year P&amp;L'!$B$38-'3-Year P&amp;L'!$B$23-'3-Year P&amp;L'!$B$36-'3-Year P&amp;L'!$B$37+'3-Year P&amp;L'!$B$40)/12),"")</f>
        <v>-4975.0</v>
      </c>
      <c r="M12" s="40">
        <f>IFERROR(IF('3-Year P&amp;L'!$B$9="","",-('3-Year P&amp;L'!$B$38-'3-Year P&amp;L'!$B$23-'3-Year P&amp;L'!$B$36-'3-Year P&amp;L'!$B$37+'3-Year P&amp;L'!$B$40)/12),"")</f>
        <v>-4975.0</v>
      </c>
      <c r="N12" s="40">
        <f>IFERROR(IF('3-Year P&amp;L'!$B$9="","",SUM(B12:M12)),"")</f>
        <v>-59700.0</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-11640.199999999999</v>
      </c>
      <c r="C13" s="40">
        <f>IFERROR(IF('3-Year P&amp;L'!$B$9="","",-'3-Year P&amp;L'!$B$23/MAX(12,'0. Assumptions'!$B$21)*(1+IF(2='0. Assumptions'!$B$60,(MAX(12,'0. Assumptions'!$B$21)-12)/2,0)+IF(2='0. Assumptions'!$B$61,(MAX(12,'0. Assumptions'!$B$21)-12)/2,0))),"")</f>
        <v>-11640.199999999999</v>
      </c>
      <c r="D13" s="40">
        <f>IFERROR(IF('3-Year P&amp;L'!$B$9="","",-'3-Year P&amp;L'!$B$23/MAX(12,'0. Assumptions'!$B$21)*(1+IF(3='0. Assumptions'!$B$60,(MAX(12,'0. Assumptions'!$B$21)-12)/2,0)+IF(3='0. Assumptions'!$B$61,(MAX(12,'0. Assumptions'!$B$21)-12)/2,0))),"")</f>
        <v>-11640.199999999999</v>
      </c>
      <c r="E13" s="40">
        <f>IFERROR(IF('3-Year P&amp;L'!$B$9="","",-'3-Year P&amp;L'!$B$23/MAX(12,'0. Assumptions'!$B$21)*(1+IF(4='0. Assumptions'!$B$60,(MAX(12,'0. Assumptions'!$B$21)-12)/2,0)+IF(4='0. Assumptions'!$B$61,(MAX(12,'0. Assumptions'!$B$21)-12)/2,0))),"")</f>
        <v>-11640.199999999999</v>
      </c>
      <c r="F13" s="40">
        <f>IFERROR(IF('3-Year P&amp;L'!$B$9="","",-'3-Year P&amp;L'!$B$23/MAX(12,'0. Assumptions'!$B$21)*(1+IF(5='0. Assumptions'!$B$60,(MAX(12,'0. Assumptions'!$B$21)-12)/2,0)+IF(5='0. Assumptions'!$B$61,(MAX(12,'0. Assumptions'!$B$21)-12)/2,0))),"")</f>
        <v>-11640.199999999999</v>
      </c>
      <c r="G13" s="40">
        <f>IFERROR(IF('3-Year P&amp;L'!$B$9="","",-'3-Year P&amp;L'!$B$23/MAX(12,'0. Assumptions'!$B$21)*(1+IF(6='0. Assumptions'!$B$60,(MAX(12,'0. Assumptions'!$B$21)-12)/2,0)+IF(6='0. Assumptions'!$B$61,(MAX(12,'0. Assumptions'!$B$21)-12)/2,0))),"")</f>
        <v>-11640.199999999999</v>
      </c>
      <c r="H13" s="40">
        <f>IFERROR(IF('3-Year P&amp;L'!$B$9="","",-'3-Year P&amp;L'!$B$23/MAX(12,'0. Assumptions'!$B$21)*(1+IF(7='0. Assumptions'!$B$60,(MAX(12,'0. Assumptions'!$B$21)-12)/2,0)+IF(7='0. Assumptions'!$B$61,(MAX(12,'0. Assumptions'!$B$21)-12)/2,0))),"")</f>
        <v>-11640.199999999999</v>
      </c>
      <c r="I13" s="40">
        <f>IFERROR(IF('3-Year P&amp;L'!$B$9="","",-'3-Year P&amp;L'!$B$23/MAX(12,'0. Assumptions'!$B$21)*(1+IF(8='0. Assumptions'!$B$60,(MAX(12,'0. Assumptions'!$B$21)-12)/2,0)+IF(8='0. Assumptions'!$B$61,(MAX(12,'0. Assumptions'!$B$21)-12)/2,0))),"")</f>
        <v>-11640.199999999999</v>
      </c>
      <c r="J13" s="40">
        <f>IFERROR(IF('3-Year P&amp;L'!$B$9="","",-'3-Year P&amp;L'!$B$23/MAX(12,'0. Assumptions'!$B$21)*(1+IF(9='0. Assumptions'!$B$60,(MAX(12,'0. Assumptions'!$B$21)-12)/2,0)+IF(9='0. Assumptions'!$B$61,(MAX(12,'0. Assumptions'!$B$21)-12)/2,0))),"")</f>
        <v>-11640.199999999999</v>
      </c>
      <c r="K13" s="40">
        <f>IFERROR(IF('3-Year P&amp;L'!$B$9="","",-'3-Year P&amp;L'!$B$23/MAX(12,'0. Assumptions'!$B$21)*(1+IF(10='0. Assumptions'!$B$60,(MAX(12,'0. Assumptions'!$B$21)-12)/2,0)+IF(10='0. Assumptions'!$B$61,(MAX(12,'0. Assumptions'!$B$21)-12)/2,0))),"")</f>
        <v>-11640.199999999999</v>
      </c>
      <c r="L13" s="40">
        <f>IFERROR(IF('3-Year P&amp;L'!$B$9="","",-'3-Year P&amp;L'!$B$23/MAX(12,'0. Assumptions'!$B$21)*(1+IF(11='0. Assumptions'!$B$60,(MAX(12,'0. Assumptions'!$B$21)-12)/2,0)+IF(11='0. Assumptions'!$B$61,(MAX(12,'0. Assumptions'!$B$21)-12)/2,0))),"")</f>
        <v>-11640.199999999999</v>
      </c>
      <c r="M13" s="40">
        <f>IFERROR(IF('3-Year P&amp;L'!$B$9="","",-'3-Year P&amp;L'!$B$23/MAX(12,'0. Assumptions'!$B$21)*(1+IF(12='0. Assumptions'!$B$60,(MAX(12,'0. Assumptions'!$B$21)-12)/2,0)+IF(12='0. Assumptions'!$B$61,(MAX(12,'0. Assumptions'!$B$21)-12)/2,0))),"")</f>
        <v>-11640.199999999999</v>
      </c>
      <c r="N13" s="40">
        <f>IFERROR(IF('3-Year P&amp;L'!$B$9="","",SUM(B13:M13)),"")</f>
        <v>-139682.4</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-841.6666666666666</v>
      </c>
      <c r="C14" s="40">
        <f>IFERROR(IF('3-Year P&amp;L'!$B$9="","",-Financing!$B$44/12),"")</f>
        <v>-841.6666666666666</v>
      </c>
      <c r="D14" s="40">
        <f>IFERROR(IF('3-Year P&amp;L'!$B$9="","",-Financing!$B$44/12),"")</f>
        <v>-841.6666666666666</v>
      </c>
      <c r="E14" s="40">
        <f>IFERROR(IF('3-Year P&amp;L'!$B$9="","",-Financing!$B$44/12),"")</f>
        <v>-841.6666666666666</v>
      </c>
      <c r="F14" s="40">
        <f>IFERROR(IF('3-Year P&amp;L'!$B$9="","",-Financing!$B$44/12),"")</f>
        <v>-841.6666666666666</v>
      </c>
      <c r="G14" s="40">
        <f>IFERROR(IF('3-Year P&amp;L'!$B$9="","",-Financing!$B$44/12),"")</f>
        <v>-841.6666666666666</v>
      </c>
      <c r="H14" s="40">
        <f>IFERROR(IF('3-Year P&amp;L'!$B$9="","",-Financing!$B$44/12),"")</f>
        <v>-841.6666666666666</v>
      </c>
      <c r="I14" s="40">
        <f>IFERROR(IF('3-Year P&amp;L'!$B$9="","",-Financing!$B$44/12),"")</f>
        <v>-841.6666666666666</v>
      </c>
      <c r="J14" s="40">
        <f>IFERROR(IF('3-Year P&amp;L'!$B$9="","",-Financing!$B$44/12),"")</f>
        <v>-841.6666666666666</v>
      </c>
      <c r="K14" s="40">
        <f>IFERROR(IF('3-Year P&amp;L'!$B$9="","",-Financing!$B$44/12),"")</f>
        <v>-841.6666666666666</v>
      </c>
      <c r="L14" s="40">
        <f>IFERROR(IF('3-Year P&amp;L'!$B$9="","",-Financing!$B$44/12),"")</f>
        <v>-841.6666666666666</v>
      </c>
      <c r="M14" s="40">
        <f>IFERROR(IF('3-Year P&amp;L'!$B$9="","",-Financing!$B$44/12),"")</f>
        <v>-841.6666666666666</v>
      </c>
      <c r="N14" s="40">
        <f>IFERROR(IF('3-Year P&amp;L'!$B$9="","",SUM(B14:M14)),"")</f>
        <v>-10100.0</v>
      </c>
      <c r="O14" s="28" t="n"/>
    </row>
    <row r="15">
      <c r="A15" s="28" t="inlineStr">
        <is>
          <t>Loan principal repaid</t>
        </is>
      </c>
      <c r="B15" s="40">
        <f>IFERROR(IF('3-Year P&amp;L'!$B$9="","",-Financing!$B$45/12),"")</f>
        <v>-887.1629558133458</v>
      </c>
      <c r="C15" s="40">
        <f>IFERROR(IF('3-Year P&amp;L'!$B$9="","",-Financing!$B$45/12),"")</f>
        <v>-887.1629558133458</v>
      </c>
      <c r="D15" s="40">
        <f>IFERROR(IF('3-Year P&amp;L'!$B$9="","",-Financing!$B$45/12),"")</f>
        <v>-887.1629558133458</v>
      </c>
      <c r="E15" s="40">
        <f>IFERROR(IF('3-Year P&amp;L'!$B$9="","",-Financing!$B$45/12),"")</f>
        <v>-887.1629558133458</v>
      </c>
      <c r="F15" s="40">
        <f>IFERROR(IF('3-Year P&amp;L'!$B$9="","",-Financing!$B$45/12),"")</f>
        <v>-887.1629558133458</v>
      </c>
      <c r="G15" s="40">
        <f>IFERROR(IF('3-Year P&amp;L'!$B$9="","",-Financing!$B$45/12),"")</f>
        <v>-887.1629558133458</v>
      </c>
      <c r="H15" s="40">
        <f>IFERROR(IF('3-Year P&amp;L'!$B$9="","",-Financing!$B$45/12),"")</f>
        <v>-887.1629558133458</v>
      </c>
      <c r="I15" s="40">
        <f>IFERROR(IF('3-Year P&amp;L'!$B$9="","",-Financing!$B$45/12),"")</f>
        <v>-887.1629558133458</v>
      </c>
      <c r="J15" s="40">
        <f>IFERROR(IF('3-Year P&amp;L'!$B$9="","",-Financing!$B$45/12),"")</f>
        <v>-887.1629558133458</v>
      </c>
      <c r="K15" s="40">
        <f>IFERROR(IF('3-Year P&amp;L'!$B$9="","",-Financing!$B$45/12),"")</f>
        <v>-887.1629558133458</v>
      </c>
      <c r="L15" s="40">
        <f>IFERROR(IF('3-Year P&amp;L'!$B$9="","",-Financing!$B$45/12),"")</f>
        <v>-887.1629558133458</v>
      </c>
      <c r="M15" s="40">
        <f>IFERROR(IF('3-Year P&amp;L'!$B$9="","",-Financing!$B$45/12),"")</f>
        <v>-887.1629558133458</v>
      </c>
      <c r="N15" s="40">
        <f>IFERROR(IF('3-Year P&amp;L'!$B$9="","",SUM(B15:M15)),"")</f>
        <v>-10645.955469760149</v>
      </c>
      <c r="O15" s="28" t="n"/>
    </row>
    <row r="16">
      <c r="A16" s="28" t="inlineStr">
        <is>
          <t>Sales tax collected (memo)</t>
        </is>
      </c>
      <c r="B16" s="40">
        <f>IFERROR(IF('3-Year P&amp;L'!$B$9="","",'3-Year P&amp;L'!$B$9*B7*SUMPRODUCT('3-Year P&amp;L'!$E$10:$E$11,'3-Year P&amp;L'!$G$10:$G$11)),"")</f>
        <v>1362.0131291028447</v>
      </c>
      <c r="C16" s="40">
        <f>IFERROR(IF('3-Year P&amp;L'!$B$9="","",'3-Year P&amp;L'!$B$9*C7*SUMPRODUCT('3-Year P&amp;L'!$E$10:$E$11,'3-Year P&amp;L'!$G$10:$G$11)),"")</f>
        <v>2155.2735229759296</v>
      </c>
      <c r="D16" s="40">
        <f>IFERROR(IF('3-Year P&amp;L'!$B$9="","",'3-Year P&amp;L'!$B$9*D7*SUMPRODUCT('3-Year P&amp;L'!$E$10:$E$11,'3-Year P&amp;L'!$G$10:$G$11)),"")</f>
        <v>3232.9102844638946</v>
      </c>
      <c r="E16" s="40">
        <f>IFERROR(IF('3-Year P&amp;L'!$B$9="","",'3-Year P&amp;L'!$B$9*E7*SUMPRODUCT('3-Year P&amp;L'!$E$10:$E$11,'3-Year P&amp;L'!$G$10:$G$11)),"")</f>
        <v>3442.450765864333</v>
      </c>
      <c r="F16" s="40">
        <f>IFERROR(IF('3-Year P&amp;L'!$B$9="","",'3-Year P&amp;L'!$B$9*F7*SUMPRODUCT('3-Year P&amp;L'!$E$10:$E$11,'3-Year P&amp;L'!$G$10:$G$11)),"")</f>
        <v>2963.5010940919037</v>
      </c>
      <c r="G16" s="40">
        <f>IFERROR(IF('3-Year P&amp;L'!$B$9="","",'3-Year P&amp;L'!$B$9*G7*SUMPRODUCT('3-Year P&amp;L'!$E$10:$E$11,'3-Year P&amp;L'!$G$10:$G$11)),"")</f>
        <v>2694.0919037199124</v>
      </c>
      <c r="H16" s="40">
        <f>IFERROR(IF('3-Year P&amp;L'!$B$9="","",'3-Year P&amp;L'!$B$9*H7*SUMPRODUCT('3-Year P&amp;L'!$E$10:$E$11,'3-Year P&amp;L'!$G$10:$G$11)),"")</f>
        <v>3891.466083150985</v>
      </c>
      <c r="I16" s="40">
        <f>IFERROR(IF('3-Year P&amp;L'!$B$9="","",'3-Year P&amp;L'!$B$9*I7*SUMPRODUCT('3-Year P&amp;L'!$E$10:$E$11,'3-Year P&amp;L'!$G$10:$G$11)),"")</f>
        <v>4609.8905908096285</v>
      </c>
      <c r="J16" s="40">
        <f>IFERROR(IF('3-Year P&amp;L'!$B$9="","",'3-Year P&amp;L'!$B$9*J7*SUMPRODUCT('3-Year P&amp;L'!$E$10:$E$11,'3-Year P&amp;L'!$G$10:$G$11)),"")</f>
        <v>2933.5667396061276</v>
      </c>
      <c r="K16" s="40">
        <f>IFERROR(IF('3-Year P&amp;L'!$B$9="","",'3-Year P&amp;L'!$B$9*K7*SUMPRODUCT('3-Year P&amp;L'!$E$10:$E$11,'3-Year P&amp;L'!$G$10:$G$11)),"")</f>
        <v>3771.728665207877</v>
      </c>
      <c r="L16" s="40">
        <f>IFERROR(IF('3-Year P&amp;L'!$B$9="","",'3-Year P&amp;L'!$B$9*L7*SUMPRODUCT('3-Year P&amp;L'!$E$10:$E$11,'3-Year P&amp;L'!$G$10:$G$11)),"")</f>
        <v>1466.7833698030638</v>
      </c>
      <c r="M16" s="40">
        <f>IFERROR(IF('3-Year P&amp;L'!$B$9="","",'3-Year P&amp;L'!$B$9*M7*SUMPRODUCT('3-Year P&amp;L'!$E$10:$E$11,'3-Year P&amp;L'!$G$10:$G$11)),"")</f>
        <v>1676.3238512035011</v>
      </c>
      <c r="N16" s="40">
        <f>IFERROR(IF('3-Year P&amp;L'!$B$9="","",SUM(B16:M16)),"")</f>
        <v>34200.0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6750.1969365426685</v>
      </c>
      <c r="F19" s="28" t="n"/>
      <c r="G19" s="28" t="n"/>
      <c r="H19" s="40">
        <f>IFERROR(IF('3-Year P&amp;L'!$B$9="","",SUM(E16:G16)-SUM(E17:G17)-H18),"")</f>
        <v>9100.043763676149</v>
      </c>
      <c r="I19" s="28" t="n"/>
      <c r="J19" s="28" t="n"/>
      <c r="K19" s="40">
        <f>IFERROR(IF('3-Year P&amp;L'!$B$9="","",SUM(H16:J16)-SUM(H17:J17)-K18),"")</f>
        <v>11434.923413566741</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-6750.1969365426685</v>
      </c>
      <c r="F20" s="28" t="n"/>
      <c r="G20" s="28" t="n"/>
      <c r="H20" s="40">
        <f>IFERROR(IF('3-Year P&amp;L'!$B$9="","",IF(H19&lt;=0,"",-H19)),"")</f>
        <v>-9100.043763676149</v>
      </c>
      <c r="I20" s="28" t="n"/>
      <c r="J20" s="28" t="n"/>
      <c r="K20" s="40">
        <f>IFERROR(IF('3-Year P&amp;L'!$B$9="","",IF(K19&lt;=0,"",-K19)),"")</f>
        <v>-11434.923413566741</v>
      </c>
      <c r="L20" s="28" t="n"/>
      <c r="M20" s="28" t="n"/>
      <c r="N20" s="40">
        <f>IFERROR(IF('3-Year P&amp;L'!$B$9="","",SUM(B20:M20)),"")</f>
        <v>-27285.16411378556</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6">
        <f>IFERROR(IF('3-Year P&amp;L'!$B$9="","",SUM(B9:B15)+IF(B20="",0,B20)),"")</f>
        <v>-9369.044108256818</v>
      </c>
      <c r="C21" s="66">
        <f>IFERROR(IF('3-Year P&amp;L'!$B$9="","",SUM(C9:C15)+IF(C20="",0,C20)),"")</f>
        <v>-1410.3374124143738</v>
      </c>
      <c r="D21" s="66">
        <f>IFERROR(IF('3-Year P&amp;L'!$B$9="","",SUM(D9:D15)+IF(D20="",0,D20)),"")</f>
        <v>7281.633747323052</v>
      </c>
      <c r="E21" s="66">
        <f>IFERROR(IF('3-Year P&amp;L'!$B$9="","",SUM(E9:E15)+IF(E20="",0,E20)),"")</f>
        <v>4073.404338132683</v>
      </c>
      <c r="F21" s="66">
        <f>IFERROR(IF('3-Year P&amp;L'!$B$9="","",SUM(F9:F15)+IF(F20="",0,F20)),"")</f>
        <v>8087.795847979506</v>
      </c>
      <c r="G21" s="66">
        <f>IFERROR(IF('3-Year P&amp;L'!$B$9="","",SUM(G9:G15)+IF(G20="",0,G20)),"")</f>
        <v>5351.990421283659</v>
      </c>
      <c r="H21" s="66">
        <f>IFERROR(IF('3-Year P&amp;L'!$B$9="","",SUM(H9:H15)+IF(H20="",0,H20)),"")</f>
        <v>3601.7436816775335</v>
      </c>
      <c r="I21" s="66">
        <f>IFERROR(IF('3-Year P&amp;L'!$B$9="","",SUM(I9:I15)+IF(I20="",0,I20)),"")</f>
        <v>19837.179655419328</v>
      </c>
      <c r="J21" s="66">
        <f>IFERROR(IF('3-Year P&amp;L'!$B$9="","",SUM(J9:J15)+IF(J20="",0,J20)),"")</f>
        <v>10231.843988023265</v>
      </c>
      <c r="K21" s="66">
        <f>IFERROR(IF('3-Year P&amp;L'!$B$9="","",SUM(K9:K15)+IF(K20="",0,K20)),"")</f>
        <v>958.1210996206373</v>
      </c>
      <c r="L21" s="66">
        <f>IFERROR(IF('3-Year P&amp;L'!$B$9="","",SUM(L9:L15)+IF(L20="",0,L20)),"")</f>
        <v>-1114.4587690883272</v>
      </c>
      <c r="M21" s="66">
        <f>IFERROR(IF('3-Year P&amp;L'!$B$9="","",SUM(M9:M15)+IF(M20="",0,M20)),"")</f>
        <v>-4356.2595568345005</v>
      </c>
      <c r="N21" s="66">
        <f>IFERROR(IF('3-Year P&amp;L'!$B$9="","",SUM(B21:M21)),"")</f>
        <v>43173.612932865646</v>
      </c>
      <c r="O21" s="28" t="n"/>
    </row>
    <row r="22">
      <c r="A22" s="25" t="inlineStr">
        <is>
          <t>CUMULATIVE CASH BALANCE</t>
        </is>
      </c>
      <c r="B22" s="66">
        <f>IFERROR(IF('3-Year P&amp;L'!$B$9="","",'Startup Costs'!$B$25+B21),"")</f>
        <v>43001.55589174318</v>
      </c>
      <c r="C22" s="66">
        <f>IFERROR(IF('3-Year P&amp;L'!$B$9="","",B22+C21),"")</f>
        <v>41591.2184793288</v>
      </c>
      <c r="D22" s="66">
        <f>IFERROR(IF('3-Year P&amp;L'!$B$9="","",C22+D21),"")</f>
        <v>48872.852226651856</v>
      </c>
      <c r="E22" s="66">
        <f>IFERROR(IF('3-Year P&amp;L'!$B$9="","",D22+E21),"")</f>
        <v>52946.25656478454</v>
      </c>
      <c r="F22" s="66">
        <f>IFERROR(IF('3-Year P&amp;L'!$B$9="","",E22+F21),"")</f>
        <v>61034.052412764046</v>
      </c>
      <c r="G22" s="66">
        <f>IFERROR(IF('3-Year P&amp;L'!$B$9="","",F22+G21),"")</f>
        <v>66386.04283404771</v>
      </c>
      <c r="H22" s="66">
        <f>IFERROR(IF('3-Year P&amp;L'!$B$9="","",G22+H21),"")</f>
        <v>69987.78651572524</v>
      </c>
      <c r="I22" s="66">
        <f>IFERROR(IF('3-Year P&amp;L'!$B$9="","",H22+I21),"")</f>
        <v>89824.96617114457</v>
      </c>
      <c r="J22" s="66">
        <f>IFERROR(IF('3-Year P&amp;L'!$B$9="","",I22+J21),"")</f>
        <v>100056.81015916783</v>
      </c>
      <c r="K22" s="66">
        <f>IFERROR(IF('3-Year P&amp;L'!$B$9="","",J22+K21),"")</f>
        <v>101014.93125878846</v>
      </c>
      <c r="L22" s="66">
        <f>IFERROR(IF('3-Year P&amp;L'!$B$9="","",K22+L21),"")</f>
        <v>99900.47248970013</v>
      </c>
      <c r="M22" s="66">
        <f>IFERROR(IF('3-Year P&amp;L'!$B$9="","",L22+M21),"")</f>
        <v>95544.21293286563</v>
      </c>
      <c r="N22" s="28" t="n"/>
      <c r="O22" s="28" t="n"/>
    </row>
    <row r="23">
      <c r="A23" s="28" t="inlineStr">
        <is>
          <t>Minimum balance of the year</t>
        </is>
      </c>
      <c r="B23" s="40">
        <f>IFERROR(IF('3-Year P&amp;L'!$B$9="","",IF(COUNT(B22:M22)=0,"",MIN(B22:M22))),"")</f>
        <v>41591.2184793288</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50427.80714285712</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69789.06825611315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83201.43728069481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63919.568402625795</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135670.6</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2.2</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1.5</v>
      </c>
      <c r="C32" s="28" t="n"/>
      <c r="D32" s="28" t="inlineStr">
        <is>
          <t>The same calculation on what you BUY (smoker trailer, van, upfits, live-fire rig,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35000.0</v>
      </c>
      <c r="C6" s="28" t="n"/>
      <c r="D6" s="28" t="n"/>
      <c r="E6" s="28" t="n"/>
      <c r="F6" s="28" t="n"/>
      <c r="G6" s="28" t="n"/>
      <c r="H6" s="28" t="n"/>
    </row>
    <row r="7">
      <c r="A7" s="28" t="inlineStr">
        <is>
          <t>Loan requested — bank or SBA 7(a) (amortized below)</t>
        </is>
      </c>
      <c r="B7" s="40">
        <f>IFERROR(IF('0. Assumptions'!$B$31="","",'0. Assumptions'!$B$31),"")</f>
        <v>101000.0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136000.0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135670.6</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329.3999999999942</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0.0024279394356625105</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100670.6</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101000.0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20745.95546976015</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101000.0</v>
      </c>
      <c r="C27" s="61">
        <f>IFERROR(IF(OR(1&gt;B22,B27=""),"",B27*B21),"")</f>
        <v>10100.0</v>
      </c>
      <c r="D27" s="61">
        <f>IFERROR(IF(OR(1&gt;B22,B27=""),"",IF(1&lt;=B23,0,MIN(B27,B24-C27))),"")</f>
        <v>10645.955469760149</v>
      </c>
      <c r="E27" s="61">
        <f>IFERROR(IF(C27="","",C27+D27),"")</f>
        <v>20745.95546976015</v>
      </c>
      <c r="F27" s="61">
        <f>IFERROR(IF(D27="","",B27-D27),"")</f>
        <v>90354.04453023986</v>
      </c>
      <c r="G27" s="61">
        <f>IFERROR(IF(E27="","",'3-Year P&amp;L'!$B$41-'3-Year P&amp;L'!$B$46+'3-Year P&amp;L'!$B$36+'3-Year P&amp;L'!$B$37),"")</f>
        <v>50427.80714285712</v>
      </c>
      <c r="H27" s="61">
        <f>IFERROR(IF(OR(E27="",E27=0),"",G27/E27),"")</f>
        <v>2.4307295567255034</v>
      </c>
    </row>
    <row r="28">
      <c r="A28" s="40" t="n">
        <v>2</v>
      </c>
      <c r="B28" s="61">
        <f>IFERROR(IF(OR(2&gt;B22,F27=""),"",F27),"")</f>
        <v>90354.04453023986</v>
      </c>
      <c r="C28" s="61">
        <f>IFERROR(IF(OR(2&gt;B22,B28=""),"",B28*B21),"")</f>
        <v>9035.404453023986</v>
      </c>
      <c r="D28" s="61">
        <f>IFERROR(IF(OR(2&gt;B22,B28=""),"",IF(2&lt;=B23,0,MIN(B28,B24-C28))),"")</f>
        <v>11710.551016736163</v>
      </c>
      <c r="E28" s="61">
        <f>IFERROR(IF(C28="","",C28+D28),"")</f>
        <v>20745.95546976015</v>
      </c>
      <c r="F28" s="61">
        <f>IFERROR(IF(D28="","",B28-D28),"")</f>
        <v>78643.4935135037</v>
      </c>
      <c r="G28" s="61">
        <f>IFERROR(IF(E28="","",'3-Year P&amp;L'!$C$41-'3-Year P&amp;L'!$C$46+'3-Year P&amp;L'!$C$36+'3-Year P&amp;L'!$C$37),"")</f>
        <v>69789.06825611315</v>
      </c>
      <c r="H28" s="61">
        <f>IFERROR(IF(OR(E28="",E28=0),"",G28/E28),"")</f>
        <v>3.3639842887853266</v>
      </c>
    </row>
    <row r="29">
      <c r="A29" s="40" t="n">
        <v>3</v>
      </c>
      <c r="B29" s="61">
        <f>IFERROR(IF(OR(3&gt;B22,F28=""),"",F28),"")</f>
        <v>78643.4935135037</v>
      </c>
      <c r="C29" s="61">
        <f>IFERROR(IF(OR(3&gt;B22,B29=""),"",B29*B21),"")</f>
        <v>7864.34935135037</v>
      </c>
      <c r="D29" s="61">
        <f>IFERROR(IF(OR(3&gt;B22,B29=""),"",IF(3&lt;=B23,0,MIN(B29,B24-C29))),"")</f>
        <v>12881.606118409778</v>
      </c>
      <c r="E29" s="61">
        <f>IFERROR(IF(C29="","",C29+D29),"")</f>
        <v>20745.95546976015</v>
      </c>
      <c r="F29" s="61">
        <f>IFERROR(IF(D29="","",B29-D29),"")</f>
        <v>65761.88739509392</v>
      </c>
      <c r="G29" s="61">
        <f>IFERROR(IF(E29="","",'3-Year P&amp;L'!$D$41-'3-Year P&amp;L'!$D$46+'3-Year P&amp;L'!$D$36+'3-Year P&amp;L'!$D$37),"")</f>
        <v>83201.43728069481</v>
      </c>
      <c r="H29" s="61">
        <f>IFERROR(IF(OR(E29="",E29=0),"",G29/E29),"")</f>
        <v>4.010489533826071</v>
      </c>
    </row>
    <row r="30">
      <c r="A30" s="40" t="n">
        <v>4</v>
      </c>
      <c r="B30" s="61">
        <f>IFERROR(IF(OR(4&gt;B22,F29=""),"",F29),"")</f>
        <v>65761.88739509392</v>
      </c>
      <c r="C30" s="61">
        <f>IFERROR(IF(OR(4&gt;B22,B30=""),"",B30*B21),"")</f>
        <v>6576.188739509392</v>
      </c>
      <c r="D30" s="61">
        <f>IFERROR(IF(OR(4&gt;B22,B30=""),"",IF(4&lt;=B23,0,MIN(B30,B24-C30))),"")</f>
        <v>14169.766730250758</v>
      </c>
      <c r="E30" s="61">
        <f>IFERROR(IF(C30="","",C30+D30),"")</f>
        <v>20745.95546976015</v>
      </c>
      <c r="F30" s="61">
        <f>IFERROR(IF(D30="","",B30-D30),"")</f>
        <v>51592.120664843154</v>
      </c>
      <c r="G30" s="61">
        <f>IFERROR(IF(E30="","",'3-Year P&amp;L'!$D$41-'3-Year P&amp;L'!$D$46+'3-Year P&amp;L'!$D$36+'3-Year P&amp;L'!$D$37),"")</f>
        <v>83201.43728069481</v>
      </c>
      <c r="H30" s="61">
        <f>IFERROR(IF(OR(E30="",E30=0),"",G30/E30),"")</f>
        <v>4.010489533826071</v>
      </c>
    </row>
    <row r="31">
      <c r="A31" s="40" t="n">
        <v>5</v>
      </c>
      <c r="B31" s="61">
        <f>IFERROR(IF(OR(5&gt;B22,F30=""),"",F30),"")</f>
        <v>51592.120664843154</v>
      </c>
      <c r="C31" s="61">
        <f>IFERROR(IF(OR(5&gt;B22,B31=""),"",B31*B21),"")</f>
        <v>5159.212066484316</v>
      </c>
      <c r="D31" s="61">
        <f>IFERROR(IF(OR(5&gt;B22,B31=""),"",IF(5&lt;=B23,0,MIN(B31,B24-C31))),"")</f>
        <v>15586.743403275832</v>
      </c>
      <c r="E31" s="61">
        <f>IFERROR(IF(C31="","",C31+D31),"")</f>
        <v>20745.95546976015</v>
      </c>
      <c r="F31" s="61">
        <f>IFERROR(IF(D31="","",B31-D31),"")</f>
        <v>36005.37726156732</v>
      </c>
      <c r="G31" s="61">
        <f>IFERROR(IF(E31="","",'3-Year P&amp;L'!$D$41-'3-Year P&amp;L'!$D$46+'3-Year P&amp;L'!$D$36+'3-Year P&amp;L'!$D$37),"")</f>
        <v>83201.43728069481</v>
      </c>
      <c r="H31" s="61">
        <f>IFERROR(IF(OR(E31="",E31=0),"",G31/E31),"")</f>
        <v>4.010489533826071</v>
      </c>
    </row>
    <row r="32">
      <c r="A32" s="40" t="n">
        <v>6</v>
      </c>
      <c r="B32" s="61">
        <f>IFERROR(IF(OR(6&gt;B22,F31=""),"",F31),"")</f>
        <v>36005.37726156732</v>
      </c>
      <c r="C32" s="61">
        <f>IFERROR(IF(OR(6&gt;B22,B32=""),"",B32*B21),"")</f>
        <v>3600.5377261567323</v>
      </c>
      <c r="D32" s="61">
        <f>IFERROR(IF(OR(6&gt;B22,B32=""),"",IF(6&lt;=B23,0,MIN(B32,B24-C32))),"")</f>
        <v>17145.417743603415</v>
      </c>
      <c r="E32" s="61">
        <f>IFERROR(IF(C32="","",C32+D32),"")</f>
        <v>20745.95546976015</v>
      </c>
      <c r="F32" s="61">
        <f>IFERROR(IF(D32="","",B32-D32),"")</f>
        <v>18859.959517963907</v>
      </c>
      <c r="G32" s="61">
        <f>IFERROR(IF(E32="","",'3-Year P&amp;L'!$D$41-'3-Year P&amp;L'!$D$46+'3-Year P&amp;L'!$D$36+'3-Year P&amp;L'!$D$37),"")</f>
        <v>83201.43728069481</v>
      </c>
      <c r="H32" s="61">
        <f>IFERROR(IF(OR(E32="",E32=0),"",G32/E32),"")</f>
        <v>4.010489533826071</v>
      </c>
    </row>
    <row r="33">
      <c r="A33" s="40" t="n">
        <v>7</v>
      </c>
      <c r="B33" s="61">
        <f>IFERROR(IF(OR(7&gt;B22,F32=""),"",F32),"")</f>
        <v>18859.959517963907</v>
      </c>
      <c r="C33" s="61">
        <f>IFERROR(IF(OR(7&gt;B22,B33=""),"",B33*B21),"")</f>
        <v>1885.9959517963907</v>
      </c>
      <c r="D33" s="61">
        <f>IFERROR(IF(OR(7&gt;B22,B33=""),"",IF(7&lt;=B23,0,MIN(B33,B24-C33))),"")</f>
        <v>18859.959517963758</v>
      </c>
      <c r="E33" s="61">
        <f>IFERROR(IF(C33="","",C33+D33),"")</f>
        <v>20745.95546976015</v>
      </c>
      <c r="F33" s="61">
        <f>IFERROR(IF(D33="","",B33-D33),"")</f>
        <v>1.4915713109076023e-10</v>
      </c>
      <c r="G33" s="61">
        <f>IFERROR(IF(E33="","",'3-Year P&amp;L'!$D$41-'3-Year P&amp;L'!$D$46+'3-Year P&amp;L'!$D$36+'3-Year P&amp;L'!$D$37),"")</f>
        <v>83201.43728069481</v>
      </c>
      <c r="H33" s="61">
        <f>IFERROR(IF(OR(E33="",E33=0),"",G33/E33),"")</f>
        <v>4.010489533826071</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10100.0</v>
      </c>
      <c r="C44" s="28" t="n"/>
      <c r="D44" s="28" t="n"/>
      <c r="E44" s="28" t="n"/>
      <c r="F44" s="28" t="n"/>
      <c r="G44" s="28" t="n"/>
      <c r="H44" s="28" t="n"/>
    </row>
    <row r="45">
      <c r="A45" s="28" t="inlineStr">
        <is>
          <t>Year-1 principal repaid</t>
        </is>
      </c>
      <c r="B45" s="40">
        <f>IFERROR(IF(B20="","",IF(D27="",0,D27)),"")</f>
        <v>10645.955469760149</v>
      </c>
      <c r="C45" s="28" t="n"/>
      <c r="D45" s="28" t="n"/>
      <c r="E45" s="28" t="n"/>
      <c r="F45" s="28" t="n"/>
      <c r="G45" s="28" t="n"/>
      <c r="H45" s="28" t="n"/>
    </row>
    <row r="46">
      <c r="A46" s="28" t="inlineStr">
        <is>
          <t>Year-2 interest</t>
        </is>
      </c>
      <c r="B46" s="40">
        <f>IFERROR(IF(B20="","",IF(C28="",0,C28)),"")</f>
        <v>9035.404453023986</v>
      </c>
      <c r="C46" s="28" t="n"/>
      <c r="D46" s="28" t="n"/>
      <c r="E46" s="28" t="n"/>
      <c r="F46" s="28" t="n"/>
      <c r="G46" s="28" t="n"/>
      <c r="H46" s="28" t="n"/>
    </row>
    <row r="47">
      <c r="A47" s="28" t="inlineStr">
        <is>
          <t>Year-2 principal repaid</t>
        </is>
      </c>
      <c r="B47" s="40">
        <f>IFERROR(IF(B20="","",IF(D28="",0,D28)),"")</f>
        <v>11710.551016736163</v>
      </c>
      <c r="C47" s="28" t="n"/>
      <c r="D47" s="28" t="n"/>
      <c r="E47" s="28" t="n"/>
      <c r="F47" s="28" t="n"/>
      <c r="G47" s="28" t="n"/>
      <c r="H47" s="28" t="n"/>
    </row>
    <row r="48">
      <c r="A48" s="28" t="inlineStr">
        <is>
          <t>Year-3 interest</t>
        </is>
      </c>
      <c r="B48" s="40">
        <f>IFERROR(IF(B20="","",IF(C29="",0,C29)),"")</f>
        <v>7864.34935135037</v>
      </c>
      <c r="C48" s="28" t="n"/>
      <c r="D48" s="28" t="n"/>
      <c r="E48" s="28" t="n"/>
      <c r="F48" s="28" t="n"/>
      <c r="G48" s="28" t="n"/>
      <c r="H48" s="28" t="n"/>
    </row>
    <row r="49">
      <c r="A49" s="28" t="inlineStr">
        <is>
          <t>Year-3 principal repaid</t>
        </is>
      </c>
      <c r="B49" s="40">
        <f>IFERROR(IF(B20="","",IF(D29="",0,D29)),"")</f>
        <v>12881.606118409778</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2.4307295567255034</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3.3639842887853266</v>
      </c>
      <c r="C52" s="28" t="n"/>
      <c r="D52" s="28" t="n"/>
      <c r="E52" s="28" t="n"/>
      <c r="F52" s="28" t="n"/>
      <c r="G52" s="28" t="n"/>
      <c r="H52" s="28" t="n"/>
    </row>
    <row r="53">
      <c r="A53" s="28" t="inlineStr">
        <is>
          <t>Year-3 DSCR</t>
        </is>
      </c>
      <c r="B53" s="61">
        <f>IFERROR(('3-Year P&amp;L'!$D$41-'3-Year P&amp;L'!$D$46+'3-Year P&amp;L'!$D$36+B48)/(B48+B49),"")</f>
        <v>4.010489533826071</v>
      </c>
      <c r="C53" s="28" t="n"/>
      <c r="D53" s="28" t="n"/>
      <c r="E53" s="28" t="n"/>
      <c r="F53" s="28" t="n"/>
      <c r="G53" s="28" t="n"/>
      <c r="H53" s="28" t="n"/>
    </row>
    <row r="54">
      <c r="A54" s="25" t="inlineStr">
        <is>
          <t>Minimum DSCR across the whole schedule</t>
        </is>
      </c>
      <c r="B54" s="62">
        <f>IFERROR(IF(COUNT(H27:H41)=0,"",MIN(H27:H41)),"")</f>
        <v>2.4307295567255034</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BBQ Catering Financial Projections: 3-Year P&amp;L, Cash Flow &amp; Financing · BBQ Catering Business Plan Kit</dc:title>
  <dc:description xmlns:dc="http://purl.org/dc/elements/1.1/">aichef.pro/en/digital-products/bbq-catering-business-plan</dc:description>
  <dc:subject xmlns:dc="http://purl.org/dc/elements/1.1/">BBQ 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2026-10-24T13:48:02Z</dcterms:modified>
  <cp:lastModifiedBy>AI Chef Pro</cp:lastModifiedBy>
  <cp:category>AI Chef Pro · Digital products</cp:category>
  <cp:keywords>bbq catering business plan, bbq business plan, bbq business plan template, barbecue catering business plan, how to start a bbq catering business, bbq catering prices, smoker trailer, AI Chef Pro</cp:keywords>
</cp:coreProperties>
</file>