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emplado" sheetId="2" state="visible" r:id="rId2"/>
    <sheet xmlns:r="http://schemas.openxmlformats.org/officeDocument/2006/relationships" name="Moldeado" sheetId="3" state="visible" r:id="rId3"/>
  </sheets>
  <definedNames>
    <definedName name="_xlnm.Print_Titles" localSheetId="1">'Templado'!$5:$5</definedName>
    <definedName name="_xlnm.Print_Titles" localSheetId="2">'Moldeado'!$5:$5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F8E1"/>
        <bgColor rgb="00FFF8E1"/>
      </patternFill>
    </fill>
    <fill>
      <patternFill patternType="solid">
        <fgColor rgb="00E0F7FA"/>
        <bgColor rgb="00E0F7FA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02 · Partidas de Producción de Chocolate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Control de producción artesanal: templado, moldeado, bombones, tabletas.</t>
        </is>
      </c>
    </row>
    <row r="6">
      <c r="B6" s="3" t="inlineStr">
        <is>
          <t>▸ Registra lotes, temperaturas y tiempos de cada proceso.</t>
        </is>
      </c>
    </row>
    <row r="7">
      <c r="B7" s="3" t="inlineStr">
        <is>
          <t>▸ Adapta las recetas base a tus fórmulas propias.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Las celdas verdes son editables: responsable, hora, notas.</t>
        </is>
      </c>
    </row>
    <row r="11">
      <c r="B11" s="3" t="inlineStr">
        <is>
          <t>▸ Ajusta temperaturas de templado según tipo de cobertura.</t>
        </is>
      </c>
    </row>
    <row r="12">
      <c r="B12" s="3" t="inlineStr">
        <is>
          <t>▸ Imprime y deja en obrador junto a la temperadora.</t>
        </is>
      </c>
    </row>
    <row r="13"/>
    <row r="14">
      <c r="B14" s="2" t="inlineStr">
        <is>
          <t>Templado y conservación:</t>
        </is>
      </c>
    </row>
    <row r="15">
      <c r="B15" s="3" t="inlineStr">
        <is>
          <t>▸ Antes de templar se comprueba el AIRE del obrador: 18-20 °C y 50-60 % de humedad. Las tres curvas de cobertura de esta hoja sólo funcionan dentro de esa ventana.</t>
        </is>
      </c>
    </row>
    <row r="16">
      <c r="B16" s="3" t="inlineStr">
        <is>
          <t>▸ Al pie de «Moldeado» tienes una tabla editable de vida útil por familia: ajústala a tu fórmula. Está fuera del contador porque es una referencia, no una tarea.</t>
        </is>
      </c>
    </row>
    <row r="17">
      <c r="B17" s="3" t="inlineStr">
        <is>
          <t>▸ El chocolate acabado NO se congela: al descongelar condensa, el agua disuelve el azúcar de la superficie y deja sugar bloom. Sólo el granel de ganache admite congelación.</t>
        </is>
      </c>
    </row>
    <row r="18"/>
    <row r="19">
      <c r="B19" s="3" t="inlineStr">
        <is>
          <t>Diseñado por John Guerrero — chef y consultor gastronómico desde 2010, en cocina desde los 17 años · johnguerrero.es</t>
        </is>
      </c>
    </row>
    <row r="20">
      <c r="B20" s="3" t="inlineStr">
        <is>
          <t>Versión 2.1 · octubre 2026 · aichef.pro/kit-tareas-chocolateria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Control de Templado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Preparación de coberturas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stock de cobertura negra (55-70% cacao)</t>
        </is>
      </c>
      <c r="C6" s="10" t="inlineStr">
        <is>
          <t>Almacén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stock de cobertura con leche (35-40% cacao)</t>
        </is>
      </c>
      <c r="C7" s="10" t="inlineStr">
        <is>
          <t>Almacén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stock de cobertura blanca (28-33% cacao)</t>
        </is>
      </c>
      <c r="C8" s="10" t="inlineStr">
        <is>
          <t>Almacén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Comprobar la temperatura y la humedad del obrador ANTES de templar: objetivo 18-20 °C y 50-60 % de humedad (por encima, la manteca no cristaliza y aparece bloom) — anota la lectura: ____ °C</t>
        </is>
      </c>
      <c r="C9" s="14" t="inlineStr">
        <is>
          <t>Obrador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Pesar cobertura según orden de producción del día</t>
        </is>
      </c>
      <c r="C10" s="14" t="inlineStr">
        <is>
          <t>Obrador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Trocear cobertura y colocar en temperadora</t>
        </is>
      </c>
      <c r="C11" s="14" t="inlineStr">
        <is>
          <t>Templado</t>
        </is>
      </c>
      <c r="D11" s="11" t="n"/>
      <c r="E11" s="12" t="n"/>
      <c r="F11" s="11" t="n"/>
      <c r="G11" s="13" t="n"/>
    </row>
    <row r="12"/>
    <row r="13">
      <c r="A13" s="6" t="inlineStr">
        <is>
          <t>Proceso de templado — Chocolate negro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Fundir a 50-55 °C — registrar temperatura</t>
        </is>
      </c>
      <c r="C15" s="14" t="inlineStr">
        <is>
          <t>Templado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Enfriar a 27-28 °C sobre mármol o por siembra</t>
        </is>
      </c>
      <c r="C16" s="14" t="inlineStr">
        <is>
          <t>Templado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Recalentar a 31-32 °C — punto de trabajo</t>
        </is>
      </c>
      <c r="C17" s="14" t="inlineStr">
        <is>
          <t>Templado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Test de templado en punta de espátula: debe secar en 3-5 min a 20 °C, con brillo, snap seco y contracción en el molde. Si no, volver a fundir y templar — no se moldea «a ver si sale»</t>
        </is>
      </c>
      <c r="C18" s="14" t="inlineStr">
        <is>
          <t>Templado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Registrar lote, hora y temperatura final</t>
        </is>
      </c>
      <c r="C19" s="15" t="inlineStr">
        <is>
          <t>Admin</t>
        </is>
      </c>
      <c r="D19" s="11" t="n"/>
      <c r="E19" s="12" t="n"/>
      <c r="F19" s="11" t="n"/>
      <c r="G19" s="13" t="n"/>
    </row>
    <row r="20"/>
    <row r="21">
      <c r="A21" s="6" t="inlineStr">
        <is>
          <t>Proceso de templado — Chocolate con leche</t>
        </is>
      </c>
    </row>
    <row r="22">
      <c r="A22" s="7" t="inlineStr">
        <is>
          <t>#</t>
        </is>
      </c>
      <c r="B22" s="7" t="inlineStr">
        <is>
          <t>Tarea</t>
        </is>
      </c>
      <c r="C22" s="7" t="inlineStr">
        <is>
          <t>Zona</t>
        </is>
      </c>
      <c r="D22" s="7" t="inlineStr">
        <is>
          <t>Responsable</t>
        </is>
      </c>
      <c r="E22" s="7" t="inlineStr">
        <is>
          <t>✓</t>
        </is>
      </c>
      <c r="F22" s="7" t="inlineStr">
        <is>
          <t>Hora</t>
        </is>
      </c>
      <c r="G22" s="7" t="inlineStr">
        <is>
          <t>Notas</t>
        </is>
      </c>
    </row>
    <row r="23">
      <c r="A23" s="8" t="n">
        <v>1</v>
      </c>
      <c r="B23" s="9" t="inlineStr">
        <is>
          <t>Fundir a 45-50 °C — registrar temperatura</t>
        </is>
      </c>
      <c r="C23" s="14" t="inlineStr">
        <is>
          <t>Templado</t>
        </is>
      </c>
      <c r="D23" s="11" t="n"/>
      <c r="E23" s="12" t="n"/>
      <c r="F23" s="11" t="n"/>
      <c r="G23" s="13" t="n"/>
    </row>
    <row r="24">
      <c r="A24" s="8" t="n">
        <v>2</v>
      </c>
      <c r="B24" s="9" t="inlineStr">
        <is>
          <t>Enfriar a 26-27 °C sobre mármol o por siembra</t>
        </is>
      </c>
      <c r="C24" s="14" t="inlineStr">
        <is>
          <t>Templado</t>
        </is>
      </c>
      <c r="D24" s="11" t="n"/>
      <c r="E24" s="12" t="n"/>
      <c r="F24" s="11" t="n"/>
      <c r="G24" s="13" t="n"/>
    </row>
    <row r="25">
      <c r="A25" s="8" t="n">
        <v>3</v>
      </c>
      <c r="B25" s="9" t="inlineStr">
        <is>
          <t>Recalentar a 29-30 °C — punto de trabajo</t>
        </is>
      </c>
      <c r="C25" s="14" t="inlineStr">
        <is>
          <t>Templado</t>
        </is>
      </c>
      <c r="D25" s="11" t="n"/>
      <c r="E25" s="12" t="n"/>
      <c r="F25" s="11" t="n"/>
      <c r="G25" s="13" t="n"/>
    </row>
    <row r="26">
      <c r="A26" s="8" t="n">
        <v>4</v>
      </c>
      <c r="B26" s="9" t="inlineStr">
        <is>
          <t>Test de templado en capa fina sobre papel: a 18-20 °C debe cristalizar en 3-5 min, con brillo uniforme y sin vetas, partiendo del punto de trabajo de 29-30 °C. Si no, volver a fundir y retemplar — no se moldea «a ver si sale». Registrar el lote, la hora y la temperatura final</t>
        </is>
      </c>
      <c r="C26" s="15" t="inlineStr">
        <is>
          <t>Admin</t>
        </is>
      </c>
      <c r="D26" s="11" t="n"/>
      <c r="E26" s="12" t="n"/>
      <c r="F26" s="11" t="n"/>
      <c r="G26" s="13" t="n"/>
    </row>
    <row r="27"/>
    <row r="28">
      <c r="A28" s="6" t="inlineStr">
        <is>
          <t>Proceso de templado — Chocolate blanco</t>
        </is>
      </c>
    </row>
    <row r="29">
      <c r="A29" s="7" t="inlineStr">
        <is>
          <t>#</t>
        </is>
      </c>
      <c r="B29" s="7" t="inlineStr">
        <is>
          <t>Tarea</t>
        </is>
      </c>
      <c r="C29" s="7" t="inlineStr">
        <is>
          <t>Zona</t>
        </is>
      </c>
      <c r="D29" s="7" t="inlineStr">
        <is>
          <t>Responsable</t>
        </is>
      </c>
      <c r="E29" s="7" t="inlineStr">
        <is>
          <t>✓</t>
        </is>
      </c>
      <c r="F29" s="7" t="inlineStr">
        <is>
          <t>Hora</t>
        </is>
      </c>
      <c r="G29" s="7" t="inlineStr">
        <is>
          <t>Notas</t>
        </is>
      </c>
    </row>
    <row r="30">
      <c r="A30" s="8" t="n">
        <v>1</v>
      </c>
      <c r="B30" s="9" t="inlineStr">
        <is>
          <t>Fundir a 40-45 °C — registrar temperatura</t>
        </is>
      </c>
      <c r="C30" s="14" t="inlineStr">
        <is>
          <t>Templado</t>
        </is>
      </c>
      <c r="D30" s="11" t="n"/>
      <c r="E30" s="12" t="n"/>
      <c r="F30" s="11" t="n"/>
      <c r="G30" s="13" t="n"/>
    </row>
    <row r="31">
      <c r="A31" s="8" t="n">
        <v>2</v>
      </c>
      <c r="B31" s="9" t="inlineStr">
        <is>
          <t>Enfriar a 25-26 °C sobre mármol o por siembra</t>
        </is>
      </c>
      <c r="C31" s="14" t="inlineStr">
        <is>
          <t>Templado</t>
        </is>
      </c>
      <c r="D31" s="11" t="n"/>
      <c r="E31" s="12" t="n"/>
      <c r="F31" s="11" t="n"/>
      <c r="G31" s="13" t="n"/>
    </row>
    <row r="32">
      <c r="A32" s="8" t="n">
        <v>3</v>
      </c>
      <c r="B32" s="9" t="inlineStr">
        <is>
          <t>Recalentar a 28-29 °C — punto de trabajo</t>
        </is>
      </c>
      <c r="C32" s="14" t="inlineStr">
        <is>
          <t>Templado</t>
        </is>
      </c>
      <c r="D32" s="11" t="n"/>
      <c r="E32" s="12" t="n"/>
      <c r="F32" s="11" t="n"/>
      <c r="G32" s="13" t="n"/>
    </row>
    <row r="33">
      <c r="A33" s="8" t="n">
        <v>4</v>
      </c>
      <c r="B33" s="9" t="inlineStr">
        <is>
          <t>Test de templado en capa fina sobre papel: a 18-20 °C debe cristalizar en 3-5 min, con brillo uniforme y sin vetas, partiendo del punto de trabajo de 28-29 °C. Si no, volver a fundir y retemplar — no se moldea «a ver si sale». Registrar el lote, la hora y la temperatura final</t>
        </is>
      </c>
      <c r="C33" s="15" t="inlineStr">
        <is>
          <t>Admin</t>
        </is>
      </c>
      <c r="D33" s="11" t="n"/>
      <c r="E33" s="12" t="n"/>
      <c r="F33" s="11" t="n"/>
      <c r="G33" s="13" t="n"/>
    </row>
    <row r="34">
      <c r="B34" s="18" t="inlineStr">
        <is>
          <t>Tareas completadas:</t>
        </is>
      </c>
      <c r="C34">
        <f>COUNTIFS(B6:B33,"?*",E6:E33,"✓")-COUNTIFS(B6:B33,"Tarea",E6:E33,"✓")</f>
        <v>0.0</v>
      </c>
      <c r="D34" t="inlineStr">
        <is>
          <t>de</t>
        </is>
      </c>
      <c r="E34">
        <f>COUNTIF(B6:B33,"?*")-COUNTIF(B6:B33,"Tarea")-COUNTIF(E6:E33,"N/A")</f>
        <v>19.0</v>
      </c>
    </row>
    <row r="35">
      <c r="A35" s="16" t="inlineStr">
        <is>
          <t>Firma responsable: _________________  Fecha: ___/___/______</t>
        </is>
      </c>
    </row>
    <row r="36">
      <c r="A36" s="16" t="inlineStr">
        <is>
          <t>© 2026 AI Chef Pro · aichef.pro</t>
        </is>
      </c>
    </row>
  </sheetData>
  <mergeCells count="8">
    <mergeCell ref="A28:G28"/>
    <mergeCell ref="A36:G36"/>
    <mergeCell ref="A1:G1"/>
    <mergeCell ref="A4:G4"/>
    <mergeCell ref="A2:G2"/>
    <mergeCell ref="A35:G35"/>
    <mergeCell ref="A21:G21"/>
    <mergeCell ref="A13:G13"/>
  </mergeCells>
  <conditionalFormatting sqref="A6:G33">
    <cfRule type="expression" priority="1" dxfId="0">
      <formula>$E6="✓"</formula>
    </cfRule>
  </conditionalFormatting>
  <dataValidations count="1">
    <dataValidation sqref="E6 E7 E8 E9 E10 E11 E15 E16 E17 E18 E19 E23 E24 E25 E26 E30 E31 E32 E33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Producción: Moldeado y Bombones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Moldeado de bombones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Preparar moldes limpios y a temperatura ambiente (20-22 °C)</t>
        </is>
      </c>
      <c r="C6" s="14" t="inlineStr">
        <is>
          <t>Moldeado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Verter chocolate templado en moldes — golpear para eliminar burbujas</t>
        </is>
      </c>
      <c r="C7" s="14" t="inlineStr">
        <is>
          <t>Moldeado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Vaciar exceso — dejar cáscara uniforme de 2-3mm</t>
        </is>
      </c>
      <c r="C8" s="14" t="inlineStr">
        <is>
          <t>Moldeado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Invertir moldes sobre rejilla y dejar escurrir</t>
        </is>
      </c>
      <c r="C9" s="14" t="inlineStr">
        <is>
          <t>Moldeado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Enfriar en cámara a 12-14 °C durante 10-15 min</t>
        </is>
      </c>
      <c r="C10" s="17" t="inlineStr">
        <is>
          <t>Conservación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Preparar rellenos/ganaches según receta del día</t>
        </is>
      </c>
      <c r="C11" s="14" t="inlineStr">
        <is>
          <t>Obrador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Rellenar bombones al 80% dejando margen para tapa</t>
        </is>
      </c>
      <c r="C12" s="14" t="inlineStr">
        <is>
          <t>Moldeado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Sellar con chocolate templado — alisar con espátula</t>
        </is>
      </c>
      <c r="C13" s="14" t="inlineStr">
        <is>
          <t>Moldeado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Enfriar en cámara 15-20 min hasta contracción</t>
        </is>
      </c>
      <c r="C14" s="17" t="inlineStr">
        <is>
          <t>Conservación</t>
        </is>
      </c>
      <c r="D14" s="11" t="n"/>
      <c r="E14" s="12" t="n"/>
      <c r="F14" s="11" t="n"/>
      <c r="G14" s="13" t="n"/>
    </row>
    <row r="15">
      <c r="A15" s="8" t="n">
        <v>10</v>
      </c>
      <c r="B15" s="9" t="inlineStr">
        <is>
          <t>Desmoldar, verificar brillo y almacenar en bandejas</t>
        </is>
      </c>
      <c r="C15" s="14" t="inlineStr">
        <is>
          <t>Moldeado</t>
        </is>
      </c>
      <c r="D15" s="11" t="n"/>
      <c r="E15" s="12" t="n"/>
      <c r="F15" s="11" t="n"/>
      <c r="G15" s="13" t="n"/>
    </row>
    <row r="16"/>
    <row r="17">
      <c r="A17" s="6" t="inlineStr">
        <is>
          <t>Producción de tabletas</t>
        </is>
      </c>
    </row>
    <row r="18">
      <c r="A18" s="7" t="inlineStr">
        <is>
          <t>#</t>
        </is>
      </c>
      <c r="B18" s="7" t="inlineStr">
        <is>
          <t>Tarea</t>
        </is>
      </c>
      <c r="C18" s="7" t="inlineStr">
        <is>
          <t>Zona</t>
        </is>
      </c>
      <c r="D18" s="7" t="inlineStr">
        <is>
          <t>Responsable</t>
        </is>
      </c>
      <c r="E18" s="7" t="inlineStr">
        <is>
          <t>✓</t>
        </is>
      </c>
      <c r="F18" s="7" t="inlineStr">
        <is>
          <t>Hora</t>
        </is>
      </c>
      <c r="G18" s="7" t="inlineStr">
        <is>
          <t>Notas</t>
        </is>
      </c>
    </row>
    <row r="19">
      <c r="A19" s="8" t="n">
        <v>1</v>
      </c>
      <c r="B19" s="9" t="inlineStr">
        <is>
          <t>Preparar moldes de tableta limpios y atemperados</t>
        </is>
      </c>
      <c r="C19" s="14" t="inlineStr">
        <is>
          <t>Moldeado</t>
        </is>
      </c>
      <c r="D19" s="11" t="n"/>
      <c r="E19" s="12" t="n"/>
      <c r="F19" s="11" t="n"/>
      <c r="G19" s="13" t="n"/>
    </row>
    <row r="20">
      <c r="A20" s="8" t="n">
        <v>2</v>
      </c>
      <c r="B20" s="9" t="inlineStr">
        <is>
          <t>Verter chocolate templado y golpear/vibrar</t>
        </is>
      </c>
      <c r="C20" s="14" t="inlineStr">
        <is>
          <t>Moldeado</t>
        </is>
      </c>
      <c r="D20" s="11" t="n"/>
      <c r="E20" s="12" t="n"/>
      <c r="F20" s="11" t="n"/>
      <c r="G20" s="13" t="n"/>
    </row>
    <row r="21">
      <c r="A21" s="8" t="n">
        <v>3</v>
      </c>
      <c r="B21" s="9" t="inlineStr">
        <is>
          <t>Añadir inclusiones si aplica: frutos secos, frutas, sal</t>
        </is>
      </c>
      <c r="C21" s="14" t="inlineStr">
        <is>
          <t>Moldeado</t>
        </is>
      </c>
      <c r="D21" s="11" t="n"/>
      <c r="E21" s="12" t="n"/>
      <c r="F21" s="11" t="n"/>
      <c r="G21" s="13" t="n"/>
    </row>
    <row r="22">
      <c r="A22" s="8" t="n">
        <v>4</v>
      </c>
      <c r="B22" s="9" t="inlineStr">
        <is>
          <t>Alisar superficie con espátula</t>
        </is>
      </c>
      <c r="C22" s="14" t="inlineStr">
        <is>
          <t>Moldeado</t>
        </is>
      </c>
      <c r="D22" s="11" t="n"/>
      <c r="E22" s="12" t="n"/>
      <c r="F22" s="11" t="n"/>
      <c r="G22" s="13" t="n"/>
    </row>
    <row r="23">
      <c r="A23" s="8" t="n">
        <v>5</v>
      </c>
      <c r="B23" s="9" t="inlineStr">
        <is>
          <t>Enfriar en cámara a 12-14 °C durante 20-30 min</t>
        </is>
      </c>
      <c r="C23" s="17" t="inlineStr">
        <is>
          <t>Conservación</t>
        </is>
      </c>
      <c r="D23" s="11" t="n"/>
      <c r="E23" s="12" t="n"/>
      <c r="F23" s="11" t="n"/>
      <c r="G23" s="13" t="n"/>
    </row>
    <row r="24">
      <c r="A24" s="8" t="n">
        <v>6</v>
      </c>
      <c r="B24" s="9" t="inlineStr">
        <is>
          <t>Desmoldar, verificar acabado y pesar cada tableta</t>
        </is>
      </c>
      <c r="C24" s="14" t="inlineStr">
        <is>
          <t>Moldeado</t>
        </is>
      </c>
      <c r="D24" s="11" t="n"/>
      <c r="E24" s="12" t="n"/>
      <c r="F24" s="11" t="n"/>
      <c r="G24" s="13" t="n"/>
    </row>
    <row r="25">
      <c r="A25" s="8" t="n">
        <v>7</v>
      </c>
      <c r="B25" s="9" t="inlineStr">
        <is>
          <t>Envolver en papel/aluminio y etiquetar: denominación, ingredientes con los alérgenos destacados, peso neto, lote y fecha de consumo preferente</t>
        </is>
      </c>
      <c r="C25" s="14" t="inlineStr">
        <is>
          <t>Envasado</t>
        </is>
      </c>
      <c r="D25" s="11" t="n"/>
      <c r="E25" s="12" t="n"/>
      <c r="F25" s="11" t="n"/>
      <c r="G25" s="13" t="n"/>
    </row>
    <row r="26"/>
    <row r="27">
      <c r="A27" s="6" t="inlineStr">
        <is>
          <t>Control de calidad y registro</t>
        </is>
      </c>
    </row>
    <row r="28">
      <c r="A28" s="7" t="inlineStr">
        <is>
          <t>#</t>
        </is>
      </c>
      <c r="B28" s="7" t="inlineStr">
        <is>
          <t>Tarea</t>
        </is>
      </c>
      <c r="C28" s="7" t="inlineStr">
        <is>
          <t>Zona</t>
        </is>
      </c>
      <c r="D28" s="7" t="inlineStr">
        <is>
          <t>Responsable</t>
        </is>
      </c>
      <c r="E28" s="7" t="inlineStr">
        <is>
          <t>✓</t>
        </is>
      </c>
      <c r="F28" s="7" t="inlineStr">
        <is>
          <t>Hora</t>
        </is>
      </c>
      <c r="G28" s="7" t="inlineStr">
        <is>
          <t>Notas</t>
        </is>
      </c>
    </row>
    <row r="29">
      <c r="A29" s="8" t="n">
        <v>1</v>
      </c>
      <c r="B29" s="9" t="inlineStr">
        <is>
          <t>Verificar brillo, textura y snap de productos</t>
        </is>
      </c>
      <c r="C29" s="14" t="inlineStr">
        <is>
          <t>Obrador</t>
        </is>
      </c>
      <c r="D29" s="11" t="n"/>
      <c r="E29" s="12" t="n"/>
      <c r="F29" s="11" t="n"/>
      <c r="G29" s="13" t="n"/>
    </row>
    <row r="30">
      <c r="A30" s="8" t="n">
        <v>2</v>
      </c>
      <c r="B30" s="9" t="inlineStr">
        <is>
          <t>Registrar lotes de producción: producto, cantidad, fecha</t>
        </is>
      </c>
      <c r="C30" s="15" t="inlineStr">
        <is>
          <t>Admin</t>
        </is>
      </c>
      <c r="D30" s="11" t="n"/>
      <c r="E30" s="12" t="n"/>
      <c r="F30" s="11" t="n"/>
      <c r="G30" s="13" t="n"/>
    </row>
    <row r="31">
      <c r="A31" s="8" t="n">
        <v>3</v>
      </c>
      <c r="B31" s="9" t="inlineStr">
        <is>
          <t>Etiquetar cada lote con fecha de producción y consumo preferente según su familia (tabla al pie de la hoja); la ganache de nata fresca, con fecha de caducidad (art. 24 del Reglamento UE 1169/2011)</t>
        </is>
      </c>
      <c r="C31" s="15" t="inlineStr">
        <is>
          <t>Admin</t>
        </is>
      </c>
      <c r="D31" s="11" t="n"/>
      <c r="E31" s="12" t="n"/>
      <c r="F31" s="11" t="n"/>
      <c r="G31" s="13" t="n"/>
    </row>
    <row r="32">
      <c r="A32" s="8" t="n">
        <v>4</v>
      </c>
      <c r="B32" s="9" t="inlineStr">
        <is>
          <t>Anotar las mermas del día: producto, cantidad y motivo (rotura, mal templado, bloom, prueba). El chocolate sin relleno y sin contaminar se puede refundir; el que lleva ganache o fruta, a residuo</t>
        </is>
      </c>
      <c r="C32" s="15" t="inlineStr">
        <is>
          <t>Admin</t>
        </is>
      </c>
      <c r="D32" s="11" t="n"/>
      <c r="E32" s="12" t="n"/>
      <c r="F32" s="11" t="n"/>
      <c r="G32" s="13" t="n"/>
    </row>
    <row r="33">
      <c r="A33" s="8" t="n">
        <v>5</v>
      </c>
      <c r="B33" s="9" t="inlineStr">
        <is>
          <t>Almacenar el producto terminado a 15-18 °C y 50-60 % de humedad, en oscuridad y lejos de olores fuertes (el cacao los absorbe); la ganache de nata fresca, en cámara a 0-4 °C — anota la lectura: ____ °C</t>
        </is>
      </c>
      <c r="C33" s="17" t="inlineStr">
        <is>
          <t>Conservación</t>
        </is>
      </c>
      <c r="D33" s="11" t="n"/>
      <c r="E33" s="12" t="n"/>
      <c r="F33" s="11" t="n"/>
      <c r="G33" s="13" t="n"/>
    </row>
    <row r="34">
      <c r="B34" s="18" t="inlineStr">
        <is>
          <t>Tareas completadas:</t>
        </is>
      </c>
      <c r="C34">
        <f>COUNTIFS(B6:B33,"?*",E6:E33,"✓")-COUNTIFS(B6:B33,"Tarea",E6:E33,"✓")</f>
        <v>0.0</v>
      </c>
      <c r="D34" t="inlineStr">
        <is>
          <t>de</t>
        </is>
      </c>
      <c r="E34">
        <f>COUNTIF(B6:B33,"?*")-COUNTIF(B6:B33,"Tarea")-COUNTIF(E6:E33,"N/A")</f>
        <v>22.0</v>
      </c>
    </row>
    <row r="35">
      <c r="A35" s="16" t="inlineStr">
        <is>
          <t>Firma responsable: _________________  Fecha: ___/___/______</t>
        </is>
      </c>
    </row>
    <row r="36">
      <c r="A36" s="16" t="n"/>
    </row>
    <row r="37">
      <c r="A37" s="6" t="inlineStr">
        <is>
          <t>VIDA ÚTIL Y CONSERVACIÓN ORIENTATIVAS A 15-18 °C Y 50-60 % DE HUMEDAD — ajústala a tu fórmula y a tu obrador</t>
        </is>
      </c>
    </row>
    <row r="38">
      <c r="A38" s="7" t="n"/>
      <c r="B38" s="7" t="inlineStr">
        <is>
          <t>Familia</t>
        </is>
      </c>
      <c r="C38" s="7" t="inlineStr">
        <is>
          <t>Vida útil</t>
        </is>
      </c>
      <c r="D38" s="7" t="inlineStr">
        <is>
          <t>Notas</t>
        </is>
      </c>
      <c r="E38" s="19" t="n"/>
      <c r="F38" s="19" t="n"/>
      <c r="G38" s="20" t="n"/>
    </row>
    <row r="39">
      <c r="A39" s="8" t="n"/>
      <c r="B39" s="21" t="inlineStr">
        <is>
          <t>Tabletas y chocolate sin relleno</t>
        </is>
      </c>
      <c r="C39" s="22" t="inlineStr">
        <is>
          <t>12-18 meses</t>
        </is>
      </c>
      <c r="D39" s="23" t="inlineStr">
        <is>
          <t>El enemigo no es el tiempo: es la humedad, la luz y los olores. Sellado y en oscuridad</t>
        </is>
      </c>
      <c r="E39" s="19" t="n"/>
      <c r="F39" s="19" t="n"/>
      <c r="G39" s="20" t="n"/>
    </row>
    <row r="40">
      <c r="A40" s="8" t="n"/>
      <c r="B40" s="21" t="inlineStr">
        <is>
          <t>Figuras huecas y piezas macizas</t>
        </is>
      </c>
      <c r="C40" s="22" t="inlineStr">
        <is>
          <t>6-12 meses</t>
        </is>
      </c>
      <c r="D40" s="23" t="inlineStr">
        <is>
          <t>Igual que la tableta, pero la pieza hueca se raja con los cambios bruscos de temperatura</t>
        </is>
      </c>
      <c r="E40" s="19" t="n"/>
      <c r="F40" s="19" t="n"/>
      <c r="G40" s="20" t="n"/>
    </row>
    <row r="41">
      <c r="A41" s="8" t="n"/>
      <c r="B41" s="21" t="inlineStr">
        <is>
          <t>Bombones de ganache con nata fresca</t>
        </is>
      </c>
      <c r="C41" s="22" t="inlineStr">
        <is>
          <t>10-15 días</t>
        </is>
      </c>
      <c r="D41" s="23" t="inlineStr">
        <is>
          <t>Actividad de agua alta: en refrigeración a 0-4 °C y atemperar CERRADOS antes de abrir, o condensan</t>
        </is>
      </c>
      <c r="E41" s="19" t="n"/>
      <c r="F41" s="19" t="n"/>
      <c r="G41" s="20" t="n"/>
    </row>
    <row r="42">
      <c r="A42" s="8" t="n"/>
      <c r="B42" s="21" t="inlineStr">
        <is>
          <t>Bombones de ganache con nata UHT, sorbato o alcohol</t>
        </is>
      </c>
      <c r="C42" s="22" t="inlineStr">
        <is>
          <t>4-8 semanas</t>
        </is>
      </c>
      <c r="D42" s="23" t="inlineStr">
        <is>
          <t>El conservante y el alcohol bajan la actividad de agua; sin ellos no se llega ni a la mitad</t>
        </is>
      </c>
      <c r="E42" s="19" t="n"/>
      <c r="F42" s="19" t="n"/>
      <c r="G42" s="20" t="n"/>
    </row>
    <row r="43">
      <c r="A43" s="8" t="n"/>
      <c r="B43" s="21" t="inlineStr">
        <is>
          <t>Bombones de praliné, gianduja y frutos secos</t>
        </is>
      </c>
      <c r="C43" s="22" t="inlineStr">
        <is>
          <t>2-4 meses</t>
        </is>
      </c>
      <c r="D43" s="23" t="inlineStr">
        <is>
          <t>La grasa del fruto seco se enrancia y el frío no lo evita: manda la fecha, no el aspecto</t>
        </is>
      </c>
      <c r="E43" s="19" t="n"/>
      <c r="F43" s="19" t="n"/>
      <c r="G43" s="20" t="n"/>
    </row>
    <row r="44">
      <c r="A44" s="8" t="n"/>
      <c r="B44" s="21" t="inlineStr">
        <is>
          <t>Trufas y rocas recubiertas</t>
        </is>
      </c>
      <c r="C44" s="22" t="inlineStr">
        <is>
          <t>3-4 semanas</t>
        </is>
      </c>
      <c r="D44" s="23" t="inlineStr">
        <is>
          <t>Si llevan nata o mantequilla, se cuentan como ganache fresca</t>
        </is>
      </c>
      <c r="E44" s="19" t="n"/>
      <c r="F44" s="19" t="n"/>
      <c r="G44" s="20" t="n"/>
    </row>
    <row r="45">
      <c r="A45" s="8" t="n"/>
      <c r="B45" s="21" t="inlineStr">
        <is>
          <t>Bombones de licor y cristalizados</t>
        </is>
      </c>
      <c r="C45" s="22" t="inlineStr">
        <is>
          <t>3-6 meses</t>
        </is>
      </c>
      <c r="D45" s="23" t="inlineStr">
        <is>
          <t>Vigilar la cristalización del azúcar en la cáscara: revienta y gotea</t>
        </is>
      </c>
      <c r="E45" s="19" t="n"/>
      <c r="F45" s="19" t="n"/>
      <c r="G45" s="20" t="n"/>
    </row>
    <row r="46">
      <c r="A46" s="8" t="n"/>
      <c r="B46" s="21" t="inlineStr">
        <is>
          <t>Frutos secos garrapiñados y frutas confitadas bañadas</t>
        </is>
      </c>
      <c r="C46" s="22" t="inlineStr">
        <is>
          <t>1-3 meses</t>
        </is>
      </c>
      <c r="D46" s="23" t="inlineStr">
        <is>
          <t>Se apelmazan con la humedad; envasado hermético con desecante si tu obrador es húmedo</t>
        </is>
      </c>
      <c r="E46" s="19" t="n"/>
      <c r="F46" s="19" t="n"/>
      <c r="G46" s="20" t="n"/>
    </row>
    <row r="47">
      <c r="A47" s="8" t="n"/>
      <c r="B47" s="21" t="inlineStr">
        <is>
          <t>Barquillos y crujientes bañados</t>
        </is>
      </c>
      <c r="C47" s="22" t="inlineStr">
        <is>
          <t>3-4 semanas</t>
        </is>
      </c>
      <c r="D47" s="23" t="inlineStr">
        <is>
          <t>Pierden el crujiente mucho antes que la seguridad: se retiran por calidad</t>
        </is>
      </c>
      <c r="E47" s="19" t="n"/>
      <c r="F47" s="19" t="n"/>
      <c r="G47" s="20" t="n"/>
    </row>
    <row r="48">
      <c r="A48" s="8" t="n"/>
      <c r="B48" s="21" t="inlineStr">
        <is>
          <t>Chocolate acabado: NO congelar</t>
        </is>
      </c>
      <c r="C48" s="22" t="inlineStr">
        <is>
          <t>Nunca</t>
        </is>
      </c>
      <c r="D48" s="23" t="inlineStr">
        <is>
          <t>Al descongelar condensa, el agua disuelve el azúcar de la superficie y deja sugar bloom. Sólo el granel de ganache admite ≤ −18 °C 1-2 meses, descongelado 24 h en cámara y sin abrir</t>
        </is>
      </c>
      <c r="E48" s="19" t="n"/>
      <c r="F48" s="19" t="n"/>
      <c r="G48" s="20" t="n"/>
    </row>
    <row r="49">
      <c r="A49" s="16" t="inlineStr">
        <is>
          <t>© 2026 AI Chef Pro · aichef.pro</t>
        </is>
      </c>
    </row>
  </sheetData>
  <mergeCells count="19">
    <mergeCell ref="D44:G44"/>
    <mergeCell ref="A49:G49"/>
    <mergeCell ref="D38:G38"/>
    <mergeCell ref="A1:G1"/>
    <mergeCell ref="D48:G48"/>
    <mergeCell ref="D41:G41"/>
    <mergeCell ref="A37:G37"/>
    <mergeCell ref="A4:G4"/>
    <mergeCell ref="A2:G2"/>
    <mergeCell ref="D45:G45"/>
    <mergeCell ref="D47:G47"/>
    <mergeCell ref="A17:G17"/>
    <mergeCell ref="D46:G46"/>
    <mergeCell ref="D40:G40"/>
    <mergeCell ref="A27:G27"/>
    <mergeCell ref="A35:G35"/>
    <mergeCell ref="D42:G42"/>
    <mergeCell ref="D39:G39"/>
    <mergeCell ref="D43:G43"/>
  </mergeCells>
  <conditionalFormatting sqref="A6:G33">
    <cfRule type="expression" priority="1" dxfId="0">
      <formula>$E6="✓"</formula>
    </cfRule>
  </conditionalFormatting>
  <dataValidations count="1">
    <dataValidation sqref="E6 E7 E8 E9 E10 E11 E12 E13 E14 E15 E19 E20 E21 E22 E23 E24 E25 E29 E30 E31 E32 E33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02 · Partidas de Producción de Chocolate · Kit de Tareas Recurrentes — Checklists Operativos para Chocolatería / Obrador de Chocolate</dc:title>
  <dc:description xmlns:dc="http://purl.org/dc/elements/1.1/">aichef.pro/kit-tareas-chocolateria</dc:description>
  <dc:subject xmlns:dc="http://purl.org/dc/elements/1.1/">Kit de Tareas Recurrentes — Checklists Operativos para Chocolatería / Obrador de Chocolate · v2.1</dc:subject>
  <dcterms:created xmlns:dcterms="http://purl.org/dc/terms/" xmlns:xsi="http://www.w3.org/2001/XMLSchema-instance" xsi:type="dcterms:W3CDTF">2026-03-23T10:26:56Z</dcterms:created>
  <dcterms:modified xmlns:dcterms="http://purl.org/dc/terms/" xmlns:xsi="http://www.w3.org/2001/XMLSchema-instance" xsi:type="dcterms:W3CDTF">2026-10-03T03:18:08Z</dcterms:modified>
  <cp:lastModifiedBy>AI Chef Pro</cp:lastModifiedBy>
  <cp:category>AI Chef Pro · Productos digitales</cp:category>
  <cp:keywords>kit tareas chocolateria, AI Chef Pro</cp:keywords>
</cp:coreProperties>
</file>