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" sheetId="2" state="visible" r:id="rId2"/>
    <sheet xmlns:r="http://schemas.openxmlformats.org/officeDocument/2006/relationships" name="Cierre" sheetId="3" state="visible" r:id="rId3"/>
  </sheets>
  <definedNames>
    <definedName name="_xlnm.Print_Titles" localSheetId="1">'Apertura'!$5:$5</definedName>
    <definedName name="_xlnm.Print_Titles" localSheetId="2">'Cierre'!$5:$5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de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chocolatería u obrador.</t>
        </is>
      </c>
    </row>
    <row r="6">
      <c r="B6" s="3" t="inlineStr">
        <is>
          <t>▸ Incluye encendido de equipos de templado, vitrinas, montaje de servicio y cierre.</t>
        </is>
      </c>
    </row>
    <row r="7">
      <c r="B7" s="3" t="inlineStr">
        <is>
          <t>▸ Marca ✓ cada tarea completada. Adapta horarios a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  <row r="13"/>
    <row r="14">
      <c r="B14" s="2" t="inlineStr">
        <is>
          <t>Higiene y temperaturas:</t>
        </is>
      </c>
    </row>
    <row r="15">
      <c r="B15" s="3" t="inlineStr">
        <is>
          <t>▸ La primera sección de «Apertura» es de higiene personal y de arranque seguro: extracción primero, comprobación del gas después (si lo tienes) y sólo entonces temperadora, vitrinas y climatización.</t>
        </is>
      </c>
    </row>
    <row r="16">
      <c r="B16" s="3" t="inlineStr">
        <is>
          <t>▸ Las cámaras no se «encienden»: se comprueba que han funcionado toda la noche y se anota la lectura. Objetivos de este oficio: obrador 18-20 °C, conservación 15-18 °C con 50-60 % de humedad, rellenos y ganaches 0-4 °C, vitrina de bombonería 16-18 °C.</t>
        </is>
      </c>
    </row>
    <row r="17">
      <c r="B17" s="3" t="inlineStr">
        <is>
          <t>▸ Por encima de 20 °C la manteca de cacao empieza a fundir: el bombón suda, pierde brillo y en dos días aparece el fat bloom. Es la razón de que la vitrina lleve su propio control.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Higiene personal y arranque seguro del obrador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Uniforme y calzado de trabajo limpios, delantal cambiado y pelo recogido bajo gorro o redecilla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Sin anillos, pulseras, reloj ni pendientes colgantes; uñas cortas, limpias y sin esmalte ni postizos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Lavado de manos con jabón y secado con papel de un solo uso, y otra vez en cada cambio de tarea (el chocolate acabado ya no lleva ningún paso que destruya patógenos)</t>
        </is>
      </c>
      <c r="C8" s="10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Heridas y cortes cubiertos con apósito impermeable de color visible y guante encima</t>
        </is>
      </c>
      <c r="C9" s="10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Quien tenga vómitos, diarrea, fiebre o lesiones cutáneas infectadas NO manipula producto: comunicarlo al encargado y reasignar tarea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la extracción del obrador ANTES que ningún otro equipo</t>
        </is>
      </c>
      <c r="C11" s="10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 el obrador tiene instalación de gas (fogón, marmita o quemador): comprobar que no hay olor, abrir la llave general y sólo después encender los equipos</t>
        </is>
      </c>
      <c r="C12" s="10" t="inlineStr">
        <is>
          <t>Obrador</t>
        </is>
      </c>
      <c r="D12" s="11" t="n"/>
      <c r="E12" s="12" t="n"/>
      <c r="F12" s="11" t="n"/>
      <c r="G12" s="13" t="n"/>
    </row>
    <row r="13">
      <c r="A13" s="6" t="inlineStr">
        <is>
          <t>Encendido y verificación de equipos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Encender temperadora de chocolate y precalentar a 45 °C</t>
        </is>
      </c>
      <c r="C15" s="10" t="inlineStr">
        <is>
          <t>Templado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Comprobar que la cámara de conservación ha funcionado toda la noche (sin cortes ni alarmas) y registrar la temperatura: objetivo 15-18 °C y 50-60 % de humedad — anota la lectura: ____ °C</t>
        </is>
      </c>
      <c r="C16" s="14" t="inlineStr">
        <is>
          <t>Conservación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Comprobar que la nevera de rellenos y ganaches ha funcionado toda la noche y registrar la temperatura: objetivo 0-4 °C — anota la lectura: ____ °C</t>
        </is>
      </c>
      <c r="C17" s="14" t="inlineStr">
        <is>
          <t>Cámara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Encender iluminación de vitrina y sala de tienda</t>
        </is>
      </c>
      <c r="C18" s="15" t="inlineStr">
        <is>
          <t>Vitrina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Comprobar que la vitrina de bombonería mantiene 16-18 °C y no condensa antes de montar el género (por encima de 20 °C la manteca de cacao funde y el bombón pierde brillo) — anota la lectura: ____ °C</t>
        </is>
      </c>
      <c r="C19" s="15" t="inlineStr">
        <is>
          <t>Vitrina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Encender aire acondicionado — mantener sala 20-22 °C</t>
        </is>
      </c>
      <c r="C20" s="16" t="inlineStr">
        <is>
          <t>Tienda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Registrar las temperaturas de obrador, cámara y nevera: si tienes el Pack APPCC, en su hoja de temperaturas; si no, aquí mismo en «Notas»</t>
        </is>
      </c>
      <c r="C21" s="17" t="inlineStr">
        <is>
          <t>Admin</t>
        </is>
      </c>
      <c r="D21" s="11" t="n"/>
      <c r="E21" s="12" t="n"/>
      <c r="F21" s="11" t="n"/>
      <c r="G21" s="13" t="n"/>
    </row>
    <row r="22"/>
    <row r="23">
      <c r="A23" s="6" t="inlineStr">
        <is>
          <t>Montaje de servicio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Montar vitrina: bombones, tabletas, figuras, trufas</t>
        </is>
      </c>
      <c r="C25" s="15" t="inlineStr">
        <is>
          <t>Vitrina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Verificar el etiquetado de cada producto expuesto: denominación, precio (y precio por kilo si se vende al peso) y los alérgenos declarados — leche, frutos secos, soja, gluten, huevo y sésamo— más las trazas</t>
        </is>
      </c>
      <c r="C26" s="15" t="inlineStr">
        <is>
          <t>Vitrina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Reponer bolsas, cajas regalo, papel de seda, cintas</t>
        </is>
      </c>
      <c r="C27" s="18" t="inlineStr">
        <is>
          <t>Packaging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Verificar stock de cajas de bombones surtidos</t>
        </is>
      </c>
      <c r="C28" s="18" t="inlineStr">
        <is>
          <t>Packaging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Preparar zona de degustación con muestras del día</t>
        </is>
      </c>
      <c r="C29" s="16" t="inlineStr">
        <is>
          <t>Mostrador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Comprobar que el TPV está activo y que el fondo de caja ya se ha contado y anotado antes de abrir la puerta: el recuento no se repite aquí, se hace en «Apertura de Caja» del fichero 09 (hito en 08/09)</t>
        </is>
      </c>
      <c r="C30" s="16" t="inlineStr">
        <is>
          <t>Caja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Colocar pizarra con novedades y productos destacados</t>
        </is>
      </c>
      <c r="C31" s="16" t="inlineStr">
        <is>
          <t>Tienda</t>
        </is>
      </c>
      <c r="D31" s="11" t="n"/>
      <c r="E31" s="12" t="n"/>
      <c r="F31" s="11" t="n"/>
      <c r="G31" s="13" t="n"/>
    </row>
    <row r="32"/>
    <row r="33">
      <c r="A33" s="6" t="inlineStr">
        <is>
          <t>Verificaciones finales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Comprobar que música ambiental funciona</t>
        </is>
      </c>
      <c r="C35" s="16" t="inlineStr">
        <is>
          <t>Tienda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Verificar limpieza de cristales de vitrina</t>
        </is>
      </c>
      <c r="C36" s="15" t="inlineStr">
        <is>
          <t>Vitrina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Confirmar pedidos online pendientes de preparar</t>
        </is>
      </c>
      <c r="C37" s="17" t="inlineStr">
        <is>
          <t>Admin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Revisar agenda: pedidos especiales, eventos, encargos</t>
        </is>
      </c>
      <c r="C38" s="17" t="inlineStr">
        <is>
          <t>Admin</t>
        </is>
      </c>
      <c r="D38" s="11" t="n"/>
      <c r="E38" s="12" t="n"/>
      <c r="F38" s="11" t="n"/>
      <c r="G38" s="13" t="n"/>
    </row>
    <row r="39">
      <c r="B39" s="23" t="inlineStr">
        <is>
          <t>Tareas completadas:</t>
        </is>
      </c>
      <c r="C39">
        <f>COUNTIFS(B6:B38,"?*",E6:E38,"✓")-COUNTIFS(B6:B38,"Tarea",E6:E38,"✓")</f>
        <v>0.0</v>
      </c>
      <c r="D39" t="inlineStr">
        <is>
          <t>de</t>
        </is>
      </c>
      <c r="E39">
        <f>COUNTIF(B6:B38,"?*")-COUNTIF(B6:B38,"Tarea")-COUNTIF(E6:E38,"N/A")</f>
        <v>25.0</v>
      </c>
    </row>
    <row r="40">
      <c r="A40" s="19" t="inlineStr">
        <is>
          <t>Firma responsable: _________________  Fecha: ___/___/______</t>
        </is>
      </c>
    </row>
    <row r="41">
      <c r="A41" s="19" t="inlineStr">
        <is>
          <t>© 2026 AI Chef Pro · aichef.pro</t>
        </is>
      </c>
    </row>
  </sheetData>
  <mergeCells count="8">
    <mergeCell ref="A4:G4"/>
    <mergeCell ref="A33:G33"/>
    <mergeCell ref="A1:G1"/>
    <mergeCell ref="A2:G2"/>
    <mergeCell ref="A41:G41"/>
    <mergeCell ref="A23:G23"/>
    <mergeCell ref="A40:G40"/>
    <mergeCell ref="A13:G13"/>
  </mergeCells>
  <conditionalFormatting sqref="A6:G38">
    <cfRule type="expression" priority="1" dxfId="0">
      <formula>$E6="✓"</formula>
    </cfRule>
  </conditionalFormatting>
  <dataValidations count="1">
    <dataValidation sqref="E6 E7 E8 E9 E10 E11 E12 E15 E16 E17 E18 E19 E20 E21 E25 E26 E27 E28 E29 E30 E31 E35 E36 E37 E3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Chocolatería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Cierre de tienda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Retirar productos de vitrina y guardar en conservación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Cubrir bombones que queden expuestos con film</t>
        </is>
      </c>
      <c r="C7" s="15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que el arqueo del día ha quedado cerrado y firmado y las ventas registradas: el cuadre no se repite aquí, se hace en «Cierre de Caja» del fichero 09 (hito en 08/09)</t>
        </is>
      </c>
      <c r="C8" s="16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que el TPV y el terminal de pago quedan cerrados DESPUÉS del arqueo, nunca antes: el cierre de terminal se manda en «Cierre del Negocio» del fichero 08 (hito en 08/09)</t>
        </is>
      </c>
      <c r="C9" s="16" t="inlineStr">
        <is>
          <t>Caja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Limpiar mostradores y cristales de vitrina</t>
        </is>
      </c>
      <c r="C10" s="16" t="inlineStr">
        <is>
          <t>Mostrador</t>
        </is>
      </c>
      <c r="D10" s="11" t="n"/>
      <c r="E10" s="12" t="n"/>
      <c r="F10" s="11" t="n"/>
      <c r="G10" s="13" t="n"/>
    </row>
    <row r="11"/>
    <row r="12">
      <c r="A12" s="6" t="inlineStr">
        <is>
          <t>Cierre de obrador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secar temperadora de chocolate</t>
        </is>
      </c>
      <c r="C14" s="10" t="inlineStr">
        <is>
          <t>Templado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Limpiar moldes usados y dejar secando</t>
        </is>
      </c>
      <c r="C15" s="10" t="inlineStr">
        <is>
          <t>Moldeado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Guardar coberturas abiertas en recipientes herméticos</t>
        </is>
      </c>
      <c r="C16" s="20" t="inlineStr">
        <is>
          <t>Almacén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Comprobar y registrar las temperaturas antes de cerrar: cámara de conservación 15-18 °C y nevera de rellenos 0-4 °C — anota las lecturas: ____ °C / ____ °C</t>
        </is>
      </c>
      <c r="C17" s="14" t="inlineStr">
        <is>
          <t>Conservación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Limpiar superficies de mármol/granito de obrador</t>
        </is>
      </c>
      <c r="C18" s="10" t="inlineStr">
        <is>
          <t>Obrador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Anotar las mermas del día: producto, cantidad y motivo (rotura, mal templado, bloom, caducidad, degustación o prueba)</t>
        </is>
      </c>
      <c r="C19" s="17" t="inlineStr">
        <is>
          <t>Admin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Barrer y fregar suelo de obrador</t>
        </is>
      </c>
      <c r="C20" s="21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Seguridad y cierre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Apagar equipos excepto cámaras y neveras</t>
        </is>
      </c>
      <c r="C24" s="22" t="inlineStr">
        <is>
          <t>General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Cerrar la llave general de gas si el obrador la tiene y verificar que agua y luces quedan apagadas</t>
        </is>
      </c>
      <c r="C25" s="22" t="inlineStr">
        <is>
          <t>General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Sacar basura y reciclar cartón/plástico</t>
        </is>
      </c>
      <c r="C26" s="21" t="inlineStr">
        <is>
          <t>Limpieza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Activar alarma y cerrar con llave</t>
        </is>
      </c>
      <c r="C27" s="22" t="inlineStr">
        <is>
          <t>General</t>
        </is>
      </c>
      <c r="D27" s="11" t="n"/>
      <c r="E27" s="12" t="n"/>
      <c r="F27" s="11" t="n"/>
      <c r="G27" s="13" t="n"/>
    </row>
    <row r="28">
      <c r="B28" s="23" t="inlineStr">
        <is>
          <t>Tareas completadas:</t>
        </is>
      </c>
      <c r="C28">
        <f>COUNTIFS(B6:B27,"?*",E6:E27,"✓")-COUNTIFS(B6:B27,"Tarea",E6:E27,"✓")</f>
        <v>0.0</v>
      </c>
      <c r="D28" t="inlineStr">
        <is>
          <t>de</t>
        </is>
      </c>
      <c r="E28">
        <f>COUNTIF(B6:B27,"?*")-COUNTIF(B6:B27,"Tarea")-COUNTIF(E6:E27,"N/A")</f>
        <v>16.0</v>
      </c>
    </row>
    <row r="29">
      <c r="A29" s="19" t="inlineStr">
        <is>
          <t>Firma responsable: _________________  Fecha: ___/___/______</t>
        </is>
      </c>
    </row>
    <row r="30">
      <c r="A30" s="19" t="inlineStr">
        <is>
          <t>© 2026 AI Chef Pro · aichef.pro</t>
        </is>
      </c>
    </row>
  </sheetData>
  <mergeCells count="7">
    <mergeCell ref="A12:G12"/>
    <mergeCell ref="A4:G4"/>
    <mergeCell ref="A1:G1"/>
    <mergeCell ref="A2:G2"/>
    <mergeCell ref="A30:G30"/>
    <mergeCell ref="A29:G29"/>
    <mergeCell ref="A22:G22"/>
  </mergeCells>
  <conditionalFormatting sqref="A6:G27">
    <cfRule type="expression" priority="1" dxfId="0">
      <formula>$E6="✓"</formula>
    </cfRule>
  </conditionalFormatting>
  <dataValidations count="1">
    <dataValidation sqref="E6 E7 E8 E9 E10 E14 E15 E16 E17 E18 E19 E20 E24 E25 E26 E2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de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