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ily Inventory" sheetId="2" state="visible" r:id="rId2"/>
    <sheet xmlns:r="http://schemas.openxmlformats.org/officeDocument/2006/relationships" name="Weekly Inventory" sheetId="3" state="visible" r:id="rId3"/>
    <sheet xmlns:r="http://schemas.openxmlformats.org/officeDocument/2006/relationships" name="Weekly Deep Clean" sheetId="4" state="visible" r:id="rId4"/>
    <sheet xmlns:r="http://schemas.openxmlformats.org/officeDocument/2006/relationships" name="Weekly FIFO Check" sheetId="5" state="visible" r:id="rId5"/>
    <sheet xmlns:r="http://schemas.openxmlformats.org/officeDocument/2006/relationships" name="Monthly Maintenance" sheetId="6" state="visible" r:id="rId6"/>
    <sheet xmlns:r="http://schemas.openxmlformats.org/officeDocument/2006/relationships" name="Quarterly &amp; Annual" sheetId="7" state="visible" r:id="rId7"/>
  </sheets>
  <definedNames>
    <definedName name="_xlnm.Print_Area" localSheetId="0">'Instructions'!$A$1:$B$39</definedName>
    <definedName name="_xlnm.Print_Titles" localSheetId="1">'Daily Inventory'!$4:$4</definedName>
    <definedName name="_xlnm.Print_Area" localSheetId="1">'Daily Inventory'!$A$1:$F$48</definedName>
    <definedName name="_xlnm.Print_Titles" localSheetId="2">'Weekly Inventory'!$4:$4</definedName>
    <definedName name="_xlnm.Print_Area" localSheetId="2">'Weekly Inventory'!$A$1:$F$58</definedName>
    <definedName name="_xlnm.Print_Titles" localSheetId="3">'Weekly Deep Clean'!$4:$4</definedName>
    <definedName name="_xlnm.Print_Area" localSheetId="3">'Weekly Deep Clean'!$A$1:$G$35</definedName>
    <definedName name="_xlnm.Print_Titles" localSheetId="4">'Weekly FIFO Check'!$4:$4</definedName>
    <definedName name="_xlnm.Print_Area" localSheetId="4">'Weekly FIFO Check'!$A$1:$G$45</definedName>
    <definedName name="_xlnm.Print_Titles" localSheetId="5">'Monthly Maintenance'!$4:$4</definedName>
    <definedName name="_xlnm.Print_Area" localSheetId="5">'Monthly Maintenance'!$A$1:$G$34</definedName>
    <definedName name="_xlnm.Print_Titles" localSheetId="6">'Quarterly &amp; Annual'!$4:$4</definedName>
    <definedName name="_xlnm.Print_Area" localSheetId="6">'Quarterly &amp; Annual'!$A$1:$G$34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"/>
  </numFmts>
  <fonts count="18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color rgb="00333333"/>
      <sz val="10"/>
    </font>
    <font>
      <name val="Calibri"/>
      <b val="1"/>
      <color rgb="001A1A1A"/>
      <sz val="10"/>
    </font>
    <font>
      <color rgb="00666666"/>
      <sz val="9"/>
    </font>
    <font>
      <name val="Calibri"/>
      <b val="1"/>
      <color rgb="00FFFFFF"/>
      <sz val="9"/>
    </font>
    <font>
      <name val="Calibri"/>
      <sz val="10"/>
    </font>
    <font>
      <b val="1"/>
      <sz val="9"/>
    </font>
    <font>
      <name val="Calibri"/>
      <i val="1"/>
      <color rgb="00888888"/>
      <sz val="8"/>
    </font>
    <font>
      <color rgb="00999999"/>
      <sz val="9"/>
    </font>
    <font>
      <sz val="9"/>
    </font>
    <font>
      <b val="1"/>
      <sz val="10"/>
    </font>
    <font>
      <b val="1"/>
      <color rgb="00228B22"/>
      <sz val="10"/>
    </font>
    <font>
      <name val="Calibri"/>
      <color rgb="00666666"/>
      <sz val="9"/>
    </font>
    <font>
      <name val="Calibri"/>
      <color rgb="00666666"/>
      <sz val="10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7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8DC"/>
        <bgColor rgb="00FFF8DC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3" fillId="3" borderId="0" pivotButton="0" quotePrefix="0" xfId="0"/>
    <xf numFmtId="0" fontId="6" fillId="4" borderId="1" pivotButton="0" quotePrefix="0" xfId="0"/>
    <xf numFmtId="0" fontId="4" fillId="4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0" fillId="4" borderId="1" pivotButton="0" quotePrefix="0" xfId="0"/>
    <xf numFmtId="0" fontId="6" fillId="5" borderId="1" pivotButton="0" quotePrefix="0" xfId="0"/>
    <xf numFmtId="0" fontId="4" fillId="5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0" fillId="5" borderId="1" pivotButton="0" quotePrefix="0" xfId="0"/>
    <xf numFmtId="0" fontId="8" fillId="0" borderId="0" applyAlignment="1" pivotButton="0" quotePrefix="0" xfId="0">
      <alignment horizontal="center"/>
    </xf>
    <xf numFmtId="0" fontId="9" fillId="4" borderId="1" applyAlignment="1" pivotButton="0" quotePrefix="0" xfId="0">
      <alignment horizontal="center"/>
    </xf>
    <xf numFmtId="164" fontId="10" fillId="4" borderId="1" pivotButton="0" quotePrefix="0" xfId="0"/>
    <xf numFmtId="0" fontId="9" fillId="5" borderId="1" applyAlignment="1" pivotButton="0" quotePrefix="0" xfId="0">
      <alignment horizontal="center"/>
    </xf>
    <xf numFmtId="164" fontId="10" fillId="5" borderId="1" pivotButton="0" quotePrefix="0" xfId="0"/>
    <xf numFmtId="0" fontId="11" fillId="0" borderId="0" pivotButton="0" quotePrefix="0" xfId="0"/>
    <xf numFmtId="164" fontId="12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3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vertical="center"/>
    </xf>
    <xf numFmtId="0" fontId="6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12" fillId="0" borderId="0" pivotButton="0" quotePrefix="0" xfId="0"/>
    <xf numFmtId="0" fontId="14" fillId="4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5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17" fillId="0" borderId="0" applyAlignment="1" pivotButton="0" quotePrefix="0" xfId="0">
      <alignment vertical="top" wrapText="1"/>
    </xf>
    <xf numFmtId="0" fontId="3" fillId="3" borderId="0" applyAlignment="1" applyProtection="1" pivotButton="0" quotePrefix="0" xfId="0">
      <alignment vertical="center"/>
      <protection locked="0" hidden="0"/>
    </xf>
    <xf numFmtId="0" fontId="0" fillId="0" borderId="0" applyProtection="1" pivotButton="0" quotePrefix="0" xfId="0">
      <protection locked="0" hidden="0"/>
    </xf>
    <xf numFmtId="0" fontId="14" fillId="4" borderId="1" applyAlignment="1" applyProtection="1" pivotButton="0" quotePrefix="0" xfId="0">
      <alignment horizontal="center" vertical="center"/>
      <protection locked="0" hidden="0"/>
    </xf>
    <xf numFmtId="0" fontId="6" fillId="4" borderId="1" applyProtection="1" pivotButton="0" quotePrefix="0" xfId="0">
      <protection locked="0" hidden="0"/>
    </xf>
    <xf numFmtId="0" fontId="4" fillId="6" borderId="1" applyAlignment="1" applyProtection="1" pivotButton="0" quotePrefix="0" xfId="0">
      <alignment horizontal="center"/>
      <protection locked="0" hidden="0"/>
    </xf>
    <xf numFmtId="0" fontId="0" fillId="6" borderId="1" applyProtection="1" pivotButton="0" quotePrefix="0" xfId="0">
      <protection locked="0" hidden="0"/>
    </xf>
    <xf numFmtId="0" fontId="14" fillId="5" borderId="1" applyAlignment="1" applyProtection="1" pivotButton="0" quotePrefix="0" xfId="0">
      <alignment horizontal="center" vertical="center"/>
      <protection locked="0" hidden="0"/>
    </xf>
    <xf numFmtId="0" fontId="6" fillId="5" borderId="1" applyProtection="1" pivotButton="0" quotePrefix="0" xfId="0">
      <protection locked="0" hidden="0"/>
    </xf>
    <xf numFmtId="0" fontId="14" fillId="6" borderId="1" applyAlignment="1" applyProtection="1" pivotButton="0" quotePrefix="0" xfId="0">
      <alignment horizontal="center" vertical="center"/>
      <protection locked="0" hidden="0"/>
    </xf>
    <xf numFmtId="0" fontId="6" fillId="6" borderId="1" applyProtection="1" pivotButton="0" quotePrefix="0" xfId="0"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6" fillId="5" borderId="1" applyAlignment="1" pivotButton="0" quotePrefix="0" xfId="0">
      <alignment wrapText="1"/>
    </xf>
    <xf numFmtId="4" fontId="10" fillId="4" borderId="1" pivotButton="0" quotePrefix="0" xfId="0"/>
    <xf numFmtId="4" fontId="10" fillId="5" borderId="1" pivotButton="0" quotePrefix="0" xfId="0"/>
    <xf numFmtId="4" fontId="12" fillId="0" borderId="0" pivotButton="0" quotePrefix="0" xfId="0"/>
    <xf numFmtId="0" fontId="6" fillId="5" borderId="1" applyAlignment="1" applyProtection="1" pivotButton="0" quotePrefix="0" xfId="0">
      <alignment wrapText="1"/>
      <protection locked="0" hidden="0"/>
    </xf>
    <xf numFmtId="0" fontId="6" fillId="4" borderId="1" applyAlignment="1" applyProtection="1" pivotButton="0" quotePrefix="0" xfId="0">
      <alignment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39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26" customHeight="1">
      <c r="B2" s="31" t="inlineStr">
        <is>
          <t>05 · Cafe Cleaning Checklist, Inventory &amp; Maintenance Schedule</t>
        </is>
      </c>
    </row>
    <row r="4" ht="18" customHeight="1">
      <c r="B4" s="32" t="inlineStr">
        <is>
          <t>Quarterly, annual and freezer shelf life</t>
        </is>
      </c>
    </row>
    <row r="6" ht="48" customHeight="1">
      <c r="B6" s="33" t="inlineStr">
        <is>
          <t>▸ The "Quarterly &amp; Annual" sheet covers the maintenance you CONTRACT OUT and are asked for in an inspection: pest control, hood and exhaust cleaning, fire extinguishers, gas, Legionella (water program), the espresso machine's water filter and service, insurance and POS / sales tax.</t>
        </is>
      </c>
    </row>
    <row r="7" ht="32" customHeight="1">
      <c r="B7" s="33" t="inlineStr">
        <is>
          <t>▸ Write the service report number in the green column and initial it once the company has been; the last task on the sheet is to log the date of the next visit.</t>
        </is>
      </c>
    </row>
    <row r="8" ht="47" customHeight="1">
      <c r="B8" s="33" t="inlineStr">
        <is>
          <t>▸ At the bottom of "Weekly FIFO Check" there is an editable table of freezer shelf life by food group: one single rule for the whole freezer either throws out good product or lets old product slip through.</t>
        </is>
      </c>
    </row>
    <row r="10" ht="18" customHeight="1">
      <c r="B10" s="32" t="inlineStr">
        <is>
          <t>How the counter works</t>
        </is>
      </c>
    </row>
    <row r="12" ht="32" customHeight="1">
      <c r="B12" s="33" t="inlineStr">
        <is>
          <t>▸ Mark ✓ in the "✓ Done" column (dropdown): that is the column that counts completed tasks.</t>
        </is>
      </c>
    </row>
    <row r="13" ht="32" customHeight="1">
      <c r="B13" s="33" t="inlineStr">
        <is>
          <t>▸ "N/A" = not applicable at your cafe: that task comes OUT of the total (don't delete it, mark it N/A). "—" = not done: it still counts as pending and lowers the percentage, which is the point.</t>
        </is>
      </c>
    </row>
    <row r="14" ht="32" customHeight="1">
      <c r="B14" s="33" t="inlineStr">
        <is>
          <t>▸ The denominator counts the tasks written in the "Task" column, not a fixed number: if you add or delete tasks, the total adjusts by itself.</t>
        </is>
      </c>
    </row>
    <row r="16" ht="18" customHeight="1">
      <c r="B16" s="32" t="inlineStr">
        <is>
          <t>Free rows</t>
        </is>
      </c>
    </row>
    <row r="18" ht="32" customHeight="1">
      <c r="B18" s="33" t="inlineStr">
        <is>
          <t>▸ At the end of each table there are 5 free green rows INSIDE the range the counter covers: write your own tasks there.</t>
        </is>
      </c>
    </row>
    <row r="19" ht="32" customHeight="1">
      <c r="B19" s="33" t="inlineStr">
        <is>
          <t>▸ If you need more, insert rows INSIDE the table (right-click → Insert), never below the last one: anything typed outside the range is not counted.</t>
        </is>
      </c>
    </row>
    <row r="21" ht="18" customHeight="1">
      <c r="B21" s="32" t="inlineStr">
        <is>
          <t>Sheet protection</t>
        </is>
      </c>
    </row>
    <row r="23" ht="47" customHeight="1">
      <c r="B23" s="33" t="inlineStr">
        <is>
          <t>▸ Checklist sheets with formulas are protected WITHOUT a password: the input cells (the green ones) are unlocked. The two inventory sheets are left unprotected so you can add products: don't type over the Status or Total value columns.</t>
        </is>
      </c>
    </row>
    <row r="24" ht="32" customHeight="1">
      <c r="B24" s="33" t="inlineStr">
        <is>
          <t>▸ You can insert and delete rows with protection on. To change the structure: Review → Unprotect Sheet.</t>
        </is>
      </c>
    </row>
    <row r="26" ht="18" customHeight="1">
      <c r="B26" s="32" t="inlineStr">
        <is>
          <t>Works with</t>
        </is>
      </c>
    </row>
    <row r="28" ht="31" customHeight="1">
      <c r="B28" s="33" t="inlineStr">
        <is>
          <t>▸ 08-cafe-opening-closing-checklist.xlsx — checklist for the WHOLE SHOP: it is the BACKBONE of the day.</t>
        </is>
      </c>
    </row>
    <row r="29" ht="31" customHeight="1">
      <c r="B29" s="33" t="inlineStr">
        <is>
          <t>▸ 01-coffee-shop-opening-closing-checklists.xlsx — the same day with the DETAIL by area (kitchen, FOH, espresso bar).</t>
        </is>
      </c>
    </row>
    <row r="30" ht="31" customHeight="1">
      <c r="B30" s="33" t="inlineStr">
        <is>
          <t>▸ 09-cash-drawer-opening-closing.xlsx — the CASH: starting bank, count by denomination, POS Z report and over/short.</t>
        </is>
      </c>
    </row>
    <row r="31" ht="63" customHeight="1">
      <c r="B31" s="33" t="inlineStr">
        <is>
          <t>▸ Order of use: cafe → areas → cash. Each file covers one level: the cafe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32" ht="47" customHeight="1">
      <c r="B32" s="33" t="inlineStr">
        <is>
          <t>▸ You are in 05-cafe-cleaning-checklist-inventory-maintenance.xlsx: what is NOT daily (weekly, monthly, quarterly and annual). The day-to-day is in 08-cafe-opening-closing-checklist.xlsx and 01-coffee-shop-opening-closing-checklists.xlsx.</t>
        </is>
      </c>
    </row>
    <row r="34" ht="18" customHeight="1">
      <c r="B34" s="32" t="inlineStr">
        <is>
          <t>— Coffee Shop Checklists Kit Pro · AI Chef Pro · aichef.pro</t>
        </is>
      </c>
    </row>
    <row r="36" ht="35" customHeight="1">
      <c r="B36" s="32" t="inlineStr">
        <is>
          <t>Designed by John Guerrero — chef and restaurant consultant since 2010, in professional kitchens since age 17 · johnguerrero.es</t>
        </is>
      </c>
    </row>
    <row r="37" ht="18" customHeight="1">
      <c r="B37" s="32" t="inlineStr">
        <is>
          <t>Contact: info@aichef.pro</t>
        </is>
      </c>
    </row>
    <row r="39" ht="34.5" customHeight="1">
      <c r="B39" s="32" t="inlineStr">
        <is>
          <t>Version 2.0 · October 2026 · aichef.pro/en/digital-products/coffee-shop-checklist-templates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6600"/>
    <outlinePr summaryBelow="1" summaryRight="1"/>
    <pageSetUpPr fitToPage="1"/>
  </sheetPr>
  <dimension ref="A1:F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4" customWidth="1" min="5" max="5"/>
    <col width="20" customWidth="1" min="6" max="6"/>
  </cols>
  <sheetData>
    <row r="1" ht="30" customHeight="1">
      <c r="A1" s="1" t="inlineStr">
        <is>
          <t>Daily Station Inventory — Immediate Stock</t>
        </is>
      </c>
    </row>
    <row r="2">
      <c r="A2" s="4" t="inlineStr">
        <is>
          <t>Date: ___/___/______    Shift: ☐ AM  ☐ PM    Assigned to: ________________</t>
        </is>
      </c>
    </row>
    <row r="4">
      <c r="A4" s="5" t="inlineStr">
        <is>
          <t>Product</t>
        </is>
      </c>
      <c r="B4" s="5" t="inlineStr">
        <is>
          <t>On hand</t>
        </is>
      </c>
      <c r="C4" s="5" t="inlineStr">
        <is>
          <t>Unit</t>
        </is>
      </c>
      <c r="D4" s="5" t="inlineStr">
        <is>
          <t>Par</t>
        </is>
      </c>
      <c r="E4" s="5" t="inlineStr">
        <is>
          <t>Status</t>
        </is>
      </c>
      <c r="F4" s="5" t="inlineStr">
        <is>
          <t>Notes / Order</t>
        </is>
      </c>
    </row>
    <row r="5">
      <c r="A5" s="6" t="inlineStr">
        <is>
          <t xml:space="preserve">  COFFEE</t>
        </is>
      </c>
    </row>
    <row r="6">
      <c r="A6" s="7" t="inlineStr">
        <is>
          <t>Coffee beans — house blend</t>
        </is>
      </c>
      <c r="B6" s="7" t="n"/>
      <c r="C6" s="8" t="inlineStr">
        <is>
          <t>lb</t>
        </is>
      </c>
      <c r="D6" s="8" t="n">
        <v>4</v>
      </c>
      <c r="E6" s="9">
        <f>IF(B6="","",IF(B6&lt;D6,"⚠️ REORDER","OK"))</f>
        <v/>
      </c>
      <c r="F6" s="10" t="n"/>
    </row>
    <row r="7">
      <c r="A7" s="11" t="inlineStr">
        <is>
          <t>Coffee beans — single origin/specialty</t>
        </is>
      </c>
      <c r="B7" s="11" t="n"/>
      <c r="C7" s="12" t="inlineStr">
        <is>
          <t>lb</t>
        </is>
      </c>
      <c r="D7" s="12" t="n">
        <v>2</v>
      </c>
      <c r="E7" s="13">
        <f>IF(B7="","",IF(B7&lt;D7,"⚠️ REORDER","OK"))</f>
        <v/>
      </c>
      <c r="F7" s="14" t="n"/>
    </row>
    <row r="8">
      <c r="A8" s="7" t="inlineStr">
        <is>
          <t>Decaf coffee beans</t>
        </is>
      </c>
      <c r="B8" s="7" t="n"/>
      <c r="C8" s="8" t="inlineStr">
        <is>
          <t>lb</t>
        </is>
      </c>
      <c r="D8" s="8" t="n">
        <v>1</v>
      </c>
      <c r="E8" s="9">
        <f>IF(B8="","",IF(B8&lt;D8,"⚠️ REORDER","OK"))</f>
        <v/>
      </c>
      <c r="F8" s="10" t="n"/>
    </row>
    <row r="9">
      <c r="A9" s="6" t="inlineStr">
        <is>
          <t xml:space="preserve">  MILKS</t>
        </is>
      </c>
    </row>
    <row r="10">
      <c r="A10" s="7" t="inlineStr">
        <is>
          <t>Whole milk (1 gal = 4 qt)</t>
        </is>
      </c>
      <c r="B10" s="7" t="n"/>
      <c r="C10" s="8" t="inlineStr">
        <is>
          <t>qt</t>
        </is>
      </c>
      <c r="D10" s="8" t="n">
        <v>5</v>
      </c>
      <c r="E10" s="9">
        <f>IF(B10="","",IF(B10&lt;D10,"⚠️ REORDER","OK"))</f>
        <v/>
      </c>
      <c r="F10" s="10" t="n"/>
    </row>
    <row r="11">
      <c r="A11" s="11" t="inlineStr">
        <is>
          <t>Skim (nonfat) milk</t>
        </is>
      </c>
      <c r="B11" s="11" t="n"/>
      <c r="C11" s="12" t="inlineStr">
        <is>
          <t>qt</t>
        </is>
      </c>
      <c r="D11" s="12" t="n">
        <v>3</v>
      </c>
      <c r="E11" s="13">
        <f>IF(B11="","",IF(B11&lt;D11,"⚠️ REORDER","OK"))</f>
        <v/>
      </c>
      <c r="F11" s="14" t="n"/>
    </row>
    <row r="12">
      <c r="A12" s="7" t="inlineStr">
        <is>
          <t>Oat milk</t>
        </is>
      </c>
      <c r="B12" s="7" t="n"/>
      <c r="C12" s="8" t="inlineStr">
        <is>
          <t>qt</t>
        </is>
      </c>
      <c r="D12" s="8" t="n">
        <v>3</v>
      </c>
      <c r="E12" s="9">
        <f>IF(B12="","",IF(B12&lt;D12,"⚠️ REORDER","OK"))</f>
        <v/>
      </c>
      <c r="F12" s="10" t="n"/>
    </row>
    <row r="13">
      <c r="A13" s="11" t="inlineStr">
        <is>
          <t>Soy milk</t>
        </is>
      </c>
      <c r="B13" s="11" t="n"/>
      <c r="C13" s="12" t="inlineStr">
        <is>
          <t>qt</t>
        </is>
      </c>
      <c r="D13" s="12" t="n">
        <v>2</v>
      </c>
      <c r="E13" s="13">
        <f>IF(B13="","",IF(B13&lt;D13,"⚠️ REORDER","OK"))</f>
        <v/>
      </c>
      <c r="F13" s="14" t="n"/>
    </row>
    <row r="14">
      <c r="A14" s="7" t="inlineStr">
        <is>
          <t>Almond milk</t>
        </is>
      </c>
      <c r="B14" s="7" t="n"/>
      <c r="C14" s="8" t="inlineStr">
        <is>
          <t>qt</t>
        </is>
      </c>
      <c r="D14" s="8" t="n">
        <v>2</v>
      </c>
      <c r="E14" s="9">
        <f>IF(B14="","",IF(B14&lt;D14,"⚠️ REORDER","OK"))</f>
        <v/>
      </c>
      <c r="F14" s="10" t="n"/>
    </row>
    <row r="15">
      <c r="A15" s="11" t="inlineStr">
        <is>
          <t>Heavy whipping cream</t>
        </is>
      </c>
      <c r="B15" s="11" t="n"/>
      <c r="C15" s="12" t="inlineStr">
        <is>
          <t>qt</t>
        </is>
      </c>
      <c r="D15" s="12" t="n">
        <v>1</v>
      </c>
      <c r="E15" s="13">
        <f>IF(B15="","",IF(B15&lt;D15,"⚠️ REORDER","OK"))</f>
        <v/>
      </c>
      <c r="F15" s="14" t="n"/>
    </row>
    <row r="16">
      <c r="A16" s="6" t="inlineStr">
        <is>
          <t xml:space="preserve">  DRINKS</t>
        </is>
      </c>
    </row>
    <row r="17">
      <c r="A17" s="11" t="inlineStr">
        <is>
          <t>Cocoa powder</t>
        </is>
      </c>
      <c r="B17" s="11" t="n"/>
      <c r="C17" s="12" t="inlineStr">
        <is>
          <t>lb</t>
        </is>
      </c>
      <c r="D17" s="12" t="n">
        <v>1</v>
      </c>
      <c r="E17" s="13">
        <f>IF(B17="","",IF(B17&lt;D17,"⚠️ REORDER","OK"))</f>
        <v/>
      </c>
      <c r="F17" s="14" t="n"/>
    </row>
    <row r="18">
      <c r="A18" s="7" t="inlineStr">
        <is>
          <t>Matcha powder</t>
        </is>
      </c>
      <c r="B18" s="7" t="n"/>
      <c r="C18" s="8" t="inlineStr">
        <is>
          <t>oz</t>
        </is>
      </c>
      <c r="D18" s="8" t="n">
        <v>4</v>
      </c>
      <c r="E18" s="9">
        <f>IF(B18="","",IF(B18&lt;D18,"⚠️ REORDER","OK"))</f>
        <v/>
      </c>
      <c r="F18" s="10" t="n"/>
    </row>
    <row r="19">
      <c r="A19" s="11" t="inlineStr">
        <is>
          <t>Vanilla syrup</t>
        </is>
      </c>
      <c r="B19" s="11" t="n"/>
      <c r="C19" s="12" t="inlineStr">
        <is>
          <t>qt</t>
        </is>
      </c>
      <c r="D19" s="12" t="n">
        <v>0.5</v>
      </c>
      <c r="E19" s="13">
        <f>IF(B19="","",IF(B19&lt;D19,"⚠️ REORDER","OK"))</f>
        <v/>
      </c>
      <c r="F19" s="14" t="n"/>
    </row>
    <row r="20">
      <c r="A20" s="7" t="inlineStr">
        <is>
          <t>Caramel syrup</t>
        </is>
      </c>
      <c r="B20" s="7" t="n"/>
      <c r="C20" s="8" t="inlineStr">
        <is>
          <t>qt</t>
        </is>
      </c>
      <c r="D20" s="8" t="n">
        <v>0.5</v>
      </c>
      <c r="E20" s="9">
        <f>IF(B20="","",IF(B20&lt;D20,"⚠️ REORDER","OK"))</f>
        <v/>
      </c>
      <c r="F20" s="10" t="n"/>
    </row>
    <row r="21">
      <c r="A21" s="11" t="inlineStr">
        <is>
          <t>Tea / herbal teas (varieties)</t>
        </is>
      </c>
      <c r="B21" s="11" t="n"/>
      <c r="C21" s="12" t="inlineStr">
        <is>
          <t>ea</t>
        </is>
      </c>
      <c r="D21" s="12" t="n">
        <v>20</v>
      </c>
      <c r="E21" s="13">
        <f>IF(B21="","",IF(B21&lt;D21,"⚠️ REORDER","OK"))</f>
        <v/>
      </c>
      <c r="F21" s="14" t="n"/>
    </row>
    <row r="22">
      <c r="A22" s="7" t="inlineStr">
        <is>
          <t>Fresh orange juice</t>
        </is>
      </c>
      <c r="B22" s="7" t="n"/>
      <c r="C22" s="8" t="inlineStr">
        <is>
          <t>qt</t>
        </is>
      </c>
      <c r="D22" s="8" t="n">
        <v>3</v>
      </c>
      <c r="E22" s="9">
        <f>IF(B22="","",IF(B22&lt;D22,"⚠️ REORDER","OK"))</f>
        <v/>
      </c>
      <c r="F22" s="10" t="n"/>
    </row>
    <row r="23">
      <c r="A23" s="6" t="inlineStr">
        <is>
          <t xml:space="preserve">  BAKERY &amp; PASTRIES</t>
        </is>
      </c>
    </row>
    <row r="24">
      <c r="A24" s="7" t="inlineStr">
        <is>
          <t>Sourdough bread</t>
        </is>
      </c>
      <c r="B24" s="7" t="n"/>
      <c r="C24" s="8" t="inlineStr">
        <is>
          <t>ea</t>
        </is>
      </c>
      <c r="D24" s="8" t="n">
        <v>10</v>
      </c>
      <c r="E24" s="9">
        <f>IF(B24="","",IF(B24&lt;D24,"⚠️ REORDER","OK"))</f>
        <v/>
      </c>
      <c r="F24" s="10" t="n"/>
    </row>
    <row r="25">
      <c r="A25" s="11" t="inlineStr">
        <is>
          <t>Brioche bread</t>
        </is>
      </c>
      <c r="B25" s="11" t="n"/>
      <c r="C25" s="12" t="inlineStr">
        <is>
          <t>ea</t>
        </is>
      </c>
      <c r="D25" s="12" t="n">
        <v>8</v>
      </c>
      <c r="E25" s="13">
        <f>IF(B25="","",IF(B25&lt;D25,"⚠️ REORDER","OK"))</f>
        <v/>
      </c>
      <c r="F25" s="14" t="n"/>
    </row>
    <row r="26">
      <c r="A26" s="7" t="inlineStr">
        <is>
          <t>Whole wheat/rye bread</t>
        </is>
      </c>
      <c r="B26" s="7" t="n"/>
      <c r="C26" s="8" t="inlineStr">
        <is>
          <t>ea</t>
        </is>
      </c>
      <c r="D26" s="8" t="n">
        <v>6</v>
      </c>
      <c r="E26" s="9">
        <f>IF(B26="","",IF(B26&lt;D26,"⚠️ REORDER","OK"))</f>
        <v/>
      </c>
      <c r="F26" s="10" t="n"/>
    </row>
    <row r="27">
      <c r="A27" s="11" t="inlineStr">
        <is>
          <t>Croissants</t>
        </is>
      </c>
      <c r="B27" s="11" t="n"/>
      <c r="C27" s="12" t="inlineStr">
        <is>
          <t>ea</t>
        </is>
      </c>
      <c r="D27" s="12" t="n">
        <v>12</v>
      </c>
      <c r="E27" s="13">
        <f>IF(B27="","",IF(B27&lt;D27,"⚠️ REORDER","OK"))</f>
        <v/>
      </c>
      <c r="F27" s="14" t="n"/>
    </row>
    <row r="28">
      <c r="A28" s="7" t="inlineStr">
        <is>
          <t>Muffins / Cupcakes</t>
        </is>
      </c>
      <c r="B28" s="7" t="n"/>
      <c r="C28" s="8" t="inlineStr">
        <is>
          <t>ea</t>
        </is>
      </c>
      <c r="D28" s="8" t="n">
        <v>10</v>
      </c>
      <c r="E28" s="9">
        <f>IF(B28="","",IF(B28&lt;D28,"⚠️ REORDER","OK"))</f>
        <v/>
      </c>
      <c r="F28" s="10" t="n"/>
    </row>
    <row r="29">
      <c r="A29" s="11" t="inlineStr">
        <is>
          <t>Cookies / Brownies</t>
        </is>
      </c>
      <c r="B29" s="11" t="n"/>
      <c r="C29" s="12" t="inlineStr">
        <is>
          <t>ea</t>
        </is>
      </c>
      <c r="D29" s="12" t="n">
        <v>8</v>
      </c>
      <c r="E29" s="13">
        <f>IF(B29="","",IF(B29&lt;D29,"⚠️ REORDER","OK"))</f>
        <v/>
      </c>
      <c r="F29" s="14" t="n"/>
    </row>
    <row r="30">
      <c r="A30" s="6" t="inlineStr">
        <is>
          <t xml:space="preserve">  BRUNCH FRESH</t>
        </is>
      </c>
    </row>
    <row r="31">
      <c r="A31" s="11" t="inlineStr">
        <is>
          <t>Eggs</t>
        </is>
      </c>
      <c r="B31" s="11" t="n"/>
      <c r="C31" s="12" t="inlineStr">
        <is>
          <t>ea</t>
        </is>
      </c>
      <c r="D31" s="12" t="n">
        <v>30</v>
      </c>
      <c r="E31" s="13">
        <f>IF(B31="","",IF(B31&lt;D31,"⚠️ REORDER","OK"))</f>
        <v/>
      </c>
      <c r="F31" s="14" t="n"/>
    </row>
    <row r="32">
      <c r="A32" s="7" t="inlineStr">
        <is>
          <t>Avocado</t>
        </is>
      </c>
      <c r="B32" s="7" t="n"/>
      <c r="C32" s="8" t="inlineStr">
        <is>
          <t>ea</t>
        </is>
      </c>
      <c r="D32" s="8" t="n">
        <v>6</v>
      </c>
      <c r="E32" s="9">
        <f>IF(B32="","",IF(B32&lt;D32,"⚠️ REORDER","OK"))</f>
        <v/>
      </c>
      <c r="F32" s="10" t="n"/>
    </row>
    <row r="33">
      <c r="A33" s="11" t="inlineStr">
        <is>
          <t>Smoked salmon</t>
        </is>
      </c>
      <c r="B33" s="11" t="n"/>
      <c r="C33" s="12" t="inlineStr">
        <is>
          <t>oz</t>
        </is>
      </c>
      <c r="D33" s="12" t="n">
        <v>10</v>
      </c>
      <c r="E33" s="13">
        <f>IF(B33="","",IF(B33&lt;D33,"⚠️ REORDER","OK"))</f>
        <v/>
      </c>
      <c r="F33" s="14" t="n"/>
    </row>
    <row r="34">
      <c r="A34" s="7" t="inlineStr">
        <is>
          <t>Bacon</t>
        </is>
      </c>
      <c r="B34" s="7" t="n"/>
      <c r="C34" s="8" t="inlineStr">
        <is>
          <t>lb</t>
        </is>
      </c>
      <c r="D34" s="8" t="n">
        <v>1</v>
      </c>
      <c r="E34" s="9">
        <f>IF(B34="","",IF(B34&lt;D34,"⚠️ REORDER","OK"))</f>
        <v/>
      </c>
      <c r="F34" s="10" t="n"/>
    </row>
    <row r="35">
      <c r="A35" s="11" t="inlineStr">
        <is>
          <t>Butter</t>
        </is>
      </c>
      <c r="B35" s="11" t="n"/>
      <c r="C35" s="12" t="inlineStr">
        <is>
          <t>oz</t>
        </is>
      </c>
      <c r="D35" s="12" t="n">
        <v>8</v>
      </c>
      <c r="E35" s="13">
        <f>IF(B35="","",IF(B35&lt;D35,"⚠️ REORDER","OK"))</f>
        <v/>
      </c>
      <c r="F35" s="14" t="n"/>
    </row>
    <row r="36">
      <c r="A36" s="7" t="inlineStr">
        <is>
          <t>Cream cheese</t>
        </is>
      </c>
      <c r="B36" s="7" t="n"/>
      <c r="C36" s="8" t="inlineStr">
        <is>
          <t>oz</t>
        </is>
      </c>
      <c r="D36" s="8" t="n">
        <v>8</v>
      </c>
      <c r="E36" s="9">
        <f>IF(B36="","",IF(B36&lt;D36,"⚠️ REORDER","OK"))</f>
        <v/>
      </c>
      <c r="F36" s="10" t="n"/>
    </row>
    <row r="37">
      <c r="A37" s="46" t="inlineStr">
        <is>
          <t>Fresh fruit (banana, strawberry, blueberries)</t>
        </is>
      </c>
      <c r="B37" s="11" t="n"/>
      <c r="C37" s="12" t="inlineStr">
        <is>
          <t>lb</t>
        </is>
      </c>
      <c r="D37" s="12" t="n">
        <v>4</v>
      </c>
      <c r="E37" s="13">
        <f>IF(B37="","",IF(B37&lt;D37,"⚠️ REORDER","OK"))</f>
        <v/>
      </c>
      <c r="F37" s="14" t="n"/>
    </row>
    <row r="38">
      <c r="A38" s="7" t="inlineStr">
        <is>
          <t>Granola</t>
        </is>
      </c>
      <c r="B38" s="7" t="n"/>
      <c r="C38" s="8" t="inlineStr">
        <is>
          <t>lb</t>
        </is>
      </c>
      <c r="D38" s="8" t="n">
        <v>1</v>
      </c>
      <c r="E38" s="9">
        <f>IF(B38="","",IF(B38&lt;D38,"⚠️ REORDER","OK"))</f>
        <v/>
      </c>
      <c r="F38" s="10" t="n"/>
    </row>
    <row r="39">
      <c r="A39" s="6" t="inlineStr">
        <is>
          <t xml:space="preserve">  PACKAGING (TO-GO)</t>
        </is>
      </c>
    </row>
    <row r="40">
      <c r="A40" s="7" t="inlineStr">
        <is>
          <t>To-go cups (medium)</t>
        </is>
      </c>
      <c r="B40" s="7" t="n"/>
      <c r="C40" s="8" t="inlineStr">
        <is>
          <t>ea</t>
        </is>
      </c>
      <c r="D40" s="8" t="n">
        <v>50</v>
      </c>
      <c r="E40" s="9">
        <f>IF(B40="","",IF(B40&lt;D40,"⚠️ REORDER","OK"))</f>
        <v/>
      </c>
      <c r="F40" s="10" t="n"/>
    </row>
    <row r="41">
      <c r="A41" s="11" t="inlineStr">
        <is>
          <t>To-go cups (large)</t>
        </is>
      </c>
      <c r="B41" s="11" t="n"/>
      <c r="C41" s="12" t="inlineStr">
        <is>
          <t>ea</t>
        </is>
      </c>
      <c r="D41" s="12" t="n">
        <v>30</v>
      </c>
      <c r="E41" s="13">
        <f>IF(B41="","",IF(B41&lt;D41,"⚠️ REORDER","OK"))</f>
        <v/>
      </c>
      <c r="F41" s="14" t="n"/>
    </row>
    <row r="42">
      <c r="A42" s="7" t="inlineStr">
        <is>
          <t>Cup lids</t>
        </is>
      </c>
      <c r="B42" s="7" t="n"/>
      <c r="C42" s="8" t="inlineStr">
        <is>
          <t>ea</t>
        </is>
      </c>
      <c r="D42" s="8" t="n">
        <v>80</v>
      </c>
      <c r="E42" s="9">
        <f>IF(B42="","",IF(B42&lt;D42,"⚠️ REORDER","OK"))</f>
        <v/>
      </c>
      <c r="F42" s="10" t="n"/>
    </row>
    <row r="43">
      <c r="A43" s="11" t="inlineStr">
        <is>
          <t>Pastry bags</t>
        </is>
      </c>
      <c r="B43" s="11" t="n"/>
      <c r="C43" s="12" t="inlineStr">
        <is>
          <t>ea</t>
        </is>
      </c>
      <c r="D43" s="12" t="n">
        <v>30</v>
      </c>
      <c r="E43" s="13">
        <f>IF(B43="","",IF(B43&lt;D43,"⚠️ REORDER","OK"))</f>
        <v/>
      </c>
      <c r="F43" s="14" t="n"/>
    </row>
    <row r="44">
      <c r="A44" s="7" t="inlineStr">
        <is>
          <t>Napkins</t>
        </is>
      </c>
      <c r="B44" s="7" t="n"/>
      <c r="C44" s="8" t="inlineStr">
        <is>
          <t>ea</t>
        </is>
      </c>
      <c r="D44" s="8" t="n">
        <v>100</v>
      </c>
      <c r="E44" s="9">
        <f>IF(B44="","",IF(B44&lt;D44,"⚠️ REORDER","OK"))</f>
        <v/>
      </c>
      <c r="F44" s="10" t="n"/>
    </row>
    <row r="46">
      <c r="A46" s="4" t="inlineStr">
        <is>
          <t>Manager signature: _________________________    Time: _________</t>
        </is>
      </c>
    </row>
    <row r="48">
      <c r="A48" s="15" t="inlineStr">
        <is>
          <t>— Coffee Shop Checklists Kit Pro · AI Chef Pro · aichef.pro —</t>
        </is>
      </c>
    </row>
  </sheetData>
  <mergeCells count="10">
    <mergeCell ref="A16:F16"/>
    <mergeCell ref="A2:F2"/>
    <mergeCell ref="A46:F46"/>
    <mergeCell ref="A5:F5"/>
    <mergeCell ref="A23:F23"/>
    <mergeCell ref="A9:F9"/>
    <mergeCell ref="A1:F1"/>
    <mergeCell ref="A48:F48"/>
    <mergeCell ref="A30:F30"/>
    <mergeCell ref="A39:F39"/>
  </mergeCell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6600"/>
    <outlinePr summaryBelow="1" summaryRight="1"/>
    <pageSetUpPr fitToPage="1"/>
  </sheetPr>
  <dimension ref="A1:F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2" customWidth="1" min="4" max="4"/>
    <col width="12" customWidth="1" min="5" max="5"/>
    <col width="20" customWidth="1" min="6" max="6"/>
  </cols>
  <sheetData>
    <row r="1" ht="30" customHeight="1">
      <c r="A1" s="1" t="inlineStr">
        <is>
          <t>Weekly Storage Inventory — Count by Category</t>
        </is>
      </c>
    </row>
    <row r="2">
      <c r="A2" s="4" t="inlineStr">
        <is>
          <t>Week of ___/___/______ to ___/___/______    Assigned to: ________________</t>
        </is>
      </c>
    </row>
    <row r="4">
      <c r="A4" s="5" t="inlineStr">
        <is>
          <t>Item / Category</t>
        </is>
      </c>
      <c r="B4" s="5" t="inlineStr">
        <is>
          <t>On hand</t>
        </is>
      </c>
      <c r="C4" s="5" t="inlineStr">
        <is>
          <t>Unit</t>
        </is>
      </c>
      <c r="D4" s="5" t="inlineStr">
        <is>
          <t>Unit cost</t>
        </is>
      </c>
      <c r="E4" s="5" t="inlineStr">
        <is>
          <t>Total value</t>
        </is>
      </c>
      <c r="F4" s="5" t="inlineStr">
        <is>
          <t>Order needed</t>
        </is>
      </c>
    </row>
    <row r="5">
      <c r="A5" s="6" t="inlineStr">
        <is>
          <t xml:space="preserve">  COFFEE &amp; TEA</t>
        </is>
      </c>
    </row>
    <row r="6">
      <c r="A6" s="7" t="inlineStr">
        <is>
          <t>House blend coffee (5 lb or 2 lb bags)</t>
        </is>
      </c>
      <c r="B6" s="10" t="n"/>
      <c r="C6" s="8" t="inlineStr">
        <is>
          <t>lb</t>
        </is>
      </c>
      <c r="D6" s="16" t="n"/>
      <c r="E6" s="47">
        <f>IF(B6="","",B6*D6)</f>
        <v/>
      </c>
      <c r="F6" s="10" t="n"/>
    </row>
    <row r="7">
      <c r="A7" s="11" t="inlineStr">
        <is>
          <t>Single origin/specialty coffee</t>
        </is>
      </c>
      <c r="B7" s="14" t="n"/>
      <c r="C7" s="12" t="inlineStr">
        <is>
          <t>lb</t>
        </is>
      </c>
      <c r="D7" s="18" t="n"/>
      <c r="E7" s="48">
        <f>IF(B7="","",B7*D7)</f>
        <v/>
      </c>
      <c r="F7" s="14" t="n"/>
    </row>
    <row r="8">
      <c r="A8" s="7" t="inlineStr">
        <is>
          <t>Decaf coffee</t>
        </is>
      </c>
      <c r="B8" s="10" t="n"/>
      <c r="C8" s="8" t="inlineStr">
        <is>
          <t>lb</t>
        </is>
      </c>
      <c r="D8" s="16" t="n"/>
      <c r="E8" s="47">
        <f>IF(B8="","",B8*D8)</f>
        <v/>
      </c>
      <c r="F8" s="10" t="n"/>
    </row>
    <row r="9">
      <c r="A9" s="11" t="inlineStr">
        <is>
          <t>Assorted tea (boxes)</t>
        </is>
      </c>
      <c r="B9" s="14" t="n"/>
      <c r="C9" s="12" t="inlineStr">
        <is>
          <t>ea</t>
        </is>
      </c>
      <c r="D9" s="18" t="n"/>
      <c r="E9" s="48">
        <f>IF(B9="","",B9*D9)</f>
        <v/>
      </c>
      <c r="F9" s="14" t="n"/>
    </row>
    <row r="10">
      <c r="A10" s="7" t="inlineStr">
        <is>
          <t>Matcha</t>
        </is>
      </c>
      <c r="B10" s="10" t="n"/>
      <c r="C10" s="8" t="inlineStr">
        <is>
          <t>oz</t>
        </is>
      </c>
      <c r="D10" s="16" t="n"/>
      <c r="E10" s="47">
        <f>IF(B10="","",B10*D10)</f>
        <v/>
      </c>
      <c r="F10" s="10" t="n"/>
    </row>
    <row r="11">
      <c r="A11" s="6" t="inlineStr">
        <is>
          <t xml:space="preserve">  DAIRY &amp; MILKS</t>
        </is>
      </c>
    </row>
    <row r="12">
      <c r="A12" s="7" t="inlineStr">
        <is>
          <t>Whole milk (1 gal = 4 qt)</t>
        </is>
      </c>
      <c r="B12" s="10" t="n"/>
      <c r="C12" s="8" t="inlineStr">
        <is>
          <t>qt</t>
        </is>
      </c>
      <c r="D12" s="16" t="n"/>
      <c r="E12" s="47">
        <f>IF(B12="","",B12*D12)</f>
        <v/>
      </c>
      <c r="F12" s="10" t="n"/>
    </row>
    <row r="13">
      <c r="A13" s="11" t="inlineStr">
        <is>
          <t>Skim (nonfat) milk</t>
        </is>
      </c>
      <c r="B13" s="14" t="n"/>
      <c r="C13" s="12" t="inlineStr">
        <is>
          <t>qt</t>
        </is>
      </c>
      <c r="D13" s="18" t="n"/>
      <c r="E13" s="48">
        <f>IF(B13="","",B13*D13)</f>
        <v/>
      </c>
      <c r="F13" s="14" t="n"/>
    </row>
    <row r="14">
      <c r="A14" s="7" t="inlineStr">
        <is>
          <t>Oat milk</t>
        </is>
      </c>
      <c r="B14" s="10" t="n"/>
      <c r="C14" s="8" t="inlineStr">
        <is>
          <t>qt</t>
        </is>
      </c>
      <c r="D14" s="16" t="n"/>
      <c r="E14" s="47">
        <f>IF(B14="","",B14*D14)</f>
        <v/>
      </c>
      <c r="F14" s="10" t="n"/>
    </row>
    <row r="15">
      <c r="A15" s="11" t="inlineStr">
        <is>
          <t>Soy milk</t>
        </is>
      </c>
      <c r="B15" s="14" t="n"/>
      <c r="C15" s="12" t="inlineStr">
        <is>
          <t>qt</t>
        </is>
      </c>
      <c r="D15" s="18" t="n"/>
      <c r="E15" s="48">
        <f>IF(B15="","",B15*D15)</f>
        <v/>
      </c>
      <c r="F15" s="14" t="n"/>
    </row>
    <row r="16">
      <c r="A16" s="7" t="inlineStr">
        <is>
          <t>Almond milk</t>
        </is>
      </c>
      <c r="B16" s="10" t="n"/>
      <c r="C16" s="8" t="inlineStr">
        <is>
          <t>qt</t>
        </is>
      </c>
      <c r="D16" s="16" t="n"/>
      <c r="E16" s="47">
        <f>IF(B16="","",B16*D16)</f>
        <v/>
      </c>
      <c r="F16" s="10" t="n"/>
    </row>
    <row r="17">
      <c r="A17" s="11" t="inlineStr">
        <is>
          <t>Heavy whipping cream</t>
        </is>
      </c>
      <c r="B17" s="14" t="n"/>
      <c r="C17" s="12" t="inlineStr">
        <is>
          <t>qt</t>
        </is>
      </c>
      <c r="D17" s="18" t="n"/>
      <c r="E17" s="48">
        <f>IF(B17="","",B17*D17)</f>
        <v/>
      </c>
      <c r="F17" s="14" t="n"/>
    </row>
    <row r="18">
      <c r="A18" s="7" t="inlineStr">
        <is>
          <t>Butter</t>
        </is>
      </c>
      <c r="B18" s="10" t="n"/>
      <c r="C18" s="8" t="inlineStr">
        <is>
          <t>lb</t>
        </is>
      </c>
      <c r="D18" s="16" t="n"/>
      <c r="E18" s="47">
        <f>IF(B18="","",B18*D18)</f>
        <v/>
      </c>
      <c r="F18" s="10" t="n"/>
    </row>
    <row r="19">
      <c r="A19" s="11" t="inlineStr">
        <is>
          <t>Cream cheese</t>
        </is>
      </c>
      <c r="B19" s="14" t="n"/>
      <c r="C19" s="12" t="inlineStr">
        <is>
          <t>lb</t>
        </is>
      </c>
      <c r="D19" s="18" t="n"/>
      <c r="E19" s="48">
        <f>IF(B19="","",B19*D19)</f>
        <v/>
      </c>
      <c r="F19" s="14" t="n"/>
    </row>
    <row r="20">
      <c r="A20" s="6" t="inlineStr">
        <is>
          <t xml:space="preserve">  BAKERY / PASTRIES</t>
        </is>
      </c>
    </row>
    <row r="21">
      <c r="A21" s="11" t="inlineStr">
        <is>
          <t>Sourdough bread (loaves)</t>
        </is>
      </c>
      <c r="B21" s="14" t="n"/>
      <c r="C21" s="12" t="inlineStr">
        <is>
          <t>ea</t>
        </is>
      </c>
      <c r="D21" s="18" t="n"/>
      <c r="E21" s="48">
        <f>IF(B21="","",B21*D21)</f>
        <v/>
      </c>
      <c r="F21" s="14" t="n"/>
    </row>
    <row r="22">
      <c r="A22" s="7" t="inlineStr">
        <is>
          <t>Brioche bread (pieces)</t>
        </is>
      </c>
      <c r="B22" s="10" t="n"/>
      <c r="C22" s="8" t="inlineStr">
        <is>
          <t>ea</t>
        </is>
      </c>
      <c r="D22" s="16" t="n"/>
      <c r="E22" s="47">
        <f>IF(B22="","",B22*D22)</f>
        <v/>
      </c>
      <c r="F22" s="10" t="n"/>
    </row>
    <row r="23">
      <c r="A23" s="11" t="inlineStr">
        <is>
          <t>Croissants (frozen or fresh)</t>
        </is>
      </c>
      <c r="B23" s="14" t="n"/>
      <c r="C23" s="12" t="inlineStr">
        <is>
          <t>ea</t>
        </is>
      </c>
      <c r="D23" s="18" t="n"/>
      <c r="E23" s="48">
        <f>IF(B23="","",B23*D23)</f>
        <v/>
      </c>
      <c r="F23" s="14" t="n"/>
    </row>
    <row r="24">
      <c r="A24" s="7" t="inlineStr">
        <is>
          <t>Muffin / pastry dough</t>
        </is>
      </c>
      <c r="B24" s="10" t="n"/>
      <c r="C24" s="8" t="inlineStr">
        <is>
          <t>lb</t>
        </is>
      </c>
      <c r="D24" s="16" t="n"/>
      <c r="E24" s="47">
        <f>IF(B24="","",B24*D24)</f>
        <v/>
      </c>
      <c r="F24" s="10" t="n"/>
    </row>
    <row r="25">
      <c r="A25" s="11" t="inlineStr">
        <is>
          <t>Flour, sugar, yeast (in-house production)</t>
        </is>
      </c>
      <c r="B25" s="14" t="n"/>
      <c r="C25" s="12" t="inlineStr">
        <is>
          <t>lb</t>
        </is>
      </c>
      <c r="D25" s="18" t="n"/>
      <c r="E25" s="48">
        <f>IF(B25="","",B25*D25)</f>
        <v/>
      </c>
      <c r="F25" s="14" t="n"/>
    </row>
    <row r="26">
      <c r="A26" s="6" t="inlineStr">
        <is>
          <t xml:space="preserve">  FRESH</t>
        </is>
      </c>
    </row>
    <row r="27">
      <c r="A27" s="11" t="inlineStr">
        <is>
          <t>Eggs (dozens)</t>
        </is>
      </c>
      <c r="B27" s="14" t="n"/>
      <c r="C27" s="12" t="inlineStr">
        <is>
          <t>doz</t>
        </is>
      </c>
      <c r="D27" s="18" t="n"/>
      <c r="E27" s="48">
        <f>IF(B27="","",B27*D27)</f>
        <v/>
      </c>
      <c r="F27" s="14" t="n"/>
    </row>
    <row r="28">
      <c r="A28" s="7" t="inlineStr">
        <is>
          <t>Avocado</t>
        </is>
      </c>
      <c r="B28" s="10" t="n"/>
      <c r="C28" s="8" t="inlineStr">
        <is>
          <t>ea</t>
        </is>
      </c>
      <c r="D28" s="16" t="n"/>
      <c r="E28" s="47">
        <f>IF(B28="","",B28*D28)</f>
        <v/>
      </c>
      <c r="F28" s="10" t="n"/>
    </row>
    <row r="29">
      <c r="A29" s="11" t="inlineStr">
        <is>
          <t>Smoked salmon</t>
        </is>
      </c>
      <c r="B29" s="14" t="n"/>
      <c r="C29" s="12" t="inlineStr">
        <is>
          <t>lb</t>
        </is>
      </c>
      <c r="D29" s="18" t="n"/>
      <c r="E29" s="48">
        <f>IF(B29="","",B29*D29)</f>
        <v/>
      </c>
      <c r="F29" s="14" t="n"/>
    </row>
    <row r="30">
      <c r="A30" s="7" t="inlineStr">
        <is>
          <t>Bacon</t>
        </is>
      </c>
      <c r="B30" s="10" t="n"/>
      <c r="C30" s="8" t="inlineStr">
        <is>
          <t>lb</t>
        </is>
      </c>
      <c r="D30" s="16" t="n"/>
      <c r="E30" s="47">
        <f>IF(B30="","",B30*D30)</f>
        <v/>
      </c>
      <c r="F30" s="10" t="n"/>
    </row>
    <row r="31">
      <c r="A31" s="11" t="inlineStr">
        <is>
          <t>Assorted fresh fruit</t>
        </is>
      </c>
      <c r="B31" s="14" t="n"/>
      <c r="C31" s="12" t="inlineStr">
        <is>
          <t>lb</t>
        </is>
      </c>
      <c r="D31" s="18" t="n"/>
      <c r="E31" s="48">
        <f>IF(B31="","",B31*D31)</f>
        <v/>
      </c>
      <c r="F31" s="14" t="n"/>
    </row>
    <row r="32">
      <c r="A32" s="7" t="inlineStr">
        <is>
          <t>Granola</t>
        </is>
      </c>
      <c r="B32" s="10" t="n"/>
      <c r="C32" s="8" t="inlineStr">
        <is>
          <t>lb</t>
        </is>
      </c>
      <c r="D32" s="16" t="n"/>
      <c r="E32" s="47">
        <f>IF(B32="","",B32*D32)</f>
        <v/>
      </c>
      <c r="F32" s="10" t="n"/>
    </row>
    <row r="33">
      <c r="A33" s="11" t="inlineStr">
        <is>
          <t>Plain yogurt</t>
        </is>
      </c>
      <c r="B33" s="14" t="n"/>
      <c r="C33" s="12" t="inlineStr">
        <is>
          <t>qt</t>
        </is>
      </c>
      <c r="D33" s="18" t="n"/>
      <c r="E33" s="48">
        <f>IF(B33="","",B33*D33)</f>
        <v/>
      </c>
      <c r="F33" s="14" t="n"/>
    </row>
    <row r="34">
      <c r="A34" s="6" t="inlineStr">
        <is>
          <t xml:space="preserve">  DRY GOODS &amp; SYRUPS</t>
        </is>
      </c>
    </row>
    <row r="35">
      <c r="A35" s="11" t="inlineStr">
        <is>
          <t>Cocoa powder</t>
        </is>
      </c>
      <c r="B35" s="14" t="n"/>
      <c r="C35" s="12" t="inlineStr">
        <is>
          <t>lb</t>
        </is>
      </c>
      <c r="D35" s="18" t="n"/>
      <c r="E35" s="48">
        <f>IF(B35="","",B35*D35)</f>
        <v/>
      </c>
      <c r="F35" s="14" t="n"/>
    </row>
    <row r="36">
      <c r="A36" s="7" t="inlineStr">
        <is>
          <t>Syrups (vanilla, caramel, hazelnut)</t>
        </is>
      </c>
      <c r="B36" s="10" t="n"/>
      <c r="C36" s="8" t="inlineStr">
        <is>
          <t>qt</t>
        </is>
      </c>
      <c r="D36" s="16" t="n"/>
      <c r="E36" s="47">
        <f>IF(B36="","",B36*D36)</f>
        <v/>
      </c>
      <c r="F36" s="10" t="n"/>
    </row>
    <row r="37">
      <c r="A37" s="11" t="inlineStr">
        <is>
          <t>White sugar</t>
        </is>
      </c>
      <c r="B37" s="14" t="n"/>
      <c r="C37" s="12" t="inlineStr">
        <is>
          <t>lb</t>
        </is>
      </c>
      <c r="D37" s="18" t="n"/>
      <c r="E37" s="48">
        <f>IF(B37="","",B37*D37)</f>
        <v/>
      </c>
      <c r="F37" s="14" t="n"/>
    </row>
    <row r="38">
      <c r="A38" s="7" t="inlineStr">
        <is>
          <t>Brown sugar</t>
        </is>
      </c>
      <c r="B38" s="10" t="n"/>
      <c r="C38" s="8" t="inlineStr">
        <is>
          <t>lb</t>
        </is>
      </c>
      <c r="D38" s="16" t="n"/>
      <c r="E38" s="47">
        <f>IF(B38="","",B38*D38)</f>
        <v/>
      </c>
      <c r="F38" s="10" t="n"/>
    </row>
    <row r="39">
      <c r="A39" s="11" t="inlineStr">
        <is>
          <t>Sweetener/stevia</t>
        </is>
      </c>
      <c r="B39" s="14" t="n"/>
      <c r="C39" s="12" t="inlineStr">
        <is>
          <t>ea</t>
        </is>
      </c>
      <c r="D39" s="18" t="n"/>
      <c r="E39" s="48">
        <f>IF(B39="","",B39*D39)</f>
        <v/>
      </c>
      <c r="F39" s="14" t="n"/>
    </row>
    <row r="40">
      <c r="A40" s="7" t="inlineStr">
        <is>
          <t>Honey</t>
        </is>
      </c>
      <c r="B40" s="10" t="n"/>
      <c r="C40" s="8" t="inlineStr">
        <is>
          <t>lb</t>
        </is>
      </c>
      <c r="D40" s="16" t="n"/>
      <c r="E40" s="47">
        <f>IF(B40="","",B40*D40)</f>
        <v/>
      </c>
      <c r="F40" s="10" t="n"/>
    </row>
    <row r="41">
      <c r="A41" s="6" t="inlineStr">
        <is>
          <t xml:space="preserve">  PACKAGING &amp; DISPOSABLES</t>
        </is>
      </c>
    </row>
    <row r="42">
      <c r="A42" s="7" t="inlineStr">
        <is>
          <t>Medium to-go cups</t>
        </is>
      </c>
      <c r="B42" s="10" t="n"/>
      <c r="C42" s="8" t="inlineStr">
        <is>
          <t>ea</t>
        </is>
      </c>
      <c r="D42" s="16" t="n"/>
      <c r="E42" s="47">
        <f>IF(B42="","",B42*D42)</f>
        <v/>
      </c>
      <c r="F42" s="10" t="n"/>
    </row>
    <row r="43">
      <c r="A43" s="11" t="inlineStr">
        <is>
          <t>Large to-go cups</t>
        </is>
      </c>
      <c r="B43" s="14" t="n"/>
      <c r="C43" s="12" t="inlineStr">
        <is>
          <t>ea</t>
        </is>
      </c>
      <c r="D43" s="18" t="n"/>
      <c r="E43" s="48">
        <f>IF(B43="","",B43*D43)</f>
        <v/>
      </c>
      <c r="F43" s="14" t="n"/>
    </row>
    <row r="44">
      <c r="A44" s="7" t="inlineStr">
        <is>
          <t>Cup lids</t>
        </is>
      </c>
      <c r="B44" s="10" t="n"/>
      <c r="C44" s="8" t="inlineStr">
        <is>
          <t>ea</t>
        </is>
      </c>
      <c r="D44" s="16" t="n"/>
      <c r="E44" s="47">
        <f>IF(B44="","",B44*D44)</f>
        <v/>
      </c>
      <c r="F44" s="10" t="n"/>
    </row>
    <row r="45">
      <c r="A45" s="11" t="inlineStr">
        <is>
          <t>Paper pastry bags</t>
        </is>
      </c>
      <c r="B45" s="14" t="n"/>
      <c r="C45" s="12" t="inlineStr">
        <is>
          <t>ea</t>
        </is>
      </c>
      <c r="D45" s="18" t="n"/>
      <c r="E45" s="48">
        <f>IF(B45="","",B45*D45)</f>
        <v/>
      </c>
      <c r="F45" s="14" t="n"/>
    </row>
    <row r="46">
      <c r="A46" s="7" t="inlineStr">
        <is>
          <t>Napkins</t>
        </is>
      </c>
      <c r="B46" s="10" t="n"/>
      <c r="C46" s="8" t="inlineStr">
        <is>
          <t>ea</t>
        </is>
      </c>
      <c r="D46" s="16" t="n"/>
      <c r="E46" s="47">
        <f>IF(B46="","",B46*D46)</f>
        <v/>
      </c>
      <c r="F46" s="10" t="n"/>
    </row>
    <row r="47">
      <c r="A47" s="11" t="inlineStr">
        <is>
          <t>Paper straws</t>
        </is>
      </c>
      <c r="B47" s="14" t="n"/>
      <c r="C47" s="12" t="inlineStr">
        <is>
          <t>ea</t>
        </is>
      </c>
      <c r="D47" s="18" t="n"/>
      <c r="E47" s="48">
        <f>IF(B47="","",B47*D47)</f>
        <v/>
      </c>
      <c r="F47" s="14" t="n"/>
    </row>
    <row r="48">
      <c r="A48" s="6" t="inlineStr">
        <is>
          <t xml:space="preserve">  CLEANING</t>
        </is>
      </c>
    </row>
    <row r="49">
      <c r="A49" s="11" t="inlineStr">
        <is>
          <t>Dish machine detergent</t>
        </is>
      </c>
      <c r="B49" s="14" t="n"/>
      <c r="C49" s="12" t="inlineStr">
        <is>
          <t>qt</t>
        </is>
      </c>
      <c r="D49" s="18" t="n"/>
      <c r="E49" s="48">
        <f>IF(B49="","",B49*D49)</f>
        <v/>
      </c>
      <c r="F49" s="14" t="n"/>
    </row>
    <row r="50">
      <c r="A50" s="7" t="inlineStr">
        <is>
          <t>Surface sanitizer</t>
        </is>
      </c>
      <c r="B50" s="10" t="n"/>
      <c r="C50" s="8" t="inlineStr">
        <is>
          <t>qt</t>
        </is>
      </c>
      <c r="D50" s="16" t="n"/>
      <c r="E50" s="47">
        <f>IF(B50="","",B50*D50)</f>
        <v/>
      </c>
      <c r="F50" s="10" t="n"/>
    </row>
    <row r="51">
      <c r="A51" s="11" t="inlineStr">
        <is>
          <t>Espresso backflush tablets</t>
        </is>
      </c>
      <c r="B51" s="14" t="n"/>
      <c r="C51" s="12" t="inlineStr">
        <is>
          <t>ea</t>
        </is>
      </c>
      <c r="D51" s="18" t="n"/>
      <c r="E51" s="48">
        <f>IF(B51="","",B51*D51)</f>
        <v/>
      </c>
      <c r="F51" s="14" t="n"/>
    </row>
    <row r="52">
      <c r="A52" s="7" t="inlineStr">
        <is>
          <t>Machine descaler</t>
        </is>
      </c>
      <c r="B52" s="10" t="n"/>
      <c r="C52" s="8" t="inlineStr">
        <is>
          <t>qt</t>
        </is>
      </c>
      <c r="D52" s="16" t="n"/>
      <c r="E52" s="47">
        <f>IF(B52="","",B52*D52)</f>
        <v/>
      </c>
      <c r="F52" s="10" t="n"/>
    </row>
    <row r="53">
      <c r="A53" s="11" t="inlineStr">
        <is>
          <t>Hand soap</t>
        </is>
      </c>
      <c r="B53" s="14" t="n"/>
      <c r="C53" s="12" t="inlineStr">
        <is>
          <t>qt</t>
        </is>
      </c>
      <c r="D53" s="18" t="n"/>
      <c r="E53" s="48">
        <f>IF(B53="","",B53*D53)</f>
        <v/>
      </c>
      <c r="F53" s="14" t="n"/>
    </row>
    <row r="54">
      <c r="A54" s="7" t="inlineStr">
        <is>
          <t>Toilet paper and paper towels</t>
        </is>
      </c>
      <c r="B54" s="10" t="n"/>
      <c r="C54" s="8" t="inlineStr">
        <is>
          <t>ea</t>
        </is>
      </c>
      <c r="D54" s="16" t="n"/>
      <c r="E54" s="47">
        <f>IF(B54="","",B54*D54)</f>
        <v/>
      </c>
      <c r="F54" s="10" t="n"/>
    </row>
    <row r="56">
      <c r="D56" s="20" t="inlineStr">
        <is>
          <t>TOTAL:</t>
        </is>
      </c>
      <c r="E56" s="49">
        <f>SUM(E5:E54)</f>
        <v>0.0</v>
      </c>
    </row>
    <row r="58">
      <c r="A58" s="15" t="inlineStr">
        <is>
          <t>— Coffee Shop Checklists Kit Pro · AI Chef Pro · aichef.pro —</t>
        </is>
      </c>
    </row>
  </sheetData>
  <mergeCells count="10">
    <mergeCell ref="A41:F41"/>
    <mergeCell ref="A2:F2"/>
    <mergeCell ref="A11:F11"/>
    <mergeCell ref="A1:F1"/>
    <mergeCell ref="A5:F5"/>
    <mergeCell ref="A58:F58"/>
    <mergeCell ref="A34:F34"/>
    <mergeCell ref="A48:F48"/>
    <mergeCell ref="A26:F26"/>
    <mergeCell ref="A20:F20"/>
  </mergeCell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28B22"/>
    <outlinePr summaryBelow="1" summaryRight="1"/>
    <pageSetUpPr fitToPage="1"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22" t="inlineStr">
        <is>
          <t>Weekly Deep Cleaning Checklist</t>
        </is>
      </c>
    </row>
    <row r="2">
      <c r="A2" s="23" t="inlineStr">
        <is>
          <t>Week of ___/___/______ to ___/___/______    Manager: _________________________</t>
        </is>
      </c>
    </row>
    <row r="4">
      <c r="A4" s="24" t="inlineStr">
        <is>
          <t>#</t>
        </is>
      </c>
      <c r="B4" s="24" t="inlineStr">
        <is>
          <t>Task</t>
        </is>
      </c>
      <c r="C4" s="24" t="inlineStr">
        <is>
          <t>Area</t>
        </is>
      </c>
      <c r="D4" s="24" t="inlineStr">
        <is>
          <t>Assigned to</t>
        </is>
      </c>
      <c r="E4" s="24" t="inlineStr">
        <is>
          <t>Day</t>
        </is>
      </c>
      <c r="F4" s="24" t="inlineStr">
        <is>
          <t>✓ Done</t>
        </is>
      </c>
      <c r="G4" s="24" t="inlineStr">
        <is>
          <t>Initials</t>
        </is>
      </c>
    </row>
    <row r="5">
      <c r="A5" s="34" t="inlineStr">
        <is>
          <t xml:space="preserve">  KITCHEN</t>
        </is>
      </c>
      <c r="B5" s="35" t="n"/>
      <c r="C5" s="35" t="n"/>
      <c r="D5" s="35" t="n"/>
      <c r="E5" s="35" t="n"/>
      <c r="F5" s="35" t="n"/>
      <c r="G5" s="35" t="n"/>
    </row>
    <row r="6">
      <c r="A6" s="36" t="n">
        <v>1</v>
      </c>
      <c r="B6" s="37" t="inlineStr">
        <is>
          <t>Clean inside the walk-in coolers and freezers</t>
        </is>
      </c>
      <c r="C6" s="38" t="inlineStr">
        <is>
          <t>Kitchen</t>
        </is>
      </c>
      <c r="D6" s="38" t="inlineStr">
        <is>
          <t>Busser / runner</t>
        </is>
      </c>
      <c r="E6" s="38" t="inlineStr">
        <is>
          <t>Monday</t>
        </is>
      </c>
      <c r="F6" s="39" t="n"/>
      <c r="G6" s="39" t="n"/>
    </row>
    <row r="7">
      <c r="A7" s="40" t="n">
        <v>2</v>
      </c>
      <c r="B7" s="50" t="inlineStr">
        <is>
          <t>Remove and degrease the hood filters (hood and duct cleaning is the contractor's job: see Quarterly &amp; Annual)</t>
        </is>
      </c>
      <c r="C7" s="38" t="inlineStr">
        <is>
          <t>Kitchen</t>
        </is>
      </c>
      <c r="D7" s="38" t="inlineStr">
        <is>
          <t>Busser / runner</t>
        </is>
      </c>
      <c r="E7" s="38" t="inlineStr">
        <is>
          <t>Monday</t>
        </is>
      </c>
      <c r="F7" s="39" t="n"/>
      <c r="G7" s="39" t="n"/>
    </row>
    <row r="8">
      <c r="A8" s="36" t="n">
        <v>3</v>
      </c>
      <c r="B8" s="37" t="inlineStr">
        <is>
          <t>Deep clean the oven interior</t>
        </is>
      </c>
      <c r="C8" s="38" t="inlineStr">
        <is>
          <t>Kitchen</t>
        </is>
      </c>
      <c r="D8" s="38" t="inlineStr">
        <is>
          <t>Busser / runner</t>
        </is>
      </c>
      <c r="E8" s="38" t="inlineStr">
        <is>
          <t>Monday</t>
        </is>
      </c>
      <c r="F8" s="39" t="n"/>
      <c r="G8" s="39" t="n"/>
    </row>
    <row r="9">
      <c r="A9" s="40" t="n">
        <v>4</v>
      </c>
      <c r="B9" s="41" t="inlineStr">
        <is>
          <t>Clean behind and under equipment</t>
        </is>
      </c>
      <c r="C9" s="38" t="inlineStr">
        <is>
          <t>Kitchen</t>
        </is>
      </c>
      <c r="D9" s="38" t="inlineStr">
        <is>
          <t>Busser / runner</t>
        </is>
      </c>
      <c r="E9" s="38" t="inlineStr">
        <is>
          <t>Monday</t>
        </is>
      </c>
      <c r="F9" s="39" t="n"/>
      <c r="G9" s="39" t="n"/>
    </row>
    <row r="10">
      <c r="A10" s="36" t="n">
        <v>5</v>
      </c>
      <c r="B10" s="37" t="inlineStr">
        <is>
          <t>Sanitize cutting boards (check with test strips)</t>
        </is>
      </c>
      <c r="C10" s="38" t="inlineStr">
        <is>
          <t>Kitchen</t>
        </is>
      </c>
      <c r="D10" s="38" t="inlineStr">
        <is>
          <t>Busser / runner</t>
        </is>
      </c>
      <c r="E10" s="38" t="inlineStr">
        <is>
          <t>Monday</t>
        </is>
      </c>
      <c r="F10" s="39" t="n"/>
      <c r="G10" s="39" t="n"/>
    </row>
    <row r="11">
      <c r="A11" s="40" t="n">
        <v>6</v>
      </c>
      <c r="B11" s="41" t="inlineStr">
        <is>
          <t>Clean storage shelves</t>
        </is>
      </c>
      <c r="C11" s="38" t="inlineStr">
        <is>
          <t>Storage</t>
        </is>
      </c>
      <c r="D11" s="38" t="inlineStr">
        <is>
          <t>Busser / runner</t>
        </is>
      </c>
      <c r="E11" s="38" t="inlineStr">
        <is>
          <t>Monday</t>
        </is>
      </c>
      <c r="F11" s="39" t="n"/>
      <c r="G11" s="39" t="n"/>
    </row>
    <row r="12">
      <c r="A12" s="34" t="inlineStr">
        <is>
          <t xml:space="preserve">  BAR</t>
        </is>
      </c>
      <c r="B12" s="35" t="n"/>
      <c r="C12" s="35" t="n"/>
      <c r="D12" s="35" t="n"/>
      <c r="E12" s="35" t="n"/>
      <c r="F12" s="35" t="n"/>
      <c r="G12" s="35" t="n"/>
    </row>
    <row r="13">
      <c r="A13" s="40" t="n">
        <v>7</v>
      </c>
      <c r="B13" s="41" t="inlineStr">
        <is>
          <t>Deep clean the inside of the pastry case</t>
        </is>
      </c>
      <c r="C13" s="38" t="inlineStr">
        <is>
          <t>Bar</t>
        </is>
      </c>
      <c r="D13" s="38" t="inlineStr">
        <is>
          <t>Barista</t>
        </is>
      </c>
      <c r="E13" s="38" t="inlineStr">
        <is>
          <t>Monday</t>
        </is>
      </c>
      <c r="F13" s="39" t="n"/>
      <c r="G13" s="39" t="n"/>
    </row>
    <row r="14">
      <c r="A14" s="36" t="n">
        <v>8</v>
      </c>
      <c r="B14" s="51" t="inlineStr">
        <is>
          <t>Clean the espresso group heads with the group brush</t>
        </is>
      </c>
      <c r="C14" s="38" t="inlineStr">
        <is>
          <t>Bar</t>
        </is>
      </c>
      <c r="D14" s="38" t="inlineStr">
        <is>
          <t>Barista</t>
        </is>
      </c>
      <c r="E14" s="38" t="inlineStr">
        <is>
          <t>Monday</t>
        </is>
      </c>
      <c r="F14" s="39" t="n"/>
      <c r="G14" s="39" t="n"/>
    </row>
    <row r="15">
      <c r="A15" s="40" t="n">
        <v>9</v>
      </c>
      <c r="B15" s="41" t="inlineStr">
        <is>
          <t>Clean inside the grinder (no water)</t>
        </is>
      </c>
      <c r="C15" s="38" t="inlineStr">
        <is>
          <t>Bar</t>
        </is>
      </c>
      <c r="D15" s="38" t="inlineStr">
        <is>
          <t>Barista</t>
        </is>
      </c>
      <c r="E15" s="38" t="inlineStr">
        <is>
          <t>Monday</t>
        </is>
      </c>
      <c r="F15" s="39" t="n"/>
      <c r="G15" s="39" t="n"/>
    </row>
    <row r="16">
      <c r="A16" s="36" t="n">
        <v>10</v>
      </c>
      <c r="B16" s="51" t="inlineStr">
        <is>
          <t>Clean inside the bar fridge; check the ice machine bin and chute for mold or slime (full clean and sanitize per the manufacturer)</t>
        </is>
      </c>
      <c r="C16" s="38" t="inlineStr">
        <is>
          <t>Bar</t>
        </is>
      </c>
      <c r="D16" s="38" t="inlineStr">
        <is>
          <t>Barista</t>
        </is>
      </c>
      <c r="E16" s="38" t="inlineStr">
        <is>
          <t>Monday</t>
        </is>
      </c>
      <c r="F16" s="39" t="n"/>
      <c r="G16" s="39" t="n"/>
    </row>
    <row r="17">
      <c r="A17" s="40" t="n">
        <v>11</v>
      </c>
      <c r="B17" s="41" t="inlineStr">
        <is>
          <t>Sanitize the entire bar surface</t>
        </is>
      </c>
      <c r="C17" s="38" t="inlineStr">
        <is>
          <t>Bar</t>
        </is>
      </c>
      <c r="D17" s="38" t="inlineStr">
        <is>
          <t>Busser / runner</t>
        </is>
      </c>
      <c r="E17" s="38" t="inlineStr">
        <is>
          <t>Monday</t>
        </is>
      </c>
      <c r="F17" s="39" t="n"/>
      <c r="G17" s="39" t="n"/>
    </row>
    <row r="18">
      <c r="A18" s="34" t="inlineStr">
        <is>
          <t xml:space="preserve">  FOH &amp; RESTROOMS</t>
        </is>
      </c>
      <c r="B18" s="35" t="n"/>
      <c r="C18" s="35" t="n"/>
      <c r="D18" s="35" t="n"/>
      <c r="E18" s="35" t="n"/>
      <c r="F18" s="35" t="n"/>
      <c r="G18" s="35" t="n"/>
    </row>
    <row r="19">
      <c r="A19" s="40" t="n">
        <v>12</v>
      </c>
      <c r="B19" s="41" t="inlineStr">
        <is>
          <t>Clean windows inside and out</t>
        </is>
      </c>
      <c r="C19" s="38" t="inlineStr">
        <is>
          <t>FOH</t>
        </is>
      </c>
      <c r="D19" s="38" t="inlineStr">
        <is>
          <t>Busser / runner</t>
        </is>
      </c>
      <c r="E19" s="38" t="inlineStr">
        <is>
          <t>Monday</t>
        </is>
      </c>
      <c r="F19" s="39" t="n"/>
      <c r="G19" s="39" t="n"/>
    </row>
    <row r="20">
      <c r="A20" s="36" t="n">
        <v>13</v>
      </c>
      <c r="B20" s="37" t="inlineStr">
        <is>
          <t>Deep clean chairs and benches</t>
        </is>
      </c>
      <c r="C20" s="38" t="inlineStr">
        <is>
          <t>FOH</t>
        </is>
      </c>
      <c r="D20" s="38" t="inlineStr">
        <is>
          <t>Busser / runner</t>
        </is>
      </c>
      <c r="E20" s="38" t="inlineStr">
        <is>
          <t>Monday</t>
        </is>
      </c>
      <c r="F20" s="39" t="n"/>
      <c r="G20" s="39" t="n"/>
    </row>
    <row r="21">
      <c r="A21" s="40" t="n">
        <v>14</v>
      </c>
      <c r="B21" s="41" t="inlineStr">
        <is>
          <t>Mop floors with a degreaser</t>
        </is>
      </c>
      <c r="C21" s="38" t="inlineStr">
        <is>
          <t>General</t>
        </is>
      </c>
      <c r="D21" s="38" t="inlineStr">
        <is>
          <t>Busser / runner</t>
        </is>
      </c>
      <c r="E21" s="38" t="inlineStr">
        <is>
          <t>Monday</t>
        </is>
      </c>
      <c r="F21" s="39" t="n"/>
      <c r="G21" s="39" t="n"/>
    </row>
    <row r="22">
      <c r="A22" s="36" t="n">
        <v>15</v>
      </c>
      <c r="B22" s="37" t="inlineStr">
        <is>
          <t>Deep clean restrooms: tile, mirrors, floor</t>
        </is>
      </c>
      <c r="C22" s="38" t="inlineStr">
        <is>
          <t>Restrooms</t>
        </is>
      </c>
      <c r="D22" s="38" t="inlineStr">
        <is>
          <t>Busser / runner</t>
        </is>
      </c>
      <c r="E22" s="38" t="inlineStr">
        <is>
          <t>Monday</t>
        </is>
      </c>
      <c r="F22" s="39" t="n"/>
      <c r="G22" s="39" t="n"/>
    </row>
    <row r="23">
      <c r="A23" s="40" t="n">
        <v>16</v>
      </c>
      <c r="B23" s="41" t="inlineStr">
        <is>
          <t>Deep clean the patio (if used)</t>
        </is>
      </c>
      <c r="C23" s="38" t="inlineStr">
        <is>
          <t>Patio</t>
        </is>
      </c>
      <c r="D23" s="38" t="inlineStr">
        <is>
          <t>Busser / runner</t>
        </is>
      </c>
      <c r="E23" s="38" t="inlineStr">
        <is>
          <t>Monday</t>
        </is>
      </c>
      <c r="F23" s="39" t="n"/>
      <c r="G23" s="39" t="n"/>
    </row>
    <row r="24">
      <c r="A24" s="36" t="n">
        <v>17</v>
      </c>
      <c r="B24" s="37" t="inlineStr">
        <is>
          <t>Check and restock cleaning supplies</t>
        </is>
      </c>
      <c r="C24" s="38" t="inlineStr">
        <is>
          <t>Storage</t>
        </is>
      </c>
      <c r="D24" s="38" t="inlineStr">
        <is>
          <t>Manager</t>
        </is>
      </c>
      <c r="E24" s="38" t="inlineStr">
        <is>
          <t>Monday</t>
        </is>
      </c>
      <c r="F24" s="39" t="n"/>
      <c r="G24" s="39" t="n"/>
    </row>
    <row r="25">
      <c r="A25" s="42" t="n"/>
      <c r="B25" s="43" t="n"/>
      <c r="C25" s="38" t="n"/>
      <c r="D25" s="38" t="n"/>
      <c r="E25" s="38" t="n"/>
      <c r="F25" s="39" t="n"/>
      <c r="G25" s="39" t="n"/>
    </row>
    <row r="26">
      <c r="A26" s="42" t="n"/>
      <c r="B26" s="43" t="n"/>
      <c r="C26" s="38" t="n"/>
      <c r="D26" s="38" t="n"/>
      <c r="E26" s="38" t="n"/>
      <c r="F26" s="39" t="n"/>
      <c r="G26" s="39" t="n"/>
    </row>
    <row r="27">
      <c r="A27" s="42" t="n"/>
      <c r="B27" s="43" t="n"/>
      <c r="C27" s="38" t="n"/>
      <c r="D27" s="38" t="n"/>
      <c r="E27" s="38" t="n"/>
      <c r="F27" s="39" t="n"/>
      <c r="G27" s="39" t="n"/>
    </row>
    <row r="28">
      <c r="A28" s="42" t="n"/>
      <c r="B28" s="43" t="n"/>
      <c r="C28" s="38" t="n"/>
      <c r="D28" s="38" t="n"/>
      <c r="E28" s="38" t="n"/>
      <c r="F28" s="39" t="n"/>
      <c r="G28" s="39" t="n"/>
    </row>
    <row r="29">
      <c r="A29" s="42" t="n"/>
      <c r="B29" s="43" t="n"/>
      <c r="C29" s="38" t="n"/>
      <c r="D29" s="38" t="n"/>
      <c r="E29" s="38" t="n"/>
      <c r="F29" s="39" t="n"/>
      <c r="G29" s="39" t="n"/>
    </row>
    <row r="31">
      <c r="A31" s="20" t="inlineStr">
        <is>
          <t>Tasks done:</t>
        </is>
      </c>
      <c r="D31" s="28">
        <f>COUNTIFS(B5:B29,"?*",F5:F29,"✓")</f>
        <v>0.0</v>
      </c>
      <c r="E31" s="20" t="inlineStr">
        <is>
          <t>of</t>
        </is>
      </c>
      <c r="F31">
        <f>COUNTIF(B5:B29,"?*")-COUNTIF(F5:F29,"N/A")</f>
        <v>17.0</v>
      </c>
    </row>
    <row r="33">
      <c r="A33" s="4" t="inlineStr">
        <is>
          <t>Shift lead signature: _________________________    Time: _________</t>
        </is>
      </c>
    </row>
    <row r="35">
      <c r="A35" s="15" t="inlineStr">
        <is>
          <t>— Coffee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:G1"/>
    <mergeCell ref="A18:G18"/>
    <mergeCell ref="A31:C31"/>
    <mergeCell ref="A35:G35"/>
    <mergeCell ref="A12:G12"/>
    <mergeCell ref="A2:G2"/>
    <mergeCell ref="A33:G33"/>
    <mergeCell ref="A5:G5"/>
  </mergeCells>
  <conditionalFormatting sqref="A5:G29">
    <cfRule type="expression" priority="1" dxfId="0">
      <formula>$F5="✓"</formula>
    </cfRule>
  </conditionalFormatting>
  <dataValidations count="1">
    <dataValidation sqref="F6 F7 F8 F9 F10 F11 F13 F14 F15 F16 F17 F19 F20 F21 F22 F23 F24 F25 F26 F27 F28 F29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G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22" t="inlineStr">
        <is>
          <t>Weekly FIFO Check — Expiration Control</t>
        </is>
      </c>
    </row>
    <row r="2">
      <c r="A2" s="23" t="inlineStr">
        <is>
          <t>Week of ___/___/______ to ___/___/______    Manager: _________________________</t>
        </is>
      </c>
    </row>
    <row r="4">
      <c r="A4" s="24" t="inlineStr">
        <is>
          <t>#</t>
        </is>
      </c>
      <c r="B4" s="24" t="inlineStr">
        <is>
          <t>Task</t>
        </is>
      </c>
      <c r="C4" s="24" t="inlineStr">
        <is>
          <t>Area</t>
        </is>
      </c>
      <c r="D4" s="24" t="inlineStr">
        <is>
          <t>Assigned to</t>
        </is>
      </c>
      <c r="E4" s="24" t="inlineStr">
        <is>
          <t>Day</t>
        </is>
      </c>
      <c r="F4" s="24" t="inlineStr">
        <is>
          <t>✓ Done</t>
        </is>
      </c>
      <c r="G4" s="24" t="inlineStr">
        <is>
          <t>Initials</t>
        </is>
      </c>
    </row>
    <row r="5">
      <c r="A5" s="34" t="inlineStr">
        <is>
          <t xml:space="preserve">  WALK-IN COOLERS &amp; FREEZERS</t>
        </is>
      </c>
      <c r="B5" s="35" t="n"/>
      <c r="C5" s="35" t="n"/>
      <c r="D5" s="35" t="n"/>
      <c r="E5" s="35" t="n"/>
      <c r="F5" s="35" t="n"/>
      <c r="G5" s="35" t="n"/>
    </row>
    <row r="6">
      <c r="A6" s="36" t="n">
        <v>1</v>
      </c>
      <c r="B6" s="37" t="inlineStr">
        <is>
          <t>Check labels and dates on all opened products</t>
        </is>
      </c>
      <c r="C6" s="38" t="inlineStr">
        <is>
          <t>Walk-in</t>
        </is>
      </c>
      <c r="D6" s="38" t="inlineStr">
        <is>
          <t>Line cook</t>
        </is>
      </c>
      <c r="E6" s="38" t="inlineStr">
        <is>
          <t>Monday</t>
        </is>
      </c>
      <c r="F6" s="39" t="n"/>
      <c r="G6" s="39" t="n"/>
    </row>
    <row r="7">
      <c r="A7" s="40" t="n">
        <v>2</v>
      </c>
      <c r="B7" s="41" t="inlineStr">
        <is>
          <t>Rotate: oldest product in front</t>
        </is>
      </c>
      <c r="C7" s="38" t="inlineStr">
        <is>
          <t>Walk-in</t>
        </is>
      </c>
      <c r="D7" s="38" t="inlineStr">
        <is>
          <t>Line cook</t>
        </is>
      </c>
      <c r="E7" s="38" t="inlineStr">
        <is>
          <t>Monday</t>
        </is>
      </c>
      <c r="F7" s="39" t="n"/>
      <c r="G7" s="39" t="n"/>
    </row>
    <row r="8">
      <c r="A8" s="36" t="n">
        <v>3</v>
      </c>
      <c r="B8" s="37" t="inlineStr">
        <is>
          <t>Toss expired or spoiled product</t>
        </is>
      </c>
      <c r="C8" s="38" t="inlineStr">
        <is>
          <t>Walk-in</t>
        </is>
      </c>
      <c r="D8" s="38" t="inlineStr">
        <is>
          <t>Line cook</t>
        </is>
      </c>
      <c r="E8" s="38" t="inlineStr">
        <is>
          <t>Monday</t>
        </is>
      </c>
      <c r="F8" s="39" t="n"/>
      <c r="G8" s="39" t="n"/>
    </row>
    <row r="9">
      <c r="A9" s="40" t="n">
        <v>4</v>
      </c>
      <c r="B9" s="41" t="inlineStr">
        <is>
          <t>Check the temperatures of all coolers and freezers (cooler 41 °F or below, freezer 0 °F or below) — log reading: cooler ____ °F · freezer ____ °F</t>
        </is>
      </c>
      <c r="C9" s="38" t="inlineStr">
        <is>
          <t>Walk-in</t>
        </is>
      </c>
      <c r="D9" s="38" t="inlineStr">
        <is>
          <t>Line cook</t>
        </is>
      </c>
      <c r="E9" s="38" t="inlineStr">
        <is>
          <t>Monday</t>
        </is>
      </c>
      <c r="F9" s="39" t="n"/>
      <c r="G9" s="39" t="n"/>
    </row>
    <row r="10">
      <c r="A10" s="34" t="inlineStr">
        <is>
          <t xml:space="preserve">  BAR &amp; PASTRY CASE</t>
        </is>
      </c>
      <c r="B10" s="35" t="n"/>
      <c r="C10" s="35" t="n"/>
      <c r="D10" s="35" t="n"/>
      <c r="E10" s="35" t="n"/>
      <c r="F10" s="35" t="n"/>
      <c r="G10" s="35" t="n"/>
    </row>
    <row r="11">
      <c r="A11" s="40" t="n">
        <v>5</v>
      </c>
      <c r="B11" s="50" t="inlineStr">
        <is>
          <t>Check dates on opened milk: toss it at 7 days counting the day it was opened or at the label's use-by date, whichever comes first; keep it at 41 °F or below</t>
        </is>
      </c>
      <c r="C11" s="38" t="inlineStr">
        <is>
          <t>Bar</t>
        </is>
      </c>
      <c r="D11" s="38" t="inlineStr">
        <is>
          <t>Barista</t>
        </is>
      </c>
      <c r="E11" s="38" t="inlineStr">
        <is>
          <t>Monday</t>
        </is>
      </c>
      <c r="F11" s="39" t="n"/>
      <c r="G11" s="39" t="n"/>
    </row>
    <row r="12">
      <c r="A12" s="36" t="n">
        <v>6</v>
      </c>
      <c r="B12" s="37" t="inlineStr">
        <is>
          <t>Check expiration dates on opened syrups</t>
        </is>
      </c>
      <c r="C12" s="38" t="inlineStr">
        <is>
          <t>Bar</t>
        </is>
      </c>
      <c r="D12" s="38" t="inlineStr">
        <is>
          <t>Barista</t>
        </is>
      </c>
      <c r="E12" s="38" t="inlineStr">
        <is>
          <t>Monday</t>
        </is>
      </c>
      <c r="F12" s="39" t="n"/>
      <c r="G12" s="39" t="n"/>
    </row>
    <row r="13">
      <c r="A13" s="40" t="n">
        <v>7</v>
      </c>
      <c r="B13" s="41" t="inlineStr">
        <is>
          <t>Check pastry freshness</t>
        </is>
      </c>
      <c r="C13" s="38" t="inlineStr">
        <is>
          <t>Bar</t>
        </is>
      </c>
      <c r="D13" s="38" t="inlineStr">
        <is>
          <t>Baker</t>
        </is>
      </c>
      <c r="E13" s="38" t="inlineStr">
        <is>
          <t>Monday</t>
        </is>
      </c>
      <c r="F13" s="39" t="n"/>
      <c r="G13" s="39" t="n"/>
    </row>
    <row r="14">
      <c r="A14" s="36" t="n">
        <v>8</v>
      </c>
      <c r="B14" s="37" t="inlineStr">
        <is>
          <t>Check juice expiration dates</t>
        </is>
      </c>
      <c r="C14" s="38" t="inlineStr">
        <is>
          <t>Bar</t>
        </is>
      </c>
      <c r="D14" s="38" t="inlineStr">
        <is>
          <t>Barista</t>
        </is>
      </c>
      <c r="E14" s="38" t="inlineStr">
        <is>
          <t>Monday</t>
        </is>
      </c>
      <c r="F14" s="39" t="n"/>
      <c r="G14" s="39" t="n"/>
    </row>
    <row r="15">
      <c r="A15" s="34" t="inlineStr">
        <is>
          <t xml:space="preserve">  DRY STORAGE</t>
        </is>
      </c>
      <c r="B15" s="35" t="n"/>
      <c r="C15" s="35" t="n"/>
      <c r="D15" s="35" t="n"/>
      <c r="E15" s="35" t="n"/>
      <c r="F15" s="35" t="n"/>
      <c r="G15" s="35" t="n"/>
    </row>
    <row r="16">
      <c r="A16" s="36" t="n">
        <v>9</v>
      </c>
      <c r="B16" s="37" t="inlineStr">
        <is>
          <t>Check coffee bean freshness dates</t>
        </is>
      </c>
      <c r="C16" s="38" t="inlineStr">
        <is>
          <t>Storage</t>
        </is>
      </c>
      <c r="D16" s="38" t="inlineStr">
        <is>
          <t>Barista</t>
        </is>
      </c>
      <c r="E16" s="38" t="inlineStr">
        <is>
          <t>Monday</t>
        </is>
      </c>
      <c r="F16" s="39" t="n"/>
      <c r="G16" s="39" t="n"/>
    </row>
    <row r="17">
      <c r="A17" s="40" t="n">
        <v>10</v>
      </c>
      <c r="B17" s="41" t="inlineStr">
        <is>
          <t>Check tea and herbal tea expiration dates</t>
        </is>
      </c>
      <c r="C17" s="38" t="inlineStr">
        <is>
          <t>Storage</t>
        </is>
      </c>
      <c r="D17" s="38" t="inlineStr">
        <is>
          <t>Barista</t>
        </is>
      </c>
      <c r="E17" s="38" t="inlineStr">
        <is>
          <t>Monday</t>
        </is>
      </c>
      <c r="F17" s="39" t="n"/>
      <c r="G17" s="39" t="n"/>
    </row>
    <row r="18">
      <c r="A18" s="36" t="n">
        <v>11</v>
      </c>
      <c r="B18" s="37" t="inlineStr">
        <is>
          <t>Check packaging stock: cups, lids, bags</t>
        </is>
      </c>
      <c r="C18" s="38" t="inlineStr">
        <is>
          <t>Storage</t>
        </is>
      </c>
      <c r="D18" s="38" t="inlineStr">
        <is>
          <t>Manager</t>
        </is>
      </c>
      <c r="E18" s="38" t="inlineStr">
        <is>
          <t>Monday</t>
        </is>
      </c>
      <c r="F18" s="39" t="n"/>
      <c r="G18" s="39" t="n"/>
    </row>
    <row r="19">
      <c r="A19" s="40" t="n">
        <v>12</v>
      </c>
      <c r="B19" s="41" t="inlineStr">
        <is>
          <t>Check for pests and moisture</t>
        </is>
      </c>
      <c r="C19" s="38" t="inlineStr">
        <is>
          <t>Storage</t>
        </is>
      </c>
      <c r="D19" s="38" t="inlineStr">
        <is>
          <t>Manager</t>
        </is>
      </c>
      <c r="E19" s="38" t="inlineStr">
        <is>
          <t>Monday</t>
        </is>
      </c>
      <c r="F19" s="39" t="n"/>
      <c r="G19" s="39" t="n"/>
    </row>
    <row r="20">
      <c r="A20" s="34" t="inlineStr">
        <is>
          <t xml:space="preserve">  FRESH</t>
        </is>
      </c>
      <c r="B20" s="35" t="n"/>
      <c r="C20" s="35" t="n"/>
      <c r="D20" s="35" t="n"/>
      <c r="E20" s="35" t="n"/>
      <c r="F20" s="35" t="n"/>
      <c r="G20" s="35" t="n"/>
    </row>
    <row r="21">
      <c r="A21" s="40" t="n">
        <v>13</v>
      </c>
      <c r="B21" s="41" t="inlineStr">
        <is>
          <t>Check fresh fruit: toss anything past its prime</t>
        </is>
      </c>
      <c r="C21" s="38" t="inlineStr">
        <is>
          <t>Walk-in</t>
        </is>
      </c>
      <c r="D21" s="38" t="inlineStr">
        <is>
          <t>Line cook</t>
        </is>
      </c>
      <c r="E21" s="38" t="inlineStr">
        <is>
          <t>Monday</t>
        </is>
      </c>
      <c r="F21" s="39" t="n"/>
      <c r="G21" s="39" t="n"/>
    </row>
    <row r="22">
      <c r="A22" s="36" t="n">
        <v>14</v>
      </c>
      <c r="B22" s="37" t="inlineStr">
        <is>
          <t>Check eggs: expiration date</t>
        </is>
      </c>
      <c r="C22" s="38" t="inlineStr">
        <is>
          <t>Walk-in</t>
        </is>
      </c>
      <c r="D22" s="38" t="inlineStr">
        <is>
          <t>Line cook</t>
        </is>
      </c>
      <c r="E22" s="38" t="inlineStr">
        <is>
          <t>Monday</t>
        </is>
      </c>
      <c r="F22" s="39" t="n"/>
      <c r="G22" s="39" t="n"/>
    </row>
    <row r="23">
      <c r="A23" s="40" t="n">
        <v>15</v>
      </c>
      <c r="B23" s="41" t="inlineStr">
        <is>
          <t>Check the bread and pastries: freeze what won't be used THE SAME DAY and label it with the date (shelf life by food group in the table at the bottom of this sheet)</t>
        </is>
      </c>
      <c r="C23" s="38" t="inlineStr">
        <is>
          <t>Kitchen</t>
        </is>
      </c>
      <c r="D23" s="38" t="inlineStr">
        <is>
          <t>Line cook</t>
        </is>
      </c>
      <c r="E23" s="38" t="inlineStr">
        <is>
          <t>Monday</t>
        </is>
      </c>
      <c r="F23" s="39" t="n"/>
      <c r="G23" s="39" t="n"/>
    </row>
    <row r="24">
      <c r="A24" s="42" t="n"/>
      <c r="B24" s="43" t="n"/>
      <c r="C24" s="38" t="n"/>
      <c r="D24" s="38" t="n"/>
      <c r="E24" s="38" t="n"/>
      <c r="F24" s="39" t="n"/>
      <c r="G24" s="39" t="n"/>
    </row>
    <row r="25">
      <c r="A25" s="42" t="n"/>
      <c r="B25" s="43" t="n"/>
      <c r="C25" s="38" t="n"/>
      <c r="D25" s="38" t="n"/>
      <c r="E25" s="38" t="n"/>
      <c r="F25" s="39" t="n"/>
      <c r="G25" s="39" t="n"/>
    </row>
    <row r="26">
      <c r="A26" s="42" t="n"/>
      <c r="B26" s="43" t="n"/>
      <c r="C26" s="38" t="n"/>
      <c r="D26" s="38" t="n"/>
      <c r="E26" s="38" t="n"/>
      <c r="F26" s="39" t="n"/>
      <c r="G26" s="39" t="n"/>
    </row>
    <row r="27">
      <c r="A27" s="42" t="n"/>
      <c r="B27" s="43" t="n"/>
      <c r="C27" s="38" t="n"/>
      <c r="D27" s="38" t="n"/>
      <c r="E27" s="38" t="n"/>
      <c r="F27" s="39" t="n"/>
      <c r="G27" s="39" t="n"/>
    </row>
    <row r="28">
      <c r="A28" s="42" t="n"/>
      <c r="B28" s="43" t="n"/>
      <c r="C28" s="38" t="n"/>
      <c r="D28" s="38" t="n"/>
      <c r="E28" s="38" t="n"/>
      <c r="F28" s="39" t="n"/>
      <c r="G28" s="39" t="n"/>
    </row>
    <row r="30">
      <c r="A30" s="20" t="inlineStr">
        <is>
          <t>Tasks done:</t>
        </is>
      </c>
      <c r="D30" s="28">
        <f>COUNTIFS(B5:B28,"?*",F5:F28,"✓")</f>
        <v>0.0</v>
      </c>
      <c r="E30" s="20" t="inlineStr">
        <is>
          <t>of</t>
        </is>
      </c>
      <c r="F30">
        <f>COUNTIF(B5:B28,"?*")-COUNTIF(F5:F28,"N/A")</f>
        <v>15.0</v>
      </c>
    </row>
    <row r="32">
      <c r="A32" s="4" t="inlineStr">
        <is>
          <t>Shift lead signature: _________________________    Time: _________</t>
        </is>
      </c>
    </row>
    <row r="34">
      <c r="A34" s="25" t="inlineStr">
        <is>
          <t>APPROXIMATE FREEZER SHELF LIFE AT 0 °F — adjust it to your product and your supplier</t>
        </is>
      </c>
    </row>
    <row r="35">
      <c r="A35" s="24" t="n"/>
      <c r="B35" s="24" t="inlineStr">
        <is>
          <t>Food group</t>
        </is>
      </c>
      <c r="C35" s="24" t="inlineStr">
        <is>
          <t>Freezer time</t>
        </is>
      </c>
      <c r="D35" s="24" t="inlineStr">
        <is>
          <t>Notes</t>
        </is>
      </c>
      <c r="E35" s="44" t="n"/>
      <c r="F35" s="44" t="n"/>
      <c r="G35" s="45" t="n"/>
    </row>
    <row r="36">
      <c r="A36" s="30" t="n"/>
      <c r="B36" s="43" t="inlineStr">
        <is>
          <t>Croissants and raw pastry doughs</t>
        </is>
      </c>
      <c r="C36" s="38" t="inlineStr">
        <is>
          <t>1–2 months</t>
        </is>
      </c>
      <c r="D36" s="38" t="inlineStr">
        <is>
          <t>Yeast loses strength: the dough then rises poorly even though it's safe to eat</t>
        </is>
      </c>
      <c r="E36" s="52" t="n"/>
      <c r="F36" s="52" t="n"/>
      <c r="G36" s="53" t="n"/>
    </row>
    <row r="37">
      <c r="A37" s="30" t="n"/>
      <c r="B37" s="43" t="inlineStr">
        <is>
          <t>Bread and already-baked pastries</t>
        </is>
      </c>
      <c r="C37" s="38" t="inlineStr">
        <is>
          <t>1–3 months</t>
        </is>
      </c>
      <c r="D37" s="38" t="inlineStr">
        <is>
          <t>Loses texture before safety; thaw and refresh in the oven</t>
        </is>
      </c>
      <c r="E37" s="52" t="n"/>
      <c r="F37" s="52" t="n"/>
      <c r="G37" s="53" t="n"/>
    </row>
    <row r="38">
      <c r="A38" s="30" t="n"/>
      <c r="B38" s="43" t="inlineStr">
        <is>
          <t>Cakes and loaf cakes without whipped cream</t>
        </is>
      </c>
      <c r="C38" s="38" t="inlineStr">
        <is>
          <t>2–3 months</t>
        </is>
      </c>
      <c r="D38" s="38" t="inlineStr">
        <is>
          <t>Whipped cream and egg custards do NOT hold up to freezing</t>
        </is>
      </c>
      <c r="E38" s="52" t="n"/>
      <c r="F38" s="52" t="n"/>
      <c r="G38" s="53" t="n"/>
    </row>
    <row r="39">
      <c r="A39" s="30" t="n"/>
      <c r="B39" s="43" t="inlineStr">
        <is>
          <t>Smoked salmon and oily fish</t>
        </is>
      </c>
      <c r="C39" s="38" t="inlineStr">
        <is>
          <t>2–3 months</t>
        </is>
      </c>
      <c r="D39" s="38" t="inlineStr">
        <is>
          <t>Fat goes rancid even when frozen: it spoils first</t>
        </is>
      </c>
      <c r="E39" s="52" t="n"/>
      <c r="F39" s="52" t="n"/>
      <c r="G39" s="53" t="n"/>
    </row>
    <row r="40">
      <c r="A40" s="30" t="n"/>
      <c r="B40" s="43" t="inlineStr">
        <is>
          <t>Bacon, ham and sliced deli meats</t>
        </is>
      </c>
      <c r="C40" s="38" t="inlineStr">
        <is>
          <t>1–2 months</t>
        </is>
      </c>
      <c r="D40" s="38" t="inlineStr">
        <is>
          <t>Salt speeds up fat rancidity</t>
        </is>
      </c>
      <c r="E40" s="52" t="n"/>
      <c r="F40" s="52" t="n"/>
      <c r="G40" s="53" t="n"/>
    </row>
    <row r="41">
      <c r="A41" s="30" t="n"/>
      <c r="B41" s="43" t="inlineStr">
        <is>
          <t>Cut fruit and fruit purees for bowls</t>
        </is>
      </c>
      <c r="C41" s="38" t="inlineStr">
        <is>
          <t>8–12 months</t>
        </is>
      </c>
      <c r="D41" s="38" t="inlineStr">
        <is>
          <t>Freeze it the same day it's cut, in single-use portions</t>
        </is>
      </c>
      <c r="E41" s="52" t="n"/>
      <c r="F41" s="52" t="n"/>
      <c r="G41" s="53" t="n"/>
    </row>
    <row r="42">
      <c r="A42" s="30" t="n"/>
      <c r="B42" s="43" t="inlineStr">
        <is>
          <t>House-made stocks, soups and sauces</t>
        </is>
      </c>
      <c r="C42" s="38" t="inlineStr">
        <is>
          <t>3 months</t>
        </is>
      </c>
      <c r="D42" s="38" t="inlineStr">
        <is>
          <t>Label with BOTH the production date AND the freeze date: the shelf life in this table counts from the freeze date</t>
        </is>
      </c>
      <c r="E42" s="52" t="n"/>
      <c r="F42" s="52" t="n"/>
      <c r="G42" s="53" t="n"/>
    </row>
    <row r="43">
      <c r="A43" s="30" t="n"/>
      <c r="B43" s="43" t="inlineStr">
        <is>
          <t>Coffee beans</t>
        </is>
      </c>
      <c r="C43" s="38" t="inlineStr">
        <is>
          <t>Don't freeze</t>
        </is>
      </c>
      <c r="D43" s="38" t="inlineStr">
        <is>
          <t>For daily use, don't freeze: the condensation from opening and closing the bag ruins the beans</t>
        </is>
      </c>
      <c r="E43" s="52" t="n"/>
      <c r="F43" s="52" t="n"/>
      <c r="G43" s="53" t="n"/>
    </row>
    <row r="45">
      <c r="A45" s="15" t="inlineStr">
        <is>
          <t>— Coffee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19">
    <mergeCell ref="A32:G32"/>
    <mergeCell ref="D39:G39"/>
    <mergeCell ref="A20:G20"/>
    <mergeCell ref="D42:G42"/>
    <mergeCell ref="D38:G38"/>
    <mergeCell ref="A10:G10"/>
    <mergeCell ref="D35:G35"/>
    <mergeCell ref="A34:G34"/>
    <mergeCell ref="A15:G15"/>
    <mergeCell ref="A45:G45"/>
    <mergeCell ref="D40:G40"/>
    <mergeCell ref="A1:G1"/>
    <mergeCell ref="D36:G36"/>
    <mergeCell ref="A30:C30"/>
    <mergeCell ref="D41:G41"/>
    <mergeCell ref="A2:G2"/>
    <mergeCell ref="D43:G43"/>
    <mergeCell ref="D37:G37"/>
    <mergeCell ref="A5:G5"/>
  </mergeCells>
  <conditionalFormatting sqref="A5:G28">
    <cfRule type="expression" priority="1" dxfId="0">
      <formula>$F5="✓"</formula>
    </cfRule>
  </conditionalFormatting>
  <dataValidations count="1">
    <dataValidation sqref="F6 F7 F8 F9 F11 F12 F13 F14 F16 F17 F18 F19 F21 F22 F23 F24 F25 F26 F27 F28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22" t="inlineStr">
        <is>
          <t>Monthly Equipment Maintenance</t>
        </is>
      </c>
    </row>
    <row r="2">
      <c r="A2" s="23" t="inlineStr">
        <is>
          <t>Month: ________________   Year: ______    Manager: _________________________</t>
        </is>
      </c>
    </row>
    <row r="4">
      <c r="A4" s="24" t="inlineStr">
        <is>
          <t>#</t>
        </is>
      </c>
      <c r="B4" s="24" t="inlineStr">
        <is>
          <t>Task</t>
        </is>
      </c>
      <c r="C4" s="24" t="inlineStr">
        <is>
          <t>Area</t>
        </is>
      </c>
      <c r="D4" s="24" t="inlineStr">
        <is>
          <t>Assigned to</t>
        </is>
      </c>
      <c r="E4" s="24" t="inlineStr">
        <is>
          <t>Frequency</t>
        </is>
      </c>
      <c r="F4" s="24" t="inlineStr">
        <is>
          <t>✓ Done</t>
        </is>
      </c>
      <c r="G4" s="24" t="inlineStr">
        <is>
          <t>Initials</t>
        </is>
      </c>
    </row>
    <row r="5">
      <c r="A5" s="34" t="inlineStr">
        <is>
          <t xml:space="preserve">  ESPRESSO MACHINE</t>
        </is>
      </c>
      <c r="B5" s="35" t="n"/>
      <c r="C5" s="35" t="n"/>
      <c r="D5" s="35" t="n"/>
      <c r="E5" s="35" t="n"/>
      <c r="F5" s="35" t="n"/>
      <c r="G5" s="35" t="n"/>
    </row>
    <row r="6">
      <c r="A6" s="36" t="n">
        <v>1</v>
      </c>
      <c r="B6" s="51" t="inlineStr">
        <is>
          <t>Descale the whole espresso machine per the manufacturer's instructions</t>
        </is>
      </c>
      <c r="C6" s="38" t="inlineStr">
        <is>
          <t>Bar</t>
        </is>
      </c>
      <c r="D6" s="38" t="inlineStr">
        <is>
          <t>Tech / barista</t>
        </is>
      </c>
      <c r="E6" s="38" t="inlineStr">
        <is>
          <t>Monthly</t>
        </is>
      </c>
      <c r="F6" s="39" t="n"/>
      <c r="G6" s="39" t="n"/>
    </row>
    <row r="7">
      <c r="A7" s="40" t="n">
        <v>2</v>
      </c>
      <c r="B7" s="41" t="inlineStr">
        <is>
          <t>Replace group head gaskets if worn</t>
        </is>
      </c>
      <c r="C7" s="38" t="inlineStr">
        <is>
          <t>Bar</t>
        </is>
      </c>
      <c r="D7" s="38" t="inlineStr">
        <is>
          <t>Technician</t>
        </is>
      </c>
      <c r="E7" s="38" t="inlineStr">
        <is>
          <t>Monthly</t>
        </is>
      </c>
      <c r="F7" s="39" t="n"/>
      <c r="G7" s="39" t="n"/>
    </row>
    <row r="8">
      <c r="A8" s="36" t="n">
        <v>3</v>
      </c>
      <c r="B8" s="37" t="inlineStr">
        <is>
          <t>Check boiler pressure</t>
        </is>
      </c>
      <c r="C8" s="38" t="inlineStr">
        <is>
          <t>Bar</t>
        </is>
      </c>
      <c r="D8" s="38" t="inlineStr">
        <is>
          <t>Technician</t>
        </is>
      </c>
      <c r="E8" s="38" t="inlineStr">
        <is>
          <t>Monthly</t>
        </is>
      </c>
      <c r="F8" s="39" t="n"/>
      <c r="G8" s="39" t="n"/>
    </row>
    <row r="9">
      <c r="A9" s="40" t="n">
        <v>4</v>
      </c>
      <c r="B9" s="50" t="inlineStr">
        <is>
          <t>Check the water filter: pressure/flow and capacity used (change it on the Quarterly &amp; Annual schedule)</t>
        </is>
      </c>
      <c r="C9" s="38" t="inlineStr">
        <is>
          <t>Bar</t>
        </is>
      </c>
      <c r="D9" s="38" t="inlineStr">
        <is>
          <t>Technician</t>
        </is>
      </c>
      <c r="E9" s="38" t="inlineStr">
        <is>
          <t>Monthly</t>
        </is>
      </c>
      <c r="F9" s="39" t="n"/>
      <c r="G9" s="39" t="n"/>
    </row>
    <row r="10">
      <c r="A10" s="34" t="inlineStr">
        <is>
          <t xml:space="preserve">  GRINDER</t>
        </is>
      </c>
      <c r="B10" s="35" t="n"/>
      <c r="C10" s="35" t="n"/>
      <c r="D10" s="35" t="n"/>
      <c r="E10" s="35" t="n"/>
      <c r="F10" s="35" t="n"/>
      <c r="G10" s="35" t="n"/>
    </row>
    <row r="11">
      <c r="A11" s="40" t="n">
        <v>5</v>
      </c>
      <c r="B11" s="41" t="inlineStr">
        <is>
          <t>Deep clean the grinder burrs</t>
        </is>
      </c>
      <c r="C11" s="38" t="inlineStr">
        <is>
          <t>Bar</t>
        </is>
      </c>
      <c r="D11" s="38" t="inlineStr">
        <is>
          <t>Barista</t>
        </is>
      </c>
      <c r="E11" s="38" t="inlineStr">
        <is>
          <t>Monthly</t>
        </is>
      </c>
      <c r="F11" s="39" t="n"/>
      <c r="G11" s="39" t="n"/>
    </row>
    <row r="12">
      <c r="A12" s="36" t="n">
        <v>6</v>
      </c>
      <c r="B12" s="37" t="inlineStr">
        <is>
          <t>Check burr wear (replace if needed)</t>
        </is>
      </c>
      <c r="C12" s="38" t="inlineStr">
        <is>
          <t>Bar</t>
        </is>
      </c>
      <c r="D12" s="38" t="inlineStr">
        <is>
          <t>Technician</t>
        </is>
      </c>
      <c r="E12" s="38" t="inlineStr">
        <is>
          <t>Monthly</t>
        </is>
      </c>
      <c r="F12" s="39" t="n"/>
      <c r="G12" s="39" t="n"/>
    </row>
    <row r="13">
      <c r="A13" s="40" t="n">
        <v>7</v>
      </c>
      <c r="B13" s="41" t="inlineStr">
        <is>
          <t>Calibrate the dose</t>
        </is>
      </c>
      <c r="C13" s="38" t="inlineStr">
        <is>
          <t>Bar</t>
        </is>
      </c>
      <c r="D13" s="38" t="inlineStr">
        <is>
          <t>Barista</t>
        </is>
      </c>
      <c r="E13" s="38" t="inlineStr">
        <is>
          <t>Monthly</t>
        </is>
      </c>
      <c r="F13" s="39" t="n"/>
      <c r="G13" s="39" t="n"/>
    </row>
    <row r="14">
      <c r="A14" s="34" t="inlineStr">
        <is>
          <t xml:space="preserve">  KITCHEN &amp; GENERAL</t>
        </is>
      </c>
      <c r="B14" s="35" t="n"/>
      <c r="C14" s="35" t="n"/>
      <c r="D14" s="35" t="n"/>
      <c r="E14" s="35" t="n"/>
      <c r="F14" s="35" t="n"/>
      <c r="G14" s="35" t="n"/>
    </row>
    <row r="15">
      <c r="A15" s="40" t="n">
        <v>8</v>
      </c>
      <c r="B15" s="41" t="inlineStr">
        <is>
          <t>Oven check: heating elements, door, gaskets</t>
        </is>
      </c>
      <c r="C15" s="38" t="inlineStr">
        <is>
          <t>Kitchen</t>
        </is>
      </c>
      <c r="D15" s="38" t="inlineStr">
        <is>
          <t>Technician</t>
        </is>
      </c>
      <c r="E15" s="38" t="inlineStr">
        <is>
          <t>Monthly</t>
        </is>
      </c>
      <c r="F15" s="39" t="n"/>
      <c r="G15" s="39" t="n"/>
    </row>
    <row r="16">
      <c r="A16" s="36" t="n">
        <v>9</v>
      </c>
      <c r="B16" s="37" t="inlineStr">
        <is>
          <t>Dish machine: clean filters, check rinse aid and salt (only if it has a water softener)</t>
        </is>
      </c>
      <c r="C16" s="38" t="inlineStr">
        <is>
          <t>Kitchen</t>
        </is>
      </c>
      <c r="D16" s="38" t="inlineStr">
        <is>
          <t>Manager</t>
        </is>
      </c>
      <c r="E16" s="38" t="inlineStr">
        <is>
          <t>Monthly</t>
        </is>
      </c>
      <c r="F16" s="39" t="n"/>
      <c r="G16" s="39" t="n"/>
    </row>
    <row r="17">
      <c r="A17" s="40" t="n">
        <v>10</v>
      </c>
      <c r="B17" s="41" t="inlineStr">
        <is>
          <t>Check the exhaust hood and filters</t>
        </is>
      </c>
      <c r="C17" s="38" t="inlineStr">
        <is>
          <t>Kitchen</t>
        </is>
      </c>
      <c r="D17" s="38" t="inlineStr">
        <is>
          <t>Technician</t>
        </is>
      </c>
      <c r="E17" s="38" t="inlineStr">
        <is>
          <t>Monthly</t>
        </is>
      </c>
      <c r="F17" s="39" t="n"/>
      <c r="G17" s="39" t="n"/>
    </row>
    <row r="18">
      <c r="A18" s="36" t="n">
        <v>11</v>
      </c>
      <c r="B18" s="37" t="inlineStr">
        <is>
          <t>Check HVAC: filters, temperature</t>
        </is>
      </c>
      <c r="C18" s="38" t="inlineStr">
        <is>
          <t>General</t>
        </is>
      </c>
      <c r="D18" s="38" t="inlineStr">
        <is>
          <t>Technician</t>
        </is>
      </c>
      <c r="E18" s="38" t="inlineStr">
        <is>
          <t>Monthly</t>
        </is>
      </c>
      <c r="F18" s="39" t="n"/>
      <c r="G18" s="39" t="n"/>
    </row>
    <row r="19">
      <c r="A19" s="40" t="n">
        <v>12</v>
      </c>
      <c r="B19" s="41" t="inlineStr">
        <is>
          <t>Check the electrical system</t>
        </is>
      </c>
      <c r="C19" s="38" t="inlineStr">
        <is>
          <t>General</t>
        </is>
      </c>
      <c r="D19" s="38" t="inlineStr">
        <is>
          <t>Technician</t>
        </is>
      </c>
      <c r="E19" s="38" t="inlineStr">
        <is>
          <t>Monthly</t>
        </is>
      </c>
      <c r="F19" s="39" t="n"/>
      <c r="G19" s="39" t="n"/>
    </row>
    <row r="20">
      <c r="A20" s="34" t="inlineStr">
        <is>
          <t xml:space="preserve">  SAFETY &amp; COMPLIANCE</t>
        </is>
      </c>
      <c r="B20" s="35" t="n"/>
      <c r="C20" s="35" t="n"/>
      <c r="D20" s="35" t="n"/>
      <c r="E20" s="35" t="n"/>
      <c r="F20" s="35" t="n"/>
      <c r="G20" s="35" t="n"/>
    </row>
    <row r="21">
      <c r="A21" s="40" t="n">
        <v>13</v>
      </c>
      <c r="B21" s="41" t="inlineStr">
        <is>
          <t>Monthly visual check of the fire extinguisher: gauge in the green, pin and seal in place, clear access, signed tag</t>
        </is>
      </c>
      <c r="C21" s="38" t="inlineStr">
        <is>
          <t>General</t>
        </is>
      </c>
      <c r="D21" s="38" t="inlineStr">
        <is>
          <t>Manager</t>
        </is>
      </c>
      <c r="E21" s="38" t="inlineStr">
        <is>
          <t>Monthly</t>
        </is>
      </c>
      <c r="F21" s="39" t="n"/>
      <c r="G21" s="39" t="n"/>
    </row>
    <row r="22">
      <c r="A22" s="36" t="n">
        <v>14</v>
      </c>
      <c r="B22" s="37" t="inlineStr">
        <is>
          <t>Check first aid kit: stock, expiration dates</t>
        </is>
      </c>
      <c r="C22" s="38" t="inlineStr">
        <is>
          <t>General</t>
        </is>
      </c>
      <c r="D22" s="38" t="inlineStr">
        <is>
          <t>Manager</t>
        </is>
      </c>
      <c r="E22" s="38" t="inlineStr">
        <is>
          <t>Monthly</t>
        </is>
      </c>
      <c r="F22" s="39" t="n"/>
      <c r="G22" s="39" t="n"/>
    </row>
    <row r="23">
      <c r="A23" s="40" t="n">
        <v>15</v>
      </c>
      <c r="B23" s="41" t="inlineStr">
        <is>
          <t>Check emergency exits: clear and marked</t>
        </is>
      </c>
      <c r="C23" s="38" t="inlineStr">
        <is>
          <t>General</t>
        </is>
      </c>
      <c r="D23" s="38" t="inlineStr">
        <is>
          <t>Manager</t>
        </is>
      </c>
      <c r="E23" s="38" t="inlineStr">
        <is>
          <t>Monthly</t>
        </is>
      </c>
      <c r="F23" s="39" t="n"/>
      <c r="G23" s="39" t="n"/>
    </row>
    <row r="24">
      <c r="A24" s="42" t="n"/>
      <c r="B24" s="43" t="n"/>
      <c r="C24" s="38" t="n"/>
      <c r="D24" s="38" t="n"/>
      <c r="E24" s="38" t="n"/>
      <c r="F24" s="39" t="n"/>
      <c r="G24" s="39" t="n"/>
    </row>
    <row r="25">
      <c r="A25" s="42" t="n"/>
      <c r="B25" s="43" t="n"/>
      <c r="C25" s="38" t="n"/>
      <c r="D25" s="38" t="n"/>
      <c r="E25" s="38" t="n"/>
      <c r="F25" s="39" t="n"/>
      <c r="G25" s="39" t="n"/>
    </row>
    <row r="26">
      <c r="A26" s="42" t="n"/>
      <c r="B26" s="43" t="n"/>
      <c r="C26" s="38" t="n"/>
      <c r="D26" s="38" t="n"/>
      <c r="E26" s="38" t="n"/>
      <c r="F26" s="39" t="n"/>
      <c r="G26" s="39" t="n"/>
    </row>
    <row r="27">
      <c r="A27" s="42" t="n"/>
      <c r="B27" s="43" t="n"/>
      <c r="C27" s="38" t="n"/>
      <c r="D27" s="38" t="n"/>
      <c r="E27" s="38" t="n"/>
      <c r="F27" s="39" t="n"/>
      <c r="G27" s="39" t="n"/>
    </row>
    <row r="28">
      <c r="A28" s="42" t="n"/>
      <c r="B28" s="43" t="n"/>
      <c r="C28" s="38" t="n"/>
      <c r="D28" s="38" t="n"/>
      <c r="E28" s="38" t="n"/>
      <c r="F28" s="39" t="n"/>
      <c r="G28" s="39" t="n"/>
    </row>
    <row r="30">
      <c r="A30" s="20" t="inlineStr">
        <is>
          <t>Tasks done:</t>
        </is>
      </c>
      <c r="D30" s="28">
        <f>COUNTIFS(B5:B28,"?*",F5:F28,"✓")</f>
        <v>0.0</v>
      </c>
      <c r="E30" s="20" t="inlineStr">
        <is>
          <t>of</t>
        </is>
      </c>
      <c r="F30">
        <f>COUNTIF(B5:B28,"?*")-COUNTIF(F5:F28,"N/A")</f>
        <v>15.0</v>
      </c>
    </row>
    <row r="32">
      <c r="A32" s="4" t="inlineStr">
        <is>
          <t>Shift lead signature: _________________________    Time: _________</t>
        </is>
      </c>
    </row>
    <row r="34">
      <c r="A34" s="15" t="inlineStr">
        <is>
          <t>— Coffee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9">
    <mergeCell ref="A32:G32"/>
    <mergeCell ref="A14:G14"/>
    <mergeCell ref="A1:G1"/>
    <mergeCell ref="A34:G34"/>
    <mergeCell ref="A20:G20"/>
    <mergeCell ref="A2:G2"/>
    <mergeCell ref="A30:C30"/>
    <mergeCell ref="A10:G10"/>
    <mergeCell ref="A5:G5"/>
  </mergeCells>
  <conditionalFormatting sqref="A5:G28">
    <cfRule type="expression" priority="1" dxfId="0">
      <formula>$F5="✓"</formula>
    </cfRule>
  </conditionalFormatting>
  <dataValidations count="1">
    <dataValidation sqref="F6 F7 F8 F9 F11 F12 F13 F15 F16 F17 F18 F19 F21 F22 F23 F24 F25 F26 F27 F28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22" t="inlineStr">
        <is>
          <t>Quarterly &amp; Annual Maintenance — Contracted Services</t>
        </is>
      </c>
    </row>
    <row r="2">
      <c r="A2" s="23" t="inlineStr">
        <is>
          <t>Month: ________________   Year: ______    Manager: _________________________</t>
        </is>
      </c>
    </row>
    <row r="4">
      <c r="A4" s="24" t="inlineStr">
        <is>
          <t>#</t>
        </is>
      </c>
      <c r="B4" s="24" t="inlineStr">
        <is>
          <t>Task</t>
        </is>
      </c>
      <c r="C4" s="24" t="inlineStr">
        <is>
          <t>Report #</t>
        </is>
      </c>
      <c r="D4" s="24" t="inlineStr">
        <is>
          <t>Assigned to</t>
        </is>
      </c>
      <c r="E4" s="24" t="inlineStr">
        <is>
          <t>Frequency</t>
        </is>
      </c>
      <c r="F4" s="24" t="inlineStr">
        <is>
          <t>✓ Done</t>
        </is>
      </c>
      <c r="G4" s="24" t="inlineStr">
        <is>
          <t>Initials</t>
        </is>
      </c>
    </row>
    <row r="5">
      <c r="A5" s="34" t="inlineStr">
        <is>
          <t xml:space="preserve">  CONTRACTED — LICENSED COMPANY</t>
        </is>
      </c>
      <c r="B5" s="35" t="n"/>
      <c r="C5" s="35" t="n"/>
      <c r="D5" s="35" t="n"/>
      <c r="E5" s="35" t="n"/>
      <c r="F5" s="35" t="n"/>
      <c r="G5" s="35" t="n"/>
    </row>
    <row r="6">
      <c r="A6" s="36" t="n">
        <v>1</v>
      </c>
      <c r="B6" s="37" t="inlineStr">
        <is>
          <t>Pest control by a licensed operator: service visit and signed service report on file</t>
        </is>
      </c>
      <c r="C6" s="38" t="n"/>
      <c r="D6" s="38" t="inlineStr">
        <is>
          <t>Pest control co.</t>
        </is>
      </c>
      <c r="E6" s="38" t="inlineStr">
        <is>
          <t>Monthly</t>
        </is>
      </c>
      <c r="F6" s="39" t="n"/>
      <c r="G6" s="39" t="n"/>
    </row>
    <row r="7">
      <c r="A7" s="40" t="n">
        <v>2</v>
      </c>
      <c r="B7" s="41" t="inlineStr">
        <is>
          <t>Hood and duct cleaning by a certified contractor if the cafe cooks under a hood (NFPA 96: semiannual if moderate volume, quarterly if high volume, annual only for low-volume operations); hood fire suppression inspected every 6 months</t>
        </is>
      </c>
      <c r="C7" s="38" t="n"/>
      <c r="D7" s="38" t="inlineStr">
        <is>
          <t>Hood cleaning co.</t>
        </is>
      </c>
      <c r="E7" s="38" t="inlineStr">
        <is>
          <t>Semiannual</t>
        </is>
      </c>
      <c r="F7" s="39" t="n"/>
      <c r="G7" s="39" t="n"/>
    </row>
    <row r="8">
      <c r="A8" s="36" t="n">
        <v>3</v>
      </c>
      <c r="B8" s="37" t="inlineStr">
        <is>
          <t>Annual extinguisher maintenance by a licensed fire protection company: new tag and record (OSHA 1910.157); hydrostatic tests per the label</t>
        </is>
      </c>
      <c r="C8" s="38" t="n"/>
      <c r="D8" s="38" t="inlineStr">
        <is>
          <t>Fire safety co.</t>
        </is>
      </c>
      <c r="E8" s="38" t="inlineStr">
        <is>
          <t>Annual</t>
        </is>
      </c>
      <c r="F8" s="39" t="n"/>
      <c r="G8" s="39" t="n"/>
    </row>
    <row r="9">
      <c r="A9" s="40" t="n">
        <v>4</v>
      </c>
      <c r="B9" s="41" t="inlineStr">
        <is>
          <t>Legionella: if you have a cooling tower or at-risk hot water, keep a water management program as your local health code requires</t>
        </is>
      </c>
      <c r="C9" s="38" t="n"/>
      <c r="D9" s="38" t="inlineStr">
        <is>
          <t>Water treatment co.</t>
        </is>
      </c>
      <c r="E9" s="38" t="inlineStr">
        <is>
          <t>Annual</t>
        </is>
      </c>
      <c r="F9" s="39" t="n"/>
      <c r="G9" s="39" t="n"/>
    </row>
    <row r="10">
      <c r="A10" s="34" t="inlineStr">
        <is>
          <t xml:space="preserve">  GAS, REFRIGERATION &amp; WASTE</t>
        </is>
      </c>
      <c r="B10" s="35" t="n"/>
      <c r="C10" s="35" t="n"/>
      <c r="D10" s="35" t="n"/>
      <c r="E10" s="35" t="n"/>
      <c r="F10" s="35" t="n"/>
      <c r="G10" s="35" t="n"/>
    </row>
    <row r="11">
      <c r="A11" s="40" t="n">
        <v>5</v>
      </c>
      <c r="B11" s="41" t="inlineStr">
        <is>
          <t>Gas lines and appliance connections checked by a licensed pro if the cafe has gas (as often as your local code requires)</t>
        </is>
      </c>
      <c r="C11" s="38" t="n"/>
      <c r="D11" s="38" t="inlineStr">
        <is>
          <t>Licensed plumber</t>
        </is>
      </c>
      <c r="E11" s="38" t="inlineStr">
        <is>
          <t>Annual</t>
        </is>
      </c>
      <c r="F11" s="39" t="n"/>
      <c r="G11" s="39" t="n"/>
    </row>
    <row r="12">
      <c r="A12" s="36" t="n">
        <v>6</v>
      </c>
      <c r="B12" s="37" t="inlineStr">
        <is>
          <t>Refrigeration service by an EPA 608-certified tech: walk-in, reach-ins and refrigerated pastry case — coils, gaskets and refrigerant leak check</t>
        </is>
      </c>
      <c r="C12" s="38" t="n"/>
      <c r="D12" s="38" t="inlineStr">
        <is>
          <t>Refrigeration tech</t>
        </is>
      </c>
      <c r="E12" s="38" t="inlineStr">
        <is>
          <t>Annual</t>
        </is>
      </c>
      <c r="F12" s="39" t="n"/>
      <c r="G12" s="39" t="n"/>
    </row>
    <row r="13">
      <c r="A13" s="40" t="n">
        <v>7</v>
      </c>
      <c r="B13" s="41" t="inlineStr">
        <is>
          <t>Used cooking oil pickup by a licensed recycler if you have a fryer: file the pickup receipts</t>
        </is>
      </c>
      <c r="C13" s="38" t="n"/>
      <c r="D13" s="38" t="inlineStr">
        <is>
          <t>Oil recycler</t>
        </is>
      </c>
      <c r="E13" s="38" t="inlineStr">
        <is>
          <t>Quarterly</t>
        </is>
      </c>
      <c r="F13" s="39" t="n"/>
      <c r="G13" s="39" t="n"/>
    </row>
    <row r="14">
      <c r="A14" s="34" t="inlineStr">
        <is>
          <t xml:space="preserve">  WATER &amp; COFFEE EQUIPMENT</t>
        </is>
      </c>
      <c r="B14" s="35" t="n"/>
      <c r="C14" s="35" t="n"/>
      <c r="D14" s="35" t="n"/>
      <c r="E14" s="35" t="n"/>
      <c r="F14" s="35" t="n"/>
      <c r="G14" s="35" t="n"/>
    </row>
    <row r="15">
      <c r="A15" s="40" t="n">
        <v>8</v>
      </c>
      <c r="B15" s="41" t="inlineStr">
        <is>
          <t>Change the water softener filter on the espresso machine and log the date of the change</t>
        </is>
      </c>
      <c r="C15" s="38" t="n"/>
      <c r="D15" s="38" t="inlineStr">
        <is>
          <t>Espresso tech</t>
        </is>
      </c>
      <c r="E15" s="38" t="inlineStr">
        <is>
          <t>Quarterly</t>
        </is>
      </c>
      <c r="F15" s="39" t="n"/>
      <c r="G15" s="39" t="n"/>
    </row>
    <row r="16">
      <c r="A16" s="36" t="n">
        <v>9</v>
      </c>
      <c r="B16" s="37" t="inlineStr">
        <is>
          <t>Measure water hardness (GH/KH) and adjust the filter: water is nearly everything in the cup</t>
        </is>
      </c>
      <c r="C16" s="38" t="n"/>
      <c r="D16" s="38" t="inlineStr">
        <is>
          <t>Barista</t>
        </is>
      </c>
      <c r="E16" s="38" t="inlineStr">
        <is>
          <t>Quarterly</t>
        </is>
      </c>
      <c r="F16" s="39" t="n"/>
      <c r="G16" s="39" t="n"/>
    </row>
    <row r="17">
      <c r="A17" s="40" t="n">
        <v>10</v>
      </c>
      <c r="B17" s="41" t="inlineStr">
        <is>
          <t>Full service check of the espresso machine by the espresso tech: gaskets, pressure and safety valve</t>
        </is>
      </c>
      <c r="C17" s="38" t="n"/>
      <c r="D17" s="38" t="inlineStr">
        <is>
          <t>Espresso tech</t>
        </is>
      </c>
      <c r="E17" s="38" t="inlineStr">
        <is>
          <t>Annual</t>
        </is>
      </c>
      <c r="F17" s="39" t="n"/>
      <c r="G17" s="39" t="n"/>
    </row>
    <row r="18">
      <c r="A18" s="36" t="n">
        <v>11</v>
      </c>
      <c r="B18" s="37" t="inlineStr">
        <is>
          <t>Check grinder burr wear by pounds ground (rough guide: flat 880–1,320 lb, conical 1,760–2,650 lb) and replace if due</t>
        </is>
      </c>
      <c r="C18" s="38" t="n"/>
      <c r="D18" s="38" t="inlineStr">
        <is>
          <t>Espresso tech</t>
        </is>
      </c>
      <c r="E18" s="38" t="inlineStr">
        <is>
          <t>Annual</t>
        </is>
      </c>
      <c r="F18" s="39" t="n"/>
      <c r="G18" s="39" t="n"/>
    </row>
    <row r="19">
      <c r="A19" s="40" t="n">
        <v>12</v>
      </c>
      <c r="B19" s="41" t="inlineStr">
        <is>
          <t>Calibrate thermometers and probes against a known standard (ice-point method, 32 °F)</t>
        </is>
      </c>
      <c r="C19" s="38" t="n"/>
      <c r="D19" s="38" t="inlineStr">
        <is>
          <t>Manager</t>
        </is>
      </c>
      <c r="E19" s="38" t="inlineStr">
        <is>
          <t>Annual</t>
        </is>
      </c>
      <c r="F19" s="39" t="n"/>
      <c r="G19" s="39" t="n"/>
    </row>
    <row r="20">
      <c r="A20" s="34" t="inlineStr">
        <is>
          <t xml:space="preserve">  ADMIN &amp; INSURANCE</t>
        </is>
      </c>
      <c r="B20" s="35" t="n"/>
      <c r="C20" s="35" t="n"/>
      <c r="D20" s="35" t="n"/>
      <c r="E20" s="35" t="n"/>
      <c r="F20" s="35" t="n"/>
      <c r="G20" s="35" t="n"/>
    </row>
    <row r="21">
      <c r="A21" s="40" t="n">
        <v>13</v>
      </c>
      <c r="B21" s="41" t="inlineStr">
        <is>
          <t>Review insurance (general liability, property, workers' comp; liquor liability if you serve alcohol) and renewal dates</t>
        </is>
      </c>
      <c r="C21" s="38" t="n"/>
      <c r="D21" s="38" t="inlineStr">
        <is>
          <t>Manager</t>
        </is>
      </c>
      <c r="E21" s="38" t="inlineStr">
        <is>
          <t>Annual</t>
        </is>
      </c>
      <c r="F21" s="39" t="n"/>
      <c r="G21" s="39" t="n"/>
    </row>
    <row r="22">
      <c r="A22" s="36" t="n">
        <v>14</v>
      </c>
      <c r="B22" s="37" t="inlineStr">
        <is>
          <t>POS check: software updates, sales tax rates and settings, user permissions</t>
        </is>
      </c>
      <c r="C22" s="38" t="n"/>
      <c r="D22" s="38" t="inlineStr">
        <is>
          <t>Manager</t>
        </is>
      </c>
      <c r="E22" s="38" t="inlineStr">
        <is>
          <t>Annual</t>
        </is>
      </c>
      <c r="F22" s="39" t="n"/>
      <c r="G22" s="39" t="n"/>
    </row>
    <row r="23">
      <c r="A23" s="40" t="n">
        <v>15</v>
      </c>
      <c r="B23" s="41" t="inlineStr">
        <is>
          <t>Log the next service date for each contract and file the signed report</t>
        </is>
      </c>
      <c r="C23" s="38" t="n"/>
      <c r="D23" s="38" t="inlineStr">
        <is>
          <t>Manager</t>
        </is>
      </c>
      <c r="E23" s="38" t="inlineStr">
        <is>
          <t>Quarterly</t>
        </is>
      </c>
      <c r="F23" s="39" t="n"/>
      <c r="G23" s="39" t="n"/>
    </row>
    <row r="24">
      <c r="A24" s="42" t="n"/>
      <c r="B24" s="43" t="n"/>
      <c r="C24" s="38" t="n"/>
      <c r="D24" s="38" t="n"/>
      <c r="E24" s="38" t="n"/>
      <c r="F24" s="39" t="n"/>
      <c r="G24" s="39" t="n"/>
    </row>
    <row r="25">
      <c r="A25" s="42" t="n"/>
      <c r="B25" s="43" t="n"/>
      <c r="C25" s="38" t="n"/>
      <c r="D25" s="38" t="n"/>
      <c r="E25" s="38" t="n"/>
      <c r="F25" s="39" t="n"/>
      <c r="G25" s="39" t="n"/>
    </row>
    <row r="26">
      <c r="A26" s="42" t="n"/>
      <c r="B26" s="43" t="n"/>
      <c r="C26" s="38" t="n"/>
      <c r="D26" s="38" t="n"/>
      <c r="E26" s="38" t="n"/>
      <c r="F26" s="39" t="n"/>
      <c r="G26" s="39" t="n"/>
    </row>
    <row r="27">
      <c r="A27" s="42" t="n"/>
      <c r="B27" s="43" t="n"/>
      <c r="C27" s="38" t="n"/>
      <c r="D27" s="38" t="n"/>
      <c r="E27" s="38" t="n"/>
      <c r="F27" s="39" t="n"/>
      <c r="G27" s="39" t="n"/>
    </row>
    <row r="28">
      <c r="A28" s="42" t="n"/>
      <c r="B28" s="43" t="n"/>
      <c r="C28" s="38" t="n"/>
      <c r="D28" s="38" t="n"/>
      <c r="E28" s="38" t="n"/>
      <c r="F28" s="39" t="n"/>
      <c r="G28" s="39" t="n"/>
    </row>
    <row r="30">
      <c r="A30" s="20" t="inlineStr">
        <is>
          <t>Tasks done:</t>
        </is>
      </c>
      <c r="D30" s="28">
        <f>COUNTIFS(B5:B28,"?*",F5:F28,"✓")</f>
        <v>0.0</v>
      </c>
      <c r="E30" s="20" t="inlineStr">
        <is>
          <t>of</t>
        </is>
      </c>
      <c r="F30">
        <f>COUNTIF(B5:B28,"?*")-COUNTIF(F5:F28,"N/A")</f>
        <v>15.0</v>
      </c>
    </row>
    <row r="32">
      <c r="A32" s="4" t="inlineStr">
        <is>
          <t>Shift lead signature: _________________________    Time: _________</t>
        </is>
      </c>
    </row>
    <row r="34">
      <c r="A34" s="15" t="inlineStr">
        <is>
          <t>— Coffee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9">
    <mergeCell ref="A32:G32"/>
    <mergeCell ref="A14:G14"/>
    <mergeCell ref="A1:G1"/>
    <mergeCell ref="A34:G34"/>
    <mergeCell ref="A20:G20"/>
    <mergeCell ref="A2:G2"/>
    <mergeCell ref="A30:C30"/>
    <mergeCell ref="A10:G10"/>
    <mergeCell ref="A5:G5"/>
  </mergeCells>
  <conditionalFormatting sqref="A5:G28">
    <cfRule type="expression" priority="1" dxfId="0">
      <formula>$F5="✓"</formula>
    </cfRule>
  </conditionalFormatting>
  <dataValidations count="1">
    <dataValidation sqref="F6 F7 F8 F9 F11 F12 F13 F15 F16 F17 F18 F19 F21 F22 F23 F24 F25 F26 F27 F28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Cafe Cleaning Checklist, Inventory &amp; Maintenance Schedule</dc:title>
  <dc:description xmlns:dc="http://purl.org/dc/elements/1.1/">aichef.pro/en/digital-products/coffee-shop-checklist-templates</dc:description>
  <dc:subject xmlns:dc="http://purl.org/dc/elements/1.1/">Coffee Shop Checklists Kit Pro · v2.0</dc:subject>
  <dcterms:created xmlns:dcterms="http://purl.org/dc/terms/" xmlns:xsi="http://www.w3.org/2001/XMLSchema-instance" xsi:type="dcterms:W3CDTF">2026-03-19T12:34:13Z</dcterms:created>
  <dcterms:modified xmlns:dcterms="http://purl.org/dc/terms/" xmlns:xsi="http://www.w3.org/2001/XMLSchema-instance" xsi:type="dcterms:W3CDTF">2026-10-17T23:50:35Z</dcterms:modified>
  <cp:lastModifiedBy>AI Chef Pro</cp:lastModifiedBy>
  <cp:category>AI Chef Pro · Digital products</cp:category>
  <cp:keywords>coffee shop checklist, cafe checklist, coffee shop opening checklist, coffee shop closing checklist, barista checklist, cafe cleaning checklist, AI Chef Pro</cp:keywords>
</cp:coreProperties>
</file>