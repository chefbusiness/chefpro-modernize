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fe Opening" sheetId="2" state="visible" r:id="rId2"/>
    <sheet xmlns:r="http://schemas.openxmlformats.org/officeDocument/2006/relationships" name="Cafe Closing" sheetId="3" state="visible" r:id="rId3"/>
  </sheets>
  <definedNames>
    <definedName name="_xlnm.Print_Area" localSheetId="0">'Instructions'!$A$1:$B$47</definedName>
    <definedName name="_xlnm.Print_Titles" localSheetId="1">'Cafe Opening'!$4:$4</definedName>
    <definedName name="_xlnm.Print_Area" localSheetId="1">'Cafe Opening'!$A$1:$H$30</definedName>
    <definedName name="_xlnm.Print_Titles" localSheetId="2">'Cafe Closing'!$4:$4</definedName>
    <definedName name="_xlnm.Print_Area" localSheetId="2">'Cafe Closing'!$A$1:$H$27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26" customHeight="1">
      <c r="A2" s="2" t="n"/>
      <c r="B2" s="14" t="inlineStr">
        <is>
          <t>08 · Cafe Opening &amp; Closing Checklist (Whole Shop)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SHOP: what gets opened and closed for the entire cafe, not for each area. Use it as the backbone of the day.</t>
        </is>
      </c>
    </row>
    <row r="7" ht="32" customHeight="1">
      <c r="A7" s="5" t="n"/>
      <c r="B7" s="16" t="inlineStr">
        <is>
          <t>▸ The detail by area (kitchen, FOH, espresso bar) lives in 01-coffee-shop-opening-closing-checklists.xlsx: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32" customHeight="1">
      <c r="A11" s="5" t="n"/>
      <c r="B11" s="16" t="inlineStr">
        <is>
          <t>▸ Print the shift sheet (opening or closing) or use it on a tablet; the shift lead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08-cafe-opening-closing-checklist.xlsx — checklist for the WHOLE SHOP: it is the BACKBONE of the day.</t>
        </is>
      </c>
    </row>
    <row r="37" ht="31" customHeight="1">
      <c r="B37" s="16" t="inlineStr">
        <is>
          <t>▸ 01-coffee-shop-opening-closing-checklists.xlsx — the same day with the DETAIL by area (kitchen, FOH, espresso bar).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08-cafe-opening-closing-checklist.xlsx: this IS the backbone of the day — the MILESTONE of opening and closing the building; the DETAIL of each zone is in 01-coffee-shop-opening-closing-checklists.xlsx and the MONEY in 09-cash-drawer-opening-closing.xlsx.</t>
        </is>
      </c>
    </row>
    <row r="42" ht="18" customHeight="1">
      <c r="B42" s="15" t="inlineStr">
        <is>
          <t>— Coffee Shop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Cafe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lead: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lead</t>
        </is>
      </c>
      <c r="E5" s="19" t="inlineStr">
        <is>
          <t>6:30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lead</t>
        </is>
      </c>
      <c r="E6" s="19" t="inlineStr">
        <is>
          <t>6:30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lead</t>
        </is>
      </c>
      <c r="E7" s="19" t="inlineStr">
        <is>
          <t>6:30 AM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Raise security gate and open front door</t>
        </is>
      </c>
      <c r="C8" s="19" t="inlineStr">
        <is>
          <t>Entrance</t>
        </is>
      </c>
      <c r="D8" s="19" t="inlineStr">
        <is>
          <t>Shift lead</t>
        </is>
      </c>
      <c r="E8" s="19" t="inlineStr">
        <is>
          <t>6:30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lead</t>
        </is>
      </c>
      <c r="E9" s="19" t="inlineStr">
        <is>
          <t>6:45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lead</t>
        </is>
      </c>
      <c r="E10" s="19" t="inlineStr">
        <is>
          <t>6:45 AM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Front counter</t>
        </is>
      </c>
      <c r="D11" s="19" t="inlineStr">
        <is>
          <t>Shift lead</t>
        </is>
      </c>
      <c r="E11" s="19" t="inlineStr">
        <is>
          <t>7:00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lead</t>
        </is>
      </c>
      <c r="E12" s="19" t="inlineStr">
        <is>
          <t>7:00 AM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Front counter</t>
        </is>
      </c>
      <c r="D13" s="19" t="inlineStr">
        <is>
          <t>Shift lead</t>
        </is>
      </c>
      <c r="E13" s="19" t="inlineStr">
        <is>
          <t>7:00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lead</t>
        </is>
      </c>
      <c r="E14" s="19" t="inlineStr">
        <is>
          <t>7:00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lead</t>
        </is>
      </c>
      <c r="E15" s="19" t="inlineStr">
        <is>
          <t>7:00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FOH</t>
        </is>
      </c>
      <c r="D16" s="19" t="inlineStr">
        <is>
          <t>Shift lead</t>
        </is>
      </c>
      <c r="E16" s="19" t="inlineStr">
        <is>
          <t>7:00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umbrellas/heaters)</t>
        </is>
      </c>
      <c r="C17" s="19" t="inlineStr">
        <is>
          <t>Patio</t>
        </is>
      </c>
      <c r="D17" s="19" t="inlineStr">
        <is>
          <t>Shift lead</t>
        </is>
      </c>
      <c r="E17" s="19" t="inlineStr">
        <is>
          <t>7:15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FOH</t>
        </is>
      </c>
      <c r="D18" s="19" t="inlineStr">
        <is>
          <t>Shift lead</t>
        </is>
      </c>
      <c r="E18" s="19" t="inlineStr">
        <is>
          <t>7:15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lead</t>
        </is>
      </c>
      <c r="E19" s="19" t="inlineStr">
        <is>
          <t>7:15 AM</t>
        </is>
      </c>
      <c r="F19" s="19" t="inlineStr"/>
      <c r="G19" s="19" t="inlineStr"/>
      <c r="H19" s="20" t="inlineStr"/>
    </row>
    <row r="20">
      <c r="A20" s="21" t="n">
        <v>16</v>
      </c>
      <c r="B20" s="22" t="inlineStr">
        <is>
          <t>Check that the espresso machine is at temperature and purged (full routine in 01)</t>
        </is>
      </c>
      <c r="C20" s="19" t="inlineStr">
        <is>
          <t>Bar</t>
        </is>
      </c>
      <c r="D20" s="19" t="inlineStr">
        <is>
          <t>Shift lead</t>
        </is>
      </c>
      <c r="E20" s="19" t="inlineStr">
        <is>
          <t>7:15 AM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Set up the self-serve station</t>
        </is>
      </c>
      <c r="C21" s="19" t="inlineStr">
        <is>
          <t>Bar</t>
        </is>
      </c>
      <c r="D21" s="19" t="inlineStr">
        <is>
          <t>Shift lead</t>
        </is>
      </c>
      <c r="E21" s="19" t="inlineStr">
        <is>
          <t>7:15 AM</t>
        </is>
      </c>
      <c r="F21" s="19" t="inlineStr"/>
      <c r="G21" s="19" t="inlineStr"/>
      <c r="H21" s="20" t="inlineStr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8">
      <c r="A28" s="13" t="inlineStr">
        <is>
          <t>Tasks done:</t>
        </is>
      </c>
      <c r="D28">
        <f>COUNTIFS(B5:B26,"?*",F5:F26,"✓")</f>
        <v>0.0</v>
      </c>
      <c r="E28" t="inlineStr">
        <is>
          <t>of</t>
        </is>
      </c>
      <c r="F28">
        <f>COUNTIF(B5:B26,"?*")-COUNTIF(F5:F26,"N/A")</f>
        <v>17.0</v>
      </c>
    </row>
    <row r="29" ht="30" customHeight="1">
      <c r="A29" s="6" t="inlineStr">
        <is>
          <t>Manager signature: _________________________     Completion time: ________</t>
        </is>
      </c>
    </row>
    <row r="30">
      <c r="A30" s="12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C28"/>
    <mergeCell ref="A30:H30"/>
    <mergeCell ref="A29:H29"/>
    <mergeCell ref="A2:D2"/>
    <mergeCell ref="A1:H1"/>
    <mergeCell ref="E2:H2"/>
  </mergeCells>
  <conditionalFormatting sqref="A5:H26">
    <cfRule type="expression" priority="1" dxfId="0">
      <formula>$F5="✓"</formula>
    </cfRule>
  </conditionalFormatting>
  <dataValidations count="1">
    <dataValidation sqref="F5 F6 F7 F8 F9 F10 F11 F12 F13 F14 F15 F16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Cafe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lead: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lead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Make sure no guests remain in the cafe</t>
        </is>
      </c>
      <c r="C6" s="19" t="inlineStr">
        <is>
          <t>FOH</t>
        </is>
      </c>
      <c r="D6" s="19" t="inlineStr">
        <is>
          <t>Shift lead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and bring in the patio if used</t>
        </is>
      </c>
      <c r="C7" s="19" t="inlineStr">
        <is>
          <t>Patio</t>
        </is>
      </c>
      <c r="D7" s="19" t="inlineStr">
        <is>
          <t>Shift lead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Turn off the POS / card terminal (or leave on standby)</t>
        </is>
      </c>
      <c r="C8" s="19" t="inlineStr">
        <is>
          <t>Register</t>
        </is>
      </c>
      <c r="D8" s="19" t="inlineStr">
        <is>
          <t>Shift lead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Close security gate and doors</t>
        </is>
      </c>
      <c r="C9" s="19" t="inlineStr">
        <is>
          <t>Entrance</t>
        </is>
      </c>
      <c r="D9" s="19" t="inlineStr">
        <is>
          <t>Shift lead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off lights (leave security lighting)</t>
        </is>
      </c>
      <c r="C10" s="19" t="inlineStr">
        <is>
          <t>General</t>
        </is>
      </c>
      <c r="D10" s="19" t="inlineStr">
        <is>
          <t>Shift lead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off HVAC</t>
        </is>
      </c>
      <c r="C11" s="19" t="inlineStr">
        <is>
          <t>General</t>
        </is>
      </c>
      <c r="D11" s="19" t="inlineStr">
        <is>
          <t>Shift lead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Bring in the outdoor signage</t>
        </is>
      </c>
      <c r="C12" s="19" t="inlineStr">
        <is>
          <t>Outside</t>
        </is>
      </c>
      <c r="D12" s="19" t="inlineStr">
        <is>
          <t>Shift lead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lead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Empty trash cans in common areas and restrooms</t>
        </is>
      </c>
      <c r="C14" s="19" t="inlineStr">
        <is>
          <t>Restrooms</t>
        </is>
      </c>
      <c r="D14" s="19" t="inlineStr">
        <is>
          <t>Shift lead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Final safety check (gas, water, outlets)</t>
        </is>
      </c>
      <c r="C15" s="19" t="inlineStr">
        <is>
          <t>General</t>
        </is>
      </c>
      <c r="D15" s="19" t="inlineStr">
        <is>
          <t>Shift lead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Set the alarm</t>
        </is>
      </c>
      <c r="C16" s="19" t="inlineStr">
        <is>
          <t>Entrance</t>
        </is>
      </c>
      <c r="D16" s="19" t="inlineStr">
        <is>
          <t>Last one out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Lock up and verify it is locked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Check the group heads are clean and the machine is off (backflush in 01)</t>
        </is>
      </c>
      <c r="C18" s="19" t="inlineStr">
        <is>
          <t>Bar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>
      <c r="A19" s="19" t="n"/>
      <c r="B19" s="20" t="n"/>
      <c r="C19" s="19" t="n"/>
      <c r="D19" s="19" t="n"/>
      <c r="E19" s="19" t="n"/>
      <c r="F19" s="19" t="n"/>
      <c r="G19" s="19" t="n"/>
      <c r="H19" s="20" t="n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5">
      <c r="A25" s="13" t="inlineStr">
        <is>
          <t>Tasks done:</t>
        </is>
      </c>
      <c r="D25">
        <f>COUNTIFS(B5:B23,"?*",F5:F23,"✓")</f>
        <v>0.0</v>
      </c>
      <c r="E25" t="inlineStr">
        <is>
          <t>of</t>
        </is>
      </c>
      <c r="F25">
        <f>COUNTIF(B5:B23,"?*")-COUNTIF(F5:F23,"N/A")</f>
        <v>14.0</v>
      </c>
    </row>
    <row r="26" ht="30" customHeight="1">
      <c r="A26" s="6" t="inlineStr">
        <is>
          <t>Manager signature: _________________________     Completion time: ________</t>
        </is>
      </c>
    </row>
    <row r="27">
      <c r="A27" s="12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5:C25"/>
    <mergeCell ref="A26:H26"/>
    <mergeCell ref="A2:D2"/>
    <mergeCell ref="A1:H1"/>
    <mergeCell ref="A27:H27"/>
    <mergeCell ref="E2:H2"/>
  </mergeCells>
  <conditionalFormatting sqref="A5:H23">
    <cfRule type="expression" priority="1" dxfId="0">
      <formula>$F5="✓"</formula>
    </cfRule>
  </conditionalFormatting>
  <dataValidations count="1">
    <dataValidation sqref="F5 F6 F7 F8 F9 F10 F11 F12 F13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Cafe Opening &amp; Closing Checklist (Whole Shop)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2026-10-17T23:50:35Z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