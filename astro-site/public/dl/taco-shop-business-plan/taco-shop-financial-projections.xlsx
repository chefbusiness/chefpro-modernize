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2" fillId="0" borderId="0" pivotButton="0" quotePrefix="0" xfId="0"/>
    <xf numFmtId="165" fontId="9" fillId="0" borderId="3" pivotButton="0" quotePrefix="0" xfId="0"/>
    <xf numFmtId="166" fontId="11"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6" fontId="9" fillId="4" borderId="3" applyProtection="1" pivotButton="0" quotePrefix="0" xfId="0">
      <protection locked="0" hidden="0"/>
    </xf>
    <xf numFmtId="0" fontId="9" fillId="0" borderId="3" applyAlignment="1" pivotButton="0" quotePrefix="0" xfId="0">
      <alignment horizontal="left" vertical="top"/>
    </xf>
    <xf numFmtId="4" fontId="9" fillId="4" borderId="3" applyProtection="1" pivotButton="0" quotePrefix="0" xfId="0">
      <protection locked="0" hidden="0"/>
    </xf>
    <xf numFmtId="0" fontId="9" fillId="0" borderId="3" applyAlignment="1" pivotButton="0" quotePrefix="0" xfId="0">
      <alignment horizontal="left" vertical="top" wrapText="1"/>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your currency.</t>
        </is>
      </c>
    </row>
    <row r="3">
      <c r="A3" s="16" t="inlineStr">
        <is>
          <t>BUSINESS ACTIVITY</t>
        </is>
      </c>
    </row>
    <row r="4">
      <c r="A4" t="inlineStr">
        <is>
          <t>Covers per day (year-1 average)</t>
        </is>
      </c>
      <c r="B4" s="18" t="n">
        <v>115</v>
      </c>
      <c r="C4" t="inlineStr">
        <is>
          <t>Equivalent covers per day, year-1 average: about 60 dine-in (patio included from April through October) and about 55 from take-out, pickup and delivery marketplaces, which are the orders divided by the average check. A Saturday runs well above the average and a Tuesday well below it (Kit estimate). Compare it with the foot traffic on your street on a Friday night and a Tuesday at lunch, and with your own test orders</t>
        </is>
      </c>
    </row>
    <row r="5">
      <c r="A5" t="inlineStr">
        <is>
          <t>Average check (excl. sales tax)</t>
        </is>
      </c>
      <c r="B5" s="25" t="n">
        <v>17.5</v>
      </c>
      <c r="C5" t="inlineStr">
        <is>
          <t>Per cover, EXCL. sales tax and tip: an order of street tacos, some quesadilla or gringa, chips &amp; guac or a side, and a drink or so add up to about $17.50. The example uses a street taco at $4.00 on the menu (2.6 tacos per cover), a quesadilla or gringa at $11.50, chips &amp; guac or sides at $7.00 and drinks at $3.60 (Kit estimate). Street tacos run $3.00-3.75 on casual menus in mid-size cities (menus read in October 2026). The "Menu price incl. sales tax (calculated)" row below shows the price with your local rate applied</t>
        </is>
      </c>
    </row>
    <row r="6">
      <c r="A6" t="inlineStr">
        <is>
          <t>Operating days per year</t>
        </is>
      </c>
      <c r="B6" s="18" t="n">
        <v>308</v>
      </c>
      <c r="C6" t="inlineStr">
        <is>
          <t>365 days minus 52 closed Mondays, the main holidays (Thanksgiving, Christmas, New Year's Day, July 4) and one inventory day, rounded to 308. It is the SAME figure for the P&amp;L, break-even, scenarios and staffing hours</t>
        </is>
      </c>
    </row>
    <row r="7">
      <c r="A7" t="inlineStr">
        <is>
          <t>Volume growth in year 2</t>
        </is>
      </c>
      <c r="B7" s="64" t="n">
        <v>0.06</v>
      </c>
      <c r="C7" t="inlineStr">
        <is>
          <t>Repeat neighborhood regulars and more pickup in year 2. It applies to covers at the same average check; staffing does NOT rise with this percentage: it comes from the "Staffing" tab</t>
        </is>
      </c>
    </row>
    <row r="8">
      <c r="A8" t="inlineStr">
        <is>
          <t>Volume growth in year 3</t>
        </is>
      </c>
      <c r="B8" s="64" t="n">
        <v>0.04</v>
      </c>
      <c r="C8" t="inlineStr">
        <is>
          <t>On top of year 2. Conservative: the ceiling is set by the trompos, the griddle and the 30 seats on Friday and Saturday nights</t>
        </is>
      </c>
    </row>
    <row r="9">
      <c r="A9" t="inlineStr">
        <is>
          <t>Menu price incl. sales tax (calculated)</t>
        </is>
      </c>
      <c r="B9" s="24">
        <f>IFERROR(IF($B$5="","",$B$5*(1+SUMPRODUCT('3-Year P&amp;L'!$E$10:$E$11,'3-Year P&amp;L'!$G$10:$G$11))),"")</f>
        <v>18.900000000000002</v>
      </c>
      <c r="C9" t="str">
        <f>IFERROR("Average check excl. sales tax plus the weighted sales tax of your sales lines ("&amp;TEXT(SUMPRODUCT('3-Year P&amp;L'!$E$10:$E$11,'3-Year P&amp;L'!$G$10:$G$11)*100,"0")&amp;"%), rounded. In the US, menu prices usually exclude sales tax and it is added at the register; the beverage share in column H of the beverage line of the P&amp;L only moves this average if your state taxes alcohol at another rate. In the UK, "&amp;"menu prices include VAT.","")</f>
        <v>Average check excl. sales tax plus the weighted sales tax of your sales lines (8%), rounded. In the US, menu prices usually exclude sales tax and it is added at the register; the beverage share in column H of the beverage line of the P&amp;L only moves this average if your state taxes alcohol at another rate. In the UK, menu prices include VAT.</v>
      </c>
    </row>
    <row r="10">
      <c r="A10" s="16" t="inlineStr">
        <is>
          <t>SALES MIX AND COST OF GOODS SOLD</t>
        </is>
      </c>
    </row>
    <row r="11">
      <c r="A11" t="inlineStr">
        <is>
          <t>FOOD share of total sales</t>
        </is>
      </c>
      <c r="B11" s="64" t="n">
        <v>0.85</v>
      </c>
      <c r="C11" t="inlineStr">
        <is>
          <t>Share of FOOD in total sales. It is an INPUT: change it here and the P&amp;L, the cash flow and the sales tax collected recalculate on their own</t>
        </is>
      </c>
    </row>
    <row r="12">
      <c r="A12" t="inlineStr">
        <is>
          <t>BEVERAGE share of total sales</t>
        </is>
      </c>
      <c r="B12" s="66">
        <f>IFERROR(IF(COUNT(B11)=0,"",1-B11),"")</f>
        <v>0.15000000000000002</v>
      </c>
      <c r="C12" t="inlineStr">
        <is>
          <t>Calculated as the remainder: food + beverage = 100%</t>
        </is>
      </c>
    </row>
    <row r="13">
      <c r="A13" t="inlineStr">
        <is>
          <t>Cost of goods sold on FOOD sales</t>
        </is>
      </c>
      <c r="B13" s="64" t="n">
        <v>0.27</v>
      </c>
      <c r="C13" t="inlineStr">
        <is>
          <t>Cost of goods sold on food sales: the menu averages about 25% of menu price (street tacos and quesadillas about 25%, chips &amp; guac about 28% depending on the avocado, birria about 30%), plus 1.5 points of waste (leftover cone from the trompo and cut salsas that get thrown out) and a little prudence, because meat and tortilla prices are Kit estimates. Cost each taco with the Taco Cost &amp; Trompo Yield Calculator</t>
        </is>
      </c>
    </row>
    <row r="14">
      <c r="A14" t="inlineStr">
        <is>
          <t>Cost of goods sold on BEVERAGE sales</t>
        </is>
      </c>
      <c r="B14" s="64" t="n">
        <v>0.22</v>
      </c>
      <c r="C14" t="inlineStr">
        <is>
          <t>Weighted average of aguas frescas, sodas, water, Mexican beer and wine against their menu prices: aguas frescas and sodas cost a small share of their price, while beer and wine run higher and pull the average up. If your beer distributor lends you the tap equipment, get the keg price in writing</t>
        </is>
      </c>
    </row>
    <row r="15">
      <c r="A15" t="inlineStr">
        <is>
          <t>Disposables and packaging as % of sales</t>
        </is>
      </c>
      <c r="B15" s="64" t="n">
        <v>0.04</v>
      </c>
      <c r="C15" t="inlineStr">
        <is>
          <t>Clamshells, foil, salsa cups, bags, paper, napkins and gloves for everything that leaves the shop, plus take-out containers for leftovers. Some cities and states restrict foam and single-use plastics or require utensils only on request: check your local packaging ordinances</t>
        </is>
      </c>
    </row>
    <row r="16">
      <c r="A16" t="inlineStr">
        <is>
          <t>Delivery share of total sales</t>
        </is>
      </c>
      <c r="B16" s="64" t="n">
        <v>0.15</v>
      </c>
      <c r="C16" t="inlineStr">
        <is>
          <t>Sales through third-party delivery marketplaces (DoorDash, Uber Eats, Grubhub) as a share of total sales. Counter orders, pickup and direct phone or web orders pay no commission and do not go here. Tortillas travel worse than other dishes: a build-your-own order (meat, tortillas and toppings packed separately) holds up, but do not go above this share without testing it</t>
        </is>
      </c>
    </row>
    <row r="17">
      <c r="A17" t="inlineStr">
        <is>
          <t>Delivery platform fee</t>
        </is>
      </c>
      <c r="B17" s="64" t="n">
        <v>0.25</v>
      </c>
      <c r="C17" t="inlineStr">
        <is>
          <t>The example uses 25%, a Plus plan on DoorDash or Uber Eats (the Basic plan is about 15% with little visibility, Premier is 30%, and app pickup orders add 6-10%). Check your contract. If you deliver yourself, enter 0 and add the driver to the "Staffing" tab as a W-2 employee, with hired and non-owned auto insurance (check your state)</t>
        </is>
      </c>
    </row>
    <row r="18">
      <c r="A18" t="inlineStr">
        <is>
          <t>Card processing fee</t>
        </is>
      </c>
      <c r="B18" s="64" t="n">
        <v>0.03</v>
      </c>
      <c r="C18" t="inlineStr">
        <is>
          <t>Card and mobile wallet (contactless) processing fees on total sales. Ask your POS provider for its rate</t>
        </is>
      </c>
    </row>
    <row r="19">
      <c r="A19" s="16" t="inlineStr">
        <is>
          <t>LABOR</t>
        </is>
      </c>
    </row>
    <row r="20">
      <c r="A20" t="inlineStr">
        <is>
          <t>Employer payroll taxes</t>
        </is>
      </c>
      <c r="B20" s="64"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RENT AND FIXED COSTS</t>
        </is>
      </c>
    </row>
    <row r="24">
      <c r="A24" t="inlineStr">
        <is>
          <t>Monthly rent</t>
        </is>
      </c>
      <c r="B24" s="18" t="n">
        <v>2800</v>
      </c>
      <c r="C24" t="inlineStr">
        <is>
          <t>About 1,200 sq ft (111 sq m) with a hood and exhaust route to the roof possible (that is the filter for the space): a counter-service dining room with 30 seats, an open kitchen with the trompos, the griddle and the comal, restrooms (one ADA-accessible) and storage, on a street with steady foot traffic near a campus or a nightlife area in a mid-size city, second-generation space with no key money: about $28 per sq ft a year (Kit estimate, editable). The weight of rent on sales is calculated by the workbook itself in the rent row of the "3-Year P&amp;L"</t>
        </is>
      </c>
    </row>
    <row r="25">
      <c r="A25" t="inlineStr">
        <is>
          <t>Security deposit (months of rent)</t>
        </is>
      </c>
      <c r="B25" s="18" t="n">
        <v>2</v>
      </c>
      <c r="C25" t="inlineStr">
        <is>
          <t>Security deposit, in months of rent. The example uses two; commercial leases commonly ask for one to three, and some landlords also want a personal guarantee: check it with your attorney</t>
        </is>
      </c>
    </row>
    <row r="26">
      <c r="A26" t="inlineStr">
        <is>
          <t>Monthly utilities (electricity, water, gas)</t>
        </is>
      </c>
      <c r="B26" s="18" t="n">
        <v>1300</v>
      </c>
      <c r="C26" t="inlineStr">
        <is>
          <t>Electricity (refrigeration, exhaust, HVAC and the dish machine), the gas for the vertical broilers, the griddle, the comal and the range, and water. Ask the landlord for the space's utility history</t>
        </is>
      </c>
    </row>
    <row r="27">
      <c r="A27" t="inlineStr">
        <is>
          <t>Insurance (per year)</t>
        </is>
      </c>
      <c r="B27" s="18" t="n">
        <v>6000</v>
      </c>
      <c r="C27" t="inlineStr">
        <is>
          <t>General liability, liquor liability (beer &amp; wine), property coverage with equipment breakdown for the refrigeration, and workers' comp. Tell the carrier you cook with gas vertical broilers, a griddle and a fryer: it changes the premium and the terms. Rates vary by state, so get at least two quotes</t>
        </is>
      </c>
    </row>
    <row r="28">
      <c r="A28" t="inlineStr">
        <is>
          <t>Miscellaneous and contingency as % of sales</t>
        </is>
      </c>
      <c r="B28" s="64" t="n">
        <v>0.01</v>
      </c>
      <c r="C28" t="inlineStr">
        <is>
          <t>Cushion for unbudgeted running costs (small repairs, broken smallwares, menu tests)</t>
        </is>
      </c>
    </row>
    <row r="29">
      <c r="A29" s="16" t="inlineStr">
        <is>
          <t>FINANCING</t>
        </is>
      </c>
    </row>
    <row r="30">
      <c r="A30" t="inlineStr">
        <is>
          <t>Owner's equity contributed</t>
        </is>
      </c>
      <c r="B30" s="18" t="n">
        <v>100000</v>
      </c>
      <c r="C30" t="inlineStr">
        <is>
          <t>Owner's cash. Lenders usually expect an owner equity injection (often around 10% for SBA start-ups; many want 20-30%) toward the cash need</t>
        </is>
      </c>
    </row>
    <row r="31">
      <c r="A31" t="inlineStr">
        <is>
          <t>Loan requested</t>
        </is>
      </c>
      <c r="B31" s="18" t="n">
        <v>176000</v>
      </c>
      <c r="C31" t="inlineStr">
        <is>
          <t>Principal requested. The "Financing" tab compares what you put in with the cash need on "Startup Costs" and tells you whether you have a surplus or a shortfall: adjust the loan with that figure. The example is an SBA 7(a) loan, which you apply for through your lender (SBA Microloans go up to $50,000)</t>
        </is>
      </c>
    </row>
    <row r="32">
      <c r="A32" t="inlineStr">
        <is>
          <t>Nominal annual interest rate (not APR)</t>
        </is>
      </c>
      <c r="B32" s="64" t="n">
        <v>0.1</v>
      </c>
      <c r="C32" t="inlineStr">
        <is>
          <t>Nominal annual rate, not APR. The example uses 10%. Ask two lenders for a quote before you set it; the refrigeration and the kitchen equipment can also be financed through equipment financing or a lease: compare</t>
        </is>
      </c>
    </row>
    <row r="33">
      <c r="A33" t="inlineStr">
        <is>
          <t>Loan term (years)</t>
        </is>
      </c>
      <c r="B33" s="18" t="n">
        <v>10</v>
      </c>
      <c r="C33" t="inlineStr">
        <is>
          <t>Total years, interest-only period included</t>
        </is>
      </c>
    </row>
    <row r="34">
      <c r="A34" t="inlineStr">
        <is>
          <t>Interest-only period (years)</t>
        </is>
      </c>
      <c r="B34" s="18" t="n">
        <v>0</v>
      </c>
      <c r="C34" t="inlineStr">
        <is>
          <t>Years you pay interest only before principal repayment starts. The example uses 0, because SBA 7(a) loans amortize from the start. A year of interest only can ease the build-out and the first months of trading: ask your lender, and check the cash slack of the first repayment year on the "Break-Even" tab</t>
        </is>
      </c>
    </row>
    <row r="35">
      <c r="A35" t="inlineStr">
        <is>
          <t>Working capital (months of fixed costs)</t>
        </is>
      </c>
      <c r="B35" s="18" t="n">
        <v>3</v>
      </c>
      <c r="C35" t="inlineStr">
        <is>
          <t>Three months of fixed costs: the cushion for the ramp-up, which with Month 1 in January falls on the slowest months of the year (January and February)</t>
        </is>
      </c>
    </row>
    <row r="36">
      <c r="A36" s="16" t="inlineStr">
        <is>
          <t>TAXES</t>
        </is>
      </c>
    </row>
    <row r="37">
      <c r="A37" t="inlineStr">
        <is>
          <t>Effective income tax rate (years 1-2)</t>
        </is>
      </c>
      <c r="B37" s="64"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4"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4" t="n">
        <v>0.08</v>
      </c>
      <c r="C39" t="inlineStr">
        <is>
          <t>Example rate: state + local sales tax combined. It varies widely by state and city: look up yours. UK: 20% VAT on hot food and dine-in</t>
        </is>
      </c>
    </row>
    <row r="40">
      <c r="A40" t="inlineStr">
        <is>
          <t>Sales tax rate on alcohol to go</t>
        </is>
      </c>
      <c r="B40" s="64" t="n">
        <v>0.08</v>
      </c>
      <c r="C40" t="inlineStr">
        <is>
          <t>One sales tax rate for the whole example (8%: state plus local, so look up yours). In this workbook it also applies to alcohol sold to go, and it equals the on-site rate, so the two rows give the same result. There is no input credit: the workbook does not recover sales tax on purchases, so that row is 0. Some states tax food to go differently, so check yours. Utilities, equipment and services use the rate in the cell below</t>
        </is>
      </c>
    </row>
    <row r="41">
      <c r="A41" t="inlineStr">
        <is>
          <t>Recoverable input tax on purchases and capex</t>
        </is>
      </c>
      <c r="B41" s="64"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build-out and fixtures (years)</t>
        </is>
      </c>
      <c r="B44" s="18" t="n">
        <v>10</v>
      </c>
      <c r="C44" t="inlineStr">
        <is>
          <t>Build-out, Type I hood and exhaust, electrical service, plumbing, gas lines, HVAC, signage and facade. A 10-year straight-line life for the model; your tax depreciation schedule may differ (MACRS, Section 179), so confirm it with your CPA</t>
        </is>
      </c>
    </row>
    <row r="45">
      <c r="A45" t="inlineStr">
        <is>
          <t>Useful life of machinery, furniture and equipment (years)</t>
        </is>
      </c>
      <c r="B45" s="18" t="n">
        <v>7</v>
      </c>
      <c r="C45" t="inlineStr">
        <is>
          <t>Vertical broilers, griddle and comal, fryer, walk-in and refrigeration, dish machine, furniture and POS: a 7-year straight-line life for the model; your tax depreciation schedule may differ, so confirm it with your CPA</t>
        </is>
      </c>
    </row>
    <row r="47">
      <c r="A47" s="16" t="inlineStr">
        <is>
          <t>GROWTH AND COST INFLATION</t>
        </is>
      </c>
    </row>
    <row r="48">
      <c r="A48" t="inlineStr">
        <is>
          <t>Annual increase in fixed costs</t>
        </is>
      </c>
      <c r="B48" s="64" t="n">
        <v>0</v>
      </c>
      <c r="C48" t="inlineStr">
        <is>
          <t>SET TO ZERO: all three columns are in year-1 prices (real terms). Raise it if you want to project in nominal terms</t>
        </is>
      </c>
    </row>
    <row r="49">
      <c r="A49" s="16" t="inlineStr">
        <is>
          <t>RAMP-UP AND CAPACITY</t>
        </is>
      </c>
    </row>
    <row r="50">
      <c r="A50" t="inlineStr">
        <is>
          <t>Implied seat turns per day (calculated)</t>
        </is>
      </c>
      <c r="B50" s="24">
        <f>IFERROR($B$4/$B$51,"")</f>
        <v>3.8333333333333335</v>
      </c>
      <c r="C50" t="str">
        <f>IFERROR("That is "&amp;TEXT(INT(ROUND(B50,1)),"0")&amp;"."&amp;TEXT(ROUND(MOD(ROUND(B50,1),1)*10,0),"0")&amp;" seat turns per day on the "&amp;TEXT($B$51,"0")&amp;" seats in the cell below. "&amp;"It includes the take-out and delivery covers, which do not take a seat: the real turns of your dining room are lower (in the example, about half of the covers eat in). Compare it with the ceiling on seat turns typed in ""Break-Even"".","")</f>
        <v>That is 3.8 seat turns per day on the 30 seats in the cell below. It includes the take-out and delivery covers, which do not take a seat: the real turns of your dining room are lower (in the example, about half of the covers eat in). Compare it with the ceiling on seat turns typed in "Break-Even".</v>
      </c>
    </row>
    <row r="51">
      <c r="A51" t="inlineStr">
        <is>
          <t>Seating capacity of the space (indoor seats, patio not included)</t>
        </is>
      </c>
      <c r="B51" s="18" t="n">
        <v>30</v>
      </c>
      <c r="C51" t="inlineStr">
        <is>
          <t>Dining room seats. The patio adds 12 seats from April through October, with its own city patio permit, and guests who take their tacos to go or receive them at home do not use a seat: that is why the seat turns in the row above are higher than the real turns of your dining room</t>
        </is>
      </c>
    </row>
    <row r="52">
      <c r="A52" t="inlineStr">
        <is>
          <t>Month-1 activity as a % of steady-state activity</t>
        </is>
      </c>
      <c r="B52" s="64" t="n">
        <v>0.75</v>
      </c>
      <c r="C52" t="inlineStr">
        <is>
          <t>A new taqueria draws the curious in the first month, but a regular base takes a quarter to build: Month 1 (January) bills 75% of what it will bill at four months. At 100% the ramp is removed</t>
        </is>
      </c>
    </row>
    <row r="53">
      <c r="A53" t="inlineStr">
        <is>
          <t>Months to reach steady state</t>
        </is>
      </c>
      <c r="B53" s="18" t="n">
        <v>4</v>
      </c>
      <c r="C53" t="inlineStr">
        <is>
          <t>Four months to reach full pace: January through April, so you reach the spring patio season with a customer base</t>
        </is>
      </c>
    </row>
    <row r="54">
      <c r="A54" t="inlineStr">
        <is>
          <t>Months of rent BEFORE opening (build-out and permits)</t>
        </is>
      </c>
      <c r="B54" s="18" t="n">
        <v>2</v>
      </c>
      <c r="C54" t="inlineStr">
        <is>
          <t>Two months of rent before opening: the build-out, the hood and exhaust route and the permits. If the lender funds the loan when build-out starts, add the interest for those months, which this workbook does not count, and remember that your repayment schedule starts at closing</t>
        </is>
      </c>
    </row>
    <row r="55">
      <c r="A55" t="inlineStr">
        <is>
          <t>Contingency on the BUILD-OUT lines of the space block (%)</t>
        </is>
      </c>
      <c r="B55" s="64" t="n">
        <v>0.1</v>
      </c>
      <c r="C55" t="inlineStr">
        <is>
          <t>Cushion on the build-out and fixtures, which is where the surprises show up (the exhaust route to the roof, the gas lines, the grease interceptor). A lender will not finance a remodel without one</t>
        </is>
      </c>
    </row>
    <row r="57">
      <c r="A57" s="16" t="inlineStr">
        <is>
          <t>RECEIPTS, PAYMENTS AND SALES TAX BREAKDOWN</t>
        </is>
      </c>
    </row>
    <row r="58">
      <c r="A58" t="inlineStr">
        <is>
          <t>Average collection days</t>
        </is>
      </c>
      <c r="B58" s="18" t="n">
        <v>2</v>
      </c>
      <c r="C58" t="inlineStr">
        <is>
          <t>Weighted average: dine-in and pickup are paid at once, and the delivery marketplaces pay out what they sell every few days (15% of sales in this example)</t>
        </is>
      </c>
    </row>
    <row r="59">
      <c r="A59" t="inlineStr">
        <is>
          <t>Average days to pay suppliers</t>
        </is>
      </c>
      <c r="B59" s="18" t="n">
        <v>14</v>
      </c>
      <c r="C59" t="inlineStr">
        <is>
          <t>Payment terms with your meat, tortilla, produce and beverage suppliers: what they finance for you. New accounts often start on COD, and terms are the first thing you lose if you pay late</t>
        </is>
      </c>
    </row>
    <row r="60">
      <c r="A60" t="inlineStr">
        <is>
          <t>Month of extra pay period 1 (only if pay periods &gt; 12)</t>
        </is>
      </c>
      <c r="B60" s="18" t="n">
        <v>7</v>
      </c>
      <c r="C60" t="inlineStr">
        <is>
          <t>Month of the 12-Month Cash Flow in which a summer extra payment falls. It only matters if you enter more than 12 pay periods; with 12 there are no extra payments. If you use it, July is Month 7, because Month 1 of the plan is January</t>
        </is>
      </c>
    </row>
    <row r="61">
      <c r="A61" t="inlineStr">
        <is>
          <t>Month of extra pay period 2 (only if pay periods &gt; 12)</t>
        </is>
      </c>
      <c r="B61" s="18" t="n">
        <v>12</v>
      </c>
      <c r="C61" t="inlineStr">
        <is>
          <t>Month of the 12-Month Cash Flow in which a holiday extra payment falls. It only matters if you enter more than 12 pay periods; with 12 there are no extra payments. If you use it, December is Month 12, because Month 1 of the plan is January</t>
        </is>
      </c>
    </row>
    <row r="62">
      <c r="A62" t="inlineStr">
        <is>
          <t>Alcohol share of beverage purchases (reference only: no input credit in the US)</t>
        </is>
      </c>
      <c r="B62" s="64" t="n">
        <v>0.3</v>
      </c>
      <c r="C62" t="inlineStr">
        <is>
          <t>Reference only: in the US the sales tax you pay on purchases is a cost, not a credit (B41 = 0%), so this share moves no figure in the workbook. The sales tax you COLLECT on beverages is set by the beverage line of the P&amp;L (column H)</t>
        </is>
      </c>
    </row>
    <row r="63">
      <c r="A63" t="inlineStr">
        <is>
          <t>Sales tax rate on alcohol served on site</t>
        </is>
      </c>
      <c r="B63" s="64" t="n">
        <v>0.08</v>
      </c>
      <c r="C63" t="inlineStr">
        <is>
          <t>NO EFFECT in this workbook: the sales tax collected on beverages is set by the beverage line of the P&amp;L. With the example, beer, wine, aguas frescas and food all pay the same 8% (state + local); if your state taxes alcohol at another rate, type it in B40 and the alcohol share in column H of that line</t>
        </is>
      </c>
    </row>
    <row r="64">
      <c r="A64" s="16" t="inlineStr">
        <is>
          <t>CONTROL THRESHOLDS AND FLOORS</t>
        </is>
      </c>
    </row>
    <row r="65">
      <c r="A65" t="inlineStr">
        <is>
          <t>DSCR limit (minimum acceptable)</t>
        </is>
      </c>
      <c r="B65" s="25" t="n">
        <v>1.15</v>
      </c>
      <c r="C65" t="inlineStr">
        <is>
          <t>Below 1.0 the business does not generate enough to repay the loan. Lenders often write a minimum DSCR into the loan covenants: ask yours. Kit default: 1.15×</t>
        </is>
      </c>
    </row>
    <row r="66">
      <c r="A66" t="inlineStr">
        <is>
          <t>DSCR target (green)</t>
        </is>
      </c>
      <c r="B66" s="25" t="n">
        <v>1.25</v>
      </c>
      <c r="C66" t="inlineStr">
        <is>
          <t>What lenders commonly look for before approving a loan comfortably. Kit default: 1.25× (editable estimate)</t>
        </is>
      </c>
    </row>
    <row r="67">
      <c r="A67" t="inlineStr">
        <is>
          <t>Minimum cushion above break-even</t>
        </is>
      </c>
      <c r="B67" s="64" t="n">
        <v>0.15</v>
      </c>
      <c r="C67" t="inlineStr">
        <is>
          <t>How far planned sales must sit above cash break-even (fixed costs and the loan payment). The drop you can absorb is somewhat smaller: with a 15% cushion, about 13% of plan</t>
        </is>
      </c>
    </row>
    <row r="68">
      <c r="A68" t="inlineStr">
        <is>
          <t>State / local minimum wage, annual full-time</t>
        </is>
      </c>
      <c r="B68" s="18" t="n"/>
      <c r="C68" t="inlineStr">
        <is>
          <t>Your state or local minimum wage as an annual full-time figure (hourly rate × 2,080 hours), if it is higher than the federal $7.25 an hour. With 0, the traffic light compares only against the federal floor</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TACO SHOP BUSINESS PLAN: COUNTER-SERVICE TAQUERIA</t>
        </is>
      </c>
    </row>
    <row r="2">
      <c r="A2" s="2" t="inlineStr">
        <is>
          <t>Estimated Startup Costs — counter-service taco shop with trompo and salsa bar, 30 seats + patio</t>
        </is>
      </c>
    </row>
    <row r="3">
      <c r="A3" s="3" t="inlineStr">
        <is>
          <t>US kit example (2026) — replace with your own quotes.</t>
        </is>
      </c>
    </row>
    <row r="5">
      <c r="A5" s="26" t="inlineStr">
        <is>
          <t>Item</t>
        </is>
      </c>
      <c r="B5" s="26" t="inlineStr">
        <is>
          <t>Amount</t>
        </is>
      </c>
      <c r="C5" s="26" t="inlineStr">
        <is>
          <t>% of startup costs</t>
        </is>
      </c>
      <c r="D5" s="26" t="inlineStr">
        <is>
          <t>Notes</t>
        </is>
      </c>
      <c r="E5" s="26" t="inlineStr">
        <is>
          <t>Taxable / recoverable tax?</t>
        </is>
      </c>
    </row>
    <row r="6">
      <c r="A6" s="26" t="inlineStr">
        <is>
          <t>STARTUP COSTS</t>
        </is>
      </c>
      <c r="B6" s="54">
        <f>IFERROR(IF(COUNT(B7:B27)=0,"",SUM(B7:B27)),"")</f>
        <v>197600.0</v>
      </c>
      <c r="C6" s="67">
        <f>IFERROR(B6/$B$30,"")</f>
        <v>0.7169491347084292</v>
      </c>
      <c r="D6" s="29" t="n"/>
      <c r="E6" s="29" t="n"/>
    </row>
    <row r="7">
      <c r="A7" s="29" t="inlineStr">
        <is>
          <t>Architect, MEP &amp; hood drawings, plan review &amp; permit fees</t>
        </is>
      </c>
      <c r="B7" s="51" t="n">
        <v>12000</v>
      </c>
      <c r="C7" s="68">
        <f>IFERROR(B7/$B$30,"")</f>
        <v>0.04353942113613943</v>
      </c>
      <c r="D7" s="29" t="inlineStr">
        <is>
          <t>Drawings for the build-out and the hood, plan review and permit fees. The beer &amp; wine license varies widely by state in cost and timing: ask your state agency early and add your own quote; this line does not assume one</t>
        </is>
      </c>
      <c r="E7" s="32" t="inlineStr">
        <is>
          <t>Yes</t>
        </is>
      </c>
    </row>
    <row r="8">
      <c r="A8" s="29" t="inlineStr">
        <is>
          <t>Build-out (second-generation space, 1,200 sq ft), signage &amp; facade</t>
        </is>
      </c>
      <c r="B8" s="51" t="n">
        <v>42000</v>
      </c>
      <c r="C8" s="68">
        <f>IFERROR(B8/$B$30,"")</f>
        <v>0.15238797397648798</v>
      </c>
      <c r="D8" s="29" t="inlineStr">
        <is>
          <t>Kitchen with washable wall finish and slip-resistant floor, restrooms (one ADA-accessible), ceilings and acoustic treatment, the counter and service line, plus signage and facade (about $4,000). Kit estimate: get two bids</t>
        </is>
      </c>
      <c r="E8" s="32" t="inlineStr">
        <is>
          <t>Yes</t>
        </is>
      </c>
    </row>
    <row r="9">
      <c r="A9" s="29" t="inlineStr">
        <is>
          <t>Type I hood, UL 300 fire suppression &amp; makeup air</t>
        </is>
      </c>
      <c r="B9" s="51" t="n">
        <v>22000</v>
      </c>
      <c r="C9" s="68">
        <f>IFERROR(B9/$B$30,"")</f>
        <v>0.07982227208292228</v>
      </c>
      <c r="D9" s="29" t="inlineStr">
        <is>
          <t>A Type I hood of 10-12 ft with UL 300 fire suppression and makeup air over the griddle, the fryer and the gas vertical broilers. Hood packages run $5,000-$25,000 and the example budgets $22,000. A charcoal trompo is a solid-fuel appliance (NFPA 96: its own exhaust, a spark arrestor and daily ash removal), so it is a variant, not the example. No manufacturer posts a price per foot: ask your mechanical contractor for a quote with your drawings, and ask the fire marshal in writing</t>
        </is>
      </c>
      <c r="E9" s="32" t="inlineStr">
        <is>
          <t>Yes</t>
        </is>
      </c>
    </row>
    <row r="10">
      <c r="A10" s="29" t="inlineStr">
        <is>
          <t>Electrical service, panel &amp; gas lines</t>
        </is>
      </c>
      <c r="B10" s="51" t="n">
        <v>9000</v>
      </c>
      <c r="C10" s="68">
        <f>IFERROR(B10/$B$30,"")</f>
        <v>0.03265456585210457</v>
      </c>
      <c r="D10" s="29" t="inlineStr">
        <is>
          <t>Electrical service and panel for the refrigeration, exhaust, HVAC and dish machine, plus the gas lines to the broilers, the griddle and the range. Ask for the available electrical and gas capacity BEFORE you sign the lease: a new service from the utility can take weeks or months</t>
        </is>
      </c>
      <c r="E10" s="32" t="inlineStr">
        <is>
          <t>Yes</t>
        </is>
      </c>
    </row>
    <row r="11">
      <c r="A11" s="29" t="inlineStr">
        <is>
          <t>Plumbing, grease interceptor &amp; HVAC</t>
        </is>
      </c>
      <c r="B11" s="51" t="n">
        <v>11000</v>
      </c>
      <c r="C11" s="68">
        <f>IFERROR(B11/$B$30,"")</f>
        <v>0.03991113604146114</v>
      </c>
      <c r="D11" s="29" t="inlineStr">
        <is>
          <t>Hot and cold water in the kitchen, drains with a grease interceptor ($3,500-$7,500), HVAC for the dining room and exhaust with makeup air for the support kitchen</t>
        </is>
      </c>
      <c r="E11" s="32" t="inlineStr">
        <is>
          <t>Yes</t>
        </is>
      </c>
    </row>
    <row r="12">
      <c r="A12" s="29" t="inlineStr">
        <is>
          <t>Vertical broilers (trompos) × 2</t>
        </is>
      </c>
      <c r="B12" s="51" t="n">
        <v>4000</v>
      </c>
      <c r="C12" s="68">
        <f>IFERROR(B12/$B$30,"")</f>
        <v>0.014513140378713141</v>
      </c>
      <c r="D12" s="29" t="inlineStr">
        <is>
          <t>Two gas vertical broilers: one for the al pastor and a second cone or backup. WebstaurantStore lists the Avantco VB203 at $999 and the Visvardis DG8A at $2,844 (Oct 2026); cones run about 30 lb (13.6 kg). The example budgets the pair plus trays, slicing knives and a pineapple holder. A charcoal trompo is a solid-fuel variant (NFPA 96)</t>
        </is>
      </c>
      <c r="E12" s="32" t="inlineStr">
        <is>
          <t>Yes</t>
        </is>
      </c>
    </row>
    <row r="13">
      <c r="A13" s="29" t="inlineStr">
        <is>
          <t>Flat-top griddle (36 in) &amp; comal</t>
        </is>
      </c>
      <c r="B13" s="51" t="n">
        <v>4000</v>
      </c>
      <c r="C13" s="68">
        <f>IFERROR(B13/$B$30,"")</f>
        <v>0.014513140378713141</v>
      </c>
      <c r="D13" s="29" t="inlineStr">
        <is>
          <t>A 36 in (91 cm) flat-top griddle for the meats and a comal to warm the tortillas. At WebstaurantStore a Vulcan VCRG36-M1 lists at $2,501 and a Star 636MF at $2,129 (Oct 2026); the comal is Kit estimate: get a quote</t>
        </is>
      </c>
      <c r="E13" s="32" t="inlineStr">
        <is>
          <t>Yes</t>
        </is>
      </c>
    </row>
    <row r="14">
      <c r="A14" s="29" t="inlineStr">
        <is>
          <t>Fryer, stock-pot range, steam table &amp; tortilla warmers</t>
        </is>
      </c>
      <c r="B14" s="51" t="n">
        <v>6500</v>
      </c>
      <c r="C14" s="68">
        <f>IFERROR(B14/$B$30,"")</f>
        <v>0.023583853115408854</v>
      </c>
      <c r="D14" s="29" t="inlineStr">
        <is>
          <t>Fryer for the chips, stock-pot range for the carnitas and guisados, a 4-well steam table (listings start around $1,119) and tortilla warmers. Kit estimate</t>
        </is>
      </c>
      <c r="E14" s="32" t="inlineStr">
        <is>
          <t>Yes</t>
        </is>
      </c>
    </row>
    <row r="15">
      <c r="A15" s="29" t="inlineStr">
        <is>
          <t>Walk-in cooler (6×8)</t>
        </is>
      </c>
      <c r="B15" s="51" t="n">
        <v>12800</v>
      </c>
      <c r="C15" s="68">
        <f>IFERROR(B15/$B$30,"")</f>
        <v>0.04644204921188205</v>
      </c>
      <c r="D15" s="29" t="inlineStr">
        <is>
          <t>A 6×8 ft (1.8×2.4 m) walk-in cooler for the marinated meat in volume. A Norlake Kold Locker lists at $12,808 (WebstaurantStore, Oct 2026)</t>
        </is>
      </c>
      <c r="E15" s="32" t="inlineStr">
        <is>
          <t>Yes</t>
        </is>
      </c>
    </row>
    <row r="16">
      <c r="A16" s="29" t="inlineStr">
        <is>
          <t>Refrigerated prep table, salsa bar &amp; freezer</t>
        </is>
      </c>
      <c r="B16" s="51" t="n">
        <v>6500</v>
      </c>
      <c r="C16" s="68">
        <f>IFERROR(B16/$B$30,"")</f>
        <v>0.023583853115408854</v>
      </c>
      <c r="D16" s="29" t="inlineStr">
        <is>
          <t>Refrigerated prep table for the garnishes, a refrigerated salsa bar and a freezer. No salsa bar price was read, so it is a Kit estimate: get two quotes</t>
        </is>
      </c>
      <c r="E16" s="32" t="inlineStr">
        <is>
          <t>Yes</t>
        </is>
      </c>
    </row>
    <row r="17">
      <c r="A17" s="29" t="inlineStr">
        <is>
          <t>3-comp sink, dish machine, hand sinks, shelving &amp; stainless</t>
        </is>
      </c>
      <c r="B17" s="51" t="n">
        <v>11000</v>
      </c>
      <c r="C17" s="68">
        <f>IFERROR(B17/$B$30,"")</f>
        <v>0.03991113604146114</v>
      </c>
      <c r="D17" s="29" t="inlineStr">
        <is>
          <t>Three-compartment sink, dish machine, hands-free hand sinks, stainless tables and shelving</t>
        </is>
      </c>
      <c r="E17" s="32" t="inlineStr">
        <is>
          <t>Yes</t>
        </is>
      </c>
    </row>
    <row r="18">
      <c r="A18" s="29" t="inlineStr">
        <is>
          <t>Smallwares &amp; tortilla presses (hotel pans, blenders, probe thermometers, scales)</t>
        </is>
      </c>
      <c r="B18" s="51" t="n">
        <v>6500</v>
      </c>
      <c r="C18" s="68">
        <f>IFERROR(B18/$B$30,"")</f>
        <v>0.023583853115408854</v>
      </c>
      <c r="D18" s="29" t="inlineStr">
        <is>
          <t>Hotel pans, blenders for the salsas, probe thermometers, scales, dishware and baskets, manual tortilla presses (a Choice 7½ in (19 cm) press lists at $17.49), the required public notices (health permit, beer &amp; wine license, labor law posters) and allergen signs (the 9 major allergens, including sesame: salsa macha = peanuts + sesame; flour tortillas = wheat). Food handler cards and the CFPM exam are budgeted in the P&amp;L</t>
        </is>
      </c>
      <c r="E18" s="32" t="inlineStr">
        <is>
          <t>Yes</t>
        </is>
      </c>
    </row>
    <row r="19">
      <c r="A19" s="29" t="inlineStr">
        <is>
          <t>Beverage station (beer cooler, agua fresca dispensers)</t>
        </is>
      </c>
      <c r="B19" s="51" t="n">
        <v>2000</v>
      </c>
      <c r="C19" s="68">
        <f>IFERROR(B19/$B$30,"")</f>
        <v>0.007256570189356571</v>
      </c>
      <c r="D19" s="29" t="inlineStr">
        <is>
          <t>Beer cooler and agua fresca dispensers. Kit estimate. If your beer distributor lends you the tap equipment, this line goes down</t>
        </is>
      </c>
      <c r="E19" s="32" t="inlineStr">
        <is>
          <t>Yes</t>
        </is>
      </c>
    </row>
    <row r="20">
      <c r="A20" s="29" t="inlineStr">
        <is>
          <t>Furniture (30 seats) &amp; patio (12)</t>
        </is>
      </c>
      <c r="B20" s="51" t="n">
        <v>10000</v>
      </c>
      <c r="C20" s="68">
        <f>IFERROR(B20/$B$30,"")</f>
        <v>0.03628285094678286</v>
      </c>
      <c r="D20" s="29" t="inlineStr">
        <is>
          <t>Tables and chairs for 30 seats in the dining room and 12 on the seasonal patio (April through October)</t>
        </is>
      </c>
      <c r="E20" s="32" t="inlineStr">
        <is>
          <t>Yes</t>
        </is>
      </c>
    </row>
    <row r="21">
      <c r="A21" s="29" t="inlineStr">
        <is>
          <t>POS, online ordering, kiosk &amp; delivery tablets</t>
        </is>
      </c>
      <c r="B21" s="51" t="n">
        <v>4500</v>
      </c>
      <c r="C21" s="68">
        <f>IFERROR(B21/$B$30,"")</f>
        <v>0.016327282926052285</v>
      </c>
      <c r="D21" s="29" t="inlineStr">
        <is>
          <t>POS that reports sales tax, card terminals, kitchen printer and the delivery marketplace tablets</t>
        </is>
      </c>
      <c r="E21" s="32" t="inlineStr">
        <is>
          <t>Yes</t>
        </is>
      </c>
    </row>
    <row r="22">
      <c r="A22" s="29" t="inlineStr">
        <is>
          <t>LLC, legal &amp; food safety plan</t>
        </is>
      </c>
      <c r="B22" s="51" t="n">
        <v>2500</v>
      </c>
      <c r="C22" s="68">
        <f>IFERROR(B22/$B$30,"")</f>
        <v>0.009070712736695715</v>
      </c>
      <c r="D22" s="29" t="inlineStr">
        <is>
          <t>LLC formation (or an S corp election with your CPA), business license, local fees, health permit and the written food safety plan. Government fees carry no sales tax; professional fees may, depending on your state: change the column next to it if your quote is mostly professional fees</t>
        </is>
      </c>
      <c r="E22" s="32" t="inlineStr">
        <is>
          <t>No</t>
        </is>
      </c>
    </row>
    <row r="23">
      <c r="A23" s="29" t="inlineStr">
        <is>
          <t>Branding, website, photos &amp; launch</t>
        </is>
      </c>
      <c r="B23" s="51" t="n">
        <v>5500</v>
      </c>
      <c r="C23" s="68">
        <f>IFERROR(B23/$B$30,"")</f>
        <v>0.01995556802073057</v>
      </c>
      <c r="D23" s="29" t="inlineStr">
        <is>
          <t>Brand identity, a website with the menu and online ordering, a photo shoot and the opening campaign</t>
        </is>
      </c>
      <c r="E23" s="32" t="inlineStr">
        <is>
          <t>Yes</t>
        </is>
      </c>
    </row>
    <row r="24">
      <c r="A24" s="29" t="inlineStr">
        <is>
          <t>Opening inventory</t>
        </is>
      </c>
      <c r="B24" s="51" t="n">
        <v>5000</v>
      </c>
      <c r="C24" s="68">
        <f>IFERROR(B24/$B$30,"")</f>
        <v>0.01814142547339143</v>
      </c>
      <c r="D24" s="29" t="inlineStr">
        <is>
          <t>Meat, dried chiles and imported Mexican specialty products (ask for lead times: they can take weeks), corn tortillas, beer and wine, soft drinks and the take-out packaging</t>
        </is>
      </c>
      <c r="E24" s="32" t="inlineStr">
        <is>
          <t>Yes</t>
        </is>
      </c>
    </row>
    <row r="25">
      <c r="A25" s="29" t="inlineStr">
        <is>
          <t>Security deposit</t>
        </is>
      </c>
      <c r="B25" s="41">
        <f>IFERROR(IF('0. Assumptions'!$B$24="","",'0. Assumptions'!$B$24*'0. Assumptions'!$B$25),"")</f>
        <v>5600.0</v>
      </c>
      <c r="C25" s="68">
        <f>IFERROR(B25/$B$30,"")</f>
        <v>0.020318396530198398</v>
      </c>
      <c r="D25" s="29" t="str">
        <f>IFERROR(""&amp;TEXT('0. Assumptions'!$B$25,"0")&amp;IF('0. Assumptions'!$B$25=1," month"," months")&amp;" of rent, from ""0. Assumptions"". Refundable when the lease ends: it is not depreciated and carries no tax","")</f>
        <v>2 months of rent, from "0. Assumptions". Refundable when the lease ends: it is not depreciated and carries no tax</v>
      </c>
      <c r="E25" s="29" t="inlineStr">
        <is>
          <t>No</t>
        </is>
      </c>
    </row>
    <row r="26">
      <c r="A26" s="29" t="inlineStr">
        <is>
          <t>Rent paid before opening</t>
        </is>
      </c>
      <c r="B26" s="41">
        <f>IFERROR(IF('0. Assumptions'!$B$24="","",'0. Assumptions'!$B$24*'0. Assumptions'!$B$54),"")</f>
        <v>5600.0</v>
      </c>
      <c r="C26" s="68">
        <f>IFERROR(B26/$B$30,"")</f>
        <v>0.020318396530198398</v>
      </c>
      <c r="D26" s="29" t="str">
        <f>IFERROR("Rent "&amp;IF('0. Assumptions'!$B$54=1,"for the month","for the "&amp;TEXT('0. Assumptions'!$B$54,"0")&amp;" months")&amp;" of build-out and permits before opening. It does not overlap the P&amp;L, which starts on opening day: its twelve months are twelve trading months","")</f>
        <v>Rent for the 2 months of build-out and permits before opening. It does not overlap the P&amp;L, which starts on opening day: its twelve months are twelve trading months</v>
      </c>
      <c r="E26" s="29" t="inlineStr">
        <is>
          <t>Yes</t>
        </is>
      </c>
    </row>
    <row r="27">
      <c r="A27" s="29" t="inlineStr">
        <is>
          <t>Build-out and setup contingency</t>
        </is>
      </c>
      <c r="B27" s="41">
        <f>IFERROR(IF(COUNT(B7,B8,B9,B10,B11)=0,"",ROUND((B7+B8+B9+B10+B11)*'0. Assumptions'!$B$55,0)),"")</f>
        <v>9600.0</v>
      </c>
      <c r="C27" s="68">
        <f>IFERROR(B27/$B$30,"")</f>
        <v>0.03483153690891154</v>
      </c>
      <c r="D27" s="29" t="str">
        <f>IFERROR("At "&amp;TEXT('0. Assumptions'!$B$55,"0%")&amp;" of the BUILD-OUT items of this block (architect, MEP &amp; hood drawings and permit fees; build-out, signage &amp; facade; Type I hood, UL 300 fire suppression &amp; makeup air; "&amp;"electrical service, panel &amp; gas lines; plumbing, grease interceptor &amp; HVAC), not of the whole block: the trompos, the equipment and the other items are left out. No lender funds a build-out without a cushion: the percentage is in ""0. Assumptions""","")</f>
        <v>At 10% of the BUILD-OUT items of this block (architect, MEP &amp; hood drawings and permit fees; build-out, signage &amp; facade; Type I hood, UL 300 fire suppression &amp; makeup air; electrical service, panel &amp; gas lines; plumbing, grease interceptor &amp; HVAC), not of the whole block: the trompos, the equipment and the other items are left out. No lender funds a build-out without a cushion: the percentage is in "0. Assumptions"</v>
      </c>
      <c r="E27" s="29" t="inlineStr">
        <is>
          <t>Yes</t>
        </is>
      </c>
    </row>
    <row r="28">
      <c r="A28" s="26" t="inlineStr">
        <is>
          <t>WORKING CAPITAL</t>
        </is>
      </c>
      <c r="B28" s="54">
        <f>IFERROR(IF(B29="","",B29),"")</f>
        <v>78012.3</v>
      </c>
      <c r="C28" s="67">
        <f>IFERROR(B28/$B$30,"")</f>
        <v>0.2830508652915708</v>
      </c>
      <c r="D28" s="29" t="n"/>
      <c r="E28" s="29" t="n"/>
    </row>
    <row r="29">
      <c r="A29" s="29" t="inlineStr">
        <is>
          <t>Operating cushion until break-even</t>
        </is>
      </c>
      <c r="B29" s="41">
        <f>IFERROR(IF('0. Assumptions'!$B$35*('3-Year P&amp;L'!$B$37-'3-Year P&amp;L'!$B$35)=0,"",'0. Assumptions'!$B$35*('3-Year P&amp;L'!$B$37-'3-Year P&amp;L'!$B$35)/12),"")</f>
        <v>78012.3</v>
      </c>
      <c r="C29" s="68">
        <f>IFERROR(B29/$B$30,"")</f>
        <v>0.2830508652915708</v>
      </c>
      <c r="D29" s="29"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9" s="29" t="inlineStr">
        <is>
          <t>No</t>
        </is>
      </c>
    </row>
    <row r="30">
      <c r="A30" s="26" t="inlineStr">
        <is>
          <t>TOTAL STARTUP COSTS (sum of the blocks)</t>
        </is>
      </c>
      <c r="B30" s="54">
        <f>IFERROR(B6+B28,"")</f>
        <v>275612.3</v>
      </c>
      <c r="C30" s="29" t="n"/>
      <c r="D30" s="26" t="str">
        <f>IFERROR("The percentages in column C are read on this figure, which includes the working capital ("&amp;TEXT(C28,"0%")&amp;" of the total). To compare the breakdown with another plan, use the CAPEX row below.","")</f>
        <v>The percentages in column C are read on this figure, which includes the working capital (28% of the total). To compare the breakdown with another plan, use the CAPEX row below.</v>
      </c>
      <c r="E30" s="29" t="n"/>
    </row>
    <row r="31">
      <c r="A31" s="26" t="inlineStr">
        <is>
          <t>CAPEX (startup costs excluding working capital)</t>
        </is>
      </c>
      <c r="B31" s="54">
        <f>IFERROR(B30-B28,"")</f>
        <v>197600.0</v>
      </c>
      <c r="C31" s="29" t="n"/>
      <c r="D31" s="26" t="inlineStr">
        <is>
          <t>What you buy: build-out, equipment, launch and formation costs. The cash cushion is not an investment: it is working capital</t>
        </is>
      </c>
      <c r="E31" s="29" t="n"/>
    </row>
    <row r="32">
      <c r="A32" s="29" t="inlineStr">
        <is>
          <t>Recoverable input tax on capex</t>
        </is>
      </c>
      <c r="B32" s="41">
        <f>IFERROR(IF(B30="","",SUMIF($E$7:$E$27,"Yes",$B$7:$B$27)*'0. Assumptions'!$B$41),"")</f>
        <v>0.0</v>
      </c>
      <c r="C32" s="29" t="n"/>
      <c r="D32" s="29"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c r="E32" s="29" t="n"/>
    </row>
    <row r="33">
      <c r="A33" s="26" t="inlineStr">
        <is>
          <t>TOTAL CASH NEEDED AT LAUNCH</t>
        </is>
      </c>
      <c r="B33" s="54">
        <f>IFERROR(B30+B32,"")</f>
        <v>275612.3</v>
      </c>
      <c r="C33" s="29" t="n"/>
      <c r="D33" s="26" t="inlineStr">
        <is>
          <t>This is the figure the Financing tab has to cover</t>
        </is>
      </c>
      <c r="E33" s="29" t="n"/>
    </row>
    <row r="34">
      <c r="A34" s="26" t="inlineStr">
        <is>
          <t>DEPRECIATION BASES (not added to startup costs)</t>
        </is>
      </c>
      <c r="B34" s="29" t="n"/>
      <c r="C34" s="29" t="n"/>
      <c r="D34" s="29" t="n"/>
      <c r="E34" s="29" t="n"/>
    </row>
    <row r="35">
      <c r="A35" s="29" t="inlineStr">
        <is>
          <t>Build-out, fixtures and setup</t>
        </is>
      </c>
      <c r="B35" s="41">
        <f>IFERROR(IF(B7="","",B7+B8+B9+B10+B11+B27),"")</f>
        <v>105600.0</v>
      </c>
      <c r="C35" s="29" t="n"/>
      <c r="D35" s="29" t="str">
        <f>IFERROR("Depreciated over "&amp;TEXT('0. Assumptions'!$B$44,"0")&amp;" years","")</f>
        <v>Depreciated over 10 years</v>
      </c>
      <c r="E35" s="29" t="n"/>
    </row>
    <row r="36">
      <c r="A36" s="29" t="inlineStr">
        <is>
          <t>Machinery, furniture and equipment</t>
        </is>
      </c>
      <c r="B36" s="41">
        <f>IFERROR(IF(B12="","",B12+B13+B14+B15+B16+B17+B18+B19+B20+B21),"")</f>
        <v>67800.0</v>
      </c>
      <c r="C36" s="29" t="n"/>
      <c r="D36" s="29" t="str">
        <f>IFERROR("Depreciated over "&amp;TEXT('0. Assumptions'!$B$45,"0")&amp;" years","")</f>
        <v>Depreciated over 7 years</v>
      </c>
      <c r="E36" s="29" t="n"/>
    </row>
    <row r="37">
      <c r="A37" s="26" t="inlineStr">
        <is>
          <t>Annual depreciation of fixed assets</t>
        </is>
      </c>
      <c r="B37" s="54">
        <f>IFERROR(B35/MAX(1,'0. Assumptions'!$B$44)+B36/MAX(1,'0. Assumptions'!$B$45),"")</f>
        <v>20245.714285714286</v>
      </c>
      <c r="C37" s="29" t="n"/>
      <c r="D37" s="26" t="str">
        <f>IFERROR("Not depreciated, because they are not fixed assets: LLC, legal and food safety plan; branding, website, photos and launch; opening inventory; security deposit; pre-opening rent and the working capital reserve. They add up to "&amp;TEXT(B30-B35-B36,"#,##0")&amp;" of the "&amp;TEXT(B30,"#,##0")&amp;" total investment.","")</f>
        <v>Not depreciated, because they are not fixed assets: LLC, legal and food safety plan; branding, website, photos and launch; opening inventory; security deposit; pre-opening rent and the working capital reserve. They add up to 102212 of the 275612 total investment.</v>
      </c>
      <c r="E37"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B21 B22 B23 B24"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PRO FORMA P&amp;L — 3 YEARS</t>
        </is>
      </c>
    </row>
    <row r="2">
      <c r="A2" s="3" t="inlineStr">
        <is>
          <t>Base case — counter-service taco shop with trompo, salsa bar and take-out</t>
        </is>
      </c>
    </row>
    <row r="4" ht="45" customHeight="1">
      <c r="A4" s="40" t="inlineStr">
        <is>
          <t>Item</t>
        </is>
      </c>
      <c r="B4" s="40" t="inlineStr">
        <is>
          <t>Year 1</t>
        </is>
      </c>
      <c r="C4" s="40" t="inlineStr">
        <is>
          <t>Year 2</t>
        </is>
      </c>
      <c r="D4" s="40" t="inlineStr">
        <is>
          <t>Year 3</t>
        </is>
      </c>
      <c r="E4" s="40" t="inlineStr">
        <is>
          <t>% of sales (year 1)</t>
        </is>
      </c>
      <c r="F4" s="40" t="inlineStr">
        <is>
          <t>Notes</t>
        </is>
      </c>
      <c r="G4" s="40" t="inlineStr">
        <is>
          <t>Sales tax rate on the line (%)</t>
        </is>
      </c>
      <c r="H4" s="40" t="inlineStr">
        <is>
          <t>Beverage share taxed at the alcohol rate in B40 (%)</t>
        </is>
      </c>
    </row>
    <row r="5">
      <c r="A5" s="26" t="inlineStr">
        <is>
          <t>REVENUE</t>
        </is>
      </c>
      <c r="B5" s="29" t="n"/>
      <c r="C5" s="29" t="n"/>
      <c r="D5" s="29" t="n"/>
      <c r="E5" s="29" t="n"/>
      <c r="F5" s="29" t="n"/>
      <c r="G5" s="29" t="n"/>
      <c r="H5" s="29" t="n"/>
    </row>
    <row r="6">
      <c r="A6" s="29" t="inlineStr">
        <is>
          <t>Covers per day (average)</t>
        </is>
      </c>
      <c r="B6" s="41">
        <f>IFERROR(IF('0. Assumptions'!$B$4="","",'0. Assumptions'!$B$4),"")</f>
        <v>115.0</v>
      </c>
      <c r="C6" s="41">
        <f>IFERROR(B6*(1+'0. Assumptions'!$B$7),"")</f>
        <v>121.9</v>
      </c>
      <c r="D6" s="41">
        <f>IFERROR(C6*(1+'0. Assumptions'!$B$8),"")</f>
        <v>126.77600000000001</v>
      </c>
      <c r="E6" s="29" t="n"/>
      <c r="F6" s="29" t="inlineStr">
        <is>
          <t>Growth for years 2 and 3 is set in "0. Assumptions"</t>
        </is>
      </c>
      <c r="G6" s="29" t="n"/>
      <c r="H6" s="29" t="n"/>
    </row>
    <row r="7">
      <c r="A7" s="29" t="inlineStr">
        <is>
          <t>Average check (excl. sales tax)</t>
        </is>
      </c>
      <c r="B7" s="62">
        <f>IFERROR(IF('0. Assumptions'!$B$5="","",'0. Assumptions'!$B$5),"")</f>
        <v>17.5</v>
      </c>
      <c r="C7" s="62">
        <f>IFERROR(IF(B7="","",B7),"")</f>
        <v>17.5</v>
      </c>
      <c r="D7" s="62">
        <f>IFERROR(IF(C7="","",C7),"")</f>
        <v>17.5</v>
      </c>
      <c r="E7" s="29" t="n"/>
      <c r="F7" s="29" t="inlineStr">
        <is>
          <t>Held constant at year-1 prices: a price increase is a separate decision</t>
        </is>
      </c>
      <c r="G7" s="29" t="n"/>
      <c r="H7" s="29" t="n"/>
    </row>
    <row r="8">
      <c r="A8" s="29" t="inlineStr">
        <is>
          <t>Operating days per year</t>
        </is>
      </c>
      <c r="B8" s="41">
        <f>IFERROR(IF('0. Assumptions'!$B$6="","",'0. Assumptions'!$B$6),"")</f>
        <v>308.0</v>
      </c>
      <c r="C8" s="41">
        <f>IFERROR(IF(B8="","",B8),"")</f>
        <v>308.0</v>
      </c>
      <c r="D8" s="41">
        <f>IFERROR(IF(C8="","",C8),"")</f>
        <v>308.0</v>
      </c>
      <c r="E8" s="29" t="n"/>
      <c r="F8" s="29" t="n"/>
      <c r="G8" s="29" t="n"/>
      <c r="H8" s="29" t="n"/>
    </row>
    <row r="9">
      <c r="A9" s="26" t="inlineStr">
        <is>
          <t>TOTAL REVENUE (excl. sales tax)</t>
        </is>
      </c>
      <c r="B9" s="54">
        <f>IFERROR(IF(B6*B7*B8=0,"",B6*B7*B8),"")</f>
        <v>619850.0</v>
      </c>
      <c r="C9" s="54">
        <f>IFERROR(IF(C6*C7*C8=0,"",C6*C7*C8),"")</f>
        <v>657041.0</v>
      </c>
      <c r="D9" s="54">
        <f>IFERROR(IF(D6*D7*D8=0,"",D6*D7*D8),"")</f>
        <v>683322.6400000001</v>
      </c>
      <c r="E9" s="67">
        <f>IFERROR(IF(B9="","",1),"")</f>
        <v>1.0</v>
      </c>
      <c r="F9" s="29" t="n"/>
      <c r="G9" s="29" t="n"/>
      <c r="H9" s="29" t="n"/>
    </row>
    <row r="10">
      <c r="A10" s="29" t="inlineStr">
        <is>
          <t>Food sales (tacos, quesadillas, plates &amp; sides: dine-in, take-out &amp; delivery)</t>
        </is>
      </c>
      <c r="B10" s="41">
        <f>IFERROR(IF(B9="","",B9*$E$10),"")</f>
        <v>526872.5</v>
      </c>
      <c r="C10" s="41">
        <f>IFERROR(IF(C9="","",C9*$E$10),"")</f>
        <v>558484.85</v>
      </c>
      <c r="D10" s="41">
        <f>IFERROR(IF(D9="","",D9*$E$10),"")</f>
        <v>580824.2440000001</v>
      </c>
      <c r="E10" s="68">
        <f>IFERROR(IF('0. Assumptions'!$B$11="","",'0. Assumptions'!$B$11),"")</f>
        <v>0.85</v>
      </c>
      <c r="F10" s="29" t="inlineStr">
        <is>
          <t>Tacos, gringas and quesadillas, plates and sides: about 52% dine-in, about 33% direct pickup and 15% through delivery marketplaces. One sales tax rate in the example, whether guests eat in or take it to go; some states tax food to go differently, so check yours</t>
        </is>
      </c>
      <c r="G10" s="68">
        <f>IFERROR(IF(B9="","",'0. Assumptions'!$B$39),"")</f>
        <v>0.08</v>
      </c>
      <c r="H10" s="29" t="n"/>
    </row>
    <row r="11">
      <c r="A11" s="29" t="inlineStr">
        <is>
          <t>Beverage sales (aguas frescas, sodas, Mexican beer &amp; wine)</t>
        </is>
      </c>
      <c r="B11" s="41">
        <f>IFERROR(IF(B9="","",B9*$E$11),"")</f>
        <v>92977.50000000001</v>
      </c>
      <c r="C11" s="41">
        <f>IFERROR(IF(C9="","",C9*$E$11),"")</f>
        <v>98556.15000000001</v>
      </c>
      <c r="D11" s="41">
        <f>IFERROR(IF(D9="","",D9*$E$11),"")</f>
        <v>102498.39600000004</v>
      </c>
      <c r="E11" s="68">
        <f>IFERROR(IF('0. Assumptions'!$B$12="","",'0. Assumptions'!$B$12),"")</f>
        <v>0.15000000000000002</v>
      </c>
      <c r="F11" s="29" t="inlineStr">
        <is>
          <t>Dine-in beverages and the drinks that go out with orders (aguas frescas, sodas, Mexican beer &amp; wine) · Column H is the share of beverage sales taxed at the alcohol rate in "0. Assumptions" B40. With the example rates (B39 = B40 = 8%: state + local) it changes nothing. Some states tax alcohol differently: type your alcohol rate in B40 and the alcohol share of beverage sales here</t>
        </is>
      </c>
      <c r="G11" s="68">
        <f>IFERROR(IF(B9="","",H11*'0. Assumptions'!$B$40+(1-H11)*'0. Assumptions'!$B$39),"")</f>
        <v>0.07999999999999999</v>
      </c>
      <c r="H11" s="74" t="n">
        <v>0.3</v>
      </c>
    </row>
    <row r="12">
      <c r="A12" s="26" t="inlineStr">
        <is>
          <t>VARIABLE COSTS</t>
        </is>
      </c>
      <c r="B12" s="29" t="n"/>
      <c r="C12" s="29" t="n"/>
      <c r="D12" s="29" t="n"/>
      <c r="E12" s="29" t="n"/>
      <c r="F12" s="29" t="n"/>
      <c r="G12" s="29" t="n"/>
      <c r="H12" s="29" t="n"/>
    </row>
    <row r="13">
      <c r="A13" s="29" t="inlineStr">
        <is>
          <t>Cost of goods sold — food</t>
        </is>
      </c>
      <c r="B13" s="41">
        <f>IFERROR(IF(B9="","",B9*'0. Assumptions'!$B$11*'0. Assumptions'!$B$13),"")</f>
        <v>142255.575</v>
      </c>
      <c r="C13" s="41">
        <f>IFERROR(IF(C9="","",C9*'0. Assumptions'!$B$11*'0. Assumptions'!$B$13),"")</f>
        <v>150790.9095</v>
      </c>
      <c r="D13" s="41">
        <f>IFERROR(IF(D9="","",D9*'0. Assumptions'!$B$11*'0. Assumptions'!$B$13),"")</f>
        <v>156822.54588000002</v>
      </c>
      <c r="E13" s="68">
        <f>IFERROR(B13/$B$9,"")</f>
        <v>0.2295</v>
      </c>
      <c r="F13" s="29" t="str">
        <f>IFERROR("At "&amp;TEXT('0. Assumptions'!$B$13,"0%")&amp;" of FOOD sales, not of total sales: beverages have their own line · pork shoulder and other meats, corn tortillas, chiles, produce, avocados and cheese: check it against your distributor invoices and the Taco Cost &amp; Trompo Yield Calculator","")</f>
        <v>At 27% of FOOD sales, not of total sales: beverages have their own line · pork shoulder and other meats, corn tortillas, chiles, produce, avocados and cheese: check it against your distributor invoices and the Taco Cost &amp; Trompo Yield Calculator</v>
      </c>
      <c r="G13" s="74" t="n">
        <v>0</v>
      </c>
      <c r="H13" s="29" t="n"/>
    </row>
    <row r="14">
      <c r="A14" s="29" t="inlineStr">
        <is>
          <t>Cost of goods sold — beverage</t>
        </is>
      </c>
      <c r="B14" s="41">
        <f>IFERROR(IF(B9="","",B9*'0. Assumptions'!$B$12*'0. Assumptions'!$B$14),"")</f>
        <v>20455.050000000003</v>
      </c>
      <c r="C14" s="41">
        <f>IFERROR(IF(C9="","",C9*'0. Assumptions'!$B$12*'0. Assumptions'!$B$14),"")</f>
        <v>21682.353000000003</v>
      </c>
      <c r="D14" s="41">
        <f>IFERROR(IF(D9="","",D9*'0. Assumptions'!$B$12*'0. Assumptions'!$B$14),"")</f>
        <v>22549.64712000001</v>
      </c>
      <c r="E14" s="68">
        <f>IFERROR(B14/$B$9,"")</f>
        <v>0.033</v>
      </c>
      <c r="F14" s="29" t="str">
        <f>IFERROR("At "&amp;TEXT('0. Assumptions'!$B$14,"0%")&amp;" of BEVERAGE sales","")</f>
        <v>At 22% of BEVERAGE sales</v>
      </c>
      <c r="G14" s="68">
        <f>IFERROR(IF(B9="","",'0. Assumptions'!$B$41),"")</f>
        <v>0.0</v>
      </c>
      <c r="H14" s="29" t="n"/>
    </row>
    <row r="15">
      <c r="A15" s="29" t="inlineStr">
        <is>
          <t>Disposables and packaging</t>
        </is>
      </c>
      <c r="B15" s="41">
        <f>IFERROR(IF(B9="","",B9*'0. Assumptions'!$B$15),"")</f>
        <v>24794.0</v>
      </c>
      <c r="C15" s="41">
        <f>IFERROR(IF(C9="","",C9*'0. Assumptions'!$B$15),"")</f>
        <v>26281.64</v>
      </c>
      <c r="D15" s="41">
        <f>IFERROR(IF(D9="","",D9*'0. Assumptions'!$B$15),"")</f>
        <v>27332.905600000006</v>
      </c>
      <c r="E15" s="68">
        <f>IFERROR(B15/$B$9,"")</f>
        <v>0.04</v>
      </c>
      <c r="F15" s="29" t="n"/>
      <c r="G15" s="68">
        <f>IFERROR(IF(B9="","",'0. Assumptions'!$B$41),"")</f>
        <v>0.0</v>
      </c>
      <c r="H15" s="29" t="n"/>
    </row>
    <row r="16">
      <c r="A16" s="29" t="inlineStr">
        <is>
          <t>Delivery platform fees</t>
        </is>
      </c>
      <c r="B16" s="41">
        <f>IFERROR(IF(B9="","",B9*'0. Assumptions'!$B$16*'0. Assumptions'!$B$17),"")</f>
        <v>23244.375</v>
      </c>
      <c r="C16" s="41">
        <f>IFERROR(IF(C9="","",C9*'0. Assumptions'!$B$16*'0. Assumptions'!$B$17),"")</f>
        <v>24639.0375</v>
      </c>
      <c r="D16" s="41">
        <f>IFERROR(IF(D9="","",D9*'0. Assumptions'!$B$16*'0. Assumptions'!$B$17),"")</f>
        <v>25624.599000000006</v>
      </c>
      <c r="E16" s="68">
        <f>IFERROR(B16/$B$9,"")</f>
        <v>0.0375</v>
      </c>
      <c r="F16" s="29" t="inlineStr">
        <is>
          <t>Applied to the sales of THAT CHANNEL. With 0% delivery in Assumptions, this line is zero</t>
        </is>
      </c>
      <c r="G16" s="68">
        <f>IFERROR(IF(B9="","",'0. Assumptions'!$B$41),"")</f>
        <v>0.0</v>
      </c>
      <c r="H16" s="29" t="n"/>
    </row>
    <row r="17">
      <c r="A17" s="29" t="inlineStr">
        <is>
          <t>Card processing fees</t>
        </is>
      </c>
      <c r="B17" s="41">
        <f>IFERROR(IF(B9="","",B9*'0. Assumptions'!$B$18),"")</f>
        <v>18595.5</v>
      </c>
      <c r="C17" s="41">
        <f>IFERROR(IF(C9="","",C9*'0. Assumptions'!$B$18),"")</f>
        <v>19711.23</v>
      </c>
      <c r="D17" s="41">
        <f>IFERROR(IF(D9="","",D9*'0. Assumptions'!$B$18),"")</f>
        <v>20499.679200000002</v>
      </c>
      <c r="E17" s="68">
        <f>IFERROR(B17/$B$9,"")</f>
        <v>0.03</v>
      </c>
      <c r="F17" s="29" t="inlineStr">
        <is>
          <t>Card processing fees are not subject to sales tax: no tax is recovered or deducted for them</t>
        </is>
      </c>
      <c r="G17" s="68" t="n">
        <v>0</v>
      </c>
      <c r="H17" s="29" t="n"/>
    </row>
    <row r="18">
      <c r="A18" s="29" t="inlineStr">
        <is>
          <t>Miscellaneous and contingency</t>
        </is>
      </c>
      <c r="B18" s="41">
        <f>IFERROR(IF(B9="","",B9*'0. Assumptions'!$B$28),"")</f>
        <v>6198.5</v>
      </c>
      <c r="C18" s="41">
        <f>IFERROR(IF(C9="","",C9*'0. Assumptions'!$B$28),"")</f>
        <v>6570.41</v>
      </c>
      <c r="D18" s="41">
        <f>IFERROR(IF(D9="","",D9*'0. Assumptions'!$B$28),"")</f>
        <v>6833.226400000001</v>
      </c>
      <c r="E18" s="68">
        <f>IFERROR(B18/$B$9,"")</f>
        <v>0.01</v>
      </c>
      <c r="F18" s="29" t="str">
        <f>IFERROR("At "&amp;TEXT('0. Assumptions'!$B$28,"0%")&amp;" of sales. It is a VARIABLE cost: it moves with revenue, so it cannot sit in fixed costs","")</f>
        <v>At 1% of sales. It is a VARIABLE cost: it moves with revenue, so it cannot sit in fixed costs</v>
      </c>
      <c r="G18" s="68">
        <f>IFERROR(IF(B9="","",'0. Assumptions'!$B$41),"")</f>
        <v>0.0</v>
      </c>
      <c r="H18" s="29" t="n"/>
    </row>
    <row r="19">
      <c r="A19" s="26" t="inlineStr">
        <is>
          <t>TOTAL VARIABLE COSTS</t>
        </is>
      </c>
      <c r="B19" s="54">
        <f>IFERROR(IF(B9="","",SUM(B13:B18)),"")</f>
        <v>235543.0</v>
      </c>
      <c r="C19" s="54">
        <f>IFERROR(IF(C9="","",SUM(C13:C18)),"")</f>
        <v>249675.58000000002</v>
      </c>
      <c r="D19" s="54">
        <f>IFERROR(IF(D9="","",SUM(D13:D18)),"")</f>
        <v>259662.60320000004</v>
      </c>
      <c r="E19" s="67">
        <f>IFERROR(B19/$B$9,"")</f>
        <v>0.38</v>
      </c>
      <c r="F19" s="29" t="n"/>
      <c r="G19" s="29" t="n"/>
      <c r="H19" s="29" t="n"/>
    </row>
    <row r="20">
      <c r="A20" s="26" t="inlineStr">
        <is>
          <t>GROSS MARGIN</t>
        </is>
      </c>
      <c r="B20" s="54">
        <f>IFERROR(IF(B9="","",B9-B19),"")</f>
        <v>384307.0</v>
      </c>
      <c r="C20" s="54">
        <f>IFERROR(IF(C9="","",C9-C19),"")</f>
        <v>407365.42</v>
      </c>
      <c r="D20" s="54">
        <f>IFERROR(IF(D9="","",D9-D19),"")</f>
        <v>423660.0368000001</v>
      </c>
      <c r="E20" s="67">
        <f>IFERROR(B20/$B$9,"")</f>
        <v>0.62</v>
      </c>
      <c r="F20" s="29" t="n"/>
      <c r="G20" s="29" t="n"/>
      <c r="H20" s="29" t="n"/>
    </row>
    <row r="21">
      <c r="A21" s="26" t="inlineStr">
        <is>
          <t>FIXED COSTS</t>
        </is>
      </c>
      <c r="B21" s="29" t="n"/>
      <c r="C21" s="29" t="n"/>
      <c r="D21" s="29" t="n"/>
      <c r="E21" s="29" t="n"/>
      <c r="F21" s="29" t="n"/>
      <c r="G21" s="29" t="n"/>
      <c r="H21" s="29" t="n"/>
    </row>
    <row r="22">
      <c r="A22" s="29" t="inlineStr">
        <is>
          <t>Rent</t>
        </is>
      </c>
      <c r="B22" s="41">
        <f>IFERROR(IF(B9="","",'0. Assumptions'!$B$24*12),"")</f>
        <v>33600.0</v>
      </c>
      <c r="C22" s="41">
        <f>IFERROR(IF(C9="","",B22*(1+'0. Assumptions'!$B$48)),"")</f>
        <v>33600.0</v>
      </c>
      <c r="D22" s="41">
        <f>IFERROR(IF(D9="","",C22*(1+'0. Assumptions'!$B$48)),"")</f>
        <v>33600.0</v>
      </c>
      <c r="E22" s="68">
        <f>IFERROR(B22/$B$9,"")</f>
        <v>0.05420666290231508</v>
      </c>
      <c r="F22" s="29" t="inlineStr">
        <is>
          <t>The monthly amount is on the "0. Assumptions" tab; here it is multiplied by twelve. The two months of rent before opening are on "Startup Costs" and are NOT counted twice</t>
        </is>
      </c>
      <c r="G22" s="68">
        <f>IFERROR(IF(B9="","",'0. Assumptions'!$B$41),"")</f>
        <v>0.0</v>
      </c>
      <c r="H22" s="29" t="n"/>
    </row>
    <row r="23">
      <c r="A23" s="29" t="inlineStr">
        <is>
          <t>Labor (wages + employer payroll taxes)</t>
        </is>
      </c>
      <c r="B23" s="41">
        <f>IFERROR(IF(B9="","",Staffing!$G$12),"")</f>
        <v>214249.2</v>
      </c>
      <c r="C23" s="41">
        <f>IFERROR(IF(C9="","",Staffing!$B$16),"")</f>
        <v>219249.2</v>
      </c>
      <c r="D23" s="41">
        <f>IFERROR(IF(D9="","",Staffing!$B$17),"")</f>
        <v>224249.2</v>
      </c>
      <c r="E23" s="68">
        <f>IFERROR(B23/$B$9,"")</f>
        <v>0.3456468500443656</v>
      </c>
      <c r="F23" s="29" t="inlineStr">
        <is>
          <t>Comes from the Staffing tab: it is the SAME number, not a separate estimate. Years 2 and 3 add the new hires declared on that tab, not a percentage of volume</t>
        </is>
      </c>
      <c r="G23" s="68" t="n">
        <v>0</v>
      </c>
      <c r="H23" s="29" t="n"/>
    </row>
    <row r="24">
      <c r="A24" s="29" t="inlineStr">
        <is>
          <t>Utilities (electricity, water, gas)</t>
        </is>
      </c>
      <c r="B24" s="41">
        <f>IFERROR(IF(B9="","",'0. Assumptions'!$B$26*12),"")</f>
        <v>15600.0</v>
      </c>
      <c r="C24" s="41">
        <f>IFERROR(IF(C9="","",B24*(1+'0. Assumptions'!$B$48)),"")</f>
        <v>15600.0</v>
      </c>
      <c r="D24" s="41">
        <f>IFERROR(IF(D9="","",C24*(1+'0. Assumptions'!$B$48)),"")</f>
        <v>15600.0</v>
      </c>
      <c r="E24" s="68">
        <f>IFERROR(B24/$B$9,"")</f>
        <v>0.025167379204646286</v>
      </c>
      <c r="F24" s="29" t="inlineStr">
        <is>
          <t>Enter the monthly bills excl. sales tax. The workbook applies a single tax treatment to this whole line, the one in the column next to it; if one utility is taxed differently in your area, give it its own line</t>
        </is>
      </c>
      <c r="G24" s="68">
        <f>IFERROR(IF(B9="","",'0. Assumptions'!$B$41),"")</f>
        <v>0.0</v>
      </c>
      <c r="H24" s="29" t="n"/>
    </row>
    <row r="25">
      <c r="A25" s="29" t="inlineStr">
        <is>
          <t>Insurance (general + liquor liability + property + workers' comp)</t>
        </is>
      </c>
      <c r="B25" s="41">
        <f>IFERROR(IF(B9="","",'0. Assumptions'!$B$27),"")</f>
        <v>6000.0</v>
      </c>
      <c r="C25" s="41">
        <f>IFERROR(IF(C9="","",B25*(1+'0. Assumptions'!$B$48)),"")</f>
        <v>6000.0</v>
      </c>
      <c r="D25" s="41">
        <f>IFERROR(IF(D9="","",C25*(1+'0. Assumptions'!$B$48)),"")</f>
        <v>6000.0</v>
      </c>
      <c r="E25" s="68">
        <f>IFERROR(B25/$B$9,"")</f>
        <v>0.009679761232556264</v>
      </c>
      <c r="F25" s="29" t="inlineStr">
        <is>
          <t>Insurance premiums are not subject to sales tax: there is no recoverable tax on them</t>
        </is>
      </c>
      <c r="G25" s="68" t="n">
        <v>0</v>
      </c>
      <c r="H25" s="29" t="n"/>
    </row>
    <row r="26">
      <c r="A26" s="29" t="inlineStr">
        <is>
          <t>Accounting &amp; bookkeeping</t>
        </is>
      </c>
      <c r="B26" s="51" t="n">
        <v>4200</v>
      </c>
      <c r="C26" s="41">
        <f>IFERROR(IF(C9="","",B26*(1+'0. Assumptions'!$B$48)),"")</f>
        <v>4200.0</v>
      </c>
      <c r="D26" s="41">
        <f>IFERROR(IF(D9="","",C26*(1+'0. Assumptions'!$B$48)),"")</f>
        <v>4200.0</v>
      </c>
      <c r="E26" s="68">
        <f>IFERROR(B26/$B$9,"")</f>
        <v>0.006775832862789385</v>
      </c>
      <c r="F26" s="29" t="inlineStr">
        <is>
          <t>Bookkeeping, income tax and payroll filings for the LLC, payroll processing and the staff paperwork (offer letters, I-9, W-4)</t>
        </is>
      </c>
      <c r="G26" s="68">
        <f>IFERROR(IF(B9="","",'0. Assumptions'!$B$41),"")</f>
        <v>0.0</v>
      </c>
      <c r="H26" s="29" t="n"/>
    </row>
    <row r="27">
      <c r="A27" s="29" t="inlineStr">
        <is>
          <t>Maintenance (hood cleaning, broilers, refrigeration)</t>
        </is>
      </c>
      <c r="B27" s="51" t="n">
        <v>3000</v>
      </c>
      <c r="C27" s="41">
        <f>IFERROR(IF(C9="","",B27*(1+'0. Assumptions'!$B$48)),"")</f>
        <v>3000.0</v>
      </c>
      <c r="D27" s="41">
        <f>IFERROR(IF(D9="","",C27*(1+'0. Assumptions'!$B$48)),"")</f>
        <v>3000.0</v>
      </c>
      <c r="E27" s="68">
        <f>IFERROR(B27/$B$9,"")</f>
        <v>0.004839880616278132</v>
      </c>
      <c r="F27" s="29" t="inlineStr">
        <is>
          <t>Hood and duct cleaning on the schedule that NFPA 96 and your local authority require, service for the gas vertical broilers, griddle and range, and the refrigeration technician</t>
        </is>
      </c>
      <c r="G27" s="68">
        <f>IFERROR(IF(B9="","",'0. Assumptions'!$B$41),"")</f>
        <v>0.0</v>
      </c>
      <c r="H27" s="29" t="n"/>
    </row>
    <row r="28">
      <c r="A28" s="29" t="inlineStr">
        <is>
          <t>Marketing and advertising</t>
        </is>
      </c>
      <c r="B28" s="51" t="n">
        <v>6000</v>
      </c>
      <c r="C28" s="41">
        <f>IFERROR(IF(C9="","",B28*(1+'0. Assumptions'!$B$48)),"")</f>
        <v>6000.0</v>
      </c>
      <c r="D28" s="41">
        <f>IFERROR(IF(D9="","",C28*(1+'0. Assumptions'!$B$48)),"")</f>
        <v>6000.0</v>
      </c>
      <c r="E28" s="68">
        <f>IFERROR(B28/$B$9,"")</f>
        <v>0.009679761232556264</v>
      </c>
      <c r="F28" s="29" t="inlineStr">
        <is>
          <t>Google Business Profile, Yelp, social media, seasonal photos and promotions (Cinco de Mayo, Mexican Independence Day in September, Day of the Dead in November); the opening campaign is in "Startup Costs"</t>
        </is>
      </c>
      <c r="G28" s="68">
        <f>IFERROR(IF(B9="","",'0. Assumptions'!$B$41),"")</f>
        <v>0.0</v>
      </c>
      <c r="H28" s="29" t="n"/>
    </row>
    <row r="29">
      <c r="A29" s="29" t="inlineStr">
        <is>
          <t>Software, POS &amp; online ordering</t>
        </is>
      </c>
      <c r="B29" s="51" t="n">
        <v>3600</v>
      </c>
      <c r="C29" s="41">
        <f>IFERROR(IF(C9="","",B29*(1+'0. Assumptions'!$B$48)),"")</f>
        <v>3600.0</v>
      </c>
      <c r="D29" s="41">
        <f>IFERROR(IF(D9="","",C29*(1+'0. Assumptions'!$B$48)),"")</f>
        <v>3600.0</v>
      </c>
      <c r="E29" s="68">
        <f>IFERROR(B29/$B$9,"")</f>
        <v>0.005807856739533758</v>
      </c>
      <c r="F29" s="29" t="inlineStr">
        <is>
          <t>POS subscription, online ordering, the delivery marketplace tablets, phone and internet</t>
        </is>
      </c>
      <c r="G29" s="68">
        <f>IFERROR(IF(B9="","",'0. Assumptions'!$B$41),"")</f>
        <v>0.0</v>
      </c>
      <c r="H29" s="29" t="n"/>
    </row>
    <row r="30">
      <c r="A30" s="29" t="inlineStr">
        <is>
          <t>Cleaning, linens &amp; uniforms</t>
        </is>
      </c>
      <c r="B30" s="51" t="n">
        <v>2000</v>
      </c>
      <c r="C30" s="41">
        <f>IFERROR(IF(C9="","",B30*(1+'0. Assumptions'!$B$48)),"")</f>
        <v>2000.0</v>
      </c>
      <c r="D30" s="41">
        <f>IFERROR(IF(D9="","",C30*(1+'0. Assumptions'!$B$48)),"")</f>
        <v>2000.0</v>
      </c>
      <c r="E30" s="68">
        <f>IFERROR(B30/$B$9,"")</f>
        <v>0.0032265870775187544</v>
      </c>
      <c r="F30" s="29" t="inlineStr">
        <is>
          <t>Cleaning supplies, uniform and towel laundry, gloves and any lab tests or records your written food safety plan calls for</t>
        </is>
      </c>
      <c r="G30" s="68">
        <f>IFERROR(IF(B9="","",'0. Assumptions'!$B$41),"")</f>
        <v>0.0</v>
      </c>
      <c r="H30" s="29" t="n"/>
    </row>
    <row r="31">
      <c r="A31" s="29" t="inlineStr">
        <is>
          <t>Waste, grease &amp; used-oil hauling + permit renewals</t>
        </is>
      </c>
      <c r="B31" s="51" t="n">
        <v>3500</v>
      </c>
      <c r="C31" s="41">
        <f>IFERROR(IF(C9="","",B31*(1+'0. Assumptions'!$B$48)),"")</f>
        <v>3500.0</v>
      </c>
      <c r="D31" s="41">
        <f>IFERROR(IF(D9="","",C31*(1+'0. Assumptions'!$B$48)),"")</f>
        <v>3500.0</v>
      </c>
      <c r="E31" s="68">
        <f>IFERROR(B31/$B$9,"")</f>
        <v>0.00564652738565782</v>
      </c>
      <c r="F31" s="29" t="inlineStr">
        <is>
          <t>Licensed hauler for trash, cardboard, used cooking oil and grease, plus annual permit renewals. If your city charges a patio or sidewalk café permit fee, add it here: this plan has not read any city fee schedule, so enter your city's own</t>
        </is>
      </c>
      <c r="G31" s="68">
        <f>IFERROR(IF(B9="","",'0. Assumptions'!$B$41),"")</f>
        <v>0.0</v>
      </c>
      <c r="H31" s="29" t="n"/>
    </row>
    <row r="32">
      <c r="A32" s="29" t="inlineStr">
        <is>
          <t>Pest control</t>
        </is>
      </c>
      <c r="B32" s="51" t="n">
        <v>900</v>
      </c>
      <c r="C32" s="41">
        <f>IFERROR(IF(C9="","",B32*(1+'0. Assumptions'!$B$48)),"")</f>
        <v>900.0</v>
      </c>
      <c r="D32" s="41">
        <f>IFERROR(IF(D9="","",C32*(1+'0. Assumptions'!$B$48)),"")</f>
        <v>900.0</v>
      </c>
      <c r="E32" s="68">
        <f>IFERROR(B32/$B$9,"")</f>
        <v>0.0014519641848834395</v>
      </c>
      <c r="F32" s="29" t="inlineStr">
        <is>
          <t>Contract with a licensed pest control operator: it is part of the prerequisites of your written food safety plan.</t>
        </is>
      </c>
      <c r="G32" s="68">
        <f>IFERROR(IF(B9="","",'0. Assumptions'!$B$41),"")</f>
        <v>0.0</v>
      </c>
      <c r="H32" s="29" t="n"/>
    </row>
    <row r="33">
      <c r="A33" s="29" t="inlineStr">
        <is>
          <t>Music licensing (ASCAP/BMI/SESAC)</t>
        </is>
      </c>
      <c r="B33" s="51" t="n">
        <v>1000</v>
      </c>
      <c r="C33" s="41">
        <f>IFERROR(IF(C9="","",B33*(1+'0. Assumptions'!$B$48)),"")</f>
        <v>1000.0</v>
      </c>
      <c r="D33" s="41">
        <f>IFERROR(IF(D9="","",C33*(1+'0. Assumptions'!$B$48)),"")</f>
        <v>1000.0</v>
      </c>
      <c r="E33" s="68">
        <f>IFERROR(B33/$B$9,"")</f>
        <v>0.0016132935387593772</v>
      </c>
      <c r="F33" s="29" t="inlineStr">
        <is>
          <t>ASCAP, BMI and SESAC are separate licenses; the fee depends on the square footage and the seating of your shop</t>
        </is>
      </c>
      <c r="G33" s="68">
        <f>IFERROR(IF(B9="","",'0. Assumptions'!$B$41),"")</f>
        <v>0.0</v>
      </c>
      <c r="H33" s="29" t="n"/>
    </row>
    <row r="34">
      <c r="A34" s="29" t="inlineStr">
        <is>
          <t>Food safety &amp; staff training (CFPM, allergens, OSHA)</t>
        </is>
      </c>
      <c r="B34" s="51" t="n">
        <v>800</v>
      </c>
      <c r="C34" s="41">
        <f>IFERROR(IF(C9="","",B34*(1+'0. Assumptions'!$B$48)),"")</f>
        <v>800.0</v>
      </c>
      <c r="D34" s="41">
        <f>IFERROR(IF(D9="","",C34*(1+'0. Assumptions'!$B$48)),"")</f>
        <v>800.0</v>
      </c>
      <c r="E34" s="68">
        <f>IFERROR(B34/$B$9,"")</f>
        <v>0.0012906348310075019</v>
      </c>
      <c r="F34" s="29" t="inlineStr">
        <is>
          <t>CFPM certification and food handler cards, allergen training and OSHA basics for every employee: burns from the griddle and the fryer, cuts when slicing the trompo, gas and heat</t>
        </is>
      </c>
      <c r="G34" s="68">
        <f>IFERROR(IF(B9="","",'0. Assumptions'!$B$41),"")</f>
        <v>0.0</v>
      </c>
      <c r="H34" s="29" t="n"/>
    </row>
    <row r="35">
      <c r="A35" s="29" t="inlineStr">
        <is>
          <t>Depreciation of fixed assets</t>
        </is>
      </c>
      <c r="B35" s="41">
        <f>IFERROR(IF(B9="","",'Startup Costs'!$B$37),"")</f>
        <v>20245.714285714286</v>
      </c>
      <c r="C35" s="41">
        <f>IFERROR(IF(C9="","",B35),"")</f>
        <v>20245.714285714286</v>
      </c>
      <c r="D35" s="41">
        <f>IFERROR(IF(D9="","",B35),"")</f>
        <v>20245.714285714286</v>
      </c>
      <c r="E35" s="68">
        <f>IFERROR(B35/$B$9,"")</f>
        <v>0.03266228004471128</v>
      </c>
      <c r="F35" s="29" t="inlineStr">
        <is>
          <t>Comes from the depreciation bases on the Startup Costs tab: real fixed assets only. It does NOT rise with inflation: it is a charge on the HISTORICAL cost of the assets</t>
        </is>
      </c>
      <c r="G35" s="68" t="n">
        <v>0</v>
      </c>
      <c r="H35" s="29" t="n"/>
    </row>
    <row r="36">
      <c r="A36" s="29" t="inlineStr">
        <is>
          <t>Interest expense (loan interest)</t>
        </is>
      </c>
      <c r="B36" s="41">
        <f>IFERROR(IF(B9="","",Financing!$B$44),"")</f>
        <v>17600.0</v>
      </c>
      <c r="C36" s="41">
        <f>IFERROR(IF(C9="","",Financing!$B$46),"")</f>
        <v>16495.681050067797</v>
      </c>
      <c r="D36" s="41">
        <f>IFERROR(IF(D9="","",Financing!$B$48),"")</f>
        <v>15280.930205142373</v>
      </c>
      <c r="E36" s="68">
        <f>IFERROR(B36/$B$9,"")</f>
        <v>0.02839396628216504</v>
      </c>
      <c r="F36" s="29" t="inlineStr">
        <is>
          <t>Only INTEREST is an expense. Principal repaid appears on the cash flow tab</t>
        </is>
      </c>
      <c r="G36" s="68" t="n">
        <v>0</v>
      </c>
      <c r="H36" s="29" t="n"/>
    </row>
    <row r="37">
      <c r="A37" s="26" t="inlineStr">
        <is>
          <t>TOTAL FIXED COSTS</t>
        </is>
      </c>
      <c r="B37" s="54">
        <f>IFERROR(IF(B9="","",SUM(B22:B36)),"")</f>
        <v>332294.9142857143</v>
      </c>
      <c r="C37" s="54">
        <f>IFERROR(IF(C9="","",SUM(C22:C36)),"")</f>
        <v>336190.5953357821</v>
      </c>
      <c r="D37" s="54">
        <f>IFERROR(IF(D9="","",SUM(D22:D36)),"")</f>
        <v>339975.8444908567</v>
      </c>
      <c r="E37" s="67">
        <f>IFERROR(B37/$B$9,"")</f>
        <v>0.536089238179744</v>
      </c>
      <c r="F37" s="29" t="n"/>
      <c r="G37" s="29" t="n"/>
      <c r="H37" s="29" t="n"/>
    </row>
    <row r="38">
      <c r="A38" s="29" t="inlineStr">
        <is>
          <t>Recoverable input tax on variable costs</t>
        </is>
      </c>
      <c r="B38" s="41">
        <f>IFERROR(IF(B9="","",SUMPRODUCT(B13:B18,G13:G18)),"")</f>
        <v>0.0</v>
      </c>
      <c r="C38" s="41">
        <f>IFERROR(IF(C9="","",SUMPRODUCT(C13:C18,G13:G18)),"")</f>
        <v>0.0</v>
      </c>
      <c r="D38" s="41">
        <f>IFERROR(IF(D9="","",SUMPRODUCT(D13:D18,G13:G18)),"")</f>
        <v>0.0</v>
      </c>
      <c r="E38" s="29" t="n"/>
      <c r="F38" s="29" t="inlineStr">
        <is>
          <t>Each line at ITS OWN rate, read from the column next to it. It is what the cash flow tab overpays to suppliers and later deducts (zero wherever no tax is recoverable)</t>
        </is>
      </c>
      <c r="G38" s="29" t="n"/>
      <c r="H38" s="29" t="n"/>
    </row>
    <row r="39">
      <c r="A39" s="29" t="inlineStr">
        <is>
          <t>Recoverable input tax on fixed costs</t>
        </is>
      </c>
      <c r="B39" s="41">
        <f>IFERROR(IF(B9="","",SUMPRODUCT(B22:B36,G22:G36)),"")</f>
        <v>0.0</v>
      </c>
      <c r="C39" s="41">
        <f>IFERROR(IF(C9="","",SUMPRODUCT(C22:C36,G22:G36)),"")</f>
        <v>0.0</v>
      </c>
      <c r="D39" s="41">
        <f>IFERROR(IF(D9="","",SUMPRODUCT(D22:D36,G22:G36)),"")</f>
        <v>0.0</v>
      </c>
      <c r="E39" s="29" t="n"/>
      <c r="F39" s="29" t="n"/>
      <c r="G39" s="29" t="n"/>
      <c r="H39" s="29" t="n"/>
    </row>
    <row r="40">
      <c r="A40" s="26" t="inlineStr">
        <is>
          <t>PRE-TAX INCOME (EBT)</t>
        </is>
      </c>
      <c r="B40" s="54">
        <f>IFERROR(IF(B9="","",B20-B37),"")</f>
        <v>52012.08571428573</v>
      </c>
      <c r="C40" s="54">
        <f>IFERROR(IF(C9="","",C20-C37),"")</f>
        <v>71174.82466421789</v>
      </c>
      <c r="D40" s="54">
        <f>IFERROR(IF(D9="","",D20-D37),"")</f>
        <v>83684.19230914343</v>
      </c>
      <c r="E40" s="67">
        <f>IFERROR(B40/$B$9,"")</f>
        <v>0.08391076182025607</v>
      </c>
      <c r="F40" s="29" t="n"/>
      <c r="G40" s="29" t="n"/>
      <c r="H40" s="29" t="n"/>
    </row>
    <row r="41">
      <c r="A41" s="29" t="inlineStr">
        <is>
          <t>Net operating losses carried forward (opening)</t>
        </is>
      </c>
      <c r="B41" s="41">
        <f>IFERROR(IF(B9="","",'0. Assumptions'!$B$42),"")</f>
        <v>0.0</v>
      </c>
      <c r="C41" s="41">
        <f>IFERROR(IF(C9="","",B46),"")</f>
        <v>0.0</v>
      </c>
      <c r="D41" s="41">
        <f>IFERROR(IF(D9="","",C46),"")</f>
        <v>0.0</v>
      </c>
      <c r="E41" s="29" t="n"/>
      <c r="F41" s="29" t="inlineStr">
        <is>
          <t>Federal rules let a year's losses offset the profits of later years (the federal limit is 80% of taxable income; this model offsets 100% as a simplification)</t>
        </is>
      </c>
      <c r="G41" s="29" t="n"/>
      <c r="H41" s="29" t="n"/>
    </row>
    <row r="42">
      <c r="A42" s="29" t="inlineStr">
        <is>
          <t>Taxable income (after loss offset)</t>
        </is>
      </c>
      <c r="B42" s="41">
        <f>IFERROR(IF(B9="","",MAX(0,B40-B41)),"")</f>
        <v>52012.08571428573</v>
      </c>
      <c r="C42" s="41">
        <f>IFERROR(IF(C9="","",MAX(0,C40-C41)),"")</f>
        <v>71174.82466421789</v>
      </c>
      <c r="D42" s="41">
        <f>IFERROR(IF(D9="","",MAX(0,D40-D41)),"")</f>
        <v>83684.19230914343</v>
      </c>
      <c r="E42" s="29" t="n"/>
      <c r="F42" s="29" t="n"/>
      <c r="G42" s="29" t="n"/>
      <c r="H42" s="29" t="n"/>
    </row>
    <row r="43">
      <c r="A43" s="29" t="inlineStr">
        <is>
          <t>Years with positive taxable income (cumulative)</t>
        </is>
      </c>
      <c r="B43" s="41">
        <f>IFERROR(IF(B9="","",IF(B42&gt;0,1,0)),"")</f>
        <v>1.0</v>
      </c>
      <c r="C43" s="41">
        <f>IFERROR(IF(C9="","",B43+IF(C42&gt;0,1,0)),"")</f>
        <v>2.0</v>
      </c>
      <c r="D43" s="41">
        <f>IFERROR(IF(D9="","",C43+IF(D42&gt;0,1,0)),"")</f>
        <v>3.0</v>
      </c>
      <c r="E43" s="29" t="n"/>
      <c r="F43" s="29" t="n"/>
      <c r="G43" s="29" t="n"/>
      <c r="H43" s="29" t="n"/>
    </row>
    <row r="44">
      <c r="A44" s="29" t="inlineStr">
        <is>
          <t>Effective income tax rate applied</t>
        </is>
      </c>
      <c r="B44" s="68">
        <f>IFERROR(IF(B9="","",IF(B42&lt;=0,"",IF(B43&lt;=2,'0. Assumptions'!$B$37,'0. Assumptions'!$B$38))),"")</f>
        <v>0.25</v>
      </c>
      <c r="C44" s="68">
        <f>IFERROR(IF(C9="","",IF(C42&lt;=0,"",IF(C43&lt;=2,'0. Assumptions'!$B$37,'0. Assumptions'!$B$38))),"")</f>
        <v>0.25</v>
      </c>
      <c r="D44" s="68">
        <f>IFERROR(IF(D9="","",IF(D42&lt;=0,"",IF(D43&lt;=2,'0. Assumptions'!$B$37,'0. Assumptions'!$B$38))),"")</f>
        <v>0.25</v>
      </c>
      <c r="E44" s="29" t="n"/>
      <c r="F44" s="29" t="inlineStr">
        <is>
          <t>The "years 1-2" rate applies to the first two years with positive taxable income, not to the first two calendar years of the business. The model approximates this by counting the first two profitable years</t>
        </is>
      </c>
      <c r="G44" s="29" t="n"/>
      <c r="H44" s="29" t="n"/>
    </row>
    <row r="45">
      <c r="A45" s="29" t="inlineStr">
        <is>
          <t>Income tax</t>
        </is>
      </c>
      <c r="B45" s="41">
        <f>IFERROR(IF(B9="","",IF(B44="",0,B42*B44)),"")</f>
        <v>13003.021428571432</v>
      </c>
      <c r="C45" s="41">
        <f>IFERROR(IF(C9="","",IF(C44="",0,C42*C44)),"")</f>
        <v>17793.70616605447</v>
      </c>
      <c r="D45" s="41">
        <f>IFERROR(IF(D9="","",IF(D44="",0,D42*D44)),"")</f>
        <v>20921.048077285857</v>
      </c>
      <c r="E45" s="29" t="n"/>
      <c r="F45" s="29" t="n"/>
      <c r="G45" s="29" t="n"/>
      <c r="H45" s="29" t="n"/>
    </row>
    <row r="46">
      <c r="A46" s="29" t="inlineStr">
        <is>
          <t>Net operating losses carried forward (closing)</t>
        </is>
      </c>
      <c r="B46" s="41">
        <f>IFERROR(IF(B9="","",MAX(0,B41-B40)),"")</f>
        <v>0.0</v>
      </c>
      <c r="C46" s="41">
        <f>IFERROR(IF(C9="","",MAX(0,C41-C40)),"")</f>
        <v>0.0</v>
      </c>
      <c r="D46" s="41">
        <f>IFERROR(IF(D9="","",MAX(0,D41-D40)),"")</f>
        <v>0.0</v>
      </c>
      <c r="E46" s="29" t="n"/>
      <c r="F46" s="29" t="n"/>
      <c r="G46" s="29" t="n"/>
      <c r="H46" s="29" t="n"/>
    </row>
    <row r="47">
      <c r="A47" s="26" t="inlineStr">
        <is>
          <t>NET INCOME</t>
        </is>
      </c>
      <c r="B47" s="54">
        <f>IFERROR(IF(B9="","",B40-B45),"")</f>
        <v>39009.064285714296</v>
      </c>
      <c r="C47" s="54">
        <f>IFERROR(IF(C9="","",C40-C45),"")</f>
        <v>53381.118498163414</v>
      </c>
      <c r="D47" s="54">
        <f>IFERROR(IF(D9="","",D40-D45),"")</f>
        <v>62763.14423185757</v>
      </c>
      <c r="E47" s="67">
        <f>IFERROR(B47/$B$9,"")</f>
        <v>0.06293307136519205</v>
      </c>
      <c r="F47" s="29" t="n"/>
      <c r="G47" s="29" t="n"/>
      <c r="H47" s="29" t="n"/>
    </row>
    <row r="48">
      <c r="A48" s="26" t="inlineStr">
        <is>
          <t>KEY RATIOS</t>
        </is>
      </c>
      <c r="B48" s="29" t="n"/>
      <c r="C48" s="29" t="n"/>
      <c r="D48" s="29" t="n"/>
      <c r="E48" s="29" t="n"/>
      <c r="F48" s="29" t="n"/>
      <c r="G48" s="29" t="n"/>
      <c r="H48" s="29" t="n"/>
    </row>
    <row r="49">
      <c r="A49" s="26" t="inlineStr">
        <is>
          <t>Ratio</t>
        </is>
      </c>
      <c r="B49" s="26" t="inlineStr">
        <is>
          <t>Year 1</t>
        </is>
      </c>
      <c r="C49" s="26" t="inlineStr">
        <is>
          <t>Year 2</t>
        </is>
      </c>
      <c r="D49" s="26" t="inlineStr">
        <is>
          <t>Year 3</t>
        </is>
      </c>
      <c r="E49" s="26" t="inlineStr">
        <is>
          <t>Threshold</t>
        </is>
      </c>
      <c r="F49" s="26" t="inlineStr">
        <is>
          <t>Comment</t>
        </is>
      </c>
      <c r="G49" s="29" t="n"/>
      <c r="H49" s="29" t="n"/>
    </row>
    <row r="50">
      <c r="A50" s="29" t="inlineStr">
        <is>
          <t>Gross margin / Sales</t>
        </is>
      </c>
      <c r="B50" s="68">
        <f>IFERROR(IF(B9="","",B20/B9),"")</f>
        <v>0.62</v>
      </c>
      <c r="C50" s="68">
        <f>IFERROR(IF(C9="","",C20/C9),"")</f>
        <v>0.62</v>
      </c>
      <c r="D50" s="68">
        <f>IFERROR(IF(D9="","",D20/D9),"")</f>
        <v>0.6200000000000001</v>
      </c>
      <c r="E50" s="74" t="n">
        <v>0.6</v>
      </c>
      <c r="F50" s="29" t="inlineStr">
        <is>
          <t>Floor for the margin after ALL variable costs (cost of goods sold, packaging, delivery marketplaces, card fees and miscellaneous). With cost of goods sold alone, a taqueria keeps a much higher margin. Kit estimate</t>
        </is>
      </c>
      <c r="G50" s="29" t="n"/>
      <c r="H50" s="29" t="n"/>
    </row>
    <row r="51">
      <c r="A51" s="29" t="inlineStr">
        <is>
          <t>Cost of goods sold (food + beverage)</t>
        </is>
      </c>
      <c r="B51" s="41">
        <f>IFERROR(IF(B9="","",B13+B14),"")</f>
        <v>162710.625</v>
      </c>
      <c r="C51" s="41">
        <f>IFERROR(IF(C9="","",C13+C14),"")</f>
        <v>172473.2625</v>
      </c>
      <c r="D51" s="41">
        <f>IFERROR(IF(D9="","",D13+D14),"")</f>
        <v>179372.19300000003</v>
      </c>
      <c r="E51" s="29" t="n"/>
      <c r="F51" s="29" t="n"/>
      <c r="G51" s="29" t="n"/>
      <c r="H51" s="29" t="n"/>
    </row>
    <row r="52">
      <c r="A52" s="29" t="inlineStr">
        <is>
          <t>Cost of goods sold / Sales</t>
        </is>
      </c>
      <c r="B52" s="68">
        <f>IFERROR(IF(B9="","",B51/B9),"")</f>
        <v>0.2625</v>
      </c>
      <c r="C52" s="68">
        <f>IFERROR(IF(C9="","",C51/C9),"")</f>
        <v>0.2625</v>
      </c>
      <c r="D52" s="68">
        <f>IFERROR(IF(D9="","",D51/D9),"")</f>
        <v>0.2625</v>
      </c>
      <c r="E52" s="74" t="n">
        <v>0.3</v>
      </c>
      <c r="F52" s="29" t="inlineStr">
        <is>
          <t>Ceiling for cost of goods sold on sales: the al pastor taco runs well below it, while carnitas, suadero, barbacoa, birria and avocado push it up. Kit estimate</t>
        </is>
      </c>
      <c r="G52" s="29" t="n"/>
      <c r="H52" s="29" t="n"/>
    </row>
    <row r="53">
      <c r="A53" s="29" t="inlineStr">
        <is>
          <t>Labor cost / Sales</t>
        </is>
      </c>
      <c r="B53" s="68">
        <f>IFERROR(IF(B9="","",B23/B9),"")</f>
        <v>0.3456468500443656</v>
      </c>
      <c r="C53" s="68">
        <f>IFERROR(IF(C9="","",C23/C9),"")</f>
        <v>0.33369180918694574</v>
      </c>
      <c r="D53" s="68">
        <f>IFERROR(IF(D9="","",D23/D9),"")</f>
        <v>0.328174696509397</v>
      </c>
      <c r="E53" s="74" t="n">
        <v>0.36</v>
      </c>
      <c r="F53" s="29" t="inlineStr">
        <is>
          <t>Ceiling for labor on sales with two taqueros and counter service. Kit estimate</t>
        </is>
      </c>
      <c r="G53" s="29" t="n"/>
      <c r="H53" s="29" t="n"/>
    </row>
    <row r="54">
      <c r="A54" s="29" t="inlineStr">
        <is>
          <t>Rent / Sales</t>
        </is>
      </c>
      <c r="B54" s="68">
        <f>IFERROR(IF(B9="","",B22/B9),"")</f>
        <v>0.05420666290231508</v>
      </c>
      <c r="C54" s="68">
        <f>IFERROR(IF(C9="","",C22/C9),"")</f>
        <v>0.051138361228599126</v>
      </c>
      <c r="D54" s="68">
        <f>IFERROR(IF(D9="","",D22/D9),"")</f>
        <v>0.049171501181345306</v>
      </c>
      <c r="E54" s="74" t="n">
        <v>0.1</v>
      </c>
      <c r="F54" s="29" t="inlineStr">
        <is>
          <t>Ceiling for rent on sales for a space with a Type I hood and exhaust to the roof: Kit estimate</t>
        </is>
      </c>
      <c r="G54" s="29" t="n"/>
      <c r="H54" s="29" t="n"/>
    </row>
    <row r="55">
      <c r="A55" s="29" t="inlineStr">
        <is>
          <t>Net income / Sales</t>
        </is>
      </c>
      <c r="B55" s="68">
        <f>IFERROR(IF(B9="","",B47/B9),"")</f>
        <v>0.06293307136519205</v>
      </c>
      <c r="C55" s="68">
        <f>IFERROR(IF(C9="","",C47/C9),"")</f>
        <v>0.0812447297781469</v>
      </c>
      <c r="D55" s="68">
        <f>IFERROR(IF(D9="","",D47/D9),"")</f>
        <v>0.09184994109350388</v>
      </c>
      <c r="E55" s="74" t="n">
        <v>0.05</v>
      </c>
      <c r="F55" s="29" t="inlineStr">
        <is>
          <t>Floor for steady-state net income so the plan holds up: 5% of sales. A well-run taqueria earns more, but this is a realistic floor, not a hope. Kit estimate</t>
        </is>
      </c>
      <c r="G55" s="29" t="n"/>
      <c r="H55" s="29" t="n"/>
    </row>
    <row r="56">
      <c r="A56" s="29" t="inlineStr">
        <is>
          <t>Break-even reached</t>
        </is>
      </c>
      <c r="B56" s="29" t="str">
        <f>IFERROR(IF(B9="","",IF(B9&gt;='Break-Even'!$B$16,"Yes","No")),"")</f>
        <v>Yes</v>
      </c>
      <c r="C56" s="29" t="str">
        <f>IFERROR(IF(C9="","",IF(C9&gt;='Break-Even'!$C$16,"Yes","No")),"")</f>
        <v>Yes</v>
      </c>
      <c r="D56" s="29" t="str">
        <f>IFERROR(IF(D9="","",IF(D9&gt;='Break-Even'!$D$16,"Yes","No")),"")</f>
        <v>Yes</v>
      </c>
      <c r="E56" s="29" t="n"/>
      <c r="F56" s="29" t="inlineStr">
        <is>
          <t>Compares each year's sales with that same year's threshold, which the Break-Even tab calculates with that year's fixed costs</t>
        </is>
      </c>
      <c r="G56" s="29" t="n"/>
      <c r="H56" s="29" t="n"/>
    </row>
    <row r="57">
      <c r="A57" s="29" t="n"/>
      <c r="B57" s="29" t="n"/>
      <c r="C57" s="29" t="n"/>
      <c r="D57" s="29" t="n"/>
      <c r="E57" s="29" t="n"/>
      <c r="F57" s="29" t="n"/>
      <c r="G57" s="29" t="n"/>
      <c r="H57" s="29" t="n"/>
    </row>
    <row r="58" ht="165" customHeight="1">
      <c r="A58" s="48"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c r="B58" s="29" t="n"/>
      <c r="C58" s="29" t="n"/>
      <c r="D58" s="29" t="n"/>
      <c r="E58" s="29" t="n"/>
      <c r="F58" s="29" t="n"/>
      <c r="G58" s="29" t="n"/>
      <c r="H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Yes">
      <formula>NOT(ISERROR(SEARCH("Yes",B56)))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nvalid amount" error="Enter a number greater than or equal to 0." type="decimal" operator="greaterThanOrEqual">
      <formula1>0</formula1>
    </dataValidation>
    <dataValidation sqref="E50 E52 E53 E54 E55 G13 H11"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7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Monthly and daily break-even — taco shop with trompo</t>
        </is>
      </c>
    </row>
    <row r="4">
      <c r="A4" s="26" t="inlineStr">
        <is>
          <t>Variable</t>
        </is>
      </c>
      <c r="B4" s="26" t="inlineStr">
        <is>
          <t>Year 1</t>
        </is>
      </c>
      <c r="C4" s="26" t="inlineStr">
        <is>
          <t>Year 2</t>
        </is>
      </c>
      <c r="D4" s="26" t="inlineStr">
        <is>
          <t>Year 3</t>
        </is>
      </c>
      <c r="E4" s="26" t="inlineStr">
        <is>
          <t>Notes</t>
        </is>
      </c>
      <c r="F4" s="29" t="n"/>
    </row>
    <row r="5">
      <c r="A5" s="26" t="inlineStr">
        <is>
          <t>BASE DATA BY YEAR</t>
        </is>
      </c>
      <c r="B5" s="29" t="n"/>
      <c r="C5" s="29" t="n"/>
      <c r="D5" s="29" t="n"/>
      <c r="E5" s="29" t="n"/>
      <c r="F5" s="29" t="n"/>
    </row>
    <row r="6">
      <c r="A6" s="29" t="inlineStr">
        <is>
          <t>Annual fixed costs</t>
        </is>
      </c>
      <c r="B6" s="62">
        <f>IFERROR(IF('3-Year P&amp;L'!$B$9="","",'3-Year P&amp;L'!$B$37),"")</f>
        <v>332294.9142857143</v>
      </c>
      <c r="C6" s="62">
        <f>IFERROR(IF('3-Year P&amp;L'!$C$9="","",'3-Year P&amp;L'!$C$37),"")</f>
        <v>336190.5953357821</v>
      </c>
      <c r="D6" s="62">
        <f>IFERROR(IF('3-Year P&amp;L'!$D$9="","",'3-Year P&amp;L'!$D$37),"")</f>
        <v>339975.8444908567</v>
      </c>
      <c r="E6" s="29" t="inlineStr">
        <is>
          <t>The SAME fixed costs as the P&amp;L. Each year has its own, which is why the threshold cannot be a single one for all three years</t>
        </is>
      </c>
      <c r="F6" s="29" t="n"/>
    </row>
    <row r="7">
      <c r="A7" s="29" t="inlineStr">
        <is>
          <t>Monthly fixed costs</t>
        </is>
      </c>
      <c r="B7" s="62">
        <f>IFERROR(IF('3-Year P&amp;L'!$B$9="","",B6/12),"")</f>
        <v>27691.242857142857</v>
      </c>
      <c r="C7" s="62">
        <f>IFERROR(IF('3-Year P&amp;L'!$C$9="","",C6/12),"")</f>
        <v>28015.882944648507</v>
      </c>
      <c r="D7" s="62">
        <f>IFERROR(IF('3-Year P&amp;L'!$D$9="","",D6/12),"")</f>
        <v>28331.320374238057</v>
      </c>
      <c r="E7" s="29" t="n"/>
      <c r="F7" s="29" t="n"/>
    </row>
    <row r="8">
      <c r="A8" s="29" t="inlineStr">
        <is>
          <t>Average check (excl. sales tax)</t>
        </is>
      </c>
      <c r="B8" s="62">
        <f>IFERROR(IF('3-Year P&amp;L'!$B$9="","",'3-Year P&amp;L'!$B$7),"")</f>
        <v>17.5</v>
      </c>
      <c r="C8" s="62">
        <f>IFERROR(IF('3-Year P&amp;L'!$C$9="","",'3-Year P&amp;L'!$C$7),"")</f>
        <v>17.5</v>
      </c>
      <c r="D8" s="62">
        <f>IFERROR(IF('3-Year P&amp;L'!$D$9="","",'3-Year P&amp;L'!$D$7),"")</f>
        <v>17.5</v>
      </c>
      <c r="E8" s="29" t="n"/>
      <c r="F8" s="29" t="n"/>
    </row>
    <row r="9">
      <c r="A9" s="29" t="inlineStr">
        <is>
          <t>Variable cost per cover</t>
        </is>
      </c>
      <c r="B9" s="62">
        <f>IFERROR(IF('3-Year P&amp;L'!$B$9="","",'3-Year P&amp;L'!$B$19/('3-Year P&amp;L'!$B$6*'3-Year P&amp;L'!$B$8)),"")</f>
        <v>6.65</v>
      </c>
      <c r="C9" s="62">
        <f>IFERROR(IF('3-Year P&amp;L'!$C$9="","",'3-Year P&amp;L'!$C$19/('3-Year P&amp;L'!$C$6*'3-Year P&amp;L'!$C$8)),"")</f>
        <v>6.6499999999999995</v>
      </c>
      <c r="D9" s="62">
        <f>IFERROR(IF('3-Year P&amp;L'!$D$9="","",'3-Year P&amp;L'!$D$19/('3-Year P&amp;L'!$D$6*'3-Year P&amp;L'!$D$8)),"")</f>
        <v>6.65</v>
      </c>
      <c r="E9" s="29" t="inlineStr">
        <is>
          <t>Comes from the P&amp;L total variable costs, not from a separate estimate. It includes miscellaneous and contingency, which is a percentage of sales</t>
        </is>
      </c>
      <c r="F9" s="29" t="n"/>
    </row>
    <row r="10">
      <c r="A10" s="29" t="inlineStr">
        <is>
          <t>Contribution margin per cover</t>
        </is>
      </c>
      <c r="B10" s="62">
        <f>IFERROR(IF('3-Year P&amp;L'!$B$9="","",B8-B9),"")</f>
        <v>10.85</v>
      </c>
      <c r="C10" s="62">
        <f>IFERROR(IF('3-Year P&amp;L'!$C$9="","",C8-C9),"")</f>
        <v>10.850000000000001</v>
      </c>
      <c r="D10" s="62">
        <f>IFERROR(IF('3-Year P&amp;L'!$D$9="","",D8-D9),"")</f>
        <v>10.85</v>
      </c>
      <c r="E10" s="29" t="inlineStr">
        <is>
          <t>Average check minus unit variable cost</t>
        </is>
      </c>
      <c r="F10" s="29" t="n"/>
    </row>
    <row r="11">
      <c r="A11" s="29" t="inlineStr">
        <is>
          <t>Operating days per year</t>
        </is>
      </c>
      <c r="B11" s="41">
        <f>IFERROR(IF('3-Year P&amp;L'!$B$9="","",'3-Year P&amp;L'!$B$8),"")</f>
        <v>308.0</v>
      </c>
      <c r="C11" s="41">
        <f>IFERROR(IF('3-Year P&amp;L'!$C$9="","",'3-Year P&amp;L'!$C$8),"")</f>
        <v>308.0</v>
      </c>
      <c r="D11" s="41">
        <f>IFERROR(IF('3-Year P&amp;L'!$D$9="","",'3-Year P&amp;L'!$D$8),"")</f>
        <v>308.0</v>
      </c>
      <c r="E11" s="29" t="inlineStr">
        <is>
          <t>The same calendar as the P&amp;L and the scenarios</t>
        </is>
      </c>
      <c r="F11" s="29" t="n"/>
    </row>
    <row r="12">
      <c r="A12" s="29" t="inlineStr">
        <is>
          <t>Principal repaid in the year</t>
        </is>
      </c>
      <c r="B12" s="62">
        <f>IFERROR(IF('3-Year P&amp;L'!$B$9="","",Financing!$B$45),"")</f>
        <v>11043.189499322027</v>
      </c>
      <c r="C12" s="62">
        <f>IFERROR(IF('3-Year P&amp;L'!$C$9="","",Financing!$B$47),"")</f>
        <v>12147.50844925423</v>
      </c>
      <c r="D12" s="62">
        <f>IFERROR(IF('3-Year P&amp;L'!$D$9="","",Financing!$B$49),"")</f>
        <v>13362.259294179654</v>
      </c>
      <c r="E12" s="29" t="inlineStr">
        <is>
          <t>Principal is NOT a P&amp;L expense, but it leaves the cash account. Without it, the published break-even threshold would sit below the real one</t>
        </is>
      </c>
      <c r="F12" s="29" t="n"/>
    </row>
    <row r="13">
      <c r="A13" s="26" t="inlineStr">
        <is>
          <t>ACCOUNTING BREAK-EVEN (includes depreciation)</t>
        </is>
      </c>
      <c r="B13" s="29" t="n"/>
      <c r="C13" s="29" t="n"/>
      <c r="D13" s="29" t="n"/>
      <c r="E13" s="29" t="n"/>
      <c r="F13" s="29" t="n"/>
    </row>
    <row r="14">
      <c r="A14" s="29" t="inlineStr">
        <is>
          <t>Covers needed per year</t>
        </is>
      </c>
      <c r="B14" s="41">
        <f>IFERROR(IF('3-Year P&amp;L'!$B$9="","",IF(B10&lt;=0,"",B6/B10)),"")</f>
        <v>30626.25938117182</v>
      </c>
      <c r="C14" s="41">
        <f>IFERROR(IF('3-Year P&amp;L'!$C$9="","",IF(C10&lt;=0,"",C6/C10)),"")</f>
        <v>30985.30832587853</v>
      </c>
      <c r="D14" s="41">
        <f>IFERROR(IF('3-Year P&amp;L'!$D$9="","",IF(D10&lt;=0,"",D6/D10)),"")</f>
        <v>31334.17921574716</v>
      </c>
      <c r="E14" s="29" t="n"/>
      <c r="F14" s="29" t="n"/>
    </row>
    <row r="15">
      <c r="A15" s="29" t="inlineStr">
        <is>
          <t>Covers needed per day</t>
        </is>
      </c>
      <c r="B15" s="45">
        <f>IFERROR(IF('3-Year P&amp;L'!$B$9="","",B14/B11),"")</f>
        <v>99.4359070817267</v>
      </c>
      <c r="C15" s="45">
        <f>IFERROR(IF('3-Year P&amp;L'!$C$9="","",C14/C11),"")</f>
        <v>100.60165040869653</v>
      </c>
      <c r="D15" s="45">
        <f>IFERROR(IF('3-Year P&amp;L'!$D$9="","",D14/D11),"")</f>
        <v>101.73434810307519</v>
      </c>
      <c r="E15" s="29" t="n"/>
      <c r="F15" s="29" t="n"/>
    </row>
    <row r="16">
      <c r="A16" s="26" t="inlineStr">
        <is>
          <t>Revenue needed per year</t>
        </is>
      </c>
      <c r="B16" s="54">
        <f>IFERROR(IF('3-Year P&amp;L'!$B$9="","",B14*B8),"")</f>
        <v>535959.5391705069</v>
      </c>
      <c r="C16" s="54">
        <f>IFERROR(IF('3-Year P&amp;L'!$C$9="","",C14*C8),"")</f>
        <v>542242.8957028743</v>
      </c>
      <c r="D16" s="54">
        <f>IFERROR(IF('3-Year P&amp;L'!$D$9="","",D14*D8),"")</f>
        <v>548348.1362755753</v>
      </c>
      <c r="E16" s="29" t="n"/>
      <c r="F16" s="29" t="n"/>
    </row>
    <row r="17">
      <c r="A17" s="26" t="inlineStr">
        <is>
          <t>CASH BREAK-EVEN (loan payments in, depreciation out)</t>
        </is>
      </c>
      <c r="B17" s="29" t="n"/>
      <c r="C17" s="29" t="n"/>
      <c r="D17" s="29" t="n"/>
      <c r="E17" s="29" t="n"/>
      <c r="F17" s="29" t="n"/>
    </row>
    <row r="18">
      <c r="A18" s="29" t="inlineStr">
        <is>
          <t>Cash fixed costs + principal repaid for the year</t>
        </is>
      </c>
      <c r="B18" s="62">
        <f>IFERROR(IF('3-Year P&amp;L'!$B$9="","",B6-'3-Year P&amp;L'!$B$35+B12),"")</f>
        <v>323092.38949932205</v>
      </c>
      <c r="C18" s="62">
        <f>IFERROR(IF('3-Year P&amp;L'!$C$9="","",C6-'3-Year P&amp;L'!$C$35+C12),"")</f>
        <v>328092.38949932205</v>
      </c>
      <c r="D18" s="62">
        <f>IFERROR(IF('3-Year P&amp;L'!$D$9="","",D6-'3-Year P&amp;L'!$D$35+D12),"")</f>
        <v>333092.3894993221</v>
      </c>
      <c r="E18" s="29" t="inlineStr">
        <is>
          <t>The P&amp;L fixed costs without depreciation (which is not paid in cash) and WITH principal repaid (which is). This is the threshold that decides whether cash holds up</t>
        </is>
      </c>
      <c r="F18" s="29" t="n"/>
    </row>
    <row r="19">
      <c r="A19" s="29" t="inlineStr">
        <is>
          <t>Covers needed per year (cash)</t>
        </is>
      </c>
      <c r="B19" s="41">
        <f>IFERROR(IF('3-Year P&amp;L'!$B$9="","",IF(B10&lt;=0,"",B18/B10)),"")</f>
        <v>29778.10041468406</v>
      </c>
      <c r="C19" s="41">
        <f>IFERROR(IF('3-Year P&amp;L'!$C$9="","",IF(C10&lt;=0,"",C18/C10)),"")</f>
        <v>30238.929907771613</v>
      </c>
      <c r="D19" s="41">
        <f>IFERROR(IF('3-Year P&amp;L'!$D$9="","",IF(D10&lt;=0,"",D18/D10)),"")</f>
        <v>30699.75940085918</v>
      </c>
      <c r="E19" s="29" t="n"/>
      <c r="F19" s="29" t="n"/>
    </row>
    <row r="20">
      <c r="A20" s="26" t="inlineStr">
        <is>
          <t>Covers needed per day (cash)</t>
        </is>
      </c>
      <c r="B20" s="46">
        <f>IFERROR(IF('3-Year P&amp;L'!$B$9="","",B19/B11),"")</f>
        <v>96.68214420351968</v>
      </c>
      <c r="C20" s="46">
        <f>IFERROR(IF('3-Year P&amp;L'!$C$9="","",C19/C11),"")</f>
        <v>98.17834385640134</v>
      </c>
      <c r="D20" s="46">
        <f>IFERROR(IF('3-Year P&amp;L'!$D$9="","",D19/D11),"")</f>
        <v>99.67454350928305</v>
      </c>
      <c r="E20" s="29" t="n"/>
      <c r="F20" s="29" t="n"/>
    </row>
    <row r="21">
      <c r="A21" s="29" t="inlineStr">
        <is>
          <t>Revenue needed per year (cash)</t>
        </is>
      </c>
      <c r="B21" s="41">
        <f>IFERROR(IF('3-Year P&amp;L'!$B$9="","",B19*B8),"")</f>
        <v>521116.75725697103</v>
      </c>
      <c r="C21" s="41">
        <f>IFERROR(IF('3-Year P&amp;L'!$C$9="","",C19*C8),"")</f>
        <v>529181.2733860032</v>
      </c>
      <c r="D21" s="41">
        <f>IFERROR(IF('3-Year P&amp;L'!$D$9="","",D19*D8),"")</f>
        <v>537245.7895150357</v>
      </c>
      <c r="E21" s="29" t="n"/>
      <c r="F21" s="29" t="n"/>
    </row>
    <row r="22">
      <c r="A22" s="26" t="inlineStr">
        <is>
          <t>COMPARISON WITH THE PLAN</t>
        </is>
      </c>
      <c r="B22" s="29" t="n"/>
      <c r="C22" s="29" t="n"/>
      <c r="D22" s="29" t="n"/>
      <c r="E22" s="29" t="n"/>
      <c r="F22" s="29" t="n"/>
    </row>
    <row r="23">
      <c r="A23" s="29" t="inlineStr">
        <is>
          <t>Covers per day forecast in the plan</t>
        </is>
      </c>
      <c r="B23" s="41">
        <f>IFERROR(IF('3-Year P&amp;L'!$B$9="","",'3-Year P&amp;L'!$B$6),"")</f>
        <v>115.0</v>
      </c>
      <c r="C23" s="41">
        <f>IFERROR(IF('3-Year P&amp;L'!$C$9="","",'3-Year P&amp;L'!$C$6),"")</f>
        <v>121.9</v>
      </c>
      <c r="D23" s="41">
        <f>IFERROR(IF('3-Year P&amp;L'!$D$9="","",'3-Year P&amp;L'!$D$6),"")</f>
        <v>126.77600000000001</v>
      </c>
      <c r="E23" s="29" t="n"/>
      <c r="F23" s="29" t="n"/>
    </row>
    <row r="24">
      <c r="A24" s="29" t="inlineStr">
        <is>
          <t>Cushion above CASH break-even (%)</t>
        </is>
      </c>
      <c r="B24" s="68">
        <f>IFERROR(IF('3-Year P&amp;L'!$B$9="","",B23/B20-1),"")</f>
        <v>0.18946472430235417</v>
      </c>
      <c r="C24" s="68">
        <f>IFERROR(IF('3-Year P&amp;L'!$C$9="","",C23/C20-1),"")</f>
        <v>0.24161801077327905</v>
      </c>
      <c r="D24" s="68">
        <f>IFERROR(IF('3-Year P&amp;L'!$D$9="","",D23/D20-1),"")</f>
        <v>0.2718994794111387</v>
      </c>
      <c r="E24" s="29" t="inlineStr">
        <is>
          <t>How far planned sales sit above cash break-even. The drop you can absorb before you cannot pay the fixed costs and the loan payment is somewhat smaller: with a 25% cushion, 20%. The required minimum is set in the "0. Assumptions" tab</t>
        </is>
      </c>
      <c r="F24" s="29" t="n"/>
    </row>
    <row r="25">
      <c r="A25" s="29" t="inlineStr">
        <is>
          <t>Maximum seat turns per day the space allows</t>
        </is>
      </c>
      <c r="B25" s="47" t="n">
        <v>5</v>
      </c>
      <c r="C25" s="29" t="n"/>
      <c r="D25" s="29" t="n"/>
      <c r="E25" s="29" t="inlineStr">
        <is>
          <t>Full seatings per seat per day you can run, counting the take-out and delivery orders, which do not take a seat (almost half the covers in the example): about 3 dine-in turns in counter service (lunch and dinner, stays of 20-30 minutes) plus about 2 for take-out and delivery per seat. It is the physical ceiling of the space, not a target</t>
        </is>
      </c>
      <c r="F25" s="29" t="n"/>
    </row>
    <row r="26">
      <c r="A26" s="29" t="inlineStr">
        <is>
          <t>Seat turns per day that the cash break-even requires</t>
        </is>
      </c>
      <c r="B26" s="45">
        <f>IFERROR(IF('3-Year P&amp;L'!$B$9="","",B20/'0. Assumptions'!$B$51),"")</f>
        <v>3.2227381401173227</v>
      </c>
      <c r="C26" s="45">
        <f>IFERROR(IF('3-Year P&amp;L'!$C$9="","",C20/'0. Assumptions'!$B$51),"")</f>
        <v>3.272611461880045</v>
      </c>
      <c r="D26" s="45">
        <f>IFERROR(IF('3-Year P&amp;L'!$D$9="","",D20/'0. Assumptions'!$B$51),"")</f>
        <v>3.3224847836427687</v>
      </c>
      <c r="E26" s="29" t="inlineStr">
        <is>
          <t>Break-even covers spread across the seats declared on the "0. Assumptions" tab. If it is above the ceiling in the row above, the break-even is out of reach for the space</t>
        </is>
      </c>
      <c r="F26" s="29" t="n"/>
    </row>
    <row r="27">
      <c r="A27" s="26" t="inlineStr">
        <is>
          <t>INTERPRETATION</t>
        </is>
      </c>
      <c r="B27" s="29" t="n"/>
      <c r="C27" s="29" t="n"/>
      <c r="D27" s="29" t="n"/>
      <c r="E27" s="29" t="n"/>
      <c r="F27" s="29" t="n"/>
    </row>
    <row r="28" ht="46" customHeight="1">
      <c r="A28" s="29" t="str">
        <f>IFERROR("With the average check excl. sales tax above, you need "&amp;TEXT(ROUNDUP(B15,0),"0")&amp;" covers a day over your "&amp;TEXT(B11,"0")&amp;" opening days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check excl. sales tax above, you need 100 covers a day over your 308 opening days to avoid losing money (accounting break-even, depreciation included), and 97 for cash to hold (cash break-even: depreciation out, because it is not paid, and the year's loan payment in). The "Revenue needed per year" rows show the same figures in your currency.</v>
      </c>
      <c r="B28" s="29" t="n"/>
      <c r="C28" s="29" t="n"/>
      <c r="D28" s="29" t="n"/>
      <c r="E28" s="29" t="n"/>
      <c r="F28" s="29" t="n"/>
    </row>
    <row r="29">
      <c r="A29" s="29" t="n"/>
      <c r="B29" s="29" t="n"/>
      <c r="C29" s="29" t="n"/>
      <c r="D29" s="29" t="n"/>
      <c r="E29" s="29" t="n"/>
      <c r="F29" s="29" t="n"/>
    </row>
    <row r="30">
      <c r="A30" s="26" t="inlineStr">
        <is>
          <t>BREAK-EVEN SENSITIVITY</t>
        </is>
      </c>
      <c r="B30" s="29" t="n"/>
      <c r="C30" s="29" t="n"/>
      <c r="D30" s="29" t="n"/>
      <c r="E30" s="29" t="n"/>
      <c r="F30" s="29" t="n"/>
    </row>
    <row r="31" ht="75" customHeight="1">
      <c r="A31" s="48" t="inlineStr">
        <is>
          <t>Covers per day needed to cover costs for each average check (columns) and each variable cost per cover (rows). Green cells are below the covers per day the plan forecasts.</t>
        </is>
      </c>
      <c r="B31" s="29" t="n"/>
      <c r="C31" s="29" t="n"/>
      <c r="D31" s="29" t="n"/>
      <c r="E31" s="29" t="n"/>
      <c r="F31" s="29" t="n"/>
    </row>
    <row r="32">
      <c r="A32" s="29" t="n"/>
      <c r="B32" s="29" t="n"/>
      <c r="C32" s="29" t="n"/>
      <c r="D32" s="29" t="n"/>
      <c r="E32" s="29" t="n"/>
      <c r="F32" s="29" t="n"/>
    </row>
    <row r="33" ht="45" customHeight="1">
      <c r="A33" s="40" t="inlineStr">
        <is>
          <t>Covers per day needed: average check excl. sales tax (columns) × variable cost per cover (rows)</t>
        </is>
      </c>
      <c r="B33" s="55">
        <f>IFERROR($B$8-2,"")</f>
        <v>15.5</v>
      </c>
      <c r="C33" s="55">
        <f>IFERROR(IF($B$8="","",$B$8),"")</f>
        <v>17.5</v>
      </c>
      <c r="D33" s="55">
        <f>IFERROR($B$8+2,"")</f>
        <v>19.5</v>
      </c>
      <c r="E33" s="55">
        <f>IFERROR($B$8+4,"")</f>
        <v>21.5</v>
      </c>
      <c r="F33" s="29" t="n"/>
    </row>
    <row r="34">
      <c r="A34" s="62">
        <f>IFERROR($B$9*0.85,"")</f>
        <v>5.6525</v>
      </c>
      <c r="B34" s="45">
        <f>IFERROR(IF($B$33-$A34&lt;=0,"",$B$6/($B$33-$A34)/$B$11),"")</f>
        <v>109.55872981332669</v>
      </c>
      <c r="C34" s="45">
        <f>IFERROR(IF($C$33-$A34&lt;=0,"",$B$6/($C$33-$A34)/$B$11),"")</f>
        <v>91.06390308813965</v>
      </c>
      <c r="D34" s="45">
        <f>IFERROR(IF($D$33-$A34&lt;=0,"",$B$6/($D$33-$A34)/$B$11),"")</f>
        <v>77.91150690281529</v>
      </c>
      <c r="E34" s="45">
        <f>IFERROR(IF($E$33-$A34&lt;=0,"",$B$6/($E$33-$A34)/$B$11),"")</f>
        <v>68.07885103875908</v>
      </c>
      <c r="F34" s="29" t="n"/>
    </row>
    <row r="35">
      <c r="A35" s="62">
        <f>IFERROR($B$9*0.925,"")</f>
        <v>6.151250000000001</v>
      </c>
      <c r="B35" s="45">
        <f>IFERROR(IF($B$33-$A35&lt;=0,"",$B$6/($B$33-$A35)/$B$11),"")</f>
        <v>115.40361993172722</v>
      </c>
      <c r="C35" s="45">
        <f>IFERROR(IF($C$33-$A35&lt;=0,"",$B$6/($C$33-$A35)/$B$11),"")</f>
        <v>95.06594046364002</v>
      </c>
      <c r="D35" s="45">
        <f>IFERROR(IF($D$33-$A35&lt;=0,"",$B$6/($D$33-$A35)/$B$11),"")</f>
        <v>80.82251835091186</v>
      </c>
      <c r="E35" s="45">
        <f>IFERROR(IF($E$33-$A35&lt;=0,"",$B$6/($E$33-$A35)/$B$11),"")</f>
        <v>70.2910394551175</v>
      </c>
      <c r="F35" s="29" t="n"/>
    </row>
    <row r="36">
      <c r="A36" s="62">
        <f>IFERROR($B$9*1.0,"")</f>
        <v>6.65</v>
      </c>
      <c r="B36" s="45">
        <f>IFERROR(IF($B$33-$A36&lt;=0,"",$B$6/($B$33-$A36)/$B$11),"")</f>
        <v>121.90729851262539</v>
      </c>
      <c r="C36" s="45">
        <f>IFERROR(IF($C$33-$A36&lt;=0,"",$B$6/($C$33-$A36)/$B$11),"")</f>
        <v>99.4359070817267</v>
      </c>
      <c r="D36" s="45">
        <f>IFERROR(IF($D$33-$A36&lt;=0,"",$B$6/($D$33-$A36)/$B$11),"")</f>
        <v>83.95950131025172</v>
      </c>
      <c r="E36" s="45">
        <f>IFERROR(IF($E$33-$A36&lt;=0,"",$B$6/($E$33-$A36)/$B$11),"")</f>
        <v>72.65182436611008</v>
      </c>
      <c r="F36" s="29" t="n"/>
    </row>
    <row r="37">
      <c r="A37" s="62">
        <f>IFERROR($B$9*1.075,"")</f>
        <v>7.14875</v>
      </c>
      <c r="B37" s="45">
        <f>IFERROR(IF($B$33-$A37&lt;=0,"",$B$6/($B$33-$A37)/$B$11),"")</f>
        <v>129.18779725630708</v>
      </c>
      <c r="C37" s="45">
        <f>IFERROR(IF($C$33-$A37&lt;=0,"",$B$6/($C$33-$A37)/$B$11),"")</f>
        <v>104.22698629022916</v>
      </c>
      <c r="D37" s="45">
        <f>IFERROR(IF($D$33-$A37&lt;=0,"",$B$6/($D$33-$A37)/$B$11),"")</f>
        <v>87.34983032784007</v>
      </c>
      <c r="E37" s="45">
        <f>IFERROR(IF($E$33-$A37&lt;=0,"",$B$6/($E$33-$A37)/$B$11),"")</f>
        <v>75.17669832500546</v>
      </c>
      <c r="F37" s="29" t="n"/>
    </row>
    <row r="38">
      <c r="A38" s="62">
        <f>IFERROR($B$9*1.15,"")</f>
        <v>7.6475</v>
      </c>
      <c r="B38" s="45">
        <f>IFERROR(IF($B$33-$A38&lt;=0,"",$B$6/($B$33-$A38)/$B$11),"")</f>
        <v>137.39313490439156</v>
      </c>
      <c r="C38" s="45">
        <f>IFERROR(IF($C$33-$A38&lt;=0,"",$B$6/($C$33-$A38)/$B$11),"")</f>
        <v>109.50313035643083</v>
      </c>
      <c r="D38" s="45">
        <f>IFERROR(IF($D$33-$A38&lt;=0,"",$B$6/($D$33-$A38)/$B$11),"")</f>
        <v>91.0254876048711</v>
      </c>
      <c r="E38" s="45">
        <f>IFERROR(IF($E$33-$A38&lt;=0,"",$B$6/($E$33-$A38)/$B$11),"")</f>
        <v>77.88338508115754</v>
      </c>
      <c r="F38" s="29" t="n"/>
    </row>
    <row r="39">
      <c r="A39" s="29" t="n"/>
      <c r="B39" s="29" t="n"/>
      <c r="C39" s="29" t="n"/>
      <c r="D39" s="29" t="n"/>
      <c r="E39" s="29" t="n"/>
      <c r="F39" s="29" t="n"/>
    </row>
    <row r="40">
      <c r="A40" s="29" t="n"/>
      <c r="B40" s="29" t="n"/>
      <c r="C40" s="29" t="n"/>
      <c r="D40" s="29" t="n"/>
      <c r="E40" s="29" t="n"/>
      <c r="F40" s="29" t="n"/>
    </row>
    <row r="41">
      <c r="A41" s="29" t="n"/>
      <c r="B41" s="29" t="n"/>
      <c r="C41" s="29" t="n"/>
      <c r="D41" s="29" t="n"/>
      <c r="E41" s="29" t="n"/>
      <c r="F41" s="29" t="n"/>
    </row>
    <row r="42">
      <c r="A42" s="29" t="n"/>
      <c r="B42" s="29" t="n"/>
      <c r="C42" s="29" t="n"/>
      <c r="D42" s="29" t="n"/>
      <c r="E42" s="29" t="n"/>
      <c r="F42" s="29" t="n"/>
    </row>
    <row r="43">
      <c r="A43" s="29" t="n"/>
      <c r="B43" s="29" t="n"/>
      <c r="C43" s="29" t="n"/>
      <c r="D43" s="29" t="n"/>
      <c r="E43" s="29" t="n"/>
      <c r="F43" s="29" t="n"/>
    </row>
    <row r="44">
      <c r="A44" s="29" t="n"/>
      <c r="B44" s="29" t="n"/>
      <c r="C44" s="29" t="n"/>
      <c r="D44" s="29" t="n"/>
      <c r="E44" s="29" t="n"/>
      <c r="F44" s="29" t="n"/>
    </row>
    <row r="45">
      <c r="A45" s="29" t="n"/>
      <c r="B45" s="29" t="n"/>
      <c r="C45" s="29" t="n"/>
      <c r="D45" s="29" t="n"/>
      <c r="E45" s="29" t="n"/>
      <c r="F45" s="29" t="n"/>
    </row>
    <row r="46">
      <c r="A46" s="29" t="n"/>
      <c r="B46" s="29" t="n"/>
      <c r="C46" s="29" t="n"/>
      <c r="D46" s="29" t="n"/>
      <c r="E46" s="29" t="n"/>
      <c r="F46" s="29" t="n"/>
    </row>
    <row r="47">
      <c r="A47" s="29" t="n"/>
      <c r="B47" s="29" t="n"/>
      <c r="C47" s="29" t="n"/>
      <c r="D47" s="29" t="n"/>
      <c r="E47" s="29" t="n"/>
      <c r="F47" s="29" t="n"/>
    </row>
    <row r="48">
      <c r="A48" s="29" t="n"/>
      <c r="B48" s="29" t="n"/>
      <c r="C48" s="29" t="n"/>
      <c r="D48" s="29" t="n"/>
      <c r="E48" s="29" t="n"/>
      <c r="F48" s="29" t="n"/>
    </row>
    <row r="49">
      <c r="A49" s="29" t="n"/>
      <c r="B49" s="29" t="n"/>
      <c r="C49" s="29" t="n"/>
      <c r="D49" s="29" t="n"/>
      <c r="E49" s="29" t="n"/>
      <c r="F49" s="29" t="n"/>
    </row>
    <row r="50">
      <c r="A50" s="29" t="n"/>
      <c r="B50" s="29" t="n"/>
      <c r="C50" s="29" t="n"/>
      <c r="D50" s="29" t="n"/>
      <c r="E50" s="29" t="n"/>
      <c r="F50" s="29" t="n"/>
    </row>
    <row r="51">
      <c r="A51" s="29" t="n"/>
      <c r="B51" s="29" t="n"/>
      <c r="C51" s="29" t="n"/>
      <c r="D51" s="29" t="n"/>
      <c r="E51" s="29" t="n"/>
      <c r="F51" s="29" t="n"/>
    </row>
    <row r="52">
      <c r="A52" s="29" t="n"/>
      <c r="B52" s="29" t="n"/>
      <c r="C52" s="29" t="n"/>
      <c r="D52" s="29" t="n"/>
      <c r="E52" s="29" t="n"/>
      <c r="F52" s="29" t="n"/>
    </row>
    <row r="53">
      <c r="A53" s="29" t="n"/>
      <c r="B53" s="29" t="n"/>
      <c r="C53" s="29" t="n"/>
      <c r="D53" s="29" t="n"/>
      <c r="E53" s="29" t="n"/>
      <c r="F53" s="29" t="n"/>
    </row>
    <row r="54">
      <c r="A54" s="29" t="n"/>
      <c r="B54" s="29" t="n"/>
      <c r="C54" s="29" t="n"/>
      <c r="D54" s="29" t="n"/>
      <c r="E54" s="29" t="n"/>
      <c r="F54" s="29" t="n"/>
    </row>
    <row r="55">
      <c r="A55" s="29" t="n"/>
      <c r="B55" s="29" t="n"/>
      <c r="C55" s="29" t="n"/>
      <c r="D55" s="29" t="n"/>
      <c r="E55" s="29" t="n"/>
      <c r="F55" s="29" t="n"/>
    </row>
    <row r="56">
      <c r="A56" s="29" t="n"/>
      <c r="B56" s="29" t="n"/>
      <c r="C56" s="29" t="n"/>
      <c r="D56" s="29" t="n"/>
      <c r="E56" s="29" t="n"/>
      <c r="F56" s="29" t="n"/>
    </row>
    <row r="57">
      <c r="A57" s="29" t="n"/>
      <c r="B57" s="29" t="n"/>
      <c r="C57" s="29" t="n"/>
      <c r="D57" s="29" t="n"/>
      <c r="E57" s="29" t="n"/>
      <c r="F57" s="29" t="n"/>
    </row>
    <row r="58">
      <c r="A58" s="29" t="n"/>
      <c r="B58" s="29" t="n"/>
      <c r="C58" s="29" t="n"/>
      <c r="D58" s="29" t="n"/>
      <c r="E58" s="29" t="n"/>
      <c r="F58" s="29" t="n"/>
    </row>
    <row r="59">
      <c r="A59" s="29" t="n"/>
      <c r="B59" s="29" t="n"/>
      <c r="C59" s="29" t="n"/>
      <c r="D59" s="29" t="n"/>
      <c r="E59" s="29" t="n"/>
      <c r="F59" s="29" t="n"/>
    </row>
    <row r="60">
      <c r="A60" s="29" t="n"/>
      <c r="B60" s="29" t="n"/>
      <c r="C60" s="29" t="n"/>
      <c r="D60" s="29" t="n"/>
      <c r="E60" s="29" t="n"/>
      <c r="F60" s="29" t="n"/>
    </row>
    <row r="61">
      <c r="A61" s="29" t="n"/>
      <c r="B61" s="29" t="n"/>
      <c r="C61" s="29" t="n"/>
      <c r="D61" s="29" t="n"/>
      <c r="E61" s="29" t="n"/>
      <c r="F61" s="29" t="n"/>
    </row>
    <row r="62">
      <c r="A62" s="29" t="n"/>
      <c r="B62" s="29" t="n"/>
      <c r="C62" s="29" t="n"/>
      <c r="D62" s="29" t="n"/>
      <c r="E62" s="29" t="n"/>
      <c r="F62" s="29" t="n"/>
    </row>
    <row r="63">
      <c r="A63" s="29" t="n"/>
      <c r="B63" s="29" t="n"/>
      <c r="C63" s="29" t="n"/>
      <c r="D63" s="29" t="n"/>
      <c r="E63" s="29" t="n"/>
      <c r="F63" s="29" t="n"/>
    </row>
    <row r="64">
      <c r="A64" s="29" t="n"/>
      <c r="B64" s="29" t="n"/>
      <c r="C64" s="29" t="n"/>
      <c r="D64" s="29" t="n"/>
      <c r="E64" s="29" t="n"/>
      <c r="F64" s="29" t="n"/>
    </row>
    <row r="65">
      <c r="A65" s="29" t="n"/>
      <c r="B65" s="29" t="n"/>
      <c r="C65" s="29" t="n"/>
      <c r="D65" s="29" t="n"/>
      <c r="E65" s="29" t="n"/>
      <c r="F65" s="29" t="n"/>
    </row>
    <row r="66">
      <c r="A66" s="29" t="n"/>
      <c r="B66" s="29" t="n"/>
      <c r="C66" s="29" t="n"/>
      <c r="D66" s="29" t="n"/>
      <c r="E66" s="29" t="n"/>
      <c r="F66" s="29" t="n"/>
    </row>
    <row r="67">
      <c r="A67" s="29" t="n"/>
      <c r="B67" s="29" t="n"/>
      <c r="C67" s="29" t="n"/>
      <c r="D67" s="29" t="n"/>
      <c r="E67" s="29" t="n"/>
      <c r="F67" s="29" t="n"/>
    </row>
    <row r="68">
      <c r="A68" s="29" t="n"/>
      <c r="B68" s="29" t="n"/>
      <c r="C68" s="29" t="n"/>
      <c r="D68" s="29" t="n"/>
      <c r="E68" s="29" t="n"/>
      <c r="F68" s="29" t="n"/>
    </row>
    <row r="69">
      <c r="A69" s="29" t="n"/>
      <c r="B69" s="29" t="n"/>
      <c r="C69" s="29" t="n"/>
      <c r="D69" s="29" t="n"/>
      <c r="E69" s="29" t="n"/>
      <c r="F69" s="29" t="n"/>
    </row>
    <row r="70">
      <c r="A70" s="29" t="n"/>
      <c r="B70" s="29" t="n"/>
      <c r="C70" s="29" t="n"/>
      <c r="D70" s="29" t="n"/>
      <c r="E70" s="29" t="n"/>
      <c r="F70" s="29" t="n"/>
    </row>
    <row r="71">
      <c r="A71" s="29" t="n"/>
      <c r="B71" s="29" t="n"/>
      <c r="C71" s="29" t="n"/>
      <c r="D71" s="29" t="n"/>
      <c r="E71" s="29" t="n"/>
      <c r="F71" s="29" t="n"/>
    </row>
    <row r="72">
      <c r="A72" s="29" t="n"/>
      <c r="B72" s="29" t="n"/>
      <c r="C72" s="29" t="n"/>
      <c r="D72" s="29" t="n"/>
      <c r="E72" s="29" t="n"/>
      <c r="F72" s="29" t="n"/>
    </row>
    <row r="73">
      <c r="A73" s="29" t="n"/>
      <c r="B73" s="29" t="n"/>
      <c r="C73" s="29" t="n"/>
      <c r="D73" s="29" t="n"/>
      <c r="E73" s="29" t="n"/>
      <c r="F73" s="29" t="n"/>
    </row>
    <row r="74">
      <c r="A74" s="29" t="n"/>
      <c r="B74" s="29" t="n"/>
      <c r="C74" s="29" t="n"/>
      <c r="D74" s="29" t="n"/>
      <c r="E74" s="29" t="n"/>
      <c r="F74" s="29" t="n"/>
    </row>
    <row r="75">
      <c r="A75" s="29" t="n"/>
      <c r="B75" s="29" t="n"/>
      <c r="C75" s="29" t="n"/>
      <c r="D75" s="29" t="n"/>
      <c r="E75" s="29" t="n"/>
      <c r="F75" s="29" t="n"/>
    </row>
    <row r="76">
      <c r="A76" s="29" t="n"/>
      <c r="B76" s="29" t="n"/>
      <c r="C76" s="29" t="n"/>
      <c r="D76" s="29" t="n"/>
      <c r="E76" s="29" t="n"/>
      <c r="F76" s="29" t="n"/>
    </row>
    <row r="77">
      <c r="A77" s="29" t="n"/>
      <c r="B77" s="29" t="n"/>
      <c r="C77" s="29" t="n"/>
      <c r="D77" s="29" t="n"/>
      <c r="E77" s="29" t="n"/>
      <c r="F77" s="29" t="n"/>
    </row>
    <row r="78">
      <c r="A78" s="29" t="n"/>
      <c r="B78" s="29" t="n"/>
      <c r="C78" s="29" t="n"/>
      <c r="D78" s="29" t="n"/>
      <c r="E78" s="29" t="n"/>
      <c r="F7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2">
      <c r="A2" s="3" t="inlineStr">
        <is>
          <t>Pessimistic / Base / Optimistic — Year 1</t>
        </is>
      </c>
    </row>
    <row r="4">
      <c r="A4" s="26" t="inlineStr">
        <is>
          <t>Metric</t>
        </is>
      </c>
      <c r="B4" s="26" t="inlineStr">
        <is>
          <t>Pessimistic</t>
        </is>
      </c>
      <c r="C4" s="26" t="inlineStr">
        <is>
          <t>Base</t>
        </is>
      </c>
      <c r="D4" s="26" t="inlineStr">
        <is>
          <t>Optimistic</t>
        </is>
      </c>
      <c r="E4" s="26" t="inlineStr">
        <is>
          <t>Notes</t>
        </is>
      </c>
      <c r="F4" s="29" t="n"/>
    </row>
    <row r="5">
      <c r="A5" s="29" t="inlineStr">
        <is>
          <t>Covers per day</t>
        </is>
      </c>
      <c r="B5" s="51" t="n">
        <v>100</v>
      </c>
      <c r="C5" s="41">
        <f>IFERROR(IF('3-Year P&amp;L'!$B$6="","",'3-Year P&amp;L'!$B$6),"")</f>
        <v>115.0</v>
      </c>
      <c r="D5" s="51" t="n">
        <v>130</v>
      </c>
      <c r="E5" s="29" t="n"/>
      <c r="F5" s="29" t="n"/>
    </row>
    <row r="6">
      <c r="A6" s="29" t="inlineStr">
        <is>
          <t>Average check (excl. sales tax)</t>
        </is>
      </c>
      <c r="B6" s="76" t="n">
        <v>16.5</v>
      </c>
      <c r="C6" s="62">
        <f>IFERROR(IF('3-Year P&amp;L'!$B$7="","",'3-Year P&amp;L'!$B$7),"")</f>
        <v>17.5</v>
      </c>
      <c r="D6" s="76" t="n">
        <v>18.5</v>
      </c>
      <c r="E6" s="29" t="n"/>
      <c r="F6" s="29" t="n"/>
    </row>
    <row r="7">
      <c r="A7" s="29" t="inlineStr">
        <is>
          <t>Operating days per year</t>
        </is>
      </c>
      <c r="B7" s="51" t="n">
        <v>303</v>
      </c>
      <c r="C7" s="41">
        <f>IFERROR(IF('3-Year P&amp;L'!$B$8="","",'3-Year P&amp;L'!$B$8),"")</f>
        <v>308.0</v>
      </c>
      <c r="D7" s="51" t="n">
        <v>312</v>
      </c>
      <c r="E7" s="29" t="n"/>
      <c r="F7" s="29" t="n"/>
    </row>
    <row r="8">
      <c r="A8" s="26" t="inlineStr">
        <is>
          <t>ANNUAL REVENUE (excl. sales tax)</t>
        </is>
      </c>
      <c r="B8" s="54">
        <f>IFERROR(IF(B5*B6*B7=0,"",B5*B6*B7),"")</f>
        <v>499950.0</v>
      </c>
      <c r="C8" s="54">
        <f>IFERROR(IF(C5*C6*C7=0,"",C5*C6*C7),"")</f>
        <v>619850.0</v>
      </c>
      <c r="D8" s="54">
        <f>IFERROR(IF(D5*D6*D7=0,"",D5*D6*D7),"")</f>
        <v>750360.0</v>
      </c>
      <c r="E8" s="29" t="n"/>
      <c r="F8" s="29" t="n"/>
    </row>
    <row r="9">
      <c r="A9" s="29" t="inlineStr">
        <is>
          <t>Cost of goods sold — food</t>
        </is>
      </c>
      <c r="B9" s="41">
        <f>IFERROR(IF(B8="","",B8*'0. Assumptions'!$B$11*'0. Assumptions'!$B$13),"")</f>
        <v>114738.52500000001</v>
      </c>
      <c r="C9" s="41">
        <f>IFERROR(IF(C8="","",C8*'0. Assumptions'!$B$11*'0. Assumptions'!$B$13),"")</f>
        <v>142255.575</v>
      </c>
      <c r="D9" s="41">
        <f>IFERROR(IF(D8="","",D8*'0. Assumptions'!$B$11*'0. Assumptions'!$B$13),"")</f>
        <v>172207.62000000002</v>
      </c>
      <c r="E9" s="29" t="n"/>
      <c r="F9" s="29" t="n"/>
    </row>
    <row r="10">
      <c r="A10" s="29" t="inlineStr">
        <is>
          <t>Cost of goods sold — beverage</t>
        </is>
      </c>
      <c r="B10" s="41">
        <f>IFERROR(IF(B8="","",B8*'0. Assumptions'!$B$12*'0. Assumptions'!$B$14),"")</f>
        <v>16498.350000000002</v>
      </c>
      <c r="C10" s="41">
        <f>IFERROR(IF(C8="","",C8*'0. Assumptions'!$B$12*'0. Assumptions'!$B$14),"")</f>
        <v>20455.050000000003</v>
      </c>
      <c r="D10" s="41">
        <f>IFERROR(IF(D8="","",D8*'0. Assumptions'!$B$12*'0. Assumptions'!$B$14),"")</f>
        <v>24761.880000000005</v>
      </c>
      <c r="E10" s="29" t="n"/>
      <c r="F10" s="29" t="n"/>
    </row>
    <row r="11">
      <c r="A11" s="29" t="inlineStr">
        <is>
          <t>Disposables and packaging</t>
        </is>
      </c>
      <c r="B11" s="41">
        <f>IFERROR(IF(B8="","",B8*'0. Assumptions'!$B$15),"")</f>
        <v>19998.0</v>
      </c>
      <c r="C11" s="41">
        <f>IFERROR(IF(C8="","",C8*'0. Assumptions'!$B$15),"")</f>
        <v>24794.0</v>
      </c>
      <c r="D11" s="41">
        <f>IFERROR(IF(D8="","",D8*'0. Assumptions'!$B$15),"")</f>
        <v>30014.4</v>
      </c>
      <c r="E11" s="29" t="n"/>
      <c r="F11" s="29" t="n"/>
    </row>
    <row r="12">
      <c r="A12" s="29" t="inlineStr">
        <is>
          <t>Delivery platform fees</t>
        </is>
      </c>
      <c r="B12" s="41">
        <f>IFERROR(IF(B8="","",B8*'0. Assumptions'!$B$16*'0. Assumptions'!$B$17),"")</f>
        <v>18748.125</v>
      </c>
      <c r="C12" s="41">
        <f>IFERROR(IF(C8="","",C8*'0. Assumptions'!$B$16*'0. Assumptions'!$B$17),"")</f>
        <v>23244.375</v>
      </c>
      <c r="D12" s="41">
        <f>IFERROR(IF(D8="","",D8*'0. Assumptions'!$B$16*'0. Assumptions'!$B$17),"")</f>
        <v>28138.5</v>
      </c>
      <c r="E12" s="29" t="n"/>
      <c r="F12" s="29" t="n"/>
    </row>
    <row r="13">
      <c r="A13" s="29" t="inlineStr">
        <is>
          <t>Card processing fees</t>
        </is>
      </c>
      <c r="B13" s="41">
        <f>IFERROR(IF(B8="","",B8*'0. Assumptions'!$B$18),"")</f>
        <v>14998.5</v>
      </c>
      <c r="C13" s="41">
        <f>IFERROR(IF(C8="","",C8*'0. Assumptions'!$B$18),"")</f>
        <v>18595.5</v>
      </c>
      <c r="D13" s="41">
        <f>IFERROR(IF(D8="","",D8*'0. Assumptions'!$B$18),"")</f>
        <v>22510.8</v>
      </c>
      <c r="E13" s="29" t="n"/>
      <c r="F13" s="29" t="n"/>
    </row>
    <row r="14">
      <c r="A14" s="29" t="inlineStr">
        <is>
          <t>Miscellaneous and contingency</t>
        </is>
      </c>
      <c r="B14" s="41">
        <f>IFERROR(IF(B8="","",B8*'0. Assumptions'!$B$28),"")</f>
        <v>4999.5</v>
      </c>
      <c r="C14" s="41">
        <f>IFERROR(IF(C8="","",C8*'0. Assumptions'!$B$28),"")</f>
        <v>6198.5</v>
      </c>
      <c r="D14" s="41">
        <f>IFERROR(IF(D8="","",D8*'0. Assumptions'!$B$28),"")</f>
        <v>7503.6</v>
      </c>
      <c r="E14" s="29" t="n"/>
      <c r="F14" s="29" t="n"/>
    </row>
    <row r="15">
      <c r="A15" s="29" t="inlineStr">
        <is>
          <t>TOTAL VARIABLE COSTS</t>
        </is>
      </c>
      <c r="B15" s="41">
        <f>IFERROR(IF(B8="","",SUM(B9:B14)),"")</f>
        <v>189981.0</v>
      </c>
      <c r="C15" s="41">
        <f>IFERROR(IF(C8="","",SUM(C9:C14)),"")</f>
        <v>235543.0</v>
      </c>
      <c r="D15" s="41">
        <f>IFERROR(IF(D8="","",SUM(D9:D14)),"")</f>
        <v>285136.80000000005</v>
      </c>
      <c r="E15" s="29" t="n"/>
      <c r="F15" s="29" t="n"/>
    </row>
    <row r="16">
      <c r="A16" s="29" t="inlineStr">
        <is>
          <t>GROSS MARGIN</t>
        </is>
      </c>
      <c r="B16" s="41">
        <f>IFERROR(IF(B8="","",B8-B15),"")</f>
        <v>309969.0</v>
      </c>
      <c r="C16" s="41">
        <f>IFERROR(IF(C8="","",C8-C15),"")</f>
        <v>384307.0</v>
      </c>
      <c r="D16" s="41">
        <f>IFERROR(IF(D8="","",D8-D15),"")</f>
        <v>465223.19999999995</v>
      </c>
      <c r="E16" s="29" t="n"/>
      <c r="F16" s="29" t="n"/>
    </row>
    <row r="17">
      <c r="A17" s="29" t="inlineStr">
        <is>
          <t>FIXED COSTS (the P&amp;L's)</t>
        </is>
      </c>
      <c r="B17" s="41">
        <f>IFERROR(IF(B8="","",'3-Year P&amp;L'!$B$37),"")</f>
        <v>332294.9142857143</v>
      </c>
      <c r="C17" s="41">
        <f>IFERROR(IF(C8="","",'3-Year P&amp;L'!$B$37),"")</f>
        <v>332294.9142857143</v>
      </c>
      <c r="D17" s="41">
        <f>IFERROR(IF(D8="","",'3-Year P&amp;L'!$B$37),"")</f>
        <v>332294.9142857143</v>
      </c>
      <c r="E17" s="29" t="inlineStr">
        <is>
          <t>Fixed costs do not change with the scenario: that is why they are fixed</t>
        </is>
      </c>
      <c r="F17" s="29" t="n"/>
    </row>
    <row r="18">
      <c r="A18" s="26" t="inlineStr">
        <is>
          <t>PRE-TAX INCOME (EBT)</t>
        </is>
      </c>
      <c r="B18" s="54">
        <f>IFERROR(IF(B8="","",B16-B17),"")</f>
        <v>-22325.914285714272</v>
      </c>
      <c r="C18" s="54">
        <f>IFERROR(IF(C8="","",C16-C17),"")</f>
        <v>52012.08571428573</v>
      </c>
      <c r="D18" s="54">
        <f>IFERROR(IF(D8="","",D16-D17),"")</f>
        <v>132928.28571428568</v>
      </c>
      <c r="E18" s="29" t="n"/>
      <c r="F18" s="29" t="n"/>
    </row>
    <row r="19">
      <c r="A19" s="29" t="inlineStr">
        <is>
          <t>Income tax</t>
        </is>
      </c>
      <c r="B19" s="41">
        <f>IFERROR(IF(B8="","",MAX(0,B18-'0. Assumptions'!$B$42)*'0. Assumptions'!$B$37),"")</f>
        <v>0.0</v>
      </c>
      <c r="C19" s="41">
        <f>IFERROR(IF(C8="","",MAX(0,C18-'0. Assumptions'!$B$42)*'0. Assumptions'!$B$37),"")</f>
        <v>13003.021428571432</v>
      </c>
      <c r="D19" s="41">
        <f>IFERROR(IF(D8="","",MAX(0,D18-'0. Assumptions'!$B$42)*'0. Assumptions'!$B$37),"")</f>
        <v>33232.07142857142</v>
      </c>
      <c r="E19" s="29" t="inlineStr">
        <is>
          <t>At the "years 1-2" effective income tax rate, offsetting prior net operating losses</t>
        </is>
      </c>
      <c r="F19" s="29" t="n"/>
    </row>
    <row r="20">
      <c r="A20" s="26" t="inlineStr">
        <is>
          <t>NET INCOME</t>
        </is>
      </c>
      <c r="B20" s="54">
        <f>IFERROR(IF(B8="","",B18-B19),"")</f>
        <v>-22325.914285714272</v>
      </c>
      <c r="C20" s="54">
        <f>IFERROR(IF(C8="","",C18-C19),"")</f>
        <v>39009.064285714296</v>
      </c>
      <c r="D20" s="54">
        <f>IFERROR(IF(D8="","",D18-D19),"")</f>
        <v>99696.21428571426</v>
      </c>
      <c r="E20" s="29" t="n"/>
      <c r="F20" s="29" t="n"/>
    </row>
    <row r="21">
      <c r="A21" s="29" t="inlineStr">
        <is>
          <t>Covers per day to break even</t>
        </is>
      </c>
      <c r="B21" s="45">
        <f>IFERROR(IF(B8="","",IF(B6-B15/(B5*B7)&lt;=0,"",B17/(B6-B15/(B5*B7))/B7)),"")</f>
        <v>107.20262809691107</v>
      </c>
      <c r="C21" s="45">
        <f>IFERROR(IF(C8="","",IF(C6-C15/(C5*C7)&lt;=0,"",C17/(C6-C15/(C5*C7))/C7)),"")</f>
        <v>99.4359070817267</v>
      </c>
      <c r="D21" s="45">
        <f>IFERROR(IF(D8="","",IF(D6-D15/(D5*D7)&lt;=0,"",D17/(D6-D15/(D5*D7))/D7)),"")</f>
        <v>92.85508301637334</v>
      </c>
      <c r="E21" s="29" t="n"/>
      <c r="F21" s="29" t="n"/>
    </row>
    <row r="22">
      <c r="A22" s="26" t="inlineStr">
        <is>
          <t>WHAT EACH SCENARIO DEMANDS</t>
        </is>
      </c>
      <c r="B22" s="29" t="n"/>
      <c r="C22" s="29" t="n"/>
      <c r="D22" s="29" t="n"/>
      <c r="E22" s="29" t="n"/>
      <c r="F22" s="29" t="n"/>
    </row>
    <row r="23">
      <c r="A23" s="29" t="inlineStr">
        <is>
          <t>Labor cost / Sales</t>
        </is>
      </c>
      <c r="B23" s="68">
        <f>IFERROR(IF(B8="","",'3-Year P&amp;L'!$B$23/B8),"")</f>
        <v>0.42854125412541255</v>
      </c>
      <c r="C23" s="68">
        <f>IFERROR(IF(C8="","",'3-Year P&amp;L'!$B$23/C8),"")</f>
        <v>0.3456468500443656</v>
      </c>
      <c r="D23" s="68">
        <f>IFERROR(IF(D8="","",'3-Year P&amp;L'!$B$23/D8),"")</f>
        <v>0.2855285462977771</v>
      </c>
      <c r="E23" s="29" t="inlineStr">
        <is>
          <t>The SAME staffing in all three scenarios. If labor cost blows up in the pessimistic case, adjust it in the Staffing tab, not here</t>
        </is>
      </c>
      <c r="F23" s="29" t="n"/>
    </row>
    <row r="24">
      <c r="A24" s="29" t="inlineStr">
        <is>
          <t>Covers per year per full-time equivalent</t>
        </is>
      </c>
      <c r="B24" s="41">
        <f>IFERROR(IF(B8="","",B5*B7/Staffing!$C$12),"")</f>
        <v>6029.8507462686575</v>
      </c>
      <c r="C24" s="41">
        <f>IFERROR(IF(C8="","",C5*C7/Staffing!$C$12),"")</f>
        <v>7048.756218905473</v>
      </c>
      <c r="D24" s="41">
        <f>IFERROR(IF(D8="","",D5*D7/Staffing!$C$12),"")</f>
        <v>8071.641791044777</v>
      </c>
      <c r="E24" s="29" t="inlineStr">
        <is>
          <t>Covers each full-time employee in the "Staffing" tab would have to serve. In the optimistic scenario it tells you whether you need to hire</t>
        </is>
      </c>
      <c r="F24" s="29" t="n"/>
    </row>
    <row r="25">
      <c r="A25" s="26" t="inlineStr">
        <is>
          <t>Year-1 closing cash balance (estimate, same method in all three scenarios)</t>
        </is>
      </c>
      <c r="B25" s="54">
        <f>IFERROR(IF(B8="","",'Startup Costs'!$B$29+B20+'3-Year P&amp;L'!$B$35-Financing!$B$45),"")</f>
        <v>64888.910500677994</v>
      </c>
      <c r="C25" s="54">
        <f>IFERROR(IF(C8="","",'Startup Costs'!$B$29+C20+'3-Year P&amp;L'!$B$35-Financing!$B$45),"")</f>
        <v>126223.88907210654</v>
      </c>
      <c r="D25" s="54">
        <f>IFERROR(IF(D8="","",'Startup Costs'!$B$29+D20+'3-Year P&amp;L'!$B$35-Financing!$B$45),"")</f>
        <v>186911.0390721065</v>
      </c>
      <c r="E25" s="2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c r="F25" s="29" t="n"/>
    </row>
    <row r="26">
      <c r="A26" s="29" t="inlineStr">
        <is>
          <t>Actual month-12 balance from the 12-Month Cash Flow tab (Base case only)</t>
        </is>
      </c>
      <c r="B26" s="29" t="n"/>
      <c r="C26" s="41">
        <f>IFERROR(IF(C8="","",'12-Month Cash Flow'!$M$22),"")</f>
        <v>157133.9269622965</v>
      </c>
      <c r="D26" s="29" t="n"/>
      <c r="E26" s="29"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c r="F26" s="29" t="n"/>
    </row>
    <row r="27">
      <c r="A27" s="29" t="n"/>
      <c r="B27" s="29" t="n"/>
      <c r="C27" s="29" t="n"/>
      <c r="D27" s="29" t="n"/>
      <c r="E27" s="29" t="n"/>
      <c r="F27" s="29" t="n"/>
    </row>
    <row r="28" ht="150" customHeight="1">
      <c r="A28" s="48" t="inlineStr">
        <is>
          <t>The "Base" column reads its three inputs from the "0. Assumptions" tab, so it reproduces EXACTLY year 1 of the P&amp;L. The other two scenarios use the same cost rates: the only things that change are covers, average check and days. FIXED COSTS are the same in all three: miscellaneous and contingency, which is a percentage of sales, sits at the top with the variable costs and each scenario carries its own.</t>
        </is>
      </c>
      <c r="B28" s="29" t="n"/>
      <c r="C28" s="29" t="n"/>
      <c r="D28" s="29" t="n"/>
      <c r="E28" s="29" t="n"/>
      <c r="F2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P&amp;L'!$E$53)</formula>
    </cfRule>
    <cfRule type="expression" priority="2" dxfId="0" stopIfTrue="1">
      <formula>AND(ISNUMBER(B23),B23&lt;='3-Year P&amp;L'!$E$53)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Days out of range" error="Days range from 1 to 365."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s="3" t="str">
        <f>IFERROR("Payroll — "&amp;TEXT('0. Assumptions'!$B$21,"0")&amp;" pay periods + employer taxes "&amp;TEXT('0. Assumptions'!$B$20*100,"0")&amp;"%","")</f>
        <v>Payroll — 12 pay periods + employer taxes 10%</v>
      </c>
    </row>
    <row r="4" ht="45" customHeight="1">
      <c r="A4" s="40" t="inlineStr">
        <is>
          <t>Position</t>
        </is>
      </c>
      <c r="B4" s="40" t="inlineStr">
        <is>
          <t>People</t>
        </is>
      </c>
      <c r="C4" s="40" t="inlineStr">
        <is>
          <t>FTE</t>
        </is>
      </c>
      <c r="D4" s="40" t="inlineStr">
        <is>
          <t>Gross pay per month (total for the position)</t>
        </is>
      </c>
      <c r="E4" s="40" t="inlineStr">
        <is>
          <t>Employer payroll taxes (total for the position)</t>
        </is>
      </c>
      <c r="F4" s="40" t="inlineStr">
        <is>
          <t>Cost per month (total for the position)</t>
        </is>
      </c>
      <c r="G4" s="40" t="inlineStr">
        <is>
          <t>Cost per year</t>
        </is>
      </c>
      <c r="H4" s="40" t="inlineStr">
        <is>
          <t>Hours per week per person</t>
        </is>
      </c>
      <c r="I4" s="40" t="inlineStr">
        <is>
          <t>Hours per year for the position</t>
        </is>
      </c>
      <c r="J4" s="40" t="inlineStr">
        <is>
          <t>Notes</t>
        </is>
      </c>
    </row>
    <row r="5">
      <c r="A5" s="29" t="inlineStr">
        <is>
          <t>Owner / head taquero &amp; GM</t>
        </is>
      </c>
      <c r="B5" s="51" t="n">
        <v>1</v>
      </c>
      <c r="C5" s="53" t="n">
        <v>1</v>
      </c>
      <c r="D5" s="76" t="n">
        <v>4500</v>
      </c>
      <c r="E5" s="62">
        <f>IFERROR(IF(D5="","",D5*'0. Assumptions'!$B$20),"")</f>
        <v>450.0</v>
      </c>
      <c r="F5" s="62">
        <f>IFERROR(IF(D5="","",D5+E5),"")</f>
        <v>4950.0</v>
      </c>
      <c r="G5" s="62">
        <f>IFERROR(IF(D5="","",F5*MAX(12,'0. Assumptions'!$B$21)),"")</f>
        <v>59400.0</v>
      </c>
      <c r="H5" s="45">
        <f>IFERROR(IF(D5="","",C5*$B$19),"")</f>
        <v>40.0</v>
      </c>
      <c r="I5" s="41">
        <f>IFERROR(IF(D5="","",H5*B5*$B$20),"")</f>
        <v>1840.0</v>
      </c>
      <c r="J5" s="29" t="inlineStr">
        <is>
          <t>Marinates and builds the trompo, runs the cutting on the busy shift, buys (the dried chile and Mexican specialty distributor included) and manages. The workbook imputes a monthly salary as if on payroll, which is the prudent side; confirm with your CPA how you will pay yourself (owner's draw or W-2 under an S corp). The example pays the owner below a manager: owner's draw in addition from net profit</t>
        </is>
      </c>
    </row>
    <row r="6">
      <c r="A6" s="29" t="inlineStr">
        <is>
          <t>Taquero / line cook (trompo &amp; griddle)</t>
        </is>
      </c>
      <c r="B6" s="51" t="n">
        <v>1</v>
      </c>
      <c r="C6" s="53" t="n">
        <v>1</v>
      </c>
      <c r="D6" s="76" t="n">
        <v>3293</v>
      </c>
      <c r="E6" s="62">
        <f>IFERROR(IF(D6="","",D6*'0. Assumptions'!$B$20),"")</f>
        <v>329.3</v>
      </c>
      <c r="F6" s="62">
        <f>IFERROR(IF(D6="","",D6+E6),"")</f>
        <v>3622.3</v>
      </c>
      <c r="G6" s="62">
        <f>IFERROR(IF(D6="","",F6*MAX(12,'0. Assumptions'!$B$21)),"")</f>
        <v>43467.600000000006</v>
      </c>
      <c r="H6" s="45">
        <f>IFERROR(IF(D6="","",C6*$B$19),"")</f>
        <v>40.0</v>
      </c>
      <c r="I6" s="41">
        <f>IFERROR(IF(D6="","",H6*B6*$B$20),"")</f>
        <v>1840.0</v>
      </c>
      <c r="J6" s="29" t="inlineStr">
        <is>
          <t>Slices the trompo, runs the griddle and the comal and can marinate with the owner. It is an investment, not an expense: if only the owner can marinate and slice the trompo, a sick day closes the shop</t>
        </is>
      </c>
    </row>
    <row r="7">
      <c r="A7" s="29" t="inlineStr">
        <is>
          <t>Prep cook (marinades, carnitas, salsas, aguas frescas)</t>
        </is>
      </c>
      <c r="B7" s="51" t="n">
        <v>1</v>
      </c>
      <c r="C7" s="53" t="n">
        <v>0.75</v>
      </c>
      <c r="D7" s="76" t="n">
        <v>2340</v>
      </c>
      <c r="E7" s="62">
        <f>IFERROR(IF(D7="","",D7*'0. Assumptions'!$B$20),"")</f>
        <v>234.0</v>
      </c>
      <c r="F7" s="62">
        <f>IFERROR(IF(D7="","",D7+E7),"")</f>
        <v>2574.0</v>
      </c>
      <c r="G7" s="62">
        <f>IFERROR(IF(D7="","",F7*MAX(12,'0. Assumptions'!$B$21)),"")</f>
        <v>30888.0</v>
      </c>
      <c r="H7" s="45">
        <f>IFERROR(IF(D7="","",C7*$B$19),"")</f>
        <v>30.0</v>
      </c>
      <c r="I7" s="41">
        <f>IFERROR(IF(D7="","",H7*B7*$B$20),"")</f>
        <v>1380.0</v>
      </c>
      <c r="J7" s="29" t="inlineStr">
        <is>
          <t>Carnitas and guisados, salsas, aguas frescas, marinades, mise en place and prep, 30 hours a week</t>
        </is>
      </c>
    </row>
    <row r="8">
      <c r="A8" s="29" t="inlineStr">
        <is>
          <t>Counter lead / cashier</t>
        </is>
      </c>
      <c r="B8" s="51" t="n">
        <v>1</v>
      </c>
      <c r="C8" s="53" t="n">
        <v>1</v>
      </c>
      <c r="D8" s="76" t="n">
        <v>2773</v>
      </c>
      <c r="E8" s="62">
        <f>IFERROR(IF(D8="","",D8*'0. Assumptions'!$B$20),"")</f>
        <v>277.3</v>
      </c>
      <c r="F8" s="62">
        <f>IFERROR(IF(D8="","",D8+E8),"")</f>
        <v>3050.3</v>
      </c>
      <c r="G8" s="62">
        <f>IFERROR(IF(D8="","",F8*MAX(12,'0. Assumptions'!$B$21)),"")</f>
        <v>36603.600000000006</v>
      </c>
      <c r="H8" s="45">
        <f>IFERROR(IF(D8="","",C8*$B$19),"")</f>
        <v>40.0</v>
      </c>
      <c r="I8" s="41">
        <f>IFERROR(IF(D8="","",H8*B8*$B$20),"")</f>
        <v>1840.0</v>
      </c>
      <c r="J8" s="29" t="inlineStr">
        <is>
          <t>Year-round: counter, register, take-out orders, the delivery marketplace tablets and allergen information</t>
        </is>
      </c>
    </row>
    <row r="9">
      <c r="A9" s="29" t="inlineStr">
        <is>
          <t>Counter &amp; expo (part-time W-2)</t>
        </is>
      </c>
      <c r="B9" s="51" t="n">
        <v>2</v>
      </c>
      <c r="C9" s="53" t="n">
        <v>0.4</v>
      </c>
      <c r="D9" s="76" t="n">
        <v>2080</v>
      </c>
      <c r="E9" s="62">
        <f>IFERROR(IF(D9="","",D9*'0. Assumptions'!$B$20),"")</f>
        <v>208.0</v>
      </c>
      <c r="F9" s="62">
        <f>IFERROR(IF(D9="","",D9+E9),"")</f>
        <v>2288.0</v>
      </c>
      <c r="G9" s="62">
        <f>IFERROR(IF(D9="","",F9*MAX(12,'0. Assumptions'!$B$21)),"")</f>
        <v>27456.0</v>
      </c>
      <c r="H9" s="45">
        <f>IFERROR(IF(D9="","",C9*$B$19),"")</f>
        <v>16.0</v>
      </c>
      <c r="I9" s="41">
        <f>IFERROR(IF(D9="","",H9*B9*$B$20),"")</f>
        <v>1472.0</v>
      </c>
      <c r="J9" s="29" t="inlineStr">
        <is>
          <t>Dinner and weekend shifts at the counter and expo, when the shop fills. Part-time W-2 employees; tips are not modeled</t>
        </is>
      </c>
    </row>
    <row r="10">
      <c r="A10" s="29" t="inlineStr">
        <is>
          <t>Dish &amp; prep (part-time W-2)</t>
        </is>
      </c>
      <c r="B10" s="51" t="n">
        <v>1</v>
      </c>
      <c r="C10" s="53" t="n">
        <v>0.375</v>
      </c>
      <c r="D10" s="76" t="n">
        <v>975</v>
      </c>
      <c r="E10" s="62">
        <f>IFERROR(IF(D10="","",D10*'0. Assumptions'!$B$20),"")</f>
        <v>97.5</v>
      </c>
      <c r="F10" s="62">
        <f>IFERROR(IF(D10="","",D10+E10),"")</f>
        <v>1072.5</v>
      </c>
      <c r="G10" s="62">
        <f>IFERROR(IF(D10="","",F10*MAX(12,'0. Assumptions'!$B$21)),"")</f>
        <v>12870.0</v>
      </c>
      <c r="H10" s="45">
        <f>IFERROR(IF(D10="","",C10*$B$19),"")</f>
        <v>15.0</v>
      </c>
      <c r="I10" s="41">
        <f>IFERROR(IF(D10="","",H10*B10*$B$20),"")</f>
        <v>690.0</v>
      </c>
      <c r="J10" s="29" t="inlineStr">
        <is>
          <t>Friday-to-Sunday help: dish, prep and the pickup counter, plus the patio in season. This plan has NO delivery drivers of its own: if you add them, they are W-2 employees in most states, never independent contractors by default (check yours), and you need hired and non-owned auto insurance</t>
        </is>
      </c>
    </row>
    <row r="11">
      <c r="A11" s="29" t="inlineStr">
        <is>
          <t>Relief cover (vacations + days off)</t>
        </is>
      </c>
      <c r="B11" s="51" t="n">
        <v>1</v>
      </c>
      <c r="C11" s="53" t="n">
        <v>0.1</v>
      </c>
      <c r="D11" s="76" t="n">
        <v>270</v>
      </c>
      <c r="E11" s="62">
        <f>IFERROR(IF(D11="","",D11*'0. Assumptions'!$B$20),"")</f>
        <v>27.0</v>
      </c>
      <c r="F11" s="62">
        <f>IFERROR(IF(D11="","",D11+E11),"")</f>
        <v>297.0</v>
      </c>
      <c r="G11" s="62">
        <f>IFERROR(IF(D11="","",F11*MAX(12,'0. Assumptions'!$B$21)),"")</f>
        <v>3564.0</v>
      </c>
      <c r="H11" s="45">
        <f>IFERROR(IF(D11="","",C11*$B$19),"")</f>
        <v>4.0</v>
      </c>
      <c r="I11" s="41">
        <f>IFERROR(IF(D11="","",H11*B11*$B$20),"")</f>
        <v>184.0</v>
      </c>
      <c r="J11" s="29" t="inlineStr">
        <is>
          <t>Coverage for vacations and the team's days off through the year. Paid sick leave is required by some states and cities: check yours</t>
        </is>
      </c>
    </row>
    <row r="12">
      <c r="A12" s="26" t="inlineStr">
        <is>
          <t>TOTAL STAFF</t>
        </is>
      </c>
      <c r="B12" s="54">
        <f>IFERROR(IF(COUNT(D5:D11)=0,"",SUM(B5:B11)),"")</f>
        <v>8.0</v>
      </c>
      <c r="C12" s="55">
        <f>IFERROR(IF(COUNT(D5:D11)=0,"",SUMPRODUCT(B5:B11,C5:C11)),"")</f>
        <v>5.0249999999999995</v>
      </c>
      <c r="D12" s="55">
        <f>IFERROR(IF(COUNT(D5:D11)=0,"",SUM(D5:D11)),"")</f>
        <v>16231.0</v>
      </c>
      <c r="E12" s="55">
        <f>IFERROR(IF(COUNT(D5:D11)=0,"",SUM(E5:E11)),"")</f>
        <v>1623.1</v>
      </c>
      <c r="F12" s="55">
        <f>IFERROR(IF(COUNT(D5:D11)=0,"",SUM(F5:F11)),"")</f>
        <v>17854.1</v>
      </c>
      <c r="G12" s="55">
        <f>IFERROR(IF(COUNT(D5:D11)=0,"",SUM(G5:G11)),"")</f>
        <v>214249.2</v>
      </c>
      <c r="H12" s="29" t="n"/>
      <c r="I12" s="54">
        <f>IFERROR(IF(COUNT(D5:D11)=0,"",SUM(I5:I11)),"")</f>
        <v>9246.0</v>
      </c>
      <c r="J12" s="29" t="n"/>
    </row>
    <row r="13">
      <c r="A13" s="26" t="inlineStr">
        <is>
          <t>STAFF GROWTH (stepped cost)</t>
        </is>
      </c>
      <c r="B13" s="29" t="n"/>
      <c r="C13" s="29" t="n"/>
      <c r="D13" s="29" t="n"/>
      <c r="E13" s="29" t="n"/>
      <c r="F13" s="29" t="n"/>
      <c r="G13" s="29" t="n"/>
      <c r="H13" s="29" t="n"/>
      <c r="I13" s="29" t="n"/>
      <c r="J13" s="29" t="n"/>
    </row>
    <row r="14">
      <c r="A14" s="29" t="inlineStr">
        <is>
          <t>Annual cost of year-2 hires</t>
        </is>
      </c>
      <c r="B14" s="51" t="n">
        <v>5000</v>
      </c>
      <c r="C14" s="29" t="n"/>
      <c r="D14" s="29" t="n"/>
      <c r="E14" s="29" t="n"/>
      <c r="F14" s="29" t="n"/>
      <c r="G14" s="29" t="n"/>
      <c r="H14" s="29" t="n"/>
      <c r="I14" s="29" t="n"/>
      <c r="J14" s="29" t="inlineStr">
        <is>
          <t>FULL ANNUAL cost (gross pay + employer payroll taxes, over all pay periods) of whoever you hire that year. The P&amp;L adds it to the previous year's cost: staffing grows by people, not by a percentage</t>
        </is>
      </c>
    </row>
    <row r="15">
      <c r="A15" s="29" t="inlineStr">
        <is>
          <t>Annual cost of year-3 hires</t>
        </is>
      </c>
      <c r="B15" s="51" t="n">
        <v>5000</v>
      </c>
      <c r="C15" s="29" t="n"/>
      <c r="D15" s="29" t="n"/>
      <c r="E15" s="29" t="n"/>
      <c r="F15" s="29" t="n"/>
      <c r="G15" s="29" t="n"/>
      <c r="H15" s="29" t="n"/>
      <c r="I15" s="29" t="n"/>
      <c r="J15" s="29" t="inlineStr">
        <is>
          <t>FULL ANNUAL cost (gross pay + employer payroll taxes, over all pay periods) of whoever you hire that year. The P&amp;L adds it to the previous year's cost: staffing grows by people, not by a percentage</t>
        </is>
      </c>
    </row>
    <row r="16">
      <c r="A16" s="29" t="inlineStr">
        <is>
          <t>Labor cost, year 2</t>
        </is>
      </c>
      <c r="B16" s="41">
        <f>IFERROR(IF(G12="","",G12*(1+'0. Assumptions'!$B$48)+B14),"")</f>
        <v>219249.2</v>
      </c>
      <c r="C16" s="29" t="n"/>
      <c r="D16" s="29" t="n"/>
      <c r="E16" s="29" t="n"/>
      <c r="F16" s="29" t="n"/>
      <c r="G16" s="29" t="n"/>
      <c r="H16" s="29" t="n"/>
      <c r="I16" s="29" t="n"/>
      <c r="J16" s="29" t="n"/>
    </row>
    <row r="17">
      <c r="A17" s="29" t="inlineStr">
        <is>
          <t>Labor cost, year 3</t>
        </is>
      </c>
      <c r="B17" s="41">
        <f>IFERROR(IF(B16="","",B16*(1+'0. Assumptions'!$B$48)+B15),"")</f>
        <v>224249.2</v>
      </c>
      <c r="C17" s="29" t="n"/>
      <c r="D17" s="29" t="n"/>
      <c r="E17" s="29" t="n"/>
      <c r="F17" s="29" t="n"/>
      <c r="G17" s="29" t="n"/>
      <c r="H17" s="29" t="n"/>
      <c r="I17" s="29" t="n"/>
      <c r="J17" s="29" t="n"/>
    </row>
    <row r="18">
      <c r="A18" s="26" t="inlineStr">
        <is>
          <t>COVERAGE OF SERVICE HOURS</t>
        </is>
      </c>
      <c r="B18" s="29" t="n"/>
      <c r="C18" s="29" t="n"/>
      <c r="D18" s="29" t="n"/>
      <c r="E18" s="29" t="n"/>
      <c r="F18" s="29" t="n"/>
      <c r="G18" s="29" t="n"/>
      <c r="H18" s="29" t="n"/>
      <c r="I18" s="29" t="n"/>
      <c r="J18" s="29" t="n"/>
    </row>
    <row r="19">
      <c r="A19" s="29" t="inlineStr">
        <is>
          <t>Full-time week (hours per week)</t>
        </is>
      </c>
      <c r="B19" s="51" t="n">
        <v>40</v>
      </c>
      <c r="C19" s="29" t="n"/>
      <c r="D19" s="29" t="n"/>
      <c r="E19" s="29" t="n"/>
      <c r="F19" s="29" t="n"/>
      <c r="G19" s="29" t="n"/>
      <c r="H19" s="29" t="n"/>
      <c r="I19" s="29" t="n"/>
      <c r="J19" s="29" t="inlineStr">
        <is>
          <t>40 hours a week is the FLSA overtime threshold for non-exempt employees; some states add daily overtime rules. Change it if your own full-time week is different</t>
        </is>
      </c>
    </row>
    <row r="20">
      <c r="A20" s="29" t="inlineStr">
        <is>
          <t>Weeks worked per year per person</t>
        </is>
      </c>
      <c r="B20" s="51" t="n">
        <v>46</v>
      </c>
      <c r="C20" s="29" t="n"/>
      <c r="D20" s="29" t="n"/>
      <c r="E20" s="29" t="n"/>
      <c r="F20" s="29" t="n"/>
      <c r="G20" s="29" t="n"/>
      <c r="H20" s="29" t="n"/>
      <c r="I20" s="29" t="n"/>
      <c r="J20" s="29" t="inlineStr">
        <is>
          <t>46 weeks: 52 minus about six weeks for vacation, holidays and average absences. There is no federal vacation requirement in the US: adjust it to your own policy</t>
        </is>
      </c>
    </row>
    <row r="21">
      <c r="A21" s="29" t="inlineStr">
        <is>
          <t>Service hours per day to cover</t>
        </is>
      </c>
      <c r="B21" s="47" t="n">
        <v>10.5</v>
      </c>
      <c r="C21" s="29" t="n"/>
      <c r="D21" s="29" t="n"/>
      <c r="E21" s="29" t="n"/>
      <c r="F21" s="29" t="n"/>
      <c r="G21" s="29" t="n"/>
      <c r="H21" s="29" t="n"/>
      <c r="I21" s="29" t="n"/>
      <c r="J21" s="29" t="inlineStr">
        <is>
          <t>Hours the shop is open to the public, adding the lunch and dinner rushes and the preparation for each. Any slow stretch between the two is not counted</t>
        </is>
      </c>
    </row>
    <row r="22">
      <c r="A22" s="29" t="inlineStr">
        <is>
          <t>People needed at the same time in each shift</t>
        </is>
      </c>
      <c r="B22" s="47" t="n">
        <v>2.5</v>
      </c>
      <c r="C22" s="29" t="n"/>
      <c r="D22" s="29" t="n"/>
      <c r="E22" s="29" t="n"/>
      <c r="F22" s="29" t="n"/>
      <c r="G22" s="29" t="n"/>
      <c r="H22" s="29" t="n"/>
      <c r="I22" s="29" t="n"/>
      <c r="J22" s="29" t="inlineStr">
        <is>
          <t>Average number of people on at once between the trompo, the griddle or comal, the counter and expo. On Saturday night five are needed: the weekend help and the dinner counter staff come in (the annual schedule does not see this: put it on the shift schedule)</t>
        </is>
      </c>
    </row>
    <row r="23">
      <c r="A23" s="29" t="inlineStr">
        <is>
          <t>Production hours per day BEFORE opening</t>
        </is>
      </c>
      <c r="B23" s="47" t="n">
        <v>2.5</v>
      </c>
      <c r="C23" s="29" t="n"/>
      <c r="D23" s="29" t="n"/>
      <c r="E23" s="29" t="n"/>
      <c r="F23" s="29" t="n"/>
      <c r="G23" s="29" t="n"/>
      <c r="H23" s="29" t="n"/>
      <c r="I23" s="29" t="n"/>
      <c r="J23" s="29" t="inlineStr">
        <is>
          <t>Next-day marinade, building the cone, carnitas and guisados, salsas and mise en place before opening</t>
        </is>
      </c>
    </row>
    <row r="24">
      <c r="A24" s="29" t="inlineStr">
        <is>
          <t>People on the production shift</t>
        </is>
      </c>
      <c r="B24" s="47" t="n">
        <v>1.5</v>
      </c>
      <c r="C24" s="29" t="n"/>
      <c r="D24" s="29" t="n"/>
      <c r="E24" s="29" t="n"/>
      <c r="F24" s="29" t="n"/>
      <c r="G24" s="29" t="n"/>
      <c r="H24" s="29" t="n"/>
      <c r="I24" s="29" t="n"/>
      <c r="J24" s="29" t="inlineStr">
        <is>
          <t>The owner with the prep cook. Closing, cleaning and purchasing are outside this schedule: they are the margin between the hours hired and the hours needed</t>
        </is>
      </c>
    </row>
    <row r="25">
      <c r="A25" s="29" t="inlineStr">
        <is>
          <t>Service hours to cover per year</t>
        </is>
      </c>
      <c r="B25" s="41">
        <f>IFERROR(IF(OR(B21="",B22="",'0. Assumptions'!$B$6=""),"",B21*B22*'0. Assumptions'!$B$6+B23*B24*'0. Assumptions'!$B$6),"")</f>
        <v>9240.0</v>
      </c>
      <c r="C25" s="29" t="n"/>
      <c r="D25" s="29" t="n"/>
      <c r="E25" s="29" t="n"/>
      <c r="F25" s="29" t="n"/>
      <c r="G25" s="29" t="n"/>
      <c r="H25" s="29" t="n"/>
      <c r="I25" s="29" t="n"/>
      <c r="J25" s="29" t="n"/>
    </row>
    <row r="26">
      <c r="A26" s="29" t="inlineStr">
        <is>
          <t>Hours hired per year</t>
        </is>
      </c>
      <c r="B26" s="41">
        <f>IFERROR(IF(I12="","",I12),"")</f>
        <v>9246.0</v>
      </c>
      <c r="C26" s="29" t="n"/>
      <c r="D26" s="29" t="n"/>
      <c r="E26" s="29" t="n"/>
      <c r="F26" s="29" t="n"/>
      <c r="G26" s="29" t="n"/>
      <c r="H26" s="29" t="n"/>
      <c r="I26" s="29" t="n"/>
      <c r="J26" s="29" t="n"/>
    </row>
    <row r="27">
      <c r="A27" s="26" t="inlineStr">
        <is>
          <t>Coverage (hired / needed)</t>
        </is>
      </c>
      <c r="B27" s="67">
        <f>IFERROR(B26/B25,"")</f>
        <v>1.0006493506493506</v>
      </c>
      <c r="C27" s="29" t="n"/>
      <c r="D27" s="29" t="n"/>
      <c r="E27" s="29" t="n"/>
      <c r="F27" s="29" t="n"/>
      <c r="G27" s="29" t="n"/>
      <c r="H27" s="29" t="n"/>
      <c r="I27" s="29" t="n"/>
      <c r="J27" s="26" t="inlineStr">
        <is>
          <t>Below 100% the staff cannot cover the hours the plan declares: either hire more or cut the hours</t>
        </is>
      </c>
    </row>
    <row r="28">
      <c r="A28" s="29" t="n"/>
      <c r="B28" s="29" t="n"/>
      <c r="C28" s="29" t="n"/>
      <c r="D28" s="29" t="n"/>
      <c r="E28" s="29" t="n"/>
      <c r="F28" s="29" t="n"/>
      <c r="G28" s="29" t="n"/>
      <c r="H28" s="29" t="n"/>
      <c r="I28" s="29" t="n"/>
      <c r="J28" s="29" t="n"/>
    </row>
    <row r="29" ht="269.25" customHeight="1">
      <c r="A29" s="48" t="inlineStr">
        <is>
          <t>The gross pay, employer payroll taxes, monthly cost and annual cost columns are TOTALS for the row: for a position with two people they include both. "FTE" is the share of a full-time week and is used to compare pay with the legal floor pro rata. The payroll tax rate and the number of pay periods are in the "0. Assumptions" tab. Tips are not modeled: this is counter service, every position is budgeted at a base wage of at least $15/h, and counter tips (tip jar or screen) belong to the staff, never to the owner or managers. Federal rules allow a $2.13/h cash wage with a tip credit of up to $5.12 where the state permits it; CA, OR, WA, AK, MN, MT and NV do not (DOL)</t>
        </is>
      </c>
      <c r="B29" s="29" t="n"/>
      <c r="C29" s="29" t="n"/>
      <c r="D29" s="29" t="n"/>
      <c r="E29" s="29" t="n"/>
      <c r="F29" s="29" t="n"/>
      <c r="G29" s="29" t="n"/>
      <c r="H29" s="29" t="n"/>
      <c r="I29" s="29" t="n"/>
      <c r="J29" s="29" t="n"/>
    </row>
    <row r="30" ht="150" customHeight="1">
      <c r="A30" s="48"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c r="B30" s="29" t="n"/>
      <c r="C30" s="29" t="n"/>
      <c r="D30" s="29" t="n"/>
      <c r="E30" s="29" t="n"/>
      <c r="F30" s="29" t="n"/>
      <c r="G30" s="29" t="n"/>
      <c r="H30" s="29" t="n"/>
      <c r="I30" s="29" t="n"/>
      <c r="J30"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Assumptions'!$B$21&lt;MAX('0. Assumptions'!$B$22,'0. Assumptions'!$B$68)*C5)</formula>
    </cfRule>
  </conditionalFormatting>
  <dataValidations count="3">
    <dataValidation sqref="B5 B6 B7 B8 B9 B10 B11 B14 B15 B19 B20 B21 B23 D5 D6 D7 D8 D9 D10 D11" showDropDown="0" showInputMessage="0" showErrorMessage="1" allowBlank="1" errorTitle="Invalid amount" error="Enter a number greater than or equal to 0." type="decimal" operator="greaterThanOrEqual">
      <formula1>0</formula1>
    </dataValidation>
    <dataValidation sqref="B22 B24"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C9 C10 C11"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HOW TO USE THIS WORKBOOK — Taco Shop Financial Projections</t>
        </is>
      </c>
      <c r="B1" s="29" t="n"/>
      <c r="C1" s="29" t="n"/>
      <c r="D1" s="29" t="n"/>
      <c r="E1" s="29" t="n"/>
    </row>
    <row r="2">
      <c r="A2" s="29" t="n"/>
      <c r="B2" s="29" t="n"/>
      <c r="C2" s="29" t="n"/>
      <c r="D2" s="29" t="n"/>
      <c r="E2" s="29" t="n"/>
    </row>
    <row r="3">
      <c r="A3" s="40" t="inlineStr">
        <is>
          <t>HOW TO USE THIS WORKBOOK</t>
        </is>
      </c>
      <c r="B3" s="29" t="n"/>
      <c r="C3" s="29" t="n"/>
      <c r="D3" s="29" t="n"/>
      <c r="E3" s="29" t="n"/>
    </row>
    <row r="4" ht="30" customHeight="1">
      <c r="A4" s="48" t="inlineStr">
        <is>
          <t>This financial plan is a MODEL: you type only in the GREEN cells and everything else recalculates on its own.</t>
        </is>
      </c>
      <c r="B4" s="29" t="n"/>
      <c r="C4" s="29" t="n"/>
      <c r="D4" s="29" t="n"/>
      <c r="E4" s="29" t="n"/>
    </row>
    <row r="5" ht="45" customHeight="1">
      <c r="A5" s="48" t="inlineStr">
        <is>
          <t>1. "0. Assumptions" is the control sheet: covers per day, average check excl. sales tax, operating days, food and beverage mix, cost of goods sold, rent, financing and taxes.</t>
        </is>
      </c>
      <c r="B5" s="29" t="n"/>
      <c r="C5" s="29" t="n"/>
      <c r="D5" s="29" t="n"/>
      <c r="E5" s="29" t="n"/>
    </row>
    <row r="6" ht="45" customHeight="1">
      <c r="A6" s="48" t="inlineStr">
        <is>
          <t>2. Startup cost items, fixed costs and staffing are typed in their own tab, also in green. No number is typed twice.</t>
        </is>
      </c>
      <c r="B6" s="29" t="n"/>
      <c r="C6" s="29" t="n"/>
      <c r="D6" s="29" t="n"/>
      <c r="E6" s="29" t="n"/>
    </row>
    <row r="7" ht="105" customHeight="1">
      <c r="A7" s="48" t="inlineStr">
        <is>
          <t>3. On "Break-Even" you only type the seat-turn ceiling your space allows; everything else derives from the rest. The other three tabs also have green cells you can change: the pessimistic and optimistic scenarios on "Scenarios", the seasonality and the launch ramp-up on "12-Month Cash Flow", and the other financing sources on "Financing" (rows 8-11 count as sources but are not amortized: Your bank or SBA 7(a) loan goes in "Loan requested" on "0. Assumptions"). Everything else is calculated.</t>
        </is>
      </c>
      <c r="B7" s="29" t="n"/>
      <c r="C7" s="29" t="n"/>
      <c r="D7" s="29" t="n"/>
      <c r="E7" s="29" t="n"/>
    </row>
    <row r="8" ht="225" customHeight="1">
      <c r="A8" s="48" t="inlineStr">
        <is>
          <t>4. All figures are EXCL. SALES TAX. To turn a menu price into a price excl. sales tax, divide it by 1 plus your sales tax rate (a rate of 8% means dividing by 1.08). The example uses ONE rate for everything: dine-in, take-out, delivery and beverages; some states tax food to go or alcohol differently, so check yours. The P&amp;L is excl. sales tax; the "12-Month Cash Flow" tab shows what you actually collect, sales tax included, and the sales tax you remit as a quarterly filer.</t>
        </is>
      </c>
      <c r="B8" s="29" t="n"/>
      <c r="C8" s="29" t="n"/>
      <c r="D8" s="29" t="n"/>
      <c r="E8" s="29" t="n"/>
    </row>
    <row r="9" ht="30" customHeight="1">
      <c r="A9" s="48" t="inlineStr">
        <is>
          <t>5. If you change the staffing, the P&amp;L reads it on its own: labor cost comes from the "Staffing" tab, not from a separate estimate.</t>
        </is>
      </c>
      <c r="B9" s="29" t="n"/>
      <c r="C9" s="29" t="n"/>
      <c r="D9" s="29" t="n"/>
      <c r="E9" s="29" t="n"/>
    </row>
    <row r="10" ht="90" customHeight="1">
      <c r="A10" s="48" t="inlineStr">
        <is>
          <t>6. The "12-Month Cash Flow" tab answers the question that decides a bank deal: in which month the cash runs out. Its Month 1 is JANUARY, in calendar order: the ramp-up falls on January and February, the slowest months, and that is why working capital counts. If you open in another month, rotate the seasonality row. The minimum balance of the year can never show in red.</t>
        </is>
      </c>
      <c r="B10" s="29" t="n"/>
      <c r="C10" s="29" t="n"/>
      <c r="D10" s="29" t="n"/>
      <c r="E10" s="29" t="n"/>
    </row>
    <row r="11" ht="45" customHeight="1">
      <c r="A11" s="48" t="inlineStr">
        <is>
          <t>7. The "Financing" tab matches what you need with what you put in and builds the amortization schedule of the loan. If the difference is red, the plan is not funded.</t>
        </is>
      </c>
      <c r="B11" s="29" t="n"/>
      <c r="C11" s="29" t="n"/>
      <c r="D11" s="29" t="n"/>
      <c r="E11" s="29" t="n"/>
    </row>
    <row r="12" ht="150" customHeight="1">
      <c r="A12" s="48" t="inlineStr">
        <is>
          <t>8. The Word business plan in this pack quotes the figures in this Excel: if you change a green cell, the Excel rules. The Taco Cost &amp; Trompo Yield Calculator is separate and is used to measure the yield of the cone and COST each taco: do not copy the food cost of one taco into the "0. Assumptions" tab. The "Cost of goods sold on FOOD sales" cell is the weighted average of the WHOLE menu (tacos, gringas, guisados, chips and guacamole and birria, each by what it sells) plus waste, and that is why it comes out higher than the food cost of the al pastor taco. With the costing of your own menu, check that this average holds.</t>
        </is>
      </c>
      <c r="B12" s="29" t="n"/>
      <c r="C12" s="29" t="n"/>
      <c r="D12" s="29" t="n"/>
      <c r="E12" s="29" t="n"/>
    </row>
    <row r="13">
      <c r="A13" s="29" t="n"/>
      <c r="B13" s="29" t="n"/>
      <c r="C13" s="29" t="n"/>
      <c r="D13" s="29" t="n"/>
      <c r="E13" s="29" t="n"/>
    </row>
    <row r="14">
      <c r="A14" s="26" t="inlineStr">
        <is>
          <t>RATIOS AUDITED BY THIS WORKBOOK</t>
        </is>
      </c>
      <c r="B14" s="29" t="n"/>
      <c r="C14" s="29" t="n"/>
      <c r="D14" s="29" t="n"/>
      <c r="E14" s="29" t="n"/>
    </row>
    <row r="15" ht="30" customHeight="1">
      <c r="A15" s="48" t="inlineStr">
        <is>
          <t>Thresholds live in the "Threshold" column of the KEY RATIOS block of the P&amp;L: change them there and the traffic light changes with them.</t>
        </is>
      </c>
      <c r="B15" s="29" t="n"/>
      <c r="C15" s="29" t="n"/>
      <c r="D15" s="29" t="n"/>
      <c r="E15" s="29" t="n"/>
    </row>
    <row r="16">
      <c r="A16" s="29" t="n"/>
      <c r="B16" s="29" t="n"/>
      <c r="C16" s="29" t="n"/>
      <c r="D16" s="29" t="n"/>
      <c r="E16" s="29" t="n"/>
    </row>
    <row r="17">
      <c r="A17" s="26" t="inlineStr">
        <is>
          <t>Ratio</t>
        </is>
      </c>
      <c r="B17" s="26" t="inlineStr">
        <is>
          <t>Year 1 value</t>
        </is>
      </c>
      <c r="C17" s="26" t="inlineStr">
        <is>
          <t>Threshold</t>
        </is>
      </c>
      <c r="D17" s="26" t="inlineStr">
        <is>
          <t>Status</t>
        </is>
      </c>
      <c r="E17" s="29" t="n"/>
    </row>
    <row r="18">
      <c r="A18" s="29" t="inlineStr">
        <is>
          <t>Cost of goods sold / Sales</t>
        </is>
      </c>
      <c r="B18" s="68">
        <f>IFERROR(IF('3-Year P&amp;L'!$B$52="","",'3-Year P&amp;L'!$B$52),"")</f>
        <v>0.2625</v>
      </c>
      <c r="C18" s="68">
        <f>IFERROR(IF('3-Year P&amp;L'!$E$52="","",'3-Year P&amp;L'!$E$52),"")</f>
        <v>0.3</v>
      </c>
      <c r="D18" s="29" t="str">
        <f>IFERROR(IF(OR(B18="",C18=""),"",IF(B18&lt;=C18,"OK","REVIEW")),"")</f>
        <v>OK</v>
      </c>
      <c r="E18" s="29" t="n"/>
    </row>
    <row r="19">
      <c r="A19" s="29" t="inlineStr">
        <is>
          <t>Labor cost / Sales</t>
        </is>
      </c>
      <c r="B19" s="68">
        <f>IFERROR(IF('3-Year P&amp;L'!$B$53="","",'3-Year P&amp;L'!$B$53),"")</f>
        <v>0.3456468500443656</v>
      </c>
      <c r="C19" s="68">
        <f>IFERROR(IF('3-Year P&amp;L'!$E$53="","",'3-Year P&amp;L'!$E$53),"")</f>
        <v>0.36</v>
      </c>
      <c r="D19" s="29" t="str">
        <f>IFERROR(IF(OR(B19="",C19=""),"",IF(B19&lt;=C19,"OK","REVIEW")),"")</f>
        <v>OK</v>
      </c>
      <c r="E19" s="29" t="n"/>
    </row>
    <row r="20">
      <c r="A20" s="29" t="inlineStr">
        <is>
          <t>Rent / Sales</t>
        </is>
      </c>
      <c r="B20" s="68">
        <f>IFERROR(IF('3-Year P&amp;L'!$B$54="","",'3-Year P&amp;L'!$B$54),"")</f>
        <v>0.05420666290231508</v>
      </c>
      <c r="C20" s="68">
        <f>IFERROR(IF('3-Year P&amp;L'!$E$54="","",'3-Year P&amp;L'!$E$54),"")</f>
        <v>0.1</v>
      </c>
      <c r="D20" s="29" t="str">
        <f>IFERROR(IF(OR(B20="",C20=""),"",IF(B20&lt;=C20,"OK","REVIEW")),"")</f>
        <v>OK</v>
      </c>
      <c r="E20" s="29" t="n"/>
    </row>
    <row r="21">
      <c r="A21" s="29" t="inlineStr">
        <is>
          <t>Net income / Sales</t>
        </is>
      </c>
      <c r="B21" s="68">
        <f>IFERROR(IF('3-Year P&amp;L'!$B$55="","",'3-Year P&amp;L'!$B$55),"")</f>
        <v>0.06293307136519205</v>
      </c>
      <c r="C21" s="68">
        <f>IFERROR(IF('3-Year P&amp;L'!$E$55="","",'3-Year P&amp;L'!$E$55),"")</f>
        <v>0.05</v>
      </c>
      <c r="D21" s="29" t="str">
        <f>IFERROR(IF(OR(B21="",C21=""),"",IF(B21&gt;=C21,"OK","REVIEW")),"")</f>
        <v>OK</v>
      </c>
      <c r="E21" s="29" t="n"/>
    </row>
    <row r="22">
      <c r="A22" s="29" t="inlineStr">
        <is>
          <t>Gross margin / Sales</t>
        </is>
      </c>
      <c r="B22" s="68">
        <f>IFERROR(IF('3-Year P&amp;L'!$B$50="","",'3-Year P&amp;L'!$B$50),"")</f>
        <v>0.62</v>
      </c>
      <c r="C22" s="68">
        <f>IFERROR(IF('3-Year P&amp;L'!$E$50="","",'3-Year P&amp;L'!$E$50),"")</f>
        <v>0.6</v>
      </c>
      <c r="D22" s="29" t="str">
        <f>IFERROR(IF(OR(B22="",C22=""),"",IF(B22&gt;=C22,"OK","REVIEW")),"")</f>
        <v>OK</v>
      </c>
      <c r="E22" s="29" t="n"/>
    </row>
    <row r="23">
      <c r="A23" s="29" t="n"/>
      <c r="B23" s="29" t="n"/>
      <c r="C23" s="29" t="n"/>
      <c r="D23" s="29" t="n"/>
      <c r="E23" s="29" t="n"/>
    </row>
    <row r="24">
      <c r="A24" s="26" t="inlineStr">
        <is>
          <t>THIS PLAN'S KEY FIGURES</t>
        </is>
      </c>
      <c r="B24" s="29" t="n"/>
      <c r="C24" s="29" t="n"/>
      <c r="D24" s="29" t="n"/>
      <c r="E24" s="29" t="n"/>
    </row>
    <row r="25">
      <c r="A25" s="29" t="inlineStr">
        <is>
          <t>Total startup costs (sum of the blocks)</t>
        </is>
      </c>
      <c r="B25" s="41">
        <f>IFERROR(IF('Startup Costs'!$B$30="","",'Startup Costs'!$B$30),"")</f>
        <v>275612.3</v>
      </c>
      <c r="C25" s="29" t="n"/>
      <c r="D25" s="29" t="n"/>
      <c r="E25" s="29" t="n"/>
    </row>
    <row r="26">
      <c r="A26" s="29" t="inlineStr">
        <is>
          <t>Total cash needed at launch</t>
        </is>
      </c>
      <c r="B26" s="41">
        <f>IFERROR(IF('Startup Costs'!$B$33="","",'Startup Costs'!$B$33),"")</f>
        <v>275612.3</v>
      </c>
      <c r="C26" s="29" t="n"/>
      <c r="D26" s="29" t="n"/>
      <c r="E26" s="29" t="n"/>
    </row>
    <row r="27">
      <c r="A27" s="29" t="inlineStr">
        <is>
          <t>Working capital funded</t>
        </is>
      </c>
      <c r="B27" s="41">
        <f>IFERROR(IF('Startup Costs'!$B$29="","",'Startup Costs'!$B$29),"")</f>
        <v>78012.3</v>
      </c>
      <c r="C27" s="29" t="n"/>
      <c r="D27" s="29" t="n"/>
      <c r="E27" s="29" t="n"/>
    </row>
    <row r="28">
      <c r="A28" s="29" t="inlineStr">
        <is>
          <t>Forecast year-1 revenue</t>
        </is>
      </c>
      <c r="B28" s="41">
        <f>IFERROR(IF('3-Year P&amp;L'!$B$9="","",'3-Year P&amp;L'!$B$9),"")</f>
        <v>619850.0</v>
      </c>
      <c r="C28" s="29" t="n"/>
      <c r="D28" s="29" t="n"/>
      <c r="E28" s="29" t="n"/>
    </row>
    <row r="29">
      <c r="A29" s="29" t="inlineStr">
        <is>
          <t>Year-1 net income</t>
        </is>
      </c>
      <c r="B29" s="41">
        <f>IFERROR(IF('3-Year P&amp;L'!$B$47="","",'3-Year P&amp;L'!$B$47),"")</f>
        <v>39009.064285714296</v>
      </c>
      <c r="C29" s="29" t="n"/>
      <c r="D29" s="29" t="n"/>
      <c r="E29" s="29" t="n"/>
    </row>
    <row r="30">
      <c r="A30" s="29" t="inlineStr">
        <is>
          <t>Covers per day for the ACCOUNTING break-even (depreciation included)</t>
        </is>
      </c>
      <c r="B30" s="45">
        <f>IFERROR(IF('Break-Even'!$B$15="","",'Break-Even'!$B$15),"")</f>
        <v>99.4359070817267</v>
      </c>
      <c r="C30" s="29" t="n"/>
      <c r="D30" s="29" t="n"/>
      <c r="E30" s="29" t="n"/>
    </row>
    <row r="31">
      <c r="A31" s="29" t="inlineStr">
        <is>
          <t>Project payback (years), before debt</t>
        </is>
      </c>
      <c r="B31" s="29" t="str">
        <f>IFERROR(IF('12-Month Cash Flow'!$B$31="","",'12-Month Cash Flow'!$B$31),"")</f>
        <v>Over 3 years</v>
      </c>
      <c r="C31" s="29" t="n"/>
      <c r="D31" s="29" t="n"/>
      <c r="E31" s="29" t="n"/>
    </row>
    <row r="32">
      <c r="A32" s="29" t="n"/>
      <c r="B32" s="29" t="n"/>
      <c r="C32" s="29" t="n"/>
      <c r="D32" s="29" t="n"/>
      <c r="E32" s="29" t="n"/>
    </row>
    <row r="33">
      <c r="A33" s="26" t="inlineStr">
        <is>
          <t>US TAQUERIA BENCHMARKS (sourced) AND KIT ESTIMATES</t>
        </is>
      </c>
      <c r="B33" s="29" t="n"/>
      <c r="C33" s="29" t="n"/>
      <c r="D33" s="29" t="n"/>
      <c r="E33" s="29" t="n"/>
    </row>
    <row r="34">
      <c r="A34" s="26" t="inlineStr">
        <is>
          <t>Benchmark</t>
        </is>
      </c>
      <c r="B34" s="26" t="inlineStr">
        <is>
          <t>Value</t>
        </is>
      </c>
      <c r="C34" s="26" t="inlineStr">
        <is>
          <t>Source</t>
        </is>
      </c>
      <c r="D34" s="26" t="inlineStr">
        <is>
          <t>Note</t>
        </is>
      </c>
      <c r="E34" s="29" t="n"/>
    </row>
    <row r="35" ht="45" customHeight="1">
      <c r="A35" s="29" t="inlineStr">
        <is>
          <t>Month 1 of the plan</t>
        </is>
      </c>
      <c r="B35" s="29" t="inlineStr">
        <is>
          <t>January</t>
        </is>
      </c>
      <c r="C35" s="29" t="inlineStr">
        <is>
          <t>Plan decision</t>
        </is>
      </c>
      <c r="D35" s="48" t="inlineStr">
        <is>
          <t>In calendar order: the ramp-up falls on the slowest months and working capital covers it. If you open in another month, rotate the seasonality row of the "12-Month Cash Flow" tab</t>
        </is>
      </c>
      <c r="E35" s="29" t="n"/>
    </row>
    <row r="36" ht="45" customHeight="1">
      <c r="A36" s="29" t="inlineStr">
        <is>
          <t>Street taco on the menu</t>
        </is>
      </c>
      <c r="B36" s="29" t="inlineStr">
        <is>
          <t>$3.00-3.75 in mid-size cities; about $5 in big cities</t>
        </is>
      </c>
      <c r="C36" s="29" t="inlineStr">
        <is>
          <t>Kit estimate (menu scan, Oct 2026)</t>
        </is>
      </c>
      <c r="D36" s="48" t="inlineStr">
        <is>
          <t>This plan prices it at $4.00 (a plate of 3 tacos with rice &amp; beans comes to about $14)</t>
        </is>
      </c>
      <c r="E36" s="29" t="n"/>
    </row>
    <row r="37" ht="60" customHeight="1">
      <c r="A37" s="29" t="inlineStr">
        <is>
          <t>Al pastor taco food cost</t>
        </is>
      </c>
      <c r="B37" s="29" t="inlineStr">
        <is>
          <t>About 25% of its price excl. sales tax</t>
        </is>
      </c>
      <c r="C37" s="29" t="inlineStr">
        <is>
          <t>Kit estimate (Taco Cost &amp; Trompo Yield Calculator)</t>
        </is>
      </c>
      <c r="D37" s="48" t="inlineStr">
        <is>
          <t>2 corn tortillas (6 in), 1.5 oz (43 g) of meat served, garnish and salsa, with 5% waste. Meat and tortilla prices are Kit estimates: enter your distributor's</t>
        </is>
      </c>
      <c r="E37" s="29" t="n"/>
    </row>
    <row r="38" ht="45" customHeight="1">
      <c r="A38" s="29" t="inlineStr">
        <is>
          <t>Trompo yield</t>
        </is>
      </c>
      <c r="B38" s="29" t="inlineStr">
        <is>
          <t>About 7 tacos per raw lb (a 30 lb (13.6 kg) cone is about 207 tacos)</t>
        </is>
      </c>
      <c r="C38" s="29" t="inlineStr">
        <is>
          <t>Kit estimate (65% yield, 1.5 oz served)</t>
        </is>
      </c>
      <c r="D38" s="48" t="inlineStr">
        <is>
          <t>Measure your own with the Taco Cost &amp; Trompo Yield Calculator (raw cone, leftover, served)</t>
        </is>
      </c>
      <c r="E38" s="29" t="n"/>
    </row>
    <row r="39" ht="30" customHeight="1">
      <c r="A39" s="29" t="inlineStr">
        <is>
          <t>Vertical broiler (trompo)</t>
        </is>
      </c>
      <c r="B39" s="29" t="inlineStr">
        <is>
          <t>$999-$2,844 each</t>
        </is>
      </c>
      <c r="C39" s="29" t="inlineStr">
        <is>
          <t>webstaurantstore.com (Avantco VB203, Visvardis DG8A), read Oct 2026</t>
        </is>
      </c>
      <c r="D39" s="48" t="inlineStr">
        <is>
          <t>The example counts two gas trompos; a charcoal trompo is a solid-fuel variant (NFPA 96)</t>
        </is>
      </c>
      <c r="E39" s="29" t="n"/>
    </row>
    <row r="40" ht="30" customHeight="1">
      <c r="A40" s="29" t="inlineStr">
        <is>
          <t>Delivery marketplace commission</t>
        </is>
      </c>
      <c r="B40" s="29" t="inlineStr">
        <is>
          <t>DoorDash 15 / 25 / 30% + 6% pickup; Uber Eats 15-30%</t>
        </is>
      </c>
      <c r="C40" s="29" t="inlineStr">
        <is>
          <t>merchants.ubereats.com; DoorDash tiers (Oct 2026)</t>
        </is>
      </c>
      <c r="D40" s="48" t="inlineStr">
        <is>
          <t>This plan: 25% on the 15% of sales that go through marketplaces. Direct pickup pays no commission; check your contract</t>
        </is>
      </c>
      <c r="E40" s="29" t="n"/>
    </row>
    <row r="41" ht="45" customHeight="1">
      <c r="A41" s="29" t="inlineStr">
        <is>
          <t>Sales tax</t>
        </is>
      </c>
      <c r="B41" s="29" t="inlineStr">
        <is>
          <t>8% (example: state + local)</t>
        </is>
      </c>
      <c r="C41" s="29" t="inlineStr">
        <is>
          <t>Kit example: look up your state and city rate</t>
        </is>
      </c>
      <c r="D41" s="48" t="inlineStr">
        <is>
          <t>One rate in the workbook; some states tax food to go differently</t>
        </is>
      </c>
      <c r="E41" s="29" t="n"/>
    </row>
    <row r="42" ht="90" customHeight="1">
      <c r="A42" s="29" t="inlineStr">
        <is>
          <t>Hot and cold holding</t>
        </is>
      </c>
      <c r="B42" s="29" t="inlineStr">
        <is>
          <t>≥ 135 °F (57 °C) hot, ≤ 41 °F (5 °C) cold; reheat to 165 °F (74 °C) within 2 h; TPHC up to 4 h with a written procedure</t>
        </is>
      </c>
      <c r="C42" s="29" t="inlineStr">
        <is>
          <t>FDA Food Code 2022 (3-501.16, 3-403.11, 3-501.19)</t>
        </is>
      </c>
      <c r="D42" s="48" t="inlineStr">
        <is>
          <t>Each state adopts its own edition. A salsa bar run on TPHC needs the written procedure. Cut tomatoes (pico de gallo, fresh salsas) are TCS; for guacamole, treat it as TCS and ask your regulator</t>
        </is>
      </c>
      <c r="E42" s="29" t="n"/>
    </row>
    <row r="43" ht="30" customHeight="1">
      <c r="A43" s="29" t="inlineStr">
        <is>
          <t>Minimum wage</t>
        </is>
      </c>
      <c r="B43" s="29" t="inlineStr">
        <is>
          <t>Federal $7.25/h + your state</t>
        </is>
      </c>
      <c r="C43" s="29" t="inlineStr">
        <is>
          <t>U.S. Department of Labor (dol.gov)</t>
        </is>
      </c>
      <c r="D43" s="48" t="inlineStr">
        <is>
          <t>This plan budgets at least $15/h; enter your state's floor on "0. Assumptions"</t>
        </is>
      </c>
      <c r="E43" s="29" t="n"/>
    </row>
    <row r="44" ht="30" customHeight="1">
      <c r="A44" s="29" t="inlineStr">
        <is>
          <t>Labor cost / sales</t>
        </is>
      </c>
      <c r="B44" s="29" t="inlineStr">
        <is>
          <t>25-35%</t>
        </is>
      </c>
      <c r="C44" s="29" t="inlineStr">
        <is>
          <t>UpMenu (upmenu.com)</t>
        </is>
      </c>
      <c r="D44" s="48" t="inlineStr">
        <is>
          <t>Counter service lands at the low end; two taqueros (the owner and a second one) are insurance, not a luxury</t>
        </is>
      </c>
      <c r="E44" s="29" t="n"/>
    </row>
    <row r="45" ht="30" customHeight="1">
      <c r="A45" s="29" t="inlineStr">
        <is>
          <t>Rent / sales</t>
        </is>
      </c>
      <c r="B45" s="29" t="inlineStr">
        <is>
          <t>≤ 10%</t>
        </is>
      </c>
      <c r="C45" s="29" t="inlineStr">
        <is>
          <t>Kit estimate</t>
        </is>
      </c>
      <c r="D45" s="48" t="inlineStr">
        <is>
          <t>The threshold of the P&amp;L traffic light; a space with a Type I hood already installed saves build-out</t>
        </is>
      </c>
      <c r="E45" s="29" t="n"/>
    </row>
    <row r="46" ht="45" customHeight="1">
      <c r="A46" s="29" t="inlineStr">
        <is>
          <t>Al pastor cook temperature</t>
        </is>
      </c>
      <c r="B46" s="29" t="inlineStr">
        <is>
          <t>Set by your county: 145 °F (63 °C) in some, 155 °F (68 °C) in others (165 °F (74 °C) for chicken)</t>
        </is>
      </c>
      <c r="C46" s="29" t="inlineStr">
        <is>
          <t>County vertical broiler guidance (summaries)</t>
        </is>
      </c>
      <c r="D46" s="48" t="inlineStr">
        <is>
          <t>Ask your health department in writing for the cook temperature, the maximum time on the broiler and what to do with the leftover cone; never rely on a single figure</t>
        </is>
      </c>
      <c r="E46" s="29" t="n"/>
    </row>
    <row r="47">
      <c r="A47" s="29" t="n"/>
      <c r="B47" s="29" t="n"/>
      <c r="C47" s="29" t="n"/>
      <c r="D47" s="29" t="n"/>
      <c r="E47" s="29" t="n"/>
    </row>
    <row r="48">
      <c r="A48" s="75" t="inlineStr">
        <is>
          <t>To edit a cell that is not green: Review → Unprotect Sheet (there is no password).</t>
        </is>
      </c>
      <c r="B48" s="29" t="n"/>
      <c r="C48" s="29" t="n"/>
      <c r="D48" s="29" t="n"/>
      <c r="E48" s="29" t="n"/>
    </row>
    <row r="49">
      <c r="A49" s="75" t="inlineStr">
        <is>
          <t>More templates and kits in the catalog at aichef.pro/en/digital-products</t>
        </is>
      </c>
      <c r="B49" s="29" t="n"/>
      <c r="C49" s="29" t="n"/>
      <c r="D49" s="29" t="n"/>
      <c r="E49" s="29" t="n"/>
    </row>
    <row r="50">
      <c r="A50" s="75" t="inlineStr">
        <is>
          <t>Designed by John Guerrero — chef and restaurant consultant since 2010, in the kitchen since age 17 · johnguerrero.es</t>
        </is>
      </c>
      <c r="B50" s="29" t="n"/>
      <c r="C50" s="29" t="n"/>
      <c r="D50" s="29" t="n"/>
      <c r="E50" s="29" t="n"/>
    </row>
    <row r="51">
      <c r="A51" s="75" t="inlineStr">
        <is>
          <t>Version 2.2 · October 2026 · aichef.pro/en/digital-products/taco-shop-business-plan · info@aichef.pro</t>
        </is>
      </c>
      <c r="B51" s="29" t="n"/>
      <c r="C51" s="29" t="n"/>
      <c r="D51" s="29" t="n"/>
      <c r="E51" s="29" t="n"/>
    </row>
    <row r="52" ht="45" customHeight="1">
      <c r="A52" s="77" t="inlineStr">
        <is>
          <t>Planning tool, not financial, tax or legal advice. Requirements vary by state, county and city — check with your accountant and local authorities.</t>
        </is>
      </c>
      <c r="B52" s="29" t="n"/>
      <c r="C52" s="29" t="n"/>
      <c r="D52" s="29" t="n"/>
      <c r="E52" s="29" t="n"/>
    </row>
    <row r="53">
      <c r="A53" s="29" t="n"/>
      <c r="B53" s="29" t="n"/>
      <c r="C53" s="29" t="n"/>
      <c r="D53" s="29" t="n"/>
      <c r="E53" s="29" t="n"/>
    </row>
    <row r="54">
      <c r="A54" s="29" t="n"/>
      <c r="B54" s="29" t="n"/>
      <c r="C54" s="29" t="n"/>
      <c r="D54" s="29" t="n"/>
      <c r="E54" s="29" t="n"/>
    </row>
    <row r="55">
      <c r="A55" s="29" t="n"/>
      <c r="B55" s="29" t="n"/>
      <c r="C55" s="29" t="n"/>
      <c r="D55" s="29" t="n"/>
      <c r="E55" s="29" t="n"/>
    </row>
    <row r="56">
      <c r="A56" s="29" t="n"/>
      <c r="B56" s="29" t="n"/>
      <c r="C56" s="29" t="n"/>
      <c r="D56" s="29" t="n"/>
      <c r="E56" s="29" t="n"/>
    </row>
    <row r="57">
      <c r="A57" s="29" t="n"/>
      <c r="B57" s="29" t="n"/>
      <c r="C57" s="29" t="n"/>
      <c r="D57" s="29" t="n"/>
      <c r="E57" s="29" t="n"/>
    </row>
    <row r="58">
      <c r="A58" s="29" t="n"/>
      <c r="B58" s="29" t="n"/>
      <c r="C58" s="29" t="n"/>
      <c r="D58" s="29" t="n"/>
      <c r="E58" s="29" t="n"/>
    </row>
    <row r="59">
      <c r="A59" s="29" t="n"/>
      <c r="B59" s="29" t="n"/>
      <c r="C59" s="29" t="n"/>
      <c r="D59" s="29" t="n"/>
      <c r="E59" s="29" t="n"/>
    </row>
    <row r="60">
      <c r="A60" s="29" t="n"/>
      <c r="B60" s="29" t="n"/>
      <c r="C60" s="29" t="n"/>
      <c r="D60" s="29" t="n"/>
      <c r="E60" s="29" t="n"/>
    </row>
    <row r="61">
      <c r="A61" s="29" t="n"/>
      <c r="B61" s="29" t="n"/>
      <c r="C61" s="29" t="n"/>
      <c r="D61" s="29" t="n"/>
      <c r="E61" s="29" t="n"/>
    </row>
    <row r="62">
      <c r="A62" s="29" t="n"/>
      <c r="B62" s="29" t="n"/>
      <c r="C62" s="29" t="n"/>
      <c r="D62" s="29" t="n"/>
      <c r="E62" s="29" t="n"/>
    </row>
    <row r="63">
      <c r="A63" s="29" t="n"/>
      <c r="B63" s="29" t="n"/>
      <c r="C63" s="29" t="n"/>
      <c r="D63" s="29" t="n"/>
      <c r="E63" s="29" t="n"/>
    </row>
    <row r="64">
      <c r="A64" s="29" t="n"/>
      <c r="B64" s="29" t="n"/>
      <c r="C64" s="29" t="n"/>
      <c r="D64" s="29" t="n"/>
      <c r="E64" s="29" t="n"/>
    </row>
    <row r="65">
      <c r="A65" s="29" t="n"/>
      <c r="B65" s="29" t="n"/>
      <c r="C65" s="29" t="n"/>
      <c r="D65" s="29" t="n"/>
      <c r="E65" s="29" t="n"/>
    </row>
    <row r="66">
      <c r="A66" s="29" t="n"/>
      <c r="B66" s="29" t="n"/>
      <c r="C66" s="29" t="n"/>
      <c r="D66" s="29" t="n"/>
      <c r="E66" s="29" t="n"/>
    </row>
    <row r="67">
      <c r="A67" s="29" t="n"/>
      <c r="B67" s="29" t="n"/>
      <c r="C67" s="29" t="n"/>
      <c r="D67" s="29" t="n"/>
      <c r="E67" s="29" t="n"/>
    </row>
    <row r="68">
      <c r="A68" s="29" t="n"/>
      <c r="B68" s="29" t="n"/>
      <c r="C68" s="29" t="n"/>
      <c r="D68" s="29" t="n"/>
      <c r="E68" s="29" t="n"/>
    </row>
    <row r="69">
      <c r="A69" s="29" t="n"/>
      <c r="B69" s="29" t="n"/>
      <c r="C69" s="29" t="n"/>
      <c r="D69" s="29" t="n"/>
      <c r="E69" s="29" t="n"/>
    </row>
    <row r="70">
      <c r="A70" s="29" t="n"/>
      <c r="B70" s="29" t="n"/>
      <c r="C70" s="29" t="n"/>
      <c r="D70" s="29" t="n"/>
      <c r="E70" s="29" t="n"/>
    </row>
    <row r="71">
      <c r="A71" s="29" t="n"/>
      <c r="B71" s="29" t="n"/>
      <c r="C71" s="29" t="n"/>
      <c r="D71" s="29" t="n"/>
      <c r="E71" s="29" t="n"/>
    </row>
    <row r="72">
      <c r="A72" s="29" t="n"/>
      <c r="B72" s="29" t="n"/>
      <c r="C72" s="29" t="n"/>
      <c r="D72" s="29" t="n"/>
      <c r="E72" s="29" t="n"/>
    </row>
    <row r="73">
      <c r="A73" s="29" t="n"/>
      <c r="B73" s="29" t="n"/>
      <c r="C73" s="29" t="n"/>
      <c r="D73" s="29" t="n"/>
      <c r="E73" s="29" t="n"/>
    </row>
    <row r="74">
      <c r="A74" s="29" t="n"/>
      <c r="B74" s="29" t="n"/>
      <c r="C74" s="29" t="n"/>
      <c r="D74" s="29" t="n"/>
      <c r="E74" s="29"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CASH FLOW FORECAST — YEAR 1</t>
        </is>
      </c>
      <c r="B1" s="29" t="n"/>
      <c r="C1" s="29" t="n"/>
      <c r="D1" s="29" t="n"/>
      <c r="E1" s="29" t="n"/>
      <c r="F1" s="29" t="n"/>
      <c r="G1" s="29" t="n"/>
      <c r="H1" s="29" t="n"/>
      <c r="I1" s="29" t="n"/>
      <c r="J1" s="29" t="n"/>
      <c r="K1" s="29" t="n"/>
      <c r="L1" s="29" t="n"/>
      <c r="M1" s="29" t="n"/>
      <c r="N1" s="29" t="n"/>
      <c r="O1" s="29" t="n"/>
    </row>
    <row r="2" ht="59.75" customHeight="1">
      <c r="A2" s="48" t="inlineStr">
        <is>
          <t>The P&amp;L tells you whether the business makes money; this tab tells you whether you have cash left to get to the end of the month. It is the first one a lender looks at.</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Item</t>
        </is>
      </c>
      <c r="B4" s="26" t="inlineStr">
        <is>
          <t>Month 1</t>
        </is>
      </c>
      <c r="C4" s="26" t="inlineStr">
        <is>
          <t>Month 2</t>
        </is>
      </c>
      <c r="D4" s="26" t="inlineStr">
        <is>
          <t>Month 3</t>
        </is>
      </c>
      <c r="E4" s="26" t="inlineStr">
        <is>
          <t>Month 4</t>
        </is>
      </c>
      <c r="F4" s="26" t="inlineStr">
        <is>
          <t>Month 5</t>
        </is>
      </c>
      <c r="G4" s="26" t="inlineStr">
        <is>
          <t>Month 6</t>
        </is>
      </c>
      <c r="H4" s="26" t="inlineStr">
        <is>
          <t>Month 7</t>
        </is>
      </c>
      <c r="I4" s="26" t="inlineStr">
        <is>
          <t>Month 8</t>
        </is>
      </c>
      <c r="J4" s="26" t="inlineStr">
        <is>
          <t>Month 9</t>
        </is>
      </c>
      <c r="K4" s="26" t="inlineStr">
        <is>
          <t>Month 10</t>
        </is>
      </c>
      <c r="L4" s="26" t="inlineStr">
        <is>
          <t>Month 11</t>
        </is>
      </c>
      <c r="M4" s="26" t="inlineStr">
        <is>
          <t>Month 12</t>
        </is>
      </c>
      <c r="N4" s="26" t="inlineStr">
        <is>
          <t>Year</t>
        </is>
      </c>
      <c r="O4" s="29" t="n"/>
    </row>
    <row r="5">
      <c r="A5" s="29" t="inlineStr">
        <is>
          <t>Monthly seasonality (adds up to 100%)</t>
        </is>
      </c>
      <c r="B5" s="74" t="n">
        <v>0.074</v>
      </c>
      <c r="C5" s="74" t="n">
        <v>0.076</v>
      </c>
      <c r="D5" s="74" t="n">
        <v>0.08400000000000001</v>
      </c>
      <c r="E5" s="74" t="n">
        <v>0.08599999999999999</v>
      </c>
      <c r="F5" s="74" t="n">
        <v>0.092</v>
      </c>
      <c r="G5" s="74" t="n">
        <v>0.08799999999999999</v>
      </c>
      <c r="H5" s="74" t="n">
        <v>0.08799999999999999</v>
      </c>
      <c r="I5" s="74" t="n">
        <v>0.08599999999999999</v>
      </c>
      <c r="J5" s="74" t="n">
        <v>0.08400000000000001</v>
      </c>
      <c r="K5" s="74" t="n">
        <v>0.08400000000000001</v>
      </c>
      <c r="L5" s="74" t="n">
        <v>0.078</v>
      </c>
      <c r="M5" s="74" t="n">
        <v>0.08</v>
      </c>
      <c r="N5" s="68">
        <f>IFERROR(IF('3-Year P&amp;L'!$B$9="","",SUM(B5:M5)),"")</f>
        <v>1.0</v>
      </c>
      <c r="O5" s="29" t="inlineStr">
        <is>
          <t>Month 1 = JANUARY, in calendar order: January and February are the slowest months, May is the peak (Cinco de Mayo, celebrated mostly in the US, plus the start of patio season) and the summer stays strong with the patio. Kit weights for a mid-size US city: replace them with your area's pattern; if you open in another month, rotate the row. It must add up to 100%</t>
        </is>
      </c>
    </row>
    <row r="6">
      <c r="A6" s="29" t="inlineStr">
        <is>
          <t>Launch ramp-up (% of steady-state activity)</t>
        </is>
      </c>
      <c r="B6" s="68">
        <f>IFERROR(IF('3-Year P&amp;L'!$B$9="","",MIN(1,'0. Assumptions'!$B$52+(1-'0. Assumptions'!$B$52)*0/MAX(1,'0. Assumptions'!$B$53-1))),"")</f>
        <v>0.75</v>
      </c>
      <c r="C6" s="68">
        <f>IFERROR(IF('3-Year P&amp;L'!$B$9="","",MIN(1,'0. Assumptions'!$B$52+(1-'0. Assumptions'!$B$52)*1/MAX(1,'0. Assumptions'!$B$53-1))),"")</f>
        <v>0.8333333333333334</v>
      </c>
      <c r="D6" s="68">
        <f>IFERROR(IF('3-Year P&amp;L'!$B$9="","",MIN(1,'0. Assumptions'!$B$52+(1-'0. Assumptions'!$B$52)*2/MAX(1,'0. Assumptions'!$B$53-1))),"")</f>
        <v>0.9166666666666666</v>
      </c>
      <c r="E6" s="68">
        <f>IFERROR(IF('3-Year P&amp;L'!$B$9="","",MIN(1,'0. Assumptions'!$B$52+(1-'0. Assumptions'!$B$52)*3/MAX(1,'0. Assumptions'!$B$53-1))),"")</f>
        <v>1.0</v>
      </c>
      <c r="F6" s="68">
        <f>IFERROR(IF('3-Year P&amp;L'!$B$9="","",MIN(1,'0. Assumptions'!$B$52+(1-'0. Assumptions'!$B$52)*4/MAX(1,'0. Assumptions'!$B$53-1))),"")</f>
        <v>1.0</v>
      </c>
      <c r="G6" s="68">
        <f>IFERROR(IF('3-Year P&amp;L'!$B$9="","",MIN(1,'0. Assumptions'!$B$52+(1-'0. Assumptions'!$B$52)*5/MAX(1,'0. Assumptions'!$B$53-1))),"")</f>
        <v>1.0</v>
      </c>
      <c r="H6" s="68">
        <f>IFERROR(IF('3-Year P&amp;L'!$B$9="","",MIN(1,'0. Assumptions'!$B$52+(1-'0. Assumptions'!$B$52)*6/MAX(1,'0. Assumptions'!$B$53-1))),"")</f>
        <v>1.0</v>
      </c>
      <c r="I6" s="68">
        <f>IFERROR(IF('3-Year P&amp;L'!$B$9="","",MIN(1,'0. Assumptions'!$B$52+(1-'0. Assumptions'!$B$52)*7/MAX(1,'0. Assumptions'!$B$53-1))),"")</f>
        <v>1.0</v>
      </c>
      <c r="J6" s="68">
        <f>IFERROR(IF('3-Year P&amp;L'!$B$9="","",MIN(1,'0. Assumptions'!$B$52+(1-'0. Assumptions'!$B$52)*8/MAX(1,'0. Assumptions'!$B$53-1))),"")</f>
        <v>1.0</v>
      </c>
      <c r="K6" s="68">
        <f>IFERROR(IF('3-Year P&amp;L'!$B$9="","",MIN(1,'0. Assumptions'!$B$52+(1-'0. Assumptions'!$B$52)*9/MAX(1,'0. Assumptions'!$B$53-1))),"")</f>
        <v>1.0</v>
      </c>
      <c r="L6" s="68">
        <f>IFERROR(IF('3-Year P&amp;L'!$B$9="","",MIN(1,'0. Assumptions'!$B$52+(1-'0. Assumptions'!$B$52)*10/MAX(1,'0. Assumptions'!$B$53-1))),"")</f>
        <v>1.0</v>
      </c>
      <c r="M6" s="68">
        <f>IFERROR(IF('3-Year P&amp;L'!$B$9="","",MIN(1,'0. Assumptions'!$B$52+(1-'0. Assumptions'!$B$52)*11/MAX(1,'0. Assumptions'!$B$53-1))),"")</f>
        <v>1.0</v>
      </c>
      <c r="N6" s="29" t="n"/>
      <c r="O6" s="29" t="inlineStr">
        <is>
          <t>Rises in a straight line from the month-1 percentage to 100% over the number of months you set in Assumptions. With month 1 at 100%, the ramp disappears</t>
        </is>
      </c>
    </row>
    <row r="7">
      <c r="A7" s="29" t="inlineStr">
        <is>
          <t>Split of activity by month (calculated)</t>
        </is>
      </c>
      <c r="B7" s="68">
        <f>IFERROR(IF('3-Year P&amp;L'!$B$9="","",B5*B6/SUMPRODUCT($B$5:$M$5,$B$6:$M$6)),"")</f>
        <v>0.05770230462658119</v>
      </c>
      <c r="C7" s="68">
        <f>IFERROR(IF('3-Year P&amp;L'!$B$9="","",C5*C6/SUMPRODUCT($B$5:$M$5,$B$6:$M$6)),"")</f>
        <v>0.06584647374805062</v>
      </c>
      <c r="D7" s="68">
        <f>IFERROR(IF('3-Year P&amp;L'!$B$9="","",D5*D6/SUMPRODUCT($B$5:$M$5,$B$6:$M$6)),"")</f>
        <v>0.08005544966210364</v>
      </c>
      <c r="E7" s="68">
        <f>IFERROR(IF('3-Year P&amp;L'!$B$9="","",E5*E6/SUMPRODUCT($B$5:$M$5,$B$6:$M$6)),"")</f>
        <v>0.08941258014208978</v>
      </c>
      <c r="F7" s="68">
        <f>IFERROR(IF('3-Year P&amp;L'!$B$9="","",F5*F6/SUMPRODUCT($B$5:$M$5,$B$6:$M$6)),"")</f>
        <v>0.0956506671287472</v>
      </c>
      <c r="G7" s="68">
        <f>IFERROR(IF('3-Year P&amp;L'!$B$9="","",G5*G6/SUMPRODUCT($B$5:$M$5,$B$6:$M$6)),"")</f>
        <v>0.09149194247097558</v>
      </c>
      <c r="H7" s="68">
        <f>IFERROR(IF('3-Year P&amp;L'!$B$9="","",H5*H6/SUMPRODUCT($B$5:$M$5,$B$6:$M$6)),"")</f>
        <v>0.09149194247097558</v>
      </c>
      <c r="I7" s="68">
        <f>IFERROR(IF('3-Year P&amp;L'!$B$9="","",I5*I6/SUMPRODUCT($B$5:$M$5,$B$6:$M$6)),"")</f>
        <v>0.08941258014208978</v>
      </c>
      <c r="J7" s="68">
        <f>IFERROR(IF('3-Year P&amp;L'!$B$9="","",J5*J6/SUMPRODUCT($B$5:$M$5,$B$6:$M$6)),"")</f>
        <v>0.08733321781320398</v>
      </c>
      <c r="K7" s="68">
        <f>IFERROR(IF('3-Year P&amp;L'!$B$9="","",K5*K6/SUMPRODUCT($B$5:$M$5,$B$6:$M$6)),"")</f>
        <v>0.08733321781320398</v>
      </c>
      <c r="L7" s="68">
        <f>IFERROR(IF('3-Year P&amp;L'!$B$9="","",L5*L6/SUMPRODUCT($B$5:$M$5,$B$6:$M$6)),"")</f>
        <v>0.08109513082654654</v>
      </c>
      <c r="M7" s="68">
        <f>IFERROR(IF('3-Year P&amp;L'!$B$9="","",M5*M6/SUMPRODUCT($B$5:$M$5,$B$6:$M$6)),"")</f>
        <v>0.08317449315543235</v>
      </c>
      <c r="N7" s="68">
        <f>IFERROR(IF('3-Year P&amp;L'!$B$9="","",SUM(B7:M7)),"")</f>
        <v>1.0000000000000004</v>
      </c>
      <c r="O7" s="29" t="inlineStr">
        <is>
          <t>Seasonality × ramp-up, normalized to 100%: the YEAR brings in what the P&amp;L says, but split the way a business that has just opened would split it</t>
        </is>
      </c>
    </row>
    <row r="8">
      <c r="A8" s="26" t="inlineStr">
        <is>
          <t>CASH IN</t>
        </is>
      </c>
      <c r="B8" s="29" t="n"/>
      <c r="C8" s="29" t="n"/>
      <c r="D8" s="29" t="n"/>
      <c r="E8" s="29" t="n"/>
      <c r="F8" s="29" t="n"/>
      <c r="G8" s="29" t="n"/>
      <c r="H8" s="29" t="n"/>
      <c r="I8" s="29" t="n"/>
      <c r="J8" s="29" t="n"/>
      <c r="K8" s="29" t="n"/>
      <c r="L8" s="29" t="n"/>
      <c r="M8" s="29" t="n"/>
      <c r="N8" s="29" t="n"/>
      <c r="O8" s="29" t="n"/>
    </row>
    <row r="9">
      <c r="A9" s="29" t="inlineStr">
        <is>
          <t>Sales collected (incl. sales tax collected)</t>
        </is>
      </c>
      <c r="B9" s="41">
        <f>IFERROR(IF('3-Year P&amp;L'!$B$9="","",('3-Year P&amp;L'!$B$9+'3-Year P&amp;L'!$B$9*SUMPRODUCT('3-Year P&amp;L'!$E$10:$E$11,'3-Year P&amp;L'!$G$10:$G$11))*B7*(1-MIN(30,'0. Assumptions'!$B$58)/30)),"")</f>
        <v>36052.90771096865</v>
      </c>
      <c r="C9" s="41">
        <f>IFERROR(IF('3-Year P&amp;L'!$B$9="","",('3-Year P&amp;L'!$B$9+'3-Year P&amp;L'!$B$9*SUMPRODUCT('3-Year P&amp;L'!$E$10:$E$11,'3-Year P&amp;L'!$G$10:$G$11))*(C7*(1-MIN(30,'0. Assumptions'!$B$58)/30)+B7*MIN(30,'0. Assumptions'!$B$58)/30)),"")</f>
        <v>43716.66394039163</v>
      </c>
      <c r="D9" s="41">
        <f>IFERROR(IF('3-Year P&amp;L'!$B$9="","",('3-Year P&amp;L'!$B$9+'3-Year P&amp;L'!$B$9*SUMPRODUCT('3-Year P&amp;L'!$E$10:$E$11,'3-Year P&amp;L'!$G$10:$G$11))*(D7*(1-MIN(30,'0. Assumptions'!$B$58)/30)+C7*MIN(30,'0. Assumptions'!$B$58)/30)),"")</f>
        <v>52958.024883035876</v>
      </c>
      <c r="E9" s="41">
        <f>IFERROR(IF('3-Year P&amp;L'!$B$9="","",('3-Year P&amp;L'!$B$9+'3-Year P&amp;L'!$B$9*SUMPRODUCT('3-Year P&amp;L'!$E$10:$E$11,'3-Year P&amp;L'!$G$10:$G$11))*(E7*(1-MIN(30,'0. Assumptions'!$B$58)/30)+D7*MIN(30,'0. Assumptions'!$B$58)/30)),"")</f>
        <v>59438.5775775429</v>
      </c>
      <c r="F9" s="41">
        <f>IFERROR(IF('3-Year P&amp;L'!$B$9="","",('3-Year P&amp;L'!$B$9+'3-Year P&amp;L'!$B$9*SUMPRODUCT('3-Year P&amp;L'!$E$10:$E$11,'3-Year P&amp;L'!$G$10:$G$11))*(F7*(1-MIN(30,'0. Assumptions'!$B$58)/30)+E7*MIN(30,'0. Assumptions'!$B$58)/30)),"")</f>
        <v>63753.790469589345</v>
      </c>
      <c r="G9" s="41">
        <f>IFERROR(IF('3-Year P&amp;L'!$B$9="","",('3-Year P&amp;L'!$B$9+'3-Year P&amp;L'!$B$9*SUMPRODUCT('3-Year P&amp;L'!$E$10:$E$11,'3-Year P&amp;L'!$G$10:$G$11))*(G7*(1-MIN(30,'0. Assumptions'!$B$58)/30)+F7*MIN(30,'0. Assumptions'!$B$58)/30)),"")</f>
        <v>61433.783538381584</v>
      </c>
      <c r="H9" s="41">
        <f>IFERROR(IF('3-Year P&amp;L'!$B$9="","",('3-Year P&amp;L'!$B$9+'3-Year P&amp;L'!$B$9*SUMPRODUCT('3-Year P&amp;L'!$E$10:$E$11,'3-Year P&amp;L'!$G$10:$G$11))*(H7*(1-MIN(30,'0. Assumptions'!$B$58)/30)+G7*MIN(30,'0. Assumptions'!$B$58)/30)),"")</f>
        <v>61248.18298388495</v>
      </c>
      <c r="I9" s="41">
        <f>IFERROR(IF('3-Year P&amp;L'!$B$9="","",('3-Year P&amp;L'!$B$9+'3-Year P&amp;L'!$B$9*SUMPRODUCT('3-Year P&amp;L'!$E$10:$E$11,'3-Year P&amp;L'!$G$10:$G$11))*(I7*(1-MIN(30,'0. Assumptions'!$B$58)/30)+H7*MIN(30,'0. Assumptions'!$B$58)/30)),"")</f>
        <v>59948.9791024086</v>
      </c>
      <c r="J9" s="41">
        <f>IFERROR(IF('3-Year P&amp;L'!$B$9="","",('3-Year P&amp;L'!$B$9+'3-Year P&amp;L'!$B$9*SUMPRODUCT('3-Year P&amp;L'!$E$10:$E$11,'3-Year P&amp;L'!$G$10:$G$11))*(J7*(1-MIN(30,'0. Assumptions'!$B$58)/30)+I7*MIN(30,'0. Assumptions'!$B$58)/30)),"")</f>
        <v>58556.97494368396</v>
      </c>
      <c r="K9" s="41">
        <f>IFERROR(IF('3-Year P&amp;L'!$B$9="","",('3-Year P&amp;L'!$B$9+'3-Year P&amp;L'!$B$9*SUMPRODUCT('3-Year P&amp;L'!$E$10:$E$11,'3-Year P&amp;L'!$G$10:$G$11))*(K7*(1-MIN(30,'0. Assumptions'!$B$58)/30)+J7*MIN(30,'0. Assumptions'!$B$58)/30)),"")</f>
        <v>58464.17466643565</v>
      </c>
      <c r="L9" s="41">
        <f>IFERROR(IF('3-Year P&amp;L'!$B$9="","",('3-Year P&amp;L'!$B$9+'3-Year P&amp;L'!$B$9*SUMPRODUCT('3-Year P&amp;L'!$E$10:$E$11,'3-Year P&amp;L'!$G$10:$G$11))*(L7*(1-MIN(30,'0. Assumptions'!$B$58)/30)+K7*MIN(30,'0. Assumptions'!$B$58)/30)),"")</f>
        <v>54566.563022006594</v>
      </c>
      <c r="M9" s="41">
        <f>IFERROR(IF('3-Year P&amp;L'!$B$9="","",('3-Year P&amp;L'!$B$9+'3-Year P&amp;L'!$B$9*SUMPRODUCT('3-Year P&amp;L'!$E$10:$E$11,'3-Year P&amp;L'!$G$10:$G$11))*(M7*(1-MIN(30,'0. Assumptions'!$B$58)/30)+L7*MIN(30,'0. Assumptions'!$B$58)/30)),"")</f>
        <v>55587.366071738004</v>
      </c>
      <c r="N9" s="41">
        <f>IFERROR(IF('3-Year P&amp;L'!$B$9="","",SUM(B9:M9)),"")</f>
        <v>665725.9889100677</v>
      </c>
      <c r="O9" s="29" t="inlineStr">
        <is>
          <t>The month's sales plus the sales tax collected, adjusted by the average collection days from the Assumptions tab</t>
        </is>
      </c>
    </row>
    <row r="10">
      <c r="A10" s="26" t="inlineStr">
        <is>
          <t>CASH OUT</t>
        </is>
      </c>
      <c r="B10" s="29" t="n"/>
      <c r="C10" s="29" t="n"/>
      <c r="D10" s="29" t="n"/>
      <c r="E10" s="29" t="n"/>
      <c r="F10" s="29" t="n"/>
      <c r="G10" s="29" t="n"/>
      <c r="H10" s="29" t="n"/>
      <c r="I10" s="29" t="n"/>
      <c r="J10" s="29" t="n"/>
      <c r="K10" s="29" t="n"/>
      <c r="L10" s="29" t="n"/>
      <c r="M10" s="29" t="n"/>
      <c r="N10" s="29" t="n"/>
      <c r="O10" s="29" t="n"/>
    </row>
    <row r="11">
      <c r="A11" s="29" t="inlineStr">
        <is>
          <t>Purchases and variable costs (incl. sales tax)</t>
        </is>
      </c>
      <c r="B11" s="41">
        <f>IFERROR(IF('3-Year P&amp;L'!$B$9="","",-('3-Year P&amp;L'!$B$13*(1+'3-Year P&amp;L'!$G$13)+'3-Year P&amp;L'!$B$14*(1+'3-Year P&amp;L'!$G$14)+'3-Year P&amp;L'!$B$15*(1+'3-Year P&amp;L'!$G$15)+'3-Year P&amp;L'!$B$16*(1+'3-Year P&amp;L'!$G$16)+'3-Year P&amp;L'!$B$17*(1+'3-Year P&amp;L'!$G$17)+'3-Year P&amp;L'!$B$18*(1+'3-Year P&amp;L'!$G$18))*B7*(1-MIN(30,'0. Assumptions'!$B$59)/30)),"")</f>
        <v>-7248.7327672847005</v>
      </c>
      <c r="C11" s="41">
        <f>IFERROR(IF('3-Year P&amp;L'!$B$9="","",-('3-Year P&amp;L'!$B$13*(1+'3-Year P&amp;L'!$G$13)+'3-Year P&amp;L'!$B$14*(1+'3-Year P&amp;L'!$G$14)+'3-Year P&amp;L'!$B$15*(1+'3-Year P&amp;L'!$G$15)+'3-Year P&amp;L'!$B$16*(1+'3-Year P&amp;L'!$G$16)+'3-Year P&amp;L'!$B$17*(1+'3-Year P&amp;L'!$G$17)+'3-Year P&amp;L'!$B$18*(1+'3-Year P&amp;L'!$G$18))*(C7*(1-MIN(30,'0. Assumptions'!$B$59)/30)+B7*MIN(30,'0. Assumptions'!$B$59)/30)),"")</f>
        <v>-14614.46835326056</v>
      </c>
      <c r="D11" s="41">
        <f>IFERROR(IF('3-Year P&amp;L'!$B$9="","",-('3-Year P&amp;L'!$B$13*(1+'3-Year P&amp;L'!$G$13)+'3-Year P&amp;L'!$B$14*(1+'3-Year P&amp;L'!$G$14)+'3-Year P&amp;L'!$B$15*(1+'3-Year P&amp;L'!$G$15)+'3-Year P&amp;L'!$B$16*(1+'3-Year P&amp;L'!$G$16)+'3-Year P&amp;L'!$B$17*(1+'3-Year P&amp;L'!$G$17)+'3-Year P&amp;L'!$B$18*(1+'3-Year P&amp;L'!$G$18))*(D7*(1-MIN(30,'0. Assumptions'!$B$59)/30)+C7*MIN(30,'0. Assumptions'!$B$59)/30)),"")</f>
        <v>-17294.64920002311</v>
      </c>
      <c r="E11" s="41">
        <f>IFERROR(IF('3-Year P&amp;L'!$B$9="","",-('3-Year P&amp;L'!$B$13*(1+'3-Year P&amp;L'!$G$13)+'3-Year P&amp;L'!$B$14*(1+'3-Year P&amp;L'!$G$14)+'3-Year P&amp;L'!$B$15*(1+'3-Year P&amp;L'!$G$15)+'3-Year P&amp;L'!$B$16*(1+'3-Year P&amp;L'!$G$16)+'3-Year P&amp;L'!$B$17*(1+'3-Year P&amp;L'!$G$17)+'3-Year P&amp;L'!$B$18*(1+'3-Year P&amp;L'!$G$18))*(E7*(1-MIN(30,'0. Assumptions'!$B$59)/30)+D7*MIN(30,'0. Assumptions'!$B$59)/30)),"")</f>
        <v>-20031.970958239475</v>
      </c>
      <c r="F11" s="41">
        <f>IFERROR(IF('3-Year P&amp;L'!$B$9="","",-('3-Year P&amp;L'!$B$13*(1+'3-Year P&amp;L'!$G$13)+'3-Year P&amp;L'!$B$14*(1+'3-Year P&amp;L'!$G$14)+'3-Year P&amp;L'!$B$15*(1+'3-Year P&amp;L'!$G$15)+'3-Year P&amp;L'!$B$16*(1+'3-Year P&amp;L'!$G$16)+'3-Year P&amp;L'!$B$17*(1+'3-Year P&amp;L'!$G$17)+'3-Year P&amp;L'!$B$18*(1+'3-Year P&amp;L'!$G$18))*(F7*(1-MIN(30,'0. Assumptions'!$B$59)/30)+E7*MIN(30,'0. Assumptions'!$B$59)/30)),"")</f>
        <v>-21844.15415006065</v>
      </c>
      <c r="G11" s="41">
        <f>IFERROR(IF('3-Year P&amp;L'!$B$9="","",-('3-Year P&amp;L'!$B$13*(1+'3-Year P&amp;L'!$G$13)+'3-Year P&amp;L'!$B$14*(1+'3-Year P&amp;L'!$G$14)+'3-Year P&amp;L'!$B$15*(1+'3-Year P&amp;L'!$G$15)+'3-Year P&amp;L'!$B$16*(1+'3-Year P&amp;L'!$G$16)+'3-Year P&amp;L'!$B$17*(1+'3-Year P&amp;L'!$G$17)+'3-Year P&amp;L'!$B$18*(1+'3-Year P&amp;L'!$G$18))*(G7*(1-MIN(30,'0. Assumptions'!$B$59)/30)+F7*MIN(30,'0. Assumptions'!$B$59)/30)),"")</f>
        <v>-22007.41389707157</v>
      </c>
      <c r="H11" s="41">
        <f>IFERROR(IF('3-Year P&amp;L'!$B$9="","",-('3-Year P&amp;L'!$B$13*(1+'3-Year P&amp;L'!$G$13)+'3-Year P&amp;L'!$B$14*(1+'3-Year P&amp;L'!$G$14)+'3-Year P&amp;L'!$B$15*(1+'3-Year P&amp;L'!$G$15)+'3-Year P&amp;L'!$B$16*(1+'3-Year P&amp;L'!$G$16)+'3-Year P&amp;L'!$B$17*(1+'3-Year P&amp;L'!$G$17)+'3-Year P&amp;L'!$B$18*(1+'3-Year P&amp;L'!$G$18))*(H7*(1-MIN(30,'0. Assumptions'!$B$59)/30)+G7*MIN(30,'0. Assumptions'!$B$59)/30)),"")</f>
        <v>-21550.286605441</v>
      </c>
      <c r="I11" s="41">
        <f>IFERROR(IF('3-Year P&amp;L'!$B$9="","",-('3-Year P&amp;L'!$B$13*(1+'3-Year P&amp;L'!$G$13)+'3-Year P&amp;L'!$B$14*(1+'3-Year P&amp;L'!$G$14)+'3-Year P&amp;L'!$B$15*(1+'3-Year P&amp;L'!$G$15)+'3-Year P&amp;L'!$B$16*(1+'3-Year P&amp;L'!$G$16)+'3-Year P&amp;L'!$B$17*(1+'3-Year P&amp;L'!$G$17)+'3-Year P&amp;L'!$B$18*(1+'3-Year P&amp;L'!$G$18))*(I7*(1-MIN(30,'0. Assumptions'!$B$59)/30)+H7*MIN(30,'0. Assumptions'!$B$59)/30)),"")</f>
        <v>-21289.07101022354</v>
      </c>
      <c r="J11" s="41">
        <f>IFERROR(IF('3-Year P&amp;L'!$B$9="","",-('3-Year P&amp;L'!$B$13*(1+'3-Year P&amp;L'!$G$13)+'3-Year P&amp;L'!$B$14*(1+'3-Year P&amp;L'!$G$14)+'3-Year P&amp;L'!$B$15*(1+'3-Year P&amp;L'!$G$15)+'3-Year P&amp;L'!$B$16*(1+'3-Year P&amp;L'!$G$16)+'3-Year P&amp;L'!$B$17*(1+'3-Year P&amp;L'!$G$17)+'3-Year P&amp;L'!$B$18*(1+'3-Year P&amp;L'!$G$18))*(J7*(1-MIN(30,'0. Assumptions'!$B$59)/30)+I7*MIN(30,'0. Assumptions'!$B$59)/30)),"")</f>
        <v>-20799.29176919079</v>
      </c>
      <c r="K11" s="41">
        <f>IFERROR(IF('3-Year P&amp;L'!$B$9="","",-('3-Year P&amp;L'!$B$13*(1+'3-Year P&amp;L'!$G$13)+'3-Year P&amp;L'!$B$14*(1+'3-Year P&amp;L'!$G$14)+'3-Year P&amp;L'!$B$15*(1+'3-Year P&amp;L'!$G$15)+'3-Year P&amp;L'!$B$16*(1+'3-Year P&amp;L'!$G$16)+'3-Year P&amp;L'!$B$17*(1+'3-Year P&amp;L'!$G$17)+'3-Year P&amp;L'!$B$18*(1+'3-Year P&amp;L'!$G$18))*(K7*(1-MIN(30,'0. Assumptions'!$B$59)/30)+J7*MIN(30,'0. Assumptions'!$B$59)/30)),"")</f>
        <v>-20570.728123375502</v>
      </c>
      <c r="L11" s="41">
        <f>IFERROR(IF('3-Year P&amp;L'!$B$9="","",-('3-Year P&amp;L'!$B$13*(1+'3-Year P&amp;L'!$G$13)+'3-Year P&amp;L'!$B$14*(1+'3-Year P&amp;L'!$G$14)+'3-Year P&amp;L'!$B$15*(1+'3-Year P&amp;L'!$G$15)+'3-Year P&amp;L'!$B$16*(1+'3-Year P&amp;L'!$G$16)+'3-Year P&amp;L'!$B$17*(1+'3-Year P&amp;L'!$G$17)+'3-Year P&amp;L'!$B$18*(1+'3-Year P&amp;L'!$G$18))*(L7*(1-MIN(30,'0. Assumptions'!$B$59)/30)+K7*MIN(30,'0. Assumptions'!$B$59)/30)),"")</f>
        <v>-19787.081337723102</v>
      </c>
      <c r="M11" s="41">
        <f>IFERROR(IF('3-Year P&amp;L'!$B$9="","",-('3-Year P&amp;L'!$B$13*(1+'3-Year P&amp;L'!$G$13)+'3-Year P&amp;L'!$B$14*(1+'3-Year P&amp;L'!$G$14)+'3-Year P&amp;L'!$B$15*(1+'3-Year P&amp;L'!$G$15)+'3-Year P&amp;L'!$B$16*(1+'3-Year P&amp;L'!$G$16)+'3-Year P&amp;L'!$B$17*(1+'3-Year P&amp;L'!$G$17)+'3-Year P&amp;L'!$B$18*(1+'3-Year P&amp;L'!$G$18))*(M7*(1-MIN(30,'0. Assumptions'!$B$59)/30)+L7*MIN(30,'0. Assumptions'!$B$59)/30)),"")</f>
        <v>-19362.60599549472</v>
      </c>
      <c r="N11" s="41">
        <f>IFERROR(IF('3-Year P&amp;L'!$B$9="","",SUM(B11:M11)),"")</f>
        <v>-226400.4541673887</v>
      </c>
      <c r="O11" s="29"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14 payment days, the last purchases of the year are paid next year: the "Year" column of this row holds 11 months of purchases, not the year's cost.</v>
      </c>
    </row>
    <row r="12">
      <c r="A12" s="29" t="inlineStr">
        <is>
          <t>Operating fixed costs (incl. sales tax)</t>
        </is>
      </c>
      <c r="B12" s="41">
        <f>IFERROR(IF('3-Year P&amp;L'!$B$9="","",-('3-Year P&amp;L'!$B$37-'3-Year P&amp;L'!$B$23-'3-Year P&amp;L'!$B$35-'3-Year P&amp;L'!$B$36+'3-Year P&amp;L'!$B$39)/12),"")</f>
        <v>-6683.333333333331</v>
      </c>
      <c r="C12" s="41">
        <f>IFERROR(IF('3-Year P&amp;L'!$B$9="","",-('3-Year P&amp;L'!$B$37-'3-Year P&amp;L'!$B$23-'3-Year P&amp;L'!$B$35-'3-Year P&amp;L'!$B$36+'3-Year P&amp;L'!$B$39)/12),"")</f>
        <v>-6683.333333333331</v>
      </c>
      <c r="D12" s="41">
        <f>IFERROR(IF('3-Year P&amp;L'!$B$9="","",-('3-Year P&amp;L'!$B$37-'3-Year P&amp;L'!$B$23-'3-Year P&amp;L'!$B$35-'3-Year P&amp;L'!$B$36+'3-Year P&amp;L'!$B$39)/12),"")</f>
        <v>-6683.333333333331</v>
      </c>
      <c r="E12" s="41">
        <f>IFERROR(IF('3-Year P&amp;L'!$B$9="","",-('3-Year P&amp;L'!$B$37-'3-Year P&amp;L'!$B$23-'3-Year P&amp;L'!$B$35-'3-Year P&amp;L'!$B$36+'3-Year P&amp;L'!$B$39)/12),"")</f>
        <v>-6683.333333333331</v>
      </c>
      <c r="F12" s="41">
        <f>IFERROR(IF('3-Year P&amp;L'!$B$9="","",-('3-Year P&amp;L'!$B$37-'3-Year P&amp;L'!$B$23-'3-Year P&amp;L'!$B$35-'3-Year P&amp;L'!$B$36+'3-Year P&amp;L'!$B$39)/12),"")</f>
        <v>-6683.333333333331</v>
      </c>
      <c r="G12" s="41">
        <f>IFERROR(IF('3-Year P&amp;L'!$B$9="","",-('3-Year P&amp;L'!$B$37-'3-Year P&amp;L'!$B$23-'3-Year P&amp;L'!$B$35-'3-Year P&amp;L'!$B$36+'3-Year P&amp;L'!$B$39)/12),"")</f>
        <v>-6683.333333333331</v>
      </c>
      <c r="H12" s="41">
        <f>IFERROR(IF('3-Year P&amp;L'!$B$9="","",-('3-Year P&amp;L'!$B$37-'3-Year P&amp;L'!$B$23-'3-Year P&amp;L'!$B$35-'3-Year P&amp;L'!$B$36+'3-Year P&amp;L'!$B$39)/12),"")</f>
        <v>-6683.333333333331</v>
      </c>
      <c r="I12" s="41">
        <f>IFERROR(IF('3-Year P&amp;L'!$B$9="","",-('3-Year P&amp;L'!$B$37-'3-Year P&amp;L'!$B$23-'3-Year P&amp;L'!$B$35-'3-Year P&amp;L'!$B$36+'3-Year P&amp;L'!$B$39)/12),"")</f>
        <v>-6683.333333333331</v>
      </c>
      <c r="J12" s="41">
        <f>IFERROR(IF('3-Year P&amp;L'!$B$9="","",-('3-Year P&amp;L'!$B$37-'3-Year P&amp;L'!$B$23-'3-Year P&amp;L'!$B$35-'3-Year P&amp;L'!$B$36+'3-Year P&amp;L'!$B$39)/12),"")</f>
        <v>-6683.333333333331</v>
      </c>
      <c r="K12" s="41">
        <f>IFERROR(IF('3-Year P&amp;L'!$B$9="","",-('3-Year P&amp;L'!$B$37-'3-Year P&amp;L'!$B$23-'3-Year P&amp;L'!$B$35-'3-Year P&amp;L'!$B$36+'3-Year P&amp;L'!$B$39)/12),"")</f>
        <v>-6683.333333333331</v>
      </c>
      <c r="L12" s="41">
        <f>IFERROR(IF('3-Year P&amp;L'!$B$9="","",-('3-Year P&amp;L'!$B$37-'3-Year P&amp;L'!$B$23-'3-Year P&amp;L'!$B$35-'3-Year P&amp;L'!$B$36+'3-Year P&amp;L'!$B$39)/12),"")</f>
        <v>-6683.333333333331</v>
      </c>
      <c r="M12" s="41">
        <f>IFERROR(IF('3-Year P&amp;L'!$B$9="","",-('3-Year P&amp;L'!$B$37-'3-Year P&amp;L'!$B$23-'3-Year P&amp;L'!$B$35-'3-Year P&amp;L'!$B$36+'3-Year P&amp;L'!$B$39)/12),"")</f>
        <v>-6683.333333333331</v>
      </c>
      <c r="N12" s="41">
        <f>IFERROR(IF('3-Year P&amp;L'!$B$9="","",SUM(B12:M12)),"")</f>
        <v>-80199.99999999997</v>
      </c>
      <c r="O12" s="29" t="inlineStr">
        <is>
          <t>The fixed costs that leave cash, each with its own tax rate: insurance carries none</t>
        </is>
      </c>
    </row>
    <row r="13">
      <c r="A13" s="29" t="inlineStr">
        <is>
          <t>Payroll and employer payroll taxes</t>
        </is>
      </c>
      <c r="B13" s="41">
        <f>IFERROR(IF('3-Year P&amp;L'!$B$9="","",-'3-Year P&amp;L'!$B$23/MAX(12,'0. Assumptions'!$B$21)*(1+IF(1='0. Assumptions'!$B$60,(MAX(12,'0. Assumptions'!$B$21)-12)/2,0)+IF(1='0. Assumptions'!$B$61,(MAX(12,'0. Assumptions'!$B$21)-12)/2,0))),"")</f>
        <v>-17854.100000000002</v>
      </c>
      <c r="C13" s="41">
        <f>IFERROR(IF('3-Year P&amp;L'!$B$9="","",-'3-Year P&amp;L'!$B$23/MAX(12,'0. Assumptions'!$B$21)*(1+IF(2='0. Assumptions'!$B$60,(MAX(12,'0. Assumptions'!$B$21)-12)/2,0)+IF(2='0. Assumptions'!$B$61,(MAX(12,'0. Assumptions'!$B$21)-12)/2,0))),"")</f>
        <v>-17854.100000000002</v>
      </c>
      <c r="D13" s="41">
        <f>IFERROR(IF('3-Year P&amp;L'!$B$9="","",-'3-Year P&amp;L'!$B$23/MAX(12,'0. Assumptions'!$B$21)*(1+IF(3='0. Assumptions'!$B$60,(MAX(12,'0. Assumptions'!$B$21)-12)/2,0)+IF(3='0. Assumptions'!$B$61,(MAX(12,'0. Assumptions'!$B$21)-12)/2,0))),"")</f>
        <v>-17854.100000000002</v>
      </c>
      <c r="E13" s="41">
        <f>IFERROR(IF('3-Year P&amp;L'!$B$9="","",-'3-Year P&amp;L'!$B$23/MAX(12,'0. Assumptions'!$B$21)*(1+IF(4='0. Assumptions'!$B$60,(MAX(12,'0. Assumptions'!$B$21)-12)/2,0)+IF(4='0. Assumptions'!$B$61,(MAX(12,'0. Assumptions'!$B$21)-12)/2,0))),"")</f>
        <v>-17854.100000000002</v>
      </c>
      <c r="F13" s="41">
        <f>IFERROR(IF('3-Year P&amp;L'!$B$9="","",-'3-Year P&amp;L'!$B$23/MAX(12,'0. Assumptions'!$B$21)*(1+IF(5='0. Assumptions'!$B$60,(MAX(12,'0. Assumptions'!$B$21)-12)/2,0)+IF(5='0. Assumptions'!$B$61,(MAX(12,'0. Assumptions'!$B$21)-12)/2,0))),"")</f>
        <v>-17854.100000000002</v>
      </c>
      <c r="G13" s="41">
        <f>IFERROR(IF('3-Year P&amp;L'!$B$9="","",-'3-Year P&amp;L'!$B$23/MAX(12,'0. Assumptions'!$B$21)*(1+IF(6='0. Assumptions'!$B$60,(MAX(12,'0. Assumptions'!$B$21)-12)/2,0)+IF(6='0. Assumptions'!$B$61,(MAX(12,'0. Assumptions'!$B$21)-12)/2,0))),"")</f>
        <v>-17854.100000000002</v>
      </c>
      <c r="H13" s="41">
        <f>IFERROR(IF('3-Year P&amp;L'!$B$9="","",-'3-Year P&amp;L'!$B$23/MAX(12,'0. Assumptions'!$B$21)*(1+IF(7='0. Assumptions'!$B$60,(MAX(12,'0. Assumptions'!$B$21)-12)/2,0)+IF(7='0. Assumptions'!$B$61,(MAX(12,'0. Assumptions'!$B$21)-12)/2,0))),"")</f>
        <v>-17854.100000000002</v>
      </c>
      <c r="I13" s="41">
        <f>IFERROR(IF('3-Year P&amp;L'!$B$9="","",-'3-Year P&amp;L'!$B$23/MAX(12,'0. Assumptions'!$B$21)*(1+IF(8='0. Assumptions'!$B$60,(MAX(12,'0. Assumptions'!$B$21)-12)/2,0)+IF(8='0. Assumptions'!$B$61,(MAX(12,'0. Assumptions'!$B$21)-12)/2,0))),"")</f>
        <v>-17854.100000000002</v>
      </c>
      <c r="J13" s="41">
        <f>IFERROR(IF('3-Year P&amp;L'!$B$9="","",-'3-Year P&amp;L'!$B$23/MAX(12,'0. Assumptions'!$B$21)*(1+IF(9='0. Assumptions'!$B$60,(MAX(12,'0. Assumptions'!$B$21)-12)/2,0)+IF(9='0. Assumptions'!$B$61,(MAX(12,'0. Assumptions'!$B$21)-12)/2,0))),"")</f>
        <v>-17854.100000000002</v>
      </c>
      <c r="K13" s="41">
        <f>IFERROR(IF('3-Year P&amp;L'!$B$9="","",-'3-Year P&amp;L'!$B$23/MAX(12,'0. Assumptions'!$B$21)*(1+IF(10='0. Assumptions'!$B$60,(MAX(12,'0. Assumptions'!$B$21)-12)/2,0)+IF(10='0. Assumptions'!$B$61,(MAX(12,'0. Assumptions'!$B$21)-12)/2,0))),"")</f>
        <v>-17854.100000000002</v>
      </c>
      <c r="L13" s="41">
        <f>IFERROR(IF('3-Year P&amp;L'!$B$9="","",-'3-Year P&amp;L'!$B$23/MAX(12,'0. Assumptions'!$B$21)*(1+IF(11='0. Assumptions'!$B$60,(MAX(12,'0. Assumptions'!$B$21)-12)/2,0)+IF(11='0. Assumptions'!$B$61,(MAX(12,'0. Assumptions'!$B$21)-12)/2,0))),"")</f>
        <v>-17854.100000000002</v>
      </c>
      <c r="M13" s="41">
        <f>IFERROR(IF('3-Year P&amp;L'!$B$9="","",-'3-Year P&amp;L'!$B$23/MAX(12,'0. Assumptions'!$B$21)*(1+IF(12='0. Assumptions'!$B$60,(MAX(12,'0. Assumptions'!$B$21)-12)/2,0)+IF(12='0. Assumptions'!$B$61,(MAX(12,'0. Assumptions'!$B$21)-12)/2,0))),"")</f>
        <v>-17854.100000000002</v>
      </c>
      <c r="N13" s="41">
        <f>IFERROR(IF('3-Year P&amp;L'!$B$9="","",SUM(B13:M13)),"")</f>
        <v>-214249.2</v>
      </c>
      <c r="O13" s="29" t="inlineStr">
        <is>
          <t>Twelve monthly installments plus extra pay periods in the months you set in Assumptions (only if pay periods &gt; 12). The total for the year is the same as the P&amp;L's</t>
        </is>
      </c>
    </row>
    <row r="14">
      <c r="A14" s="29" t="inlineStr">
        <is>
          <t>Loan interest</t>
        </is>
      </c>
      <c r="B14" s="41">
        <f>IFERROR(IF('3-Year P&amp;L'!$B$9="","",-Financing!$B$44/12),"")</f>
        <v>-1466.6666666666667</v>
      </c>
      <c r="C14" s="41">
        <f>IFERROR(IF('3-Year P&amp;L'!$B$9="","",-Financing!$B$44/12),"")</f>
        <v>-1466.6666666666667</v>
      </c>
      <c r="D14" s="41">
        <f>IFERROR(IF('3-Year P&amp;L'!$B$9="","",-Financing!$B$44/12),"")</f>
        <v>-1466.6666666666667</v>
      </c>
      <c r="E14" s="41">
        <f>IFERROR(IF('3-Year P&amp;L'!$B$9="","",-Financing!$B$44/12),"")</f>
        <v>-1466.6666666666667</v>
      </c>
      <c r="F14" s="41">
        <f>IFERROR(IF('3-Year P&amp;L'!$B$9="","",-Financing!$B$44/12),"")</f>
        <v>-1466.6666666666667</v>
      </c>
      <c r="G14" s="41">
        <f>IFERROR(IF('3-Year P&amp;L'!$B$9="","",-Financing!$B$44/12),"")</f>
        <v>-1466.6666666666667</v>
      </c>
      <c r="H14" s="41">
        <f>IFERROR(IF('3-Year P&amp;L'!$B$9="","",-Financing!$B$44/12),"")</f>
        <v>-1466.6666666666667</v>
      </c>
      <c r="I14" s="41">
        <f>IFERROR(IF('3-Year P&amp;L'!$B$9="","",-Financing!$B$44/12),"")</f>
        <v>-1466.6666666666667</v>
      </c>
      <c r="J14" s="41">
        <f>IFERROR(IF('3-Year P&amp;L'!$B$9="","",-Financing!$B$44/12),"")</f>
        <v>-1466.6666666666667</v>
      </c>
      <c r="K14" s="41">
        <f>IFERROR(IF('3-Year P&amp;L'!$B$9="","",-Financing!$B$44/12),"")</f>
        <v>-1466.6666666666667</v>
      </c>
      <c r="L14" s="41">
        <f>IFERROR(IF('3-Year P&amp;L'!$B$9="","",-Financing!$B$44/12),"")</f>
        <v>-1466.6666666666667</v>
      </c>
      <c r="M14" s="41">
        <f>IFERROR(IF('3-Year P&amp;L'!$B$9="","",-Financing!$B$44/12),"")</f>
        <v>-1466.6666666666667</v>
      </c>
      <c r="N14" s="41">
        <f>IFERROR(IF('3-Year P&amp;L'!$B$9="","",SUM(B14:M14)),"")</f>
        <v>-17600.0</v>
      </c>
      <c r="O14" s="29" t="n"/>
    </row>
    <row r="15">
      <c r="A15" s="29" t="inlineStr">
        <is>
          <t>Loan principal repaid</t>
        </is>
      </c>
      <c r="B15" s="41">
        <f>IFERROR(IF('3-Year P&amp;L'!$B$9="","",-Financing!$B$45/12),"")</f>
        <v>-920.2657916101689</v>
      </c>
      <c r="C15" s="41">
        <f>IFERROR(IF('3-Year P&amp;L'!$B$9="","",-Financing!$B$45/12),"")</f>
        <v>-920.2657916101689</v>
      </c>
      <c r="D15" s="41">
        <f>IFERROR(IF('3-Year P&amp;L'!$B$9="","",-Financing!$B$45/12),"")</f>
        <v>-920.2657916101689</v>
      </c>
      <c r="E15" s="41">
        <f>IFERROR(IF('3-Year P&amp;L'!$B$9="","",-Financing!$B$45/12),"")</f>
        <v>-920.2657916101689</v>
      </c>
      <c r="F15" s="41">
        <f>IFERROR(IF('3-Year P&amp;L'!$B$9="","",-Financing!$B$45/12),"")</f>
        <v>-920.2657916101689</v>
      </c>
      <c r="G15" s="41">
        <f>IFERROR(IF('3-Year P&amp;L'!$B$9="","",-Financing!$B$45/12),"")</f>
        <v>-920.2657916101689</v>
      </c>
      <c r="H15" s="41">
        <f>IFERROR(IF('3-Year P&amp;L'!$B$9="","",-Financing!$B$45/12),"")</f>
        <v>-920.2657916101689</v>
      </c>
      <c r="I15" s="41">
        <f>IFERROR(IF('3-Year P&amp;L'!$B$9="","",-Financing!$B$45/12),"")</f>
        <v>-920.2657916101689</v>
      </c>
      <c r="J15" s="41">
        <f>IFERROR(IF('3-Year P&amp;L'!$B$9="","",-Financing!$B$45/12),"")</f>
        <v>-920.2657916101689</v>
      </c>
      <c r="K15" s="41">
        <f>IFERROR(IF('3-Year P&amp;L'!$B$9="","",-Financing!$B$45/12),"")</f>
        <v>-920.2657916101689</v>
      </c>
      <c r="L15" s="41">
        <f>IFERROR(IF('3-Year P&amp;L'!$B$9="","",-Financing!$B$45/12),"")</f>
        <v>-920.2657916101689</v>
      </c>
      <c r="M15" s="41">
        <f>IFERROR(IF('3-Year P&amp;L'!$B$9="","",-Financing!$B$45/12),"")</f>
        <v>-920.2657916101689</v>
      </c>
      <c r="N15" s="41">
        <f>IFERROR(IF('3-Year P&amp;L'!$B$9="","",SUM(B15:M15)),"")</f>
        <v>-11043.189499322027</v>
      </c>
      <c r="O15" s="29" t="n"/>
    </row>
    <row r="16">
      <c r="A16" s="29" t="inlineStr">
        <is>
          <t>Sales tax collected (memo)</t>
        </is>
      </c>
      <c r="B16" s="41">
        <f>IFERROR(IF('3-Year P&amp;L'!$B$9="","",'3-Year P&amp;L'!$B$9*B7*SUMPRODUCT('3-Year P&amp;L'!$E$10:$E$11,'3-Year P&amp;L'!$G$10:$G$11)),"")</f>
        <v>2861.3418818229084</v>
      </c>
      <c r="C16" s="41">
        <f>IFERROR(IF('3-Year P&amp;L'!$B$9="","",'3-Year P&amp;L'!$B$9*C7*SUMPRODUCT('3-Year P&amp;L'!$E$10:$E$11,'3-Year P&amp;L'!$G$10:$G$11)),"")</f>
        <v>3265.194940218334</v>
      </c>
      <c r="D16" s="41">
        <f>IFERROR(IF('3-Year P&amp;L'!$B$9="","",'3-Year P&amp;L'!$B$9*D7*SUMPRODUCT('3-Year P&amp;L'!$E$10:$E$11,'3-Year P&amp;L'!$G$10:$G$11)),"")</f>
        <v>3969.789637844395</v>
      </c>
      <c r="E16" s="41">
        <f>IFERROR(IF('3-Year P&amp;L'!$B$9="","",'3-Year P&amp;L'!$B$9*E7*SUMPRODUCT('3-Year P&amp;L'!$E$10:$E$11,'3-Year P&amp;L'!$G$10:$G$11)),"")</f>
        <v>4433.791024085948</v>
      </c>
      <c r="F16" s="41">
        <f>IFERROR(IF('3-Year P&amp;L'!$B$9="","",'3-Year P&amp;L'!$B$9*F7*SUMPRODUCT('3-Year P&amp;L'!$E$10:$E$11,'3-Year P&amp;L'!$G$10:$G$11)),"")</f>
        <v>4743.125281580316</v>
      </c>
      <c r="G16" s="41">
        <f>IFERROR(IF('3-Year P&amp;L'!$B$9="","",'3-Year P&amp;L'!$B$9*G7*SUMPRODUCT('3-Year P&amp;L'!$E$10:$E$11,'3-Year P&amp;L'!$G$10:$G$11)),"")</f>
        <v>4536.902443250738</v>
      </c>
      <c r="H16" s="41">
        <f>IFERROR(IF('3-Year P&amp;L'!$B$9="","",'3-Year P&amp;L'!$B$9*H7*SUMPRODUCT('3-Year P&amp;L'!$E$10:$E$11,'3-Year P&amp;L'!$G$10:$G$11)),"")</f>
        <v>4536.902443250738</v>
      </c>
      <c r="I16" s="41">
        <f>IFERROR(IF('3-Year P&amp;L'!$B$9="","",'3-Year P&amp;L'!$B$9*I7*SUMPRODUCT('3-Year P&amp;L'!$E$10:$E$11,'3-Year P&amp;L'!$G$10:$G$11)),"")</f>
        <v>4433.791024085948</v>
      </c>
      <c r="J16" s="41">
        <f>IFERROR(IF('3-Year P&amp;L'!$B$9="","",'3-Year P&amp;L'!$B$9*J7*SUMPRODUCT('3-Year P&amp;L'!$E$10:$E$11,'3-Year P&amp;L'!$G$10:$G$11)),"")</f>
        <v>4330.679604921159</v>
      </c>
      <c r="K16" s="41">
        <f>IFERROR(IF('3-Year P&amp;L'!$B$9="","",'3-Year P&amp;L'!$B$9*K7*SUMPRODUCT('3-Year P&amp;L'!$E$10:$E$11,'3-Year P&amp;L'!$G$10:$G$11)),"")</f>
        <v>4330.679604921159</v>
      </c>
      <c r="L16" s="41">
        <f>IFERROR(IF('3-Year P&amp;L'!$B$9="","",'3-Year P&amp;L'!$B$9*L7*SUMPRODUCT('3-Year P&amp;L'!$E$10:$E$11,'3-Year P&amp;L'!$G$10:$G$11)),"")</f>
        <v>4021.34534742679</v>
      </c>
      <c r="M16" s="41">
        <f>IFERROR(IF('3-Year P&amp;L'!$B$9="","",'3-Year P&amp;L'!$B$9*M7*SUMPRODUCT('3-Year P&amp;L'!$E$10:$E$11,'3-Year P&amp;L'!$G$10:$G$11)),"")</f>
        <v>4124.456766591579</v>
      </c>
      <c r="N16" s="41">
        <f>IFERROR(IF('3-Year P&amp;L'!$B$9="","",SUM(B16:M16)),"")</f>
        <v>49588.000000000015</v>
      </c>
      <c r="O16" s="29" t="inlineStr">
        <is>
          <t>Each sales line at ITS rate, read from the sales tax column of the P&amp;L. The example uses one rate for everything, so alcohol to go carries the same rate as dine-in; the share of beverages taxed at the alcohol rate is set in column H of its line on the P&amp;L</t>
        </is>
      </c>
    </row>
    <row r="17">
      <c r="A17" s="29" t="inlineStr">
        <is>
          <t>Recoverable input tax (memo)</t>
        </is>
      </c>
      <c r="B17" s="41">
        <f>IFERROR(IF('3-Year P&amp;L'!$B$9="","",'3-Year P&amp;L'!$B$38*B7+'3-Year P&amp;L'!$B$39/12),"")</f>
        <v>0.0</v>
      </c>
      <c r="C17" s="41">
        <f>IFERROR(IF('3-Year P&amp;L'!$B$9="","",'3-Year P&amp;L'!$B$38*C7+'3-Year P&amp;L'!$B$39/12),"")</f>
        <v>0.0</v>
      </c>
      <c r="D17" s="41">
        <f>IFERROR(IF('3-Year P&amp;L'!$B$9="","",'3-Year P&amp;L'!$B$38*D7+'3-Year P&amp;L'!$B$39/12),"")</f>
        <v>0.0</v>
      </c>
      <c r="E17" s="41">
        <f>IFERROR(IF('3-Year P&amp;L'!$B$9="","",'3-Year P&amp;L'!$B$38*E7+'3-Year P&amp;L'!$B$39/12),"")</f>
        <v>0.0</v>
      </c>
      <c r="F17" s="41">
        <f>IFERROR(IF('3-Year P&amp;L'!$B$9="","",'3-Year P&amp;L'!$B$38*F7+'3-Year P&amp;L'!$B$39/12),"")</f>
        <v>0.0</v>
      </c>
      <c r="G17" s="41">
        <f>IFERROR(IF('3-Year P&amp;L'!$B$9="","",'3-Year P&amp;L'!$B$38*G7+'3-Year P&amp;L'!$B$39/12),"")</f>
        <v>0.0</v>
      </c>
      <c r="H17" s="41">
        <f>IFERROR(IF('3-Year P&amp;L'!$B$9="","",'3-Year P&amp;L'!$B$38*H7+'3-Year P&amp;L'!$B$39/12),"")</f>
        <v>0.0</v>
      </c>
      <c r="I17" s="41">
        <f>IFERROR(IF('3-Year P&amp;L'!$B$9="","",'3-Year P&amp;L'!$B$38*I7+'3-Year P&amp;L'!$B$39/12),"")</f>
        <v>0.0</v>
      </c>
      <c r="J17" s="41">
        <f>IFERROR(IF('3-Year P&amp;L'!$B$9="","",'3-Year P&amp;L'!$B$38*J7+'3-Year P&amp;L'!$B$39/12),"")</f>
        <v>0.0</v>
      </c>
      <c r="K17" s="41">
        <f>IFERROR(IF('3-Year P&amp;L'!$B$9="","",'3-Year P&amp;L'!$B$38*K7+'3-Year P&amp;L'!$B$39/12),"")</f>
        <v>0.0</v>
      </c>
      <c r="L17" s="41">
        <f>IFERROR(IF('3-Year P&amp;L'!$B$9="","",'3-Year P&amp;L'!$B$38*L7+'3-Year P&amp;L'!$B$39/12),"")</f>
        <v>0.0</v>
      </c>
      <c r="M17" s="41">
        <f>IFERROR(IF('3-Year P&amp;L'!$B$9="","",'3-Year P&amp;L'!$B$38*M7+'3-Year P&amp;L'!$B$39/12),"")</f>
        <v>0.0</v>
      </c>
      <c r="N17" s="41">
        <f>IFERROR(IF('3-Year P&amp;L'!$B$9="","",SUM(B17:M17)),"")</f>
        <v>0.0</v>
      </c>
      <c r="O17" s="29" t="inlineStr">
        <is>
          <t>Each item at its own rate, read from the tax column of the P&amp;L: insurance and card processing fees carry none</t>
        </is>
      </c>
    </row>
    <row r="18">
      <c r="A18" s="29" t="inlineStr">
        <is>
          <t>Carried forward (capex input tax included)</t>
        </is>
      </c>
      <c r="B18" s="29" t="n"/>
      <c r="C18" s="29" t="n"/>
      <c r="D18" s="29" t="n"/>
      <c r="E18" s="41">
        <f>IFERROR(IF('3-Year P&amp;L'!$B$9="","",'Startup Costs'!$B$32),"")</f>
        <v>0.0</v>
      </c>
      <c r="F18" s="29" t="n"/>
      <c r="G18" s="29" t="n"/>
      <c r="H18" s="41">
        <f>IFERROR(IF('3-Year P&amp;L'!$B$9="","",MAX(0,-E19)),"")</f>
        <v>0.0</v>
      </c>
      <c r="I18" s="29" t="n"/>
      <c r="J18" s="29" t="n"/>
      <c r="K18" s="41">
        <f>IFERROR(IF('3-Year P&amp;L'!$B$9="","",MAX(0,-H19)),"")</f>
        <v>0.0</v>
      </c>
      <c r="L18" s="29" t="n"/>
      <c r="M18" s="29" t="n"/>
      <c r="N18" s="29" t="n"/>
      <c r="O18" s="29" t="inlineStr">
        <is>
          <t>Sales tax paid on STARTUP COSTS enters here: it is offset against the tax collected in later quarters until used up. With 0% recoverable input tax (the US default) this line stays at zero</t>
        </is>
      </c>
    </row>
    <row r="19">
      <c r="A19" s="29" t="inlineStr">
        <is>
          <t>Quarterly sales tax return</t>
        </is>
      </c>
      <c r="B19" s="29" t="n"/>
      <c r="C19" s="29" t="n"/>
      <c r="D19" s="29" t="n"/>
      <c r="E19" s="41">
        <f>IFERROR(IF('3-Year P&amp;L'!$B$9="","",SUM(B16:D16)-SUM(B17:D17)-E18),"")</f>
        <v>10096.326459885637</v>
      </c>
      <c r="F19" s="29" t="n"/>
      <c r="G19" s="29" t="n"/>
      <c r="H19" s="41">
        <f>IFERROR(IF('3-Year P&amp;L'!$B$9="","",SUM(E16:G16)-SUM(E17:G17)-H18),"")</f>
        <v>13713.818748917003</v>
      </c>
      <c r="I19" s="29" t="n"/>
      <c r="J19" s="29" t="n"/>
      <c r="K19" s="41">
        <f>IFERROR(IF('3-Year P&amp;L'!$B$9="","",SUM(H16:J16)-SUM(H17:J17)-K18),"")</f>
        <v>13301.373072257844</v>
      </c>
      <c r="L19" s="29" t="n"/>
      <c r="M19" s="29" t="n"/>
      <c r="N19" s="29" t="n"/>
      <c r="O19" s="29"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9" t="inlineStr">
        <is>
          <t>Sales tax remitted (quarterly filer)</t>
        </is>
      </c>
      <c r="B20" s="29" t="n"/>
      <c r="C20" s="29" t="n"/>
      <c r="D20" s="29" t="n"/>
      <c r="E20" s="41">
        <f>IFERROR(IF('3-Year P&amp;L'!$B$9="","",IF(E19&lt;=0,"",-E19)),"")</f>
        <v>-10096.326459885637</v>
      </c>
      <c r="F20" s="29" t="n"/>
      <c r="G20" s="29" t="n"/>
      <c r="H20" s="41">
        <f>IFERROR(IF('3-Year P&amp;L'!$B$9="","",IF(H19&lt;=0,"",-H19)),"")</f>
        <v>-13713.818748917003</v>
      </c>
      <c r="I20" s="29" t="n"/>
      <c r="J20" s="29" t="n"/>
      <c r="K20" s="41">
        <f>IFERROR(IF('3-Year P&amp;L'!$B$9="","",IF(K19&lt;=0,"",-K19)),"")</f>
        <v>-13301.373072257844</v>
      </c>
      <c r="L20" s="29" t="n"/>
      <c r="M20" s="29" t="n"/>
      <c r="N20" s="41">
        <f>IFERROR(IF('3-Year P&amp;L'!$B$9="","",SUM(B20:M20)),"")</f>
        <v>-37111.51828106049</v>
      </c>
      <c r="O20" s="29"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April, July and October with Month 1 in January; the fourth quarter is remitted in Month 13, January of the next year): if your state requires monthly filing, expect smaller payments every month instead</t>
        </is>
      </c>
    </row>
    <row r="21">
      <c r="A21" s="26" t="inlineStr">
        <is>
          <t>MONTHLY NET CASH FLOW</t>
        </is>
      </c>
      <c r="B21" s="54">
        <f>IFERROR(IF('3-Year P&amp;L'!$B$9="","",SUM(B9:B15)+IF(B20="",0,B20)),"")</f>
        <v>1879.8091520737753</v>
      </c>
      <c r="C21" s="54">
        <f>IFERROR(IF('3-Year P&amp;L'!$B$9="","",SUM(C9:C15)+IF(C20="",0,C20)),"")</f>
        <v>2177.8297955208973</v>
      </c>
      <c r="D21" s="54">
        <f>IFERROR(IF('3-Year P&amp;L'!$B$9="","",SUM(D9:D15)+IF(D20="",0,D20)),"")</f>
        <v>8739.009891402598</v>
      </c>
      <c r="E21" s="54">
        <f>IFERROR(IF('3-Year P&amp;L'!$B$9="","",SUM(E9:E15)+IF(E20="",0,E20)),"")</f>
        <v>2385.9143678076143</v>
      </c>
      <c r="F21" s="54">
        <f>IFERROR(IF('3-Year P&amp;L'!$B$9="","",SUM(F9:F15)+IF(F20="",0,F20)),"")</f>
        <v>14985.270527918532</v>
      </c>
      <c r="G21" s="54">
        <f>IFERROR(IF('3-Year P&amp;L'!$B$9="","",SUM(G9:G15)+IF(G20="",0,G20)),"")</f>
        <v>12502.003849699842</v>
      </c>
      <c r="H21" s="54">
        <f>IFERROR(IF('3-Year P&amp;L'!$B$9="","",SUM(H9:H15)+IF(H20="",0,H20)),"")</f>
        <v>-940.288162083214</v>
      </c>
      <c r="I21" s="54">
        <f>IFERROR(IF('3-Year P&amp;L'!$B$9="","",SUM(I9:I15)+IF(I20="",0,I20)),"")</f>
        <v>11735.542300574893</v>
      </c>
      <c r="J21" s="54">
        <f>IFERROR(IF('3-Year P&amp;L'!$B$9="","",SUM(J9:J15)+IF(J20="",0,J20)),"")</f>
        <v>10833.317382883</v>
      </c>
      <c r="K21" s="54">
        <f>IFERROR(IF('3-Year P&amp;L'!$B$9="","",SUM(K9:K15)+IF(K20="",0,K20)),"")</f>
        <v>-2332.292320807872</v>
      </c>
      <c r="L21" s="54">
        <f>IFERROR(IF('3-Year P&amp;L'!$B$9="","",SUM(L9:L15)+IF(L20="",0,L20)),"")</f>
        <v>7855.115892673322</v>
      </c>
      <c r="M21" s="54">
        <f>IFERROR(IF('3-Year P&amp;L'!$B$9="","",SUM(M9:M15)+IF(M20="",0,M20)),"")</f>
        <v>9300.394284633116</v>
      </c>
      <c r="N21" s="54">
        <f>IFERROR(IF('3-Year P&amp;L'!$B$9="","",SUM(B21:M21)),"")</f>
        <v>79121.62696229652</v>
      </c>
      <c r="O21" s="29" t="n"/>
    </row>
    <row r="22">
      <c r="A22" s="26" t="inlineStr">
        <is>
          <t>CUMULATIVE CASH BALANCE</t>
        </is>
      </c>
      <c r="B22" s="54">
        <f>IFERROR(IF('3-Year P&amp;L'!$B$9="","",'Startup Costs'!$B$29+B21),"")</f>
        <v>79892.10915207378</v>
      </c>
      <c r="C22" s="54">
        <f>IFERROR(IF('3-Year P&amp;L'!$B$9="","",B22+C21),"")</f>
        <v>82069.93894759468</v>
      </c>
      <c r="D22" s="54">
        <f>IFERROR(IF('3-Year P&amp;L'!$B$9="","",C22+D21),"")</f>
        <v>90808.94883899728</v>
      </c>
      <c r="E22" s="54">
        <f>IFERROR(IF('3-Year P&amp;L'!$B$9="","",D22+E21),"")</f>
        <v>93194.8632068049</v>
      </c>
      <c r="F22" s="54">
        <f>IFERROR(IF('3-Year P&amp;L'!$B$9="","",E22+F21),"")</f>
        <v>108180.13373472344</v>
      </c>
      <c r="G22" s="54">
        <f>IFERROR(IF('3-Year P&amp;L'!$B$9="","",F22+G21),"")</f>
        <v>120682.13758442328</v>
      </c>
      <c r="H22" s="54">
        <f>IFERROR(IF('3-Year P&amp;L'!$B$9="","",G22+H21),"")</f>
        <v>119741.84942234006</v>
      </c>
      <c r="I22" s="54">
        <f>IFERROR(IF('3-Year P&amp;L'!$B$9="","",H22+I21),"")</f>
        <v>131477.39172291497</v>
      </c>
      <c r="J22" s="54">
        <f>IFERROR(IF('3-Year P&amp;L'!$B$9="","",I22+J21),"")</f>
        <v>142310.70910579796</v>
      </c>
      <c r="K22" s="54">
        <f>IFERROR(IF('3-Year P&amp;L'!$B$9="","",J22+K21),"")</f>
        <v>139978.41678499008</v>
      </c>
      <c r="L22" s="54">
        <f>IFERROR(IF('3-Year P&amp;L'!$B$9="","",K22+L21),"")</f>
        <v>147833.5326776634</v>
      </c>
      <c r="M22" s="54">
        <f>IFERROR(IF('3-Year P&amp;L'!$B$9="","",L22+M21),"")</f>
        <v>157133.9269622965</v>
      </c>
      <c r="N22" s="29" t="n"/>
      <c r="O22" s="29" t="n"/>
    </row>
    <row r="23">
      <c r="A23" s="29" t="inlineStr">
        <is>
          <t>Minimum balance of the year</t>
        </is>
      </c>
      <c r="B23" s="41">
        <f>IFERROR(IF('3-Year P&amp;L'!$B$9="","",IF(COUNT(B22:M22)=0,"",MIN(B22:M22))),"")</f>
        <v>79892.10915207378</v>
      </c>
      <c r="C23" s="29" t="n"/>
      <c r="D23" s="29" t="inlineStr">
        <is>
          <t>If negative, raise working capital or the loan: you run out of cash</t>
        </is>
      </c>
      <c r="E23" s="29" t="n"/>
      <c r="F23" s="29" t="n"/>
      <c r="G23" s="29" t="n"/>
      <c r="H23" s="29" t="n"/>
      <c r="I23" s="29" t="n"/>
      <c r="J23" s="29" t="n"/>
      <c r="K23" s="29" t="n"/>
      <c r="L23" s="29" t="n"/>
      <c r="M23" s="29" t="n"/>
      <c r="N23" s="29" t="n"/>
      <c r="O23" s="29" t="n"/>
    </row>
    <row r="24">
      <c r="A24" s="29" t="inlineStr">
        <is>
          <t>Month when cash bottoms out</t>
        </is>
      </c>
      <c r="B24" s="41">
        <f>IFERROR(IF('3-Year P&amp;L'!$B$9="","",IF(COUNT(B22:M22)=0,"",MATCH(MIN(B22:M22),B22:M22,0))),"")</f>
        <v>1.0</v>
      </c>
      <c r="C24" s="29" t="n"/>
      <c r="D24" s="29" t="inlineStr">
        <is>
          <t>It answers the question that decides a bank deal: in which month the cash runs out</t>
        </is>
      </c>
      <c r="E24" s="29" t="n"/>
      <c r="F24" s="29" t="n"/>
      <c r="G24" s="29" t="n"/>
      <c r="H24" s="29" t="n"/>
      <c r="I24" s="29" t="n"/>
      <c r="J24" s="29" t="n"/>
      <c r="K24" s="29" t="n"/>
      <c r="L24" s="29" t="n"/>
      <c r="M24" s="29" t="n"/>
      <c r="N24" s="29" t="n"/>
      <c r="O24" s="29" t="n"/>
    </row>
    <row r="25">
      <c r="A25" s="26" t="inlineStr">
        <is>
          <t>RETURN ON INVESTMENT</t>
        </is>
      </c>
      <c r="B25" s="29" t="n"/>
      <c r="C25" s="29" t="n"/>
      <c r="D25" s="29" t="n"/>
      <c r="E25" s="29" t="n"/>
      <c r="F25" s="29" t="n"/>
      <c r="G25" s="29" t="n"/>
      <c r="H25" s="29" t="n"/>
      <c r="I25" s="29" t="n"/>
      <c r="J25" s="29" t="n"/>
      <c r="K25" s="29" t="n"/>
      <c r="L25" s="29" t="n"/>
      <c r="M25" s="29" t="n"/>
      <c r="N25" s="29" t="n"/>
      <c r="O25" s="29" t="n"/>
    </row>
    <row r="26">
      <c r="A26" s="29" t="inlineStr">
        <is>
          <t>Free cash flow before debt, year 1</t>
        </is>
      </c>
      <c r="B26" s="41">
        <f>IFERROR(IF('3-Year P&amp;L'!$B$9="","",'3-Year P&amp;L'!$B$47+'3-Year P&amp;L'!$B$35+Financing!$B$44),"")</f>
        <v>76854.77857142859</v>
      </c>
      <c r="C26" s="29" t="n"/>
      <c r="D26" s="29" t="inlineStr">
        <is>
          <t>Net income plus depreciation (which is not paid) plus that year's interest: principal is not subtracted because this flow is BEFORE debt. The SAME basis as years 2 and 3, so the payback compares like with like</t>
        </is>
      </c>
      <c r="E26" s="29" t="n"/>
      <c r="F26" s="29" t="n"/>
      <c r="G26" s="29" t="n"/>
      <c r="H26" s="29" t="n"/>
      <c r="I26" s="29" t="n"/>
      <c r="J26" s="29" t="n"/>
      <c r="K26" s="29" t="n"/>
      <c r="L26" s="29" t="n"/>
      <c r="M26" s="29" t="n"/>
      <c r="N26" s="29" t="n"/>
      <c r="O26" s="29" t="n"/>
    </row>
    <row r="27">
      <c r="A27" s="29" t="inlineStr">
        <is>
          <t>Free cash flow before debt, year 2</t>
        </is>
      </c>
      <c r="B27" s="41">
        <f>IFERROR(IF('3-Year P&amp;L'!$B$9="","",'3-Year P&amp;L'!$C$47+'3-Year P&amp;L'!$C$35+Financing!$B$46),"")</f>
        <v>90122.5138339455</v>
      </c>
      <c r="C27" s="29" t="n"/>
      <c r="D27" s="29" t="inlineStr">
        <is>
          <t>Net income plus depreciation (which is not paid) plus that year's interest: principal is not subtracted because this flow is BEFORE debt. Without a monthly table, it is an estimate</t>
        </is>
      </c>
      <c r="E27" s="29" t="n"/>
      <c r="F27" s="29" t="n"/>
      <c r="G27" s="29" t="n"/>
      <c r="H27" s="29" t="n"/>
      <c r="I27" s="29" t="n"/>
      <c r="J27" s="29" t="n"/>
      <c r="K27" s="29" t="n"/>
      <c r="L27" s="29" t="n"/>
      <c r="M27" s="29" t="n"/>
      <c r="N27" s="29" t="n"/>
      <c r="O27" s="29" t="n"/>
    </row>
    <row r="28">
      <c r="A28" s="29" t="inlineStr">
        <is>
          <t>Free cash flow before debt, year 3</t>
        </is>
      </c>
      <c r="B28" s="41">
        <f>IFERROR(IF('3-Year P&amp;L'!$B$9="","",'3-Year P&amp;L'!$D$47+'3-Year P&amp;L'!$D$35+Financing!$B$48),"")</f>
        <v>98289.78872271423</v>
      </c>
      <c r="C28" s="29" t="n"/>
      <c r="D28" s="29" t="inlineStr">
        <is>
          <t>Net income plus depreciation (which is not paid) plus that year's interest: principal is not subtracted because this flow is BEFORE debt. Without a monthly table, it is an estimate</t>
        </is>
      </c>
      <c r="E28" s="29" t="n"/>
      <c r="F28" s="29" t="n"/>
      <c r="G28" s="29" t="n"/>
      <c r="H28" s="29" t="n"/>
      <c r="I28" s="29" t="n"/>
      <c r="J28" s="29" t="n"/>
      <c r="K28" s="29" t="n"/>
      <c r="L28" s="29" t="n"/>
      <c r="M28" s="29" t="n"/>
      <c r="N28" s="29" t="n"/>
      <c r="O28" s="29" t="n"/>
    </row>
    <row r="29">
      <c r="A29" s="29" t="inlineStr">
        <is>
          <t>For reference: ACTUAL year-1 cash flow (monthly table, before debt)</t>
        </is>
      </c>
      <c r="B29" s="41">
        <f>IFERROR(IF('3-Year P&amp;L'!$B$9="","",N21+Financing!$B$44+Financing!$B$45),"")</f>
        <v>107764.81646161855</v>
      </c>
      <c r="C29" s="29" t="n"/>
      <c r="D29" s="29"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9" t="n"/>
      <c r="F29" s="29" t="n"/>
      <c r="G29" s="29" t="n"/>
      <c r="H29" s="29" t="n"/>
      <c r="I29" s="29" t="n"/>
      <c r="J29" s="29" t="n"/>
      <c r="K29" s="29" t="n"/>
      <c r="L29" s="29" t="n"/>
      <c r="M29" s="29" t="n"/>
      <c r="N29" s="29" t="n"/>
      <c r="O29" s="29" t="n"/>
    </row>
    <row r="30">
      <c r="A30" s="29" t="inlineStr">
        <is>
          <t>Investment to recover (net of recoverable input tax)</t>
        </is>
      </c>
      <c r="B30" s="41">
        <f>IFERROR(IF('3-Year P&amp;L'!$B$9="","",'Startup Costs'!$B$33-'Startup Costs'!$B$32),"")</f>
        <v>275612.3</v>
      </c>
      <c r="C30" s="29" t="n"/>
      <c r="D30" s="29"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9" t="n"/>
      <c r="F30" s="29" t="n"/>
      <c r="G30" s="29" t="n"/>
      <c r="H30" s="29" t="n"/>
      <c r="I30" s="29" t="n"/>
      <c r="J30" s="29" t="n"/>
      <c r="K30" s="29" t="n"/>
      <c r="L30" s="29" t="n"/>
      <c r="M30" s="29" t="n"/>
      <c r="N30" s="29" t="n"/>
      <c r="O30" s="29" t="n"/>
    </row>
    <row r="31">
      <c r="A31" s="26" t="inlineStr">
        <is>
          <t>Project payback (years), before debt</t>
        </is>
      </c>
      <c r="B31" s="26" t="str">
        <f>IFERROR(IF('3-Year P&amp;L'!$B$9="","",IF(B26&gt;=B30,ROUND(B30/B26,1),IF(B26+B27&gt;=B30,ROUND(1+(B30-B26)/B27,1),IF(B26+B27+B28&gt;=B30,ROUND(2+(B30-B26-B27)/B28,1),"Over 3 years")))),"")</f>
        <v>Over 3 years</v>
      </c>
      <c r="C31" s="29" t="n"/>
      <c r="D31" s="26" t="inlineStr">
        <is>
          <t>Measures how long the business takes to pay back the investment with what it generates BEFORE paying the lender, on the SAME cash flow basis in all three years; whether you can make the loan payment is answered by the DSCR on the "Financing" tab. The Word business plan quotes this figure; if you change a green cell, this workbook rules</t>
        </is>
      </c>
      <c r="E31" s="29" t="n"/>
      <c r="F31" s="29" t="n"/>
      <c r="G31" s="29" t="n"/>
      <c r="H31" s="29" t="n"/>
      <c r="I31" s="29" t="n"/>
      <c r="J31" s="29" t="n"/>
      <c r="K31" s="29" t="n"/>
      <c r="L31" s="29" t="n"/>
      <c r="M31" s="29" t="n"/>
      <c r="N31" s="29" t="n"/>
      <c r="O31" s="29" t="n"/>
    </row>
    <row r="32">
      <c r="A32" s="29" t="inlineStr">
        <is>
          <t>Payback on CAPEX, excluding working capital (years)</t>
        </is>
      </c>
      <c r="B32" s="29">
        <f>IFERROR(IF('3-Year P&amp;L'!$B$9="","",IF(B26&gt;='Startup Costs'!$B$31,ROUND('Startup Costs'!$B$31/B26,1),IF(B26+B27&gt;='Startup Costs'!$B$31,ROUND(1+('Startup Costs'!$B$31-B26)/B27,1),IF(B26+B27+B28&gt;='Startup Costs'!$B$31,ROUND(2+('Startup Costs'!$B$31-B26-B27)/B28,1),"Over 3 years")))),"")</f>
        <v>2.3</v>
      </c>
      <c r="C32" s="29" t="n"/>
      <c r="D32" s="29" t="inlineStr">
        <is>
          <t>The same calculation on what you BUY (build-out, equipment, launch and formation costs), without working capital: that money is not spent, it is tied up and comes back when the business closes. For reference only: the payback that matters is the one above</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49.5" customHeight="1">
      <c r="A34" s="48" t="inlineStr">
        <is>
          <t>Fourth-quarter sales tax is settled in Month 13 (January of the following year when Month 1 is January),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FINANCING PLAN</t>
        </is>
      </c>
      <c r="B1" s="29" t="n"/>
      <c r="C1" s="29" t="n"/>
      <c r="D1" s="29" t="n"/>
      <c r="E1" s="29" t="n"/>
      <c r="F1" s="29" t="n"/>
      <c r="G1" s="29" t="n"/>
      <c r="H1" s="29" t="n"/>
    </row>
    <row r="2" ht="45" customHeight="1">
      <c r="A2" s="48" t="inlineStr">
        <is>
          <t>What you need, where it comes from and what it costs to repay. It is the sheet your lender asks for along with the P&amp;L.</t>
        </is>
      </c>
      <c r="B2" s="29" t="n"/>
      <c r="C2" s="29" t="n"/>
      <c r="D2" s="29" t="n"/>
      <c r="E2" s="29" t="n"/>
      <c r="F2" s="29" t="n"/>
      <c r="G2" s="29" t="n"/>
      <c r="H2" s="29" t="n"/>
    </row>
    <row r="3">
      <c r="A3" s="29" t="n"/>
      <c r="B3" s="29" t="n"/>
      <c r="C3" s="29" t="n"/>
      <c r="D3" s="29" t="n"/>
      <c r="E3" s="29" t="n"/>
      <c r="F3" s="29" t="n"/>
      <c r="G3" s="29" t="n"/>
      <c r="H3" s="29" t="n"/>
    </row>
    <row r="4">
      <c r="A4" s="26" t="inlineStr">
        <is>
          <t>Item</t>
        </is>
      </c>
      <c r="B4" s="26" t="inlineStr">
        <is>
          <t>Amount</t>
        </is>
      </c>
      <c r="C4" s="26" t="inlineStr">
        <is>
          <t>Notes</t>
        </is>
      </c>
      <c r="D4" s="29" t="n"/>
      <c r="E4" s="29" t="n"/>
      <c r="F4" s="29" t="n"/>
      <c r="G4" s="29" t="n"/>
      <c r="H4" s="29" t="n"/>
    </row>
    <row r="5">
      <c r="A5" s="26" t="inlineStr">
        <is>
          <t>SOURCES OF FUNDS</t>
        </is>
      </c>
      <c r="B5" s="29" t="n"/>
      <c r="C5" s="29" t="n"/>
      <c r="D5" s="29" t="n"/>
      <c r="E5" s="29" t="n"/>
      <c r="F5" s="29" t="n"/>
      <c r="G5" s="29" t="n"/>
      <c r="H5" s="29" t="n"/>
    </row>
    <row r="6">
      <c r="A6" s="29" t="inlineStr">
        <is>
          <t>Owner's equity (your own money)</t>
        </is>
      </c>
      <c r="B6" s="41">
        <f>IFERROR(IF('0. Assumptions'!$B$30="","",'0. Assumptions'!$B$30),"")</f>
        <v>100000.0</v>
      </c>
      <c r="C6" s="29" t="n"/>
      <c r="D6" s="29" t="n"/>
      <c r="E6" s="29" t="n"/>
      <c r="F6" s="29" t="n"/>
      <c r="G6" s="29" t="n"/>
      <c r="H6" s="29" t="n"/>
    </row>
    <row r="7">
      <c r="A7" s="29" t="inlineStr">
        <is>
          <t>Loan requested — bank or SBA 7(a) (amortized below)</t>
        </is>
      </c>
      <c r="B7" s="41">
        <f>IFERROR(IF('0. Assumptions'!$B$31="","",'0. Assumptions'!$B$31),"")</f>
        <v>176000.0</v>
      </c>
      <c r="C7" s="29" t="n"/>
      <c r="D7" s="29" t="n"/>
      <c r="E7" s="29" t="n"/>
      <c r="F7" s="29" t="n"/>
      <c r="G7" s="29" t="n"/>
      <c r="H7" s="29" t="n"/>
    </row>
    <row r="8">
      <c r="A8" s="29" t="inlineStr">
        <is>
          <t>Other loan (not in the schedule or the DSCR — enter your loan in row 7)</t>
        </is>
      </c>
      <c r="B8" s="51" t="n">
        <v>0</v>
      </c>
      <c r="C8" s="29" t="inlineStr">
        <is>
          <t>A source of funds only: NOT amortized, so it is not in the schedule, the P&amp;L interest or the DSCR. Enter your bank or SBA 7(a) loan in row 7 ("Loan requested" in "0. Assumptions"); use this row only for a second loan</t>
        </is>
      </c>
      <c r="D8" s="29" t="n"/>
      <c r="E8" s="29" t="n"/>
      <c r="F8" s="29" t="n"/>
      <c r="G8" s="29" t="n"/>
      <c r="H8" s="29" t="n"/>
    </row>
    <row r="9">
      <c r="A9" s="29" t="inlineStr">
        <is>
          <t>SBA Microloan (not in the schedule or the DSCR — enter your loan in row 7)</t>
        </is>
      </c>
      <c r="B9" s="51" t="n">
        <v>0</v>
      </c>
      <c r="C9" s="29" t="inlineStr">
        <is>
          <t>SBA Microloans go up to $50,000 through nonprofit intermediaries. Like row 8, a source of funds only: not in the schedule or the DSCR. If it is your only loan, enter it in row 7 instead</t>
        </is>
      </c>
      <c r="D9" s="29" t="n"/>
      <c r="E9" s="29" t="n"/>
      <c r="F9" s="29" t="n"/>
      <c r="G9" s="29" t="n"/>
      <c r="H9" s="29" t="n"/>
    </row>
    <row r="10">
      <c r="A10" s="29" t="inlineStr">
        <is>
          <t>Investors / partners (equity: dilutes, not repaid)</t>
        </is>
      </c>
      <c r="B10" s="51" t="n">
        <v>0</v>
      </c>
      <c r="C10" s="29" t="inlineStr">
        <is>
          <t>Equity: it dilutes your ownership and is not repaid</t>
        </is>
      </c>
      <c r="D10" s="29" t="n"/>
      <c r="E10" s="29" t="n"/>
      <c r="F10" s="29" t="n"/>
      <c r="G10" s="29" t="n"/>
      <c r="H10" s="29" t="n"/>
    </row>
    <row r="11">
      <c r="A11" s="29" t="inlineStr">
        <is>
          <t>Local grants (usually paid after you spend)</t>
        </is>
      </c>
      <c r="B11" s="51" t="n">
        <v>0</v>
      </c>
      <c r="C11" s="29" t="inlineStr">
        <is>
          <t>Usually paid AFTER you document the spending</t>
        </is>
      </c>
      <c r="D11" s="29" t="n"/>
      <c r="E11" s="29" t="n"/>
      <c r="F11" s="29" t="n"/>
      <c r="G11" s="29" t="n"/>
      <c r="H11" s="29" t="n"/>
    </row>
    <row r="12">
      <c r="A12" s="26" t="inlineStr">
        <is>
          <t>TOTAL SOURCES OF FUNDS</t>
        </is>
      </c>
      <c r="B12" s="54">
        <f>IFERROR(IF(COUNT(B6:B11)=0,"",SUM(B6:B11)),"")</f>
        <v>276000.0</v>
      </c>
      <c r="C12" s="29" t="n"/>
      <c r="D12" s="29" t="n"/>
      <c r="E12" s="29" t="n"/>
      <c r="F12" s="29" t="n"/>
      <c r="G12" s="29" t="n"/>
      <c r="H12" s="29" t="n"/>
    </row>
    <row r="13">
      <c r="A13" s="26" t="inlineStr">
        <is>
          <t>USES OF FUNDS</t>
        </is>
      </c>
      <c r="B13" s="29" t="n"/>
      <c r="C13" s="29" t="n"/>
      <c r="D13" s="29" t="n"/>
      <c r="E13" s="29" t="n"/>
      <c r="F13" s="29" t="n"/>
      <c r="G13" s="29" t="n"/>
      <c r="H13" s="29" t="n"/>
    </row>
    <row r="14">
      <c r="A14" s="29" t="inlineStr">
        <is>
          <t>Total cash needed at launch</t>
        </is>
      </c>
      <c r="B14" s="41">
        <f>IFERROR(IF('Startup Costs'!$B$33="","",'Startup Costs'!$B$33),"")</f>
        <v>275612.3</v>
      </c>
      <c r="C14" s="29" t="inlineStr">
        <is>
          <t>Startup costs plus any recoverable tax you have to advance (zero by default in the US)</t>
        </is>
      </c>
      <c r="D14" s="29" t="n"/>
      <c r="E14" s="29" t="n"/>
      <c r="F14" s="29" t="n"/>
      <c r="G14" s="29" t="n"/>
      <c r="H14" s="29" t="n"/>
    </row>
    <row r="15">
      <c r="A15" s="26" t="inlineStr">
        <is>
          <t>Difference (sources - uses)</t>
        </is>
      </c>
      <c r="B15" s="54">
        <f>IFERROR(B12-B14,"")</f>
        <v>387.70000000001164</v>
      </c>
      <c r="C15" s="26" t="inlineStr">
        <is>
          <t>In red (negative), the plan is NOT funded. Far above zero is not free either: you pay interest on money you do not use</t>
        </is>
      </c>
      <c r="D15" s="29" t="n"/>
      <c r="E15" s="29" t="n"/>
      <c r="F15" s="29" t="n"/>
      <c r="G15" s="29" t="n"/>
      <c r="H15" s="29" t="n"/>
    </row>
    <row r="16">
      <c r="A16" s="29" t="inlineStr">
        <is>
          <t>Difference as a % of uses</t>
        </is>
      </c>
      <c r="B16" s="68">
        <f>IFERROR(B15/B14,"")</f>
        <v>0.0014066861312068135</v>
      </c>
      <c r="C16" s="29" t="inlineStr">
        <is>
          <t>Amber above the margin you set: it is debt you pay for without needing it</t>
        </is>
      </c>
      <c r="D16" s="29" t="n"/>
      <c r="E16" s="29" t="n"/>
      <c r="F16" s="29" t="n"/>
      <c r="G16" s="29" t="n"/>
      <c r="H16" s="29" t="n"/>
    </row>
    <row r="17">
      <c r="A17" s="29" t="inlineStr">
        <is>
          <t>Acceptable over-funding (%)</t>
        </is>
      </c>
      <c r="B17" s="74" t="n">
        <v>0.05</v>
      </c>
      <c r="C17" s="29" t="inlineStr">
        <is>
          <t>A small cushion over the need is healthy; 20% extra is interest thrown away</t>
        </is>
      </c>
      <c r="D17" s="29" t="n"/>
      <c r="E17" s="29" t="n"/>
      <c r="F17" s="29" t="n"/>
      <c r="G17" s="29" t="n"/>
      <c r="H17" s="29" t="n"/>
    </row>
    <row r="18">
      <c r="A18" s="29" t="inlineStr">
        <is>
          <t>Loan that would match sources to needs</t>
        </is>
      </c>
      <c r="B18" s="41">
        <f>IFERROR(MAX(0,B14-B12+B7),"")</f>
        <v>175612.3</v>
      </c>
      <c r="C18" s="29" t="inlineStr">
        <is>
          <t>Copy it into "Loan requested" in the "0. Assumptions" tab and the difference goes to zero. Rows 8-11 lower this figure, but only the row-7 loan is amortized and counted in the DSCR</t>
        </is>
      </c>
      <c r="D18" s="29" t="n"/>
      <c r="E18" s="29" t="n"/>
      <c r="F18" s="29" t="n"/>
      <c r="G18" s="29" t="n"/>
      <c r="H18" s="29" t="n"/>
    </row>
    <row r="19">
      <c r="A19" s="26" t="inlineStr">
        <is>
          <t>LOAN TERMS</t>
        </is>
      </c>
      <c r="B19" s="29" t="n"/>
      <c r="C19" s="29" t="n"/>
      <c r="D19" s="29" t="n"/>
      <c r="E19" s="29" t="n"/>
      <c r="F19" s="29" t="n"/>
      <c r="G19" s="29" t="n"/>
      <c r="H19" s="29" t="n"/>
    </row>
    <row r="20">
      <c r="A20" s="29" t="inlineStr">
        <is>
          <t>Principal amount</t>
        </is>
      </c>
      <c r="B20" s="41">
        <f>IFERROR(IF('0. Assumptions'!$B$31=0,"",'0. Assumptions'!$B$31),"")</f>
        <v>176000.0</v>
      </c>
      <c r="C20" s="29" t="n"/>
      <c r="D20" s="29" t="n"/>
      <c r="E20" s="29" t="n"/>
      <c r="F20" s="29" t="n"/>
      <c r="G20" s="29" t="n"/>
      <c r="H20" s="29" t="n"/>
    </row>
    <row r="21">
      <c r="A21" s="29" t="inlineStr">
        <is>
          <t>Nominal annual interest rate (not APR)</t>
        </is>
      </c>
      <c r="B21" s="68">
        <f>IFERROR(IF('0. Assumptions'!$B$32="","",'0. Assumptions'!$B$32),"")</f>
        <v>0.1</v>
      </c>
      <c r="C21" s="29" t="n"/>
      <c r="D21" s="29" t="n"/>
      <c r="E21" s="29" t="n"/>
      <c r="F21" s="29" t="n"/>
      <c r="G21" s="29" t="n"/>
      <c r="H21" s="29" t="n"/>
    </row>
    <row r="22">
      <c r="A22" s="29" t="inlineStr">
        <is>
          <t>Total term (years)</t>
        </is>
      </c>
      <c r="B22" s="41">
        <f>IFERROR(IF('0. Assumptions'!$B$33="","",'0. Assumptions'!$B$33),"")</f>
        <v>10.0</v>
      </c>
      <c r="C22" s="29" t="n"/>
      <c r="D22" s="29" t="n"/>
      <c r="E22" s="29" t="n"/>
      <c r="F22" s="29" t="n"/>
      <c r="G22" s="29" t="n"/>
      <c r="H22" s="29" t="n"/>
    </row>
    <row r="23">
      <c r="A23" s="29" t="inlineStr">
        <is>
          <t>Interest-only period applied (years)</t>
        </is>
      </c>
      <c r="B23" s="41">
        <f>IFERROR(IF(OR('0. Assumptions'!$B$34="",'0. Assumptions'!$B$33=""),"",IF('0. Assumptions'!$B$34&gt;='0. Assumptions'!$B$33,0,'0. Assumptions'!$B$34)),"")</f>
        <v>0.0</v>
      </c>
      <c r="C23" s="29" t="inlineStr">
        <is>
          <t>An interest-only period equal to or longer than the term does not exist: the sheet cancels it at the source</t>
        </is>
      </c>
      <c r="D23" s="29" t="n"/>
      <c r="E23" s="29" t="n"/>
      <c r="F23" s="29" t="n"/>
      <c r="G23" s="29" t="n"/>
      <c r="H23" s="29" t="n"/>
    </row>
    <row r="24">
      <c r="A24" s="26" t="inlineStr">
        <is>
          <t>Annual payment during repayment</t>
        </is>
      </c>
      <c r="B24" s="55">
        <f>IFERROR(IF(B22-B23&lt;=0,"",IF(B21=0,B20/(B22-B23),B20*B21/(1-(1+B21)^-(B22-B23)))),"")</f>
        <v>28643.189499322027</v>
      </c>
      <c r="C24" s="26" t="inlineStr">
        <is>
          <t>Standard amortizing loan with a level annual payment. At a 0% rate it is the principal divided by the repayment years: without that branch the schedule would shut down entirely</t>
        </is>
      </c>
      <c r="D24" s="29" t="n"/>
      <c r="E24" s="29" t="n"/>
      <c r="F24" s="29" t="n"/>
      <c r="G24" s="29" t="n"/>
      <c r="H24" s="29" t="n"/>
    </row>
    <row r="25">
      <c r="A25" s="26" t="inlineStr">
        <is>
          <t>AMORTIZATION SCHEDULE</t>
        </is>
      </c>
      <c r="B25" s="29" t="n"/>
      <c r="C25" s="29" t="n"/>
      <c r="D25" s="29" t="n"/>
      <c r="E25" s="29" t="n"/>
      <c r="F25" s="29" t="n"/>
      <c r="G25" s="29" t="n"/>
      <c r="H25" s="29" t="n"/>
    </row>
    <row r="26">
      <c r="A26" s="26" t="inlineStr">
        <is>
          <t>Year</t>
        </is>
      </c>
      <c r="B26" s="26" t="inlineStr">
        <is>
          <t>Opening balance</t>
        </is>
      </c>
      <c r="C26" s="26" t="inlineStr">
        <is>
          <t>Interest</t>
        </is>
      </c>
      <c r="D26" s="26" t="inlineStr">
        <is>
          <t>Principal repaid</t>
        </is>
      </c>
      <c r="E26" s="26" t="inlineStr">
        <is>
          <t>Total payment</t>
        </is>
      </c>
      <c r="F26" s="26" t="inlineStr">
        <is>
          <t>Closing balance</t>
        </is>
      </c>
      <c r="G26" s="26" t="inlineStr">
        <is>
          <t>Cash flow available for debt service (after tax; from year 4 on, year 3 held flat)</t>
        </is>
      </c>
      <c r="H26" s="26" t="inlineStr">
        <is>
          <t>DSCR for the year</t>
        </is>
      </c>
    </row>
    <row r="27">
      <c r="A27" s="41" t="n">
        <v>1</v>
      </c>
      <c r="B27" s="62">
        <f>IFERROR(IF(B20="","",B20),"")</f>
        <v>176000.0</v>
      </c>
      <c r="C27" s="62">
        <f>IFERROR(IF(OR(1&gt;B22,B27=""),"",B27*B21),"")</f>
        <v>17600.0</v>
      </c>
      <c r="D27" s="62">
        <f>IFERROR(IF(OR(1&gt;B22,B27=""),"",IF(1&lt;=B23,0,MIN(B27,B24-C27))),"")</f>
        <v>11043.189499322027</v>
      </c>
      <c r="E27" s="62">
        <f>IFERROR(IF(C27="","",C27+D27),"")</f>
        <v>28643.189499322027</v>
      </c>
      <c r="F27" s="62">
        <f>IFERROR(IF(D27="","",B27-D27),"")</f>
        <v>164956.81050067797</v>
      </c>
      <c r="G27" s="62">
        <f>IFERROR(IF(E27="","",'3-Year P&amp;L'!$B$40-'3-Year P&amp;L'!$B$45+'3-Year P&amp;L'!$B$35+'3-Year P&amp;L'!$B$36),"")</f>
        <v>76854.77857142859</v>
      </c>
      <c r="H27" s="62">
        <f>IFERROR(IF(OR(E27="",E27=0),"",G27/E27),"")</f>
        <v>2.683178092762599</v>
      </c>
    </row>
    <row r="28">
      <c r="A28" s="41" t="n">
        <v>2</v>
      </c>
      <c r="B28" s="62">
        <f>IFERROR(IF(OR(2&gt;B22,F27=""),"",F27),"")</f>
        <v>164956.81050067797</v>
      </c>
      <c r="C28" s="62">
        <f>IFERROR(IF(OR(2&gt;B22,B28=""),"",B28*B21),"")</f>
        <v>16495.681050067797</v>
      </c>
      <c r="D28" s="62">
        <f>IFERROR(IF(OR(2&gt;B22,B28=""),"",IF(2&lt;=B23,0,MIN(B28,B24-C28))),"")</f>
        <v>12147.50844925423</v>
      </c>
      <c r="E28" s="62">
        <f>IFERROR(IF(C28="","",C28+D28),"")</f>
        <v>28643.189499322027</v>
      </c>
      <c r="F28" s="62">
        <f>IFERROR(IF(D28="","",B28-D28),"")</f>
        <v>152809.30205142373</v>
      </c>
      <c r="G28" s="62">
        <f>IFERROR(IF(E28="","",'3-Year P&amp;L'!$C$40-'3-Year P&amp;L'!$C$45+'3-Year P&amp;L'!$C$35+'3-Year P&amp;L'!$C$36),"")</f>
        <v>90122.5138339455</v>
      </c>
      <c r="H28" s="62">
        <f>IFERROR(IF(OR(E28="",E28=0),"",G28/E28),"")</f>
        <v>3.146385420383392</v>
      </c>
    </row>
    <row r="29">
      <c r="A29" s="41" t="n">
        <v>3</v>
      </c>
      <c r="B29" s="62">
        <f>IFERROR(IF(OR(3&gt;B22,F28=""),"",F28),"")</f>
        <v>152809.30205142373</v>
      </c>
      <c r="C29" s="62">
        <f>IFERROR(IF(OR(3&gt;B22,B29=""),"",B29*B21),"")</f>
        <v>15280.930205142373</v>
      </c>
      <c r="D29" s="62">
        <f>IFERROR(IF(OR(3&gt;B22,B29=""),"",IF(3&lt;=B23,0,MIN(B29,B24-C29))),"")</f>
        <v>13362.259294179654</v>
      </c>
      <c r="E29" s="62">
        <f>IFERROR(IF(C29="","",C29+D29),"")</f>
        <v>28643.189499322027</v>
      </c>
      <c r="F29" s="62">
        <f>IFERROR(IF(D29="","",B29-D29),"")</f>
        <v>139447.04275724408</v>
      </c>
      <c r="G29" s="62">
        <f>IFERROR(IF(E29="","",'3-Year P&amp;L'!$D$40-'3-Year P&amp;L'!$D$45+'3-Year P&amp;L'!$D$35+'3-Year P&amp;L'!$D$36),"")</f>
        <v>98289.78872271423</v>
      </c>
      <c r="H29" s="62">
        <f>IFERROR(IF(OR(E29="",E29=0),"",G29/E29),"")</f>
        <v>3.431523878478712</v>
      </c>
    </row>
    <row r="30">
      <c r="A30" s="41" t="n">
        <v>4</v>
      </c>
      <c r="B30" s="62">
        <f>IFERROR(IF(OR(4&gt;B22,F29=""),"",F29),"")</f>
        <v>139447.04275724408</v>
      </c>
      <c r="C30" s="62">
        <f>IFERROR(IF(OR(4&gt;B22,B30=""),"",B30*B21),"")</f>
        <v>13944.704275724409</v>
      </c>
      <c r="D30" s="62">
        <f>IFERROR(IF(OR(4&gt;B22,B30=""),"",IF(4&lt;=B23,0,MIN(B30,B24-C30))),"")</f>
        <v>14698.485223597618</v>
      </c>
      <c r="E30" s="62">
        <f>IFERROR(IF(C30="","",C30+D30),"")</f>
        <v>28643.189499322027</v>
      </c>
      <c r="F30" s="62">
        <f>IFERROR(IF(D30="","",B30-D30),"")</f>
        <v>124748.55753364647</v>
      </c>
      <c r="G30" s="62">
        <f>IFERROR(IF(E30="","",'3-Year P&amp;L'!$D$40-'3-Year P&amp;L'!$D$45+'3-Year P&amp;L'!$D$35+'3-Year P&amp;L'!$D$36),"")</f>
        <v>98289.78872271423</v>
      </c>
      <c r="H30" s="62">
        <f>IFERROR(IF(OR(E30="",E30=0),"",G30/E30),"")</f>
        <v>3.431523878478712</v>
      </c>
    </row>
    <row r="31">
      <c r="A31" s="41" t="n">
        <v>5</v>
      </c>
      <c r="B31" s="62">
        <f>IFERROR(IF(OR(5&gt;B22,F30=""),"",F30),"")</f>
        <v>124748.55753364647</v>
      </c>
      <c r="C31" s="62">
        <f>IFERROR(IF(OR(5&gt;B22,B31=""),"",B31*B21),"")</f>
        <v>12474.855753364647</v>
      </c>
      <c r="D31" s="62">
        <f>IFERROR(IF(OR(5&gt;B22,B31=""),"",IF(5&lt;=B23,0,MIN(B31,B24-C31))),"")</f>
        <v>16168.33374595738</v>
      </c>
      <c r="E31" s="62">
        <f>IFERROR(IF(C31="","",C31+D31),"")</f>
        <v>28643.189499322027</v>
      </c>
      <c r="F31" s="62">
        <f>IFERROR(IF(D31="","",B31-D31),"")</f>
        <v>108580.22378768909</v>
      </c>
      <c r="G31" s="62">
        <f>IFERROR(IF(E31="","",'3-Year P&amp;L'!$D$40-'3-Year P&amp;L'!$D$45+'3-Year P&amp;L'!$D$35+'3-Year P&amp;L'!$D$36),"")</f>
        <v>98289.78872271423</v>
      </c>
      <c r="H31" s="62">
        <f>IFERROR(IF(OR(E31="",E31=0),"",G31/E31),"")</f>
        <v>3.431523878478712</v>
      </c>
    </row>
    <row r="32">
      <c r="A32" s="41" t="n">
        <v>6</v>
      </c>
      <c r="B32" s="62">
        <f>IFERROR(IF(OR(6&gt;B22,F31=""),"",F31),"")</f>
        <v>108580.22378768909</v>
      </c>
      <c r="C32" s="62">
        <f>IFERROR(IF(OR(6&gt;B22,B32=""),"",B32*B21),"")</f>
        <v>10858.02237876891</v>
      </c>
      <c r="D32" s="62">
        <f>IFERROR(IF(OR(6&gt;B22,B32=""),"",IF(6&lt;=B23,0,MIN(B32,B24-C32))),"")</f>
        <v>17785.167120553117</v>
      </c>
      <c r="E32" s="62">
        <f>IFERROR(IF(C32="","",C32+D32),"")</f>
        <v>28643.189499322027</v>
      </c>
      <c r="F32" s="62">
        <f>IFERROR(IF(D32="","",B32-D32),"")</f>
        <v>90795.05666713597</v>
      </c>
      <c r="G32" s="62">
        <f>IFERROR(IF(E32="","",'3-Year P&amp;L'!$D$40-'3-Year P&amp;L'!$D$45+'3-Year P&amp;L'!$D$35+'3-Year P&amp;L'!$D$36),"")</f>
        <v>98289.78872271423</v>
      </c>
      <c r="H32" s="62">
        <f>IFERROR(IF(OR(E32="",E32=0),"",G32/E32),"")</f>
        <v>3.431523878478712</v>
      </c>
    </row>
    <row r="33">
      <c r="A33" s="41" t="n">
        <v>7</v>
      </c>
      <c r="B33" s="62">
        <f>IFERROR(IF(OR(7&gt;B22,F32=""),"",F32),"")</f>
        <v>90795.05666713597</v>
      </c>
      <c r="C33" s="62">
        <f>IFERROR(IF(OR(7&gt;B22,B33=""),"",B33*B21),"")</f>
        <v>9079.505666713598</v>
      </c>
      <c r="D33" s="62">
        <f>IFERROR(IF(OR(7&gt;B22,B33=""),"",IF(7&lt;=B23,0,MIN(B33,B24-C33))),"")</f>
        <v>19563.68383260843</v>
      </c>
      <c r="E33" s="62">
        <f>IFERROR(IF(C33="","",C33+D33),"")</f>
        <v>28643.189499322027</v>
      </c>
      <c r="F33" s="62">
        <f>IFERROR(IF(D33="","",B33-D33),"")</f>
        <v>71231.37283452754</v>
      </c>
      <c r="G33" s="62">
        <f>IFERROR(IF(E33="","",'3-Year P&amp;L'!$D$40-'3-Year P&amp;L'!$D$45+'3-Year P&amp;L'!$D$35+'3-Year P&amp;L'!$D$36),"")</f>
        <v>98289.78872271423</v>
      </c>
      <c r="H33" s="62">
        <f>IFERROR(IF(OR(E33="",E33=0),"",G33/E33),"")</f>
        <v>3.431523878478712</v>
      </c>
    </row>
    <row r="34">
      <c r="A34" s="41" t="n">
        <v>8</v>
      </c>
      <c r="B34" s="62">
        <f>IFERROR(IF(OR(8&gt;B22,F33=""),"",F33),"")</f>
        <v>71231.37283452754</v>
      </c>
      <c r="C34" s="62">
        <f>IFERROR(IF(OR(8&gt;B22,B34=""),"",B34*B21),"")</f>
        <v>7123.137283452755</v>
      </c>
      <c r="D34" s="62">
        <f>IFERROR(IF(OR(8&gt;B22,B34=""),"",IF(8&lt;=B23,0,MIN(B34,B24-C34))),"")</f>
        <v>21520.052215869273</v>
      </c>
      <c r="E34" s="62">
        <f>IFERROR(IF(C34="","",C34+D34),"")</f>
        <v>28643.189499322027</v>
      </c>
      <c r="F34" s="62">
        <f>IFERROR(IF(D34="","",B34-D34),"")</f>
        <v>49711.32061865827</v>
      </c>
      <c r="G34" s="62">
        <f>IFERROR(IF(E34="","",'3-Year P&amp;L'!$D$40-'3-Year P&amp;L'!$D$45+'3-Year P&amp;L'!$D$35+'3-Year P&amp;L'!$D$36),"")</f>
        <v>98289.78872271423</v>
      </c>
      <c r="H34" s="62">
        <f>IFERROR(IF(OR(E34="",E34=0),"",G34/E34),"")</f>
        <v>3.431523878478712</v>
      </c>
    </row>
    <row r="35">
      <c r="A35" s="41" t="n">
        <v>9</v>
      </c>
      <c r="B35" s="62">
        <f>IFERROR(IF(OR(9&gt;B22,F34=""),"",F34),"")</f>
        <v>49711.32061865827</v>
      </c>
      <c r="C35" s="62">
        <f>IFERROR(IF(OR(9&gt;B22,B35=""),"",B35*B21),"")</f>
        <v>4971.132061865827</v>
      </c>
      <c r="D35" s="62">
        <f>IFERROR(IF(OR(9&gt;B22,B35=""),"",IF(9&lt;=B23,0,MIN(B35,B24-C35))),"")</f>
        <v>23672.0574374562</v>
      </c>
      <c r="E35" s="62">
        <f>IFERROR(IF(C35="","",C35+D35),"")</f>
        <v>28643.189499322027</v>
      </c>
      <c r="F35" s="62">
        <f>IFERROR(IF(D35="","",B35-D35),"")</f>
        <v>26039.26318120207</v>
      </c>
      <c r="G35" s="62">
        <f>IFERROR(IF(E35="","",'3-Year P&amp;L'!$D$40-'3-Year P&amp;L'!$D$45+'3-Year P&amp;L'!$D$35+'3-Year P&amp;L'!$D$36),"")</f>
        <v>98289.78872271423</v>
      </c>
      <c r="H35" s="62">
        <f>IFERROR(IF(OR(E35="",E35=0),"",G35/E35),"")</f>
        <v>3.431523878478712</v>
      </c>
    </row>
    <row r="36">
      <c r="A36" s="41" t="n">
        <v>10</v>
      </c>
      <c r="B36" s="62">
        <f>IFERROR(IF(OR(10&gt;B22,F35=""),"",F35),"")</f>
        <v>26039.26318120207</v>
      </c>
      <c r="C36" s="62">
        <f>IFERROR(IF(OR(10&gt;B22,B36=""),"",B36*B21),"")</f>
        <v>2603.9263181202073</v>
      </c>
      <c r="D36" s="62">
        <f>IFERROR(IF(OR(10&gt;B22,B36=""),"",IF(10&lt;=B23,0,MIN(B36,B24-C36))),"")</f>
        <v>26039.26318120182</v>
      </c>
      <c r="E36" s="62">
        <f>IFERROR(IF(C36="","",C36+D36),"")</f>
        <v>28643.189499322027</v>
      </c>
      <c r="F36" s="62">
        <f>IFERROR(IF(D36="","",B36-D36),"")</f>
        <v>2.510205376893282e-10</v>
      </c>
      <c r="G36" s="62">
        <f>IFERROR(IF(E36="","",'3-Year P&amp;L'!$D$40-'3-Year P&amp;L'!$D$45+'3-Year P&amp;L'!$D$35+'3-Year P&amp;L'!$D$36),"")</f>
        <v>98289.78872271423</v>
      </c>
      <c r="H36" s="62">
        <f>IFERROR(IF(OR(E36="",E36=0),"",G36/E36),"")</f>
        <v>3.431523878478712</v>
      </c>
    </row>
    <row r="37">
      <c r="A37" s="41" t="n">
        <v>11</v>
      </c>
      <c r="B37" s="62">
        <f>IFERROR(IF(OR(11&gt;B22,F36=""),"",F36),"")</f>
        <v/>
      </c>
      <c r="C37" s="62">
        <f>IFERROR(IF(OR(11&gt;B22,B37=""),"",B37*B21),"")</f>
        <v/>
      </c>
      <c r="D37" s="62">
        <f>IFERROR(IF(OR(11&gt;B22,B37=""),"",IF(11&lt;=B23,0,MIN(B37,B24-C37))),"")</f>
        <v/>
      </c>
      <c r="E37" s="62">
        <f>IFERROR(IF(C37="","",C37+D37),"")</f>
        <v/>
      </c>
      <c r="F37" s="62">
        <f>IFERROR(IF(D37="","",B37-D37),"")</f>
        <v/>
      </c>
      <c r="G37" s="62">
        <f>IFERROR(IF(E37="","",'3-Year P&amp;L'!$D$40-'3-Year P&amp;L'!$D$45+'3-Year P&amp;L'!$D$35+'3-Year P&amp;L'!$D$36),"")</f>
        <v/>
      </c>
      <c r="H37" s="62">
        <f>IFERROR(IF(OR(E37="",E37=0),"",G37/E37),"")</f>
        <v/>
      </c>
    </row>
    <row r="38">
      <c r="A38" s="41" t="n">
        <v>12</v>
      </c>
      <c r="B38" s="62">
        <f>IFERROR(IF(OR(12&gt;B22,F37=""),"",F37),"")</f>
        <v/>
      </c>
      <c r="C38" s="62">
        <f>IFERROR(IF(OR(12&gt;B22,B38=""),"",B38*B21),"")</f>
        <v/>
      </c>
      <c r="D38" s="62">
        <f>IFERROR(IF(OR(12&gt;B22,B38=""),"",IF(12&lt;=B23,0,MIN(B38,B24-C38))),"")</f>
        <v/>
      </c>
      <c r="E38" s="62">
        <f>IFERROR(IF(C38="","",C38+D38),"")</f>
        <v/>
      </c>
      <c r="F38" s="62">
        <f>IFERROR(IF(D38="","",B38-D38),"")</f>
        <v/>
      </c>
      <c r="G38" s="62">
        <f>IFERROR(IF(E38="","",'3-Year P&amp;L'!$D$40-'3-Year P&amp;L'!$D$45+'3-Year P&amp;L'!$D$35+'3-Year P&amp;L'!$D$36),"")</f>
        <v/>
      </c>
      <c r="H38" s="62">
        <f>IFERROR(IF(OR(E38="",E38=0),"",G38/E38),"")</f>
        <v/>
      </c>
    </row>
    <row r="39">
      <c r="A39" s="41" t="n">
        <v>13</v>
      </c>
      <c r="B39" s="62">
        <f>IFERROR(IF(OR(13&gt;B22,F38=""),"",F38),"")</f>
        <v/>
      </c>
      <c r="C39" s="62">
        <f>IFERROR(IF(OR(13&gt;B22,B39=""),"",B39*B21),"")</f>
        <v/>
      </c>
      <c r="D39" s="62">
        <f>IFERROR(IF(OR(13&gt;B22,B39=""),"",IF(13&lt;=B23,0,MIN(B39,B24-C39))),"")</f>
        <v/>
      </c>
      <c r="E39" s="62">
        <f>IFERROR(IF(C39="","",C39+D39),"")</f>
        <v/>
      </c>
      <c r="F39" s="62">
        <f>IFERROR(IF(D39="","",B39-D39),"")</f>
        <v/>
      </c>
      <c r="G39" s="62">
        <f>IFERROR(IF(E39="","",'3-Year P&amp;L'!$D$40-'3-Year P&amp;L'!$D$45+'3-Year P&amp;L'!$D$35+'3-Year P&amp;L'!$D$36),"")</f>
        <v/>
      </c>
      <c r="H39" s="62">
        <f>IFERROR(IF(OR(E39="",E39=0),"",G39/E39),"")</f>
        <v/>
      </c>
    </row>
    <row r="40">
      <c r="A40" s="41" t="n">
        <v>14</v>
      </c>
      <c r="B40" s="62">
        <f>IFERROR(IF(OR(14&gt;B22,F39=""),"",F39),"")</f>
        <v/>
      </c>
      <c r="C40" s="62">
        <f>IFERROR(IF(OR(14&gt;B22,B40=""),"",B40*B21),"")</f>
        <v/>
      </c>
      <c r="D40" s="62">
        <f>IFERROR(IF(OR(14&gt;B22,B40=""),"",IF(14&lt;=B23,0,MIN(B40,B24-C40))),"")</f>
        <v/>
      </c>
      <c r="E40" s="62">
        <f>IFERROR(IF(C40="","",C40+D40),"")</f>
        <v/>
      </c>
      <c r="F40" s="62">
        <f>IFERROR(IF(D40="","",B40-D40),"")</f>
        <v/>
      </c>
      <c r="G40" s="62">
        <f>IFERROR(IF(E40="","",'3-Year P&amp;L'!$D$40-'3-Year P&amp;L'!$D$45+'3-Year P&amp;L'!$D$35+'3-Year P&amp;L'!$D$36),"")</f>
        <v/>
      </c>
      <c r="H40" s="62">
        <f>IFERROR(IF(OR(E40="",E40=0),"",G40/E40),"")</f>
        <v/>
      </c>
    </row>
    <row r="41">
      <c r="A41" s="41" t="n">
        <v>15</v>
      </c>
      <c r="B41" s="62">
        <f>IFERROR(IF(OR(15&gt;B22,F40=""),"",F40),"")</f>
        <v/>
      </c>
      <c r="C41" s="62">
        <f>IFERROR(IF(OR(15&gt;B22,B41=""),"",B41*B21),"")</f>
        <v/>
      </c>
      <c r="D41" s="62">
        <f>IFERROR(IF(OR(15&gt;B22,B41=""),"",IF(15&lt;=B23,0,MIN(B41,B24-C41))),"")</f>
        <v/>
      </c>
      <c r="E41" s="62">
        <f>IFERROR(IF(C41="","",C41+D41),"")</f>
        <v/>
      </c>
      <c r="F41" s="62">
        <f>IFERROR(IF(D41="","",B41-D41),"")</f>
        <v/>
      </c>
      <c r="G41" s="62">
        <f>IFERROR(IF(E41="","",'3-Year P&amp;L'!$D$40-'3-Year P&amp;L'!$D$45+'3-Year P&amp;L'!$D$35+'3-Year P&amp;L'!$D$36),"")</f>
        <v/>
      </c>
      <c r="H41" s="62">
        <f>IFERROR(IF(OR(E41="",E41=0),"",G41/E41),"")</f>
        <v/>
      </c>
    </row>
    <row r="42">
      <c r="A42" s="29" t="inlineStr">
        <is>
          <t>Schedule closing tolerance</t>
        </is>
      </c>
      <c r="B42" s="76" t="n">
        <v>0.01</v>
      </c>
      <c r="C42" s="29" t="inlineStr">
        <is>
          <t>Rounding margin. Above it, the schedule does not close and there is principal left unpaid</t>
        </is>
      </c>
      <c r="D42" s="29" t="n"/>
      <c r="E42" s="29" t="n"/>
      <c r="F42" s="29" t="n"/>
      <c r="G42" s="29" t="n"/>
      <c r="H42" s="29" t="n"/>
    </row>
    <row r="43">
      <c r="A43" s="29" t="inlineStr">
        <is>
          <t>Balance outstanding at maturity</t>
        </is>
      </c>
      <c r="B43" s="62">
        <f>IFERROR(IF(B20="","",ROUND(B20-SUM(D27:D41),2)),"")</f>
        <v>0.0</v>
      </c>
      <c r="C43" s="29" t="inlineStr">
        <is>
          <t>Must be zero: the principal repaid in the schedule has to equal the amount borrowed. If it is positive, the term falls short</t>
        </is>
      </c>
      <c r="D43" s="29" t="n"/>
      <c r="E43" s="29" t="n"/>
      <c r="F43" s="29" t="n"/>
      <c r="G43" s="29" t="n"/>
      <c r="H43" s="29" t="n"/>
    </row>
    <row r="44">
      <c r="A44" s="29" t="inlineStr">
        <is>
          <t>Year-1 interest</t>
        </is>
      </c>
      <c r="B44" s="41">
        <f>IFERROR(IF(B20="","",IF(C27="",0,C27)),"")</f>
        <v>17600.0</v>
      </c>
      <c r="C44" s="29" t="n"/>
      <c r="D44" s="29" t="n"/>
      <c r="E44" s="29" t="n"/>
      <c r="F44" s="29" t="n"/>
      <c r="G44" s="29" t="n"/>
      <c r="H44" s="29" t="n"/>
    </row>
    <row r="45">
      <c r="A45" s="29" t="inlineStr">
        <is>
          <t>Year-1 principal repaid</t>
        </is>
      </c>
      <c r="B45" s="41">
        <f>IFERROR(IF(B20="","",IF(D27="",0,D27)),"")</f>
        <v>11043.189499322027</v>
      </c>
      <c r="C45" s="29" t="n"/>
      <c r="D45" s="29" t="n"/>
      <c r="E45" s="29" t="n"/>
      <c r="F45" s="29" t="n"/>
      <c r="G45" s="29" t="n"/>
      <c r="H45" s="29" t="n"/>
    </row>
    <row r="46">
      <c r="A46" s="29" t="inlineStr">
        <is>
          <t>Year-2 interest</t>
        </is>
      </c>
      <c r="B46" s="41">
        <f>IFERROR(IF(B20="","",IF(C28="",0,C28)),"")</f>
        <v>16495.681050067797</v>
      </c>
      <c r="C46" s="29" t="n"/>
      <c r="D46" s="29" t="n"/>
      <c r="E46" s="29" t="n"/>
      <c r="F46" s="29" t="n"/>
      <c r="G46" s="29" t="n"/>
      <c r="H46" s="29" t="n"/>
    </row>
    <row r="47">
      <c r="A47" s="29" t="inlineStr">
        <is>
          <t>Year-2 principal repaid</t>
        </is>
      </c>
      <c r="B47" s="41">
        <f>IFERROR(IF(B20="","",IF(D28="",0,D28)),"")</f>
        <v>12147.50844925423</v>
      </c>
      <c r="C47" s="29" t="n"/>
      <c r="D47" s="29" t="n"/>
      <c r="E47" s="29" t="n"/>
      <c r="F47" s="29" t="n"/>
      <c r="G47" s="29" t="n"/>
      <c r="H47" s="29" t="n"/>
    </row>
    <row r="48">
      <c r="A48" s="29" t="inlineStr">
        <is>
          <t>Year-3 interest</t>
        </is>
      </c>
      <c r="B48" s="41">
        <f>IFERROR(IF(B20="","",IF(C29="",0,C29)),"")</f>
        <v>15280.930205142373</v>
      </c>
      <c r="C48" s="29" t="n"/>
      <c r="D48" s="29" t="n"/>
      <c r="E48" s="29" t="n"/>
      <c r="F48" s="29" t="n"/>
      <c r="G48" s="29" t="n"/>
      <c r="H48" s="29" t="n"/>
    </row>
    <row r="49">
      <c r="A49" s="29" t="inlineStr">
        <is>
          <t>Year-3 principal repaid</t>
        </is>
      </c>
      <c r="B49" s="41">
        <f>IFERROR(IF(B20="","",IF(D29="",0,D29)),"")</f>
        <v>13362.259294179654</v>
      </c>
      <c r="C49" s="29" t="n"/>
      <c r="D49" s="29" t="n"/>
      <c r="E49" s="29" t="n"/>
      <c r="F49" s="29" t="n"/>
      <c r="G49" s="29" t="n"/>
      <c r="H49" s="29" t="n"/>
    </row>
    <row r="50">
      <c r="A50" s="26" t="inlineStr">
        <is>
          <t>DEBT SERVICE COVERAGE RATIO (DSCR)</t>
        </is>
      </c>
      <c r="B50" s="29" t="n"/>
      <c r="C50" s="29" t="n"/>
      <c r="D50" s="29" t="n"/>
      <c r="E50" s="29" t="n"/>
      <c r="F50" s="29" t="n"/>
      <c r="G50" s="29" t="n"/>
      <c r="H50" s="29" t="n"/>
    </row>
    <row r="51">
      <c r="A51" s="29" t="inlineStr">
        <is>
          <t>Year-1 DSCR</t>
        </is>
      </c>
      <c r="B51" s="62">
        <f>IFERROR(('3-Year P&amp;L'!$B$40-'3-Year P&amp;L'!$B$45+'3-Year P&amp;L'!$B$35+B44)/(B44+B45),"")</f>
        <v>2.683178092762599</v>
      </c>
      <c r="C51" s="29" t="inlineStr">
        <is>
          <t>An INTEREST-ONLY year, if there is one: with only interest in the denominator the ratio shoots up and does not measure the business</t>
        </is>
      </c>
      <c r="D51" s="29" t="n"/>
      <c r="E51" s="29" t="n"/>
      <c r="F51" s="29" t="n"/>
      <c r="G51" s="29" t="n"/>
      <c r="H51" s="29" t="n"/>
    </row>
    <row r="52">
      <c r="A52" s="29" t="inlineStr">
        <is>
          <t>Year-2 DSCR</t>
        </is>
      </c>
      <c r="B52" s="62">
        <f>IFERROR(('3-Year P&amp;L'!$C$40-'3-Year P&amp;L'!$C$45+'3-Year P&amp;L'!$C$35+B46)/(B46+B47),"")</f>
        <v>3.146385420383392</v>
      </c>
      <c r="C52" s="29" t="n"/>
      <c r="D52" s="29" t="n"/>
      <c r="E52" s="29" t="n"/>
      <c r="F52" s="29" t="n"/>
      <c r="G52" s="29" t="n"/>
      <c r="H52" s="29" t="n"/>
    </row>
    <row r="53">
      <c r="A53" s="29" t="inlineStr">
        <is>
          <t>Year-3 DSCR</t>
        </is>
      </c>
      <c r="B53" s="62">
        <f>IFERROR(('3-Year P&amp;L'!$D$40-'3-Year P&amp;L'!$D$45+'3-Year P&amp;L'!$D$35+B48)/(B48+B49),"")</f>
        <v>3.431523878478712</v>
      </c>
      <c r="C53" s="29" t="n"/>
      <c r="D53" s="29" t="n"/>
      <c r="E53" s="29" t="n"/>
      <c r="F53" s="29" t="n"/>
      <c r="G53" s="29" t="n"/>
      <c r="H53" s="29" t="n"/>
    </row>
    <row r="54">
      <c r="A54" s="26" t="inlineStr">
        <is>
          <t>Minimum DSCR across the whole schedule</t>
        </is>
      </c>
      <c r="B54" s="55">
        <f>IFERROR(IF(COUNT(H27:H41)=0,"",MIN(H27:H41)),"")</f>
        <v>2.683178092762599</v>
      </c>
      <c r="C54" s="26"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9" t="n"/>
      <c r="E54" s="29" t="n"/>
      <c r="F54" s="29" t="n"/>
      <c r="G54" s="29" t="n"/>
      <c r="H54" s="29" t="n"/>
    </row>
    <row r="55">
      <c r="A55" s="29" t="n"/>
      <c r="B55" s="29" t="n"/>
      <c r="C55" s="29" t="n"/>
      <c r="D55" s="29" t="n"/>
      <c r="E55" s="29" t="n"/>
      <c r="F55" s="29" t="n"/>
      <c r="G55" s="29" t="n"/>
      <c r="H55" s="29" t="n"/>
    </row>
    <row r="56" ht="165" customHeight="1">
      <c r="A56" s="48"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Taco Shop Financial Projections: 3-Year P&amp;L, Cash Flow &amp; Financing · Taco Shop Business Plan Kit</dc:title>
  <dc:description xmlns:dc="http://purl.org/dc/elements/1.1/">aichef.pro/en/digital-products/taco-shop-business-plan</dc:description>
  <dc:subject xmlns:dc="http://purl.org/dc/elements/1.1/">Taco Shop Business Plan Kit · v2.2</dc:subject>
  <dcterms:created xmlns:dcterms="http://purl.org/dc/terms/" xmlns:xsi="http://www.w3.org/2001/XMLSchema-instance" xsi:type="dcterms:W3CDTF">2026-03-26T14:15:52Z</dcterms:created>
  <dcterms:modified xmlns:dcterms="http://purl.org/dc/terms/" xmlns:xsi="http://www.w3.org/2001/XMLSchema-instance" xsi:type="dcterms:W3CDTF">2026-10-29T08:26:44Z</dcterms:modified>
  <cp:lastModifiedBy>AI Chef Pro</cp:lastModifiedBy>
  <cp:category>AI Chef Pro · Digital products</cp:category>
  <cp:keywords>taco shop business plan, taqueria business plan, how to open a taco shop, taco shop startup costs, trompo yield, AI Chef Pro</cp:keywords>
</cp:coreProperties>
</file>