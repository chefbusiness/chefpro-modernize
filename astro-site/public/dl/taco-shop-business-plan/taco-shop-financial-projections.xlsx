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115</v>
      </c>
      <c r="C4" t="inlineStr">
        <is>
          <t>Equivalent covers per day, year-1 average: about 60 dine-in (patio included from April through October) and about 55 from take-out, pickup and delivery marketplaces, which are the orders divided by the average check. A Saturday runs well above the average and a Tuesday well below it (Kit estimate). Compare it with the foot traffic on your street on a Friday night and a Tuesday at lunch, and with your own test orders</t>
        </is>
      </c>
    </row>
    <row r="5">
      <c r="A5" t="inlineStr">
        <is>
          <t>Average check (excl. sales tax)</t>
        </is>
      </c>
      <c r="B5" s="25" t="n">
        <v>17.5</v>
      </c>
      <c r="C5" t="inlineStr">
        <is>
          <t>Per cover, EXCL. sales tax and tip: an order of street tacos, some quesadilla or gringa, chips &amp; guac or a side, and a drink or so add up to about $17.50. The example uses a street taco at $4.00 on the menu (2.6 tacos per cover), a quesadilla or gringa at $11.50, chips &amp; guac or sides at $7.00 and drinks at $3.60 (Kit estimate). Street tacos run $3.00-3.75 on casual menus in mid-size cities (menus read in October 2026). The "Menu price incl. sales tax (calculated)" row below shows the price with your local rate applied</t>
        </is>
      </c>
    </row>
    <row r="6">
      <c r="A6" t="inlineStr">
        <is>
          <t>Operating days per year</t>
        </is>
      </c>
      <c r="B6" s="18" t="n">
        <v>308</v>
      </c>
      <c r="C6" t="inlineStr">
        <is>
          <t>365 days minus 52 closed Mondays, the main holidays (Thanksgiving, Christmas, New Year's Day, July 4) and one inventory day, rounded to 308.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the ceiling is set by the trompos, the griddle and the 30 seats on Friday and Saturday nights</t>
        </is>
      </c>
    </row>
    <row r="9">
      <c r="A9" t="inlineStr">
        <is>
          <t>Menu price incl. sales tax (calculated)</t>
        </is>
      </c>
      <c r="B9" s="24">
        <f>IFERROR(IF($B$5="","",$B$5*(1+SUMPRODUCT('3-Year P&amp;L'!$E$10:$E$11,'3-Year P&amp;L'!$G$10:$G$11))),"")</f>
        <v>18.900000000000002</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0.85</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0.15000000000000002</v>
      </c>
      <c r="C12" t="inlineStr">
        <is>
          <t>Calculated as the remainder: food + beverage = 100%</t>
        </is>
      </c>
    </row>
    <row r="13">
      <c r="A13" t="inlineStr">
        <is>
          <t>Cost of goods sold on FOOD sales</t>
        </is>
      </c>
      <c r="B13" s="64" t="n">
        <v>0.27</v>
      </c>
      <c r="C13" t="inlineStr">
        <is>
          <t>Cost of goods sold on food sales: the menu averages about 25% of menu price (street tacos and quesadillas about 25%, chips &amp; guac about 28% depending on the avocado, birria about 30%), plus 1.5 points of waste (leftover cone from the trompo and cut salsas that get thrown out) and a little prudence, because meat and tortilla prices are Kit estimates. Cost each taco with the Taco Cost &amp; Trompo Yield Calculator</t>
        </is>
      </c>
    </row>
    <row r="14">
      <c r="A14" t="inlineStr">
        <is>
          <t>Cost of goods sold on BEVERAGE sales</t>
        </is>
      </c>
      <c r="B14" s="64" t="n">
        <v>0.22</v>
      </c>
      <c r="C14" t="inlineStr">
        <is>
          <t>Weighted average of aguas frescas, sodas, water, Mexican beer and wine against their menu prices: aguas frescas and sodas cost a small share of their price, while beer and wine run higher and pull the average up. If your beer distributor lends you the tap equipment, get the keg price in writing</t>
        </is>
      </c>
    </row>
    <row r="15">
      <c r="A15" t="inlineStr">
        <is>
          <t>Disposables and packaging as % of sales</t>
        </is>
      </c>
      <c r="B15" s="64" t="n">
        <v>0.04</v>
      </c>
      <c r="C15" t="inlineStr">
        <is>
          <t>Clamshells, foil, salsa cups, bags, paper, napkins and gloves for everything that leaves the shop, plus take-out containers for leftovers. Some cities and states restrict foam and single-use plastics or require utensils only on request: check your local packaging ordinances</t>
        </is>
      </c>
    </row>
    <row r="16">
      <c r="A16" t="inlineStr">
        <is>
          <t>Delivery share of total sales</t>
        </is>
      </c>
      <c r="B16" s="64" t="n">
        <v>0.15</v>
      </c>
      <c r="C16" t="inlineStr">
        <is>
          <t>Sales through third-party delivery marketplaces (DoorDash, Uber Eats, Grubhub) as a share of total sales. Counter orders, pickup and direct phone or web orders pay no commission and do not go here. Tortillas travel worse than other dishes: a build-your-own order (meat, tortillas and toppings packed separately) holds up, but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2800</v>
      </c>
      <c r="C24" t="inlineStr">
        <is>
          <t>About 1,200 sq ft (111 sq m) with a hood and exhaust route to the roof possible (that is the filter for the space): a counter-service dining room with 30 seats, an open kitchen with the trompos, the griddle and the comal, restrooms (one ADA-accessible) and storage, on a street with steady foot traffic near a campus or a nightlife area in a mid-size city, second-generation space with no key money: about $28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1300</v>
      </c>
      <c r="C26" t="inlineStr">
        <is>
          <t>Electricity (refrigeration, exhaust, HVAC and the dish machine), the gas for the vertical broilers, the griddle, the comal and the range, and water. Ask the landlord for the space's utility history</t>
        </is>
      </c>
    </row>
    <row r="27">
      <c r="A27" t="inlineStr">
        <is>
          <t>Insurance (per year)</t>
        </is>
      </c>
      <c r="B27" s="18" t="n">
        <v>6000</v>
      </c>
      <c r="C27" t="inlineStr">
        <is>
          <t>General liability, liquor liability (beer &amp; wine), property coverage with equipment breakdown for the refrigeration, and workers' comp. Tell the carrier you cook with gas vertical broilers, a griddle and a fryer: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100000</v>
      </c>
      <c r="C30" t="inlineStr">
        <is>
          <t>Owner's cash. Lenders usually expect an owner equity injection (often around 10% for SBA start-ups; many want 20-30%) toward the cash need</t>
        </is>
      </c>
    </row>
    <row r="31">
      <c r="A31" t="inlineStr">
        <is>
          <t>Loan requested</t>
        </is>
      </c>
      <c r="B31" s="18" t="n">
        <v>176000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refrigeration and the kitchen equipment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which with Month 1 in January falls on the slowest months of the year (January and February)</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use the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Type I hood and exhaust, electrical service, plumbing, gas lines, HVAC, signage and facade. A 10-year straight-line life for the model; your tax depreciation schedule may differ (MACRS, Section 179), so confirm it with your CPA</t>
        </is>
      </c>
    </row>
    <row r="45">
      <c r="A45" t="inlineStr">
        <is>
          <t>Useful life of machinery, furniture and equipment (years)</t>
        </is>
      </c>
      <c r="B45" s="18" t="n">
        <v>7</v>
      </c>
      <c r="C45" t="inlineStr">
        <is>
          <t>Vertical broilers, griddle and comal, fryer, walk-in and refrigeration, dish machine,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3.8333333333333335</v>
      </c>
      <c r="C50" t="str">
        <f>IFERROR("That is "&amp;TEXT(INT(ROUND(B50,1)),"0")&amp;"."&amp;TEXT(ROUND(MOD(ROUND(B50,1),1)*10,0),"0")&amp;" seat turns per day on the "&amp;TEXT($B$51,"0")&amp;" seats in the cell below. "&amp;"It includes the take-out and delivery covers, which do not take a seat: the real turns of your dining room are lower (in the example, about half of the covers eat in). Compare it with the ceiling on seat turns typed in ""Break-Even"".","")</f>
        <v>That is 3.8 seat turns per day on the 30 seats in the cell below. It includes the take-out and delivery covers, which do not take a seat: the real turns of your dining room are lower (in the example, about half of the covers eat in). Compare it with the ceiling on seat turns typed in "Break-Even".</v>
      </c>
    </row>
    <row r="51">
      <c r="A51" t="inlineStr">
        <is>
          <t>Seating capacity of the space (indoor seats, patio not included)</t>
        </is>
      </c>
      <c r="B51" s="18" t="n">
        <v>30</v>
      </c>
      <c r="C51" t="inlineStr">
        <is>
          <t>Dining room seats. The patio adds 12 seats from April through October, with its own city patio permit, and guests who take their tacos to go or receive them at home do not use a seat: that is why the seat turns in the row above are higher than the real turns of your dining room</t>
        </is>
      </c>
    </row>
    <row r="52">
      <c r="A52" t="inlineStr">
        <is>
          <t>Month-1 activity as a % of steady-state activity</t>
        </is>
      </c>
      <c r="B52" s="64" t="n">
        <v>0.75</v>
      </c>
      <c r="C52" t="inlineStr">
        <is>
          <t>A new taqueria draws the curious in the first month, but a regular base takes a quarter to build: Month 1 (January) bills 75% of what it will bill at four months. At 100% the ramp is removed</t>
        </is>
      </c>
    </row>
    <row r="53">
      <c r="A53" t="inlineStr">
        <is>
          <t>Months to reach steady state</t>
        </is>
      </c>
      <c r="B53" s="18" t="n">
        <v>4</v>
      </c>
      <c r="C53" t="inlineStr">
        <is>
          <t>Four months to reach full pace: January through April, so you reach the spring patio season with a customer base</t>
        </is>
      </c>
    </row>
    <row r="54">
      <c r="A54" t="inlineStr">
        <is>
          <t>Months of rent BEFORE opening (build-out and permits)</t>
        </is>
      </c>
      <c r="B54" s="18" t="n">
        <v>2</v>
      </c>
      <c r="C54" t="inlineStr">
        <is>
          <t>Two months of rent before opening: the build-out, the hood and exhaust route and the permits.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exhaust route to the roof, the gas lines,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marketplaces pay out what they sell every few days (15% of sales in this example)</t>
        </is>
      </c>
    </row>
    <row r="59">
      <c r="A59" t="inlineStr">
        <is>
          <t>Average days to pay suppliers</t>
        </is>
      </c>
      <c r="B59" s="18" t="n">
        <v>14</v>
      </c>
      <c r="C59" t="inlineStr">
        <is>
          <t>Payment terms with your meat, tortilla, produce and beverage suppliers: what they finance for you. New accounts often start on COD, and terms are the first thing you lose if you pay late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0.3</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aguas frescas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TACO SHOP BUSINESS PLAN: COUNTER-SERVICE TAQUERIA</t>
        </is>
      </c>
    </row>
    <row r="2">
      <c r="A2" s="2" t="inlineStr">
        <is>
          <t>Estimated Startup Costs — counter-service taco shop with trompo and salsa bar, 30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197600.0</v>
      </c>
      <c r="C6" s="67">
        <f>IFERROR(B6/$B$30,"")</f>
        <v>0.7169491347084292</v>
      </c>
      <c r="D6" s="29" t="n"/>
      <c r="E6" s="29" t="n"/>
    </row>
    <row r="7">
      <c r="A7" s="29" t="inlineStr">
        <is>
          <t>Architect, MEP &amp; hood drawings, plan review &amp; permit fees</t>
        </is>
      </c>
      <c r="B7" s="51" t="n">
        <v>12000</v>
      </c>
      <c r="C7" s="68">
        <f>IFERROR(B7/$B$30,"")</f>
        <v>0.04353942113613943</v>
      </c>
      <c r="D7" s="29" t="inlineStr">
        <is>
          <t>Drawings for the build-out and the hood, plan review and permit fees. The beer &amp; wine license varies widely by state in cost and timing: ask your state agency early and add your own quote; this line does not assume one</t>
        </is>
      </c>
      <c r="E7" s="32" t="inlineStr">
        <is>
          <t>Yes</t>
        </is>
      </c>
    </row>
    <row r="8">
      <c r="A8" s="29" t="inlineStr">
        <is>
          <t>Build-out (second-generation space, 1,200 sq ft), signage &amp; facade</t>
        </is>
      </c>
      <c r="B8" s="51" t="n">
        <v>42000</v>
      </c>
      <c r="C8" s="68">
        <f>IFERROR(B8/$B$30,"")</f>
        <v>0.15238797397648798</v>
      </c>
      <c r="D8" s="29" t="inlineStr">
        <is>
          <t>Kitchen with washable wall finish and slip-resistant floor, restrooms (one ADA-accessible), ceilings and acoustic treatment, the counter and service line, plus signage and facade (about $4,000). Kit estimate: get two bids</t>
        </is>
      </c>
      <c r="E8" s="32" t="inlineStr">
        <is>
          <t>Yes</t>
        </is>
      </c>
    </row>
    <row r="9">
      <c r="A9" s="29" t="inlineStr">
        <is>
          <t>Type I hood, UL 300 fire suppression &amp; makeup air</t>
        </is>
      </c>
      <c r="B9" s="51" t="n">
        <v>22000</v>
      </c>
      <c r="C9" s="68">
        <f>IFERROR(B9/$B$30,"")</f>
        <v>0.07982227208292228</v>
      </c>
      <c r="D9" s="29" t="inlineStr">
        <is>
          <t>A Type I hood of 10-12 ft with UL 300 fire suppression and makeup air over the griddle, the fryer and the gas vertical broilers. Hood packages run $5,000-$25,000 and the example budgets $22,000. A charcoal trompo is a solid-fuel appliance (NFPA 96: its own exhaust, a spark arrestor and daily ash removal), so it is a variant, not the example. No manufacturer posts a price per foot: ask your mechanical contractor for a quote with your drawings, and ask the fire marshal in writing</t>
        </is>
      </c>
      <c r="E9" s="32" t="inlineStr">
        <is>
          <t>Yes</t>
        </is>
      </c>
    </row>
    <row r="10">
      <c r="A10" s="29" t="inlineStr">
        <is>
          <t>Electrical service, panel &amp; gas lines</t>
        </is>
      </c>
      <c r="B10" s="51" t="n">
        <v>9000</v>
      </c>
      <c r="C10" s="68">
        <f>IFERROR(B10/$B$30,"")</f>
        <v>0.03265456585210457</v>
      </c>
      <c r="D10" s="29" t="inlineStr">
        <is>
          <t>Electrical service and panel for the refrigeration, exhaust, HVAC and dish machine, plus the gas lines to the broilers, the griddle and the range. Ask for the available electrical and gas capacity BEFORE you sign the lease: a new service from the utility can take weeks or months</t>
        </is>
      </c>
      <c r="E10" s="32" t="inlineStr">
        <is>
          <t>Yes</t>
        </is>
      </c>
    </row>
    <row r="11">
      <c r="A11" s="29" t="inlineStr">
        <is>
          <t>Plumbing, grease interceptor &amp; HVAC</t>
        </is>
      </c>
      <c r="B11" s="51" t="n">
        <v>11000</v>
      </c>
      <c r="C11" s="68">
        <f>IFERROR(B11/$B$30,"")</f>
        <v>0.03991113604146114</v>
      </c>
      <c r="D11" s="29" t="inlineStr">
        <is>
          <t>Hot and cold water in the kitchen, drains with a grease interceptor ($3,500-$7,500), HVAC for the dining room and exhaust with makeup air for the support kitchen</t>
        </is>
      </c>
      <c r="E11" s="32" t="inlineStr">
        <is>
          <t>Yes</t>
        </is>
      </c>
    </row>
    <row r="12">
      <c r="A12" s="29" t="inlineStr">
        <is>
          <t>Vertical broilers (trompos) × 2</t>
        </is>
      </c>
      <c r="B12" s="51" t="n">
        <v>4000</v>
      </c>
      <c r="C12" s="68">
        <f>IFERROR(B12/$B$30,"")</f>
        <v>0.014513140378713141</v>
      </c>
      <c r="D12" s="29" t="inlineStr">
        <is>
          <t>Two gas vertical broilers: one for the al pastor and a second cone or backup. WebstaurantStore lists the Avantco VB203 at $999 and the Visvardis DG8A at $2,844 (Oct 2026); cones run about 30 lb (13.6 kg). The example budgets the pair plus trays, slicing knives and a pineapple holder. A charcoal trompo is a solid-fuel variant (NFPA 96)</t>
        </is>
      </c>
      <c r="E12" s="32" t="inlineStr">
        <is>
          <t>Yes</t>
        </is>
      </c>
    </row>
    <row r="13">
      <c r="A13" s="29" t="inlineStr">
        <is>
          <t>Flat-top griddle (36 in) &amp; comal</t>
        </is>
      </c>
      <c r="B13" s="51" t="n">
        <v>4000</v>
      </c>
      <c r="C13" s="68">
        <f>IFERROR(B13/$B$30,"")</f>
        <v>0.014513140378713141</v>
      </c>
      <c r="D13" s="29" t="inlineStr">
        <is>
          <t>A 36 in (91 cm) flat-top griddle for the meats and a comal to warm the tortillas. At WebstaurantStore a Vulcan VCRG36-M1 lists at $2,501 and a Star 636MF at $2,129 (Oct 2026); the comal is Kit estimate: get a quote</t>
        </is>
      </c>
      <c r="E13" s="32" t="inlineStr">
        <is>
          <t>Yes</t>
        </is>
      </c>
    </row>
    <row r="14">
      <c r="A14" s="29" t="inlineStr">
        <is>
          <t>Fryer, stock-pot range, steam table &amp; tortilla warmers</t>
        </is>
      </c>
      <c r="B14" s="51" t="n">
        <v>6500</v>
      </c>
      <c r="C14" s="68">
        <f>IFERROR(B14/$B$30,"")</f>
        <v>0.023583853115408854</v>
      </c>
      <c r="D14" s="29" t="inlineStr">
        <is>
          <t>Fryer for the chips, stock-pot range for the carnitas and guisados, a 4-well steam table (listings start around $1,119) and tortilla warmers. Kit estimate</t>
        </is>
      </c>
      <c r="E14" s="32" t="inlineStr">
        <is>
          <t>Yes</t>
        </is>
      </c>
    </row>
    <row r="15">
      <c r="A15" s="29" t="inlineStr">
        <is>
          <t>Walk-in cooler (6×8)</t>
        </is>
      </c>
      <c r="B15" s="51" t="n">
        <v>12800</v>
      </c>
      <c r="C15" s="68">
        <f>IFERROR(B15/$B$30,"")</f>
        <v>0.04644204921188205</v>
      </c>
      <c r="D15" s="29" t="inlineStr">
        <is>
          <t>A 6×8 ft (1.8×2.4 m) walk-in cooler for the marinated meat in volume. A Norlake Kold Locker lists at $12,808 (WebstaurantStore, Oct 2026)</t>
        </is>
      </c>
      <c r="E15" s="32" t="inlineStr">
        <is>
          <t>Yes</t>
        </is>
      </c>
    </row>
    <row r="16">
      <c r="A16" s="29" t="inlineStr">
        <is>
          <t>Refrigerated prep table, salsa bar &amp; freezer</t>
        </is>
      </c>
      <c r="B16" s="51" t="n">
        <v>6500</v>
      </c>
      <c r="C16" s="68">
        <f>IFERROR(B16/$B$30,"")</f>
        <v>0.023583853115408854</v>
      </c>
      <c r="D16" s="29" t="inlineStr">
        <is>
          <t>Refrigerated prep table for the garnishes, a refrigerated salsa bar and a freezer. No salsa bar price was read, so it is a Kit estimate: get two quotes</t>
        </is>
      </c>
      <c r="E16" s="32" t="inlineStr">
        <is>
          <t>Yes</t>
        </is>
      </c>
    </row>
    <row r="17">
      <c r="A17" s="29" t="inlineStr">
        <is>
          <t>3-comp sink, dish machine, hand sinks, shelving &amp; stainless</t>
        </is>
      </c>
      <c r="B17" s="51" t="n">
        <v>11000</v>
      </c>
      <c r="C17" s="68">
        <f>IFERROR(B17/$B$30,"")</f>
        <v>0.03991113604146114</v>
      </c>
      <c r="D17" s="29" t="inlineStr">
        <is>
          <t>Three-compartment sink, dish machine, hands-free hand sinks, stainless tables and shelving</t>
        </is>
      </c>
      <c r="E17" s="32" t="inlineStr">
        <is>
          <t>Yes</t>
        </is>
      </c>
    </row>
    <row r="18">
      <c r="A18" s="29" t="inlineStr">
        <is>
          <t>Smallwares &amp; tortilla presses (hotel pans, blenders, probe thermometers, scales)</t>
        </is>
      </c>
      <c r="B18" s="51" t="n">
        <v>6500</v>
      </c>
      <c r="C18" s="68">
        <f>IFERROR(B18/$B$30,"")</f>
        <v>0.023583853115408854</v>
      </c>
      <c r="D18" s="29" t="inlineStr">
        <is>
          <t>Hotel pans, blenders for the salsas, probe thermometers, scales, dishware and baskets, manual tortilla presses (a Choice 7½ in (19 cm) press lists at $17.49), the required public notices (health permit, beer &amp; wine license, labor law posters) and allergen signs (the 9 major allergens, including sesame: salsa macha = peanuts + sesame; flour tortillas = wheat). Food handler cards and the CFPM exam are budgeted in the P&amp;L</t>
        </is>
      </c>
      <c r="E18" s="32" t="inlineStr">
        <is>
          <t>Yes</t>
        </is>
      </c>
    </row>
    <row r="19">
      <c r="A19" s="29" t="inlineStr">
        <is>
          <t>Beverage station (beer cooler, agua fresca dispensers)</t>
        </is>
      </c>
      <c r="B19" s="51" t="n">
        <v>2000</v>
      </c>
      <c r="C19" s="68">
        <f>IFERROR(B19/$B$30,"")</f>
        <v>0.007256570189356571</v>
      </c>
      <c r="D19" s="29" t="inlineStr">
        <is>
          <t>Beer cooler and agua fresca dispensers. Kit estimate. If your beer distributor lends you the tap equipment, this line goes down</t>
        </is>
      </c>
      <c r="E19" s="32" t="inlineStr">
        <is>
          <t>Yes</t>
        </is>
      </c>
    </row>
    <row r="20">
      <c r="A20" s="29" t="inlineStr">
        <is>
          <t>Furniture (30 seats) &amp; patio (12)</t>
        </is>
      </c>
      <c r="B20" s="51" t="n">
        <v>10000</v>
      </c>
      <c r="C20" s="68">
        <f>IFERROR(B20/$B$30,"")</f>
        <v>0.03628285094678286</v>
      </c>
      <c r="D20" s="29" t="inlineStr">
        <is>
          <t>Tables and chairs for 30 seats in the dining room and 12 on the seasonal patio (April through October)</t>
        </is>
      </c>
      <c r="E20" s="32" t="inlineStr">
        <is>
          <t>Yes</t>
        </is>
      </c>
    </row>
    <row r="21">
      <c r="A21" s="29" t="inlineStr">
        <is>
          <t>POS, online ordering, kiosk &amp; delivery tablets</t>
        </is>
      </c>
      <c r="B21" s="51" t="n">
        <v>4500</v>
      </c>
      <c r="C21" s="68">
        <f>IFERROR(B21/$B$30,"")</f>
        <v>0.016327282926052285</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0.009070712736695715</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photos &amp; launch</t>
        </is>
      </c>
      <c r="B23" s="51" t="n">
        <v>5500</v>
      </c>
      <c r="C23" s="68">
        <f>IFERROR(B23/$B$30,"")</f>
        <v>0.01995556802073057</v>
      </c>
      <c r="D23" s="29" t="inlineStr">
        <is>
          <t>Brand identity, a website with the menu and online ordering, a photo shoot and the opening campaign</t>
        </is>
      </c>
      <c r="E23" s="32" t="inlineStr">
        <is>
          <t>Yes</t>
        </is>
      </c>
    </row>
    <row r="24">
      <c r="A24" s="29" t="inlineStr">
        <is>
          <t>Opening inventory</t>
        </is>
      </c>
      <c r="B24" s="51" t="n">
        <v>5000</v>
      </c>
      <c r="C24" s="68">
        <f>IFERROR(B24/$B$30,"")</f>
        <v>0.01814142547339143</v>
      </c>
      <c r="D24" s="29" t="inlineStr">
        <is>
          <t>Meat, dried chiles and imported Mexican specialty products (ask for lead times: they can take weeks), corn tortillas, beer and wine, soft drinks and the take-out packaging</t>
        </is>
      </c>
      <c r="E24" s="32" t="inlineStr">
        <is>
          <t>Yes</t>
        </is>
      </c>
    </row>
    <row r="25">
      <c r="A25" s="29" t="inlineStr">
        <is>
          <t>Security deposit</t>
        </is>
      </c>
      <c r="B25" s="41">
        <f>IFERROR(IF('0. Assumptions'!$B$24="","",'0. Assumptions'!$B$24*'0. Assumptions'!$B$25),"")</f>
        <v>5600.0</v>
      </c>
      <c r="C25" s="68">
        <f>IFERROR(B25/$B$30,"")</f>
        <v>0.020318396530198398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5600.0</v>
      </c>
      <c r="C26" s="68">
        <f>IFERROR(B26/$B$30,"")</f>
        <v>0.020318396530198398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9600.0</v>
      </c>
      <c r="C27" s="68">
        <f>IFERROR(B27/$B$30,"")</f>
        <v>0.03483153690891154</v>
      </c>
      <c r="D27" s="29" t="str">
        <f>IFERROR("At "&amp;TEXT('0. Assumptions'!$B$55,"0%")&amp;" of the BUILD-OUT items of this block (architect, MEP &amp; hood drawings and permit fees; build-out, signage &amp; facade; Type I hood, UL 300 fire suppression &amp; makeup air; "&amp;"electrical service, panel &amp; gas lines; plumbing, grease interceptor &amp; HVAC), not of the whole block: the trompos, the equipment and the other items are left out. No lender funds a build-out without a cushion: the percentage is in ""0. Assumptions""","")</f>
        <v>At 10% of the BUILD-OUT items of this block (architect, MEP &amp; hood drawings and permit fees; build-out, signage &amp; facade; Type I hood, UL 300 fire suppression &amp; makeup air; electrical service, panel &amp; gas lines; plumbing, grease interceptor &amp; HVAC), not of the whole block: the trompos, the equipment and the other items are left out. No lender funds a build-out without a cushion: the percentage is in "0. Assumptions"</v>
      </c>
      <c r="E27" s="29" t="inlineStr">
        <is>
          <t>Yes</t>
        </is>
      </c>
    </row>
    <row r="28">
      <c r="A28" s="26" t="inlineStr">
        <is>
          <t>WORKING CAPITAL</t>
        </is>
      </c>
      <c r="B28" s="54">
        <f>IFERROR(IF(B29="","",B29),"")</f>
        <v>78012.3</v>
      </c>
      <c r="C28" s="67">
        <f>IFERROR(B28/$B$30,"")</f>
        <v>0.2830508652915708</v>
      </c>
      <c r="D28" s="29" t="n"/>
      <c r="E28" s="29" t="n"/>
    </row>
    <row r="29">
      <c r="A29" s="29" t="inlineStr">
        <is>
          <t>Operating cushion until break-even</t>
        </is>
      </c>
      <c r="B29" s="41">
        <f>IFERROR(IF('0. Assumptions'!$B$35*('3-Year P&amp;L'!$B$37-'3-Year P&amp;L'!$B$35)=0,"",'0. Assumptions'!$B$35*('3-Year P&amp;L'!$B$37-'3-Year P&amp;L'!$B$35)/12),"")</f>
        <v>78012.3</v>
      </c>
      <c r="C29" s="68">
        <f>IFERROR(B29/$B$30,"")</f>
        <v>0.2830508652915708</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275612.3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(28% of the total). To compare the breakdown with another plan, use the CAPEX row below.</v>
      </c>
      <c r="E30" s="29" t="n"/>
    </row>
    <row r="31">
      <c r="A31" s="26" t="inlineStr">
        <is>
          <t>CAPEX (startup costs excluding working capital)</t>
        </is>
      </c>
      <c r="B31" s="54">
        <f>IFERROR(B30-B28,"")</f>
        <v>197600.0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275612.3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105600.0</v>
      </c>
      <c r="C35" s="29" t="n"/>
      <c r="D35" s="29" t="str">
        <f>IFERROR("Depreciated over "&amp;TEXT('0. Assumptions'!$B$44,"0")&amp;" years","")</f>
        <v>Depreciated over 10 years</v>
      </c>
      <c r="E35" s="29" t="n"/>
    </row>
    <row r="36">
      <c r="A36" s="29" t="inlineStr">
        <is>
          <t>Machinery, furniture and equipment</t>
        </is>
      </c>
      <c r="B36" s="41">
        <f>IFERROR(IF(B12="","",B12+B13+B14+B15+B16+B17+B18+B19+B20+B21),"")</f>
        <v>67800.0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20245.714285714286</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102212 of the 275612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counter-service taco shop with trompo, salsa bar and take-out</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115.0</v>
      </c>
      <c r="C6" s="41">
        <f>IFERROR(B6*(1+'0. Assumptions'!$B$7),"")</f>
        <v>121.9</v>
      </c>
      <c r="D6" s="41">
        <f>IFERROR(C6*(1+'0. Assumptions'!$B$8),"")</f>
        <v>126.77600000000001</v>
      </c>
      <c r="E6" s="29" t="n"/>
      <c r="F6" s="29" t="inlineStr">
        <is>
          <t>Growth for years 2 and 3 is set in "0. Assumptions"</t>
        </is>
      </c>
      <c r="G6" s="29" t="n"/>
      <c r="H6" s="29" t="n"/>
    </row>
    <row r="7">
      <c r="A7" s="29" t="inlineStr">
        <is>
          <t>Average check (excl. sales tax)</t>
        </is>
      </c>
      <c r="B7" s="62">
        <f>IFERROR(IF('0. Assumptions'!$B$5="","",'0. Assumptions'!$B$5),"")</f>
        <v>17.5</v>
      </c>
      <c r="C7" s="62">
        <f>IFERROR(IF(B7="","",B7),"")</f>
        <v>17.5</v>
      </c>
      <c r="D7" s="62">
        <f>IFERROR(IF(C7="","",C7),"")</f>
        <v>17.5</v>
      </c>
      <c r="E7" s="29" t="n"/>
      <c r="F7" s="29" t="inlineStr">
        <is>
          <t>Held constant at year-1 prices: a price increase is a separate decision</t>
        </is>
      </c>
      <c r="G7" s="29" t="n"/>
      <c r="H7" s="29" t="n"/>
    </row>
    <row r="8">
      <c r="A8" s="29" t="inlineStr">
        <is>
          <t>Operating days per year</t>
        </is>
      </c>
      <c r="B8" s="41">
        <f>IFERROR(IF('0. Assumptions'!$B$6="","",'0. Assumptions'!$B$6),"")</f>
        <v>308.0</v>
      </c>
      <c r="C8" s="41">
        <f>IFERROR(IF(B8="","",B8),"")</f>
        <v>308.0</v>
      </c>
      <c r="D8" s="41">
        <f>IFERROR(IF(C8="","",C8),"")</f>
        <v>308.0</v>
      </c>
      <c r="E8" s="29" t="n"/>
      <c r="F8" s="29" t="n"/>
      <c r="G8" s="29" t="n"/>
      <c r="H8" s="29" t="n"/>
    </row>
    <row r="9">
      <c r="A9" s="26" t="inlineStr">
        <is>
          <t>TOTAL REVENUE (excl. sales tax)</t>
        </is>
      </c>
      <c r="B9" s="54">
        <f>IFERROR(IF(B6*B7*B8=0,"",B6*B7*B8),"")</f>
        <v>619850.0</v>
      </c>
      <c r="C9" s="54">
        <f>IFERROR(IF(C6*C7*C8=0,"",C6*C7*C8),"")</f>
        <v>657041.0</v>
      </c>
      <c r="D9" s="54">
        <f>IFERROR(IF(D6*D7*D8=0,"",D6*D7*D8),"")</f>
        <v>683322.6400000001</v>
      </c>
      <c r="E9" s="67">
        <f>IFERROR(IF(B9="","",1),"")</f>
        <v>1.0</v>
      </c>
      <c r="F9" s="29" t="n"/>
      <c r="G9" s="29" t="n"/>
      <c r="H9" s="29" t="n"/>
    </row>
    <row r="10">
      <c r="A10" s="29" t="inlineStr">
        <is>
          <t>Food sales (tacos, quesadillas, plates &amp; sides: dine-in, take-out &amp; delivery)</t>
        </is>
      </c>
      <c r="B10" s="41">
        <f>IFERROR(IF(B9="","",B9*$E$10),"")</f>
        <v>526872.5</v>
      </c>
      <c r="C10" s="41">
        <f>IFERROR(IF(C9="","",C9*$E$10),"")</f>
        <v>558484.85</v>
      </c>
      <c r="D10" s="41">
        <f>IFERROR(IF(D9="","",D9*$E$10),"")</f>
        <v>580824.2440000001</v>
      </c>
      <c r="E10" s="68">
        <f>IFERROR(IF('0. Assumptions'!$B$11="","",'0. Assumptions'!$B$11),"")</f>
        <v>0.85</v>
      </c>
      <c r="F10" s="29" t="inlineStr">
        <is>
          <t>Tacos, gringas and quesadillas, plates and sides: about 52% dine-in, about 33% direct pickup and 15%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(aguas frescas, sodas, Mexican beer &amp; wine)</t>
        </is>
      </c>
      <c r="B11" s="41">
        <f>IFERROR(IF(B9="","",B9*$E$11),"")</f>
        <v>92977.50000000001</v>
      </c>
      <c r="C11" s="41">
        <f>IFERROR(IF(C9="","",C9*$E$11),"")</f>
        <v>98556.15000000001</v>
      </c>
      <c r="D11" s="41">
        <f>IFERROR(IF(D9="","",D9*$E$11),"")</f>
        <v>102498.39600000004</v>
      </c>
      <c r="E11" s="68">
        <f>IFERROR(IF('0. Assumptions'!$B$12="","",'0. Assumptions'!$B$12),"")</f>
        <v>0.15000000000000002</v>
      </c>
      <c r="F11" s="29" t="inlineStr">
        <is>
          <t>Dine-in beverages and the drinks that go out with orders (aguas frescas, sodas, Mexican beer &amp; wine)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0.07999999999999999</v>
      </c>
      <c r="H11" s="74" t="n">
        <v>0.3</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142255.575</v>
      </c>
      <c r="C13" s="41">
        <f>IFERROR(IF(C9="","",C9*'0. Assumptions'!$B$11*'0. Assumptions'!$B$13),"")</f>
        <v>150790.9095</v>
      </c>
      <c r="D13" s="41">
        <f>IFERROR(IF(D9="","",D9*'0. Assumptions'!$B$11*'0. Assumptions'!$B$13),"")</f>
        <v>156822.54588000002</v>
      </c>
      <c r="E13" s="68">
        <f>IFERROR(B13/$B$9,"")</f>
        <v>0.2295</v>
      </c>
      <c r="F13" s="29" t="str">
        <f>IFERROR("At "&amp;TEXT('0. Assumptions'!$B$13,"0%")&amp;" of FOOD sales, not of total sales: beverages have their own line · pork shoulder and other meats, corn tortillas, chiles, produce, avocados and cheese: check it against your distributor invoices and the Taco Cost &amp; Trompo Yield Calculator","")</f>
        <v>At 27% of FOOD sales, not of total sales: beverages have their own line · pork shoulder and other meats, corn tortillas, chiles, produce, avocados and cheese: check it against your distributor invoices and the Taco Cost &amp; Trompo Yield Calculator</v>
      </c>
      <c r="G13" s="74" t="n">
        <v>0</v>
      </c>
      <c r="H13" s="29" t="n"/>
    </row>
    <row r="14">
      <c r="A14" s="29" t="inlineStr">
        <is>
          <t>Cost of goods sold — beverage</t>
        </is>
      </c>
      <c r="B14" s="41">
        <f>IFERROR(IF(B9="","",B9*'0. Assumptions'!$B$12*'0. Assumptions'!$B$14),"")</f>
        <v>20455.050000000003</v>
      </c>
      <c r="C14" s="41">
        <f>IFERROR(IF(C9="","",C9*'0. Assumptions'!$B$12*'0. Assumptions'!$B$14),"")</f>
        <v>21682.353000000003</v>
      </c>
      <c r="D14" s="41">
        <f>IFERROR(IF(D9="","",D9*'0. Assumptions'!$B$12*'0. Assumptions'!$B$14),"")</f>
        <v>22549.64712000001</v>
      </c>
      <c r="E14" s="68">
        <f>IFERROR(B14/$B$9,"")</f>
        <v>0.033</v>
      </c>
      <c r="F14" s="29" t="str">
        <f>IFERROR("At "&amp;TEXT('0. Assumptions'!$B$14,"0%")&amp;" of BEVERAGE sales","")</f>
        <v>At 22% of BEVERAGE sales</v>
      </c>
      <c r="G14" s="68">
        <f>IFERROR(IF(B9="","",'0. Assumptions'!$B$41),"")</f>
        <v>0.0</v>
      </c>
      <c r="H14" s="29" t="n"/>
    </row>
    <row r="15">
      <c r="A15" s="29" t="inlineStr">
        <is>
          <t>Disposables and packaging</t>
        </is>
      </c>
      <c r="B15" s="41">
        <f>IFERROR(IF(B9="","",B9*'0. Assumptions'!$B$15),"")</f>
        <v>24794.0</v>
      </c>
      <c r="C15" s="41">
        <f>IFERROR(IF(C9="","",C9*'0. Assumptions'!$B$15),"")</f>
        <v>26281.64</v>
      </c>
      <c r="D15" s="41">
        <f>IFERROR(IF(D9="","",D9*'0. Assumptions'!$B$15),"")</f>
        <v>27332.905600000006</v>
      </c>
      <c r="E15" s="68">
        <f>IFERROR(B15/$B$9,"")</f>
        <v>0.04</v>
      </c>
      <c r="F15" s="29" t="n"/>
      <c r="G15" s="68">
        <f>IFERROR(IF(B9="","",'0. Assumptions'!$B$41),"")</f>
        <v>0.0</v>
      </c>
      <c r="H15" s="29" t="n"/>
    </row>
    <row r="16">
      <c r="A16" s="29" t="inlineStr">
        <is>
          <t>Delivery platform fees</t>
        </is>
      </c>
      <c r="B16" s="41">
        <f>IFERROR(IF(B9="","",B9*'0. Assumptions'!$B$16*'0. Assumptions'!$B$17),"")</f>
        <v>23244.375</v>
      </c>
      <c r="C16" s="41">
        <f>IFERROR(IF(C9="","",C9*'0. Assumptions'!$B$16*'0. Assumptions'!$B$17),"")</f>
        <v>24639.0375</v>
      </c>
      <c r="D16" s="41">
        <f>IFERROR(IF(D9="","",D9*'0. Assumptions'!$B$16*'0. Assumptions'!$B$17),"")</f>
        <v>25624.599000000006</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18595.5</v>
      </c>
      <c r="C17" s="41">
        <f>IFERROR(IF(C9="","",C9*'0. Assumptions'!$B$18),"")</f>
        <v>19711.23</v>
      </c>
      <c r="D17" s="41">
        <f>IFERROR(IF(D9="","",D9*'0. Assumptions'!$B$18),"")</f>
        <v>20499.679200000002</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6198.5</v>
      </c>
      <c r="C18" s="41">
        <f>IFERROR(IF(C9="","",C9*'0. Assumptions'!$B$28),"")</f>
        <v>6570.41</v>
      </c>
      <c r="D18" s="41">
        <f>IFERROR(IF(D9="","",D9*'0. Assumptions'!$B$28),"")</f>
        <v>6833.226400000001</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235543.0</v>
      </c>
      <c r="C19" s="54">
        <f>IFERROR(IF(C9="","",SUM(C13:C18)),"")</f>
        <v>249675.58000000002</v>
      </c>
      <c r="D19" s="54">
        <f>IFERROR(IF(D9="","",SUM(D13:D18)),"")</f>
        <v>259662.60320000004</v>
      </c>
      <c r="E19" s="67">
        <f>IFERROR(B19/$B$9,"")</f>
        <v>0.38</v>
      </c>
      <c r="F19" s="29" t="n"/>
      <c r="G19" s="29" t="n"/>
      <c r="H19" s="29" t="n"/>
    </row>
    <row r="20">
      <c r="A20" s="26" t="inlineStr">
        <is>
          <t>GROSS MARGIN</t>
        </is>
      </c>
      <c r="B20" s="54">
        <f>IFERROR(IF(B9="","",B9-B19),"")</f>
        <v>384307.0</v>
      </c>
      <c r="C20" s="54">
        <f>IFERROR(IF(C9="","",C9-C19),"")</f>
        <v>407365.42</v>
      </c>
      <c r="D20" s="54">
        <f>IFERROR(IF(D9="","",D9-D19),"")</f>
        <v>423660.0368000001</v>
      </c>
      <c r="E20" s="67">
        <f>IFERROR(B20/$B$9,"")</f>
        <v>0.62</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33600.0</v>
      </c>
      <c r="C22" s="41">
        <f>IFERROR(IF(C9="","",B22*(1+'0. Assumptions'!$B$48)),"")</f>
        <v>33600.0</v>
      </c>
      <c r="D22" s="41">
        <f>IFERROR(IF(D9="","",C22*(1+'0. Assumptions'!$B$48)),"")</f>
        <v>33600.0</v>
      </c>
      <c r="E22" s="68">
        <f>IFERROR(B22/$B$9,"")</f>
        <v>0.05420666290231508</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214249.2</v>
      </c>
      <c r="C23" s="41">
        <f>IFERROR(IF(C9="","",Staffing!$B$16),"")</f>
        <v>219249.2</v>
      </c>
      <c r="D23" s="41">
        <f>IFERROR(IF(D9="","",Staffing!$B$17),"")</f>
        <v>224249.2</v>
      </c>
      <c r="E23" s="68">
        <f>IFERROR(B23/$B$9,"")</f>
        <v>0.3456468500443656</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15600.0</v>
      </c>
      <c r="C24" s="41">
        <f>IFERROR(IF(C9="","",B24*(1+'0. Assumptions'!$B$48)),"")</f>
        <v>15600.0</v>
      </c>
      <c r="D24" s="41">
        <f>IFERROR(IF(D9="","",C24*(1+'0. Assumptions'!$B$48)),"")</f>
        <v>15600.0</v>
      </c>
      <c r="E24" s="68">
        <f>IFERROR(B24/$B$9,"")</f>
        <v>0.025167379204646286</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6000.0</v>
      </c>
      <c r="C25" s="41">
        <f>IFERROR(IF(C9="","",B25*(1+'0. Assumptions'!$B$48)),"")</f>
        <v>6000.0</v>
      </c>
      <c r="D25" s="41">
        <f>IFERROR(IF(D9="","",C25*(1+'0. Assumptions'!$B$48)),"")</f>
        <v>6000.0</v>
      </c>
      <c r="E25" s="68">
        <f>IFERROR(B25/$B$9,"")</f>
        <v>0.009679761232556264</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0.006775832862789385</v>
      </c>
      <c r="F26" s="29" t="inlineStr">
        <is>
          <t>Bookkeeping, income tax and payroll filings for the LLC, payroll processing and the staff paperwork (offer letters, I-9, W-4)</t>
        </is>
      </c>
      <c r="G26" s="68">
        <f>IFERROR(IF(B9="","",'0. Assumptions'!$B$41),"")</f>
        <v>0.0</v>
      </c>
      <c r="H26" s="29" t="n"/>
    </row>
    <row r="27">
      <c r="A27" s="29" t="inlineStr">
        <is>
          <t>Maintenance (hood cleaning, broilers, refrigeration)</t>
        </is>
      </c>
      <c r="B27" s="51" t="n">
        <v>3000</v>
      </c>
      <c r="C27" s="41">
        <f>IFERROR(IF(C9="","",B27*(1+'0. Assumptions'!$B$48)),"")</f>
        <v>3000.0</v>
      </c>
      <c r="D27" s="41">
        <f>IFERROR(IF(D9="","",C27*(1+'0. Assumptions'!$B$48)),"")</f>
        <v>3000.0</v>
      </c>
      <c r="E27" s="68">
        <f>IFERROR(B27/$B$9,"")</f>
        <v>0.004839880616278132</v>
      </c>
      <c r="F27" s="29" t="inlineStr">
        <is>
          <t>Hood and duct cleaning on the schedule that NFPA 96 and your local authority require, service for the gas vertical broilers, griddle and range,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0.009679761232556264</v>
      </c>
      <c r="F28" s="29" t="inlineStr">
        <is>
          <t>Google Business Profile, Yelp, social media, seasonal photos and promotions (Cinco de Mayo, Mexican Independence Day in September, Day of the Dead in November);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0.005807856739533758</v>
      </c>
      <c r="F29" s="29" t="inlineStr">
        <is>
          <t>POS subscription, online ordering, the delivery marketplace tablets, phone and internet</t>
        </is>
      </c>
      <c r="G29" s="68">
        <f>IFERROR(IF(B9="","",'0. Assumptions'!$B$41),"")</f>
        <v>0.0</v>
      </c>
      <c r="H29" s="29" t="n"/>
    </row>
    <row r="30">
      <c r="A30" s="29" t="inlineStr">
        <is>
          <t>Cleaning, linens &amp; uniforms</t>
        </is>
      </c>
      <c r="B30" s="51" t="n">
        <v>2000</v>
      </c>
      <c r="C30" s="41">
        <f>IFERROR(IF(C9="","",B30*(1+'0. Assumptions'!$B$48)),"")</f>
        <v>2000.0</v>
      </c>
      <c r="D30" s="41">
        <f>IFERROR(IF(D9="","",C30*(1+'0. Assumptions'!$B$48)),"")</f>
        <v>2000.0</v>
      </c>
      <c r="E30" s="68">
        <f>IFERROR(B30/$B$9,"")</f>
        <v>0.0032265870775187544</v>
      </c>
      <c r="F30" s="29" t="inlineStr">
        <is>
          <t>Cleaning supplies, uniform and towel laundry, gloves and any lab tests or records your written food safety plan calls for</t>
        </is>
      </c>
      <c r="G30" s="68">
        <f>IFERROR(IF(B9="","",'0. Assumptions'!$B$41),"")</f>
        <v>0.0</v>
      </c>
      <c r="H30" s="29" t="n"/>
    </row>
    <row r="31">
      <c r="A31" s="29" t="inlineStr">
        <is>
          <t>Waste, grease &amp; used-oil hauling + permit renewals</t>
        </is>
      </c>
      <c r="B31" s="51" t="n">
        <v>3500</v>
      </c>
      <c r="C31" s="41">
        <f>IFERROR(IF(C9="","",B31*(1+'0. Assumptions'!$B$48)),"")</f>
        <v>3500.0</v>
      </c>
      <c r="D31" s="41">
        <f>IFERROR(IF(D9="","",C31*(1+'0. Assumptions'!$B$48)),"")</f>
        <v>3500.0</v>
      </c>
      <c r="E31" s="68">
        <f>IFERROR(B31/$B$9,"")</f>
        <v>0.00564652738565782</v>
      </c>
      <c r="F31" s="29" t="inlineStr">
        <is>
          <t>Licensed hauler for trash, cardboard, used cooking oil and grease, plus annual permit renewals. If your city charges a patio or sidewalk café permit fee, add it here: this plan has not read any city fee schedule, so enter your city's own</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0.0014519641848834395</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0.0016132935387593772</v>
      </c>
      <c r="F33" s="29" t="inlineStr">
        <is>
          <t>ASCAP, BMI and SESAC are separate licenses; the fee depends on the square footage and the seating of your shop</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0.0012906348310075019</v>
      </c>
      <c r="F34" s="29" t="inlineStr">
        <is>
          <t>CFPM certification and food handler cards, allergen training and OSHA basics for every employee: burns from the griddle and the fryer, cuts when slicing the trompo, gas and heat</t>
        </is>
      </c>
      <c r="G34" s="68">
        <f>IFERROR(IF(B9="","",'0. Assumptions'!$B$41),"")</f>
        <v>0.0</v>
      </c>
      <c r="H34" s="29" t="n"/>
    </row>
    <row r="35">
      <c r="A35" s="29" t="inlineStr">
        <is>
          <t>Depreciation of fixed assets</t>
        </is>
      </c>
      <c r="B35" s="41">
        <f>IFERROR(IF(B9="","",'Startup Costs'!$B$37),"")</f>
        <v>20245.714285714286</v>
      </c>
      <c r="C35" s="41">
        <f>IFERROR(IF(C9="","",B35),"")</f>
        <v>20245.714285714286</v>
      </c>
      <c r="D35" s="41">
        <f>IFERROR(IF(D9="","",B35),"")</f>
        <v>20245.714285714286</v>
      </c>
      <c r="E35" s="68">
        <f>IFERROR(B35/$B$9,"")</f>
        <v>0.03266228004471128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17600.0</v>
      </c>
      <c r="C36" s="41">
        <f>IFERROR(IF(C9="","",Financing!$B$46),"")</f>
        <v>16495.681050067797</v>
      </c>
      <c r="D36" s="41">
        <f>IFERROR(IF(D9="","",Financing!$B$48),"")</f>
        <v>15280.930205142373</v>
      </c>
      <c r="E36" s="68">
        <f>IFERROR(B36/$B$9,"")</f>
        <v>0.02839396628216504</v>
      </c>
      <c r="F36" s="29" t="inlineStr">
        <is>
          <t>Only INTEREST is an expense. Principal repaid appears on the cash flow tab</t>
        </is>
      </c>
      <c r="G36" s="68" t="n">
        <v>0</v>
      </c>
      <c r="H36" s="29" t="n"/>
    </row>
    <row r="37">
      <c r="A37" s="26" t="inlineStr">
        <is>
          <t>TOTAL FIXED COSTS</t>
        </is>
      </c>
      <c r="B37" s="54">
        <f>IFERROR(IF(B9="","",SUM(B22:B36)),"")</f>
        <v>332294.9142857143</v>
      </c>
      <c r="C37" s="54">
        <f>IFERROR(IF(C9="","",SUM(C22:C36)),"")</f>
        <v>336190.5953357821</v>
      </c>
      <c r="D37" s="54">
        <f>IFERROR(IF(D9="","",SUM(D22:D36)),"")</f>
        <v>339975.8444908567</v>
      </c>
      <c r="E37" s="67">
        <f>IFERROR(B37/$B$9,"")</f>
        <v>0.536089238179744</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52012.08571428573</v>
      </c>
      <c r="C40" s="54">
        <f>IFERROR(IF(C9="","",C20-C37),"")</f>
        <v>71174.82466421789</v>
      </c>
      <c r="D40" s="54">
        <f>IFERROR(IF(D9="","",D20-D37),"")</f>
        <v>83684.19230914343</v>
      </c>
      <c r="E40" s="67">
        <f>IFERROR(B40/$B$9,"")</f>
        <v>0.08391076182025607</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52012.08571428573</v>
      </c>
      <c r="C42" s="41">
        <f>IFERROR(IF(C9="","",MAX(0,C40-C41)),"")</f>
        <v>71174.82466421789</v>
      </c>
      <c r="D42" s="41">
        <f>IFERROR(IF(D9="","",MAX(0,D40-D41)),"")</f>
        <v>83684.19230914343</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13003.021428571432</v>
      </c>
      <c r="C45" s="41">
        <f>IFERROR(IF(C9="","",IF(C44="",0,C42*C44)),"")</f>
        <v>17793.70616605447</v>
      </c>
      <c r="D45" s="41">
        <f>IFERROR(IF(D9="","",IF(D44="",0,D42*D44)),"")</f>
        <v>20921.048077285857</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39009.064285714296</v>
      </c>
      <c r="C47" s="54">
        <f>IFERROR(IF(C9="","",C40-C45),"")</f>
        <v>53381.118498163414</v>
      </c>
      <c r="D47" s="54">
        <f>IFERROR(IF(D9="","",D40-D45),"")</f>
        <v>62763.14423185757</v>
      </c>
      <c r="E47" s="67">
        <f>IFERROR(B47/$B$9,"")</f>
        <v>0.06293307136519205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0.62</v>
      </c>
      <c r="C50" s="68">
        <f>IFERROR(IF(C9="","",C20/C9),"")</f>
        <v>0.62</v>
      </c>
      <c r="D50" s="68">
        <f>IFERROR(IF(D9="","",D20/D9),"")</f>
        <v>0.6200000000000001</v>
      </c>
      <c r="E50" s="74" t="n">
        <v>0.6</v>
      </c>
      <c r="F50" s="29" t="inlineStr">
        <is>
          <t>Floor for the margin after ALL variable costs (cost of goods sold, packaging, delivery marketplaces, card fees and miscellaneous). With cost of goods sold alone, a taqueria keeps a much higher margin. Kit estimate</t>
        </is>
      </c>
      <c r="G50" s="29" t="n"/>
      <c r="H50" s="29" t="n"/>
    </row>
    <row r="51">
      <c r="A51" s="29" t="inlineStr">
        <is>
          <t>Cost of goods sold (food + beverage)</t>
        </is>
      </c>
      <c r="B51" s="41">
        <f>IFERROR(IF(B9="","",B13+B14),"")</f>
        <v>162710.625</v>
      </c>
      <c r="C51" s="41">
        <f>IFERROR(IF(C9="","",C13+C14),"")</f>
        <v>172473.2625</v>
      </c>
      <c r="D51" s="41">
        <f>IFERROR(IF(D9="","",D13+D14),"")</f>
        <v>179372.19300000003</v>
      </c>
      <c r="E51" s="29" t="n"/>
      <c r="F51" s="29" t="n"/>
      <c r="G51" s="29" t="n"/>
      <c r="H51" s="29" t="n"/>
    </row>
    <row r="52">
      <c r="A52" s="29" t="inlineStr">
        <is>
          <t>Cost of goods sold / Sales</t>
        </is>
      </c>
      <c r="B52" s="68">
        <f>IFERROR(IF(B9="","",B51/B9),"")</f>
        <v>0.2625</v>
      </c>
      <c r="C52" s="68">
        <f>IFERROR(IF(C9="","",C51/C9),"")</f>
        <v>0.2625</v>
      </c>
      <c r="D52" s="68">
        <f>IFERROR(IF(D9="","",D51/D9),"")</f>
        <v>0.2625</v>
      </c>
      <c r="E52" s="74" t="n">
        <v>0.3</v>
      </c>
      <c r="F52" s="29" t="inlineStr">
        <is>
          <t>Ceiling for cost of goods sold on sales: the al pastor taco runs well below it, while carnitas, suadero, barbacoa, birria and avocado push it up. Kit estimate</t>
        </is>
      </c>
      <c r="G52" s="29" t="n"/>
      <c r="H52" s="29" t="n"/>
    </row>
    <row r="53">
      <c r="A53" s="29" t="inlineStr">
        <is>
          <t>Labor cost / Sales</t>
        </is>
      </c>
      <c r="B53" s="68">
        <f>IFERROR(IF(B9="","",B23/B9),"")</f>
        <v>0.3456468500443656</v>
      </c>
      <c r="C53" s="68">
        <f>IFERROR(IF(C9="","",C23/C9),"")</f>
        <v>0.33369180918694574</v>
      </c>
      <c r="D53" s="68">
        <f>IFERROR(IF(D9="","",D23/D9),"")</f>
        <v>0.328174696509397</v>
      </c>
      <c r="E53" s="74" t="n">
        <v>0.36</v>
      </c>
      <c r="F53" s="29" t="inlineStr">
        <is>
          <t>Ceiling for labor on sales with two taqueros and counter service. Kit estimate</t>
        </is>
      </c>
      <c r="G53" s="29" t="n"/>
      <c r="H53" s="29" t="n"/>
    </row>
    <row r="54">
      <c r="A54" s="29" t="inlineStr">
        <is>
          <t>Rent / Sales</t>
        </is>
      </c>
      <c r="B54" s="68">
        <f>IFERROR(IF(B9="","",B22/B9),"")</f>
        <v>0.05420666290231508</v>
      </c>
      <c r="C54" s="68">
        <f>IFERROR(IF(C9="","",C22/C9),"")</f>
        <v>0.051138361228599126</v>
      </c>
      <c r="D54" s="68">
        <f>IFERROR(IF(D9="","",D22/D9),"")</f>
        <v>0.049171501181345306</v>
      </c>
      <c r="E54" s="74" t="n">
        <v>0.1</v>
      </c>
      <c r="F54" s="29" t="inlineStr">
        <is>
          <t>Ceiling for rent on sales for a space with a Type I hood and exhaust to the roof: Kit estimate</t>
        </is>
      </c>
      <c r="G54" s="29" t="n"/>
      <c r="H54" s="29" t="n"/>
    </row>
    <row r="55">
      <c r="A55" s="29" t="inlineStr">
        <is>
          <t>Net income / Sales</t>
        </is>
      </c>
      <c r="B55" s="68">
        <f>IFERROR(IF(B9="","",B47/B9),"")</f>
        <v>0.06293307136519205</v>
      </c>
      <c r="C55" s="68">
        <f>IFERROR(IF(C9="","",C47/C9),"")</f>
        <v>0.0812447297781469</v>
      </c>
      <c r="D55" s="68">
        <f>IFERROR(IF(D9="","",D47/D9),"")</f>
        <v>0.09184994109350388</v>
      </c>
      <c r="E55" s="74" t="n">
        <v>0.05</v>
      </c>
      <c r="F55" s="29" t="inlineStr">
        <is>
          <t>Floor for steady-state net income so the plan holds up: 5% of sales. A well-run taqueria earns more, but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taco shop with trompo</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332294.9142857143</v>
      </c>
      <c r="C6" s="62">
        <f>IFERROR(IF('3-Year P&amp;L'!$C$9="","",'3-Year P&amp;L'!$C$37),"")</f>
        <v>336190.5953357821</v>
      </c>
      <c r="D6" s="62">
        <f>IFERROR(IF('3-Year P&amp;L'!$D$9="","",'3-Year P&amp;L'!$D$37),"")</f>
        <v>339975.8444908567</v>
      </c>
      <c r="E6" s="29" t="inlineStr">
        <is>
          <t>The SAME fixed costs as the P&amp;L. Each year has its own, which is why the threshold cannot be a single one for all three years</t>
        </is>
      </c>
      <c r="F6" s="29" t="n"/>
    </row>
    <row r="7">
      <c r="A7" s="29" t="inlineStr">
        <is>
          <t>Monthly fixed costs</t>
        </is>
      </c>
      <c r="B7" s="62">
        <f>IFERROR(IF('3-Year P&amp;L'!$B$9="","",B6/12),"")</f>
        <v>27691.242857142857</v>
      </c>
      <c r="C7" s="62">
        <f>IFERROR(IF('3-Year P&amp;L'!$C$9="","",C6/12),"")</f>
        <v>28015.882944648507</v>
      </c>
      <c r="D7" s="62">
        <f>IFERROR(IF('3-Year P&amp;L'!$D$9="","",D6/12),"")</f>
        <v>28331.320374238057</v>
      </c>
      <c r="E7" s="29" t="n"/>
      <c r="F7" s="29" t="n"/>
    </row>
    <row r="8">
      <c r="A8" s="29" t="inlineStr">
        <is>
          <t>Average check (excl. sales tax)</t>
        </is>
      </c>
      <c r="B8" s="62">
        <f>IFERROR(IF('3-Year P&amp;L'!$B$9="","",'3-Year P&amp;L'!$B$7),"")</f>
        <v>17.5</v>
      </c>
      <c r="C8" s="62">
        <f>IFERROR(IF('3-Year P&amp;L'!$C$9="","",'3-Year P&amp;L'!$C$7),"")</f>
        <v>17.5</v>
      </c>
      <c r="D8" s="62">
        <f>IFERROR(IF('3-Year P&amp;L'!$D$9="","",'3-Year P&amp;L'!$D$7),"")</f>
        <v>17.5</v>
      </c>
      <c r="E8" s="29" t="n"/>
      <c r="F8" s="29" t="n"/>
    </row>
    <row r="9">
      <c r="A9" s="29" t="inlineStr">
        <is>
          <t>Variable cost per cover</t>
        </is>
      </c>
      <c r="B9" s="62">
        <f>IFERROR(IF('3-Year P&amp;L'!$B$9="","",'3-Year P&amp;L'!$B$19/('3-Year P&amp;L'!$B$6*'3-Year P&amp;L'!$B$8)),"")</f>
        <v>6.65</v>
      </c>
      <c r="C9" s="62">
        <f>IFERROR(IF('3-Year P&amp;L'!$C$9="","",'3-Year P&amp;L'!$C$19/('3-Year P&amp;L'!$C$6*'3-Year P&amp;L'!$C$8)),"")</f>
        <v>6.6499999999999995</v>
      </c>
      <c r="D9" s="62">
        <f>IFERROR(IF('3-Year P&amp;L'!$D$9="","",'3-Year P&amp;L'!$D$19/('3-Year P&amp;L'!$D$6*'3-Year P&amp;L'!$D$8)),"")</f>
        <v>6.65</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10.85</v>
      </c>
      <c r="C10" s="62">
        <f>IFERROR(IF('3-Year P&amp;L'!$C$9="","",C8-C9),"")</f>
        <v>10.850000000000001</v>
      </c>
      <c r="D10" s="62">
        <f>IFERROR(IF('3-Year P&amp;L'!$D$9="","",D8-D9),"")</f>
        <v>10.85</v>
      </c>
      <c r="E10" s="29" t="inlineStr">
        <is>
          <t>Average check minus unit variable cost</t>
        </is>
      </c>
      <c r="F10" s="29" t="n"/>
    </row>
    <row r="11">
      <c r="A11" s="29" t="inlineStr">
        <is>
          <t>Operating days per year</t>
        </is>
      </c>
      <c r="B11" s="41">
        <f>IFERROR(IF('3-Year P&amp;L'!$B$9="","",'3-Year P&amp;L'!$B$8),"")</f>
        <v>308.0</v>
      </c>
      <c r="C11" s="41">
        <f>IFERROR(IF('3-Year P&amp;L'!$C$9="","",'3-Year P&amp;L'!$C$8),"")</f>
        <v>308.0</v>
      </c>
      <c r="D11" s="41">
        <f>IFERROR(IF('3-Year P&amp;L'!$D$9="","",'3-Year P&amp;L'!$D$8),"")</f>
        <v>308.0</v>
      </c>
      <c r="E11" s="29" t="inlineStr">
        <is>
          <t>The same calendar as the P&amp;L and the scenarios</t>
        </is>
      </c>
      <c r="F11" s="29" t="n"/>
    </row>
    <row r="12">
      <c r="A12" s="29" t="inlineStr">
        <is>
          <t>Principal repaid in the year</t>
        </is>
      </c>
      <c r="B12" s="62">
        <f>IFERROR(IF('3-Year P&amp;L'!$B$9="","",Financing!$B$45),"")</f>
        <v>11043.189499322027</v>
      </c>
      <c r="C12" s="62">
        <f>IFERROR(IF('3-Year P&amp;L'!$C$9="","",Financing!$B$47),"")</f>
        <v>12147.50844925423</v>
      </c>
      <c r="D12" s="62">
        <f>IFERROR(IF('3-Year P&amp;L'!$D$9="","",Financing!$B$49),"")</f>
        <v>13362.259294179654</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30626.25938117182</v>
      </c>
      <c r="C14" s="41">
        <f>IFERROR(IF('3-Year P&amp;L'!$C$9="","",IF(C10&lt;=0,"",C6/C10)),"")</f>
        <v>30985.30832587853</v>
      </c>
      <c r="D14" s="41">
        <f>IFERROR(IF('3-Year P&amp;L'!$D$9="","",IF(D10&lt;=0,"",D6/D10)),"")</f>
        <v>31334.17921574716</v>
      </c>
      <c r="E14" s="29" t="n"/>
      <c r="F14" s="29" t="n"/>
    </row>
    <row r="15">
      <c r="A15" s="29" t="inlineStr">
        <is>
          <t>Covers needed per day</t>
        </is>
      </c>
      <c r="B15" s="45">
        <f>IFERROR(IF('3-Year P&amp;L'!$B$9="","",B14/B11),"")</f>
        <v>99.4359070817267</v>
      </c>
      <c r="C15" s="45">
        <f>IFERROR(IF('3-Year P&amp;L'!$C$9="","",C14/C11),"")</f>
        <v>100.60165040869653</v>
      </c>
      <c r="D15" s="45">
        <f>IFERROR(IF('3-Year P&amp;L'!$D$9="","",D14/D11),"")</f>
        <v>101.73434810307519</v>
      </c>
      <c r="E15" s="29" t="n"/>
      <c r="F15" s="29" t="n"/>
    </row>
    <row r="16">
      <c r="A16" s="26" t="inlineStr">
        <is>
          <t>Revenue needed per year</t>
        </is>
      </c>
      <c r="B16" s="54">
        <f>IFERROR(IF('3-Year P&amp;L'!$B$9="","",B14*B8),"")</f>
        <v>535959.5391705069</v>
      </c>
      <c r="C16" s="54">
        <f>IFERROR(IF('3-Year P&amp;L'!$C$9="","",C14*C8),"")</f>
        <v>542242.8957028743</v>
      </c>
      <c r="D16" s="54">
        <f>IFERROR(IF('3-Year P&amp;L'!$D$9="","",D14*D8),"")</f>
        <v>548348.1362755753</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323092.38949932205</v>
      </c>
      <c r="C18" s="62">
        <f>IFERROR(IF('3-Year P&amp;L'!$C$9="","",C6-'3-Year P&amp;L'!$C$35+C12),"")</f>
        <v>328092.38949932205</v>
      </c>
      <c r="D18" s="62">
        <f>IFERROR(IF('3-Year P&amp;L'!$D$9="","",D6-'3-Year P&amp;L'!$D$35+D12),"")</f>
        <v>333092.3894993221</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29778.10041468406</v>
      </c>
      <c r="C19" s="41">
        <f>IFERROR(IF('3-Year P&amp;L'!$C$9="","",IF(C10&lt;=0,"",C18/C10)),"")</f>
        <v>30238.929907771613</v>
      </c>
      <c r="D19" s="41">
        <f>IFERROR(IF('3-Year P&amp;L'!$D$9="","",IF(D10&lt;=0,"",D18/D10)),"")</f>
        <v>30699.75940085918</v>
      </c>
      <c r="E19" s="29" t="n"/>
      <c r="F19" s="29" t="n"/>
    </row>
    <row r="20">
      <c r="A20" s="26" t="inlineStr">
        <is>
          <t>Covers needed per day (cash)</t>
        </is>
      </c>
      <c r="B20" s="46">
        <f>IFERROR(IF('3-Year P&amp;L'!$B$9="","",B19/B11),"")</f>
        <v>96.68214420351968</v>
      </c>
      <c r="C20" s="46">
        <f>IFERROR(IF('3-Year P&amp;L'!$C$9="","",C19/C11),"")</f>
        <v>98.17834385640134</v>
      </c>
      <c r="D20" s="46">
        <f>IFERROR(IF('3-Year P&amp;L'!$D$9="","",D19/D11),"")</f>
        <v>99.67454350928305</v>
      </c>
      <c r="E20" s="29" t="n"/>
      <c r="F20" s="29" t="n"/>
    </row>
    <row r="21">
      <c r="A21" s="29" t="inlineStr">
        <is>
          <t>Revenue needed per year (cash)</t>
        </is>
      </c>
      <c r="B21" s="41">
        <f>IFERROR(IF('3-Year P&amp;L'!$B$9="","",B19*B8),"")</f>
        <v>521116.75725697103</v>
      </c>
      <c r="C21" s="41">
        <f>IFERROR(IF('3-Year P&amp;L'!$C$9="","",C19*C8),"")</f>
        <v>529181.2733860032</v>
      </c>
      <c r="D21" s="41">
        <f>IFERROR(IF('3-Year P&amp;L'!$D$9="","",D19*D8),"")</f>
        <v>537245.7895150357</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115.0</v>
      </c>
      <c r="C23" s="41">
        <f>IFERROR(IF('3-Year P&amp;L'!$C$9="","",'3-Year P&amp;L'!$C$6),"")</f>
        <v>121.9</v>
      </c>
      <c r="D23" s="41">
        <f>IFERROR(IF('3-Year P&amp;L'!$D$9="","",'3-Year P&amp;L'!$D$6),"")</f>
        <v>126.77600000000001</v>
      </c>
      <c r="E23" s="29" t="n"/>
      <c r="F23" s="29" t="n"/>
    </row>
    <row r="24">
      <c r="A24" s="29" t="inlineStr">
        <is>
          <t>Cushion above CASH break-even (%)</t>
        </is>
      </c>
      <c r="B24" s="68">
        <f>IFERROR(IF('3-Year P&amp;L'!$B$9="","",B23/B20-1),"")</f>
        <v>0.18946472430235417</v>
      </c>
      <c r="C24" s="68">
        <f>IFERROR(IF('3-Year P&amp;L'!$C$9="","",C23/C20-1),"")</f>
        <v>0.24161801077327905</v>
      </c>
      <c r="D24" s="68">
        <f>IFERROR(IF('3-Year P&amp;L'!$D$9="","",D23/D20-1),"")</f>
        <v>0.2718994794111387</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5</v>
      </c>
      <c r="C25" s="29" t="n"/>
      <c r="D25" s="29" t="n"/>
      <c r="E25" s="29" t="inlineStr">
        <is>
          <t>Full seatings per seat per day you can run, counting the take-out and delivery orders, which do not take a seat (almost half the covers in the example): about 3 dine-in turns in counter service (lunch and dinner, stays of 20-30 minutes) plus about 2 for take-out and delivery per seat. It is the physical ceiling of the space, not a target</t>
        </is>
      </c>
      <c r="F25" s="29" t="n"/>
    </row>
    <row r="26">
      <c r="A26" s="29" t="inlineStr">
        <is>
          <t>Seat turns per day that the cash break-even requires</t>
        </is>
      </c>
      <c r="B26" s="45">
        <f>IFERROR(IF('3-Year P&amp;L'!$B$9="","",B20/'0. Assumptions'!$B$51),"")</f>
        <v>3.2227381401173227</v>
      </c>
      <c r="C26" s="45">
        <f>IFERROR(IF('3-Year P&amp;L'!$C$9="","",C20/'0. Assumptions'!$B$51),"")</f>
        <v>3.272611461880045</v>
      </c>
      <c r="D26" s="45">
        <f>IFERROR(IF('3-Year P&amp;L'!$D$9="","",D20/'0. Assumptions'!$B$51),"")</f>
        <v>3.3224847836427687</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100 covers a day over your 308 opening days to avoid losing money (accounting break-even, depreciation included), and 97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15.5</v>
      </c>
      <c r="C33" s="55">
        <f>IFERROR(IF($B$8="","",$B$8),"")</f>
        <v>17.5</v>
      </c>
      <c r="D33" s="55">
        <f>IFERROR($B$8+2,"")</f>
        <v>19.5</v>
      </c>
      <c r="E33" s="55">
        <f>IFERROR($B$8+4,"")</f>
        <v>21.5</v>
      </c>
      <c r="F33" s="29" t="n"/>
    </row>
    <row r="34">
      <c r="A34" s="62">
        <f>IFERROR($B$9*0.85,"")</f>
        <v>5.6525</v>
      </c>
      <c r="B34" s="45">
        <f>IFERROR(IF($B$33-$A34&lt;=0,"",$B$6/($B$33-$A34)/$B$11),"")</f>
        <v>109.55872981332669</v>
      </c>
      <c r="C34" s="45">
        <f>IFERROR(IF($C$33-$A34&lt;=0,"",$B$6/($C$33-$A34)/$B$11),"")</f>
        <v>91.06390308813965</v>
      </c>
      <c r="D34" s="45">
        <f>IFERROR(IF($D$33-$A34&lt;=0,"",$B$6/($D$33-$A34)/$B$11),"")</f>
        <v>77.91150690281529</v>
      </c>
      <c r="E34" s="45">
        <f>IFERROR(IF($E$33-$A34&lt;=0,"",$B$6/($E$33-$A34)/$B$11),"")</f>
        <v>68.07885103875908</v>
      </c>
      <c r="F34" s="29" t="n"/>
    </row>
    <row r="35">
      <c r="A35" s="62">
        <f>IFERROR($B$9*0.925,"")</f>
        <v>6.151250000000001</v>
      </c>
      <c r="B35" s="45">
        <f>IFERROR(IF($B$33-$A35&lt;=0,"",$B$6/($B$33-$A35)/$B$11),"")</f>
        <v>115.40361993172722</v>
      </c>
      <c r="C35" s="45">
        <f>IFERROR(IF($C$33-$A35&lt;=0,"",$B$6/($C$33-$A35)/$B$11),"")</f>
        <v>95.06594046364002</v>
      </c>
      <c r="D35" s="45">
        <f>IFERROR(IF($D$33-$A35&lt;=0,"",$B$6/($D$33-$A35)/$B$11),"")</f>
        <v>80.82251835091186</v>
      </c>
      <c r="E35" s="45">
        <f>IFERROR(IF($E$33-$A35&lt;=0,"",$B$6/($E$33-$A35)/$B$11),"")</f>
        <v>70.2910394551175</v>
      </c>
      <c r="F35" s="29" t="n"/>
    </row>
    <row r="36">
      <c r="A36" s="62">
        <f>IFERROR($B$9*1.0,"")</f>
        <v>6.65</v>
      </c>
      <c r="B36" s="45">
        <f>IFERROR(IF($B$33-$A36&lt;=0,"",$B$6/($B$33-$A36)/$B$11),"")</f>
        <v>121.90729851262539</v>
      </c>
      <c r="C36" s="45">
        <f>IFERROR(IF($C$33-$A36&lt;=0,"",$B$6/($C$33-$A36)/$B$11),"")</f>
        <v>99.4359070817267</v>
      </c>
      <c r="D36" s="45">
        <f>IFERROR(IF($D$33-$A36&lt;=0,"",$B$6/($D$33-$A36)/$B$11),"")</f>
        <v>83.95950131025172</v>
      </c>
      <c r="E36" s="45">
        <f>IFERROR(IF($E$33-$A36&lt;=0,"",$B$6/($E$33-$A36)/$B$11),"")</f>
        <v>72.65182436611008</v>
      </c>
      <c r="F36" s="29" t="n"/>
    </row>
    <row r="37">
      <c r="A37" s="62">
        <f>IFERROR($B$9*1.075,"")</f>
        <v>7.14875</v>
      </c>
      <c r="B37" s="45">
        <f>IFERROR(IF($B$33-$A37&lt;=0,"",$B$6/($B$33-$A37)/$B$11),"")</f>
        <v>129.18779725630708</v>
      </c>
      <c r="C37" s="45">
        <f>IFERROR(IF($C$33-$A37&lt;=0,"",$B$6/($C$33-$A37)/$B$11),"")</f>
        <v>104.22698629022916</v>
      </c>
      <c r="D37" s="45">
        <f>IFERROR(IF($D$33-$A37&lt;=0,"",$B$6/($D$33-$A37)/$B$11),"")</f>
        <v>87.34983032784007</v>
      </c>
      <c r="E37" s="45">
        <f>IFERROR(IF($E$33-$A37&lt;=0,"",$B$6/($E$33-$A37)/$B$11),"")</f>
        <v>75.17669832500546</v>
      </c>
      <c r="F37" s="29" t="n"/>
    </row>
    <row r="38">
      <c r="A38" s="62">
        <f>IFERROR($B$9*1.15,"")</f>
        <v>7.6475</v>
      </c>
      <c r="B38" s="45">
        <f>IFERROR(IF($B$33-$A38&lt;=0,"",$B$6/($B$33-$A38)/$B$11),"")</f>
        <v>137.39313490439156</v>
      </c>
      <c r="C38" s="45">
        <f>IFERROR(IF($C$33-$A38&lt;=0,"",$B$6/($C$33-$A38)/$B$11),"")</f>
        <v>109.50313035643083</v>
      </c>
      <c r="D38" s="45">
        <f>IFERROR(IF($D$33-$A38&lt;=0,"",$B$6/($D$33-$A38)/$B$11),"")</f>
        <v>91.0254876048711</v>
      </c>
      <c r="E38" s="45">
        <f>IFERROR(IF($E$33-$A38&lt;=0,"",$B$6/($E$33-$A38)/$B$11),"")</f>
        <v>77.88338508115754</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100</v>
      </c>
      <c r="C5" s="41">
        <f>IFERROR(IF('3-Year P&amp;L'!$B$6="","",'3-Year P&amp;L'!$B$6),"")</f>
        <v>115.0</v>
      </c>
      <c r="D5" s="51" t="n">
        <v>130</v>
      </c>
      <c r="E5" s="29" t="n"/>
      <c r="F5" s="29" t="n"/>
    </row>
    <row r="6">
      <c r="A6" s="29" t="inlineStr">
        <is>
          <t>Average check (excl. sales tax)</t>
        </is>
      </c>
      <c r="B6" s="76" t="n">
        <v>16.5</v>
      </c>
      <c r="C6" s="62">
        <f>IFERROR(IF('3-Year P&amp;L'!$B$7="","",'3-Year P&amp;L'!$B$7),"")</f>
        <v>17.5</v>
      </c>
      <c r="D6" s="76" t="n">
        <v>18.5</v>
      </c>
      <c r="E6" s="29" t="n"/>
      <c r="F6" s="29" t="n"/>
    </row>
    <row r="7">
      <c r="A7" s="29" t="inlineStr">
        <is>
          <t>Operating days per year</t>
        </is>
      </c>
      <c r="B7" s="51" t="n">
        <v>303</v>
      </c>
      <c r="C7" s="41">
        <f>IFERROR(IF('3-Year P&amp;L'!$B$8="","",'3-Year P&amp;L'!$B$8),"")</f>
        <v>308.0</v>
      </c>
      <c r="D7" s="51" t="n">
        <v>312</v>
      </c>
      <c r="E7" s="29" t="n"/>
      <c r="F7" s="29" t="n"/>
    </row>
    <row r="8">
      <c r="A8" s="26" t="inlineStr">
        <is>
          <t>ANNUAL REVENUE (excl. sales tax)</t>
        </is>
      </c>
      <c r="B8" s="54">
        <f>IFERROR(IF(B5*B6*B7=0,"",B5*B6*B7),"")</f>
        <v>499950.0</v>
      </c>
      <c r="C8" s="54">
        <f>IFERROR(IF(C5*C6*C7=0,"",C5*C6*C7),"")</f>
        <v>619850.0</v>
      </c>
      <c r="D8" s="54">
        <f>IFERROR(IF(D5*D6*D7=0,"",D5*D6*D7),"")</f>
        <v>750360.0</v>
      </c>
      <c r="E8" s="29" t="n"/>
      <c r="F8" s="29" t="n"/>
    </row>
    <row r="9">
      <c r="A9" s="29" t="inlineStr">
        <is>
          <t>Cost of goods sold — food</t>
        </is>
      </c>
      <c r="B9" s="41">
        <f>IFERROR(IF(B8="","",B8*'0. Assumptions'!$B$11*'0. Assumptions'!$B$13),"")</f>
        <v>114738.52500000001</v>
      </c>
      <c r="C9" s="41">
        <f>IFERROR(IF(C8="","",C8*'0. Assumptions'!$B$11*'0. Assumptions'!$B$13),"")</f>
        <v>142255.575</v>
      </c>
      <c r="D9" s="41">
        <f>IFERROR(IF(D8="","",D8*'0. Assumptions'!$B$11*'0. Assumptions'!$B$13),"")</f>
        <v>172207.62000000002</v>
      </c>
      <c r="E9" s="29" t="n"/>
      <c r="F9" s="29" t="n"/>
    </row>
    <row r="10">
      <c r="A10" s="29" t="inlineStr">
        <is>
          <t>Cost of goods sold — beverage</t>
        </is>
      </c>
      <c r="B10" s="41">
        <f>IFERROR(IF(B8="","",B8*'0. Assumptions'!$B$12*'0. Assumptions'!$B$14),"")</f>
        <v>16498.350000000002</v>
      </c>
      <c r="C10" s="41">
        <f>IFERROR(IF(C8="","",C8*'0. Assumptions'!$B$12*'0. Assumptions'!$B$14),"")</f>
        <v>20455.050000000003</v>
      </c>
      <c r="D10" s="41">
        <f>IFERROR(IF(D8="","",D8*'0. Assumptions'!$B$12*'0. Assumptions'!$B$14),"")</f>
        <v>24761.880000000005</v>
      </c>
      <c r="E10" s="29" t="n"/>
      <c r="F10" s="29" t="n"/>
    </row>
    <row r="11">
      <c r="A11" s="29" t="inlineStr">
        <is>
          <t>Disposables and packaging</t>
        </is>
      </c>
      <c r="B11" s="41">
        <f>IFERROR(IF(B8="","",B8*'0. Assumptions'!$B$15),"")</f>
        <v>19998.0</v>
      </c>
      <c r="C11" s="41">
        <f>IFERROR(IF(C8="","",C8*'0. Assumptions'!$B$15),"")</f>
        <v>24794.0</v>
      </c>
      <c r="D11" s="41">
        <f>IFERROR(IF(D8="","",D8*'0. Assumptions'!$B$15),"")</f>
        <v>30014.4</v>
      </c>
      <c r="E11" s="29" t="n"/>
      <c r="F11" s="29" t="n"/>
    </row>
    <row r="12">
      <c r="A12" s="29" t="inlineStr">
        <is>
          <t>Delivery platform fees</t>
        </is>
      </c>
      <c r="B12" s="41">
        <f>IFERROR(IF(B8="","",B8*'0. Assumptions'!$B$16*'0. Assumptions'!$B$17),"")</f>
        <v>18748.125</v>
      </c>
      <c r="C12" s="41">
        <f>IFERROR(IF(C8="","",C8*'0. Assumptions'!$B$16*'0. Assumptions'!$B$17),"")</f>
        <v>23244.375</v>
      </c>
      <c r="D12" s="41">
        <f>IFERROR(IF(D8="","",D8*'0. Assumptions'!$B$16*'0. Assumptions'!$B$17),"")</f>
        <v>28138.5</v>
      </c>
      <c r="E12" s="29" t="n"/>
      <c r="F12" s="29" t="n"/>
    </row>
    <row r="13">
      <c r="A13" s="29" t="inlineStr">
        <is>
          <t>Card processing fees</t>
        </is>
      </c>
      <c r="B13" s="41">
        <f>IFERROR(IF(B8="","",B8*'0. Assumptions'!$B$18),"")</f>
        <v>14998.5</v>
      </c>
      <c r="C13" s="41">
        <f>IFERROR(IF(C8="","",C8*'0. Assumptions'!$B$18),"")</f>
        <v>18595.5</v>
      </c>
      <c r="D13" s="41">
        <f>IFERROR(IF(D8="","",D8*'0. Assumptions'!$B$18),"")</f>
        <v>22510.8</v>
      </c>
      <c r="E13" s="29" t="n"/>
      <c r="F13" s="29" t="n"/>
    </row>
    <row r="14">
      <c r="A14" s="29" t="inlineStr">
        <is>
          <t>Miscellaneous and contingency</t>
        </is>
      </c>
      <c r="B14" s="41">
        <f>IFERROR(IF(B8="","",B8*'0. Assumptions'!$B$28),"")</f>
        <v>4999.5</v>
      </c>
      <c r="C14" s="41">
        <f>IFERROR(IF(C8="","",C8*'0. Assumptions'!$B$28),"")</f>
        <v>6198.5</v>
      </c>
      <c r="D14" s="41">
        <f>IFERROR(IF(D8="","",D8*'0. Assumptions'!$B$28),"")</f>
        <v>7503.6</v>
      </c>
      <c r="E14" s="29" t="n"/>
      <c r="F14" s="29" t="n"/>
    </row>
    <row r="15">
      <c r="A15" s="29" t="inlineStr">
        <is>
          <t>TOTAL VARIABLE COSTS</t>
        </is>
      </c>
      <c r="B15" s="41">
        <f>IFERROR(IF(B8="","",SUM(B9:B14)),"")</f>
        <v>189981.0</v>
      </c>
      <c r="C15" s="41">
        <f>IFERROR(IF(C8="","",SUM(C9:C14)),"")</f>
        <v>235543.0</v>
      </c>
      <c r="D15" s="41">
        <f>IFERROR(IF(D8="","",SUM(D9:D14)),"")</f>
        <v>285136.80000000005</v>
      </c>
      <c r="E15" s="29" t="n"/>
      <c r="F15" s="29" t="n"/>
    </row>
    <row r="16">
      <c r="A16" s="29" t="inlineStr">
        <is>
          <t>GROSS MARGIN</t>
        </is>
      </c>
      <c r="B16" s="41">
        <f>IFERROR(IF(B8="","",B8-B15),"")</f>
        <v>309969.0</v>
      </c>
      <c r="C16" s="41">
        <f>IFERROR(IF(C8="","",C8-C15),"")</f>
        <v>384307.0</v>
      </c>
      <c r="D16" s="41">
        <f>IFERROR(IF(D8="","",D8-D15),"")</f>
        <v>465223.19999999995</v>
      </c>
      <c r="E16" s="29" t="n"/>
      <c r="F16" s="29" t="n"/>
    </row>
    <row r="17">
      <c r="A17" s="29" t="inlineStr">
        <is>
          <t>FIXED COSTS (the P&amp;L's)</t>
        </is>
      </c>
      <c r="B17" s="41">
        <f>IFERROR(IF(B8="","",'3-Year P&amp;L'!$B$37),"")</f>
        <v>332294.9142857143</v>
      </c>
      <c r="C17" s="41">
        <f>IFERROR(IF(C8="","",'3-Year P&amp;L'!$B$37),"")</f>
        <v>332294.9142857143</v>
      </c>
      <c r="D17" s="41">
        <f>IFERROR(IF(D8="","",'3-Year P&amp;L'!$B$37),"")</f>
        <v>332294.9142857143</v>
      </c>
      <c r="E17" s="29" t="inlineStr">
        <is>
          <t>Fixed costs do not change with the scenario: that is why they are fixed</t>
        </is>
      </c>
      <c r="F17" s="29" t="n"/>
    </row>
    <row r="18">
      <c r="A18" s="26" t="inlineStr">
        <is>
          <t>PRE-TAX INCOME (EBT)</t>
        </is>
      </c>
      <c r="B18" s="54">
        <f>IFERROR(IF(B8="","",B16-B17),"")</f>
        <v>-22325.914285714272</v>
      </c>
      <c r="C18" s="54">
        <f>IFERROR(IF(C8="","",C16-C17),"")</f>
        <v>52012.08571428573</v>
      </c>
      <c r="D18" s="54">
        <f>IFERROR(IF(D8="","",D16-D17),"")</f>
        <v>132928.28571428568</v>
      </c>
      <c r="E18" s="29" t="n"/>
      <c r="F18" s="29" t="n"/>
    </row>
    <row r="19">
      <c r="A19" s="29" t="inlineStr">
        <is>
          <t>Income tax</t>
        </is>
      </c>
      <c r="B19" s="41">
        <f>IFERROR(IF(B8="","",MAX(0,B18-'0. Assumptions'!$B$42)*'0. Assumptions'!$B$37),"")</f>
        <v>0.0</v>
      </c>
      <c r="C19" s="41">
        <f>IFERROR(IF(C8="","",MAX(0,C18-'0. Assumptions'!$B$42)*'0. Assumptions'!$B$37),"")</f>
        <v>13003.021428571432</v>
      </c>
      <c r="D19" s="41">
        <f>IFERROR(IF(D8="","",MAX(0,D18-'0. Assumptions'!$B$42)*'0. Assumptions'!$B$37),"")</f>
        <v>33232.07142857142</v>
      </c>
      <c r="E19" s="29" t="inlineStr">
        <is>
          <t>At the "years 1-2" effective income tax rate, offsetting prior net operating losses</t>
        </is>
      </c>
      <c r="F19" s="29" t="n"/>
    </row>
    <row r="20">
      <c r="A20" s="26" t="inlineStr">
        <is>
          <t>NET INCOME</t>
        </is>
      </c>
      <c r="B20" s="54">
        <f>IFERROR(IF(B8="","",B18-B19),"")</f>
        <v>-22325.914285714272</v>
      </c>
      <c r="C20" s="54">
        <f>IFERROR(IF(C8="","",C18-C19),"")</f>
        <v>39009.064285714296</v>
      </c>
      <c r="D20" s="54">
        <f>IFERROR(IF(D8="","",D18-D19),"")</f>
        <v>99696.21428571426</v>
      </c>
      <c r="E20" s="29" t="n"/>
      <c r="F20" s="29" t="n"/>
    </row>
    <row r="21">
      <c r="A21" s="29" t="inlineStr">
        <is>
          <t>Covers per day to break even</t>
        </is>
      </c>
      <c r="B21" s="45">
        <f>IFERROR(IF(B8="","",IF(B6-B15/(B5*B7)&lt;=0,"",B17/(B6-B15/(B5*B7))/B7)),"")</f>
        <v>107.20262809691107</v>
      </c>
      <c r="C21" s="45">
        <f>IFERROR(IF(C8="","",IF(C6-C15/(C5*C7)&lt;=0,"",C17/(C6-C15/(C5*C7))/C7)),"")</f>
        <v>99.4359070817267</v>
      </c>
      <c r="D21" s="45">
        <f>IFERROR(IF(D8="","",IF(D6-D15/(D5*D7)&lt;=0,"",D17/(D6-D15/(D5*D7))/D7)),"")</f>
        <v>92.85508301637334</v>
      </c>
      <c r="E21" s="29" t="n"/>
      <c r="F21" s="29" t="n"/>
    </row>
    <row r="22">
      <c r="A22" s="26" t="inlineStr">
        <is>
          <t>WHAT EACH SCENARIO DEMANDS</t>
        </is>
      </c>
      <c r="B22" s="29" t="n"/>
      <c r="C22" s="29" t="n"/>
      <c r="D22" s="29" t="n"/>
      <c r="E22" s="29" t="n"/>
      <c r="F22" s="29" t="n"/>
    </row>
    <row r="23">
      <c r="A23" s="29" t="inlineStr">
        <is>
          <t>Labor cost / Sales</t>
        </is>
      </c>
      <c r="B23" s="68">
        <f>IFERROR(IF(B8="","",'3-Year P&amp;L'!$B$23/B8),"")</f>
        <v>0.42854125412541255</v>
      </c>
      <c r="C23" s="68">
        <f>IFERROR(IF(C8="","",'3-Year P&amp;L'!$B$23/C8),"")</f>
        <v>0.3456468500443656</v>
      </c>
      <c r="D23" s="68">
        <f>IFERROR(IF(D8="","",'3-Year P&amp;L'!$B$23/D8),"")</f>
        <v>0.2855285462977771</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6029.8507462686575</v>
      </c>
      <c r="C24" s="41">
        <f>IFERROR(IF(C8="","",C5*C7/Staffing!$C$12),"")</f>
        <v>7048.756218905473</v>
      </c>
      <c r="D24" s="41">
        <f>IFERROR(IF(D8="","",D5*D7/Staffing!$C$12),"")</f>
        <v>8071.641791044777</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64888.910500677994</v>
      </c>
      <c r="C25" s="54">
        <f>IFERROR(IF(C8="","",'Startup Costs'!$B$29+C20+'3-Year P&amp;L'!$B$35-Financing!$B$45),"")</f>
        <v>126223.88907210654</v>
      </c>
      <c r="D25" s="54">
        <f>IFERROR(IF(D8="","",'Startup Costs'!$B$29+D20+'3-Year P&amp;L'!$B$35-Financing!$B$45),"")</f>
        <v>186911.0390721065</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157133.9269622965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taquero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Marinates and builds the trompo, runs the cutting on the busy shift, buys (the dried chile and Mexican specialty distributor included) and manages.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Taquero / line cook (trompo &amp; griddle)</t>
        </is>
      </c>
      <c r="B6" s="51" t="n">
        <v>1</v>
      </c>
      <c r="C6" s="53" t="n">
        <v>1</v>
      </c>
      <c r="D6" s="76" t="n">
        <v>3293</v>
      </c>
      <c r="E6" s="62">
        <f>IFERROR(IF(D6="","",D6*'0. Assumptions'!$B$20),"")</f>
        <v>329.3</v>
      </c>
      <c r="F6" s="62">
        <f>IFERROR(IF(D6="","",D6+E6),"")</f>
        <v>3622.3</v>
      </c>
      <c r="G6" s="62">
        <f>IFERROR(IF(D6="","",F6*MAX(12,'0. Assumptions'!$B$21)),"")</f>
        <v>43467.600000000006</v>
      </c>
      <c r="H6" s="45">
        <f>IFERROR(IF(D6="","",C6*$B$19),"")</f>
        <v>40.0</v>
      </c>
      <c r="I6" s="41">
        <f>IFERROR(IF(D6="","",H6*B6*$B$20),"")</f>
        <v>1840.0</v>
      </c>
      <c r="J6" s="29" t="inlineStr">
        <is>
          <t>Slices the trompo, runs the griddle and the comal and can marinate with the owner. It is an investment, not an expense: if only the owner can marinate and slice the trompo, a sick day closes the shop</t>
        </is>
      </c>
    </row>
    <row r="7">
      <c r="A7" s="29" t="inlineStr">
        <is>
          <t>Prep cook (marinades, carnitas, salsas, aguas frescas)</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Carnitas and guisados, salsas, aguas frescas, marinades, mise en place and prep, 30 hours a week</t>
        </is>
      </c>
    </row>
    <row r="8">
      <c r="A8" s="29" t="inlineStr">
        <is>
          <t>Counter lead / cashier</t>
        </is>
      </c>
      <c r="B8" s="51" t="n">
        <v>1</v>
      </c>
      <c r="C8" s="53" t="n">
        <v>1</v>
      </c>
      <c r="D8" s="76" t="n">
        <v>2773</v>
      </c>
      <c r="E8" s="62">
        <f>IFERROR(IF(D8="","",D8*'0. Assumptions'!$B$20),"")</f>
        <v>277.3</v>
      </c>
      <c r="F8" s="62">
        <f>IFERROR(IF(D8="","",D8+E8),"")</f>
        <v>3050.3</v>
      </c>
      <c r="G8" s="62">
        <f>IFERROR(IF(D8="","",F8*MAX(12,'0. Assumptions'!$B$21)),"")</f>
        <v>36603.600000000006</v>
      </c>
      <c r="H8" s="45">
        <f>IFERROR(IF(D8="","",C8*$B$19),"")</f>
        <v>40.0</v>
      </c>
      <c r="I8" s="41">
        <f>IFERROR(IF(D8="","",H8*B8*$B$20),"")</f>
        <v>1840.0</v>
      </c>
      <c r="J8" s="29" t="inlineStr">
        <is>
          <t>Year-round: counter, register, take-out orders, the delivery marketplace tablets and allergen information</t>
        </is>
      </c>
    </row>
    <row r="9">
      <c r="A9" s="29" t="inlineStr">
        <is>
          <t>Counter &amp; expo (part-time W-2)</t>
        </is>
      </c>
      <c r="B9" s="51" t="n">
        <v>2</v>
      </c>
      <c r="C9" s="53" t="n">
        <v>0.4</v>
      </c>
      <c r="D9" s="76" t="n">
        <v>2080</v>
      </c>
      <c r="E9" s="62">
        <f>IFERROR(IF(D9="","",D9*'0. Assumptions'!$B$20),"")</f>
        <v>208.0</v>
      </c>
      <c r="F9" s="62">
        <f>IFERROR(IF(D9="","",D9+E9),"")</f>
        <v>2288.0</v>
      </c>
      <c r="G9" s="62">
        <f>IFERROR(IF(D9="","",F9*MAX(12,'0. Assumptions'!$B$21)),"")</f>
        <v>27456.0</v>
      </c>
      <c r="H9" s="45">
        <f>IFERROR(IF(D9="","",C9*$B$19),"")</f>
        <v>16.0</v>
      </c>
      <c r="I9" s="41">
        <f>IFERROR(IF(D9="","",H9*B9*$B$20),"")</f>
        <v>1472.0</v>
      </c>
      <c r="J9" s="29" t="inlineStr">
        <is>
          <t>Dinner and weekend shifts at the counter and expo, when the shop fills. Part-time W-2 employees; tips are not modeled</t>
        </is>
      </c>
    </row>
    <row r="10">
      <c r="A10" s="29" t="inlineStr">
        <is>
          <t>Dish &amp; prep (part-time W-2)</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Friday-to-Sunday help: dish, prep and the pickup counter, plus the patio in season.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5.0249999999999995</v>
      </c>
      <c r="D12" s="55">
        <f>IFERROR(IF(COUNT(D5:D11)=0,"",SUM(D5:D11)),"")</f>
        <v>16231.0</v>
      </c>
      <c r="E12" s="55">
        <f>IFERROR(IF(COUNT(D5:D11)=0,"",SUM(E5:E11)),"")</f>
        <v>1623.1</v>
      </c>
      <c r="F12" s="55">
        <f>IFERROR(IF(COUNT(D5:D11)=0,"",SUM(F5:F11)),"")</f>
        <v>17854.1</v>
      </c>
      <c r="G12" s="55">
        <f>IFERROR(IF(COUNT(D5:D11)=0,"",SUM(G5:G11)),"")</f>
        <v>214249.2</v>
      </c>
      <c r="H12" s="29" t="n"/>
      <c r="I12" s="54">
        <f>IFERROR(IF(COUNT(D5:D11)=0,"",SUM(I5:I11)),"")</f>
        <v>9246.0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219249.2</v>
      </c>
      <c r="C16" s="29" t="n"/>
      <c r="D16" s="29" t="n"/>
      <c r="E16" s="29" t="n"/>
      <c r="F16" s="29" t="n"/>
      <c r="G16" s="29" t="n"/>
      <c r="H16" s="29" t="n"/>
      <c r="I16" s="29" t="n"/>
      <c r="J16" s="29" t="n"/>
    </row>
    <row r="17">
      <c r="A17" s="29" t="inlineStr">
        <is>
          <t>Labor cost, year 3</t>
        </is>
      </c>
      <c r="B17" s="41">
        <f>IFERROR(IF(B16="","",B16*(1+'0. Assumptions'!$B$48)+B15),"")</f>
        <v>224249.2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10.5</v>
      </c>
      <c r="C21" s="29" t="n"/>
      <c r="D21" s="29" t="n"/>
      <c r="E21" s="29" t="n"/>
      <c r="F21" s="29" t="n"/>
      <c r="G21" s="29" t="n"/>
      <c r="H21" s="29" t="n"/>
      <c r="I21" s="29" t="n"/>
      <c r="J21" s="29" t="inlineStr">
        <is>
          <t>Hours the shop is open to the public, adding the lunch and dinner rushes and the preparation for each. Any slow stretch between the two is not counted</t>
        </is>
      </c>
    </row>
    <row r="22">
      <c r="A22" s="29" t="inlineStr">
        <is>
          <t>People needed at the same time in each shift</t>
        </is>
      </c>
      <c r="B22" s="47" t="n">
        <v>2.5</v>
      </c>
      <c r="C22" s="29" t="n"/>
      <c r="D22" s="29" t="n"/>
      <c r="E22" s="29" t="n"/>
      <c r="F22" s="29" t="n"/>
      <c r="G22" s="29" t="n"/>
      <c r="H22" s="29" t="n"/>
      <c r="I22" s="29" t="n"/>
      <c r="J22" s="29" t="inlineStr">
        <is>
          <t>Average number of people on at once between the trompo, the griddle or comal, the counter and expo. On Saturday night five are needed: the weekend help and the dinner counter staff come in (the annual schedule does not see this: put it on the shift schedule)</t>
        </is>
      </c>
    </row>
    <row r="23">
      <c r="A23" s="29" t="inlineStr">
        <is>
          <t>Production hours per day BEFORE opening</t>
        </is>
      </c>
      <c r="B23" s="47" t="n">
        <v>2.5</v>
      </c>
      <c r="C23" s="29" t="n"/>
      <c r="D23" s="29" t="n"/>
      <c r="E23" s="29" t="n"/>
      <c r="F23" s="29" t="n"/>
      <c r="G23" s="29" t="n"/>
      <c r="H23" s="29" t="n"/>
      <c r="I23" s="29" t="n"/>
      <c r="J23" s="29" t="inlineStr">
        <is>
          <t>Next-day marinade, building the cone, carnitas and guisados, salsas and mise en place before opening</t>
        </is>
      </c>
    </row>
    <row r="24">
      <c r="A24" s="29" t="inlineStr">
        <is>
          <t>People on the production shift</t>
        </is>
      </c>
      <c r="B24" s="47" t="n">
        <v>1.5</v>
      </c>
      <c r="C24" s="29" t="n"/>
      <c r="D24" s="29" t="n"/>
      <c r="E24" s="29" t="n"/>
      <c r="F24" s="29" t="n"/>
      <c r="G24" s="29" t="n"/>
      <c r="H24" s="29" t="n"/>
      <c r="I24" s="29" t="n"/>
      <c r="J24" s="29" t="inlineStr">
        <is>
          <t>The owner with the prep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9240.0</v>
      </c>
      <c r="C25" s="29" t="n"/>
      <c r="D25" s="29" t="n"/>
      <c r="E25" s="29" t="n"/>
      <c r="F25" s="29" t="n"/>
      <c r="G25" s="29" t="n"/>
      <c r="H25" s="29" t="n"/>
      <c r="I25" s="29" t="n"/>
      <c r="J25" s="29" t="n"/>
    </row>
    <row r="26">
      <c r="A26" s="29" t="inlineStr">
        <is>
          <t>Hours hired per year</t>
        </is>
      </c>
      <c r="B26" s="41">
        <f>IFERROR(IF(I12="","",I12),"")</f>
        <v>9246.0</v>
      </c>
      <c r="C26" s="29" t="n"/>
      <c r="D26" s="29" t="n"/>
      <c r="E26" s="29" t="n"/>
      <c r="F26" s="29" t="n"/>
      <c r="G26" s="29" t="n"/>
      <c r="H26" s="29" t="n"/>
      <c r="I26" s="29" t="n"/>
      <c r="J26" s="29" t="n"/>
    </row>
    <row r="27">
      <c r="A27" s="26" t="inlineStr">
        <is>
          <t>Coverage (hired / needed)</t>
        </is>
      </c>
      <c r="B27" s="67">
        <f>IFERROR(B26/B25,"")</f>
        <v>1.0006493506493506</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this is counter service, every position is budgeted at a base wage of at least $15/h, and counter tips (tip jar or screen)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Taco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90" customHeight="1">
      <c r="A10" s="48" t="inlineStr">
        <is>
          <t>6. The "12-Month Cash Flow" tab answers the question that decides a bank deal: in which month the cash runs out. Its Month 1 is JANUARY, in calendar order: the ramp-up falls on January and February, the slowest months, and that is why working capital counts. If you open in another month, rotate the seasonality row.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50" customHeight="1">
      <c r="A12" s="48" t="inlineStr">
        <is>
          <t>8. The Word business plan in this pack quotes the figures in this Excel: if you change a green cell, the Excel rules. The Taco Cost &amp; Trompo Yield Calculator is separate and is used to measure the yield of the cone and COST each taco: do not copy the food cost of one taco into the "0. Assumptions" tab. The "Cost of goods sold on FOOD sales" cell is the weighted average of the WHOLE menu (tacos, gringas, guisados, chips and guacamole and birria, each by what it sells) plus waste, and that is why it comes out higher than the food cost of the al pastor taco.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0.2625</v>
      </c>
      <c r="C18" s="68">
        <f>IFERROR(IF('3-Year P&amp;L'!$E$52="","",'3-Year P&amp;L'!$E$52),"")</f>
        <v>0.3</v>
      </c>
      <c r="D18" s="29" t="str">
        <f>IFERROR(IF(OR(B18="",C18=""),"",IF(B18&lt;=C18,"OK","REVIEW")),"")</f>
        <v>OK</v>
      </c>
      <c r="E18" s="29" t="n"/>
    </row>
    <row r="19">
      <c r="A19" s="29" t="inlineStr">
        <is>
          <t>Labor cost / Sales</t>
        </is>
      </c>
      <c r="B19" s="68">
        <f>IFERROR(IF('3-Year P&amp;L'!$B$53="","",'3-Year P&amp;L'!$B$53),"")</f>
        <v>0.3456468500443656</v>
      </c>
      <c r="C19" s="68">
        <f>IFERROR(IF('3-Year P&amp;L'!$E$53="","",'3-Year P&amp;L'!$E$53),"")</f>
        <v>0.36</v>
      </c>
      <c r="D19" s="29" t="str">
        <f>IFERROR(IF(OR(B19="",C19=""),"",IF(B19&lt;=C19,"OK","REVIEW")),"")</f>
        <v>OK</v>
      </c>
      <c r="E19" s="29" t="n"/>
    </row>
    <row r="20">
      <c r="A20" s="29" t="inlineStr">
        <is>
          <t>Rent / Sales</t>
        </is>
      </c>
      <c r="B20" s="68">
        <f>IFERROR(IF('3-Year P&amp;L'!$B$54="","",'3-Year P&amp;L'!$B$54),"")</f>
        <v>0.05420666290231508</v>
      </c>
      <c r="C20" s="68">
        <f>IFERROR(IF('3-Year P&amp;L'!$E$54="","",'3-Year P&amp;L'!$E$54),"")</f>
        <v>0.1</v>
      </c>
      <c r="D20" s="29" t="str">
        <f>IFERROR(IF(OR(B20="",C20=""),"",IF(B20&lt;=C20,"OK","REVIEW")),"")</f>
        <v>OK</v>
      </c>
      <c r="E20" s="29" t="n"/>
    </row>
    <row r="21">
      <c r="A21" s="29" t="inlineStr">
        <is>
          <t>Net income / Sales</t>
        </is>
      </c>
      <c r="B21" s="68">
        <f>IFERROR(IF('3-Year P&amp;L'!$B$55="","",'3-Year P&amp;L'!$B$55),"")</f>
        <v>0.06293307136519205</v>
      </c>
      <c r="C21" s="68">
        <f>IFERROR(IF('3-Year P&amp;L'!$E$55="","",'3-Year P&amp;L'!$E$55),"")</f>
        <v>0.05</v>
      </c>
      <c r="D21" s="29" t="str">
        <f>IFERROR(IF(OR(B21="",C21=""),"",IF(B21&gt;=C21,"OK","REVIEW")),"")</f>
        <v>OK</v>
      </c>
      <c r="E21" s="29" t="n"/>
    </row>
    <row r="22">
      <c r="A22" s="29" t="inlineStr">
        <is>
          <t>Gross margin / Sales</t>
        </is>
      </c>
      <c r="B22" s="68">
        <f>IFERROR(IF('3-Year P&amp;L'!$B$50="","",'3-Year P&amp;L'!$B$50),"")</f>
        <v>0.62</v>
      </c>
      <c r="C22" s="68">
        <f>IFERROR(IF('3-Year P&amp;L'!$E$50="","",'3-Year P&amp;L'!$E$50),"")</f>
        <v>0.6</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275612.3</v>
      </c>
      <c r="C25" s="29" t="n"/>
      <c r="D25" s="29" t="n"/>
      <c r="E25" s="29" t="n"/>
    </row>
    <row r="26">
      <c r="A26" s="29" t="inlineStr">
        <is>
          <t>Total cash needed at launch</t>
        </is>
      </c>
      <c r="B26" s="41">
        <f>IFERROR(IF('Startup Costs'!$B$33="","",'Startup Costs'!$B$33),"")</f>
        <v>275612.3</v>
      </c>
      <c r="C26" s="29" t="n"/>
      <c r="D26" s="29" t="n"/>
      <c r="E26" s="29" t="n"/>
    </row>
    <row r="27">
      <c r="A27" s="29" t="inlineStr">
        <is>
          <t>Working capital funded</t>
        </is>
      </c>
      <c r="B27" s="41">
        <f>IFERROR(IF('Startup Costs'!$B$29="","",'Startup Costs'!$B$29),"")</f>
        <v>78012.3</v>
      </c>
      <c r="C27" s="29" t="n"/>
      <c r="D27" s="29" t="n"/>
      <c r="E27" s="29" t="n"/>
    </row>
    <row r="28">
      <c r="A28" s="29" t="inlineStr">
        <is>
          <t>Forecast year-1 revenue</t>
        </is>
      </c>
      <c r="B28" s="41">
        <f>IFERROR(IF('3-Year P&amp;L'!$B$9="","",'3-Year P&amp;L'!$B$9),"")</f>
        <v>619850.0</v>
      </c>
      <c r="C28" s="29" t="n"/>
      <c r="D28" s="29" t="n"/>
      <c r="E28" s="29" t="n"/>
    </row>
    <row r="29">
      <c r="A29" s="29" t="inlineStr">
        <is>
          <t>Year-1 net income</t>
        </is>
      </c>
      <c r="B29" s="41">
        <f>IFERROR(IF('3-Year P&amp;L'!$B$47="","",'3-Year P&amp;L'!$B$47),"")</f>
        <v>39009.064285714296</v>
      </c>
      <c r="C29" s="29" t="n"/>
      <c r="D29" s="29" t="n"/>
      <c r="E29" s="29" t="n"/>
    </row>
    <row r="30">
      <c r="A30" s="29" t="inlineStr">
        <is>
          <t>Covers per day for the ACCOUNTING break-even (depreciation included)</t>
        </is>
      </c>
      <c r="B30" s="45">
        <f>IFERROR(IF('Break-Even'!$B$15="","",'Break-Even'!$B$15),"")</f>
        <v>99.4359070817267</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TAQUERIA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45" customHeight="1">
      <c r="A35" s="29" t="inlineStr">
        <is>
          <t>Month 1 of the plan</t>
        </is>
      </c>
      <c r="B35" s="29" t="inlineStr">
        <is>
          <t>January</t>
        </is>
      </c>
      <c r="C35" s="29" t="inlineStr">
        <is>
          <t>Plan decision</t>
        </is>
      </c>
      <c r="D35" s="48" t="inlineStr">
        <is>
          <t>In calendar order: the ramp-up falls on the slowest months and working capital covers it. If you open in another month, rotate the seasonality row of the "12-Month Cash Flow" tab</t>
        </is>
      </c>
      <c r="E35" s="29" t="n"/>
    </row>
    <row r="36" ht="45" customHeight="1">
      <c r="A36" s="29" t="inlineStr">
        <is>
          <t>Street taco on the menu</t>
        </is>
      </c>
      <c r="B36" s="29" t="inlineStr">
        <is>
          <t>$3.00-3.75 in mid-size cities; about $5 in big cities</t>
        </is>
      </c>
      <c r="C36" s="29" t="inlineStr">
        <is>
          <t>Kit estimate (menu scan, Oct 2026)</t>
        </is>
      </c>
      <c r="D36" s="48" t="inlineStr">
        <is>
          <t>This plan prices it at $4.00 (a plate of 3 tacos with rice &amp; beans comes to about $14)</t>
        </is>
      </c>
      <c r="E36" s="29" t="n"/>
    </row>
    <row r="37" ht="60" customHeight="1">
      <c r="A37" s="29" t="inlineStr">
        <is>
          <t>Al pastor taco food cost</t>
        </is>
      </c>
      <c r="B37" s="29" t="inlineStr">
        <is>
          <t>About 25% of its price excl. sales tax</t>
        </is>
      </c>
      <c r="C37" s="29" t="inlineStr">
        <is>
          <t>Kit estimate (Taco Cost &amp; Trompo Yield Calculator)</t>
        </is>
      </c>
      <c r="D37" s="48" t="inlineStr">
        <is>
          <t>2 corn tortillas (6 in), 1.5 oz (43 g) of meat served, garnish and salsa, with 5% waste. Meat and tortilla prices are Kit estimates: enter your distributor's</t>
        </is>
      </c>
      <c r="E37" s="29" t="n"/>
    </row>
    <row r="38" ht="45" customHeight="1">
      <c r="A38" s="29" t="inlineStr">
        <is>
          <t>Trompo yield</t>
        </is>
      </c>
      <c r="B38" s="29" t="inlineStr">
        <is>
          <t>About 7 tacos per raw lb (a 30 lb (13.6 kg) cone is about 207 tacos)</t>
        </is>
      </c>
      <c r="C38" s="29" t="inlineStr">
        <is>
          <t>Kit estimate (65% yield, 1.5 oz served)</t>
        </is>
      </c>
      <c r="D38" s="48" t="inlineStr">
        <is>
          <t>Measure your own with the Taco Cost &amp; Trompo Yield Calculator (raw cone, leftover, served)</t>
        </is>
      </c>
      <c r="E38" s="29" t="n"/>
    </row>
    <row r="39" ht="30" customHeight="1">
      <c r="A39" s="29" t="inlineStr">
        <is>
          <t>Vertical broiler (trompo)</t>
        </is>
      </c>
      <c r="B39" s="29" t="inlineStr">
        <is>
          <t>$999-$2,844 each</t>
        </is>
      </c>
      <c r="C39" s="29" t="inlineStr">
        <is>
          <t>webstaurantstore.com (Avantco VB203, Visvardis DG8A), read Oct 2026</t>
        </is>
      </c>
      <c r="D39" s="48" t="inlineStr">
        <is>
          <t>The example counts two gas trompos; a charcoal trompo is a solid-fuel variant (NFPA 96)</t>
        </is>
      </c>
      <c r="E39" s="29" t="n"/>
    </row>
    <row r="40" ht="30" customHeight="1">
      <c r="A40" s="29" t="inlineStr">
        <is>
          <t>Delivery marketplace commission</t>
        </is>
      </c>
      <c r="B40" s="29" t="inlineStr">
        <is>
          <t>DoorDash 15 / 25 / 30% + 6% pickup; Uber Eats 15-30%</t>
        </is>
      </c>
      <c r="C40" s="29" t="inlineStr">
        <is>
          <t>merchants.ubereats.com; DoorDash tiers (Oct 2026)</t>
        </is>
      </c>
      <c r="D40" s="48" t="inlineStr">
        <is>
          <t>This plan: 25% on the 15% of sales that go through marketplaces. Direct pickup pays no commission; check your contract</t>
        </is>
      </c>
      <c r="E40" s="29" t="n"/>
    </row>
    <row r="41" ht="45" customHeight="1">
      <c r="A41" s="29" t="inlineStr">
        <is>
          <t>Sales tax</t>
        </is>
      </c>
      <c r="B41" s="29" t="inlineStr">
        <is>
          <t>8% (example: state + local)</t>
        </is>
      </c>
      <c r="C41" s="29" t="inlineStr">
        <is>
          <t>Kit example: look up your state and city rate</t>
        </is>
      </c>
      <c r="D41" s="48" t="inlineStr">
        <is>
          <t>One rate in the workbook; some states tax food to go differently</t>
        </is>
      </c>
      <c r="E41" s="29" t="n"/>
    </row>
    <row r="42" ht="90" customHeight="1">
      <c r="A42" s="29" t="inlineStr">
        <is>
          <t>Hot and cold holding</t>
        </is>
      </c>
      <c r="B42" s="29" t="inlineStr">
        <is>
          <t>≥ 135 °F (57 °C) hot, ≤ 41 °F (5 °C) cold; reheat to 165 °F (74 °C) within 2 h; TPHC up to 4 h with a written procedure</t>
        </is>
      </c>
      <c r="C42" s="29" t="inlineStr">
        <is>
          <t>FDA Food Code 2022 (3-501.16, 3-403.11, 3-501.19)</t>
        </is>
      </c>
      <c r="D42" s="48" t="inlineStr">
        <is>
          <t>Each state adopts its own edition. A salsa bar run on TPHC needs the written procedure. Cut tomatoes (pico de gallo, fresh salsas) are TCS; for guacamole, treat it as TCS and ask your regulator</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Counter service lands at the low end; two taqueros (the owner and a second one) are insurance, not a luxury</t>
        </is>
      </c>
      <c r="E44" s="29" t="n"/>
    </row>
    <row r="45" ht="30" customHeight="1">
      <c r="A45" s="29" t="inlineStr">
        <is>
          <t>Rent / sales</t>
        </is>
      </c>
      <c r="B45" s="29" t="inlineStr">
        <is>
          <t>≤ 10%</t>
        </is>
      </c>
      <c r="C45" s="29" t="inlineStr">
        <is>
          <t>Kit estimate</t>
        </is>
      </c>
      <c r="D45" s="48" t="inlineStr">
        <is>
          <t>The threshold of the P&amp;L traffic light; a space with a Type I hood already installed saves build-out</t>
        </is>
      </c>
      <c r="E45" s="29" t="n"/>
    </row>
    <row r="46" ht="45" customHeight="1">
      <c r="A46" s="29" t="inlineStr">
        <is>
          <t>Al pastor cook temperature</t>
        </is>
      </c>
      <c r="B46" s="29" t="inlineStr">
        <is>
          <t>Set by your county: 145 °F (63 °C) in some, 155 °F (68 °C) in others (165 °F (74 °C) for chicken)</t>
        </is>
      </c>
      <c r="C46" s="29" t="inlineStr">
        <is>
          <t>County vertical broiler guidance (summaries)</t>
        </is>
      </c>
      <c r="D46" s="48" t="inlineStr">
        <is>
          <t>Ask your health department in writing for the cook temperature, the maximum time on the broiler and what to do with the leftover cone; never rely on a single figure</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aichef.pro/en/digital-products/taco-shop-business-plan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0.074</v>
      </c>
      <c r="C5" s="74" t="n">
        <v>0.076</v>
      </c>
      <c r="D5" s="74" t="n">
        <v>0.08400000000000001</v>
      </c>
      <c r="E5" s="74" t="n">
        <v>0.08599999999999999</v>
      </c>
      <c r="F5" s="74" t="n">
        <v>0.092</v>
      </c>
      <c r="G5" s="74" t="n">
        <v>0.08799999999999999</v>
      </c>
      <c r="H5" s="74" t="n">
        <v>0.08799999999999999</v>
      </c>
      <c r="I5" s="74" t="n">
        <v>0.08599999999999999</v>
      </c>
      <c r="J5" s="74" t="n">
        <v>0.08400000000000001</v>
      </c>
      <c r="K5" s="74" t="n">
        <v>0.08400000000000001</v>
      </c>
      <c r="L5" s="74" t="n">
        <v>0.078</v>
      </c>
      <c r="M5" s="74" t="n">
        <v>0.08</v>
      </c>
      <c r="N5" s="68">
        <f>IFERROR(IF('3-Year P&amp;L'!$B$9="","",SUM(B5:M5)),"")</f>
        <v>1.0</v>
      </c>
      <c r="O5" s="29" t="inlineStr">
        <is>
          <t>Month 1 = JANUARY, in calendar order: January and February are the slowest months, May is the peak (Cinco de Mayo, celebrated mostly in the US, plus the start of patio season) and the summer stays strong with the patio.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0.05770230462658119</v>
      </c>
      <c r="C7" s="68">
        <f>IFERROR(IF('3-Year P&amp;L'!$B$9="","",C5*C6/SUMPRODUCT($B$5:$M$5,$B$6:$M$6)),"")</f>
        <v>0.06584647374805062</v>
      </c>
      <c r="D7" s="68">
        <f>IFERROR(IF('3-Year P&amp;L'!$B$9="","",D5*D6/SUMPRODUCT($B$5:$M$5,$B$6:$M$6)),"")</f>
        <v>0.08005544966210364</v>
      </c>
      <c r="E7" s="68">
        <f>IFERROR(IF('3-Year P&amp;L'!$B$9="","",E5*E6/SUMPRODUCT($B$5:$M$5,$B$6:$M$6)),"")</f>
        <v>0.08941258014208978</v>
      </c>
      <c r="F7" s="68">
        <f>IFERROR(IF('3-Year P&amp;L'!$B$9="","",F5*F6/SUMPRODUCT($B$5:$M$5,$B$6:$M$6)),"")</f>
        <v>0.0956506671287472</v>
      </c>
      <c r="G7" s="68">
        <f>IFERROR(IF('3-Year P&amp;L'!$B$9="","",G5*G6/SUMPRODUCT($B$5:$M$5,$B$6:$M$6)),"")</f>
        <v>0.09149194247097558</v>
      </c>
      <c r="H7" s="68">
        <f>IFERROR(IF('3-Year P&amp;L'!$B$9="","",H5*H6/SUMPRODUCT($B$5:$M$5,$B$6:$M$6)),"")</f>
        <v>0.09149194247097558</v>
      </c>
      <c r="I7" s="68">
        <f>IFERROR(IF('3-Year P&amp;L'!$B$9="","",I5*I6/SUMPRODUCT($B$5:$M$5,$B$6:$M$6)),"")</f>
        <v>0.08941258014208978</v>
      </c>
      <c r="J7" s="68">
        <f>IFERROR(IF('3-Year P&amp;L'!$B$9="","",J5*J6/SUMPRODUCT($B$5:$M$5,$B$6:$M$6)),"")</f>
        <v>0.08733321781320398</v>
      </c>
      <c r="K7" s="68">
        <f>IFERROR(IF('3-Year P&amp;L'!$B$9="","",K5*K6/SUMPRODUCT($B$5:$M$5,$B$6:$M$6)),"")</f>
        <v>0.08733321781320398</v>
      </c>
      <c r="L7" s="68">
        <f>IFERROR(IF('3-Year P&amp;L'!$B$9="","",L5*L6/SUMPRODUCT($B$5:$M$5,$B$6:$M$6)),"")</f>
        <v>0.08109513082654654</v>
      </c>
      <c r="M7" s="68">
        <f>IFERROR(IF('3-Year P&amp;L'!$B$9="","",M5*M6/SUMPRODUCT($B$5:$M$5,$B$6:$M$6)),"")</f>
        <v>0.08317449315543235</v>
      </c>
      <c r="N7" s="68">
        <f>IFERROR(IF('3-Year P&amp;L'!$B$9="","",SUM(B7:M7)),"")</f>
        <v>1.0000000000000004</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36052.90771096865</v>
      </c>
      <c r="C9" s="41">
        <f>IFERROR(IF('3-Year P&amp;L'!$B$9="","",('3-Year P&amp;L'!$B$9+'3-Year P&amp;L'!$B$9*SUMPRODUCT('3-Year P&amp;L'!$E$10:$E$11,'3-Year P&amp;L'!$G$10:$G$11))*(C7*(1-MIN(30,'0. Assumptions'!$B$58)/30)+B7*MIN(30,'0. Assumptions'!$B$58)/30)),"")</f>
        <v>43716.66394039163</v>
      </c>
      <c r="D9" s="41">
        <f>IFERROR(IF('3-Year P&amp;L'!$B$9="","",('3-Year P&amp;L'!$B$9+'3-Year P&amp;L'!$B$9*SUMPRODUCT('3-Year P&amp;L'!$E$10:$E$11,'3-Year P&amp;L'!$G$10:$G$11))*(D7*(1-MIN(30,'0. Assumptions'!$B$58)/30)+C7*MIN(30,'0. Assumptions'!$B$58)/30)),"")</f>
        <v>52958.024883035876</v>
      </c>
      <c r="E9" s="41">
        <f>IFERROR(IF('3-Year P&amp;L'!$B$9="","",('3-Year P&amp;L'!$B$9+'3-Year P&amp;L'!$B$9*SUMPRODUCT('3-Year P&amp;L'!$E$10:$E$11,'3-Year P&amp;L'!$G$10:$G$11))*(E7*(1-MIN(30,'0. Assumptions'!$B$58)/30)+D7*MIN(30,'0. Assumptions'!$B$58)/30)),"")</f>
        <v>59438.5775775429</v>
      </c>
      <c r="F9" s="41">
        <f>IFERROR(IF('3-Year P&amp;L'!$B$9="","",('3-Year P&amp;L'!$B$9+'3-Year P&amp;L'!$B$9*SUMPRODUCT('3-Year P&amp;L'!$E$10:$E$11,'3-Year P&amp;L'!$G$10:$G$11))*(F7*(1-MIN(30,'0. Assumptions'!$B$58)/30)+E7*MIN(30,'0. Assumptions'!$B$58)/30)),"")</f>
        <v>63753.790469589345</v>
      </c>
      <c r="G9" s="41">
        <f>IFERROR(IF('3-Year P&amp;L'!$B$9="","",('3-Year P&amp;L'!$B$9+'3-Year P&amp;L'!$B$9*SUMPRODUCT('3-Year P&amp;L'!$E$10:$E$11,'3-Year P&amp;L'!$G$10:$G$11))*(G7*(1-MIN(30,'0. Assumptions'!$B$58)/30)+F7*MIN(30,'0. Assumptions'!$B$58)/30)),"")</f>
        <v>61433.783538381584</v>
      </c>
      <c r="H9" s="41">
        <f>IFERROR(IF('3-Year P&amp;L'!$B$9="","",('3-Year P&amp;L'!$B$9+'3-Year P&amp;L'!$B$9*SUMPRODUCT('3-Year P&amp;L'!$E$10:$E$11,'3-Year P&amp;L'!$G$10:$G$11))*(H7*(1-MIN(30,'0. Assumptions'!$B$58)/30)+G7*MIN(30,'0. Assumptions'!$B$58)/30)),"")</f>
        <v>61248.18298388495</v>
      </c>
      <c r="I9" s="41">
        <f>IFERROR(IF('3-Year P&amp;L'!$B$9="","",('3-Year P&amp;L'!$B$9+'3-Year P&amp;L'!$B$9*SUMPRODUCT('3-Year P&amp;L'!$E$10:$E$11,'3-Year P&amp;L'!$G$10:$G$11))*(I7*(1-MIN(30,'0. Assumptions'!$B$58)/30)+H7*MIN(30,'0. Assumptions'!$B$58)/30)),"")</f>
        <v>59948.9791024086</v>
      </c>
      <c r="J9" s="41">
        <f>IFERROR(IF('3-Year P&amp;L'!$B$9="","",('3-Year P&amp;L'!$B$9+'3-Year P&amp;L'!$B$9*SUMPRODUCT('3-Year P&amp;L'!$E$10:$E$11,'3-Year P&amp;L'!$G$10:$G$11))*(J7*(1-MIN(30,'0. Assumptions'!$B$58)/30)+I7*MIN(30,'0. Assumptions'!$B$58)/30)),"")</f>
        <v>58556.97494368396</v>
      </c>
      <c r="K9" s="41">
        <f>IFERROR(IF('3-Year P&amp;L'!$B$9="","",('3-Year P&amp;L'!$B$9+'3-Year P&amp;L'!$B$9*SUMPRODUCT('3-Year P&amp;L'!$E$10:$E$11,'3-Year P&amp;L'!$G$10:$G$11))*(K7*(1-MIN(30,'0. Assumptions'!$B$58)/30)+J7*MIN(30,'0. Assumptions'!$B$58)/30)),"")</f>
        <v>58464.17466643565</v>
      </c>
      <c r="L9" s="41">
        <f>IFERROR(IF('3-Year P&amp;L'!$B$9="","",('3-Year P&amp;L'!$B$9+'3-Year P&amp;L'!$B$9*SUMPRODUCT('3-Year P&amp;L'!$E$10:$E$11,'3-Year P&amp;L'!$G$10:$G$11))*(L7*(1-MIN(30,'0. Assumptions'!$B$58)/30)+K7*MIN(30,'0. Assumptions'!$B$58)/30)),"")</f>
        <v>54566.563022006594</v>
      </c>
      <c r="M9" s="41">
        <f>IFERROR(IF('3-Year P&amp;L'!$B$9="","",('3-Year P&amp;L'!$B$9+'3-Year P&amp;L'!$B$9*SUMPRODUCT('3-Year P&amp;L'!$E$10:$E$11,'3-Year P&amp;L'!$G$10:$G$11))*(M7*(1-MIN(30,'0. Assumptions'!$B$58)/30)+L7*MIN(30,'0. Assumptions'!$B$58)/30)),"")</f>
        <v>55587.366071738004</v>
      </c>
      <c r="N9" s="41">
        <f>IFERROR(IF('3-Year P&amp;L'!$B$9="","",SUM(B9:M9)),"")</f>
        <v>665725.9889100677</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-7248.7327672847005</v>
      </c>
      <c r="C11" s="41">
        <f>IFERROR(IF('3-Year P&amp;L'!$B$9="","",-('3-Year P&amp;L'!$B$13*(1+'3-Year P&amp;L'!$G$13)+'3-Year P&amp;L'!$B$14*(1+'3-Year P&amp;L'!$G$14)+'3-Year P&amp;L'!$B$15*(1+'3-Year P&amp;L'!$G$15)+'3-Year P&amp;L'!$B$16*(1+'3-Year P&amp;L'!$G$16)+'3-Year P&amp;L'!$B$17*(1+'3-Year P&amp;L'!$G$17)+'3-Year P&amp;L'!$B$18*(1+'3-Year P&amp;L'!$G$18))*(C7*(1-MIN(30,'0. Assumptions'!$B$59)/30)+B7*MIN(30,'0. Assumptions'!$B$59)/30)),"")</f>
        <v>-14614.46835326056</v>
      </c>
      <c r="D11" s="41">
        <f>IFERROR(IF('3-Year P&amp;L'!$B$9="","",-('3-Year P&amp;L'!$B$13*(1+'3-Year P&amp;L'!$G$13)+'3-Year P&amp;L'!$B$14*(1+'3-Year P&amp;L'!$G$14)+'3-Year P&amp;L'!$B$15*(1+'3-Year P&amp;L'!$G$15)+'3-Year P&amp;L'!$B$16*(1+'3-Year P&amp;L'!$G$16)+'3-Year P&amp;L'!$B$17*(1+'3-Year P&amp;L'!$G$17)+'3-Year P&amp;L'!$B$18*(1+'3-Year P&amp;L'!$G$18))*(D7*(1-MIN(30,'0. Assumptions'!$B$59)/30)+C7*MIN(30,'0. Assumptions'!$B$59)/30)),"")</f>
        <v>-17294.64920002311</v>
      </c>
      <c r="E11" s="41">
        <f>IFERROR(IF('3-Year P&amp;L'!$B$9="","",-('3-Year P&amp;L'!$B$13*(1+'3-Year P&amp;L'!$G$13)+'3-Year P&amp;L'!$B$14*(1+'3-Year P&amp;L'!$G$14)+'3-Year P&amp;L'!$B$15*(1+'3-Year P&amp;L'!$G$15)+'3-Year P&amp;L'!$B$16*(1+'3-Year P&amp;L'!$G$16)+'3-Year P&amp;L'!$B$17*(1+'3-Year P&amp;L'!$G$17)+'3-Year P&amp;L'!$B$18*(1+'3-Year P&amp;L'!$G$18))*(E7*(1-MIN(30,'0. Assumptions'!$B$59)/30)+D7*MIN(30,'0. Assumptions'!$B$59)/30)),"")</f>
        <v>-20031.970958239475</v>
      </c>
      <c r="F11" s="41">
        <f>IFERROR(IF('3-Year P&amp;L'!$B$9="","",-('3-Year P&amp;L'!$B$13*(1+'3-Year P&amp;L'!$G$13)+'3-Year P&amp;L'!$B$14*(1+'3-Year P&amp;L'!$G$14)+'3-Year P&amp;L'!$B$15*(1+'3-Year P&amp;L'!$G$15)+'3-Year P&amp;L'!$B$16*(1+'3-Year P&amp;L'!$G$16)+'3-Year P&amp;L'!$B$17*(1+'3-Year P&amp;L'!$G$17)+'3-Year P&amp;L'!$B$18*(1+'3-Year P&amp;L'!$G$18))*(F7*(1-MIN(30,'0. Assumptions'!$B$59)/30)+E7*MIN(30,'0. Assumptions'!$B$59)/30)),"")</f>
        <v>-21844.15415006065</v>
      </c>
      <c r="G11" s="41">
        <f>IFERROR(IF('3-Year P&amp;L'!$B$9="","",-('3-Year P&amp;L'!$B$13*(1+'3-Year P&amp;L'!$G$13)+'3-Year P&amp;L'!$B$14*(1+'3-Year P&amp;L'!$G$14)+'3-Year P&amp;L'!$B$15*(1+'3-Year P&amp;L'!$G$15)+'3-Year P&amp;L'!$B$16*(1+'3-Year P&amp;L'!$G$16)+'3-Year P&amp;L'!$B$17*(1+'3-Year P&amp;L'!$G$17)+'3-Year P&amp;L'!$B$18*(1+'3-Year P&amp;L'!$G$18))*(G7*(1-MIN(30,'0. Assumptions'!$B$59)/30)+F7*MIN(30,'0. Assumptions'!$B$59)/30)),"")</f>
        <v>-22007.41389707157</v>
      </c>
      <c r="H11" s="41">
        <f>IFERROR(IF('3-Year P&amp;L'!$B$9="","",-('3-Year P&amp;L'!$B$13*(1+'3-Year P&amp;L'!$G$13)+'3-Year P&amp;L'!$B$14*(1+'3-Year P&amp;L'!$G$14)+'3-Year P&amp;L'!$B$15*(1+'3-Year P&amp;L'!$G$15)+'3-Year P&amp;L'!$B$16*(1+'3-Year P&amp;L'!$G$16)+'3-Year P&amp;L'!$B$17*(1+'3-Year P&amp;L'!$G$17)+'3-Year P&amp;L'!$B$18*(1+'3-Year P&amp;L'!$G$18))*(H7*(1-MIN(30,'0. Assumptions'!$B$59)/30)+G7*MIN(30,'0. Assumptions'!$B$59)/30)),"")</f>
        <v>-21550.286605441</v>
      </c>
      <c r="I11" s="41">
        <f>IFERROR(IF('3-Year P&amp;L'!$B$9="","",-('3-Year P&amp;L'!$B$13*(1+'3-Year P&amp;L'!$G$13)+'3-Year P&amp;L'!$B$14*(1+'3-Year P&amp;L'!$G$14)+'3-Year P&amp;L'!$B$15*(1+'3-Year P&amp;L'!$G$15)+'3-Year P&amp;L'!$B$16*(1+'3-Year P&amp;L'!$G$16)+'3-Year P&amp;L'!$B$17*(1+'3-Year P&amp;L'!$G$17)+'3-Year P&amp;L'!$B$18*(1+'3-Year P&amp;L'!$G$18))*(I7*(1-MIN(30,'0. Assumptions'!$B$59)/30)+H7*MIN(30,'0. Assumptions'!$B$59)/30)),"")</f>
        <v>-21289.07101022354</v>
      </c>
      <c r="J11" s="41">
        <f>IFERROR(IF('3-Year P&amp;L'!$B$9="","",-('3-Year P&amp;L'!$B$13*(1+'3-Year P&amp;L'!$G$13)+'3-Year P&amp;L'!$B$14*(1+'3-Year P&amp;L'!$G$14)+'3-Year P&amp;L'!$B$15*(1+'3-Year P&amp;L'!$G$15)+'3-Year P&amp;L'!$B$16*(1+'3-Year P&amp;L'!$G$16)+'3-Year P&amp;L'!$B$17*(1+'3-Year P&amp;L'!$G$17)+'3-Year P&amp;L'!$B$18*(1+'3-Year P&amp;L'!$G$18))*(J7*(1-MIN(30,'0. Assumptions'!$B$59)/30)+I7*MIN(30,'0. Assumptions'!$B$59)/30)),"")</f>
        <v>-20799.29176919079</v>
      </c>
      <c r="K11" s="41">
        <f>IFERROR(IF('3-Year P&amp;L'!$B$9="","",-('3-Year P&amp;L'!$B$13*(1+'3-Year P&amp;L'!$G$13)+'3-Year P&amp;L'!$B$14*(1+'3-Year P&amp;L'!$G$14)+'3-Year P&amp;L'!$B$15*(1+'3-Year P&amp;L'!$G$15)+'3-Year P&amp;L'!$B$16*(1+'3-Year P&amp;L'!$G$16)+'3-Year P&amp;L'!$B$17*(1+'3-Year P&amp;L'!$G$17)+'3-Year P&amp;L'!$B$18*(1+'3-Year P&amp;L'!$G$18))*(K7*(1-MIN(30,'0. Assumptions'!$B$59)/30)+J7*MIN(30,'0. Assumptions'!$B$59)/30)),"")</f>
        <v>-20570.728123375502</v>
      </c>
      <c r="L11" s="41">
        <f>IFERROR(IF('3-Year P&amp;L'!$B$9="","",-('3-Year P&amp;L'!$B$13*(1+'3-Year P&amp;L'!$G$13)+'3-Year P&amp;L'!$B$14*(1+'3-Year P&amp;L'!$G$14)+'3-Year P&amp;L'!$B$15*(1+'3-Year P&amp;L'!$G$15)+'3-Year P&amp;L'!$B$16*(1+'3-Year P&amp;L'!$G$16)+'3-Year P&amp;L'!$B$17*(1+'3-Year P&amp;L'!$G$17)+'3-Year P&amp;L'!$B$18*(1+'3-Year P&amp;L'!$G$18))*(L7*(1-MIN(30,'0. Assumptions'!$B$59)/30)+K7*MIN(30,'0. Assumptions'!$B$59)/30)),"")</f>
        <v>-19787.081337723102</v>
      </c>
      <c r="M11" s="41">
        <f>IFERROR(IF('3-Year P&amp;L'!$B$9="","",-('3-Year P&amp;L'!$B$13*(1+'3-Year P&amp;L'!$G$13)+'3-Year P&amp;L'!$B$14*(1+'3-Year P&amp;L'!$G$14)+'3-Year P&amp;L'!$B$15*(1+'3-Year P&amp;L'!$G$15)+'3-Year P&amp;L'!$B$16*(1+'3-Year P&amp;L'!$G$16)+'3-Year P&amp;L'!$B$17*(1+'3-Year P&amp;L'!$G$17)+'3-Year P&amp;L'!$B$18*(1+'3-Year P&amp;L'!$G$18))*(M7*(1-MIN(30,'0. Assumptions'!$B$59)/30)+L7*MIN(30,'0. Assumptions'!$B$59)/30)),"")</f>
        <v>-19362.60599549472</v>
      </c>
      <c r="N11" s="41">
        <f>IFERROR(IF('3-Year P&amp;L'!$B$9="","",SUM(B11:M11)),"")</f>
        <v>-226400.4541673887</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-6683.333333333331</v>
      </c>
      <c r="C12" s="41">
        <f>IFERROR(IF('3-Year P&amp;L'!$B$9="","",-('3-Year P&amp;L'!$B$37-'3-Year P&amp;L'!$B$23-'3-Year P&amp;L'!$B$35-'3-Year P&amp;L'!$B$36+'3-Year P&amp;L'!$B$39)/12),"")</f>
        <v>-6683.333333333331</v>
      </c>
      <c r="D12" s="41">
        <f>IFERROR(IF('3-Year P&amp;L'!$B$9="","",-('3-Year P&amp;L'!$B$37-'3-Year P&amp;L'!$B$23-'3-Year P&amp;L'!$B$35-'3-Year P&amp;L'!$B$36+'3-Year P&amp;L'!$B$39)/12),"")</f>
        <v>-6683.333333333331</v>
      </c>
      <c r="E12" s="41">
        <f>IFERROR(IF('3-Year P&amp;L'!$B$9="","",-('3-Year P&amp;L'!$B$37-'3-Year P&amp;L'!$B$23-'3-Year P&amp;L'!$B$35-'3-Year P&amp;L'!$B$36+'3-Year P&amp;L'!$B$39)/12),"")</f>
        <v>-6683.333333333331</v>
      </c>
      <c r="F12" s="41">
        <f>IFERROR(IF('3-Year P&amp;L'!$B$9="","",-('3-Year P&amp;L'!$B$37-'3-Year P&amp;L'!$B$23-'3-Year P&amp;L'!$B$35-'3-Year P&amp;L'!$B$36+'3-Year P&amp;L'!$B$39)/12),"")</f>
        <v>-6683.333333333331</v>
      </c>
      <c r="G12" s="41">
        <f>IFERROR(IF('3-Year P&amp;L'!$B$9="","",-('3-Year P&amp;L'!$B$37-'3-Year P&amp;L'!$B$23-'3-Year P&amp;L'!$B$35-'3-Year P&amp;L'!$B$36+'3-Year P&amp;L'!$B$39)/12),"")</f>
        <v>-6683.333333333331</v>
      </c>
      <c r="H12" s="41">
        <f>IFERROR(IF('3-Year P&amp;L'!$B$9="","",-('3-Year P&amp;L'!$B$37-'3-Year P&amp;L'!$B$23-'3-Year P&amp;L'!$B$35-'3-Year P&amp;L'!$B$36+'3-Year P&amp;L'!$B$39)/12),"")</f>
        <v>-6683.333333333331</v>
      </c>
      <c r="I12" s="41">
        <f>IFERROR(IF('3-Year P&amp;L'!$B$9="","",-('3-Year P&amp;L'!$B$37-'3-Year P&amp;L'!$B$23-'3-Year P&amp;L'!$B$35-'3-Year P&amp;L'!$B$36+'3-Year P&amp;L'!$B$39)/12),"")</f>
        <v>-6683.333333333331</v>
      </c>
      <c r="J12" s="41">
        <f>IFERROR(IF('3-Year P&amp;L'!$B$9="","",-('3-Year P&amp;L'!$B$37-'3-Year P&amp;L'!$B$23-'3-Year P&amp;L'!$B$35-'3-Year P&amp;L'!$B$36+'3-Year P&amp;L'!$B$39)/12),"")</f>
        <v>-6683.333333333331</v>
      </c>
      <c r="K12" s="41">
        <f>IFERROR(IF('3-Year P&amp;L'!$B$9="","",-('3-Year P&amp;L'!$B$37-'3-Year P&amp;L'!$B$23-'3-Year P&amp;L'!$B$35-'3-Year P&amp;L'!$B$36+'3-Year P&amp;L'!$B$39)/12),"")</f>
        <v>-6683.333333333331</v>
      </c>
      <c r="L12" s="41">
        <f>IFERROR(IF('3-Year P&amp;L'!$B$9="","",-('3-Year P&amp;L'!$B$37-'3-Year P&amp;L'!$B$23-'3-Year P&amp;L'!$B$35-'3-Year P&amp;L'!$B$36+'3-Year P&amp;L'!$B$39)/12),"")</f>
        <v>-6683.333333333331</v>
      </c>
      <c r="M12" s="41">
        <f>IFERROR(IF('3-Year P&amp;L'!$B$9="","",-('3-Year P&amp;L'!$B$37-'3-Year P&amp;L'!$B$23-'3-Year P&amp;L'!$B$35-'3-Year P&amp;L'!$B$36+'3-Year P&amp;L'!$B$39)/12),"")</f>
        <v>-6683.333333333331</v>
      </c>
      <c r="N12" s="41">
        <f>IFERROR(IF('3-Year P&amp;L'!$B$9="","",SUM(B12:M12)),"")</f>
        <v>-80199.99999999997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-17854.100000000002</v>
      </c>
      <c r="C13" s="41">
        <f>IFERROR(IF('3-Year P&amp;L'!$B$9="","",-'3-Year P&amp;L'!$B$23/MAX(12,'0. Assumptions'!$B$21)*(1+IF(2='0. Assumptions'!$B$60,(MAX(12,'0. Assumptions'!$B$21)-12)/2,0)+IF(2='0. Assumptions'!$B$61,(MAX(12,'0. Assumptions'!$B$21)-12)/2,0))),"")</f>
        <v>-17854.100000000002</v>
      </c>
      <c r="D13" s="41">
        <f>IFERROR(IF('3-Year P&amp;L'!$B$9="","",-'3-Year P&amp;L'!$B$23/MAX(12,'0. Assumptions'!$B$21)*(1+IF(3='0. Assumptions'!$B$60,(MAX(12,'0. Assumptions'!$B$21)-12)/2,0)+IF(3='0. Assumptions'!$B$61,(MAX(12,'0. Assumptions'!$B$21)-12)/2,0))),"")</f>
        <v>-17854.100000000002</v>
      </c>
      <c r="E13" s="41">
        <f>IFERROR(IF('3-Year P&amp;L'!$B$9="","",-'3-Year P&amp;L'!$B$23/MAX(12,'0. Assumptions'!$B$21)*(1+IF(4='0. Assumptions'!$B$60,(MAX(12,'0. Assumptions'!$B$21)-12)/2,0)+IF(4='0. Assumptions'!$B$61,(MAX(12,'0. Assumptions'!$B$21)-12)/2,0))),"")</f>
        <v>-17854.100000000002</v>
      </c>
      <c r="F13" s="41">
        <f>IFERROR(IF('3-Year P&amp;L'!$B$9="","",-'3-Year P&amp;L'!$B$23/MAX(12,'0. Assumptions'!$B$21)*(1+IF(5='0. Assumptions'!$B$60,(MAX(12,'0. Assumptions'!$B$21)-12)/2,0)+IF(5='0. Assumptions'!$B$61,(MAX(12,'0. Assumptions'!$B$21)-12)/2,0))),"")</f>
        <v>-17854.100000000002</v>
      </c>
      <c r="G13" s="41">
        <f>IFERROR(IF('3-Year P&amp;L'!$B$9="","",-'3-Year P&amp;L'!$B$23/MAX(12,'0. Assumptions'!$B$21)*(1+IF(6='0. Assumptions'!$B$60,(MAX(12,'0. Assumptions'!$B$21)-12)/2,0)+IF(6='0. Assumptions'!$B$61,(MAX(12,'0. Assumptions'!$B$21)-12)/2,0))),"")</f>
        <v>-17854.100000000002</v>
      </c>
      <c r="H13" s="41">
        <f>IFERROR(IF('3-Year P&amp;L'!$B$9="","",-'3-Year P&amp;L'!$B$23/MAX(12,'0. Assumptions'!$B$21)*(1+IF(7='0. Assumptions'!$B$60,(MAX(12,'0. Assumptions'!$B$21)-12)/2,0)+IF(7='0. Assumptions'!$B$61,(MAX(12,'0. Assumptions'!$B$21)-12)/2,0))),"")</f>
        <v>-17854.100000000002</v>
      </c>
      <c r="I13" s="41">
        <f>IFERROR(IF('3-Year P&amp;L'!$B$9="","",-'3-Year P&amp;L'!$B$23/MAX(12,'0. Assumptions'!$B$21)*(1+IF(8='0. Assumptions'!$B$60,(MAX(12,'0. Assumptions'!$B$21)-12)/2,0)+IF(8='0. Assumptions'!$B$61,(MAX(12,'0. Assumptions'!$B$21)-12)/2,0))),"")</f>
        <v>-17854.100000000002</v>
      </c>
      <c r="J13" s="41">
        <f>IFERROR(IF('3-Year P&amp;L'!$B$9="","",-'3-Year P&amp;L'!$B$23/MAX(12,'0. Assumptions'!$B$21)*(1+IF(9='0. Assumptions'!$B$60,(MAX(12,'0. Assumptions'!$B$21)-12)/2,0)+IF(9='0. Assumptions'!$B$61,(MAX(12,'0. Assumptions'!$B$21)-12)/2,0))),"")</f>
        <v>-17854.100000000002</v>
      </c>
      <c r="K13" s="41">
        <f>IFERROR(IF('3-Year P&amp;L'!$B$9="","",-'3-Year P&amp;L'!$B$23/MAX(12,'0. Assumptions'!$B$21)*(1+IF(10='0. Assumptions'!$B$60,(MAX(12,'0. Assumptions'!$B$21)-12)/2,0)+IF(10='0. Assumptions'!$B$61,(MAX(12,'0. Assumptions'!$B$21)-12)/2,0))),"")</f>
        <v>-17854.100000000002</v>
      </c>
      <c r="L13" s="41">
        <f>IFERROR(IF('3-Year P&amp;L'!$B$9="","",-'3-Year P&amp;L'!$B$23/MAX(12,'0. Assumptions'!$B$21)*(1+IF(11='0. Assumptions'!$B$60,(MAX(12,'0. Assumptions'!$B$21)-12)/2,0)+IF(11='0. Assumptions'!$B$61,(MAX(12,'0. Assumptions'!$B$21)-12)/2,0))),"")</f>
        <v>-17854.100000000002</v>
      </c>
      <c r="M13" s="41">
        <f>IFERROR(IF('3-Year P&amp;L'!$B$9="","",-'3-Year P&amp;L'!$B$23/MAX(12,'0. Assumptions'!$B$21)*(1+IF(12='0. Assumptions'!$B$60,(MAX(12,'0. Assumptions'!$B$21)-12)/2,0)+IF(12='0. Assumptions'!$B$61,(MAX(12,'0. Assumptions'!$B$21)-12)/2,0))),"")</f>
        <v>-17854.100000000002</v>
      </c>
      <c r="N13" s="41">
        <f>IFERROR(IF('3-Year P&amp;L'!$B$9="","",SUM(B13:M13)),"")</f>
        <v>-214249.2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-1466.6666666666667</v>
      </c>
      <c r="C14" s="41">
        <f>IFERROR(IF('3-Year P&amp;L'!$B$9="","",-Financing!$B$44/12),"")</f>
        <v>-1466.6666666666667</v>
      </c>
      <c r="D14" s="41">
        <f>IFERROR(IF('3-Year P&amp;L'!$B$9="","",-Financing!$B$44/12),"")</f>
        <v>-1466.6666666666667</v>
      </c>
      <c r="E14" s="41">
        <f>IFERROR(IF('3-Year P&amp;L'!$B$9="","",-Financing!$B$44/12),"")</f>
        <v>-1466.6666666666667</v>
      </c>
      <c r="F14" s="41">
        <f>IFERROR(IF('3-Year P&amp;L'!$B$9="","",-Financing!$B$44/12),"")</f>
        <v>-1466.6666666666667</v>
      </c>
      <c r="G14" s="41">
        <f>IFERROR(IF('3-Year P&amp;L'!$B$9="","",-Financing!$B$44/12),"")</f>
        <v>-1466.6666666666667</v>
      </c>
      <c r="H14" s="41">
        <f>IFERROR(IF('3-Year P&amp;L'!$B$9="","",-Financing!$B$44/12),"")</f>
        <v>-1466.6666666666667</v>
      </c>
      <c r="I14" s="41">
        <f>IFERROR(IF('3-Year P&amp;L'!$B$9="","",-Financing!$B$44/12),"")</f>
        <v>-1466.6666666666667</v>
      </c>
      <c r="J14" s="41">
        <f>IFERROR(IF('3-Year P&amp;L'!$B$9="","",-Financing!$B$44/12),"")</f>
        <v>-1466.6666666666667</v>
      </c>
      <c r="K14" s="41">
        <f>IFERROR(IF('3-Year P&amp;L'!$B$9="","",-Financing!$B$44/12),"")</f>
        <v>-1466.6666666666667</v>
      </c>
      <c r="L14" s="41">
        <f>IFERROR(IF('3-Year P&amp;L'!$B$9="","",-Financing!$B$44/12),"")</f>
        <v>-1466.6666666666667</v>
      </c>
      <c r="M14" s="41">
        <f>IFERROR(IF('3-Year P&amp;L'!$B$9="","",-Financing!$B$44/12),"")</f>
        <v>-1466.6666666666667</v>
      </c>
      <c r="N14" s="41">
        <f>IFERROR(IF('3-Year P&amp;L'!$B$9="","",SUM(B14:M14)),"")</f>
        <v>-17600.0</v>
      </c>
      <c r="O14" s="29" t="n"/>
    </row>
    <row r="15">
      <c r="A15" s="29" t="inlineStr">
        <is>
          <t>Loan principal repaid</t>
        </is>
      </c>
      <c r="B15" s="41">
        <f>IFERROR(IF('3-Year P&amp;L'!$B$9="","",-Financing!$B$45/12),"")</f>
        <v>-920.2657916101689</v>
      </c>
      <c r="C15" s="41">
        <f>IFERROR(IF('3-Year P&amp;L'!$B$9="","",-Financing!$B$45/12),"")</f>
        <v>-920.2657916101689</v>
      </c>
      <c r="D15" s="41">
        <f>IFERROR(IF('3-Year P&amp;L'!$B$9="","",-Financing!$B$45/12),"")</f>
        <v>-920.2657916101689</v>
      </c>
      <c r="E15" s="41">
        <f>IFERROR(IF('3-Year P&amp;L'!$B$9="","",-Financing!$B$45/12),"")</f>
        <v>-920.2657916101689</v>
      </c>
      <c r="F15" s="41">
        <f>IFERROR(IF('3-Year P&amp;L'!$B$9="","",-Financing!$B$45/12),"")</f>
        <v>-920.2657916101689</v>
      </c>
      <c r="G15" s="41">
        <f>IFERROR(IF('3-Year P&amp;L'!$B$9="","",-Financing!$B$45/12),"")</f>
        <v>-920.2657916101689</v>
      </c>
      <c r="H15" s="41">
        <f>IFERROR(IF('3-Year P&amp;L'!$B$9="","",-Financing!$B$45/12),"")</f>
        <v>-920.2657916101689</v>
      </c>
      <c r="I15" s="41">
        <f>IFERROR(IF('3-Year P&amp;L'!$B$9="","",-Financing!$B$45/12),"")</f>
        <v>-920.2657916101689</v>
      </c>
      <c r="J15" s="41">
        <f>IFERROR(IF('3-Year P&amp;L'!$B$9="","",-Financing!$B$45/12),"")</f>
        <v>-920.2657916101689</v>
      </c>
      <c r="K15" s="41">
        <f>IFERROR(IF('3-Year P&amp;L'!$B$9="","",-Financing!$B$45/12),"")</f>
        <v>-920.2657916101689</v>
      </c>
      <c r="L15" s="41">
        <f>IFERROR(IF('3-Year P&amp;L'!$B$9="","",-Financing!$B$45/12),"")</f>
        <v>-920.2657916101689</v>
      </c>
      <c r="M15" s="41">
        <f>IFERROR(IF('3-Year P&amp;L'!$B$9="","",-Financing!$B$45/12),"")</f>
        <v>-920.2657916101689</v>
      </c>
      <c r="N15" s="41">
        <f>IFERROR(IF('3-Year P&amp;L'!$B$9="","",SUM(B15:M15)),"")</f>
        <v>-11043.189499322027</v>
      </c>
      <c r="O15" s="29" t="n"/>
    </row>
    <row r="16">
      <c r="A16" s="29" t="inlineStr">
        <is>
          <t>Sales tax collected (memo)</t>
        </is>
      </c>
      <c r="B16" s="41">
        <f>IFERROR(IF('3-Year P&amp;L'!$B$9="","",'3-Year P&amp;L'!$B$9*B7*SUMPRODUCT('3-Year P&amp;L'!$E$10:$E$11,'3-Year P&amp;L'!$G$10:$G$11)),"")</f>
        <v>2861.3418818229084</v>
      </c>
      <c r="C16" s="41">
        <f>IFERROR(IF('3-Year P&amp;L'!$B$9="","",'3-Year P&amp;L'!$B$9*C7*SUMPRODUCT('3-Year P&amp;L'!$E$10:$E$11,'3-Year P&amp;L'!$G$10:$G$11)),"")</f>
        <v>3265.194940218334</v>
      </c>
      <c r="D16" s="41">
        <f>IFERROR(IF('3-Year P&amp;L'!$B$9="","",'3-Year P&amp;L'!$B$9*D7*SUMPRODUCT('3-Year P&amp;L'!$E$10:$E$11,'3-Year P&amp;L'!$G$10:$G$11)),"")</f>
        <v>3969.789637844395</v>
      </c>
      <c r="E16" s="41">
        <f>IFERROR(IF('3-Year P&amp;L'!$B$9="","",'3-Year P&amp;L'!$B$9*E7*SUMPRODUCT('3-Year P&amp;L'!$E$10:$E$11,'3-Year P&amp;L'!$G$10:$G$11)),"")</f>
        <v>4433.791024085948</v>
      </c>
      <c r="F16" s="41">
        <f>IFERROR(IF('3-Year P&amp;L'!$B$9="","",'3-Year P&amp;L'!$B$9*F7*SUMPRODUCT('3-Year P&amp;L'!$E$10:$E$11,'3-Year P&amp;L'!$G$10:$G$11)),"")</f>
        <v>4743.125281580316</v>
      </c>
      <c r="G16" s="41">
        <f>IFERROR(IF('3-Year P&amp;L'!$B$9="","",'3-Year P&amp;L'!$B$9*G7*SUMPRODUCT('3-Year P&amp;L'!$E$10:$E$11,'3-Year P&amp;L'!$G$10:$G$11)),"")</f>
        <v>4536.902443250738</v>
      </c>
      <c r="H16" s="41">
        <f>IFERROR(IF('3-Year P&amp;L'!$B$9="","",'3-Year P&amp;L'!$B$9*H7*SUMPRODUCT('3-Year P&amp;L'!$E$10:$E$11,'3-Year P&amp;L'!$G$10:$G$11)),"")</f>
        <v>4536.902443250738</v>
      </c>
      <c r="I16" s="41">
        <f>IFERROR(IF('3-Year P&amp;L'!$B$9="","",'3-Year P&amp;L'!$B$9*I7*SUMPRODUCT('3-Year P&amp;L'!$E$10:$E$11,'3-Year P&amp;L'!$G$10:$G$11)),"")</f>
        <v>4433.791024085948</v>
      </c>
      <c r="J16" s="41">
        <f>IFERROR(IF('3-Year P&amp;L'!$B$9="","",'3-Year P&amp;L'!$B$9*J7*SUMPRODUCT('3-Year P&amp;L'!$E$10:$E$11,'3-Year P&amp;L'!$G$10:$G$11)),"")</f>
        <v>4330.679604921159</v>
      </c>
      <c r="K16" s="41">
        <f>IFERROR(IF('3-Year P&amp;L'!$B$9="","",'3-Year P&amp;L'!$B$9*K7*SUMPRODUCT('3-Year P&amp;L'!$E$10:$E$11,'3-Year P&amp;L'!$G$10:$G$11)),"")</f>
        <v>4330.679604921159</v>
      </c>
      <c r="L16" s="41">
        <f>IFERROR(IF('3-Year P&amp;L'!$B$9="","",'3-Year P&amp;L'!$B$9*L7*SUMPRODUCT('3-Year P&amp;L'!$E$10:$E$11,'3-Year P&amp;L'!$G$10:$G$11)),"")</f>
        <v>4021.34534742679</v>
      </c>
      <c r="M16" s="41">
        <f>IFERROR(IF('3-Year P&amp;L'!$B$9="","",'3-Year P&amp;L'!$B$9*M7*SUMPRODUCT('3-Year P&amp;L'!$E$10:$E$11,'3-Year P&amp;L'!$G$10:$G$11)),"")</f>
        <v>4124.456766591579</v>
      </c>
      <c r="N16" s="41">
        <f>IFERROR(IF('3-Year P&amp;L'!$B$9="","",SUM(B16:M16)),"")</f>
        <v>49588.000000000015</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10096.326459885637</v>
      </c>
      <c r="F19" s="29" t="n"/>
      <c r="G19" s="29" t="n"/>
      <c r="H19" s="41">
        <f>IFERROR(IF('3-Year P&amp;L'!$B$9="","",SUM(E16:G16)-SUM(E17:G17)-H18),"")</f>
        <v>13713.818748917003</v>
      </c>
      <c r="I19" s="29" t="n"/>
      <c r="J19" s="29" t="n"/>
      <c r="K19" s="41">
        <f>IFERROR(IF('3-Year P&amp;L'!$B$9="","",SUM(H16:J16)-SUM(H17:J17)-K18),"")</f>
        <v>13301.373072257844</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-10096.326459885637</v>
      </c>
      <c r="F20" s="29" t="n"/>
      <c r="G20" s="29" t="n"/>
      <c r="H20" s="41">
        <f>IFERROR(IF('3-Year P&amp;L'!$B$9="","",IF(H19&lt;=0,"",-H19)),"")</f>
        <v>-13713.818748917003</v>
      </c>
      <c r="I20" s="29" t="n"/>
      <c r="J20" s="29" t="n"/>
      <c r="K20" s="41">
        <f>IFERROR(IF('3-Year P&amp;L'!$B$9="","",IF(K19&lt;=0,"",-K19)),"")</f>
        <v>-13301.373072257844</v>
      </c>
      <c r="L20" s="29" t="n"/>
      <c r="M20" s="29" t="n"/>
      <c r="N20" s="41">
        <f>IFERROR(IF('3-Year P&amp;L'!$B$9="","",SUM(B20:M20)),"")</f>
        <v>-37111.51828106049</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1879.8091520737753</v>
      </c>
      <c r="C21" s="54">
        <f>IFERROR(IF('3-Year P&amp;L'!$B$9="","",SUM(C9:C15)+IF(C20="",0,C20)),"")</f>
        <v>2177.8297955208973</v>
      </c>
      <c r="D21" s="54">
        <f>IFERROR(IF('3-Year P&amp;L'!$B$9="","",SUM(D9:D15)+IF(D20="",0,D20)),"")</f>
        <v>8739.009891402598</v>
      </c>
      <c r="E21" s="54">
        <f>IFERROR(IF('3-Year P&amp;L'!$B$9="","",SUM(E9:E15)+IF(E20="",0,E20)),"")</f>
        <v>2385.9143678076143</v>
      </c>
      <c r="F21" s="54">
        <f>IFERROR(IF('3-Year P&amp;L'!$B$9="","",SUM(F9:F15)+IF(F20="",0,F20)),"")</f>
        <v>14985.270527918532</v>
      </c>
      <c r="G21" s="54">
        <f>IFERROR(IF('3-Year P&amp;L'!$B$9="","",SUM(G9:G15)+IF(G20="",0,G20)),"")</f>
        <v>12502.003849699842</v>
      </c>
      <c r="H21" s="54">
        <f>IFERROR(IF('3-Year P&amp;L'!$B$9="","",SUM(H9:H15)+IF(H20="",0,H20)),"")</f>
        <v>-940.288162083214</v>
      </c>
      <c r="I21" s="54">
        <f>IFERROR(IF('3-Year P&amp;L'!$B$9="","",SUM(I9:I15)+IF(I20="",0,I20)),"")</f>
        <v>11735.542300574893</v>
      </c>
      <c r="J21" s="54">
        <f>IFERROR(IF('3-Year P&amp;L'!$B$9="","",SUM(J9:J15)+IF(J20="",0,J20)),"")</f>
        <v>10833.317382883</v>
      </c>
      <c r="K21" s="54">
        <f>IFERROR(IF('3-Year P&amp;L'!$B$9="","",SUM(K9:K15)+IF(K20="",0,K20)),"")</f>
        <v>-2332.292320807872</v>
      </c>
      <c r="L21" s="54">
        <f>IFERROR(IF('3-Year P&amp;L'!$B$9="","",SUM(L9:L15)+IF(L20="",0,L20)),"")</f>
        <v>7855.115892673322</v>
      </c>
      <c r="M21" s="54">
        <f>IFERROR(IF('3-Year P&amp;L'!$B$9="","",SUM(M9:M15)+IF(M20="",0,M20)),"")</f>
        <v>9300.394284633116</v>
      </c>
      <c r="N21" s="54">
        <f>IFERROR(IF('3-Year P&amp;L'!$B$9="","",SUM(B21:M21)),"")</f>
        <v>79121.62696229652</v>
      </c>
      <c r="O21" s="29" t="n"/>
    </row>
    <row r="22">
      <c r="A22" s="26" t="inlineStr">
        <is>
          <t>CUMULATIVE CASH BALANCE</t>
        </is>
      </c>
      <c r="B22" s="54">
        <f>IFERROR(IF('3-Year P&amp;L'!$B$9="","",'Startup Costs'!$B$29+B21),"")</f>
        <v>79892.10915207378</v>
      </c>
      <c r="C22" s="54">
        <f>IFERROR(IF('3-Year P&amp;L'!$B$9="","",B22+C21),"")</f>
        <v>82069.93894759468</v>
      </c>
      <c r="D22" s="54">
        <f>IFERROR(IF('3-Year P&amp;L'!$B$9="","",C22+D21),"")</f>
        <v>90808.94883899728</v>
      </c>
      <c r="E22" s="54">
        <f>IFERROR(IF('3-Year P&amp;L'!$B$9="","",D22+E21),"")</f>
        <v>93194.8632068049</v>
      </c>
      <c r="F22" s="54">
        <f>IFERROR(IF('3-Year P&amp;L'!$B$9="","",E22+F21),"")</f>
        <v>108180.13373472344</v>
      </c>
      <c r="G22" s="54">
        <f>IFERROR(IF('3-Year P&amp;L'!$B$9="","",F22+G21),"")</f>
        <v>120682.13758442328</v>
      </c>
      <c r="H22" s="54">
        <f>IFERROR(IF('3-Year P&amp;L'!$B$9="","",G22+H21),"")</f>
        <v>119741.84942234006</v>
      </c>
      <c r="I22" s="54">
        <f>IFERROR(IF('3-Year P&amp;L'!$B$9="","",H22+I21),"")</f>
        <v>131477.39172291497</v>
      </c>
      <c r="J22" s="54">
        <f>IFERROR(IF('3-Year P&amp;L'!$B$9="","",I22+J21),"")</f>
        <v>142310.70910579796</v>
      </c>
      <c r="K22" s="54">
        <f>IFERROR(IF('3-Year P&amp;L'!$B$9="","",J22+K21),"")</f>
        <v>139978.41678499008</v>
      </c>
      <c r="L22" s="54">
        <f>IFERROR(IF('3-Year P&amp;L'!$B$9="","",K22+L21),"")</f>
        <v>147833.5326776634</v>
      </c>
      <c r="M22" s="54">
        <f>IFERROR(IF('3-Year P&amp;L'!$B$9="","",L22+M21),"")</f>
        <v>157133.9269622965</v>
      </c>
      <c r="N22" s="29" t="n"/>
      <c r="O22" s="29" t="n"/>
    </row>
    <row r="23">
      <c r="A23" s="29" t="inlineStr">
        <is>
          <t>Minimum balance of the year</t>
        </is>
      </c>
      <c r="B23" s="41">
        <f>IFERROR(IF('3-Year P&amp;L'!$B$9="","",IF(COUNT(B22:M22)=0,"",MIN(B22:M22))),"")</f>
        <v>79892.10915207378</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76854.77857142859</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90122.5138339455</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98289.78872271423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107764.81646161855</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275612.3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2.3</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100000.0</v>
      </c>
      <c r="C6" s="29" t="n"/>
      <c r="D6" s="29" t="n"/>
      <c r="E6" s="29" t="n"/>
      <c r="F6" s="29" t="n"/>
      <c r="G6" s="29" t="n"/>
      <c r="H6" s="29" t="n"/>
    </row>
    <row r="7">
      <c r="A7" s="29" t="inlineStr">
        <is>
          <t>Loan requested — bank or SBA 7(a) (amortized below)</t>
        </is>
      </c>
      <c r="B7" s="41">
        <f>IFERROR(IF('0. Assumptions'!$B$31="","",'0. Assumptions'!$B$31),"")</f>
        <v>176000.0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276000.0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275612.3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387.70000000001164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0.0014066861312068135</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175612.3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176000.0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28643.189499322027</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176000.0</v>
      </c>
      <c r="C27" s="62">
        <f>IFERROR(IF(OR(1&gt;B22,B27=""),"",B27*B21),"")</f>
        <v>17600.0</v>
      </c>
      <c r="D27" s="62">
        <f>IFERROR(IF(OR(1&gt;B22,B27=""),"",IF(1&lt;=B23,0,MIN(B27,B24-C27))),"")</f>
        <v>11043.189499322027</v>
      </c>
      <c r="E27" s="62">
        <f>IFERROR(IF(C27="","",C27+D27),"")</f>
        <v>28643.189499322027</v>
      </c>
      <c r="F27" s="62">
        <f>IFERROR(IF(D27="","",B27-D27),"")</f>
        <v>164956.81050067797</v>
      </c>
      <c r="G27" s="62">
        <f>IFERROR(IF(E27="","",'3-Year P&amp;L'!$B$40-'3-Year P&amp;L'!$B$45+'3-Year P&amp;L'!$B$35+'3-Year P&amp;L'!$B$36),"")</f>
        <v>76854.77857142859</v>
      </c>
      <c r="H27" s="62">
        <f>IFERROR(IF(OR(E27="",E27=0),"",G27/E27),"")</f>
        <v>2.683178092762599</v>
      </c>
    </row>
    <row r="28">
      <c r="A28" s="41" t="n">
        <v>2</v>
      </c>
      <c r="B28" s="62">
        <f>IFERROR(IF(OR(2&gt;B22,F27=""),"",F27),"")</f>
        <v>164956.81050067797</v>
      </c>
      <c r="C28" s="62">
        <f>IFERROR(IF(OR(2&gt;B22,B28=""),"",B28*B21),"")</f>
        <v>16495.681050067797</v>
      </c>
      <c r="D28" s="62">
        <f>IFERROR(IF(OR(2&gt;B22,B28=""),"",IF(2&lt;=B23,0,MIN(B28,B24-C28))),"")</f>
        <v>12147.50844925423</v>
      </c>
      <c r="E28" s="62">
        <f>IFERROR(IF(C28="","",C28+D28),"")</f>
        <v>28643.189499322027</v>
      </c>
      <c r="F28" s="62">
        <f>IFERROR(IF(D28="","",B28-D28),"")</f>
        <v>152809.30205142373</v>
      </c>
      <c r="G28" s="62">
        <f>IFERROR(IF(E28="","",'3-Year P&amp;L'!$C$40-'3-Year P&amp;L'!$C$45+'3-Year P&amp;L'!$C$35+'3-Year P&amp;L'!$C$36),"")</f>
        <v>90122.5138339455</v>
      </c>
      <c r="H28" s="62">
        <f>IFERROR(IF(OR(E28="",E28=0),"",G28/E28),"")</f>
        <v>3.146385420383392</v>
      </c>
    </row>
    <row r="29">
      <c r="A29" s="41" t="n">
        <v>3</v>
      </c>
      <c r="B29" s="62">
        <f>IFERROR(IF(OR(3&gt;B22,F28=""),"",F28),"")</f>
        <v>152809.30205142373</v>
      </c>
      <c r="C29" s="62">
        <f>IFERROR(IF(OR(3&gt;B22,B29=""),"",B29*B21),"")</f>
        <v>15280.930205142373</v>
      </c>
      <c r="D29" s="62">
        <f>IFERROR(IF(OR(3&gt;B22,B29=""),"",IF(3&lt;=B23,0,MIN(B29,B24-C29))),"")</f>
        <v>13362.259294179654</v>
      </c>
      <c r="E29" s="62">
        <f>IFERROR(IF(C29="","",C29+D29),"")</f>
        <v>28643.189499322027</v>
      </c>
      <c r="F29" s="62">
        <f>IFERROR(IF(D29="","",B29-D29),"")</f>
        <v>139447.04275724408</v>
      </c>
      <c r="G29" s="62">
        <f>IFERROR(IF(E29="","",'3-Year P&amp;L'!$D$40-'3-Year P&amp;L'!$D$45+'3-Year P&amp;L'!$D$35+'3-Year P&amp;L'!$D$36),"")</f>
        <v>98289.78872271423</v>
      </c>
      <c r="H29" s="62">
        <f>IFERROR(IF(OR(E29="",E29=0),"",G29/E29),"")</f>
        <v>3.431523878478712</v>
      </c>
    </row>
    <row r="30">
      <c r="A30" s="41" t="n">
        <v>4</v>
      </c>
      <c r="B30" s="62">
        <f>IFERROR(IF(OR(4&gt;B22,F29=""),"",F29),"")</f>
        <v>139447.04275724408</v>
      </c>
      <c r="C30" s="62">
        <f>IFERROR(IF(OR(4&gt;B22,B30=""),"",B30*B21),"")</f>
        <v>13944.704275724409</v>
      </c>
      <c r="D30" s="62">
        <f>IFERROR(IF(OR(4&gt;B22,B30=""),"",IF(4&lt;=B23,0,MIN(B30,B24-C30))),"")</f>
        <v>14698.485223597618</v>
      </c>
      <c r="E30" s="62">
        <f>IFERROR(IF(C30="","",C30+D30),"")</f>
        <v>28643.189499322027</v>
      </c>
      <c r="F30" s="62">
        <f>IFERROR(IF(D30="","",B30-D30),"")</f>
        <v>124748.55753364647</v>
      </c>
      <c r="G30" s="62">
        <f>IFERROR(IF(E30="","",'3-Year P&amp;L'!$D$40-'3-Year P&amp;L'!$D$45+'3-Year P&amp;L'!$D$35+'3-Year P&amp;L'!$D$36),"")</f>
        <v>98289.78872271423</v>
      </c>
      <c r="H30" s="62">
        <f>IFERROR(IF(OR(E30="",E30=0),"",G30/E30),"")</f>
        <v>3.431523878478712</v>
      </c>
    </row>
    <row r="31">
      <c r="A31" s="41" t="n">
        <v>5</v>
      </c>
      <c r="B31" s="62">
        <f>IFERROR(IF(OR(5&gt;B22,F30=""),"",F30),"")</f>
        <v>124748.55753364647</v>
      </c>
      <c r="C31" s="62">
        <f>IFERROR(IF(OR(5&gt;B22,B31=""),"",B31*B21),"")</f>
        <v>12474.855753364647</v>
      </c>
      <c r="D31" s="62">
        <f>IFERROR(IF(OR(5&gt;B22,B31=""),"",IF(5&lt;=B23,0,MIN(B31,B24-C31))),"")</f>
        <v>16168.33374595738</v>
      </c>
      <c r="E31" s="62">
        <f>IFERROR(IF(C31="","",C31+D31),"")</f>
        <v>28643.189499322027</v>
      </c>
      <c r="F31" s="62">
        <f>IFERROR(IF(D31="","",B31-D31),"")</f>
        <v>108580.22378768909</v>
      </c>
      <c r="G31" s="62">
        <f>IFERROR(IF(E31="","",'3-Year P&amp;L'!$D$40-'3-Year P&amp;L'!$D$45+'3-Year P&amp;L'!$D$35+'3-Year P&amp;L'!$D$36),"")</f>
        <v>98289.78872271423</v>
      </c>
      <c r="H31" s="62">
        <f>IFERROR(IF(OR(E31="",E31=0),"",G31/E31),"")</f>
        <v>3.431523878478712</v>
      </c>
    </row>
    <row r="32">
      <c r="A32" s="41" t="n">
        <v>6</v>
      </c>
      <c r="B32" s="62">
        <f>IFERROR(IF(OR(6&gt;B22,F31=""),"",F31),"")</f>
        <v>108580.22378768909</v>
      </c>
      <c r="C32" s="62">
        <f>IFERROR(IF(OR(6&gt;B22,B32=""),"",B32*B21),"")</f>
        <v>10858.02237876891</v>
      </c>
      <c r="D32" s="62">
        <f>IFERROR(IF(OR(6&gt;B22,B32=""),"",IF(6&lt;=B23,0,MIN(B32,B24-C32))),"")</f>
        <v>17785.167120553117</v>
      </c>
      <c r="E32" s="62">
        <f>IFERROR(IF(C32="","",C32+D32),"")</f>
        <v>28643.189499322027</v>
      </c>
      <c r="F32" s="62">
        <f>IFERROR(IF(D32="","",B32-D32),"")</f>
        <v>90795.05666713597</v>
      </c>
      <c r="G32" s="62">
        <f>IFERROR(IF(E32="","",'3-Year P&amp;L'!$D$40-'3-Year P&amp;L'!$D$45+'3-Year P&amp;L'!$D$35+'3-Year P&amp;L'!$D$36),"")</f>
        <v>98289.78872271423</v>
      </c>
      <c r="H32" s="62">
        <f>IFERROR(IF(OR(E32="",E32=0),"",G32/E32),"")</f>
        <v>3.431523878478712</v>
      </c>
    </row>
    <row r="33">
      <c r="A33" s="41" t="n">
        <v>7</v>
      </c>
      <c r="B33" s="62">
        <f>IFERROR(IF(OR(7&gt;B22,F32=""),"",F32),"")</f>
        <v>90795.05666713597</v>
      </c>
      <c r="C33" s="62">
        <f>IFERROR(IF(OR(7&gt;B22,B33=""),"",B33*B21),"")</f>
        <v>9079.505666713598</v>
      </c>
      <c r="D33" s="62">
        <f>IFERROR(IF(OR(7&gt;B22,B33=""),"",IF(7&lt;=B23,0,MIN(B33,B24-C33))),"")</f>
        <v>19563.68383260843</v>
      </c>
      <c r="E33" s="62">
        <f>IFERROR(IF(C33="","",C33+D33),"")</f>
        <v>28643.189499322027</v>
      </c>
      <c r="F33" s="62">
        <f>IFERROR(IF(D33="","",B33-D33),"")</f>
        <v>71231.37283452754</v>
      </c>
      <c r="G33" s="62">
        <f>IFERROR(IF(E33="","",'3-Year P&amp;L'!$D$40-'3-Year P&amp;L'!$D$45+'3-Year P&amp;L'!$D$35+'3-Year P&amp;L'!$D$36),"")</f>
        <v>98289.78872271423</v>
      </c>
      <c r="H33" s="62">
        <f>IFERROR(IF(OR(E33="",E33=0),"",G33/E33),"")</f>
        <v>3.431523878478712</v>
      </c>
    </row>
    <row r="34">
      <c r="A34" s="41" t="n">
        <v>8</v>
      </c>
      <c r="B34" s="62">
        <f>IFERROR(IF(OR(8&gt;B22,F33=""),"",F33),"")</f>
        <v>71231.37283452754</v>
      </c>
      <c r="C34" s="62">
        <f>IFERROR(IF(OR(8&gt;B22,B34=""),"",B34*B21),"")</f>
        <v>7123.137283452755</v>
      </c>
      <c r="D34" s="62">
        <f>IFERROR(IF(OR(8&gt;B22,B34=""),"",IF(8&lt;=B23,0,MIN(B34,B24-C34))),"")</f>
        <v>21520.052215869273</v>
      </c>
      <c r="E34" s="62">
        <f>IFERROR(IF(C34="","",C34+D34),"")</f>
        <v>28643.189499322027</v>
      </c>
      <c r="F34" s="62">
        <f>IFERROR(IF(D34="","",B34-D34),"")</f>
        <v>49711.32061865827</v>
      </c>
      <c r="G34" s="62">
        <f>IFERROR(IF(E34="","",'3-Year P&amp;L'!$D$40-'3-Year P&amp;L'!$D$45+'3-Year P&amp;L'!$D$35+'3-Year P&amp;L'!$D$36),"")</f>
        <v>98289.78872271423</v>
      </c>
      <c r="H34" s="62">
        <f>IFERROR(IF(OR(E34="",E34=0),"",G34/E34),"")</f>
        <v>3.431523878478712</v>
      </c>
    </row>
    <row r="35">
      <c r="A35" s="41" t="n">
        <v>9</v>
      </c>
      <c r="B35" s="62">
        <f>IFERROR(IF(OR(9&gt;B22,F34=""),"",F34),"")</f>
        <v>49711.32061865827</v>
      </c>
      <c r="C35" s="62">
        <f>IFERROR(IF(OR(9&gt;B22,B35=""),"",B35*B21),"")</f>
        <v>4971.132061865827</v>
      </c>
      <c r="D35" s="62">
        <f>IFERROR(IF(OR(9&gt;B22,B35=""),"",IF(9&lt;=B23,0,MIN(B35,B24-C35))),"")</f>
        <v>23672.0574374562</v>
      </c>
      <c r="E35" s="62">
        <f>IFERROR(IF(C35="","",C35+D35),"")</f>
        <v>28643.189499322027</v>
      </c>
      <c r="F35" s="62">
        <f>IFERROR(IF(D35="","",B35-D35),"")</f>
        <v>26039.26318120207</v>
      </c>
      <c r="G35" s="62">
        <f>IFERROR(IF(E35="","",'3-Year P&amp;L'!$D$40-'3-Year P&amp;L'!$D$45+'3-Year P&amp;L'!$D$35+'3-Year P&amp;L'!$D$36),"")</f>
        <v>98289.78872271423</v>
      </c>
      <c r="H35" s="62">
        <f>IFERROR(IF(OR(E35="",E35=0),"",G35/E35),"")</f>
        <v>3.431523878478712</v>
      </c>
    </row>
    <row r="36">
      <c r="A36" s="41" t="n">
        <v>10</v>
      </c>
      <c r="B36" s="62">
        <f>IFERROR(IF(OR(10&gt;B22,F35=""),"",F35),"")</f>
        <v>26039.26318120207</v>
      </c>
      <c r="C36" s="62">
        <f>IFERROR(IF(OR(10&gt;B22,B36=""),"",B36*B21),"")</f>
        <v>2603.9263181202073</v>
      </c>
      <c r="D36" s="62">
        <f>IFERROR(IF(OR(10&gt;B22,B36=""),"",IF(10&lt;=B23,0,MIN(B36,B24-C36))),"")</f>
        <v>26039.26318120182</v>
      </c>
      <c r="E36" s="62">
        <f>IFERROR(IF(C36="","",C36+D36),"")</f>
        <v>28643.189499322027</v>
      </c>
      <c r="F36" s="62">
        <f>IFERROR(IF(D36="","",B36-D36),"")</f>
        <v>2.510205376893282e-10</v>
      </c>
      <c r="G36" s="62">
        <f>IFERROR(IF(E36="","",'3-Year P&amp;L'!$D$40-'3-Year P&amp;L'!$D$45+'3-Year P&amp;L'!$D$35+'3-Year P&amp;L'!$D$36),"")</f>
        <v>98289.78872271423</v>
      </c>
      <c r="H36" s="62">
        <f>IFERROR(IF(OR(E36="",E36=0),"",G36/E36),"")</f>
        <v>3.431523878478712</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17600.0</v>
      </c>
      <c r="C44" s="29" t="n"/>
      <c r="D44" s="29" t="n"/>
      <c r="E44" s="29" t="n"/>
      <c r="F44" s="29" t="n"/>
      <c r="G44" s="29" t="n"/>
      <c r="H44" s="29" t="n"/>
    </row>
    <row r="45">
      <c r="A45" s="29" t="inlineStr">
        <is>
          <t>Year-1 principal repaid</t>
        </is>
      </c>
      <c r="B45" s="41">
        <f>IFERROR(IF(B20="","",IF(D27="",0,D27)),"")</f>
        <v>11043.189499322027</v>
      </c>
      <c r="C45" s="29" t="n"/>
      <c r="D45" s="29" t="n"/>
      <c r="E45" s="29" t="n"/>
      <c r="F45" s="29" t="n"/>
      <c r="G45" s="29" t="n"/>
      <c r="H45" s="29" t="n"/>
    </row>
    <row r="46">
      <c r="A46" s="29" t="inlineStr">
        <is>
          <t>Year-2 interest</t>
        </is>
      </c>
      <c r="B46" s="41">
        <f>IFERROR(IF(B20="","",IF(C28="",0,C28)),"")</f>
        <v>16495.681050067797</v>
      </c>
      <c r="C46" s="29" t="n"/>
      <c r="D46" s="29" t="n"/>
      <c r="E46" s="29" t="n"/>
      <c r="F46" s="29" t="n"/>
      <c r="G46" s="29" t="n"/>
      <c r="H46" s="29" t="n"/>
    </row>
    <row r="47">
      <c r="A47" s="29" t="inlineStr">
        <is>
          <t>Year-2 principal repaid</t>
        </is>
      </c>
      <c r="B47" s="41">
        <f>IFERROR(IF(B20="","",IF(D28="",0,D28)),"")</f>
        <v>12147.50844925423</v>
      </c>
      <c r="C47" s="29" t="n"/>
      <c r="D47" s="29" t="n"/>
      <c r="E47" s="29" t="n"/>
      <c r="F47" s="29" t="n"/>
      <c r="G47" s="29" t="n"/>
      <c r="H47" s="29" t="n"/>
    </row>
    <row r="48">
      <c r="A48" s="29" t="inlineStr">
        <is>
          <t>Year-3 interest</t>
        </is>
      </c>
      <c r="B48" s="41">
        <f>IFERROR(IF(B20="","",IF(C29="",0,C29)),"")</f>
        <v>15280.930205142373</v>
      </c>
      <c r="C48" s="29" t="n"/>
      <c r="D48" s="29" t="n"/>
      <c r="E48" s="29" t="n"/>
      <c r="F48" s="29" t="n"/>
      <c r="G48" s="29" t="n"/>
      <c r="H48" s="29" t="n"/>
    </row>
    <row r="49">
      <c r="A49" s="29" t="inlineStr">
        <is>
          <t>Year-3 principal repaid</t>
        </is>
      </c>
      <c r="B49" s="41">
        <f>IFERROR(IF(B20="","",IF(D29="",0,D29)),"")</f>
        <v>13362.259294179654</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2.683178092762599</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3.146385420383392</v>
      </c>
      <c r="C52" s="29" t="n"/>
      <c r="D52" s="29" t="n"/>
      <c r="E52" s="29" t="n"/>
      <c r="F52" s="29" t="n"/>
      <c r="G52" s="29" t="n"/>
      <c r="H52" s="29" t="n"/>
    </row>
    <row r="53">
      <c r="A53" s="29" t="inlineStr">
        <is>
          <t>Year-3 DSCR</t>
        </is>
      </c>
      <c r="B53" s="62">
        <f>IFERROR(('3-Year P&amp;L'!$D$40-'3-Year P&amp;L'!$D$45+'3-Year P&amp;L'!$D$35+B48)/(B48+B49),"")</f>
        <v>3.431523878478712</v>
      </c>
      <c r="C53" s="29" t="n"/>
      <c r="D53" s="29" t="n"/>
      <c r="E53" s="29" t="n"/>
      <c r="F53" s="29" t="n"/>
      <c r="G53" s="29" t="n"/>
      <c r="H53" s="29" t="n"/>
    </row>
    <row r="54">
      <c r="A54" s="26" t="inlineStr">
        <is>
          <t>Minimum DSCR across the whole schedule</t>
        </is>
      </c>
      <c r="B54" s="55">
        <f>IFERROR(IF(COUNT(H27:H41)=0,"",MIN(H27:H41)),"")</f>
        <v>2.683178092762599</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Taco Shop Financial Projections: 3-Year P&amp;L, Cash Flow &amp; Financing · Taco Shop Business Plan Kit</dc:title>
  <dc:description xmlns:dc="http://purl.org/dc/elements/1.1/">aichef.pro/en/digital-products/taco-shop-business-plan</dc:description>
  <dc:subject xmlns:dc="http://purl.org/dc/elements/1.1/">Taco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2026-10-29T08:26:44Z</dcterms:modified>
  <cp:lastModifiedBy>AI Chef Pro</cp:lastModifiedBy>
  <cp:category>AI Chef Pro · Digital products</cp:category>
  <cp:keywords>taco shop business plan, taqueria business plan, how to open a taco shop, taco shop startup costs, trompo yield, AI Chef Pro</cp:keywords>
</cp:coreProperties>
</file>