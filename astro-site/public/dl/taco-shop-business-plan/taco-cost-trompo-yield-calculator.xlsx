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rompo Yield" sheetId="1" state="visible" r:id="rId1"/>
    <sheet xmlns:r="http://schemas.openxmlformats.org/officeDocument/2006/relationships" name="Tortillas" sheetId="2" state="visible" r:id="rId2"/>
    <sheet xmlns:r="http://schemas.openxmlformats.org/officeDocument/2006/relationships" name="Taco Costing" sheetId="3" state="visible" r:id="rId3"/>
    <sheet xmlns:r="http://schemas.openxmlformats.org/officeDocument/2006/relationships" name="Instructions" sheetId="4" state="visible" r:id="rId4"/>
  </sheets>
  <definedNames/>
  <calcPr calcId="124519" fullCalcOnLoad="1"/>
</workbook>
</file>

<file path=xl/styles.xml><?xml version="1.0" encoding="utf-8"?>
<styleSheet xmlns="http://schemas.openxmlformats.org/spreadsheetml/2006/main">
  <numFmts count="5">
    <numFmt numFmtId="164" formatCode="#,##0.0"/>
    <numFmt numFmtId="165" formatCode="0.0%"/>
    <numFmt numFmtId="166" formatCode="#,##0.000"/>
    <numFmt numFmtId="167" formatCode="#,##0.00;-#,##0.00;&quot;-&quot;"/>
    <numFmt numFmtId="168" formatCode="#,##0.0;-#,##0.0;&quot;-&quot;"/>
  </numFmts>
  <fonts count="6">
    <font>
      <name val="Calibri"/>
      <family val="2"/>
      <color theme="1"/>
      <sz val="11"/>
      <scheme val="minor"/>
    </font>
    <font>
      <name val="Calibri"/>
      <b val="1"/>
      <sz val="14"/>
    </font>
    <font>
      <name val="Calibri"/>
      <sz val="11"/>
    </font>
    <font>
      <name val="Calibri"/>
      <b val="1"/>
      <sz val="11"/>
    </font>
    <font>
      <name val="Calibri"/>
      <i val="1"/>
      <sz val="11"/>
    </font>
    <font>
      <name val="Calibri"/>
      <b val="1"/>
      <sz val="13"/>
    </font>
  </fonts>
  <fills count="4">
    <fill>
      <patternFill/>
    </fill>
    <fill>
      <patternFill patternType="gray125"/>
    </fill>
    <fill>
      <patternFill patternType="solid">
        <fgColor rgb="00F2F2F2"/>
      </patternFill>
    </fill>
    <fill>
      <patternFill patternType="solid">
        <fgColor rgb="00E8F5E9"/>
      </patternFill>
    </fill>
  </fills>
  <borders count="1">
    <border>
      <left/>
      <right/>
      <top/>
      <bottom/>
      <diagonal/>
    </border>
  </borders>
  <cellStyleXfs count="1">
    <xf numFmtId="0" fontId="0" fillId="0" borderId="0"/>
  </cellStyleXfs>
  <cellXfs count="35">
    <xf numFmtId="0" fontId="0" fillId="0" borderId="0" pivotButton="0" quotePrefix="0" xfId="0"/>
    <xf numFmtId="0" fontId="1" fillId="0" borderId="0" applyAlignment="1" pivotButton="0" quotePrefix="0" xfId="0">
      <alignment vertical="top"/>
    </xf>
    <xf numFmtId="0" fontId="2" fillId="0" borderId="0" applyAlignment="1" pivotButton="0" quotePrefix="0" xfId="0">
      <alignment vertical="top" wrapText="1"/>
    </xf>
    <xf numFmtId="0" fontId="3" fillId="2" borderId="0" applyAlignment="1" pivotButton="0" quotePrefix="0" xfId="0">
      <alignment vertical="top" wrapText="1"/>
    </xf>
    <xf numFmtId="0" fontId="3" fillId="2" borderId="0" applyAlignment="1" pivotButton="0" quotePrefix="0" xfId="0">
      <alignment vertical="top"/>
    </xf>
    <xf numFmtId="0" fontId="2" fillId="0" borderId="0" applyAlignment="1" pivotButton="0" quotePrefix="0" xfId="0">
      <alignment vertical="top"/>
    </xf>
    <xf numFmtId="164" fontId="2" fillId="3" borderId="0" applyAlignment="1" applyProtection="1" pivotButton="0" quotePrefix="0" xfId="0">
      <alignment vertical="top"/>
      <protection locked="0" hidden="0"/>
    </xf>
    <xf numFmtId="165" fontId="2" fillId="3" borderId="0" applyAlignment="1" applyProtection="1" pivotButton="0" quotePrefix="0" xfId="0">
      <alignment vertical="top"/>
      <protection locked="0" hidden="0"/>
    </xf>
    <xf numFmtId="4" fontId="2" fillId="3" borderId="0" applyAlignment="1" applyProtection="1" pivotButton="0" quotePrefix="0" xfId="0">
      <alignment vertical="top"/>
      <protection locked="0" hidden="0"/>
    </xf>
    <xf numFmtId="3" fontId="2" fillId="3" borderId="0" applyAlignment="1" applyProtection="1" pivotButton="0" quotePrefix="0" xfId="0">
      <alignment vertical="top"/>
      <protection locked="0" hidden="0"/>
    </xf>
    <xf numFmtId="3" fontId="2" fillId="2" borderId="0" applyAlignment="1" pivotButton="0" quotePrefix="0" xfId="0">
      <alignment vertical="top"/>
    </xf>
    <xf numFmtId="1" fontId="2" fillId="3" borderId="0" applyAlignment="1" applyProtection="1" pivotButton="0" quotePrefix="0" xfId="0">
      <alignment vertical="top"/>
      <protection locked="0" hidden="0"/>
    </xf>
    <xf numFmtId="164" fontId="2" fillId="0" borderId="0" applyAlignment="1" pivotButton="0" quotePrefix="0" xfId="0">
      <alignment vertical="top"/>
    </xf>
    <xf numFmtId="4" fontId="2" fillId="0" borderId="0" applyAlignment="1" pivotButton="0" quotePrefix="0" xfId="0">
      <alignment vertical="top"/>
    </xf>
    <xf numFmtId="0" fontId="3" fillId="0" borderId="0" applyAlignment="1" pivotButton="0" quotePrefix="0" xfId="0">
      <alignment vertical="top"/>
    </xf>
    <xf numFmtId="165" fontId="3" fillId="0" borderId="0" applyAlignment="1" pivotButton="0" quotePrefix="0" xfId="0">
      <alignment vertical="top"/>
    </xf>
    <xf numFmtId="3" fontId="3" fillId="0" borderId="0" applyAlignment="1" pivotButton="0" quotePrefix="0" xfId="0">
      <alignment vertical="top"/>
    </xf>
    <xf numFmtId="9" fontId="2" fillId="0" borderId="0" applyAlignment="1" pivotButton="0" quotePrefix="0" xfId="0">
      <alignment vertical="top"/>
    </xf>
    <xf numFmtId="4" fontId="3" fillId="0" borderId="0" applyAlignment="1" pivotButton="0" quotePrefix="0" xfId="0">
      <alignment vertical="top"/>
    </xf>
    <xf numFmtId="166" fontId="3" fillId="0" borderId="0" applyAlignment="1" pivotButton="0" quotePrefix="0" xfId="0">
      <alignment vertical="top"/>
    </xf>
    <xf numFmtId="0" fontId="2" fillId="3" borderId="0" applyAlignment="1" applyProtection="1" pivotButton="0" quotePrefix="0" xfId="0">
      <alignment vertical="top"/>
      <protection locked="0" hidden="0"/>
    </xf>
    <xf numFmtId="9" fontId="2" fillId="3" borderId="0" applyAlignment="1" applyProtection="1" pivotButton="0" quotePrefix="0" xfId="0">
      <alignment vertical="top"/>
      <protection locked="0" hidden="0"/>
    </xf>
    <xf numFmtId="3" fontId="2" fillId="0" borderId="0" applyAlignment="1" pivotButton="0" quotePrefix="0" xfId="0">
      <alignment vertical="top"/>
    </xf>
    <xf numFmtId="0" fontId="4" fillId="0" borderId="0" applyAlignment="1" pivotButton="0" quotePrefix="0" xfId="0">
      <alignment vertical="top" wrapText="1"/>
    </xf>
    <xf numFmtId="166" fontId="2" fillId="0" borderId="0" applyAlignment="1" pivotButton="0" quotePrefix="0" xfId="0">
      <alignment vertical="top"/>
    </xf>
    <xf numFmtId="0" fontId="3" fillId="0" borderId="0" applyAlignment="1" pivotButton="0" quotePrefix="0" xfId="0">
      <alignment vertical="top" wrapText="1"/>
    </xf>
    <xf numFmtId="0" fontId="2" fillId="3" borderId="0" applyAlignment="1" applyProtection="1" pivotButton="0" quotePrefix="0" xfId="0">
      <alignment vertical="top" wrapText="1"/>
      <protection locked="0" hidden="0"/>
    </xf>
    <xf numFmtId="0" fontId="3" fillId="3" borderId="0" applyAlignment="1" applyProtection="1" pivotButton="0" quotePrefix="0" xfId="0">
      <alignment vertical="top" wrapText="1"/>
      <protection locked="0" hidden="0"/>
    </xf>
    <xf numFmtId="4" fontId="3" fillId="3" borderId="0" applyAlignment="1" applyProtection="1" pivotButton="0" quotePrefix="0" xfId="0">
      <alignment vertical="top"/>
      <protection locked="0" hidden="0"/>
    </xf>
    <xf numFmtId="167" fontId="2" fillId="3" borderId="0" applyAlignment="1" applyProtection="1" pivotButton="0" quotePrefix="0" xfId="0">
      <alignment vertical="top"/>
      <protection locked="0" hidden="0"/>
    </xf>
    <xf numFmtId="0" fontId="4" fillId="0" borderId="0" applyAlignment="1" pivotButton="0" quotePrefix="0" xfId="0">
      <alignment vertical="top"/>
    </xf>
    <xf numFmtId="168" fontId="2" fillId="3" borderId="0" applyAlignment="1" applyProtection="1" pivotButton="0" quotePrefix="0" xfId="0">
      <alignment vertical="top"/>
      <protection locked="0" hidden="0"/>
    </xf>
    <xf numFmtId="166" fontId="2" fillId="3" borderId="0" applyAlignment="1" applyProtection="1" pivotButton="0" quotePrefix="0" xfId="0">
      <alignment vertical="top"/>
      <protection locked="0" hidden="0"/>
    </xf>
    <xf numFmtId="165" fontId="2" fillId="0" borderId="0" applyAlignment="1" pivotButton="0" quotePrefix="0" xfId="0">
      <alignment vertical="top"/>
    </xf>
    <xf numFmtId="0" fontId="5" fillId="0" borderId="0" applyAlignment="1" pivotButton="0" quotePrefix="0" xfId="0">
      <alignment vertical="top" wrapText="1"/>
    </xf>
  </cellXfs>
  <cellStyles count="1">
    <cellStyle name="Normal" xfId="0" builtinId="0" hidden="0"/>
  </cellStyles>
  <dxfs count="3">
    <dxf>
      <fill>
        <patternFill patternType="solid">
          <fgColor rgb="00C6E0B4"/>
          <bgColor rgb="00C6E0B4"/>
        </patternFill>
      </fill>
    </dxf>
    <dxf>
      <fill>
        <patternFill patternType="solid">
          <fgColor rgb="00FFE699"/>
          <bgColor rgb="00FFE699"/>
        </patternFill>
      </fill>
    </dxf>
    <dxf>
      <fill>
        <patternFill patternType="solid">
          <fgColor rgb="00F8CBAD"/>
          <bgColor rgb="00F8CBAD"/>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I41"/>
  <sheetViews>
    <sheetView showGridLines="0" workbookViewId="0">
      <selection activeCell="A1" sqref="A1"/>
    </sheetView>
  </sheetViews>
  <sheetFormatPr baseColWidth="8" defaultRowHeight="15"/>
  <cols>
    <col width="54" customWidth="1" min="1" max="1"/>
    <col width="15" customWidth="1" min="2" max="2"/>
    <col width="15" customWidth="1" min="3" max="3"/>
    <col width="16" customWidth="1" min="4" max="4"/>
    <col width="14" customWidth="1" min="5" max="5"/>
    <col width="14" customWidth="1" min="6" max="6"/>
    <col width="14" customWidth="1" min="7" max="7"/>
    <col width="12" customWidth="1" min="8" max="8"/>
    <col width="15" customWidth="1" min="9" max="9"/>
  </cols>
  <sheetData>
    <row r="1">
      <c r="A1" s="1" t="inlineStr">
        <is>
          <t>TROMPO YIELD CALCULATOR: HOW MANY TACOS COME OUT OF THE CONE AND WHAT THE MEAT COSTS</t>
        </is>
      </c>
    </row>
    <row r="2" ht="32" customHeight="1">
      <c r="A2" s="2" t="inlineStr">
        <is>
          <t>Type only in the GREEN cells: everything else is calculated. Amounts before sales tax. Every default value is a kit estimate, editable: replace it with your supplier's numbers and, above all, with what you measure on your own cone.</t>
        </is>
      </c>
    </row>
    <row r="3" ht="36" customHeight="1">
      <c r="A3" s="3" t="inlineStr">
        <is>
          <t>FIXED NOTICE. The cooking and drip loss (35 %) has no reliable published source: it is a kit estimate. Weigh your first raw cone, what you serve and the leftover, and adjust the loss until the yield matches what you measure.</t>
        </is>
      </c>
    </row>
    <row r="5">
      <c r="A5" s="4" t="inlineStr">
        <is>
          <t>A. THE AL PASTOR CONE</t>
        </is>
      </c>
      <c r="B5" s="4" t="inlineStr">
        <is>
          <t>Value</t>
        </is>
      </c>
      <c r="C5" s="4" t="inlineStr">
        <is>
          <t>Notes</t>
        </is>
      </c>
    </row>
    <row r="6" ht="16" customHeight="1">
      <c r="A6" s="5" t="inlineStr">
        <is>
          <t>Raw meat stacked on the cone (lb)</t>
        </is>
      </c>
      <c r="B6" s="6" t="n">
        <v>30</v>
      </c>
      <c r="C6" s="2" t="inlineStr">
        <is>
          <t>Weigh the sliced meat before the marinade, ready to stack. Kit estimate, editable.</t>
        </is>
      </c>
    </row>
    <row r="7" ht="30" customHeight="1">
      <c r="A7" s="5" t="inlineStr">
        <is>
          <t>Marinade over the meat (%)</t>
        </is>
      </c>
      <c r="B7" s="7" t="n">
        <v>0.08</v>
      </c>
      <c r="C7" s="2" t="inlineStr">
        <is>
          <t>Achiote, chiles, spices and pineapple in the marinade, over the weight of the meat. Kit estimate, editable.</t>
        </is>
      </c>
    </row>
    <row r="8" ht="16" customHeight="1">
      <c r="A8" s="5" t="inlineStr">
        <is>
          <t>Raw meat price ($/lb, before tax)</t>
        </is>
      </c>
      <c r="B8" s="8" t="n">
        <v>3</v>
      </c>
      <c r="C8" s="2" t="inlineStr">
        <is>
          <t>Pork shoulder. Type your supplier's price. Kit estimate, editable.</t>
        </is>
      </c>
    </row>
    <row r="9" ht="16" customHeight="1">
      <c r="A9" s="5" t="inlineStr">
        <is>
          <t>Marinade price ($/lb, before tax)</t>
        </is>
      </c>
      <c r="B9" s="8" t="n">
        <v>3</v>
      </c>
      <c r="C9" s="2" t="inlineStr">
        <is>
          <t>Type your supplier's price or the cost of your own recipe. Kit estimate, editable.</t>
        </is>
      </c>
    </row>
    <row r="10" ht="30" customHeight="1">
      <c r="A10" s="5" t="inlineStr">
        <is>
          <t>Pineapple on top of the cone (lb)</t>
        </is>
      </c>
      <c r="B10" s="6" t="n">
        <v>0</v>
      </c>
      <c r="C10" s="2" t="inlineStr">
        <is>
          <t>Default 0: the pineapple on each taco is counted separately on the "Taco Costing" sheet. If you type pounds here, they add to the cone cost.</t>
        </is>
      </c>
    </row>
    <row r="11" ht="16" customHeight="1">
      <c r="A11" s="5" t="inlineStr">
        <is>
          <t>Pineapple price ($/lb, before tax)</t>
        </is>
      </c>
      <c r="B11" s="8" t="n">
        <v>0.8</v>
      </c>
      <c r="C11" s="2" t="inlineStr">
        <is>
          <t>Only counts if you type pounds of pineapple above. Kit estimate, editable.</t>
        </is>
      </c>
    </row>
    <row r="12" ht="30" customHeight="1">
      <c r="A12" s="5" t="inlineStr">
        <is>
          <t>Cooking and drip loss (%)</t>
        </is>
      </c>
      <c r="B12" s="7" t="n">
        <v>0.35</v>
      </c>
      <c r="C12" s="2" t="inlineStr">
        <is>
          <t>What the cone loses as it roasts: fat and water. There is no reliable published figure: measure it with your first cone (see the "Instructions" sheet). Kit estimate, editable.</t>
        </is>
      </c>
    </row>
    <row r="13" ht="16" customHeight="1">
      <c r="A13" s="5" t="inlineStr">
        <is>
          <t>Trim you cannot serve (%)</t>
        </is>
      </c>
      <c r="B13" s="7" t="n">
        <v>0.05</v>
      </c>
      <c r="C13" s="2" t="inlineStr">
        <is>
          <t>Burnt tips, hard fat and gristle that never reach the plate. Kit estimate, editable.</t>
        </is>
      </c>
    </row>
    <row r="14" ht="16" customHeight="1">
      <c r="A14" s="5" t="inlineStr">
        <is>
          <t>Leftover at close (lb)</t>
        </is>
      </c>
      <c r="B14" s="6" t="n">
        <v>0</v>
      </c>
      <c r="C14" s="2" t="inlineStr">
        <is>
          <t>Cooked meat left unserved at close. Weigh it; default 0.</t>
        </is>
      </c>
    </row>
    <row r="15" ht="16" customHeight="1">
      <c r="A15" s="5" t="inlineStr">
        <is>
          <t>Share of the leftover you reuse (%)</t>
        </is>
      </c>
      <c r="B15" s="7" t="n">
        <v>0</v>
      </c>
      <c r="C15" s="2" t="inlineStr">
        <is>
          <t>For example in a next-day stew. The part you throw away takes tacos off the total.</t>
        </is>
      </c>
    </row>
    <row r="16" ht="16" customHeight="1">
      <c r="A16" s="5" t="inlineStr">
        <is>
          <t>Cooked meat served per taco (oz)</t>
        </is>
      </c>
      <c r="B16" s="8" t="n">
        <v>1.5</v>
      </c>
      <c r="C16" s="2" t="inlineStr">
        <is>
          <t>Ounces of cooked, sliced meat on each taco. Kit estimate, editable.</t>
        </is>
      </c>
    </row>
    <row r="17" ht="16" customHeight="1">
      <c r="A17" s="5" t="inlineStr">
        <is>
          <t>Number of tacos you want to prepare</t>
        </is>
      </c>
      <c r="B17" s="9" t="n">
        <v>100</v>
      </c>
      <c r="C17" s="2" t="inlineStr">
        <is>
          <t>Whole number greater than 0. It tells you how much raw meat you need.</t>
        </is>
      </c>
    </row>
    <row r="18" ht="16" customHeight="1">
      <c r="A18" s="5" t="inlineStr">
        <is>
          <t>Ounces per lb (constant: 16 oz per lb)</t>
        </is>
      </c>
      <c r="B18" s="10" t="n">
        <v>16</v>
      </c>
      <c r="C18" s="2" t="inlineStr">
        <is>
          <t>Constant: 1 lb = 16 oz. Not editable. It converts the $/lb prices to ounces.</t>
        </is>
      </c>
    </row>
    <row r="19" ht="30" customHeight="1">
      <c r="A19" s="5" t="inlineStr">
        <is>
          <t>Benchmark: tacos per raw lb at a Mexico City stand</t>
        </is>
      </c>
      <c r="B19" s="10" t="n">
        <v>11</v>
      </c>
      <c r="C19" s="2" t="inlineStr">
        <is>
          <t>Fixed benchmark: a 110 to 220 lb trompo yields 1,250 to 2,500 tacos, about 11 per raw lb (Milenio). Not editable.</t>
        </is>
      </c>
    </row>
    <row r="20" ht="45" customHeight="1">
      <c r="A20" s="5" t="inlineStr">
        <is>
          <t>Your county's al pastor cook temp (°F)</t>
        </is>
      </c>
      <c r="B20" s="11" t="n"/>
      <c r="C20" s="2" t="inlineStr">
        <is>
          <t>Leave it empty until you have it. Ask your county health department IN WRITING what cook and hold temperature it requires for al pastor off the trompo; counties differ, so the kit gives no single figure. Write it here and keep the answer on file.</t>
        </is>
      </c>
    </row>
    <row r="22">
      <c r="A22" s="4" t="inlineStr">
        <is>
          <t>CONE RESULT</t>
        </is>
      </c>
      <c r="B22" s="4" t="inlineStr">
        <is>
          <t>Value</t>
        </is>
      </c>
      <c r="C22" s="4" t="inlineStr">
        <is>
          <t>Notes</t>
        </is>
      </c>
    </row>
    <row r="23" ht="16" customHeight="1">
      <c r="A23" s="5" t="inlineStr">
        <is>
          <t>Marinated meat (lb)</t>
        </is>
      </c>
      <c r="B23" s="12">
        <f>$B$6*(1+$B$7)</f>
        <v>32.400000000000006</v>
      </c>
      <c r="C23" s="2" t="inlineStr">
        <is>
          <t>Raw meat plus marinade.</t>
        </is>
      </c>
    </row>
    <row r="24" ht="16" customHeight="1">
      <c r="A24" s="5" t="inlineStr">
        <is>
          <t>Cooked meat served from the cone (lb)</t>
        </is>
      </c>
      <c r="B24" s="13">
        <f>$B$23*(1-$B$12-$B$13)-$B$14*(1-$B$15)</f>
        <v>19.44</v>
      </c>
      <c r="C24" s="2" t="inlineStr">
        <is>
          <t>Marinated meat minus the loss and the trim, minus the leftover you throw away.</t>
        </is>
      </c>
    </row>
    <row r="25" ht="16" customHeight="1">
      <c r="A25" s="14" t="inlineStr">
        <is>
          <t>TROMPO YIELD (%)</t>
        </is>
      </c>
      <c r="B25" s="15">
        <f>$B$24/$B$6</f>
        <v>0.648</v>
      </c>
      <c r="C25" s="2" t="inlineStr">
        <is>
          <t>Served meat ÷ raw meat stacked.</t>
        </is>
      </c>
    </row>
    <row r="26" ht="16" customHeight="1">
      <c r="A26" s="14" t="inlineStr">
        <is>
          <t>TACOS FROM THE CONE</t>
        </is>
      </c>
      <c r="B26" s="16">
        <f>$B$24*$B$18/$B$16</f>
        <v>207.36</v>
      </c>
      <c r="C26" s="2" t="inlineStr">
        <is>
          <t>Served lb × 16 ÷ ounces per taco.</t>
        </is>
      </c>
    </row>
    <row r="27" ht="16" customHeight="1">
      <c r="A27" s="5" t="inlineStr">
        <is>
          <t>Tacos per raw lb</t>
        </is>
      </c>
      <c r="B27" s="12">
        <f>$B$26/$B$6</f>
        <v>6.912000000000001</v>
      </c>
      <c r="C27" s="2" t="inlineStr">
        <is>
          <t>Compare it with the Mexico City benchmark above.</t>
        </is>
      </c>
    </row>
    <row r="28" ht="16" customHeight="1">
      <c r="A28" s="5" t="inlineStr">
        <is>
          <t>Your tacos per lb against the Mexico City benchmark (%)</t>
        </is>
      </c>
      <c r="B28" s="17">
        <f>$B$27/$B$19</f>
        <v>0.6283636363636365</v>
      </c>
      <c r="C28" s="2" t="inlineStr">
        <is>
          <t>Below 100 %: you serve more ounces per taco or lose more.</t>
        </is>
      </c>
    </row>
    <row r="29" ht="16" customHeight="1">
      <c r="A29" s="5" t="inlineStr">
        <is>
          <t>Cone cost ($)</t>
        </is>
      </c>
      <c r="B29" s="13">
        <f>$B$6*$B$8+$B$6*$B$7*$B$9+$B$10*$B$11</f>
        <v>97.2</v>
      </c>
      <c r="C29" s="2" t="inlineStr">
        <is>
          <t>Meat + marinade + pineapple on top.</t>
        </is>
      </c>
    </row>
    <row r="30" ht="16" customHeight="1">
      <c r="A30" s="14" t="inlineStr">
        <is>
          <t>COST PER SERVED LB ($)</t>
        </is>
      </c>
      <c r="B30" s="18">
        <f>$B$29/$B$24</f>
        <v>5.0</v>
      </c>
      <c r="C30" s="2" t="inlineStr">
        <is>
          <t>Cone cost ÷ served lb. It feeds the taco costing.</t>
        </is>
      </c>
    </row>
    <row r="31" ht="16" customHeight="1">
      <c r="A31" s="14" t="inlineStr">
        <is>
          <t>MEAT COST PER TACO ($)</t>
        </is>
      </c>
      <c r="B31" s="19">
        <f>$B$30*$B$16/$B$18</f>
        <v>0.46875</v>
      </c>
      <c r="C31" s="2" t="inlineStr">
        <is>
          <t>Cost per served lb × ounces per taco ÷ 16.</t>
        </is>
      </c>
    </row>
    <row r="32" ht="16" customHeight="1">
      <c r="A32" s="5" t="inlineStr">
        <is>
          <t>Raw meat to prepare the N tacos (lb)</t>
        </is>
      </c>
      <c r="B32" s="13">
        <f>$B$17*$B$16/($B$18*$B$25)</f>
        <v>14.467592592592592</v>
      </c>
      <c r="C32" s="2" t="inlineStr">
        <is>
          <t>N × ounces per taco ÷ (16 × yield).</t>
        </is>
      </c>
    </row>
    <row r="34" ht="46" customHeight="1">
      <c r="A34" s="3" t="inlineStr">
        <is>
          <t>B. OTHER PROTEINS (stews and roasts)</t>
        </is>
      </c>
      <c r="B34" s="3" t="inlineStr">
        <is>
          <t>Raw lb</t>
        </is>
      </c>
      <c r="C34" s="3" t="inlineStr">
        <is>
          <t>$/raw lb (before tax)</t>
        </is>
      </c>
      <c r="D34" s="3" t="inlineStr">
        <is>
          <t>Yield after cooking (%)</t>
        </is>
      </c>
      <c r="E34" s="3" t="inlineStr">
        <is>
          <t>Oz per taco</t>
        </is>
      </c>
      <c r="F34" s="3" t="inlineStr">
        <is>
          <t>Cooked lb</t>
        </is>
      </c>
      <c r="G34" s="3" t="inlineStr">
        <is>
          <t>$/cooked lb</t>
        </is>
      </c>
      <c r="H34" s="3" t="inlineStr">
        <is>
          <t>Tacos</t>
        </is>
      </c>
      <c r="I34" s="3" t="inlineStr">
        <is>
          <t>$ of meat per taco</t>
        </is>
      </c>
    </row>
    <row r="35">
      <c r="A35" s="20" t="inlineStr">
        <is>
          <t>Carnitas</t>
        </is>
      </c>
      <c r="B35" s="6" t="n">
        <v>20</v>
      </c>
      <c r="C35" s="8" t="n">
        <v>2.8</v>
      </c>
      <c r="D35" s="21" t="n">
        <v>0.6</v>
      </c>
      <c r="E35" s="8" t="n">
        <v>1.5</v>
      </c>
      <c r="F35" s="13">
        <f>B35*D35</f>
        <v>12.0</v>
      </c>
      <c r="G35" s="13">
        <f>C35/D35</f>
        <v>4.666666666666667</v>
      </c>
      <c r="H35" s="22">
        <f>F35*$B$18/E35</f>
        <v>128.0</v>
      </c>
      <c r="I35" s="19">
        <f>G35*E35/$B$18</f>
        <v>0.4375</v>
      </c>
    </row>
    <row r="36">
      <c r="A36" s="20" t="inlineStr">
        <is>
          <t>Suadero (beef navel)</t>
        </is>
      </c>
      <c r="B36" s="6" t="n">
        <v>20</v>
      </c>
      <c r="C36" s="8" t="n">
        <v>4.2</v>
      </c>
      <c r="D36" s="21" t="n">
        <v>0.55</v>
      </c>
      <c r="E36" s="8" t="n">
        <v>1.5</v>
      </c>
      <c r="F36" s="13">
        <f>B36*D36</f>
        <v>11.0</v>
      </c>
      <c r="G36" s="13">
        <f>C36/D36</f>
        <v>7.636363636363636</v>
      </c>
      <c r="H36" s="22">
        <f>F36*$B$18/E36</f>
        <v>117.33333333333333</v>
      </c>
      <c r="I36" s="19">
        <f>G36*E36/$B$18</f>
        <v>0.7159090909090908</v>
      </c>
    </row>
    <row r="37">
      <c r="A37" s="20" t="inlineStr">
        <is>
          <t>Cochinita pibil</t>
        </is>
      </c>
      <c r="B37" s="6" t="n">
        <v>20</v>
      </c>
      <c r="C37" s="8" t="n">
        <v>3</v>
      </c>
      <c r="D37" s="21" t="n">
        <v>0.6</v>
      </c>
      <c r="E37" s="8" t="n">
        <v>1.75</v>
      </c>
      <c r="F37" s="13">
        <f>B37*D37</f>
        <v>12.0</v>
      </c>
      <c r="G37" s="13">
        <f>C37/D37</f>
        <v>5.0</v>
      </c>
      <c r="H37" s="22">
        <f>F37*$B$18/E37</f>
        <v>109.71428571428571</v>
      </c>
      <c r="I37" s="19">
        <f>G37*E37/$B$18</f>
        <v>0.546875</v>
      </c>
    </row>
    <row r="38">
      <c r="A38" s="20" t="inlineStr">
        <is>
          <t>Beef barbacoa</t>
        </is>
      </c>
      <c r="B38" s="6" t="n">
        <v>20</v>
      </c>
      <c r="C38" s="8" t="n">
        <v>4</v>
      </c>
      <c r="D38" s="21" t="n">
        <v>0.55</v>
      </c>
      <c r="E38" s="8" t="n">
        <v>1.75</v>
      </c>
      <c r="F38" s="13">
        <f>B38*D38</f>
        <v>11.0</v>
      </c>
      <c r="G38" s="13">
        <f>C38/D38</f>
        <v>7.2727272727272725</v>
      </c>
      <c r="H38" s="22">
        <f>F38*$B$18/E38</f>
        <v>100.57142857142857</v>
      </c>
      <c r="I38" s="19">
        <f>G38*E38/$B$18</f>
        <v>0.7954545454545454</v>
      </c>
    </row>
    <row r="39">
      <c r="A39" s="20" t="inlineStr">
        <is>
          <t>Chicken tinga</t>
        </is>
      </c>
      <c r="B39" s="6" t="n">
        <v>20</v>
      </c>
      <c r="C39" s="8" t="n">
        <v>2.2</v>
      </c>
      <c r="D39" s="21" t="n">
        <v>0.65</v>
      </c>
      <c r="E39" s="8" t="n">
        <v>1.5</v>
      </c>
      <c r="F39" s="13">
        <f>B39*D39</f>
        <v>13.0</v>
      </c>
      <c r="G39" s="13">
        <f>C39/D39</f>
        <v>3.3846153846153846</v>
      </c>
      <c r="H39" s="22">
        <f>F39*$B$18/E39</f>
        <v>138.66666666666666</v>
      </c>
      <c r="I39" s="19">
        <f>G39*E39/$B$18</f>
        <v>0.3173076923076923</v>
      </c>
    </row>
    <row r="40">
      <c r="A40" s="20" t="inlineStr">
        <is>
          <t>Campechano (steak and chorizo)</t>
        </is>
      </c>
      <c r="B40" s="6" t="n">
        <v>20</v>
      </c>
      <c r="C40" s="8" t="n">
        <v>4.5</v>
      </c>
      <c r="D40" s="21" t="n">
        <v>0.6</v>
      </c>
      <c r="E40" s="8" t="n">
        <v>1.5</v>
      </c>
      <c r="F40" s="13">
        <f>B40*D40</f>
        <v>12.0</v>
      </c>
      <c r="G40" s="13">
        <f>C40/D40</f>
        <v>7.5</v>
      </c>
      <c r="H40" s="22">
        <f>F40*$B$18/E40</f>
        <v>128.0</v>
      </c>
      <c r="I40" s="19">
        <f>G40*E40/$B$18</f>
        <v>0.703125</v>
      </c>
    </row>
    <row r="41" ht="34" customHeight="1">
      <c r="A41" s="23" t="inlineStr">
        <is>
          <t>Slow-cooked stews (carnitas, barbacoa, cochinita) yield less than the cone: the yield and the price on each row are a kit estimate, editable. The $/cooked lb of each row feeds the "Taco Costing" sheet.</t>
        </is>
      </c>
    </row>
  </sheetData>
  <sheetProtection selectLockedCells="0" selectUnlockedCells="0" sheet="1" objects="0" insertRows="1" insertHyperlinks="1" autoFilter="1" scenarios="0" formatColumns="1" deleteColumns="1" insertColumns="1" pivotTables="1" deleteRows="1" formatCells="1" formatRows="1" sort="1"/>
  <mergeCells count="28">
    <mergeCell ref="C23:I23"/>
    <mergeCell ref="A41:I41"/>
    <mergeCell ref="C17:I17"/>
    <mergeCell ref="C8:I8"/>
    <mergeCell ref="C32:I32"/>
    <mergeCell ref="C7:I7"/>
    <mergeCell ref="A3:I3"/>
    <mergeCell ref="C19:I19"/>
    <mergeCell ref="C28:I28"/>
    <mergeCell ref="C13:I13"/>
    <mergeCell ref="A2:I2"/>
    <mergeCell ref="C18:I18"/>
    <mergeCell ref="C6:I6"/>
    <mergeCell ref="C24:I24"/>
    <mergeCell ref="C30:I30"/>
    <mergeCell ref="C15:I15"/>
    <mergeCell ref="C14:I14"/>
    <mergeCell ref="C26:I26"/>
    <mergeCell ref="C20:I20"/>
    <mergeCell ref="C29:I29"/>
    <mergeCell ref="C10:I10"/>
    <mergeCell ref="C16:I16"/>
    <mergeCell ref="C25:I25"/>
    <mergeCell ref="C31:I31"/>
    <mergeCell ref="C9:I9"/>
    <mergeCell ref="C12:I12"/>
    <mergeCell ref="C11:I11"/>
    <mergeCell ref="C27:I27"/>
  </mergeCells>
  <dataValidations count="9">
    <dataValidation sqref="B6 B8 B9 B16" showDropDown="0" showInputMessage="0" showErrorMessage="1" allowBlank="0" errorTitle="Invalid value" error="Type a number greater than 0." type="decimal" operator="greaterThan">
      <formula1>0</formula1>
    </dataValidation>
    <dataValidation sqref="B10 B11 B14" showDropDown="0" showInputMessage="0" showErrorMessage="1" allowBlank="0" errorTitle="Invalid value" error="Type a number greater than or equal to 0." type="decimal" operator="greaterThanOrEqual">
      <formula1>0</formula1>
    </dataValidation>
    <dataValidation sqref="B7 B15" showDropDown="0" showInputMessage="0" showErrorMessage="1" allowBlank="0" errorTitle="Invalid percentage" error="Type a percentage between 0 and 1 (0.08 = 8 %)." type="decimal" operator="between">
      <formula1>0</formula1>
      <formula2>1</formula2>
    </dataValidation>
    <dataValidation sqref="B12" showDropDown="0" showInputMessage="0" showErrorMessage="1" allowBlank="0" errorTitle="Invalid loss" error="Type between 0 and 0.6 (0.35 = 35 %)." type="decimal" operator="between">
      <formula1>0</formula1>
      <formula2>0.6</formula2>
    </dataValidation>
    <dataValidation sqref="B13" showDropDown="0" showInputMessage="0" showErrorMessage="1" allowBlank="0" errorTitle="Invalid trim" error="Type between 0 and 0.3 (0.05 = 5 %)." type="decimal" operator="between">
      <formula1>0</formula1>
      <formula2>0.3</formula2>
    </dataValidation>
    <dataValidation sqref="B17" showDropDown="0" showInputMessage="0" showErrorMessage="1" allowBlank="0" errorTitle="Invalid number" error="Type a whole number of 1 or more." type="whole" operator="between">
      <formula1>1</formula1>
      <formula2>1000000</formula2>
    </dataValidation>
    <dataValidation sqref="B20" showDropDown="0" showInputMessage="0" showErrorMessage="1" allowBlank="1" errorTitle="Invalid temperature" error="Type the temperature in degrees Fahrenheit (100 to 212), or leave it empty." type="decimal" operator="between">
      <formula1>100</formula1>
      <formula2>212</formula2>
    </dataValidation>
    <dataValidation sqref="B35 B36 B37 B38 B39 B40 C35 C36 C37 C38 C39 C40 E35 E36 E37 E38 E39 E40" showDropDown="0" showInputMessage="0" showErrorMessage="1" allowBlank="0" errorTitle="Invalid value" error="Type a number greater than 0." type="decimal" operator="greaterThan">
      <formula1>0</formula1>
    </dataValidation>
    <dataValidation sqref="D35 D36 D37 D38 D39 D40" showDropDown="0" showInputMessage="0" showErrorMessage="1" allowBlank="0" errorTitle="Invalid yield" error="Type between 0.05 and 1 (0.6 = 60 %)." type="decimal" operator="between">
      <formula1>0.05</formula1>
      <formula2>1</formula2>
    </dataValidation>
  </dataValidations>
  <printOptions horizontalCentered="1"/>
  <pageMargins left="0.75" right="0.75" top="1" bottom="1" header="0.5" footer="0.5"/>
  <pageSetup orientation="landscape" paperSize="1" fitToHeight="0" fitToWidth="1"/>
  <headerFooter>
    <oddHeader/>
    <oddFooter>&amp;CAI Chef Pro · aichef.pro · Page &amp;P of &amp;N</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C32"/>
  <sheetViews>
    <sheetView showGridLines="0" workbookViewId="0">
      <selection activeCell="A1" sqref="A1"/>
    </sheetView>
  </sheetViews>
  <sheetFormatPr baseColWidth="8" defaultRowHeight="15"/>
  <cols>
    <col width="56" customWidth="1" min="1" max="1"/>
    <col width="17" customWidth="1" min="2" max="2"/>
    <col width="70" customWidth="1" min="3" max="3"/>
  </cols>
  <sheetData>
    <row r="1">
      <c r="A1" s="1" t="inlineStr">
        <is>
          <t>TORTILLAS: BUY THEM OR MAKE THEM WITH MASA HARINA, AND THE BREAK-EVEN IN TORTILLAS PER DAY</t>
        </is>
      </c>
    </row>
    <row r="2" ht="34" customHeight="1">
      <c r="A2" s="2" t="inlineStr">
        <is>
          <t>Type only in the GREEN cells. Amounts before sales tax. Every default value is a kit estimate, editable: replace it with your supplier's numbers. At the volume of a neighborhood taco shop, buying usually wins; this sheet shows you where the math flips.</t>
        </is>
      </c>
    </row>
    <row r="5">
      <c r="A5" s="4" t="inlineStr">
        <is>
          <t>A. BOUGHT TORTILLAS</t>
        </is>
      </c>
      <c r="B5" s="4" t="inlineStr">
        <is>
          <t>Value</t>
        </is>
      </c>
      <c r="C5" s="4" t="inlineStr">
        <is>
          <t>Notes</t>
        </is>
      </c>
    </row>
    <row r="6" ht="30" customHeight="1">
      <c r="A6" s="5" t="inlineStr">
        <is>
          <t>Price of a case of corn tortillas ($, before tax)</t>
        </is>
      </c>
      <c r="B6" s="8" t="n">
        <v>58.99</v>
      </c>
      <c r="C6" s="2" t="inlineStr">
        <is>
          <t>6 in white corn tortillas, 360 per case (Mission, case price read in October 2026). Kit estimate, editable.</t>
        </is>
      </c>
    </row>
    <row r="7" ht="16" customHeight="1">
      <c r="A7" s="5" t="inlineStr">
        <is>
          <t>Tortillas per case</t>
        </is>
      </c>
      <c r="B7" s="9" t="n">
        <v>360</v>
      </c>
      <c r="C7" s="2" t="inlineStr">
        <is>
          <t>Whole number greater than 0. Kit estimate, editable.</t>
        </is>
      </c>
    </row>
    <row r="8" ht="16" customHeight="1">
      <c r="A8" s="5" t="inlineStr">
        <is>
          <t>Weight of each tortilla (oz)</t>
        </is>
      </c>
      <c r="B8" s="8" t="n">
        <v>0.9</v>
      </c>
      <c r="C8" s="2" t="inlineStr">
        <is>
          <t>A 6 in corn tortilla weighs about 0.9 oz. Kit estimate, editable.</t>
        </is>
      </c>
    </row>
    <row r="9">
      <c r="A9" s="4" t="inlineStr">
        <is>
          <t>B. HOMEMADE (masa harina, tortilla machine and a tortillera)</t>
        </is>
      </c>
      <c r="B9" s="4" t="inlineStr">
        <is>
          <t>Value</t>
        </is>
      </c>
      <c r="C9" s="4" t="inlineStr">
        <is>
          <t>Notes</t>
        </is>
      </c>
    </row>
    <row r="10" ht="30" customHeight="1">
      <c r="A10" s="5" t="inlineStr">
        <is>
          <t>Masa harina price ($/lb, before tax)</t>
        </is>
      </c>
      <c r="B10" s="8" t="n">
        <v>0.45</v>
      </c>
      <c r="C10" s="2" t="inlineStr">
        <is>
          <t>Instant corn masa flour in a 50 lb bag. Type your supplier's price. Kit estimate, editable.</t>
        </is>
      </c>
    </row>
    <row r="11" ht="30" customHeight="1">
      <c r="A11" s="5" t="inlineStr">
        <is>
          <t>Masa you get from 1 lb of masa harina (lb)</t>
        </is>
      </c>
      <c r="B11" s="8" t="n">
        <v>1.8</v>
      </c>
      <c r="C11" s="2" t="inlineStr">
        <is>
          <t>Masa harina absorbs water: 1 lb of flour makes about 1.8 lb of masa. Kit estimate, editable.</t>
        </is>
      </c>
    </row>
    <row r="12" ht="30" customHeight="1">
      <c r="A12" s="5" t="inlineStr">
        <is>
          <t>Water, power and gas for the press ($ per lb of masa harina)</t>
        </is>
      </c>
      <c r="B12" s="8" t="n">
        <v>0.2</v>
      </c>
      <c r="C12" s="2" t="inlineStr">
        <is>
          <t>Everything you spend to mix, press and cook, per pound of masa harina. Kit estimate, editable.</t>
        </is>
      </c>
    </row>
    <row r="13" ht="16" customHeight="1">
      <c r="A13" s="5" t="inlineStr">
        <is>
          <t>Raw masa per homemade tortilla (oz)</t>
        </is>
      </c>
      <c r="B13" s="8" t="n">
        <v>1</v>
      </c>
      <c r="C13" s="2" t="inlineStr">
        <is>
          <t>Raw masa in each tortilla before pressing. Kit estimate, editable.</t>
        </is>
      </c>
    </row>
    <row r="14" ht="16" customHeight="1">
      <c r="A14" s="5" t="inlineStr">
        <is>
          <t>Yearly cost of a tortillera ($, with payroll costs)</t>
        </is>
      </c>
      <c r="B14" s="8" t="n">
        <v>27450</v>
      </c>
      <c r="C14" s="2" t="inlineStr">
        <is>
          <t>About 0.75 FTE at $16 an hour with payroll costs. Kit estimate, editable.</t>
        </is>
      </c>
    </row>
    <row r="15" ht="30" customHeight="1">
      <c r="A15" s="5" t="inlineStr">
        <is>
          <t>Tortilla machine investment ($, before tax)</t>
        </is>
      </c>
      <c r="B15" s="8" t="n">
        <v>7808</v>
      </c>
      <c r="C15" s="2" t="inlineStr">
        <is>
          <t>A commercial countertop tortilla machine with a 6 in cutter. Kit estimate, editable.</t>
        </is>
      </c>
    </row>
    <row r="16" ht="16" customHeight="1">
      <c r="A16" s="5" t="inlineStr">
        <is>
          <t>Years of life of the machine</t>
        </is>
      </c>
      <c r="B16" s="9" t="n">
        <v>7</v>
      </c>
      <c r="C16" s="2" t="inlineStr">
        <is>
          <t>The investment is spread over these years. Kit estimate, editable.</t>
        </is>
      </c>
    </row>
    <row r="17" ht="16" customHeight="1">
      <c r="A17" s="5" t="inlineStr">
        <is>
          <t>Days open per year</t>
        </is>
      </c>
      <c r="B17" s="9" t="n">
        <v>308</v>
      </c>
      <c r="C17" s="2" t="inlineStr">
        <is>
          <t>The days of the kit's business plan case. Kit estimate, editable.</t>
        </is>
      </c>
    </row>
    <row r="18">
      <c r="A18" s="4" t="inlineStr">
        <is>
          <t>C. YOUR CASE</t>
        </is>
      </c>
      <c r="B18" s="4" t="inlineStr">
        <is>
          <t>Value</t>
        </is>
      </c>
      <c r="C18" s="4" t="inlineStr">
        <is>
          <t>Notes</t>
        </is>
      </c>
    </row>
    <row r="19" ht="30" customHeight="1">
      <c r="A19" s="5" t="inlineStr">
        <is>
          <t>Tortillas you use per day</t>
        </is>
      </c>
      <c r="B19" s="9" t="n">
        <v>650</v>
      </c>
      <c r="C19" s="2" t="inlineStr">
        <is>
          <t>The kit's case uses about 650 a day (tacos with two tortillas, plus quesadillas). Replace it with yours. Kit estimate, editable.</t>
        </is>
      </c>
    </row>
    <row r="21">
      <c r="A21" s="4" t="inlineStr">
        <is>
          <t>RESULT</t>
        </is>
      </c>
      <c r="B21" s="4" t="inlineStr">
        <is>
          <t>Value</t>
        </is>
      </c>
      <c r="C21" s="4" t="inlineStr">
        <is>
          <t>Notes</t>
        </is>
      </c>
    </row>
    <row r="22" ht="16" customHeight="1">
      <c r="A22" s="14" t="inlineStr">
        <is>
          <t>Cost per bought tortilla ($)</t>
        </is>
      </c>
      <c r="B22" s="19">
        <f>$B$6/$B$7</f>
        <v>0.16386111111111112</v>
      </c>
      <c r="C22" s="2" t="inlineStr">
        <is>
          <t>Case price ÷ tortillas per case.</t>
        </is>
      </c>
    </row>
    <row r="23" ht="16" customHeight="1">
      <c r="A23" s="5" t="inlineStr">
        <is>
          <t>Tortillas in 1 lb bought</t>
        </is>
      </c>
      <c r="B23" s="12">
        <f>'Trompo Yield'!$B$18/$B$8</f>
        <v>17.77777777777778</v>
      </c>
      <c r="C23" s="2" t="inlineStr">
        <is>
          <t>To order from your supplier: 16 ÷ ounces per tortilla.</t>
        </is>
      </c>
    </row>
    <row r="24" ht="16" customHeight="1">
      <c r="A24" s="5" t="inlineStr">
        <is>
          <t>Masa harina per homemade tortilla (oz)</t>
        </is>
      </c>
      <c r="B24" s="13">
        <f>$B$13/$B$11</f>
        <v>0.5555555555555556</v>
      </c>
      <c r="C24" s="2" t="inlineStr">
        <is>
          <t>Raw masa per tortilla ÷ masa from 1 lb of flour.</t>
        </is>
      </c>
    </row>
    <row r="25">
      <c r="A25" s="5" t="inlineStr">
        <is>
          <t>Tortillas from 1 lb of masa harina</t>
        </is>
      </c>
      <c r="B25" s="12">
        <f>$B$11*'Trompo Yield'!$B$18/$B$13</f>
        <v>28.8</v>
      </c>
    </row>
    <row r="26" ht="16" customHeight="1">
      <c r="A26" s="14" t="inlineStr">
        <is>
          <t>Cost per homemade tortilla ($, without the person or the machine)</t>
        </is>
      </c>
      <c r="B26" s="19">
        <f>$B$24*($B$10+$B$12)/'Trompo Yield'!$B$18</f>
        <v>0.022569444444444448</v>
      </c>
      <c r="C26" s="2" t="inlineStr">
        <is>
          <t>Masa harina + water, power and gas.</t>
        </is>
      </c>
    </row>
    <row r="27" ht="16" customHeight="1">
      <c r="A27" s="5" t="inlineStr">
        <is>
          <t>Saving per tortilla if you make it ($)</t>
        </is>
      </c>
      <c r="B27" s="24">
        <f>$B$22-$B$26</f>
        <v>0.14129166666666668</v>
      </c>
      <c r="C27" s="2" t="inlineStr">
        <is>
          <t>If it is zero or negative, buying always wins.</t>
        </is>
      </c>
    </row>
    <row r="28" ht="16" customHeight="1">
      <c r="A28" s="5" t="inlineStr">
        <is>
          <t>Fixed daily cost of making them ($)</t>
        </is>
      </c>
      <c r="B28" s="13">
        <f>($B$14+$B$15/$B$16)/$B$17</f>
        <v>92.74489795918367</v>
      </c>
      <c r="C28" s="2" t="inlineStr">
        <is>
          <t>Person + machine spread over the days you are open.</t>
        </is>
      </c>
    </row>
    <row r="29" ht="16" customHeight="1">
      <c r="A29" s="14" t="inlineStr">
        <is>
          <t>BREAK-EVEN (tortillas per day)</t>
        </is>
      </c>
      <c r="B29" s="16">
        <f>IF($B$27&gt;0,($B$14+$B$15/$B$16)/($B$27*$B$17),0)</f>
        <v>656.4074169921581</v>
      </c>
      <c r="C29" s="2" t="inlineStr">
        <is>
          <t>Above this many tortillas a day, making them pays. Below it, buy.</t>
        </is>
      </c>
    </row>
    <row r="30" ht="16" customHeight="1">
      <c r="A30" s="5" t="inlineStr">
        <is>
          <t>Daily cost buying them ($)</t>
        </is>
      </c>
      <c r="B30" s="13">
        <f>$B$19*$B$22</f>
        <v>106.50972222222224</v>
      </c>
      <c r="C30" s="2" t="inlineStr">
        <is>
          <t>For the tortillas per day you typed.</t>
        </is>
      </c>
    </row>
    <row r="31" ht="16" customHeight="1">
      <c r="A31" s="5" t="inlineStr">
        <is>
          <t>Daily cost making them ($)</t>
        </is>
      </c>
      <c r="B31" s="13">
        <f>$B$19*$B$26+$B$28</f>
        <v>107.41503684807256</v>
      </c>
      <c r="C31" s="2" t="inlineStr">
        <is>
          <t>Includes the person and the machine.</t>
        </is>
      </c>
    </row>
    <row r="32" ht="32" customHeight="1">
      <c r="A32" s="14" t="inlineStr">
        <is>
          <t>What suits you</t>
        </is>
      </c>
      <c r="B32" s="25" t="str">
        <f>IF(AND($B$27&gt;0,$B$19&gt;=$B$29),"Make them","Buy them")</f>
        <v>Buy them</v>
      </c>
      <c r="C32" s="2" t="inlineStr">
        <is>
          <t>Your tortillas per day against the break-even.</t>
        </is>
      </c>
    </row>
  </sheetData>
  <sheetProtection selectLockedCells="0" selectUnlockedCells="0" sheet="1" objects="0" insertRows="1" insertHyperlinks="1" autoFilter="1" scenarios="0" formatColumns="1" deleteColumns="1" insertColumns="1" pivotTables="1" deleteRows="1" formatCells="1" formatRows="1" sort="1"/>
  <mergeCells count="1">
    <mergeCell ref="A2:C2"/>
  </mergeCells>
  <conditionalFormatting sqref="B32">
    <cfRule type="expression" priority="1" dxfId="0">
      <formula>$B$32="Make them"</formula>
    </cfRule>
    <cfRule type="expression" priority="2" dxfId="1">
      <formula>$B$32="Buy them"</formula>
    </cfRule>
  </conditionalFormatting>
  <dataValidations count="4">
    <dataValidation sqref="B6 B8 B10 B11 B13" showDropDown="0" showInputMessage="0" showErrorMessage="1" allowBlank="0" errorTitle="Invalid value" error="Type a number greater than 0." type="decimal" operator="greaterThan">
      <formula1>0</formula1>
    </dataValidation>
    <dataValidation sqref="B12 B14 B15" showDropDown="0" showInputMessage="0" showErrorMessage="1" allowBlank="0" errorTitle="Invalid value" error="Type a number greater than or equal to 0." type="decimal" operator="greaterThanOrEqual">
      <formula1>0</formula1>
    </dataValidation>
    <dataValidation sqref="B7 B16 B19" showDropDown="0" showInputMessage="0" showErrorMessage="1" allowBlank="0" errorTitle="Invalid number" error="Type a whole number of 1 or more." type="whole" operator="between">
      <formula1>1</formula1>
      <formula2>1000000</formula2>
    </dataValidation>
    <dataValidation sqref="B17" showDropDown="0" showInputMessage="0" showErrorMessage="1" allowBlank="0" errorTitle="Invalid days" error="Type a whole number from 1 to 366." type="whole" operator="between">
      <formula1>1</formula1>
      <formula2>366</formula2>
    </dataValidation>
  </dataValidations>
  <printOptions horizontalCentered="1"/>
  <pageMargins left="0.75" right="0.75" top="1" bottom="1" header="0.5" footer="0.5"/>
  <pageSetup orientation="portrait" paperSize="1" fitToHeight="0" fitToWidth="1"/>
  <headerFooter>
    <oddHeader/>
    <oddFooter>&amp;CAI Chef Pro · aichef.pro · Page &amp;P of &amp;N</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N54"/>
  <sheetViews>
    <sheetView showGridLines="0" workbookViewId="0">
      <selection activeCell="A1" sqref="A1"/>
    </sheetView>
  </sheetViews>
  <sheetFormatPr baseColWidth="8" defaultRowHeight="15"/>
  <cols>
    <col width="40" customWidth="1" min="1" max="1"/>
    <col width="14" customWidth="1" min="2" max="2"/>
    <col width="7"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44" customWidth="1" min="14" max="14"/>
  </cols>
  <sheetData>
    <row r="1">
      <c r="A1" s="1" t="inlineStr">
        <is>
          <t>TACO COSTING: 8 TACOS, AN ORDER OF 3 AND A GRINGA AS EXAMPLES, IN OUNCES</t>
        </is>
      </c>
    </row>
    <row r="2" ht="32" customHeight="1">
      <c r="A2" s="2" t="inlineStr">
        <is>
          <t>Type only in the GREEN cells (prices, ounces, names, tortillas and menu prices). Amounts before sales tax except the menu price. Prices are a kit estimate, editable: type your distributor's. The meats and the corn tortilla come from the "Trompo Yield" and "Tortillas" sheets.</t>
        </is>
      </c>
    </row>
    <row r="4">
      <c r="A4" s="4" t="inlineStr">
        <is>
          <t>GENERAL DATA</t>
        </is>
      </c>
      <c r="B4" s="4" t="inlineStr">
        <is>
          <t>Value</t>
        </is>
      </c>
      <c r="D4" s="4" t="inlineStr">
        <is>
          <t>Notes</t>
        </is>
      </c>
    </row>
    <row r="5" ht="16" customHeight="1">
      <c r="A5" s="5" t="inlineStr">
        <is>
          <t>Sales tax included in your menu prices (%)</t>
        </is>
      </c>
      <c r="B5" s="7" t="n">
        <v>0</v>
      </c>
      <c r="D5" s="2" t="inlineStr">
        <is>
          <t>Typically 0 %: a US menu is quoted before tax and the tax is added at the register. Rates vary by state and city; ask your accountant.</t>
        </is>
      </c>
    </row>
    <row r="6" ht="16" customHeight="1">
      <c r="A6" s="5" t="inlineStr">
        <is>
          <t>Target food cost (% of the price before tax)</t>
        </is>
      </c>
      <c r="B6" s="7" t="n">
        <v>0.25</v>
      </c>
      <c r="D6" s="2" t="inlineStr">
        <is>
          <t>Taco shop reference: 22 to 30 % on the al pastor taco. Kit estimate, editable.</t>
        </is>
      </c>
    </row>
    <row r="7" ht="16" customHeight="1">
      <c r="A7" s="5" t="inlineStr">
        <is>
          <t>Watch margin over the target (points)</t>
        </is>
      </c>
      <c r="B7" s="7" t="n">
        <v>0.05</v>
      </c>
      <c r="D7" s="2" t="inlineStr">
        <is>
          <t>Up to this margin above the target, the traffic light says "Watch the cost".</t>
        </is>
      </c>
    </row>
    <row r="8" ht="16" customHeight="1">
      <c r="A8" s="5" t="inlineStr">
        <is>
          <t>Production waste over the cost (%)</t>
        </is>
      </c>
      <c r="B8" s="7" t="n">
        <v>0.05</v>
      </c>
      <c r="D8" s="2" t="inlineStr">
        <is>
          <t>Raw salsas you discard, torn tortillas, onion and cilantro you cannot use. Kit estimate, editable.</t>
        </is>
      </c>
    </row>
    <row r="9" ht="32" customHeight="1">
      <c r="A9" s="5" t="inlineStr">
        <is>
          <t>Corn tortilla the costing uses</t>
        </is>
      </c>
      <c r="B9" s="26" t="inlineStr">
        <is>
          <t>Buy corn tortillas</t>
        </is>
      </c>
      <c r="D9" s="2" t="inlineStr">
        <is>
          <t>Picks the cost per tortilla from the "Tortillas" sheet: bought or homemade with masa harina.</t>
        </is>
      </c>
    </row>
    <row r="10" ht="16" customHeight="1">
      <c r="A10" s="5" t="inlineStr">
        <is>
          <t>Packaging per takeout order ($, before tax)</t>
        </is>
      </c>
      <c r="B10" s="8" t="n">
        <v>0.6</v>
      </c>
      <c r="D10" s="2" t="inlineStr">
        <is>
          <t>Bag, container and salsa cups of one order. Kit estimate, editable.</t>
        </is>
      </c>
    </row>
    <row r="11" ht="16" customHeight="1">
      <c r="A11" s="5" t="inlineStr">
        <is>
          <t>Delivery app commission (%)</t>
        </is>
      </c>
      <c r="B11" s="7" t="n">
        <v>0.25</v>
      </c>
      <c r="D11" s="2" t="inlineStr">
        <is>
          <t>Over the price before tax. Check your contract with each app. Kit estimate, editable.</t>
        </is>
      </c>
    </row>
    <row r="13" ht="32" customHeight="1">
      <c r="A13" s="3" t="inlineStr">
        <is>
          <t>INGREDIENT (in ounces)</t>
        </is>
      </c>
      <c r="B13" s="3" t="inlineStr">
        <is>
          <t>$/lb before tax</t>
        </is>
      </c>
      <c r="C13" s="3" t="inlineStr">
        <is>
          <t>Unit</t>
        </is>
      </c>
      <c r="D13" s="27" t="inlineStr">
        <is>
          <t>Al pastor taco</t>
        </is>
      </c>
      <c r="E13" s="27" t="inlineStr">
        <is>
          <t>Carnitas taco</t>
        </is>
      </c>
      <c r="F13" s="27" t="inlineStr">
        <is>
          <t>Suadero taco</t>
        </is>
      </c>
      <c r="G13" s="27" t="inlineStr">
        <is>
          <t>Cochinita pibil taco</t>
        </is>
      </c>
      <c r="H13" s="27" t="inlineStr">
        <is>
          <t>Beef barbacoa taco</t>
        </is>
      </c>
      <c r="I13" s="27" t="inlineStr">
        <is>
          <t>Chicken tinga taco</t>
        </is>
      </c>
      <c r="J13" s="27" t="inlineStr">
        <is>
          <t>Campechano taco</t>
        </is>
      </c>
      <c r="K13" s="27" t="inlineStr">
        <is>
          <t>Veggie taco</t>
        </is>
      </c>
      <c r="L13" s="27" t="inlineStr">
        <is>
          <t>Al pastor order (3 tacos)</t>
        </is>
      </c>
      <c r="M13" s="27" t="inlineStr">
        <is>
          <t>Al pastor gringa</t>
        </is>
      </c>
      <c r="N13" s="3" t="inlineStr">
        <is>
          <t>WHERE THE PRICE COMES FROM</t>
        </is>
      </c>
    </row>
    <row r="14">
      <c r="A14" s="14" t="inlineStr">
        <is>
          <t>Menu price ($)</t>
        </is>
      </c>
      <c r="D14" s="28" t="n">
        <v>4</v>
      </c>
      <c r="E14" s="28" t="n">
        <v>4</v>
      </c>
      <c r="F14" s="28" t="n">
        <v>4.5</v>
      </c>
      <c r="G14" s="28" t="n">
        <v>4.5</v>
      </c>
      <c r="H14" s="28" t="n">
        <v>4.75</v>
      </c>
      <c r="I14" s="28" t="n">
        <v>4</v>
      </c>
      <c r="J14" s="28" t="n">
        <v>4.75</v>
      </c>
      <c r="K14" s="28" t="n">
        <v>4.5</v>
      </c>
      <c r="L14" s="28" t="n">
        <v>11</v>
      </c>
      <c r="M14" s="28" t="n">
        <v>11.5</v>
      </c>
    </row>
    <row r="15">
      <c r="A15" s="5" t="inlineStr">
        <is>
          <t>Al pastor meat (from the cone)</t>
        </is>
      </c>
      <c r="B15" s="13">
        <f>'Trompo Yield'!$B$30</f>
        <v>5.0</v>
      </c>
      <c r="C15" s="5" t="inlineStr">
        <is>
          <t>oz</t>
        </is>
      </c>
      <c r="D15" s="29" t="n">
        <v>1.5</v>
      </c>
      <c r="E15" s="29" t="n">
        <v>0</v>
      </c>
      <c r="F15" s="29" t="n">
        <v>0</v>
      </c>
      <c r="G15" s="29" t="n">
        <v>0</v>
      </c>
      <c r="H15" s="29" t="n">
        <v>0</v>
      </c>
      <c r="I15" s="29" t="n">
        <v>0</v>
      </c>
      <c r="J15" s="29" t="n">
        <v>0</v>
      </c>
      <c r="K15" s="29" t="n">
        <v>0</v>
      </c>
      <c r="L15" s="29" t="n">
        <v>4.5</v>
      </c>
      <c r="M15" s="29" t="n">
        <v>2.5</v>
      </c>
      <c r="N15" s="30" t="inlineStr">
        <is>
          <t>linked from the Trompo Yield sheet ($ per served lb)</t>
        </is>
      </c>
    </row>
    <row r="16">
      <c r="A16" s="5" t="inlineStr">
        <is>
          <t>Carnitas</t>
        </is>
      </c>
      <c r="B16" s="13">
        <f>'Trompo Yield'!$G$35</f>
        <v>4.666666666666667</v>
      </c>
      <c r="C16" s="5" t="inlineStr">
        <is>
          <t>oz</t>
        </is>
      </c>
      <c r="D16" s="29" t="n">
        <v>0</v>
      </c>
      <c r="E16" s="29" t="n">
        <v>1.5</v>
      </c>
      <c r="F16" s="29" t="n">
        <v>0</v>
      </c>
      <c r="G16" s="29" t="n">
        <v>0</v>
      </c>
      <c r="H16" s="29" t="n">
        <v>0</v>
      </c>
      <c r="I16" s="29" t="n">
        <v>0</v>
      </c>
      <c r="J16" s="29" t="n">
        <v>0</v>
      </c>
      <c r="K16" s="29" t="n">
        <v>0</v>
      </c>
      <c r="L16" s="29" t="n">
        <v>0</v>
      </c>
      <c r="M16" s="29" t="n">
        <v>0</v>
      </c>
      <c r="N16" s="30" t="inlineStr">
        <is>
          <t>linked from the Trompo Yield sheet ($ per cooked lb)</t>
        </is>
      </c>
    </row>
    <row r="17">
      <c r="A17" s="5" t="inlineStr">
        <is>
          <t>Suadero (beef navel)</t>
        </is>
      </c>
      <c r="B17" s="13">
        <f>'Trompo Yield'!$G$36</f>
        <v>7.636363636363636</v>
      </c>
      <c r="C17" s="5" t="inlineStr">
        <is>
          <t>oz</t>
        </is>
      </c>
      <c r="D17" s="29" t="n">
        <v>0</v>
      </c>
      <c r="E17" s="29" t="n">
        <v>0</v>
      </c>
      <c r="F17" s="29" t="n">
        <v>1.5</v>
      </c>
      <c r="G17" s="29" t="n">
        <v>0</v>
      </c>
      <c r="H17" s="29" t="n">
        <v>0</v>
      </c>
      <c r="I17" s="29" t="n">
        <v>0</v>
      </c>
      <c r="J17" s="29" t="n">
        <v>0</v>
      </c>
      <c r="K17" s="29" t="n">
        <v>0</v>
      </c>
      <c r="L17" s="29" t="n">
        <v>0</v>
      </c>
      <c r="M17" s="29" t="n">
        <v>0</v>
      </c>
      <c r="N17" s="30" t="inlineStr">
        <is>
          <t>linked from the Trompo Yield sheet ($ per cooked lb)</t>
        </is>
      </c>
    </row>
    <row r="18">
      <c r="A18" s="5" t="inlineStr">
        <is>
          <t>Cochinita pibil</t>
        </is>
      </c>
      <c r="B18" s="13">
        <f>'Trompo Yield'!$G$37</f>
        <v>5.0</v>
      </c>
      <c r="C18" s="5" t="inlineStr">
        <is>
          <t>oz</t>
        </is>
      </c>
      <c r="D18" s="29" t="n">
        <v>0</v>
      </c>
      <c r="E18" s="29" t="n">
        <v>0</v>
      </c>
      <c r="F18" s="29" t="n">
        <v>0</v>
      </c>
      <c r="G18" s="29" t="n">
        <v>1.75</v>
      </c>
      <c r="H18" s="29" t="n">
        <v>0</v>
      </c>
      <c r="I18" s="29" t="n">
        <v>0</v>
      </c>
      <c r="J18" s="29" t="n">
        <v>0</v>
      </c>
      <c r="K18" s="29" t="n">
        <v>0</v>
      </c>
      <c r="L18" s="29" t="n">
        <v>0</v>
      </c>
      <c r="M18" s="29" t="n">
        <v>0</v>
      </c>
      <c r="N18" s="30" t="inlineStr">
        <is>
          <t>linked from the Trompo Yield sheet ($ per cooked lb)</t>
        </is>
      </c>
    </row>
    <row r="19">
      <c r="A19" s="5" t="inlineStr">
        <is>
          <t>Beef barbacoa</t>
        </is>
      </c>
      <c r="B19" s="13">
        <f>'Trompo Yield'!$G$38</f>
        <v>7.2727272727272725</v>
      </c>
      <c r="C19" s="5" t="inlineStr">
        <is>
          <t>oz</t>
        </is>
      </c>
      <c r="D19" s="29" t="n">
        <v>0</v>
      </c>
      <c r="E19" s="29" t="n">
        <v>0</v>
      </c>
      <c r="F19" s="29" t="n">
        <v>0</v>
      </c>
      <c r="G19" s="29" t="n">
        <v>0</v>
      </c>
      <c r="H19" s="29" t="n">
        <v>1.75</v>
      </c>
      <c r="I19" s="29" t="n">
        <v>0</v>
      </c>
      <c r="J19" s="29" t="n">
        <v>0</v>
      </c>
      <c r="K19" s="29" t="n">
        <v>0</v>
      </c>
      <c r="L19" s="29" t="n">
        <v>0</v>
      </c>
      <c r="M19" s="29" t="n">
        <v>0</v>
      </c>
      <c r="N19" s="30" t="inlineStr">
        <is>
          <t>linked from the Trompo Yield sheet ($ per cooked lb)</t>
        </is>
      </c>
    </row>
    <row r="20">
      <c r="A20" s="5" t="inlineStr">
        <is>
          <t>Chicken tinga</t>
        </is>
      </c>
      <c r="B20" s="13">
        <f>'Trompo Yield'!$G$39</f>
        <v>3.3846153846153846</v>
      </c>
      <c r="C20" s="5" t="inlineStr">
        <is>
          <t>oz</t>
        </is>
      </c>
      <c r="D20" s="29" t="n">
        <v>0</v>
      </c>
      <c r="E20" s="29" t="n">
        <v>0</v>
      </c>
      <c r="F20" s="29" t="n">
        <v>0</v>
      </c>
      <c r="G20" s="29" t="n">
        <v>0</v>
      </c>
      <c r="H20" s="29" t="n">
        <v>0</v>
      </c>
      <c r="I20" s="29" t="n">
        <v>1.5</v>
      </c>
      <c r="J20" s="29" t="n">
        <v>0</v>
      </c>
      <c r="K20" s="29" t="n">
        <v>0</v>
      </c>
      <c r="L20" s="29" t="n">
        <v>0</v>
      </c>
      <c r="M20" s="29" t="n">
        <v>0</v>
      </c>
      <c r="N20" s="30" t="inlineStr">
        <is>
          <t>linked from the Trompo Yield sheet ($ per cooked lb)</t>
        </is>
      </c>
    </row>
    <row r="21">
      <c r="A21" s="5" t="inlineStr">
        <is>
          <t>Campechano (steak and chorizo)</t>
        </is>
      </c>
      <c r="B21" s="13">
        <f>'Trompo Yield'!$G$40</f>
        <v>7.5</v>
      </c>
      <c r="C21" s="5" t="inlineStr">
        <is>
          <t>oz</t>
        </is>
      </c>
      <c r="D21" s="29" t="n">
        <v>0</v>
      </c>
      <c r="E21" s="29" t="n">
        <v>0</v>
      </c>
      <c r="F21" s="29" t="n">
        <v>0</v>
      </c>
      <c r="G21" s="29" t="n">
        <v>0</v>
      </c>
      <c r="H21" s="29" t="n">
        <v>0</v>
      </c>
      <c r="I21" s="29" t="n">
        <v>0</v>
      </c>
      <c r="J21" s="29" t="n">
        <v>1.5</v>
      </c>
      <c r="K21" s="29" t="n">
        <v>0</v>
      </c>
      <c r="L21" s="29" t="n">
        <v>0</v>
      </c>
      <c r="M21" s="29" t="n">
        <v>0</v>
      </c>
      <c r="N21" s="30" t="inlineStr">
        <is>
          <t>linked from the Trompo Yield sheet ($ per cooked lb)</t>
        </is>
      </c>
    </row>
    <row r="22">
      <c r="A22" s="20" t="inlineStr">
        <is>
          <t>Diced white onion</t>
        </is>
      </c>
      <c r="B22" s="8" t="n">
        <v>0.8</v>
      </c>
      <c r="C22" s="5" t="inlineStr">
        <is>
          <t>oz</t>
        </is>
      </c>
      <c r="D22" s="29" t="n">
        <v>0.35</v>
      </c>
      <c r="E22" s="29" t="n">
        <v>0.35</v>
      </c>
      <c r="F22" s="29" t="n">
        <v>0.35</v>
      </c>
      <c r="G22" s="29" t="n">
        <v>0.35</v>
      </c>
      <c r="H22" s="29" t="n">
        <v>0.35</v>
      </c>
      <c r="I22" s="29" t="n">
        <v>0.2</v>
      </c>
      <c r="J22" s="29" t="n">
        <v>0.35</v>
      </c>
      <c r="K22" s="29" t="n">
        <v>0.2</v>
      </c>
      <c r="L22" s="29" t="n">
        <v>1.05</v>
      </c>
      <c r="M22" s="29" t="n">
        <v>0.35</v>
      </c>
      <c r="N22" s="30" t="inlineStr">
        <is>
          <t>Kit estimate (Oct 2026): replace with your distributor's price</t>
        </is>
      </c>
    </row>
    <row r="23">
      <c r="A23" s="20" t="inlineStr">
        <is>
          <t>Cilantro</t>
        </is>
      </c>
      <c r="B23" s="8" t="n">
        <v>6</v>
      </c>
      <c r="C23" s="5" t="inlineStr">
        <is>
          <t>oz</t>
        </is>
      </c>
      <c r="D23" s="29" t="n">
        <v>0.1</v>
      </c>
      <c r="E23" s="29" t="n">
        <v>0.1</v>
      </c>
      <c r="F23" s="29" t="n">
        <v>0.1</v>
      </c>
      <c r="G23" s="29" t="n">
        <v>0</v>
      </c>
      <c r="H23" s="29" t="n">
        <v>0.1</v>
      </c>
      <c r="I23" s="29" t="n">
        <v>0.1</v>
      </c>
      <c r="J23" s="29" t="n">
        <v>0.1</v>
      </c>
      <c r="K23" s="29" t="n">
        <v>0.1</v>
      </c>
      <c r="L23" s="29" t="n">
        <v>0.3</v>
      </c>
      <c r="M23" s="29" t="n">
        <v>0.1</v>
      </c>
      <c r="N23" s="30" t="inlineStr">
        <is>
          <t>Kit estimate (Oct 2026): replace with your distributor's price</t>
        </is>
      </c>
    </row>
    <row r="24">
      <c r="A24" s="20" t="inlineStr">
        <is>
          <t>Pineapple</t>
        </is>
      </c>
      <c r="B24" s="8" t="n">
        <v>0.8</v>
      </c>
      <c r="C24" s="5" t="inlineStr">
        <is>
          <t>oz</t>
        </is>
      </c>
      <c r="D24" s="29" t="n">
        <v>0.3</v>
      </c>
      <c r="E24" s="29" t="n">
        <v>0</v>
      </c>
      <c r="F24" s="29" t="n">
        <v>0</v>
      </c>
      <c r="G24" s="29" t="n">
        <v>0</v>
      </c>
      <c r="H24" s="29" t="n">
        <v>0</v>
      </c>
      <c r="I24" s="29" t="n">
        <v>0</v>
      </c>
      <c r="J24" s="29" t="n">
        <v>0</v>
      </c>
      <c r="K24" s="29" t="n">
        <v>0</v>
      </c>
      <c r="L24" s="29" t="n">
        <v>0.9</v>
      </c>
      <c r="M24" s="29" t="n">
        <v>0.5</v>
      </c>
      <c r="N24" s="30" t="inlineStr">
        <is>
          <t>Kit estimate (Oct 2026): replace with your distributor's price</t>
        </is>
      </c>
    </row>
    <row r="25">
      <c r="A25" s="20" t="inlineStr">
        <is>
          <t>Lime</t>
        </is>
      </c>
      <c r="B25" s="8" t="n">
        <v>1.8</v>
      </c>
      <c r="C25" s="5" t="inlineStr">
        <is>
          <t>oz</t>
        </is>
      </c>
      <c r="D25" s="29" t="n">
        <v>0.2</v>
      </c>
      <c r="E25" s="29" t="n">
        <v>0.2</v>
      </c>
      <c r="F25" s="29" t="n">
        <v>0.2</v>
      </c>
      <c r="G25" s="29" t="n">
        <v>0.2</v>
      </c>
      <c r="H25" s="29" t="n">
        <v>0.2</v>
      </c>
      <c r="I25" s="29" t="n">
        <v>0</v>
      </c>
      <c r="J25" s="29" t="n">
        <v>0.2</v>
      </c>
      <c r="K25" s="29" t="n">
        <v>0.2</v>
      </c>
      <c r="L25" s="29" t="n">
        <v>0.6</v>
      </c>
      <c r="M25" s="29" t="n">
        <v>0</v>
      </c>
      <c r="N25" s="30" t="inlineStr">
        <is>
          <t>Kit estimate (Oct 2026): replace with your distributor's price</t>
        </is>
      </c>
    </row>
    <row r="26">
      <c r="A26" s="20" t="inlineStr">
        <is>
          <t>Red salsa</t>
        </is>
      </c>
      <c r="B26" s="8" t="n">
        <v>2</v>
      </c>
      <c r="C26" s="5" t="inlineStr">
        <is>
          <t>oz</t>
        </is>
      </c>
      <c r="D26" s="29" t="n">
        <v>0.3</v>
      </c>
      <c r="E26" s="29" t="n">
        <v>0.25</v>
      </c>
      <c r="F26" s="29" t="n">
        <v>0.25</v>
      </c>
      <c r="G26" s="29" t="n">
        <v>0</v>
      </c>
      <c r="H26" s="29" t="n">
        <v>0.4</v>
      </c>
      <c r="I26" s="29" t="n">
        <v>0.3</v>
      </c>
      <c r="J26" s="29" t="n">
        <v>0.3</v>
      </c>
      <c r="K26" s="29" t="n">
        <v>0</v>
      </c>
      <c r="L26" s="29" t="n">
        <v>0.9</v>
      </c>
      <c r="M26" s="29" t="n">
        <v>0.4</v>
      </c>
      <c r="N26" s="30" t="inlineStr">
        <is>
          <t>Kit estimate (Oct 2026): replace with your distributor's price</t>
        </is>
      </c>
    </row>
    <row r="27">
      <c r="A27" s="20" t="inlineStr">
        <is>
          <t>Green salsa</t>
        </is>
      </c>
      <c r="B27" s="8" t="n">
        <v>2</v>
      </c>
      <c r="C27" s="5" t="inlineStr">
        <is>
          <t>oz</t>
        </is>
      </c>
      <c r="D27" s="29" t="n">
        <v>0.2</v>
      </c>
      <c r="E27" s="29" t="n">
        <v>0.25</v>
      </c>
      <c r="F27" s="29" t="n">
        <v>0.1</v>
      </c>
      <c r="G27" s="29" t="n">
        <v>0.35</v>
      </c>
      <c r="H27" s="29" t="n">
        <v>0</v>
      </c>
      <c r="I27" s="29" t="n">
        <v>0.2</v>
      </c>
      <c r="J27" s="29" t="n">
        <v>0.2</v>
      </c>
      <c r="K27" s="29" t="n">
        <v>0.35</v>
      </c>
      <c r="L27" s="29" t="n">
        <v>0.6</v>
      </c>
      <c r="M27" s="29" t="n">
        <v>0.3</v>
      </c>
      <c r="N27" s="30" t="inlineStr">
        <is>
          <t>Kit estimate (Oct 2026): replace with your distributor's price</t>
        </is>
      </c>
    </row>
    <row r="28">
      <c r="A28" s="20" t="inlineStr">
        <is>
          <t>Salsa macha (chile oil salsa)</t>
        </is>
      </c>
      <c r="B28" s="8" t="n">
        <v>8</v>
      </c>
      <c r="C28" s="5" t="inlineStr">
        <is>
          <t>oz</t>
        </is>
      </c>
      <c r="D28" s="29" t="n">
        <v>0</v>
      </c>
      <c r="E28" s="29" t="n">
        <v>0</v>
      </c>
      <c r="F28" s="29" t="n">
        <v>0.15</v>
      </c>
      <c r="G28" s="29" t="n">
        <v>0</v>
      </c>
      <c r="H28" s="29" t="n">
        <v>0</v>
      </c>
      <c r="I28" s="29" t="n">
        <v>0</v>
      </c>
      <c r="J28" s="29" t="n">
        <v>0</v>
      </c>
      <c r="K28" s="29" t="n">
        <v>0</v>
      </c>
      <c r="L28" s="29" t="n">
        <v>0</v>
      </c>
      <c r="M28" s="29" t="n">
        <v>0</v>
      </c>
      <c r="N28" s="30" t="inlineStr">
        <is>
          <t>Kit estimate (Oct 2026): replace with your distributor's price</t>
        </is>
      </c>
    </row>
    <row r="29">
      <c r="A29" s="20" t="inlineStr">
        <is>
          <t>Oaxaca or Monterey Jack cheese</t>
        </is>
      </c>
      <c r="B29" s="8" t="n">
        <v>6</v>
      </c>
      <c r="C29" s="5" t="inlineStr">
        <is>
          <t>oz</t>
        </is>
      </c>
      <c r="D29" s="29" t="n">
        <v>0</v>
      </c>
      <c r="E29" s="29" t="n">
        <v>0</v>
      </c>
      <c r="F29" s="29" t="n">
        <v>0</v>
      </c>
      <c r="G29" s="29" t="n">
        <v>0</v>
      </c>
      <c r="H29" s="29" t="n">
        <v>0</v>
      </c>
      <c r="I29" s="29" t="n">
        <v>0.35</v>
      </c>
      <c r="J29" s="29" t="n">
        <v>0</v>
      </c>
      <c r="K29" s="29" t="n">
        <v>0.7</v>
      </c>
      <c r="L29" s="29" t="n">
        <v>0</v>
      </c>
      <c r="M29" s="29" t="n">
        <v>2</v>
      </c>
      <c r="N29" s="30" t="inlineStr">
        <is>
          <t>Kit estimate (Oct 2026): replace with your distributor's price</t>
        </is>
      </c>
    </row>
    <row r="30">
      <c r="A30" s="20" t="inlineStr">
        <is>
          <t>Guacamole</t>
        </is>
      </c>
      <c r="B30" s="8" t="n">
        <v>6</v>
      </c>
      <c r="C30" s="5" t="inlineStr">
        <is>
          <t>oz</t>
        </is>
      </c>
      <c r="D30" s="29" t="n">
        <v>0</v>
      </c>
      <c r="E30" s="29" t="n">
        <v>0</v>
      </c>
      <c r="F30" s="29" t="n">
        <v>0</v>
      </c>
      <c r="G30" s="29" t="n">
        <v>0</v>
      </c>
      <c r="H30" s="29" t="n">
        <v>0</v>
      </c>
      <c r="I30" s="29" t="n">
        <v>0</v>
      </c>
      <c r="J30" s="29" t="n">
        <v>0</v>
      </c>
      <c r="K30" s="29" t="n">
        <v>0.9</v>
      </c>
      <c r="L30" s="29" t="n">
        <v>0</v>
      </c>
      <c r="M30" s="29" t="n">
        <v>0</v>
      </c>
      <c r="N30" s="30" t="inlineStr">
        <is>
          <t>Kit estimate (Oct 2026): replace with your distributor's price (depends on the avocado)</t>
        </is>
      </c>
    </row>
    <row r="31">
      <c r="A31" s="20" t="inlineStr">
        <is>
          <t>Pinto beans</t>
        </is>
      </c>
      <c r="B31" s="8" t="n">
        <v>1.5</v>
      </c>
      <c r="C31" s="5" t="inlineStr">
        <is>
          <t>oz</t>
        </is>
      </c>
      <c r="D31" s="29" t="n">
        <v>0</v>
      </c>
      <c r="E31" s="29" t="n">
        <v>0</v>
      </c>
      <c r="F31" s="29" t="n">
        <v>0</v>
      </c>
      <c r="G31" s="29" t="n">
        <v>0</v>
      </c>
      <c r="H31" s="29" t="n">
        <v>0</v>
      </c>
      <c r="I31" s="29" t="n">
        <v>0</v>
      </c>
      <c r="J31" s="29" t="n">
        <v>0</v>
      </c>
      <c r="K31" s="29" t="n">
        <v>1.4</v>
      </c>
      <c r="L31" s="29" t="n">
        <v>0</v>
      </c>
      <c r="M31" s="29" t="n">
        <v>0</v>
      </c>
      <c r="N31" s="30" t="inlineStr">
        <is>
          <t>Kit estimate (Oct 2026): replace with your distributor's price</t>
        </is>
      </c>
    </row>
    <row r="32">
      <c r="A32" s="4" t="inlineStr">
        <is>
          <t>INGREDIENT (in units)</t>
        </is>
      </c>
      <c r="B32" s="4" t="inlineStr">
        <is>
          <t>$/ea before tax</t>
        </is>
      </c>
      <c r="C32" s="4" t="inlineStr">
        <is>
          <t>Unit</t>
        </is>
      </c>
    </row>
    <row r="33">
      <c r="A33" s="5" t="inlineStr">
        <is>
          <t>Corn tortilla, 6 in ($/ea)</t>
        </is>
      </c>
      <c r="B33" s="24">
        <f>IF($B$9="Buy corn tortillas",'Tortillas'!$B$22,'Tortillas'!$B$26)</f>
        <v>0.16386111111111112</v>
      </c>
      <c r="C33" s="5" t="inlineStr">
        <is>
          <t>ea</t>
        </is>
      </c>
      <c r="D33" s="31" t="n">
        <v>2</v>
      </c>
      <c r="E33" s="31" t="n">
        <v>2</v>
      </c>
      <c r="F33" s="31" t="n">
        <v>2</v>
      </c>
      <c r="G33" s="31" t="n">
        <v>2</v>
      </c>
      <c r="H33" s="31" t="n">
        <v>2</v>
      </c>
      <c r="I33" s="31" t="n">
        <v>2</v>
      </c>
      <c r="J33" s="31" t="n">
        <v>2</v>
      </c>
      <c r="K33" s="31" t="n">
        <v>2</v>
      </c>
      <c r="L33" s="31" t="n">
        <v>6</v>
      </c>
      <c r="M33" s="31" t="n">
        <v>0</v>
      </c>
      <c r="N33" s="30" t="inlineStr">
        <is>
          <t>linked from the Tortillas sheet, according to the option you pick</t>
        </is>
      </c>
    </row>
    <row r="34">
      <c r="A34" s="5" t="inlineStr">
        <is>
          <t>Flour tortilla, 10 in ($/ea)</t>
        </is>
      </c>
      <c r="B34" s="32" t="n">
        <v>0.25</v>
      </c>
      <c r="C34" s="5" t="inlineStr">
        <is>
          <t>ea</t>
        </is>
      </c>
      <c r="D34" s="31" t="n">
        <v>0</v>
      </c>
      <c r="E34" s="31" t="n">
        <v>0</v>
      </c>
      <c r="F34" s="31" t="n">
        <v>0</v>
      </c>
      <c r="G34" s="31" t="n">
        <v>0</v>
      </c>
      <c r="H34" s="31" t="n">
        <v>0</v>
      </c>
      <c r="I34" s="31" t="n">
        <v>0</v>
      </c>
      <c r="J34" s="31" t="n">
        <v>0</v>
      </c>
      <c r="K34" s="31" t="n">
        <v>0</v>
      </c>
      <c r="L34" s="31" t="n">
        <v>0</v>
      </c>
      <c r="M34" s="31" t="n">
        <v>1</v>
      </c>
      <c r="N34" s="30" t="inlineStr">
        <is>
          <t>Kit estimate (Oct 2026): replace with your distributor's price</t>
        </is>
      </c>
    </row>
    <row r="36" ht="32" customHeight="1">
      <c r="A36" s="4" t="inlineStr">
        <is>
          <t>RESULT PER ITEM (ounces and units in the columns above)</t>
        </is>
      </c>
      <c r="D36" s="3" t="str">
        <f>D13</f>
        <v>Al pastor taco</v>
      </c>
      <c r="E36" s="3" t="str">
        <f>E13</f>
        <v>Carnitas taco</v>
      </c>
      <c r="F36" s="3" t="str">
        <f>F13</f>
        <v>Suadero taco</v>
      </c>
      <c r="G36" s="3" t="str">
        <f>G13</f>
        <v>Cochinita pibil taco</v>
      </c>
      <c r="H36" s="3" t="str">
        <f>H13</f>
        <v>Beef barbacoa taco</v>
      </c>
      <c r="I36" s="3" t="str">
        <f>I13</f>
        <v>Chicken tinga taco</v>
      </c>
      <c r="J36" s="3" t="str">
        <f>J13</f>
        <v>Campechano taco</v>
      </c>
      <c r="K36" s="3" t="str">
        <f>K13</f>
        <v>Veggie taco</v>
      </c>
      <c r="L36" s="3" t="str">
        <f>L13</f>
        <v>Al pastor order (3 tacos)</v>
      </c>
      <c r="M36" s="3" t="str">
        <f>M13</f>
        <v>Al pastor gringa</v>
      </c>
    </row>
    <row r="37">
      <c r="A37" s="5" t="inlineStr">
        <is>
          <t>Weight served on the plate, without tortilla (oz)</t>
        </is>
      </c>
      <c r="D37" s="13">
        <f>SUM(D$15:D$31)</f>
        <v>2.95</v>
      </c>
      <c r="E37" s="13">
        <f>SUM(E$15:E$31)</f>
        <v>2.65</v>
      </c>
      <c r="F37" s="13">
        <f>SUM(F$15:F$31)</f>
        <v>2.65</v>
      </c>
      <c r="G37" s="13">
        <f>SUM(G$15:G$31)</f>
        <v>2.65</v>
      </c>
      <c r="H37" s="13">
        <f>SUM(H$15:H$31)</f>
        <v>2.8</v>
      </c>
      <c r="I37" s="13">
        <f>SUM(I$15:I$31)</f>
        <v>2.65</v>
      </c>
      <c r="J37" s="13">
        <f>SUM(J$15:J$31)</f>
        <v>2.65</v>
      </c>
      <c r="K37" s="13">
        <f>SUM(K$15:K$31)</f>
        <v>3.85</v>
      </c>
      <c r="L37" s="13">
        <f>SUM(L$15:L$31)</f>
        <v>8.85</v>
      </c>
      <c r="M37" s="13">
        <f>SUM(M$15:M$31)</f>
        <v>6.15</v>
      </c>
    </row>
    <row r="38">
      <c r="A38" s="5" t="inlineStr">
        <is>
          <t>Raw material cost ($)</t>
        </is>
      </c>
      <c r="D38" s="24">
        <f>SUMPRODUCT(D$15:D$31,$B$15:$B$31)/'Trompo Yield'!$B$18+SUMPRODUCT(D$33:D$34,$B$33:$B$34)</f>
        <v>0.9514722222222223</v>
      </c>
      <c r="E38" s="24">
        <f>SUMPRODUCT(E$15:E$31,$B$15:$B$31)/'Trompo Yield'!$B$18+SUMPRODUCT(E$33:E$34,$B$33:$B$34)</f>
        <v>0.9052222222222222</v>
      </c>
      <c r="F38" s="24">
        <f>SUMPRODUCT(F$15:F$31,$B$15:$B$31)/'Trompo Yield'!$B$18+SUMPRODUCT(F$33:F$34,$B$33:$B$34)</f>
        <v>1.239881313131313</v>
      </c>
      <c r="G38" s="24">
        <f>SUMPRODUCT(G$15:G$31,$B$15:$B$31)/'Trompo Yield'!$B$18+SUMPRODUCT(G$33:G$34,$B$33:$B$34)</f>
        <v>0.9583472222222222</v>
      </c>
      <c r="H38" s="24">
        <f>SUMPRODUCT(H$15:H$31,$B$15:$B$31)/'Trompo Yield'!$B$18+SUMPRODUCT(H$33:H$34,$B$33:$B$34)</f>
        <v>1.2506767676767676</v>
      </c>
      <c r="I38" s="24">
        <f>SUMPRODUCT(I$15:I$31,$B$15:$B$31)/'Trompo Yield'!$B$18+SUMPRODUCT(I$33:I$34,$B$33:$B$34)</f>
        <v>0.8862799145299145</v>
      </c>
      <c r="J38" s="24">
        <f>SUMPRODUCT(J$15:J$31,$B$15:$B$31)/'Trompo Yield'!$B$18+SUMPRODUCT(J$33:J$34,$B$33:$B$34)</f>
        <v>1.1708472222222222</v>
      </c>
      <c r="K38" s="24">
        <f>SUMPRODUCT(K$15:K$31,$B$15:$B$31)/'Trompo Yield'!$B$18+SUMPRODUCT(K$33:K$34,$B$33:$B$34)</f>
        <v>1.1727222222222222</v>
      </c>
      <c r="L38" s="24">
        <f>SUMPRODUCT(L$15:L$31,$B$15:$B$31)/'Trompo Yield'!$B$18+SUMPRODUCT(L$33:L$34,$B$33:$B$34)</f>
        <v>2.8544166666666664</v>
      </c>
      <c r="M38" s="24">
        <f>SUMPRODUCT(M$15:M$31,$B$15:$B$31)/'Trompo Yield'!$B$18+SUMPRODUCT(M$33:M$34,$B$33:$B$34)</f>
        <v>1.94875</v>
      </c>
    </row>
    <row r="39">
      <c r="A39" s="14" t="inlineStr">
        <is>
          <t>COST WITH WASTE ($)</t>
        </is>
      </c>
      <c r="D39" s="19">
        <f>D38*(1+$B$8)</f>
        <v>0.9990458333333334</v>
      </c>
      <c r="E39" s="19">
        <f>E38*(1+$B$8)</f>
        <v>0.9504833333333333</v>
      </c>
      <c r="F39" s="19">
        <f>F38*(1+$B$8)</f>
        <v>1.3018753787878785</v>
      </c>
      <c r="G39" s="19">
        <f>G38*(1+$B$8)</f>
        <v>1.0062645833333335</v>
      </c>
      <c r="H39" s="19">
        <f>H38*(1+$B$8)</f>
        <v>1.3132106060606061</v>
      </c>
      <c r="I39" s="19">
        <f>I38*(1+$B$8)</f>
        <v>0.9305939102564103</v>
      </c>
      <c r="J39" s="19">
        <f>J38*(1+$B$8)</f>
        <v>1.2293895833333333</v>
      </c>
      <c r="K39" s="19">
        <f>K38*(1+$B$8)</f>
        <v>1.2313583333333333</v>
      </c>
      <c r="L39" s="19">
        <f>L38*(1+$B$8)</f>
        <v>2.9971375</v>
      </c>
      <c r="M39" s="19">
        <f>M38*(1+$B$8)</f>
        <v>2.0461875000000003</v>
      </c>
    </row>
    <row r="40">
      <c r="A40" s="5" t="inlineStr">
        <is>
          <t>Menu price before tax ($)</t>
        </is>
      </c>
      <c r="D40" s="13">
        <f>D14/(1+$B$5)</f>
        <v>4.0</v>
      </c>
      <c r="E40" s="13">
        <f>E14/(1+$B$5)</f>
        <v>4.0</v>
      </c>
      <c r="F40" s="13">
        <f>F14/(1+$B$5)</f>
        <v>4.5</v>
      </c>
      <c r="G40" s="13">
        <f>G14/(1+$B$5)</f>
        <v>4.5</v>
      </c>
      <c r="H40" s="13">
        <f>H14/(1+$B$5)</f>
        <v>4.75</v>
      </c>
      <c r="I40" s="13">
        <f>I14/(1+$B$5)</f>
        <v>4.0</v>
      </c>
      <c r="J40" s="13">
        <f>J14/(1+$B$5)</f>
        <v>4.75</v>
      </c>
      <c r="K40" s="13">
        <f>K14/(1+$B$5)</f>
        <v>4.5</v>
      </c>
      <c r="L40" s="13">
        <f>L14/(1+$B$5)</f>
        <v>11.0</v>
      </c>
      <c r="M40" s="13">
        <f>M14/(1+$B$5)</f>
        <v>11.5</v>
      </c>
    </row>
    <row r="41">
      <c r="A41" s="14" t="inlineStr">
        <is>
          <t>FOOD COST (%)</t>
        </is>
      </c>
      <c r="D41" s="15">
        <f>D39/D40</f>
        <v>0.24976145833333335</v>
      </c>
      <c r="E41" s="15">
        <f>E39/E40</f>
        <v>0.23762083333333334</v>
      </c>
      <c r="F41" s="15">
        <f>F39/F40</f>
        <v>0.28930563973063966</v>
      </c>
      <c r="G41" s="15">
        <f>G39/G40</f>
        <v>0.22361435185185188</v>
      </c>
      <c r="H41" s="15">
        <f>H39/H40</f>
        <v>0.2764653907496013</v>
      </c>
      <c r="I41" s="15">
        <f>I39/I40</f>
        <v>0.23264847756410256</v>
      </c>
      <c r="J41" s="15">
        <f>J39/J40</f>
        <v>0.25881885964912277</v>
      </c>
      <c r="K41" s="15">
        <f>K39/K40</f>
        <v>0.2736351851851852</v>
      </c>
      <c r="L41" s="15">
        <f>L39/L40</f>
        <v>0.2724670454545455</v>
      </c>
      <c r="M41" s="15">
        <f>M39/M40</f>
        <v>0.177929347826087</v>
      </c>
    </row>
    <row r="42" ht="32" customHeight="1">
      <c r="A42" s="5" t="inlineStr">
        <is>
          <t>Traffic light against the target</t>
        </is>
      </c>
      <c r="D42" s="2" t="str">
        <f>IF(D41&lt;=$B$6,"On target",IF(D41&lt;=$B$6+$B$7,"Watch the cost","Above target"))</f>
        <v>On target</v>
      </c>
      <c r="E42" s="2" t="str">
        <f>IF(E41&lt;=$B$6,"On target",IF(E41&lt;=$B$6+$B$7,"Watch the cost","Above target"))</f>
        <v>On target</v>
      </c>
      <c r="F42" s="2" t="str">
        <f>IF(F41&lt;=$B$6,"On target",IF(F41&lt;=$B$6+$B$7,"Watch the cost","Above target"))</f>
        <v>Watch the cost</v>
      </c>
      <c r="G42" s="2" t="str">
        <f>IF(G41&lt;=$B$6,"On target",IF(G41&lt;=$B$6+$B$7,"Watch the cost","Above target"))</f>
        <v>On target</v>
      </c>
      <c r="H42" s="2" t="str">
        <f>IF(H41&lt;=$B$6,"On target",IF(H41&lt;=$B$6+$B$7,"Watch the cost","Above target"))</f>
        <v>Watch the cost</v>
      </c>
      <c r="I42" s="2" t="str">
        <f>IF(I41&lt;=$B$6,"On target",IF(I41&lt;=$B$6+$B$7,"Watch the cost","Above target"))</f>
        <v>On target</v>
      </c>
      <c r="J42" s="2" t="str">
        <f>IF(J41&lt;=$B$6,"On target",IF(J41&lt;=$B$6+$B$7,"Watch the cost","Above target"))</f>
        <v>Watch the cost</v>
      </c>
      <c r="K42" s="2" t="str">
        <f>IF(K41&lt;=$B$6,"On target",IF(K41&lt;=$B$6+$B$7,"Watch the cost","Above target"))</f>
        <v>Watch the cost</v>
      </c>
      <c r="L42" s="2" t="str">
        <f>IF(L41&lt;=$B$6,"On target",IF(L41&lt;=$B$6+$B$7,"Watch the cost","Above target"))</f>
        <v>Watch the cost</v>
      </c>
      <c r="M42" s="2" t="str">
        <f>IF(M41&lt;=$B$6,"On target",IF(M41&lt;=$B$6+$B$7,"Watch the cost","Above target"))</f>
        <v>On target</v>
      </c>
    </row>
    <row r="43">
      <c r="A43" s="5" t="inlineStr">
        <is>
          <t>Gross margin ($, price before tax − cost)</t>
        </is>
      </c>
      <c r="D43" s="13">
        <f>D40-D39</f>
        <v>3.0009541666666664</v>
      </c>
      <c r="E43" s="13">
        <f>E40-E39</f>
        <v>3.0495166666666664</v>
      </c>
      <c r="F43" s="13">
        <f>F40-F39</f>
        <v>3.1981246212121217</v>
      </c>
      <c r="G43" s="13">
        <f>G40-G39</f>
        <v>3.4937354166666665</v>
      </c>
      <c r="H43" s="13">
        <f>H40-H39</f>
        <v>3.436789393939394</v>
      </c>
      <c r="I43" s="13">
        <f>I40-I39</f>
        <v>3.0694060897435897</v>
      </c>
      <c r="J43" s="13">
        <f>J40-J39</f>
        <v>3.520610416666667</v>
      </c>
      <c r="K43" s="13">
        <f>K40-K39</f>
        <v>3.2686416666666664</v>
      </c>
      <c r="L43" s="13">
        <f>L40-L39</f>
        <v>8.002862499999999</v>
      </c>
      <c r="M43" s="13">
        <f>M40-M39</f>
        <v>9.4538125</v>
      </c>
    </row>
    <row r="44">
      <c r="A44" s="5" t="inlineStr">
        <is>
          <t>Menu price with tax needed to hit the target ($)</t>
        </is>
      </c>
      <c r="D44" s="13">
        <f>D39/$B$6*(1+$B$5)</f>
        <v>3.9961833333333336</v>
      </c>
      <c r="E44" s="13">
        <f>E39/$B$6*(1+$B$5)</f>
        <v>3.8019333333333334</v>
      </c>
      <c r="F44" s="13">
        <f>F39/$B$6*(1+$B$5)</f>
        <v>5.207501515151514</v>
      </c>
      <c r="G44" s="13">
        <f>G39/$B$6*(1+$B$5)</f>
        <v>4.025058333333334</v>
      </c>
      <c r="H44" s="13">
        <f>H39/$B$6*(1+$B$5)</f>
        <v>5.2528424242424245</v>
      </c>
      <c r="I44" s="13">
        <f>I39/$B$6*(1+$B$5)</f>
        <v>3.722375641025641</v>
      </c>
      <c r="J44" s="13">
        <f>J39/$B$6*(1+$B$5)</f>
        <v>4.917558333333333</v>
      </c>
      <c r="K44" s="13">
        <f>K39/$B$6*(1+$B$5)</f>
        <v>4.925433333333333</v>
      </c>
      <c r="L44" s="13">
        <f>L39/$B$6*(1+$B$5)</f>
        <v>11.98855</v>
      </c>
      <c r="M44" s="13">
        <f>M39/$B$6*(1+$B$5)</f>
        <v>8.184750000000001</v>
      </c>
    </row>
    <row r="46" ht="32" customHeight="1">
      <c r="A46" s="4" t="inlineStr">
        <is>
          <t>MARGIN BY CHANNEL (order and gringa)</t>
        </is>
      </c>
      <c r="D46" s="3" t="str">
        <f>L13</f>
        <v>Al pastor order (3 tacos)</v>
      </c>
      <c r="E46" s="3" t="str">
        <f>M13</f>
        <v>Al pastor gringa</v>
      </c>
    </row>
    <row r="47">
      <c r="A47" s="5" t="inlineStr">
        <is>
          <t>Dine-in: margin ($)</t>
        </is>
      </c>
      <c r="D47" s="13">
        <f>L43</f>
        <v>8.002862499999999</v>
      </c>
      <c r="E47" s="13">
        <f>M43</f>
        <v>9.4538125</v>
      </c>
    </row>
    <row r="48">
      <c r="A48" s="5" t="inlineStr">
        <is>
          <t>Dine-in: margin (%)</t>
        </is>
      </c>
      <c r="D48" s="33">
        <f>D47/L40</f>
        <v>0.7275329545454544</v>
      </c>
      <c r="E48" s="33">
        <f>E47/M40</f>
        <v>0.8220706521739131</v>
      </c>
    </row>
    <row r="49">
      <c r="A49" s="5" t="inlineStr">
        <is>
          <t>Takeout: margin ($, after packaging)</t>
        </is>
      </c>
      <c r="D49" s="13">
        <f>D47-$B$10</f>
        <v>7.4028624999999995</v>
      </c>
      <c r="E49" s="13">
        <f>E47-$B$10</f>
        <v>8.8538125</v>
      </c>
    </row>
    <row r="50">
      <c r="A50" s="5" t="inlineStr">
        <is>
          <t>Takeout: margin (%)</t>
        </is>
      </c>
      <c r="D50" s="33">
        <f>D49/L40</f>
        <v>0.6729875</v>
      </c>
      <c r="E50" s="33">
        <f>E49/M40</f>
        <v>0.7698967391304348</v>
      </c>
    </row>
    <row r="51">
      <c r="A51" s="14" t="inlineStr">
        <is>
          <t>Delivery app: margin ($, after packaging and commission)</t>
        </is>
      </c>
      <c r="D51" s="18">
        <f>D49-$B$11*L40</f>
        <v>4.6528624999999995</v>
      </c>
      <c r="E51" s="18">
        <f>E49-$B$11*M40</f>
        <v>5.9788125</v>
      </c>
    </row>
    <row r="52">
      <c r="A52" s="14" t="inlineStr">
        <is>
          <t>Delivery app: margin (%)</t>
        </is>
      </c>
      <c r="D52" s="15">
        <f>D51/L40</f>
        <v>0.42298749999999996</v>
      </c>
      <c r="E52" s="15">
        <f>E51/M40</f>
        <v>0.5198967391304348</v>
      </c>
    </row>
    <row r="54" ht="48" customHeight="1">
      <c r="A54" s="23" t="inlineStr">
        <is>
          <t>The food cost in the table is that of the item served dine-in. For takeout the order packaging comes off; on a delivery app, the commission over the price before tax comes off too. If the margin on the app falls short, raise the price there or sell the order "build-your-own" (tortillas on the side), which travels better. Drinks are not in this costing.</t>
        </is>
      </c>
    </row>
  </sheetData>
  <sheetProtection selectLockedCells="0" selectUnlockedCells="0" sheet="1" objects="0" insertRows="1" insertHyperlinks="1" autoFilter="1" scenarios="0" formatColumns="1" deleteColumns="1" insertColumns="1" pivotTables="1" deleteRows="1" formatCells="1" formatRows="1" sort="1"/>
  <mergeCells count="9">
    <mergeCell ref="D8:N8"/>
    <mergeCell ref="D6:N6"/>
    <mergeCell ref="D7:N7"/>
    <mergeCell ref="A2:N2"/>
    <mergeCell ref="A54:N54"/>
    <mergeCell ref="D11:N11"/>
    <mergeCell ref="D10:N10"/>
    <mergeCell ref="D5:N5"/>
    <mergeCell ref="D9:N9"/>
  </mergeCells>
  <conditionalFormatting sqref="D42:M42">
    <cfRule type="expression" priority="1" dxfId="0">
      <formula>D42="On target"</formula>
    </cfRule>
    <cfRule type="expression" priority="2" dxfId="1">
      <formula>D42="Watch the cost"</formula>
    </cfRule>
    <cfRule type="expression" priority="3" dxfId="2">
      <formula>D42="Above target"</formula>
    </cfRule>
  </conditionalFormatting>
  <dataValidations count="4">
    <dataValidation sqref="B5 B7 B8 B11" showDropDown="0" showInputMessage="0" showErrorMessage="1" allowBlank="0" errorTitle="Invalid percentage" error="Type a percentage between 0 and 0.9 (0.1 = 10 %)." type="decimal" operator="between">
      <formula1>0</formula1>
      <formula2>0.9</formula2>
    </dataValidation>
    <dataValidation sqref="B6" showDropDown="0" showInputMessage="0" showErrorMessage="1" allowBlank="0" errorTitle="Invalid target" error="The target cannot be 0 (the sheet divides by it): type between 0.01 and 0.9." type="decimal" operator="between">
      <formula1>0.01</formula1>
      <formula2>0.9</formula2>
    </dataValidation>
    <dataValidation sqref="B10 B22 B23 B24 B25 B26 B27 B28 B29 B30 B31 B34 D14 D15 D16 D17 D18 D19 D20 D21 D22 D23 D24 D25 D26 D27 D28 D29 D30 D31 D33 D34 E14 E15 E16 E17 E18 E19 E20 E21 E22 E23 E24 E25 E26 E27 E28 E29 E30 E31 E33 E34 F14 F15 F16 F17 F18 F19 F20 F21 F22 F23 F24 F25 F26 F27 F28 F29 F30 F31 F33 F34 G14 G15 G16 G17 G18 G19 G20 G21 G22 G23 G24 G25 G26 G27 G28 G29 G30 G31 G33 G34 H14 H15 H16 H17 H18 H19 H20 H21 H22 H23 H24 H25 H26 H27 H28 H29 H30 H31 H33 H34 I14 I15 I16 I17 I18 I19 I20 I21 I22 I23 I24 I25 I26 I27 I28 I29 I30 I31 I33 I34 J14 J15 J16 J17 J18 J19 J20 J21 J22 J23 J24 J25 J26 J27 J28 J29 J30 J31 J33 J34 K14 K15 K16 K17 K18 K19 K20 K21 K22 K23 K24 K25 K26 K27 K28 K29 K30 K31 K33 K34 L14 L15 L16 L17 L18 L19 L20 L21 L22 L23 L24 L25 L26 L27 L28 L29 L30 L31 L33 L34 M14 M15 M16 M17 M18 M19 M20 M21 M22 M23 M24 M25 M26 M27 M28 M29 M30 M31 M33 M34" showDropDown="0" showInputMessage="0" showErrorMessage="1" allowBlank="0" errorTitle="Invalid amount" error="Type a number greater than or equal to 0." type="decimal" operator="greaterThanOrEqual">
      <formula1>0</formula1>
    </dataValidation>
    <dataValidation sqref="B9" showDropDown="0" showInputMessage="0" showErrorMessage="1" allowBlank="0" errorTitle="Invalid option" error="Pick an option from the list." type="list">
      <formula1>"Buy corn tortillas,Make them with masa harina"</formula1>
    </dataValidation>
  </dataValidations>
  <printOptions horizontalCentered="1"/>
  <pageMargins left="0.75" right="0.75" top="1" bottom="1" header="0.5" footer="0.5"/>
  <pageSetup orientation="landscape" paperSize="1" fitToHeight="0" fitToWidth="1"/>
  <headerFooter>
    <oddHeader/>
    <oddFooter>&amp;CAI Chef Pro · aichef.pro · Page &amp;P of &amp;N</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A29"/>
  <sheetViews>
    <sheetView showGridLines="0" workbookViewId="0">
      <selection activeCell="A1" sqref="A1"/>
    </sheetView>
  </sheetViews>
  <sheetFormatPr baseColWidth="8" defaultRowHeight="15"/>
  <cols>
    <col width="110" customWidth="1" min="1" max="1"/>
  </cols>
  <sheetData>
    <row r="1">
      <c r="A1" s="34" t="inlineStr">
        <is>
          <t>INSTRUCTIONS: Taco Cost &amp; Trompo Yield Calculator</t>
        </is>
      </c>
    </row>
    <row r="2" ht="75" customHeight="1">
      <c r="A2" s="2" t="inlineStr">
        <is>
          <t>Three tools in one workbook: the "Trompo Yield" sheet tells you how many tacos come out of an al pastor cone and what the meat on each one costs; the "Tortillas" sheet compares buying corn tortillas with making them in house and gives you the break-even in tortillas per day; the "Taco Costing" sheet calculates the cost, food cost, margin and menu price of 8 tacos, an order of 3 and a gringa, with the margin dine-in, on takeout and on a delivery app. Type only in the GREEN cells; everything else is calculated. Meat prices are in $/lb and portions in ounces (16 oz per lb, the gray constant).</t>
        </is>
      </c>
    </row>
    <row r="3" ht="30" customHeight="1">
      <c r="A3" s="2" t="inlineStr">
        <is>
          <t>Every default value is a kit estimate, editable: they are examples consistent with the kit's business plan case, not anyone's prices. Replace them with your supplier's and with what you measure in your kitchen before you decide on prices.</t>
        </is>
      </c>
    </row>
    <row r="4">
      <c r="A4" s="25" t="inlineStr">
        <is>
          <t>"TROMPO YIELD" SHEET</t>
        </is>
      </c>
    </row>
    <row r="6" ht="45" customHeight="1">
      <c r="A6" s="2" t="inlineStr">
        <is>
          <t>1. How to measure the cone. Weigh the raw meat you stack on the trompo (before the marinade) and write down the pounds. At close, weigh what is left of the cooked cone and note where it goes: reused in a stew or thrown away. With those three numbers and the tacos you sold, the sheet gives you your real yield.</t>
        </is>
      </c>
    </row>
    <row r="7" ht="30" customHeight="1">
      <c r="A7" s="2" t="inlineStr">
        <is>
          <t>2. How to adjust the loss. The 35 % cooking and drip loss is a kit estimate with no published source. Measure your first cone: tacos served × ounces per taco ÷ 16 is the pounds served. Move the loss until the sheet's yield matches yours.</t>
        </is>
      </c>
    </row>
    <row r="8" ht="45" customHeight="1">
      <c r="A8" s="2" t="inlineStr">
        <is>
          <t>3. The most useful results are the cost per served lb and the meat cost per taco, which feed the taco costing. Compare your tacos per raw lb with the benchmark of a Mexico City stand, about 11 per lb (Milenio). If you serve more ounces, you get fewer tacos.</t>
        </is>
      </c>
    </row>
    <row r="9" ht="30" customHeight="1">
      <c r="A9" s="2" t="inlineStr">
        <is>
          <t>4. "Raw meat to prepare the N tacos" tells you how much meat to stack for a big order. The other proteins (carnitas, suadero, cochinita pibil, barbacoa, tinga and campechano) use their own yield after cooking, lower than the cone's.</t>
        </is>
      </c>
    </row>
    <row r="10" ht="60" customHeight="1">
      <c r="A10" s="2" t="inlineStr">
        <is>
          <t>5. Food safety. A stacked, marinated cone is a raw meat preparation: keep it at 41 °F or below until it goes on the broiler, probe it and log the temperature in your food safety plan. Cook and hold temperatures for al pastor off the trompo are set by your county, and counties differ: ask your county health department IN WRITING, type the answer in the green "Your county's al pastor cook temp (°F)" cell and keep the reply on file. The kit gives no single figure.</t>
        </is>
      </c>
    </row>
    <row r="11">
      <c r="A11" s="25" t="inlineStr">
        <is>
          <t>"TORTILLAS" SHEET</t>
        </is>
      </c>
    </row>
    <row r="13" ht="30" customHeight="1">
      <c r="A13" s="2" t="inlineStr">
        <is>
          <t>1. Type the price of the case, the tortillas per case and the weight of each tortilla, plus the masa harina, machine and tortillera numbers. The tortillas per lb bought are what you need to order from your supplier.</t>
        </is>
      </c>
    </row>
    <row r="14" ht="30" customHeight="1">
      <c r="A14" s="2" t="inlineStr">
        <is>
          <t>2. The break-even is the number of tortillas a day above which making them pays, counting the person who makes them and the machine. If you use fewer, buy. With your own tortillas per day, the sheet tells you which suits you.</t>
        </is>
      </c>
    </row>
    <row r="15">
      <c r="A15" s="25" t="inlineStr">
        <is>
          <t>"TACO COSTING" SHEET</t>
        </is>
      </c>
    </row>
    <row r="17" ht="45" customHeight="1">
      <c r="A17" s="2" t="inlineStr">
        <is>
          <t>1. Type the sales tax included in your menu prices (0 % if your menu is quoted before tax, the usual US way), the target food cost, the watch margin, the waste, the packaging and the delivery app commission, and pick whether the corn tortilla is bought or made with masa harina.</t>
        </is>
      </c>
    </row>
    <row r="18" ht="60" customHeight="1">
      <c r="A18" s="2" t="inlineStr">
        <is>
          <t>2. In the table, each row is an ingredient with its price per lb before tax (or per unit, for tortillas). The ounces of each item go in its column; you can change the names, the ounces and the menu prices. The meats take their price from the "Trompo Yield" sheet. The conversion from ounces to pounds uses the gray constant (16 oz per lb). The street taco uses two 6 in tortillas.</t>
        </is>
      </c>
    </row>
    <row r="19" ht="45" customHeight="1">
      <c r="A19" s="2" t="inlineStr">
        <is>
          <t>3. For each item you see the cost with waste, the price before tax, the food cost with a traffic light, the margin and the menu price with tax you would need to hit your target. At the bottom, the margin of the order and the gringa dine-in, on takeout and on a delivery app.</t>
        </is>
      </c>
    </row>
    <row r="20">
      <c r="A20" s="25" t="inlineStr">
        <is>
          <t>PRICES AND SOURCES</t>
        </is>
      </c>
    </row>
    <row r="22" ht="60" customHeight="1">
      <c r="A22" s="2" t="inlineStr">
        <is>
          <t>Every default price is an example: "Kit estimate (Oct 2026): replace with your distributor's price". The sample menu prices (street taco $4.00, gringa $11.50) come from the kit's business plan case. Sales tax is not part of the menu prices in this sample (0 %); rates vary by state and city, so ask your accountant. Beer, aguas frescas and other drinks are not in this costing.</t>
        </is>
      </c>
    </row>
    <row r="23" ht="30" customHeight="1">
      <c r="A23" s="2" t="inlineStr">
        <is>
          <t>Sources: the kit's US taco shop research (October 2026); the benchmark of tacos per raw lb comes from Milenio. No figure in this calculator is published data about your business: replace them with your own.</t>
        </is>
      </c>
    </row>
    <row r="25">
      <c r="A25" s="2" t="inlineStr">
        <is>
          <t>To edit a cell that is not green: Review → Unprotect Sheet (there is no password).</t>
        </is>
      </c>
    </row>
    <row r="26">
      <c r="A26" s="2" t="inlineStr">
        <is>
          <t>More templates and kits in the catalog at aichef.pro/en/digital-products</t>
        </is>
      </c>
    </row>
    <row r="27">
      <c r="A27" s="2" t="inlineStr">
        <is>
          <t>Designed by John Guerrero — chef and restaurant consultant since 2010, in the kitchen since age 17 · johnguerrero.es</t>
        </is>
      </c>
    </row>
    <row r="28">
      <c r="A28" s="2" t="inlineStr">
        <is>
          <t>Version 2.2 · October 2026 · aichef.pro/en/digital-products/taco-shop-business-plan · info@aichef.pro</t>
        </is>
      </c>
    </row>
    <row r="29">
      <c r="A29" s="23" t="inlineStr">
        <is>
          <t>Planning tool, not financial, tax or legal advice. Requirements vary by state, county and city — check with your accountant and local authorities.</t>
        </is>
      </c>
    </row>
  </sheetData>
  <sheetProtection selectLockedCells="0" selectUnlockedCells="0" sheet="1" objects="0" insertRows="1" insertHyperlinks="1" autoFilter="1" scenarios="0" formatColumns="1" deleteColumns="1" insertColumns="1" pivotTables="1" deleteRows="1" formatCells="1" formatRows="1" sort="1"/>
  <printOptions horizontalCentered="1"/>
  <pageMargins left="0.75" right="0.75" top="1" bottom="1" header="0.5" footer="0.5"/>
  <pageSetup orientation="portrait" paperSize="1" fitToHeight="0" fitToWidth="1"/>
  <headerFooter>
    <oddHeader/>
    <oddFooter>&amp;CAI Chef Pro · aichef.pro · Page &amp;P of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AI Chef Pro</dc:creator>
  <dc:title xmlns:dc="http://purl.org/dc/elements/1.1/">Taco Cost &amp; Trompo Yield Calculator (Al Pastor Cone, Tortillas and Taco Costing) · Taco Shop Business Plan Kit</dc:title>
  <dc:description xmlns:dc="http://purl.org/dc/elements/1.1/">aichef.pro/en/digital-products/taco-shop-business-plan</dc:description>
  <dc:subject xmlns:dc="http://purl.org/dc/elements/1.1/">Taco Shop Business Plan Kit · v2.2</dc:subject>
  <dcterms:created xmlns:dcterms="http://purl.org/dc/terms/" xmlns:xsi="http://www.w3.org/2001/XMLSchema-instance" xsi:type="dcterms:W3CDTF">2026-10-29T08:09:26Z</dcterms:created>
  <dcterms:modified xmlns:dcterms="http://purl.org/dc/terms/" xmlns:xsi="http://www.w3.org/2001/XMLSchema-instance" xsi:type="dcterms:W3CDTF">2026-10-29T08:09:26Z</dcterms:modified>
  <cp:lastModifiedBy>AI Chef Pro</cp:lastModifiedBy>
  <cp:category>AI Chef Pro · Digital products</cp:category>
  <cp:keywords>taco shop business plan, taqueria business plan, how to open a taco shop, taco shop startup costs, trompo yield, AI Chef Pro</cp:keywords>
</cp:coreProperties>
</file>