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Startup Costs" sheetId="2" state="visible" r:id="rId2"/>
    <sheet xmlns:r="http://schemas.openxmlformats.org/officeDocument/2006/relationships" name="3-Year P&amp;L" sheetId="3" state="visible" r:id="rId3"/>
    <sheet xmlns:r="http://schemas.openxmlformats.org/officeDocument/2006/relationships" name="Break-Even" sheetId="4" state="visible" r:id="rId4"/>
    <sheet xmlns:r="http://schemas.openxmlformats.org/officeDocument/2006/relationships" name="Scenarios" sheetId="5" state="visible" r:id="rId5"/>
    <sheet xmlns:r="http://schemas.openxmlformats.org/officeDocument/2006/relationships" name="Staffing" sheetId="6" state="visible" r:id="rId6"/>
    <sheet xmlns:r="http://schemas.openxmlformats.org/officeDocument/2006/relationships" name="Instructions" sheetId="7" state="visible" r:id="rId7"/>
    <sheet xmlns:r="http://schemas.openxmlformats.org/officeDocument/2006/relationships" name="12-Month Cash Flow" sheetId="8" state="visible" r:id="rId8"/>
    <sheet xmlns:r="http://schemas.openxmlformats.org/officeDocument/2006/relationships" name="Financing" sheetId="9" state="visible" r:id="rId9"/>
  </sheets>
  <definedNames>
    <definedName name="_xlnm.Print_Titles" localSheetId="1">'Startup Costs'!$5:$5</definedName>
    <definedName name="_xlnm.Print_Titles" localSheetId="2">'3-Year P&amp;L'!$4:$4</definedName>
    <definedName name="_xlnm.Print_Titles" localSheetId="3">'Break-Even'!$4:$4</definedName>
    <definedName name="_xlnm.Print_Titles" localSheetId="4">'Scenarios'!$4:$4</definedName>
    <definedName name="_xlnm.Print_Titles" localSheetId="5">'Staffing'!$4:$4</definedName>
    <definedName name="_xlnm.Print_Titles" localSheetId="7">'12-Month Cash Flow'!$4:$4</definedName>
    <definedName name="_xlnm.Print_Titles" localSheetId="8">'Financing'!$4:$4</definedName>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164" fontId="11" fillId="0" borderId="0" pivotButton="0" quotePrefix="0" xfId="0"/>
    <xf numFmtId="166" fontId="11" fillId="0" borderId="0" pivotButton="0" quotePrefix="0" xfId="0"/>
    <xf numFmtId="0" fontId="12" fillId="0" borderId="0" pivotButton="0" quotePrefix="0" xfId="0"/>
    <xf numFmtId="164" fontId="0" fillId="0" borderId="0" pivotButton="0" quotePrefix="0" xfId="0"/>
    <xf numFmtId="0" fontId="11"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5"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4" fontId="10" fillId="0" borderId="3" pivotButton="0" quotePrefix="0" xfId="0"/>
    <xf numFmtId="166" fontId="0" fillId="4" borderId="0" applyProtection="1" pivotButton="0" quotePrefix="0" xfId="0">
      <protection locked="0" hidden="0"/>
    </xf>
    <xf numFmtId="4" fontId="0" fillId="0" borderId="0" pivotButton="0" quotePrefix="0" xfId="0"/>
    <xf numFmtId="166" fontId="0" fillId="0" borderId="0" pivotButton="0" quotePrefix="0" xfId="0"/>
    <xf numFmtId="3" fontId="10" fillId="0" borderId="3" pivotButton="0" quotePrefix="0" xfId="0"/>
    <xf numFmtId="166" fontId="10" fillId="0" borderId="3" pivotButton="0" quotePrefix="0" xfId="0"/>
    <xf numFmtId="166" fontId="9" fillId="0" borderId="3" pivotButton="0" quotePrefix="0" xfId="0"/>
    <xf numFmtId="166" fontId="11" fillId="0" borderId="0" pivotButton="0" quotePrefix="0" xfId="0"/>
    <xf numFmtId="166" fontId="12" fillId="4" borderId="0" applyProtection="1" pivotButton="0" quotePrefix="0" xfId="0">
      <protection locked="0" hidden="0"/>
    </xf>
    <xf numFmtId="4" fontId="9" fillId="4" borderId="3" applyProtection="1" pivotButton="0" quotePrefix="0" xfId="0">
      <protection locked="0" hidden="0"/>
    </xf>
    <xf numFmtId="0" fontId="0" fillId="0" borderId="0" applyAlignment="1" pivotButton="0" quotePrefix="0" xfId="0">
      <alignment horizontal="left" vertical="top" wrapText="1"/>
    </xf>
    <xf numFmtId="166" fontId="9" fillId="4" borderId="3" applyProtection="1" pivotButton="0" quotePrefix="0" xfId="0">
      <protection locked="0" hidden="0"/>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ASSUMPTIONS — the RATES and DRIVERS of the model are typed here</t>
        </is>
      </c>
    </row>
    <row r="2" ht="59.75" customHeight="1">
      <c r="A2" s="17" t="inlineStr">
        <is>
          <t>Change the GREEN cells: the rest of the workbook recalculates on its own. Expense items are typed on their own tab (also in green) and are not repeated here. Amounts are in US dollars (or your own currency).</t>
        </is>
      </c>
    </row>
    <row r="3">
      <c r="A3" s="16" t="inlineStr">
        <is>
          <t>BUSINESS ACTIVITY</t>
        </is>
      </c>
    </row>
    <row r="4">
      <c r="A4" t="inlineStr">
        <is>
          <t>Events per year (year-1 average)</t>
        </is>
      </c>
      <c r="B4" s="18" t="n">
        <v>160</v>
      </c>
      <c r="C4" t="inlineStr">
        <is>
          <t>Average number of events you work per year, counting every wedding, corporate event and private party. It is the main volume driver of the whole workbook: the P&amp;L, break-even and scenarios all read it, and years 2 and 3 grow in events. Compare it with the capacity row further down (max events a year your bars and crews can handle).</t>
        </is>
      </c>
    </row>
    <row r="5">
      <c r="A5" t="inlineStr">
        <is>
          <t>Average price per guest (excl. sales tax and alcohol; bar package + add-ons)</t>
        </is>
      </c>
      <c r="B5" s="24" t="n">
        <v>14</v>
      </c>
      <c r="C5" t="inlineStr">
        <is>
          <t>Price per guest for a dry hire event (your client buys the alcohol; you bring the bar, the bartenders and everything else), EXCL. sales tax and excl. alcohol: the bar package plus add-ons, with bartenders, mixers, garnishes, ice and cups included, the service charge in and the voluntary gratuity out. Price per guest incl. sales tax = this value × (1 + your sales tax rate). At 95 guests, 14 per guest gives 1,330 per event: above Check Cherry's $750 median and in the upper quarter (the middle half runs $450-$1,275; see the benchmarks table on the "Instructions" tab). the Pricing Calculator builds your quote from your own costs and hours: divide its subtotal by the billable guests to bring it here.</t>
        </is>
      </c>
    </row>
    <row r="6">
      <c r="A6" t="inlineStr">
        <is>
          <t>Average guests per event</t>
        </is>
      </c>
      <c r="B6" s="18" t="n">
        <v>95</v>
      </c>
      <c r="C6" t="inlineStr">
        <is>
          <t>Average number of guests per event across your whole mix, from private parties of about 60 to weddings of 120. Check Cherry booking data puts the typical event near 80 guests (see the benchmarks table on the "Instructions" tab). Sales per event = guests × price per guest. One cell for the whole workbook: the P&amp;L, break-even and scenarios all read it, so they always agree.</t>
        </is>
      </c>
    </row>
    <row r="7">
      <c r="A7" t="inlineStr">
        <is>
          <t>Volume growth in year 2</t>
        </is>
      </c>
      <c r="B7" s="63" t="n">
        <v>0.1</v>
      </c>
      <c r="C7" t="inlineStr">
        <is>
          <t>Growth in events in year 2 over year 1 (enter 0.1 for 10%). Kept modest on purpose: two crews and a Saturday calendar cap how many events you can work, and weddings are booked about two months ahead, so referrals from venues and planners take a season to show up.</t>
        </is>
      </c>
    </row>
    <row r="8">
      <c r="A8" t="inlineStr">
        <is>
          <t>Volume growth in year 3</t>
        </is>
      </c>
      <c r="B8" s="63" t="n">
        <v>0.08</v>
      </c>
      <c r="C8" t="inlineStr">
        <is>
          <t>Growth in events in year 3 over year 2, kept conservative for the same reason: repeat corporate clients and planner referrals build up slowly.</t>
        </is>
      </c>
    </row>
    <row r="9">
      <c r="A9" t="inlineStr">
        <is>
          <t>Price per guest incl. sales tax (calculated)</t>
        </is>
      </c>
      <c r="B9" s="64">
        <f>IFERROR(IF($B$5="","",$B$5*(1+SUMPRODUCT('3-Year P&amp;L'!$E$10:$E$11,'3-Year P&amp;L'!$G$10:$G$11))),"")</f>
        <v>15.120000000000001</v>
      </c>
      <c r="C9" t="str">
        <f>IFERROR("Price per guest excl. sales tax plus the weighted sales tax of your sales lines ("&amp;TEXT(SUMPRODUCT('3-Year P&amp;L'!$E$10:$E$11,'3-Year P&amp;L'!$G$10:$G$11)*100,"0")&amp;"%), rounded. In the US the quote adds sales tax on top, and whether the bartending service and the service charge are taxable depends on the state (California taxes them); in the UK, VAT is included in the price.","")</f>
        <v>Price per guest excl. sales tax plus the weighted sales tax of your sales lines (8%), rounded. In the US the quote adds sales tax on top, and whether the bartending service and the service charge are taxable depends on the state (California taxes them); in the UK, VAT is included in the price.</v>
      </c>
    </row>
    <row r="10">
      <c r="A10" s="16" t="inlineStr">
        <is>
          <t>SALES MIX AND COST OF GOODS SOLD</t>
        </is>
      </c>
    </row>
    <row r="11">
      <c r="A11" t="inlineStr">
        <is>
          <t>BAR PACKAGES share of sales (bartending service, bar, mixers, garnishes, ice)</t>
        </is>
      </c>
      <c r="B11" s="63" t="n">
        <v>0.85</v>
      </c>
      <c r="C11" t="inlineStr">
        <is>
          <t>Share of BAR PACKAGES in total sales: bartending service, bar, mixers, garnishes, ice and cups. It is an INPUT: change it here and the P&amp;L, the cash flow and the sales tax collected recalculate on their own.</t>
        </is>
      </c>
    </row>
    <row r="12">
      <c r="A12" t="inlineStr">
        <is>
          <t>ADD-ONS share of sales (travel fees, extra hours, glassware, specialty bars)</t>
        </is>
      </c>
      <c r="B12" s="65">
        <f>IFERROR(IF(COUNT(B11)=0,"",1-B11),"")</f>
        <v>0.15000000000000002</v>
      </c>
      <c r="C12" t="inlineStr">
        <is>
          <t>Calculated as the remainder: bar packages + add-ons = 100%. Add-ons are travel fees, extra hours of service, glassware, champagne service and specialty bars.</t>
        </is>
      </c>
    </row>
    <row r="13">
      <c r="A13" t="inlineStr">
        <is>
          <t>Cost of goods on BAR PACKAGE sales (mixers, garnishes, ice, N/A drinks)</t>
        </is>
      </c>
      <c r="B13" s="63" t="n">
        <v>0.19</v>
      </c>
      <c r="C13" t="inlineStr">
        <is>
          <t>Cost of goods sold on bar package sales: mixers, garnishes, ice and non-alcoholic drinks (Kit estimate; see the ice and mixers row in the benchmarks table on the "Instructions" tab). There is no alcohol in it: in dry hire the host buys it. Test it at a higher rate (more fresh juice, more garnish) before you trust the result.</t>
        </is>
      </c>
    </row>
    <row r="14">
      <c r="A14" t="inlineStr">
        <is>
          <t>Cost of goods on ADD-ON sales</t>
        </is>
      </c>
      <c r="B14" s="63" t="n">
        <v>0.2</v>
      </c>
      <c r="C14" t="inlineStr">
        <is>
          <t>Cost of goods sold on add-on sales: specialty bars, champagne service and rented extra glassware (Kit estimate). Set above the bar package rate because these items bring their own ingredients or rental fees. No alcohol: the host buys it.</t>
        </is>
      </c>
    </row>
    <row r="15">
      <c r="A15" t="inlineStr">
        <is>
          <t>Cups, straws, napkins and bar disposables as % of sales</t>
        </is>
      </c>
      <c r="B15" s="63" t="n">
        <v>0.04</v>
      </c>
      <c r="C15" t="inlineStr">
        <is>
          <t>Cups, straws, napkins, coasters and the printed drink menu sign, as a % of sales (Kit estimate). It sits next to cost of goods sold instead of hiding in miscellaneous. Some cities and venues restrict single-use plastics, so check the rules and price compostable cups if you need them.</t>
        </is>
      </c>
    </row>
    <row r="16">
      <c r="A16" t="inlineStr">
        <is>
          <t>Share of sales booked through gig marketplaces (GigSalad, The Bash, Thumbtack)</t>
        </is>
      </c>
      <c r="B16" s="63" t="n">
        <v>0.2</v>
      </c>
      <c r="C16" t="inlineStr">
        <is>
          <t>Share of your sales booked through gig marketplaces such as GigSalad, The Bash and Thumbtack, rather than by hosts and planners who book you directly. Set it to 0 if you only sell direct. The marketplace sends you the booking and keeps a fee (next row).</t>
        </is>
      </c>
    </row>
    <row r="17">
      <c r="A17" t="inlineStr">
        <is>
          <t>Marketplace fee on those bookings</t>
        </is>
      </c>
      <c r="B17" s="63" t="n">
        <v>0.05</v>
      </c>
      <c r="C17" t="inlineStr">
        <is>
          <t>Fee the marketplace keeps on those bookings. GigSalad charges 5% of the confirmed booking on its free plan and 2.5% on the paid plan, and nothing per lead (gigsalad.com); Thumbtack charges per lead instead, so convert that cost to a % of booked sales. Fees change: check the current schedule when you sign up. Not used while the marketplace share is 0%.</t>
        </is>
      </c>
    </row>
    <row r="18">
      <c r="A18" t="inlineStr">
        <is>
          <t>Card processing fee</t>
        </is>
      </c>
      <c r="B18" s="63" t="n">
        <v>0.03</v>
      </c>
      <c r="C18" t="inlineStr">
        <is>
          <t>Card fees on total sales. Hosts and planners mostly pay by card, with some ACH or check from companies, which lowers the cost. The example (3%) is a blended rate: a percentage plus a per-transaction fee, which weighs more on small deposits. Check your processor's statement and enter your effective rate (Kit estimate).</t>
        </is>
      </c>
    </row>
    <row r="19">
      <c r="A19" s="16" t="inlineStr">
        <is>
          <t>LABOR</t>
        </is>
      </c>
    </row>
    <row r="20">
      <c r="A20" t="inlineStr">
        <is>
          <t>Employer payroll taxes</t>
        </is>
      </c>
      <c r="B20" s="63" t="n">
        <v>0.1</v>
      </c>
      <c r="C20" t="inlineStr">
        <is>
          <t>FICA (Social Security 6.2% + Medicare 1.45%) + federal and state unemployment taxes (FUTA / SUTA). Workers' comp is in the insurance line. The example uses a lean 10% with no benefits; ask your payroll provider for your rate.</t>
        </is>
      </c>
    </row>
    <row r="21">
      <c r="A21" t="inlineStr">
        <is>
          <t>Monthly pay periods per year (keep 12)</t>
        </is>
      </c>
      <c r="B21" s="18"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18" t="n">
        <v>15080</v>
      </c>
      <c r="C22" t="inlineStr">
        <is>
          <t>US federal minimum wage: 7.25 per hour × 2,080 hours = 15,080 per year for a full-time job. Your state or city may set a higher floor: enter it in the state / local minimum wage cell below. Check the current rates at dol.gov</t>
        </is>
      </c>
    </row>
    <row r="23">
      <c r="A23" s="16" t="inlineStr">
        <is>
          <t>STORAGE, TRAILER PARKING AND FIXED COSTS</t>
        </is>
      </c>
    </row>
    <row r="24">
      <c r="A24" t="inlineStr">
        <is>
          <t>Storage unit &amp; trailer parking, per month</t>
        </is>
      </c>
      <c r="B24" s="18" t="n">
        <v>600</v>
      </c>
      <c r="C24" t="inlineStr">
        <is>
          <t>Monthly cost of the storage unit (or garage) where the bar, glassware and supplies live, plus the parking spot for the trailer. It is not storefront rent: you work at the host's venue. The deposit and the months before opening are calculated from this cell. If your county requires a commissary for ice or garnish, add it here (Kit estimate: +300-800 per month).</t>
        </is>
      </c>
    </row>
    <row r="25">
      <c r="A25" t="inlineStr">
        <is>
          <t>Storage unit deposit (months)</t>
        </is>
      </c>
      <c r="B25" s="18" t="n">
        <v>1</v>
      </c>
      <c r="C25" t="inlineStr">
        <is>
          <t>Months of deposit on the storage unit. Many facilities ask for about one month up front: far less than the deposit on a commercial lease. Agree it in writing.</t>
        </is>
      </c>
    </row>
    <row r="26">
      <c r="A26" t="inlineStr">
        <is>
          <t>Monthly utilities (storage unit power and water)</t>
        </is>
      </c>
      <c r="B26" s="18" t="n">
        <v>100</v>
      </c>
      <c r="C26" t="inlineStr">
        <is>
          <t>Electricity and water for the storage unit (lights, the wash area, charging), plus any utilities the storage rent does not cover. Fuel for the tow vehicle and the generator is not here: it is in the "Vehicle and trailer fuel, maintenance and registration" line of the "3-Year P&amp;L". It is the one cell for this cost, so you change it in one place and the rest of the workbook follows.</t>
        </is>
      </c>
    </row>
    <row r="27">
      <c r="A27" t="inlineStr">
        <is>
          <t>Insurance (per year)</t>
        </is>
      </c>
      <c r="B27" s="18" t="n">
        <v>4000</v>
      </c>
      <c r="C27" t="inlineStr">
        <is>
          <t>Yearly insurance: general liability plus liquor liability (Kit estimate 600-1,000), commercial auto covering the trailer (about 1,800), workers' comp for your W-2 bartenders (about 1,000) and equipment coverage (about 300). Venues ask for a COI naming them as additional insured, and general liability plus liquor liability start around $550 a year, bundled (insurancecanopy.com). The total is a Kit estimate: get quotes before you fix it.</t>
        </is>
      </c>
    </row>
    <row r="28">
      <c r="A28" t="inlineStr">
        <is>
          <t>Miscellaneous and contingency as % of sales</t>
        </is>
      </c>
      <c r="B28" s="63" t="n">
        <v>0.03</v>
      </c>
      <c r="C28" t="inlineStr">
        <is>
          <t>Last-minute costs of each event: extra ice, mixers bought on the way, parking at the venue. It is a VARIABLE cost: it rises and falls with the number of events, so it cannot sit among the fixed costs or it would move the break-even without anyone noticing. Fuel, maintenance and registration of the tow vehicle and trailer have their own line in the P&amp;L.</t>
        </is>
      </c>
    </row>
    <row r="29">
      <c r="A29" s="16" t="inlineStr">
        <is>
          <t>FINANCING</t>
        </is>
      </c>
    </row>
    <row r="30">
      <c r="A30" t="inlineStr">
        <is>
          <t>Owner's equity contributed</t>
        </is>
      </c>
      <c r="B30" s="18" t="n">
        <v>28000</v>
      </c>
      <c r="C30" t="inlineStr">
        <is>
          <t>Your own money. Lenders usually expect an owner equity injection (often around 10% for SBA start-ups; many want 20-30%) on the total cash needed in this plan.</t>
        </is>
      </c>
    </row>
    <row r="31">
      <c r="A31" t="inlineStr">
        <is>
          <t>Loan requested</t>
        </is>
      </c>
      <c r="B31" s="18" t="n">
        <v>49000</v>
      </c>
      <c r="C31" t="inlineStr">
        <is>
          <t>Principal requested from your lender: an SBA 7(a) loan through your bank, or a small SBA Microloan (up to 50,000). This is the cell. It is the only loan that the amortization schedule, the P&amp;L interest and the DSCR use. The "Financing" tab checks that the sources of funds match the total cash needed on the "Startup Costs" tab (which includes working capital and the trailer and fit-out contingency): copy the loan suggested there into this cell until the difference reaches zero.</t>
        </is>
      </c>
    </row>
    <row r="32">
      <c r="A32" t="inlineStr">
        <is>
          <t>Nominal annual interest rate (not APR)</t>
        </is>
      </c>
      <c r="B32" s="63" t="n">
        <v>0.1</v>
      </c>
      <c r="C32" t="inlineStr">
        <is>
          <t>Nominal annual rate (not APR). The example (10%) is the kit's assumption for a small SBA loan. A smaller loan secured by a used trailer and bar equipment often prices above a storefront loan: ask two lenders for quotes, and ask about SBA-guaranteed loans, before you set it.</t>
        </is>
      </c>
    </row>
    <row r="33">
      <c r="A33" t="inlineStr">
        <is>
          <t>Loan term (years)</t>
        </is>
      </c>
      <c r="B33" s="18" t="n">
        <v>7</v>
      </c>
      <c r="C33" t="inlineStr">
        <is>
          <t>Total years, interest-only period included. A trailer and bar equipment lose value faster than a storefront build-out, so the term is shorter. SBA 7(a) allows up to 10 years for equipment and working capital.</t>
        </is>
      </c>
    </row>
    <row r="34">
      <c r="A34" t="inlineStr">
        <is>
          <t>Interest-only period (years)</t>
        </is>
      </c>
      <c r="B34" s="18" t="n">
        <v>0</v>
      </c>
      <c r="C34" t="inlineStr">
        <is>
          <t>ZERO by default: repayment starts in year 1, so the year-1 DSCR already measures the full loan payment. If you negotiate an interest-only first year, enter it here and read the year-1 DSCR with care.</t>
        </is>
      </c>
    </row>
    <row r="35">
      <c r="A35" t="inlineStr">
        <is>
          <t>Working capital (months of fixed costs)</t>
        </is>
      </c>
      <c r="B35" s="18" t="n">
        <v>3</v>
      </c>
      <c r="C35" t="inlineStr">
        <is>
          <t>The minimum this workbook asks for (see "Instructions"): a cushion below 3 months does not cover a slow stretch, such as the off-season for weddings or a corporate client who pays late.</t>
        </is>
      </c>
    </row>
    <row r="36">
      <c r="A36" s="16" t="inlineStr">
        <is>
          <t>TAXES</t>
        </is>
      </c>
    </row>
    <row r="37">
      <c r="A37" t="inlineStr">
        <is>
          <t>Effective income tax rate (years 1-2)</t>
        </is>
      </c>
      <c r="B37" s="63"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63"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63" t="n">
        <v>0.08</v>
      </c>
      <c r="C39" t="inlineStr">
        <is>
          <t>Example rate: state + local sales tax combined, applied to the whole invoice (bar service, add-ons and service charge). Whether bartending services are taxable varies by state: California taxes them (cdtfa.ca.gov). UK: 20% VAT on the service.</t>
        </is>
      </c>
    </row>
    <row r="40">
      <c r="A40" t="inlineStr">
        <is>
          <t>Sales tax rate on alcohol sold (licensed only)</t>
        </is>
      </c>
      <c r="B40" s="63" t="n">
        <v>0.08</v>
      </c>
      <c r="C40" t="inlineStr">
        <is>
          <t>Same example rate as above. Some states add separate liquor taxes: include them here if they apply to you. Alcohol served on site has its own rate in the sales tax breakdown block, further down. Utilities, equipment and services are handled in the cell below</t>
        </is>
      </c>
    </row>
    <row r="41">
      <c r="A41" t="inlineStr">
        <is>
          <t>Recoverable input tax on purchases and capex</t>
        </is>
      </c>
      <c r="B41" s="63" t="n">
        <v>0</v>
      </c>
      <c r="C41" t="inlineStr">
        <is>
          <t>In the US, the sales tax you pay on purchases is a cost, not a credit: leave this at 0%. UK: 20% if you are VAT-registered</t>
        </is>
      </c>
    </row>
    <row r="42">
      <c r="A42" t="inlineStr">
        <is>
          <t>Net operating losses carried forward</t>
        </is>
      </c>
      <c r="B42" s="18" t="n">
        <v>0</v>
      </c>
      <c r="C42" t="inlineStr">
        <is>
          <t>Net operating losses from earlier years still to be offset at the start. Federal rules let you offset up to 80% of taxable income in a year; the model offsets 100% as a simplification</t>
        </is>
      </c>
    </row>
    <row r="43">
      <c r="A43" s="16" t="inlineStr">
        <is>
          <t>DEPRECIATION</t>
        </is>
      </c>
    </row>
    <row r="44">
      <c r="A44" t="inlineStr">
        <is>
          <t>Useful life of the bar trailer and its conversion (years)</t>
        </is>
      </c>
      <c r="B44" s="18" t="n">
        <v>7</v>
      </c>
      <c r="C44" t="inlineStr">
        <is>
          <t>The bar trailer, its conversion, the generator and the storage fit-out: everything that rides with the trailer is depreciated with it over the same life. Straight-line book depreciation; tax methods such as MACRS or Section 179 are separate, so confirm with your accountant.</t>
        </is>
      </c>
    </row>
    <row r="45">
      <c r="A45" t="inlineStr">
        <is>
          <t>Useful life of bar equipment, glassware and software (years)</t>
        </is>
      </c>
      <c r="B45" s="18" t="n">
        <v>5</v>
      </c>
      <c r="C45" t="inlineStr">
        <is>
          <t>Portable bar, bar tools, glassware, coolers, booking software and tablet. Loading and unloading at every event wears them faster than a fixed bar, so a short life is prudent. Straight-line book depreciation; MACRS or Section 179 are tax treatments: confirm with your accountant.</t>
        </is>
      </c>
    </row>
    <row r="47">
      <c r="A47" s="16" t="inlineStr">
        <is>
          <t>GROWTH AND COST INFLATION</t>
        </is>
      </c>
    </row>
    <row r="48">
      <c r="A48" t="inlineStr">
        <is>
          <t>Annual increase in fixed costs</t>
        </is>
      </c>
      <c r="B48" s="63" t="n">
        <v>0</v>
      </c>
      <c r="C48" t="inlineStr">
        <is>
          <t>SET TO ZERO: all three columns are in year-1 prices (real terms). Raise it if you want to project in nominal terms</t>
        </is>
      </c>
    </row>
    <row r="49">
      <c r="A49" s="16" t="inlineStr">
        <is>
          <t>RAMP-UP AND CAPACITY</t>
        </is>
      </c>
    </row>
    <row r="51">
      <c r="A51" t="inlineStr">
        <is>
          <t>Max events a year your bars and crews can handle</t>
        </is>
      </c>
      <c r="B51" s="18" t="n">
        <v>260</v>
      </c>
      <c r="C51" t="inlineStr">
        <is>
          <t>INFORMATION ONLY: it does not enter any calculation in this workbook. It is your estimate of the most events a year your bars and crews can handle: two setups (the trailer and the portable bar) times roughly 130 bookable days each, because Saturdays are the bottleneck. Compare it with the events per year you plan and with the optimistic scenario: if the plan goes above it, you need a third setup or more bartenders. Volume itself is driven by the "Events per year" cell above.</t>
        </is>
      </c>
    </row>
    <row r="52">
      <c r="A52" t="inlineStr">
        <is>
          <t>Month-1 activity as a % of steady-state activity</t>
        </is>
      </c>
      <c r="B52" s="63" t="n">
        <v>0.45</v>
      </c>
      <c r="C52" t="inlineStr">
        <is>
          <t>A new mobile bar does not book in month one what it books in month eight: weddings are reserved about two months ahead and the first year is slow (see the first-year row in the benchmarks table on the "Instructions" tab). Events per year above is the year-1 AVERAGE: the ramp only spreads year 1's sales across the months (slower start, stronger finish) and keeps the annual total. At 100% there is no ramp.</t>
        </is>
      </c>
    </row>
    <row r="53">
      <c r="A53" t="inlineStr">
        <is>
          <t>Months to reach steady state</t>
        </is>
      </c>
      <c r="B53" s="18" t="n">
        <v>9</v>
      </c>
      <c r="C53" t="inlineStr">
        <is>
          <t>The ramp rises in a straight line from the percentage above to 100% over this number of months</t>
        </is>
      </c>
    </row>
    <row r="54">
      <c r="A54" t="inlineStr">
        <is>
          <t>Months of storage rent BEFORE opening</t>
        </is>
      </c>
      <c r="B54" s="18" t="n">
        <v>2</v>
      </c>
      <c r="C54" t="inlineStr">
        <is>
          <t>Converting the trailer, getting your permits and preselling at bridal shows takes weeks, so you pay storage rent and trailer parking before your first event. It belongs in startup costs, not in the P&amp;L.</t>
        </is>
      </c>
    </row>
    <row r="55">
      <c r="A55" t="inlineStr">
        <is>
          <t>Contingency on the trailer, conversion and fit-out lines (%)</t>
        </is>
      </c>
      <c r="B55" s="63" t="n">
        <v>0.1</v>
      </c>
      <c r="C55" t="inlineStr">
        <is>
          <t>Calculated by formula on the trailer, conversion, generator, storage fit-out and inspection lines: if you change the trailer price, the contingency recalculates on its own. The note on that row of the "Startup Costs" tab lists exactly which lines are included.</t>
        </is>
      </c>
    </row>
    <row r="57">
      <c r="A57" s="16" t="inlineStr">
        <is>
          <t>RECEIPTS, PAYMENTS AND SALES TAX BREAKDOWN</t>
        </is>
      </c>
    </row>
    <row r="58">
      <c r="A58" t="inlineStr">
        <is>
          <t>Average collection days</t>
        </is>
      </c>
      <c r="B58" s="18" t="n">
        <v>1</v>
      </c>
      <c r="C58" t="inlineStr">
        <is>
          <t>Average days between the event and the money in your bank. A deposit (30% is typical) is paid when the host books and the balance before the event, so most of the money arrives before you work. Raise it if corporate clients or marketplaces pay later. The workbook does not model deposits: they improve your real cash flow.</t>
        </is>
      </c>
    </row>
    <row r="59">
      <c r="A59" t="inlineStr">
        <is>
          <t>Average days to pay suppliers</t>
        </is>
      </c>
      <c r="B59" s="18" t="n">
        <v>7</v>
      </c>
      <c r="C59" t="inlineStr">
        <is>
          <t>What your suppliers finance for you. It is the first thing you lose if you fall behind on a payment</t>
        </is>
      </c>
    </row>
    <row r="60">
      <c r="A60" t="inlineStr">
        <is>
          <t>Month of extra pay period 1 (only if pay periods &gt; 12)</t>
        </is>
      </c>
      <c r="B60" s="18" t="n">
        <v>7</v>
      </c>
      <c r="C60" t="inlineStr">
        <is>
          <t>Month of the year (1-12) when the first extra pay period is paid out. Only used if pay periods &gt; 12</t>
        </is>
      </c>
    </row>
    <row r="61">
      <c r="A61" t="inlineStr">
        <is>
          <t>Month of extra pay period 2 (only if pay periods &gt; 12)</t>
        </is>
      </c>
      <c r="B61" s="18" t="n">
        <v>12</v>
      </c>
      <c r="C61" t="inlineStr">
        <is>
          <t>Month of the year (1-12) when the second extra pay period is paid out. Only used if pay periods &gt; 12</t>
        </is>
      </c>
    </row>
    <row r="62">
      <c r="A62" t="inlineStr">
        <is>
          <t>ALCOHOL as a share of add-on sales (0% in dry hire: the host buys it)</t>
        </is>
      </c>
      <c r="B62" s="63" t="n">
        <v>0</v>
      </c>
      <c r="C62" t="inlineStr">
        <is>
          <t>ZERO by default: in dry hire the host buys the alcohol and your certified bartenders serve it, so you sell none. Selling alcohol requires a liquor license (and, in many states, a special event permit): see the full-service option in section 9 of the Word plan and check your state before adding it. Keep liquor liability coverage whenever your bartenders pour at an event.</t>
        </is>
      </c>
    </row>
    <row r="63">
      <c r="A63" t="inlineStr">
        <is>
          <t>Sales tax rate on alcohol served on site</t>
        </is>
      </c>
      <c r="B63" s="63" t="n">
        <v>0.08</v>
      </c>
      <c r="C63" t="inlineStr">
        <is>
          <t>Only used if you enter alcohol sales above, which is zero in this plan. Example rate: the same as the rest of the sales (state + local combined). Some states tax alcohol at a different rate or add liquor taxes: if you sell alcohol, enter the rate that applies.</t>
        </is>
      </c>
    </row>
    <row r="64">
      <c r="A64" s="16" t="inlineStr">
        <is>
          <t>CONTROL THRESHOLDS AND FLOORS</t>
        </is>
      </c>
    </row>
    <row r="65">
      <c r="A65" t="inlineStr">
        <is>
          <t>DSCR limit (minimum acceptable)</t>
        </is>
      </c>
      <c r="B65" s="24" t="n">
        <v>1.15</v>
      </c>
      <c r="C65" t="inlineStr">
        <is>
          <t>Below 1.0 the business does not generate enough to repay the loan. Lenders often write a minimum DSCR into the loan covenants: ask yours. Kit default: 1.15×</t>
        </is>
      </c>
    </row>
    <row r="66">
      <c r="A66" t="inlineStr">
        <is>
          <t>DSCR target (green)</t>
        </is>
      </c>
      <c r="B66" s="24" t="n">
        <v>1.25</v>
      </c>
      <c r="C66" t="inlineStr">
        <is>
          <t>What lenders commonly look for before approving a loan comfortably. Kit default: 1.25× (editable estimate)</t>
        </is>
      </c>
    </row>
    <row r="67">
      <c r="A67" t="inlineStr">
        <is>
          <t>Minimum cushion above break-even</t>
        </is>
      </c>
      <c r="B67" s="63" t="n">
        <v>0.15</v>
      </c>
      <c r="C67" t="inlineStr">
        <is>
          <t>Minimum cushion of the plan above break-even (plan ÷ break-even − 1). The drop you can absorb is 1 − break-even ÷ plan: a 15% cushion lets events fall by about 13% before costs stop being covered</t>
        </is>
      </c>
    </row>
    <row r="68">
      <c r="A68" t="inlineStr">
        <is>
          <t>State / local minimum wage, annual full-time</t>
        </is>
      </c>
      <c r="B68" s="18" t="n"/>
      <c r="C68" t="inlineStr">
        <is>
          <t>Enter the minimum wage of your state or city, annualized for a full-time job (hourly rate × 2,080 hours). The pay floor in the "Staffing" tab is the HIGHER of this cell and the federal minimum. With 0 or blank, the traffic light compares only against the federal floor. Check current rates at dol.gov.</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6 B58 B59" showDropDown="0" showInputMessage="0" showErrorMessage="1" allowBlank="1" errorTitle="Value out of range" error="Enter a whole number from 1 to 365: guests per event or days."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B54"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4 B25 B35 B51"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BUSINESS PLAN: MOBILE BAR &amp; EVENT BARTENDING</t>
        </is>
      </c>
    </row>
    <row r="2">
      <c r="A2" s="2" t="inlineStr">
        <is>
          <t>Estimated Startup Costs</t>
        </is>
      </c>
    </row>
    <row r="3">
      <c r="A3" s="3" t="inlineStr">
        <is>
          <t>US kit example (2026) — replace with your own quotes.</t>
        </is>
      </c>
    </row>
    <row r="5">
      <c r="A5" s="25" t="inlineStr">
        <is>
          <t>Item</t>
        </is>
      </c>
      <c r="B5" s="25" t="inlineStr">
        <is>
          <t>Amount</t>
        </is>
      </c>
      <c r="C5" s="25" t="inlineStr">
        <is>
          <t>% of startup costs</t>
        </is>
      </c>
      <c r="D5" s="25" t="inlineStr">
        <is>
          <t>Notes</t>
        </is>
      </c>
      <c r="E5" s="25" t="inlineStr">
        <is>
          <t>Taxable / recoverable tax?</t>
        </is>
      </c>
    </row>
    <row r="6">
      <c r="A6" s="25" t="inlineStr">
        <is>
          <t>STARTUP COSTS</t>
        </is>
      </c>
      <c r="B6" s="66">
        <f>IFERROR(IF(COUNT(B7:B23)=0,"",SUM(B7:B23)),"")</f>
        <v>47530.0</v>
      </c>
      <c r="C6" s="67">
        <f>IFERROR(B6/$B$26,"")</f>
        <v>0.6174964694999877</v>
      </c>
      <c r="D6" s="28" t="n"/>
      <c r="E6" s="28" t="n"/>
    </row>
    <row r="7">
      <c r="A7" s="28" t="inlineStr">
        <is>
          <t>Bar trailer, used (6 x 12 ft (1.8 x 3.7 m) cargo / concession or horse trailer)</t>
        </is>
      </c>
      <c r="B7" s="49" t="n">
        <v>9000</v>
      </c>
      <c r="C7" s="68">
        <f>IFERROR(B7/$B$26,"")</f>
        <v>0.11692548338943592</v>
      </c>
      <c r="D7" s="28" t="inlineStr">
        <is>
          <t>A used bar trailer (6 x 12 ft (1.8 x 3.7 m) cargo, concession or horse trailer) that you convert. The tow vehicle is yours, so it costs 0 in the plan: if you do not have one, a used pickup is an extra purchase starting around $10,000 (checkcherry.com). Prices vary a lot with size and condition, so get several quotes.</t>
        </is>
      </c>
      <c r="E7" s="31" t="inlineStr">
        <is>
          <t>Yes</t>
        </is>
      </c>
    </row>
    <row r="8">
      <c r="A8" s="28" t="inlineStr">
        <is>
          <t>Trailer conversion (bar top, cabinetry, hand sink, water tanks, LED, electrical)</t>
        </is>
      </c>
      <c r="B8" s="49" t="n">
        <v>12000</v>
      </c>
      <c r="C8" s="68">
        <f>IFERROR(B8/$B$26,"")</f>
        <v>0.1559006445192479</v>
      </c>
      <c r="D8" s="28" t="inlineStr">
        <is>
          <t>Bar top, cabinets, hand sink and fresh and gray water tanks, LED lighting and the electrical work. A basic conversion typically starts around 5,000 and a custom build costs several times more (Kit estimate).</t>
        </is>
      </c>
      <c r="E8" s="31" t="inlineStr">
        <is>
          <t>Yes</t>
        </is>
      </c>
    </row>
    <row r="9">
      <c r="A9" s="28" t="inlineStr">
        <is>
          <t>Wrap, signage and bar facade</t>
        </is>
      </c>
      <c r="B9" s="49" t="n">
        <v>2500</v>
      </c>
      <c r="C9" s="68">
        <f>IFERROR(B9/$B$26,"")</f>
        <v>0.03247930094150998</v>
      </c>
      <c r="D9" s="28" t="inlineStr">
        <is>
          <t>Trailer wrap, signage and the bar facade: your rolling billboard at every venue and the first thing guests photograph.</t>
        </is>
      </c>
      <c r="E9" s="31" t="inlineStr">
        <is>
          <t>Yes</t>
        </is>
      </c>
    </row>
    <row r="10">
      <c r="A10" s="28" t="inlineStr">
        <is>
          <t>Portable bar for the second crew and indoor venues</t>
        </is>
      </c>
      <c r="B10" s="49" t="n">
        <v>2000</v>
      </c>
      <c r="C10" s="68">
        <f>IFERROR(B10/$B$26,"")</f>
        <v>0.025983440753207982</v>
      </c>
      <c r="D10" s="28" t="inlineStr">
        <is>
          <t>A portable bar for the second crew and for indoor venues where the trailer does not fit. Basic units start around 1,000 (checkcherry.com); a nicer one with a lit back bar costs more.</t>
        </is>
      </c>
      <c r="E10" s="31" t="inlineStr">
        <is>
          <t>Yes</t>
        </is>
      </c>
    </row>
    <row r="11">
      <c r="A11" s="28" t="inlineStr">
        <is>
          <t>Inverter generator and power</t>
        </is>
      </c>
      <c r="B11" s="49" t="n">
        <v>1800</v>
      </c>
      <c r="C11" s="68">
        <f>IFERROR(B11/$B$26,"")</f>
        <v>0.023385096677887185</v>
      </c>
      <c r="D11" s="28" t="inlineStr">
        <is>
          <t>A quiet inverter generator and the cabling, for venues without power. Typical range 800-3,000 (Kit estimate).</t>
        </is>
      </c>
      <c r="E11" s="31" t="inlineStr">
        <is>
          <t>Yes</t>
        </is>
      </c>
    </row>
    <row r="12">
      <c r="A12" s="28" t="inlineStr">
        <is>
          <t>Storage unit fit-out (shelving, glass racks, wash station)</t>
        </is>
      </c>
      <c r="B12" s="49" t="n">
        <v>1000</v>
      </c>
      <c r="C12" s="68">
        <f>IFERROR(B12/$B$26,"")</f>
        <v>0.012991720376603991</v>
      </c>
      <c r="D12" s="28" t="inlineStr">
        <is>
          <t>Shelving, glassware racks and a wash area inside the storage unit. Ask the facility what it already provides before you budget this line.</t>
        </is>
      </c>
      <c r="E12" s="31" t="inlineStr">
        <is>
          <t>Yes</t>
        </is>
      </c>
    </row>
    <row r="13">
      <c r="A13" s="28" t="inlineStr">
        <is>
          <t>LLC formation, contracts and legal</t>
        </is>
      </c>
      <c r="B13" s="49" t="n">
        <v>1500</v>
      </c>
      <c r="C13" s="68">
        <f>IFERROR(B13/$B$26,"")</f>
        <v>0.019487580564905987</v>
      </c>
      <c r="D13" s="28" t="inlineStr">
        <is>
          <t>State filing fees for the articles of organization (Secretary of State) plus any attorney or filing-service fees; a registered agent is also needed. Fees vary a lot by state. The "Taxable / recoverable tax?" column is set to No: it only matters if you enter a recoverable input tax rate (for example UK VAT).</t>
        </is>
      </c>
      <c r="E13" s="31" t="inlineStr">
        <is>
          <t>No</t>
        </is>
      </c>
    </row>
    <row r="14">
      <c r="A14" s="28" t="inlineStr">
        <is>
          <t>First-year permits and certifications (business license, sales tax permit, TABC / RBS / TIPS)</t>
        </is>
      </c>
      <c r="B14" s="49" t="n">
        <v>1000</v>
      </c>
      <c r="C14" s="68">
        <f>IFERROR(B14/$B$26,"")</f>
        <v>0.012991720376603991</v>
      </c>
      <c r="D14" s="28" t="inlineStr">
        <is>
          <t>Business license, sales tax permit and responsible-service certifications (TABC in Texas, RBS in California, TIPS or ServSafe Alcohol) for year 1. It varies a lot by state and city: get the amounts for yours before you close the budget.</t>
        </is>
      </c>
      <c r="E14" s="31" t="inlineStr">
        <is>
          <t>No</t>
        </is>
      </c>
    </row>
    <row r="15">
      <c r="A15" s="28" t="inlineStr">
        <is>
          <t>Health permit / unit inspection (only if your county requires it)</t>
        </is>
      </c>
      <c r="B15" s="49" t="n">
        <v>500</v>
      </c>
      <c r="C15" s="68">
        <f>IFERROR(B15/$B$26,"")</f>
        <v>0.0064958601883019955</v>
      </c>
      <c r="D15" s="28" t="inlineStr">
        <is>
          <t>Only if your county requires it: ask your county health department whether ice, cut garnish or the hand sink trigger a unit inspection. If not, enter 0.</t>
        </is>
      </c>
      <c r="E15" s="31" t="inlineStr">
        <is>
          <t>Yes</t>
        </is>
      </c>
    </row>
    <row r="16">
      <c r="A16" s="28" t="inlineStr">
        <is>
          <t>Booking software, card reader and tablet</t>
        </is>
      </c>
      <c r="B16" s="49" t="n">
        <v>800</v>
      </c>
      <c r="C16" s="68">
        <f>IFERROR(B16/$B$26,"")</f>
        <v>0.010393376301283194</v>
      </c>
      <c r="D16" s="28" t="inlineStr">
        <is>
          <t>Booking software and CRM for proposals, contracts and deposits, plus a card reader and a tablet.</t>
        </is>
      </c>
      <c r="E16" s="31" t="inlineStr">
        <is>
          <t>Yes</t>
        </is>
      </c>
    </row>
    <row r="17">
      <c r="A17" s="28" t="inlineStr">
        <is>
          <t>Bar tools and smallwares (4 stations)</t>
        </is>
      </c>
      <c r="B17" s="49" t="n">
        <v>1200</v>
      </c>
      <c r="C17" s="68">
        <f>IFERROR(B17/$B$26,"")</f>
        <v>0.01559006445192479</v>
      </c>
      <c r="D17" s="28" t="inlineStr">
        <is>
          <t>Shakers, jiggers, speed rails, strainers, ice scoops and bar mats for 4 stations: the equipment that gets depreciated. Daily disposables are NOT depreciated: they go in the disposables line of the P&amp;L, at the % of sales set in "0. Assumptions".</t>
        </is>
      </c>
      <c r="E17" s="31" t="inlineStr">
        <is>
          <t>Yes</t>
        </is>
      </c>
    </row>
    <row r="18">
      <c r="A18" s="28" t="inlineStr">
        <is>
          <t>Opening inventory (mixers, syrups, garnishes, cups, napkins)</t>
        </is>
      </c>
      <c r="B18" s="49" t="n">
        <v>1500</v>
      </c>
      <c r="C18" s="68">
        <f>IFERROR(B18/$B$26,"")</f>
        <v>0.019487580564905987</v>
      </c>
      <c r="D18" s="28" t="inlineStr">
        <is>
          <t>Mixers, syrups, garnishes, cups and napkins for your first events. No alcohol: in dry hire the host buys it. With 0% recoverable input tax (the US default), any sales tax you pay on this purchase is treated as a cost.</t>
        </is>
      </c>
      <c r="E18" s="31" t="inlineStr">
        <is>
          <t>Yes</t>
        </is>
      </c>
    </row>
    <row r="19">
      <c r="A19" s="28" t="inlineStr">
        <is>
          <t>Website, photos, launch and first bridal show</t>
        </is>
      </c>
      <c r="B19" s="49" t="n">
        <v>5000</v>
      </c>
      <c r="C19" s="68">
        <f>IFERROR(B19/$B$26,"")</f>
        <v>0.06495860188301995</v>
      </c>
      <c r="D19" s="28" t="inlineStr">
        <is>
          <t>Website, photos of the trailer set up, listings on The Knot, WeddingWire, Zola and GigSalad, Google Business Profile and your first bridal show.</t>
        </is>
      </c>
      <c r="E19" s="31" t="inlineStr">
        <is>
          <t>Yes</t>
        </is>
      </c>
    </row>
    <row r="20">
      <c r="A20" s="28" t="inlineStr">
        <is>
          <t>Glassware (300 pieces + racks), coolers, ice bins and dispensers</t>
        </is>
      </c>
      <c r="B20" s="49" t="n">
        <v>3500</v>
      </c>
      <c r="C20" s="68">
        <f>IFERROR(B20/$B$26,"")</f>
        <v>0.04547102131811397</v>
      </c>
      <c r="D20" s="28" t="inlineStr">
        <is>
          <t>Glassware (300 pieces plus racks), coolers, ice bins and dispensers for events where the host does not rent glass.</t>
        </is>
      </c>
      <c r="E20" s="31" t="inlineStr">
        <is>
          <t>Yes</t>
        </is>
      </c>
    </row>
    <row r="21">
      <c r="A21" s="28" t="inlineStr">
        <is>
          <t>Storage unit deposit</t>
        </is>
      </c>
      <c r="B21" s="40">
        <f>IFERROR(IF('0. Assumptions'!$B$24="","",'0. Assumptions'!$B$24*'0. Assumptions'!$B$25),"")</f>
        <v>600.0</v>
      </c>
      <c r="C21" s="68">
        <f>IFERROR(B21/$B$26,"")</f>
        <v>0.007795032225962395</v>
      </c>
      <c r="D21" s="28" t="str">
        <f>IFERROR(""&amp;TEXT('0. Assumptions'!$B$25,"0")&amp;IF('0. Assumptions'!$B$25=1," month"," months")&amp;" of rent, from ""0. Assumptions"". Refundable when the storage unit lease ends: it is not depreciated and carries no tax","")</f>
        <v>1 month of rent, from "0. Assumptions". Refundable when the storage unit lease ends: it is not depreciated and carries no tax</v>
      </c>
      <c r="E21" s="28" t="inlineStr">
        <is>
          <t>No</t>
        </is>
      </c>
    </row>
    <row r="22">
      <c r="A22" s="28" t="inlineStr">
        <is>
          <t>Storage rent before opening</t>
        </is>
      </c>
      <c r="B22" s="40">
        <f>IFERROR(IF('0. Assumptions'!$B$24="","",'0. Assumptions'!$B$24*'0. Assumptions'!$B$54),"")</f>
        <v>1200.0</v>
      </c>
      <c r="C22" s="68">
        <f>IFERROR(B22/$B$26,"")</f>
        <v>0.01559006445192479</v>
      </c>
      <c r="D22" s="28" t="str">
        <f>IFERROR("Rent "&amp;IF('0. Assumptions'!$B$54=1,"for the month","for the "&amp;TEXT('0. Assumptions'!$B$54,"0")&amp;" months")&amp;" of trailer build, permits and pre-sales before opening. It does not overlap the P&amp;L, which starts on opening day: its twelve months are twelve trading months","")</f>
        <v>Rent for the 2 months of trailer build, permits and pre-sales before opening. It does not overlap the P&amp;L, which starts on opening day: its twelve months are twelve trading months</v>
      </c>
      <c r="E22" s="28" t="inlineStr">
        <is>
          <t>Yes</t>
        </is>
      </c>
    </row>
    <row r="23">
      <c r="A23" s="28" t="inlineStr">
        <is>
          <t>Trailer and fit-out contingency</t>
        </is>
      </c>
      <c r="B23" s="40">
        <f>IFERROR(IF(COUNT(B7,B8,B11,B12,B15)=0,"",ROUND((B7+B8+B11+B12+B15)*'0. Assumptions'!$B$55,0)),"")</f>
        <v>2430.0</v>
      </c>
      <c r="C23" s="68">
        <f>IFERROR(B23/$B$26,"")</f>
        <v>0.0315698805151477</v>
      </c>
      <c r="D23" s="28" t="str">
        <f>IFERROR("At "&amp;TEXT('0. Assumptions'!$B$55,"0%")&amp;" of the BUILD-OUT items of this block (used bar trailer, trailer conversion, inverter generator, storage unit fit-out and the health permit / unit inspection), not of the whole block: the other items are left out. No lender funds a "&amp;"build-out without a cushion: the percentage is in ""0. Assumptions""","")</f>
        <v>At 10% of the BUILD-OUT items of this block (used bar trailer, trailer conversion, inverter generator, storage unit fit-out and the health permit / unit inspection), not of the whole block: the other items are left out. No lender funds a build-out without a cushion: the percentage is in "0. Assumptions"</v>
      </c>
      <c r="E23" s="28" t="inlineStr">
        <is>
          <t>Yes</t>
        </is>
      </c>
    </row>
    <row r="24">
      <c r="A24" s="16" t="inlineStr">
        <is>
          <t>WORKING CAPITAL</t>
        </is>
      </c>
      <c r="B24" s="52">
        <f>IFERROR(IF(B25="","",B25),"")</f>
        <v>29442.099999999995</v>
      </c>
      <c r="C24" s="69">
        <f>IFERROR(B24/$B$26,"")</f>
        <v>0.38250353050001235</v>
      </c>
    </row>
    <row r="25">
      <c r="A25" s="35" t="inlineStr">
        <is>
          <t>Operating cushion until break-even</t>
        </is>
      </c>
      <c r="B25" s="42">
        <f>IFERROR(IF('0. Assumptions'!$B$35*('3-Year P&amp;L'!$B$38-'3-Year P&amp;L'!$B$36)=0,"",'0. Assumptions'!$B$35*('3-Year P&amp;L'!$B$38-'3-Year P&amp;L'!$B$36)/12),"")</f>
        <v>29442.099999999995</v>
      </c>
      <c r="C25" s="65">
        <f>IFERROR(B25/$B$26,"")</f>
        <v>0.38250353050001235</v>
      </c>
      <c r="D25"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25" s="35" t="inlineStr">
        <is>
          <t>No</t>
        </is>
      </c>
    </row>
    <row r="26">
      <c r="A26" s="16" t="inlineStr">
        <is>
          <t>TOTAL STARTUP COSTS (sum of the blocks)</t>
        </is>
      </c>
      <c r="B26" s="52">
        <f>IFERROR(B6+B24,"")</f>
        <v>76972.09999999999</v>
      </c>
      <c r="D26" s="37" t="str">
        <f>IFERROR("The percentages in column C are read on this figure, which includes the working capital ("&amp;TEXT(C24,"0%")&amp;" of the total). To compare the breakdown with another plan, use the CAPEX row below.","")</f>
        <v>The percentages in column C are read on this figure, which includes the working capital (38% of the total). To compare the breakdown with another plan, use the CAPEX row below.</v>
      </c>
    </row>
    <row r="27">
      <c r="A27" s="16" t="inlineStr">
        <is>
          <t>CAPEX (startup costs excluding working capital)</t>
        </is>
      </c>
      <c r="B27" s="52">
        <f>IFERROR(B26-B24,"")</f>
        <v>47530.0</v>
      </c>
      <c r="D27" s="16" t="inlineStr">
        <is>
          <t>What you buy: trailer, conversion, equipment, launch and formation costs. The cash cushion is not an investment: it is working capital.</t>
        </is>
      </c>
    </row>
    <row r="28">
      <c r="A28" s="35" t="inlineStr">
        <is>
          <t>Recoverable input tax on capex</t>
        </is>
      </c>
      <c r="B28" s="42">
        <f>IFERROR(IF(B26="","",SUMIF($E$7:$E$23,"Yes",$B$7:$B$23)*'0. Assumptions'!$B$41),"")</f>
        <v>0.0</v>
      </c>
      <c r="D28"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row>
    <row r="29">
      <c r="A29" s="16" t="inlineStr">
        <is>
          <t>TOTAL CASH NEEDED AT LAUNCH</t>
        </is>
      </c>
      <c r="B29" s="52">
        <f>IFERROR(B26+B28,"")</f>
        <v>76972.09999999999</v>
      </c>
      <c r="D29" s="16" t="inlineStr">
        <is>
          <t>This is the figure the Financing tab has to cover</t>
        </is>
      </c>
    </row>
    <row r="30">
      <c r="A30" s="16" t="inlineStr">
        <is>
          <t>DEPRECIATION BASES (not added to startup costs)</t>
        </is>
      </c>
    </row>
    <row r="31">
      <c r="A31" s="35" t="inlineStr">
        <is>
          <t>Trailer, conversion and fit-out (depreciated over the trailer life)</t>
        </is>
      </c>
      <c r="B31" s="42">
        <f>IFERROR(IF(B7="","",B7+B8+B11+B12+B15+B23),"")</f>
        <v>26730.0</v>
      </c>
      <c r="D31" t="str">
        <f>IFERROR("Depreciated over "&amp;TEXT('0. Assumptions'!$B$44,"0")&amp;" years","")</f>
        <v>Depreciated over 7 years</v>
      </c>
    </row>
    <row r="32">
      <c r="A32" s="35" t="inlineStr">
        <is>
          <t>Machinery, furniture and equipment</t>
        </is>
      </c>
      <c r="B32" s="42">
        <f>IFERROR(IF(B9="","",B9+B10+B16+B17+B20),"")</f>
        <v>10000.0</v>
      </c>
      <c r="D32" t="str">
        <f>IFERROR("Depreciated over "&amp;TEXT('0. Assumptions'!$B$45,"0")&amp;" years","")</f>
        <v>Depreciated over 5 years</v>
      </c>
    </row>
    <row r="33">
      <c r="A33" s="16" t="inlineStr">
        <is>
          <t>Annual depreciation of fixed assets</t>
        </is>
      </c>
      <c r="B33" s="52">
        <f>IFERROR(B31/MAX(1,'0. Assumptions'!$B$44)+B32/MAX(1,'0. Assumptions'!$B$45),"")</f>
        <v>5818.571428571428</v>
      </c>
      <c r="D33" s="37" t="str">
        <f>IFERROR("Not depreciated, because they are not fixed assets: LLC formation and legal, first-year permits and certifications, opening inventory, website, photos and launch, the storage unit deposit, pre-opening storage rent and the working capital "&amp;"reserve. They add up to "&amp;TEXT(B26-B31-B32,"#,##0")&amp;" of the "&amp;TEXT(B26,"#,##0")&amp;" total investment.","")</f>
        <v>Not depreciated, because they are not fixed assets: LLC formation and legal, first-year permits and certifications, opening inventory, website, photos and launch, the storage unit deposit, pre-opening storage rent and the working capital reserve. They add up to 40242 of the 76972 total investment.</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9">
    <cfRule type="expression" priority="1" dxfId="0" stopIfTrue="1">
      <formula>AND(ISNUMBER(B29),B29&gt;0)</formula>
    </cfRule>
  </conditionalFormatting>
  <dataValidations count="2">
    <dataValidation sqref="E7:E20" showDropDown="0" showInputMessage="0" showErrorMessage="1" allowBlank="1" errorTitle="Invalid entry" error="Enter &quot;Yes&quot; or &quot;No&quot;: the recoverable input tax on startup costs comes from this column." type="list">
      <formula1>"Yes,No"</formula1>
    </dataValidation>
    <dataValidation sqref="B7 B8 B9 B10 B11 B12 B13 B14 B15 B16 B17 B18 B19 B20"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8" t="inlineStr">
        <is>
          <t>PRO FORMA P&amp;L — 3 YEARS</t>
        </is>
      </c>
    </row>
    <row r="2">
      <c r="A2" s="3" t="inlineStr">
        <is>
          <t>Base case — mobile bar (dry hire)</t>
        </is>
      </c>
    </row>
    <row r="4">
      <c r="A4" s="39" t="inlineStr">
        <is>
          <t>Item</t>
        </is>
      </c>
      <c r="B4" s="39" t="inlineStr">
        <is>
          <t>Year 1</t>
        </is>
      </c>
      <c r="C4" s="39" t="inlineStr">
        <is>
          <t>Year 2</t>
        </is>
      </c>
      <c r="D4" s="39" t="inlineStr">
        <is>
          <t>Year 3</t>
        </is>
      </c>
      <c r="E4" s="39" t="inlineStr">
        <is>
          <t>% of sales (year 1)</t>
        </is>
      </c>
      <c r="F4" s="39" t="inlineStr">
        <is>
          <t>Notes</t>
        </is>
      </c>
      <c r="G4" s="39" t="inlineStr">
        <is>
          <t>Sales tax rate on the line (%)</t>
        </is>
      </c>
      <c r="H4" s="28" t="n"/>
    </row>
    <row r="5">
      <c r="A5" s="25" t="inlineStr">
        <is>
          <t>REVENUE</t>
        </is>
      </c>
      <c r="B5" s="28" t="n"/>
      <c r="C5" s="28" t="n"/>
      <c r="D5" s="28" t="n"/>
      <c r="E5" s="28" t="n"/>
      <c r="F5" s="28" t="n"/>
      <c r="G5" s="28" t="n"/>
      <c r="H5" s="28" t="n"/>
    </row>
    <row r="6">
      <c r="A6" s="28" t="inlineStr">
        <is>
          <t>Events per year (average)</t>
        </is>
      </c>
      <c r="B6" s="40">
        <f>IFERROR(IF('0. Assumptions'!$B$4="","",'0. Assumptions'!$B$4),"")</f>
        <v>160.0</v>
      </c>
      <c r="C6" s="40">
        <f>IFERROR(B6*(1+'0. Assumptions'!$B$7),"")</f>
        <v>176.0</v>
      </c>
      <c r="D6" s="40">
        <f>IFERROR(C6*(1+'0. Assumptions'!$B$8),"")</f>
        <v>190.08</v>
      </c>
      <c r="E6" s="28" t="n"/>
      <c r="F6" s="28" t="inlineStr">
        <is>
          <t>Growth for years 2 and 3 is set in "0. Assumptions"</t>
        </is>
      </c>
      <c r="G6" s="28" t="n"/>
      <c r="H6" s="28" t="n"/>
    </row>
    <row r="7">
      <c r="A7" s="28" t="inlineStr">
        <is>
          <t>Average price per guest (excl. sales tax)</t>
        </is>
      </c>
      <c r="B7" s="61">
        <f>IFERROR(IF('0. Assumptions'!$B$5="","",'0. Assumptions'!$B$5),"")</f>
        <v>14.0</v>
      </c>
      <c r="C7" s="61">
        <f>IFERROR(IF(B7="","",B7),"")</f>
        <v>14.0</v>
      </c>
      <c r="D7" s="61">
        <f>IFERROR(IF(C7="","",C7),"")</f>
        <v>14.0</v>
      </c>
      <c r="E7" s="28" t="n"/>
      <c r="F7" s="28" t="inlineStr">
        <is>
          <t>Held constant at year-1 prices: a price increase is a separate decision</t>
        </is>
      </c>
      <c r="G7" s="28" t="n"/>
      <c r="H7" s="28" t="n"/>
    </row>
    <row r="8">
      <c r="A8" s="28" t="inlineStr">
        <is>
          <t>Average guests per event</t>
        </is>
      </c>
      <c r="B8" s="40">
        <f>IFERROR(IF('0. Assumptions'!$B$6="","",'0. Assumptions'!$B$6),"")</f>
        <v>95.0</v>
      </c>
      <c r="C8" s="40">
        <f>IFERROR(IF(B8="","",B8),"")</f>
        <v>95.0</v>
      </c>
      <c r="D8" s="40">
        <f>IFERROR(IF(C8="","",C8),"")</f>
        <v>95.0</v>
      </c>
      <c r="E8" s="28" t="n"/>
      <c r="F8" s="28" t="n"/>
      <c r="G8" s="28" t="n"/>
      <c r="H8" s="28" t="n"/>
    </row>
    <row r="9">
      <c r="A9" s="25" t="inlineStr">
        <is>
          <t>TOTAL REVENUE (excl. sales tax)</t>
        </is>
      </c>
      <c r="B9" s="66">
        <f>IFERROR(IF(B6*B7*B8=0,"",B6*B7*B8),"")</f>
        <v>212800.0</v>
      </c>
      <c r="C9" s="66">
        <f>IFERROR(IF(C6*C7*C8=0,"",C6*C7*C8),"")</f>
        <v>234080.0</v>
      </c>
      <c r="D9" s="66">
        <f>IFERROR(IF(D6*D7*D8=0,"",D6*D7*D8),"")</f>
        <v>252806.40000000002</v>
      </c>
      <c r="E9" s="67">
        <f>IFERROR(IF(B9="","",1),"")</f>
        <v>1.0</v>
      </c>
      <c r="F9" s="28" t="n"/>
      <c r="G9" s="28" t="n"/>
      <c r="H9" s="28" t="n"/>
    </row>
    <row r="10">
      <c r="A10" s="28" t="inlineStr">
        <is>
          <t>Bar package sales (bartending service, bar, mixers, garnishes, ice)</t>
        </is>
      </c>
      <c r="B10" s="40">
        <f>IFERROR(IF(B9="","",B9*$E$10),"")</f>
        <v>180880.0</v>
      </c>
      <c r="C10" s="40">
        <f>IFERROR(IF(C9="","",C9*$E$10),"")</f>
        <v>198968.0</v>
      </c>
      <c r="D10" s="40">
        <f>IFERROR(IF(D9="","",D9*$E$10),"")</f>
        <v>214885.44</v>
      </c>
      <c r="E10" s="68">
        <f>IFERROR(IF('0. Assumptions'!$B$11="","",'0. Assumptions'!$B$11),"")</f>
        <v>0.85</v>
      </c>
      <c r="F10" s="28" t="inlineStr">
        <is>
          <t>Bar package sales: bartending service, bar, mixers, garnishes, ice and cups per guest, for weddings, corporate events and private parties. No alcohol: the host buys it. All of it carries cost of goods sold at the bar package rate.</t>
        </is>
      </c>
      <c r="G10" s="68">
        <f>IFERROR(IF(B9="","",'0. Assumptions'!$B$39),"")</f>
        <v>0.08</v>
      </c>
      <c r="H10" s="28" t="n"/>
    </row>
    <row r="11">
      <c r="A11" s="28" t="inlineStr">
        <is>
          <t>Add-on sales (travel fees, extra hours, glassware, specialty bars)</t>
        </is>
      </c>
      <c r="B11" s="40">
        <f>IFERROR(IF(B9="","",B9*$E$11),"")</f>
        <v>31920.000000000004</v>
      </c>
      <c r="C11" s="40">
        <f>IFERROR(IF(C9="","",C9*$E$11),"")</f>
        <v>35112.00000000001</v>
      </c>
      <c r="D11" s="40">
        <f>IFERROR(IF(D9="","",D9*$E$11),"")</f>
        <v>37920.96000000001</v>
      </c>
      <c r="E11" s="68">
        <f>IFERROR(IF('0. Assumptions'!$B$12="","",'0. Assumptions'!$B$12),"")</f>
        <v>0.15000000000000002</v>
      </c>
      <c r="F11" s="28" t="inlineStr">
        <is>
          <t>Add-on sales: travel fees, extra hours of service, glassware, champagne service and specialty bars. They carry cost of goods sold at the add-on rate.</t>
        </is>
      </c>
      <c r="G11" s="68">
        <f>IFERROR(IF(B9="","",('0. Assumptions'!$B$62*((1-'0. Assumptions'!$B$16)*'0. Assumptions'!$B$63+'0. Assumptions'!$B$16*'0. Assumptions'!$B$40)+(1-'0. Assumptions'!$B$62)*'0. Assumptions'!$B$39)),"")</f>
        <v>0.08</v>
      </c>
      <c r="H11" s="28" t="n"/>
    </row>
    <row r="12">
      <c r="A12" s="25" t="inlineStr">
        <is>
          <t>VARIABLE COSTS</t>
        </is>
      </c>
      <c r="B12" s="28" t="n"/>
      <c r="C12" s="28" t="n"/>
      <c r="D12" s="28" t="n"/>
      <c r="E12" s="28" t="n"/>
      <c r="F12" s="28" t="n"/>
      <c r="G12" s="28" t="n"/>
      <c r="H12" s="28" t="n"/>
    </row>
    <row r="13">
      <c r="A13" s="28" t="inlineStr">
        <is>
          <t>Cost of goods — bar packages (mixers, garnishes, ice)</t>
        </is>
      </c>
      <c r="B13" s="40">
        <f>IFERROR(IF(B9="","",B9*'0. Assumptions'!$B$11*'0. Assumptions'!$B$13),"")</f>
        <v>34367.2</v>
      </c>
      <c r="C13" s="40">
        <f>IFERROR(IF(C9="","",C9*'0. Assumptions'!$B$11*'0. Assumptions'!$B$13),"")</f>
        <v>37803.92</v>
      </c>
      <c r="D13" s="40">
        <f>IFERROR(IF(D9="","",D9*'0. Assumptions'!$B$11*'0. Assumptions'!$B$13),"")</f>
        <v>40828.2336</v>
      </c>
      <c r="E13" s="68">
        <f>IFERROR(B13/$B$9,"")</f>
        <v>0.16149999999999998</v>
      </c>
      <c r="F13" s="28" t="str">
        <f>IFERROR("At "&amp;TEXT('0. Assumptions'!$B$13,"0%")&amp;" of BAR PACKAGE sales (mixers, garnishes, ice), not of total sales: add-ons have their own line","")</f>
        <v>At 19% of BAR PACKAGE sales (mixers, garnishes, ice), not of total sales: add-ons have their own line</v>
      </c>
      <c r="G13" s="68">
        <f>IFERROR(IF(B9="","",'0. Assumptions'!$B$41),"")</f>
        <v>0.0</v>
      </c>
      <c r="H13" s="28" t="n"/>
    </row>
    <row r="14">
      <c r="A14" s="28" t="inlineStr">
        <is>
          <t>Cost of goods — add-ons</t>
        </is>
      </c>
      <c r="B14" s="40">
        <f>IFERROR(IF(B9="","",B9*'0. Assumptions'!$B$12*'0. Assumptions'!$B$14),"")</f>
        <v>6384.000000000001</v>
      </c>
      <c r="C14" s="40">
        <f>IFERROR(IF(C9="","",C9*'0. Assumptions'!$B$12*'0. Assumptions'!$B$14),"")</f>
        <v>7022.4000000000015</v>
      </c>
      <c r="D14" s="40">
        <f>IFERROR(IF(D9="","",D9*'0. Assumptions'!$B$12*'0. Assumptions'!$B$14),"")</f>
        <v>7584.192000000002</v>
      </c>
      <c r="E14" s="68">
        <f>IFERROR(B14/$B$9,"")</f>
        <v>0.030000000000000006</v>
      </c>
      <c r="F14" s="28" t="str">
        <f>IFERROR("At "&amp;TEXT('0. Assumptions'!$B$14,"0%")&amp;" of ADD-ON sales","")</f>
        <v>At 20% of ADD-ON sales</v>
      </c>
      <c r="G14" s="68">
        <f>IFERROR(IF(B9="","",'0. Assumptions'!$B$41),"")</f>
        <v>0.0</v>
      </c>
      <c r="H14" s="28" t="n"/>
    </row>
    <row r="15">
      <c r="A15" s="28" t="inlineStr">
        <is>
          <t>Cups, straws, napkins and bar disposables</t>
        </is>
      </c>
      <c r="B15" s="40">
        <f>IFERROR(IF(B9="","",B9*'0. Assumptions'!$B$15),"")</f>
        <v>8512.0</v>
      </c>
      <c r="C15" s="40">
        <f>IFERROR(IF(C9="","",C9*'0. Assumptions'!$B$15),"")</f>
        <v>9363.2</v>
      </c>
      <c r="D15" s="40">
        <f>IFERROR(IF(D9="","",D9*'0. Assumptions'!$B$15),"")</f>
        <v>10112.256000000001</v>
      </c>
      <c r="E15" s="68">
        <f>IFERROR(B15/$B$9,"")</f>
        <v>0.04</v>
      </c>
      <c r="F15" s="28" t="n"/>
      <c r="G15" s="68">
        <f>IFERROR(IF(B9="","",'0. Assumptions'!$B$41),"")</f>
        <v>0.0</v>
      </c>
      <c r="H15" s="28" t="n"/>
    </row>
    <row r="16">
      <c r="A16" s="28" t="inlineStr">
        <is>
          <t>Gig marketplace fees</t>
        </is>
      </c>
      <c r="B16" s="40">
        <f>IFERROR(IF(B9="","",B9*'0. Assumptions'!$B$16*'0. Assumptions'!$B$17),"")</f>
        <v>2128.0</v>
      </c>
      <c r="C16" s="40">
        <f>IFERROR(IF(C9="","",C9*'0. Assumptions'!$B$16*'0. Assumptions'!$B$17),"")</f>
        <v>2340.8</v>
      </c>
      <c r="D16" s="40">
        <f>IFERROR(IF(D9="","",D9*'0. Assumptions'!$B$16*'0. Assumptions'!$B$17),"")</f>
        <v>2528.0640000000003</v>
      </c>
      <c r="E16" s="68">
        <f>IFERROR(B16/$B$9,"")</f>
        <v>0.01</v>
      </c>
      <c r="F16" s="28" t="inlineStr">
        <is>
          <t>Applied to the sales of THAT CHANNEL. With 0% marketplace sales in "0. Assumptions", this line is zero.</t>
        </is>
      </c>
      <c r="G16" s="68">
        <f>IFERROR(IF(B9="","",'0. Assumptions'!$B$41),"")</f>
        <v>0.0</v>
      </c>
      <c r="H16" s="28" t="n"/>
    </row>
    <row r="17">
      <c r="A17" s="28" t="inlineStr">
        <is>
          <t>Card processing fees</t>
        </is>
      </c>
      <c r="B17" s="40">
        <f>IFERROR(IF(B9="","",B9*'0. Assumptions'!$B$18),"")</f>
        <v>6384.0</v>
      </c>
      <c r="C17" s="40">
        <f>IFERROR(IF(C9="","",C9*'0. Assumptions'!$B$18),"")</f>
        <v>7022.4</v>
      </c>
      <c r="D17" s="40">
        <f>IFERROR(IF(D9="","",D9*'0. Assumptions'!$B$18),"")</f>
        <v>7584.192</v>
      </c>
      <c r="E17" s="68">
        <f>IFERROR(B17/$B$9,"")</f>
        <v>0.03</v>
      </c>
      <c r="F17" s="28" t="inlineStr">
        <is>
          <t>Card processing fees are not subject to sales tax: no tax is recovered or deducted for them</t>
        </is>
      </c>
      <c r="G17" s="68" t="n">
        <v>0</v>
      </c>
      <c r="H17" s="28" t="n"/>
    </row>
    <row r="18">
      <c r="A18" s="28" t="inlineStr">
        <is>
          <t>Miscellaneous and contingency</t>
        </is>
      </c>
      <c r="B18" s="40">
        <f>IFERROR(IF(B9="","",B9*'0. Assumptions'!$B$28),"")</f>
        <v>6384.0</v>
      </c>
      <c r="C18" s="40">
        <f>IFERROR(IF(C9="","",C9*'0. Assumptions'!$B$28),"")</f>
        <v>7022.4</v>
      </c>
      <c r="D18" s="40">
        <f>IFERROR(IF(D9="","",D9*'0. Assumptions'!$B$28),"")</f>
        <v>7584.192</v>
      </c>
      <c r="E18" s="68">
        <f>IFERROR(B18/$B$9,"")</f>
        <v>0.03</v>
      </c>
      <c r="F18" s="28" t="str">
        <f>IFERROR("At "&amp;TEXT('0. Assumptions'!$B$28,"0%")&amp;" of sales: a cushion for unbudgeted event costs (extra ice, last-minute mixers, venue parking). It is a VARIABLE cost: it moves with the number of events, so it cannot sit in fixed costs (fuel, maintenance and registration of the tow "&amp;"vehicle and the trailer are in row 27)","")</f>
        <v>At 3% of sales: a cushion for unbudgeted event costs (extra ice, last-minute mixers, venue parking). It is a VARIABLE cost: it moves with the number of events, so it cannot sit in fixed costs (fuel, maintenance and registration of the tow vehicle and the trailer are in row 27)</v>
      </c>
      <c r="G18" s="68">
        <f>IFERROR(IF(B9="","",'0. Assumptions'!$B$41),"")</f>
        <v>0.0</v>
      </c>
      <c r="H18" s="28" t="n"/>
    </row>
    <row r="19">
      <c r="A19" s="25" t="inlineStr">
        <is>
          <t>TOTAL VARIABLE COSTS</t>
        </is>
      </c>
      <c r="B19" s="66">
        <f>IFERROR(IF(B9="","",SUM(B13:B18)),"")</f>
        <v>64159.2</v>
      </c>
      <c r="C19" s="66">
        <f>IFERROR(IF(C9="","",SUM(C13:C18)),"")</f>
        <v>70575.12</v>
      </c>
      <c r="D19" s="66">
        <f>IFERROR(IF(D9="","",SUM(D13:D18)),"")</f>
        <v>76221.1296</v>
      </c>
      <c r="E19" s="67">
        <f>IFERROR(B19/$B$9,"")</f>
        <v>0.3015</v>
      </c>
      <c r="F19" s="28" t="n"/>
      <c r="G19" s="28" t="n"/>
      <c r="H19" s="28" t="n"/>
    </row>
    <row r="20">
      <c r="A20" s="25" t="inlineStr">
        <is>
          <t>GROSS MARGIN</t>
        </is>
      </c>
      <c r="B20" s="66">
        <f>IFERROR(IF(B9="","",B9-B19),"")</f>
        <v>148640.8</v>
      </c>
      <c r="C20" s="66">
        <f>IFERROR(IF(C9="","",C9-C19),"")</f>
        <v>163504.88</v>
      </c>
      <c r="D20" s="66">
        <f>IFERROR(IF(D9="","",D9-D19),"")</f>
        <v>176585.27040000004</v>
      </c>
      <c r="E20" s="67">
        <f>IFERROR(B20/$B$9,"")</f>
        <v>0.6984999999999999</v>
      </c>
      <c r="F20" s="28" t="n"/>
      <c r="G20" s="28" t="n"/>
      <c r="H20" s="28" t="n"/>
    </row>
    <row r="21">
      <c r="A21" s="25" t="inlineStr">
        <is>
          <t>FIXED COSTS</t>
        </is>
      </c>
      <c r="B21" s="28" t="n"/>
      <c r="C21" s="28" t="n"/>
      <c r="D21" s="28" t="n"/>
      <c r="E21" s="28" t="n"/>
      <c r="F21" s="28" t="n"/>
      <c r="G21" s="28" t="n"/>
      <c r="H21" s="28" t="n"/>
    </row>
    <row r="22">
      <c r="A22" s="28" t="inlineStr">
        <is>
          <t>Storage unit &amp; trailer parking</t>
        </is>
      </c>
      <c r="B22" s="40">
        <f>IFERROR(IF(B9="","",'0. Assumptions'!$B$24*12),"")</f>
        <v>7200.0</v>
      </c>
      <c r="C22" s="40">
        <f>IFERROR(IF(C9="","",B22*(1+'0. Assumptions'!$B$48)),"")</f>
        <v>7200.0</v>
      </c>
      <c r="D22" s="40">
        <f>IFERROR(IF(D9="","",C22*(1+'0. Assumptions'!$B$48)),"")</f>
        <v>7200.0</v>
      </c>
      <c r="E22" s="68">
        <f>IFERROR(B22/$B$9,"")</f>
        <v>0.03383458646616541</v>
      </c>
      <c r="F22" s="28" t="inlineStr">
        <is>
          <t>The monthly amount is typed in "0. Assumptions"; here it is multiplied by twelve. It covers your storage unit and the parking spot for the trailer, not storefront rent. The months before opening are on the "Startup Costs" tab and are NOT counted twice.</t>
        </is>
      </c>
      <c r="G22" s="68">
        <f>IFERROR(IF(B9="","",'0. Assumptions'!$B$41),"")</f>
        <v>0.0</v>
      </c>
      <c r="H22" s="28" t="n"/>
    </row>
    <row r="23">
      <c r="A23" s="28" t="inlineStr">
        <is>
          <t>Labor (wages + employer payroll taxes)</t>
        </is>
      </c>
      <c r="B23" s="40">
        <f>IFERROR(IF(B9="","",Staffing!$G$9),"")</f>
        <v>78368.4</v>
      </c>
      <c r="C23" s="40">
        <f>IFERROR(IF(C9="","",Staffing!$B$13),"")</f>
        <v>81368.4</v>
      </c>
      <c r="D23" s="40">
        <f>IFERROR(IF(D9="","",Staffing!$B$14),"")</f>
        <v>84368.4</v>
      </c>
      <c r="E23" s="68">
        <f>IFERROR(B23/$B$9,"")</f>
        <v>0.3682725563909774</v>
      </c>
      <c r="F23" s="28" t="inlineStr">
        <is>
          <t>Comes from the Staffing tab: it is the SAME number, not a separate estimate. Years 2 and 3 add the new hires declared on that tab, not a percentage of volume</t>
        </is>
      </c>
      <c r="G23" s="68" t="n">
        <v>0</v>
      </c>
      <c r="H23" s="28" t="n"/>
    </row>
    <row r="24">
      <c r="A24" s="28" t="inlineStr">
        <is>
          <t>Utilities (storage unit power and water)</t>
        </is>
      </c>
      <c r="B24" s="40">
        <f>IFERROR(IF(B9="","",'0. Assumptions'!$B$26*12),"")</f>
        <v>1200.0</v>
      </c>
      <c r="C24" s="40">
        <f>IFERROR(IF(C9="","",B24*(1+'0. Assumptions'!$B$48)),"")</f>
        <v>1200.0</v>
      </c>
      <c r="D24" s="40">
        <f>IFERROR(IF(D9="","",C24*(1+'0. Assumptions'!$B$48)),"")</f>
        <v>1200.0</v>
      </c>
      <c r="E24" s="68">
        <f>IFERROR(B24/$B$9,"")</f>
        <v>0.005639097744360902</v>
      </c>
      <c r="F24" s="28" t="inlineStr">
        <is>
          <t>Electricity and water for the storage unit, plus any utilities the storage rent does not cover. Fuel for the tow vehicle and the generator is in the vehicle and trailer line.</t>
        </is>
      </c>
      <c r="G24" s="68">
        <f>IFERROR(IF(B9="","",'0. Assumptions'!$B$41),"")</f>
        <v>0.0</v>
      </c>
      <c r="H24" s="28" t="n"/>
    </row>
    <row r="25">
      <c r="A25" s="28" t="inlineStr">
        <is>
          <t>Insurance (general and liquor liability, auto, workers' comp)</t>
        </is>
      </c>
      <c r="B25" s="40">
        <f>IFERROR(IF(B9="","",'0. Assumptions'!$B$27),"")</f>
        <v>4000.0</v>
      </c>
      <c r="C25" s="40">
        <f>IFERROR(IF(C9="","",B25*(1+'0. Assumptions'!$B$48)),"")</f>
        <v>4000.0</v>
      </c>
      <c r="D25" s="40">
        <f>IFERROR(IF(D9="","",C25*(1+'0. Assumptions'!$B$48)),"")</f>
        <v>4000.0</v>
      </c>
      <c r="E25" s="68">
        <f>IFERROR(B25/$B$9,"")</f>
        <v>0.018796992481203006</v>
      </c>
      <c r="F25" s="28" t="inlineStr">
        <is>
          <t>Insurance premiums are not subject to sales tax: there is no recoverable tax on them</t>
        </is>
      </c>
      <c r="G25" s="68" t="n">
        <v>0</v>
      </c>
      <c r="H25" s="28" t="n"/>
    </row>
    <row r="26">
      <c r="A26" s="28" t="inlineStr">
        <is>
          <t>Permits and certifications renewal</t>
        </is>
      </c>
      <c r="B26" s="49" t="n">
        <v>500</v>
      </c>
      <c r="C26" s="40">
        <f>IFERROR(IF(C9="","",B26*(1+'0. Assumptions'!$B$48)),"")</f>
        <v>500.0</v>
      </c>
      <c r="D26" s="40">
        <f>IFERROR(IF(D9="","",C26*(1+'0. Assumptions'!$B$48)),"")</f>
        <v>500.0</v>
      </c>
      <c r="E26" s="68">
        <f>IFERROR(B26/$B$9,"")</f>
        <v>0.002349624060150376</v>
      </c>
      <c r="F26" s="28" t="n"/>
      <c r="G26" s="68">
        <f>IFERROR(IF(B9="","",'0. Assumptions'!$B$41),"")</f>
        <v>0.0</v>
      </c>
      <c r="H26" s="28" t="n"/>
    </row>
    <row r="27">
      <c r="A27" s="28" t="inlineStr">
        <is>
          <t>Vehicle and trailer fuel, maintenance and registration</t>
        </is>
      </c>
      <c r="B27" s="49" t="n">
        <v>4000</v>
      </c>
      <c r="C27" s="40">
        <f>IFERROR(IF(C9="","",B27*(1+'0. Assumptions'!$B$48)),"")</f>
        <v>4000.0</v>
      </c>
      <c r="D27" s="40">
        <f>IFERROR(IF(D9="","",C27*(1+'0. Assumptions'!$B$48)),"")</f>
        <v>4000.0</v>
      </c>
      <c r="E27" s="68">
        <f>IFERROR(B27/$B$9,"")</f>
        <v>0.018796992481203006</v>
      </c>
      <c r="F27" s="28" t="n"/>
      <c r="G27" s="68">
        <f>IFERROR(IF(B9="","",'0. Assumptions'!$B$41),"")</f>
        <v>0.0</v>
      </c>
      <c r="H27" s="28" t="n"/>
    </row>
    <row r="28">
      <c r="A28" s="28" t="inlineStr">
        <is>
          <t>Marketing and advertising</t>
        </is>
      </c>
      <c r="B28" s="49" t="n">
        <v>9000</v>
      </c>
      <c r="C28" s="40">
        <f>IFERROR(IF(C9="","",B28*(1+'0. Assumptions'!$B$48)),"")</f>
        <v>9000.0</v>
      </c>
      <c r="D28" s="40">
        <f>IFERROR(IF(D9="","",C28*(1+'0. Assumptions'!$B$48)),"")</f>
        <v>9000.0</v>
      </c>
      <c r="E28" s="68">
        <f>IFERROR(B28/$B$9,"")</f>
        <v>0.042293233082706765</v>
      </c>
      <c r="F28" s="28" t="n"/>
      <c r="G28" s="68">
        <f>IFERROR(IF(B9="","",'0. Assumptions'!$B$41),"")</f>
        <v>0.0</v>
      </c>
      <c r="H28" s="28" t="n"/>
    </row>
    <row r="29">
      <c r="A29" s="28" t="inlineStr">
        <is>
          <t>Accounting / bookkeeping</t>
        </is>
      </c>
      <c r="B29" s="49" t="n">
        <v>2400</v>
      </c>
      <c r="C29" s="40">
        <f>IFERROR(IF(C9="","",B29*(1+'0. Assumptions'!$B$48)),"")</f>
        <v>2400.0</v>
      </c>
      <c r="D29" s="40">
        <f>IFERROR(IF(D9="","",C29*(1+'0. Assumptions'!$B$48)),"")</f>
        <v>2400.0</v>
      </c>
      <c r="E29" s="68">
        <f>IFERROR(B29/$B$9,"")</f>
        <v>0.011278195488721804</v>
      </c>
      <c r="F29" s="28" t="n"/>
      <c r="G29" s="68">
        <f>IFERROR(IF(B9="","",'0. Assumptions'!$B$41),"")</f>
        <v>0.0</v>
      </c>
      <c r="H29" s="28" t="n"/>
    </row>
    <row r="30">
      <c r="A30" s="28" t="inlineStr">
        <is>
          <t>Software (booking / CRM, e-signature, POS)</t>
        </is>
      </c>
      <c r="B30" s="49" t="n">
        <v>1500</v>
      </c>
      <c r="C30" s="40">
        <f>IFERROR(IF(C9="","",B30*(1+'0. Assumptions'!$B$48)),"")</f>
        <v>1500.0</v>
      </c>
      <c r="D30" s="40">
        <f>IFERROR(IF(D9="","",C30*(1+'0. Assumptions'!$B$48)),"")</f>
        <v>1500.0</v>
      </c>
      <c r="E30" s="68">
        <f>IFERROR(B30/$B$9,"")</f>
        <v>0.007048872180451127</v>
      </c>
      <c r="F30" s="28" t="n"/>
      <c r="G30" s="68">
        <f>IFERROR(IF(B9="","",'0. Assumptions'!$B$41),"")</f>
        <v>0.0</v>
      </c>
      <c r="H30" s="28" t="n"/>
    </row>
    <row r="31">
      <c r="A31" s="28" t="inlineStr">
        <is>
          <t>Glass washing, linens and bar towels</t>
        </is>
      </c>
      <c r="B31" s="49" t="n">
        <v>1200</v>
      </c>
      <c r="C31" s="40">
        <f>IFERROR(IF(C9="","",B31*(1+'0. Assumptions'!$B$48)),"")</f>
        <v>1200.0</v>
      </c>
      <c r="D31" s="40">
        <f>IFERROR(IF(D9="","",C31*(1+'0. Assumptions'!$B$48)),"")</f>
        <v>1200.0</v>
      </c>
      <c r="E31" s="68">
        <f>IFERROR(B31/$B$9,"")</f>
        <v>0.005639097744360902</v>
      </c>
      <c r="F31" s="28" t="n"/>
      <c r="G31" s="68">
        <f>IFERROR(IF(B9="","",'0. Assumptions'!$B$41),"")</f>
        <v>0.0</v>
      </c>
      <c r="H31" s="28" t="n"/>
    </row>
    <row r="32">
      <c r="A32" s="28" t="inlineStr">
        <is>
          <t>Phone and internet</t>
        </is>
      </c>
      <c r="B32" s="49" t="n">
        <v>900</v>
      </c>
      <c r="C32" s="40">
        <f>IFERROR(IF(C9="","",B32*(1+'0. Assumptions'!$B$48)),"")</f>
        <v>900.0</v>
      </c>
      <c r="D32" s="40">
        <f>IFERROR(IF(D9="","",C32*(1+'0. Assumptions'!$B$48)),"")</f>
        <v>900.0</v>
      </c>
      <c r="E32" s="68">
        <f>IFERROR(B32/$B$9,"")</f>
        <v>0.0042293233082706765</v>
      </c>
      <c r="F32" s="28" t="inlineStr">
        <is>
          <t>Business mobile plan and data for the card reader at venues with weak signal. Get a quote from your carrier.</t>
        </is>
      </c>
      <c r="G32" s="68">
        <f>IFERROR(IF(B9="","",'0. Assumptions'!$B$41),"")</f>
        <v>0.0</v>
      </c>
      <c r="H32" s="28" t="n"/>
    </row>
    <row r="33">
      <c r="A33" s="28" t="inlineStr">
        <is>
          <t>Equipment repair and breakage</t>
        </is>
      </c>
      <c r="B33" s="49" t="n">
        <v>1200</v>
      </c>
      <c r="C33" s="40">
        <f>IFERROR(IF(C9="","",B33*(1+'0. Assumptions'!$B$48)),"")</f>
        <v>1200.0</v>
      </c>
      <c r="D33" s="40">
        <f>IFERROR(IF(D9="","",C33*(1+'0. Assumptions'!$B$48)),"")</f>
        <v>1200.0</v>
      </c>
      <c r="E33" s="68">
        <f>IFERROR(B33/$B$9,"")</f>
        <v>0.005639097744360902</v>
      </c>
      <c r="F33" s="28" t="inlineStr">
        <is>
          <t>Replacing broken or lost glassware and repairing equipment. Glass breaks at events, so restock every season.</t>
        </is>
      </c>
      <c r="G33" s="68">
        <f>IFERROR(IF(B9="","",'0. Assumptions'!$B$41),"")</f>
        <v>0.0</v>
      </c>
      <c r="H33" s="28" t="n"/>
    </row>
    <row r="34">
      <c r="A34" s="28" t="inlineStr">
        <is>
          <t>Staff training and server certifications (TIPS / TABC / RBS)</t>
        </is>
      </c>
      <c r="B34" s="49" t="n">
        <v>400</v>
      </c>
      <c r="C34" s="40">
        <f>IFERROR(IF(C9="","",B34*(1+'0. Assumptions'!$B$48)),"")</f>
        <v>400.0</v>
      </c>
      <c r="D34" s="40">
        <f>IFERROR(IF(D9="","",C34*(1+'0. Assumptions'!$B$48)),"")</f>
        <v>400.0</v>
      </c>
      <c r="E34" s="68">
        <f>IFERROR(B34/$B$9,"")</f>
        <v>0.0018796992481203006</v>
      </c>
      <c r="F34" s="28" t="inlineStr">
        <is>
          <t>Responsible-service certifications for you and your bartenders (TIPS, TABC, RBS or ServSafe Alcohol) and their renewals. The certificate you need varies by state, and many venues ask for it anyway.</t>
        </is>
      </c>
      <c r="G34" s="68">
        <f>IFERROR(IF(B9="","",'0. Assumptions'!$B$41),"")</f>
        <v>0.0</v>
      </c>
      <c r="H34" s="28" t="n"/>
    </row>
    <row r="35">
      <c r="A35" s="28" t="inlineStr">
        <is>
          <t>Tastings and cocktail menu consultations for prospects</t>
        </is>
      </c>
      <c r="B35" s="49" t="n">
        <v>1000</v>
      </c>
      <c r="C35" s="40">
        <f>IFERROR(IF(C9="","",B35*(1+'0. Assumptions'!$B$48)),"")</f>
        <v>1000.0</v>
      </c>
      <c r="D35" s="40">
        <f>IFERROR(IF(D9="","",C35*(1+'0. Assumptions'!$B$48)),"")</f>
        <v>1000.0</v>
      </c>
      <c r="E35" s="68">
        <f>IFERROR(B35/$B$9,"")</f>
        <v>0.004699248120300752</v>
      </c>
      <c r="F35" s="28" t="inlineStr">
        <is>
          <t>Tastings and drink menu consultations for couples and planners: mixers, garnish and your time. Many operators credit the tasting toward the booking: if you do, lower this line.</t>
        </is>
      </c>
      <c r="G35" s="68">
        <f>IFERROR(IF(B9="","",'0. Assumptions'!$B$41),"")</f>
        <v>0.0</v>
      </c>
      <c r="H35" s="28" t="n"/>
    </row>
    <row r="36">
      <c r="A36" s="28" t="inlineStr">
        <is>
          <t>Depreciation of fixed assets</t>
        </is>
      </c>
      <c r="B36" s="40">
        <f>IFERROR(IF(B9="","",'Startup Costs'!$B$33),"")</f>
        <v>5818.571428571428</v>
      </c>
      <c r="C36" s="40">
        <f>IFERROR(IF(C9="","",B36),"")</f>
        <v>5818.571428571428</v>
      </c>
      <c r="D36" s="40">
        <f>IFERROR(IF(D9="","",B36),"")</f>
        <v>5818.571428571428</v>
      </c>
      <c r="E36" s="68">
        <f>IFERROR(B36/$B$9,"")</f>
        <v>0.027342910848549947</v>
      </c>
      <c r="F36" s="28" t="inlineStr">
        <is>
          <t>Comes from the depreciation bases on the Startup Costs tab: real fixed assets only. It does NOT rise with inflation: it is a charge on the HISTORICAL cost of the assets</t>
        </is>
      </c>
      <c r="G36" s="68" t="n">
        <v>0</v>
      </c>
      <c r="H36" s="28" t="n"/>
    </row>
    <row r="37">
      <c r="A37" s="28" t="inlineStr">
        <is>
          <t>Interest expense (loan interest)</t>
        </is>
      </c>
      <c r="B37" s="40">
        <f>IFERROR(IF(B9="","",Financing!$B$44),"")</f>
        <v>4900.0</v>
      </c>
      <c r="C37" s="40">
        <f>IFERROR(IF(C9="","",Financing!$B$46),"")</f>
        <v>4383.513051467082</v>
      </c>
      <c r="D37" s="40">
        <f>IFERROR(IF(D9="","",Financing!$B$48),"")</f>
        <v>3815.377408080872</v>
      </c>
      <c r="E37" s="68">
        <f>IFERROR(B37/$B$9,"")</f>
        <v>0.023026315789473683</v>
      </c>
      <c r="F37" s="28" t="inlineStr">
        <is>
          <t>Only INTEREST is an expense. Principal repaid appears on the cash flow tab</t>
        </is>
      </c>
      <c r="G37" s="68" t="n">
        <v>0</v>
      </c>
      <c r="H37" s="28" t="n"/>
    </row>
    <row r="38">
      <c r="A38" s="16" t="inlineStr">
        <is>
          <t>TOTAL FIXED COSTS</t>
        </is>
      </c>
      <c r="B38" s="52">
        <f>IFERROR(IF(B9="","",SUM(B22:B37)),"")</f>
        <v>123586.97142857143</v>
      </c>
      <c r="C38" s="52">
        <f>IFERROR(IF(C9="","",SUM(C22:C37)),"")</f>
        <v>126070.4844800385</v>
      </c>
      <c r="D38" s="52">
        <f>IFERROR(IF(D9="","",SUM(D22:D37)),"")</f>
        <v>128502.3488366523</v>
      </c>
      <c r="E38" s="69">
        <f>IFERROR(B38/$B$9,"")</f>
        <v>0.580765843179377</v>
      </c>
    </row>
    <row r="39">
      <c r="A39" s="35" t="inlineStr">
        <is>
          <t>Recoverable input tax on variable costs</t>
        </is>
      </c>
      <c r="B39" s="42">
        <f>IFERROR(IF(B9="","",SUMPRODUCT(B13:B18,G13:G18)),"")</f>
        <v>0.0</v>
      </c>
      <c r="C39" s="42">
        <f>IFERROR(IF(C9="","",SUMPRODUCT(C13:C18,G13:G18)),"")</f>
        <v>0.0</v>
      </c>
      <c r="D39" s="42">
        <f>IFERROR(IF(D9="","",SUMPRODUCT(D13:D18,G13:G18)),"")</f>
        <v>0.0</v>
      </c>
      <c r="F39" s="35" t="inlineStr">
        <is>
          <t>Each line at ITS OWN rate, read from the column next to it. It is what the cash flow tab overpays to suppliers and later deducts (zero wherever no tax is recoverable)</t>
        </is>
      </c>
    </row>
    <row r="40">
      <c r="A40" s="35" t="inlineStr">
        <is>
          <t>Recoverable input tax on fixed costs</t>
        </is>
      </c>
      <c r="B40" s="42">
        <f>IFERROR(IF(B9="","",SUMPRODUCT(B22:B37,G22:G37)),"")</f>
        <v>0.0</v>
      </c>
      <c r="C40" s="42">
        <f>IFERROR(IF(C9="","",SUMPRODUCT(C22:C37,G22:G37)),"")</f>
        <v>0.0</v>
      </c>
      <c r="D40" s="42">
        <f>IFERROR(IF(D9="","",SUMPRODUCT(D22:D37,G22:G37)),"")</f>
        <v>0.0</v>
      </c>
    </row>
    <row r="41">
      <c r="A41" s="16" t="inlineStr">
        <is>
          <t>PRE-TAX INCOME (EBT)</t>
        </is>
      </c>
      <c r="B41" s="52">
        <f>IFERROR(IF(B9="","",B20-B38),"")</f>
        <v>25053.82857142856</v>
      </c>
      <c r="C41" s="52">
        <f>IFERROR(IF(C9="","",C20-C38),"")</f>
        <v>37434.3955199615</v>
      </c>
      <c r="D41" s="52">
        <f>IFERROR(IF(D9="","",D20-D38),"")</f>
        <v>48082.92156334774</v>
      </c>
      <c r="E41" s="69">
        <f>IFERROR(B41/$B$9,"")</f>
        <v>0.11773415682062292</v>
      </c>
    </row>
    <row r="42">
      <c r="A42" s="35" t="inlineStr">
        <is>
          <t>Net operating losses carried forward (opening)</t>
        </is>
      </c>
      <c r="B42" s="42">
        <f>IFERROR(IF(B9="","",'0. Assumptions'!$B$42),"")</f>
        <v>0.0</v>
      </c>
      <c r="C42" s="42">
        <f>IFERROR(IF(C9="","",B47),"")</f>
        <v>0.0</v>
      </c>
      <c r="D42" s="42">
        <f>IFERROR(IF(D9="","",C47),"")</f>
        <v>0.0</v>
      </c>
      <c r="F42" s="35" t="inlineStr">
        <is>
          <t>Federal rules let a year's losses offset the profits of later years (the federal limit is 80% of taxable income; this model offsets 100% as a simplification)</t>
        </is>
      </c>
    </row>
    <row r="43">
      <c r="A43" s="35" t="inlineStr">
        <is>
          <t>Taxable income (after loss offset)</t>
        </is>
      </c>
      <c r="B43" s="42">
        <f>IFERROR(IF(B9="","",MAX(0,B41-B42)),"")</f>
        <v>25053.82857142856</v>
      </c>
      <c r="C43" s="42">
        <f>IFERROR(IF(C9="","",MAX(0,C41-C42)),"")</f>
        <v>37434.3955199615</v>
      </c>
      <c r="D43" s="42">
        <f>IFERROR(IF(D9="","",MAX(0,D41-D42)),"")</f>
        <v>48082.92156334774</v>
      </c>
    </row>
    <row r="44">
      <c r="A44" s="35" t="inlineStr">
        <is>
          <t>Years with positive taxable income (cumulative)</t>
        </is>
      </c>
      <c r="B44" s="42">
        <f>IFERROR(IF(B9="","",IF(B43&gt;0,1,0)),"")</f>
        <v>1.0</v>
      </c>
      <c r="C44" s="42">
        <f>IFERROR(IF(C9="","",B44+IF(C43&gt;0,1,0)),"")</f>
        <v>2.0</v>
      </c>
      <c r="D44" s="42">
        <f>IFERROR(IF(D9="","",C44+IF(D43&gt;0,1,0)),"")</f>
        <v>3.0</v>
      </c>
    </row>
    <row r="45">
      <c r="A45" s="35" t="inlineStr">
        <is>
          <t>Effective income tax rate applied</t>
        </is>
      </c>
      <c r="B45" s="65">
        <f>IFERROR(IF(B9="","",IF(B43&lt;=0,"",IF(B44&lt;=2,'0. Assumptions'!$B$37,'0. Assumptions'!$B$38))),"")</f>
        <v>0.25</v>
      </c>
      <c r="C45" s="65">
        <f>IFERROR(IF(C9="","",IF(C43&lt;=0,"",IF(C44&lt;=2,'0. Assumptions'!$B$37,'0. Assumptions'!$B$38))),"")</f>
        <v>0.25</v>
      </c>
      <c r="D45" s="65">
        <f>IFERROR(IF(D9="","",IF(D43&lt;=0,"",IF(D44&lt;=2,'0. Assumptions'!$B$37,'0. Assumptions'!$B$38))),"")</f>
        <v>0.25</v>
      </c>
      <c r="F45" s="35" t="inlineStr">
        <is>
          <t>The "years 1-2" rate applies to the first two years with positive taxable income, not to the first two calendar years of the business. The model approximates this by counting the first two profitable years</t>
        </is>
      </c>
    </row>
    <row r="46">
      <c r="A46" s="35" t="inlineStr">
        <is>
          <t>Income tax</t>
        </is>
      </c>
      <c r="B46" s="42">
        <f>IFERROR(IF(B9="","",IF(B45="",0,B43*B45)),"")</f>
        <v>6263.45714285714</v>
      </c>
      <c r="C46" s="42">
        <f>IFERROR(IF(C9="","",IF(C45="",0,C43*C45)),"")</f>
        <v>9358.598879990375</v>
      </c>
      <c r="D46" s="42">
        <f>IFERROR(IF(D9="","",IF(D45="",0,D43*D45)),"")</f>
        <v>12020.730390836936</v>
      </c>
    </row>
    <row r="47">
      <c r="A47" s="35" t="inlineStr">
        <is>
          <t>Net operating losses carried forward (closing)</t>
        </is>
      </c>
      <c r="B47" s="42">
        <f>IFERROR(IF(B9="","",MAX(0,B42-B41)),"")</f>
        <v>0.0</v>
      </c>
      <c r="C47" s="42">
        <f>IFERROR(IF(C9="","",MAX(0,C42-C41)),"")</f>
        <v>0.0</v>
      </c>
      <c r="D47" s="42">
        <f>IFERROR(IF(D9="","",MAX(0,D42-D41)),"")</f>
        <v>0.0</v>
      </c>
    </row>
    <row r="48">
      <c r="A48" s="16" t="inlineStr">
        <is>
          <t>NET INCOME</t>
        </is>
      </c>
      <c r="B48" s="52">
        <f>IFERROR(IF(B9="","",B41-B46),"")</f>
        <v>18790.37142857142</v>
      </c>
      <c r="C48" s="52">
        <f>IFERROR(IF(C9="","",C41-C46),"")</f>
        <v>28075.796639971126</v>
      </c>
      <c r="D48" s="52">
        <f>IFERROR(IF(D9="","",D41-D46),"")</f>
        <v>36062.19117251081</v>
      </c>
      <c r="E48" s="69">
        <f>IFERROR(B48/$B$9,"")</f>
        <v>0.0883006176154672</v>
      </c>
    </row>
    <row r="49">
      <c r="A49" s="16" t="inlineStr">
        <is>
          <t>KEY RATIOS</t>
        </is>
      </c>
    </row>
    <row r="50">
      <c r="A50" s="16" t="inlineStr">
        <is>
          <t>Ratio</t>
        </is>
      </c>
      <c r="B50" s="16" t="inlineStr">
        <is>
          <t>Year 1</t>
        </is>
      </c>
      <c r="C50" s="16" t="inlineStr">
        <is>
          <t>Year 2</t>
        </is>
      </c>
      <c r="D50" s="16" t="inlineStr">
        <is>
          <t>Year 3</t>
        </is>
      </c>
      <c r="E50" s="16" t="inlineStr">
        <is>
          <t>Threshold</t>
        </is>
      </c>
      <c r="F50" s="16" t="inlineStr">
        <is>
          <t>Comment</t>
        </is>
      </c>
    </row>
    <row r="51">
      <c r="A51" s="35" t="inlineStr">
        <is>
          <t>Gross margin / Sales</t>
        </is>
      </c>
      <c r="B51" s="65">
        <f>IFERROR(IF(B9="","",B20/B9),"")</f>
        <v>0.6984999999999999</v>
      </c>
      <c r="C51" s="65">
        <f>IFERROR(IF(C9="","",C20/C9),"")</f>
        <v>0.6985</v>
      </c>
      <c r="D51" s="65">
        <f>IFERROR(IF(D9="","",D20/D9),"")</f>
        <v>0.6985000000000001</v>
      </c>
      <c r="E51" s="70" t="n">
        <v>0.65</v>
      </c>
      <c r="F51" s="35" t="inlineStr">
        <is>
          <t>Floor set by this workbook: kit benchmark (editable estimate). The workbook's gross margin also subtracts card fees, marketplace fees and miscellaneous event costs, so it sits below the margin of bar package pricing alone.</t>
        </is>
      </c>
    </row>
    <row r="52">
      <c r="A52" s="35" t="inlineStr">
        <is>
          <t>Cost of goods sold (bar packages + add-ons)</t>
        </is>
      </c>
      <c r="B52" s="42">
        <f>IFERROR(IF(B9="","",B13+B14),"")</f>
        <v>40751.2</v>
      </c>
      <c r="C52" s="42">
        <f>IFERROR(IF(C9="","",C13+C14),"")</f>
        <v>44826.32</v>
      </c>
      <c r="D52" s="42">
        <f>IFERROR(IF(D9="","",D13+D14),"")</f>
        <v>48412.4256</v>
      </c>
    </row>
    <row r="53">
      <c r="A53" s="35" t="inlineStr">
        <is>
          <t>Cost of goods sold / Sales</t>
        </is>
      </c>
      <c r="B53" s="65">
        <f>IFERROR(IF(B9="","",B52/B9),"")</f>
        <v>0.19149999999999998</v>
      </c>
      <c r="C53" s="65">
        <f>IFERROR(IF(C9="","",C52/C9),"")</f>
        <v>0.1915</v>
      </c>
      <c r="D53" s="65">
        <f>IFERROR(IF(D9="","",D52/D9),"")</f>
        <v>0.1915</v>
      </c>
      <c r="E53" s="70" t="n">
        <v>0.26</v>
      </c>
      <c r="F53" s="35" t="inlineStr">
        <is>
          <t>Ceiling for cost of goods sold on bar packages and add-ons (disposables have their own line): kit benchmark (editable estimate). No alcohol in it: in dry hire the host buys it.</t>
        </is>
      </c>
    </row>
    <row r="54">
      <c r="A54" s="35" t="inlineStr">
        <is>
          <t>Labor cost / Sales</t>
        </is>
      </c>
      <c r="B54" s="65">
        <f>IFERROR(IF(B9="","",B23/B9),"")</f>
        <v>0.3682725563909774</v>
      </c>
      <c r="C54" s="65">
        <f>IFERROR(IF(C9="","",C23/C9),"")</f>
        <v>0.3476093643198906</v>
      </c>
      <c r="D54" s="65">
        <f>IFERROR(IF(D9="","",D23/D9),"")</f>
        <v>0.3337273107009949</v>
      </c>
      <c r="E54" s="70" t="n">
        <v>0.4</v>
      </c>
      <c r="F54" s="35" t="inlineStr">
        <is>
          <t>Ceiling for labor: kit benchmark (editable estimate). It includes your own pay as Owner &amp; Lead Bartender plus the W-2 event bartenders and barbacks.</t>
        </is>
      </c>
    </row>
    <row r="55">
      <c r="A55" s="35" t="inlineStr">
        <is>
          <t>Storage &amp; parking / Sales</t>
        </is>
      </c>
      <c r="B55" s="65">
        <f>IFERROR(IF(B9="","",B22/B9),"")</f>
        <v>0.03383458646616541</v>
      </c>
      <c r="C55" s="65">
        <f>IFERROR(IF(C9="","",C22/C9),"")</f>
        <v>0.030758714969241284</v>
      </c>
      <c r="D55" s="65">
        <f>IFERROR(IF(D9="","",D22/D9),"")</f>
        <v>0.028480291638186373</v>
      </c>
      <c r="E55" s="70" t="n">
        <v>0.06</v>
      </c>
      <c r="F55" s="35" t="inlineStr">
        <is>
          <t>There is no storefront rent in this workbook: 6% is a prudent ceiling for the storage unit and trailer parking, a kit benchmark (editable estimate). A bar with its own premises carries a much higher occupancy cost.</t>
        </is>
      </c>
    </row>
    <row r="56">
      <c r="A56" s="35" t="inlineStr">
        <is>
          <t>Net income / Sales</t>
        </is>
      </c>
      <c r="B56" s="65">
        <f>IFERROR(IF(B9="","",B48/B9),"")</f>
        <v>0.0883006176154672</v>
      </c>
      <c r="C56" s="65">
        <f>IFERROR(IF(C9="","",C48/C9),"")</f>
        <v>0.11994103144211862</v>
      </c>
      <c r="D56" s="65">
        <f>IFERROR(IF(D9="","",D48/D9),"")</f>
        <v>0.14264746134793582</v>
      </c>
      <c r="E56" s="70" t="n">
        <v>0.05</v>
      </c>
      <c r="F56" s="35" t="inlineStr">
        <is>
          <t>Floor of 5%: a kit benchmark (editable estimate). A new business with a loan to repay starts lower: if you land under it, review the price per guest and the events per year first.</t>
        </is>
      </c>
    </row>
    <row r="57">
      <c r="A57" s="35" t="inlineStr">
        <is>
          <t>Break-even reached</t>
        </is>
      </c>
      <c r="B57" t="str">
        <f>IFERROR(IF(B9="","",IF(B9&gt;='Break-Even'!$B$16,"Yes","No")),"")</f>
        <v>Yes</v>
      </c>
      <c r="C57" t="str">
        <f>IFERROR(IF(C9="","",IF(C9&gt;='Break-Even'!$C$16,"Yes","No")),"")</f>
        <v>Yes</v>
      </c>
      <c r="D57" t="str">
        <f>IFERROR(IF(D9="","",IF(D9&gt;='Break-Even'!$D$16,"Yes","No")),"")</f>
        <v>Yes</v>
      </c>
      <c r="F57" s="35" t="inlineStr">
        <is>
          <t>Compares each year's sales with that same year's threshold, which the Break-Even tab calculates with that year's fixed costs</t>
        </is>
      </c>
    </row>
    <row r="59" ht="165" customHeight="1">
      <c r="A59" s="17"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Yes">
      <formula>NOT(ISERROR(SEARCH("Yes",B57)))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nvalid amount" error="Enter a number greater than or equal to 0." type="decimal" operator="greaterThanOrEqual">
      <formula1>0</formula1>
    </dataValidation>
    <dataValidation sqref="E51 E53 E54 E55 E56"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BREAK-EVEN ANALYSIS</t>
        </is>
      </c>
    </row>
    <row r="2">
      <c r="A2" s="3" t="inlineStr">
        <is>
          <t>Break-even — Mobile Bar</t>
        </is>
      </c>
    </row>
    <row r="4">
      <c r="A4" s="25" t="inlineStr">
        <is>
          <t>Variable</t>
        </is>
      </c>
      <c r="B4" s="25" t="inlineStr">
        <is>
          <t>Year 1</t>
        </is>
      </c>
      <c r="C4" s="25" t="inlineStr">
        <is>
          <t>Year 2</t>
        </is>
      </c>
      <c r="D4" s="25" t="inlineStr">
        <is>
          <t>Year 3</t>
        </is>
      </c>
      <c r="E4" s="25" t="inlineStr">
        <is>
          <t>Notes</t>
        </is>
      </c>
      <c r="F4" s="28" t="n"/>
    </row>
    <row r="5">
      <c r="A5" s="25" t="inlineStr">
        <is>
          <t>BASE DATA BY YEAR</t>
        </is>
      </c>
      <c r="B5" s="28" t="n"/>
      <c r="C5" s="28" t="n"/>
      <c r="D5" s="28" t="n"/>
      <c r="E5" s="28" t="n"/>
      <c r="F5" s="28" t="n"/>
    </row>
    <row r="6">
      <c r="A6" s="28" t="inlineStr">
        <is>
          <t>Annual fixed costs</t>
        </is>
      </c>
      <c r="B6" s="61">
        <f>IFERROR(IF('3-Year P&amp;L'!$B$9="","",'3-Year P&amp;L'!$B$38),"")</f>
        <v>123586.97142857143</v>
      </c>
      <c r="C6" s="61">
        <f>IFERROR(IF('3-Year P&amp;L'!$C$9="","",'3-Year P&amp;L'!$C$38),"")</f>
        <v>126070.4844800385</v>
      </c>
      <c r="D6" s="61">
        <f>IFERROR(IF('3-Year P&amp;L'!$D$9="","",'3-Year P&amp;L'!$D$38),"")</f>
        <v>128502.3488366523</v>
      </c>
      <c r="E6" s="28" t="inlineStr">
        <is>
          <t>The SAME fixed costs as the P&amp;L. Each year has its own, which is why the threshold cannot be a single one for all three years</t>
        </is>
      </c>
      <c r="F6" s="28" t="n"/>
    </row>
    <row r="7">
      <c r="A7" s="28" t="inlineStr">
        <is>
          <t>Monthly fixed costs</t>
        </is>
      </c>
      <c r="B7" s="61">
        <f>IFERROR(IF('3-Year P&amp;L'!$B$9="","",B6/12),"")</f>
        <v>10298.914285714285</v>
      </c>
      <c r="C7" s="61">
        <f>IFERROR(IF('3-Year P&amp;L'!$C$9="","",C6/12),"")</f>
        <v>10505.873706669876</v>
      </c>
      <c r="D7" s="61">
        <f>IFERROR(IF('3-Year P&amp;L'!$D$9="","",D6/12),"")</f>
        <v>10708.529069721024</v>
      </c>
      <c r="E7" s="28" t="n"/>
      <c r="F7" s="28" t="n"/>
    </row>
    <row r="8">
      <c r="A8" s="28" t="inlineStr">
        <is>
          <t>Average price per guest (excl. sales tax)</t>
        </is>
      </c>
      <c r="B8" s="61">
        <f>IFERROR(IF('3-Year P&amp;L'!$B$9="","",'3-Year P&amp;L'!$B$7),"")</f>
        <v>14.0</v>
      </c>
      <c r="C8" s="61">
        <f>IFERROR(IF('3-Year P&amp;L'!$C$9="","",'3-Year P&amp;L'!$C$7),"")</f>
        <v>14.0</v>
      </c>
      <c r="D8" s="61">
        <f>IFERROR(IF('3-Year P&amp;L'!$D$9="","",'3-Year P&amp;L'!$D$7),"")</f>
        <v>14.0</v>
      </c>
      <c r="E8" s="28" t="n"/>
      <c r="F8" s="28" t="n"/>
    </row>
    <row r="9">
      <c r="A9" s="28" t="inlineStr">
        <is>
          <t>Variable cost per guest</t>
        </is>
      </c>
      <c r="B9" s="61">
        <f>IFERROR(IF('3-Year P&amp;L'!$B$9="","",'3-Year P&amp;L'!$B$19/('3-Year P&amp;L'!$B$6*'3-Year P&amp;L'!$B$8)),"")</f>
        <v>4.221</v>
      </c>
      <c r="C9" s="61">
        <f>IFERROR(IF('3-Year P&amp;L'!$C$9="","",'3-Year P&amp;L'!$C$19/('3-Year P&amp;L'!$C$6*'3-Year P&amp;L'!$C$8)),"")</f>
        <v>4.221</v>
      </c>
      <c r="D9" s="61">
        <f>IFERROR(IF('3-Year P&amp;L'!$D$9="","",'3-Year P&amp;L'!$D$19/('3-Year P&amp;L'!$D$6*'3-Year P&amp;L'!$D$8)),"")</f>
        <v>4.220999999999999</v>
      </c>
      <c r="E9" s="28" t="inlineStr">
        <is>
          <t>Comes from the P&amp;L total variable costs, not from a separate estimate. It includes miscellaneous and contingency, which is a percentage of sales</t>
        </is>
      </c>
      <c r="F9" s="28" t="n"/>
    </row>
    <row r="10">
      <c r="A10" s="28" t="inlineStr">
        <is>
          <t>Contribution margin per guest</t>
        </is>
      </c>
      <c r="B10" s="61">
        <f>IFERROR(IF('3-Year P&amp;L'!$B$9="","",B8-B9),"")</f>
        <v>9.779</v>
      </c>
      <c r="C10" s="61">
        <f>IFERROR(IF('3-Year P&amp;L'!$C$9="","",C8-C9),"")</f>
        <v>9.779</v>
      </c>
      <c r="D10" s="61">
        <f>IFERROR(IF('3-Year P&amp;L'!$D$9="","",D8-D9),"")</f>
        <v>9.779</v>
      </c>
      <c r="E10" s="28" t="inlineStr">
        <is>
          <t>Price per guest minus variable cost per guest</t>
        </is>
      </c>
      <c r="F10" s="28" t="n"/>
    </row>
    <row r="11">
      <c r="A11" s="28" t="inlineStr">
        <is>
          <t>Average guests per event</t>
        </is>
      </c>
      <c r="B11" s="40">
        <f>IFERROR(IF('3-Year P&amp;L'!$B$9="","",'3-Year P&amp;L'!$B$8),"")</f>
        <v>95.0</v>
      </c>
      <c r="C11" s="40">
        <f>IFERROR(IF('3-Year P&amp;L'!$C$9="","",'3-Year P&amp;L'!$C$8),"")</f>
        <v>95.0</v>
      </c>
      <c r="D11" s="40">
        <f>IFERROR(IF('3-Year P&amp;L'!$D$9="","",'3-Year P&amp;L'!$D$8),"")</f>
        <v>95.0</v>
      </c>
      <c r="E11" s="28" t="inlineStr">
        <is>
          <t>The same calendar as the P&amp;L and the scenarios</t>
        </is>
      </c>
      <c r="F11" s="28" t="n"/>
    </row>
    <row r="12">
      <c r="A12" s="28" t="inlineStr">
        <is>
          <t>Principal repaid in the year</t>
        </is>
      </c>
      <c r="B12" s="61">
        <f>IFERROR(IF('3-Year P&amp;L'!$B$9="","",Financing!$B$45),"")</f>
        <v>5164.869485329182</v>
      </c>
      <c r="C12" s="61">
        <f>IFERROR(IF('3-Year P&amp;L'!$C$9="","",Financing!$B$47),"")</f>
        <v>5681.3564338621</v>
      </c>
      <c r="D12" s="61">
        <f>IFERROR(IF('3-Year P&amp;L'!$D$9="","",Financing!$B$49),"")</f>
        <v>6249.492077248309</v>
      </c>
      <c r="E12" s="28" t="inlineStr">
        <is>
          <t>Principal is NOT a P&amp;L expense, but it leaves the cash account. Without it, the published break-even threshold would sit below the real one</t>
        </is>
      </c>
      <c r="F12" s="28" t="n"/>
    </row>
    <row r="13">
      <c r="A13" s="25" t="inlineStr">
        <is>
          <t>ACCOUNTING BREAK-EVEN (includes depreciation)</t>
        </is>
      </c>
      <c r="B13" s="28" t="n"/>
      <c r="C13" s="28" t="n"/>
      <c r="D13" s="28" t="n"/>
      <c r="E13" s="28" t="n"/>
      <c r="F13" s="28" t="n"/>
    </row>
    <row r="14">
      <c r="A14" s="28" t="inlineStr">
        <is>
          <t>Guests needed per year</t>
        </is>
      </c>
      <c r="B14" s="40">
        <f>IFERROR(IF('3-Year P&amp;L'!$B$9="","",IF(B10&lt;=0,"",B6/B10)),"")</f>
        <v>12637.996873767403</v>
      </c>
      <c r="C14" s="40">
        <f>IFERROR(IF('3-Year P&amp;L'!$C$9="","",IF(C10&lt;=0,"",C6/C10)),"")</f>
        <v>12891.960781269916</v>
      </c>
      <c r="D14" s="40">
        <f>IFERROR(IF('3-Year P&amp;L'!$D$9="","",IF(D10&lt;=0,"",D6/D10)),"")</f>
        <v>13140.643096088792</v>
      </c>
      <c r="E14" s="28" t="n"/>
      <c r="F14" s="28" t="n"/>
    </row>
    <row r="15">
      <c r="A15" s="28" t="inlineStr">
        <is>
          <t>Events needed per year</t>
        </is>
      </c>
      <c r="B15" s="44">
        <f>IFERROR(IF('3-Year P&amp;L'!$B$9="","",B14/B11),"")</f>
        <v>133.03154603965686</v>
      </c>
      <c r="C15" s="44">
        <f>IFERROR(IF('3-Year P&amp;L'!$C$9="","",C14/C11),"")</f>
        <v>135.704850329157</v>
      </c>
      <c r="D15" s="44">
        <f>IFERROR(IF('3-Year P&amp;L'!$D$9="","",D14/D11),"")</f>
        <v>138.3225589061978</v>
      </c>
      <c r="E15" s="28" t="n"/>
      <c r="F15" s="28" t="n"/>
    </row>
    <row r="16">
      <c r="A16" s="25" t="inlineStr">
        <is>
          <t>Revenue needed per year</t>
        </is>
      </c>
      <c r="B16" s="66">
        <f>IFERROR(IF('3-Year P&amp;L'!$B$9="","",B14*B8),"")</f>
        <v>176931.95623274363</v>
      </c>
      <c r="C16" s="66">
        <f>IFERROR(IF('3-Year P&amp;L'!$C$9="","",C14*C8),"")</f>
        <v>180487.45093777883</v>
      </c>
      <c r="D16" s="66">
        <f>IFERROR(IF('3-Year P&amp;L'!$D$9="","",D14*D8),"")</f>
        <v>183969.00334524308</v>
      </c>
      <c r="E16" s="28" t="n"/>
      <c r="F16" s="28" t="n"/>
    </row>
    <row r="17">
      <c r="A17" s="25" t="inlineStr">
        <is>
          <t>CASH BREAK-EVEN (loan payments in, depreciation out)</t>
        </is>
      </c>
      <c r="B17" s="28" t="n"/>
      <c r="C17" s="28" t="n"/>
      <c r="D17" s="28" t="n"/>
      <c r="E17" s="28" t="n"/>
      <c r="F17" s="28" t="n"/>
    </row>
    <row r="18">
      <c r="A18" s="28" t="inlineStr">
        <is>
          <t>Cash fixed costs + principal repaid for the year</t>
        </is>
      </c>
      <c r="B18" s="61">
        <f>IFERROR(IF('3-Year P&amp;L'!$B$9="","",B6-'3-Year P&amp;L'!$B$36+B12),"")</f>
        <v>122933.26948532918</v>
      </c>
      <c r="C18" s="61">
        <f>IFERROR(IF('3-Year P&amp;L'!$C$9="","",C6-'3-Year P&amp;L'!$C$36+C12),"")</f>
        <v>125933.26948532916</v>
      </c>
      <c r="D18" s="61">
        <f>IFERROR(IF('3-Year P&amp;L'!$D$9="","",D6-'3-Year P&amp;L'!$D$36+D12),"")</f>
        <v>128933.26948532916</v>
      </c>
      <c r="E18" s="28" t="inlineStr">
        <is>
          <t>The P&amp;L fixed costs without depreciation (which is not paid in cash) and WITH principal repaid (which is). This is the threshold that decides whether cash holds up</t>
        </is>
      </c>
      <c r="F18" s="28" t="n"/>
    </row>
    <row r="19">
      <c r="A19" s="28" t="inlineStr">
        <is>
          <t>Guests needed per year (cash)</t>
        </is>
      </c>
      <c r="B19" s="40">
        <f>IFERROR(IF('3-Year P&amp;L'!$B$9="","",IF(B10&lt;=0,"",B18/B10)),"")</f>
        <v>12571.149349149113</v>
      </c>
      <c r="C19" s="40">
        <f>IFERROR(IF('3-Year P&amp;L'!$C$9="","",IF(C10&lt;=0,"",C18/C10)),"")</f>
        <v>12877.929183488</v>
      </c>
      <c r="D19" s="40">
        <f>IFERROR(IF('3-Year P&amp;L'!$D$9="","",IF(D10&lt;=0,"",D18/D10)),"")</f>
        <v>13184.70901782689</v>
      </c>
      <c r="E19" s="28" t="n"/>
      <c r="F19" s="28" t="n"/>
    </row>
    <row r="20">
      <c r="A20" s="25" t="inlineStr">
        <is>
          <t>Events needed per year (cash)</t>
        </is>
      </c>
      <c r="B20" s="45">
        <f>IFERROR(IF('3-Year P&amp;L'!$B$9="","",B19/B11),"")</f>
        <v>132.32788788578014</v>
      </c>
      <c r="C20" s="45">
        <f>IFERROR(IF('3-Year P&amp;L'!$C$9="","",C19/C11),"")</f>
        <v>135.55714929987369</v>
      </c>
      <c r="D20" s="45">
        <f>IFERROR(IF('3-Year P&amp;L'!$D$9="","",D19/D11),"")</f>
        <v>138.78641071396726</v>
      </c>
      <c r="E20" s="28" t="n"/>
      <c r="F20" s="28" t="n"/>
    </row>
    <row r="21">
      <c r="A21" s="28" t="inlineStr">
        <is>
          <t>Revenue needed per year (cash)</t>
        </is>
      </c>
      <c r="B21" s="40">
        <f>IFERROR(IF('3-Year P&amp;L'!$B$9="","",B19*B8),"")</f>
        <v>175996.09088808758</v>
      </c>
      <c r="C21" s="40">
        <f>IFERROR(IF('3-Year P&amp;L'!$C$9="","",C19*C8),"")</f>
        <v>180291.008568832</v>
      </c>
      <c r="D21" s="40">
        <f>IFERROR(IF('3-Year P&amp;L'!$D$9="","",D19*D8),"")</f>
        <v>184585.92624957647</v>
      </c>
      <c r="E21" s="28" t="n"/>
      <c r="F21" s="28" t="n"/>
    </row>
    <row r="22">
      <c r="A22" s="25" t="inlineStr">
        <is>
          <t>COMPARISON WITH THE PLAN</t>
        </is>
      </c>
      <c r="B22" s="28" t="n"/>
      <c r="C22" s="28" t="n"/>
      <c r="D22" s="28" t="n"/>
      <c r="E22" s="28" t="n"/>
      <c r="F22" s="28" t="n"/>
    </row>
    <row r="23">
      <c r="A23" s="28" t="inlineStr">
        <is>
          <t>Events per year in the plan</t>
        </is>
      </c>
      <c r="B23" s="40">
        <f>IFERROR(IF('3-Year P&amp;L'!$B$9="","",'3-Year P&amp;L'!$B$6),"")</f>
        <v>160.0</v>
      </c>
      <c r="C23" s="40">
        <f>IFERROR(IF('3-Year P&amp;L'!$C$9="","",'3-Year P&amp;L'!$C$6),"")</f>
        <v>176.0</v>
      </c>
      <c r="D23" s="40">
        <f>IFERROR(IF('3-Year P&amp;L'!$D$9="","",'3-Year P&amp;L'!$D$6),"")</f>
        <v>190.08</v>
      </c>
      <c r="E23" s="28" t="n"/>
      <c r="F23" s="28" t="n"/>
    </row>
    <row r="24">
      <c r="A24" s="28" t="inlineStr">
        <is>
          <t>Cushion above CASH break-even (%)</t>
        </is>
      </c>
      <c r="B24" s="68">
        <f>IFERROR(IF('3-Year P&amp;L'!$B$9="","",B23/B20-1),"")</f>
        <v>0.20911776464009812</v>
      </c>
      <c r="C24" s="68">
        <f>IFERROR(IF('3-Year P&amp;L'!$C$9="","",C23/C20-1),"")</f>
        <v>0.29834539092187895</v>
      </c>
      <c r="D24" s="68">
        <f>IFERROR(IF('3-Year P&amp;L'!$D$9="","",D23/D20-1),"")</f>
        <v>0.36958653964865906</v>
      </c>
      <c r="E24" s="28" t="inlineStr">
        <is>
          <t>How far the plan sits above the cash break-even (plan ÷ break-even − 1); the drop you can absorb is 1 − break-even ÷ plan. The required minimum is set in the "0. Assumptions" tab</t>
        </is>
      </c>
      <c r="F24" s="28" t="n"/>
    </row>
    <row r="25">
      <c r="A25" s="25" t="inlineStr">
        <is>
          <t>INTERPRETATION</t>
        </is>
      </c>
      <c r="B25" s="28" t="n"/>
      <c r="C25" s="28" t="n"/>
      <c r="D25" s="28" t="n"/>
      <c r="E25" s="28" t="n"/>
      <c r="F25" s="28" t="n"/>
    </row>
    <row r="26" ht="46" customHeight="1">
      <c r="A26" s="28" t="str">
        <f>IFERROR("With the average price per guest excl. sales tax above, you need "&amp;TEXT(ROUNDUP(B15,0),"0")&amp;" events a year at your average of "&amp;TEXT(B11,"0")&amp;" guests per event to avoid losing money (accounting break-even, depreciation included), and "&amp;TEXT(ROUNDUP(B20,0),"0")&amp;" for cash to hold (cash break-even: depreciation out, because it is not paid, and the year's loan payment in"&amp;IF(B12=0,"; no principal is repaid this year (interest-only period or no loan)","")&amp;"). The ""Revenue needed per year"" rows show the same figures in your currency.","")</f>
        <v>With the average price per guest excl. sales tax above, you need 134 events a year at your average of 95 guests per event to avoid losing money (accounting break-even, depreciation included), and 133 for cash to hold (cash break-even: depreciation out, because it is not paid, and the year's loan payment in). The "Revenue needed per year" rows show the same figures in your currency.</v>
      </c>
      <c r="B26" s="28" t="n"/>
      <c r="C26" s="28" t="n"/>
      <c r="D26" s="28" t="n"/>
      <c r="E26" s="28" t="n"/>
      <c r="F26" s="28" t="n"/>
    </row>
    <row r="27">
      <c r="A27" s="28" t="n"/>
      <c r="B27" s="28" t="n"/>
      <c r="C27" s="28" t="n"/>
      <c r="D27" s="28" t="n"/>
      <c r="E27" s="28" t="n"/>
      <c r="F27" s="28" t="n"/>
    </row>
    <row r="28">
      <c r="A28" s="25" t="inlineStr">
        <is>
          <t>BREAK-EVEN SENSITIVITY</t>
        </is>
      </c>
      <c r="B28" s="28" t="n"/>
      <c r="C28" s="28" t="n"/>
      <c r="D28" s="28" t="n"/>
      <c r="E28" s="28" t="n"/>
      <c r="F28" s="28" t="n"/>
    </row>
    <row r="29" ht="75" customHeight="1">
      <c r="A29" s="46" t="inlineStr">
        <is>
          <t>Events per year needed to cover costs for each price per guest (columns, in steps around the plan's price) and each variable cost per guest (rows). Green cells are below the events per year the plan forecasts.</t>
        </is>
      </c>
      <c r="B29" s="28" t="n"/>
      <c r="C29" s="28" t="n"/>
      <c r="D29" s="28" t="n"/>
      <c r="E29" s="28" t="n"/>
      <c r="F29" s="28" t="n"/>
    </row>
    <row r="30">
      <c r="A30" s="28" t="n"/>
      <c r="B30" s="28" t="n"/>
      <c r="C30" s="28" t="n"/>
      <c r="D30" s="28" t="n"/>
      <c r="E30" s="28" t="n"/>
      <c r="F30" s="28" t="n"/>
    </row>
    <row r="31" ht="45" customHeight="1">
      <c r="A31" s="39" t="inlineStr">
        <is>
          <t>Events per year needed: price per guest excl. sales tax (columns) × variable cost per guest (rows)</t>
        </is>
      </c>
      <c r="B31" s="62">
        <f>IFERROR($B$8-1,"")</f>
        <v>13.0</v>
      </c>
      <c r="C31" s="62">
        <f>IFERROR(IF($B$8="","",$B$8),"")</f>
        <v>14.0</v>
      </c>
      <c r="D31" s="62">
        <f>IFERROR($B$8+1,"")</f>
        <v>15.0</v>
      </c>
      <c r="E31" s="62">
        <f>IFERROR($B$8+2,"")</f>
        <v>16.0</v>
      </c>
      <c r="F31" s="28" t="n"/>
    </row>
    <row r="32">
      <c r="A32" s="61">
        <f>IFERROR($B$9*0.85,"")</f>
        <v>3.58785</v>
      </c>
      <c r="B32" s="44">
        <f>IFERROR(IF($B$31-$A32&lt;=0,"",$B$6/($B$31-$A32)/$B$11),"")</f>
        <v>138.2166124341202</v>
      </c>
      <c r="C32" s="44">
        <f>IFERROR(IF($C$31-$A32&lt;=0,"",$B$6/($C$31-$A32)/$B$11),"")</f>
        <v>124.94206179528766</v>
      </c>
      <c r="D32" s="44">
        <f>IFERROR(IF($D$31-$A32&lt;=0,"",$B$6/($D$31-$A32)/$B$11),"")</f>
        <v>113.99390024857756</v>
      </c>
      <c r="E32" s="44">
        <f>IFERROR(IF($E$31-$A32&lt;=0,"",$B$6/($E$31-$A32)/$B$11),"")</f>
        <v>104.80984267204347</v>
      </c>
      <c r="F32" s="28" t="n"/>
    </row>
    <row r="33">
      <c r="A33" s="61">
        <f>IFERROR($B$9*0.925,"")</f>
        <v>3.9044250000000003</v>
      </c>
      <c r="B33" s="44">
        <f>IFERROR(IF($B$31-$A33&lt;=0,"",$B$6/($B$31-$A33)/$B$11),"")</f>
        <v>143.02729500023963</v>
      </c>
      <c r="C33" s="44">
        <f>IFERROR(IF($C$31-$A33&lt;=0,"",$B$6/($C$31-$A33)/$B$11),"")</f>
        <v>128.85996971166125</v>
      </c>
      <c r="D33" s="44">
        <f>IFERROR(IF($D$31-$A33&lt;=0,"",$B$6/($D$31-$A33)/$B$11),"")</f>
        <v>117.2463336710179</v>
      </c>
      <c r="E33" s="44">
        <f>IFERROR(IF($E$31-$A33&lt;=0,"",$B$6/($E$31-$A33)/$B$11),"")</f>
        <v>107.55300915597682</v>
      </c>
      <c r="F33" s="28" t="n"/>
    </row>
    <row r="34">
      <c r="A34" s="64">
        <f>IFERROR($B$9*1.0,"")</f>
        <v>4.221</v>
      </c>
      <c r="B34" s="48">
        <f>IFERROR(IF($B$31-$A34&lt;=0,"",$B$6/($B$31-$A34)/$B$11),"")</f>
        <v>148.1849286617843</v>
      </c>
      <c r="C34" s="48">
        <f>IFERROR(IF($C$31-$A34&lt;=0,"",$B$6/($C$31-$A34)/$B$11),"")</f>
        <v>133.03154603965686</v>
      </c>
      <c r="D34" s="48">
        <f>IFERROR(IF($D$31-$A34&lt;=0,"",$B$6/($D$31-$A34)/$B$11),"")</f>
        <v>120.68981247998929</v>
      </c>
      <c r="E34" s="48">
        <f>IFERROR(IF($E$31-$A34&lt;=0,"",$B$6/($E$31-$A34)/$B$11),"")</f>
        <v>110.4436275338997</v>
      </c>
    </row>
    <row r="35">
      <c r="A35" s="64">
        <f>IFERROR($B$9*1.075,"")</f>
        <v>4.5375749999999995</v>
      </c>
      <c r="B35" s="48">
        <f>IFERROR(IF($B$31-$A35&lt;=0,"",$B$6/($B$31-$A35)/$B$11),"")</f>
        <v>153.72845120893888</v>
      </c>
      <c r="C35" s="48">
        <f>IFERROR(IF($C$31-$A35&lt;=0,"",$B$6/($C$31-$A35)/$B$11),"")</f>
        <v>137.4822509791945</v>
      </c>
      <c r="D35" s="48">
        <f>IFERROR(IF($D$31-$A35&lt;=0,"",$B$6/($D$31-$A35)/$B$11),"")</f>
        <v>124.34167879070144</v>
      </c>
      <c r="E35" s="48">
        <f>IFERROR(IF($E$31-$A35&lt;=0,"",$B$6/($E$31-$A35)/$B$11),"")</f>
        <v>113.4939150067987</v>
      </c>
    </row>
    <row r="36">
      <c r="A36" s="64">
        <f>IFERROR($B$9*1.15,"")</f>
        <v>4.85415</v>
      </c>
      <c r="B36" s="48">
        <f>IFERROR(IF($B$31-$A36&lt;=0,"",$B$6/($B$31-$A36)/$B$11),"")</f>
        <v>159.70285344338583</v>
      </c>
      <c r="C36" s="48">
        <f>IFERROR(IF($C$31-$A36&lt;=0,"",$B$6/($C$31-$A36)/$B$11),"")</f>
        <v>142.24106985373746</v>
      </c>
      <c r="D36" s="48">
        <f>IFERROR(IF($D$31-$A36&lt;=0,"",$B$6/($D$31-$A36)/$B$11),"")</f>
        <v>128.22143918171514</v>
      </c>
      <c r="E36" s="48">
        <f>IFERROR(IF($E$31-$A36&lt;=0,"",$B$6/($E$31-$A36)/$B$11),"")</f>
        <v>116.7174767937667</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Assumptions'!$B$67)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SCENARIO ANALYSIS</t>
        </is>
      </c>
    </row>
    <row r="4">
      <c r="A4" s="25" t="inlineStr">
        <is>
          <t>Metric</t>
        </is>
      </c>
      <c r="B4" s="25" t="inlineStr">
        <is>
          <t>Pessimistic</t>
        </is>
      </c>
      <c r="C4" s="25" t="inlineStr">
        <is>
          <t>Base</t>
        </is>
      </c>
      <c r="D4" s="25" t="inlineStr">
        <is>
          <t>Optimistic</t>
        </is>
      </c>
      <c r="E4" s="25" t="inlineStr">
        <is>
          <t>Notes</t>
        </is>
      </c>
      <c r="F4" s="28" t="n"/>
    </row>
    <row r="5">
      <c r="A5" s="28" t="inlineStr">
        <is>
          <t>Events per year</t>
        </is>
      </c>
      <c r="B5" s="49" t="n">
        <v>120</v>
      </c>
      <c r="C5" s="40">
        <f>IFERROR(IF('3-Year P&amp;L'!$B$6="","",'3-Year P&amp;L'!$B$6),"")</f>
        <v>160.0</v>
      </c>
      <c r="D5" s="49" t="n">
        <v>200</v>
      </c>
      <c r="E5" s="28" t="n"/>
      <c r="F5" s="28" t="n"/>
    </row>
    <row r="6">
      <c r="A6" s="28" t="inlineStr">
        <is>
          <t>Average price per guest (excl. sales tax)</t>
        </is>
      </c>
      <c r="B6" s="71" t="n">
        <v>12.6</v>
      </c>
      <c r="C6" s="61">
        <f>IFERROR(IF('3-Year P&amp;L'!$B$7="","",'3-Year P&amp;L'!$B$7),"")</f>
        <v>14.0</v>
      </c>
      <c r="D6" s="71" t="n">
        <v>15.4</v>
      </c>
      <c r="E6" s="28" t="n"/>
      <c r="F6" s="28" t="n"/>
    </row>
    <row r="7">
      <c r="A7" s="28" t="inlineStr">
        <is>
          <t>Average guests per event</t>
        </is>
      </c>
      <c r="B7" s="49" t="n">
        <v>86</v>
      </c>
      <c r="C7" s="40">
        <f>IFERROR(IF('3-Year P&amp;L'!$B$8="","",'3-Year P&amp;L'!$B$8),"")</f>
        <v>95.0</v>
      </c>
      <c r="D7" s="49" t="n">
        <v>105</v>
      </c>
      <c r="E7" s="28" t="n"/>
      <c r="F7" s="28" t="n"/>
    </row>
    <row r="8">
      <c r="A8" s="25" t="inlineStr">
        <is>
          <t>ANNUAL REVENUE (excl. sales tax)</t>
        </is>
      </c>
      <c r="B8" s="66">
        <f>IFERROR(IF(B5*B6*B7=0,"",B5*B6*B7),"")</f>
        <v>130032.0</v>
      </c>
      <c r="C8" s="66">
        <f>IFERROR(IF(C5*C6*C7=0,"",C5*C6*C7),"")</f>
        <v>212800.0</v>
      </c>
      <c r="D8" s="66">
        <f>IFERROR(IF(D5*D6*D7=0,"",D5*D6*D7),"")</f>
        <v>323400.0</v>
      </c>
      <c r="E8" s="28" t="n"/>
      <c r="F8" s="28" t="n"/>
    </row>
    <row r="9">
      <c r="A9" s="28" t="inlineStr">
        <is>
          <t>Cost of goods — bar packages (mixers, garnishes, ice)</t>
        </is>
      </c>
      <c r="B9" s="40">
        <f>IFERROR(IF(B8="","",B8*'0. Assumptions'!$B$11*'0. Assumptions'!$B$13),"")</f>
        <v>21000.168</v>
      </c>
      <c r="C9" s="40">
        <f>IFERROR(IF(C8="","",C8*'0. Assumptions'!$B$11*'0. Assumptions'!$B$13),"")</f>
        <v>34367.2</v>
      </c>
      <c r="D9" s="40">
        <f>IFERROR(IF(D8="","",D8*'0. Assumptions'!$B$11*'0. Assumptions'!$B$13),"")</f>
        <v>52229.1</v>
      </c>
      <c r="E9" s="28" t="n"/>
      <c r="F9" s="28" t="n"/>
    </row>
    <row r="10">
      <c r="A10" s="28" t="inlineStr">
        <is>
          <t>Cost of goods — add-ons</t>
        </is>
      </c>
      <c r="B10" s="40">
        <f>IFERROR(IF(B8="","",B8*'0. Assumptions'!$B$12*'0. Assumptions'!$B$14),"")</f>
        <v>3900.960000000001</v>
      </c>
      <c r="C10" s="40">
        <f>IFERROR(IF(C8="","",C8*'0. Assumptions'!$B$12*'0. Assumptions'!$B$14),"")</f>
        <v>6384.000000000001</v>
      </c>
      <c r="D10" s="40">
        <f>IFERROR(IF(D8="","",D8*'0. Assumptions'!$B$12*'0. Assumptions'!$B$14),"")</f>
        <v>9702.000000000002</v>
      </c>
      <c r="E10" s="28" t="n"/>
      <c r="F10" s="28" t="n"/>
    </row>
    <row r="11">
      <c r="A11" s="28" t="inlineStr">
        <is>
          <t>Cups, straws, napkins and bar disposables</t>
        </is>
      </c>
      <c r="B11" s="40">
        <f>IFERROR(IF(B8="","",B8*'0. Assumptions'!$B$15),"")</f>
        <v>5201.28</v>
      </c>
      <c r="C11" s="40">
        <f>IFERROR(IF(C8="","",C8*'0. Assumptions'!$B$15),"")</f>
        <v>8512.0</v>
      </c>
      <c r="D11" s="40">
        <f>IFERROR(IF(D8="","",D8*'0. Assumptions'!$B$15),"")</f>
        <v>12936.0</v>
      </c>
      <c r="E11" s="28" t="n"/>
      <c r="F11" s="28" t="n"/>
    </row>
    <row r="12">
      <c r="A12" s="28" t="inlineStr">
        <is>
          <t>Gig marketplace fees</t>
        </is>
      </c>
      <c r="B12" s="40">
        <f>IFERROR(IF(B8="","",B8*'0. Assumptions'!$B$16*'0. Assumptions'!$B$17),"")</f>
        <v>1300.3200000000002</v>
      </c>
      <c r="C12" s="40">
        <f>IFERROR(IF(C8="","",C8*'0. Assumptions'!$B$16*'0. Assumptions'!$B$17),"")</f>
        <v>2128.0</v>
      </c>
      <c r="D12" s="40">
        <f>IFERROR(IF(D8="","",D8*'0. Assumptions'!$B$16*'0. Assumptions'!$B$17),"")</f>
        <v>3234.0</v>
      </c>
      <c r="E12" s="28" t="n"/>
      <c r="F12" s="28" t="n"/>
    </row>
    <row r="13">
      <c r="A13" s="28" t="inlineStr">
        <is>
          <t>Card processing fees</t>
        </is>
      </c>
      <c r="B13" s="40">
        <f>IFERROR(IF(B8="","",B8*'0. Assumptions'!$B$18),"")</f>
        <v>3900.96</v>
      </c>
      <c r="C13" s="40">
        <f>IFERROR(IF(C8="","",C8*'0. Assumptions'!$B$18),"")</f>
        <v>6384.0</v>
      </c>
      <c r="D13" s="40">
        <f>IFERROR(IF(D8="","",D8*'0. Assumptions'!$B$18),"")</f>
        <v>9702.0</v>
      </c>
      <c r="E13" s="28" t="n"/>
      <c r="F13" s="28" t="n"/>
    </row>
    <row r="14">
      <c r="A14" s="28" t="inlineStr">
        <is>
          <t>Miscellaneous and contingency</t>
        </is>
      </c>
      <c r="B14" s="40">
        <f>IFERROR(IF(B8="","",B8*'0. Assumptions'!$B$28),"")</f>
        <v>3900.96</v>
      </c>
      <c r="C14" s="40">
        <f>IFERROR(IF(C8="","",C8*'0. Assumptions'!$B$28),"")</f>
        <v>6384.0</v>
      </c>
      <c r="D14" s="40">
        <f>IFERROR(IF(D8="","",D8*'0. Assumptions'!$B$28),"")</f>
        <v>9702.0</v>
      </c>
      <c r="E14" s="28" t="n"/>
      <c r="F14" s="28" t="n"/>
    </row>
    <row r="15">
      <c r="A15" s="28" t="inlineStr">
        <is>
          <t>TOTAL VARIABLE COSTS</t>
        </is>
      </c>
      <c r="B15" s="40">
        <f>IFERROR(IF(B8="","",SUM(B9:B14)),"")</f>
        <v>39204.648</v>
      </c>
      <c r="C15" s="40">
        <f>IFERROR(IF(C8="","",SUM(C9:C14)),"")</f>
        <v>64159.2</v>
      </c>
      <c r="D15" s="40">
        <f>IFERROR(IF(D8="","",SUM(D9:D14)),"")</f>
        <v>97505.1</v>
      </c>
      <c r="E15" s="28" t="n"/>
      <c r="F15" s="28" t="n"/>
    </row>
    <row r="16">
      <c r="A16" s="35" t="inlineStr">
        <is>
          <t>GROSS MARGIN</t>
        </is>
      </c>
      <c r="B16" s="42">
        <f>IFERROR(IF(B8="","",B8-B15),"")</f>
        <v>90827.352</v>
      </c>
      <c r="C16" s="42">
        <f>IFERROR(IF(C8="","",C8-C15),"")</f>
        <v>148640.8</v>
      </c>
      <c r="D16" s="42">
        <f>IFERROR(IF(D8="","",D8-D15),"")</f>
        <v>225894.9</v>
      </c>
    </row>
    <row r="17">
      <c r="A17" s="35" t="inlineStr">
        <is>
          <t>FIXED COSTS (the P&amp;L's)</t>
        </is>
      </c>
      <c r="B17" s="42">
        <f>IFERROR(IF(B8="","",'3-Year P&amp;L'!$B$38),"")</f>
        <v>123586.97142857143</v>
      </c>
      <c r="C17" s="42">
        <f>IFERROR(IF(C8="","",'3-Year P&amp;L'!$B$38),"")</f>
        <v>123586.97142857143</v>
      </c>
      <c r="D17" s="42">
        <f>IFERROR(IF(D8="","",'3-Year P&amp;L'!$B$38),"")</f>
        <v>123586.97142857143</v>
      </c>
      <c r="E17" s="35" t="inlineStr">
        <is>
          <t>Fixed costs do not change with the scenario: that is why they are fixed</t>
        </is>
      </c>
    </row>
    <row r="18">
      <c r="A18" s="16" t="inlineStr">
        <is>
          <t>PRE-TAX INCOME (EBT)</t>
        </is>
      </c>
      <c r="B18" s="52">
        <f>IFERROR(IF(B8="","",B16-B17),"")</f>
        <v>-32759.61942857143</v>
      </c>
      <c r="C18" s="52">
        <f>IFERROR(IF(C8="","",C16-C17),"")</f>
        <v>25053.82857142856</v>
      </c>
      <c r="D18" s="52">
        <f>IFERROR(IF(D8="","",D16-D17),"")</f>
        <v>102307.92857142857</v>
      </c>
    </row>
    <row r="19">
      <c r="A19" s="35" t="inlineStr">
        <is>
          <t>Income tax</t>
        </is>
      </c>
      <c r="B19" s="42">
        <f>IFERROR(IF(B8="","",MAX(0,B18-'0. Assumptions'!$B$42)*'0. Assumptions'!$B$37),"")</f>
        <v>0.0</v>
      </c>
      <c r="C19" s="42">
        <f>IFERROR(IF(C8="","",MAX(0,C18-'0. Assumptions'!$B$42)*'0. Assumptions'!$B$37),"")</f>
        <v>6263.45714285714</v>
      </c>
      <c r="D19" s="42">
        <f>IFERROR(IF(D8="","",MAX(0,D18-'0. Assumptions'!$B$42)*'0. Assumptions'!$B$37),"")</f>
        <v>25576.98214285714</v>
      </c>
      <c r="E19" s="35" t="inlineStr">
        <is>
          <t>At the "years 1-2" effective income tax rate, offsetting prior net operating losses</t>
        </is>
      </c>
    </row>
    <row r="20">
      <c r="A20" s="16" t="inlineStr">
        <is>
          <t>NET INCOME</t>
        </is>
      </c>
      <c r="B20" s="52">
        <f>IFERROR(IF(B8="","",B18-B19),"")</f>
        <v>-32759.61942857143</v>
      </c>
      <c r="C20" s="52">
        <f>IFERROR(IF(C8="","",C18-C19),"")</f>
        <v>18790.37142857142</v>
      </c>
      <c r="D20" s="52">
        <f>IFERROR(IF(D8="","",D18-D19),"")</f>
        <v>76730.94642857142</v>
      </c>
    </row>
    <row r="21">
      <c r="A21" s="35" t="inlineStr">
        <is>
          <t>Events per year to break even</t>
        </is>
      </c>
      <c r="B21" s="48">
        <f>IFERROR(IF(B8="","",IF(B6-B15/(B5*B7)&lt;=0,"",B17/(B6-B15/(B5*B7))/B7)),"")</f>
        <v>163.28161335616798</v>
      </c>
      <c r="C21" s="48">
        <f>IFERROR(IF(C8="","",IF(C6-C15/(C5*C7)&lt;=0,"",C17/(C6-C15/(C5*C7))/C7)),"")</f>
        <v>133.03154603965686</v>
      </c>
      <c r="D21" s="48">
        <f>IFERROR(IF(D8="","",IF(D6-D15/(D5*D7)&lt;=0,"",D17/(D6-D15/(D5*D7))/D7)),"")</f>
        <v>109.41988635296453</v>
      </c>
    </row>
    <row r="22">
      <c r="A22" s="16" t="inlineStr">
        <is>
          <t>WHAT EACH SCENARIO DEMANDS</t>
        </is>
      </c>
    </row>
    <row r="23">
      <c r="A23" s="35" t="inlineStr">
        <is>
          <t>Labor cost / Sales</t>
        </is>
      </c>
      <c r="B23" s="65">
        <f>IFERROR(IF(B8="","",'3-Year P&amp;L'!$B$23/B8),"")</f>
        <v>0.6026854928017719</v>
      </c>
      <c r="C23" s="65">
        <f>IFERROR(IF(C8="","",'3-Year P&amp;L'!$B$23/C8),"")</f>
        <v>0.3682725563909774</v>
      </c>
      <c r="D23" s="65">
        <f>IFERROR(IF(D8="","",'3-Year P&amp;L'!$B$23/D8),"")</f>
        <v>0.24232653061224488</v>
      </c>
      <c r="E23" s="35" t="inlineStr">
        <is>
          <t>The SAME staffing in all three scenarios. In the pessimistic case your real cost of event bartenders and barbacks falls with the number of events (you pay hours per event), so the real result would be somewhat better than shown. If labor cost still blows up, adjust it in the "Staffing" tab, not here.</t>
        </is>
      </c>
    </row>
    <row r="24">
      <c r="A24" s="35" t="inlineStr">
        <is>
          <t>Guests per year per full-time equivalent</t>
        </is>
      </c>
      <c r="B24" s="42">
        <f>IFERROR(IF(B8="","",B5*B7/Staffing!$C$9),"")</f>
        <v>5578.378378378378</v>
      </c>
      <c r="C24" s="42">
        <f>IFERROR(IF(C8="","",C5*C7/Staffing!$C$9),"")</f>
        <v>8216.216216216217</v>
      </c>
      <c r="D24" s="42">
        <f>IFERROR(IF(D8="","",D5*D7/Staffing!$C$9),"")</f>
        <v>11351.351351351352</v>
      </c>
      <c r="E24" s="35" t="inlineStr">
        <is>
          <t>Guests each full-time equivalent in the "Staffing" table would have to serve in a year. In the optimistic scenario it tells you whether you need to hire</t>
        </is>
      </c>
    </row>
    <row r="25">
      <c r="A25" s="16" t="inlineStr">
        <is>
          <t>Year-1 closing cash balance (estimate, same method in all three scenarios)</t>
        </is>
      </c>
      <c r="B25" s="52">
        <f>IFERROR(IF(B8="","",'Startup Costs'!$B$25+B20+'3-Year P&amp;L'!$B$36-Financing!$B$45),"")</f>
        <v>-2663.8174853291885</v>
      </c>
      <c r="C25" s="52">
        <f>IFERROR(IF(C8="","",'Startup Costs'!$B$25+C20+'3-Year P&amp;L'!$B$36-Financing!$B$45),"")</f>
        <v>48886.17337181366</v>
      </c>
      <c r="D25" s="52">
        <f>IFERROR(IF(D8="","",'Startup Costs'!$B$25+D20+'3-Year P&amp;L'!$B$36-Financing!$B$45),"")</f>
        <v>106826.74837181366</v>
      </c>
      <c r="E25" s="16"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row>
    <row r="26">
      <c r="A26" s="35" t="inlineStr">
        <is>
          <t>Actual month-12 balance from the 12-Month Cash Flow tab (Base case only)</t>
        </is>
      </c>
      <c r="C26" s="42">
        <f>IFERROR(IF(C8="","",'12-Month Cash Flow'!$M$22),"")</f>
        <v>58962.49859867562</v>
      </c>
      <c r="E26" s="35"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row>
    <row r="28" ht="150" customHeight="1">
      <c r="A28" s="17" t="inlineStr">
        <is>
          <t>The "Base" column reads its three inputs (events per year, price per guest and guests per event) from the "0. Assumptions" tab, so it reproduces EXACTLY year 1 of the P&amp;L. The other two scenarios use the same cost rates: only events, price and guests change. FIXED COSTS are the same in all three, while variable costs follow the sales of each scenario.</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AND(ISNUMBER(B23),B23&gt;'3-Year P&amp;L'!$E$54)</formula>
    </cfRule>
    <cfRule type="expression" priority="2" dxfId="0" stopIfTrue="1">
      <formula>AND(ISNUMBER(B23),B23&lt;='3-Year P&amp;L'!$E$54)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nvalid amount" error="Enter a number greater than or equal to 0." type="decimal" operator="greaterThanOrEqual">
      <formula1>0</formula1>
    </dataValidation>
    <dataValidation sqref="B7 D7" showDropDown="0" showInputMessage="0" showErrorMessage="1" allowBlank="1" errorTitle="Value out of range" error="Enter a whole number from 1 to 365: guests per event or days." type="whole" operator="between">
      <formula1>1</formula1>
      <formula2>365</formula2>
    </dataValidation>
    <dataValidation sqref="B5 D5"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5"/>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STAFFING STRUCTURE AND COSTS</t>
        </is>
      </c>
    </row>
    <row r="2">
      <c r="A2" t="str">
        <f>IFERROR("Payroll — "&amp;TEXT('0. Assumptions'!$B$21,"0")&amp;" pay periods + employer taxes "&amp;TEXT('0. Assumptions'!$B$20*100,"0")&amp;"%","")</f>
        <v>Payroll — 12 pay periods + employer taxes 10%</v>
      </c>
    </row>
    <row r="4" ht="45" customHeight="1">
      <c r="A4" s="39" t="inlineStr">
        <is>
          <t>Position</t>
        </is>
      </c>
      <c r="B4" s="39" t="inlineStr">
        <is>
          <t>People</t>
        </is>
      </c>
      <c r="C4" s="39" t="inlineStr">
        <is>
          <t>FTE</t>
        </is>
      </c>
      <c r="D4" s="39" t="inlineStr">
        <is>
          <t>Gross pay per month (total for the position)</t>
        </is>
      </c>
      <c r="E4" s="39" t="inlineStr">
        <is>
          <t>Employer payroll taxes (total for the position)</t>
        </is>
      </c>
      <c r="F4" s="39" t="inlineStr">
        <is>
          <t>Cost per month (total for the position)</t>
        </is>
      </c>
      <c r="G4" s="39" t="inlineStr">
        <is>
          <t>Cost per year</t>
        </is>
      </c>
      <c r="H4" s="39" t="inlineStr">
        <is>
          <t>Hours per week per person</t>
        </is>
      </c>
      <c r="I4" s="39" t="inlineStr">
        <is>
          <t>Hours per year for the position</t>
        </is>
      </c>
      <c r="J4" s="39" t="inlineStr">
        <is>
          <t>Notes</t>
        </is>
      </c>
    </row>
    <row r="5">
      <c r="A5" s="28" t="inlineStr">
        <is>
          <t>Owner &amp; Lead Bartender (sales and operations)</t>
        </is>
      </c>
      <c r="B5" s="49" t="n">
        <v>1</v>
      </c>
      <c r="C5" s="51" t="n">
        <v>1</v>
      </c>
      <c r="D5" s="71" t="n">
        <v>3250</v>
      </c>
      <c r="E5" s="61">
        <f>IFERROR(IF(D5="","",D5*'0. Assumptions'!$B$20),"")</f>
        <v>325.0</v>
      </c>
      <c r="F5" s="61">
        <f>IFERROR(IF(D5="","",D5+E5),"")</f>
        <v>3575.0</v>
      </c>
      <c r="G5" s="61">
        <f>IFERROR(IF(D5="","",F5*MAX(12,'0. Assumptions'!$B$21)),"")</f>
        <v>42900.0</v>
      </c>
      <c r="H5" s="44">
        <f>IFERROR(IF(D5="","",C5*$B$16),"")</f>
        <v>40.0</v>
      </c>
      <c r="I5" s="40">
        <f>IFERROR(IF(D5="","",H5*B5*$B$17),"")</f>
        <v>2000.0</v>
      </c>
      <c r="J5" s="28" t="inlineStr">
        <is>
          <t>Sells, runs the tastings, designs the drink menus and leads the bar for crew 1. Covers the main shift at every event.</t>
        </is>
      </c>
    </row>
    <row r="6">
      <c r="A6" s="28" t="inlineStr">
        <is>
          <t>Second-crew lead bartender (part-time W-2)</t>
        </is>
      </c>
      <c r="B6" s="49" t="n">
        <v>1</v>
      </c>
      <c r="C6" s="51" t="n">
        <v>0.25</v>
      </c>
      <c r="D6" s="71" t="n">
        <v>867</v>
      </c>
      <c r="E6" s="61">
        <f>IFERROR(IF(D6="","",D6*'0. Assumptions'!$B$20),"")</f>
        <v>86.7</v>
      </c>
      <c r="F6" s="61">
        <f>IFERROR(IF(D6="","",D6+E6),"")</f>
        <v>953.7</v>
      </c>
      <c r="G6" s="61">
        <f>IFERROR(IF(D6="","",F6*MAX(12,'0. Assumptions'!$B$21)),"")</f>
        <v>11444.400000000001</v>
      </c>
      <c r="H6" s="44">
        <f>IFERROR(IF(D6="","",C6*$B$16),"")</f>
        <v>10.0</v>
      </c>
      <c r="I6" s="40">
        <f>IFERROR(IF(D6="","",H6*B6*$B$17),"")</f>
        <v>500.0</v>
      </c>
      <c r="J6" s="28" t="inlineStr">
        <is>
          <t>Leads the second crew on peak-season Saturdays: setup, service and breakdown. Part-time W-2, paid at or above the pay floor in proportion to FTE.</t>
        </is>
      </c>
    </row>
    <row r="7">
      <c r="A7" s="28" t="inlineStr">
        <is>
          <t>Event bartenders (hourly W-2)</t>
        </is>
      </c>
      <c r="B7" s="49" t="n">
        <v>5</v>
      </c>
      <c r="C7" s="51" t="n">
        <v>0.1</v>
      </c>
      <c r="D7" s="71" t="n">
        <v>1560</v>
      </c>
      <c r="E7" s="61">
        <f>IFERROR(IF(D7="","",D7*'0. Assumptions'!$B$20),"")</f>
        <v>156.0</v>
      </c>
      <c r="F7" s="61">
        <f>IFERROR(IF(D7="","",D7+E7),"")</f>
        <v>1716.0</v>
      </c>
      <c r="G7" s="61">
        <f>IFERROR(IF(D7="","",F7*MAX(12,'0. Assumptions'!$B$21)),"")</f>
        <v>20592.0</v>
      </c>
      <c r="H7" s="44">
        <f>IFERROR(IF(D7="","",C7*$B$16),"")</f>
        <v>4.0</v>
      </c>
      <c r="I7" s="40">
        <f>IFERROR(IF(D7="","",H7*B7*$B$17),"")</f>
        <v>1000.0</v>
      </c>
      <c r="J7" s="28" t="inlineStr">
        <is>
          <t>Bartenders hired per event and paid hourly as W-2 employees. Their FTE is a fraction because they only work event hours. Voluntary tips are theirs (FLSA). Treating them as 1099 contractors is a misclassification risk (FLSA; California AB5). Paid at or above the pay floor in proportion to FTE.</t>
        </is>
      </c>
    </row>
    <row r="8">
      <c r="A8" s="28" t="inlineStr">
        <is>
          <t>Barbacks / setup crew (hourly W-2)</t>
        </is>
      </c>
      <c r="B8" s="49" t="n">
        <v>2</v>
      </c>
      <c r="C8" s="51" t="n">
        <v>0.05</v>
      </c>
      <c r="D8" s="71" t="n">
        <v>260</v>
      </c>
      <c r="E8" s="61">
        <f>IFERROR(IF(D8="","",D8*'0. Assumptions'!$B$20),"")</f>
        <v>26.0</v>
      </c>
      <c r="F8" s="61">
        <f>IFERROR(IF(D8="","",D8+E8),"")</f>
        <v>286.0</v>
      </c>
      <c r="G8" s="61">
        <f>IFERROR(IF(D8="","",F8*MAX(12,'0. Assumptions'!$B$21)),"")</f>
        <v>3432.0</v>
      </c>
      <c r="H8" s="44">
        <f>IFERROR(IF(D8="","",C8*$B$16),"")</f>
        <v>2.0</v>
      </c>
      <c r="I8" s="40">
        <f>IFERROR(IF(D8="","",H8*B8*$B$17),"")</f>
        <v>200.0</v>
      </c>
      <c r="J8" s="28" t="inlineStr">
        <is>
          <t>Barbacks hired by the hour as W-2 employees: loading, ice, setup and breakdown at larger events. Paid at or above the pay floor in proportion to FTE.</t>
        </is>
      </c>
    </row>
    <row r="9">
      <c r="A9" s="16" t="inlineStr">
        <is>
          <t>TOTAL STAFF</t>
        </is>
      </c>
      <c r="B9" s="52">
        <f>IFERROR(IF(COUNT(D5:D8)=0,"",SUM(B5:B8)),"")</f>
        <v>9.0</v>
      </c>
      <c r="C9" s="53">
        <f>IFERROR(IF(COUNT(D5:D8)=0,"",SUMPRODUCT(B5:B8,C5:C8)),"")</f>
        <v>1.85</v>
      </c>
      <c r="D9" s="53">
        <f>IFERROR(IF(COUNT(D5:D8)=0,"",SUM(D5:D8)),"")</f>
        <v>5937.0</v>
      </c>
      <c r="E9" s="53">
        <f>IFERROR(IF(COUNT(D5:D8)=0,"",SUM(E5:E8)),"")</f>
        <v>593.7</v>
      </c>
      <c r="F9" s="53">
        <f>IFERROR(IF(COUNT(D5:D8)=0,"",SUM(F5:F8)),"")</f>
        <v>6530.7</v>
      </c>
      <c r="G9" s="53">
        <f>IFERROR(IF(COUNT(D5:D8)=0,"",SUM(G5:G8)),"")</f>
        <v>78368.4</v>
      </c>
      <c r="I9" s="52">
        <f>IFERROR(IF(COUNT(D5:D8)=0,"",SUM(I5:I8)),"")</f>
        <v>3700.0</v>
      </c>
    </row>
    <row r="10">
      <c r="A10" s="16" t="inlineStr">
        <is>
          <t>STAFF GROWTH (stepped cost)</t>
        </is>
      </c>
    </row>
    <row r="11">
      <c r="A11" s="35" t="inlineStr">
        <is>
          <t>Annual cost of year-2 hires</t>
        </is>
      </c>
      <c r="B11" s="56" t="n">
        <v>3000</v>
      </c>
      <c r="J11" s="35" t="inlineStr">
        <is>
          <t>FULL ANNUAL cost (gross pay + employer payroll taxes, over all pay periods) of whoever you hire that year. The P&amp;L adds it to the previous year's cost: staffing grows by people, not by a percentage</t>
        </is>
      </c>
    </row>
    <row r="12">
      <c r="A12" s="35" t="inlineStr">
        <is>
          <t>Annual cost of year-3 hires</t>
        </is>
      </c>
      <c r="B12" s="56" t="n">
        <v>3000</v>
      </c>
      <c r="J12" s="35" t="inlineStr">
        <is>
          <t>FULL ANNUAL cost (gross pay + employer payroll taxes, over all pay periods) of whoever you hire that year. The P&amp;L adds it to the previous year's cost: staffing grows by people, not by a percentage</t>
        </is>
      </c>
    </row>
    <row r="13">
      <c r="A13" s="35" t="inlineStr">
        <is>
          <t>Labor cost, year 2</t>
        </is>
      </c>
      <c r="B13" s="42">
        <f>IFERROR(IF(G9="","",G9*(1+'0. Assumptions'!$B$48)+B11),"")</f>
        <v>81368.4</v>
      </c>
    </row>
    <row r="14">
      <c r="A14" s="35" t="inlineStr">
        <is>
          <t>Labor cost, year 3</t>
        </is>
      </c>
      <c r="B14" s="42">
        <f>IFERROR(IF(B13="","",B13*(1+'0. Assumptions'!$B$48)+B12),"")</f>
        <v>84368.4</v>
      </c>
    </row>
    <row r="15">
      <c r="A15" s="16" t="inlineStr">
        <is>
          <t>COVERAGE OF EVENT HOURS</t>
        </is>
      </c>
    </row>
    <row r="16">
      <c r="A16" s="35" t="inlineStr">
        <is>
          <t>Full-time week (hours per week)</t>
        </is>
      </c>
      <c r="B16" s="56" t="n">
        <v>40</v>
      </c>
      <c r="J16" s="35" t="inlineStr">
        <is>
          <t>40 hours a week is the FLSA overtime threshold for non-exempt employees; some states add daily overtime rules. Change it if your own full-time week is different</t>
        </is>
      </c>
    </row>
    <row r="17">
      <c r="A17" s="35" t="inlineStr">
        <is>
          <t>Weeks worked per year per person</t>
        </is>
      </c>
      <c r="B17" s="56" t="n">
        <v>50</v>
      </c>
      <c r="J17" s="35" t="inlineStr">
        <is>
          <t>50 weeks: 52 minus about two weeks of vacation, holidays and average absences. There is no federal vacation requirement in the US: adjust it to your own policy</t>
        </is>
      </c>
    </row>
    <row r="18">
      <c r="A18" s="35" t="inlineStr">
        <is>
          <t>Hours per person per event (prep, loading, travel, setup, service, breakdown)</t>
        </is>
      </c>
      <c r="B18" s="57" t="n">
        <v>8</v>
      </c>
      <c r="J18" s="35" t="inlineStr">
        <is>
          <t>Hours of work that one event needs: shopping, packing, loading, transport, setup, service, breakdown and cleanup. Serving is only part of it. Hours × people × events per year sets the event staff cost.</t>
        </is>
      </c>
    </row>
    <row r="19">
      <c r="A19" s="35" t="inlineStr">
        <is>
          <t>People per event (bartenders and barbacks, average)</t>
        </is>
      </c>
      <c r="B19" s="57" t="n">
        <v>2.2</v>
      </c>
      <c r="J19" s="35" t="inlineStr">
        <is>
          <t>Average number of people working each event. A large wedding needs more hands: raise it here and the staffing sizes itself.</t>
        </is>
      </c>
    </row>
    <row r="20">
      <c r="A20" s="35" t="inlineStr">
        <is>
          <t>Event hours to cover per year</t>
        </is>
      </c>
      <c r="B20" s="42">
        <f>IFERROR(IF(OR(B18="",B19="",'0. Assumptions'!$B$4=""),"",B18*B19*'0. Assumptions'!$B$4),"")</f>
        <v>2816.0</v>
      </c>
    </row>
    <row r="21">
      <c r="A21" s="35" t="inlineStr">
        <is>
          <t>Hours hired per year</t>
        </is>
      </c>
      <c r="B21" s="42">
        <f>IFERROR(IF(I9="","",I9),"")</f>
        <v>3700.0</v>
      </c>
    </row>
    <row r="22">
      <c r="A22" s="16" t="inlineStr">
        <is>
          <t>Coverage (hired / needed)</t>
        </is>
      </c>
      <c r="B22" s="69">
        <f>IFERROR(B21/B20,"")</f>
        <v>1.3139204545454546</v>
      </c>
      <c r="J22" s="16" t="inlineStr">
        <is>
          <t>Below 100% the staff cannot cover the hours the plan declares: either hire more or cut the hours</t>
        </is>
      </c>
    </row>
    <row r="24" ht="150" customHeight="1">
      <c r="A24" s="17" t="inlineStr">
        <is>
          <t>Columns D-G are TOTALS for the row. Event bartenders and barbacks are hourly W-2 employees with payroll taxes and workers' comp: paying them as 1099 contractors is a misclassification risk (FLSA; California AB5). Tips belong to the staff: the employer keeps none of them (FLSA).</t>
        </is>
      </c>
    </row>
    <row r="25" ht="150" customHeight="1">
      <c r="A25" s="17" t="inlineStr">
        <is>
          <t>The pay floor is the HIGHER of the federal minimum wage and your state / local minimum wage, both in the "0. Assumptions" tab; part-time positions get it in proportion. There is no single national table above the federal floor: the state / local cell is delivered empty so you can enter the rate for your state and city.</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2">
    <cfRule type="expression" priority="1" dxfId="1" stopIfTrue="1">
      <formula>AND(ISNUMBER(B22),B22&lt;0.9)</formula>
    </cfRule>
    <cfRule type="expression" priority="2" dxfId="2" stopIfTrue="1">
      <formula>AND(ISNUMBER(B22),B22&gt;=0.9)</formula>
    </cfRule>
    <cfRule type="expression" priority="3" dxfId="0" stopIfTrue="1">
      <formula>AND(ISNUMBER(B22),B22&gt;=1)</formula>
    </cfRule>
  </conditionalFormatting>
  <conditionalFormatting sqref="D5:D8">
    <cfRule type="expression" priority="4" dxfId="1" stopIfTrue="1">
      <formula>AND(ISNUMBER(D5),IFERROR(D5/B5,0)*'0. Assumptions'!$B$21&lt;MAX('0. Assumptions'!$B$22,'0. Assumptions'!$B$68)*C5)</formula>
    </cfRule>
  </conditionalFormatting>
  <dataValidations count="4">
    <dataValidation sqref="B5 B6 B8 B11 B12 B16 B17 B18 D5 D6 D7 D8" showDropDown="0" showInputMessage="0" showErrorMessage="1" allowBlank="1" errorTitle="Invalid amount" error="Enter a number greater than or equal to 0." type="decimal" operator="greaterThanOrEqual">
      <formula1>0</formula1>
    </dataValidation>
    <dataValidation sqref="B19"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5 C6 C7 C8" showDropDown="0" showInputMessage="0" showErrorMessage="1" allowBlank="1" errorTitle="Invalid percentage" error="Enter a percentage between 0 and 1 (0.35 = 35%)." type="decimal" operator="between">
      <formula1>0</formula1>
      <formula2>1</formula2>
    </dataValidation>
    <dataValidation sqref="B7"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HOW TO USE THIS WORKBOOK — Mobile Bar Financial Projections</t>
        </is>
      </c>
      <c r="B1" s="28" t="n"/>
      <c r="C1" s="28" t="n"/>
      <c r="D1" s="28" t="n"/>
      <c r="E1" s="28" t="n"/>
    </row>
    <row r="2">
      <c r="A2" s="28" t="n"/>
      <c r="B2" s="28" t="n"/>
      <c r="C2" s="28" t="n"/>
      <c r="D2" s="28" t="n"/>
      <c r="E2" s="28" t="n"/>
    </row>
    <row r="3">
      <c r="A3" s="39" t="inlineStr">
        <is>
          <t>HOW TO USE THIS WORKBOOK</t>
        </is>
      </c>
      <c r="B3" s="28" t="n"/>
      <c r="C3" s="28" t="n"/>
      <c r="D3" s="28" t="n"/>
      <c r="E3" s="28" t="n"/>
    </row>
    <row r="4" ht="30" customHeight="1">
      <c r="A4" s="46" t="inlineStr">
        <is>
          <t>This financial plan is a MODEL: you type only in the GREEN cells and everything else recalculates on its own.</t>
        </is>
      </c>
      <c r="B4" s="28" t="n"/>
      <c r="C4" s="28" t="n"/>
      <c r="D4" s="28" t="n"/>
      <c r="E4" s="28" t="n"/>
    </row>
    <row r="5" ht="45" customHeight="1">
      <c r="A5" s="46" t="inlineStr">
        <is>
          <t>1. "0. Assumptions" is the control sheet: events per year, price per guest excl. sales tax, guests per event, the bar package and add-on mix, cost of goods sold, storage and trailer parking, financing and taxes.</t>
        </is>
      </c>
      <c r="B5" s="28" t="n"/>
      <c r="C5" s="28" t="n"/>
      <c r="D5" s="28" t="n"/>
      <c r="E5" s="28" t="n"/>
    </row>
    <row r="6" ht="45" customHeight="1">
      <c r="A6" s="46" t="inlineStr">
        <is>
          <t>2. Startup cost items, fixed costs and staffing are typed in their own tab, also in green. No number is typed twice.</t>
        </is>
      </c>
      <c r="B6" s="28" t="n"/>
      <c r="C6" s="28" t="n"/>
      <c r="D6" s="28" t="n"/>
      <c r="E6" s="28" t="n"/>
    </row>
    <row r="7" ht="104.75" customHeight="1">
      <c r="A7" s="46" t="inlineStr">
        <is>
          <t>3. Only "Break-Even" is derived entirely from the rest. The other three tabs also have green cells you can edit: the pessimistic and optimistic scenarios in "Scenarios", seasonality and the launch ramp-up in "12-Month Cash Flow", and the other funding sources in "Financing" (rows 8-11 count as sources but are not amortized: your bank or SBA 7(a) loan goes in "Loan requested" on "0. Assumptions"). Everything else is calculated.</t>
        </is>
      </c>
      <c r="B7" s="28" t="n"/>
      <c r="C7" s="28" t="n"/>
      <c r="D7" s="28" t="n"/>
      <c r="E7" s="28" t="n"/>
    </row>
    <row r="8" ht="210" customHeight="1">
      <c r="A8" s="46" t="inlineStr">
        <is>
          <t>4. All figures are EXCL. SALES TAX. To turn a quoted price into a price excl. sales tax, divide it by 1 + your sales tax rate (with an 8% rate, divide by 1.08); if an item is taxed at a different rate in your state, use that rate. Sales tax on services varies by state: in some, the whole bar package invoice is taxable, including bartender labor and rentals; check yours. The rate of each sales line is in the "Sales tax rate on the line (%)" column of the P&amp;L, and from it come the receipts, the sales tax collected and the equivalent price per guest incl. sales tax. With the default 0% recoverable input tax, the sales tax you pay on purchases and startup costs is treated as a cost; in the UK, enter 20% if you are VAT-registered.</t>
        </is>
      </c>
      <c r="B8" s="28" t="n"/>
      <c r="C8" s="28" t="n"/>
      <c r="D8" s="28" t="n"/>
      <c r="E8" s="28" t="n"/>
    </row>
    <row r="9" ht="30" customHeight="1">
      <c r="A9" s="46" t="inlineStr">
        <is>
          <t>5. If you change the staffing, the P&amp;L reads it on its own: labor cost comes from the "Staffing" tab, not from a separate estimate.</t>
        </is>
      </c>
      <c r="B9" s="28" t="n"/>
      <c r="C9" s="28" t="n"/>
      <c r="D9" s="28" t="n"/>
      <c r="E9" s="28" t="n"/>
    </row>
    <row r="10" ht="45" customHeight="1">
      <c r="A10" s="46" t="inlineStr">
        <is>
          <t>6. The "12-Month Cash Flow" tab answers the question that decides a bank deal: in which month the cash runs out. The minimum balance of the year can never be in red.</t>
        </is>
      </c>
      <c r="B10" s="28" t="n"/>
      <c r="C10" s="28" t="n"/>
      <c r="D10" s="28" t="n"/>
      <c r="E10" s="28" t="n"/>
    </row>
    <row r="11" ht="45" customHeight="1">
      <c r="A11" s="46" t="inlineStr">
        <is>
          <t>7. The "Financing" tab matches what you need with what you put in and builds the amortization schedule of the loan. If the difference is red, the plan is not funded.</t>
        </is>
      </c>
      <c r="B11" s="28" t="n"/>
      <c r="C11" s="28" t="n"/>
      <c r="D11" s="28" t="n"/>
      <c r="E11" s="28" t="n"/>
    </row>
    <row r="12" ht="59.75" customHeight="1">
      <c r="A12" s="46" t="inlineStr">
        <is>
          <t>8. The Word business plan in this kit uses the same example figures as this workbook. The workbook is the one that recalculates on its own when you change a green cell: if you change one, update the matching figures in the Word document.</t>
        </is>
      </c>
      <c r="B12" s="28" t="n"/>
      <c r="C12" s="28" t="n"/>
      <c r="D12" s="28" t="n"/>
      <c r="E12" s="28" t="n"/>
    </row>
    <row r="13">
      <c r="A13" s="28" t="n"/>
      <c r="B13" s="28" t="n"/>
      <c r="C13" s="28" t="n"/>
      <c r="D13" s="28" t="n"/>
      <c r="E13" s="28" t="n"/>
    </row>
    <row r="14">
      <c r="A14" s="25" t="inlineStr">
        <is>
          <t>RATIOS AUDITED BY THIS WORKBOOK</t>
        </is>
      </c>
      <c r="B14" s="28" t="n"/>
      <c r="C14" s="28" t="n"/>
      <c r="D14" s="28" t="n"/>
      <c r="E14" s="28" t="n"/>
    </row>
    <row r="15" ht="30" customHeight="1">
      <c r="A15" s="46" t="inlineStr">
        <is>
          <t>Thresholds live in the "Threshold" column of the KEY RATIOS block of the P&amp;L: change them there and the traffic light changes with them.</t>
        </is>
      </c>
      <c r="B15" s="28" t="n"/>
      <c r="C15" s="28" t="n"/>
      <c r="D15" s="28" t="n"/>
      <c r="E15" s="28" t="n"/>
    </row>
    <row r="16">
      <c r="A16" s="28" t="n"/>
      <c r="B16" s="28" t="n"/>
      <c r="C16" s="28" t="n"/>
      <c r="D16" s="28" t="n"/>
      <c r="E16" s="28" t="n"/>
    </row>
    <row r="17">
      <c r="A17" s="25" t="inlineStr">
        <is>
          <t>Ratio</t>
        </is>
      </c>
      <c r="B17" s="25" t="inlineStr">
        <is>
          <t>Year 1 value</t>
        </is>
      </c>
      <c r="C17" s="25" t="inlineStr">
        <is>
          <t>Threshold</t>
        </is>
      </c>
      <c r="D17" s="25" t="inlineStr">
        <is>
          <t>Status</t>
        </is>
      </c>
      <c r="E17" s="28" t="n"/>
    </row>
    <row r="18">
      <c r="A18" s="28" t="inlineStr">
        <is>
          <t>Cost of goods sold / Sales</t>
        </is>
      </c>
      <c r="B18" s="68">
        <f>IFERROR(IF('3-Year P&amp;L'!$B$53="","",'3-Year P&amp;L'!$B$53),"")</f>
        <v>0.19149999999999998</v>
      </c>
      <c r="C18" s="68">
        <f>IFERROR(IF('3-Year P&amp;L'!$E$53="","",'3-Year P&amp;L'!$E$53),"")</f>
        <v>0.26</v>
      </c>
      <c r="D18" s="28" t="str">
        <f>IFERROR(IF(OR(B18="",C18=""),"",IF(B18&lt;=C18,"OK","REVIEW")),"")</f>
        <v>OK</v>
      </c>
      <c r="E18" s="28" t="n"/>
    </row>
    <row r="19">
      <c r="A19" t="inlineStr">
        <is>
          <t>Labor cost / Sales</t>
        </is>
      </c>
      <c r="B19" s="65">
        <f>IFERROR(IF('3-Year P&amp;L'!$B$54="","",'3-Year P&amp;L'!$B$54),"")</f>
        <v>0.3682725563909774</v>
      </c>
      <c r="C19" s="65">
        <f>IFERROR(IF('3-Year P&amp;L'!$E$54="","",'3-Year P&amp;L'!$E$54),"")</f>
        <v>0.4</v>
      </c>
      <c r="D19" t="str">
        <f>IFERROR(IF(OR(B19="",C19=""),"",IF(B19&lt;=C19,"OK","REVIEW")),"")</f>
        <v>OK</v>
      </c>
    </row>
    <row r="20">
      <c r="A20" t="inlineStr">
        <is>
          <t>Storage &amp; parking / Sales</t>
        </is>
      </c>
      <c r="B20" s="65">
        <f>IFERROR(IF('3-Year P&amp;L'!$B$55="","",'3-Year P&amp;L'!$B$55),"")</f>
        <v>0.03383458646616541</v>
      </c>
      <c r="C20" s="65">
        <f>IFERROR(IF('3-Year P&amp;L'!$E$55="","",'3-Year P&amp;L'!$E$55),"")</f>
        <v>0.06</v>
      </c>
      <c r="D20" t="str">
        <f>IFERROR(IF(OR(B20="",C20=""),"",IF(B20&lt;=C20,"OK","REVIEW")),"")</f>
        <v>OK</v>
      </c>
    </row>
    <row r="21">
      <c r="A21" t="inlineStr">
        <is>
          <t>Net income / Sales</t>
        </is>
      </c>
      <c r="B21" s="65">
        <f>IFERROR(IF('3-Year P&amp;L'!$B$56="","",'3-Year P&amp;L'!$B$56),"")</f>
        <v>0.0883006176154672</v>
      </c>
      <c r="C21" s="65">
        <f>IFERROR(IF('3-Year P&amp;L'!$E$56="","",'3-Year P&amp;L'!$E$56),"")</f>
        <v>0.05</v>
      </c>
      <c r="D21" t="str">
        <f>IFERROR(IF(OR(B21="",C21=""),"",IF(B21&gt;=C21,"OK","REVIEW")),"")</f>
        <v>OK</v>
      </c>
    </row>
    <row r="22">
      <c r="A22" t="inlineStr">
        <is>
          <t>Gross margin / Sales</t>
        </is>
      </c>
      <c r="B22" s="65">
        <f>IFERROR(IF('3-Year P&amp;L'!$B$51="","",'3-Year P&amp;L'!$B$51),"")</f>
        <v>0.6984999999999999</v>
      </c>
      <c r="C22" s="65">
        <f>IFERROR(IF('3-Year P&amp;L'!$E$51="","",'3-Year P&amp;L'!$E$51),"")</f>
        <v>0.65</v>
      </c>
      <c r="D22" t="str">
        <f>IFERROR(IF(OR(B22="",C22=""),"",IF(B22&gt;=C22,"OK","REVIEW")),"")</f>
        <v>OK</v>
      </c>
    </row>
    <row r="24">
      <c r="A24" s="16" t="inlineStr">
        <is>
          <t>THIS PLAN'S KEY FIGURES</t>
        </is>
      </c>
    </row>
    <row r="25">
      <c r="A25" t="inlineStr">
        <is>
          <t>Total startup costs (sum of the blocks)</t>
        </is>
      </c>
      <c r="B25" s="42">
        <f>IFERROR(IF('Startup Costs'!$B$26="","",'Startup Costs'!$B$26),"")</f>
        <v>76972.09999999999</v>
      </c>
    </row>
    <row r="26">
      <c r="A26" t="inlineStr">
        <is>
          <t>Total cash needed at launch</t>
        </is>
      </c>
      <c r="B26" s="42">
        <f>IFERROR(IF('Startup Costs'!$B$29="","",'Startup Costs'!$B$29),"")</f>
        <v>76972.09999999999</v>
      </c>
    </row>
    <row r="27">
      <c r="A27" t="inlineStr">
        <is>
          <t>Working capital funded</t>
        </is>
      </c>
      <c r="B27" s="42">
        <f>IFERROR(IF('Startup Costs'!$B$25="","",'Startup Costs'!$B$25),"")</f>
        <v>29442.099999999995</v>
      </c>
    </row>
    <row r="28">
      <c r="A28" t="inlineStr">
        <is>
          <t>Forecast year-1 revenue</t>
        </is>
      </c>
      <c r="B28" s="42">
        <f>IFERROR(IF('3-Year P&amp;L'!$B$9="","",'3-Year P&amp;L'!$B$9),"")</f>
        <v>212800.0</v>
      </c>
    </row>
    <row r="29">
      <c r="A29" t="inlineStr">
        <is>
          <t>Year-1 net income</t>
        </is>
      </c>
      <c r="B29" s="42">
        <f>IFERROR(IF('3-Year P&amp;L'!$B$48="","",'3-Year P&amp;L'!$B$48),"")</f>
        <v>18790.37142857142</v>
      </c>
    </row>
    <row r="30">
      <c r="A30" t="inlineStr">
        <is>
          <t>Events per year for the ACCOUNTING break-even (depreciation included)</t>
        </is>
      </c>
      <c r="B30" s="48">
        <f>IFERROR(IF('Break-Even'!$B$15="","",'Break-Even'!$B$15),"")</f>
        <v>133.03154603965686</v>
      </c>
    </row>
    <row r="31">
      <c r="A31" t="inlineStr">
        <is>
          <t>Project payback (years), before debt</t>
        </is>
      </c>
      <c r="B31">
        <f>IFERROR(IF('12-Month Cash Flow'!$B$31="","",'12-Month Cash Flow'!$B$31),"")</f>
        <v>2.2</v>
      </c>
    </row>
    <row r="33">
      <c r="A33" s="16" t="inlineStr">
        <is>
          <t>WHY THIS MODEL IS BUILT THIS WAY</t>
        </is>
      </c>
    </row>
    <row r="34">
      <c r="A34" s="16" t="inlineStr">
        <is>
          <t>Item</t>
        </is>
      </c>
      <c r="B34" s="16" t="inlineStr">
        <is>
          <t>Common shortcut</t>
        </is>
      </c>
      <c r="C34" s="16" t="inlineStr">
        <is>
          <t>This workbook</t>
        </is>
      </c>
      <c r="D34" s="16" t="inlineStr">
        <is>
          <t>Why</t>
        </is>
      </c>
    </row>
    <row r="35" ht="60" customHeight="1">
      <c r="A35" s="58" t="inlineStr">
        <is>
          <t>Labor cost in the P&amp;L</t>
        </is>
      </c>
      <c r="B35" s="58" t="inlineStr">
        <is>
          <t>A typed-in number that does not match the Staffing tab</t>
        </is>
      </c>
      <c r="C35" s="58" t="inlineStr">
        <is>
          <t>Read directly from the Staffing tab</t>
        </is>
      </c>
      <c r="D35" s="17" t="inlineStr">
        <is>
          <t>If you change a salary, the whole plan recalculates, so the P&amp;L and the staffing table can never disagree.</t>
        </is>
      </c>
    </row>
    <row r="36" ht="75" customHeight="1">
      <c r="A36" s="58" t="inlineStr">
        <is>
          <t>Staffing</t>
        </is>
      </c>
      <c r="B36" s="58" t="inlineStr">
        <is>
          <t>One line called "staff", with no link to event hours or pay floors</t>
        </is>
      </c>
      <c r="C36" s="58" t="inlineStr">
        <is>
          <t>Positions with their FTE, sized to the hours your events need, with event staff paid per event</t>
        </is>
      </c>
      <c r="D36" s="17" t="inlineStr">
        <is>
          <t>A plan staffed for fewer hours than it sells does not work on its own numbers. This layout makes that gap visible before a lender does.</t>
        </is>
      </c>
    </row>
    <row r="37" ht="60" customHeight="1">
      <c r="A37" s="58" t="inlineStr">
        <is>
          <t>Events, guests and price</t>
        </is>
      </c>
      <c r="B37" s="58" t="inlineStr">
        <is>
          <t>Sales typed as one lump sum, with no link to bookings</t>
        </is>
      </c>
      <c r="C37" s="58" t="inlineStr">
        <is>
          <t>Revenue = events per year × guests per event × price per guest, one cell each for the whole workbook</t>
        </is>
      </c>
      <c r="D37" s="17" t="inlineStr">
        <is>
          <t>Break-even, scenarios and the P&amp;L read the same three cells, so they always agree, and you can see which lever moves the result: more events, bigger events or a higher price.</t>
        </is>
      </c>
    </row>
    <row r="38" ht="60" customHeight="1">
      <c r="A38" s="58" t="inlineStr">
        <is>
          <t>Price per guest</t>
        </is>
      </c>
      <c r="B38" s="58" t="inlineStr">
        <is>
          <t>A price with no statement of whether sales tax or service is included</t>
        </is>
      </c>
      <c r="C38" s="58" t="inlineStr">
        <is>
          <t>Declared EXCL. sales tax, with service included and the voluntary gratuity left out</t>
        </is>
      </c>
      <c r="D38" s="17" t="inlineStr">
        <is>
          <t>Declaring it changes no number: it just says what the number is. Price per guest incl. sales tax = price per guest × (1 + sales tax rate), and the workbook calculates it for you.</t>
        </is>
      </c>
    </row>
    <row r="39" ht="60" customHeight="1">
      <c r="A39" s="58" t="inlineStr">
        <is>
          <t>Storage unit and trailer parking</t>
        </is>
      </c>
      <c r="B39" s="58" t="inlineStr">
        <is>
          <t>Left out: the model shows no cost of space</t>
        </is>
      </c>
      <c r="C39" s="58" t="inlineStr">
        <is>
          <t>A monthly storage and trailer parking cost, plus a deposit and rent for the months before opening</t>
        </is>
      </c>
      <c r="D39" s="17" t="inlineStr">
        <is>
          <t>A mobile bar has no premises, but the bar, the glassware and the trailer have to live somewhere between events. Leaving it out makes the business look like it has no occupancy cost.</t>
        </is>
      </c>
    </row>
    <row r="40" ht="45" customHeight="1">
      <c r="A40" s="58" t="inlineStr">
        <is>
          <t>Working capital</t>
        </is>
      </c>
      <c r="B40" s="58" t="inlineStr">
        <is>
          <t>A round number labeled "3 months" that does not match the fixed costs</t>
        </is>
      </c>
      <c r="C40" s="58" t="inlineStr">
        <is>
          <t>Three months of cash fixed costs, calculated by formula</t>
        </is>
      </c>
      <c r="D40" s="17" t="inlineStr">
        <is>
          <t>A round number often covers far less than the label says. This cushion is what keeps you open through a slow month between wedding seasons.</t>
        </is>
      </c>
    </row>
    <row r="41" ht="60" customHeight="1">
      <c r="A41" s="58" t="inlineStr">
        <is>
          <t>Depreciation</t>
        </is>
      </c>
      <c r="B41" s="58" t="inlineStr">
        <is>
          <t>One useful life for everything, including items that are not fixed assets</t>
        </is>
      </c>
      <c r="C41" s="58" t="inlineStr">
        <is>
          <t>Two useful lives: the bar trailer with its conversion, generator and storage fit-out, and the portable bar with the tools and glassware. The Startup Costs tab calculates the annual charge.</t>
        </is>
      </c>
      <c r="D41" s="17" t="inlineStr">
        <is>
          <t>The trailer and the bar equipment wear out at different speeds. Working capital, opening inventory and launch marketing are not fixed assets, so they are not depreciated.</t>
        </is>
      </c>
    </row>
    <row r="42" ht="30" customHeight="1">
      <c r="A42" s="58" t="inlineStr">
        <is>
          <t>Insurance and liquor liability</t>
        </is>
      </c>
      <c r="B42" s="58" t="inlineStr">
        <is>
          <t>Counted twice: once in startup costs and again as an annual expense</t>
        </is>
      </c>
      <c r="C42" s="58" t="inlineStr">
        <is>
          <t>Counted once, as an annual expense</t>
        </is>
      </c>
      <c r="D42" s="17" t="inlineStr">
        <is>
          <t>Counting a premium in both places inflates the startup costs, the cash you need to raise and the loan you ask for.</t>
        </is>
      </c>
    </row>
    <row r="43" ht="30" customHeight="1">
      <c r="A43" s="58" t="inlineStr">
        <is>
          <t>Storage power and water</t>
        </is>
      </c>
      <c r="B43" s="58" t="inlineStr">
        <is>
          <t>A separate line, on top of utilities</t>
        </is>
      </c>
      <c r="C43" s="58" t="inlineStr">
        <is>
          <t>Included in the utilities cell</t>
        </is>
      </c>
      <c r="D43" s="17" t="inlineStr">
        <is>
          <t>Writing it in two places counts it twice: here it lives in one cell and the rest of the workbook follows.</t>
        </is>
      </c>
    </row>
    <row r="44" ht="30" customHeight="1">
      <c r="A44" s="58" t="inlineStr">
        <is>
          <t>Startup contingency</t>
        </is>
      </c>
      <c r="B44" s="58" t="inlineStr">
        <is>
          <t>A lump sum typed by hand</t>
        </is>
      </c>
      <c r="C44" s="58" t="inlineStr">
        <is>
          <t>A percentage calculated on the trailer, conversion, generator, storage fit-out and inspection lines</t>
        </is>
      </c>
      <c r="D44" s="17" t="inlineStr">
        <is>
          <t>If you change the trailer price, the contingency recalculates instead of staying at the old amount.</t>
        </is>
      </c>
    </row>
    <row r="45" ht="74.75" customHeight="1">
      <c r="A45" s="58" t="inlineStr">
        <is>
          <t>Income tax</t>
        </is>
      </c>
      <c r="B45" s="58" t="inlineStr">
        <is>
          <t>A flat rate every year, with no offset for losses</t>
        </is>
      </c>
      <c r="C45" s="58" t="inlineStr">
        <is>
          <t>One effective rate for years 1-2 and another from year 3, offsetting net operating losses carried forward</t>
        </is>
      </c>
      <c r="D45" s="17" t="inlineStr">
        <is>
          <t>A loss in one year reduces taxable profit in later years. The model offsets losses fully as a simplification (federal rules cap the offset at 80% of taxable income). If you operate as a pass-through (sole proprietorship or LLC), set the rate to 0 and budget your personal tax separately.</t>
        </is>
      </c>
    </row>
    <row r="46" ht="45" customHeight="1">
      <c r="A46" s="58" t="inlineStr">
        <is>
          <t>Loan payment</t>
        </is>
      </c>
      <c r="B46" s="58" t="inlineStr">
        <is>
          <t>The full payment deducted in the P&amp;L</t>
        </is>
      </c>
      <c r="C46" s="58" t="inlineStr">
        <is>
          <t>Only interest in the P&amp;L; principal repaid in the cash flow</t>
        </is>
      </c>
      <c r="D46" s="17" t="inlineStr">
        <is>
          <t>Putting the full payment above the line turns the P&amp;L into a cash flow, and a lender spots it immediately.</t>
        </is>
      </c>
    </row>
    <row r="47" ht="45" customHeight="1">
      <c r="A47" s="58" t="inlineStr">
        <is>
          <t>Financing plan</t>
        </is>
      </c>
      <c r="B47" s="58" t="inlineStr">
        <is>
          <t>None</t>
        </is>
      </c>
      <c r="C47" s="58" t="inlineStr">
        <is>
          <t>A dedicated tab: where the money comes from, what it pays for and the amortization schedule year by year</t>
        </is>
      </c>
      <c r="D47" s="17" t="inlineStr">
        <is>
          <t>It is the sheet a lender asks for next to the P&amp;L, and it warns you when the money you put in falls short of what you need.</t>
        </is>
      </c>
    </row>
    <row r="48" ht="30" customHeight="1">
      <c r="A48" s="58" t="inlineStr">
        <is>
          <t>Month-by-month cash flow</t>
        </is>
      </c>
      <c r="B48" s="58" t="inlineStr">
        <is>
          <t>None</t>
        </is>
      </c>
      <c r="C48" s="58" t="inlineStr">
        <is>
          <t>A 12-month tab: cash in, cash out, quarterly sales tax and the cumulative balance</t>
        </is>
      </c>
      <c r="D48" s="17" t="inlineStr">
        <is>
          <t>It answers the one question that decides a loan: in which month does the business run out of cash?</t>
        </is>
      </c>
    </row>
    <row r="49" ht="45" customHeight="1">
      <c r="A49" s="58" t="inlineStr">
        <is>
          <t>Miscellaneous event costs</t>
        </is>
      </c>
      <c r="B49" s="58" t="inlineStr">
        <is>
          <t>A miscellaneous line typed in among the fixed costs</t>
        </is>
      </c>
      <c r="C49" s="58" t="inlineStr">
        <is>
          <t>A percentage of sales, treated as a variable cost; tow vehicle and trailer fuel has its own fixed line</t>
        </is>
      </c>
      <c r="D49" s="17" t="inlineStr">
        <is>
          <t>Extra ice, last-minute mixers and venue parking rise and fall with the number of events: among the fixed costs they would distort the break-even.</t>
        </is>
      </c>
    </row>
    <row r="50" ht="30" customHeight="1">
      <c r="A50" s="58" t="inlineStr">
        <is>
          <t>Cost of goods on all sales</t>
        </is>
      </c>
      <c r="B50" s="58" t="inlineStr">
        <is>
          <t>Revenue with no cost of goods sold attached</t>
        </is>
      </c>
      <c r="C50" s="58" t="inlineStr">
        <is>
          <t>Every bar package and add-on sale carries its own cost of goods sold rate, whatever the type of event</t>
        </is>
      </c>
      <c r="D50" s="17" t="inlineStr">
        <is>
          <t>A revenue line that pays for no mixers, garnishes or ice shows a margin that does not exist.</t>
        </is>
      </c>
    </row>
    <row r="51" ht="45" customHeight="1">
      <c r="A51" s="58" t="inlineStr">
        <is>
          <t>Wages and minimum wage</t>
        </is>
      </c>
      <c r="B51" s="58" t="inlineStr">
        <is>
          <t>Wages never compared with any legal floor</t>
        </is>
      </c>
      <c r="C51" s="58" t="inlineStr">
        <is>
          <t>No row below the pay floor in proportion to its FTE, and a cell for your state or local minimum wage</t>
        </is>
      </c>
      <c r="D51" s="17" t="inlineStr">
        <is>
          <t>State and local minimums are often higher than the federal one: enter yours in "0. Assumptions" and the traffic light warns you when a wage falls short.</t>
        </is>
      </c>
    </row>
    <row r="53">
      <c r="A53" s="16" t="inlineStr">
        <is>
          <t>US MOBILE BAR BENCHMARKS (sourced) AND KIT ESTIMATES</t>
        </is>
      </c>
    </row>
    <row r="54">
      <c r="A54" s="16" t="inlineStr">
        <is>
          <t>Benchmark</t>
        </is>
      </c>
      <c r="B54" s="16" t="inlineStr">
        <is>
          <t>Value</t>
        </is>
      </c>
      <c r="C54" s="16" t="inlineStr">
        <is>
          <t>Source</t>
        </is>
      </c>
      <c r="D54" s="16" t="inlineStr">
        <is>
          <t>Note</t>
        </is>
      </c>
    </row>
    <row r="55" ht="60" customHeight="1">
      <c r="A55" t="inlineStr">
        <is>
          <t>Price per event (median; excl. alcohol and tips)</t>
        </is>
      </c>
      <c r="B55" t="inlineStr">
        <is>
          <t>$750 median; middle 50% $450-$1,275; mean $1,173</t>
        </is>
      </c>
      <c r="C55" t="inlineStr">
        <is>
          <t>checkcherry.com</t>
        </is>
      </c>
      <c r="D55" s="17" t="inlineStr">
        <is>
          <t>1,334 bookings since January 2024. Compare it with your price per guest × guests per event in "0. Assumptions".</t>
        </is>
      </c>
    </row>
    <row r="56" ht="15" customHeight="1">
      <c r="A56" t="inlineStr">
        <is>
          <t>Price by guest count</t>
        </is>
      </c>
      <c r="B56" t="inlineStr">
        <is>
          <t>Up to 50 guests $575 · 51-100 $700 · 101-150 $1,063 · 151+ $1,438</t>
        </is>
      </c>
      <c r="C56" t="inlineStr">
        <is>
          <t>checkcherry.com</t>
        </is>
      </c>
      <c r="D56" s="17" t="inlineStr">
        <is>
          <t>The typical event runs about 80 guests.</t>
        </is>
      </c>
    </row>
    <row r="57" ht="30" customHeight="1">
      <c r="A57" t="inlineStr">
        <is>
          <t>Price by event length</t>
        </is>
      </c>
      <c r="B57" t="inlineStr">
        <is>
          <t>Up to 3 h $575 · 4 h $675 · 5 h $898 · 6+ h $1,275</t>
        </is>
      </c>
      <c r="C57" t="inlineStr">
        <is>
          <t>checkcherry.com</t>
        </is>
      </c>
      <c r="D57" s="17" t="inlineStr">
        <is>
          <t>Longer events cost more but less per hour: use it to set your extra-hour rate.</t>
        </is>
      </c>
    </row>
    <row r="58" ht="30" customHeight="1">
      <c r="A58" t="inlineStr">
        <is>
          <t>Bartender-only service (dry hire, no bar)</t>
        </is>
      </c>
      <c r="B58" t="inlineStr">
        <is>
          <t>$375 for about 4 h, or about $75-$120 per bartender hour</t>
        </is>
      </c>
      <c r="C58" t="inlineStr">
        <is>
          <t>checkcherry.com</t>
        </is>
      </c>
      <c r="D58" s="17" t="inlineStr">
        <is>
          <t>The floor of dry hire pricing: a quick check for your hourly rate.</t>
        </is>
      </c>
    </row>
    <row r="59" ht="45" customHeight="1">
      <c r="A59" t="inlineStr">
        <is>
          <t>Deposit and travel fee</t>
        </is>
      </c>
      <c r="B59" t="inlineStr">
        <is>
          <t>Deposit about 30%; 26% of bookings charge a travel fee (median 36 miles; free up to about 25)</t>
        </is>
      </c>
      <c r="C59" t="inlineStr">
        <is>
          <t>checkcherry.com</t>
        </is>
      </c>
      <c r="D59" s="17" t="inlineStr">
        <is>
          <t>Set your travel fee as an add-on, and ask for the deposit to secure the date.</t>
        </is>
      </c>
    </row>
    <row r="60" ht="45" customHeight="1">
      <c r="A60" t="inlineStr">
        <is>
          <t>Seasonality and calendar</t>
        </is>
      </c>
      <c r="B60" t="inlineStr">
        <is>
          <t>October about 13% and May 12.4% of bookings; January 3.8%; median lead time 62 days; 85% Friday to Sunday</t>
        </is>
      </c>
      <c r="C60" t="inlineStr">
        <is>
          <t>checkcherry.com</t>
        </is>
      </c>
      <c r="D60" s="17" t="inlineStr">
        <is>
          <t>Peak wedding season (May-June, September-October) is where the Saturday bottleneck of your two crews shows. Shape the ramp in "12-Month Cash Flow" around it.</t>
        </is>
      </c>
    </row>
    <row r="61" ht="45" customHeight="1">
      <c r="A61" t="inlineStr">
        <is>
          <t>First year in business (12+ months of activity)</t>
        </is>
      </c>
      <c r="B61" t="inlineStr">
        <is>
          <t>Median 3 events and $1,650; top 10% about 39 events and $35,500</t>
        </is>
      </c>
      <c r="C61" t="inlineStr">
        <is>
          <t>checkcherry.com</t>
        </is>
      </c>
      <c r="D61" s="17" t="inlineStr">
        <is>
          <t>The kit example is a fully built operation with two crews. The ramp in "0. Assumptions" and the pessimistic scenario show what a slower start does to your cash.</t>
        </is>
      </c>
    </row>
    <row r="62" ht="60" customHeight="1">
      <c r="A62" t="inlineStr">
        <is>
          <t>Drinks per guest</t>
        </is>
      </c>
      <c r="B62" t="inlineStr">
        <is>
          <t>2 in the first hour, then 1 per hour</t>
        </is>
      </c>
      <c r="C62" t="inlineStr">
        <is>
          <t>eventplanning.com</t>
        </is>
      </c>
      <c r="D62" s="17" t="inlineStr">
        <is>
          <t>Use it to size mixers, ice and cups, and to check how many guests one bartender can serve.</t>
        </is>
      </c>
    </row>
    <row r="63" ht="120" customHeight="1">
      <c r="A63" t="inlineStr">
        <is>
          <t>Bartender ratio</t>
        </is>
      </c>
      <c r="B63" t="inlineStr">
        <is>
          <t>1 per 50 guests (full bar); 1 per 75 (beer and wine)</t>
        </is>
      </c>
      <c r="C63" t="inlineStr">
        <is>
          <t>Kit estimate</t>
        </is>
      </c>
      <c r="D63" s="17" t="inlineStr">
        <is>
          <t>Drives the people per event in "Staffing". Add a barback for larger setups.</t>
        </is>
      </c>
    </row>
    <row r="64" ht="45" customHeight="1">
      <c r="A64" t="inlineStr">
        <is>
          <t>Bartender wage (BLS, May 2025)</t>
        </is>
      </c>
      <c r="B64" t="inlineStr">
        <is>
          <t>Mean $19.61 per hour; median $16.51 (includes tips)</t>
        </is>
      </c>
      <c r="C64" t="inlineStr">
        <is>
          <t>bls.gov</t>
        </is>
      </c>
      <c r="D64" s="17" t="inlineStr">
        <is>
          <t>BLS Occupational Employment and Wage Statistics, code 35-3011. Compare with the hourly rate in "Staffing" and with your state minimum wage.</t>
        </is>
      </c>
    </row>
    <row r="65" ht="30" customHeight="1">
      <c r="A65" t="inlineStr">
        <is>
          <t>Marketplace commission</t>
        </is>
      </c>
      <c r="B65" t="inlineStr">
        <is>
          <t>GigSalad 5% (free plan) or 2.5% (paid plan) of the confirmed booking; nothing per lead</t>
        </is>
      </c>
      <c r="C65" t="inlineStr">
        <is>
          <t>gigsalad.com</t>
        </is>
      </c>
      <c r="D65" s="17" t="inlineStr">
        <is>
          <t>Thumbtack charges per lead instead. Fees change: check before you sign up.</t>
        </is>
      </c>
    </row>
    <row r="66" ht="30" customHeight="1">
      <c r="A66" t="inlineStr">
        <is>
          <t>Startup cost reference</t>
        </is>
      </c>
      <c r="B66" t="inlineStr">
        <is>
          <t>Portable bar from about $1,000; tools $500-$1,500; lean start $2,000-$7,000; a converted trailer often costs tens of thousands</t>
        </is>
      </c>
      <c r="C66" t="inlineStr">
        <is>
          <t>checkcherry.com</t>
        </is>
      </c>
      <c r="D66" s="17" t="inlineStr">
        <is>
          <t>Compare with "Startup Costs": the kit example is a trailer-based build, not the lean start.</t>
        </is>
      </c>
    </row>
    <row r="67" ht="30" customHeight="1">
      <c r="A67" t="inlineStr">
        <is>
          <t>Insurance</t>
        </is>
      </c>
      <c r="B67" t="inlineStr">
        <is>
          <t>General liability plus liquor liability from $550 per year; from $275 per event</t>
        </is>
      </c>
      <c r="C67" t="inlineStr">
        <is>
          <t>insurancecanopy.com</t>
        </is>
      </c>
      <c r="D67" s="17" t="inlineStr">
        <is>
          <t>Venues ask for a COI naming them as additional insured: confirm what each venue requires before you buy.</t>
        </is>
      </c>
    </row>
    <row r="68" ht="30" customHeight="1">
      <c r="A68" t="inlineStr">
        <is>
          <t>Ice, mixers and garnish</t>
        </is>
      </c>
      <c r="B68" t="inlineStr">
        <is>
          <t>Ice 1.5 lb (0.68 kg) per guest; mixers, garnish and ice about $2.25 per guest</t>
        </is>
      </c>
      <c r="C68" t="inlineStr">
        <is>
          <t>Kit estimate</t>
        </is>
      </c>
      <c r="D68" s="17" t="inlineStr">
        <is>
          <t>Use it to check the cost of goods sold rate on bar packages. The real figure depends on your drink menu.</t>
        </is>
      </c>
    </row>
    <row r="70">
      <c r="A70" s="59" t="inlineStr">
        <is>
          <t>To edit a cell that is not green: Review → Unprotect Sheet (there is no password).</t>
        </is>
      </c>
    </row>
    <row r="71">
      <c r="A71" s="59" t="inlineStr">
        <is>
          <t>More templates and kits in the catalog at aichef.pro/en/digital-products</t>
        </is>
      </c>
    </row>
    <row r="72">
      <c r="A72" s="59" t="inlineStr">
        <is>
          <t>Designed by John Guerrero — chef and restaurant consultant since 2010, in the kitchen since age 17 · johnguerrero.es</t>
        </is>
      </c>
    </row>
    <row r="73">
      <c r="A73" s="59" t="inlineStr">
        <is>
          <t>Version 2.2 · October 2026 · aichef.pro/en/digital-products/mobile-bar-business-plan · info@aichef.pro</t>
        </is>
      </c>
    </row>
    <row r="74" ht="45" customHeight="1">
      <c r="A74" s="72" t="inlineStr">
        <is>
          <t>Planning tool, not financial, tax or legal advice. Requirements vary by state, county and city — check with your accountant and local authorities.</t>
        </is>
      </c>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OK">
      <formula>NOT(ISERROR(SEARCH("OK",D18)))</formula>
    </cfRule>
    <cfRule type="containsText" priority="2" operator="containsText" dxfId="1" stopIfTrue="1" text="REVIEW">
      <formula>NOT(ISERROR(SEARCH("REVIEW",D18)))</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CASH FLOW FORECAST — YEAR 1</t>
        </is>
      </c>
      <c r="B1" s="28" t="n"/>
      <c r="C1" s="28" t="n"/>
      <c r="D1" s="28" t="n"/>
      <c r="E1" s="28" t="n"/>
      <c r="F1" s="28" t="n"/>
      <c r="G1" s="28" t="n"/>
      <c r="H1" s="28" t="n"/>
      <c r="I1" s="28" t="n"/>
      <c r="J1" s="28" t="n"/>
      <c r="K1" s="28" t="n"/>
      <c r="L1" s="28" t="n"/>
      <c r="M1" s="28" t="n"/>
      <c r="N1" s="28" t="n"/>
      <c r="O1" s="28" t="n"/>
    </row>
    <row r="2" ht="59.75" customHeight="1">
      <c r="A2" s="46" t="inlineStr">
        <is>
          <t>The P&amp;L tells you whether the business makes money; this tab tells you whether you have cash left to get to the end of the month. It is the first one a lender looks at.</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Item</t>
        </is>
      </c>
      <c r="B4" s="25" t="inlineStr">
        <is>
          <t>Month 1</t>
        </is>
      </c>
      <c r="C4" s="25" t="inlineStr">
        <is>
          <t>Month 2</t>
        </is>
      </c>
      <c r="D4" s="25" t="inlineStr">
        <is>
          <t>Month 3</t>
        </is>
      </c>
      <c r="E4" s="25" t="inlineStr">
        <is>
          <t>Month 4</t>
        </is>
      </c>
      <c r="F4" s="25" t="inlineStr">
        <is>
          <t>Month 5</t>
        </is>
      </c>
      <c r="G4" s="25" t="inlineStr">
        <is>
          <t>Month 6</t>
        </is>
      </c>
      <c r="H4" s="25" t="inlineStr">
        <is>
          <t>Month 7</t>
        </is>
      </c>
      <c r="I4" s="25" t="inlineStr">
        <is>
          <t>Month 8</t>
        </is>
      </c>
      <c r="J4" s="25" t="inlineStr">
        <is>
          <t>Month 9</t>
        </is>
      </c>
      <c r="K4" s="25" t="inlineStr">
        <is>
          <t>Month 10</t>
        </is>
      </c>
      <c r="L4" s="25" t="inlineStr">
        <is>
          <t>Month 11</t>
        </is>
      </c>
      <c r="M4" s="25" t="inlineStr">
        <is>
          <t>Month 12</t>
        </is>
      </c>
      <c r="N4" s="25" t="inlineStr">
        <is>
          <t>Year</t>
        </is>
      </c>
      <c r="O4" s="28" t="n"/>
    </row>
    <row r="5">
      <c r="A5" s="28" t="inlineStr">
        <is>
          <t>Monthly seasonality (adds up to 100%)</t>
        </is>
      </c>
      <c r="B5" s="73" t="n">
        <v>0.075</v>
      </c>
      <c r="C5" s="73" t="n">
        <v>0.105</v>
      </c>
      <c r="D5" s="73" t="n">
        <v>0.124</v>
      </c>
      <c r="E5" s="73" t="n">
        <v>0.09</v>
      </c>
      <c r="F5" s="73" t="n">
        <v>0.056</v>
      </c>
      <c r="G5" s="73" t="n">
        <v>0.065</v>
      </c>
      <c r="H5" s="73" t="n">
        <v>0.115</v>
      </c>
      <c r="I5" s="73" t="n">
        <v>0.13</v>
      </c>
      <c r="J5" s="73" t="n">
        <v>0.08500000000000001</v>
      </c>
      <c r="K5" s="73" t="n">
        <v>0.075</v>
      </c>
      <c r="L5" s="73" t="n">
        <v>0.038</v>
      </c>
      <c r="M5" s="73" t="n">
        <v>0.042</v>
      </c>
      <c r="N5" s="68">
        <f>IFERROR(IF('3-Year P&amp;L'!$B$9="","",SUM(B5:M5)),"")</f>
        <v>1.0</v>
      </c>
      <c r="O5" s="28" t="inlineStr">
        <is>
          <t>Share of the year's events per month (100% in total). Month 1 = opening month (March in the example). The 30% deposit is not modeled: it improves real cash.</t>
        </is>
      </c>
    </row>
    <row r="6">
      <c r="A6" s="28" t="inlineStr">
        <is>
          <t>Launch ramp-up (% of steady-state activity)</t>
        </is>
      </c>
      <c r="B6" s="68">
        <f>IFERROR(IF('3-Year P&amp;L'!$B$9="","",MIN(1,'0. Assumptions'!$B$52+(1-'0. Assumptions'!$B$52)*0/MAX(1,'0. Assumptions'!$B$53-1))),"")</f>
        <v>0.45</v>
      </c>
      <c r="C6" s="68">
        <f>IFERROR(IF('3-Year P&amp;L'!$B$9="","",MIN(1,'0. Assumptions'!$B$52+(1-'0. Assumptions'!$B$52)*1/MAX(1,'0. Assumptions'!$B$53-1))),"")</f>
        <v>0.51875</v>
      </c>
      <c r="D6" s="68">
        <f>IFERROR(IF('3-Year P&amp;L'!$B$9="","",MIN(1,'0. Assumptions'!$B$52+(1-'0. Assumptions'!$B$52)*2/MAX(1,'0. Assumptions'!$B$53-1))),"")</f>
        <v>0.5875</v>
      </c>
      <c r="E6" s="68">
        <f>IFERROR(IF('3-Year P&amp;L'!$B$9="","",MIN(1,'0. Assumptions'!$B$52+(1-'0. Assumptions'!$B$52)*3/MAX(1,'0. Assumptions'!$B$53-1))),"")</f>
        <v>0.65625</v>
      </c>
      <c r="F6" s="68">
        <f>IFERROR(IF('3-Year P&amp;L'!$B$9="","",MIN(1,'0. Assumptions'!$B$52+(1-'0. Assumptions'!$B$52)*4/MAX(1,'0. Assumptions'!$B$53-1))),"")</f>
        <v>0.7250000000000001</v>
      </c>
      <c r="G6" s="68">
        <f>IFERROR(IF('3-Year P&amp;L'!$B$9="","",MIN(1,'0. Assumptions'!$B$52+(1-'0. Assumptions'!$B$52)*5/MAX(1,'0. Assumptions'!$B$53-1))),"")</f>
        <v>0.79375</v>
      </c>
      <c r="H6" s="68">
        <f>IFERROR(IF('3-Year P&amp;L'!$B$9="","",MIN(1,'0. Assumptions'!$B$52+(1-'0. Assumptions'!$B$52)*6/MAX(1,'0. Assumptions'!$B$53-1))),"")</f>
        <v>0.8625</v>
      </c>
      <c r="I6" s="68">
        <f>IFERROR(IF('3-Year P&amp;L'!$B$9="","",MIN(1,'0. Assumptions'!$B$52+(1-'0. Assumptions'!$B$52)*7/MAX(1,'0. Assumptions'!$B$53-1))),"")</f>
        <v>0.9312500000000001</v>
      </c>
      <c r="J6" s="68">
        <f>IFERROR(IF('3-Year P&amp;L'!$B$9="","",MIN(1,'0. Assumptions'!$B$52+(1-'0. Assumptions'!$B$52)*8/MAX(1,'0. Assumptions'!$B$53-1))),"")</f>
        <v>1.0</v>
      </c>
      <c r="K6" s="68">
        <f>IFERROR(IF('3-Year P&amp;L'!$B$9="","",MIN(1,'0. Assumptions'!$B$52+(1-'0. Assumptions'!$B$52)*9/MAX(1,'0. Assumptions'!$B$53-1))),"")</f>
        <v>1.0</v>
      </c>
      <c r="L6" s="68">
        <f>IFERROR(IF('3-Year P&amp;L'!$B$9="","",MIN(1,'0. Assumptions'!$B$52+(1-'0. Assumptions'!$B$52)*10/MAX(1,'0. Assumptions'!$B$53-1))),"")</f>
        <v>1.0</v>
      </c>
      <c r="M6" s="68">
        <f>IFERROR(IF('3-Year P&amp;L'!$B$9="","",MIN(1,'0. Assumptions'!$B$52+(1-'0. Assumptions'!$B$52)*11/MAX(1,'0. Assumptions'!$B$53-1))),"")</f>
        <v>1.0</v>
      </c>
      <c r="N6" s="28" t="n"/>
      <c r="O6" s="28" t="inlineStr">
        <is>
          <t>Rises in a straight line from the month-1 percentage to 100% over the number of months you set in Assumptions. With month 1 at 100%, the ramp disappears</t>
        </is>
      </c>
    </row>
    <row r="7">
      <c r="A7" s="28" t="inlineStr">
        <is>
          <t>Split of activity by month (calculated)</t>
        </is>
      </c>
      <c r="B7" s="68">
        <f>IFERROR(IF('3-Year P&amp;L'!$B$9="","",B5*B6/SUMPRODUCT($B$5:$M$5,$B$6:$M$6)),"")</f>
        <v>0.043685079118532186</v>
      </c>
      <c r="C7" s="68">
        <f>IFERROR(IF('3-Year P&amp;L'!$B$9="","",C5*C6/SUMPRODUCT($B$5:$M$5,$B$6:$M$6)),"")</f>
        <v>0.07050286379963111</v>
      </c>
      <c r="D7" s="68">
        <f>IFERROR(IF('3-Year P&amp;L'!$B$9="","",D5*D6/SUMPRODUCT($B$5:$M$5,$B$6:$M$6)),"")</f>
        <v>0.09429505226029834</v>
      </c>
      <c r="E7" s="68">
        <f>IFERROR(IF('3-Year P&amp;L'!$B$9="","",E5*E6/SUMPRODUCT($B$5:$M$5,$B$6:$M$6)),"")</f>
        <v>0.07644888845743131</v>
      </c>
      <c r="F7" s="68">
        <f>IFERROR(IF('3-Year P&amp;L'!$B$9="","",F5*F6/SUMPRODUCT($B$5:$M$5,$B$6:$M$6)),"")</f>
        <v>0.05255153221370094</v>
      </c>
      <c r="G7" s="68">
        <f>IFERROR(IF('3-Year P&amp;L'!$B$9="","",G5*G6/SUMPRODUCT($B$5:$M$5,$B$6:$M$6)),"")</f>
        <v>0.06678154224508948</v>
      </c>
      <c r="H7" s="68">
        <f>IFERROR(IF('3-Year P&amp;L'!$B$9="","",H5*H6/SUMPRODUCT($B$5:$M$5,$B$6:$M$6)),"")</f>
        <v>0.12838559363168625</v>
      </c>
      <c r="I7" s="68">
        <f>IFERROR(IF('3-Year P&amp;L'!$B$9="","",I5*I6/SUMPRODUCT($B$5:$M$5,$B$6:$M$6)),"")</f>
        <v>0.15669999676406823</v>
      </c>
      <c r="J7" s="68">
        <f>IFERROR(IF('3-Year P&amp;L'!$B$9="","",J5*J6/SUMPRODUCT($B$5:$M$5,$B$6:$M$6)),"")</f>
        <v>0.11002168074296995</v>
      </c>
      <c r="K7" s="68">
        <f>IFERROR(IF('3-Year P&amp;L'!$B$9="","",K5*K6/SUMPRODUCT($B$5:$M$5,$B$6:$M$6)),"")</f>
        <v>0.09707795359673818</v>
      </c>
      <c r="L7" s="68">
        <f>IFERROR(IF('3-Year P&amp;L'!$B$9="","",L5*L6/SUMPRODUCT($B$5:$M$5,$B$6:$M$6)),"")</f>
        <v>0.049186163155680675</v>
      </c>
      <c r="M7" s="68">
        <f>IFERROR(IF('3-Year P&amp;L'!$B$9="","",M5*M6/SUMPRODUCT($B$5:$M$5,$B$6:$M$6)),"")</f>
        <v>0.05436365401417338</v>
      </c>
      <c r="N7" s="68">
        <f>IFERROR(IF('3-Year P&amp;L'!$B$9="","",SUM(B7:M7)),"")</f>
        <v>1.0</v>
      </c>
      <c r="O7" s="28" t="inlineStr">
        <is>
          <t>Seasonality × ramp-up, normalized to 100%: the YEAR brings in what the P&amp;L says, but split the way a business that has just opened would split it</t>
        </is>
      </c>
    </row>
    <row r="8">
      <c r="A8" s="25" t="inlineStr">
        <is>
          <t>CASH IN</t>
        </is>
      </c>
      <c r="B8" s="28" t="n"/>
      <c r="C8" s="28" t="n"/>
      <c r="D8" s="28" t="n"/>
      <c r="E8" s="28" t="n"/>
      <c r="F8" s="28" t="n"/>
      <c r="G8" s="28" t="n"/>
      <c r="H8" s="28" t="n"/>
      <c r="I8" s="28" t="n"/>
      <c r="J8" s="28" t="n"/>
      <c r="K8" s="28" t="n"/>
      <c r="L8" s="28" t="n"/>
      <c r="M8" s="28" t="n"/>
      <c r="N8" s="28" t="n"/>
      <c r="O8" s="28" t="n"/>
    </row>
    <row r="9">
      <c r="A9" s="28" t="inlineStr">
        <is>
          <t>Sales collected (incl. sales tax collected)</t>
        </is>
      </c>
      <c r="B9" s="40">
        <f>IFERROR(IF('3-Year P&amp;L'!$B$9="","",('3-Year P&amp;L'!$B$9+'3-Year P&amp;L'!$B$9*SUMPRODUCT('3-Year P&amp;L'!$E$10:$E$11,'3-Year P&amp;L'!$G$10:$G$11))*B7*(1-MIN(30,'0. Assumptions'!$B$58)/30)),"")</f>
        <v>9705.21696922629</v>
      </c>
      <c r="C9" s="40">
        <f>IFERROR(IF('3-Year P&amp;L'!$B$9="","",('3-Year P&amp;L'!$B$9+'3-Year P&amp;L'!$B$9*SUMPRODUCT('3-Year P&amp;L'!$E$10:$E$11,'3-Year P&amp;L'!$G$10:$G$11))*(C7*(1-MIN(30,'0. Assumptions'!$B$58)/30)+B7*MIN(30,'0. Assumptions'!$B$58)/30)),"")</f>
        <v>15997.804485001461</v>
      </c>
      <c r="D9" s="40">
        <f>IFERROR(IF('3-Year P&amp;L'!$B$9="","",('3-Year P&amp;L'!$B$9+'3-Year P&amp;L'!$B$9*SUMPRODUCT('3-Year P&amp;L'!$E$10:$E$11,'3-Year P&amp;L'!$G$10:$G$11))*(D7*(1-MIN(30,'0. Assumptions'!$B$58)/30)+C7*MIN(30,'0. Assumptions'!$B$58)/30)),"")</f>
        <v>21488.998893311327</v>
      </c>
      <c r="E9" s="40">
        <f>IFERROR(IF('3-Year P&amp;L'!$B$9="","",('3-Year P&amp;L'!$B$9+'3-Year P&amp;L'!$B$9*SUMPRODUCT('3-Year P&amp;L'!$E$10:$E$11,'3-Year P&amp;L'!$G$10:$G$11))*(E7*(1-MIN(30,'0. Assumptions'!$B$58)/30)+D7*MIN(30,'0. Assumptions'!$B$58)/30)),"")</f>
        <v>17706.5052325017</v>
      </c>
      <c r="F9" s="40">
        <f>IFERROR(IF('3-Year P&amp;L'!$B$9="","",('3-Year P&amp;L'!$B$9+'3-Year P&amp;L'!$B$9*SUMPRODUCT('3-Year P&amp;L'!$E$10:$E$11,'3-Year P&amp;L'!$G$10:$G$11))*(F7*(1-MIN(30,'0. Assumptions'!$B$58)/30)+E7*MIN(30,'0. Assumptions'!$B$58)/30)),"")</f>
        <v>12260.676206193575</v>
      </c>
      <c r="G9" s="40">
        <f>IFERROR(IF('3-Year P&amp;L'!$B$9="","",('3-Year P&amp;L'!$B$9+'3-Year P&amp;L'!$B$9*SUMPRODUCT('3-Year P&amp;L'!$E$10:$E$11,'3-Year P&amp;L'!$G$10:$G$11))*(G7*(1-MIN(30,'0. Assumptions'!$B$58)/30)+F7*MIN(30,'0. Assumptions'!$B$58)/30)),"")</f>
        <v>15238.987904086984</v>
      </c>
      <c r="H9" s="40">
        <f>IFERROR(IF('3-Year P&amp;L'!$B$9="","",('3-Year P&amp;L'!$B$9+'3-Year P&amp;L'!$B$9*SUMPRODUCT('3-Year P&amp;L'!$E$10:$E$11,'3-Year P&amp;L'!$G$10:$G$11))*(H7*(1-MIN(30,'0. Assumptions'!$B$58)/30)+G7*MIN(30,'0. Assumptions'!$B$58)/30)),"")</f>
        <v>29034.15435394622</v>
      </c>
      <c r="I9" s="40">
        <f>IFERROR(IF('3-Year P&amp;L'!$B$9="","",('3-Year P&amp;L'!$B$9+'3-Year P&amp;L'!$B$9*SUMPRODUCT('3-Year P&amp;L'!$E$10:$E$11,'3-Year P&amp;L'!$G$10:$G$11))*(I7*(1-MIN(30,'0. Assumptions'!$B$58)/30)+H7*MIN(30,'0. Assumptions'!$B$58)/30)),"")</f>
        <v>35796.509076788665</v>
      </c>
      <c r="J9" s="40">
        <f>IFERROR(IF('3-Year P&amp;L'!$B$9="","",('3-Year P&amp;L'!$B$9+'3-Year P&amp;L'!$B$9*SUMPRODUCT('3-Year P&amp;L'!$E$10:$E$11,'3-Year P&amp;L'!$G$10:$G$11))*(J7*(1-MIN(30,'0. Assumptions'!$B$58)/30)+I7*MIN(30,'0. Assumptions'!$B$58)/30)),"")</f>
        <v>25643.215998446754</v>
      </c>
      <c r="K9" s="40">
        <f>IFERROR(IF('3-Year P&amp;L'!$B$9="","",('3-Year P&amp;L'!$B$9+'3-Year P&amp;L'!$B$9*SUMPRODUCT('3-Year P&amp;L'!$E$10:$E$11,'3-Year P&amp;L'!$G$10:$G$11))*(K7*(1-MIN(30,'0. Assumptions'!$B$58)/30)+J7*MIN(30,'0. Assumptions'!$B$58)/30)),"")</f>
        <v>22410.00291233861</v>
      </c>
      <c r="L9" s="40">
        <f>IFERROR(IF('3-Year P&amp;L'!$B$9="","",('3-Year P&amp;L'!$B$9+'3-Year P&amp;L'!$B$9*SUMPRODUCT('3-Year P&amp;L'!$E$10:$E$11,'3-Year P&amp;L'!$G$10:$G$11))*(L7*(1-MIN(30,'0. Assumptions'!$B$58)/30)+K7*MIN(30,'0. Assumptions'!$B$58)/30)),"")</f>
        <v>11671.05018930201</v>
      </c>
      <c r="M9" s="40">
        <f>IFERROR(IF('3-Year P&amp;L'!$B$9="","",('3-Year P&amp;L'!$B$9+'3-Year P&amp;L'!$B$9*SUMPRODUCT('3-Year P&amp;L'!$E$10:$E$11,'3-Year P&amp;L'!$G$10:$G$11))*(M7*(1-MIN(30,'0. Assumptions'!$B$58)/30)+L7*MIN(30,'0. Assumptions'!$B$58)/30)),"")</f>
        <v>12454.408698184641</v>
      </c>
      <c r="N9" s="40">
        <f>IFERROR(IF('3-Year P&amp;L'!$B$9="","",SUM(B9:M9)),"")</f>
        <v>229407.53091932824</v>
      </c>
      <c r="O9" s="28" t="inlineStr">
        <is>
          <t>The month's sales plus the sales tax collected, adjusted by the average collection days from the Assumptions tab</t>
        </is>
      </c>
    </row>
    <row r="10">
      <c r="A10" s="25" t="inlineStr">
        <is>
          <t>CASH OUT</t>
        </is>
      </c>
      <c r="B10" s="28" t="n"/>
      <c r="C10" s="28" t="n"/>
      <c r="D10" s="28" t="n"/>
      <c r="E10" s="28" t="n"/>
      <c r="F10" s="28" t="n"/>
      <c r="G10" s="28" t="n"/>
      <c r="H10" s="28" t="n"/>
      <c r="I10" s="28" t="n"/>
      <c r="J10" s="28" t="n"/>
      <c r="K10" s="28" t="n"/>
      <c r="L10" s="28" t="n"/>
      <c r="M10" s="28" t="n"/>
      <c r="N10" s="28" t="n"/>
      <c r="O10" s="28" t="n"/>
    </row>
    <row r="11">
      <c r="A11" s="28" t="inlineStr">
        <is>
          <t>Purchases and variable costs (incl. sales tax)</t>
        </is>
      </c>
      <c r="B11" s="40">
        <f>IFERROR(IF('3-Year P&amp;L'!$B$9="","",-('3-Year P&amp;L'!$B$13*(1+'3-Year P&amp;L'!$G$13)+'3-Year P&amp;L'!$B$14*(1+'3-Year P&amp;L'!$G$14)+'3-Year P&amp;L'!$B$15*(1+'3-Year P&amp;L'!$G$15)+'3-Year P&amp;L'!$B$16*(1+'3-Year P&amp;L'!$G$16)+'3-Year P&amp;L'!$B$17*(1+'3-Year P&amp;L'!$G$17)+'3-Year P&amp;L'!$B$18*(1+'3-Year P&amp;L'!$G$18))*B7*(1-MIN(30,'0. Assumptions'!$B$59)/30)),"")</f>
        <v>-2148.8131249393264</v>
      </c>
      <c r="C11" s="40">
        <f>IFERROR(IF('3-Year P&amp;L'!$B$9="","",-('3-Year P&amp;L'!$B$13*(1+'3-Year P&amp;L'!$G$13)+'3-Year P&amp;L'!$B$14*(1+'3-Year P&amp;L'!$G$14)+'3-Year P&amp;L'!$B$15*(1+'3-Year P&amp;L'!$G$15)+'3-Year P&amp;L'!$B$16*(1+'3-Year P&amp;L'!$G$16)+'3-Year P&amp;L'!$B$17*(1+'3-Year P&amp;L'!$G$17)+'3-Year P&amp;L'!$B$18*(1+'3-Year P&amp;L'!$G$18))*(C7*(1-MIN(30,'0. Assumptions'!$B$59)/30)+B7*MIN(30,'0. Assumptions'!$B$59)/30)),"")</f>
        <v>-4121.932229880594</v>
      </c>
      <c r="D11" s="40">
        <f>IFERROR(IF('3-Year P&amp;L'!$B$9="","",-('3-Year P&amp;L'!$B$13*(1+'3-Year P&amp;L'!$G$13)+'3-Year P&amp;L'!$B$14*(1+'3-Year P&amp;L'!$G$14)+'3-Year P&amp;L'!$B$15*(1+'3-Year P&amp;L'!$G$15)+'3-Year P&amp;L'!$B$16*(1+'3-Year P&amp;L'!$G$16)+'3-Year P&amp;L'!$B$17*(1+'3-Year P&amp;L'!$G$17)+'3-Year P&amp;L'!$B$18*(1+'3-Year P&amp;L'!$G$18))*(D7*(1-MIN(30,'0. Assumptions'!$B$59)/30)+C7*MIN(30,'0. Assumptions'!$B$59)/30)),"")</f>
        <v>-5693.714635472283</v>
      </c>
      <c r="E11" s="40">
        <f>IFERROR(IF('3-Year P&amp;L'!$B$9="","",-('3-Year P&amp;L'!$B$13*(1+'3-Year P&amp;L'!$G$13)+'3-Year P&amp;L'!$B$14*(1+'3-Year P&amp;L'!$G$14)+'3-Year P&amp;L'!$B$15*(1+'3-Year P&amp;L'!$G$15)+'3-Year P&amp;L'!$B$16*(1+'3-Year P&amp;L'!$G$16)+'3-Year P&amp;L'!$B$17*(1+'3-Year P&amp;L'!$G$17)+'3-Year P&amp;L'!$B$18*(1+'3-Year P&amp;L'!$G$18))*(E7*(1-MIN(30,'0. Assumptions'!$B$59)/30)+D7*MIN(30,'0. Assumptions'!$B$59)/30)),"")</f>
        <v>-5172.0651626055715</v>
      </c>
      <c r="F11" s="40">
        <f>IFERROR(IF('3-Year P&amp;L'!$B$9="","",-('3-Year P&amp;L'!$B$13*(1+'3-Year P&amp;L'!$G$13)+'3-Year P&amp;L'!$B$14*(1+'3-Year P&amp;L'!$G$14)+'3-Year P&amp;L'!$B$15*(1+'3-Year P&amp;L'!$G$15)+'3-Year P&amp;L'!$B$16*(1+'3-Year P&amp;L'!$G$16)+'3-Year P&amp;L'!$B$17*(1+'3-Year P&amp;L'!$G$17)+'3-Year P&amp;L'!$B$18*(1+'3-Year P&amp;L'!$G$18))*(F7*(1-MIN(30,'0. Assumptions'!$B$59)/30)+E7*MIN(30,'0. Assumptions'!$B$59)/30)),"")</f>
        <v>-3729.4191593049213</v>
      </c>
      <c r="G11" s="40">
        <f>IFERROR(IF('3-Year P&amp;L'!$B$9="","",-('3-Year P&amp;L'!$B$13*(1+'3-Year P&amp;L'!$G$13)+'3-Year P&amp;L'!$B$14*(1+'3-Year P&amp;L'!$G$14)+'3-Year P&amp;L'!$B$15*(1+'3-Year P&amp;L'!$G$15)+'3-Year P&amp;L'!$B$16*(1+'3-Year P&amp;L'!$G$16)+'3-Year P&amp;L'!$B$17*(1+'3-Year P&amp;L'!$G$17)+'3-Year P&amp;L'!$B$18*(1+'3-Year P&amp;L'!$G$18))*(G7*(1-MIN(30,'0. Assumptions'!$B$59)/30)+F7*MIN(30,'0. Assumptions'!$B$59)/30)),"")</f>
        <v>-4071.6202446364427</v>
      </c>
      <c r="H11" s="40">
        <f>IFERROR(IF('3-Year P&amp;L'!$B$9="","",-('3-Year P&amp;L'!$B$13*(1+'3-Year P&amp;L'!$G$13)+'3-Year P&amp;L'!$B$14*(1+'3-Year P&amp;L'!$G$14)+'3-Year P&amp;L'!$B$15*(1+'3-Year P&amp;L'!$G$15)+'3-Year P&amp;L'!$B$16*(1+'3-Year P&amp;L'!$G$16)+'3-Year P&amp;L'!$B$17*(1+'3-Year P&amp;L'!$G$17)+'3-Year P&amp;L'!$B$18*(1+'3-Year P&amp;L'!$G$18))*(H7*(1-MIN(30,'0. Assumptions'!$B$59)/30)+G7*MIN(30,'0. Assumptions'!$B$59)/30)),"")</f>
        <v>-7314.874759732064</v>
      </c>
      <c r="I11" s="40">
        <f>IFERROR(IF('3-Year P&amp;L'!$B$9="","",-('3-Year P&amp;L'!$B$13*(1+'3-Year P&amp;L'!$G$13)+'3-Year P&amp;L'!$B$14*(1+'3-Year P&amp;L'!$G$14)+'3-Year P&amp;L'!$B$15*(1+'3-Year P&amp;L'!$G$15)+'3-Year P&amp;L'!$B$16*(1+'3-Year P&amp;L'!$G$16)+'3-Year P&amp;L'!$B$17*(1+'3-Year P&amp;L'!$G$17)+'3-Year P&amp;L'!$B$18*(1+'3-Year P&amp;L'!$G$18))*(I7*(1-MIN(30,'0. Assumptions'!$B$59)/30)+H7*MIN(30,'0. Assumptions'!$B$59)/30)),"")</f>
        <v>-9629.866226579945</v>
      </c>
      <c r="J11" s="40">
        <f>IFERROR(IF('3-Year P&amp;L'!$B$9="","",-('3-Year P&amp;L'!$B$13*(1+'3-Year P&amp;L'!$G$13)+'3-Year P&amp;L'!$B$14*(1+'3-Year P&amp;L'!$G$14)+'3-Year P&amp;L'!$B$15*(1+'3-Year P&amp;L'!$G$15)+'3-Year P&amp;L'!$B$16*(1+'3-Year P&amp;L'!$G$16)+'3-Year P&amp;L'!$B$17*(1+'3-Year P&amp;L'!$G$17)+'3-Year P&amp;L'!$B$18*(1+'3-Year P&amp;L'!$G$18))*(J7*(1-MIN(30,'0. Assumptions'!$B$59)/30)+I7*MIN(30,'0. Assumptions'!$B$59)/30)),"")</f>
        <v>-7757.699815551888</v>
      </c>
      <c r="K11" s="40">
        <f>IFERROR(IF('3-Year P&amp;L'!$B$9="","",-('3-Year P&amp;L'!$B$13*(1+'3-Year P&amp;L'!$G$13)+'3-Year P&amp;L'!$B$14*(1+'3-Year P&amp;L'!$G$14)+'3-Year P&amp;L'!$B$15*(1+'3-Year P&amp;L'!$G$15)+'3-Year P&amp;L'!$B$16*(1+'3-Year P&amp;L'!$G$16)+'3-Year P&amp;L'!$B$17*(1+'3-Year P&amp;L'!$G$17)+'3-Year P&amp;L'!$B$18*(1+'3-Year P&amp;L'!$G$18))*(K7*(1-MIN(30,'0. Assumptions'!$B$59)/30)+J7*MIN(30,'0. Assumptions'!$B$59)/30)),"")</f>
        <v>-6422.2176487719635</v>
      </c>
      <c r="L11" s="40">
        <f>IFERROR(IF('3-Year P&amp;L'!$B$9="","",-('3-Year P&amp;L'!$B$13*(1+'3-Year P&amp;L'!$G$13)+'3-Year P&amp;L'!$B$14*(1+'3-Year P&amp;L'!$G$14)+'3-Year P&amp;L'!$B$15*(1+'3-Year P&amp;L'!$G$15)+'3-Year P&amp;L'!$B$16*(1+'3-Year P&amp;L'!$G$16)+'3-Year P&amp;L'!$B$17*(1+'3-Year P&amp;L'!$G$17)+'3-Year P&amp;L'!$B$18*(1+'3-Year P&amp;L'!$G$18))*(L7*(1-MIN(30,'0. Assumptions'!$B$59)/30)+K7*MIN(30,'0. Assumptions'!$B$59)/30)),"")</f>
        <v>-3872.70797009999</v>
      </c>
      <c r="M11" s="40">
        <f>IFERROR(IF('3-Year P&amp;L'!$B$9="","",-('3-Year P&amp;L'!$B$13*(1+'3-Year P&amp;L'!$G$13)+'3-Year P&amp;L'!$B$14*(1+'3-Year P&amp;L'!$G$14)+'3-Year P&amp;L'!$B$15*(1+'3-Year P&amp;L'!$G$15)+'3-Year P&amp;L'!$B$16*(1+'3-Year P&amp;L'!$G$16)+'3-Year P&amp;L'!$B$17*(1+'3-Year P&amp;L'!$G$17)+'3-Year P&amp;L'!$B$18*(1+'3-Year P&amp;L'!$G$18))*(M7*(1-MIN(30,'0. Assumptions'!$B$59)/30)+L7*MIN(30,'0. Assumptions'!$B$59)/30)),"")</f>
        <v>-3410.4190272789047</v>
      </c>
      <c r="N11" s="40">
        <f>IFERROR(IF('3-Year P&amp;L'!$B$9="","",SUM(B11:M11)),"")</f>
        <v>-63345.3500048539</v>
      </c>
      <c r="O11" s="28" t="str">
        <f>IFERROR("Mixers, garnishes, ice, disposables, fees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Mixers, garnishes, ice, disposables, fees and contingencies, each at ITS tax rate (column G of the P&amp;L; 0 in the US, where the sales tax you pay is part of the cost) and with the supplier payment days from "0. Assumptions". With 7 payment days, the last purchases of the year are paid next year: the "Year" column of this row holds 11 months of purchases, not the year's cost.</v>
      </c>
    </row>
    <row r="12">
      <c r="A12" s="28" t="inlineStr">
        <is>
          <t>Operating fixed costs (incl. sales tax)</t>
        </is>
      </c>
      <c r="B12" s="40">
        <f>IFERROR(IF('3-Year P&amp;L'!$B$9="","",-('3-Year P&amp;L'!$B$38-'3-Year P&amp;L'!$B$23-'3-Year P&amp;L'!$B$36-'3-Year P&amp;L'!$B$37+'3-Year P&amp;L'!$B$40)/12),"")</f>
        <v>-2875.0000000000005</v>
      </c>
      <c r="C12" s="40">
        <f>IFERROR(IF('3-Year P&amp;L'!$B$9="","",-('3-Year P&amp;L'!$B$38-'3-Year P&amp;L'!$B$23-'3-Year P&amp;L'!$B$36-'3-Year P&amp;L'!$B$37+'3-Year P&amp;L'!$B$40)/12),"")</f>
        <v>-2875.0000000000005</v>
      </c>
      <c r="D12" s="40">
        <f>IFERROR(IF('3-Year P&amp;L'!$B$9="","",-('3-Year P&amp;L'!$B$38-'3-Year P&amp;L'!$B$23-'3-Year P&amp;L'!$B$36-'3-Year P&amp;L'!$B$37+'3-Year P&amp;L'!$B$40)/12),"")</f>
        <v>-2875.0000000000005</v>
      </c>
      <c r="E12" s="40">
        <f>IFERROR(IF('3-Year P&amp;L'!$B$9="","",-('3-Year P&amp;L'!$B$38-'3-Year P&amp;L'!$B$23-'3-Year P&amp;L'!$B$36-'3-Year P&amp;L'!$B$37+'3-Year P&amp;L'!$B$40)/12),"")</f>
        <v>-2875.0000000000005</v>
      </c>
      <c r="F12" s="40">
        <f>IFERROR(IF('3-Year P&amp;L'!$B$9="","",-('3-Year P&amp;L'!$B$38-'3-Year P&amp;L'!$B$23-'3-Year P&amp;L'!$B$36-'3-Year P&amp;L'!$B$37+'3-Year P&amp;L'!$B$40)/12),"")</f>
        <v>-2875.0000000000005</v>
      </c>
      <c r="G12" s="40">
        <f>IFERROR(IF('3-Year P&amp;L'!$B$9="","",-('3-Year P&amp;L'!$B$38-'3-Year P&amp;L'!$B$23-'3-Year P&amp;L'!$B$36-'3-Year P&amp;L'!$B$37+'3-Year P&amp;L'!$B$40)/12),"")</f>
        <v>-2875.0000000000005</v>
      </c>
      <c r="H12" s="40">
        <f>IFERROR(IF('3-Year P&amp;L'!$B$9="","",-('3-Year P&amp;L'!$B$38-'3-Year P&amp;L'!$B$23-'3-Year P&amp;L'!$B$36-'3-Year P&amp;L'!$B$37+'3-Year P&amp;L'!$B$40)/12),"")</f>
        <v>-2875.0000000000005</v>
      </c>
      <c r="I12" s="40">
        <f>IFERROR(IF('3-Year P&amp;L'!$B$9="","",-('3-Year P&amp;L'!$B$38-'3-Year P&amp;L'!$B$23-'3-Year P&amp;L'!$B$36-'3-Year P&amp;L'!$B$37+'3-Year P&amp;L'!$B$40)/12),"")</f>
        <v>-2875.0000000000005</v>
      </c>
      <c r="J12" s="40">
        <f>IFERROR(IF('3-Year P&amp;L'!$B$9="","",-('3-Year P&amp;L'!$B$38-'3-Year P&amp;L'!$B$23-'3-Year P&amp;L'!$B$36-'3-Year P&amp;L'!$B$37+'3-Year P&amp;L'!$B$40)/12),"")</f>
        <v>-2875.0000000000005</v>
      </c>
      <c r="K12" s="40">
        <f>IFERROR(IF('3-Year P&amp;L'!$B$9="","",-('3-Year P&amp;L'!$B$38-'3-Year P&amp;L'!$B$23-'3-Year P&amp;L'!$B$36-'3-Year P&amp;L'!$B$37+'3-Year P&amp;L'!$B$40)/12),"")</f>
        <v>-2875.0000000000005</v>
      </c>
      <c r="L12" s="40">
        <f>IFERROR(IF('3-Year P&amp;L'!$B$9="","",-('3-Year P&amp;L'!$B$38-'3-Year P&amp;L'!$B$23-'3-Year P&amp;L'!$B$36-'3-Year P&amp;L'!$B$37+'3-Year P&amp;L'!$B$40)/12),"")</f>
        <v>-2875.0000000000005</v>
      </c>
      <c r="M12" s="40">
        <f>IFERROR(IF('3-Year P&amp;L'!$B$9="","",-('3-Year P&amp;L'!$B$38-'3-Year P&amp;L'!$B$23-'3-Year P&amp;L'!$B$36-'3-Year P&amp;L'!$B$37+'3-Year P&amp;L'!$B$40)/12),"")</f>
        <v>-2875.0000000000005</v>
      </c>
      <c r="N12" s="40">
        <f>IFERROR(IF('3-Year P&amp;L'!$B$9="","",SUM(B12:M12)),"")</f>
        <v>-34500.00000000001</v>
      </c>
      <c r="O12" s="28" t="inlineStr">
        <is>
          <t>The fixed costs that leave cash, each with its own tax rate: insurance carries none</t>
        </is>
      </c>
    </row>
    <row r="13">
      <c r="A13" s="28" t="inlineStr">
        <is>
          <t>Payroll and employer payroll taxes</t>
        </is>
      </c>
      <c r="B13" s="40">
        <f>IFERROR(IF('3-Year P&amp;L'!$B$9="","",-'3-Year P&amp;L'!$B$23/MAX(12,'0. Assumptions'!$B$21)*(1+IF(1='0. Assumptions'!$B$60,(MAX(12,'0. Assumptions'!$B$21)-12)/2,0)+IF(1='0. Assumptions'!$B$61,(MAX(12,'0. Assumptions'!$B$21)-12)/2,0))),"")</f>
        <v>-6530.7</v>
      </c>
      <c r="C13" s="40">
        <f>IFERROR(IF('3-Year P&amp;L'!$B$9="","",-'3-Year P&amp;L'!$B$23/MAX(12,'0. Assumptions'!$B$21)*(1+IF(2='0. Assumptions'!$B$60,(MAX(12,'0. Assumptions'!$B$21)-12)/2,0)+IF(2='0. Assumptions'!$B$61,(MAX(12,'0. Assumptions'!$B$21)-12)/2,0))),"")</f>
        <v>-6530.7</v>
      </c>
      <c r="D13" s="40">
        <f>IFERROR(IF('3-Year P&amp;L'!$B$9="","",-'3-Year P&amp;L'!$B$23/MAX(12,'0. Assumptions'!$B$21)*(1+IF(3='0. Assumptions'!$B$60,(MAX(12,'0. Assumptions'!$B$21)-12)/2,0)+IF(3='0. Assumptions'!$B$61,(MAX(12,'0. Assumptions'!$B$21)-12)/2,0))),"")</f>
        <v>-6530.7</v>
      </c>
      <c r="E13" s="40">
        <f>IFERROR(IF('3-Year P&amp;L'!$B$9="","",-'3-Year P&amp;L'!$B$23/MAX(12,'0. Assumptions'!$B$21)*(1+IF(4='0. Assumptions'!$B$60,(MAX(12,'0. Assumptions'!$B$21)-12)/2,0)+IF(4='0. Assumptions'!$B$61,(MAX(12,'0. Assumptions'!$B$21)-12)/2,0))),"")</f>
        <v>-6530.7</v>
      </c>
      <c r="F13" s="40">
        <f>IFERROR(IF('3-Year P&amp;L'!$B$9="","",-'3-Year P&amp;L'!$B$23/MAX(12,'0. Assumptions'!$B$21)*(1+IF(5='0. Assumptions'!$B$60,(MAX(12,'0. Assumptions'!$B$21)-12)/2,0)+IF(5='0. Assumptions'!$B$61,(MAX(12,'0. Assumptions'!$B$21)-12)/2,0))),"")</f>
        <v>-6530.7</v>
      </c>
      <c r="G13" s="40">
        <f>IFERROR(IF('3-Year P&amp;L'!$B$9="","",-'3-Year P&amp;L'!$B$23/MAX(12,'0. Assumptions'!$B$21)*(1+IF(6='0. Assumptions'!$B$60,(MAX(12,'0. Assumptions'!$B$21)-12)/2,0)+IF(6='0. Assumptions'!$B$61,(MAX(12,'0. Assumptions'!$B$21)-12)/2,0))),"")</f>
        <v>-6530.7</v>
      </c>
      <c r="H13" s="40">
        <f>IFERROR(IF('3-Year P&amp;L'!$B$9="","",-'3-Year P&amp;L'!$B$23/MAX(12,'0. Assumptions'!$B$21)*(1+IF(7='0. Assumptions'!$B$60,(MAX(12,'0. Assumptions'!$B$21)-12)/2,0)+IF(7='0. Assumptions'!$B$61,(MAX(12,'0. Assumptions'!$B$21)-12)/2,0))),"")</f>
        <v>-6530.7</v>
      </c>
      <c r="I13" s="40">
        <f>IFERROR(IF('3-Year P&amp;L'!$B$9="","",-'3-Year P&amp;L'!$B$23/MAX(12,'0. Assumptions'!$B$21)*(1+IF(8='0. Assumptions'!$B$60,(MAX(12,'0. Assumptions'!$B$21)-12)/2,0)+IF(8='0. Assumptions'!$B$61,(MAX(12,'0. Assumptions'!$B$21)-12)/2,0))),"")</f>
        <v>-6530.7</v>
      </c>
      <c r="J13" s="40">
        <f>IFERROR(IF('3-Year P&amp;L'!$B$9="","",-'3-Year P&amp;L'!$B$23/MAX(12,'0. Assumptions'!$B$21)*(1+IF(9='0. Assumptions'!$B$60,(MAX(12,'0. Assumptions'!$B$21)-12)/2,0)+IF(9='0. Assumptions'!$B$61,(MAX(12,'0. Assumptions'!$B$21)-12)/2,0))),"")</f>
        <v>-6530.7</v>
      </c>
      <c r="K13" s="40">
        <f>IFERROR(IF('3-Year P&amp;L'!$B$9="","",-'3-Year P&amp;L'!$B$23/MAX(12,'0. Assumptions'!$B$21)*(1+IF(10='0. Assumptions'!$B$60,(MAX(12,'0. Assumptions'!$B$21)-12)/2,0)+IF(10='0. Assumptions'!$B$61,(MAX(12,'0. Assumptions'!$B$21)-12)/2,0))),"")</f>
        <v>-6530.7</v>
      </c>
      <c r="L13" s="40">
        <f>IFERROR(IF('3-Year P&amp;L'!$B$9="","",-'3-Year P&amp;L'!$B$23/MAX(12,'0. Assumptions'!$B$21)*(1+IF(11='0. Assumptions'!$B$60,(MAX(12,'0. Assumptions'!$B$21)-12)/2,0)+IF(11='0. Assumptions'!$B$61,(MAX(12,'0. Assumptions'!$B$21)-12)/2,0))),"")</f>
        <v>-6530.7</v>
      </c>
      <c r="M13" s="40">
        <f>IFERROR(IF('3-Year P&amp;L'!$B$9="","",-'3-Year P&amp;L'!$B$23/MAX(12,'0. Assumptions'!$B$21)*(1+IF(12='0. Assumptions'!$B$60,(MAX(12,'0. Assumptions'!$B$21)-12)/2,0)+IF(12='0. Assumptions'!$B$61,(MAX(12,'0. Assumptions'!$B$21)-12)/2,0))),"")</f>
        <v>-6530.7</v>
      </c>
      <c r="N13" s="40">
        <f>IFERROR(IF('3-Year P&amp;L'!$B$9="","",SUM(B13:M13)),"")</f>
        <v>-78368.4</v>
      </c>
      <c r="O13" s="28" t="inlineStr">
        <is>
          <t>Twelve monthly installments plus extra pay periods in the months you set in Assumptions (only if pay periods &gt; 12). The total for the year is the same as the P&amp;L's</t>
        </is>
      </c>
    </row>
    <row r="14">
      <c r="A14" s="28" t="inlineStr">
        <is>
          <t>Loan interest</t>
        </is>
      </c>
      <c r="B14" s="40">
        <f>IFERROR(IF('3-Year P&amp;L'!$B$9="","",-Financing!$B$44/12),"")</f>
        <v>-408.3333333333333</v>
      </c>
      <c r="C14" s="40">
        <f>IFERROR(IF('3-Year P&amp;L'!$B$9="","",-Financing!$B$44/12),"")</f>
        <v>-408.3333333333333</v>
      </c>
      <c r="D14" s="40">
        <f>IFERROR(IF('3-Year P&amp;L'!$B$9="","",-Financing!$B$44/12),"")</f>
        <v>-408.3333333333333</v>
      </c>
      <c r="E14" s="40">
        <f>IFERROR(IF('3-Year P&amp;L'!$B$9="","",-Financing!$B$44/12),"")</f>
        <v>-408.3333333333333</v>
      </c>
      <c r="F14" s="40">
        <f>IFERROR(IF('3-Year P&amp;L'!$B$9="","",-Financing!$B$44/12),"")</f>
        <v>-408.3333333333333</v>
      </c>
      <c r="G14" s="40">
        <f>IFERROR(IF('3-Year P&amp;L'!$B$9="","",-Financing!$B$44/12),"")</f>
        <v>-408.3333333333333</v>
      </c>
      <c r="H14" s="40">
        <f>IFERROR(IF('3-Year P&amp;L'!$B$9="","",-Financing!$B$44/12),"")</f>
        <v>-408.3333333333333</v>
      </c>
      <c r="I14" s="40">
        <f>IFERROR(IF('3-Year P&amp;L'!$B$9="","",-Financing!$B$44/12),"")</f>
        <v>-408.3333333333333</v>
      </c>
      <c r="J14" s="40">
        <f>IFERROR(IF('3-Year P&amp;L'!$B$9="","",-Financing!$B$44/12),"")</f>
        <v>-408.3333333333333</v>
      </c>
      <c r="K14" s="40">
        <f>IFERROR(IF('3-Year P&amp;L'!$B$9="","",-Financing!$B$44/12),"")</f>
        <v>-408.3333333333333</v>
      </c>
      <c r="L14" s="40">
        <f>IFERROR(IF('3-Year P&amp;L'!$B$9="","",-Financing!$B$44/12),"")</f>
        <v>-408.3333333333333</v>
      </c>
      <c r="M14" s="40">
        <f>IFERROR(IF('3-Year P&amp;L'!$B$9="","",-Financing!$B$44/12),"")</f>
        <v>-408.3333333333333</v>
      </c>
      <c r="N14" s="40">
        <f>IFERROR(IF('3-Year P&amp;L'!$B$9="","",SUM(B14:M14)),"")</f>
        <v>-4900.0</v>
      </c>
      <c r="O14" s="28" t="n"/>
    </row>
    <row r="15">
      <c r="A15" s="28" t="inlineStr">
        <is>
          <t>Loan principal repaid</t>
        </is>
      </c>
      <c r="B15" s="40">
        <f>IFERROR(IF('3-Year P&amp;L'!$B$9="","",-Financing!$B$45/12),"")</f>
        <v>-430.4057904440985</v>
      </c>
      <c r="C15" s="40">
        <f>IFERROR(IF('3-Year P&amp;L'!$B$9="","",-Financing!$B$45/12),"")</f>
        <v>-430.4057904440985</v>
      </c>
      <c r="D15" s="40">
        <f>IFERROR(IF('3-Year P&amp;L'!$B$9="","",-Financing!$B$45/12),"")</f>
        <v>-430.4057904440985</v>
      </c>
      <c r="E15" s="40">
        <f>IFERROR(IF('3-Year P&amp;L'!$B$9="","",-Financing!$B$45/12),"")</f>
        <v>-430.4057904440985</v>
      </c>
      <c r="F15" s="40">
        <f>IFERROR(IF('3-Year P&amp;L'!$B$9="","",-Financing!$B$45/12),"")</f>
        <v>-430.4057904440985</v>
      </c>
      <c r="G15" s="40">
        <f>IFERROR(IF('3-Year P&amp;L'!$B$9="","",-Financing!$B$45/12),"")</f>
        <v>-430.4057904440985</v>
      </c>
      <c r="H15" s="40">
        <f>IFERROR(IF('3-Year P&amp;L'!$B$9="","",-Financing!$B$45/12),"")</f>
        <v>-430.4057904440985</v>
      </c>
      <c r="I15" s="40">
        <f>IFERROR(IF('3-Year P&amp;L'!$B$9="","",-Financing!$B$45/12),"")</f>
        <v>-430.4057904440985</v>
      </c>
      <c r="J15" s="40">
        <f>IFERROR(IF('3-Year P&amp;L'!$B$9="","",-Financing!$B$45/12),"")</f>
        <v>-430.4057904440985</v>
      </c>
      <c r="K15" s="40">
        <f>IFERROR(IF('3-Year P&amp;L'!$B$9="","",-Financing!$B$45/12),"")</f>
        <v>-430.4057904440985</v>
      </c>
      <c r="L15" s="40">
        <f>IFERROR(IF('3-Year P&amp;L'!$B$9="","",-Financing!$B$45/12),"")</f>
        <v>-430.4057904440985</v>
      </c>
      <c r="M15" s="40">
        <f>IFERROR(IF('3-Year P&amp;L'!$B$9="","",-Financing!$B$45/12),"")</f>
        <v>-430.4057904440985</v>
      </c>
      <c r="N15" s="40">
        <f>IFERROR(IF('3-Year P&amp;L'!$B$9="","",SUM(B15:M15)),"")</f>
        <v>-5164.869485329182</v>
      </c>
      <c r="O15" s="28" t="n"/>
    </row>
    <row r="16">
      <c r="A16" s="28" t="inlineStr">
        <is>
          <t>Sales tax collected (memo)</t>
        </is>
      </c>
      <c r="B16" s="40">
        <f>IFERROR(IF('3-Year P&amp;L'!$B$9="","",'3-Year P&amp;L'!$B$9*B7*SUMPRODUCT('3-Year P&amp;L'!$E$10:$E$11,'3-Year P&amp;L'!$G$10:$G$11)),"")</f>
        <v>743.6947869138919</v>
      </c>
      <c r="C16" s="40">
        <f>IFERROR(IF('3-Year P&amp;L'!$B$9="","",'3-Year P&amp;L'!$B$9*C7*SUMPRODUCT('3-Year P&amp;L'!$E$10:$E$11,'3-Year P&amp;L'!$G$10:$G$11)),"")</f>
        <v>1200.2407533249202</v>
      </c>
      <c r="D16" s="40">
        <f>IFERROR(IF('3-Year P&amp;L'!$B$9="","",'3-Year P&amp;L'!$B$9*D7*SUMPRODUCT('3-Year P&amp;L'!$E$10:$E$11,'3-Year P&amp;L'!$G$10:$G$11)),"")</f>
        <v>1605.278969679319</v>
      </c>
      <c r="E16" s="40">
        <f>IFERROR(IF('3-Year P&amp;L'!$B$9="","",'3-Year P&amp;L'!$B$9*E7*SUMPRODUCT('3-Year P&amp;L'!$E$10:$E$11,'3-Year P&amp;L'!$G$10:$G$11)),"")</f>
        <v>1301.4658770993105</v>
      </c>
      <c r="F16" s="40">
        <f>IFERROR(IF('3-Year P&amp;L'!$B$9="","",'3-Year P&amp;L'!$B$9*F7*SUMPRODUCT('3-Year P&amp;L'!$E$10:$E$11,'3-Year P&amp;L'!$G$10:$G$11)),"")</f>
        <v>894.6372844060448</v>
      </c>
      <c r="G16" s="40">
        <f>IFERROR(IF('3-Year P&amp;L'!$B$9="","",'3-Year P&amp;L'!$B$9*G7*SUMPRODUCT('3-Year P&amp;L'!$E$10:$E$11,'3-Year P&amp;L'!$G$10:$G$11)),"")</f>
        <v>1136.8889751804033</v>
      </c>
      <c r="H16" s="40">
        <f>IFERROR(IF('3-Year P&amp;L'!$B$9="","",'3-Year P&amp;L'!$B$9*H7*SUMPRODUCT('3-Year P&amp;L'!$E$10:$E$11,'3-Year P&amp;L'!$G$10:$G$11)),"")</f>
        <v>2185.6363459858267</v>
      </c>
      <c r="I16" s="40">
        <f>IFERROR(IF('3-Year P&amp;L'!$B$9="","",'3-Year P&amp;L'!$B$9*I7*SUMPRODUCT('3-Year P&amp;L'!$E$10:$E$11,'3-Year P&amp;L'!$G$10:$G$11)),"")</f>
        <v>2667.6607449114977</v>
      </c>
      <c r="J16" s="40">
        <f>IFERROR(IF('3-Year P&amp;L'!$B$9="","",'3-Year P&amp;L'!$B$9*J7*SUMPRODUCT('3-Year P&amp;L'!$E$10:$E$11,'3-Year P&amp;L'!$G$10:$G$11)),"")</f>
        <v>1873.0090929683206</v>
      </c>
      <c r="K16" s="40">
        <f>IFERROR(IF('3-Year P&amp;L'!$B$9="","",'3-Year P&amp;L'!$B$9*K7*SUMPRODUCT('3-Year P&amp;L'!$E$10:$E$11,'3-Year P&amp;L'!$G$10:$G$11)),"")</f>
        <v>1652.655082030871</v>
      </c>
      <c r="L16" s="40">
        <f>IFERROR(IF('3-Year P&amp;L'!$B$9="","",'3-Year P&amp;L'!$B$9*L7*SUMPRODUCT('3-Year P&amp;L'!$E$10:$E$11,'3-Year P&amp;L'!$G$10:$G$11)),"")</f>
        <v>837.3452415623078</v>
      </c>
      <c r="M16" s="40">
        <f>IFERROR(IF('3-Year P&amp;L'!$B$9="","",'3-Year P&amp;L'!$B$9*M7*SUMPRODUCT('3-Year P&amp;L'!$E$10:$E$11,'3-Year P&amp;L'!$G$10:$G$11)),"")</f>
        <v>925.4868459372877</v>
      </c>
      <c r="N16" s="40">
        <f>IFERROR(IF('3-Year P&amp;L'!$B$9="","",SUM(B16:M16)),"")</f>
        <v>17024.000000000004</v>
      </c>
      <c r="O16" s="28" t="inlineStr">
        <is>
          <t>Each sales line at ITS OWN rate, read from the sales tax column of the P&amp;L (alcohol to go has its own rate cell in the Assumptions tab)</t>
        </is>
      </c>
    </row>
    <row r="17">
      <c r="A17" s="28" t="inlineStr">
        <is>
          <t>Recoverable input tax (memo)</t>
        </is>
      </c>
      <c r="B17" s="40">
        <f>IFERROR(IF('3-Year P&amp;L'!$B$9="","",'3-Year P&amp;L'!$B$39*B7+'3-Year P&amp;L'!$B$40/12),"")</f>
        <v>0.0</v>
      </c>
      <c r="C17" s="40">
        <f>IFERROR(IF('3-Year P&amp;L'!$B$9="","",'3-Year P&amp;L'!$B$39*C7+'3-Year P&amp;L'!$B$40/12),"")</f>
        <v>0.0</v>
      </c>
      <c r="D17" s="40">
        <f>IFERROR(IF('3-Year P&amp;L'!$B$9="","",'3-Year P&amp;L'!$B$39*D7+'3-Year P&amp;L'!$B$40/12),"")</f>
        <v>0.0</v>
      </c>
      <c r="E17" s="40">
        <f>IFERROR(IF('3-Year P&amp;L'!$B$9="","",'3-Year P&amp;L'!$B$39*E7+'3-Year P&amp;L'!$B$40/12),"")</f>
        <v>0.0</v>
      </c>
      <c r="F17" s="40">
        <f>IFERROR(IF('3-Year P&amp;L'!$B$9="","",'3-Year P&amp;L'!$B$39*F7+'3-Year P&amp;L'!$B$40/12),"")</f>
        <v>0.0</v>
      </c>
      <c r="G17" s="40">
        <f>IFERROR(IF('3-Year P&amp;L'!$B$9="","",'3-Year P&amp;L'!$B$39*G7+'3-Year P&amp;L'!$B$40/12),"")</f>
        <v>0.0</v>
      </c>
      <c r="H17" s="40">
        <f>IFERROR(IF('3-Year P&amp;L'!$B$9="","",'3-Year P&amp;L'!$B$39*H7+'3-Year P&amp;L'!$B$40/12),"")</f>
        <v>0.0</v>
      </c>
      <c r="I17" s="40">
        <f>IFERROR(IF('3-Year P&amp;L'!$B$9="","",'3-Year P&amp;L'!$B$39*I7+'3-Year P&amp;L'!$B$40/12),"")</f>
        <v>0.0</v>
      </c>
      <c r="J17" s="40">
        <f>IFERROR(IF('3-Year P&amp;L'!$B$9="","",'3-Year P&amp;L'!$B$39*J7+'3-Year P&amp;L'!$B$40/12),"")</f>
        <v>0.0</v>
      </c>
      <c r="K17" s="40">
        <f>IFERROR(IF('3-Year P&amp;L'!$B$9="","",'3-Year P&amp;L'!$B$39*K7+'3-Year P&amp;L'!$B$40/12),"")</f>
        <v>0.0</v>
      </c>
      <c r="L17" s="40">
        <f>IFERROR(IF('3-Year P&amp;L'!$B$9="","",'3-Year P&amp;L'!$B$39*L7+'3-Year P&amp;L'!$B$40/12),"")</f>
        <v>0.0</v>
      </c>
      <c r="M17" s="40">
        <f>IFERROR(IF('3-Year P&amp;L'!$B$9="","",'3-Year P&amp;L'!$B$39*M7+'3-Year P&amp;L'!$B$40/12),"")</f>
        <v>0.0</v>
      </c>
      <c r="N17" s="40">
        <f>IFERROR(IF('3-Year P&amp;L'!$B$9="","",SUM(B17:M17)),"")</f>
        <v>0.0</v>
      </c>
      <c r="O17" s="28" t="inlineStr">
        <is>
          <t>Each item at its own rate, read from the tax column of the P&amp;L: insurance and card processing fees carry none</t>
        </is>
      </c>
    </row>
    <row r="18">
      <c r="A18" s="28" t="inlineStr">
        <is>
          <t>Carried forward (capex input tax included)</t>
        </is>
      </c>
      <c r="B18" s="28" t="n"/>
      <c r="C18" s="28" t="n"/>
      <c r="D18" s="28" t="n"/>
      <c r="E18" s="40">
        <f>IFERROR(IF('3-Year P&amp;L'!$B$9="","",'Startup Costs'!$B$28),"")</f>
        <v>0.0</v>
      </c>
      <c r="F18" s="28" t="n"/>
      <c r="G18" s="28" t="n"/>
      <c r="H18" s="40">
        <f>IFERROR(IF('3-Year P&amp;L'!$B$9="","",MAX(0,-E19)),"")</f>
        <v>0.0</v>
      </c>
      <c r="I18" s="28" t="n"/>
      <c r="J18" s="28" t="n"/>
      <c r="K18" s="40">
        <f>IFERROR(IF('3-Year P&amp;L'!$B$9="","",MAX(0,-H19)),"")</f>
        <v>0.0</v>
      </c>
      <c r="L18" s="28" t="n"/>
      <c r="M18" s="28" t="n"/>
      <c r="N18" s="28" t="n"/>
      <c r="O18" s="28" t="inlineStr">
        <is>
          <t>Sales tax paid on STARTUP COSTS enters here: it is offset against the tax collected in later quarters until used up. With 0% recoverable input tax (the US default) this line stays at zero</t>
        </is>
      </c>
    </row>
    <row r="19">
      <c r="A19" s="28" t="inlineStr">
        <is>
          <t>Quarterly sales tax return</t>
        </is>
      </c>
      <c r="B19" s="28" t="n"/>
      <c r="C19" s="28" t="n"/>
      <c r="D19" s="28" t="n"/>
      <c r="E19" s="40">
        <f>IFERROR(IF('3-Year P&amp;L'!$B$9="","",SUM(B16:D16)-SUM(B17:D17)-E18),"")</f>
        <v>3549.214509918131</v>
      </c>
      <c r="F19" s="28" t="n"/>
      <c r="G19" s="28" t="n"/>
      <c r="H19" s="40">
        <f>IFERROR(IF('3-Year P&amp;L'!$B$9="","",SUM(E16:G16)-SUM(E17:G17)-H18),"")</f>
        <v>3332.992136685759</v>
      </c>
      <c r="I19" s="28" t="n"/>
      <c r="J19" s="28" t="n"/>
      <c r="K19" s="40">
        <f>IFERROR(IF('3-Year P&amp;L'!$B$9="","",SUM(H16:J16)-SUM(H17:J17)-K18),"")</f>
        <v>6726.306183865645</v>
      </c>
      <c r="L19" s="28" t="n"/>
      <c r="M19" s="28" t="n"/>
      <c r="N19" s="28" t="n"/>
      <c r="O19" s="28"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28" t="inlineStr">
        <is>
          <t>Sales tax remitted (quarterly filer)</t>
        </is>
      </c>
      <c r="B20" s="28" t="n"/>
      <c r="C20" s="28" t="n"/>
      <c r="D20" s="28" t="n"/>
      <c r="E20" s="40">
        <f>IFERROR(IF('3-Year P&amp;L'!$B$9="","",IF(E19&lt;=0,"",-E19)),"")</f>
        <v>-3549.214509918131</v>
      </c>
      <c r="F20" s="28" t="n"/>
      <c r="G20" s="28" t="n"/>
      <c r="H20" s="40">
        <f>IFERROR(IF('3-Year P&amp;L'!$B$9="","",IF(H19&lt;=0,"",-H19)),"")</f>
        <v>-3332.992136685759</v>
      </c>
      <c r="I20" s="28" t="n"/>
      <c r="J20" s="28" t="n"/>
      <c r="K20" s="40">
        <f>IFERROR(IF('3-Year P&amp;L'!$B$9="","",IF(K19&lt;=0,"",-K19)),"")</f>
        <v>-6726.306183865645</v>
      </c>
      <c r="L20" s="28" t="n"/>
      <c r="M20" s="28" t="n"/>
      <c r="N20" s="40">
        <f>IFERROR(IF('3-Year P&amp;L'!$B$9="","",SUM(B20:M20)),"")</f>
        <v>-13608.512830469535</v>
      </c>
      <c r="O20" s="28" t="inlineStr">
        <is>
          <t>Cash only leaves when the quarter's result is positive. Months without a settlement are left blank, not zero. The cell turns RED when the payment takes more cash than is left that month. The model settles quarterly, in the month after each plan quarter (Months 4, 7 and 10, and the fourth quarter in Month 13: April, July, October and January when Month 1 is January): if your state requires monthly filing, expect smaller payments every month instead</t>
        </is>
      </c>
    </row>
    <row r="21">
      <c r="A21" s="25" t="inlineStr">
        <is>
          <t>MONTHLY NET CASH FLOW</t>
        </is>
      </c>
      <c r="B21" s="66">
        <f>IFERROR(IF('3-Year P&amp;L'!$B$9="","",SUM(B9:B15)+IF(B20="",0,B20)),"")</f>
        <v>-2688.0352794904675</v>
      </c>
      <c r="C21" s="66">
        <f>IFERROR(IF('3-Year P&amp;L'!$B$9="","",SUM(C9:C15)+IF(C20="",0,C20)),"")</f>
        <v>1631.4331313434348</v>
      </c>
      <c r="D21" s="66">
        <f>IFERROR(IF('3-Year P&amp;L'!$B$9="","",SUM(D9:D15)+IF(D20="",0,D20)),"")</f>
        <v>5550.845134061613</v>
      </c>
      <c r="E21" s="66">
        <f>IFERROR(IF('3-Year P&amp;L'!$B$9="","",SUM(E9:E15)+IF(E20="",0,E20)),"")</f>
        <v>-1259.2135637994356</v>
      </c>
      <c r="F21" s="66">
        <f>IFERROR(IF('3-Year P&amp;L'!$B$9="","",SUM(F9:F15)+IF(F20="",0,F20)),"")</f>
        <v>-1713.1820768887783</v>
      </c>
      <c r="G21" s="66">
        <f>IFERROR(IF('3-Year P&amp;L'!$B$9="","",SUM(G9:G15)+IF(G20="",0,G20)),"")</f>
        <v>922.9285356731098</v>
      </c>
      <c r="H21" s="66">
        <f>IFERROR(IF('3-Year P&amp;L'!$B$9="","",SUM(H9:H15)+IF(H20="",0,H20)),"")</f>
        <v>8141.848333750965</v>
      </c>
      <c r="I21" s="66">
        <f>IFERROR(IF('3-Year P&amp;L'!$B$9="","",SUM(I9:I15)+IF(I20="",0,I20)),"")</f>
        <v>15922.20372643129</v>
      </c>
      <c r="J21" s="66">
        <f>IFERROR(IF('3-Year P&amp;L'!$B$9="","",SUM(J9:J15)+IF(J20="",0,J20)),"")</f>
        <v>7641.077059117433</v>
      </c>
      <c r="K21" s="66">
        <f>IFERROR(IF('3-Year P&amp;L'!$B$9="","",SUM(K9:K15)+IF(K20="",0,K20)),"")</f>
        <v>-982.9600440764307</v>
      </c>
      <c r="L21" s="66">
        <f>IFERROR(IF('3-Year P&amp;L'!$B$9="","",SUM(L9:L15)+IF(L20="",0,L20)),"")</f>
        <v>-2446.096904575411</v>
      </c>
      <c r="M21" s="66">
        <f>IFERROR(IF('3-Year P&amp;L'!$B$9="","",SUM(M9:M15)+IF(M20="",0,M20)),"")</f>
        <v>-1200.449452871696</v>
      </c>
      <c r="N21" s="66">
        <f>IFERROR(IF('3-Year P&amp;L'!$B$9="","",SUM(B21:M21)),"")</f>
        <v>29520.398598675623</v>
      </c>
      <c r="O21" s="28" t="n"/>
    </row>
    <row r="22">
      <c r="A22" s="25" t="inlineStr">
        <is>
          <t>CUMULATIVE CASH BALANCE</t>
        </is>
      </c>
      <c r="B22" s="66">
        <f>IFERROR(IF('3-Year P&amp;L'!$B$9="","",'Startup Costs'!$B$25+B21),"")</f>
        <v>26754.064720509527</v>
      </c>
      <c r="C22" s="66">
        <f>IFERROR(IF('3-Year P&amp;L'!$B$9="","",B22+C21),"")</f>
        <v>28385.49785185296</v>
      </c>
      <c r="D22" s="66">
        <f>IFERROR(IF('3-Year P&amp;L'!$B$9="","",C22+D21),"")</f>
        <v>33936.342985914576</v>
      </c>
      <c r="E22" s="66">
        <f>IFERROR(IF('3-Year P&amp;L'!$B$9="","",D22+E21),"")</f>
        <v>32677.12942211514</v>
      </c>
      <c r="F22" s="66">
        <f>IFERROR(IF('3-Year P&amp;L'!$B$9="","",E22+F21),"")</f>
        <v>30963.947345226363</v>
      </c>
      <c r="G22" s="66">
        <f>IFERROR(IF('3-Year P&amp;L'!$B$9="","",F22+G21),"")</f>
        <v>31886.87588089947</v>
      </c>
      <c r="H22" s="66">
        <f>IFERROR(IF('3-Year P&amp;L'!$B$9="","",G22+H21),"")</f>
        <v>40028.724214650436</v>
      </c>
      <c r="I22" s="66">
        <f>IFERROR(IF('3-Year P&amp;L'!$B$9="","",H22+I21),"")</f>
        <v>55950.927941081725</v>
      </c>
      <c r="J22" s="66">
        <f>IFERROR(IF('3-Year P&amp;L'!$B$9="","",I22+J21),"")</f>
        <v>63592.00500019916</v>
      </c>
      <c r="K22" s="66">
        <f>IFERROR(IF('3-Year P&amp;L'!$B$9="","",J22+K21),"")</f>
        <v>62609.04495612273</v>
      </c>
      <c r="L22" s="66">
        <f>IFERROR(IF('3-Year P&amp;L'!$B$9="","",K22+L21),"")</f>
        <v>60162.94805154732</v>
      </c>
      <c r="M22" s="66">
        <f>IFERROR(IF('3-Year P&amp;L'!$B$9="","",L22+M21),"")</f>
        <v>58962.49859867562</v>
      </c>
      <c r="N22" s="28" t="n"/>
      <c r="O22" s="28" t="n"/>
    </row>
    <row r="23">
      <c r="A23" s="28" t="inlineStr">
        <is>
          <t>Minimum balance of the year</t>
        </is>
      </c>
      <c r="B23" s="40">
        <f>IFERROR(IF('3-Year P&amp;L'!$B$9="","",IF(COUNT(B22:M22)=0,"",MIN(B22:M22))),"")</f>
        <v>26754.064720509527</v>
      </c>
      <c r="C23" s="28" t="n"/>
      <c r="D23" s="28" t="inlineStr">
        <is>
          <t>If negative, raise working capital or the loan: you run out of cash</t>
        </is>
      </c>
      <c r="E23" s="28" t="n"/>
      <c r="F23" s="28" t="n"/>
      <c r="G23" s="28" t="n"/>
      <c r="H23" s="28" t="n"/>
      <c r="I23" s="28" t="n"/>
      <c r="J23" s="28" t="n"/>
      <c r="K23" s="28" t="n"/>
      <c r="L23" s="28" t="n"/>
      <c r="M23" s="28" t="n"/>
      <c r="N23" s="28" t="n"/>
      <c r="O23" s="28" t="n"/>
    </row>
    <row r="24">
      <c r="A24" s="28" t="inlineStr">
        <is>
          <t>Month when cash bottoms out</t>
        </is>
      </c>
      <c r="B24" s="40">
        <f>IFERROR(IF('3-Year P&amp;L'!$B$9="","",IF(COUNT(B22:M22)=0,"",MATCH(MIN(B22:M22),B22:M22,0))),"")</f>
        <v>1.0</v>
      </c>
      <c r="C24" s="28" t="n"/>
      <c r="D24" s="28" t="inlineStr">
        <is>
          <t>It answers the question that decides a bank deal: in which month the cash runs out</t>
        </is>
      </c>
      <c r="E24" s="28" t="n"/>
      <c r="F24" s="28" t="n"/>
      <c r="G24" s="28" t="n"/>
      <c r="H24" s="28" t="n"/>
      <c r="I24" s="28" t="n"/>
      <c r="J24" s="28" t="n"/>
      <c r="K24" s="28" t="n"/>
      <c r="L24" s="28" t="n"/>
      <c r="M24" s="28" t="n"/>
      <c r="N24" s="28" t="n"/>
      <c r="O24" s="28" t="n"/>
    </row>
    <row r="25">
      <c r="A25" s="25" t="inlineStr">
        <is>
          <t>RETURN ON INVESTMENT</t>
        </is>
      </c>
      <c r="B25" s="28" t="n"/>
      <c r="C25" s="28" t="n"/>
      <c r="D25" s="28" t="n"/>
      <c r="E25" s="28" t="n"/>
      <c r="F25" s="28" t="n"/>
      <c r="G25" s="28" t="n"/>
      <c r="H25" s="28" t="n"/>
      <c r="I25" s="28" t="n"/>
      <c r="J25" s="28" t="n"/>
      <c r="K25" s="28" t="n"/>
      <c r="L25" s="28" t="n"/>
      <c r="M25" s="28" t="n"/>
      <c r="N25" s="28" t="n"/>
      <c r="O25" s="28" t="n"/>
    </row>
    <row r="26">
      <c r="A26" s="28" t="inlineStr">
        <is>
          <t>Free cash flow before debt, year 1</t>
        </is>
      </c>
      <c r="B26" s="40">
        <f>IFERROR(IF('3-Year P&amp;L'!$B$9="","",'3-Year P&amp;L'!$B$48+'3-Year P&amp;L'!$B$36+Financing!$B$44),"")</f>
        <v>29508.942857142847</v>
      </c>
      <c r="C26" s="28" t="n"/>
      <c r="D26" s="28" t="inlineStr">
        <is>
          <t>Net income plus depreciation (which is not paid) plus that year's interest: principal is not subtracted because this flow is BEFORE debt. The SAME basis as years 2 and 3, so the payback compares like with like</t>
        </is>
      </c>
      <c r="E26" s="28" t="n"/>
      <c r="F26" s="28" t="n"/>
      <c r="G26" s="28" t="n"/>
      <c r="H26" s="28" t="n"/>
      <c r="I26" s="28" t="n"/>
      <c r="J26" s="28" t="n"/>
      <c r="K26" s="28" t="n"/>
      <c r="L26" s="28" t="n"/>
      <c r="M26" s="28" t="n"/>
      <c r="N26" s="28" t="n"/>
      <c r="O26" s="28" t="n"/>
    </row>
    <row r="27">
      <c r="A27" s="28" t="inlineStr">
        <is>
          <t>Free cash flow before debt, year 2</t>
        </is>
      </c>
      <c r="B27" s="40">
        <f>IFERROR(IF('3-Year P&amp;L'!$B$9="","",'3-Year P&amp;L'!$C$48+'3-Year P&amp;L'!$C$36+Financing!$B$46),"")</f>
        <v>38277.88112000964</v>
      </c>
      <c r="C27" s="28" t="n"/>
      <c r="D27" s="28" t="inlineStr">
        <is>
          <t>Net income plus depreciation (which is not paid) plus that year's interest: principal is not subtracted because this flow is BEFORE debt. Without a monthly table, it is an estimate</t>
        </is>
      </c>
      <c r="E27" s="28" t="n"/>
      <c r="F27" s="28" t="n"/>
      <c r="G27" s="28" t="n"/>
      <c r="H27" s="28" t="n"/>
      <c r="I27" s="28" t="n"/>
      <c r="J27" s="28" t="n"/>
      <c r="K27" s="28" t="n"/>
      <c r="L27" s="28" t="n"/>
      <c r="M27" s="28" t="n"/>
      <c r="N27" s="28" t="n"/>
      <c r="O27" s="28" t="n"/>
    </row>
    <row r="28">
      <c r="A28" s="28" t="inlineStr">
        <is>
          <t>Free cash flow before debt, year 3</t>
        </is>
      </c>
      <c r="B28" s="40">
        <f>IFERROR(IF('3-Year P&amp;L'!$B$9="","",'3-Year P&amp;L'!$D$48+'3-Year P&amp;L'!$D$36+Financing!$B$48),"")</f>
        <v>45696.14000916311</v>
      </c>
      <c r="C28" s="28" t="n"/>
      <c r="D28" s="28" t="inlineStr">
        <is>
          <t>Net income plus depreciation (which is not paid) plus that year's interest: principal is not subtracted because this flow is BEFORE debt. Without a monthly table, it is an estimate</t>
        </is>
      </c>
      <c r="E28" s="28" t="n"/>
      <c r="F28" s="28" t="n"/>
      <c r="G28" s="28" t="n"/>
      <c r="H28" s="28" t="n"/>
      <c r="I28" s="28" t="n"/>
      <c r="J28" s="28" t="n"/>
      <c r="K28" s="28" t="n"/>
      <c r="L28" s="28" t="n"/>
      <c r="M28" s="28" t="n"/>
      <c r="N28" s="28" t="n"/>
      <c r="O28" s="28" t="n"/>
    </row>
    <row r="29">
      <c r="A29" s="28" t="inlineStr">
        <is>
          <t>For reference: ACTUAL year-1 cash flow (monthly table, before debt)</t>
        </is>
      </c>
      <c r="B29" s="40">
        <f>IFERROR(IF('3-Year P&amp;L'!$B$9="","",N21+Financing!$B$44+Financing!$B$45),"")</f>
        <v>39585.268084004805</v>
      </c>
      <c r="C29" s="28" t="n"/>
      <c r="D29" s="28"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28" t="n"/>
      <c r="F29" s="28" t="n"/>
      <c r="G29" s="28" t="n"/>
      <c r="H29" s="28" t="n"/>
      <c r="I29" s="28" t="n"/>
      <c r="J29" s="28" t="n"/>
      <c r="K29" s="28" t="n"/>
      <c r="L29" s="28" t="n"/>
      <c r="M29" s="28" t="n"/>
      <c r="N29" s="28" t="n"/>
      <c r="O29" s="28" t="n"/>
    </row>
    <row r="30">
      <c r="A30" s="28" t="inlineStr">
        <is>
          <t>Investment to recover (net of recoverable input tax)</t>
        </is>
      </c>
      <c r="B30" s="40">
        <f>IFERROR(IF('3-Year P&amp;L'!$B$9="","",'Startup Costs'!$B$29-'Startup Costs'!$B$28),"")</f>
        <v>76972.09999999999</v>
      </c>
      <c r="C30" s="28" t="n"/>
      <c r="D30" s="28"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28" t="n"/>
      <c r="F30" s="28" t="n"/>
      <c r="G30" s="28" t="n"/>
      <c r="H30" s="28" t="n"/>
      <c r="I30" s="28" t="n"/>
      <c r="J30" s="28" t="n"/>
      <c r="K30" s="28" t="n"/>
      <c r="L30" s="28" t="n"/>
      <c r="M30" s="28" t="n"/>
      <c r="N30" s="28" t="n"/>
      <c r="O30" s="28" t="n"/>
    </row>
    <row r="31">
      <c r="A31" s="25" t="inlineStr">
        <is>
          <t>Project payback (years), before debt</t>
        </is>
      </c>
      <c r="B31" s="25">
        <f>IFERROR(IF('3-Year P&amp;L'!$B$9="","",IF(B26&gt;=B30,ROUND(B30/B26,1),IF(B26+B27&gt;=B30,ROUND(1+(B30-B26)/B27,1),IF(B26+B27+B28&gt;=B30,ROUND(2+(B30-B26-B27)/B28,1),"Over 3 years")))),"")</f>
        <v>2.2</v>
      </c>
      <c r="C31" s="28" t="n"/>
      <c r="D31" s="25" t="inlineStr">
        <is>
          <t>Measures how long the business takes to repay the investment with what it generates BEFORE paying the lender, on the SAME cash flow basis in all three years. Whether you can afford the loan payment is shown by the DSCR in the Financing tab</t>
        </is>
      </c>
      <c r="E31" s="28" t="n"/>
      <c r="F31" s="28" t="n"/>
      <c r="G31" s="28" t="n"/>
      <c r="H31" s="28" t="n"/>
      <c r="I31" s="28" t="n"/>
      <c r="J31" s="28" t="n"/>
      <c r="K31" s="28" t="n"/>
      <c r="L31" s="28" t="n"/>
      <c r="M31" s="28" t="n"/>
      <c r="N31" s="28" t="n"/>
      <c r="O31" s="28" t="n"/>
    </row>
    <row r="32">
      <c r="A32" s="28" t="inlineStr">
        <is>
          <t>Payback on CAPEX, excluding working capital (years)</t>
        </is>
      </c>
      <c r="B32" s="28">
        <f>IFERROR(IF('3-Year P&amp;L'!$B$9="","",IF(B26&gt;='Startup Costs'!$B$27,ROUND('Startup Costs'!$B$27/B26,1),IF(B26+B27&gt;='Startup Costs'!$B$27,ROUND(1+('Startup Costs'!$B$27-B26)/B27,1),IF(B26+B27+B28&gt;='Startup Costs'!$B$27,ROUND(2+('Startup Costs'!$B$27-B26-B27)/B28,1),"Over 3 years")))),"")</f>
        <v>1.5</v>
      </c>
      <c r="C32" s="28" t="n"/>
      <c r="D32" s="28" t="inlineStr">
        <is>
          <t>The same calculation on what you BUY (trailer, conversion, equipment, launch and formation costs), without working capital: that money is not spent, it is tied up and comes back when you close the business. Informational: the payback that is published is the one above.</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134.75" customHeight="1">
      <c r="A34" s="46" t="inlineStr">
        <is>
          <t>Fourth-quarter sales tax is settled in January of the following year, so it does not appear in this table. The model pays year-1 income tax in July of year 2 (a simplification: estimated tax payments are usually quarterly). The loan payment is spread in twelve equal parts following the ANNUAL schedule in the Financing tab, and payroll in twelve monthly installments (plus extra pay periods in their month, only if pay periods &gt; 12).</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FINANCING PLAN</t>
        </is>
      </c>
      <c r="B1" s="28" t="n"/>
      <c r="C1" s="28" t="n"/>
      <c r="D1" s="28" t="n"/>
      <c r="E1" s="28" t="n"/>
      <c r="F1" s="28" t="n"/>
      <c r="G1" s="28" t="n"/>
      <c r="H1" s="28" t="n"/>
    </row>
    <row r="2" ht="45" customHeight="1">
      <c r="A2" s="46" t="inlineStr">
        <is>
          <t>What you need, where it comes from and what it costs to repay. It is the sheet your lender asks for along with the P&amp;L.</t>
        </is>
      </c>
      <c r="B2" s="28" t="n"/>
      <c r="C2" s="28" t="n"/>
      <c r="D2" s="28" t="n"/>
      <c r="E2" s="28" t="n"/>
      <c r="F2" s="28" t="n"/>
      <c r="G2" s="28" t="n"/>
      <c r="H2" s="28" t="n"/>
    </row>
    <row r="3">
      <c r="A3" s="28" t="n"/>
      <c r="B3" s="28" t="n"/>
      <c r="C3" s="28" t="n"/>
      <c r="D3" s="28" t="n"/>
      <c r="E3" s="28" t="n"/>
      <c r="F3" s="28" t="n"/>
      <c r="G3" s="28" t="n"/>
      <c r="H3" s="28" t="n"/>
    </row>
    <row r="4">
      <c r="A4" s="25" t="inlineStr">
        <is>
          <t>Item</t>
        </is>
      </c>
      <c r="B4" s="25" t="inlineStr">
        <is>
          <t>Amount</t>
        </is>
      </c>
      <c r="C4" s="25" t="inlineStr">
        <is>
          <t>Notes</t>
        </is>
      </c>
      <c r="D4" s="28" t="n"/>
      <c r="E4" s="28" t="n"/>
      <c r="F4" s="28" t="n"/>
      <c r="G4" s="28" t="n"/>
      <c r="H4" s="28" t="n"/>
    </row>
    <row r="5">
      <c r="A5" s="25" t="inlineStr">
        <is>
          <t>SOURCES OF FUNDS</t>
        </is>
      </c>
      <c r="B5" s="28" t="n"/>
      <c r="C5" s="28" t="n"/>
      <c r="D5" s="28" t="n"/>
      <c r="E5" s="28" t="n"/>
      <c r="F5" s="28" t="n"/>
      <c r="G5" s="28" t="n"/>
      <c r="H5" s="28" t="n"/>
    </row>
    <row r="6">
      <c r="A6" s="28" t="inlineStr">
        <is>
          <t>Owner's equity (your own money)</t>
        </is>
      </c>
      <c r="B6" s="40">
        <f>IFERROR(IF('0. Assumptions'!$B$30="","",'0. Assumptions'!$B$30),"")</f>
        <v>28000.0</v>
      </c>
      <c r="C6" s="28" t="n"/>
      <c r="D6" s="28" t="n"/>
      <c r="E6" s="28" t="n"/>
      <c r="F6" s="28" t="n"/>
      <c r="G6" s="28" t="n"/>
      <c r="H6" s="28" t="n"/>
    </row>
    <row r="7">
      <c r="A7" s="28" t="inlineStr">
        <is>
          <t>Loan requested — bank or SBA 7(a) (amortized below)</t>
        </is>
      </c>
      <c r="B7" s="40">
        <f>IFERROR(IF('0. Assumptions'!$B$31="","",'0. Assumptions'!$B$31),"")</f>
        <v>49000.0</v>
      </c>
      <c r="C7" s="28" t="n"/>
      <c r="D7" s="28" t="n"/>
      <c r="E7" s="28" t="n"/>
      <c r="F7" s="28" t="n"/>
      <c r="G7" s="28" t="n"/>
      <c r="H7" s="28" t="n"/>
    </row>
    <row r="8">
      <c r="A8" s="28" t="inlineStr">
        <is>
          <t>Other loan (not in the schedule or the DSCR — enter your loan in row 7)</t>
        </is>
      </c>
      <c r="B8" s="49" t="n">
        <v>0</v>
      </c>
      <c r="C8" s="28" t="inlineStr">
        <is>
          <t>A source of funds only: NOT amortized, so it is not in the schedule, the P&amp;L interest or the DSCR. Enter your bank or SBA 7(a) loan in row 7 ("Loan requested" in "0. Assumptions"); use this row only for a second loan</t>
        </is>
      </c>
      <c r="D8" s="28" t="n"/>
      <c r="E8" s="28" t="n"/>
      <c r="F8" s="28" t="n"/>
      <c r="G8" s="28" t="n"/>
      <c r="H8" s="28" t="n"/>
    </row>
    <row r="9">
      <c r="A9" s="28" t="inlineStr">
        <is>
          <t>SBA Microloan (not in the schedule or the DSCR — enter your loan in row 7)</t>
        </is>
      </c>
      <c r="B9" s="49" t="n">
        <v>0</v>
      </c>
      <c r="C9" s="28" t="inlineStr">
        <is>
          <t>SBA Microloans go up to $50,000 through nonprofit intermediaries. Like row 8, a source of funds only: not in the schedule or the DSCR. If it is your only loan, enter it in row 7 instead</t>
        </is>
      </c>
      <c r="D9" s="28" t="n"/>
      <c r="E9" s="28" t="n"/>
      <c r="F9" s="28" t="n"/>
      <c r="G9" s="28" t="n"/>
      <c r="H9" s="28" t="n"/>
    </row>
    <row r="10">
      <c r="A10" s="28" t="inlineStr">
        <is>
          <t>Investors / partners (equity: dilutes, not repaid)</t>
        </is>
      </c>
      <c r="B10" s="49" t="n">
        <v>0</v>
      </c>
      <c r="C10" s="28" t="inlineStr">
        <is>
          <t>Equity: it dilutes your ownership and is not repaid</t>
        </is>
      </c>
      <c r="D10" s="28" t="n"/>
      <c r="E10" s="28" t="n"/>
      <c r="F10" s="28" t="n"/>
      <c r="G10" s="28" t="n"/>
      <c r="H10" s="28" t="n"/>
    </row>
    <row r="11">
      <c r="A11" s="28" t="inlineStr">
        <is>
          <t>Local grants (usually paid after you spend)</t>
        </is>
      </c>
      <c r="B11" s="49" t="n">
        <v>0</v>
      </c>
      <c r="C11" s="28" t="inlineStr">
        <is>
          <t>Usually paid AFTER you document the spending</t>
        </is>
      </c>
      <c r="D11" s="28" t="n"/>
      <c r="E11" s="28" t="n"/>
      <c r="F11" s="28" t="n"/>
      <c r="G11" s="28" t="n"/>
      <c r="H11" s="28" t="n"/>
    </row>
    <row r="12">
      <c r="A12" s="25" t="inlineStr">
        <is>
          <t>TOTAL SOURCES OF FUNDS</t>
        </is>
      </c>
      <c r="B12" s="66">
        <f>IFERROR(IF(COUNT(B6:B11)=0,"",SUM(B6:B11)),"")</f>
        <v>77000.0</v>
      </c>
      <c r="C12" s="28" t="n"/>
      <c r="D12" s="28" t="n"/>
      <c r="E12" s="28" t="n"/>
      <c r="F12" s="28" t="n"/>
      <c r="G12" s="28" t="n"/>
      <c r="H12" s="28" t="n"/>
    </row>
    <row r="13">
      <c r="A13" s="25" t="inlineStr">
        <is>
          <t>USES OF FUNDS</t>
        </is>
      </c>
      <c r="B13" s="28" t="n"/>
      <c r="C13" s="28" t="n"/>
      <c r="D13" s="28" t="n"/>
      <c r="E13" s="28" t="n"/>
      <c r="F13" s="28" t="n"/>
      <c r="G13" s="28" t="n"/>
      <c r="H13" s="28" t="n"/>
    </row>
    <row r="14">
      <c r="A14" s="28" t="inlineStr">
        <is>
          <t>Total cash needed at launch</t>
        </is>
      </c>
      <c r="B14" s="40">
        <f>IFERROR(IF('Startup Costs'!$B$29="","",'Startup Costs'!$B$29),"")</f>
        <v>76972.09999999999</v>
      </c>
      <c r="C14" s="28" t="inlineStr">
        <is>
          <t>Startup costs plus any recoverable tax you have to advance (zero by default in the US)</t>
        </is>
      </c>
      <c r="D14" s="28" t="n"/>
      <c r="E14" s="28" t="n"/>
      <c r="F14" s="28" t="n"/>
      <c r="G14" s="28" t="n"/>
      <c r="H14" s="28" t="n"/>
    </row>
    <row r="15">
      <c r="A15" s="25" t="inlineStr">
        <is>
          <t>Difference (sources - uses)</t>
        </is>
      </c>
      <c r="B15" s="66">
        <f>IFERROR(B12-B14,"")</f>
        <v>27.90000000000873</v>
      </c>
      <c r="C15" s="25" t="inlineStr">
        <is>
          <t>In red (negative), the plan is NOT funded. Far above zero is not free either: you pay interest on money you do not use</t>
        </is>
      </c>
      <c r="D15" s="28" t="n"/>
      <c r="E15" s="28" t="n"/>
      <c r="F15" s="28" t="n"/>
      <c r="G15" s="28" t="n"/>
      <c r="H15" s="28" t="n"/>
    </row>
    <row r="16">
      <c r="A16" s="28" t="inlineStr">
        <is>
          <t>Difference as a % of uses</t>
        </is>
      </c>
      <c r="B16" s="68">
        <f>IFERROR(B15/B14,"")</f>
        <v>0.0003624689985073648</v>
      </c>
      <c r="C16" s="28" t="inlineStr">
        <is>
          <t>Amber above the margin you set: it is debt you pay for without needing it</t>
        </is>
      </c>
      <c r="D16" s="28" t="n"/>
      <c r="E16" s="28" t="n"/>
      <c r="F16" s="28" t="n"/>
      <c r="G16" s="28" t="n"/>
      <c r="H16" s="28" t="n"/>
    </row>
    <row r="17">
      <c r="A17" s="28" t="inlineStr">
        <is>
          <t>Acceptable over-funding (%)</t>
        </is>
      </c>
      <c r="B17" s="73" t="n">
        <v>0.05</v>
      </c>
      <c r="C17" s="28" t="inlineStr">
        <is>
          <t>A small cushion over the need is healthy; 20% extra is interest thrown away</t>
        </is>
      </c>
      <c r="D17" s="28" t="n"/>
      <c r="E17" s="28" t="n"/>
      <c r="F17" s="28" t="n"/>
      <c r="G17" s="28" t="n"/>
      <c r="H17" s="28" t="n"/>
    </row>
    <row r="18">
      <c r="A18" s="28" t="inlineStr">
        <is>
          <t>Loan that would match sources to needs</t>
        </is>
      </c>
      <c r="B18" s="40">
        <f>IFERROR(MAX(0,B14-B12+B7),"")</f>
        <v>48972.09999999999</v>
      </c>
      <c r="C18" s="28" t="inlineStr">
        <is>
          <t>Copy it into "Loan requested" in the "0. Assumptions" tab and the difference goes to zero. Rows 8-11 lower this figure, but only the row-7 loan is amortized and counted in the DSCR</t>
        </is>
      </c>
      <c r="D18" s="28" t="n"/>
      <c r="E18" s="28" t="n"/>
      <c r="F18" s="28" t="n"/>
      <c r="G18" s="28" t="n"/>
      <c r="H18" s="28" t="n"/>
    </row>
    <row r="19">
      <c r="A19" s="25" t="inlineStr">
        <is>
          <t>LOAN TERMS</t>
        </is>
      </c>
      <c r="B19" s="28" t="n"/>
      <c r="C19" s="28" t="n"/>
      <c r="D19" s="28" t="n"/>
      <c r="E19" s="28" t="n"/>
      <c r="F19" s="28" t="n"/>
      <c r="G19" s="28" t="n"/>
      <c r="H19" s="28" t="n"/>
    </row>
    <row r="20">
      <c r="A20" s="28" t="inlineStr">
        <is>
          <t>Principal amount</t>
        </is>
      </c>
      <c r="B20" s="40">
        <f>IFERROR(IF('0. Assumptions'!$B$31=0,"",'0. Assumptions'!$B$31),"")</f>
        <v>49000.0</v>
      </c>
      <c r="C20" s="28" t="n"/>
      <c r="D20" s="28" t="n"/>
      <c r="E20" s="28" t="n"/>
      <c r="F20" s="28" t="n"/>
      <c r="G20" s="28" t="n"/>
      <c r="H20" s="28" t="n"/>
    </row>
    <row r="21">
      <c r="A21" s="28" t="inlineStr">
        <is>
          <t>Nominal annual interest rate (not APR)</t>
        </is>
      </c>
      <c r="B21" s="68">
        <f>IFERROR(IF('0. Assumptions'!$B$32="","",'0. Assumptions'!$B$32),"")</f>
        <v>0.1</v>
      </c>
      <c r="C21" s="28" t="n"/>
      <c r="D21" s="28" t="n"/>
      <c r="E21" s="28" t="n"/>
      <c r="F21" s="28" t="n"/>
      <c r="G21" s="28" t="n"/>
      <c r="H21" s="28" t="n"/>
    </row>
    <row r="22">
      <c r="A22" s="28" t="inlineStr">
        <is>
          <t>Total term (years)</t>
        </is>
      </c>
      <c r="B22" s="40">
        <f>IFERROR(IF('0. Assumptions'!$B$33="","",'0. Assumptions'!$B$33),"")</f>
        <v>7.0</v>
      </c>
      <c r="C22" s="28" t="n"/>
      <c r="D22" s="28" t="n"/>
      <c r="E22" s="28" t="n"/>
      <c r="F22" s="28" t="n"/>
      <c r="G22" s="28" t="n"/>
      <c r="H22" s="28" t="n"/>
    </row>
    <row r="23">
      <c r="A23" s="28" t="inlineStr">
        <is>
          <t>Interest-only period applied (years)</t>
        </is>
      </c>
      <c r="B23" s="40">
        <f>IFERROR(IF(OR('0. Assumptions'!$B$34="",'0. Assumptions'!$B$33=""),"",IF('0. Assumptions'!$B$34&gt;='0. Assumptions'!$B$33,0,'0. Assumptions'!$B$34)),"")</f>
        <v>0.0</v>
      </c>
      <c r="C23" s="28" t="inlineStr">
        <is>
          <t>An interest-only period equal to or longer than the term does not exist: the sheet cancels it at the source</t>
        </is>
      </c>
      <c r="D23" s="28" t="n"/>
      <c r="E23" s="28" t="n"/>
      <c r="F23" s="28" t="n"/>
      <c r="G23" s="28" t="n"/>
      <c r="H23" s="28" t="n"/>
    </row>
    <row r="24">
      <c r="A24" s="25" t="inlineStr">
        <is>
          <t>Annual payment during repayment</t>
        </is>
      </c>
      <c r="B24" s="62">
        <f>IFERROR(IF(B22-B23&lt;=0,"",IF(B21=0,B20/(B22-B23),B20*B21/(1-(1+B21)^-(B22-B23)))),"")</f>
        <v>10064.869485329182</v>
      </c>
      <c r="C24" s="25" t="inlineStr">
        <is>
          <t>Standard amortizing loan with a level annual payment. At a 0% rate it is the principal divided by the repayment years: without that branch the schedule would shut down entirely</t>
        </is>
      </c>
      <c r="D24" s="28" t="n"/>
      <c r="E24" s="28" t="n"/>
      <c r="F24" s="28" t="n"/>
      <c r="G24" s="28" t="n"/>
      <c r="H24" s="28" t="n"/>
    </row>
    <row r="25">
      <c r="A25" s="25" t="inlineStr">
        <is>
          <t>AMORTIZATION SCHEDULE</t>
        </is>
      </c>
      <c r="B25" s="28" t="n"/>
      <c r="C25" s="28" t="n"/>
      <c r="D25" s="28" t="n"/>
      <c r="E25" s="28" t="n"/>
      <c r="F25" s="28" t="n"/>
      <c r="G25" s="28" t="n"/>
      <c r="H25" s="28" t="n"/>
    </row>
    <row r="26">
      <c r="A26" s="25" t="inlineStr">
        <is>
          <t>Year</t>
        </is>
      </c>
      <c r="B26" s="25" t="inlineStr">
        <is>
          <t>Opening balance</t>
        </is>
      </c>
      <c r="C26" s="25" t="inlineStr">
        <is>
          <t>Interest</t>
        </is>
      </c>
      <c r="D26" s="25" t="inlineStr">
        <is>
          <t>Principal repaid</t>
        </is>
      </c>
      <c r="E26" s="25" t="inlineStr">
        <is>
          <t>Total payment</t>
        </is>
      </c>
      <c r="F26" s="25" t="inlineStr">
        <is>
          <t>Closing balance</t>
        </is>
      </c>
      <c r="G26" s="25" t="inlineStr">
        <is>
          <t>Cash flow available for debt service (after tax; from year 4 on, year 3 held flat)</t>
        </is>
      </c>
      <c r="H26" s="25" t="inlineStr">
        <is>
          <t>DSCR for the year</t>
        </is>
      </c>
    </row>
    <row r="27">
      <c r="A27" s="40" t="n">
        <v>1</v>
      </c>
      <c r="B27" s="61">
        <f>IFERROR(IF(B20="","",B20),"")</f>
        <v>49000.0</v>
      </c>
      <c r="C27" s="61">
        <f>IFERROR(IF(OR(1&gt;B22,B27=""),"",B27*B21),"")</f>
        <v>4900.0</v>
      </c>
      <c r="D27" s="61">
        <f>IFERROR(IF(OR(1&gt;B22,B27=""),"",IF(1&lt;=B23,0,MIN(B27,B24-C27))),"")</f>
        <v>5164.869485329182</v>
      </c>
      <c r="E27" s="61">
        <f>IFERROR(IF(C27="","",C27+D27),"")</f>
        <v>10064.869485329182</v>
      </c>
      <c r="F27" s="61">
        <f>IFERROR(IF(D27="","",B27-D27),"")</f>
        <v>43835.13051467082</v>
      </c>
      <c r="G27" s="61">
        <f>IFERROR(IF(E27="","",'3-Year P&amp;L'!$B$41-'3-Year P&amp;L'!$B$46+'3-Year P&amp;L'!$B$36+'3-Year P&amp;L'!$B$37),"")</f>
        <v>29508.942857142847</v>
      </c>
      <c r="H27" s="61">
        <f>IFERROR(IF(OR(E27="",E27=0),"",G27/E27),"")</f>
        <v>2.931875361141628</v>
      </c>
    </row>
    <row r="28">
      <c r="A28" s="40" t="n">
        <v>2</v>
      </c>
      <c r="B28" s="61">
        <f>IFERROR(IF(OR(2&gt;B22,F27=""),"",F27),"")</f>
        <v>43835.13051467082</v>
      </c>
      <c r="C28" s="61">
        <f>IFERROR(IF(OR(2&gt;B22,B28=""),"",B28*B21),"")</f>
        <v>4383.513051467082</v>
      </c>
      <c r="D28" s="61">
        <f>IFERROR(IF(OR(2&gt;B22,B28=""),"",IF(2&lt;=B23,0,MIN(B28,B24-C28))),"")</f>
        <v>5681.3564338621</v>
      </c>
      <c r="E28" s="61">
        <f>IFERROR(IF(C28="","",C28+D28),"")</f>
        <v>10064.869485329182</v>
      </c>
      <c r="F28" s="61">
        <f>IFERROR(IF(D28="","",B28-D28),"")</f>
        <v>38153.77408080872</v>
      </c>
      <c r="G28" s="61">
        <f>IFERROR(IF(E28="","",'3-Year P&amp;L'!$C$41-'3-Year P&amp;L'!$C$46+'3-Year P&amp;L'!$C$36+'3-Year P&amp;L'!$C$37),"")</f>
        <v>38277.88112000964</v>
      </c>
      <c r="H28" s="61">
        <f>IFERROR(IF(OR(E28="",E28=0),"",G28/E28),"")</f>
        <v>3.803117484613634</v>
      </c>
    </row>
    <row r="29">
      <c r="A29" s="40" t="n">
        <v>3</v>
      </c>
      <c r="B29" s="61">
        <f>IFERROR(IF(OR(3&gt;B22,F28=""),"",F28),"")</f>
        <v>38153.77408080872</v>
      </c>
      <c r="C29" s="61">
        <f>IFERROR(IF(OR(3&gt;B22,B29=""),"",B29*B21),"")</f>
        <v>3815.377408080872</v>
      </c>
      <c r="D29" s="61">
        <f>IFERROR(IF(OR(3&gt;B22,B29=""),"",IF(3&lt;=B23,0,MIN(B29,B24-C29))),"")</f>
        <v>6249.492077248309</v>
      </c>
      <c r="E29" s="61">
        <f>IFERROR(IF(C29="","",C29+D29),"")</f>
        <v>10064.869485329182</v>
      </c>
      <c r="F29" s="61">
        <f>IFERROR(IF(D29="","",B29-D29),"")</f>
        <v>31904.28200356041</v>
      </c>
      <c r="G29" s="61">
        <f>IFERROR(IF(E29="","",'3-Year P&amp;L'!$D$41-'3-Year P&amp;L'!$D$46+'3-Year P&amp;L'!$D$36+'3-Year P&amp;L'!$D$37),"")</f>
        <v>45696.14000916311</v>
      </c>
      <c r="H29" s="61">
        <f>IFERROR(IF(OR(E29="",E29=0),"",G29/E29),"")</f>
        <v>4.540162202378382</v>
      </c>
    </row>
    <row r="30">
      <c r="A30" s="40" t="n">
        <v>4</v>
      </c>
      <c r="B30" s="61">
        <f>IFERROR(IF(OR(4&gt;B22,F29=""),"",F29),"")</f>
        <v>31904.28200356041</v>
      </c>
      <c r="C30" s="61">
        <f>IFERROR(IF(OR(4&gt;B22,B30=""),"",B30*B21),"")</f>
        <v>3190.428200356041</v>
      </c>
      <c r="D30" s="61">
        <f>IFERROR(IF(OR(4&gt;B22,B30=""),"",IF(4&lt;=B23,0,MIN(B30,B24-C30))),"")</f>
        <v>6874.441284973141</v>
      </c>
      <c r="E30" s="61">
        <f>IFERROR(IF(C30="","",C30+D30),"")</f>
        <v>10064.869485329182</v>
      </c>
      <c r="F30" s="61">
        <f>IFERROR(IF(D30="","",B30-D30),"")</f>
        <v>25029.840718587267</v>
      </c>
      <c r="G30" s="61">
        <f>IFERROR(IF(E30="","",'3-Year P&amp;L'!$D$41-'3-Year P&amp;L'!$D$46+'3-Year P&amp;L'!$D$36+'3-Year P&amp;L'!$D$37),"")</f>
        <v>45696.14000916311</v>
      </c>
      <c r="H30" s="61">
        <f>IFERROR(IF(OR(E30="",E30=0),"",G30/E30),"")</f>
        <v>4.540162202378382</v>
      </c>
    </row>
    <row r="31">
      <c r="A31" s="40" t="n">
        <v>5</v>
      </c>
      <c r="B31" s="61">
        <f>IFERROR(IF(OR(5&gt;B22,F30=""),"",F30),"")</f>
        <v>25029.840718587267</v>
      </c>
      <c r="C31" s="61">
        <f>IFERROR(IF(OR(5&gt;B22,B31=""),"",B31*B21),"")</f>
        <v>2502.984071858727</v>
      </c>
      <c r="D31" s="61">
        <f>IFERROR(IF(OR(5&gt;B22,B31=""),"",IF(5&lt;=B23,0,MIN(B31,B24-C31))),"")</f>
        <v>7561.885413470454</v>
      </c>
      <c r="E31" s="61">
        <f>IFERROR(IF(C31="","",C31+D31),"")</f>
        <v>10064.869485329182</v>
      </c>
      <c r="F31" s="61">
        <f>IFERROR(IF(D31="","",B31-D31),"")</f>
        <v>17467.95530511681</v>
      </c>
      <c r="G31" s="61">
        <f>IFERROR(IF(E31="","",'3-Year P&amp;L'!$D$41-'3-Year P&amp;L'!$D$46+'3-Year P&amp;L'!$D$36+'3-Year P&amp;L'!$D$37),"")</f>
        <v>45696.14000916311</v>
      </c>
      <c r="H31" s="61">
        <f>IFERROR(IF(OR(E31="",E31=0),"",G31/E31),"")</f>
        <v>4.540162202378382</v>
      </c>
    </row>
    <row r="32">
      <c r="A32" s="40" t="n">
        <v>6</v>
      </c>
      <c r="B32" s="61">
        <f>IFERROR(IF(OR(6&gt;B22,F31=""),"",F31),"")</f>
        <v>17467.95530511681</v>
      </c>
      <c r="C32" s="61">
        <f>IFERROR(IF(OR(6&gt;B22,B32=""),"",B32*B21),"")</f>
        <v>1746.7955305116811</v>
      </c>
      <c r="D32" s="61">
        <f>IFERROR(IF(OR(6&gt;B22,B32=""),"",IF(6&lt;=B23,0,MIN(B32,B24-C32))),"")</f>
        <v>8318.0739548175</v>
      </c>
      <c r="E32" s="61">
        <f>IFERROR(IF(C32="","",C32+D32),"")</f>
        <v>10064.869485329182</v>
      </c>
      <c r="F32" s="61">
        <f>IFERROR(IF(D32="","",B32-D32),"")</f>
        <v>9149.88135029931</v>
      </c>
      <c r="G32" s="61">
        <f>IFERROR(IF(E32="","",'3-Year P&amp;L'!$D$41-'3-Year P&amp;L'!$D$46+'3-Year P&amp;L'!$D$36+'3-Year P&amp;L'!$D$37),"")</f>
        <v>45696.14000916311</v>
      </c>
      <c r="H32" s="61">
        <f>IFERROR(IF(OR(E32="",E32=0),"",G32/E32),"")</f>
        <v>4.540162202378382</v>
      </c>
    </row>
    <row r="33">
      <c r="A33" s="40" t="n">
        <v>7</v>
      </c>
      <c r="B33" s="61">
        <f>IFERROR(IF(OR(7&gt;B22,F32=""),"",F32),"")</f>
        <v>9149.88135029931</v>
      </c>
      <c r="C33" s="61">
        <f>IFERROR(IF(OR(7&gt;B22,B33=""),"",B33*B21),"")</f>
        <v>914.9881350299311</v>
      </c>
      <c r="D33" s="61">
        <f>IFERROR(IF(OR(7&gt;B22,B33=""),"",IF(7&lt;=B23,0,MIN(B33,B24-C33))),"")</f>
        <v>9149.88135029925</v>
      </c>
      <c r="E33" s="61">
        <f>IFERROR(IF(C33="","",C33+D33),"")</f>
        <v>10064.869485329182</v>
      </c>
      <c r="F33" s="61">
        <f>IFERROR(IF(D33="","",B33-D33),"")</f>
        <v>6.002665031701326e-11</v>
      </c>
      <c r="G33" s="61">
        <f>IFERROR(IF(E33="","",'3-Year P&amp;L'!$D$41-'3-Year P&amp;L'!$D$46+'3-Year P&amp;L'!$D$36+'3-Year P&amp;L'!$D$37),"")</f>
        <v>45696.14000916311</v>
      </c>
      <c r="H33" s="61">
        <f>IFERROR(IF(OR(E33="",E33=0),"",G33/E33),"")</f>
        <v>4.540162202378382</v>
      </c>
    </row>
    <row r="34">
      <c r="A34" s="40" t="n">
        <v>8</v>
      </c>
      <c r="B34" s="61">
        <f>IFERROR(IF(OR(8&gt;B22,F33=""),"",F33),"")</f>
        <v/>
      </c>
      <c r="C34" s="61">
        <f>IFERROR(IF(OR(8&gt;B22,B34=""),"",B34*B21),"")</f>
        <v/>
      </c>
      <c r="D34" s="61">
        <f>IFERROR(IF(OR(8&gt;B22,B34=""),"",IF(8&lt;=B23,0,MIN(B34,B24-C34))),"")</f>
        <v/>
      </c>
      <c r="E34" s="61">
        <f>IFERROR(IF(C34="","",C34+D34),"")</f>
        <v/>
      </c>
      <c r="F34" s="61">
        <f>IFERROR(IF(D34="","",B34-D34),"")</f>
        <v/>
      </c>
      <c r="G34" s="61">
        <f>IFERROR(IF(E34="","",'3-Year P&amp;L'!$D$41-'3-Year P&amp;L'!$D$46+'3-Year P&amp;L'!$D$36+'3-Year P&amp;L'!$D$37),"")</f>
        <v/>
      </c>
      <c r="H34" s="61">
        <f>IFERROR(IF(OR(E34="",E34=0),"",G34/E34),"")</f>
        <v/>
      </c>
    </row>
    <row r="35">
      <c r="A35" s="40" t="n">
        <v>9</v>
      </c>
      <c r="B35" s="61">
        <f>IFERROR(IF(OR(9&gt;B22,F34=""),"",F34),"")</f>
        <v/>
      </c>
      <c r="C35" s="61">
        <f>IFERROR(IF(OR(9&gt;B22,B35=""),"",B35*B21),"")</f>
        <v/>
      </c>
      <c r="D35" s="61">
        <f>IFERROR(IF(OR(9&gt;B22,B35=""),"",IF(9&lt;=B23,0,MIN(B35,B24-C35))),"")</f>
        <v/>
      </c>
      <c r="E35" s="61">
        <f>IFERROR(IF(C35="","",C35+D35),"")</f>
        <v/>
      </c>
      <c r="F35" s="61">
        <f>IFERROR(IF(D35="","",B35-D35),"")</f>
        <v/>
      </c>
      <c r="G35" s="61">
        <f>IFERROR(IF(E35="","",'3-Year P&amp;L'!$D$41-'3-Year P&amp;L'!$D$46+'3-Year P&amp;L'!$D$36+'3-Year P&amp;L'!$D$37),"")</f>
        <v/>
      </c>
      <c r="H35" s="61">
        <f>IFERROR(IF(OR(E35="",E35=0),"",G35/E35),"")</f>
        <v/>
      </c>
    </row>
    <row r="36">
      <c r="A36" s="40" t="n">
        <v>10</v>
      </c>
      <c r="B36" s="61">
        <f>IFERROR(IF(OR(10&gt;B22,F35=""),"",F35),"")</f>
        <v/>
      </c>
      <c r="C36" s="61">
        <f>IFERROR(IF(OR(10&gt;B22,B36=""),"",B36*B21),"")</f>
        <v/>
      </c>
      <c r="D36" s="61">
        <f>IFERROR(IF(OR(10&gt;B22,B36=""),"",IF(10&lt;=B23,0,MIN(B36,B24-C36))),"")</f>
        <v/>
      </c>
      <c r="E36" s="61">
        <f>IFERROR(IF(C36="","",C36+D36),"")</f>
        <v/>
      </c>
      <c r="F36" s="61">
        <f>IFERROR(IF(D36="","",B36-D36),"")</f>
        <v/>
      </c>
      <c r="G36" s="61">
        <f>IFERROR(IF(E36="","",'3-Year P&amp;L'!$D$41-'3-Year P&amp;L'!$D$46+'3-Year P&amp;L'!$D$36+'3-Year P&amp;L'!$D$37),"")</f>
        <v/>
      </c>
      <c r="H36" s="61">
        <f>IFERROR(IF(OR(E36="",E36=0),"",G36/E36),"")</f>
        <v/>
      </c>
    </row>
    <row r="37">
      <c r="A37" s="40" t="n">
        <v>11</v>
      </c>
      <c r="B37" s="61">
        <f>IFERROR(IF(OR(11&gt;B22,F36=""),"",F36),"")</f>
        <v/>
      </c>
      <c r="C37" s="61">
        <f>IFERROR(IF(OR(11&gt;B22,B37=""),"",B37*B21),"")</f>
        <v/>
      </c>
      <c r="D37" s="61">
        <f>IFERROR(IF(OR(11&gt;B22,B37=""),"",IF(11&lt;=B23,0,MIN(B37,B24-C37))),"")</f>
        <v/>
      </c>
      <c r="E37" s="61">
        <f>IFERROR(IF(C37="","",C37+D37),"")</f>
        <v/>
      </c>
      <c r="F37" s="61">
        <f>IFERROR(IF(D37="","",B37-D37),"")</f>
        <v/>
      </c>
      <c r="G37" s="61">
        <f>IFERROR(IF(E37="","",'3-Year P&amp;L'!$D$41-'3-Year P&amp;L'!$D$46+'3-Year P&amp;L'!$D$36+'3-Year P&amp;L'!$D$37),"")</f>
        <v/>
      </c>
      <c r="H37" s="61">
        <f>IFERROR(IF(OR(E37="",E37=0),"",G37/E37),"")</f>
        <v/>
      </c>
    </row>
    <row r="38">
      <c r="A38" s="40" t="n">
        <v>12</v>
      </c>
      <c r="B38" s="61">
        <f>IFERROR(IF(OR(12&gt;B22,F37=""),"",F37),"")</f>
        <v/>
      </c>
      <c r="C38" s="61">
        <f>IFERROR(IF(OR(12&gt;B22,B38=""),"",B38*B21),"")</f>
        <v/>
      </c>
      <c r="D38" s="61">
        <f>IFERROR(IF(OR(12&gt;B22,B38=""),"",IF(12&lt;=B23,0,MIN(B38,B24-C38))),"")</f>
        <v/>
      </c>
      <c r="E38" s="61">
        <f>IFERROR(IF(C38="","",C38+D38),"")</f>
        <v/>
      </c>
      <c r="F38" s="61">
        <f>IFERROR(IF(D38="","",B38-D38),"")</f>
        <v/>
      </c>
      <c r="G38" s="61">
        <f>IFERROR(IF(E38="","",'3-Year P&amp;L'!$D$41-'3-Year P&amp;L'!$D$46+'3-Year P&amp;L'!$D$36+'3-Year P&amp;L'!$D$37),"")</f>
        <v/>
      </c>
      <c r="H38" s="61">
        <f>IFERROR(IF(OR(E38="",E38=0),"",G38/E38),"")</f>
        <v/>
      </c>
    </row>
    <row r="39">
      <c r="A39" s="40" t="n">
        <v>13</v>
      </c>
      <c r="B39" s="61">
        <f>IFERROR(IF(OR(13&gt;B22,F38=""),"",F38),"")</f>
        <v/>
      </c>
      <c r="C39" s="61">
        <f>IFERROR(IF(OR(13&gt;B22,B39=""),"",B39*B21),"")</f>
        <v/>
      </c>
      <c r="D39" s="61">
        <f>IFERROR(IF(OR(13&gt;B22,B39=""),"",IF(13&lt;=B23,0,MIN(B39,B24-C39))),"")</f>
        <v/>
      </c>
      <c r="E39" s="61">
        <f>IFERROR(IF(C39="","",C39+D39),"")</f>
        <v/>
      </c>
      <c r="F39" s="61">
        <f>IFERROR(IF(D39="","",B39-D39),"")</f>
        <v/>
      </c>
      <c r="G39" s="61">
        <f>IFERROR(IF(E39="","",'3-Year P&amp;L'!$D$41-'3-Year P&amp;L'!$D$46+'3-Year P&amp;L'!$D$36+'3-Year P&amp;L'!$D$37),"")</f>
        <v/>
      </c>
      <c r="H39" s="61">
        <f>IFERROR(IF(OR(E39="",E39=0),"",G39/E39),"")</f>
        <v/>
      </c>
    </row>
    <row r="40">
      <c r="A40" s="40" t="n">
        <v>14</v>
      </c>
      <c r="B40" s="61">
        <f>IFERROR(IF(OR(14&gt;B22,F39=""),"",F39),"")</f>
        <v/>
      </c>
      <c r="C40" s="61">
        <f>IFERROR(IF(OR(14&gt;B22,B40=""),"",B40*B21),"")</f>
        <v/>
      </c>
      <c r="D40" s="61">
        <f>IFERROR(IF(OR(14&gt;B22,B40=""),"",IF(14&lt;=B23,0,MIN(B40,B24-C40))),"")</f>
        <v/>
      </c>
      <c r="E40" s="61">
        <f>IFERROR(IF(C40="","",C40+D40),"")</f>
        <v/>
      </c>
      <c r="F40" s="61">
        <f>IFERROR(IF(D40="","",B40-D40),"")</f>
        <v/>
      </c>
      <c r="G40" s="61">
        <f>IFERROR(IF(E40="","",'3-Year P&amp;L'!$D$41-'3-Year P&amp;L'!$D$46+'3-Year P&amp;L'!$D$36+'3-Year P&amp;L'!$D$37),"")</f>
        <v/>
      </c>
      <c r="H40" s="61">
        <f>IFERROR(IF(OR(E40="",E40=0),"",G40/E40),"")</f>
        <v/>
      </c>
    </row>
    <row r="41">
      <c r="A41" s="40" t="n">
        <v>15</v>
      </c>
      <c r="B41" s="61">
        <f>IFERROR(IF(OR(15&gt;B22,F40=""),"",F40),"")</f>
        <v/>
      </c>
      <c r="C41" s="61">
        <f>IFERROR(IF(OR(15&gt;B22,B41=""),"",B41*B21),"")</f>
        <v/>
      </c>
      <c r="D41" s="61">
        <f>IFERROR(IF(OR(15&gt;B22,B41=""),"",IF(15&lt;=B23,0,MIN(B41,B24-C41))),"")</f>
        <v/>
      </c>
      <c r="E41" s="61">
        <f>IFERROR(IF(C41="","",C41+D41),"")</f>
        <v/>
      </c>
      <c r="F41" s="61">
        <f>IFERROR(IF(D41="","",B41-D41),"")</f>
        <v/>
      </c>
      <c r="G41" s="61">
        <f>IFERROR(IF(E41="","",'3-Year P&amp;L'!$D$41-'3-Year P&amp;L'!$D$46+'3-Year P&amp;L'!$D$36+'3-Year P&amp;L'!$D$37),"")</f>
        <v/>
      </c>
      <c r="H41" s="61">
        <f>IFERROR(IF(OR(E41="",E41=0),"",G41/E41),"")</f>
        <v/>
      </c>
    </row>
    <row r="42">
      <c r="A42" s="28" t="inlineStr">
        <is>
          <t>Schedule closing tolerance</t>
        </is>
      </c>
      <c r="B42" s="71" t="n">
        <v>0.01</v>
      </c>
      <c r="C42" s="28" t="inlineStr">
        <is>
          <t>Rounding margin. Above it, the schedule does not close and there is principal left unpaid</t>
        </is>
      </c>
      <c r="D42" s="28" t="n"/>
      <c r="E42" s="28" t="n"/>
      <c r="F42" s="28" t="n"/>
      <c r="G42" s="28" t="n"/>
      <c r="H42" s="28" t="n"/>
    </row>
    <row r="43">
      <c r="A43" s="28" t="inlineStr">
        <is>
          <t>Balance outstanding at maturity</t>
        </is>
      </c>
      <c r="B43" s="61">
        <f>IFERROR(IF(B20="","",ROUND(B20-SUM(D27:D41),2)),"")</f>
        <v>0.0</v>
      </c>
      <c r="C43" s="28" t="inlineStr">
        <is>
          <t>Must be zero: the principal repaid in the schedule has to equal the amount borrowed. If it is positive, the term falls short</t>
        </is>
      </c>
      <c r="D43" s="28" t="n"/>
      <c r="E43" s="28" t="n"/>
      <c r="F43" s="28" t="n"/>
      <c r="G43" s="28" t="n"/>
      <c r="H43" s="28" t="n"/>
    </row>
    <row r="44">
      <c r="A44" s="28" t="inlineStr">
        <is>
          <t>Year-1 interest</t>
        </is>
      </c>
      <c r="B44" s="40">
        <f>IFERROR(IF(B20="","",IF(C27="",0,C27)),"")</f>
        <v>4900.0</v>
      </c>
      <c r="C44" s="28" t="n"/>
      <c r="D44" s="28" t="n"/>
      <c r="E44" s="28" t="n"/>
      <c r="F44" s="28" t="n"/>
      <c r="G44" s="28" t="n"/>
      <c r="H44" s="28" t="n"/>
    </row>
    <row r="45">
      <c r="A45" s="28" t="inlineStr">
        <is>
          <t>Year-1 principal repaid</t>
        </is>
      </c>
      <c r="B45" s="40">
        <f>IFERROR(IF(B20="","",IF(D27="",0,D27)),"")</f>
        <v>5164.869485329182</v>
      </c>
      <c r="C45" s="28" t="n"/>
      <c r="D45" s="28" t="n"/>
      <c r="E45" s="28" t="n"/>
      <c r="F45" s="28" t="n"/>
      <c r="G45" s="28" t="n"/>
      <c r="H45" s="28" t="n"/>
    </row>
    <row r="46">
      <c r="A46" s="28" t="inlineStr">
        <is>
          <t>Year-2 interest</t>
        </is>
      </c>
      <c r="B46" s="40">
        <f>IFERROR(IF(B20="","",IF(C28="",0,C28)),"")</f>
        <v>4383.513051467082</v>
      </c>
      <c r="C46" s="28" t="n"/>
      <c r="D46" s="28" t="n"/>
      <c r="E46" s="28" t="n"/>
      <c r="F46" s="28" t="n"/>
      <c r="G46" s="28" t="n"/>
      <c r="H46" s="28" t="n"/>
    </row>
    <row r="47">
      <c r="A47" s="28" t="inlineStr">
        <is>
          <t>Year-2 principal repaid</t>
        </is>
      </c>
      <c r="B47" s="40">
        <f>IFERROR(IF(B20="","",IF(D28="",0,D28)),"")</f>
        <v>5681.3564338621</v>
      </c>
      <c r="C47" s="28" t="n"/>
      <c r="D47" s="28" t="n"/>
      <c r="E47" s="28" t="n"/>
      <c r="F47" s="28" t="n"/>
      <c r="G47" s="28" t="n"/>
      <c r="H47" s="28" t="n"/>
    </row>
    <row r="48">
      <c r="A48" s="28" t="inlineStr">
        <is>
          <t>Year-3 interest</t>
        </is>
      </c>
      <c r="B48" s="40">
        <f>IFERROR(IF(B20="","",IF(C29="",0,C29)),"")</f>
        <v>3815.377408080872</v>
      </c>
      <c r="C48" s="28" t="n"/>
      <c r="D48" s="28" t="n"/>
      <c r="E48" s="28" t="n"/>
      <c r="F48" s="28" t="n"/>
      <c r="G48" s="28" t="n"/>
      <c r="H48" s="28" t="n"/>
    </row>
    <row r="49">
      <c r="A49" s="28" t="inlineStr">
        <is>
          <t>Year-3 principal repaid</t>
        </is>
      </c>
      <c r="B49" s="40">
        <f>IFERROR(IF(B20="","",IF(D29="",0,D29)),"")</f>
        <v>6249.492077248309</v>
      </c>
      <c r="C49" s="28" t="n"/>
      <c r="D49" s="28" t="n"/>
      <c r="E49" s="28" t="n"/>
      <c r="F49" s="28" t="n"/>
      <c r="G49" s="28" t="n"/>
      <c r="H49" s="28" t="n"/>
    </row>
    <row r="50">
      <c r="A50" s="25" t="inlineStr">
        <is>
          <t>DEBT SERVICE COVERAGE RATIO (DSCR)</t>
        </is>
      </c>
      <c r="B50" s="28" t="n"/>
      <c r="C50" s="28" t="n"/>
      <c r="D50" s="28" t="n"/>
      <c r="E50" s="28" t="n"/>
      <c r="F50" s="28" t="n"/>
      <c r="G50" s="28" t="n"/>
      <c r="H50" s="28" t="n"/>
    </row>
    <row r="51">
      <c r="A51" s="28" t="inlineStr">
        <is>
          <t>Year-1 DSCR</t>
        </is>
      </c>
      <c r="B51" s="61">
        <f>IFERROR(('3-Year P&amp;L'!$B$41-'3-Year P&amp;L'!$B$46+'3-Year P&amp;L'!$B$36+B44)/(B44+B45),"")</f>
        <v>2.931875361141628</v>
      </c>
      <c r="C51" s="28" t="inlineStr">
        <is>
          <t>An INTEREST-ONLY year, if there is one: with only interest in the denominator the ratio shoots up and does not measure the business</t>
        </is>
      </c>
      <c r="D51" s="28" t="n"/>
      <c r="E51" s="28" t="n"/>
      <c r="F51" s="28" t="n"/>
      <c r="G51" s="28" t="n"/>
      <c r="H51" s="28" t="n"/>
    </row>
    <row r="52">
      <c r="A52" s="28" t="inlineStr">
        <is>
          <t>Year-2 DSCR</t>
        </is>
      </c>
      <c r="B52" s="61">
        <f>IFERROR(('3-Year P&amp;L'!$C$41-'3-Year P&amp;L'!$C$46+'3-Year P&amp;L'!$C$36+B46)/(B46+B47),"")</f>
        <v>3.803117484613634</v>
      </c>
      <c r="C52" s="28" t="n"/>
      <c r="D52" s="28" t="n"/>
      <c r="E52" s="28" t="n"/>
      <c r="F52" s="28" t="n"/>
      <c r="G52" s="28" t="n"/>
      <c r="H52" s="28" t="n"/>
    </row>
    <row r="53">
      <c r="A53" s="28" t="inlineStr">
        <is>
          <t>Year-3 DSCR</t>
        </is>
      </c>
      <c r="B53" s="61">
        <f>IFERROR(('3-Year P&amp;L'!$D$41-'3-Year P&amp;L'!$D$46+'3-Year P&amp;L'!$D$36+B48)/(B48+B49),"")</f>
        <v>4.540162202378382</v>
      </c>
      <c r="C53" s="28" t="n"/>
      <c r="D53" s="28" t="n"/>
      <c r="E53" s="28" t="n"/>
      <c r="F53" s="28" t="n"/>
      <c r="G53" s="28" t="n"/>
      <c r="H53" s="28" t="n"/>
    </row>
    <row r="54">
      <c r="A54" s="25" t="inlineStr">
        <is>
          <t>Minimum DSCR across the whole schedule</t>
        </is>
      </c>
      <c r="B54" s="62">
        <f>IFERROR(IF(COUNT(H27:H41)=0,"",MIN(H27:H41)),"")</f>
        <v>2.931875361141628</v>
      </c>
      <c r="C54" s="25"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28" t="n"/>
      <c r="E54" s="28" t="n"/>
      <c r="F54" s="28" t="n"/>
      <c r="G54" s="28" t="n"/>
      <c r="H54" s="28" t="n"/>
    </row>
    <row r="55">
      <c r="A55" s="28" t="n"/>
      <c r="B55" s="28" t="n"/>
      <c r="C55" s="28" t="n"/>
      <c r="D55" s="28" t="n"/>
      <c r="E55" s="28" t="n"/>
      <c r="F55" s="28" t="n"/>
      <c r="G55" s="28" t="n"/>
      <c r="H55" s="28" t="n"/>
    </row>
    <row r="56" ht="165" customHeight="1">
      <c r="A56" s="46"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Mobile Bar Financial Projections: 3-Year P&amp;L, Cash Flow &amp; Financing · Mobile Bar Business Plan Kit</dc:title>
  <dc:description xmlns:dc="http://purl.org/dc/elements/1.1/">aichef.pro/en/digital-products/mobile-bar-business-plan</dc:description>
  <dc:subject xmlns:dc="http://purl.org/dc/elements/1.1/">Mobile Bar Business Plan Kit · v2.2</dc:subject>
  <dcterms:created xmlns:dcterms="http://purl.org/dc/terms/" xmlns:xsi="http://www.w3.org/2001/XMLSchema-instance" xsi:type="dcterms:W3CDTF">2026-03-26T14:46:57Z</dcterms:created>
  <dcterms:modified xmlns:dcterms="http://purl.org/dc/terms/" xmlns:xsi="http://www.w3.org/2001/XMLSchema-instance" xsi:type="dcterms:W3CDTF">2026-10-13T07:55:13Z</dcterms:modified>
  <cp:lastModifiedBy>AI Chef Pro</cp:lastModifiedBy>
  <cp:category>AI Chef Pro · Digital products</cp:category>
  <cp:keywords>mobile bar business plan, mobile bartending business plan, mobile bar business plan template, how to start a mobile bar business, dry hire mobile bar, mobile bar pricing, mobile bar license, AI Chef Pro</cp:keywords>
</cp:coreProperties>
</file>