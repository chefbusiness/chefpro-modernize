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160</v>
      </c>
      <c r="C4" t="inlineStr">
        <is>
          <t>Average number of events you work per year, counting every wedding, corporate event and private party. It is the main volume driver of the whole workbook: the P&amp;L, break-even and scenarios all read it, and years 2 and 3 grow in events. Compare it with the capacity row further down (max events a year your bars and crews can handle).</t>
        </is>
      </c>
    </row>
    <row r="5">
      <c r="A5" t="inlineStr">
        <is>
          <t>Average price per guest (excl. sales tax and alcohol; bar package + add-ons)</t>
        </is>
      </c>
      <c r="B5" s="24" t="n">
        <v>14</v>
      </c>
      <c r="C5" t="inlineStr">
        <is>
          <t>Price per guest for a dry hire event (your client buys the alcohol; you bring the bar, the bartenders and everything else), EXCL. sales tax and excl. alcohol: the bar package plus add-ons, with bartenders, mixers, garnishes, ice and cups included, the service charge in and the voluntary gratuity out. Price per guest incl. sales tax = this value × (1 + your sales tax rate). At 95 guests, 14 per guest gives 1,330 per event: above Check Cherry's $750 median and in the upper quarter (the middle half runs $450-$1,275; see the benchmarks table on the "Instructions" tab). the Pricing Calculator builds your quote from your own costs and hours: divide its subtotal by the billable guests to bring it here.</t>
        </is>
      </c>
    </row>
    <row r="6">
      <c r="A6" t="inlineStr">
        <is>
          <t>Average guests per event</t>
        </is>
      </c>
      <c r="B6" s="18" t="n">
        <v>95</v>
      </c>
      <c r="C6" t="inlineStr">
        <is>
          <t>Average number of guests per event across your whole mix, from private parties of about 60 to weddings of 120. Check Cherry booking data puts the typical event near 80 guests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 for 10%). Kept modest on purpose: two crews and a Saturday calendar cap how many events you can work, and weddings are booked about two months ahead, so referrals from venues and planners take a season to show up.</t>
        </is>
      </c>
    </row>
    <row r="8">
      <c r="A8" t="inlineStr">
        <is>
          <t>Volume growth in year 3</t>
        </is>
      </c>
      <c r="B8" s="63" t="n">
        <v>0.08</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15.120000000000001</v>
      </c>
      <c r="C9" t="str">
        <f>IFERROR("Price per guest excl. sales tax plus the weighted sales tax of your sales lines ("&amp;TEXT(SUMPRODUCT('3-Year P&amp;L'!$E$10:$E$11,'3-Year P&amp;L'!$G$10:$G$11)*100,"0")&amp;"%), rounded. In the US the quote adds sales tax on top, and whether the bartending service and the service charge are taxable depends on the state (California taxes them); in the UK, VAT is included in the price.","")</f>
        <v>Price per guest excl. sales tax plus the weighted sales tax of your sales lines (8%), rounded. In the US the quote adds sales tax on top, and whether the bartending service and the service charge are taxable depends on the state (California taxes them); in the UK, VAT is included in the price.</v>
      </c>
    </row>
    <row r="10">
      <c r="A10" s="16" t="inlineStr">
        <is>
          <t>SALES MIX AND COST OF GOODS SOLD</t>
        </is>
      </c>
    </row>
    <row r="11">
      <c r="A11" t="inlineStr">
        <is>
          <t>BAR PACKAGES share of sales (bartending service, bar, mixers, garnishes, ice)</t>
        </is>
      </c>
      <c r="B11" s="63" t="n">
        <v>0.85</v>
      </c>
      <c r="C11" t="inlineStr">
        <is>
          <t>Share of BAR PACKAGES in total sales: bartending service, bar, mixers, garnishes, ice and cups. It is an INPUT: change it here and the P&amp;L, the cash flow and the sales tax collected recalculate on their own.</t>
        </is>
      </c>
    </row>
    <row r="12">
      <c r="A12" t="inlineStr">
        <is>
          <t>ADD-ONS share of sales (travel fees, extra hours, glassware, specialty bars)</t>
        </is>
      </c>
      <c r="B12" s="65">
        <f>IFERROR(IF(COUNT(B11)=0,"",1-B11),"")</f>
        <v>0.15000000000000002</v>
      </c>
      <c r="C12" t="inlineStr">
        <is>
          <t>Calculated as the remainder: bar packages + add-ons = 100%. Add-ons are travel fees, extra hours of service, glassware, champagne service and specialty bars.</t>
        </is>
      </c>
    </row>
    <row r="13">
      <c r="A13" t="inlineStr">
        <is>
          <t>Cost of goods on BAR PACKAGE sales (mixers, garnishes, ice, N/A drinks)</t>
        </is>
      </c>
      <c r="B13" s="63" t="n">
        <v>0.19</v>
      </c>
      <c r="C13" t="inlineStr">
        <is>
          <t>Cost of goods sold on bar package sales: mixers, garnishes, ice and non-alcoholic drinks (Kit estimate; see the ice and mixers row in the benchmarks table on the "Instructions" tab). There is no alcohol in it: in dry hire the host buys it. Test it at a higher rate (more fresh juice, more garnish) before you trust the result.</t>
        </is>
      </c>
    </row>
    <row r="14">
      <c r="A14" t="inlineStr">
        <is>
          <t>Cost of goods on ADD-ON sales</t>
        </is>
      </c>
      <c r="B14" s="63" t="n">
        <v>0.2</v>
      </c>
      <c r="C14" t="inlineStr">
        <is>
          <t>Cost of goods sold on add-on sales: specialty bars, champagne service and rented extra glassware (Kit estimate). Set above the bar package rate because these items bring their own ingredients or rental fees. No alcohol: the host buys it.</t>
        </is>
      </c>
    </row>
    <row r="15">
      <c r="A15" t="inlineStr">
        <is>
          <t>Cups, straws, napkins and bar disposables as % of sales</t>
        </is>
      </c>
      <c r="B15" s="63" t="n">
        <v>0.04</v>
      </c>
      <c r="C15" t="inlineStr">
        <is>
          <t>Cups, straws, napkins, coasters and the printed drink menu sign, as a % of sales (Kit estimate). It sits next to cost of goods sold instead of hiding in miscellaneous. Some cities and venues restrict single-use plastics, so check the rules and price compostable cups if you need them.</t>
        </is>
      </c>
    </row>
    <row r="16">
      <c r="A16" t="inlineStr">
        <is>
          <t>Share of sales booked through gig marketplaces (GigSalad, The Bash, Thumbtack)</t>
        </is>
      </c>
      <c r="B16" s="63" t="n">
        <v>0.2</v>
      </c>
      <c r="C16" t="inlineStr">
        <is>
          <t>Share of your sales booked through gig marketplaces such as GigSalad, The Bash and Thumbtack, rather than by hosts and planners who book you directly. Set it to 0 if you only sell direct. The marketplace sends you the booking and keeps a fee (next row).</t>
        </is>
      </c>
    </row>
    <row r="17">
      <c r="A17" t="inlineStr">
        <is>
          <t>Marketplace fee on those bookings</t>
        </is>
      </c>
      <c r="B17" s="63" t="n">
        <v>0.05</v>
      </c>
      <c r="C17" t="inlineStr">
        <is>
          <t>Fee the marketplace keeps on those bookings. GigSalad charges 5% of the confirmed booking on its free plan and 2.5% on the paid plan, and nothing per lead (gigsalad.com); Thumbtack charges per lead instead, so convert that cost to a % of booked sales. Fees change: check the current schedule when you sign up. Not used while the marketplace share is 0%.</t>
        </is>
      </c>
    </row>
    <row r="18">
      <c r="A18" t="inlineStr">
        <is>
          <t>Card processing fee</t>
        </is>
      </c>
      <c r="B18" s="63" t="n">
        <v>0.03</v>
      </c>
      <c r="C18" t="inlineStr">
        <is>
          <t>Card fees on total sales. Hosts and planners mostly pay by card, with some ACH or check from companies, which lowers the cost. The example (3%) is a blended rate: a percentage plus a per-transaction fee, which weighs more on small deposits.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STORAGE, TRAILER PARKING AND FIXED COSTS</t>
        </is>
      </c>
    </row>
    <row r="24">
      <c r="A24" t="inlineStr">
        <is>
          <t>Storage unit &amp; trailer parking, per month</t>
        </is>
      </c>
      <c r="B24" s="18" t="n">
        <v>600</v>
      </c>
      <c r="C24" t="inlineStr">
        <is>
          <t>Monthly cost of the storage unit (or garage) where the bar, glassware and supplies live, plus the parking spot for the trailer. It is not storefront rent: you work at the host's venue. The deposit and the months before opening are calculated from this cell. If your county requires a commissary for ice or garnish, add it here (Kit estimate: +300-800 per month).</t>
        </is>
      </c>
    </row>
    <row r="25">
      <c r="A25" t="inlineStr">
        <is>
          <t>Storage unit deposit (months)</t>
        </is>
      </c>
      <c r="B25" s="18" t="n">
        <v>1</v>
      </c>
      <c r="C25" t="inlineStr">
        <is>
          <t>Months of deposit on the storage unit. Many facilities ask for about one month up front: far less than the deposit on a commercial lease. Agree it in writing.</t>
        </is>
      </c>
    </row>
    <row r="26">
      <c r="A26" t="inlineStr">
        <is>
          <t>Monthly utilities (storage unit power and water)</t>
        </is>
      </c>
      <c r="B26" s="18" t="n">
        <v>100</v>
      </c>
      <c r="C26" t="inlineStr">
        <is>
          <t>Electricity and water for the storage unit (lights, the wash area, charging), plus any utilities the storage rent does not cover. Fuel for the tow vehicle and the generator is not here: it is in the "Vehicle and trailer fuel, maintenance and registration" line of the "3-Year P&amp;L". It is the one cell for this cost, so you change it in one place and the rest of the workbook follows.</t>
        </is>
      </c>
    </row>
    <row r="27">
      <c r="A27" t="inlineStr">
        <is>
          <t>Insurance (per year)</t>
        </is>
      </c>
      <c r="B27" s="18" t="n">
        <v>4000</v>
      </c>
      <c r="C27" t="inlineStr">
        <is>
          <t>Yearly insurance: general liability plus liquor liability (Kit estimate 600-1,000), commercial auto covering the trailer (about 1,800), workers' comp for your W-2 bartenders (about 1,000) and equipment coverage (about 300). Venues ask for a COI naming them as additional insured, and general liability plus liquor liability start around $550 a year, bundled (insurancecanopy.com). The total is a Kit estimate: get quotes before you fix it.</t>
        </is>
      </c>
    </row>
    <row r="28">
      <c r="A28" t="inlineStr">
        <is>
          <t>Miscellaneous and contingency as % of sales</t>
        </is>
      </c>
      <c r="B28" s="63" t="n">
        <v>0.03</v>
      </c>
      <c r="C28" t="inlineStr">
        <is>
          <t>Last-minute costs of each event: extra ice, mixers bought on the way, parking at the venue. It is a VARIABLE cost: it rises and falls with the number of events, so it cannot sit among the fixed costs or it would move the break-even without anyone noticing. Fuel, maintenance and registration of the tow vehicle and trailer have their own line in the P&amp;L.</t>
        </is>
      </c>
    </row>
    <row r="29">
      <c r="A29" s="16" t="inlineStr">
        <is>
          <t>FINANCING</t>
        </is>
      </c>
    </row>
    <row r="30">
      <c r="A30" t="inlineStr">
        <is>
          <t>Owner's equity contributed</t>
        </is>
      </c>
      <c r="B30" s="18" t="n">
        <v>28000</v>
      </c>
      <c r="C30" t="inlineStr">
        <is>
          <t>Your own money. Lenders usually expect an owner equity injection (often around 10% for SBA start-ups; many want 20-30%) on the total cash needed in this plan.</t>
        </is>
      </c>
    </row>
    <row r="31">
      <c r="A31" t="inlineStr">
        <is>
          <t>Loan requested</t>
        </is>
      </c>
      <c r="B31" s="18" t="n">
        <v>49000</v>
      </c>
      <c r="C31" t="inlineStr">
        <is>
          <t>Principal requested from your lender: an SBA 7(a) loan through your bank, or a small SBA Microloan (up to 50,000). This is the cell. It is the only loan that the amortization schedule, the P&amp;L interest and the DSCR use. The "Financing" tab checks that the sources of funds match the total cash needed on the "Startup Costs" tab (which includes working capital and the trailer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 small SBA loan. A smaller loan secured by a used trailer and bar equipment often prices above a storefront loan: ask two lenders for quotes, and ask about SBA-guaranteed loans, before you set it.</t>
        </is>
      </c>
    </row>
    <row r="33">
      <c r="A33" t="inlineStr">
        <is>
          <t>Loan term (years)</t>
        </is>
      </c>
      <c r="B33" s="18" t="n">
        <v>7</v>
      </c>
      <c r="C33" t="inlineStr">
        <is>
          <t>Total years, interest-only period included. A trailer and bar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(bar service, add-ons and service charge). Whether bartending services are taxable varies by state: California taxes them (cdtfa.ca.gov). UK: 20% VAT on the service.</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bar trailer and its conversion (years)</t>
        </is>
      </c>
      <c r="B44" s="18" t="n">
        <v>7</v>
      </c>
      <c r="C44" t="inlineStr">
        <is>
          <t>The bar trailer, its conversion, the generator and the storage fit-out: everything that rides with the trailer is depreciated with it over the same life. Straight-line book depreciation; tax methods such as MACRS or Section 179 are separate, so confirm with your accountant.</t>
        </is>
      </c>
    </row>
    <row r="45">
      <c r="A45" t="inlineStr">
        <is>
          <t>Useful life of bar equipment, glassware and software (years)</t>
        </is>
      </c>
      <c r="B45" s="18" t="n">
        <v>5</v>
      </c>
      <c r="C45" t="inlineStr">
        <is>
          <t>Portable bar, bar tools, glassware, coolers, booking software and tablet. Loading and unloading at every event wears them faster than a fixed bar,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bars and crews can handle</t>
        </is>
      </c>
      <c r="B51" s="18" t="n">
        <v>260</v>
      </c>
      <c r="C51" t="inlineStr">
        <is>
          <t>INFORMATION ONLY: it does not enter any calculation in this workbook. It is your estimate of the most events a year your bars and crews can handle: two setups (the trailer and the portable bar) times roughly 130 bookable days each, because Saturdays are the bottleneck. Compare it with the events per year you plan and with the optimistic scenario: if the plan goes above it, you need a third setup or more bartenders. Volume itself is driven by the "Events per year" cell above.</t>
        </is>
      </c>
    </row>
    <row r="52">
      <c r="A52" t="inlineStr">
        <is>
          <t>Month-1 activity as a % of steady-state activity</t>
        </is>
      </c>
      <c r="B52" s="63" t="n">
        <v>0.45</v>
      </c>
      <c r="C52" t="inlineStr">
        <is>
          <t>A new mobile bar does not book in month one what it books in month eight: weddings are reserved about two months ahead and the first year is slow (see the first-year row in the benchmarks table on the "Instructions" tab). Events per year above is the year-1 AVERAGE: the ramp only spreads year 1's sales across the months (slower start, stronger finish) and keeps the annual total. At 100% there is no ramp.</t>
        </is>
      </c>
    </row>
    <row r="53">
      <c r="A53" t="inlineStr">
        <is>
          <t>Months to reach steady state</t>
        </is>
      </c>
      <c r="B53" s="18" t="n">
        <v>9</v>
      </c>
      <c r="C53" t="inlineStr">
        <is>
          <t>The ramp rises in a straight line from the percentage above to 100% over this number of months</t>
        </is>
      </c>
    </row>
    <row r="54">
      <c r="A54" t="inlineStr">
        <is>
          <t>Months of storage rent BEFORE opening</t>
        </is>
      </c>
      <c r="B54" s="18" t="n">
        <v>2</v>
      </c>
      <c r="C54" t="inlineStr">
        <is>
          <t>Converting the trailer, getting your permits and preselling at bridal shows takes weeks, so you pay storage rent and trailer parking before your first event. It belongs in startup costs, not in the P&amp;L.</t>
        </is>
      </c>
    </row>
    <row r="55">
      <c r="A55" t="inlineStr">
        <is>
          <t>Contingency on the trailer, conversion and fit-out lines (%)</t>
        </is>
      </c>
      <c r="B55" s="63" t="n">
        <v>0.1</v>
      </c>
      <c r="C55" t="inlineStr">
        <is>
          <t>Calculated by formula on the trailer, conversion, generator, storage fit-out and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Average days between the event and the money in your bank. A deposit (30% is typical) is paid when the host books and the balance before the event, so most of the money arrives before you work. Raise it if corporate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in dry hire: the host buys it)</t>
        </is>
      </c>
      <c r="B62" s="63" t="n">
        <v>0</v>
      </c>
      <c r="C62" t="inlineStr">
        <is>
          <t>ZERO by default: in dry hire the host buys the alcohol and your certified bartenders serve it, so you sell none. Selling alcohol requires a liquor license (and, in many states, a special event permit): see the full-service option in section 9 of the Word plan and check your state before adding it. Keep liquor liability coverage whenever your bartenders pour at an event.</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MOBILE BAR &amp; EVENT BARTENDING</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47530.0</v>
      </c>
      <c r="C6" s="67">
        <f>IFERROR(B6/$B$26,"")</f>
        <v>0.6174964694999877</v>
      </c>
      <c r="D6" s="28" t="n"/>
      <c r="E6" s="28" t="n"/>
    </row>
    <row r="7">
      <c r="A7" s="28" t="inlineStr">
        <is>
          <t>Bar trailer, used (6 x 12 ft (1.8 x 3.7 m) cargo / concession or horse trailer)</t>
        </is>
      </c>
      <c r="B7" s="49" t="n">
        <v>9000</v>
      </c>
      <c r="C7" s="68">
        <f>IFERROR(B7/$B$26,"")</f>
        <v>0.11692548338943592</v>
      </c>
      <c r="D7" s="28" t="inlineStr">
        <is>
          <t>A used bar trailer (6 x 12 ft (1.8 x 3.7 m) cargo, concession or horse trailer) that you convert. The tow vehicle is yours, so it costs 0 in the plan: if you do not have one, a used pickup is an extra purchase starting around $10,000 (checkcherry.com). Prices vary a lot with size and condition, so get several quotes.</t>
        </is>
      </c>
      <c r="E7" s="31" t="inlineStr">
        <is>
          <t>Yes</t>
        </is>
      </c>
    </row>
    <row r="8">
      <c r="A8" s="28" t="inlineStr">
        <is>
          <t>Trailer conversion (bar top, cabinetry, hand sink, water tanks, LED, electrical)</t>
        </is>
      </c>
      <c r="B8" s="49" t="n">
        <v>12000</v>
      </c>
      <c r="C8" s="68">
        <f>IFERROR(B8/$B$26,"")</f>
        <v>0.1559006445192479</v>
      </c>
      <c r="D8" s="28" t="inlineStr">
        <is>
          <t>Bar top, cabinets, hand sink and fresh and gray water tanks, LED lighting and the electrical work. A basic conversion typically starts around 5,000 and a custom build costs several times more (Kit estimate).</t>
        </is>
      </c>
      <c r="E8" s="31" t="inlineStr">
        <is>
          <t>Yes</t>
        </is>
      </c>
    </row>
    <row r="9">
      <c r="A9" s="28" t="inlineStr">
        <is>
          <t>Wrap, signage and bar facade</t>
        </is>
      </c>
      <c r="B9" s="49" t="n">
        <v>2500</v>
      </c>
      <c r="C9" s="68">
        <f>IFERROR(B9/$B$26,"")</f>
        <v>0.03247930094150998</v>
      </c>
      <c r="D9" s="28" t="inlineStr">
        <is>
          <t>Trailer wrap, signage and the bar facade: your rolling billboard at every venue and the first thing guests photograph.</t>
        </is>
      </c>
      <c r="E9" s="31" t="inlineStr">
        <is>
          <t>Yes</t>
        </is>
      </c>
    </row>
    <row r="10">
      <c r="A10" s="28" t="inlineStr">
        <is>
          <t>Portable bar for the second crew and indoor venues</t>
        </is>
      </c>
      <c r="B10" s="49" t="n">
        <v>2000</v>
      </c>
      <c r="C10" s="68">
        <f>IFERROR(B10/$B$26,"")</f>
        <v>0.025983440753207982</v>
      </c>
      <c r="D10" s="28" t="inlineStr">
        <is>
          <t>A portable bar for the second crew and for indoor venues where the trailer does not fit. Basic units start around 1,000 (checkcherry.com); a nicer one with a lit back bar costs more.</t>
        </is>
      </c>
      <c r="E10" s="31" t="inlineStr">
        <is>
          <t>Yes</t>
        </is>
      </c>
    </row>
    <row r="11">
      <c r="A11" s="28" t="inlineStr">
        <is>
          <t>Inverter generator and power</t>
        </is>
      </c>
      <c r="B11" s="49" t="n">
        <v>1800</v>
      </c>
      <c r="C11" s="68">
        <f>IFERROR(B11/$B$26,"")</f>
        <v>0.023385096677887185</v>
      </c>
      <c r="D11" s="28" t="inlineStr">
        <is>
          <t>A quiet inverter generator and the cabling, for venues without power. Typical range 800-3,000 (Kit estimate).</t>
        </is>
      </c>
      <c r="E11" s="31" t="inlineStr">
        <is>
          <t>Yes</t>
        </is>
      </c>
    </row>
    <row r="12">
      <c r="A12" s="28" t="inlineStr">
        <is>
          <t>Storage unit fit-out (shelving, glass racks, wash station)</t>
        </is>
      </c>
      <c r="B12" s="49" t="n">
        <v>1000</v>
      </c>
      <c r="C12" s="68">
        <f>IFERROR(B12/$B$26,"")</f>
        <v>0.012991720376603991</v>
      </c>
      <c r="D12" s="28" t="inlineStr">
        <is>
          <t>Shelving, glassware racks and a wash area inside the storage unit. Ask the facility what it already provides before you budget this line.</t>
        </is>
      </c>
      <c r="E12" s="31" t="inlineStr">
        <is>
          <t>Yes</t>
        </is>
      </c>
    </row>
    <row r="13">
      <c r="A13" s="28" t="inlineStr">
        <is>
          <t>LLC formation, contracts and legal</t>
        </is>
      </c>
      <c r="B13" s="49" t="n">
        <v>1500</v>
      </c>
      <c r="C13" s="68">
        <f>IFERROR(B13/$B$26,"")</f>
        <v>0.019487580564905987</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(business license, sales tax permit, TABC / RBS / TIPS)</t>
        </is>
      </c>
      <c r="B14" s="49" t="n">
        <v>1000</v>
      </c>
      <c r="C14" s="68">
        <f>IFERROR(B14/$B$26,"")</f>
        <v>0.012991720376603991</v>
      </c>
      <c r="D14" s="28" t="inlineStr">
        <is>
          <t>Business license, sales tax permit and responsible-service certifications (TABC in Texas, RBS in California, TIPS or ServSafe Alcohol) for year 1. It varies a lot by state and city: get the amounts for yours before you close the budget.</t>
        </is>
      </c>
      <c r="E14" s="31" t="inlineStr">
        <is>
          <t>No</t>
        </is>
      </c>
    </row>
    <row r="15">
      <c r="A15" s="28" t="inlineStr">
        <is>
          <t>Health permit / unit inspection (only if your county requires it)</t>
        </is>
      </c>
      <c r="B15" s="49" t="n">
        <v>500</v>
      </c>
      <c r="C15" s="68">
        <f>IFERROR(B15/$B$26,"")</f>
        <v>0.0064958601883019955</v>
      </c>
      <c r="D15" s="28" t="inlineStr">
        <is>
          <t>Only if your county requires it: ask your county health department whether ice, cut garnish or the hand sink trigger a unit inspection. If not, enter 0.</t>
        </is>
      </c>
      <c r="E15" s="31" t="inlineStr">
        <is>
          <t>Yes</t>
        </is>
      </c>
    </row>
    <row r="16">
      <c r="A16" s="28" t="inlineStr">
        <is>
          <t>Booking software, card reader and tablet</t>
        </is>
      </c>
      <c r="B16" s="49" t="n">
        <v>800</v>
      </c>
      <c r="C16" s="68">
        <f>IFERROR(B16/$B$26,"")</f>
        <v>0.010393376301283194</v>
      </c>
      <c r="D16" s="28" t="inlineStr">
        <is>
          <t>Booking software and CRM for proposals, contracts and deposits, plus a card reader and a tablet.</t>
        </is>
      </c>
      <c r="E16" s="31" t="inlineStr">
        <is>
          <t>Yes</t>
        </is>
      </c>
    </row>
    <row r="17">
      <c r="A17" s="28" t="inlineStr">
        <is>
          <t>Bar tools and smallwares (4 stations)</t>
        </is>
      </c>
      <c r="B17" s="49" t="n">
        <v>1200</v>
      </c>
      <c r="C17" s="68">
        <f>IFERROR(B17/$B$26,"")</f>
        <v>0.01559006445192479</v>
      </c>
      <c r="D17" s="28" t="inlineStr">
        <is>
          <t>Shakers, jiggers, speed rails, strainers, ice scoops and bar mats for 4 stations: the equipment that gets depreciated. Daily disposables are NOT depreciated: they go in the disposables line of the P&amp;L, at the % of sales set in "0. Assumptions".</t>
        </is>
      </c>
      <c r="E17" s="31" t="inlineStr">
        <is>
          <t>Yes</t>
        </is>
      </c>
    </row>
    <row r="18">
      <c r="A18" s="28" t="inlineStr">
        <is>
          <t>Opening inventory (mixers, syrups, garnishes, cups, napkins)</t>
        </is>
      </c>
      <c r="B18" s="49" t="n">
        <v>1500</v>
      </c>
      <c r="C18" s="68">
        <f>IFERROR(B18/$B$26,"")</f>
        <v>0.019487580564905987</v>
      </c>
      <c r="D18" s="28" t="inlineStr">
        <is>
          <t>Mixers, syrups, garnishes, cups and napkins for your first events. No alcohol: in dry hire the host buys it.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0.06495860188301995</v>
      </c>
      <c r="D19" s="28" t="inlineStr">
        <is>
          <t>Website, photos of the trailer set up, listings on The Knot, WeddingWire, Zola and GigSalad, Google Business Profile and your first bridal show.</t>
        </is>
      </c>
      <c r="E19" s="31" t="inlineStr">
        <is>
          <t>Yes</t>
        </is>
      </c>
    </row>
    <row r="20">
      <c r="A20" s="28" t="inlineStr">
        <is>
          <t>Glassware (300 pieces + racks), coolers, ice bins and dispensers</t>
        </is>
      </c>
      <c r="B20" s="49" t="n">
        <v>3500</v>
      </c>
      <c r="C20" s="68">
        <f>IFERROR(B20/$B$26,"")</f>
        <v>0.04547102131811397</v>
      </c>
      <c r="D20" s="28" t="inlineStr">
        <is>
          <t>Glassware (300 pieces plus racks), coolers, ice bins and dispensers for events where the host does not rent glass.</t>
        </is>
      </c>
      <c r="E20" s="31" t="inlineStr">
        <is>
          <t>Yes</t>
        </is>
      </c>
    </row>
    <row r="21">
      <c r="A21" s="28" t="inlineStr">
        <is>
          <t>Storage unit deposit</t>
        </is>
      </c>
      <c r="B21" s="40">
        <f>IFERROR(IF('0. Assumptions'!$B$24="","",'0. Assumptions'!$B$24*'0. Assumptions'!$B$25),"")</f>
        <v>600.0</v>
      </c>
      <c r="C21" s="68">
        <f>IFERROR(B21/$B$26,"")</f>
        <v>0.007795032225962395</v>
      </c>
      <c r="D21" s="28" t="str">
        <f>IFERROR(""&amp;TEXT('0. Assumptions'!$B$25,"0")&amp;IF('0. Assumptions'!$B$25=1," month"," months")&amp;" of rent, from ""0. Assumptions"". Refundable when the storage unit lease ends: it is not depreciated and carries no tax","")</f>
        <v>1 month of rent, from "0. Assumptions". Refundable when the storage unit lease ends: it is not depreciated and carries no tax</v>
      </c>
      <c r="E21" s="28" t="inlineStr">
        <is>
          <t>No</t>
        </is>
      </c>
    </row>
    <row r="22">
      <c r="A22" s="28" t="inlineStr">
        <is>
          <t>Storage rent before opening</t>
        </is>
      </c>
      <c r="B22" s="40">
        <f>IFERROR(IF('0. Assumptions'!$B$24="","",'0. Assumptions'!$B$24*'0. Assumptions'!$B$54),"")</f>
        <v>1200.0</v>
      </c>
      <c r="C22" s="68">
        <f>IFERROR(B22/$B$26,"")</f>
        <v>0.01559006445192479</v>
      </c>
      <c r="D22" s="28" t="str">
        <f>IFERROR("Rent "&amp;IF('0. Assumptions'!$B$54=1,"for the month","for the "&amp;TEXT('0. Assumptions'!$B$54,"0")&amp;" months")&amp;" of trailer build, permits and pre-sales before opening. It does not overlap the P&amp;L, which starts on opening day: its twelve months are twelve trading months","")</f>
        <v>Rent for the 2 months of trailer build, permits and pre-sales before opening. It does not overlap the P&amp;L, which starts on opening day: its twelve months are twelve trading months</v>
      </c>
      <c r="E22" s="28" t="inlineStr">
        <is>
          <t>Yes</t>
        </is>
      </c>
    </row>
    <row r="23">
      <c r="A23" s="28" t="inlineStr">
        <is>
          <t>Trailer and fit-out contingency</t>
        </is>
      </c>
      <c r="B23" s="40">
        <f>IFERROR(IF(COUNT(B7,B8,B11,B12,B15)=0,"",ROUND((B7+B8+B11+B12+B15)*'0. Assumptions'!$B$55,0)),"")</f>
        <v>2430.0</v>
      </c>
      <c r="C23" s="68">
        <f>IFERROR(B23/$B$26,"")</f>
        <v>0.0315698805151477</v>
      </c>
      <c r="D23" s="28" t="str">
        <f>IFERROR("At "&amp;TEXT('0. Assumptions'!$B$55,"0%")&amp;" of the BUILD-OUT items of this block (used bar trailer, trailer conversion, inverter generator, storage unit fit-out and the health permit / unit inspection), not of the whole block: the other items are left out. No lender funds a "&amp;"build-out without a cushion: the percentage is in ""0. Assumptions""","")</f>
        <v>At 10% of the BUILD-OUT items of this block (used bar trailer, trailer conversion, inverter generator, storage unit fit-out and the health permit / unit inspection), not of the whole block: the other items are left out. No lender funds a build-out without a cushion: the percentage is in "0. Assumptions"</v>
      </c>
      <c r="E23" s="28" t="inlineStr">
        <is>
          <t>Yes</t>
        </is>
      </c>
    </row>
    <row r="24">
      <c r="A24" s="16" t="inlineStr">
        <is>
          <t>WORKING CAPITAL</t>
        </is>
      </c>
      <c r="B24" s="52">
        <f>IFERROR(IF(B25="","",B25),"")</f>
        <v>29442.099999999995</v>
      </c>
      <c r="C24" s="69">
        <f>IFERROR(B24/$B$26,"")</f>
        <v>0.38250353050001235</v>
      </c>
    </row>
    <row r="25">
      <c r="A25" s="35" t="inlineStr">
        <is>
          <t>Operating cushion until break-even</t>
        </is>
      </c>
      <c r="B25" s="42">
        <f>IFERROR(IF('0. Assumptions'!$B$35*('3-Year P&amp;L'!$B$38-'3-Year P&amp;L'!$B$36)=0,"",'0. Assumptions'!$B$35*('3-Year P&amp;L'!$B$38-'3-Year P&amp;L'!$B$36)/12),"")</f>
        <v>29442.099999999995</v>
      </c>
      <c r="C25" s="65">
        <f>IFERROR(B25/$B$26,"")</f>
        <v>0.38250353050001235</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76972.09999999999</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(38% of the total). To compare the breakdown with another plan, use the CAPEX row below.</v>
      </c>
    </row>
    <row r="27">
      <c r="A27" s="16" t="inlineStr">
        <is>
          <t>CAPEX (startup costs excluding working capital)</t>
        </is>
      </c>
      <c r="B27" s="52">
        <f>IFERROR(B26-B24,"")</f>
        <v>47530.0</v>
      </c>
      <c r="D27" s="16" t="inlineStr">
        <is>
          <t>What you buy: trailer, conversion,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76972.09999999999</v>
      </c>
      <c r="D29" s="16" t="inlineStr">
        <is>
          <t>This is the figure the Financing tab has to cover</t>
        </is>
      </c>
    </row>
    <row r="30">
      <c r="A30" s="16" t="inlineStr">
        <is>
          <t>DEPRECIATION BASES (not added to startup costs)</t>
        </is>
      </c>
    </row>
    <row r="31">
      <c r="A31" s="35" t="inlineStr">
        <is>
          <t>Trailer, conversion and fit-out (depreciated over the trailer life)</t>
        </is>
      </c>
      <c r="B31" s="42">
        <f>IFERROR(IF(B7="","",B7+B8+B11+B12+B15+B23),"")</f>
        <v>26730.0</v>
      </c>
      <c r="D31" t="str">
        <f>IFERROR("Depreciated over "&amp;TEXT('0. Assumptions'!$B$44,"0")&amp;" years","")</f>
        <v>Depreciated over 7 years</v>
      </c>
    </row>
    <row r="32">
      <c r="A32" s="35" t="inlineStr">
        <is>
          <t>Machinery, furniture and equipment</t>
        </is>
      </c>
      <c r="B32" s="42">
        <f>IFERROR(IF(B9="","",B9+B10+B16+B17+B20),"")</f>
        <v>10000.0</v>
      </c>
      <c r="D32" t="str">
        <f>IFERROR("Depreciated over "&amp;TEXT('0. Assumptions'!$B$45,"0")&amp;" years","")</f>
        <v>Depreciated over 5 years</v>
      </c>
    </row>
    <row r="33">
      <c r="A33" s="16" t="inlineStr">
        <is>
          <t>Annual depreciation of fixed assets</t>
        </is>
      </c>
      <c r="B33" s="52">
        <f>IFERROR(B31/MAX(1,'0. Assumptions'!$B$44)+B32/MAX(1,'0. Assumptions'!$B$45),"")</f>
        <v>5818.571428571428</v>
      </c>
      <c r="D33" s="37" t="str">
        <f>IFERROR("Not depreciated, because they are not fixed assets: LLC formation and legal, first-year permits and certifications, opening inventory, website, photos and launch, the storage unit deposit, pre-opening storage rent and the working capital "&amp;"reserve. They add up to "&amp;TEXT(B26-B31-B32,"#,##0")&amp;" of the "&amp;TEXT(B26,"#,##0")&amp;" total investment.","")</f>
        <v>Not depreciated, because they are not fixed assets: LLC formation and legal, first-year permits and certifications, opening inventory, website, photos and launch, the storage unit deposit, pre-opening storage rent and the working capital reserve. They add up to 40242 of the 76972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mobile bar (dry hire)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160.0</v>
      </c>
      <c r="C6" s="40">
        <f>IFERROR(B6*(1+'0. Assumptions'!$B$7),"")</f>
        <v>176.0</v>
      </c>
      <c r="D6" s="40">
        <f>IFERROR(C6*(1+'0. Assumptions'!$B$8),"")</f>
        <v>190.08</v>
      </c>
      <c r="E6" s="28" t="n"/>
      <c r="F6" s="28" t="inlineStr">
        <is>
          <t>Growth for years 2 and 3 is set in "0. Assumptions"</t>
        </is>
      </c>
      <c r="G6" s="28" t="n"/>
      <c r="H6" s="28" t="n"/>
    </row>
    <row r="7">
      <c r="A7" s="28" t="inlineStr">
        <is>
          <t>Average price per guest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Average guests per event</t>
        </is>
      </c>
      <c r="B8" s="40">
        <f>IFERROR(IF('0. Assumptions'!$B$6="","",'0. Assumptions'!$B$6),"")</f>
        <v>95.0</v>
      </c>
      <c r="C8" s="40">
        <f>IFERROR(IF(B8="","",B8),"")</f>
        <v>95.0</v>
      </c>
      <c r="D8" s="40">
        <f>IFERROR(IF(C8="","",C8),"")</f>
        <v>95.0</v>
      </c>
      <c r="E8" s="28" t="n"/>
      <c r="F8" s="28" t="n"/>
      <c r="G8" s="28" t="n"/>
      <c r="H8" s="28" t="n"/>
    </row>
    <row r="9">
      <c r="A9" s="25" t="inlineStr">
        <is>
          <t>TOTAL REVENUE (excl. sales tax)</t>
        </is>
      </c>
      <c r="B9" s="66">
        <f>IFERROR(IF(B6*B7*B8=0,"",B6*B7*B8),"")</f>
        <v>212800.0</v>
      </c>
      <c r="C9" s="66">
        <f>IFERROR(IF(C6*C7*C8=0,"",C6*C7*C8),"")</f>
        <v>234080.0</v>
      </c>
      <c r="D9" s="66">
        <f>IFERROR(IF(D6*D7*D8=0,"",D6*D7*D8),"")</f>
        <v>252806.40000000002</v>
      </c>
      <c r="E9" s="67">
        <f>IFERROR(IF(B9="","",1),"")</f>
        <v>1.0</v>
      </c>
      <c r="F9" s="28" t="n"/>
      <c r="G9" s="28" t="n"/>
      <c r="H9" s="28" t="n"/>
    </row>
    <row r="10">
      <c r="A10" s="28" t="inlineStr">
        <is>
          <t>Bar package sales (bartending service, bar, mixers, garnishes, ice)</t>
        </is>
      </c>
      <c r="B10" s="40">
        <f>IFERROR(IF(B9="","",B9*$E$10),"")</f>
        <v>180880.0</v>
      </c>
      <c r="C10" s="40">
        <f>IFERROR(IF(C9="","",C9*$E$10),"")</f>
        <v>198968.0</v>
      </c>
      <c r="D10" s="40">
        <f>IFERROR(IF(D9="","",D9*$E$10),"")</f>
        <v>214885.44</v>
      </c>
      <c r="E10" s="68">
        <f>IFERROR(IF('0. Assumptions'!$B$11="","",'0. Assumptions'!$B$11),"")</f>
        <v>0.85</v>
      </c>
      <c r="F10" s="28" t="inlineStr">
        <is>
          <t>Bar package sales: bartending service, bar, mixers, garnishes, ice and cups per guest, for weddings, corporate events and private parties. No alcohol: the host buys it. All of it carries cost of goods sold at the bar package rate.</t>
        </is>
      </c>
      <c r="G10" s="68">
        <f>IFERROR(IF(B9="","",'0. Assumptions'!$B$39),"")</f>
        <v>0.08</v>
      </c>
      <c r="H10" s="28" t="n"/>
    </row>
    <row r="11">
      <c r="A11" s="28" t="inlineStr">
        <is>
          <t>Add-on sales (travel fees, extra hours, glassware, specialty bars)</t>
        </is>
      </c>
      <c r="B11" s="40">
        <f>IFERROR(IF(B9="","",B9*$E$11),"")</f>
        <v>31920.000000000004</v>
      </c>
      <c r="C11" s="40">
        <f>IFERROR(IF(C9="","",C9*$E$11),"")</f>
        <v>35112.00000000001</v>
      </c>
      <c r="D11" s="40">
        <f>IFERROR(IF(D9="","",D9*$E$11),"")</f>
        <v>37920.96000000001</v>
      </c>
      <c r="E11" s="68">
        <f>IFERROR(IF('0. Assumptions'!$B$12="","",'0. Assumptions'!$B$12),"")</f>
        <v>0.15000000000000002</v>
      </c>
      <c r="F11" s="28" t="inlineStr">
        <is>
          <t>Add-on sales: travel fees, extra hours of service, glassware, champagne service and specialty bars. They carry cost of goods sold at the add-on rate.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bar packages (mixers, garnishes, ice)</t>
        </is>
      </c>
      <c r="B13" s="40">
        <f>IFERROR(IF(B9="","",B9*'0. Assumptions'!$B$11*'0. Assumptions'!$B$13),"")</f>
        <v>34367.2</v>
      </c>
      <c r="C13" s="40">
        <f>IFERROR(IF(C9="","",C9*'0. Assumptions'!$B$11*'0. Assumptions'!$B$13),"")</f>
        <v>37803.92</v>
      </c>
      <c r="D13" s="40">
        <f>IFERROR(IF(D9="","",D9*'0. Assumptions'!$B$11*'0. Assumptions'!$B$13),"")</f>
        <v>40828.2336</v>
      </c>
      <c r="E13" s="68">
        <f>IFERROR(B13/$B$9,"")</f>
        <v>0.16149999999999998</v>
      </c>
      <c r="F13" s="28" t="str">
        <f>IFERROR("At "&amp;TEXT('0. Assumptions'!$B$13,"0%")&amp;" of BAR PACKAGE sales (mixers, garnishes, ice), not of total sales: add-ons have their own line","")</f>
        <v>At 19% of BAR PACKAGE sales (mixers, garnishes, ice), not of total sales: add-ons have their own line</v>
      </c>
      <c r="G13" s="68">
        <f>IFERROR(IF(B9="","",'0. Assumptions'!$B$41),"")</f>
        <v>0.0</v>
      </c>
      <c r="H13" s="28" t="n"/>
    </row>
    <row r="14">
      <c r="A14" s="28" t="inlineStr">
        <is>
          <t>Cost of goods — add-ons</t>
        </is>
      </c>
      <c r="B14" s="40">
        <f>IFERROR(IF(B9="","",B9*'0. Assumptions'!$B$12*'0. Assumptions'!$B$14),"")</f>
        <v>6384.000000000001</v>
      </c>
      <c r="C14" s="40">
        <f>IFERROR(IF(C9="","",C9*'0. Assumptions'!$B$12*'0. Assumptions'!$B$14),"")</f>
        <v>7022.4000000000015</v>
      </c>
      <c r="D14" s="40">
        <f>IFERROR(IF(D9="","",D9*'0. Assumptions'!$B$12*'0. Assumptions'!$B$14),"")</f>
        <v>7584.192000000002</v>
      </c>
      <c r="E14" s="68">
        <f>IFERROR(B14/$B$9,"")</f>
        <v>0.030000000000000006</v>
      </c>
      <c r="F14" s="28" t="str">
        <f>IFERROR("At "&amp;TEXT('0. Assumptions'!$B$14,"0%")&amp;" of ADD-ON sales","")</f>
        <v>At 20% of ADD-ON sales</v>
      </c>
      <c r="G14" s="68">
        <f>IFERROR(IF(B9="","",'0. Assumptions'!$B$41),"")</f>
        <v>0.0</v>
      </c>
      <c r="H14" s="28" t="n"/>
    </row>
    <row r="15">
      <c r="A15" s="28" t="inlineStr">
        <is>
          <t>Cups, straws, napkins and bar disposables</t>
        </is>
      </c>
      <c r="B15" s="40">
        <f>IFERROR(IF(B9="","",B9*'0. Assumptions'!$B$15),"")</f>
        <v>8512.0</v>
      </c>
      <c r="C15" s="40">
        <f>IFERROR(IF(C9="","",C9*'0. Assumptions'!$B$15),"")</f>
        <v>9363.2</v>
      </c>
      <c r="D15" s="40">
        <f>IFERROR(IF(D9="","",D9*'0. Assumptions'!$B$15),"")</f>
        <v>10112.256000000001</v>
      </c>
      <c r="E15" s="68">
        <f>IFERROR(B15/$B$9,"")</f>
        <v>0.04</v>
      </c>
      <c r="F15" s="28" t="n"/>
      <c r="G15" s="68">
        <f>IFERROR(IF(B9="","",'0. Assumptions'!$B$41),"")</f>
        <v>0.0</v>
      </c>
      <c r="H15" s="28" t="n"/>
    </row>
    <row r="16">
      <c r="A16" s="28" t="inlineStr">
        <is>
          <t>Gig marketplace fees</t>
        </is>
      </c>
      <c r="B16" s="40">
        <f>IFERROR(IF(B9="","",B9*'0. Assumptions'!$B$16*'0. Assumptions'!$B$17),"")</f>
        <v>2128.0</v>
      </c>
      <c r="C16" s="40">
        <f>IFERROR(IF(C9="","",C9*'0. Assumptions'!$B$16*'0. Assumptions'!$B$17),"")</f>
        <v>2340.8</v>
      </c>
      <c r="D16" s="40">
        <f>IFERROR(IF(D9="","",D9*'0. Assumptions'!$B$16*'0. Assumptions'!$B$17),"")</f>
        <v>2528.0640000000003</v>
      </c>
      <c r="E16" s="68">
        <f>IFERROR(B16/$B$9,"")</f>
        <v>0.01</v>
      </c>
      <c r="F16" s="28" t="inlineStr">
        <is>
          <t>Applied to the sales of THAT CHANNEL. With 0% marketplace sales in "0. Assumptions", this line is zero.</t>
        </is>
      </c>
      <c r="G16" s="68">
        <f>IFERROR(IF(B9="","",'0. Assumptions'!$B$41),"")</f>
        <v>0.0</v>
      </c>
      <c r="H16" s="28" t="n"/>
    </row>
    <row r="17">
      <c r="A17" s="28" t="inlineStr">
        <is>
          <t>Card processing fees</t>
        </is>
      </c>
      <c r="B17" s="40">
        <f>IFERROR(IF(B9="","",B9*'0. Assumptions'!$B$18),"")</f>
        <v>6384.0</v>
      </c>
      <c r="C17" s="40">
        <f>IFERROR(IF(C9="","",C9*'0. Assumptions'!$B$18),"")</f>
        <v>7022.4</v>
      </c>
      <c r="D17" s="40">
        <f>IFERROR(IF(D9="","",D9*'0. Assumptions'!$B$18),"")</f>
        <v>7584.192</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6384.0</v>
      </c>
      <c r="C18" s="40">
        <f>IFERROR(IF(C9="","",C9*'0. Assumptions'!$B$28),"")</f>
        <v>7022.4</v>
      </c>
      <c r="D18" s="40">
        <f>IFERROR(IF(D9="","",D9*'0. Assumptions'!$B$28),"")</f>
        <v>7584.192</v>
      </c>
      <c r="E18" s="68">
        <f>IFERROR(B18/$B$9,"")</f>
        <v>0.03</v>
      </c>
      <c r="F18" s="28" t="str">
        <f>IFERROR("At "&amp;TEXT('0. Assumptions'!$B$28,"0%")&amp;" of sales: a cushion for unbudgeted event costs (extra ice, last-minute mixers, venue parking). It is a VARIABLE cost: it moves with the number of events, so it cannot sit in fixed costs (fuel, maintenance and registration of the tow "&amp;"vehicle and the trailer are in row 27)","")</f>
        <v>At 3% of sales: a cushion for unbudgeted event costs (extra ice, last-minute mixers, venue parking). It is a VARIABLE cost: it moves with the number of events, so it cannot sit in fixed costs (fuel, maintenance and registration of the tow vehicle and the trailer are in row 27)</v>
      </c>
      <c r="G18" s="68">
        <f>IFERROR(IF(B9="","",'0. Assumptions'!$B$41),"")</f>
        <v>0.0</v>
      </c>
      <c r="H18" s="28" t="n"/>
    </row>
    <row r="19">
      <c r="A19" s="25" t="inlineStr">
        <is>
          <t>TOTAL VARIABLE COSTS</t>
        </is>
      </c>
      <c r="B19" s="66">
        <f>IFERROR(IF(B9="","",SUM(B13:B18)),"")</f>
        <v>64159.2</v>
      </c>
      <c r="C19" s="66">
        <f>IFERROR(IF(C9="","",SUM(C13:C18)),"")</f>
        <v>70575.12</v>
      </c>
      <c r="D19" s="66">
        <f>IFERROR(IF(D9="","",SUM(D13:D18)),"")</f>
        <v>76221.1296</v>
      </c>
      <c r="E19" s="67">
        <f>IFERROR(B19/$B$9,"")</f>
        <v>0.3015</v>
      </c>
      <c r="F19" s="28" t="n"/>
      <c r="G19" s="28" t="n"/>
      <c r="H19" s="28" t="n"/>
    </row>
    <row r="20">
      <c r="A20" s="25" t="inlineStr">
        <is>
          <t>GROSS MARGIN</t>
        </is>
      </c>
      <c r="B20" s="66">
        <f>IFERROR(IF(B9="","",B9-B19),"")</f>
        <v>148640.8</v>
      </c>
      <c r="C20" s="66">
        <f>IFERROR(IF(C9="","",C9-C19),"")</f>
        <v>163504.88</v>
      </c>
      <c r="D20" s="66">
        <f>IFERROR(IF(D9="","",D9-D19),"")</f>
        <v>176585.27040000004</v>
      </c>
      <c r="E20" s="67">
        <f>IFERROR(B20/$B$9,"")</f>
        <v>0.6984999999999999</v>
      </c>
      <c r="F20" s="28" t="n"/>
      <c r="G20" s="28" t="n"/>
      <c r="H20" s="28" t="n"/>
    </row>
    <row r="21">
      <c r="A21" s="25" t="inlineStr">
        <is>
          <t>FIXED COSTS</t>
        </is>
      </c>
      <c r="B21" s="28" t="n"/>
      <c r="C21" s="28" t="n"/>
      <c r="D21" s="28" t="n"/>
      <c r="E21" s="28" t="n"/>
      <c r="F21" s="28" t="n"/>
      <c r="G21" s="28" t="n"/>
      <c r="H21" s="28" t="n"/>
    </row>
    <row r="22">
      <c r="A22" s="28" t="inlineStr">
        <is>
          <t>Storage unit &amp; trailer parking</t>
        </is>
      </c>
      <c r="B22" s="40">
        <f>IFERROR(IF(B9="","",'0. Assumptions'!$B$24*12),"")</f>
        <v>7200.0</v>
      </c>
      <c r="C22" s="40">
        <f>IFERROR(IF(C9="","",B22*(1+'0. Assumptions'!$B$48)),"")</f>
        <v>7200.0</v>
      </c>
      <c r="D22" s="40">
        <f>IFERROR(IF(D9="","",C22*(1+'0. Assumptions'!$B$48)),"")</f>
        <v>7200.0</v>
      </c>
      <c r="E22" s="68">
        <f>IFERROR(B22/$B$9,"")</f>
        <v>0.03383458646616541</v>
      </c>
      <c r="F22" s="28" t="inlineStr">
        <is>
          <t>The monthly amount is typed in "0. Assumptions"; here it is multiplied by twelve. It covers your storage unit and the parking spot for the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78368.4</v>
      </c>
      <c r="C23" s="40">
        <f>IFERROR(IF(C9="","",Staffing!$B$13),"")</f>
        <v>81368.4</v>
      </c>
      <c r="D23" s="40">
        <f>IFERROR(IF(D9="","",Staffing!$B$14),"")</f>
        <v>84368.4</v>
      </c>
      <c r="E23" s="68">
        <f>IFERROR(B23/$B$9,"")</f>
        <v>0.3682725563909774</v>
      </c>
      <c r="F23" s="28" t="inlineStr">
        <is>
          <t>Comes from the Staffing tab: it is the SAME number, not a separate estimate. Years 2 and 3 add the new hires declared on that tab, not a percentage of volume</t>
        </is>
      </c>
      <c r="G23" s="68" t="n">
        <v>0</v>
      </c>
      <c r="H23" s="28" t="n"/>
    </row>
    <row r="24">
      <c r="A24" s="28" t="inlineStr">
        <is>
          <t>Utilities (storage unit power and water)</t>
        </is>
      </c>
      <c r="B24" s="40">
        <f>IFERROR(IF(B9="","",'0. Assumptions'!$B$26*12),"")</f>
        <v>1200.0</v>
      </c>
      <c r="C24" s="40">
        <f>IFERROR(IF(C9="","",B24*(1+'0. Assumptions'!$B$48)),"")</f>
        <v>1200.0</v>
      </c>
      <c r="D24" s="40">
        <f>IFERROR(IF(D9="","",C24*(1+'0. Assumptions'!$B$48)),"")</f>
        <v>1200.0</v>
      </c>
      <c r="E24" s="68">
        <f>IFERROR(B24/$B$9,"")</f>
        <v>0.005639097744360902</v>
      </c>
      <c r="F24" s="28" t="inlineStr">
        <is>
          <t>Electricity and water for the storage unit, plus any utilities the storage rent does not cover. Fuel for the tow vehicle and the generator is in the vehicle and trailer line.</t>
        </is>
      </c>
      <c r="G24" s="68">
        <f>IFERROR(IF(B9="","",'0. Assumptions'!$B$41),"")</f>
        <v>0.0</v>
      </c>
      <c r="H24" s="28" t="n"/>
    </row>
    <row r="25">
      <c r="A25" s="28" t="inlineStr">
        <is>
          <t>Insurance (general and liquor liability, auto, workers' comp)</t>
        </is>
      </c>
      <c r="B25" s="40">
        <f>IFERROR(IF(B9="","",'0. Assumptions'!$B$27),"")</f>
        <v>4000.0</v>
      </c>
      <c r="C25" s="40">
        <f>IFERROR(IF(C9="","",B25*(1+'0. Assumptions'!$B$48)),"")</f>
        <v>4000.0</v>
      </c>
      <c r="D25" s="40">
        <f>IFERROR(IF(D9="","",C25*(1+'0. Assumptions'!$B$48)),"")</f>
        <v>4000.0</v>
      </c>
      <c r="E25" s="68">
        <f>IFERROR(B25/$B$9,"")</f>
        <v>0.018796992481203006</v>
      </c>
      <c r="F25" s="28" t="inlineStr">
        <is>
          <t>Insurance premiums are not subject to sales tax: there is no recoverable tax on them</t>
        </is>
      </c>
      <c r="G25" s="68" t="n">
        <v>0</v>
      </c>
      <c r="H25" s="28" t="n"/>
    </row>
    <row r="26">
      <c r="A26" s="28" t="inlineStr">
        <is>
          <t>Permits and certifications renewal</t>
        </is>
      </c>
      <c r="B26" s="49" t="n">
        <v>500</v>
      </c>
      <c r="C26" s="40">
        <f>IFERROR(IF(C9="","",B26*(1+'0. Assumptions'!$B$48)),"")</f>
        <v>500.0</v>
      </c>
      <c r="D26" s="40">
        <f>IFERROR(IF(D9="","",C26*(1+'0. Assumptions'!$B$48)),"")</f>
        <v>500.0</v>
      </c>
      <c r="E26" s="68">
        <f>IFERROR(B26/$B$9,"")</f>
        <v>0.002349624060150376</v>
      </c>
      <c r="F26" s="28" t="n"/>
      <c r="G26" s="68">
        <f>IFERROR(IF(B9="","",'0. Assumptions'!$B$41),"")</f>
        <v>0.0</v>
      </c>
      <c r="H26" s="28" t="n"/>
    </row>
    <row r="27">
      <c r="A27" s="28" t="inlineStr">
        <is>
          <t>Vehicle and trailer fuel, maintenance and registration</t>
        </is>
      </c>
      <c r="B27" s="49" t="n">
        <v>4000</v>
      </c>
      <c r="C27" s="40">
        <f>IFERROR(IF(C9="","",B27*(1+'0. Assumptions'!$B$48)),"")</f>
        <v>4000.0</v>
      </c>
      <c r="D27" s="40">
        <f>IFERROR(IF(D9="","",C27*(1+'0. Assumptions'!$B$48)),"")</f>
        <v>4000.0</v>
      </c>
      <c r="E27" s="68">
        <f>IFERROR(B27/$B$9,"")</f>
        <v>0.018796992481203006</v>
      </c>
      <c r="F27" s="28" t="n"/>
      <c r="G27" s="68">
        <f>IFERROR(IF(B9="","",'0. Assumptions'!$B$41),"")</f>
        <v>0.0</v>
      </c>
      <c r="H27" s="28" t="n"/>
    </row>
    <row r="28">
      <c r="A28" s="28" t="inlineStr">
        <is>
          <t>Marketing and advertising</t>
        </is>
      </c>
      <c r="B28" s="49" t="n">
        <v>9000</v>
      </c>
      <c r="C28" s="40">
        <f>IFERROR(IF(C9="","",B28*(1+'0. Assumptions'!$B$48)),"")</f>
        <v>9000.0</v>
      </c>
      <c r="D28" s="40">
        <f>IFERROR(IF(D9="","",C28*(1+'0. Assumptions'!$B$48)),"")</f>
        <v>9000.0</v>
      </c>
      <c r="E28" s="68">
        <f>IFERROR(B28/$B$9,"")</f>
        <v>0.042293233082706765</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0.011278195488721804</v>
      </c>
      <c r="F29" s="28" t="n"/>
      <c r="G29" s="68">
        <f>IFERROR(IF(B9="","",'0. Assumptions'!$B$41),"")</f>
        <v>0.0</v>
      </c>
      <c r="H29" s="28" t="n"/>
    </row>
    <row r="30">
      <c r="A30" s="28" t="inlineStr">
        <is>
          <t>Software (booking / CRM, e-signature, POS)</t>
        </is>
      </c>
      <c r="B30" s="49" t="n">
        <v>1500</v>
      </c>
      <c r="C30" s="40">
        <f>IFERROR(IF(C9="","",B30*(1+'0. Assumptions'!$B$48)),"")</f>
        <v>1500.0</v>
      </c>
      <c r="D30" s="40">
        <f>IFERROR(IF(D9="","",C30*(1+'0. Assumptions'!$B$48)),"")</f>
        <v>1500.0</v>
      </c>
      <c r="E30" s="68">
        <f>IFERROR(B30/$B$9,"")</f>
        <v>0.007048872180451127</v>
      </c>
      <c r="F30" s="28" t="n"/>
      <c r="G30" s="68">
        <f>IFERROR(IF(B9="","",'0. Assumptions'!$B$41),"")</f>
        <v>0.0</v>
      </c>
      <c r="H30" s="28" t="n"/>
    </row>
    <row r="31">
      <c r="A31" s="28" t="inlineStr">
        <is>
          <t>Glass washing, linens and bar towels</t>
        </is>
      </c>
      <c r="B31" s="49" t="n">
        <v>1200</v>
      </c>
      <c r="C31" s="40">
        <f>IFERROR(IF(C9="","",B31*(1+'0. Assumptions'!$B$48)),"")</f>
        <v>1200.0</v>
      </c>
      <c r="D31" s="40">
        <f>IFERROR(IF(D9="","",C31*(1+'0. Assumptions'!$B$48)),"")</f>
        <v>1200.0</v>
      </c>
      <c r="E31" s="68">
        <f>IFERROR(B31/$B$9,"")</f>
        <v>0.005639097744360902</v>
      </c>
      <c r="F31" s="28" t="n"/>
      <c r="G31" s="68">
        <f>IFERROR(IF(B9="","",'0. Assumptions'!$B$41),"")</f>
        <v>0.0</v>
      </c>
      <c r="H31" s="28" t="n"/>
    </row>
    <row r="32">
      <c r="A32" s="28" t="inlineStr">
        <is>
          <t>Phone and internet</t>
        </is>
      </c>
      <c r="B32" s="49" t="n">
        <v>900</v>
      </c>
      <c r="C32" s="40">
        <f>IFERROR(IF(C9="","",B32*(1+'0. Assumptions'!$B$48)),"")</f>
        <v>900.0</v>
      </c>
      <c r="D32" s="40">
        <f>IFERROR(IF(D9="","",C32*(1+'0. Assumptions'!$B$48)),"")</f>
        <v>900.0</v>
      </c>
      <c r="E32" s="68">
        <f>IFERROR(B32/$B$9,"")</f>
        <v>0.0042293233082706765</v>
      </c>
      <c r="F32" s="28" t="inlineStr">
        <is>
          <t>Business mobile plan and data for the card reader at venues with weak signal. Get a quote from your carrier.</t>
        </is>
      </c>
      <c r="G32" s="68">
        <f>IFERROR(IF(B9="","",'0. Assumptions'!$B$41),"")</f>
        <v>0.0</v>
      </c>
      <c r="H32" s="28" t="n"/>
    </row>
    <row r="33">
      <c r="A33" s="28" t="inlineStr">
        <is>
          <t>Equipment repair and breakage</t>
        </is>
      </c>
      <c r="B33" s="49" t="n">
        <v>1200</v>
      </c>
      <c r="C33" s="40">
        <f>IFERROR(IF(C9="","",B33*(1+'0. Assumptions'!$B$48)),"")</f>
        <v>1200.0</v>
      </c>
      <c r="D33" s="40">
        <f>IFERROR(IF(D9="","",C33*(1+'0. Assumptions'!$B$48)),"")</f>
        <v>1200.0</v>
      </c>
      <c r="E33" s="68">
        <f>IFERROR(B33/$B$9,"")</f>
        <v>0.005639097744360902</v>
      </c>
      <c r="F33" s="28" t="inlineStr">
        <is>
          <t>Replacing broken or lost glassware and repairing equipment. Glass breaks at events, so restock every season.</t>
        </is>
      </c>
      <c r="G33" s="68">
        <f>IFERROR(IF(B9="","",'0. Assumptions'!$B$41),"")</f>
        <v>0.0</v>
      </c>
      <c r="H33" s="28" t="n"/>
    </row>
    <row r="34">
      <c r="A34" s="28" t="inlineStr">
        <is>
          <t>Staff training and server certifications (TIPS / TABC / RBS)</t>
        </is>
      </c>
      <c r="B34" s="49" t="n">
        <v>400</v>
      </c>
      <c r="C34" s="40">
        <f>IFERROR(IF(C9="","",B34*(1+'0. Assumptions'!$B$48)),"")</f>
        <v>400.0</v>
      </c>
      <c r="D34" s="40">
        <f>IFERROR(IF(D9="","",C34*(1+'0. Assumptions'!$B$48)),"")</f>
        <v>400.0</v>
      </c>
      <c r="E34" s="68">
        <f>IFERROR(B34/$B$9,"")</f>
        <v>0.0018796992481203006</v>
      </c>
      <c r="F34" s="28" t="inlineStr">
        <is>
          <t>Responsible-service certifications for you and your bartenders (TIPS, TABC, RBS or ServSafe Alcohol) and their renewals. The certificate you need varies by state, and many venues ask for it anyway.</t>
        </is>
      </c>
      <c r="G34" s="68">
        <f>IFERROR(IF(B9="","",'0. Assumptions'!$B$41),"")</f>
        <v>0.0</v>
      </c>
      <c r="H34" s="28" t="n"/>
    </row>
    <row r="35">
      <c r="A35" s="28" t="inlineStr">
        <is>
          <t>Tastings and cocktail menu consultations for prospects</t>
        </is>
      </c>
      <c r="B35" s="49" t="n">
        <v>1000</v>
      </c>
      <c r="C35" s="40">
        <f>IFERROR(IF(C9="","",B35*(1+'0. Assumptions'!$B$48)),"")</f>
        <v>1000.0</v>
      </c>
      <c r="D35" s="40">
        <f>IFERROR(IF(D9="","",C35*(1+'0. Assumptions'!$B$48)),"")</f>
        <v>1000.0</v>
      </c>
      <c r="E35" s="68">
        <f>IFERROR(B35/$B$9,"")</f>
        <v>0.004699248120300752</v>
      </c>
      <c r="F35" s="28" t="inlineStr">
        <is>
          <t>Tastings and drink menu consultations for couples and planners: mixers, garnish and your time. Many operators credit the tasting toward the booking: if you do, lower this line.</t>
        </is>
      </c>
      <c r="G35" s="68">
        <f>IFERROR(IF(B9="","",'0. Assumptions'!$B$41),"")</f>
        <v>0.0</v>
      </c>
      <c r="H35" s="28" t="n"/>
    </row>
    <row r="36">
      <c r="A36" s="28" t="inlineStr">
        <is>
          <t>Depreciation of fixed assets</t>
        </is>
      </c>
      <c r="B36" s="40">
        <f>IFERROR(IF(B9="","",'Startup Costs'!$B$33),"")</f>
        <v>5818.571428571428</v>
      </c>
      <c r="C36" s="40">
        <f>IFERROR(IF(C9="","",B36),"")</f>
        <v>5818.571428571428</v>
      </c>
      <c r="D36" s="40">
        <f>IFERROR(IF(D9="","",B36),"")</f>
        <v>5818.571428571428</v>
      </c>
      <c r="E36" s="68">
        <f>IFERROR(B36/$B$9,"")</f>
        <v>0.027342910848549947</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4900.0</v>
      </c>
      <c r="C37" s="40">
        <f>IFERROR(IF(C9="","",Financing!$B$46),"")</f>
        <v>4383.513051467082</v>
      </c>
      <c r="D37" s="40">
        <f>IFERROR(IF(D9="","",Financing!$B$48),"")</f>
        <v>3815.377408080872</v>
      </c>
      <c r="E37" s="68">
        <f>IFERROR(B37/$B$9,"")</f>
        <v>0.023026315789473683</v>
      </c>
      <c r="F37" s="28" t="inlineStr">
        <is>
          <t>Only INTEREST is an expense. Principal repaid appears on the cash flow tab</t>
        </is>
      </c>
      <c r="G37" s="68" t="n">
        <v>0</v>
      </c>
      <c r="H37" s="28" t="n"/>
    </row>
    <row r="38">
      <c r="A38" s="16" t="inlineStr">
        <is>
          <t>TOTAL FIXED COSTS</t>
        </is>
      </c>
      <c r="B38" s="52">
        <f>IFERROR(IF(B9="","",SUM(B22:B37)),"")</f>
        <v>123586.97142857143</v>
      </c>
      <c r="C38" s="52">
        <f>IFERROR(IF(C9="","",SUM(C22:C37)),"")</f>
        <v>126070.4844800385</v>
      </c>
      <c r="D38" s="52">
        <f>IFERROR(IF(D9="","",SUM(D22:D37)),"")</f>
        <v>128502.3488366523</v>
      </c>
      <c r="E38" s="69">
        <f>IFERROR(B38/$B$9,"")</f>
        <v>0.580765843179377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25053.82857142856</v>
      </c>
      <c r="C41" s="52">
        <f>IFERROR(IF(C9="","",C20-C38),"")</f>
        <v>37434.3955199615</v>
      </c>
      <c r="D41" s="52">
        <f>IFERROR(IF(D9="","",D20-D38),"")</f>
        <v>48082.92156334774</v>
      </c>
      <c r="E41" s="69">
        <f>IFERROR(B41/$B$9,"")</f>
        <v>0.11773415682062292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25053.82857142856</v>
      </c>
      <c r="C43" s="42">
        <f>IFERROR(IF(C9="","",MAX(0,C41-C42)),"")</f>
        <v>37434.3955199615</v>
      </c>
      <c r="D43" s="42">
        <f>IFERROR(IF(D9="","",MAX(0,D41-D42)),"")</f>
        <v>48082.92156334774</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6263.45714285714</v>
      </c>
      <c r="C46" s="42">
        <f>IFERROR(IF(C9="","",IF(C45="",0,C43*C45)),"")</f>
        <v>9358.598879990375</v>
      </c>
      <c r="D46" s="42">
        <f>IFERROR(IF(D9="","",IF(D45="",0,D43*D45)),"")</f>
        <v>12020.730390836936</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18790.37142857142</v>
      </c>
      <c r="C48" s="52">
        <f>IFERROR(IF(C9="","",C41-C46),"")</f>
        <v>28075.796639971126</v>
      </c>
      <c r="D48" s="52">
        <f>IFERROR(IF(D9="","",D41-D46),"")</f>
        <v>36062.19117251081</v>
      </c>
      <c r="E48" s="69">
        <f>IFERROR(B48/$B$9,"")</f>
        <v>0.0883006176154672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0.6984999999999999</v>
      </c>
      <c r="C51" s="65">
        <f>IFERROR(IF(C9="","",C20/C9),"")</f>
        <v>0.6985</v>
      </c>
      <c r="D51" s="65">
        <f>IFERROR(IF(D9="","",D20/D9),"")</f>
        <v>0.6985000000000001</v>
      </c>
      <c r="E51" s="70" t="n">
        <v>0.65</v>
      </c>
      <c r="F51" s="35" t="inlineStr">
        <is>
          <t>Floor set by this workbook: kit benchmark (editable estimate). The workbook's gross margin also subtracts card fees, marketplace fees and miscellaneous event costs, so it sits below the margin of bar package pricing alone.</t>
        </is>
      </c>
    </row>
    <row r="52">
      <c r="A52" s="35" t="inlineStr">
        <is>
          <t>Cost of goods sold (bar packages + add-ons)</t>
        </is>
      </c>
      <c r="B52" s="42">
        <f>IFERROR(IF(B9="","",B13+B14),"")</f>
        <v>40751.2</v>
      </c>
      <c r="C52" s="42">
        <f>IFERROR(IF(C9="","",C13+C14),"")</f>
        <v>44826.32</v>
      </c>
      <c r="D52" s="42">
        <f>IFERROR(IF(D9="","",D13+D14),"")</f>
        <v>48412.4256</v>
      </c>
    </row>
    <row r="53">
      <c r="A53" s="35" t="inlineStr">
        <is>
          <t>Cost of goods sold / Sales</t>
        </is>
      </c>
      <c r="B53" s="65">
        <f>IFERROR(IF(B9="","",B52/B9),"")</f>
        <v>0.19149999999999998</v>
      </c>
      <c r="C53" s="65">
        <f>IFERROR(IF(C9="","",C52/C9),"")</f>
        <v>0.1915</v>
      </c>
      <c r="D53" s="65">
        <f>IFERROR(IF(D9="","",D52/D9),"")</f>
        <v>0.1915</v>
      </c>
      <c r="E53" s="70" t="n">
        <v>0.26</v>
      </c>
      <c r="F53" s="35" t="inlineStr">
        <is>
          <t>Ceiling for cost of goods sold on bar packages and add-ons (disposables have their own line): kit benchmark (editable estimate). No alcohol in it: in dry hire the host buys it.</t>
        </is>
      </c>
    </row>
    <row r="54">
      <c r="A54" s="35" t="inlineStr">
        <is>
          <t>Labor cost / Sales</t>
        </is>
      </c>
      <c r="B54" s="65">
        <f>IFERROR(IF(B9="","",B23/B9),"")</f>
        <v>0.3682725563909774</v>
      </c>
      <c r="C54" s="65">
        <f>IFERROR(IF(C9="","",C23/C9),"")</f>
        <v>0.3476093643198906</v>
      </c>
      <c r="D54" s="65">
        <f>IFERROR(IF(D9="","",D23/D9),"")</f>
        <v>0.3337273107009949</v>
      </c>
      <c r="E54" s="70" t="n">
        <v>0.4</v>
      </c>
      <c r="F54" s="35" t="inlineStr">
        <is>
          <t>Ceiling for labor: kit benchmark (editable estimate). It includes your own pay as Owner &amp; Lead Bartender plus the W-2 event bartenders and barbacks.</t>
        </is>
      </c>
    </row>
    <row r="55">
      <c r="A55" s="35" t="inlineStr">
        <is>
          <t>Storage &amp; parking / Sales</t>
        </is>
      </c>
      <c r="B55" s="65">
        <f>IFERROR(IF(B9="","",B22/B9),"")</f>
        <v>0.03383458646616541</v>
      </c>
      <c r="C55" s="65">
        <f>IFERROR(IF(C9="","",C22/C9),"")</f>
        <v>0.030758714969241284</v>
      </c>
      <c r="D55" s="65">
        <f>IFERROR(IF(D9="","",D22/D9),"")</f>
        <v>0.028480291638186373</v>
      </c>
      <c r="E55" s="70" t="n">
        <v>0.06</v>
      </c>
      <c r="F55" s="35" t="inlineStr">
        <is>
          <t>There is no storefront rent in this workbook: 6% is a prudent ceiling for the storage unit and trailer parking, a kit benchmark (editable estimate). A bar with its own premises carries a much higher occupancy cost.</t>
        </is>
      </c>
    </row>
    <row r="56">
      <c r="A56" s="35" t="inlineStr">
        <is>
          <t>Net income / Sales</t>
        </is>
      </c>
      <c r="B56" s="65">
        <f>IFERROR(IF(B9="","",B48/B9),"")</f>
        <v>0.0883006176154672</v>
      </c>
      <c r="C56" s="65">
        <f>IFERROR(IF(C9="","",C48/C9),"")</f>
        <v>0.11994103144211862</v>
      </c>
      <c r="D56" s="65">
        <f>IFERROR(IF(D9="","",D48/D9),"")</f>
        <v>0.14264746134793582</v>
      </c>
      <c r="E56" s="70" t="n">
        <v>0.05</v>
      </c>
      <c r="F56" s="35" t="inlineStr">
        <is>
          <t>Floor of 5%: a kit benchmark (editable estimate). A new business with a loan to repay starts lower: if you land under it, review the price per guest and the events per year first.</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Mobile Bar</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123586.97142857143</v>
      </c>
      <c r="C6" s="61">
        <f>IFERROR(IF('3-Year P&amp;L'!$C$9="","",'3-Year P&amp;L'!$C$38),"")</f>
        <v>126070.4844800385</v>
      </c>
      <c r="D6" s="61">
        <f>IFERROR(IF('3-Year P&amp;L'!$D$9="","",'3-Year P&amp;L'!$D$38),"")</f>
        <v>128502.3488366523</v>
      </c>
      <c r="E6" s="28" t="inlineStr">
        <is>
          <t>The SAME fixed costs as the P&amp;L. Each year has its own, which is why the threshold cannot be a single one for all three years</t>
        </is>
      </c>
      <c r="F6" s="28" t="n"/>
    </row>
    <row r="7">
      <c r="A7" s="28" t="inlineStr">
        <is>
          <t>Monthly fixed costs</t>
        </is>
      </c>
      <c r="B7" s="61">
        <f>IFERROR(IF('3-Year P&amp;L'!$B$9="","",B6/12),"")</f>
        <v>10298.914285714285</v>
      </c>
      <c r="C7" s="61">
        <f>IFERROR(IF('3-Year P&amp;L'!$C$9="","",C6/12),"")</f>
        <v>10505.873706669876</v>
      </c>
      <c r="D7" s="61">
        <f>IFERROR(IF('3-Year P&amp;L'!$D$9="","",D6/12),"")</f>
        <v>10708.529069721024</v>
      </c>
      <c r="E7" s="28" t="n"/>
      <c r="F7" s="28" t="n"/>
    </row>
    <row r="8">
      <c r="A8" s="28" t="inlineStr">
        <is>
          <t>Average price per guest (excl. sales tax)</t>
        </is>
      </c>
      <c r="B8" s="61">
        <f>IFERROR(IF('3-Year P&amp;L'!$B$9="","",'3-Year P&amp;L'!$B$7),"")</f>
        <v>14.0</v>
      </c>
      <c r="C8" s="61">
        <f>IFERROR(IF('3-Year P&amp;L'!$C$9="","",'3-Year P&amp;L'!$C$7),"")</f>
        <v>14.0</v>
      </c>
      <c r="D8" s="61">
        <f>IFERROR(IF('3-Year P&amp;L'!$D$9="","",'3-Year P&amp;L'!$D$7),"")</f>
        <v>14.0</v>
      </c>
      <c r="E8" s="28" t="n"/>
      <c r="F8" s="28" t="n"/>
    </row>
    <row r="9">
      <c r="A9" s="28" t="inlineStr">
        <is>
          <t>Variable cost per guest</t>
        </is>
      </c>
      <c r="B9" s="61">
        <f>IFERROR(IF('3-Year P&amp;L'!$B$9="","",'3-Year P&amp;L'!$B$19/('3-Year P&amp;L'!$B$6*'3-Year P&amp;L'!$B$8)),"")</f>
        <v>4.221</v>
      </c>
      <c r="C9" s="61">
        <f>IFERROR(IF('3-Year P&amp;L'!$C$9="","",'3-Year P&amp;L'!$C$19/('3-Year P&amp;L'!$C$6*'3-Year P&amp;L'!$C$8)),"")</f>
        <v>4.221</v>
      </c>
      <c r="D9" s="61">
        <f>IFERROR(IF('3-Year P&amp;L'!$D$9="","",'3-Year P&amp;L'!$D$19/('3-Year P&amp;L'!$D$6*'3-Year P&amp;L'!$D$8)),"")</f>
        <v>4.220999999999999</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9.779</v>
      </c>
      <c r="C10" s="61">
        <f>IFERROR(IF('3-Year P&amp;L'!$C$9="","",C8-C9),"")</f>
        <v>9.779</v>
      </c>
      <c r="D10" s="61">
        <f>IFERROR(IF('3-Year P&amp;L'!$D$9="","",D8-D9),"")</f>
        <v>9.779</v>
      </c>
      <c r="E10" s="28" t="inlineStr">
        <is>
          <t>Price per guest minus variable cost per guest</t>
        </is>
      </c>
      <c r="F10" s="28" t="n"/>
    </row>
    <row r="11">
      <c r="A11" s="28" t="inlineStr">
        <is>
          <t>Average guests per event</t>
        </is>
      </c>
      <c r="B11" s="40">
        <f>IFERROR(IF('3-Year P&amp;L'!$B$9="","",'3-Year P&amp;L'!$B$8),"")</f>
        <v>95.0</v>
      </c>
      <c r="C11" s="40">
        <f>IFERROR(IF('3-Year P&amp;L'!$C$9="","",'3-Year P&amp;L'!$C$8),"")</f>
        <v>95.0</v>
      </c>
      <c r="D11" s="40">
        <f>IFERROR(IF('3-Year P&amp;L'!$D$9="","",'3-Year P&amp;L'!$D$8),"")</f>
        <v>95.0</v>
      </c>
      <c r="E11" s="28" t="inlineStr">
        <is>
          <t>The same calendar as the P&amp;L and the scenarios</t>
        </is>
      </c>
      <c r="F11" s="28" t="n"/>
    </row>
    <row r="12">
      <c r="A12" s="28" t="inlineStr">
        <is>
          <t>Principal repaid in the year</t>
        </is>
      </c>
      <c r="B12" s="61">
        <f>IFERROR(IF('3-Year P&amp;L'!$B$9="","",Financing!$B$45),"")</f>
        <v>5164.869485329182</v>
      </c>
      <c r="C12" s="61">
        <f>IFERROR(IF('3-Year P&amp;L'!$C$9="","",Financing!$B$47),"")</f>
        <v>5681.3564338621</v>
      </c>
      <c r="D12" s="61">
        <f>IFERROR(IF('3-Year P&amp;L'!$D$9="","",Financing!$B$49),"")</f>
        <v>6249.492077248309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12637.996873767403</v>
      </c>
      <c r="C14" s="40">
        <f>IFERROR(IF('3-Year P&amp;L'!$C$9="","",IF(C10&lt;=0,"",C6/C10)),"")</f>
        <v>12891.960781269916</v>
      </c>
      <c r="D14" s="40">
        <f>IFERROR(IF('3-Year P&amp;L'!$D$9="","",IF(D10&lt;=0,"",D6/D10)),"")</f>
        <v>13140.643096088792</v>
      </c>
      <c r="E14" s="28" t="n"/>
      <c r="F14" s="28" t="n"/>
    </row>
    <row r="15">
      <c r="A15" s="28" t="inlineStr">
        <is>
          <t>Events needed per year</t>
        </is>
      </c>
      <c r="B15" s="44">
        <f>IFERROR(IF('3-Year P&amp;L'!$B$9="","",B14/B11),"")</f>
        <v>133.03154603965686</v>
      </c>
      <c r="C15" s="44">
        <f>IFERROR(IF('3-Year P&amp;L'!$C$9="","",C14/C11),"")</f>
        <v>135.704850329157</v>
      </c>
      <c r="D15" s="44">
        <f>IFERROR(IF('3-Year P&amp;L'!$D$9="","",D14/D11),"")</f>
        <v>138.3225589061978</v>
      </c>
      <c r="E15" s="28" t="n"/>
      <c r="F15" s="28" t="n"/>
    </row>
    <row r="16">
      <c r="A16" s="25" t="inlineStr">
        <is>
          <t>Revenue needed per year</t>
        </is>
      </c>
      <c r="B16" s="66">
        <f>IFERROR(IF('3-Year P&amp;L'!$B$9="","",B14*B8),"")</f>
        <v>176931.95623274363</v>
      </c>
      <c r="C16" s="66">
        <f>IFERROR(IF('3-Year P&amp;L'!$C$9="","",C14*C8),"")</f>
        <v>180487.45093777883</v>
      </c>
      <c r="D16" s="66">
        <f>IFERROR(IF('3-Year P&amp;L'!$D$9="","",D14*D8),"")</f>
        <v>183969.00334524308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122933.26948532918</v>
      </c>
      <c r="C18" s="61">
        <f>IFERROR(IF('3-Year P&amp;L'!$C$9="","",C6-'3-Year P&amp;L'!$C$36+C12),"")</f>
        <v>125933.26948532916</v>
      </c>
      <c r="D18" s="61">
        <f>IFERROR(IF('3-Year P&amp;L'!$D$9="","",D6-'3-Year P&amp;L'!$D$36+D12),"")</f>
        <v>128933.26948532916</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12571.149349149113</v>
      </c>
      <c r="C19" s="40">
        <f>IFERROR(IF('3-Year P&amp;L'!$C$9="","",IF(C10&lt;=0,"",C18/C10)),"")</f>
        <v>12877.929183488</v>
      </c>
      <c r="D19" s="40">
        <f>IFERROR(IF('3-Year P&amp;L'!$D$9="","",IF(D10&lt;=0,"",D18/D10)),"")</f>
        <v>13184.70901782689</v>
      </c>
      <c r="E19" s="28" t="n"/>
      <c r="F19" s="28" t="n"/>
    </row>
    <row r="20">
      <c r="A20" s="25" t="inlineStr">
        <is>
          <t>Events needed per year (cash)</t>
        </is>
      </c>
      <c r="B20" s="45">
        <f>IFERROR(IF('3-Year P&amp;L'!$B$9="","",B19/B11),"")</f>
        <v>132.32788788578014</v>
      </c>
      <c r="C20" s="45">
        <f>IFERROR(IF('3-Year P&amp;L'!$C$9="","",C19/C11),"")</f>
        <v>135.55714929987369</v>
      </c>
      <c r="D20" s="45">
        <f>IFERROR(IF('3-Year P&amp;L'!$D$9="","",D19/D11),"")</f>
        <v>138.78641071396726</v>
      </c>
      <c r="E20" s="28" t="n"/>
      <c r="F20" s="28" t="n"/>
    </row>
    <row r="21">
      <c r="A21" s="28" t="inlineStr">
        <is>
          <t>Revenue needed per year (cash)</t>
        </is>
      </c>
      <c r="B21" s="40">
        <f>IFERROR(IF('3-Year P&amp;L'!$B$9="","",B19*B8),"")</f>
        <v>175996.09088808758</v>
      </c>
      <c r="C21" s="40">
        <f>IFERROR(IF('3-Year P&amp;L'!$C$9="","",C19*C8),"")</f>
        <v>180291.008568832</v>
      </c>
      <c r="D21" s="40">
        <f>IFERROR(IF('3-Year P&amp;L'!$D$9="","",D19*D8),"")</f>
        <v>184585.92624957647</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160.0</v>
      </c>
      <c r="C23" s="40">
        <f>IFERROR(IF('3-Year P&amp;L'!$C$9="","",'3-Year P&amp;L'!$C$6),"")</f>
        <v>176.0</v>
      </c>
      <c r="D23" s="40">
        <f>IFERROR(IF('3-Year P&amp;L'!$D$9="","",'3-Year P&amp;L'!$D$6),"")</f>
        <v>190.08</v>
      </c>
      <c r="E23" s="28" t="n"/>
      <c r="F23" s="28" t="n"/>
    </row>
    <row r="24">
      <c r="A24" s="28" t="inlineStr">
        <is>
          <t>Cushion above CASH break-even (%)</t>
        </is>
      </c>
      <c r="B24" s="68">
        <f>IFERROR(IF('3-Year P&amp;L'!$B$9="","",B23/B20-1),"")</f>
        <v>0.20911776464009812</v>
      </c>
      <c r="C24" s="68">
        <f>IFERROR(IF('3-Year P&amp;L'!$C$9="","",C23/C20-1),"")</f>
        <v>0.29834539092187895</v>
      </c>
      <c r="D24" s="68">
        <f>IFERROR(IF('3-Year P&amp;L'!$D$9="","",D23/D20-1),"")</f>
        <v>0.36958653964865906</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134 events a year at your average of 95 guests per event to avoid losing money (accounting break-even, depreciation included), and 133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f>
        <v>13.0</v>
      </c>
      <c r="C31" s="62">
        <f>IFERROR(IF($B$8="","",$B$8),"")</f>
        <v>14.0</v>
      </c>
      <c r="D31" s="62">
        <f>IFERROR($B$8+1,"")</f>
        <v>15.0</v>
      </c>
      <c r="E31" s="62">
        <f>IFERROR($B$8+2,"")</f>
        <v>16.0</v>
      </c>
      <c r="F31" s="28" t="n"/>
    </row>
    <row r="32">
      <c r="A32" s="61">
        <f>IFERROR($B$9*0.85,"")</f>
        <v>3.58785</v>
      </c>
      <c r="B32" s="44">
        <f>IFERROR(IF($B$31-$A32&lt;=0,"",$B$6/($B$31-$A32)/$B$11),"")</f>
        <v>138.2166124341202</v>
      </c>
      <c r="C32" s="44">
        <f>IFERROR(IF($C$31-$A32&lt;=0,"",$B$6/($C$31-$A32)/$B$11),"")</f>
        <v>124.94206179528766</v>
      </c>
      <c r="D32" s="44">
        <f>IFERROR(IF($D$31-$A32&lt;=0,"",$B$6/($D$31-$A32)/$B$11),"")</f>
        <v>113.99390024857756</v>
      </c>
      <c r="E32" s="44">
        <f>IFERROR(IF($E$31-$A32&lt;=0,"",$B$6/($E$31-$A32)/$B$11),"")</f>
        <v>104.80984267204347</v>
      </c>
      <c r="F32" s="28" t="n"/>
    </row>
    <row r="33">
      <c r="A33" s="61">
        <f>IFERROR($B$9*0.925,"")</f>
        <v>3.9044250000000003</v>
      </c>
      <c r="B33" s="44">
        <f>IFERROR(IF($B$31-$A33&lt;=0,"",$B$6/($B$31-$A33)/$B$11),"")</f>
        <v>143.02729500023963</v>
      </c>
      <c r="C33" s="44">
        <f>IFERROR(IF($C$31-$A33&lt;=0,"",$B$6/($C$31-$A33)/$B$11),"")</f>
        <v>128.85996971166125</v>
      </c>
      <c r="D33" s="44">
        <f>IFERROR(IF($D$31-$A33&lt;=0,"",$B$6/($D$31-$A33)/$B$11),"")</f>
        <v>117.2463336710179</v>
      </c>
      <c r="E33" s="44">
        <f>IFERROR(IF($E$31-$A33&lt;=0,"",$B$6/($E$31-$A33)/$B$11),"")</f>
        <v>107.55300915597682</v>
      </c>
      <c r="F33" s="28" t="n"/>
    </row>
    <row r="34">
      <c r="A34" s="64">
        <f>IFERROR($B$9*1.0,"")</f>
        <v>4.221</v>
      </c>
      <c r="B34" s="48">
        <f>IFERROR(IF($B$31-$A34&lt;=0,"",$B$6/($B$31-$A34)/$B$11),"")</f>
        <v>148.1849286617843</v>
      </c>
      <c r="C34" s="48">
        <f>IFERROR(IF($C$31-$A34&lt;=0,"",$B$6/($C$31-$A34)/$B$11),"")</f>
        <v>133.03154603965686</v>
      </c>
      <c r="D34" s="48">
        <f>IFERROR(IF($D$31-$A34&lt;=0,"",$B$6/($D$31-$A34)/$B$11),"")</f>
        <v>120.68981247998929</v>
      </c>
      <c r="E34" s="48">
        <f>IFERROR(IF($E$31-$A34&lt;=0,"",$B$6/($E$31-$A34)/$B$11),"")</f>
        <v>110.4436275338997</v>
      </c>
    </row>
    <row r="35">
      <c r="A35" s="64">
        <f>IFERROR($B$9*1.075,"")</f>
        <v>4.5375749999999995</v>
      </c>
      <c r="B35" s="48">
        <f>IFERROR(IF($B$31-$A35&lt;=0,"",$B$6/($B$31-$A35)/$B$11),"")</f>
        <v>153.72845120893888</v>
      </c>
      <c r="C35" s="48">
        <f>IFERROR(IF($C$31-$A35&lt;=0,"",$B$6/($C$31-$A35)/$B$11),"")</f>
        <v>137.4822509791945</v>
      </c>
      <c r="D35" s="48">
        <f>IFERROR(IF($D$31-$A35&lt;=0,"",$B$6/($D$31-$A35)/$B$11),"")</f>
        <v>124.34167879070144</v>
      </c>
      <c r="E35" s="48">
        <f>IFERROR(IF($E$31-$A35&lt;=0,"",$B$6/($E$31-$A35)/$B$11),"")</f>
        <v>113.4939150067987</v>
      </c>
    </row>
    <row r="36">
      <c r="A36" s="64">
        <f>IFERROR($B$9*1.15,"")</f>
        <v>4.85415</v>
      </c>
      <c r="B36" s="48">
        <f>IFERROR(IF($B$31-$A36&lt;=0,"",$B$6/($B$31-$A36)/$B$11),"")</f>
        <v>159.70285344338583</v>
      </c>
      <c r="C36" s="48">
        <f>IFERROR(IF($C$31-$A36&lt;=0,"",$B$6/($C$31-$A36)/$B$11),"")</f>
        <v>142.24106985373746</v>
      </c>
      <c r="D36" s="48">
        <f>IFERROR(IF($D$31-$A36&lt;=0,"",$B$6/($D$31-$A36)/$B$11),"")</f>
        <v>128.22143918171514</v>
      </c>
      <c r="E36" s="48">
        <f>IFERROR(IF($E$31-$A36&lt;=0,"",$B$6/($E$31-$A36)/$B$11),"")</f>
        <v>116.7174767937667</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120</v>
      </c>
      <c r="C5" s="40">
        <f>IFERROR(IF('3-Year P&amp;L'!$B$6="","",'3-Year P&amp;L'!$B$6),"")</f>
        <v>160.0</v>
      </c>
      <c r="D5" s="49" t="n">
        <v>200</v>
      </c>
      <c r="E5" s="28" t="n"/>
      <c r="F5" s="28" t="n"/>
    </row>
    <row r="6">
      <c r="A6" s="28" t="inlineStr">
        <is>
          <t>Average price per guest (excl. sales tax)</t>
        </is>
      </c>
      <c r="B6" s="71" t="n">
        <v>12.6</v>
      </c>
      <c r="C6" s="61">
        <f>IFERROR(IF('3-Year P&amp;L'!$B$7="","",'3-Year P&amp;L'!$B$7),"")</f>
        <v>14.0</v>
      </c>
      <c r="D6" s="71" t="n">
        <v>15.4</v>
      </c>
      <c r="E6" s="28" t="n"/>
      <c r="F6" s="28" t="n"/>
    </row>
    <row r="7">
      <c r="A7" s="28" t="inlineStr">
        <is>
          <t>Average guests per event</t>
        </is>
      </c>
      <c r="B7" s="49" t="n">
        <v>86</v>
      </c>
      <c r="C7" s="40">
        <f>IFERROR(IF('3-Year P&amp;L'!$B$8="","",'3-Year P&amp;L'!$B$8),"")</f>
        <v>95.0</v>
      </c>
      <c r="D7" s="49" t="n">
        <v>105</v>
      </c>
      <c r="E7" s="28" t="n"/>
      <c r="F7" s="28" t="n"/>
    </row>
    <row r="8">
      <c r="A8" s="25" t="inlineStr">
        <is>
          <t>ANNUAL REVENUE (excl. sales tax)</t>
        </is>
      </c>
      <c r="B8" s="66">
        <f>IFERROR(IF(B5*B6*B7=0,"",B5*B6*B7),"")</f>
        <v>130032.0</v>
      </c>
      <c r="C8" s="66">
        <f>IFERROR(IF(C5*C6*C7=0,"",C5*C6*C7),"")</f>
        <v>212800.0</v>
      </c>
      <c r="D8" s="66">
        <f>IFERROR(IF(D5*D6*D7=0,"",D5*D6*D7),"")</f>
        <v>323400.0</v>
      </c>
      <c r="E8" s="28" t="n"/>
      <c r="F8" s="28" t="n"/>
    </row>
    <row r="9">
      <c r="A9" s="28" t="inlineStr">
        <is>
          <t>Cost of goods — bar packages (mixers, garnishes, ice)</t>
        </is>
      </c>
      <c r="B9" s="40">
        <f>IFERROR(IF(B8="","",B8*'0. Assumptions'!$B$11*'0. Assumptions'!$B$13),"")</f>
        <v>21000.168</v>
      </c>
      <c r="C9" s="40">
        <f>IFERROR(IF(C8="","",C8*'0. Assumptions'!$B$11*'0. Assumptions'!$B$13),"")</f>
        <v>34367.2</v>
      </c>
      <c r="D9" s="40">
        <f>IFERROR(IF(D8="","",D8*'0. Assumptions'!$B$11*'0. Assumptions'!$B$13),"")</f>
        <v>52229.1</v>
      </c>
      <c r="E9" s="28" t="n"/>
      <c r="F9" s="28" t="n"/>
    </row>
    <row r="10">
      <c r="A10" s="28" t="inlineStr">
        <is>
          <t>Cost of goods — add-ons</t>
        </is>
      </c>
      <c r="B10" s="40">
        <f>IFERROR(IF(B8="","",B8*'0. Assumptions'!$B$12*'0. Assumptions'!$B$14),"")</f>
        <v>3900.960000000001</v>
      </c>
      <c r="C10" s="40">
        <f>IFERROR(IF(C8="","",C8*'0. Assumptions'!$B$12*'0. Assumptions'!$B$14),"")</f>
        <v>6384.000000000001</v>
      </c>
      <c r="D10" s="40">
        <f>IFERROR(IF(D8="","",D8*'0. Assumptions'!$B$12*'0. Assumptions'!$B$14),"")</f>
        <v>9702.000000000002</v>
      </c>
      <c r="E10" s="28" t="n"/>
      <c r="F10" s="28" t="n"/>
    </row>
    <row r="11">
      <c r="A11" s="28" t="inlineStr">
        <is>
          <t>Cups, straws, napkins and bar disposables</t>
        </is>
      </c>
      <c r="B11" s="40">
        <f>IFERROR(IF(B8="","",B8*'0. Assumptions'!$B$15),"")</f>
        <v>5201.28</v>
      </c>
      <c r="C11" s="40">
        <f>IFERROR(IF(C8="","",C8*'0. Assumptions'!$B$15),"")</f>
        <v>8512.0</v>
      </c>
      <c r="D11" s="40">
        <f>IFERROR(IF(D8="","",D8*'0. Assumptions'!$B$15),"")</f>
        <v>12936.0</v>
      </c>
      <c r="E11" s="28" t="n"/>
      <c r="F11" s="28" t="n"/>
    </row>
    <row r="12">
      <c r="A12" s="28" t="inlineStr">
        <is>
          <t>Gig marketplace fees</t>
        </is>
      </c>
      <c r="B12" s="40">
        <f>IFERROR(IF(B8="","",B8*'0. Assumptions'!$B$16*'0. Assumptions'!$B$17),"")</f>
        <v>1300.3200000000002</v>
      </c>
      <c r="C12" s="40">
        <f>IFERROR(IF(C8="","",C8*'0. Assumptions'!$B$16*'0. Assumptions'!$B$17),"")</f>
        <v>2128.0</v>
      </c>
      <c r="D12" s="40">
        <f>IFERROR(IF(D8="","",D8*'0. Assumptions'!$B$16*'0. Assumptions'!$B$17),"")</f>
        <v>3234.0</v>
      </c>
      <c r="E12" s="28" t="n"/>
      <c r="F12" s="28" t="n"/>
    </row>
    <row r="13">
      <c r="A13" s="28" t="inlineStr">
        <is>
          <t>Card processing fees</t>
        </is>
      </c>
      <c r="B13" s="40">
        <f>IFERROR(IF(B8="","",B8*'0. Assumptions'!$B$18),"")</f>
        <v>3900.96</v>
      </c>
      <c r="C13" s="40">
        <f>IFERROR(IF(C8="","",C8*'0. Assumptions'!$B$18),"")</f>
        <v>6384.0</v>
      </c>
      <c r="D13" s="40">
        <f>IFERROR(IF(D8="","",D8*'0. Assumptions'!$B$18),"")</f>
        <v>9702.0</v>
      </c>
      <c r="E13" s="28" t="n"/>
      <c r="F13" s="28" t="n"/>
    </row>
    <row r="14">
      <c r="A14" s="28" t="inlineStr">
        <is>
          <t>Miscellaneous and contingency</t>
        </is>
      </c>
      <c r="B14" s="40">
        <f>IFERROR(IF(B8="","",B8*'0. Assumptions'!$B$28),"")</f>
        <v>3900.96</v>
      </c>
      <c r="C14" s="40">
        <f>IFERROR(IF(C8="","",C8*'0. Assumptions'!$B$28),"")</f>
        <v>6384.0</v>
      </c>
      <c r="D14" s="40">
        <f>IFERROR(IF(D8="","",D8*'0. Assumptions'!$B$28),"")</f>
        <v>9702.0</v>
      </c>
      <c r="E14" s="28" t="n"/>
      <c r="F14" s="28" t="n"/>
    </row>
    <row r="15">
      <c r="A15" s="28" t="inlineStr">
        <is>
          <t>TOTAL VARIABLE COSTS</t>
        </is>
      </c>
      <c r="B15" s="40">
        <f>IFERROR(IF(B8="","",SUM(B9:B14)),"")</f>
        <v>39204.648</v>
      </c>
      <c r="C15" s="40">
        <f>IFERROR(IF(C8="","",SUM(C9:C14)),"")</f>
        <v>64159.2</v>
      </c>
      <c r="D15" s="40">
        <f>IFERROR(IF(D8="","",SUM(D9:D14)),"")</f>
        <v>97505.1</v>
      </c>
      <c r="E15" s="28" t="n"/>
      <c r="F15" s="28" t="n"/>
    </row>
    <row r="16">
      <c r="A16" s="35" t="inlineStr">
        <is>
          <t>GROSS MARGIN</t>
        </is>
      </c>
      <c r="B16" s="42">
        <f>IFERROR(IF(B8="","",B8-B15),"")</f>
        <v>90827.352</v>
      </c>
      <c r="C16" s="42">
        <f>IFERROR(IF(C8="","",C8-C15),"")</f>
        <v>148640.8</v>
      </c>
      <c r="D16" s="42">
        <f>IFERROR(IF(D8="","",D8-D15),"")</f>
        <v>225894.9</v>
      </c>
    </row>
    <row r="17">
      <c r="A17" s="35" t="inlineStr">
        <is>
          <t>FIXED COSTS (the P&amp;L's)</t>
        </is>
      </c>
      <c r="B17" s="42">
        <f>IFERROR(IF(B8="","",'3-Year P&amp;L'!$B$38),"")</f>
        <v>123586.97142857143</v>
      </c>
      <c r="C17" s="42">
        <f>IFERROR(IF(C8="","",'3-Year P&amp;L'!$B$38),"")</f>
        <v>123586.97142857143</v>
      </c>
      <c r="D17" s="42">
        <f>IFERROR(IF(D8="","",'3-Year P&amp;L'!$B$38),"")</f>
        <v>123586.97142857143</v>
      </c>
      <c r="E17" s="35" t="inlineStr">
        <is>
          <t>Fixed costs do not change with the scenario: that is why they are fixed</t>
        </is>
      </c>
    </row>
    <row r="18">
      <c r="A18" s="16" t="inlineStr">
        <is>
          <t>PRE-TAX INCOME (EBT)</t>
        </is>
      </c>
      <c r="B18" s="52">
        <f>IFERROR(IF(B8="","",B16-B17),"")</f>
        <v>-32759.61942857143</v>
      </c>
      <c r="C18" s="52">
        <f>IFERROR(IF(C8="","",C16-C17),"")</f>
        <v>25053.82857142856</v>
      </c>
      <c r="D18" s="52">
        <f>IFERROR(IF(D8="","",D16-D17),"")</f>
        <v>102307.92857142857</v>
      </c>
    </row>
    <row r="19">
      <c r="A19" s="35" t="inlineStr">
        <is>
          <t>Income tax</t>
        </is>
      </c>
      <c r="B19" s="42">
        <f>IFERROR(IF(B8="","",MAX(0,B18-'0. Assumptions'!$B$42)*'0. Assumptions'!$B$37),"")</f>
        <v>0.0</v>
      </c>
      <c r="C19" s="42">
        <f>IFERROR(IF(C8="","",MAX(0,C18-'0. Assumptions'!$B$42)*'0. Assumptions'!$B$37),"")</f>
        <v>6263.45714285714</v>
      </c>
      <c r="D19" s="42">
        <f>IFERROR(IF(D8="","",MAX(0,D18-'0. Assumptions'!$B$42)*'0. Assumptions'!$B$37),"")</f>
        <v>25576.98214285714</v>
      </c>
      <c r="E19" s="35" t="inlineStr">
        <is>
          <t>At the "years 1-2" effective income tax rate, offsetting prior net operating losses</t>
        </is>
      </c>
    </row>
    <row r="20">
      <c r="A20" s="16" t="inlineStr">
        <is>
          <t>NET INCOME</t>
        </is>
      </c>
      <c r="B20" s="52">
        <f>IFERROR(IF(B8="","",B18-B19),"")</f>
        <v>-32759.61942857143</v>
      </c>
      <c r="C20" s="52">
        <f>IFERROR(IF(C8="","",C18-C19),"")</f>
        <v>18790.37142857142</v>
      </c>
      <c r="D20" s="52">
        <f>IFERROR(IF(D8="","",D18-D19),"")</f>
        <v>76730.94642857142</v>
      </c>
    </row>
    <row r="21">
      <c r="A21" s="35" t="inlineStr">
        <is>
          <t>Events per year to break even</t>
        </is>
      </c>
      <c r="B21" s="48">
        <f>IFERROR(IF(B8="","",IF(B6-B15/(B5*B7)&lt;=0,"",B17/(B6-B15/(B5*B7))/B7)),"")</f>
        <v>163.28161335616798</v>
      </c>
      <c r="C21" s="48">
        <f>IFERROR(IF(C8="","",IF(C6-C15/(C5*C7)&lt;=0,"",C17/(C6-C15/(C5*C7))/C7)),"")</f>
        <v>133.03154603965686</v>
      </c>
      <c r="D21" s="48">
        <f>IFERROR(IF(D8="","",IF(D6-D15/(D5*D7)&lt;=0,"",D17/(D6-D15/(D5*D7))/D7)),"")</f>
        <v>109.41988635296453</v>
      </c>
    </row>
    <row r="22">
      <c r="A22" s="16" t="inlineStr">
        <is>
          <t>WHAT EACH SCENARIO DEMANDS</t>
        </is>
      </c>
    </row>
    <row r="23">
      <c r="A23" s="35" t="inlineStr">
        <is>
          <t>Labor cost / Sales</t>
        </is>
      </c>
      <c r="B23" s="65">
        <f>IFERROR(IF(B8="","",'3-Year P&amp;L'!$B$23/B8),"")</f>
        <v>0.6026854928017719</v>
      </c>
      <c r="C23" s="65">
        <f>IFERROR(IF(C8="","",'3-Year P&amp;L'!$B$23/C8),"")</f>
        <v>0.3682725563909774</v>
      </c>
      <c r="D23" s="65">
        <f>IFERROR(IF(D8="","",'3-Year P&amp;L'!$B$23/D8),"")</f>
        <v>0.24232653061224488</v>
      </c>
      <c r="E23" s="35" t="inlineStr">
        <is>
          <t>The SAME staffing in all three scenarios. In the pessimistic case your real cost of event bartenders and barbacks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5578.378378378378</v>
      </c>
      <c r="C24" s="42">
        <f>IFERROR(IF(C8="","",C5*C7/Staffing!$C$9),"")</f>
        <v>8216.216216216217</v>
      </c>
      <c r="D24" s="42">
        <f>IFERROR(IF(D8="","",D5*D7/Staffing!$C$9),"")</f>
        <v>11351.351351351352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-2663.8174853291885</v>
      </c>
      <c r="C25" s="52">
        <f>IFERROR(IF(C8="","",'Startup Costs'!$B$25+C20+'3-Year P&amp;L'!$B$36-Financing!$B$45),"")</f>
        <v>48886.17337181366</v>
      </c>
      <c r="D25" s="52">
        <f>IFERROR(IF(D8="","",'Startup Costs'!$B$25+D20+'3-Year P&amp;L'!$B$36-Financing!$B$45),"")</f>
        <v>106826.74837181366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58962.49859867562</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&amp; Lead Bartender (sales and operations)</t>
        </is>
      </c>
      <c r="B5" s="49" t="n">
        <v>1</v>
      </c>
      <c r="C5" s="51" t="n">
        <v>1</v>
      </c>
      <c r="D5" s="71" t="n">
        <v>3250</v>
      </c>
      <c r="E5" s="61">
        <f>IFERROR(IF(D5="","",D5*'0. Assumptions'!$B$20),"")</f>
        <v>325.0</v>
      </c>
      <c r="F5" s="61">
        <f>IFERROR(IF(D5="","",D5+E5),"")</f>
        <v>3575.0</v>
      </c>
      <c r="G5" s="61">
        <f>IFERROR(IF(D5="","",F5*MAX(12,'0. Assumptions'!$B$21)),"")</f>
        <v>42900.0</v>
      </c>
      <c r="H5" s="44">
        <f>IFERROR(IF(D5="","",C5*$B$16),"")</f>
        <v>40.0</v>
      </c>
      <c r="I5" s="40">
        <f>IFERROR(IF(D5="","",H5*B5*$B$17),"")</f>
        <v>2000.0</v>
      </c>
      <c r="J5" s="28" t="inlineStr">
        <is>
          <t>Sells, runs the tastings, designs the drink menus and leads the bar for crew 1. Covers the main shift at every event.</t>
        </is>
      </c>
    </row>
    <row r="6">
      <c r="A6" s="28" t="inlineStr">
        <is>
          <t>Second-crew lead bartender (part-time W-2)</t>
        </is>
      </c>
      <c r="B6" s="49" t="n">
        <v>1</v>
      </c>
      <c r="C6" s="51" t="n">
        <v>0.25</v>
      </c>
      <c r="D6" s="71" t="n">
        <v>867</v>
      </c>
      <c r="E6" s="61">
        <f>IFERROR(IF(D6="","",D6*'0. Assumptions'!$B$20),"")</f>
        <v>86.7</v>
      </c>
      <c r="F6" s="61">
        <f>IFERROR(IF(D6="","",D6+E6),"")</f>
        <v>953.7</v>
      </c>
      <c r="G6" s="61">
        <f>IFERROR(IF(D6="","",F6*MAX(12,'0. Assumptions'!$B$21)),"")</f>
        <v>11444.400000000001</v>
      </c>
      <c r="H6" s="44">
        <f>IFERROR(IF(D6="","",C6*$B$16),"")</f>
        <v>10.0</v>
      </c>
      <c r="I6" s="40">
        <f>IFERROR(IF(D6="","",H6*B6*$B$17),"")</f>
        <v>500.0</v>
      </c>
      <c r="J6" s="28" t="inlineStr">
        <is>
          <t>Leads the second crew on peak-season Saturdays: setup, service and breakdown. Part-time W-2, paid at or above the pay floor in proportion to FTE.</t>
        </is>
      </c>
    </row>
    <row r="7">
      <c r="A7" s="28" t="inlineStr">
        <is>
          <t>Event bartenders (hourly W-2)</t>
        </is>
      </c>
      <c r="B7" s="49" t="n">
        <v>5</v>
      </c>
      <c r="C7" s="51" t="n">
        <v>0.1</v>
      </c>
      <c r="D7" s="71" t="n">
        <v>1560</v>
      </c>
      <c r="E7" s="61">
        <f>IFERROR(IF(D7="","",D7*'0. Assumptions'!$B$20),"")</f>
        <v>156.0</v>
      </c>
      <c r="F7" s="61">
        <f>IFERROR(IF(D7="","",D7+E7),"")</f>
        <v>1716.0</v>
      </c>
      <c r="G7" s="61">
        <f>IFERROR(IF(D7="","",F7*MAX(12,'0. Assumptions'!$B$21)),"")</f>
        <v>20592.0</v>
      </c>
      <c r="H7" s="44">
        <f>IFERROR(IF(D7="","",C7*$B$16),"")</f>
        <v>4.0</v>
      </c>
      <c r="I7" s="40">
        <f>IFERROR(IF(D7="","",H7*B7*$B$17),"")</f>
        <v>1000.0</v>
      </c>
      <c r="J7" s="28" t="inlineStr">
        <is>
          <t>Bartenders hired per event and paid hourly as W-2 employees. Their FTE is a fraction because they only work event hours. Voluntary tips are theirs (FLSA). Treating them as 1099 contractors is a misclassification risk (FLSA; California AB5). Paid at or above the pay floor in proportion to FTE.</t>
        </is>
      </c>
    </row>
    <row r="8">
      <c r="A8" s="28" t="inlineStr">
        <is>
          <t>Barbacks / setup crew (hourly W-2)</t>
        </is>
      </c>
      <c r="B8" s="49" t="n">
        <v>2</v>
      </c>
      <c r="C8" s="51" t="n">
        <v>0.05</v>
      </c>
      <c r="D8" s="71" t="n">
        <v>260</v>
      </c>
      <c r="E8" s="61">
        <f>IFERROR(IF(D8="","",D8*'0. Assumptions'!$B$20),"")</f>
        <v>26.0</v>
      </c>
      <c r="F8" s="61">
        <f>IFERROR(IF(D8="","",D8+E8),"")</f>
        <v>286.0</v>
      </c>
      <c r="G8" s="61">
        <f>IFERROR(IF(D8="","",F8*MAX(12,'0. Assumptions'!$B$21)),"")</f>
        <v>3432.0</v>
      </c>
      <c r="H8" s="44">
        <f>IFERROR(IF(D8="","",C8*$B$16),"")</f>
        <v>2.0</v>
      </c>
      <c r="I8" s="40">
        <f>IFERROR(IF(D8="","",H8*B8*$B$17),"")</f>
        <v>200.0</v>
      </c>
      <c r="J8" s="28" t="inlineStr">
        <is>
          <t>Barbacks hired by the hour as W-2 employees: loading, ice, setup and breakdown at larger events. Paid at or above the pay floor in proportion to FTE.</t>
        </is>
      </c>
    </row>
    <row r="9">
      <c r="A9" s="16" t="inlineStr">
        <is>
          <t>TOTAL STAFF</t>
        </is>
      </c>
      <c r="B9" s="52">
        <f>IFERROR(IF(COUNT(D5:D8)=0,"",SUM(B5:B8)),"")</f>
        <v>9.0</v>
      </c>
      <c r="C9" s="53">
        <f>IFERROR(IF(COUNT(D5:D8)=0,"",SUMPRODUCT(B5:B8,C5:C8)),"")</f>
        <v>1.85</v>
      </c>
      <c r="D9" s="53">
        <f>IFERROR(IF(COUNT(D5:D8)=0,"",SUM(D5:D8)),"")</f>
        <v>5937.0</v>
      </c>
      <c r="E9" s="53">
        <f>IFERROR(IF(COUNT(D5:D8)=0,"",SUM(E5:E8)),"")</f>
        <v>593.7</v>
      </c>
      <c r="F9" s="53">
        <f>IFERROR(IF(COUNT(D5:D8)=0,"",SUM(F5:F8)),"")</f>
        <v>6530.7</v>
      </c>
      <c r="G9" s="53">
        <f>IFERROR(IF(COUNT(D5:D8)=0,"",SUM(G5:G8)),"")</f>
        <v>78368.4</v>
      </c>
      <c r="I9" s="52">
        <f>IFERROR(IF(COUNT(D5:D8)=0,"",SUM(I5:I8)),"")</f>
        <v>3700.0</v>
      </c>
    </row>
    <row r="10">
      <c r="A10" s="16" t="inlineStr">
        <is>
          <t>STAFF GROWTH (stepped cost)</t>
        </is>
      </c>
    </row>
    <row r="11">
      <c r="A11" s="35" t="inlineStr">
        <is>
          <t>Annual cost of year-2 hires</t>
        </is>
      </c>
      <c r="B11" s="56" t="n">
        <v>3000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3000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81368.4</v>
      </c>
    </row>
    <row r="14">
      <c r="A14" s="35" t="inlineStr">
        <is>
          <t>Labor cost, year 3</t>
        </is>
      </c>
      <c r="B14" s="42">
        <f>IFERROR(IF(B13="","",B13*(1+'0. Assumptions'!$B$48)+B12),"")</f>
        <v>84368.4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service, breakdown)</t>
        </is>
      </c>
      <c r="B18" s="57" t="n">
        <v>8</v>
      </c>
      <c r="J18" s="35" t="inlineStr">
        <is>
          <t>Hours of work that one event needs: shopping, packing, loading, transport, setup, service, breakdown and cleanup. Serving is only part of it. Hours × people × events per year sets the event staff cost.</t>
        </is>
      </c>
    </row>
    <row r="19">
      <c r="A19" s="35" t="inlineStr">
        <is>
          <t>People per event (bartenders and barbacks, average)</t>
        </is>
      </c>
      <c r="B19" s="57" t="n">
        <v>2.2</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2816.0</v>
      </c>
    </row>
    <row r="21">
      <c r="A21" s="35" t="inlineStr">
        <is>
          <t>Hours hired per year</t>
        </is>
      </c>
      <c r="B21" s="42">
        <f>IFERROR(IF(I9="","",I9),"")</f>
        <v>3700.0</v>
      </c>
    </row>
    <row r="22">
      <c r="A22" s="16" t="inlineStr">
        <is>
          <t>Coverage (hired / needed)</t>
        </is>
      </c>
      <c r="B22" s="69">
        <f>IFERROR(B21/B20,"")</f>
        <v>1.3139204545454546</v>
      </c>
      <c r="J22" s="16" t="inlineStr">
        <is>
          <t>Below 100% the staff cannot cover the hours the plan declares: either hire more or cut the hours</t>
        </is>
      </c>
    </row>
    <row r="24" ht="150" customHeight="1">
      <c r="A24" s="17" t="inlineStr">
        <is>
          <t>Columns D-G are TOTALS for the row. Event bartenders and barbacks are hourly W-2 employees with payroll taxes and workers' comp: paying them as 1099 contractors is a misclassification risk (FLSA; California AB5). Tips belong to the staff: the employer keeps none of them (FLSA).</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Mobile Bar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the bar package and add-on mix, cost of goods sold, storage and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Sales tax on services varies by state: in some, the whole bar package invoice is taxable, including bartender labor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0.19149999999999998</v>
      </c>
      <c r="C18" s="68">
        <f>IFERROR(IF('3-Year P&amp;L'!$E$53="","",'3-Year P&amp;L'!$E$53),"")</f>
        <v>0.26</v>
      </c>
      <c r="D18" s="28" t="str">
        <f>IFERROR(IF(OR(B18="",C18=""),"",IF(B18&lt;=C18,"OK","REVIEW")),"")</f>
        <v>OK</v>
      </c>
      <c r="E18" s="28" t="n"/>
    </row>
    <row r="19">
      <c r="A19" t="inlineStr">
        <is>
          <t>Labor cost / Sales</t>
        </is>
      </c>
      <c r="B19" s="65">
        <f>IFERROR(IF('3-Year P&amp;L'!$B$54="","",'3-Year P&amp;L'!$B$54),"")</f>
        <v>0.3682725563909774</v>
      </c>
      <c r="C19" s="65">
        <f>IFERROR(IF('3-Year P&amp;L'!$E$54="","",'3-Year P&amp;L'!$E$54),"")</f>
        <v>0.4</v>
      </c>
      <c r="D19" t="str">
        <f>IFERROR(IF(OR(B19="",C19=""),"",IF(B19&lt;=C19,"OK","REVIEW")),"")</f>
        <v>OK</v>
      </c>
    </row>
    <row r="20">
      <c r="A20" t="inlineStr">
        <is>
          <t>Storage &amp; parking / Sales</t>
        </is>
      </c>
      <c r="B20" s="65">
        <f>IFERROR(IF('3-Year P&amp;L'!$B$55="","",'3-Year P&amp;L'!$B$55),"")</f>
        <v>0.03383458646616541</v>
      </c>
      <c r="C20" s="65">
        <f>IFERROR(IF('3-Year P&amp;L'!$E$55="","",'3-Year P&amp;L'!$E$55),"")</f>
        <v>0.06</v>
      </c>
      <c r="D20" t="str">
        <f>IFERROR(IF(OR(B20="",C20=""),"",IF(B20&lt;=C20,"OK","REVIEW")),"")</f>
        <v>OK</v>
      </c>
    </row>
    <row r="21">
      <c r="A21" t="inlineStr">
        <is>
          <t>Net income / Sales</t>
        </is>
      </c>
      <c r="B21" s="65">
        <f>IFERROR(IF('3-Year P&amp;L'!$B$56="","",'3-Year P&amp;L'!$B$56),"")</f>
        <v>0.0883006176154672</v>
      </c>
      <c r="C21" s="65">
        <f>IFERROR(IF('3-Year P&amp;L'!$E$56="","",'3-Year P&amp;L'!$E$56),"")</f>
        <v>0.05</v>
      </c>
      <c r="D21" t="str">
        <f>IFERROR(IF(OR(B21="",C21=""),"",IF(B21&gt;=C21,"OK","REVIEW")),"")</f>
        <v>OK</v>
      </c>
    </row>
    <row r="22">
      <c r="A22" t="inlineStr">
        <is>
          <t>Gross margin / Sales</t>
        </is>
      </c>
      <c r="B22" s="65">
        <f>IFERROR(IF('3-Year P&amp;L'!$B$51="","",'3-Year P&amp;L'!$B$51),"")</f>
        <v>0.6984999999999999</v>
      </c>
      <c r="C22" s="65">
        <f>IFERROR(IF('3-Year P&amp;L'!$E$51="","",'3-Year P&amp;L'!$E$51),"")</f>
        <v>0.65</v>
      </c>
      <c r="D22" t="str">
        <f>IFERROR(IF(OR(B22="",C22=""),"",IF(B22&gt;=C22,"OK","REVIEW")),"")</f>
        <v>OK</v>
      </c>
    </row>
    <row r="24">
      <c r="A24" s="16" t="inlineStr">
        <is>
          <t>THIS PLAN'S KEY FIGURES</t>
        </is>
      </c>
    </row>
    <row r="25">
      <c r="A25" t="inlineStr">
        <is>
          <t>Total startup costs (sum of the blocks)</t>
        </is>
      </c>
      <c r="B25" s="42">
        <f>IFERROR(IF('Startup Costs'!$B$26="","",'Startup Costs'!$B$26),"")</f>
        <v>76972.09999999999</v>
      </c>
    </row>
    <row r="26">
      <c r="A26" t="inlineStr">
        <is>
          <t>Total cash needed at launch</t>
        </is>
      </c>
      <c r="B26" s="42">
        <f>IFERROR(IF('Startup Costs'!$B$29="","",'Startup Costs'!$B$29),"")</f>
        <v>76972.09999999999</v>
      </c>
    </row>
    <row r="27">
      <c r="A27" t="inlineStr">
        <is>
          <t>Working capital funded</t>
        </is>
      </c>
      <c r="B27" s="42">
        <f>IFERROR(IF('Startup Costs'!$B$25="","",'Startup Costs'!$B$25),"")</f>
        <v>29442.099999999995</v>
      </c>
    </row>
    <row r="28">
      <c r="A28" t="inlineStr">
        <is>
          <t>Forecast year-1 revenue</t>
        </is>
      </c>
      <c r="B28" s="42">
        <f>IFERROR(IF('3-Year P&amp;L'!$B$9="","",'3-Year P&amp;L'!$B$9),"")</f>
        <v>212800.0</v>
      </c>
    </row>
    <row r="29">
      <c r="A29" t="inlineStr">
        <is>
          <t>Year-1 net income</t>
        </is>
      </c>
      <c r="B29" s="42">
        <f>IFERROR(IF('3-Year P&amp;L'!$B$48="","",'3-Year P&amp;L'!$B$48),"")</f>
        <v>18790.37142857142</v>
      </c>
    </row>
    <row r="30">
      <c r="A30" t="inlineStr">
        <is>
          <t>Events per year for the ACCOUNTING break-even (depreciation included)</t>
        </is>
      </c>
      <c r="B30" s="48">
        <f>IFERROR(IF('Break-Even'!$B$15="","",'Break-Even'!$B$15),"")</f>
        <v>133.03154603965686</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Storage unit and trailer parking</t>
        </is>
      </c>
      <c r="B39" s="58" t="inlineStr">
        <is>
          <t>Left out: the model shows no cost of space</t>
        </is>
      </c>
      <c r="C39" s="58" t="inlineStr">
        <is>
          <t>A monthly storage and trailer parking cost, plus a deposit and rent for the months before opening</t>
        </is>
      </c>
      <c r="D39" s="17" t="inlineStr">
        <is>
          <t>A mobile bar has no premises, but the bar, the glassware and the trailer have to live somewhere between events.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bar trailer with its conversion, generator and storage fit-out, and the portable bar with the tools and glassware. The Startup Costs tab calculates the annual charge.</t>
        </is>
      </c>
      <c r="D41" s="17" t="inlineStr">
        <is>
          <t>The trailer and the bar equipment wear out at different speeds. Working capital, opening inventory and launch marketing are not fixed assets, so they are not depreciated.</t>
        </is>
      </c>
    </row>
    <row r="42" ht="30" customHeight="1">
      <c r="A42" s="58" t="inlineStr">
        <is>
          <t>Insurance and liquor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Storage power and water</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trailer, conversion, generator, storage fit-out and inspection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tow vehicle and trailer fuel has its own fixed line</t>
        </is>
      </c>
      <c r="D49" s="17" t="inlineStr">
        <is>
          <t>Extra ice, last-minute mixers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bar package and add-on sale carries its own cost of goods sold rate, whatever the type of event</t>
        </is>
      </c>
      <c r="D50" s="17" t="inlineStr">
        <is>
          <t>A revenue line that pays for no mixers, garnishes or ice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MOBILE BAR BENCHMARKS (sourced) AND KIT ESTIMATES</t>
        </is>
      </c>
    </row>
    <row r="54">
      <c r="A54" s="16" t="inlineStr">
        <is>
          <t>Benchmark</t>
        </is>
      </c>
      <c r="B54" s="16" t="inlineStr">
        <is>
          <t>Value</t>
        </is>
      </c>
      <c r="C54" s="16" t="inlineStr">
        <is>
          <t>Source</t>
        </is>
      </c>
      <c r="D54" s="16" t="inlineStr">
        <is>
          <t>Note</t>
        </is>
      </c>
    </row>
    <row r="55" ht="60" customHeight="1">
      <c r="A55" t="inlineStr">
        <is>
          <t>Price per event (median; excl. alcohol and tips)</t>
        </is>
      </c>
      <c r="B55" t="inlineStr">
        <is>
          <t>$750 median; middle 50% $450-$1,275; mean $1,173</t>
        </is>
      </c>
      <c r="C55" t="inlineStr">
        <is>
          <t>checkcherry.com</t>
        </is>
      </c>
      <c r="D55" s="17" t="inlineStr">
        <is>
          <t>1,334 bookings since January 2024. Compare it with your price per guest × guests per event in "0. Assumptions".</t>
        </is>
      </c>
    </row>
    <row r="56" ht="15" customHeight="1">
      <c r="A56" t="inlineStr">
        <is>
          <t>Price by guest count</t>
        </is>
      </c>
      <c r="B56" t="inlineStr">
        <is>
          <t>Up to 50 guests $575 · 51-100 $700 · 101-150 $1,063 · 151+ $1,438</t>
        </is>
      </c>
      <c r="C56" t="inlineStr">
        <is>
          <t>checkcherry.com</t>
        </is>
      </c>
      <c r="D56" s="17" t="inlineStr">
        <is>
          <t>The typical event runs about 80 guests.</t>
        </is>
      </c>
    </row>
    <row r="57" ht="30" customHeight="1">
      <c r="A57" t="inlineStr">
        <is>
          <t>Price by event length</t>
        </is>
      </c>
      <c r="B57" t="inlineStr">
        <is>
          <t>Up to 3 h $575 · 4 h $675 · 5 h $898 · 6+ h $1,275</t>
        </is>
      </c>
      <c r="C57" t="inlineStr">
        <is>
          <t>checkcherry.com</t>
        </is>
      </c>
      <c r="D57" s="17" t="inlineStr">
        <is>
          <t>Longer events cost more but less per hour: use it to set your extra-hour rate.</t>
        </is>
      </c>
    </row>
    <row r="58" ht="30" customHeight="1">
      <c r="A58" t="inlineStr">
        <is>
          <t>Bartender-only service (dry hire, no bar)</t>
        </is>
      </c>
      <c r="B58" t="inlineStr">
        <is>
          <t>$375 for about 4 h, or about $75-$120 per bartender hour</t>
        </is>
      </c>
      <c r="C58" t="inlineStr">
        <is>
          <t>checkcherry.com</t>
        </is>
      </c>
      <c r="D58" s="17" t="inlineStr">
        <is>
          <t>The floor of dry hire pricing: a quick check for your hourly rate.</t>
        </is>
      </c>
    </row>
    <row r="59" ht="45" customHeight="1">
      <c r="A59" t="inlineStr">
        <is>
          <t>Deposit and travel fee</t>
        </is>
      </c>
      <c r="B59" t="inlineStr">
        <is>
          <t>Deposit about 30%; 26% of bookings charge a travel fee (median 36 miles; free up to about 25)</t>
        </is>
      </c>
      <c r="C59" t="inlineStr">
        <is>
          <t>checkcherry.com</t>
        </is>
      </c>
      <c r="D59" s="17" t="inlineStr">
        <is>
          <t>Set your travel fee as an add-on, and ask for the deposit to secure the date.</t>
        </is>
      </c>
    </row>
    <row r="60" ht="45" customHeight="1">
      <c r="A60" t="inlineStr">
        <is>
          <t>Seasonality and calendar</t>
        </is>
      </c>
      <c r="B60" t="inlineStr">
        <is>
          <t>October about 13% and May 12.4% of bookings; January 3.8%; median lead time 62 days; 85% Friday to Sunday</t>
        </is>
      </c>
      <c r="C60" t="inlineStr">
        <is>
          <t>checkcherry.com</t>
        </is>
      </c>
      <c r="D60" s="17" t="inlineStr">
        <is>
          <t>Peak wedding season (May-June, September-October) is where the Saturday bottleneck of your two crews shows. Shape the ramp in "12-Month Cash Flow" around it.</t>
        </is>
      </c>
    </row>
    <row r="61" ht="45" customHeight="1">
      <c r="A61" t="inlineStr">
        <is>
          <t>First year in business (12+ months of activity)</t>
        </is>
      </c>
      <c r="B61" t="inlineStr">
        <is>
          <t>Median 3 events and $1,650; top 10% about 39 events and $35,500</t>
        </is>
      </c>
      <c r="C61" t="inlineStr">
        <is>
          <t>checkcherry.com</t>
        </is>
      </c>
      <c r="D61" s="17" t="inlineStr">
        <is>
          <t>The kit example is a fully built operation with two crews. The ramp in "0. Assumptions" and the pessimistic scenario show what a slower start does to your cash.</t>
        </is>
      </c>
    </row>
    <row r="62" ht="60" customHeight="1">
      <c r="A62" t="inlineStr">
        <is>
          <t>Drinks per guest</t>
        </is>
      </c>
      <c r="B62" t="inlineStr">
        <is>
          <t>2 in the first hour, then 1 per hour</t>
        </is>
      </c>
      <c r="C62" t="inlineStr">
        <is>
          <t>eventplanning.com</t>
        </is>
      </c>
      <c r="D62" s="17" t="inlineStr">
        <is>
          <t>Use it to size mixers, ice and cups, and to check how many guests one bartender can serve.</t>
        </is>
      </c>
    </row>
    <row r="63" ht="120" customHeight="1">
      <c r="A63" t="inlineStr">
        <is>
          <t>Bartender ratio</t>
        </is>
      </c>
      <c r="B63" t="inlineStr">
        <is>
          <t>1 per 50 guests (full bar); 1 per 75 (beer and wine)</t>
        </is>
      </c>
      <c r="C63" t="inlineStr">
        <is>
          <t>Kit estimate</t>
        </is>
      </c>
      <c r="D63" s="17" t="inlineStr">
        <is>
          <t>Drives the people per event in "Staffing". Add a barback for larger setups.</t>
        </is>
      </c>
    </row>
    <row r="64" ht="45" customHeight="1">
      <c r="A64" t="inlineStr">
        <is>
          <t>Bartender wage (BLS, May 2025)</t>
        </is>
      </c>
      <c r="B64" t="inlineStr">
        <is>
          <t>Mean $19.61 per hour; median $16.51 (includes tips)</t>
        </is>
      </c>
      <c r="C64" t="inlineStr">
        <is>
          <t>bls.gov</t>
        </is>
      </c>
      <c r="D64" s="17" t="inlineStr">
        <is>
          <t>BLS Occupational Employment and Wage Statistics, code 35-3011. Compare with the hourly rate in "Staffing" and with your state minimum wage.</t>
        </is>
      </c>
    </row>
    <row r="65" ht="30" customHeight="1">
      <c r="A65" t="inlineStr">
        <is>
          <t>Marketplace commission</t>
        </is>
      </c>
      <c r="B65" t="inlineStr">
        <is>
          <t>GigSalad 5% (free plan) or 2.5% (paid plan) of the confirmed booking; nothing per lead</t>
        </is>
      </c>
      <c r="C65" t="inlineStr">
        <is>
          <t>gigsalad.com</t>
        </is>
      </c>
      <c r="D65" s="17" t="inlineStr">
        <is>
          <t>Thumbtack charges per lead instead. Fees change: check before you sign up.</t>
        </is>
      </c>
    </row>
    <row r="66" ht="30" customHeight="1">
      <c r="A66" t="inlineStr">
        <is>
          <t>Startup cost reference</t>
        </is>
      </c>
      <c r="B66" t="inlineStr">
        <is>
          <t>Portable bar from about $1,000; tools $500-$1,500; lean start $2,000-$7,000; a converted trailer often costs tens of thousands</t>
        </is>
      </c>
      <c r="C66" t="inlineStr">
        <is>
          <t>checkcherry.com</t>
        </is>
      </c>
      <c r="D66" s="17" t="inlineStr">
        <is>
          <t>Compare with "Startup Costs": the kit example is a trailer-based build, not the lean start.</t>
        </is>
      </c>
    </row>
    <row r="67" ht="30" customHeight="1">
      <c r="A67" t="inlineStr">
        <is>
          <t>Insurance</t>
        </is>
      </c>
      <c r="B67" t="inlineStr">
        <is>
          <t>General liability plus liquor liability from $550 per year; from $275 per event</t>
        </is>
      </c>
      <c r="C67" t="inlineStr">
        <is>
          <t>insurancecanopy.com</t>
        </is>
      </c>
      <c r="D67" s="17" t="inlineStr">
        <is>
          <t>Venues ask for a COI naming them as additional insured: confirm what each venue requires before you buy.</t>
        </is>
      </c>
    </row>
    <row r="68" ht="30" customHeight="1">
      <c r="A68" t="inlineStr">
        <is>
          <t>Ice, mixers and garnish</t>
        </is>
      </c>
      <c r="B68" t="inlineStr">
        <is>
          <t>Ice 1.5 lb (0.68 kg) per guest; mixers, garnish and ice about $2.25 per guest</t>
        </is>
      </c>
      <c r="C68" t="inlineStr">
        <is>
          <t>Kit estimate</t>
        </is>
      </c>
      <c r="D68" s="17" t="inlineStr">
        <is>
          <t>Use it to check the cost of goods sold rate on bar packages. The real figure depends on your drink menu.</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aichef.pro/en/digital-products/mobile-bar-business-plan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0.075</v>
      </c>
      <c r="C5" s="73" t="n">
        <v>0.105</v>
      </c>
      <c r="D5" s="73" t="n">
        <v>0.124</v>
      </c>
      <c r="E5" s="73" t="n">
        <v>0.09</v>
      </c>
      <c r="F5" s="73" t="n">
        <v>0.056</v>
      </c>
      <c r="G5" s="73" t="n">
        <v>0.065</v>
      </c>
      <c r="H5" s="73" t="n">
        <v>0.115</v>
      </c>
      <c r="I5" s="73" t="n">
        <v>0.13</v>
      </c>
      <c r="J5" s="73" t="n">
        <v>0.08500000000000001</v>
      </c>
      <c r="K5" s="73" t="n">
        <v>0.075</v>
      </c>
      <c r="L5" s="73" t="n">
        <v>0.038</v>
      </c>
      <c r="M5" s="73" t="n">
        <v>0.042</v>
      </c>
      <c r="N5" s="68">
        <f>IFERROR(IF('3-Year P&amp;L'!$B$9="","",SUM(B5:M5)),"")</f>
        <v>1.0</v>
      </c>
      <c r="O5" s="28" t="inlineStr">
        <is>
          <t>Share of the year's events per month (100% in total). Month 1 = opening month (March in the example). The 30% deposit is not modeled: it improves real cash.</t>
        </is>
      </c>
    </row>
    <row r="6">
      <c r="A6" s="28" t="inlineStr">
        <is>
          <t>Launch ramp-up (% of steady-state activity)</t>
        </is>
      </c>
      <c r="B6" s="68">
        <f>IFERROR(IF('3-Year P&amp;L'!$B$9="","",MIN(1,'0. Assumptions'!$B$52+(1-'0. Assumptions'!$B$52)*0/MAX(1,'0. Assumptions'!$B$53-1))),"")</f>
        <v>0.45</v>
      </c>
      <c r="C6" s="68">
        <f>IFERROR(IF('3-Year P&amp;L'!$B$9="","",MIN(1,'0. Assumptions'!$B$52+(1-'0. Assumptions'!$B$52)*1/MAX(1,'0. Assumptions'!$B$53-1))),"")</f>
        <v>0.51875</v>
      </c>
      <c r="D6" s="68">
        <f>IFERROR(IF('3-Year P&amp;L'!$B$9="","",MIN(1,'0. Assumptions'!$B$52+(1-'0. Assumptions'!$B$52)*2/MAX(1,'0. Assumptions'!$B$53-1))),"")</f>
        <v>0.5875</v>
      </c>
      <c r="E6" s="68">
        <f>IFERROR(IF('3-Year P&amp;L'!$B$9="","",MIN(1,'0. Assumptions'!$B$52+(1-'0. Assumptions'!$B$52)*3/MAX(1,'0. Assumptions'!$B$53-1))),"")</f>
        <v>0.65625</v>
      </c>
      <c r="F6" s="68">
        <f>IFERROR(IF('3-Year P&amp;L'!$B$9="","",MIN(1,'0. Assumptions'!$B$52+(1-'0. Assumptions'!$B$52)*4/MAX(1,'0. Assumptions'!$B$53-1))),"")</f>
        <v>0.7250000000000001</v>
      </c>
      <c r="G6" s="68">
        <f>IFERROR(IF('3-Year P&amp;L'!$B$9="","",MIN(1,'0. Assumptions'!$B$52+(1-'0. Assumptions'!$B$52)*5/MAX(1,'0. Assumptions'!$B$53-1))),"")</f>
        <v>0.79375</v>
      </c>
      <c r="H6" s="68">
        <f>IFERROR(IF('3-Year P&amp;L'!$B$9="","",MIN(1,'0. Assumptions'!$B$52+(1-'0. Assumptions'!$B$52)*6/MAX(1,'0. Assumptions'!$B$53-1))),"")</f>
        <v>0.8625</v>
      </c>
      <c r="I6" s="68">
        <f>IFERROR(IF('3-Year P&amp;L'!$B$9="","",MIN(1,'0. Assumptions'!$B$52+(1-'0. Assumptions'!$B$52)*7/MAX(1,'0. Assumptions'!$B$53-1))),"")</f>
        <v>0.9312500000000001</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0.043685079118532186</v>
      </c>
      <c r="C7" s="68">
        <f>IFERROR(IF('3-Year P&amp;L'!$B$9="","",C5*C6/SUMPRODUCT($B$5:$M$5,$B$6:$M$6)),"")</f>
        <v>0.07050286379963111</v>
      </c>
      <c r="D7" s="68">
        <f>IFERROR(IF('3-Year P&amp;L'!$B$9="","",D5*D6/SUMPRODUCT($B$5:$M$5,$B$6:$M$6)),"")</f>
        <v>0.09429505226029834</v>
      </c>
      <c r="E7" s="68">
        <f>IFERROR(IF('3-Year P&amp;L'!$B$9="","",E5*E6/SUMPRODUCT($B$5:$M$5,$B$6:$M$6)),"")</f>
        <v>0.07644888845743131</v>
      </c>
      <c r="F7" s="68">
        <f>IFERROR(IF('3-Year P&amp;L'!$B$9="","",F5*F6/SUMPRODUCT($B$5:$M$5,$B$6:$M$6)),"")</f>
        <v>0.05255153221370094</v>
      </c>
      <c r="G7" s="68">
        <f>IFERROR(IF('3-Year P&amp;L'!$B$9="","",G5*G6/SUMPRODUCT($B$5:$M$5,$B$6:$M$6)),"")</f>
        <v>0.06678154224508948</v>
      </c>
      <c r="H7" s="68">
        <f>IFERROR(IF('3-Year P&amp;L'!$B$9="","",H5*H6/SUMPRODUCT($B$5:$M$5,$B$6:$M$6)),"")</f>
        <v>0.12838559363168625</v>
      </c>
      <c r="I7" s="68">
        <f>IFERROR(IF('3-Year P&amp;L'!$B$9="","",I5*I6/SUMPRODUCT($B$5:$M$5,$B$6:$M$6)),"")</f>
        <v>0.15669999676406823</v>
      </c>
      <c r="J7" s="68">
        <f>IFERROR(IF('3-Year P&amp;L'!$B$9="","",J5*J6/SUMPRODUCT($B$5:$M$5,$B$6:$M$6)),"")</f>
        <v>0.11002168074296995</v>
      </c>
      <c r="K7" s="68">
        <f>IFERROR(IF('3-Year P&amp;L'!$B$9="","",K5*K6/SUMPRODUCT($B$5:$M$5,$B$6:$M$6)),"")</f>
        <v>0.09707795359673818</v>
      </c>
      <c r="L7" s="68">
        <f>IFERROR(IF('3-Year P&amp;L'!$B$9="","",L5*L6/SUMPRODUCT($B$5:$M$5,$B$6:$M$6)),"")</f>
        <v>0.049186163155680675</v>
      </c>
      <c r="M7" s="68">
        <f>IFERROR(IF('3-Year P&amp;L'!$B$9="","",M5*M6/SUMPRODUCT($B$5:$M$5,$B$6:$M$6)),"")</f>
        <v>0.05436365401417338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9705.21696922629</v>
      </c>
      <c r="C9" s="40">
        <f>IFERROR(IF('3-Year P&amp;L'!$B$9="","",('3-Year P&amp;L'!$B$9+'3-Year P&amp;L'!$B$9*SUMPRODUCT('3-Year P&amp;L'!$E$10:$E$11,'3-Year P&amp;L'!$G$10:$G$11))*(C7*(1-MIN(30,'0. Assumptions'!$B$58)/30)+B7*MIN(30,'0. Assumptions'!$B$58)/30)),"")</f>
        <v>15997.804485001461</v>
      </c>
      <c r="D9" s="40">
        <f>IFERROR(IF('3-Year P&amp;L'!$B$9="","",('3-Year P&amp;L'!$B$9+'3-Year P&amp;L'!$B$9*SUMPRODUCT('3-Year P&amp;L'!$E$10:$E$11,'3-Year P&amp;L'!$G$10:$G$11))*(D7*(1-MIN(30,'0. Assumptions'!$B$58)/30)+C7*MIN(30,'0. Assumptions'!$B$58)/30)),"")</f>
        <v>21488.998893311327</v>
      </c>
      <c r="E9" s="40">
        <f>IFERROR(IF('3-Year P&amp;L'!$B$9="","",('3-Year P&amp;L'!$B$9+'3-Year P&amp;L'!$B$9*SUMPRODUCT('3-Year P&amp;L'!$E$10:$E$11,'3-Year P&amp;L'!$G$10:$G$11))*(E7*(1-MIN(30,'0. Assumptions'!$B$58)/30)+D7*MIN(30,'0. Assumptions'!$B$58)/30)),"")</f>
        <v>17706.5052325017</v>
      </c>
      <c r="F9" s="40">
        <f>IFERROR(IF('3-Year P&amp;L'!$B$9="","",('3-Year P&amp;L'!$B$9+'3-Year P&amp;L'!$B$9*SUMPRODUCT('3-Year P&amp;L'!$E$10:$E$11,'3-Year P&amp;L'!$G$10:$G$11))*(F7*(1-MIN(30,'0. Assumptions'!$B$58)/30)+E7*MIN(30,'0. Assumptions'!$B$58)/30)),"")</f>
        <v>12260.676206193575</v>
      </c>
      <c r="G9" s="40">
        <f>IFERROR(IF('3-Year P&amp;L'!$B$9="","",('3-Year P&amp;L'!$B$9+'3-Year P&amp;L'!$B$9*SUMPRODUCT('3-Year P&amp;L'!$E$10:$E$11,'3-Year P&amp;L'!$G$10:$G$11))*(G7*(1-MIN(30,'0. Assumptions'!$B$58)/30)+F7*MIN(30,'0. Assumptions'!$B$58)/30)),"")</f>
        <v>15238.987904086984</v>
      </c>
      <c r="H9" s="40">
        <f>IFERROR(IF('3-Year P&amp;L'!$B$9="","",('3-Year P&amp;L'!$B$9+'3-Year P&amp;L'!$B$9*SUMPRODUCT('3-Year P&amp;L'!$E$10:$E$11,'3-Year P&amp;L'!$G$10:$G$11))*(H7*(1-MIN(30,'0. Assumptions'!$B$58)/30)+G7*MIN(30,'0. Assumptions'!$B$58)/30)),"")</f>
        <v>29034.15435394622</v>
      </c>
      <c r="I9" s="40">
        <f>IFERROR(IF('3-Year P&amp;L'!$B$9="","",('3-Year P&amp;L'!$B$9+'3-Year P&amp;L'!$B$9*SUMPRODUCT('3-Year P&amp;L'!$E$10:$E$11,'3-Year P&amp;L'!$G$10:$G$11))*(I7*(1-MIN(30,'0. Assumptions'!$B$58)/30)+H7*MIN(30,'0. Assumptions'!$B$58)/30)),"")</f>
        <v>35796.509076788665</v>
      </c>
      <c r="J9" s="40">
        <f>IFERROR(IF('3-Year P&amp;L'!$B$9="","",('3-Year P&amp;L'!$B$9+'3-Year P&amp;L'!$B$9*SUMPRODUCT('3-Year P&amp;L'!$E$10:$E$11,'3-Year P&amp;L'!$G$10:$G$11))*(J7*(1-MIN(30,'0. Assumptions'!$B$58)/30)+I7*MIN(30,'0. Assumptions'!$B$58)/30)),"")</f>
        <v>25643.215998446754</v>
      </c>
      <c r="K9" s="40">
        <f>IFERROR(IF('3-Year P&amp;L'!$B$9="","",('3-Year P&amp;L'!$B$9+'3-Year P&amp;L'!$B$9*SUMPRODUCT('3-Year P&amp;L'!$E$10:$E$11,'3-Year P&amp;L'!$G$10:$G$11))*(K7*(1-MIN(30,'0. Assumptions'!$B$58)/30)+J7*MIN(30,'0. Assumptions'!$B$58)/30)),"")</f>
        <v>22410.00291233861</v>
      </c>
      <c r="L9" s="40">
        <f>IFERROR(IF('3-Year P&amp;L'!$B$9="","",('3-Year P&amp;L'!$B$9+'3-Year P&amp;L'!$B$9*SUMPRODUCT('3-Year P&amp;L'!$E$10:$E$11,'3-Year P&amp;L'!$G$10:$G$11))*(L7*(1-MIN(30,'0. Assumptions'!$B$58)/30)+K7*MIN(30,'0. Assumptions'!$B$58)/30)),"")</f>
        <v>11671.05018930201</v>
      </c>
      <c r="M9" s="40">
        <f>IFERROR(IF('3-Year P&amp;L'!$B$9="","",('3-Year P&amp;L'!$B$9+'3-Year P&amp;L'!$B$9*SUMPRODUCT('3-Year P&amp;L'!$E$10:$E$11,'3-Year P&amp;L'!$G$10:$G$11))*(M7*(1-MIN(30,'0. Assumptions'!$B$58)/30)+L7*MIN(30,'0. Assumptions'!$B$58)/30)),"")</f>
        <v>12454.408698184641</v>
      </c>
      <c r="N9" s="40">
        <f>IFERROR(IF('3-Year P&amp;L'!$B$9="","",SUM(B9:M9)),"")</f>
        <v>229407.53091932824</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-2148.8131249393264</v>
      </c>
      <c r="C11" s="40">
        <f>IFERROR(IF('3-Year P&amp;L'!$B$9="","",-('3-Year P&amp;L'!$B$13*(1+'3-Year P&amp;L'!$G$13)+'3-Year P&amp;L'!$B$14*(1+'3-Year P&amp;L'!$G$14)+'3-Year P&amp;L'!$B$15*(1+'3-Year P&amp;L'!$G$15)+'3-Year P&amp;L'!$B$16*(1+'3-Year P&amp;L'!$G$16)+'3-Year P&amp;L'!$B$17*(1+'3-Year P&amp;L'!$G$17)+'3-Year P&amp;L'!$B$18*(1+'3-Year P&amp;L'!$G$18))*(C7*(1-MIN(30,'0. Assumptions'!$B$59)/30)+B7*MIN(30,'0. Assumptions'!$B$59)/30)),"")</f>
        <v>-4121.932229880594</v>
      </c>
      <c r="D11" s="40">
        <f>IFERROR(IF('3-Year P&amp;L'!$B$9="","",-('3-Year P&amp;L'!$B$13*(1+'3-Year P&amp;L'!$G$13)+'3-Year P&amp;L'!$B$14*(1+'3-Year P&amp;L'!$G$14)+'3-Year P&amp;L'!$B$15*(1+'3-Year P&amp;L'!$G$15)+'3-Year P&amp;L'!$B$16*(1+'3-Year P&amp;L'!$G$16)+'3-Year P&amp;L'!$B$17*(1+'3-Year P&amp;L'!$G$17)+'3-Year P&amp;L'!$B$18*(1+'3-Year P&amp;L'!$G$18))*(D7*(1-MIN(30,'0. Assumptions'!$B$59)/30)+C7*MIN(30,'0. Assumptions'!$B$59)/30)),"")</f>
        <v>-5693.714635472283</v>
      </c>
      <c r="E11" s="40">
        <f>IFERROR(IF('3-Year P&amp;L'!$B$9="","",-('3-Year P&amp;L'!$B$13*(1+'3-Year P&amp;L'!$G$13)+'3-Year P&amp;L'!$B$14*(1+'3-Year P&amp;L'!$G$14)+'3-Year P&amp;L'!$B$15*(1+'3-Year P&amp;L'!$G$15)+'3-Year P&amp;L'!$B$16*(1+'3-Year P&amp;L'!$G$16)+'3-Year P&amp;L'!$B$17*(1+'3-Year P&amp;L'!$G$17)+'3-Year P&amp;L'!$B$18*(1+'3-Year P&amp;L'!$G$18))*(E7*(1-MIN(30,'0. Assumptions'!$B$59)/30)+D7*MIN(30,'0. Assumptions'!$B$59)/30)),"")</f>
        <v>-5172.0651626055715</v>
      </c>
      <c r="F11" s="40">
        <f>IFERROR(IF('3-Year P&amp;L'!$B$9="","",-('3-Year P&amp;L'!$B$13*(1+'3-Year P&amp;L'!$G$13)+'3-Year P&amp;L'!$B$14*(1+'3-Year P&amp;L'!$G$14)+'3-Year P&amp;L'!$B$15*(1+'3-Year P&amp;L'!$G$15)+'3-Year P&amp;L'!$B$16*(1+'3-Year P&amp;L'!$G$16)+'3-Year P&amp;L'!$B$17*(1+'3-Year P&amp;L'!$G$17)+'3-Year P&amp;L'!$B$18*(1+'3-Year P&amp;L'!$G$18))*(F7*(1-MIN(30,'0. Assumptions'!$B$59)/30)+E7*MIN(30,'0. Assumptions'!$B$59)/30)),"")</f>
        <v>-3729.4191593049213</v>
      </c>
      <c r="G11" s="40">
        <f>IFERROR(IF('3-Year P&amp;L'!$B$9="","",-('3-Year P&amp;L'!$B$13*(1+'3-Year P&amp;L'!$G$13)+'3-Year P&amp;L'!$B$14*(1+'3-Year P&amp;L'!$G$14)+'3-Year P&amp;L'!$B$15*(1+'3-Year P&amp;L'!$G$15)+'3-Year P&amp;L'!$B$16*(1+'3-Year P&amp;L'!$G$16)+'3-Year P&amp;L'!$B$17*(1+'3-Year P&amp;L'!$G$17)+'3-Year P&amp;L'!$B$18*(1+'3-Year P&amp;L'!$G$18))*(G7*(1-MIN(30,'0. Assumptions'!$B$59)/30)+F7*MIN(30,'0. Assumptions'!$B$59)/30)),"")</f>
        <v>-4071.6202446364427</v>
      </c>
      <c r="H11" s="40">
        <f>IFERROR(IF('3-Year P&amp;L'!$B$9="","",-('3-Year P&amp;L'!$B$13*(1+'3-Year P&amp;L'!$G$13)+'3-Year P&amp;L'!$B$14*(1+'3-Year P&amp;L'!$G$14)+'3-Year P&amp;L'!$B$15*(1+'3-Year P&amp;L'!$G$15)+'3-Year P&amp;L'!$B$16*(1+'3-Year P&amp;L'!$G$16)+'3-Year P&amp;L'!$B$17*(1+'3-Year P&amp;L'!$G$17)+'3-Year P&amp;L'!$B$18*(1+'3-Year P&amp;L'!$G$18))*(H7*(1-MIN(30,'0. Assumptions'!$B$59)/30)+G7*MIN(30,'0. Assumptions'!$B$59)/30)),"")</f>
        <v>-7314.874759732064</v>
      </c>
      <c r="I11" s="40">
        <f>IFERROR(IF('3-Year P&amp;L'!$B$9="","",-('3-Year P&amp;L'!$B$13*(1+'3-Year P&amp;L'!$G$13)+'3-Year P&amp;L'!$B$14*(1+'3-Year P&amp;L'!$G$14)+'3-Year P&amp;L'!$B$15*(1+'3-Year P&amp;L'!$G$15)+'3-Year P&amp;L'!$B$16*(1+'3-Year P&amp;L'!$G$16)+'3-Year P&amp;L'!$B$17*(1+'3-Year P&amp;L'!$G$17)+'3-Year P&amp;L'!$B$18*(1+'3-Year P&amp;L'!$G$18))*(I7*(1-MIN(30,'0. Assumptions'!$B$59)/30)+H7*MIN(30,'0. Assumptions'!$B$59)/30)),"")</f>
        <v>-9629.866226579945</v>
      </c>
      <c r="J11" s="40">
        <f>IFERROR(IF('3-Year P&amp;L'!$B$9="","",-('3-Year P&amp;L'!$B$13*(1+'3-Year P&amp;L'!$G$13)+'3-Year P&amp;L'!$B$14*(1+'3-Year P&amp;L'!$G$14)+'3-Year P&amp;L'!$B$15*(1+'3-Year P&amp;L'!$G$15)+'3-Year P&amp;L'!$B$16*(1+'3-Year P&amp;L'!$G$16)+'3-Year P&amp;L'!$B$17*(1+'3-Year P&amp;L'!$G$17)+'3-Year P&amp;L'!$B$18*(1+'3-Year P&amp;L'!$G$18))*(J7*(1-MIN(30,'0. Assumptions'!$B$59)/30)+I7*MIN(30,'0. Assumptions'!$B$59)/30)),"")</f>
        <v>-7757.699815551888</v>
      </c>
      <c r="K11" s="40">
        <f>IFERROR(IF('3-Year P&amp;L'!$B$9="","",-('3-Year P&amp;L'!$B$13*(1+'3-Year P&amp;L'!$G$13)+'3-Year P&amp;L'!$B$14*(1+'3-Year P&amp;L'!$G$14)+'3-Year P&amp;L'!$B$15*(1+'3-Year P&amp;L'!$G$15)+'3-Year P&amp;L'!$B$16*(1+'3-Year P&amp;L'!$G$16)+'3-Year P&amp;L'!$B$17*(1+'3-Year P&amp;L'!$G$17)+'3-Year P&amp;L'!$B$18*(1+'3-Year P&amp;L'!$G$18))*(K7*(1-MIN(30,'0. Assumptions'!$B$59)/30)+J7*MIN(30,'0. Assumptions'!$B$59)/30)),"")</f>
        <v>-6422.2176487719635</v>
      </c>
      <c r="L11" s="40">
        <f>IFERROR(IF('3-Year P&amp;L'!$B$9="","",-('3-Year P&amp;L'!$B$13*(1+'3-Year P&amp;L'!$G$13)+'3-Year P&amp;L'!$B$14*(1+'3-Year P&amp;L'!$G$14)+'3-Year P&amp;L'!$B$15*(1+'3-Year P&amp;L'!$G$15)+'3-Year P&amp;L'!$B$16*(1+'3-Year P&amp;L'!$G$16)+'3-Year P&amp;L'!$B$17*(1+'3-Year P&amp;L'!$G$17)+'3-Year P&amp;L'!$B$18*(1+'3-Year P&amp;L'!$G$18))*(L7*(1-MIN(30,'0. Assumptions'!$B$59)/30)+K7*MIN(30,'0. Assumptions'!$B$59)/30)),"")</f>
        <v>-3872.70797009999</v>
      </c>
      <c r="M11" s="40">
        <f>IFERROR(IF('3-Year P&amp;L'!$B$9="","",-('3-Year P&amp;L'!$B$13*(1+'3-Year P&amp;L'!$G$13)+'3-Year P&amp;L'!$B$14*(1+'3-Year P&amp;L'!$G$14)+'3-Year P&amp;L'!$B$15*(1+'3-Year P&amp;L'!$G$15)+'3-Year P&amp;L'!$B$16*(1+'3-Year P&amp;L'!$G$16)+'3-Year P&amp;L'!$B$17*(1+'3-Year P&amp;L'!$G$17)+'3-Year P&amp;L'!$B$18*(1+'3-Year P&amp;L'!$G$18))*(M7*(1-MIN(30,'0. Assumptions'!$B$59)/30)+L7*MIN(30,'0. Assumptions'!$B$59)/30)),"")</f>
        <v>-3410.4190272789047</v>
      </c>
      <c r="N11" s="40">
        <f>IFERROR(IF('3-Year P&amp;L'!$B$9="","",SUM(B11:M11)),"")</f>
        <v>-63345.3500048539</v>
      </c>
      <c r="O11" s="28" t="str">
        <f>IFERROR("Mixers, garnishes, ice, disposables,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Mixers, garnishes, ice, disposables,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-2875.0000000000005</v>
      </c>
      <c r="C12" s="40">
        <f>IFERROR(IF('3-Year P&amp;L'!$B$9="","",-('3-Year P&amp;L'!$B$38-'3-Year P&amp;L'!$B$23-'3-Year P&amp;L'!$B$36-'3-Year P&amp;L'!$B$37+'3-Year P&amp;L'!$B$40)/12),"")</f>
        <v>-2875.0000000000005</v>
      </c>
      <c r="D12" s="40">
        <f>IFERROR(IF('3-Year P&amp;L'!$B$9="","",-('3-Year P&amp;L'!$B$38-'3-Year P&amp;L'!$B$23-'3-Year P&amp;L'!$B$36-'3-Year P&amp;L'!$B$37+'3-Year P&amp;L'!$B$40)/12),"")</f>
        <v>-2875.0000000000005</v>
      </c>
      <c r="E12" s="40">
        <f>IFERROR(IF('3-Year P&amp;L'!$B$9="","",-('3-Year P&amp;L'!$B$38-'3-Year P&amp;L'!$B$23-'3-Year P&amp;L'!$B$36-'3-Year P&amp;L'!$B$37+'3-Year P&amp;L'!$B$40)/12),"")</f>
        <v>-2875.0000000000005</v>
      </c>
      <c r="F12" s="40">
        <f>IFERROR(IF('3-Year P&amp;L'!$B$9="","",-('3-Year P&amp;L'!$B$38-'3-Year P&amp;L'!$B$23-'3-Year P&amp;L'!$B$36-'3-Year P&amp;L'!$B$37+'3-Year P&amp;L'!$B$40)/12),"")</f>
        <v>-2875.0000000000005</v>
      </c>
      <c r="G12" s="40">
        <f>IFERROR(IF('3-Year P&amp;L'!$B$9="","",-('3-Year P&amp;L'!$B$38-'3-Year P&amp;L'!$B$23-'3-Year P&amp;L'!$B$36-'3-Year P&amp;L'!$B$37+'3-Year P&amp;L'!$B$40)/12),"")</f>
        <v>-2875.0000000000005</v>
      </c>
      <c r="H12" s="40">
        <f>IFERROR(IF('3-Year P&amp;L'!$B$9="","",-('3-Year P&amp;L'!$B$38-'3-Year P&amp;L'!$B$23-'3-Year P&amp;L'!$B$36-'3-Year P&amp;L'!$B$37+'3-Year P&amp;L'!$B$40)/12),"")</f>
        <v>-2875.0000000000005</v>
      </c>
      <c r="I12" s="40">
        <f>IFERROR(IF('3-Year P&amp;L'!$B$9="","",-('3-Year P&amp;L'!$B$38-'3-Year P&amp;L'!$B$23-'3-Year P&amp;L'!$B$36-'3-Year P&amp;L'!$B$37+'3-Year P&amp;L'!$B$40)/12),"")</f>
        <v>-2875.0000000000005</v>
      </c>
      <c r="J12" s="40">
        <f>IFERROR(IF('3-Year P&amp;L'!$B$9="","",-('3-Year P&amp;L'!$B$38-'3-Year P&amp;L'!$B$23-'3-Year P&amp;L'!$B$36-'3-Year P&amp;L'!$B$37+'3-Year P&amp;L'!$B$40)/12),"")</f>
        <v>-2875.0000000000005</v>
      </c>
      <c r="K12" s="40">
        <f>IFERROR(IF('3-Year P&amp;L'!$B$9="","",-('3-Year P&amp;L'!$B$38-'3-Year P&amp;L'!$B$23-'3-Year P&amp;L'!$B$36-'3-Year P&amp;L'!$B$37+'3-Year P&amp;L'!$B$40)/12),"")</f>
        <v>-2875.0000000000005</v>
      </c>
      <c r="L12" s="40">
        <f>IFERROR(IF('3-Year P&amp;L'!$B$9="","",-('3-Year P&amp;L'!$B$38-'3-Year P&amp;L'!$B$23-'3-Year P&amp;L'!$B$36-'3-Year P&amp;L'!$B$37+'3-Year P&amp;L'!$B$40)/12),"")</f>
        <v>-2875.0000000000005</v>
      </c>
      <c r="M12" s="40">
        <f>IFERROR(IF('3-Year P&amp;L'!$B$9="","",-('3-Year P&amp;L'!$B$38-'3-Year P&amp;L'!$B$23-'3-Year P&amp;L'!$B$36-'3-Year P&amp;L'!$B$37+'3-Year P&amp;L'!$B$40)/12),"")</f>
        <v>-2875.0000000000005</v>
      </c>
      <c r="N12" s="40">
        <f>IFERROR(IF('3-Year P&amp;L'!$B$9="","",SUM(B12:M12)),"")</f>
        <v>-34500.00000000001</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-6530.7</v>
      </c>
      <c r="C13" s="40">
        <f>IFERROR(IF('3-Year P&amp;L'!$B$9="","",-'3-Year P&amp;L'!$B$23/MAX(12,'0. Assumptions'!$B$21)*(1+IF(2='0. Assumptions'!$B$60,(MAX(12,'0. Assumptions'!$B$21)-12)/2,0)+IF(2='0. Assumptions'!$B$61,(MAX(12,'0. Assumptions'!$B$21)-12)/2,0))),"")</f>
        <v>-6530.7</v>
      </c>
      <c r="D13" s="40">
        <f>IFERROR(IF('3-Year P&amp;L'!$B$9="","",-'3-Year P&amp;L'!$B$23/MAX(12,'0. Assumptions'!$B$21)*(1+IF(3='0. Assumptions'!$B$60,(MAX(12,'0. Assumptions'!$B$21)-12)/2,0)+IF(3='0. Assumptions'!$B$61,(MAX(12,'0. Assumptions'!$B$21)-12)/2,0))),"")</f>
        <v>-6530.7</v>
      </c>
      <c r="E13" s="40">
        <f>IFERROR(IF('3-Year P&amp;L'!$B$9="","",-'3-Year P&amp;L'!$B$23/MAX(12,'0. Assumptions'!$B$21)*(1+IF(4='0. Assumptions'!$B$60,(MAX(12,'0. Assumptions'!$B$21)-12)/2,0)+IF(4='0. Assumptions'!$B$61,(MAX(12,'0. Assumptions'!$B$21)-12)/2,0))),"")</f>
        <v>-6530.7</v>
      </c>
      <c r="F13" s="40">
        <f>IFERROR(IF('3-Year P&amp;L'!$B$9="","",-'3-Year P&amp;L'!$B$23/MAX(12,'0. Assumptions'!$B$21)*(1+IF(5='0. Assumptions'!$B$60,(MAX(12,'0. Assumptions'!$B$21)-12)/2,0)+IF(5='0. Assumptions'!$B$61,(MAX(12,'0. Assumptions'!$B$21)-12)/2,0))),"")</f>
        <v>-6530.7</v>
      </c>
      <c r="G13" s="40">
        <f>IFERROR(IF('3-Year P&amp;L'!$B$9="","",-'3-Year P&amp;L'!$B$23/MAX(12,'0. Assumptions'!$B$21)*(1+IF(6='0. Assumptions'!$B$60,(MAX(12,'0. Assumptions'!$B$21)-12)/2,0)+IF(6='0. Assumptions'!$B$61,(MAX(12,'0. Assumptions'!$B$21)-12)/2,0))),"")</f>
        <v>-6530.7</v>
      </c>
      <c r="H13" s="40">
        <f>IFERROR(IF('3-Year P&amp;L'!$B$9="","",-'3-Year P&amp;L'!$B$23/MAX(12,'0. Assumptions'!$B$21)*(1+IF(7='0. Assumptions'!$B$60,(MAX(12,'0. Assumptions'!$B$21)-12)/2,0)+IF(7='0. Assumptions'!$B$61,(MAX(12,'0. Assumptions'!$B$21)-12)/2,0))),"")</f>
        <v>-6530.7</v>
      </c>
      <c r="I13" s="40">
        <f>IFERROR(IF('3-Year P&amp;L'!$B$9="","",-'3-Year P&amp;L'!$B$23/MAX(12,'0. Assumptions'!$B$21)*(1+IF(8='0. Assumptions'!$B$60,(MAX(12,'0. Assumptions'!$B$21)-12)/2,0)+IF(8='0. Assumptions'!$B$61,(MAX(12,'0. Assumptions'!$B$21)-12)/2,0))),"")</f>
        <v>-6530.7</v>
      </c>
      <c r="J13" s="40">
        <f>IFERROR(IF('3-Year P&amp;L'!$B$9="","",-'3-Year P&amp;L'!$B$23/MAX(12,'0. Assumptions'!$B$21)*(1+IF(9='0. Assumptions'!$B$60,(MAX(12,'0. Assumptions'!$B$21)-12)/2,0)+IF(9='0. Assumptions'!$B$61,(MAX(12,'0. Assumptions'!$B$21)-12)/2,0))),"")</f>
        <v>-6530.7</v>
      </c>
      <c r="K13" s="40">
        <f>IFERROR(IF('3-Year P&amp;L'!$B$9="","",-'3-Year P&amp;L'!$B$23/MAX(12,'0. Assumptions'!$B$21)*(1+IF(10='0. Assumptions'!$B$60,(MAX(12,'0. Assumptions'!$B$21)-12)/2,0)+IF(10='0. Assumptions'!$B$61,(MAX(12,'0. Assumptions'!$B$21)-12)/2,0))),"")</f>
        <v>-6530.7</v>
      </c>
      <c r="L13" s="40">
        <f>IFERROR(IF('3-Year P&amp;L'!$B$9="","",-'3-Year P&amp;L'!$B$23/MAX(12,'0. Assumptions'!$B$21)*(1+IF(11='0. Assumptions'!$B$60,(MAX(12,'0. Assumptions'!$B$21)-12)/2,0)+IF(11='0. Assumptions'!$B$61,(MAX(12,'0. Assumptions'!$B$21)-12)/2,0))),"")</f>
        <v>-6530.7</v>
      </c>
      <c r="M13" s="40">
        <f>IFERROR(IF('3-Year P&amp;L'!$B$9="","",-'3-Year P&amp;L'!$B$23/MAX(12,'0. Assumptions'!$B$21)*(1+IF(12='0. Assumptions'!$B$60,(MAX(12,'0. Assumptions'!$B$21)-12)/2,0)+IF(12='0. Assumptions'!$B$61,(MAX(12,'0. Assumptions'!$B$21)-12)/2,0))),"")</f>
        <v>-6530.7</v>
      </c>
      <c r="N13" s="40">
        <f>IFERROR(IF('3-Year P&amp;L'!$B$9="","",SUM(B13:M13)),"")</f>
        <v>-78368.4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-408.3333333333333</v>
      </c>
      <c r="C14" s="40">
        <f>IFERROR(IF('3-Year P&amp;L'!$B$9="","",-Financing!$B$44/12),"")</f>
        <v>-408.3333333333333</v>
      </c>
      <c r="D14" s="40">
        <f>IFERROR(IF('3-Year P&amp;L'!$B$9="","",-Financing!$B$44/12),"")</f>
        <v>-408.3333333333333</v>
      </c>
      <c r="E14" s="40">
        <f>IFERROR(IF('3-Year P&amp;L'!$B$9="","",-Financing!$B$44/12),"")</f>
        <v>-408.3333333333333</v>
      </c>
      <c r="F14" s="40">
        <f>IFERROR(IF('3-Year P&amp;L'!$B$9="","",-Financing!$B$44/12),"")</f>
        <v>-408.3333333333333</v>
      </c>
      <c r="G14" s="40">
        <f>IFERROR(IF('3-Year P&amp;L'!$B$9="","",-Financing!$B$44/12),"")</f>
        <v>-408.3333333333333</v>
      </c>
      <c r="H14" s="40">
        <f>IFERROR(IF('3-Year P&amp;L'!$B$9="","",-Financing!$B$44/12),"")</f>
        <v>-408.3333333333333</v>
      </c>
      <c r="I14" s="40">
        <f>IFERROR(IF('3-Year P&amp;L'!$B$9="","",-Financing!$B$44/12),"")</f>
        <v>-408.3333333333333</v>
      </c>
      <c r="J14" s="40">
        <f>IFERROR(IF('3-Year P&amp;L'!$B$9="","",-Financing!$B$44/12),"")</f>
        <v>-408.3333333333333</v>
      </c>
      <c r="K14" s="40">
        <f>IFERROR(IF('3-Year P&amp;L'!$B$9="","",-Financing!$B$44/12),"")</f>
        <v>-408.3333333333333</v>
      </c>
      <c r="L14" s="40">
        <f>IFERROR(IF('3-Year P&amp;L'!$B$9="","",-Financing!$B$44/12),"")</f>
        <v>-408.3333333333333</v>
      </c>
      <c r="M14" s="40">
        <f>IFERROR(IF('3-Year P&amp;L'!$B$9="","",-Financing!$B$44/12),"")</f>
        <v>-408.3333333333333</v>
      </c>
      <c r="N14" s="40">
        <f>IFERROR(IF('3-Year P&amp;L'!$B$9="","",SUM(B14:M14)),"")</f>
        <v>-4900.0</v>
      </c>
      <c r="O14" s="28" t="n"/>
    </row>
    <row r="15">
      <c r="A15" s="28" t="inlineStr">
        <is>
          <t>Loan principal repaid</t>
        </is>
      </c>
      <c r="B15" s="40">
        <f>IFERROR(IF('3-Year P&amp;L'!$B$9="","",-Financing!$B$45/12),"")</f>
        <v>-430.4057904440985</v>
      </c>
      <c r="C15" s="40">
        <f>IFERROR(IF('3-Year P&amp;L'!$B$9="","",-Financing!$B$45/12),"")</f>
        <v>-430.4057904440985</v>
      </c>
      <c r="D15" s="40">
        <f>IFERROR(IF('3-Year P&amp;L'!$B$9="","",-Financing!$B$45/12),"")</f>
        <v>-430.4057904440985</v>
      </c>
      <c r="E15" s="40">
        <f>IFERROR(IF('3-Year P&amp;L'!$B$9="","",-Financing!$B$45/12),"")</f>
        <v>-430.4057904440985</v>
      </c>
      <c r="F15" s="40">
        <f>IFERROR(IF('3-Year P&amp;L'!$B$9="","",-Financing!$B$45/12),"")</f>
        <v>-430.4057904440985</v>
      </c>
      <c r="G15" s="40">
        <f>IFERROR(IF('3-Year P&amp;L'!$B$9="","",-Financing!$B$45/12),"")</f>
        <v>-430.4057904440985</v>
      </c>
      <c r="H15" s="40">
        <f>IFERROR(IF('3-Year P&amp;L'!$B$9="","",-Financing!$B$45/12),"")</f>
        <v>-430.4057904440985</v>
      </c>
      <c r="I15" s="40">
        <f>IFERROR(IF('3-Year P&amp;L'!$B$9="","",-Financing!$B$45/12),"")</f>
        <v>-430.4057904440985</v>
      </c>
      <c r="J15" s="40">
        <f>IFERROR(IF('3-Year P&amp;L'!$B$9="","",-Financing!$B$45/12),"")</f>
        <v>-430.4057904440985</v>
      </c>
      <c r="K15" s="40">
        <f>IFERROR(IF('3-Year P&amp;L'!$B$9="","",-Financing!$B$45/12),"")</f>
        <v>-430.4057904440985</v>
      </c>
      <c r="L15" s="40">
        <f>IFERROR(IF('3-Year P&amp;L'!$B$9="","",-Financing!$B$45/12),"")</f>
        <v>-430.4057904440985</v>
      </c>
      <c r="M15" s="40">
        <f>IFERROR(IF('3-Year P&amp;L'!$B$9="","",-Financing!$B$45/12),"")</f>
        <v>-430.4057904440985</v>
      </c>
      <c r="N15" s="40">
        <f>IFERROR(IF('3-Year P&amp;L'!$B$9="","",SUM(B15:M15)),"")</f>
        <v>-5164.869485329182</v>
      </c>
      <c r="O15" s="28" t="n"/>
    </row>
    <row r="16">
      <c r="A16" s="28" t="inlineStr">
        <is>
          <t>Sales tax collected (memo)</t>
        </is>
      </c>
      <c r="B16" s="40">
        <f>IFERROR(IF('3-Year P&amp;L'!$B$9="","",'3-Year P&amp;L'!$B$9*B7*SUMPRODUCT('3-Year P&amp;L'!$E$10:$E$11,'3-Year P&amp;L'!$G$10:$G$11)),"")</f>
        <v>743.6947869138919</v>
      </c>
      <c r="C16" s="40">
        <f>IFERROR(IF('3-Year P&amp;L'!$B$9="","",'3-Year P&amp;L'!$B$9*C7*SUMPRODUCT('3-Year P&amp;L'!$E$10:$E$11,'3-Year P&amp;L'!$G$10:$G$11)),"")</f>
        <v>1200.2407533249202</v>
      </c>
      <c r="D16" s="40">
        <f>IFERROR(IF('3-Year P&amp;L'!$B$9="","",'3-Year P&amp;L'!$B$9*D7*SUMPRODUCT('3-Year P&amp;L'!$E$10:$E$11,'3-Year P&amp;L'!$G$10:$G$11)),"")</f>
        <v>1605.278969679319</v>
      </c>
      <c r="E16" s="40">
        <f>IFERROR(IF('3-Year P&amp;L'!$B$9="","",'3-Year P&amp;L'!$B$9*E7*SUMPRODUCT('3-Year P&amp;L'!$E$10:$E$11,'3-Year P&amp;L'!$G$10:$G$11)),"")</f>
        <v>1301.4658770993105</v>
      </c>
      <c r="F16" s="40">
        <f>IFERROR(IF('3-Year P&amp;L'!$B$9="","",'3-Year P&amp;L'!$B$9*F7*SUMPRODUCT('3-Year P&amp;L'!$E$10:$E$11,'3-Year P&amp;L'!$G$10:$G$11)),"")</f>
        <v>894.6372844060448</v>
      </c>
      <c r="G16" s="40">
        <f>IFERROR(IF('3-Year P&amp;L'!$B$9="","",'3-Year P&amp;L'!$B$9*G7*SUMPRODUCT('3-Year P&amp;L'!$E$10:$E$11,'3-Year P&amp;L'!$G$10:$G$11)),"")</f>
        <v>1136.8889751804033</v>
      </c>
      <c r="H16" s="40">
        <f>IFERROR(IF('3-Year P&amp;L'!$B$9="","",'3-Year P&amp;L'!$B$9*H7*SUMPRODUCT('3-Year P&amp;L'!$E$10:$E$11,'3-Year P&amp;L'!$G$10:$G$11)),"")</f>
        <v>2185.6363459858267</v>
      </c>
      <c r="I16" s="40">
        <f>IFERROR(IF('3-Year P&amp;L'!$B$9="","",'3-Year P&amp;L'!$B$9*I7*SUMPRODUCT('3-Year P&amp;L'!$E$10:$E$11,'3-Year P&amp;L'!$G$10:$G$11)),"")</f>
        <v>2667.6607449114977</v>
      </c>
      <c r="J16" s="40">
        <f>IFERROR(IF('3-Year P&amp;L'!$B$9="","",'3-Year P&amp;L'!$B$9*J7*SUMPRODUCT('3-Year P&amp;L'!$E$10:$E$11,'3-Year P&amp;L'!$G$10:$G$11)),"")</f>
        <v>1873.0090929683206</v>
      </c>
      <c r="K16" s="40">
        <f>IFERROR(IF('3-Year P&amp;L'!$B$9="","",'3-Year P&amp;L'!$B$9*K7*SUMPRODUCT('3-Year P&amp;L'!$E$10:$E$11,'3-Year P&amp;L'!$G$10:$G$11)),"")</f>
        <v>1652.655082030871</v>
      </c>
      <c r="L16" s="40">
        <f>IFERROR(IF('3-Year P&amp;L'!$B$9="","",'3-Year P&amp;L'!$B$9*L7*SUMPRODUCT('3-Year P&amp;L'!$E$10:$E$11,'3-Year P&amp;L'!$G$10:$G$11)),"")</f>
        <v>837.3452415623078</v>
      </c>
      <c r="M16" s="40">
        <f>IFERROR(IF('3-Year P&amp;L'!$B$9="","",'3-Year P&amp;L'!$B$9*M7*SUMPRODUCT('3-Year P&amp;L'!$E$10:$E$11,'3-Year P&amp;L'!$G$10:$G$11)),"")</f>
        <v>925.4868459372877</v>
      </c>
      <c r="N16" s="40">
        <f>IFERROR(IF('3-Year P&amp;L'!$B$9="","",SUM(B16:M16)),"")</f>
        <v>17024.000000000004</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3549.214509918131</v>
      </c>
      <c r="F19" s="28" t="n"/>
      <c r="G19" s="28" t="n"/>
      <c r="H19" s="40">
        <f>IFERROR(IF('3-Year P&amp;L'!$B$9="","",SUM(E16:G16)-SUM(E17:G17)-H18),"")</f>
        <v>3332.992136685759</v>
      </c>
      <c r="I19" s="28" t="n"/>
      <c r="J19" s="28" t="n"/>
      <c r="K19" s="40">
        <f>IFERROR(IF('3-Year P&amp;L'!$B$9="","",SUM(H16:J16)-SUM(H17:J17)-K18),"")</f>
        <v>6726.306183865645</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-3549.214509918131</v>
      </c>
      <c r="F20" s="28" t="n"/>
      <c r="G20" s="28" t="n"/>
      <c r="H20" s="40">
        <f>IFERROR(IF('3-Year P&amp;L'!$B$9="","",IF(H19&lt;=0,"",-H19)),"")</f>
        <v>-3332.992136685759</v>
      </c>
      <c r="I20" s="28" t="n"/>
      <c r="J20" s="28" t="n"/>
      <c r="K20" s="40">
        <f>IFERROR(IF('3-Year P&amp;L'!$B$9="","",IF(K19&lt;=0,"",-K19)),"")</f>
        <v>-6726.306183865645</v>
      </c>
      <c r="L20" s="28" t="n"/>
      <c r="M20" s="28" t="n"/>
      <c r="N20" s="40">
        <f>IFERROR(IF('3-Year P&amp;L'!$B$9="","",SUM(B20:M20)),"")</f>
        <v>-13608.512830469535</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-2688.0352794904675</v>
      </c>
      <c r="C21" s="66">
        <f>IFERROR(IF('3-Year P&amp;L'!$B$9="","",SUM(C9:C15)+IF(C20="",0,C20)),"")</f>
        <v>1631.4331313434348</v>
      </c>
      <c r="D21" s="66">
        <f>IFERROR(IF('3-Year P&amp;L'!$B$9="","",SUM(D9:D15)+IF(D20="",0,D20)),"")</f>
        <v>5550.845134061613</v>
      </c>
      <c r="E21" s="66">
        <f>IFERROR(IF('3-Year P&amp;L'!$B$9="","",SUM(E9:E15)+IF(E20="",0,E20)),"")</f>
        <v>-1259.2135637994356</v>
      </c>
      <c r="F21" s="66">
        <f>IFERROR(IF('3-Year P&amp;L'!$B$9="","",SUM(F9:F15)+IF(F20="",0,F20)),"")</f>
        <v>-1713.1820768887783</v>
      </c>
      <c r="G21" s="66">
        <f>IFERROR(IF('3-Year P&amp;L'!$B$9="","",SUM(G9:G15)+IF(G20="",0,G20)),"")</f>
        <v>922.9285356731098</v>
      </c>
      <c r="H21" s="66">
        <f>IFERROR(IF('3-Year P&amp;L'!$B$9="","",SUM(H9:H15)+IF(H20="",0,H20)),"")</f>
        <v>8141.848333750965</v>
      </c>
      <c r="I21" s="66">
        <f>IFERROR(IF('3-Year P&amp;L'!$B$9="","",SUM(I9:I15)+IF(I20="",0,I20)),"")</f>
        <v>15922.20372643129</v>
      </c>
      <c r="J21" s="66">
        <f>IFERROR(IF('3-Year P&amp;L'!$B$9="","",SUM(J9:J15)+IF(J20="",0,J20)),"")</f>
        <v>7641.077059117433</v>
      </c>
      <c r="K21" s="66">
        <f>IFERROR(IF('3-Year P&amp;L'!$B$9="","",SUM(K9:K15)+IF(K20="",0,K20)),"")</f>
        <v>-982.9600440764307</v>
      </c>
      <c r="L21" s="66">
        <f>IFERROR(IF('3-Year P&amp;L'!$B$9="","",SUM(L9:L15)+IF(L20="",0,L20)),"")</f>
        <v>-2446.096904575411</v>
      </c>
      <c r="M21" s="66">
        <f>IFERROR(IF('3-Year P&amp;L'!$B$9="","",SUM(M9:M15)+IF(M20="",0,M20)),"")</f>
        <v>-1200.449452871696</v>
      </c>
      <c r="N21" s="66">
        <f>IFERROR(IF('3-Year P&amp;L'!$B$9="","",SUM(B21:M21)),"")</f>
        <v>29520.398598675623</v>
      </c>
      <c r="O21" s="28" t="n"/>
    </row>
    <row r="22">
      <c r="A22" s="25" t="inlineStr">
        <is>
          <t>CUMULATIVE CASH BALANCE</t>
        </is>
      </c>
      <c r="B22" s="66">
        <f>IFERROR(IF('3-Year P&amp;L'!$B$9="","",'Startup Costs'!$B$25+B21),"")</f>
        <v>26754.064720509527</v>
      </c>
      <c r="C22" s="66">
        <f>IFERROR(IF('3-Year P&amp;L'!$B$9="","",B22+C21),"")</f>
        <v>28385.49785185296</v>
      </c>
      <c r="D22" s="66">
        <f>IFERROR(IF('3-Year P&amp;L'!$B$9="","",C22+D21),"")</f>
        <v>33936.342985914576</v>
      </c>
      <c r="E22" s="66">
        <f>IFERROR(IF('3-Year P&amp;L'!$B$9="","",D22+E21),"")</f>
        <v>32677.12942211514</v>
      </c>
      <c r="F22" s="66">
        <f>IFERROR(IF('3-Year P&amp;L'!$B$9="","",E22+F21),"")</f>
        <v>30963.947345226363</v>
      </c>
      <c r="G22" s="66">
        <f>IFERROR(IF('3-Year P&amp;L'!$B$9="","",F22+G21),"")</f>
        <v>31886.87588089947</v>
      </c>
      <c r="H22" s="66">
        <f>IFERROR(IF('3-Year P&amp;L'!$B$9="","",G22+H21),"")</f>
        <v>40028.724214650436</v>
      </c>
      <c r="I22" s="66">
        <f>IFERROR(IF('3-Year P&amp;L'!$B$9="","",H22+I21),"")</f>
        <v>55950.927941081725</v>
      </c>
      <c r="J22" s="66">
        <f>IFERROR(IF('3-Year P&amp;L'!$B$9="","",I22+J21),"")</f>
        <v>63592.00500019916</v>
      </c>
      <c r="K22" s="66">
        <f>IFERROR(IF('3-Year P&amp;L'!$B$9="","",J22+K21),"")</f>
        <v>62609.04495612273</v>
      </c>
      <c r="L22" s="66">
        <f>IFERROR(IF('3-Year P&amp;L'!$B$9="","",K22+L21),"")</f>
        <v>60162.94805154732</v>
      </c>
      <c r="M22" s="66">
        <f>IFERROR(IF('3-Year P&amp;L'!$B$9="","",L22+M21),"")</f>
        <v>58962.49859867562</v>
      </c>
      <c r="N22" s="28" t="n"/>
      <c r="O22" s="28" t="n"/>
    </row>
    <row r="23">
      <c r="A23" s="28" t="inlineStr">
        <is>
          <t>Minimum balance of the year</t>
        </is>
      </c>
      <c r="B23" s="40">
        <f>IFERROR(IF('3-Year P&amp;L'!$B$9="","",IF(COUNT(B22:M22)=0,"",MIN(B22:M22))),"")</f>
        <v>26754.064720509527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1.0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29508.942857142847</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38277.88112000964</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45696.14000916311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39585.268084004805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76972.09999999999</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(trailer, conversion, equipment, launch and formation costs), without working capital: that money is not spent, it is tied up and comes back when you close the business. Informational: the payback that is published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49.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28000.0</v>
      </c>
      <c r="C6" s="28" t="n"/>
      <c r="D6" s="28" t="n"/>
      <c r="E6" s="28" t="n"/>
      <c r="F6" s="28" t="n"/>
      <c r="G6" s="28" t="n"/>
      <c r="H6" s="28" t="n"/>
    </row>
    <row r="7">
      <c r="A7" s="28" t="inlineStr">
        <is>
          <t>Loan requested — bank or SBA 7(a) (amortized below)</t>
        </is>
      </c>
      <c r="B7" s="40">
        <f>IFERROR(IF('0. Assumptions'!$B$31="","",'0. Assumptions'!$B$31),"")</f>
        <v>49000.0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77000.0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76972.09999999999</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27.90000000000873</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0.0003624689985073648</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48972.09999999999</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49000.0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10064.869485329182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49000.0</v>
      </c>
      <c r="C27" s="61">
        <f>IFERROR(IF(OR(1&gt;B22,B27=""),"",B27*B21),"")</f>
        <v>4900.0</v>
      </c>
      <c r="D27" s="61">
        <f>IFERROR(IF(OR(1&gt;B22,B27=""),"",IF(1&lt;=B23,0,MIN(B27,B24-C27))),"")</f>
        <v>5164.869485329182</v>
      </c>
      <c r="E27" s="61">
        <f>IFERROR(IF(C27="","",C27+D27),"")</f>
        <v>10064.869485329182</v>
      </c>
      <c r="F27" s="61">
        <f>IFERROR(IF(D27="","",B27-D27),"")</f>
        <v>43835.13051467082</v>
      </c>
      <c r="G27" s="61">
        <f>IFERROR(IF(E27="","",'3-Year P&amp;L'!$B$41-'3-Year P&amp;L'!$B$46+'3-Year P&amp;L'!$B$36+'3-Year P&amp;L'!$B$37),"")</f>
        <v>29508.942857142847</v>
      </c>
      <c r="H27" s="61">
        <f>IFERROR(IF(OR(E27="",E27=0),"",G27/E27),"")</f>
        <v>2.931875361141628</v>
      </c>
    </row>
    <row r="28">
      <c r="A28" s="40" t="n">
        <v>2</v>
      </c>
      <c r="B28" s="61">
        <f>IFERROR(IF(OR(2&gt;B22,F27=""),"",F27),"")</f>
        <v>43835.13051467082</v>
      </c>
      <c r="C28" s="61">
        <f>IFERROR(IF(OR(2&gt;B22,B28=""),"",B28*B21),"")</f>
        <v>4383.513051467082</v>
      </c>
      <c r="D28" s="61">
        <f>IFERROR(IF(OR(2&gt;B22,B28=""),"",IF(2&lt;=B23,0,MIN(B28,B24-C28))),"")</f>
        <v>5681.3564338621</v>
      </c>
      <c r="E28" s="61">
        <f>IFERROR(IF(C28="","",C28+D28),"")</f>
        <v>10064.869485329182</v>
      </c>
      <c r="F28" s="61">
        <f>IFERROR(IF(D28="","",B28-D28),"")</f>
        <v>38153.77408080872</v>
      </c>
      <c r="G28" s="61">
        <f>IFERROR(IF(E28="","",'3-Year P&amp;L'!$C$41-'3-Year P&amp;L'!$C$46+'3-Year P&amp;L'!$C$36+'3-Year P&amp;L'!$C$37),"")</f>
        <v>38277.88112000964</v>
      </c>
      <c r="H28" s="61">
        <f>IFERROR(IF(OR(E28="",E28=0),"",G28/E28),"")</f>
        <v>3.803117484613634</v>
      </c>
    </row>
    <row r="29">
      <c r="A29" s="40" t="n">
        <v>3</v>
      </c>
      <c r="B29" s="61">
        <f>IFERROR(IF(OR(3&gt;B22,F28=""),"",F28),"")</f>
        <v>38153.77408080872</v>
      </c>
      <c r="C29" s="61">
        <f>IFERROR(IF(OR(3&gt;B22,B29=""),"",B29*B21),"")</f>
        <v>3815.377408080872</v>
      </c>
      <c r="D29" s="61">
        <f>IFERROR(IF(OR(3&gt;B22,B29=""),"",IF(3&lt;=B23,0,MIN(B29,B24-C29))),"")</f>
        <v>6249.492077248309</v>
      </c>
      <c r="E29" s="61">
        <f>IFERROR(IF(C29="","",C29+D29),"")</f>
        <v>10064.869485329182</v>
      </c>
      <c r="F29" s="61">
        <f>IFERROR(IF(D29="","",B29-D29),"")</f>
        <v>31904.28200356041</v>
      </c>
      <c r="G29" s="61">
        <f>IFERROR(IF(E29="","",'3-Year P&amp;L'!$D$41-'3-Year P&amp;L'!$D$46+'3-Year P&amp;L'!$D$36+'3-Year P&amp;L'!$D$37),"")</f>
        <v>45696.14000916311</v>
      </c>
      <c r="H29" s="61">
        <f>IFERROR(IF(OR(E29="",E29=0),"",G29/E29),"")</f>
        <v>4.540162202378382</v>
      </c>
    </row>
    <row r="30">
      <c r="A30" s="40" t="n">
        <v>4</v>
      </c>
      <c r="B30" s="61">
        <f>IFERROR(IF(OR(4&gt;B22,F29=""),"",F29),"")</f>
        <v>31904.28200356041</v>
      </c>
      <c r="C30" s="61">
        <f>IFERROR(IF(OR(4&gt;B22,B30=""),"",B30*B21),"")</f>
        <v>3190.428200356041</v>
      </c>
      <c r="D30" s="61">
        <f>IFERROR(IF(OR(4&gt;B22,B30=""),"",IF(4&lt;=B23,0,MIN(B30,B24-C30))),"")</f>
        <v>6874.441284973141</v>
      </c>
      <c r="E30" s="61">
        <f>IFERROR(IF(C30="","",C30+D30),"")</f>
        <v>10064.869485329182</v>
      </c>
      <c r="F30" s="61">
        <f>IFERROR(IF(D30="","",B30-D30),"")</f>
        <v>25029.840718587267</v>
      </c>
      <c r="G30" s="61">
        <f>IFERROR(IF(E30="","",'3-Year P&amp;L'!$D$41-'3-Year P&amp;L'!$D$46+'3-Year P&amp;L'!$D$36+'3-Year P&amp;L'!$D$37),"")</f>
        <v>45696.14000916311</v>
      </c>
      <c r="H30" s="61">
        <f>IFERROR(IF(OR(E30="",E30=0),"",G30/E30),"")</f>
        <v>4.540162202378382</v>
      </c>
    </row>
    <row r="31">
      <c r="A31" s="40" t="n">
        <v>5</v>
      </c>
      <c r="B31" s="61">
        <f>IFERROR(IF(OR(5&gt;B22,F30=""),"",F30),"")</f>
        <v>25029.840718587267</v>
      </c>
      <c r="C31" s="61">
        <f>IFERROR(IF(OR(5&gt;B22,B31=""),"",B31*B21),"")</f>
        <v>2502.984071858727</v>
      </c>
      <c r="D31" s="61">
        <f>IFERROR(IF(OR(5&gt;B22,B31=""),"",IF(5&lt;=B23,0,MIN(B31,B24-C31))),"")</f>
        <v>7561.885413470454</v>
      </c>
      <c r="E31" s="61">
        <f>IFERROR(IF(C31="","",C31+D31),"")</f>
        <v>10064.869485329182</v>
      </c>
      <c r="F31" s="61">
        <f>IFERROR(IF(D31="","",B31-D31),"")</f>
        <v>17467.95530511681</v>
      </c>
      <c r="G31" s="61">
        <f>IFERROR(IF(E31="","",'3-Year P&amp;L'!$D$41-'3-Year P&amp;L'!$D$46+'3-Year P&amp;L'!$D$36+'3-Year P&amp;L'!$D$37),"")</f>
        <v>45696.14000916311</v>
      </c>
      <c r="H31" s="61">
        <f>IFERROR(IF(OR(E31="",E31=0),"",G31/E31),"")</f>
        <v>4.540162202378382</v>
      </c>
    </row>
    <row r="32">
      <c r="A32" s="40" t="n">
        <v>6</v>
      </c>
      <c r="B32" s="61">
        <f>IFERROR(IF(OR(6&gt;B22,F31=""),"",F31),"")</f>
        <v>17467.95530511681</v>
      </c>
      <c r="C32" s="61">
        <f>IFERROR(IF(OR(6&gt;B22,B32=""),"",B32*B21),"")</f>
        <v>1746.7955305116811</v>
      </c>
      <c r="D32" s="61">
        <f>IFERROR(IF(OR(6&gt;B22,B32=""),"",IF(6&lt;=B23,0,MIN(B32,B24-C32))),"")</f>
        <v>8318.0739548175</v>
      </c>
      <c r="E32" s="61">
        <f>IFERROR(IF(C32="","",C32+D32),"")</f>
        <v>10064.869485329182</v>
      </c>
      <c r="F32" s="61">
        <f>IFERROR(IF(D32="","",B32-D32),"")</f>
        <v>9149.88135029931</v>
      </c>
      <c r="G32" s="61">
        <f>IFERROR(IF(E32="","",'3-Year P&amp;L'!$D$41-'3-Year P&amp;L'!$D$46+'3-Year P&amp;L'!$D$36+'3-Year P&amp;L'!$D$37),"")</f>
        <v>45696.14000916311</v>
      </c>
      <c r="H32" s="61">
        <f>IFERROR(IF(OR(E32="",E32=0),"",G32/E32),"")</f>
        <v>4.540162202378382</v>
      </c>
    </row>
    <row r="33">
      <c r="A33" s="40" t="n">
        <v>7</v>
      </c>
      <c r="B33" s="61">
        <f>IFERROR(IF(OR(7&gt;B22,F32=""),"",F32),"")</f>
        <v>9149.88135029931</v>
      </c>
      <c r="C33" s="61">
        <f>IFERROR(IF(OR(7&gt;B22,B33=""),"",B33*B21),"")</f>
        <v>914.9881350299311</v>
      </c>
      <c r="D33" s="61">
        <f>IFERROR(IF(OR(7&gt;B22,B33=""),"",IF(7&lt;=B23,0,MIN(B33,B24-C33))),"")</f>
        <v>9149.88135029925</v>
      </c>
      <c r="E33" s="61">
        <f>IFERROR(IF(C33="","",C33+D33),"")</f>
        <v>10064.869485329182</v>
      </c>
      <c r="F33" s="61">
        <f>IFERROR(IF(D33="","",B33-D33),"")</f>
        <v>6.002665031701326e-11</v>
      </c>
      <c r="G33" s="61">
        <f>IFERROR(IF(E33="","",'3-Year P&amp;L'!$D$41-'3-Year P&amp;L'!$D$46+'3-Year P&amp;L'!$D$36+'3-Year P&amp;L'!$D$37),"")</f>
        <v>45696.14000916311</v>
      </c>
      <c r="H33" s="61">
        <f>IFERROR(IF(OR(E33="",E33=0),"",G33/E33),"")</f>
        <v>4.540162202378382</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4900.0</v>
      </c>
      <c r="C44" s="28" t="n"/>
      <c r="D44" s="28" t="n"/>
      <c r="E44" s="28" t="n"/>
      <c r="F44" s="28" t="n"/>
      <c r="G44" s="28" t="n"/>
      <c r="H44" s="28" t="n"/>
    </row>
    <row r="45">
      <c r="A45" s="28" t="inlineStr">
        <is>
          <t>Year-1 principal repaid</t>
        </is>
      </c>
      <c r="B45" s="40">
        <f>IFERROR(IF(B20="","",IF(D27="",0,D27)),"")</f>
        <v>5164.869485329182</v>
      </c>
      <c r="C45" s="28" t="n"/>
      <c r="D45" s="28" t="n"/>
      <c r="E45" s="28" t="n"/>
      <c r="F45" s="28" t="n"/>
      <c r="G45" s="28" t="n"/>
      <c r="H45" s="28" t="n"/>
    </row>
    <row r="46">
      <c r="A46" s="28" t="inlineStr">
        <is>
          <t>Year-2 interest</t>
        </is>
      </c>
      <c r="B46" s="40">
        <f>IFERROR(IF(B20="","",IF(C28="",0,C28)),"")</f>
        <v>4383.513051467082</v>
      </c>
      <c r="C46" s="28" t="n"/>
      <c r="D46" s="28" t="n"/>
      <c r="E46" s="28" t="n"/>
      <c r="F46" s="28" t="n"/>
      <c r="G46" s="28" t="n"/>
      <c r="H46" s="28" t="n"/>
    </row>
    <row r="47">
      <c r="A47" s="28" t="inlineStr">
        <is>
          <t>Year-2 principal repaid</t>
        </is>
      </c>
      <c r="B47" s="40">
        <f>IFERROR(IF(B20="","",IF(D28="",0,D28)),"")</f>
        <v>5681.3564338621</v>
      </c>
      <c r="C47" s="28" t="n"/>
      <c r="D47" s="28" t="n"/>
      <c r="E47" s="28" t="n"/>
      <c r="F47" s="28" t="n"/>
      <c r="G47" s="28" t="n"/>
      <c r="H47" s="28" t="n"/>
    </row>
    <row r="48">
      <c r="A48" s="28" t="inlineStr">
        <is>
          <t>Year-3 interest</t>
        </is>
      </c>
      <c r="B48" s="40">
        <f>IFERROR(IF(B20="","",IF(C29="",0,C29)),"")</f>
        <v>3815.377408080872</v>
      </c>
      <c r="C48" s="28" t="n"/>
      <c r="D48" s="28" t="n"/>
      <c r="E48" s="28" t="n"/>
      <c r="F48" s="28" t="n"/>
      <c r="G48" s="28" t="n"/>
      <c r="H48" s="28" t="n"/>
    </row>
    <row r="49">
      <c r="A49" s="28" t="inlineStr">
        <is>
          <t>Year-3 principal repaid</t>
        </is>
      </c>
      <c r="B49" s="40">
        <f>IFERROR(IF(B20="","",IF(D29="",0,D29)),"")</f>
        <v>6249.492077248309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2.931875361141628</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3.803117484613634</v>
      </c>
      <c r="C52" s="28" t="n"/>
      <c r="D52" s="28" t="n"/>
      <c r="E52" s="28" t="n"/>
      <c r="F52" s="28" t="n"/>
      <c r="G52" s="28" t="n"/>
      <c r="H52" s="28" t="n"/>
    </row>
    <row r="53">
      <c r="A53" s="28" t="inlineStr">
        <is>
          <t>Year-3 DSCR</t>
        </is>
      </c>
      <c r="B53" s="61">
        <f>IFERROR(('3-Year P&amp;L'!$D$41-'3-Year P&amp;L'!$D$46+'3-Year P&amp;L'!$D$36+B48)/(B48+B49),"")</f>
        <v>4.540162202378382</v>
      </c>
      <c r="C53" s="28" t="n"/>
      <c r="D53" s="28" t="n"/>
      <c r="E53" s="28" t="n"/>
      <c r="F53" s="28" t="n"/>
      <c r="G53" s="28" t="n"/>
      <c r="H53" s="28" t="n"/>
    </row>
    <row r="54">
      <c r="A54" s="25" t="inlineStr">
        <is>
          <t>Minimum DSCR across the whole schedule</t>
        </is>
      </c>
      <c r="B54" s="62">
        <f>IFERROR(IF(COUNT(H27:H41)=0,"",MIN(H27:H41)),"")</f>
        <v>2.931875361141628</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Mobile Bar Financial Projections: 3-Year P&amp;L, Cash Flow &amp; Financing · Mobile Bar Business Plan Kit</dc:title>
  <dc:description xmlns:dc="http://purl.org/dc/elements/1.1/">aichef.pro/en/digital-products/mobile-bar-business-plan</dc:description>
  <dc:subject xmlns:dc="http://purl.org/dc/elements/1.1/">Mobile Bar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2026-10-13T07:55:13Z</dcterms:modified>
  <cp:lastModifiedBy>AI Chef Pro</cp:lastModifiedBy>
  <cp:category>AI Chef Pro · Digital products</cp:category>
  <cp:keywords>mobile bar business plan, mobile bartending business plan, mobile bar business plan template, how to start a mobile bar business, dry hire mobile bar, mobile bar pricing, mobile bar license, AI Chef Pro</cp:keywords>
</cp:coreProperties>
</file>