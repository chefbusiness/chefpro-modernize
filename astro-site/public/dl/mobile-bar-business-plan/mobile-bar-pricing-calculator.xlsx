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icing Calculator" sheetId="1" state="visible" r:id="rId1"/>
    <sheet xmlns:r="http://schemas.openxmlformats.org/officeDocument/2006/relationships" name="Drinks &amp; Shopping List" sheetId="2" state="visible" r:id="rId2"/>
    <sheet xmlns:r="http://schemas.openxmlformats.org/officeDocument/2006/relationships" name="Signature Cocktail Specs" sheetId="3" state="visible" r:id="rId3"/>
    <sheet xmlns:r="http://schemas.openxmlformats.org/officeDocument/2006/relationships" name="3 Example Quotes" sheetId="4" state="visible" r:id="rId4"/>
    <sheet xmlns:r="http://schemas.openxmlformats.org/officeDocument/2006/relationships" name="Instructions"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0" fontId="2" fillId="3" borderId="0" applyAlignment="1" applyProtection="1" pivotButton="0" quotePrefix="0" xfId="0">
      <alignment vertical="top" wrapText="1"/>
      <protection locked="0" hidden="0"/>
    </xf>
    <xf numFmtId="3"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4" fontId="2" fillId="3" borderId="0" applyAlignment="1" applyProtection="1" pivotButton="0" quotePrefix="0" xfId="0">
      <alignment vertical="top"/>
      <protection locked="0" hidden="0"/>
    </xf>
    <xf numFmtId="9"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0" fontId="2" fillId="3" borderId="0" applyAlignment="1" applyProtection="1" pivotButton="0" quotePrefix="0" xfId="0">
      <alignment vertical="top"/>
      <protection locked="0" hidden="0"/>
    </xf>
    <xf numFmtId="3" fontId="2" fillId="0" borderId="0" applyAlignment="1" pivotButton="0" quotePrefix="0" xfId="0">
      <alignment vertical="top"/>
    </xf>
    <xf numFmtId="164" fontId="2" fillId="0" borderId="0" applyAlignment="1" pivotButton="0" quotePrefix="0" xfId="0">
      <alignment vertical="top"/>
    </xf>
    <xf numFmtId="4" fontId="2" fillId="0" borderId="0" applyAlignment="1" pivotButton="0" quotePrefix="0" xfId="0">
      <alignment vertical="top"/>
    </xf>
    <xf numFmtId="0" fontId="3" fillId="0" borderId="0" applyAlignment="1" pivotButton="0" quotePrefix="0" xfId="0">
      <alignment vertical="top"/>
    </xf>
    <xf numFmtId="4" fontId="3" fillId="0" borderId="0" applyAlignment="1" pivotButton="0" quotePrefix="0" xfId="0">
      <alignment vertical="top"/>
    </xf>
    <xf numFmtId="165" fontId="3" fillId="0" borderId="0" applyAlignment="1" pivotButton="0" quotePrefix="0" xfId="0">
      <alignment vertical="top"/>
    </xf>
    <xf numFmtId="0" fontId="3" fillId="2" borderId="0" applyAlignment="1" pivotButton="0" quotePrefix="0" xfId="0">
      <alignment vertical="top" wrapText="1"/>
    </xf>
    <xf numFmtId="3" fontId="3" fillId="0" borderId="0" applyAlignment="1" pivotButton="0" quotePrefix="0" xfId="0">
      <alignment vertical="top"/>
    </xf>
    <xf numFmtId="0" fontId="4" fillId="2" borderId="0" applyAlignment="1" pivotButton="0" quotePrefix="0" xfId="0">
      <alignment vertical="top"/>
    </xf>
    <xf numFmtId="2" fontId="2"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167" fontId="2" fillId="0" borderId="0" applyAlignment="1" pivotButton="0" quotePrefix="0" xfId="0">
      <alignment vertical="top"/>
    </xf>
    <xf numFmtId="9" fontId="2" fillId="0" borderId="0" applyAlignment="1" pivotButton="0" quotePrefix="0" xfId="0">
      <alignment vertical="top"/>
    </xf>
    <xf numFmtId="165" fontId="2" fillId="0" borderId="0" applyAlignment="1" pivotButton="0" quotePrefix="0" xfId="0">
      <alignment vertical="top"/>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3"/>
  <sheetViews>
    <sheetView showGridLines="0" workbookViewId="0">
      <pane ySplit="4" topLeftCell="A5" activePane="bottomLeft" state="frozen"/>
      <selection pane="bottomLeft" activeCell="A1" sqref="A1"/>
    </sheetView>
  </sheetViews>
  <sheetFormatPr baseColWidth="8" defaultRowHeight="15"/>
  <cols>
    <col width="60" customWidth="1" min="1" max="1"/>
    <col width="22" customWidth="1" min="2" max="2"/>
    <col width="80" customWidth="1" min="3" max="3"/>
  </cols>
  <sheetData>
    <row r="1">
      <c r="A1" s="1" t="inlineStr">
        <is>
          <t>MOBILE BAR PRICING CALCULATOR — COST PER GUEST TO QUOTE</t>
        </is>
      </c>
    </row>
    <row r="2" ht="48" customHeight="1">
      <c r="A2" s="2" t="inlineStr">
        <is>
          <t>Type in the GREEN cells; everything else is calculated. The default model is dry hire (you supply the alcohol; we bring the bar, the bartenders and everything else): the host buys and owns the alcohol, so it is never in your cost or your price. Amounts are in your currency and exclude sales tax unless the row says otherwise. Every default value is a kit estimate: replace it with your own numbers.</t>
        </is>
      </c>
    </row>
    <row r="4">
      <c r="A4" s="3" t="inlineStr">
        <is>
          <t>INPUTS</t>
        </is>
      </c>
      <c r="B4" s="3" t="inlineStr">
        <is>
          <t>Value</t>
        </is>
      </c>
      <c r="C4" s="3" t="inlineStr">
        <is>
          <t>Notes</t>
        </is>
      </c>
    </row>
    <row r="5" ht="47" customHeight="1">
      <c r="A5" s="4" t="inlineStr">
        <is>
          <t>Bar package</t>
        </is>
      </c>
      <c r="B5" s="5" t="inlineStr">
        <is>
          <t>Full bar – dry hire</t>
        </is>
      </c>
      <c r="C5" s="2" t="inlineStr">
        <is>
          <t>Choose from the list. The licensed package is ONLY for a business that holds a liquor license or caterer's permit: see section 9 of the business plan. In dry hire the host buys and owns the alcohol.</t>
        </is>
      </c>
    </row>
    <row r="6">
      <c r="A6" s="4" t="inlineStr">
        <is>
          <t>Guests expected</t>
        </is>
      </c>
      <c r="B6" s="6" t="n">
        <v>95</v>
      </c>
      <c r="C6" s="2" t="inlineStr">
        <is>
          <t>Whole number of adult guests at the event.</t>
        </is>
      </c>
    </row>
    <row r="7">
      <c r="A7" s="4" t="inlineStr">
        <is>
          <t>Hours of bar service</t>
        </is>
      </c>
      <c r="B7" s="7" t="n">
        <v>4</v>
      </c>
      <c r="C7" s="2" t="inlineStr">
        <is>
          <t>Service time only; setup, travel and breakdown go two rows below.</t>
        </is>
      </c>
    </row>
    <row r="8">
      <c r="A8" s="4" t="inlineStr">
        <is>
          <t>Drinks per guest in the first hour</t>
        </is>
      </c>
      <c r="B8" s="7" t="n">
        <v>2</v>
      </c>
      <c r="C8" s="2" t="inlineStr">
        <is>
          <t>Planning rule: 2 drinks per guest in the first hour (eventplanning.com).</t>
        </is>
      </c>
    </row>
    <row r="9">
      <c r="A9" s="4" t="inlineStr">
        <is>
          <t>Drinks per guest in each following hour</t>
        </is>
      </c>
      <c r="B9" s="7" t="n">
        <v>1</v>
      </c>
      <c r="C9" s="2" t="inlineStr">
        <is>
          <t>Planning rule: 1 drink per guest per hour after the first (eventplanning.com).</t>
        </is>
      </c>
    </row>
    <row r="10">
      <c r="A10" s="4" t="inlineStr">
        <is>
          <t>Bartenders working the event</t>
        </is>
      </c>
      <c r="B10" s="6" t="n">
        <v>2</v>
      </c>
      <c r="C10" s="2" t="inlineStr">
        <is>
          <t>Compare with the suggested number in the results (table at the bottom).</t>
        </is>
      </c>
    </row>
    <row r="11">
      <c r="A11" s="4" t="inlineStr">
        <is>
          <t>Barbacks / setup crew working the event</t>
        </is>
      </c>
      <c r="B11" s="6" t="n">
        <v>0</v>
      </c>
      <c r="C11" s="2" t="inlineStr">
        <is>
          <t>Usually needed at large weddings.</t>
        </is>
      </c>
    </row>
    <row r="12">
      <c r="A12" s="4" t="inlineStr">
        <is>
          <t>Setup, travel and breakdown hours per person</t>
        </is>
      </c>
      <c r="B12" s="7" t="n">
        <v>3</v>
      </c>
      <c r="C12" s="2" t="inlineStr">
        <is>
          <t>Paid hours on top of service: loading, travel, setup, breakdown. Kit estimate.</t>
        </is>
      </c>
    </row>
    <row r="13" ht="32" customHeight="1">
      <c r="A13" s="4" t="inlineStr">
        <is>
          <t>Bartender hourly wage</t>
        </is>
      </c>
      <c r="B13" s="8" t="n">
        <v>20</v>
      </c>
      <c r="C13" s="2" t="inlineStr">
        <is>
          <t>Kit estimate. BLS (May 2025): mean 19.61 an hour, median 16.51, tips included. Bartenders are W-2 employees.</t>
        </is>
      </c>
    </row>
    <row r="14">
      <c r="A14" s="4" t="inlineStr">
        <is>
          <t>Barback hourly wage</t>
        </is>
      </c>
      <c r="B14" s="8" t="n">
        <v>16</v>
      </c>
      <c r="C14" s="2" t="inlineStr">
        <is>
          <t>Kit estimate. At or above your state minimum wage.</t>
        </is>
      </c>
    </row>
    <row r="15">
      <c r="A15" s="4" t="inlineStr">
        <is>
          <t>Employer payroll taxes and workers' comp (% of wages)</t>
        </is>
      </c>
      <c r="B15" s="9" t="n">
        <v>0.1</v>
      </c>
      <c r="C15" s="2" t="inlineStr">
        <is>
          <t>Kit estimate.</t>
        </is>
      </c>
    </row>
    <row r="16" ht="32" customHeight="1">
      <c r="A16" s="4" t="inlineStr">
        <is>
          <t>Mixers, garnishes and N/A drinks per drink served</t>
        </is>
      </c>
      <c r="B16" s="8" t="n">
        <v>0.38</v>
      </c>
      <c r="C16" s="2" t="inlineStr">
        <is>
          <t>Kit estimate. Juices, syrups, sodas, fruit and mocktail ingredients: what the bar supplies.</t>
        </is>
      </c>
    </row>
    <row r="17" ht="32" customHeight="1">
      <c r="A17" s="4" t="inlineStr">
        <is>
          <t>Alcohol cost per drink (licensed package only)</t>
        </is>
      </c>
      <c r="B17" s="8" t="n">
        <v>3</v>
      </c>
      <c r="C17" s="2" t="inlineStr">
        <is>
          <t>Used ONLY with the licensed package. In dry hire the host buys the alcohol: it is never in your cost or your price.</t>
        </is>
      </c>
    </row>
    <row r="18">
      <c r="A18" s="4" t="inlineStr">
        <is>
          <t>Cups, straws, napkins and menu signs per guest</t>
        </is>
      </c>
      <c r="B18" s="8" t="n">
        <v>0.55</v>
      </c>
      <c r="C18" s="2" t="inlineStr">
        <is>
          <t>Kit estimate.</t>
        </is>
      </c>
    </row>
    <row r="19">
      <c r="A19" s="4" t="inlineStr">
        <is>
          <t>Ice per guest (lb)</t>
        </is>
      </c>
      <c r="B19" s="7" t="n">
        <v>1.5</v>
      </c>
      <c r="C19" s="2" t="inlineStr">
        <is>
          <t>Kit estimate: 1.5 lb (0.68 kg) per guest is a common planning rule.</t>
        </is>
      </c>
    </row>
    <row r="20">
      <c r="A20" s="4" t="inlineStr">
        <is>
          <t>Bagged ice cost per lb</t>
        </is>
      </c>
      <c r="B20" s="8" t="n">
        <v>0.25</v>
      </c>
      <c r="C20" s="2" t="inlineStr">
        <is>
          <t>Kit estimate: use your supplier's price.</t>
        </is>
      </c>
    </row>
    <row r="21">
      <c r="A21" s="4" t="inlineStr">
        <is>
          <t>Round-trip miles</t>
        </is>
      </c>
      <c r="B21" s="6" t="n">
        <v>40</v>
      </c>
      <c r="C21" s="2" t="inlineStr">
        <is>
          <t>Storage unit → venue → storage unit.</t>
        </is>
      </c>
    </row>
    <row r="22">
      <c r="A22" s="4" t="inlineStr">
        <is>
          <t>Cost per mile (tow vehicle + trailer)</t>
        </is>
      </c>
      <c r="B22" s="8" t="n">
        <v>0.7</v>
      </c>
      <c r="C22" s="2" t="inlineStr">
        <is>
          <t>Kit estimate: use your real cost per mile or the current IRS standard mileage rate.</t>
        </is>
      </c>
    </row>
    <row r="23" ht="32" customHeight="1">
      <c r="A23" s="4" t="inlineStr">
        <is>
          <t>Flat bar fee charged per event (trailer or bar setup)</t>
        </is>
      </c>
      <c r="B23" s="8" t="n">
        <v>0</v>
      </c>
      <c r="C23" s="2" t="inlineStr">
        <is>
          <t>Optional flat charge on top of the per-guest price ("a flat fee plus a price per guest"). 0 = none.</t>
        </is>
      </c>
    </row>
    <row r="24">
      <c r="A24" s="4" t="inlineStr">
        <is>
          <t>Specialty bar upcharge (% of the per-guest price)</t>
        </is>
      </c>
      <c r="B24" s="9" t="n">
        <v>0</v>
      </c>
      <c r="C24" s="2" t="inlineStr">
        <is>
          <t>Mimosa bar, espresso martini bar and other themed bars. 0 = none.</t>
        </is>
      </c>
    </row>
    <row r="25" ht="32" customHeight="1">
      <c r="A25" s="4" t="inlineStr">
        <is>
          <t>Marketplace or planner fee on this booking (% of subtotal)</t>
        </is>
      </c>
      <c r="B25" s="9" t="n">
        <v>0</v>
      </c>
      <c r="C25" s="2" t="inlineStr">
        <is>
          <t>GigSalad charges 5% on the free plan or 2.5% on a paid plan per confirmed booking (gigsalad.com). 0 = direct booking.</t>
        </is>
      </c>
    </row>
    <row r="26" ht="32" customHeight="1">
      <c r="A26" s="4" t="inlineStr">
        <is>
          <t>Target gross margin on the bar service subtotal</t>
        </is>
      </c>
      <c r="B26" s="9" t="n">
        <v>0.55</v>
      </c>
      <c r="C26" s="2" t="inlineStr">
        <is>
          <t>Share of the subtotal left after the direct costs above and the marketplace fee. Kit estimate.</t>
        </is>
      </c>
    </row>
    <row r="27" ht="32" customHeight="1">
      <c r="A27" s="4" t="inlineStr">
        <is>
          <t>Service charge (% of subtotal)</t>
        </is>
      </c>
      <c r="B27" s="9" t="n">
        <v>0</v>
      </c>
      <c r="C27" s="2" t="inlineStr">
        <is>
          <t>Added on top. The part you pay out to staff is wages, not tips (IRS Rev. Rul. 2012-18), with payroll taxes.</t>
        </is>
      </c>
    </row>
    <row r="28">
      <c r="A28" s="4" t="inlineStr">
        <is>
          <t>Sales tax rate (state + local)</t>
        </is>
      </c>
      <c r="B28" s="10" t="n">
        <v>0.08</v>
      </c>
      <c r="C28" s="2" t="inlineStr">
        <is>
          <t>Kit estimate: use your own state + local rate.</t>
        </is>
      </c>
    </row>
    <row r="29" ht="32" customHeight="1">
      <c r="A29" s="4" t="inlineStr">
        <is>
          <t>Does your state tax the bar service and the service charge?</t>
        </is>
      </c>
      <c r="B29" s="11" t="inlineStr">
        <is>
          <t>Yes</t>
        </is>
      </c>
      <c r="C29" s="2" t="inlineStr">
        <is>
          <t>California taxes a caterer's service even when the client supplies the drinks (cdtfa.ca.gov). Rules vary by state: check yours.</t>
        </is>
      </c>
    </row>
    <row r="30">
      <c r="A30" s="4" t="inlineStr">
        <is>
          <t>Deposit to book the date (% of total)</t>
        </is>
      </c>
      <c r="B30" s="9" t="n">
        <v>0.3</v>
      </c>
      <c r="C30" s="2" t="inlineStr">
        <is>
          <t>A 30% deposit is typical (checkcherry.com); the balance is due before the event.</t>
        </is>
      </c>
    </row>
    <row r="31">
      <c r="A31" s="4" t="inlineStr">
        <is>
          <t>Minimum charge for the bar service (subtotal floor)</t>
        </is>
      </c>
      <c r="B31" s="8" t="n">
        <v>400</v>
      </c>
      <c r="C31" s="2" t="inlineStr">
        <is>
          <t>Below it you bill the minimum. Kit estimate. 0 = no minimum.</t>
        </is>
      </c>
    </row>
    <row r="32">
      <c r="A32" s="4" t="inlineStr">
        <is>
          <t>Price of an extra hour of service (quoted separately)</t>
        </is>
      </c>
      <c r="B32" s="8" t="n">
        <v>150</v>
      </c>
      <c r="C32" s="2" t="inlineStr">
        <is>
          <t>Kit estimate. It is listed in the quote, not added to the total.</t>
        </is>
      </c>
    </row>
    <row r="34">
      <c r="A34" s="3" t="inlineStr">
        <is>
          <t>CALCULATION</t>
        </is>
      </c>
      <c r="B34" s="3" t="inlineStr">
        <is>
          <t>Value</t>
        </is>
      </c>
      <c r="C34" s="3" t="inlineStr">
        <is>
          <t>Notes</t>
        </is>
      </c>
    </row>
    <row r="35">
      <c r="A35" s="4" t="inlineStr">
        <is>
          <t>Drinks to plan for</t>
        </is>
      </c>
      <c r="B35" s="12">
        <f>$B$6*($B$8+MAX(0,$B$7-1)*$B$9)</f>
        <v>475.0</v>
      </c>
      <c r="C35" s="2" t="inlineStr">
        <is>
          <t>Guests × (first-hour drinks + following hours × drinks per hour).</t>
        </is>
      </c>
    </row>
    <row r="36">
      <c r="A36" s="4" t="inlineStr">
        <is>
          <t>Ice to bring (lb)</t>
        </is>
      </c>
      <c r="B36" s="13">
        <f>$B$6*$B$19</f>
        <v>142.5</v>
      </c>
    </row>
    <row r="37">
      <c r="A37" s="4" t="inlineStr">
        <is>
          <t>Ice to bring (kg, for metric suppliers)</t>
        </is>
      </c>
      <c r="B37" s="13">
        <f>$B$36*0.45359237</f>
        <v>64.636912725</v>
      </c>
      <c r="C37" s="2" t="inlineStr">
        <is>
          <t>1 lb = 0.454 kg.</t>
        </is>
      </c>
    </row>
    <row r="38">
      <c r="A38" s="4" t="inlineStr">
        <is>
          <t>Suggested bartenders for this package (Kit estimate)</t>
        </is>
      </c>
      <c r="B38" s="12">
        <f>IFERROR(ROUNDUP($B$6/INDEX('Pricing Calculator'!$B$61:$B$63,MATCH($B$5,'Pricing Calculator'!$A$61:$A$63,0)),0),"—")</f>
        <v>2.0</v>
      </c>
      <c r="C38" s="2" t="inlineStr">
        <is>
          <t>Guests ÷ guests per bartender in the table below, rounded up.</t>
        </is>
      </c>
    </row>
    <row r="39">
      <c r="A39" s="4" t="inlineStr">
        <is>
          <t>Staff cost (wages + payroll taxes)</t>
        </is>
      </c>
      <c r="B39" s="14">
        <f>($B$10*$B$13+$B$11*$B$14)*($B$7+$B$12)*(1+$B$15)</f>
        <v>308.0</v>
      </c>
    </row>
    <row r="40">
      <c r="A40" s="4" t="inlineStr">
        <is>
          <t>Mixers, garnishes and N/A drinks</t>
        </is>
      </c>
      <c r="B40" s="14">
        <f>$B$35*$B$16</f>
        <v>180.5</v>
      </c>
    </row>
    <row r="41">
      <c r="A41" s="4" t="inlineStr">
        <is>
          <t>Alcohol (licensed package only)</t>
        </is>
      </c>
      <c r="B41" s="14">
        <f>IF($B$5='Pricing Calculator'!$A$63,$B$35*$B$17,0)</f>
        <v>0.0</v>
      </c>
      <c r="C41" s="2" t="inlineStr">
        <is>
          <t>Zero in dry hire: the host buys the alcohol.</t>
        </is>
      </c>
    </row>
    <row r="42">
      <c r="A42" s="4" t="inlineStr">
        <is>
          <t>Cups, straws, napkins and menu signs</t>
        </is>
      </c>
      <c r="B42" s="14">
        <f>$B$6*$B$18</f>
        <v>52.25000000000001</v>
      </c>
    </row>
    <row r="43">
      <c r="A43" s="4" t="inlineStr">
        <is>
          <t>Ice</t>
        </is>
      </c>
      <c r="B43" s="14">
        <f>$B$36*$B$20</f>
        <v>35.625</v>
      </c>
    </row>
    <row r="44">
      <c r="A44" s="4" t="inlineStr">
        <is>
          <t>Mileage</t>
        </is>
      </c>
      <c r="B44" s="14">
        <f>$B$21*$B$22</f>
        <v>28.0</v>
      </c>
    </row>
    <row r="45">
      <c r="A45" s="4" t="inlineStr">
        <is>
          <t>Total direct cost</t>
        </is>
      </c>
      <c r="B45" s="14">
        <f>$B$39+$B$40+$B$41+$B$42+$B$43+$B$44</f>
        <v>604.375</v>
      </c>
    </row>
    <row r="46">
      <c r="A46" s="4" t="inlineStr">
        <is>
          <t>Direct cost per guest</t>
        </is>
      </c>
      <c r="B46" s="14">
        <f>$B$45/$B$6</f>
        <v>6.3618421052631575</v>
      </c>
    </row>
    <row r="47">
      <c r="A47" s="15" t="inlineStr">
        <is>
          <t>PRICE PER GUEST before service charge and tax</t>
        </is>
      </c>
      <c r="B47" s="16">
        <f>ROUNDUP(MAX(0,$B$45/(1-$B$26-$B$25)-$B$23)/$B$6*(1+$B$24)*2,0)/2</f>
        <v>14.5</v>
      </c>
      <c r="C47" s="2" t="inlineStr">
        <is>
          <t>Rounded up to the next 0.50. Staff, mixers, ice and cups are inside it; the host's alcohol is not.</t>
        </is>
      </c>
    </row>
    <row r="48">
      <c r="A48" s="4" t="inlineStr">
        <is>
          <t>Bar service subtotal</t>
        </is>
      </c>
      <c r="B48" s="14">
        <f>MAX($B$47*$B$6+$B$23,$B$31)</f>
        <v>1377.5</v>
      </c>
      <c r="C48" s="2" t="inlineStr">
        <is>
          <t>Price per guest × guests + flat bar fee, never below the minimum.</t>
        </is>
      </c>
    </row>
    <row r="49">
      <c r="A49" s="4" t="inlineStr">
        <is>
          <t>Equivalent price per hour of service</t>
        </is>
      </c>
      <c r="B49" s="14">
        <f>$B$48/$B$7</f>
        <v>344.375</v>
      </c>
      <c r="C49" s="2" t="inlineStr">
        <is>
          <t>The same quote expressed per hour, for clients who compare hourly rates.</t>
        </is>
      </c>
    </row>
    <row r="50">
      <c r="A50" s="4" t="inlineStr">
        <is>
          <t>Service charge</t>
        </is>
      </c>
      <c r="B50" s="14">
        <f>$B$48*$B$27</f>
        <v>0.0</v>
      </c>
    </row>
    <row r="51">
      <c r="A51" s="4" t="inlineStr">
        <is>
          <t>Sales tax</t>
        </is>
      </c>
      <c r="B51" s="14">
        <f>($B$48+IF($B$29="Yes",$B$50,0))*$B$28</f>
        <v>110.2</v>
      </c>
      <c r="C51" s="2" t="inlineStr">
        <is>
          <t>On the subtotal, plus the service charge if your state taxes it.</t>
        </is>
      </c>
    </row>
    <row r="52">
      <c r="A52" s="15" t="inlineStr">
        <is>
          <t>TOTAL TO QUOTE</t>
        </is>
      </c>
      <c r="B52" s="16">
        <f>$B$48+$B$50+$B$51</f>
        <v>1487.7</v>
      </c>
    </row>
    <row r="53">
      <c r="A53" s="4" t="inlineStr">
        <is>
          <t>Deposit to book the date</t>
        </is>
      </c>
      <c r="B53" s="14">
        <f>$B$52*$B$30</f>
        <v>446.31</v>
      </c>
    </row>
    <row r="54">
      <c r="A54" s="4" t="inlineStr">
        <is>
          <t>Balance due before the event</t>
        </is>
      </c>
      <c r="B54" s="14">
        <f>$B$52-$B$53</f>
        <v>1041.39</v>
      </c>
    </row>
    <row r="55">
      <c r="A55" s="4" t="inlineStr">
        <is>
          <t>Marketplace or planner fee</t>
        </is>
      </c>
      <c r="B55" s="14">
        <f>$B$48*$B$25</f>
        <v>0.0</v>
      </c>
      <c r="C55" s="2" t="inlineStr">
        <is>
          <t>What the marketplace keeps.</t>
        </is>
      </c>
    </row>
    <row r="56">
      <c r="A56" s="4" t="inlineStr">
        <is>
          <t>Gross profit on the subtotal</t>
        </is>
      </c>
      <c r="B56" s="14">
        <f>$B$48-$B$55-$B$45</f>
        <v>773.125</v>
      </c>
    </row>
    <row r="57">
      <c r="A57" s="15" t="inlineStr">
        <is>
          <t>Gross margin (calculated)</t>
        </is>
      </c>
      <c r="B57" s="17">
        <f>IF($B$48=0,0,$B$56/$B$48)</f>
        <v>0.5612522686025408</v>
      </c>
      <c r="C57" s="2" t="inlineStr">
        <is>
          <t>Calculated from the costs above, never typed. It is at or above the target because the price is rounded up.</t>
        </is>
      </c>
    </row>
    <row r="58">
      <c r="A58" s="4" t="inlineStr">
        <is>
          <t>Extra hour of service (not in the total)</t>
        </is>
      </c>
      <c r="B58" s="14">
        <f>$B$32</f>
        <v>150.0</v>
      </c>
    </row>
    <row r="60">
      <c r="A60" s="3" t="inlineStr">
        <is>
          <t>GUESTS PER BARTENDER BY PACKAGE (Kit estimate — edit the numbers)</t>
        </is>
      </c>
      <c r="B60" s="3" t="inlineStr">
        <is>
          <t>Guests</t>
        </is>
      </c>
      <c r="C60" s="3" t="inlineStr">
        <is>
          <t>Notes</t>
        </is>
      </c>
    </row>
    <row r="61">
      <c r="A61" s="4" t="inlineStr">
        <is>
          <t>Full bar – dry hire</t>
        </is>
      </c>
      <c r="B61" s="6" t="n">
        <v>50</v>
      </c>
      <c r="C61" s="2" t="inlineStr">
        <is>
          <t>About 1 bartender per 50 guests with a full bar.</t>
        </is>
      </c>
    </row>
    <row r="62">
      <c r="A62" s="4" t="inlineStr">
        <is>
          <t>Limited bar (beer, wine + 1 signature) – dry hire</t>
        </is>
      </c>
      <c r="B62" s="6" t="n">
        <v>75</v>
      </c>
      <c r="C62" s="2" t="inlineStr">
        <is>
          <t>About 1 bartender per 75 guests with beer, wine and one signature cocktail.</t>
        </is>
      </c>
    </row>
    <row r="63">
      <c r="A63" s="4" t="inlineStr">
        <is>
          <t>Full bar – licensed (alcohol included)</t>
        </is>
      </c>
      <c r="B63" s="6" t="n">
        <v>50</v>
      </c>
      <c r="C63" s="2" t="inlineStr">
        <is>
          <t>Only if you hold the license (plan section 9): you also buy and serve the alcohol.</t>
        </is>
      </c>
    </row>
  </sheetData>
  <sheetProtection selectLockedCells="0" selectUnlockedCells="0" sheet="1" objects="0" insertRows="1" insertHyperlinks="1" autoFilter="1" scenarios="0" formatColumns="1" deleteColumns="1" insertColumns="1" pivotTables="1" deleteRows="1" formatCells="1" formatRows="1" sort="1"/>
  <mergeCells count="1">
    <mergeCell ref="A2:C2"/>
  </mergeCells>
  <dataValidations count="10">
    <dataValidation sqref="B5" showDropDown="0" showInputMessage="0" showErrorMessage="1" allowBlank="0" errorTitle="Invalid package" error="Choose a bar package from the list." type="list">
      <formula1>$A$61:$A$63</formula1>
    </dataValidation>
    <dataValidation sqref="B29" showDropDown="0" showInputMessage="0" showErrorMessage="1" allowBlank="0" errorTitle="Invalid entry" error="Choose Yes or No." type="list">
      <formula1>"Yes,No"</formula1>
    </dataValidation>
    <dataValidation sqref="B6" showDropDown="0" showInputMessage="0" showErrorMessage="1" allowBlank="0" errorTitle="Invalid count" error="Enter a whole number of 1 or more." type="whole" operator="between">
      <formula1>1</formula1>
      <formula2>100000</formula2>
    </dataValidation>
    <dataValidation sqref="B10 B11 B21" showDropDown="0" showInputMessage="0" showErrorMessage="1" allowBlank="0" errorTitle="Invalid count" error="Enter a whole number of 0 or more." type="whole" operator="between">
      <formula1>0</formula1>
      <formula2>100000</formula2>
    </dataValidation>
    <dataValidation sqref="B61 B62 B63" showDropDown="0" showInputMessage="0" showErrorMessage="1" allowBlank="0" errorTitle="Invalid count" error="Enter a whole number of guests per bartender, 1 or more." type="whole" operator="between">
      <formula1>1</formula1>
      <formula2>1000</formula2>
    </dataValidation>
    <dataValidation sqref="B7" showDropDown="0" showInputMessage="0" showErrorMessage="1" allowBlank="0" errorTitle="Invalid hours" error="Enter the hours of service, between 0.5 and 24." type="decimal" operator="between">
      <formula1>0.5</formula1>
      <formula2>24</formula2>
    </dataValidation>
    <dataValidation sqref="B8 B9 B12 B13 B14 B16 B17 B18 B19 B20 B22 B23 B31 B32" showDropDown="0" showInputMessage="0" showErrorMessage="1" allowBlank="0" errorTitle="Invalid amount" error="Enter a number greater than or equal to 0." type="decimal" operator="greaterThanOrEqual">
      <formula1>0</formula1>
    </dataValidation>
    <dataValidation sqref="B15 B24 B27 B28 B30" showDropDown="0" showInputMessage="0" showErrorMessage="1" allowBlank="0" errorTitle="Invalid percentage" error="Enter a percentage between 0 and 1 (0.20 = 20%)." type="decimal" operator="between">
      <formula1>0</formula1>
      <formula2>1</formula2>
    </dataValidation>
    <dataValidation sqref="B25" showDropDown="0" showInputMessage="0" showErrorMessage="1" allowBlank="0" errorTitle="Invalid percentage" error="Enter a fee between 0 and 30% (0.05 = 5%)." type="decimal" operator="between">
      <formula1>0</formula1>
      <formula2>0.3</formula2>
    </dataValidation>
    <dataValidation sqref="B26" showDropDown="0" showInputMessage="0" showErrorMessage="1" allowBlank="0" errorTitle="Invalid percentage" error="Enter a target margin between 0 and 65% (0.55 = 55%)." type="decimal" operator="between">
      <formula1>0</formula1>
      <formula2>0.65</formula2>
    </dataValidation>
  </dataValidations>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57"/>
  <sheetViews>
    <sheetView showGridLines="0" workbookViewId="0">
      <pane ySplit="3" topLeftCell="A4" activePane="bottomLeft" state="frozen"/>
      <selection pane="bottomLeft" activeCell="A1" sqref="A1"/>
    </sheetView>
  </sheetViews>
  <sheetFormatPr baseColWidth="8" defaultRowHeight="15"/>
  <cols>
    <col width="56" customWidth="1" min="1" max="1"/>
    <col width="18" customWidth="1" min="2" max="2"/>
    <col width="18" customWidth="1" min="3" max="3"/>
    <col width="18" customWidth="1" min="4" max="4"/>
    <col width="60" customWidth="1" min="5" max="5"/>
  </cols>
  <sheetData>
    <row r="1">
      <c r="A1" s="1" t="inlineStr">
        <is>
          <t>DRINKS &amp; SHOPPING LIST — WHAT THE HOST BUYS AND WHAT THE BAR BRINGS</t>
        </is>
      </c>
    </row>
    <row r="2" ht="48" customHeight="1">
      <c r="A2" s="2" t="inlineStr">
        <is>
          <t>It reads the package, guests, hours and drinks from the "Pricing Calculator" tab. In dry hire this is the shopping list you hand the host about two weeks before the event: the host buys and owns the alcohol, and unopened bottles stay with the host. With the licensed package, you buy it. Green cells are kit estimates: edit them.</t>
        </is>
      </c>
    </row>
    <row r="4">
      <c r="A4" s="3" t="inlineStr">
        <is>
          <t>THE EVENT (from the "Pricing Calculator" tab)</t>
        </is>
      </c>
    </row>
    <row r="5">
      <c r="A5" s="4" t="inlineStr">
        <is>
          <t>Bar package</t>
        </is>
      </c>
      <c r="B5" s="4" t="str">
        <f>'Pricing Calculator'!$B$5</f>
        <v>Full bar – dry hire</v>
      </c>
    </row>
    <row r="6">
      <c r="A6" s="4" t="inlineStr">
        <is>
          <t>Guests</t>
        </is>
      </c>
      <c r="B6" s="12">
        <f>'Pricing Calculator'!$B$6</f>
        <v>95.0</v>
      </c>
    </row>
    <row r="7">
      <c r="A7" s="4" t="inlineStr">
        <is>
          <t>Hours of bar service</t>
        </is>
      </c>
      <c r="B7" s="13">
        <f>'Pricing Calculator'!$B$7</f>
        <v>4.0</v>
      </c>
    </row>
    <row r="8">
      <c r="A8" s="4" t="inlineStr">
        <is>
          <t>Drinks to plan for</t>
        </is>
      </c>
      <c r="B8" s="12">
        <f>'Pricing Calculator'!$B$35</f>
        <v>475.0</v>
      </c>
    </row>
    <row r="10">
      <c r="A10" s="3" t="inlineStr">
        <is>
          <t>DRINK MIX BY PACKAGE (share of drinks; Kit estimate — edit)</t>
        </is>
      </c>
      <c r="B10" s="18" t="inlineStr">
        <is>
          <t>Cocktails &amp; spirits</t>
        </is>
      </c>
      <c r="C10" s="18" t="inlineStr">
        <is>
          <t>Wine</t>
        </is>
      </c>
      <c r="D10" s="18" t="inlineStr">
        <is>
          <t>Beer</t>
        </is>
      </c>
      <c r="E10" s="3" t="inlineStr">
        <is>
          <t>Check (must be 100%)</t>
        </is>
      </c>
    </row>
    <row r="11">
      <c r="A11" s="2" t="inlineStr">
        <is>
          <t>Full bar – dry hire</t>
        </is>
      </c>
      <c r="B11" s="9" t="n">
        <v>0.5</v>
      </c>
      <c r="C11" s="9" t="n">
        <v>0.25</v>
      </c>
      <c r="D11" s="9" t="n">
        <v>0.25</v>
      </c>
      <c r="E11" s="4" t="str">
        <f>IF(ROUND(SUM(B11:D11),4)=1,"OK","Adjust: the three shares must add up to 100%")</f>
        <v>OK</v>
      </c>
    </row>
    <row r="12">
      <c r="A12" s="2" t="inlineStr">
        <is>
          <t>Limited bar (beer, wine + 1 signature) – dry hire</t>
        </is>
      </c>
      <c r="B12" s="9" t="n">
        <v>0.2</v>
      </c>
      <c r="C12" s="9" t="n">
        <v>0.4</v>
      </c>
      <c r="D12" s="9" t="n">
        <v>0.4</v>
      </c>
      <c r="E12" s="4" t="str">
        <f>IF(ROUND(SUM(B12:D12),4)=1,"OK","Adjust: the three shares must add up to 100%")</f>
        <v>OK</v>
      </c>
    </row>
    <row r="13">
      <c r="A13" s="2" t="inlineStr">
        <is>
          <t>Full bar – licensed (alcohol included)</t>
        </is>
      </c>
      <c r="B13" s="9" t="n">
        <v>0.5</v>
      </c>
      <c r="C13" s="9" t="n">
        <v>0.25</v>
      </c>
      <c r="D13" s="9" t="n">
        <v>0.25</v>
      </c>
      <c r="E13" s="4" t="str">
        <f>IF(ROUND(SUM(B13:D13),4)=1,"OK","Adjust: the three shares must add up to 100%")</f>
        <v>OK</v>
      </c>
    </row>
    <row r="15">
      <c r="A15" s="3" t="inlineStr">
        <is>
          <t>ASSUMPTIONS (Kit estimate — edit)</t>
        </is>
      </c>
      <c r="B15" s="3" t="inlineStr">
        <is>
          <t>Value</t>
        </is>
      </c>
      <c r="E15" s="3" t="inlineStr">
        <is>
          <t>Notes</t>
        </is>
      </c>
    </row>
    <row r="16">
      <c r="A16" s="4" t="inlineStr">
        <is>
          <t>Drinks per 750 ml bottle of spirits (1.5 oz pours)</t>
        </is>
      </c>
      <c r="B16" s="6" t="n">
        <v>16</v>
      </c>
      <c r="E16" s="2" t="inlineStr">
        <is>
          <t>A 750 ml bottle (a "fifth") holds about 25.4 oz: about 16 pours of 1.5 oz (44 ml). A 1.75 L bottle (a "handle") holds 7/3 as much.</t>
        </is>
      </c>
    </row>
    <row r="17">
      <c r="A17" s="4" t="inlineStr">
        <is>
          <t>Glasses per 750 ml bottle of wine</t>
        </is>
      </c>
      <c r="B17" s="6" t="n">
        <v>5</v>
      </c>
      <c r="E17" s="2" t="inlineStr">
        <is>
          <t>About 5 glasses of 5 oz (148 ml).</t>
        </is>
      </c>
    </row>
    <row r="18">
      <c r="A18" s="4" t="inlineStr">
        <is>
          <t>Beers (12 oz cans or bottles) per beer drink</t>
        </is>
      </c>
      <c r="B18" s="7" t="n">
        <v>1</v>
      </c>
    </row>
    <row r="19">
      <c r="A19" s="4" t="inlineStr">
        <is>
          <t>Safety buffer on every quantity</t>
        </is>
      </c>
      <c r="B19" s="9" t="n">
        <v>0.1</v>
      </c>
      <c r="E19" s="2" t="inlineStr">
        <is>
          <t>Kit estimate: unopened bottles stay with the host.</t>
        </is>
      </c>
    </row>
    <row r="20">
      <c r="A20" s="4" t="inlineStr">
        <is>
          <t>Champagne toast?</t>
        </is>
      </c>
      <c r="B20" s="11" t="inlineStr">
        <is>
          <t>No</t>
        </is>
      </c>
      <c r="E20" s="2" t="inlineStr">
        <is>
          <t>Yes or No.</t>
        </is>
      </c>
    </row>
    <row r="21">
      <c r="A21" s="4" t="inlineStr">
        <is>
          <t>Toast pours per 750 ml bottle of sparkling wine</t>
        </is>
      </c>
      <c r="B21" s="6" t="n">
        <v>8</v>
      </c>
      <c r="E21" s="2" t="inlineStr">
        <is>
          <t>Kit estimate.</t>
        </is>
      </c>
    </row>
    <row r="22">
      <c r="A22" s="4" t="inlineStr">
        <is>
          <t>Bag of ice (lb)</t>
        </is>
      </c>
      <c r="B22" s="6" t="n">
        <v>10</v>
      </c>
      <c r="E22" s="2" t="inlineStr">
        <is>
          <t>Use the bag size your supplier sells (a 10 lb bag is about 4.5 kg).</t>
        </is>
      </c>
    </row>
    <row r="23">
      <c r="A23" s="4" t="inlineStr">
        <is>
          <t>Cups per drink</t>
        </is>
      </c>
      <c r="B23" s="7" t="n">
        <v>1</v>
      </c>
    </row>
    <row r="24">
      <c r="A24" s="4" t="inlineStr">
        <is>
          <t>Napkins per drink</t>
        </is>
      </c>
      <c r="B24" s="7" t="n">
        <v>1</v>
      </c>
    </row>
    <row r="26">
      <c r="A26" s="3" t="inlineStr">
        <is>
          <t>SPIRITS SPLIT (share of the cocktails &amp; spirits; Kit estimate — edit)</t>
        </is>
      </c>
      <c r="B26" s="3" t="inlineStr">
        <is>
          <t>Share</t>
        </is>
      </c>
    </row>
    <row r="27">
      <c r="A27" s="4" t="inlineStr">
        <is>
          <t>Vodka</t>
        </is>
      </c>
      <c r="B27" s="9" t="n">
        <v>0.3</v>
      </c>
    </row>
    <row r="28">
      <c r="A28" s="4" t="inlineStr">
        <is>
          <t>Tequila</t>
        </is>
      </c>
      <c r="B28" s="9" t="n">
        <v>0.2</v>
      </c>
    </row>
    <row r="29">
      <c r="A29" s="4" t="inlineStr">
        <is>
          <t>Whiskey / bourbon</t>
        </is>
      </c>
      <c r="B29" s="9" t="n">
        <v>0.2</v>
      </c>
    </row>
    <row r="30">
      <c r="A30" s="4" t="inlineStr">
        <is>
          <t>Rum</t>
        </is>
      </c>
      <c r="B30" s="9" t="n">
        <v>0.15</v>
      </c>
    </row>
    <row r="31">
      <c r="A31" s="4" t="inlineStr">
        <is>
          <t>Gin</t>
        </is>
      </c>
      <c r="B31" s="9" t="n">
        <v>0.15</v>
      </c>
    </row>
    <row r="32">
      <c r="A32" s="4" t="inlineStr">
        <is>
          <t>Check (must be 100%)</t>
        </is>
      </c>
      <c r="B32" s="4" t="str">
        <f>IF(ROUND(SUM(B27:B31),4)=1,"OK","Adjust to 100%")</f>
        <v>OK</v>
      </c>
    </row>
    <row r="34">
      <c r="A34" s="3" t="inlineStr">
        <is>
          <t>DRINKS BY CATEGORY</t>
        </is>
      </c>
      <c r="B34" s="3" t="inlineStr">
        <is>
          <t>Drinks</t>
        </is>
      </c>
    </row>
    <row r="35">
      <c r="A35" s="4" t="inlineStr">
        <is>
          <t>Cocktails &amp; spirits</t>
        </is>
      </c>
      <c r="B35" s="13">
        <f>IFERROR($B$8*INDEX($B$11:$B$13,MATCH($B$5,$A$11:$A$13,0)),0)</f>
        <v>237.5</v>
      </c>
    </row>
    <row r="36">
      <c r="A36" s="4" t="inlineStr">
        <is>
          <t>Wine</t>
        </is>
      </c>
      <c r="B36" s="13">
        <f>IFERROR($B$8*INDEX($C$11:$C$13,MATCH($B$5,$A$11:$A$13,0)),0)</f>
        <v>118.75</v>
      </c>
    </row>
    <row r="37">
      <c r="A37" s="4" t="inlineStr">
        <is>
          <t>Beer</t>
        </is>
      </c>
      <c r="B37" s="13">
        <f>IFERROR($B$8*INDEX($D$11:$D$13,MATCH($B$5,$A$11:$A$13,0)),0)</f>
        <v>118.75</v>
      </c>
    </row>
    <row r="39" ht="30" customHeight="1">
      <c r="A39" s="3" t="inlineStr">
        <is>
          <t>SHOPPING LIST — ALCOHOL</t>
        </is>
      </c>
      <c r="B39" s="18" t="inlineStr">
        <is>
          <t>Quantity</t>
        </is>
      </c>
      <c r="C39" s="18" t="inlineStr">
        <is>
          <t>Unit</t>
        </is>
      </c>
      <c r="D39" s="18" t="inlineStr">
        <is>
          <t>Or 1.75 L bottles ("handles")</t>
        </is>
      </c>
      <c r="E39" s="18" t="inlineStr">
        <is>
          <t>Notes</t>
        </is>
      </c>
    </row>
    <row r="40">
      <c r="A40" s="4" t="inlineStr">
        <is>
          <t>Who buys it</t>
        </is>
      </c>
      <c r="B40" s="15" t="str">
        <f>IF($B$5='Pricing Calculator'!$A$63,"You (licensed package)","The host (dry hire)")</f>
        <v>The host (dry hire)</v>
      </c>
    </row>
    <row r="41">
      <c r="A41" s="15" t="inlineStr">
        <is>
          <t>Spirits, total</t>
        </is>
      </c>
      <c r="B41" s="19">
        <f>ROUNDUP($B$35*(1+$B$19)/$B$16,0)</f>
        <v>17.0</v>
      </c>
      <c r="C41" s="4" t="inlineStr">
        <is>
          <t>750 ml bottles</t>
        </is>
      </c>
      <c r="D41" s="19">
        <f>ROUNDUP($B$35*(1+$B$19)/($B$16*7/3),0)</f>
        <v>7.0</v>
      </c>
      <c r="E41" s="2" t="inlineStr">
        <is>
          <t>Cocktails &amp; spirits ÷ drinks per bottle, with the buffer.</t>
        </is>
      </c>
    </row>
    <row r="42">
      <c r="A42" s="4" t="inlineStr">
        <is>
          <t xml:space="preserve">   Vodka</t>
        </is>
      </c>
      <c r="B42" s="12">
        <f>ROUNDUP($B$35*$B$27*(1+$B$19)/$B$16,0)</f>
        <v>5.0</v>
      </c>
      <c r="C42" s="4" t="inlineStr">
        <is>
          <t>750 ml bottles</t>
        </is>
      </c>
      <c r="D42" s="12">
        <f>ROUNDUP($B$35*$B$27*(1+$B$19)/($B$16*7/3),0)</f>
        <v>3.0</v>
      </c>
      <c r="E42" s="2" t="inlineStr">
        <is>
          <t>Rounded up type by type, so the split can add up to a little more than the total.</t>
        </is>
      </c>
    </row>
    <row r="43">
      <c r="A43" s="4" t="inlineStr">
        <is>
          <t xml:space="preserve">   Tequila</t>
        </is>
      </c>
      <c r="B43" s="12">
        <f>ROUNDUP($B$35*$B$28*(1+$B$19)/$B$16,0)</f>
        <v>4.0</v>
      </c>
      <c r="C43" s="4" t="inlineStr">
        <is>
          <t>750 ml bottles</t>
        </is>
      </c>
      <c r="D43" s="12">
        <f>ROUNDUP($B$35*$B$28*(1+$B$19)/($B$16*7/3),0)</f>
        <v>2.0</v>
      </c>
    </row>
    <row r="44">
      <c r="A44" s="4" t="inlineStr">
        <is>
          <t xml:space="preserve">   Whiskey / bourbon</t>
        </is>
      </c>
      <c r="B44" s="12">
        <f>ROUNDUP($B$35*$B$29*(1+$B$19)/$B$16,0)</f>
        <v>4.0</v>
      </c>
      <c r="C44" s="4" t="inlineStr">
        <is>
          <t>750 ml bottles</t>
        </is>
      </c>
      <c r="D44" s="12">
        <f>ROUNDUP($B$35*$B$29*(1+$B$19)/($B$16*7/3),0)</f>
        <v>2.0</v>
      </c>
    </row>
    <row r="45">
      <c r="A45" s="4" t="inlineStr">
        <is>
          <t xml:space="preserve">   Rum</t>
        </is>
      </c>
      <c r="B45" s="12">
        <f>ROUNDUP($B$35*$B$30*(1+$B$19)/$B$16,0)</f>
        <v>3.0</v>
      </c>
      <c r="C45" s="4" t="inlineStr">
        <is>
          <t>750 ml bottles</t>
        </is>
      </c>
      <c r="D45" s="12">
        <f>ROUNDUP($B$35*$B$30*(1+$B$19)/($B$16*7/3),0)</f>
        <v>2.0</v>
      </c>
    </row>
    <row r="46">
      <c r="A46" s="4" t="inlineStr">
        <is>
          <t xml:space="preserve">   Gin</t>
        </is>
      </c>
      <c r="B46" s="12">
        <f>ROUNDUP($B$35*$B$31*(1+$B$19)/$B$16,0)</f>
        <v>3.0</v>
      </c>
      <c r="C46" s="4" t="inlineStr">
        <is>
          <t>750 ml bottles</t>
        </is>
      </c>
      <c r="D46" s="12">
        <f>ROUNDUP($B$35*$B$31*(1+$B$19)/($B$16*7/3),0)</f>
        <v>2.0</v>
      </c>
    </row>
    <row r="47">
      <c r="A47" s="4" t="inlineStr">
        <is>
          <t>Wine</t>
        </is>
      </c>
      <c r="B47" s="12">
        <f>ROUNDUP($B$36*(1+$B$19)/$B$17,0)</f>
        <v>27.0</v>
      </c>
      <c r="C47" s="4" t="inlineStr">
        <is>
          <t>750 ml bottles</t>
        </is>
      </c>
      <c r="E47" s="2" t="inlineStr">
        <is>
          <t>Split between red, white and sparkling to taste.</t>
        </is>
      </c>
    </row>
    <row r="48">
      <c r="A48" s="4" t="inlineStr">
        <is>
          <t>Beer</t>
        </is>
      </c>
      <c r="B48" s="12">
        <f>ROUNDUP($B$37*$B$18*(1+$B$19),0)</f>
        <v>131.0</v>
      </c>
      <c r="C48" s="4" t="inlineStr">
        <is>
          <t>12 oz cans or bottles</t>
        </is>
      </c>
    </row>
    <row r="49">
      <c r="A49" s="4" t="inlineStr">
        <is>
          <t>Sparkling wine for the toast</t>
        </is>
      </c>
      <c r="B49" s="12">
        <f>IF($B$20="Yes",ROUNDUP($B$6/$B$21,0),0)</f>
        <v>0.0</v>
      </c>
      <c r="C49" s="4" t="inlineStr">
        <is>
          <t>750 ml bottles</t>
        </is>
      </c>
      <c r="E49" s="2" t="inlineStr">
        <is>
          <t>Only if the switch above is Yes.</t>
        </is>
      </c>
    </row>
    <row r="51">
      <c r="A51" s="3" t="inlineStr">
        <is>
          <t>WHAT THE BAR BRINGS</t>
        </is>
      </c>
      <c r="B51" s="3" t="inlineStr">
        <is>
          <t>Quantity</t>
        </is>
      </c>
      <c r="C51" s="3" t="inlineStr">
        <is>
          <t>Unit</t>
        </is>
      </c>
      <c r="E51" s="3" t="inlineStr">
        <is>
          <t>Notes</t>
        </is>
      </c>
    </row>
    <row r="52">
      <c r="A52" s="4" t="inlineStr">
        <is>
          <t>Ice</t>
        </is>
      </c>
      <c r="B52" s="13">
        <f>$B$6*'Pricing Calculator'!$B$19</f>
        <v>142.5</v>
      </c>
      <c r="C52" s="4" t="inlineStr">
        <is>
          <t>lb</t>
        </is>
      </c>
      <c r="E52" s="2" t="inlineStr">
        <is>
          <t>Commercial bagged ice. Ask your county about ice and garnish rules.</t>
        </is>
      </c>
    </row>
    <row r="53">
      <c r="A53" s="4" t="inlineStr">
        <is>
          <t>Ice, in kg (for metric suppliers)</t>
        </is>
      </c>
      <c r="B53" s="13">
        <f>B52*0.45359237</f>
        <v>64.636912725</v>
      </c>
      <c r="C53" s="4" t="inlineStr">
        <is>
          <t>kg</t>
        </is>
      </c>
      <c r="E53" s="2" t="inlineStr">
        <is>
          <t>1 lb = 0.454 kg.</t>
        </is>
      </c>
    </row>
    <row r="54">
      <c r="A54" s="4" t="inlineStr">
        <is>
          <t>Ice, in bags</t>
        </is>
      </c>
      <c r="B54" s="12">
        <f>ROUNDUP(B52/$B$22,0)</f>
        <v>15.0</v>
      </c>
      <c r="C54" s="4" t="inlineStr">
        <is>
          <t>bags</t>
        </is>
      </c>
    </row>
    <row r="55">
      <c r="A55" s="4" t="inlineStr">
        <is>
          <t>Cups</t>
        </is>
      </c>
      <c r="B55" s="12">
        <f>ROUNDUP($B$8*$B$23*(1+$B$19),0)</f>
        <v>523.0</v>
      </c>
      <c r="C55" s="4" t="inlineStr">
        <is>
          <t>units</t>
        </is>
      </c>
    </row>
    <row r="56">
      <c r="A56" s="4" t="inlineStr">
        <is>
          <t>Napkins</t>
        </is>
      </c>
      <c r="B56" s="12">
        <f>ROUNDUP($B$8*$B$24*(1+$B$19),0)</f>
        <v>523.0</v>
      </c>
      <c r="C56" s="4" t="inlineStr">
        <is>
          <t>units</t>
        </is>
      </c>
    </row>
    <row r="57">
      <c r="A57" s="4" t="inlineStr">
        <is>
          <t>Mixer and garnish servings</t>
        </is>
      </c>
      <c r="B57" s="12">
        <f>ROUNDUP($B$35*(1+$B$19),0)</f>
        <v>262.0</v>
      </c>
      <c r="C57" s="4" t="inlineStr">
        <is>
          <t>servings</t>
        </is>
      </c>
      <c r="E57" s="2" t="inlineStr">
        <is>
          <t>One per cocktail: see the "Signature Cocktail Specs" tab for each recipe.</t>
        </is>
      </c>
    </row>
  </sheetData>
  <sheetProtection selectLockedCells="0" selectUnlockedCells="0" sheet="1" objects="0" insertRows="1" insertHyperlinks="1" autoFilter="1" scenarios="0" formatColumns="1" deleteColumns="1" insertColumns="1" pivotTables="1" deleteRows="1" formatCells="1" formatRows="1" sort="1"/>
  <mergeCells count="3">
    <mergeCell ref="A2:E2"/>
    <mergeCell ref="B5:D5"/>
    <mergeCell ref="B40:D40"/>
  </mergeCells>
  <dataValidations count="5">
    <dataValidation sqref="B11 B12 B13 B27 B28 B29 B30 B31 C11 C12 C13 D11 D12 D13" showDropDown="0" showInputMessage="0" showErrorMessage="1" allowBlank="0" errorTitle="Invalid percentage" error="Enter a share between 0 and 1 (0.25 = 25%)." type="decimal" operator="between">
      <formula1>0</formula1>
      <formula2>1</formula2>
    </dataValidation>
    <dataValidation sqref="B16 B17 B21 B22" showDropDown="0" showInputMessage="0" showErrorMessage="1" allowBlank="0" errorTitle="Invalid count" error="Enter a whole number of 1 or more." type="whole" operator="between">
      <formula1>1</formula1>
      <formula2>1000</formula2>
    </dataValidation>
    <dataValidation sqref="B18 B23 B24" showDropDown="0" showInputMessage="0" showErrorMessage="1" allowBlank="0" errorTitle="Invalid amount" error="Enter a number greater than or equal to 0." type="decimal" operator="greaterThanOrEqual">
      <formula1>0</formula1>
    </dataValidation>
    <dataValidation sqref="B19" showDropDown="0" showInputMessage="0" showErrorMessage="1" allowBlank="0" errorTitle="Invalid percentage" error="Enter a percentage between 0 and 1 (0.10 = 10%)." type="decimal" operator="between">
      <formula1>0</formula1>
      <formula2>1</formula2>
    </dataValidation>
    <dataValidation sqref="B20" showDropDown="0" showInputMessage="0" showErrorMessage="1" allowBlank="0" errorTitle="Invalid entry" error="Choose Yes or No." type="list">
      <formula1>"Yes,No"</formula1>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S9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7" customWidth="1" min="3" max="3"/>
    <col width="7" customWidth="1" min="4" max="4"/>
    <col width="10" customWidth="1" min="5" max="5"/>
    <col width="9" customWidth="1" min="6" max="6"/>
    <col width="17" customWidth="1" min="7" max="7"/>
    <col width="9" customWidth="1" min="8" max="8"/>
    <col width="9" customWidth="1" min="9" max="9"/>
    <col width="9" customWidth="1" min="10" max="10"/>
    <col width="9" customWidth="1" min="11" max="11"/>
    <col width="9"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s>
  <sheetData>
    <row r="1">
      <c r="A1" s="1" t="inlineStr">
        <is>
          <t>SIGNATURE COCKTAIL SPECS — 10 RECIPES, SCALED AND COSTED</t>
        </is>
      </c>
    </row>
    <row r="2" ht="48" customHeight="1">
      <c r="A2" s="2" t="inlineStr">
        <is>
          <t>Ten signature cocktails, including one zero-proof mocktail, in US ounces (oz) with milliliters in parentheses for metric jiggers (UK, Australia). Type your local price for each bottle or pack in the green cells: the cost per drink and the quantities for 50, 100 and 200 drinks are calculated, in ounces and in 750 ml bottles (a "fifth") or 1.75 L bottles (a "handle"). In dry hire, everything that contains alcohol (bitters included) goes on the host's shopping list; you supply mixers, juices, syrups, garnishes and ice. Pack prices are kit estimates.</t>
        </is>
      </c>
    </row>
    <row r="4" ht="45" customHeight="1">
      <c r="A4" s="18" t="inlineStr">
        <is>
          <t>Ingredient</t>
        </is>
      </c>
      <c r="B4" s="18" t="inlineStr">
        <is>
          <t>Per drink</t>
        </is>
      </c>
      <c r="C4" s="18" t="inlineStr">
        <is>
          <t>(ml)</t>
        </is>
      </c>
      <c r="D4" s="18" t="inlineStr">
        <is>
          <t>Unit</t>
        </is>
      </c>
      <c r="E4" s="18" t="inlineStr">
        <is>
          <t>Who buys (dry hire)</t>
        </is>
      </c>
      <c r="F4" s="18" t="inlineStr">
        <is>
          <t>Pack size</t>
        </is>
      </c>
      <c r="G4" s="18" t="inlineStr">
        <is>
          <t>Pack</t>
        </is>
      </c>
      <c r="H4" s="18" t="inlineStr">
        <is>
          <t>Pack price</t>
        </is>
      </c>
      <c r="I4" s="18" t="inlineStr">
        <is>
          <t>Cost per drink</t>
        </is>
      </c>
      <c r="J4" s="18" t="inlineStr">
        <is>
          <t>50 drinks</t>
        </is>
      </c>
      <c r="K4" s="18" t="inlineStr">
        <is>
          <t>100 drinks</t>
        </is>
      </c>
      <c r="L4" s="18" t="inlineStr">
        <is>
          <t>200 drinks</t>
        </is>
      </c>
      <c r="M4" s="18" t="inlineStr">
        <is>
          <t>750 ml bottles, 50 drinks</t>
        </is>
      </c>
      <c r="N4" s="18" t="inlineStr">
        <is>
          <t>750 ml bottles, 100 drinks</t>
        </is>
      </c>
      <c r="O4" s="18" t="inlineStr">
        <is>
          <t>750 ml bottles, 200 drinks</t>
        </is>
      </c>
      <c r="P4" s="18" t="inlineStr">
        <is>
          <t>1.75 L bottles, 50 drinks</t>
        </is>
      </c>
      <c r="Q4" s="18" t="inlineStr">
        <is>
          <t>1.75 L bottles, 100 drinks</t>
        </is>
      </c>
      <c r="R4" s="18" t="inlineStr">
        <is>
          <t>1.75 L bottles, 200 drinks</t>
        </is>
      </c>
      <c r="S4" s="18" t="inlineStr">
        <is>
          <t>Packs for 100 drinks</t>
        </is>
      </c>
    </row>
    <row r="6">
      <c r="A6" s="3" t="inlineStr">
        <is>
          <t>OLD FASHIONED</t>
        </is>
      </c>
      <c r="B6" s="20" t="inlineStr">
        <is>
          <t>Rocks glass, one large cube</t>
        </is>
      </c>
    </row>
    <row r="7">
      <c r="A7" s="4" t="inlineStr">
        <is>
          <t>Bourbon</t>
        </is>
      </c>
      <c r="B7" s="21" t="n">
        <v>2</v>
      </c>
      <c r="C7" s="12">
        <f>IF(D7="oz",ROUND(B7*29.5735,0),"—")</f>
        <v>59.0</v>
      </c>
      <c r="D7" s="4" t="inlineStr">
        <is>
          <t>oz</t>
        </is>
      </c>
      <c r="E7" s="4" t="inlineStr">
        <is>
          <t>Host</t>
        </is>
      </c>
      <c r="F7" s="22" t="n">
        <v>25.36</v>
      </c>
      <c r="G7" s="4" t="inlineStr">
        <is>
          <t>oz (750 ml bottle)</t>
        </is>
      </c>
      <c r="H7" s="8" t="n">
        <v>25</v>
      </c>
      <c r="I7" s="23">
        <f>IF(F7=0,0,B7/F7*H7)</f>
        <v>1.971608832807571</v>
      </c>
      <c r="J7" s="14">
        <f>B7*50</f>
        <v>100.0</v>
      </c>
      <c r="K7" s="14">
        <f>B7*100</f>
        <v>200.0</v>
      </c>
      <c r="L7" s="14">
        <f>B7*200</f>
        <v>400.0</v>
      </c>
      <c r="M7" s="12">
        <f>IF(AND(D7="oz",E7="Host"),ROUNDUP(B7*50/25.36,0),"—")</f>
        <v>4.0</v>
      </c>
      <c r="N7" s="12">
        <f>IF(AND(D7="oz",E7="Host"),ROUNDUP(B7*100/25.36,0),"—")</f>
        <v>8.0</v>
      </c>
      <c r="O7" s="12">
        <f>IF(AND(D7="oz",E7="Host"),ROUNDUP(B7*200/25.36,0),"—")</f>
        <v>16.0</v>
      </c>
      <c r="P7" s="12">
        <f>IF(AND(D7="oz",E7="Host"),ROUNDUP(B7*50/59.17,0),"—")</f>
        <v>2.0</v>
      </c>
      <c r="Q7" s="12">
        <f>IF(AND(D7="oz",E7="Host"),ROUNDUP(B7*100/59.17,0),"—")</f>
        <v>4.0</v>
      </c>
      <c r="R7" s="12">
        <f>IF(AND(D7="oz",E7="Host"),ROUNDUP(B7*200/59.17,0),"—")</f>
        <v>7.0</v>
      </c>
      <c r="S7" s="12">
        <f>IF(F7=0,0,ROUNDUP(B7*100/F7,0))</f>
        <v>8.0</v>
      </c>
    </row>
    <row r="8">
      <c r="A8" s="4" t="inlineStr">
        <is>
          <t>Angostura bitters</t>
        </is>
      </c>
      <c r="B8" s="21" t="n">
        <v>2</v>
      </c>
      <c r="C8" s="12" t="str">
        <f>IF(D8="oz",ROUND(B8*29.5735,0),"—")</f>
        <v>—</v>
      </c>
      <c r="D8" s="4" t="inlineStr">
        <is>
          <t>dash</t>
        </is>
      </c>
      <c r="E8" s="4" t="inlineStr">
        <is>
          <t>Host</t>
        </is>
      </c>
      <c r="F8" s="22" t="n">
        <v>120</v>
      </c>
      <c r="G8" s="4" t="inlineStr">
        <is>
          <t>dashes (4 oz bottle)</t>
        </is>
      </c>
      <c r="H8" s="8" t="n">
        <v>10</v>
      </c>
      <c r="I8" s="23">
        <f>IF(F8=0,0,B8/F8*H8)</f>
        <v>0.16666666666666666</v>
      </c>
      <c r="J8" s="14">
        <f>B8*50</f>
        <v>100.0</v>
      </c>
      <c r="K8" s="14">
        <f>B8*100</f>
        <v>200.0</v>
      </c>
      <c r="L8" s="14">
        <f>B8*200</f>
        <v>400.0</v>
      </c>
      <c r="M8" s="12" t="str">
        <f>IF(AND(D8="oz",E8="Host"),ROUNDUP(B8*50/25.36,0),"—")</f>
        <v>—</v>
      </c>
      <c r="N8" s="12" t="str">
        <f>IF(AND(D8="oz",E8="Host"),ROUNDUP(B8*100/25.36,0),"—")</f>
        <v>—</v>
      </c>
      <c r="O8" s="12" t="str">
        <f>IF(AND(D8="oz",E8="Host"),ROUNDUP(B8*200/25.36,0),"—")</f>
        <v>—</v>
      </c>
      <c r="P8" s="12" t="str">
        <f>IF(AND(D8="oz",E8="Host"),ROUNDUP(B8*50/59.17,0),"—")</f>
        <v>—</v>
      </c>
      <c r="Q8" s="12" t="str">
        <f>IF(AND(D8="oz",E8="Host"),ROUNDUP(B8*100/59.17,0),"—")</f>
        <v>—</v>
      </c>
      <c r="R8" s="12" t="str">
        <f>IF(AND(D8="oz",E8="Host"),ROUNDUP(B8*200/59.17,0),"—")</f>
        <v>—</v>
      </c>
      <c r="S8" s="12">
        <f>IF(F8=0,0,ROUNDUP(B8*100/F8,0))</f>
        <v>2.0</v>
      </c>
    </row>
    <row r="9">
      <c r="A9" s="4" t="inlineStr">
        <is>
          <t>Sugar cube</t>
        </is>
      </c>
      <c r="B9" s="21" t="n">
        <v>1</v>
      </c>
      <c r="C9" s="12" t="str">
        <f>IF(D9="oz",ROUND(B9*29.5735,0),"—")</f>
        <v>—</v>
      </c>
      <c r="D9" s="4" t="inlineStr">
        <is>
          <t>each</t>
        </is>
      </c>
      <c r="E9" s="4" t="inlineStr">
        <is>
          <t>Bar</t>
        </is>
      </c>
      <c r="F9" s="22" t="n">
        <v>126</v>
      </c>
      <c r="G9" s="4" t="inlineStr">
        <is>
          <t>cubes (box)</t>
        </is>
      </c>
      <c r="H9" s="8" t="n">
        <v>4</v>
      </c>
      <c r="I9" s="23">
        <f>IF(F9=0,0,B9/F9*H9)</f>
        <v>0.031746031746031744</v>
      </c>
      <c r="J9" s="14">
        <f>B9*50</f>
        <v>50.0</v>
      </c>
      <c r="K9" s="14">
        <f>B9*100</f>
        <v>100.0</v>
      </c>
      <c r="L9" s="14">
        <f>B9*200</f>
        <v>200.0</v>
      </c>
      <c r="M9" s="12" t="str">
        <f>IF(AND(D9="oz",E9="Host"),ROUNDUP(B9*50/25.36,0),"—")</f>
        <v>—</v>
      </c>
      <c r="N9" s="12" t="str">
        <f>IF(AND(D9="oz",E9="Host"),ROUNDUP(B9*100/25.36,0),"—")</f>
        <v>—</v>
      </c>
      <c r="O9" s="12" t="str">
        <f>IF(AND(D9="oz",E9="Host"),ROUNDUP(B9*200/25.36,0),"—")</f>
        <v>—</v>
      </c>
      <c r="P9" s="12" t="str">
        <f>IF(AND(D9="oz",E9="Host"),ROUNDUP(B9*50/59.17,0),"—")</f>
        <v>—</v>
      </c>
      <c r="Q9" s="12" t="str">
        <f>IF(AND(D9="oz",E9="Host"),ROUNDUP(B9*100/59.17,0),"—")</f>
        <v>—</v>
      </c>
      <c r="R9" s="12" t="str">
        <f>IF(AND(D9="oz",E9="Host"),ROUNDUP(B9*200/59.17,0),"—")</f>
        <v>—</v>
      </c>
      <c r="S9" s="12">
        <f>IF(F9=0,0,ROUNDUP(B9*100/F9,0))</f>
        <v>1.0</v>
      </c>
    </row>
    <row r="10">
      <c r="A10" s="4" t="inlineStr">
        <is>
          <t>Orange peel</t>
        </is>
      </c>
      <c r="B10" s="21" t="n">
        <v>1</v>
      </c>
      <c r="C10" s="12" t="str">
        <f>IF(D10="oz",ROUND(B10*29.5735,0),"—")</f>
        <v>—</v>
      </c>
      <c r="D10" s="4" t="inlineStr">
        <is>
          <t>each</t>
        </is>
      </c>
      <c r="E10" s="4" t="inlineStr">
        <is>
          <t>Bar</t>
        </is>
      </c>
      <c r="F10" s="22" t="n">
        <v>4</v>
      </c>
      <c r="G10" s="4" t="inlineStr">
        <is>
          <t>peels (1 orange)</t>
        </is>
      </c>
      <c r="H10" s="8" t="n">
        <v>1</v>
      </c>
      <c r="I10" s="23">
        <f>IF(F10=0,0,B10/F10*H10)</f>
        <v>0.25</v>
      </c>
      <c r="J10" s="14">
        <f>B10*50</f>
        <v>50.0</v>
      </c>
      <c r="K10" s="14">
        <f>B10*100</f>
        <v>100.0</v>
      </c>
      <c r="L10" s="14">
        <f>B10*200</f>
        <v>200.0</v>
      </c>
      <c r="M10" s="12" t="str">
        <f>IF(AND(D10="oz",E10="Host"),ROUNDUP(B10*50/25.36,0),"—")</f>
        <v>—</v>
      </c>
      <c r="N10" s="12" t="str">
        <f>IF(AND(D10="oz",E10="Host"),ROUNDUP(B10*100/25.36,0),"—")</f>
        <v>—</v>
      </c>
      <c r="O10" s="12" t="str">
        <f>IF(AND(D10="oz",E10="Host"),ROUNDUP(B10*200/25.36,0),"—")</f>
        <v>—</v>
      </c>
      <c r="P10" s="12" t="str">
        <f>IF(AND(D10="oz",E10="Host"),ROUNDUP(B10*50/59.17,0),"—")</f>
        <v>—</v>
      </c>
      <c r="Q10" s="12" t="str">
        <f>IF(AND(D10="oz",E10="Host"),ROUNDUP(B10*100/59.17,0),"—")</f>
        <v>—</v>
      </c>
      <c r="R10" s="12" t="str">
        <f>IF(AND(D10="oz",E10="Host"),ROUNDUP(B10*200/59.17,0),"—")</f>
        <v>—</v>
      </c>
      <c r="S10" s="12">
        <f>IF(F10=0,0,ROUNDUP(B10*100/F10,0))</f>
        <v>25.0</v>
      </c>
    </row>
    <row r="11">
      <c r="A11" s="15" t="inlineStr">
        <is>
          <t>Cost per drink, all ingredients</t>
        </is>
      </c>
      <c r="I11" s="16">
        <f>SUM(I7:I10)</f>
        <v>2.4200215312202693</v>
      </c>
    </row>
    <row r="12">
      <c r="A12" s="15" t="inlineStr">
        <is>
          <t>Your cost per drink in dry hire (bar-supplied items)</t>
        </is>
      </c>
      <c r="I12" s="16">
        <f>SUMIF(E7:E10,"Bar",I7:I10)</f>
        <v>0.28174603174603174</v>
      </c>
    </row>
    <row r="14">
      <c r="A14" s="3" t="inlineStr">
        <is>
          <t>NEGRONI</t>
        </is>
      </c>
      <c r="B14" s="20" t="inlineStr">
        <is>
          <t>Rocks glass, one large cube</t>
        </is>
      </c>
    </row>
    <row r="15">
      <c r="A15" s="4" t="inlineStr">
        <is>
          <t>Gin</t>
        </is>
      </c>
      <c r="B15" s="21" t="n">
        <v>1</v>
      </c>
      <c r="C15" s="12">
        <f>IF(D15="oz",ROUND(B15*29.5735,0),"—")</f>
        <v>30.0</v>
      </c>
      <c r="D15" s="4" t="inlineStr">
        <is>
          <t>oz</t>
        </is>
      </c>
      <c r="E15" s="4" t="inlineStr">
        <is>
          <t>Host</t>
        </is>
      </c>
      <c r="F15" s="22" t="n">
        <v>25.36</v>
      </c>
      <c r="G15" s="4" t="inlineStr">
        <is>
          <t>oz (750 ml bottle)</t>
        </is>
      </c>
      <c r="H15" s="8" t="n">
        <v>25</v>
      </c>
      <c r="I15" s="23">
        <f>IF(F15=0,0,B15/F15*H15)</f>
        <v>0.9858044164037855</v>
      </c>
      <c r="J15" s="14">
        <f>B15*50</f>
        <v>50.0</v>
      </c>
      <c r="K15" s="14">
        <f>B15*100</f>
        <v>100.0</v>
      </c>
      <c r="L15" s="14">
        <f>B15*200</f>
        <v>200.0</v>
      </c>
      <c r="M15" s="12">
        <f>IF(AND(D15="oz",E15="Host"),ROUNDUP(B15*50/25.36,0),"—")</f>
        <v>2.0</v>
      </c>
      <c r="N15" s="12">
        <f>IF(AND(D15="oz",E15="Host"),ROUNDUP(B15*100/25.36,0),"—")</f>
        <v>4.0</v>
      </c>
      <c r="O15" s="12">
        <f>IF(AND(D15="oz",E15="Host"),ROUNDUP(B15*200/25.36,0),"—")</f>
        <v>8.0</v>
      </c>
      <c r="P15" s="12">
        <f>IF(AND(D15="oz",E15="Host"),ROUNDUP(B15*50/59.17,0),"—")</f>
        <v>1.0</v>
      </c>
      <c r="Q15" s="12">
        <f>IF(AND(D15="oz",E15="Host"),ROUNDUP(B15*100/59.17,0),"—")</f>
        <v>2.0</v>
      </c>
      <c r="R15" s="12">
        <f>IF(AND(D15="oz",E15="Host"),ROUNDUP(B15*200/59.17,0),"—")</f>
        <v>4.0</v>
      </c>
      <c r="S15" s="12">
        <f>IF(F15=0,0,ROUNDUP(B15*100/F15,0))</f>
        <v>4.0</v>
      </c>
    </row>
    <row r="16">
      <c r="A16" s="4" t="inlineStr">
        <is>
          <t>Sweet vermouth</t>
        </is>
      </c>
      <c r="B16" s="21" t="n">
        <v>1</v>
      </c>
      <c r="C16" s="12">
        <f>IF(D16="oz",ROUND(B16*29.5735,0),"—")</f>
        <v>30.0</v>
      </c>
      <c r="D16" s="4" t="inlineStr">
        <is>
          <t>oz</t>
        </is>
      </c>
      <c r="E16" s="4" t="inlineStr">
        <is>
          <t>Host</t>
        </is>
      </c>
      <c r="F16" s="22" t="n">
        <v>25.36</v>
      </c>
      <c r="G16" s="4" t="inlineStr">
        <is>
          <t>oz (750 ml bottle)</t>
        </is>
      </c>
      <c r="H16" s="8" t="n">
        <v>18</v>
      </c>
      <c r="I16" s="23">
        <f>IF(F16=0,0,B16/F16*H16)</f>
        <v>0.7097791798107255</v>
      </c>
      <c r="J16" s="14">
        <f>B16*50</f>
        <v>50.0</v>
      </c>
      <c r="K16" s="14">
        <f>B16*100</f>
        <v>100.0</v>
      </c>
      <c r="L16" s="14">
        <f>B16*200</f>
        <v>200.0</v>
      </c>
      <c r="M16" s="12">
        <f>IF(AND(D16="oz",E16="Host"),ROUNDUP(B16*50/25.36,0),"—")</f>
        <v>2.0</v>
      </c>
      <c r="N16" s="12">
        <f>IF(AND(D16="oz",E16="Host"),ROUNDUP(B16*100/25.36,0),"—")</f>
        <v>4.0</v>
      </c>
      <c r="O16" s="12">
        <f>IF(AND(D16="oz",E16="Host"),ROUNDUP(B16*200/25.36,0),"—")</f>
        <v>8.0</v>
      </c>
      <c r="P16" s="12">
        <f>IF(AND(D16="oz",E16="Host"),ROUNDUP(B16*50/59.17,0),"—")</f>
        <v>1.0</v>
      </c>
      <c r="Q16" s="12">
        <f>IF(AND(D16="oz",E16="Host"),ROUNDUP(B16*100/59.17,0),"—")</f>
        <v>2.0</v>
      </c>
      <c r="R16" s="12">
        <f>IF(AND(D16="oz",E16="Host"),ROUNDUP(B16*200/59.17,0),"—")</f>
        <v>4.0</v>
      </c>
      <c r="S16" s="12">
        <f>IF(F16=0,0,ROUNDUP(B16*100/F16,0))</f>
        <v>4.0</v>
      </c>
    </row>
    <row r="17">
      <c r="A17" s="4" t="inlineStr">
        <is>
          <t>Campari</t>
        </is>
      </c>
      <c r="B17" s="21" t="n">
        <v>1</v>
      </c>
      <c r="C17" s="12">
        <f>IF(D17="oz",ROUND(B17*29.5735,0),"—")</f>
        <v>30.0</v>
      </c>
      <c r="D17" s="4" t="inlineStr">
        <is>
          <t>oz</t>
        </is>
      </c>
      <c r="E17" s="4" t="inlineStr">
        <is>
          <t>Host</t>
        </is>
      </c>
      <c r="F17" s="22" t="n">
        <v>25.36</v>
      </c>
      <c r="G17" s="4" t="inlineStr">
        <is>
          <t>oz (750 ml bottle)</t>
        </is>
      </c>
      <c r="H17" s="8" t="n">
        <v>28</v>
      </c>
      <c r="I17" s="23">
        <f>IF(F17=0,0,B17/F17*H17)</f>
        <v>1.1041009463722398</v>
      </c>
      <c r="J17" s="14">
        <f>B17*50</f>
        <v>50.0</v>
      </c>
      <c r="K17" s="14">
        <f>B17*100</f>
        <v>100.0</v>
      </c>
      <c r="L17" s="14">
        <f>B17*200</f>
        <v>200.0</v>
      </c>
      <c r="M17" s="12">
        <f>IF(AND(D17="oz",E17="Host"),ROUNDUP(B17*50/25.36,0),"—")</f>
        <v>2.0</v>
      </c>
      <c r="N17" s="12">
        <f>IF(AND(D17="oz",E17="Host"),ROUNDUP(B17*100/25.36,0),"—")</f>
        <v>4.0</v>
      </c>
      <c r="O17" s="12">
        <f>IF(AND(D17="oz",E17="Host"),ROUNDUP(B17*200/25.36,0),"—")</f>
        <v>8.0</v>
      </c>
      <c r="P17" s="12">
        <f>IF(AND(D17="oz",E17="Host"),ROUNDUP(B17*50/59.17,0),"—")</f>
        <v>1.0</v>
      </c>
      <c r="Q17" s="12">
        <f>IF(AND(D17="oz",E17="Host"),ROUNDUP(B17*100/59.17,0),"—")</f>
        <v>2.0</v>
      </c>
      <c r="R17" s="12">
        <f>IF(AND(D17="oz",E17="Host"),ROUNDUP(B17*200/59.17,0),"—")</f>
        <v>4.0</v>
      </c>
      <c r="S17" s="12">
        <f>IF(F17=0,0,ROUNDUP(B17*100/F17,0))</f>
        <v>4.0</v>
      </c>
    </row>
    <row r="18">
      <c r="A18" s="4" t="inlineStr">
        <is>
          <t>Orange peel</t>
        </is>
      </c>
      <c r="B18" s="21" t="n">
        <v>1</v>
      </c>
      <c r="C18" s="12" t="str">
        <f>IF(D18="oz",ROUND(B18*29.5735,0),"—")</f>
        <v>—</v>
      </c>
      <c r="D18" s="4" t="inlineStr">
        <is>
          <t>each</t>
        </is>
      </c>
      <c r="E18" s="4" t="inlineStr">
        <is>
          <t>Bar</t>
        </is>
      </c>
      <c r="F18" s="22" t="n">
        <v>4</v>
      </c>
      <c r="G18" s="4" t="inlineStr">
        <is>
          <t>peels (1 orange)</t>
        </is>
      </c>
      <c r="H18" s="8" t="n">
        <v>1</v>
      </c>
      <c r="I18" s="23">
        <f>IF(F18=0,0,B18/F18*H18)</f>
        <v>0.25</v>
      </c>
      <c r="J18" s="14">
        <f>B18*50</f>
        <v>50.0</v>
      </c>
      <c r="K18" s="14">
        <f>B18*100</f>
        <v>100.0</v>
      </c>
      <c r="L18" s="14">
        <f>B18*200</f>
        <v>200.0</v>
      </c>
      <c r="M18" s="12" t="str">
        <f>IF(AND(D18="oz",E18="Host"),ROUNDUP(B18*50/25.36,0),"—")</f>
        <v>—</v>
      </c>
      <c r="N18" s="12" t="str">
        <f>IF(AND(D18="oz",E18="Host"),ROUNDUP(B18*100/25.36,0),"—")</f>
        <v>—</v>
      </c>
      <c r="O18" s="12" t="str">
        <f>IF(AND(D18="oz",E18="Host"),ROUNDUP(B18*200/25.36,0),"—")</f>
        <v>—</v>
      </c>
      <c r="P18" s="12" t="str">
        <f>IF(AND(D18="oz",E18="Host"),ROUNDUP(B18*50/59.17,0),"—")</f>
        <v>—</v>
      </c>
      <c r="Q18" s="12" t="str">
        <f>IF(AND(D18="oz",E18="Host"),ROUNDUP(B18*100/59.17,0),"—")</f>
        <v>—</v>
      </c>
      <c r="R18" s="12" t="str">
        <f>IF(AND(D18="oz",E18="Host"),ROUNDUP(B18*200/59.17,0),"—")</f>
        <v>—</v>
      </c>
      <c r="S18" s="12">
        <f>IF(F18=0,0,ROUNDUP(B18*100/F18,0))</f>
        <v>25.0</v>
      </c>
    </row>
    <row r="19">
      <c r="A19" s="15" t="inlineStr">
        <is>
          <t>Cost per drink, all ingredients</t>
        </is>
      </c>
      <c r="I19" s="16">
        <f>SUM(I15:I18)</f>
        <v>3.0496845425867507</v>
      </c>
    </row>
    <row r="20">
      <c r="A20" s="15" t="inlineStr">
        <is>
          <t>Your cost per drink in dry hire (bar-supplied items)</t>
        </is>
      </c>
      <c r="I20" s="16">
        <f>SUMIF(E15:E18,"Bar",I15:I18)</f>
        <v>0.25</v>
      </c>
    </row>
    <row r="22">
      <c r="A22" s="3" t="inlineStr">
        <is>
          <t>FRENCH 75</t>
        </is>
      </c>
      <c r="B22" s="20" t="inlineStr">
        <is>
          <t>Flute or coupe</t>
        </is>
      </c>
    </row>
    <row r="23">
      <c r="A23" s="4" t="inlineStr">
        <is>
          <t>Gin</t>
        </is>
      </c>
      <c r="B23" s="21" t="n">
        <v>1</v>
      </c>
      <c r="C23" s="12">
        <f>IF(D23="oz",ROUND(B23*29.5735,0),"—")</f>
        <v>30.0</v>
      </c>
      <c r="D23" s="4" t="inlineStr">
        <is>
          <t>oz</t>
        </is>
      </c>
      <c r="E23" s="4" t="inlineStr">
        <is>
          <t>Host</t>
        </is>
      </c>
      <c r="F23" s="22" t="n">
        <v>25.36</v>
      </c>
      <c r="G23" s="4" t="inlineStr">
        <is>
          <t>oz (750 ml bottle)</t>
        </is>
      </c>
      <c r="H23" s="8" t="n">
        <v>25</v>
      </c>
      <c r="I23" s="23">
        <f>IF(F23=0,0,B23/F23*H23)</f>
        <v>0.9858044164037855</v>
      </c>
      <c r="J23" s="14">
        <f>B23*50</f>
        <v>50.0</v>
      </c>
      <c r="K23" s="14">
        <f>B23*100</f>
        <v>100.0</v>
      </c>
      <c r="L23" s="14">
        <f>B23*200</f>
        <v>200.0</v>
      </c>
      <c r="M23" s="12">
        <f>IF(AND(D23="oz",E23="Host"),ROUNDUP(B23*50/25.36,0),"—")</f>
        <v>2.0</v>
      </c>
      <c r="N23" s="12">
        <f>IF(AND(D23="oz",E23="Host"),ROUNDUP(B23*100/25.36,0),"—")</f>
        <v>4.0</v>
      </c>
      <c r="O23" s="12">
        <f>IF(AND(D23="oz",E23="Host"),ROUNDUP(B23*200/25.36,0),"—")</f>
        <v>8.0</v>
      </c>
      <c r="P23" s="12">
        <f>IF(AND(D23="oz",E23="Host"),ROUNDUP(B23*50/59.17,0),"—")</f>
        <v>1.0</v>
      </c>
      <c r="Q23" s="12">
        <f>IF(AND(D23="oz",E23="Host"),ROUNDUP(B23*100/59.17,0),"—")</f>
        <v>2.0</v>
      </c>
      <c r="R23" s="12">
        <f>IF(AND(D23="oz",E23="Host"),ROUNDUP(B23*200/59.17,0),"—")</f>
        <v>4.0</v>
      </c>
      <c r="S23" s="12">
        <f>IF(F23=0,0,ROUNDUP(B23*100/F23,0))</f>
        <v>4.0</v>
      </c>
    </row>
    <row r="24">
      <c r="A24" s="4" t="inlineStr">
        <is>
          <t>Fresh lemon juice</t>
        </is>
      </c>
      <c r="B24" s="21" t="n">
        <v>0.5</v>
      </c>
      <c r="C24" s="12">
        <f>IF(D24="oz",ROUND(B24*29.5735,0),"—")</f>
        <v>15.0</v>
      </c>
      <c r="D24" s="4" t="inlineStr">
        <is>
          <t>oz</t>
        </is>
      </c>
      <c r="E24" s="4" t="inlineStr">
        <is>
          <t>Bar</t>
        </is>
      </c>
      <c r="F24" s="22" t="n">
        <v>32</v>
      </c>
      <c r="G24" s="4" t="inlineStr">
        <is>
          <t>oz (32 oz bottle)</t>
        </is>
      </c>
      <c r="H24" s="8" t="n">
        <v>10</v>
      </c>
      <c r="I24" s="23">
        <f>IF(F24=0,0,B24/F24*H24)</f>
        <v>0.15625</v>
      </c>
      <c r="J24" s="14">
        <f>B24*50</f>
        <v>25.0</v>
      </c>
      <c r="K24" s="14">
        <f>B24*100</f>
        <v>50.0</v>
      </c>
      <c r="L24" s="14">
        <f>B24*200</f>
        <v>100.0</v>
      </c>
      <c r="M24" s="12" t="str">
        <f>IF(AND(D24="oz",E24="Host"),ROUNDUP(B24*50/25.36,0),"—")</f>
        <v>—</v>
      </c>
      <c r="N24" s="12" t="str">
        <f>IF(AND(D24="oz",E24="Host"),ROUNDUP(B24*100/25.36,0),"—")</f>
        <v>—</v>
      </c>
      <c r="O24" s="12" t="str">
        <f>IF(AND(D24="oz",E24="Host"),ROUNDUP(B24*200/25.36,0),"—")</f>
        <v>—</v>
      </c>
      <c r="P24" s="12" t="str">
        <f>IF(AND(D24="oz",E24="Host"),ROUNDUP(B24*50/59.17,0),"—")</f>
        <v>—</v>
      </c>
      <c r="Q24" s="12" t="str">
        <f>IF(AND(D24="oz",E24="Host"),ROUNDUP(B24*100/59.17,0),"—")</f>
        <v>—</v>
      </c>
      <c r="R24" s="12" t="str">
        <f>IF(AND(D24="oz",E24="Host"),ROUNDUP(B24*200/59.17,0),"—")</f>
        <v>—</v>
      </c>
      <c r="S24" s="12">
        <f>IF(F24=0,0,ROUNDUP(B24*100/F24,0))</f>
        <v>2.0</v>
      </c>
    </row>
    <row r="25">
      <c r="A25" s="4" t="inlineStr">
        <is>
          <t>Simple syrup</t>
        </is>
      </c>
      <c r="B25" s="21" t="n">
        <v>0.5</v>
      </c>
      <c r="C25" s="12">
        <f>IF(D25="oz",ROUND(B25*29.5735,0),"—")</f>
        <v>15.0</v>
      </c>
      <c r="D25" s="4" t="inlineStr">
        <is>
          <t>oz</t>
        </is>
      </c>
      <c r="E25" s="4" t="inlineStr">
        <is>
          <t>Bar</t>
        </is>
      </c>
      <c r="F25" s="22" t="n">
        <v>33.81</v>
      </c>
      <c r="G25" s="4" t="inlineStr">
        <is>
          <t>oz (1 L bottle)</t>
        </is>
      </c>
      <c r="H25" s="8" t="n">
        <v>8</v>
      </c>
      <c r="I25" s="23">
        <f>IF(F25=0,0,B25/F25*H25)</f>
        <v>0.11830819284235433</v>
      </c>
      <c r="J25" s="14">
        <f>B25*50</f>
        <v>25.0</v>
      </c>
      <c r="K25" s="14">
        <f>B25*100</f>
        <v>50.0</v>
      </c>
      <c r="L25" s="14">
        <f>B25*200</f>
        <v>100.0</v>
      </c>
      <c r="M25" s="12" t="str">
        <f>IF(AND(D25="oz",E25="Host"),ROUNDUP(B25*50/25.36,0),"—")</f>
        <v>—</v>
      </c>
      <c r="N25" s="12" t="str">
        <f>IF(AND(D25="oz",E25="Host"),ROUNDUP(B25*100/25.36,0),"—")</f>
        <v>—</v>
      </c>
      <c r="O25" s="12" t="str">
        <f>IF(AND(D25="oz",E25="Host"),ROUNDUP(B25*200/25.36,0),"—")</f>
        <v>—</v>
      </c>
      <c r="P25" s="12" t="str">
        <f>IF(AND(D25="oz",E25="Host"),ROUNDUP(B25*50/59.17,0),"—")</f>
        <v>—</v>
      </c>
      <c r="Q25" s="12" t="str">
        <f>IF(AND(D25="oz",E25="Host"),ROUNDUP(B25*100/59.17,0),"—")</f>
        <v>—</v>
      </c>
      <c r="R25" s="12" t="str">
        <f>IF(AND(D25="oz",E25="Host"),ROUNDUP(B25*200/59.17,0),"—")</f>
        <v>—</v>
      </c>
      <c r="S25" s="12">
        <f>IF(F25=0,0,ROUNDUP(B25*100/F25,0))</f>
        <v>2.0</v>
      </c>
    </row>
    <row r="26">
      <c r="A26" s="4" t="inlineStr">
        <is>
          <t>Sparkling wine (brut)</t>
        </is>
      </c>
      <c r="B26" s="21" t="n">
        <v>2</v>
      </c>
      <c r="C26" s="12">
        <f>IF(D26="oz",ROUND(B26*29.5735,0),"—")</f>
        <v>59.0</v>
      </c>
      <c r="D26" s="4" t="inlineStr">
        <is>
          <t>oz</t>
        </is>
      </c>
      <c r="E26" s="4" t="inlineStr">
        <is>
          <t>Host</t>
        </is>
      </c>
      <c r="F26" s="22" t="n">
        <v>25.36</v>
      </c>
      <c r="G26" s="4" t="inlineStr">
        <is>
          <t>oz (750 ml bottle)</t>
        </is>
      </c>
      <c r="H26" s="8" t="n">
        <v>14</v>
      </c>
      <c r="I26" s="23">
        <f>IF(F26=0,0,B26/F26*H26)</f>
        <v>1.1041009463722398</v>
      </c>
      <c r="J26" s="14">
        <f>B26*50</f>
        <v>100.0</v>
      </c>
      <c r="K26" s="14">
        <f>B26*100</f>
        <v>200.0</v>
      </c>
      <c r="L26" s="14">
        <f>B26*200</f>
        <v>400.0</v>
      </c>
      <c r="M26" s="12">
        <f>IF(AND(D26="oz",E26="Host"),ROUNDUP(B26*50/25.36,0),"—")</f>
        <v>4.0</v>
      </c>
      <c r="N26" s="12">
        <f>IF(AND(D26="oz",E26="Host"),ROUNDUP(B26*100/25.36,0),"—")</f>
        <v>8.0</v>
      </c>
      <c r="O26" s="12">
        <f>IF(AND(D26="oz",E26="Host"),ROUNDUP(B26*200/25.36,0),"—")</f>
        <v>16.0</v>
      </c>
      <c r="P26" s="12">
        <f>IF(AND(D26="oz",E26="Host"),ROUNDUP(B26*50/59.17,0),"—")</f>
        <v>2.0</v>
      </c>
      <c r="Q26" s="12">
        <f>IF(AND(D26="oz",E26="Host"),ROUNDUP(B26*100/59.17,0),"—")</f>
        <v>4.0</v>
      </c>
      <c r="R26" s="12">
        <f>IF(AND(D26="oz",E26="Host"),ROUNDUP(B26*200/59.17,0),"—")</f>
        <v>7.0</v>
      </c>
      <c r="S26" s="12">
        <f>IF(F26=0,0,ROUNDUP(B26*100/F26,0))</f>
        <v>8.0</v>
      </c>
    </row>
    <row r="27">
      <c r="A27" s="4" t="inlineStr">
        <is>
          <t>Lemon twist</t>
        </is>
      </c>
      <c r="B27" s="21" t="n">
        <v>1</v>
      </c>
      <c r="C27" s="12" t="str">
        <f>IF(D27="oz",ROUND(B27*29.5735,0),"—")</f>
        <v>—</v>
      </c>
      <c r="D27" s="4" t="inlineStr">
        <is>
          <t>each</t>
        </is>
      </c>
      <c r="E27" s="4" t="inlineStr">
        <is>
          <t>Bar</t>
        </is>
      </c>
      <c r="F27" s="22" t="n">
        <v>6</v>
      </c>
      <c r="G27" s="4" t="inlineStr">
        <is>
          <t>twists (1 lemon)</t>
        </is>
      </c>
      <c r="H27" s="8" t="n">
        <v>0.75</v>
      </c>
      <c r="I27" s="23">
        <f>IF(F27=0,0,B27/F27*H27)</f>
        <v>0.125</v>
      </c>
      <c r="J27" s="14">
        <f>B27*50</f>
        <v>50.0</v>
      </c>
      <c r="K27" s="14">
        <f>B27*100</f>
        <v>100.0</v>
      </c>
      <c r="L27" s="14">
        <f>B27*200</f>
        <v>200.0</v>
      </c>
      <c r="M27" s="12" t="str">
        <f>IF(AND(D27="oz",E27="Host"),ROUNDUP(B27*50/25.36,0),"—")</f>
        <v>—</v>
      </c>
      <c r="N27" s="12" t="str">
        <f>IF(AND(D27="oz",E27="Host"),ROUNDUP(B27*100/25.36,0),"—")</f>
        <v>—</v>
      </c>
      <c r="O27" s="12" t="str">
        <f>IF(AND(D27="oz",E27="Host"),ROUNDUP(B27*200/25.36,0),"—")</f>
        <v>—</v>
      </c>
      <c r="P27" s="12" t="str">
        <f>IF(AND(D27="oz",E27="Host"),ROUNDUP(B27*50/59.17,0),"—")</f>
        <v>—</v>
      </c>
      <c r="Q27" s="12" t="str">
        <f>IF(AND(D27="oz",E27="Host"),ROUNDUP(B27*100/59.17,0),"—")</f>
        <v>—</v>
      </c>
      <c r="R27" s="12" t="str">
        <f>IF(AND(D27="oz",E27="Host"),ROUNDUP(B27*200/59.17,0),"—")</f>
        <v>—</v>
      </c>
      <c r="S27" s="12">
        <f>IF(F27=0,0,ROUNDUP(B27*100/F27,0))</f>
        <v>17.0</v>
      </c>
    </row>
    <row r="28">
      <c r="A28" s="15" t="inlineStr">
        <is>
          <t>Cost per drink, all ingredients</t>
        </is>
      </c>
      <c r="I28" s="16">
        <f>SUM(I23:I27)</f>
        <v>2.4894635556183795</v>
      </c>
    </row>
    <row r="29">
      <c r="A29" s="15" t="inlineStr">
        <is>
          <t>Your cost per drink in dry hire (bar-supplied items)</t>
        </is>
      </c>
      <c r="I29" s="16">
        <f>SUMIF(E23:E27,"Bar",I23:I27)</f>
        <v>0.39955819284235433</v>
      </c>
    </row>
    <row r="31">
      <c r="A31" s="3" t="inlineStr">
        <is>
          <t>MAI TAI</t>
        </is>
      </c>
      <c r="B31" s="20" t="inlineStr">
        <is>
          <t>Rocks glass or tiki mug, crushed ice. Allergen: orgeat is made from almonds (tree nuts)</t>
        </is>
      </c>
    </row>
    <row r="32">
      <c r="A32" s="4" t="inlineStr">
        <is>
          <t>Aged dark rum</t>
        </is>
      </c>
      <c r="B32" s="21" t="n">
        <v>1</v>
      </c>
      <c r="C32" s="12">
        <f>IF(D32="oz",ROUND(B32*29.5735,0),"—")</f>
        <v>30.0</v>
      </c>
      <c r="D32" s="4" t="inlineStr">
        <is>
          <t>oz</t>
        </is>
      </c>
      <c r="E32" s="4" t="inlineStr">
        <is>
          <t>Host</t>
        </is>
      </c>
      <c r="F32" s="22" t="n">
        <v>25.36</v>
      </c>
      <c r="G32" s="4" t="inlineStr">
        <is>
          <t>oz (750 ml bottle)</t>
        </is>
      </c>
      <c r="H32" s="8" t="n">
        <v>25</v>
      </c>
      <c r="I32" s="23">
        <f>IF(F32=0,0,B32/F32*H32)</f>
        <v>0.9858044164037855</v>
      </c>
      <c r="J32" s="14">
        <f>B32*50</f>
        <v>50.0</v>
      </c>
      <c r="K32" s="14">
        <f>B32*100</f>
        <v>100.0</v>
      </c>
      <c r="L32" s="14">
        <f>B32*200</f>
        <v>200.0</v>
      </c>
      <c r="M32" s="12">
        <f>IF(AND(D32="oz",E32="Host"),ROUNDUP(B32*50/25.36,0),"—")</f>
        <v>2.0</v>
      </c>
      <c r="N32" s="12">
        <f>IF(AND(D32="oz",E32="Host"),ROUNDUP(B32*100/25.36,0),"—")</f>
        <v>4.0</v>
      </c>
      <c r="O32" s="12">
        <f>IF(AND(D32="oz",E32="Host"),ROUNDUP(B32*200/25.36,0),"—")</f>
        <v>8.0</v>
      </c>
      <c r="P32" s="12">
        <f>IF(AND(D32="oz",E32="Host"),ROUNDUP(B32*50/59.17,0),"—")</f>
        <v>1.0</v>
      </c>
      <c r="Q32" s="12">
        <f>IF(AND(D32="oz",E32="Host"),ROUNDUP(B32*100/59.17,0),"—")</f>
        <v>2.0</v>
      </c>
      <c r="R32" s="12">
        <f>IF(AND(D32="oz",E32="Host"),ROUNDUP(B32*200/59.17,0),"—")</f>
        <v>4.0</v>
      </c>
      <c r="S32" s="12">
        <f>IF(F32=0,0,ROUNDUP(B32*100/F32,0))</f>
        <v>4.0</v>
      </c>
    </row>
    <row r="33">
      <c r="A33" s="4" t="inlineStr">
        <is>
          <t>White rum</t>
        </is>
      </c>
      <c r="B33" s="21" t="n">
        <v>1</v>
      </c>
      <c r="C33" s="12">
        <f>IF(D33="oz",ROUND(B33*29.5735,0),"—")</f>
        <v>30.0</v>
      </c>
      <c r="D33" s="4" t="inlineStr">
        <is>
          <t>oz</t>
        </is>
      </c>
      <c r="E33" s="4" t="inlineStr">
        <is>
          <t>Host</t>
        </is>
      </c>
      <c r="F33" s="22" t="n">
        <v>25.36</v>
      </c>
      <c r="G33" s="4" t="inlineStr">
        <is>
          <t>oz (750 ml bottle)</t>
        </is>
      </c>
      <c r="H33" s="8" t="n">
        <v>20</v>
      </c>
      <c r="I33" s="23">
        <f>IF(F33=0,0,B33/F33*H33)</f>
        <v>0.7886435331230284</v>
      </c>
      <c r="J33" s="14">
        <f>B33*50</f>
        <v>50.0</v>
      </c>
      <c r="K33" s="14">
        <f>B33*100</f>
        <v>100.0</v>
      </c>
      <c r="L33" s="14">
        <f>B33*200</f>
        <v>200.0</v>
      </c>
      <c r="M33" s="12">
        <f>IF(AND(D33="oz",E33="Host"),ROUNDUP(B33*50/25.36,0),"—")</f>
        <v>2.0</v>
      </c>
      <c r="N33" s="12">
        <f>IF(AND(D33="oz",E33="Host"),ROUNDUP(B33*100/25.36,0),"—")</f>
        <v>4.0</v>
      </c>
      <c r="O33" s="12">
        <f>IF(AND(D33="oz",E33="Host"),ROUNDUP(B33*200/25.36,0),"—")</f>
        <v>8.0</v>
      </c>
      <c r="P33" s="12">
        <f>IF(AND(D33="oz",E33="Host"),ROUNDUP(B33*50/59.17,0),"—")</f>
        <v>1.0</v>
      </c>
      <c r="Q33" s="12">
        <f>IF(AND(D33="oz",E33="Host"),ROUNDUP(B33*100/59.17,0),"—")</f>
        <v>2.0</v>
      </c>
      <c r="R33" s="12">
        <f>IF(AND(D33="oz",E33="Host"),ROUNDUP(B33*200/59.17,0),"—")</f>
        <v>4.0</v>
      </c>
      <c r="S33" s="12">
        <f>IF(F33=0,0,ROUNDUP(B33*100/F33,0))</f>
        <v>4.0</v>
      </c>
    </row>
    <row r="34">
      <c r="A34" s="4" t="inlineStr">
        <is>
          <t>Orange curacao</t>
        </is>
      </c>
      <c r="B34" s="21" t="n">
        <v>0.5</v>
      </c>
      <c r="C34" s="12">
        <f>IF(D34="oz",ROUND(B34*29.5735,0),"—")</f>
        <v>15.0</v>
      </c>
      <c r="D34" s="4" t="inlineStr">
        <is>
          <t>oz</t>
        </is>
      </c>
      <c r="E34" s="4" t="inlineStr">
        <is>
          <t>Host</t>
        </is>
      </c>
      <c r="F34" s="22" t="n">
        <v>25.36</v>
      </c>
      <c r="G34" s="4" t="inlineStr">
        <is>
          <t>oz (750 ml bottle)</t>
        </is>
      </c>
      <c r="H34" s="8" t="n">
        <v>22</v>
      </c>
      <c r="I34" s="23">
        <f>IF(F34=0,0,B34/F34*H34)</f>
        <v>0.4337539432176656</v>
      </c>
      <c r="J34" s="14">
        <f>B34*50</f>
        <v>25.0</v>
      </c>
      <c r="K34" s="14">
        <f>B34*100</f>
        <v>50.0</v>
      </c>
      <c r="L34" s="14">
        <f>B34*200</f>
        <v>100.0</v>
      </c>
      <c r="M34" s="12">
        <f>IF(AND(D34="oz",E34="Host"),ROUNDUP(B34*50/25.36,0),"—")</f>
        <v>1.0</v>
      </c>
      <c r="N34" s="12">
        <f>IF(AND(D34="oz",E34="Host"),ROUNDUP(B34*100/25.36,0),"—")</f>
        <v>2.0</v>
      </c>
      <c r="O34" s="12">
        <f>IF(AND(D34="oz",E34="Host"),ROUNDUP(B34*200/25.36,0),"—")</f>
        <v>4.0</v>
      </c>
      <c r="P34" s="12">
        <f>IF(AND(D34="oz",E34="Host"),ROUNDUP(B34*50/59.17,0),"—")</f>
        <v>1.0</v>
      </c>
      <c r="Q34" s="12">
        <f>IF(AND(D34="oz",E34="Host"),ROUNDUP(B34*100/59.17,0),"—")</f>
        <v>1.0</v>
      </c>
      <c r="R34" s="12">
        <f>IF(AND(D34="oz",E34="Host"),ROUNDUP(B34*200/59.17,0),"—")</f>
        <v>2.0</v>
      </c>
      <c r="S34" s="12">
        <f>IF(F34=0,0,ROUNDUP(B34*100/F34,0))</f>
        <v>2.0</v>
      </c>
    </row>
    <row r="35">
      <c r="A35" s="4" t="inlineStr">
        <is>
          <t>Orgeat (almond) syrup</t>
        </is>
      </c>
      <c r="B35" s="21" t="n">
        <v>0.5</v>
      </c>
      <c r="C35" s="12">
        <f>IF(D35="oz",ROUND(B35*29.5735,0),"—")</f>
        <v>15.0</v>
      </c>
      <c r="D35" s="4" t="inlineStr">
        <is>
          <t>oz</t>
        </is>
      </c>
      <c r="E35" s="4" t="inlineStr">
        <is>
          <t>Bar</t>
        </is>
      </c>
      <c r="F35" s="22" t="n">
        <v>25.36</v>
      </c>
      <c r="G35" s="4" t="inlineStr">
        <is>
          <t>oz (750 ml bottle)</t>
        </is>
      </c>
      <c r="H35" s="8" t="n">
        <v>12</v>
      </c>
      <c r="I35" s="23">
        <f>IF(F35=0,0,B35/F35*H35)</f>
        <v>0.2365930599369085</v>
      </c>
      <c r="J35" s="14">
        <f>B35*50</f>
        <v>25.0</v>
      </c>
      <c r="K35" s="14">
        <f>B35*100</f>
        <v>50.0</v>
      </c>
      <c r="L35" s="14">
        <f>B35*200</f>
        <v>100.0</v>
      </c>
      <c r="M35" s="12" t="str">
        <f>IF(AND(D35="oz",E35="Host"),ROUNDUP(B35*50/25.36,0),"—")</f>
        <v>—</v>
      </c>
      <c r="N35" s="12" t="str">
        <f>IF(AND(D35="oz",E35="Host"),ROUNDUP(B35*100/25.36,0),"—")</f>
        <v>—</v>
      </c>
      <c r="O35" s="12" t="str">
        <f>IF(AND(D35="oz",E35="Host"),ROUNDUP(B35*200/25.36,0),"—")</f>
        <v>—</v>
      </c>
      <c r="P35" s="12" t="str">
        <f>IF(AND(D35="oz",E35="Host"),ROUNDUP(B35*50/59.17,0),"—")</f>
        <v>—</v>
      </c>
      <c r="Q35" s="12" t="str">
        <f>IF(AND(D35="oz",E35="Host"),ROUNDUP(B35*100/59.17,0),"—")</f>
        <v>—</v>
      </c>
      <c r="R35" s="12" t="str">
        <f>IF(AND(D35="oz",E35="Host"),ROUNDUP(B35*200/59.17,0),"—")</f>
        <v>—</v>
      </c>
      <c r="S35" s="12">
        <f>IF(F35=0,0,ROUNDUP(B35*100/F35,0))</f>
        <v>2.0</v>
      </c>
    </row>
    <row r="36">
      <c r="A36" s="4" t="inlineStr">
        <is>
          <t>Fresh lime juice</t>
        </is>
      </c>
      <c r="B36" s="21" t="n">
        <v>0.75</v>
      </c>
      <c r="C36" s="12">
        <f>IF(D36="oz",ROUND(B36*29.5735,0),"—")</f>
        <v>22.0</v>
      </c>
      <c r="D36" s="4" t="inlineStr">
        <is>
          <t>oz</t>
        </is>
      </c>
      <c r="E36" s="4" t="inlineStr">
        <is>
          <t>Bar</t>
        </is>
      </c>
      <c r="F36" s="22" t="n">
        <v>32</v>
      </c>
      <c r="G36" s="4" t="inlineStr">
        <is>
          <t>oz (32 oz bottle)</t>
        </is>
      </c>
      <c r="H36" s="8" t="n">
        <v>10</v>
      </c>
      <c r="I36" s="23">
        <f>IF(F36=0,0,B36/F36*H36)</f>
        <v>0.234375</v>
      </c>
      <c r="J36" s="14">
        <f>B36*50</f>
        <v>37.5</v>
      </c>
      <c r="K36" s="14">
        <f>B36*100</f>
        <v>75.0</v>
      </c>
      <c r="L36" s="14">
        <f>B36*200</f>
        <v>150.0</v>
      </c>
      <c r="M36" s="12" t="str">
        <f>IF(AND(D36="oz",E36="Host"),ROUNDUP(B36*50/25.36,0),"—")</f>
        <v>—</v>
      </c>
      <c r="N36" s="12" t="str">
        <f>IF(AND(D36="oz",E36="Host"),ROUNDUP(B36*100/25.36,0),"—")</f>
        <v>—</v>
      </c>
      <c r="O36" s="12" t="str">
        <f>IF(AND(D36="oz",E36="Host"),ROUNDUP(B36*200/25.36,0),"—")</f>
        <v>—</v>
      </c>
      <c r="P36" s="12" t="str">
        <f>IF(AND(D36="oz",E36="Host"),ROUNDUP(B36*50/59.17,0),"—")</f>
        <v>—</v>
      </c>
      <c r="Q36" s="12" t="str">
        <f>IF(AND(D36="oz",E36="Host"),ROUNDUP(B36*100/59.17,0),"—")</f>
        <v>—</v>
      </c>
      <c r="R36" s="12" t="str">
        <f>IF(AND(D36="oz",E36="Host"),ROUNDUP(B36*200/59.17,0),"—")</f>
        <v>—</v>
      </c>
      <c r="S36" s="12">
        <f>IF(F36=0,0,ROUNDUP(B36*100/F36,0))</f>
        <v>3.0</v>
      </c>
    </row>
    <row r="37">
      <c r="A37" s="4" t="inlineStr">
        <is>
          <t>Mint sprig</t>
        </is>
      </c>
      <c r="B37" s="21" t="n">
        <v>1</v>
      </c>
      <c r="C37" s="12" t="str">
        <f>IF(D37="oz",ROUND(B37*29.5735,0),"—")</f>
        <v>—</v>
      </c>
      <c r="D37" s="4" t="inlineStr">
        <is>
          <t>each</t>
        </is>
      </c>
      <c r="E37" s="4" t="inlineStr">
        <is>
          <t>Bar</t>
        </is>
      </c>
      <c r="F37" s="22" t="n">
        <v>20</v>
      </c>
      <c r="G37" s="4" t="inlineStr">
        <is>
          <t>sprigs (1 bunch)</t>
        </is>
      </c>
      <c r="H37" s="8" t="n">
        <v>2</v>
      </c>
      <c r="I37" s="23">
        <f>IF(F37=0,0,B37/F37*H37)</f>
        <v>0.1</v>
      </c>
      <c r="J37" s="14">
        <f>B37*50</f>
        <v>50.0</v>
      </c>
      <c r="K37" s="14">
        <f>B37*100</f>
        <v>100.0</v>
      </c>
      <c r="L37" s="14">
        <f>B37*200</f>
        <v>200.0</v>
      </c>
      <c r="M37" s="12" t="str">
        <f>IF(AND(D37="oz",E37="Host"),ROUNDUP(B37*50/25.36,0),"—")</f>
        <v>—</v>
      </c>
      <c r="N37" s="12" t="str">
        <f>IF(AND(D37="oz",E37="Host"),ROUNDUP(B37*100/25.36,0),"—")</f>
        <v>—</v>
      </c>
      <c r="O37" s="12" t="str">
        <f>IF(AND(D37="oz",E37="Host"),ROUNDUP(B37*200/25.36,0),"—")</f>
        <v>—</v>
      </c>
      <c r="P37" s="12" t="str">
        <f>IF(AND(D37="oz",E37="Host"),ROUNDUP(B37*50/59.17,0),"—")</f>
        <v>—</v>
      </c>
      <c r="Q37" s="12" t="str">
        <f>IF(AND(D37="oz",E37="Host"),ROUNDUP(B37*100/59.17,0),"—")</f>
        <v>—</v>
      </c>
      <c r="R37" s="12" t="str">
        <f>IF(AND(D37="oz",E37="Host"),ROUNDUP(B37*200/59.17,0),"—")</f>
        <v>—</v>
      </c>
      <c r="S37" s="12">
        <f>IF(F37=0,0,ROUNDUP(B37*100/F37,0))</f>
        <v>5.0</v>
      </c>
    </row>
    <row r="38">
      <c r="A38" s="15" t="inlineStr">
        <is>
          <t>Cost per drink, all ingredients</t>
        </is>
      </c>
      <c r="I38" s="16">
        <f>SUM(I32:I37)</f>
        <v>2.779169952681388</v>
      </c>
    </row>
    <row r="39">
      <c r="A39" s="15" t="inlineStr">
        <is>
          <t>Your cost per drink in dry hire (bar-supplied items)</t>
        </is>
      </c>
      <c r="I39" s="16">
        <f>SUMIF(E32:E37,"Bar",I32:I37)</f>
        <v>0.5709680599369085</v>
      </c>
    </row>
    <row r="41">
      <c r="A41" s="3" t="inlineStr">
        <is>
          <t>PINA COLADA</t>
        </is>
      </c>
      <c r="B41" s="20" t="inlineStr">
        <is>
          <t>Hurricane glass. Allergen: coconut (cream of coconut)</t>
        </is>
      </c>
    </row>
    <row r="42">
      <c r="A42" s="4" t="inlineStr">
        <is>
          <t>White rum</t>
        </is>
      </c>
      <c r="B42" s="21" t="n">
        <v>2</v>
      </c>
      <c r="C42" s="12">
        <f>IF(D42="oz",ROUND(B42*29.5735,0),"—")</f>
        <v>59.0</v>
      </c>
      <c r="D42" s="4" t="inlineStr">
        <is>
          <t>oz</t>
        </is>
      </c>
      <c r="E42" s="4" t="inlineStr">
        <is>
          <t>Host</t>
        </is>
      </c>
      <c r="F42" s="22" t="n">
        <v>25.36</v>
      </c>
      <c r="G42" s="4" t="inlineStr">
        <is>
          <t>oz (750 ml bottle)</t>
        </is>
      </c>
      <c r="H42" s="8" t="n">
        <v>20</v>
      </c>
      <c r="I42" s="23">
        <f>IF(F42=0,0,B42/F42*H42)</f>
        <v>1.5772870662460567</v>
      </c>
      <c r="J42" s="14">
        <f>B42*50</f>
        <v>100.0</v>
      </c>
      <c r="K42" s="14">
        <f>B42*100</f>
        <v>200.0</v>
      </c>
      <c r="L42" s="14">
        <f>B42*200</f>
        <v>400.0</v>
      </c>
      <c r="M42" s="12">
        <f>IF(AND(D42="oz",E42="Host"),ROUNDUP(B42*50/25.36,0),"—")</f>
        <v>4.0</v>
      </c>
      <c r="N42" s="12">
        <f>IF(AND(D42="oz",E42="Host"),ROUNDUP(B42*100/25.36,0),"—")</f>
        <v>8.0</v>
      </c>
      <c r="O42" s="12">
        <f>IF(AND(D42="oz",E42="Host"),ROUNDUP(B42*200/25.36,0),"—")</f>
        <v>16.0</v>
      </c>
      <c r="P42" s="12">
        <f>IF(AND(D42="oz",E42="Host"),ROUNDUP(B42*50/59.17,0),"—")</f>
        <v>2.0</v>
      </c>
      <c r="Q42" s="12">
        <f>IF(AND(D42="oz",E42="Host"),ROUNDUP(B42*100/59.17,0),"—")</f>
        <v>4.0</v>
      </c>
      <c r="R42" s="12">
        <f>IF(AND(D42="oz",E42="Host"),ROUNDUP(B42*200/59.17,0),"—")</f>
        <v>7.0</v>
      </c>
      <c r="S42" s="12">
        <f>IF(F42=0,0,ROUNDUP(B42*100/F42,0))</f>
        <v>8.0</v>
      </c>
    </row>
    <row r="43">
      <c r="A43" s="4" t="inlineStr">
        <is>
          <t>Aged rum float</t>
        </is>
      </c>
      <c r="B43" s="21" t="n">
        <v>0.5</v>
      </c>
      <c r="C43" s="12">
        <f>IF(D43="oz",ROUND(B43*29.5735,0),"—")</f>
        <v>15.0</v>
      </c>
      <c r="D43" s="4" t="inlineStr">
        <is>
          <t>oz</t>
        </is>
      </c>
      <c r="E43" s="4" t="inlineStr">
        <is>
          <t>Host</t>
        </is>
      </c>
      <c r="F43" s="22" t="n">
        <v>25.36</v>
      </c>
      <c r="G43" s="4" t="inlineStr">
        <is>
          <t>oz (750 ml bottle)</t>
        </is>
      </c>
      <c r="H43" s="8" t="n">
        <v>25</v>
      </c>
      <c r="I43" s="23">
        <f>IF(F43=0,0,B43/F43*H43)</f>
        <v>0.49290220820189273</v>
      </c>
      <c r="J43" s="14">
        <f>B43*50</f>
        <v>25.0</v>
      </c>
      <c r="K43" s="14">
        <f>B43*100</f>
        <v>50.0</v>
      </c>
      <c r="L43" s="14">
        <f>B43*200</f>
        <v>100.0</v>
      </c>
      <c r="M43" s="12">
        <f>IF(AND(D43="oz",E43="Host"),ROUNDUP(B43*50/25.36,0),"—")</f>
        <v>1.0</v>
      </c>
      <c r="N43" s="12">
        <f>IF(AND(D43="oz",E43="Host"),ROUNDUP(B43*100/25.36,0),"—")</f>
        <v>2.0</v>
      </c>
      <c r="O43" s="12">
        <f>IF(AND(D43="oz",E43="Host"),ROUNDUP(B43*200/25.36,0),"—")</f>
        <v>4.0</v>
      </c>
      <c r="P43" s="12">
        <f>IF(AND(D43="oz",E43="Host"),ROUNDUP(B43*50/59.17,0),"—")</f>
        <v>1.0</v>
      </c>
      <c r="Q43" s="12">
        <f>IF(AND(D43="oz",E43="Host"),ROUNDUP(B43*100/59.17,0),"—")</f>
        <v>1.0</v>
      </c>
      <c r="R43" s="12">
        <f>IF(AND(D43="oz",E43="Host"),ROUNDUP(B43*200/59.17,0),"—")</f>
        <v>2.0</v>
      </c>
      <c r="S43" s="12">
        <f>IF(F43=0,0,ROUNDUP(B43*100/F43,0))</f>
        <v>2.0</v>
      </c>
    </row>
    <row r="44">
      <c r="A44" s="4" t="inlineStr">
        <is>
          <t>Cream of coconut</t>
        </is>
      </c>
      <c r="B44" s="21" t="n">
        <v>2</v>
      </c>
      <c r="C44" s="12">
        <f>IF(D44="oz",ROUND(B44*29.5735,0),"—")</f>
        <v>59.0</v>
      </c>
      <c r="D44" s="4" t="inlineStr">
        <is>
          <t>oz</t>
        </is>
      </c>
      <c r="E44" s="4" t="inlineStr">
        <is>
          <t>Bar</t>
        </is>
      </c>
      <c r="F44" s="22" t="n">
        <v>15</v>
      </c>
      <c r="G44" s="4" t="inlineStr">
        <is>
          <t>oz (15 oz can)</t>
        </is>
      </c>
      <c r="H44" s="8" t="n">
        <v>4</v>
      </c>
      <c r="I44" s="23">
        <f>IF(F44=0,0,B44/F44*H44)</f>
        <v>0.5333333333333333</v>
      </c>
      <c r="J44" s="14">
        <f>B44*50</f>
        <v>100.0</v>
      </c>
      <c r="K44" s="14">
        <f>B44*100</f>
        <v>200.0</v>
      </c>
      <c r="L44" s="14">
        <f>B44*200</f>
        <v>400.0</v>
      </c>
      <c r="M44" s="12" t="str">
        <f>IF(AND(D44="oz",E44="Host"),ROUNDUP(B44*50/25.36,0),"—")</f>
        <v>—</v>
      </c>
      <c r="N44" s="12" t="str">
        <f>IF(AND(D44="oz",E44="Host"),ROUNDUP(B44*100/25.36,0),"—")</f>
        <v>—</v>
      </c>
      <c r="O44" s="12" t="str">
        <f>IF(AND(D44="oz",E44="Host"),ROUNDUP(B44*200/25.36,0),"—")</f>
        <v>—</v>
      </c>
      <c r="P44" s="12" t="str">
        <f>IF(AND(D44="oz",E44="Host"),ROUNDUP(B44*50/59.17,0),"—")</f>
        <v>—</v>
      </c>
      <c r="Q44" s="12" t="str">
        <f>IF(AND(D44="oz",E44="Host"),ROUNDUP(B44*100/59.17,0),"—")</f>
        <v>—</v>
      </c>
      <c r="R44" s="12" t="str">
        <f>IF(AND(D44="oz",E44="Host"),ROUNDUP(B44*200/59.17,0),"—")</f>
        <v>—</v>
      </c>
      <c r="S44" s="12">
        <f>IF(F44=0,0,ROUNDUP(B44*100/F44,0))</f>
        <v>14.0</v>
      </c>
    </row>
    <row r="45">
      <c r="A45" s="4" t="inlineStr">
        <is>
          <t>Pineapple juice</t>
        </is>
      </c>
      <c r="B45" s="21" t="n">
        <v>4</v>
      </c>
      <c r="C45" s="12">
        <f>IF(D45="oz",ROUND(B45*29.5735,0),"—")</f>
        <v>118.0</v>
      </c>
      <c r="D45" s="4" t="inlineStr">
        <is>
          <t>oz</t>
        </is>
      </c>
      <c r="E45" s="4" t="inlineStr">
        <is>
          <t>Bar</t>
        </is>
      </c>
      <c r="F45" s="22" t="n">
        <v>46</v>
      </c>
      <c r="G45" s="4" t="inlineStr">
        <is>
          <t>oz (46 oz can)</t>
        </is>
      </c>
      <c r="H45" s="8" t="n">
        <v>4</v>
      </c>
      <c r="I45" s="23">
        <f>IF(F45=0,0,B45/F45*H45)</f>
        <v>0.34782608695652173</v>
      </c>
      <c r="J45" s="14">
        <f>B45*50</f>
        <v>200.0</v>
      </c>
      <c r="K45" s="14">
        <f>B45*100</f>
        <v>400.0</v>
      </c>
      <c r="L45" s="14">
        <f>B45*200</f>
        <v>800.0</v>
      </c>
      <c r="M45" s="12" t="str">
        <f>IF(AND(D45="oz",E45="Host"),ROUNDUP(B45*50/25.36,0),"—")</f>
        <v>—</v>
      </c>
      <c r="N45" s="12" t="str">
        <f>IF(AND(D45="oz",E45="Host"),ROUNDUP(B45*100/25.36,0),"—")</f>
        <v>—</v>
      </c>
      <c r="O45" s="12" t="str">
        <f>IF(AND(D45="oz",E45="Host"),ROUNDUP(B45*200/25.36,0),"—")</f>
        <v>—</v>
      </c>
      <c r="P45" s="12" t="str">
        <f>IF(AND(D45="oz",E45="Host"),ROUNDUP(B45*50/59.17,0),"—")</f>
        <v>—</v>
      </c>
      <c r="Q45" s="12" t="str">
        <f>IF(AND(D45="oz",E45="Host"),ROUNDUP(B45*100/59.17,0),"—")</f>
        <v>—</v>
      </c>
      <c r="R45" s="12" t="str">
        <f>IF(AND(D45="oz",E45="Host"),ROUNDUP(B45*200/59.17,0),"—")</f>
        <v>—</v>
      </c>
      <c r="S45" s="12">
        <f>IF(F45=0,0,ROUNDUP(B45*100/F45,0))</f>
        <v>9.0</v>
      </c>
    </row>
    <row r="46">
      <c r="A46" s="4" t="inlineStr">
        <is>
          <t>Pineapple wedge</t>
        </is>
      </c>
      <c r="B46" s="21" t="n">
        <v>1</v>
      </c>
      <c r="C46" s="12" t="str">
        <f>IF(D46="oz",ROUND(B46*29.5735,0),"—")</f>
        <v>—</v>
      </c>
      <c r="D46" s="4" t="inlineStr">
        <is>
          <t>each</t>
        </is>
      </c>
      <c r="E46" s="4" t="inlineStr">
        <is>
          <t>Bar</t>
        </is>
      </c>
      <c r="F46" s="22" t="n">
        <v>16</v>
      </c>
      <c r="G46" s="4" t="inlineStr">
        <is>
          <t>wedges (1 pineapple)</t>
        </is>
      </c>
      <c r="H46" s="8" t="n">
        <v>4</v>
      </c>
      <c r="I46" s="23">
        <f>IF(F46=0,0,B46/F46*H46)</f>
        <v>0.25</v>
      </c>
      <c r="J46" s="14">
        <f>B46*50</f>
        <v>50.0</v>
      </c>
      <c r="K46" s="14">
        <f>B46*100</f>
        <v>100.0</v>
      </c>
      <c r="L46" s="14">
        <f>B46*200</f>
        <v>200.0</v>
      </c>
      <c r="M46" s="12" t="str">
        <f>IF(AND(D46="oz",E46="Host"),ROUNDUP(B46*50/25.36,0),"—")</f>
        <v>—</v>
      </c>
      <c r="N46" s="12" t="str">
        <f>IF(AND(D46="oz",E46="Host"),ROUNDUP(B46*100/25.36,0),"—")</f>
        <v>—</v>
      </c>
      <c r="O46" s="12" t="str">
        <f>IF(AND(D46="oz",E46="Host"),ROUNDUP(B46*200/25.36,0),"—")</f>
        <v>—</v>
      </c>
      <c r="P46" s="12" t="str">
        <f>IF(AND(D46="oz",E46="Host"),ROUNDUP(B46*50/59.17,0),"—")</f>
        <v>—</v>
      </c>
      <c r="Q46" s="12" t="str">
        <f>IF(AND(D46="oz",E46="Host"),ROUNDUP(B46*100/59.17,0),"—")</f>
        <v>—</v>
      </c>
      <c r="R46" s="12" t="str">
        <f>IF(AND(D46="oz",E46="Host"),ROUNDUP(B46*200/59.17,0),"—")</f>
        <v>—</v>
      </c>
      <c r="S46" s="12">
        <f>IF(F46=0,0,ROUNDUP(B46*100/F46,0))</f>
        <v>7.0</v>
      </c>
    </row>
    <row r="47">
      <c r="A47" s="15" t="inlineStr">
        <is>
          <t>Cost per drink, all ingredients</t>
        </is>
      </c>
      <c r="I47" s="16">
        <f>SUM(I42:I46)</f>
        <v>3.2013486947378045</v>
      </c>
    </row>
    <row r="48">
      <c r="A48" s="15" t="inlineStr">
        <is>
          <t>Your cost per drink in dry hire (bar-supplied items)</t>
        </is>
      </c>
      <c r="I48" s="16">
        <f>SUMIF(E42:E46,"Bar",I42:I46)</f>
        <v>1.1311594202898552</v>
      </c>
    </row>
    <row r="50">
      <c r="A50" s="3" t="inlineStr">
        <is>
          <t>PASSION FRUIT MOJITO</t>
        </is>
      </c>
      <c r="B50" s="20" t="inlineStr">
        <is>
          <t>Collins glass, crushed ice</t>
        </is>
      </c>
    </row>
    <row r="51">
      <c r="A51" s="4" t="inlineStr">
        <is>
          <t>White rum</t>
        </is>
      </c>
      <c r="B51" s="21" t="n">
        <v>1.75</v>
      </c>
      <c r="C51" s="12">
        <f>IF(D51="oz",ROUND(B51*29.5735,0),"—")</f>
        <v>52.0</v>
      </c>
      <c r="D51" s="4" t="inlineStr">
        <is>
          <t>oz</t>
        </is>
      </c>
      <c r="E51" s="4" t="inlineStr">
        <is>
          <t>Host</t>
        </is>
      </c>
      <c r="F51" s="22" t="n">
        <v>25.36</v>
      </c>
      <c r="G51" s="4" t="inlineStr">
        <is>
          <t>oz (750 ml bottle)</t>
        </is>
      </c>
      <c r="H51" s="8" t="n">
        <v>20</v>
      </c>
      <c r="I51" s="23">
        <f>IF(F51=0,0,B51/F51*H51)</f>
        <v>1.3801261829652998</v>
      </c>
      <c r="J51" s="14">
        <f>B51*50</f>
        <v>87.5</v>
      </c>
      <c r="K51" s="14">
        <f>B51*100</f>
        <v>175.0</v>
      </c>
      <c r="L51" s="14">
        <f>B51*200</f>
        <v>350.0</v>
      </c>
      <c r="M51" s="12">
        <f>IF(AND(D51="oz",E51="Host"),ROUNDUP(B51*50/25.36,0),"—")</f>
        <v>4.0</v>
      </c>
      <c r="N51" s="12">
        <f>IF(AND(D51="oz",E51="Host"),ROUNDUP(B51*100/25.36,0),"—")</f>
        <v>7.0</v>
      </c>
      <c r="O51" s="12">
        <f>IF(AND(D51="oz",E51="Host"),ROUNDUP(B51*200/25.36,0),"—")</f>
        <v>14.0</v>
      </c>
      <c r="P51" s="12">
        <f>IF(AND(D51="oz",E51="Host"),ROUNDUP(B51*50/59.17,0),"—")</f>
        <v>2.0</v>
      </c>
      <c r="Q51" s="12">
        <f>IF(AND(D51="oz",E51="Host"),ROUNDUP(B51*100/59.17,0),"—")</f>
        <v>3.0</v>
      </c>
      <c r="R51" s="12">
        <f>IF(AND(D51="oz",E51="Host"),ROUNDUP(B51*200/59.17,0),"—")</f>
        <v>6.0</v>
      </c>
      <c r="S51" s="12">
        <f>IF(F51=0,0,ROUNDUP(B51*100/F51,0))</f>
        <v>7.0</v>
      </c>
    </row>
    <row r="52">
      <c r="A52" s="4" t="inlineStr">
        <is>
          <t>Passion fruit puree</t>
        </is>
      </c>
      <c r="B52" s="21" t="n">
        <v>1</v>
      </c>
      <c r="C52" s="12">
        <f>IF(D52="oz",ROUND(B52*29.5735,0),"—")</f>
        <v>30.0</v>
      </c>
      <c r="D52" s="4" t="inlineStr">
        <is>
          <t>oz</t>
        </is>
      </c>
      <c r="E52" s="4" t="inlineStr">
        <is>
          <t>Bar</t>
        </is>
      </c>
      <c r="F52" s="22" t="n">
        <v>32</v>
      </c>
      <c r="G52" s="4" t="inlineStr">
        <is>
          <t>oz (32 oz pack)</t>
        </is>
      </c>
      <c r="H52" s="8" t="n">
        <v>15</v>
      </c>
      <c r="I52" s="23">
        <f>IF(F52=0,0,B52/F52*H52)</f>
        <v>0.46875</v>
      </c>
      <c r="J52" s="14">
        <f>B52*50</f>
        <v>50.0</v>
      </c>
      <c r="K52" s="14">
        <f>B52*100</f>
        <v>100.0</v>
      </c>
      <c r="L52" s="14">
        <f>B52*200</f>
        <v>200.0</v>
      </c>
      <c r="M52" s="12" t="str">
        <f>IF(AND(D52="oz",E52="Host"),ROUNDUP(B52*50/25.36,0),"—")</f>
        <v>—</v>
      </c>
      <c r="N52" s="12" t="str">
        <f>IF(AND(D52="oz",E52="Host"),ROUNDUP(B52*100/25.36,0),"—")</f>
        <v>—</v>
      </c>
      <c r="O52" s="12" t="str">
        <f>IF(AND(D52="oz",E52="Host"),ROUNDUP(B52*200/25.36,0),"—")</f>
        <v>—</v>
      </c>
      <c r="P52" s="12" t="str">
        <f>IF(AND(D52="oz",E52="Host"),ROUNDUP(B52*50/59.17,0),"—")</f>
        <v>—</v>
      </c>
      <c r="Q52" s="12" t="str">
        <f>IF(AND(D52="oz",E52="Host"),ROUNDUP(B52*100/59.17,0),"—")</f>
        <v>—</v>
      </c>
      <c r="R52" s="12" t="str">
        <f>IF(AND(D52="oz",E52="Host"),ROUNDUP(B52*200/59.17,0),"—")</f>
        <v>—</v>
      </c>
      <c r="S52" s="12">
        <f>IF(F52=0,0,ROUNDUP(B52*100/F52,0))</f>
        <v>4.0</v>
      </c>
    </row>
    <row r="53">
      <c r="A53" s="4" t="inlineStr">
        <is>
          <t>Fresh lime juice</t>
        </is>
      </c>
      <c r="B53" s="21" t="n">
        <v>0.75</v>
      </c>
      <c r="C53" s="12">
        <f>IF(D53="oz",ROUND(B53*29.5735,0),"—")</f>
        <v>22.0</v>
      </c>
      <c r="D53" s="4" t="inlineStr">
        <is>
          <t>oz</t>
        </is>
      </c>
      <c r="E53" s="4" t="inlineStr">
        <is>
          <t>Bar</t>
        </is>
      </c>
      <c r="F53" s="22" t="n">
        <v>32</v>
      </c>
      <c r="G53" s="4" t="inlineStr">
        <is>
          <t>oz (32 oz bottle)</t>
        </is>
      </c>
      <c r="H53" s="8" t="n">
        <v>10</v>
      </c>
      <c r="I53" s="23">
        <f>IF(F53=0,0,B53/F53*H53)</f>
        <v>0.234375</v>
      </c>
      <c r="J53" s="14">
        <f>B53*50</f>
        <v>37.5</v>
      </c>
      <c r="K53" s="14">
        <f>B53*100</f>
        <v>75.0</v>
      </c>
      <c r="L53" s="14">
        <f>B53*200</f>
        <v>150.0</v>
      </c>
      <c r="M53" s="12" t="str">
        <f>IF(AND(D53="oz",E53="Host"),ROUNDUP(B53*50/25.36,0),"—")</f>
        <v>—</v>
      </c>
      <c r="N53" s="12" t="str">
        <f>IF(AND(D53="oz",E53="Host"),ROUNDUP(B53*100/25.36,0),"—")</f>
        <v>—</v>
      </c>
      <c r="O53" s="12" t="str">
        <f>IF(AND(D53="oz",E53="Host"),ROUNDUP(B53*200/25.36,0),"—")</f>
        <v>—</v>
      </c>
      <c r="P53" s="12" t="str">
        <f>IF(AND(D53="oz",E53="Host"),ROUNDUP(B53*50/59.17,0),"—")</f>
        <v>—</v>
      </c>
      <c r="Q53" s="12" t="str">
        <f>IF(AND(D53="oz",E53="Host"),ROUNDUP(B53*100/59.17,0),"—")</f>
        <v>—</v>
      </c>
      <c r="R53" s="12" t="str">
        <f>IF(AND(D53="oz",E53="Host"),ROUNDUP(B53*200/59.17,0),"—")</f>
        <v>—</v>
      </c>
      <c r="S53" s="12">
        <f>IF(F53=0,0,ROUNDUP(B53*100/F53,0))</f>
        <v>3.0</v>
      </c>
    </row>
    <row r="54">
      <c r="A54" s="4" t="inlineStr">
        <is>
          <t>Simple syrup</t>
        </is>
      </c>
      <c r="B54" s="21" t="n">
        <v>0.5</v>
      </c>
      <c r="C54" s="12">
        <f>IF(D54="oz",ROUND(B54*29.5735,0),"—")</f>
        <v>15.0</v>
      </c>
      <c r="D54" s="4" t="inlineStr">
        <is>
          <t>oz</t>
        </is>
      </c>
      <c r="E54" s="4" t="inlineStr">
        <is>
          <t>Bar</t>
        </is>
      </c>
      <c r="F54" s="22" t="n">
        <v>33.81</v>
      </c>
      <c r="G54" s="4" t="inlineStr">
        <is>
          <t>oz (1 L bottle)</t>
        </is>
      </c>
      <c r="H54" s="8" t="n">
        <v>8</v>
      </c>
      <c r="I54" s="23">
        <f>IF(F54=0,0,B54/F54*H54)</f>
        <v>0.11830819284235433</v>
      </c>
      <c r="J54" s="14">
        <f>B54*50</f>
        <v>25.0</v>
      </c>
      <c r="K54" s="14">
        <f>B54*100</f>
        <v>50.0</v>
      </c>
      <c r="L54" s="14">
        <f>B54*200</f>
        <v>100.0</v>
      </c>
      <c r="M54" s="12" t="str">
        <f>IF(AND(D54="oz",E54="Host"),ROUNDUP(B54*50/25.36,0),"—")</f>
        <v>—</v>
      </c>
      <c r="N54" s="12" t="str">
        <f>IF(AND(D54="oz",E54="Host"),ROUNDUP(B54*100/25.36,0),"—")</f>
        <v>—</v>
      </c>
      <c r="O54" s="12" t="str">
        <f>IF(AND(D54="oz",E54="Host"),ROUNDUP(B54*200/25.36,0),"—")</f>
        <v>—</v>
      </c>
      <c r="P54" s="12" t="str">
        <f>IF(AND(D54="oz",E54="Host"),ROUNDUP(B54*50/59.17,0),"—")</f>
        <v>—</v>
      </c>
      <c r="Q54" s="12" t="str">
        <f>IF(AND(D54="oz",E54="Host"),ROUNDUP(B54*100/59.17,0),"—")</f>
        <v>—</v>
      </c>
      <c r="R54" s="12" t="str">
        <f>IF(AND(D54="oz",E54="Host"),ROUNDUP(B54*200/59.17,0),"—")</f>
        <v>—</v>
      </c>
      <c r="S54" s="12">
        <f>IF(F54=0,0,ROUNDUP(B54*100/F54,0))</f>
        <v>2.0</v>
      </c>
    </row>
    <row r="55">
      <c r="A55" s="4" t="inlineStr">
        <is>
          <t>Mint leaves</t>
        </is>
      </c>
      <c r="B55" s="21" t="n">
        <v>8</v>
      </c>
      <c r="C55" s="12" t="str">
        <f>IF(D55="oz",ROUND(B55*29.5735,0),"—")</f>
        <v>—</v>
      </c>
      <c r="D55" s="4" t="inlineStr">
        <is>
          <t>each</t>
        </is>
      </c>
      <c r="E55" s="4" t="inlineStr">
        <is>
          <t>Bar</t>
        </is>
      </c>
      <c r="F55" s="22" t="n">
        <v>60</v>
      </c>
      <c r="G55" s="4" t="inlineStr">
        <is>
          <t>leaves (1 bunch)</t>
        </is>
      </c>
      <c r="H55" s="8" t="n">
        <v>2</v>
      </c>
      <c r="I55" s="23">
        <f>IF(F55=0,0,B55/F55*H55)</f>
        <v>0.26666666666666666</v>
      </c>
      <c r="J55" s="14">
        <f>B55*50</f>
        <v>400.0</v>
      </c>
      <c r="K55" s="14">
        <f>B55*100</f>
        <v>800.0</v>
      </c>
      <c r="L55" s="14">
        <f>B55*200</f>
        <v>1600.0</v>
      </c>
      <c r="M55" s="12" t="str">
        <f>IF(AND(D55="oz",E55="Host"),ROUNDUP(B55*50/25.36,0),"—")</f>
        <v>—</v>
      </c>
      <c r="N55" s="12" t="str">
        <f>IF(AND(D55="oz",E55="Host"),ROUNDUP(B55*100/25.36,0),"—")</f>
        <v>—</v>
      </c>
      <c r="O55" s="12" t="str">
        <f>IF(AND(D55="oz",E55="Host"),ROUNDUP(B55*200/25.36,0),"—")</f>
        <v>—</v>
      </c>
      <c r="P55" s="12" t="str">
        <f>IF(AND(D55="oz",E55="Host"),ROUNDUP(B55*50/59.17,0),"—")</f>
        <v>—</v>
      </c>
      <c r="Q55" s="12" t="str">
        <f>IF(AND(D55="oz",E55="Host"),ROUNDUP(B55*100/59.17,0),"—")</f>
        <v>—</v>
      </c>
      <c r="R55" s="12" t="str">
        <f>IF(AND(D55="oz",E55="Host"),ROUNDUP(B55*200/59.17,0),"—")</f>
        <v>—</v>
      </c>
      <c r="S55" s="12">
        <f>IF(F55=0,0,ROUNDUP(B55*100/F55,0))</f>
        <v>14.0</v>
      </c>
    </row>
    <row r="56">
      <c r="A56" s="4" t="inlineStr">
        <is>
          <t>Club soda (top)</t>
        </is>
      </c>
      <c r="B56" s="21" t="n">
        <v>2</v>
      </c>
      <c r="C56" s="12">
        <f>IF(D56="oz",ROUND(B56*29.5735,0),"—")</f>
        <v>59.0</v>
      </c>
      <c r="D56" s="4" t="inlineStr">
        <is>
          <t>oz</t>
        </is>
      </c>
      <c r="E56" s="4" t="inlineStr">
        <is>
          <t>Bar</t>
        </is>
      </c>
      <c r="F56" s="22" t="n">
        <v>33.81</v>
      </c>
      <c r="G56" s="4" t="inlineStr">
        <is>
          <t>oz (1 L bottle)</t>
        </is>
      </c>
      <c r="H56" s="8" t="n">
        <v>1.5</v>
      </c>
      <c r="I56" s="23">
        <f>IF(F56=0,0,B56/F56*H56)</f>
        <v>0.08873114463176575</v>
      </c>
      <c r="J56" s="14">
        <f>B56*50</f>
        <v>100.0</v>
      </c>
      <c r="K56" s="14">
        <f>B56*100</f>
        <v>200.0</v>
      </c>
      <c r="L56" s="14">
        <f>B56*200</f>
        <v>400.0</v>
      </c>
      <c r="M56" s="12" t="str">
        <f>IF(AND(D56="oz",E56="Host"),ROUNDUP(B56*50/25.36,0),"—")</f>
        <v>—</v>
      </c>
      <c r="N56" s="12" t="str">
        <f>IF(AND(D56="oz",E56="Host"),ROUNDUP(B56*100/25.36,0),"—")</f>
        <v>—</v>
      </c>
      <c r="O56" s="12" t="str">
        <f>IF(AND(D56="oz",E56="Host"),ROUNDUP(B56*200/25.36,0),"—")</f>
        <v>—</v>
      </c>
      <c r="P56" s="12" t="str">
        <f>IF(AND(D56="oz",E56="Host"),ROUNDUP(B56*50/59.17,0),"—")</f>
        <v>—</v>
      </c>
      <c r="Q56" s="12" t="str">
        <f>IF(AND(D56="oz",E56="Host"),ROUNDUP(B56*100/59.17,0),"—")</f>
        <v>—</v>
      </c>
      <c r="R56" s="12" t="str">
        <f>IF(AND(D56="oz",E56="Host"),ROUNDUP(B56*200/59.17,0),"—")</f>
        <v>—</v>
      </c>
      <c r="S56" s="12">
        <f>IF(F56=0,0,ROUNDUP(B56*100/F56,0))</f>
        <v>6.0</v>
      </c>
    </row>
    <row r="57">
      <c r="A57" s="15" t="inlineStr">
        <is>
          <t>Cost per drink, all ingredients</t>
        </is>
      </c>
      <c r="I57" s="16">
        <f>SUM(I51:I56)</f>
        <v>2.5569571871060863</v>
      </c>
    </row>
    <row r="58">
      <c r="A58" s="15" t="inlineStr">
        <is>
          <t>Your cost per drink in dry hire (bar-supplied items)</t>
        </is>
      </c>
      <c r="I58" s="16">
        <f>SUMIF(E51:E56,"Bar",I51:I56)</f>
        <v>1.1768310041407868</v>
      </c>
    </row>
    <row r="60">
      <c r="A60" s="3" t="inlineStr">
        <is>
          <t>APEROL SPRITZ</t>
        </is>
      </c>
      <c r="B60" s="20" t="inlineStr">
        <is>
          <t>Wine glass</t>
        </is>
      </c>
    </row>
    <row r="61">
      <c r="A61" s="4" t="inlineStr">
        <is>
          <t>Aperol</t>
        </is>
      </c>
      <c r="B61" s="21" t="n">
        <v>2</v>
      </c>
      <c r="C61" s="12">
        <f>IF(D61="oz",ROUND(B61*29.5735,0),"—")</f>
        <v>59.0</v>
      </c>
      <c r="D61" s="4" t="inlineStr">
        <is>
          <t>oz</t>
        </is>
      </c>
      <c r="E61" s="4" t="inlineStr">
        <is>
          <t>Host</t>
        </is>
      </c>
      <c r="F61" s="22" t="n">
        <v>25.36</v>
      </c>
      <c r="G61" s="4" t="inlineStr">
        <is>
          <t>oz (750 ml bottle)</t>
        </is>
      </c>
      <c r="H61" s="8" t="n">
        <v>25</v>
      </c>
      <c r="I61" s="23">
        <f>IF(F61=0,0,B61/F61*H61)</f>
        <v>1.971608832807571</v>
      </c>
      <c r="J61" s="14">
        <f>B61*50</f>
        <v>100.0</v>
      </c>
      <c r="K61" s="14">
        <f>B61*100</f>
        <v>200.0</v>
      </c>
      <c r="L61" s="14">
        <f>B61*200</f>
        <v>400.0</v>
      </c>
      <c r="M61" s="12">
        <f>IF(AND(D61="oz",E61="Host"),ROUNDUP(B61*50/25.36,0),"—")</f>
        <v>4.0</v>
      </c>
      <c r="N61" s="12">
        <f>IF(AND(D61="oz",E61="Host"),ROUNDUP(B61*100/25.36,0),"—")</f>
        <v>8.0</v>
      </c>
      <c r="O61" s="12">
        <f>IF(AND(D61="oz",E61="Host"),ROUNDUP(B61*200/25.36,0),"—")</f>
        <v>16.0</v>
      </c>
      <c r="P61" s="12">
        <f>IF(AND(D61="oz",E61="Host"),ROUNDUP(B61*50/59.17,0),"—")</f>
        <v>2.0</v>
      </c>
      <c r="Q61" s="12">
        <f>IF(AND(D61="oz",E61="Host"),ROUNDUP(B61*100/59.17,0),"—")</f>
        <v>4.0</v>
      </c>
      <c r="R61" s="12">
        <f>IF(AND(D61="oz",E61="Host"),ROUNDUP(B61*200/59.17,0),"—")</f>
        <v>7.0</v>
      </c>
      <c r="S61" s="12">
        <f>IF(F61=0,0,ROUNDUP(B61*100/F61,0))</f>
        <v>8.0</v>
      </c>
    </row>
    <row r="62">
      <c r="A62" s="4" t="inlineStr">
        <is>
          <t>Prosecco</t>
        </is>
      </c>
      <c r="B62" s="21" t="n">
        <v>3</v>
      </c>
      <c r="C62" s="12">
        <f>IF(D62="oz",ROUND(B62*29.5735,0),"—")</f>
        <v>89.0</v>
      </c>
      <c r="D62" s="4" t="inlineStr">
        <is>
          <t>oz</t>
        </is>
      </c>
      <c r="E62" s="4" t="inlineStr">
        <is>
          <t>Host</t>
        </is>
      </c>
      <c r="F62" s="22" t="n">
        <v>25.36</v>
      </c>
      <c r="G62" s="4" t="inlineStr">
        <is>
          <t>oz (750 ml bottle)</t>
        </is>
      </c>
      <c r="H62" s="8" t="n">
        <v>14</v>
      </c>
      <c r="I62" s="23">
        <f>IF(F62=0,0,B62/F62*H62)</f>
        <v>1.6561514195583595</v>
      </c>
      <c r="J62" s="14">
        <f>B62*50</f>
        <v>150.0</v>
      </c>
      <c r="K62" s="14">
        <f>B62*100</f>
        <v>300.0</v>
      </c>
      <c r="L62" s="14">
        <f>B62*200</f>
        <v>600.0</v>
      </c>
      <c r="M62" s="12">
        <f>IF(AND(D62="oz",E62="Host"),ROUNDUP(B62*50/25.36,0),"—")</f>
        <v>6.0</v>
      </c>
      <c r="N62" s="12">
        <f>IF(AND(D62="oz",E62="Host"),ROUNDUP(B62*100/25.36,0),"—")</f>
        <v>12.0</v>
      </c>
      <c r="O62" s="12">
        <f>IF(AND(D62="oz",E62="Host"),ROUNDUP(B62*200/25.36,0),"—")</f>
        <v>24.0</v>
      </c>
      <c r="P62" s="12">
        <f>IF(AND(D62="oz",E62="Host"),ROUNDUP(B62*50/59.17,0),"—")</f>
        <v>3.0</v>
      </c>
      <c r="Q62" s="12">
        <f>IF(AND(D62="oz",E62="Host"),ROUNDUP(B62*100/59.17,0),"—")</f>
        <v>6.0</v>
      </c>
      <c r="R62" s="12">
        <f>IF(AND(D62="oz",E62="Host"),ROUNDUP(B62*200/59.17,0),"—")</f>
        <v>11.0</v>
      </c>
      <c r="S62" s="12">
        <f>IF(F62=0,0,ROUNDUP(B62*100/F62,0))</f>
        <v>12.0</v>
      </c>
    </row>
    <row r="63">
      <c r="A63" s="4" t="inlineStr">
        <is>
          <t>Club soda</t>
        </is>
      </c>
      <c r="B63" s="21" t="n">
        <v>1</v>
      </c>
      <c r="C63" s="12">
        <f>IF(D63="oz",ROUND(B63*29.5735,0),"—")</f>
        <v>30.0</v>
      </c>
      <c r="D63" s="4" t="inlineStr">
        <is>
          <t>oz</t>
        </is>
      </c>
      <c r="E63" s="4" t="inlineStr">
        <is>
          <t>Bar</t>
        </is>
      </c>
      <c r="F63" s="22" t="n">
        <v>33.81</v>
      </c>
      <c r="G63" s="4" t="inlineStr">
        <is>
          <t>oz (1 L bottle)</t>
        </is>
      </c>
      <c r="H63" s="8" t="n">
        <v>1.5</v>
      </c>
      <c r="I63" s="23">
        <f>IF(F63=0,0,B63/F63*H63)</f>
        <v>0.044365572315882874</v>
      </c>
      <c r="J63" s="14">
        <f>B63*50</f>
        <v>50.0</v>
      </c>
      <c r="K63" s="14">
        <f>B63*100</f>
        <v>100.0</v>
      </c>
      <c r="L63" s="14">
        <f>B63*200</f>
        <v>200.0</v>
      </c>
      <c r="M63" s="12" t="str">
        <f>IF(AND(D63="oz",E63="Host"),ROUNDUP(B63*50/25.36,0),"—")</f>
        <v>—</v>
      </c>
      <c r="N63" s="12" t="str">
        <f>IF(AND(D63="oz",E63="Host"),ROUNDUP(B63*100/25.36,0),"—")</f>
        <v>—</v>
      </c>
      <c r="O63" s="12" t="str">
        <f>IF(AND(D63="oz",E63="Host"),ROUNDUP(B63*200/25.36,0),"—")</f>
        <v>—</v>
      </c>
      <c r="P63" s="12" t="str">
        <f>IF(AND(D63="oz",E63="Host"),ROUNDUP(B63*50/59.17,0),"—")</f>
        <v>—</v>
      </c>
      <c r="Q63" s="12" t="str">
        <f>IF(AND(D63="oz",E63="Host"),ROUNDUP(B63*100/59.17,0),"—")</f>
        <v>—</v>
      </c>
      <c r="R63" s="12" t="str">
        <f>IF(AND(D63="oz",E63="Host"),ROUNDUP(B63*200/59.17,0),"—")</f>
        <v>—</v>
      </c>
      <c r="S63" s="12">
        <f>IF(F63=0,0,ROUNDUP(B63*100/F63,0))</f>
        <v>3.0</v>
      </c>
    </row>
    <row r="64">
      <c r="A64" s="4" t="inlineStr">
        <is>
          <t>Orange slice</t>
        </is>
      </c>
      <c r="B64" s="21" t="n">
        <v>1</v>
      </c>
      <c r="C64" s="12" t="str">
        <f>IF(D64="oz",ROUND(B64*29.5735,0),"—")</f>
        <v>—</v>
      </c>
      <c r="D64" s="4" t="inlineStr">
        <is>
          <t>each</t>
        </is>
      </c>
      <c r="E64" s="4" t="inlineStr">
        <is>
          <t>Bar</t>
        </is>
      </c>
      <c r="F64" s="22" t="n">
        <v>8</v>
      </c>
      <c r="G64" s="4" t="inlineStr">
        <is>
          <t>slices (1 orange)</t>
        </is>
      </c>
      <c r="H64" s="8" t="n">
        <v>1</v>
      </c>
      <c r="I64" s="23">
        <f>IF(F64=0,0,B64/F64*H64)</f>
        <v>0.125</v>
      </c>
      <c r="J64" s="14">
        <f>B64*50</f>
        <v>50.0</v>
      </c>
      <c r="K64" s="14">
        <f>B64*100</f>
        <v>100.0</v>
      </c>
      <c r="L64" s="14">
        <f>B64*200</f>
        <v>200.0</v>
      </c>
      <c r="M64" s="12" t="str">
        <f>IF(AND(D64="oz",E64="Host"),ROUNDUP(B64*50/25.36,0),"—")</f>
        <v>—</v>
      </c>
      <c r="N64" s="12" t="str">
        <f>IF(AND(D64="oz",E64="Host"),ROUNDUP(B64*100/25.36,0),"—")</f>
        <v>—</v>
      </c>
      <c r="O64" s="12" t="str">
        <f>IF(AND(D64="oz",E64="Host"),ROUNDUP(B64*200/25.36,0),"—")</f>
        <v>—</v>
      </c>
      <c r="P64" s="12" t="str">
        <f>IF(AND(D64="oz",E64="Host"),ROUNDUP(B64*50/59.17,0),"—")</f>
        <v>—</v>
      </c>
      <c r="Q64" s="12" t="str">
        <f>IF(AND(D64="oz",E64="Host"),ROUNDUP(B64*100/59.17,0),"—")</f>
        <v>—</v>
      </c>
      <c r="R64" s="12" t="str">
        <f>IF(AND(D64="oz",E64="Host"),ROUNDUP(B64*200/59.17,0),"—")</f>
        <v>—</v>
      </c>
      <c r="S64" s="12">
        <f>IF(F64=0,0,ROUNDUP(B64*100/F64,0))</f>
        <v>13.0</v>
      </c>
    </row>
    <row r="65">
      <c r="A65" s="15" t="inlineStr">
        <is>
          <t>Cost per drink, all ingredients</t>
        </is>
      </c>
      <c r="I65" s="16">
        <f>SUM(I61:I64)</f>
        <v>3.7971258246818134</v>
      </c>
    </row>
    <row r="66">
      <c r="A66" s="15" t="inlineStr">
        <is>
          <t>Your cost per drink in dry hire (bar-supplied items)</t>
        </is>
      </c>
      <c r="I66" s="16">
        <f>SUMIF(E61:E64,"Bar",I61:I64)</f>
        <v>0.16936557231588287</v>
      </c>
    </row>
    <row r="68">
      <c r="A68" s="3" t="inlineStr">
        <is>
          <t>ESPRESSO MARTINI</t>
        </is>
      </c>
      <c r="B68" s="20" t="inlineStr">
        <is>
          <t>Chilled martini glass or coupe</t>
        </is>
      </c>
    </row>
    <row r="69">
      <c r="A69" s="4" t="inlineStr">
        <is>
          <t>Vodka</t>
        </is>
      </c>
      <c r="B69" s="21" t="n">
        <v>1.75</v>
      </c>
      <c r="C69" s="12">
        <f>IF(D69="oz",ROUND(B69*29.5735,0),"—")</f>
        <v>52.0</v>
      </c>
      <c r="D69" s="4" t="inlineStr">
        <is>
          <t>oz</t>
        </is>
      </c>
      <c r="E69" s="4" t="inlineStr">
        <is>
          <t>Host</t>
        </is>
      </c>
      <c r="F69" s="22" t="n">
        <v>25.36</v>
      </c>
      <c r="G69" s="4" t="inlineStr">
        <is>
          <t>oz (750 ml bottle)</t>
        </is>
      </c>
      <c r="H69" s="8" t="n">
        <v>25</v>
      </c>
      <c r="I69" s="23">
        <f>IF(F69=0,0,B69/F69*H69)</f>
        <v>1.7251577287066246</v>
      </c>
      <c r="J69" s="14">
        <f>B69*50</f>
        <v>87.5</v>
      </c>
      <c r="K69" s="14">
        <f>B69*100</f>
        <v>175.0</v>
      </c>
      <c r="L69" s="14">
        <f>B69*200</f>
        <v>350.0</v>
      </c>
      <c r="M69" s="12">
        <f>IF(AND(D69="oz",E69="Host"),ROUNDUP(B69*50/25.36,0),"—")</f>
        <v>4.0</v>
      </c>
      <c r="N69" s="12">
        <f>IF(AND(D69="oz",E69="Host"),ROUNDUP(B69*100/25.36,0),"—")</f>
        <v>7.0</v>
      </c>
      <c r="O69" s="12">
        <f>IF(AND(D69="oz",E69="Host"),ROUNDUP(B69*200/25.36,0),"—")</f>
        <v>14.0</v>
      </c>
      <c r="P69" s="12">
        <f>IF(AND(D69="oz",E69="Host"),ROUNDUP(B69*50/59.17,0),"—")</f>
        <v>2.0</v>
      </c>
      <c r="Q69" s="12">
        <f>IF(AND(D69="oz",E69="Host"),ROUNDUP(B69*100/59.17,0),"—")</f>
        <v>3.0</v>
      </c>
      <c r="R69" s="12">
        <f>IF(AND(D69="oz",E69="Host"),ROUNDUP(B69*200/59.17,0),"—")</f>
        <v>6.0</v>
      </c>
      <c r="S69" s="12">
        <f>IF(F69=0,0,ROUNDUP(B69*100/F69,0))</f>
        <v>7.0</v>
      </c>
    </row>
    <row r="70">
      <c r="A70" s="4" t="inlineStr">
        <is>
          <t>Coffee liqueur</t>
        </is>
      </c>
      <c r="B70" s="21" t="n">
        <v>0.75</v>
      </c>
      <c r="C70" s="12">
        <f>IF(D70="oz",ROUND(B70*29.5735,0),"—")</f>
        <v>22.0</v>
      </c>
      <c r="D70" s="4" t="inlineStr">
        <is>
          <t>oz</t>
        </is>
      </c>
      <c r="E70" s="4" t="inlineStr">
        <is>
          <t>Host</t>
        </is>
      </c>
      <c r="F70" s="22" t="n">
        <v>25.36</v>
      </c>
      <c r="G70" s="4" t="inlineStr">
        <is>
          <t>oz (750 ml bottle)</t>
        </is>
      </c>
      <c r="H70" s="8" t="n">
        <v>25</v>
      </c>
      <c r="I70" s="23">
        <f>IF(F70=0,0,B70/F70*H70)</f>
        <v>0.7393533123028391</v>
      </c>
      <c r="J70" s="14">
        <f>B70*50</f>
        <v>37.5</v>
      </c>
      <c r="K70" s="14">
        <f>B70*100</f>
        <v>75.0</v>
      </c>
      <c r="L70" s="14">
        <f>B70*200</f>
        <v>150.0</v>
      </c>
      <c r="M70" s="12">
        <f>IF(AND(D70="oz",E70="Host"),ROUNDUP(B70*50/25.36,0),"—")</f>
        <v>2.0</v>
      </c>
      <c r="N70" s="12">
        <f>IF(AND(D70="oz",E70="Host"),ROUNDUP(B70*100/25.36,0),"—")</f>
        <v>3.0</v>
      </c>
      <c r="O70" s="12">
        <f>IF(AND(D70="oz",E70="Host"),ROUNDUP(B70*200/25.36,0),"—")</f>
        <v>6.0</v>
      </c>
      <c r="P70" s="12">
        <f>IF(AND(D70="oz",E70="Host"),ROUNDUP(B70*50/59.17,0),"—")</f>
        <v>1.0</v>
      </c>
      <c r="Q70" s="12">
        <f>IF(AND(D70="oz",E70="Host"),ROUNDUP(B70*100/59.17,0),"—")</f>
        <v>2.0</v>
      </c>
      <c r="R70" s="12">
        <f>IF(AND(D70="oz",E70="Host"),ROUNDUP(B70*200/59.17,0),"—")</f>
        <v>3.0</v>
      </c>
      <c r="S70" s="12">
        <f>IF(F70=0,0,ROUNDUP(B70*100/F70,0))</f>
        <v>3.0</v>
      </c>
    </row>
    <row r="71">
      <c r="A71" s="4" t="inlineStr">
        <is>
          <t>Fresh espresso (cooled)</t>
        </is>
      </c>
      <c r="B71" s="21" t="n">
        <v>1</v>
      </c>
      <c r="C71" s="12">
        <f>IF(D71="oz",ROUND(B71*29.5735,0),"—")</f>
        <v>30.0</v>
      </c>
      <c r="D71" s="4" t="inlineStr">
        <is>
          <t>oz</t>
        </is>
      </c>
      <c r="E71" s="4" t="inlineStr">
        <is>
          <t>Bar</t>
        </is>
      </c>
      <c r="F71" s="22" t="n">
        <v>1</v>
      </c>
      <c r="G71" s="4" t="inlineStr">
        <is>
          <t>oz (1 shot)</t>
        </is>
      </c>
      <c r="H71" s="8" t="n">
        <v>0.5</v>
      </c>
      <c r="I71" s="23">
        <f>IF(F71=0,0,B71/F71*H71)</f>
        <v>0.5</v>
      </c>
      <c r="J71" s="14">
        <f>B71*50</f>
        <v>50.0</v>
      </c>
      <c r="K71" s="14">
        <f>B71*100</f>
        <v>100.0</v>
      </c>
      <c r="L71" s="14">
        <f>B71*200</f>
        <v>200.0</v>
      </c>
      <c r="M71" s="12" t="str">
        <f>IF(AND(D71="oz",E71="Host"),ROUNDUP(B71*50/25.36,0),"—")</f>
        <v>—</v>
      </c>
      <c r="N71" s="12" t="str">
        <f>IF(AND(D71="oz",E71="Host"),ROUNDUP(B71*100/25.36,0),"—")</f>
        <v>—</v>
      </c>
      <c r="O71" s="12" t="str">
        <f>IF(AND(D71="oz",E71="Host"),ROUNDUP(B71*200/25.36,0),"—")</f>
        <v>—</v>
      </c>
      <c r="P71" s="12" t="str">
        <f>IF(AND(D71="oz",E71="Host"),ROUNDUP(B71*50/59.17,0),"—")</f>
        <v>—</v>
      </c>
      <c r="Q71" s="12" t="str">
        <f>IF(AND(D71="oz",E71="Host"),ROUNDUP(B71*100/59.17,0),"—")</f>
        <v>—</v>
      </c>
      <c r="R71" s="12" t="str">
        <f>IF(AND(D71="oz",E71="Host"),ROUNDUP(B71*200/59.17,0),"—")</f>
        <v>—</v>
      </c>
      <c r="S71" s="12">
        <f>IF(F71=0,0,ROUNDUP(B71*100/F71,0))</f>
        <v>100.0</v>
      </c>
    </row>
    <row r="72">
      <c r="A72" s="4" t="inlineStr">
        <is>
          <t>Simple syrup</t>
        </is>
      </c>
      <c r="B72" s="21" t="n">
        <v>0.25</v>
      </c>
      <c r="C72" s="12">
        <f>IF(D72="oz",ROUND(B72*29.5735,0),"—")</f>
        <v>7.0</v>
      </c>
      <c r="D72" s="4" t="inlineStr">
        <is>
          <t>oz</t>
        </is>
      </c>
      <c r="E72" s="4" t="inlineStr">
        <is>
          <t>Bar</t>
        </is>
      </c>
      <c r="F72" s="22" t="n">
        <v>33.81</v>
      </c>
      <c r="G72" s="4" t="inlineStr">
        <is>
          <t>oz (1 L bottle)</t>
        </is>
      </c>
      <c r="H72" s="8" t="n">
        <v>8</v>
      </c>
      <c r="I72" s="23">
        <f>IF(F72=0,0,B72/F72*H72)</f>
        <v>0.059154096421177166</v>
      </c>
      <c r="J72" s="14">
        <f>B72*50</f>
        <v>12.5</v>
      </c>
      <c r="K72" s="14">
        <f>B72*100</f>
        <v>25.0</v>
      </c>
      <c r="L72" s="14">
        <f>B72*200</f>
        <v>50.0</v>
      </c>
      <c r="M72" s="12" t="str">
        <f>IF(AND(D72="oz",E72="Host"),ROUNDUP(B72*50/25.36,0),"—")</f>
        <v>—</v>
      </c>
      <c r="N72" s="12" t="str">
        <f>IF(AND(D72="oz",E72="Host"),ROUNDUP(B72*100/25.36,0),"—")</f>
        <v>—</v>
      </c>
      <c r="O72" s="12" t="str">
        <f>IF(AND(D72="oz",E72="Host"),ROUNDUP(B72*200/25.36,0),"—")</f>
        <v>—</v>
      </c>
      <c r="P72" s="12" t="str">
        <f>IF(AND(D72="oz",E72="Host"),ROUNDUP(B72*50/59.17,0),"—")</f>
        <v>—</v>
      </c>
      <c r="Q72" s="12" t="str">
        <f>IF(AND(D72="oz",E72="Host"),ROUNDUP(B72*100/59.17,0),"—")</f>
        <v>—</v>
      </c>
      <c r="R72" s="12" t="str">
        <f>IF(AND(D72="oz",E72="Host"),ROUNDUP(B72*200/59.17,0),"—")</f>
        <v>—</v>
      </c>
      <c r="S72" s="12">
        <f>IF(F72=0,0,ROUNDUP(B72*100/F72,0))</f>
        <v>1.0</v>
      </c>
    </row>
    <row r="73">
      <c r="A73" s="4" t="inlineStr">
        <is>
          <t>Coffee beans (garnish)</t>
        </is>
      </c>
      <c r="B73" s="21" t="n">
        <v>3</v>
      </c>
      <c r="C73" s="12" t="str">
        <f>IF(D73="oz",ROUND(B73*29.5735,0),"—")</f>
        <v>—</v>
      </c>
      <c r="D73" s="4" t="inlineStr">
        <is>
          <t>each</t>
        </is>
      </c>
      <c r="E73" s="4" t="inlineStr">
        <is>
          <t>Bar</t>
        </is>
      </c>
      <c r="F73" s="22" t="n">
        <v>300</v>
      </c>
      <c r="G73" s="4" t="inlineStr">
        <is>
          <t>beans (bag)</t>
        </is>
      </c>
      <c r="H73" s="8" t="n">
        <v>5</v>
      </c>
      <c r="I73" s="23">
        <f>IF(F73=0,0,B73/F73*H73)</f>
        <v>0.05</v>
      </c>
      <c r="J73" s="14">
        <f>B73*50</f>
        <v>150.0</v>
      </c>
      <c r="K73" s="14">
        <f>B73*100</f>
        <v>300.0</v>
      </c>
      <c r="L73" s="14">
        <f>B73*200</f>
        <v>600.0</v>
      </c>
      <c r="M73" s="12" t="str">
        <f>IF(AND(D73="oz",E73="Host"),ROUNDUP(B73*50/25.36,0),"—")</f>
        <v>—</v>
      </c>
      <c r="N73" s="12" t="str">
        <f>IF(AND(D73="oz",E73="Host"),ROUNDUP(B73*100/25.36,0),"—")</f>
        <v>—</v>
      </c>
      <c r="O73" s="12" t="str">
        <f>IF(AND(D73="oz",E73="Host"),ROUNDUP(B73*200/25.36,0),"—")</f>
        <v>—</v>
      </c>
      <c r="P73" s="12" t="str">
        <f>IF(AND(D73="oz",E73="Host"),ROUNDUP(B73*50/59.17,0),"—")</f>
        <v>—</v>
      </c>
      <c r="Q73" s="12" t="str">
        <f>IF(AND(D73="oz",E73="Host"),ROUNDUP(B73*100/59.17,0),"—")</f>
        <v>—</v>
      </c>
      <c r="R73" s="12" t="str">
        <f>IF(AND(D73="oz",E73="Host"),ROUNDUP(B73*200/59.17,0),"—")</f>
        <v>—</v>
      </c>
      <c r="S73" s="12">
        <f>IF(F73=0,0,ROUNDUP(B73*100/F73,0))</f>
        <v>1.0</v>
      </c>
    </row>
    <row r="74">
      <c r="A74" s="15" t="inlineStr">
        <is>
          <t>Cost per drink, all ingredients</t>
        </is>
      </c>
      <c r="I74" s="16">
        <f>SUM(I69:I73)</f>
        <v>3.0736651374306407</v>
      </c>
    </row>
    <row r="75">
      <c r="A75" s="15" t="inlineStr">
        <is>
          <t>Your cost per drink in dry hire (bar-supplied items)</t>
        </is>
      </c>
      <c r="I75" s="16">
        <f>SUMIF(E69:E73,"Bar",I69:I73)</f>
        <v>0.6091540964211771</v>
      </c>
    </row>
    <row r="77">
      <c r="A77" s="3" t="inlineStr">
        <is>
          <t>SMOKED MEZCAL MARGARITA</t>
        </is>
      </c>
      <c r="B77" s="20" t="inlineStr">
        <is>
          <t>Coupe with a smoked-salt rim</t>
        </is>
      </c>
    </row>
    <row r="78">
      <c r="A78" s="4" t="inlineStr">
        <is>
          <t>Mezcal</t>
        </is>
      </c>
      <c r="B78" s="21" t="n">
        <v>1.75</v>
      </c>
      <c r="C78" s="12">
        <f>IF(D78="oz",ROUND(B78*29.5735,0),"—")</f>
        <v>52.0</v>
      </c>
      <c r="D78" s="4" t="inlineStr">
        <is>
          <t>oz</t>
        </is>
      </c>
      <c r="E78" s="4" t="inlineStr">
        <is>
          <t>Host</t>
        </is>
      </c>
      <c r="F78" s="22" t="n">
        <v>25.36</v>
      </c>
      <c r="G78" s="4" t="inlineStr">
        <is>
          <t>oz (750 ml bottle)</t>
        </is>
      </c>
      <c r="H78" s="8" t="n">
        <v>40</v>
      </c>
      <c r="I78" s="23">
        <f>IF(F78=0,0,B78/F78*H78)</f>
        <v>2.7602523659305995</v>
      </c>
      <c r="J78" s="14">
        <f>B78*50</f>
        <v>87.5</v>
      </c>
      <c r="K78" s="14">
        <f>B78*100</f>
        <v>175.0</v>
      </c>
      <c r="L78" s="14">
        <f>B78*200</f>
        <v>350.0</v>
      </c>
      <c r="M78" s="12">
        <f>IF(AND(D78="oz",E78="Host"),ROUNDUP(B78*50/25.36,0),"—")</f>
        <v>4.0</v>
      </c>
      <c r="N78" s="12">
        <f>IF(AND(D78="oz",E78="Host"),ROUNDUP(B78*100/25.36,0),"—")</f>
        <v>7.0</v>
      </c>
      <c r="O78" s="12">
        <f>IF(AND(D78="oz",E78="Host"),ROUNDUP(B78*200/25.36,0),"—")</f>
        <v>14.0</v>
      </c>
      <c r="P78" s="12">
        <f>IF(AND(D78="oz",E78="Host"),ROUNDUP(B78*50/59.17,0),"—")</f>
        <v>2.0</v>
      </c>
      <c r="Q78" s="12">
        <f>IF(AND(D78="oz",E78="Host"),ROUNDUP(B78*100/59.17,0),"—")</f>
        <v>3.0</v>
      </c>
      <c r="R78" s="12">
        <f>IF(AND(D78="oz",E78="Host"),ROUNDUP(B78*200/59.17,0),"—")</f>
        <v>6.0</v>
      </c>
      <c r="S78" s="12">
        <f>IF(F78=0,0,ROUNDUP(B78*100/F78,0))</f>
        <v>7.0</v>
      </c>
    </row>
    <row r="79">
      <c r="A79" s="4" t="inlineStr">
        <is>
          <t>Triple sec</t>
        </is>
      </c>
      <c r="B79" s="21" t="n">
        <v>0.75</v>
      </c>
      <c r="C79" s="12">
        <f>IF(D79="oz",ROUND(B79*29.5735,0),"—")</f>
        <v>22.0</v>
      </c>
      <c r="D79" s="4" t="inlineStr">
        <is>
          <t>oz</t>
        </is>
      </c>
      <c r="E79" s="4" t="inlineStr">
        <is>
          <t>Host</t>
        </is>
      </c>
      <c r="F79" s="22" t="n">
        <v>25.36</v>
      </c>
      <c r="G79" s="4" t="inlineStr">
        <is>
          <t>oz (750 ml bottle)</t>
        </is>
      </c>
      <c r="H79" s="8" t="n">
        <v>20</v>
      </c>
      <c r="I79" s="23">
        <f>IF(F79=0,0,B79/F79*H79)</f>
        <v>0.5914826498422713</v>
      </c>
      <c r="J79" s="14">
        <f>B79*50</f>
        <v>37.5</v>
      </c>
      <c r="K79" s="14">
        <f>B79*100</f>
        <v>75.0</v>
      </c>
      <c r="L79" s="14">
        <f>B79*200</f>
        <v>150.0</v>
      </c>
      <c r="M79" s="12">
        <f>IF(AND(D79="oz",E79="Host"),ROUNDUP(B79*50/25.36,0),"—")</f>
        <v>2.0</v>
      </c>
      <c r="N79" s="12">
        <f>IF(AND(D79="oz",E79="Host"),ROUNDUP(B79*100/25.36,0),"—")</f>
        <v>3.0</v>
      </c>
      <c r="O79" s="12">
        <f>IF(AND(D79="oz",E79="Host"),ROUNDUP(B79*200/25.36,0),"—")</f>
        <v>6.0</v>
      </c>
      <c r="P79" s="12">
        <f>IF(AND(D79="oz",E79="Host"),ROUNDUP(B79*50/59.17,0),"—")</f>
        <v>1.0</v>
      </c>
      <c r="Q79" s="12">
        <f>IF(AND(D79="oz",E79="Host"),ROUNDUP(B79*100/59.17,0),"—")</f>
        <v>2.0</v>
      </c>
      <c r="R79" s="12">
        <f>IF(AND(D79="oz",E79="Host"),ROUNDUP(B79*200/59.17,0),"—")</f>
        <v>3.0</v>
      </c>
      <c r="S79" s="12">
        <f>IF(F79=0,0,ROUNDUP(B79*100/F79,0))</f>
        <v>3.0</v>
      </c>
    </row>
    <row r="80">
      <c r="A80" s="4" t="inlineStr">
        <is>
          <t>Fresh lime juice</t>
        </is>
      </c>
      <c r="B80" s="21" t="n">
        <v>0.75</v>
      </c>
      <c r="C80" s="12">
        <f>IF(D80="oz",ROUND(B80*29.5735,0),"—")</f>
        <v>22.0</v>
      </c>
      <c r="D80" s="4" t="inlineStr">
        <is>
          <t>oz</t>
        </is>
      </c>
      <c r="E80" s="4" t="inlineStr">
        <is>
          <t>Bar</t>
        </is>
      </c>
      <c r="F80" s="22" t="n">
        <v>32</v>
      </c>
      <c r="G80" s="4" t="inlineStr">
        <is>
          <t>oz (32 oz bottle)</t>
        </is>
      </c>
      <c r="H80" s="8" t="n">
        <v>10</v>
      </c>
      <c r="I80" s="23">
        <f>IF(F80=0,0,B80/F80*H80)</f>
        <v>0.234375</v>
      </c>
      <c r="J80" s="14">
        <f>B80*50</f>
        <v>37.5</v>
      </c>
      <c r="K80" s="14">
        <f>B80*100</f>
        <v>75.0</v>
      </c>
      <c r="L80" s="14">
        <f>B80*200</f>
        <v>150.0</v>
      </c>
      <c r="M80" s="12" t="str">
        <f>IF(AND(D80="oz",E80="Host"),ROUNDUP(B80*50/25.36,0),"—")</f>
        <v>—</v>
      </c>
      <c r="N80" s="12" t="str">
        <f>IF(AND(D80="oz",E80="Host"),ROUNDUP(B80*100/25.36,0),"—")</f>
        <v>—</v>
      </c>
      <c r="O80" s="12" t="str">
        <f>IF(AND(D80="oz",E80="Host"),ROUNDUP(B80*200/25.36,0),"—")</f>
        <v>—</v>
      </c>
      <c r="P80" s="12" t="str">
        <f>IF(AND(D80="oz",E80="Host"),ROUNDUP(B80*50/59.17,0),"—")</f>
        <v>—</v>
      </c>
      <c r="Q80" s="12" t="str">
        <f>IF(AND(D80="oz",E80="Host"),ROUNDUP(B80*100/59.17,0),"—")</f>
        <v>—</v>
      </c>
      <c r="R80" s="12" t="str">
        <f>IF(AND(D80="oz",E80="Host"),ROUNDUP(B80*200/59.17,0),"—")</f>
        <v>—</v>
      </c>
      <c r="S80" s="12">
        <f>IF(F80=0,0,ROUNDUP(B80*100/F80,0))</f>
        <v>3.0</v>
      </c>
    </row>
    <row r="81">
      <c r="A81" s="4" t="inlineStr">
        <is>
          <t>Simple syrup</t>
        </is>
      </c>
      <c r="B81" s="21" t="n">
        <v>0.25</v>
      </c>
      <c r="C81" s="12">
        <f>IF(D81="oz",ROUND(B81*29.5735,0),"—")</f>
        <v>7.0</v>
      </c>
      <c r="D81" s="4" t="inlineStr">
        <is>
          <t>oz</t>
        </is>
      </c>
      <c r="E81" s="4" t="inlineStr">
        <is>
          <t>Bar</t>
        </is>
      </c>
      <c r="F81" s="22" t="n">
        <v>33.81</v>
      </c>
      <c r="G81" s="4" t="inlineStr">
        <is>
          <t>oz (1 L bottle)</t>
        </is>
      </c>
      <c r="H81" s="8" t="n">
        <v>8</v>
      </c>
      <c r="I81" s="23">
        <f>IF(F81=0,0,B81/F81*H81)</f>
        <v>0.059154096421177166</v>
      </c>
      <c r="J81" s="14">
        <f>B81*50</f>
        <v>12.5</v>
      </c>
      <c r="K81" s="14">
        <f>B81*100</f>
        <v>25.0</v>
      </c>
      <c r="L81" s="14">
        <f>B81*200</f>
        <v>50.0</v>
      </c>
      <c r="M81" s="12" t="str">
        <f>IF(AND(D81="oz",E81="Host"),ROUNDUP(B81*50/25.36,0),"—")</f>
        <v>—</v>
      </c>
      <c r="N81" s="12" t="str">
        <f>IF(AND(D81="oz",E81="Host"),ROUNDUP(B81*100/25.36,0),"—")</f>
        <v>—</v>
      </c>
      <c r="O81" s="12" t="str">
        <f>IF(AND(D81="oz",E81="Host"),ROUNDUP(B81*200/25.36,0),"—")</f>
        <v>—</v>
      </c>
      <c r="P81" s="12" t="str">
        <f>IF(AND(D81="oz",E81="Host"),ROUNDUP(B81*50/59.17,0),"—")</f>
        <v>—</v>
      </c>
      <c r="Q81" s="12" t="str">
        <f>IF(AND(D81="oz",E81="Host"),ROUNDUP(B81*100/59.17,0),"—")</f>
        <v>—</v>
      </c>
      <c r="R81" s="12" t="str">
        <f>IF(AND(D81="oz",E81="Host"),ROUNDUP(B81*200/59.17,0),"—")</f>
        <v>—</v>
      </c>
      <c r="S81" s="12">
        <f>IF(F81=0,0,ROUNDUP(B81*100/F81,0))</f>
        <v>1.0</v>
      </c>
    </row>
    <row r="82">
      <c r="A82" s="4" t="inlineStr">
        <is>
          <t>Smoked salt (rim)</t>
        </is>
      </c>
      <c r="B82" s="21" t="n">
        <v>1</v>
      </c>
      <c r="C82" s="12" t="str">
        <f>IF(D82="oz",ROUND(B82*29.5735,0),"—")</f>
        <v>—</v>
      </c>
      <c r="D82" s="4" t="inlineStr">
        <is>
          <t>each</t>
        </is>
      </c>
      <c r="E82" s="4" t="inlineStr">
        <is>
          <t>Bar</t>
        </is>
      </c>
      <c r="F82" s="22" t="n">
        <v>60</v>
      </c>
      <c r="G82" s="4" t="inlineStr">
        <is>
          <t>rims (jar)</t>
        </is>
      </c>
      <c r="H82" s="8" t="n">
        <v>6</v>
      </c>
      <c r="I82" s="23">
        <f>IF(F82=0,0,B82/F82*H82)</f>
        <v>0.1</v>
      </c>
      <c r="J82" s="14">
        <f>B82*50</f>
        <v>50.0</v>
      </c>
      <c r="K82" s="14">
        <f>B82*100</f>
        <v>100.0</v>
      </c>
      <c r="L82" s="14">
        <f>B82*200</f>
        <v>200.0</v>
      </c>
      <c r="M82" s="12" t="str">
        <f>IF(AND(D82="oz",E82="Host"),ROUNDUP(B82*50/25.36,0),"—")</f>
        <v>—</v>
      </c>
      <c r="N82" s="12" t="str">
        <f>IF(AND(D82="oz",E82="Host"),ROUNDUP(B82*100/25.36,0),"—")</f>
        <v>—</v>
      </c>
      <c r="O82" s="12" t="str">
        <f>IF(AND(D82="oz",E82="Host"),ROUNDUP(B82*200/25.36,0),"—")</f>
        <v>—</v>
      </c>
      <c r="P82" s="12" t="str">
        <f>IF(AND(D82="oz",E82="Host"),ROUNDUP(B82*50/59.17,0),"—")</f>
        <v>—</v>
      </c>
      <c r="Q82" s="12" t="str">
        <f>IF(AND(D82="oz",E82="Host"),ROUNDUP(B82*100/59.17,0),"—")</f>
        <v>—</v>
      </c>
      <c r="R82" s="12" t="str">
        <f>IF(AND(D82="oz",E82="Host"),ROUNDUP(B82*200/59.17,0),"—")</f>
        <v>—</v>
      </c>
      <c r="S82" s="12">
        <f>IF(F82=0,0,ROUNDUP(B82*100/F82,0))</f>
        <v>2.0</v>
      </c>
    </row>
    <row r="83">
      <c r="A83" s="4" t="inlineStr">
        <is>
          <t>Lime wedge</t>
        </is>
      </c>
      <c r="B83" s="21" t="n">
        <v>1</v>
      </c>
      <c r="C83" s="12" t="str">
        <f>IF(D83="oz",ROUND(B83*29.5735,0),"—")</f>
        <v>—</v>
      </c>
      <c r="D83" s="4" t="inlineStr">
        <is>
          <t>each</t>
        </is>
      </c>
      <c r="E83" s="4" t="inlineStr">
        <is>
          <t>Bar</t>
        </is>
      </c>
      <c r="F83" s="22" t="n">
        <v>8</v>
      </c>
      <c r="G83" s="4" t="inlineStr">
        <is>
          <t>wedges (1 lime)</t>
        </is>
      </c>
      <c r="H83" s="8" t="n">
        <v>0.5</v>
      </c>
      <c r="I83" s="23">
        <f>IF(F83=0,0,B83/F83*H83)</f>
        <v>0.0625</v>
      </c>
      <c r="J83" s="14">
        <f>B83*50</f>
        <v>50.0</v>
      </c>
      <c r="K83" s="14">
        <f>B83*100</f>
        <v>100.0</v>
      </c>
      <c r="L83" s="14">
        <f>B83*200</f>
        <v>200.0</v>
      </c>
      <c r="M83" s="12" t="str">
        <f>IF(AND(D83="oz",E83="Host"),ROUNDUP(B83*50/25.36,0),"—")</f>
        <v>—</v>
      </c>
      <c r="N83" s="12" t="str">
        <f>IF(AND(D83="oz",E83="Host"),ROUNDUP(B83*100/25.36,0),"—")</f>
        <v>—</v>
      </c>
      <c r="O83" s="12" t="str">
        <f>IF(AND(D83="oz",E83="Host"),ROUNDUP(B83*200/25.36,0),"—")</f>
        <v>—</v>
      </c>
      <c r="P83" s="12" t="str">
        <f>IF(AND(D83="oz",E83="Host"),ROUNDUP(B83*50/59.17,0),"—")</f>
        <v>—</v>
      </c>
      <c r="Q83" s="12" t="str">
        <f>IF(AND(D83="oz",E83="Host"),ROUNDUP(B83*100/59.17,0),"—")</f>
        <v>—</v>
      </c>
      <c r="R83" s="12" t="str">
        <f>IF(AND(D83="oz",E83="Host"),ROUNDUP(B83*200/59.17,0),"—")</f>
        <v>—</v>
      </c>
      <c r="S83" s="12">
        <f>IF(F83=0,0,ROUNDUP(B83*100/F83,0))</f>
        <v>13.0</v>
      </c>
    </row>
    <row r="84">
      <c r="A84" s="15" t="inlineStr">
        <is>
          <t>Cost per drink, all ingredients</t>
        </is>
      </c>
      <c r="I84" s="16">
        <f>SUM(I78:I83)</f>
        <v>3.807764112194048</v>
      </c>
    </row>
    <row r="85">
      <c r="A85" s="15" t="inlineStr">
        <is>
          <t>Your cost per drink in dry hire (bar-supplied items)</t>
        </is>
      </c>
      <c r="I85" s="16">
        <f>SUMIF(E78:E83,"Bar",I78:I83)</f>
        <v>0.45602909642117717</v>
      </c>
    </row>
    <row r="87">
      <c r="A87" s="3" t="inlineStr">
        <is>
          <t>TROPICAL MOCKTAIL (ZERO-PROOF)</t>
        </is>
      </c>
      <c r="B87" s="20" t="inlineStr">
        <is>
          <t>Hurricane glass, crushed ice. Allergen: coconut (cream of coconut)</t>
        </is>
      </c>
    </row>
    <row r="88">
      <c r="A88" s="4" t="inlineStr">
        <is>
          <t>Pineapple juice</t>
        </is>
      </c>
      <c r="B88" s="21" t="n">
        <v>3</v>
      </c>
      <c r="C88" s="12">
        <f>IF(D88="oz",ROUND(B88*29.5735,0),"—")</f>
        <v>89.0</v>
      </c>
      <c r="D88" s="4" t="inlineStr">
        <is>
          <t>oz</t>
        </is>
      </c>
      <c r="E88" s="4" t="inlineStr">
        <is>
          <t>Bar</t>
        </is>
      </c>
      <c r="F88" s="22" t="n">
        <v>46</v>
      </c>
      <c r="G88" s="4" t="inlineStr">
        <is>
          <t>oz (46 oz can)</t>
        </is>
      </c>
      <c r="H88" s="8" t="n">
        <v>4</v>
      </c>
      <c r="I88" s="23">
        <f>IF(F88=0,0,B88/F88*H88)</f>
        <v>0.2608695652173913</v>
      </c>
      <c r="J88" s="14">
        <f>B88*50</f>
        <v>150.0</v>
      </c>
      <c r="K88" s="14">
        <f>B88*100</f>
        <v>300.0</v>
      </c>
      <c r="L88" s="14">
        <f>B88*200</f>
        <v>600.0</v>
      </c>
      <c r="M88" s="12" t="str">
        <f>IF(AND(D88="oz",E88="Host"),ROUNDUP(B88*50/25.36,0),"—")</f>
        <v>—</v>
      </c>
      <c r="N88" s="12" t="str">
        <f>IF(AND(D88="oz",E88="Host"),ROUNDUP(B88*100/25.36,0),"—")</f>
        <v>—</v>
      </c>
      <c r="O88" s="12" t="str">
        <f>IF(AND(D88="oz",E88="Host"),ROUNDUP(B88*200/25.36,0),"—")</f>
        <v>—</v>
      </c>
      <c r="P88" s="12" t="str">
        <f>IF(AND(D88="oz",E88="Host"),ROUNDUP(B88*50/59.17,0),"—")</f>
        <v>—</v>
      </c>
      <c r="Q88" s="12" t="str">
        <f>IF(AND(D88="oz",E88="Host"),ROUNDUP(B88*100/59.17,0),"—")</f>
        <v>—</v>
      </c>
      <c r="R88" s="12" t="str">
        <f>IF(AND(D88="oz",E88="Host"),ROUNDUP(B88*200/59.17,0),"—")</f>
        <v>—</v>
      </c>
      <c r="S88" s="12">
        <f>IF(F88=0,0,ROUNDUP(B88*100/F88,0))</f>
        <v>7.0</v>
      </c>
    </row>
    <row r="89">
      <c r="A89" s="4" t="inlineStr">
        <is>
          <t>Fresh orange juice</t>
        </is>
      </c>
      <c r="B89" s="21" t="n">
        <v>2</v>
      </c>
      <c r="C89" s="12">
        <f>IF(D89="oz",ROUND(B89*29.5735,0),"—")</f>
        <v>59.0</v>
      </c>
      <c r="D89" s="4" t="inlineStr">
        <is>
          <t>oz</t>
        </is>
      </c>
      <c r="E89" s="4" t="inlineStr">
        <is>
          <t>Bar</t>
        </is>
      </c>
      <c r="F89" s="22" t="n">
        <v>52</v>
      </c>
      <c r="G89" s="4" t="inlineStr">
        <is>
          <t>oz (52 oz bottle)</t>
        </is>
      </c>
      <c r="H89" s="8" t="n">
        <v>5</v>
      </c>
      <c r="I89" s="23">
        <f>IF(F89=0,0,B89/F89*H89)</f>
        <v>0.19230769230769232</v>
      </c>
      <c r="J89" s="14">
        <f>B89*50</f>
        <v>100.0</v>
      </c>
      <c r="K89" s="14">
        <f>B89*100</f>
        <v>200.0</v>
      </c>
      <c r="L89" s="14">
        <f>B89*200</f>
        <v>400.0</v>
      </c>
      <c r="M89" s="12" t="str">
        <f>IF(AND(D89="oz",E89="Host"),ROUNDUP(B89*50/25.36,0),"—")</f>
        <v>—</v>
      </c>
      <c r="N89" s="12" t="str">
        <f>IF(AND(D89="oz",E89="Host"),ROUNDUP(B89*100/25.36,0),"—")</f>
        <v>—</v>
      </c>
      <c r="O89" s="12" t="str">
        <f>IF(AND(D89="oz",E89="Host"),ROUNDUP(B89*200/25.36,0),"—")</f>
        <v>—</v>
      </c>
      <c r="P89" s="12" t="str">
        <f>IF(AND(D89="oz",E89="Host"),ROUNDUP(B89*50/59.17,0),"—")</f>
        <v>—</v>
      </c>
      <c r="Q89" s="12" t="str">
        <f>IF(AND(D89="oz",E89="Host"),ROUNDUP(B89*100/59.17,0),"—")</f>
        <v>—</v>
      </c>
      <c r="R89" s="12" t="str">
        <f>IF(AND(D89="oz",E89="Host"),ROUNDUP(B89*200/59.17,0),"—")</f>
        <v>—</v>
      </c>
      <c r="S89" s="12">
        <f>IF(F89=0,0,ROUNDUP(B89*100/F89,0))</f>
        <v>4.0</v>
      </c>
    </row>
    <row r="90">
      <c r="A90" s="4" t="inlineStr">
        <is>
          <t>Fresh lime juice</t>
        </is>
      </c>
      <c r="B90" s="21" t="n">
        <v>0.75</v>
      </c>
      <c r="C90" s="12">
        <f>IF(D90="oz",ROUND(B90*29.5735,0),"—")</f>
        <v>22.0</v>
      </c>
      <c r="D90" s="4" t="inlineStr">
        <is>
          <t>oz</t>
        </is>
      </c>
      <c r="E90" s="4" t="inlineStr">
        <is>
          <t>Bar</t>
        </is>
      </c>
      <c r="F90" s="22" t="n">
        <v>32</v>
      </c>
      <c r="G90" s="4" t="inlineStr">
        <is>
          <t>oz (32 oz bottle)</t>
        </is>
      </c>
      <c r="H90" s="8" t="n">
        <v>10</v>
      </c>
      <c r="I90" s="23">
        <f>IF(F90=0,0,B90/F90*H90)</f>
        <v>0.234375</v>
      </c>
      <c r="J90" s="14">
        <f>B90*50</f>
        <v>37.5</v>
      </c>
      <c r="K90" s="14">
        <f>B90*100</f>
        <v>75.0</v>
      </c>
      <c r="L90" s="14">
        <f>B90*200</f>
        <v>150.0</v>
      </c>
      <c r="M90" s="12" t="str">
        <f>IF(AND(D90="oz",E90="Host"),ROUNDUP(B90*50/25.36,0),"—")</f>
        <v>—</v>
      </c>
      <c r="N90" s="12" t="str">
        <f>IF(AND(D90="oz",E90="Host"),ROUNDUP(B90*100/25.36,0),"—")</f>
        <v>—</v>
      </c>
      <c r="O90" s="12" t="str">
        <f>IF(AND(D90="oz",E90="Host"),ROUNDUP(B90*200/25.36,0),"—")</f>
        <v>—</v>
      </c>
      <c r="P90" s="12" t="str">
        <f>IF(AND(D90="oz",E90="Host"),ROUNDUP(B90*50/59.17,0),"—")</f>
        <v>—</v>
      </c>
      <c r="Q90" s="12" t="str">
        <f>IF(AND(D90="oz",E90="Host"),ROUNDUP(B90*100/59.17,0),"—")</f>
        <v>—</v>
      </c>
      <c r="R90" s="12" t="str">
        <f>IF(AND(D90="oz",E90="Host"),ROUNDUP(B90*200/59.17,0),"—")</f>
        <v>—</v>
      </c>
      <c r="S90" s="12">
        <f>IF(F90=0,0,ROUNDUP(B90*100/F90,0))</f>
        <v>3.0</v>
      </c>
    </row>
    <row r="91">
      <c r="A91" s="4" t="inlineStr">
        <is>
          <t>Grenadine</t>
        </is>
      </c>
      <c r="B91" s="21" t="n">
        <v>0.5</v>
      </c>
      <c r="C91" s="12">
        <f>IF(D91="oz",ROUND(B91*29.5735,0),"—")</f>
        <v>15.0</v>
      </c>
      <c r="D91" s="4" t="inlineStr">
        <is>
          <t>oz</t>
        </is>
      </c>
      <c r="E91" s="4" t="inlineStr">
        <is>
          <t>Bar</t>
        </is>
      </c>
      <c r="F91" s="22" t="n">
        <v>25.36</v>
      </c>
      <c r="G91" s="4" t="inlineStr">
        <is>
          <t>oz (750 ml bottle)</t>
        </is>
      </c>
      <c r="H91" s="8" t="n">
        <v>8</v>
      </c>
      <c r="I91" s="23">
        <f>IF(F91=0,0,B91/F91*H91)</f>
        <v>0.15772870662460567</v>
      </c>
      <c r="J91" s="14">
        <f>B91*50</f>
        <v>25.0</v>
      </c>
      <c r="K91" s="14">
        <f>B91*100</f>
        <v>50.0</v>
      </c>
      <c r="L91" s="14">
        <f>B91*200</f>
        <v>100.0</v>
      </c>
      <c r="M91" s="12" t="str">
        <f>IF(AND(D91="oz",E91="Host"),ROUNDUP(B91*50/25.36,0),"—")</f>
        <v>—</v>
      </c>
      <c r="N91" s="12" t="str">
        <f>IF(AND(D91="oz",E91="Host"),ROUNDUP(B91*100/25.36,0),"—")</f>
        <v>—</v>
      </c>
      <c r="O91" s="12" t="str">
        <f>IF(AND(D91="oz",E91="Host"),ROUNDUP(B91*200/25.36,0),"—")</f>
        <v>—</v>
      </c>
      <c r="P91" s="12" t="str">
        <f>IF(AND(D91="oz",E91="Host"),ROUNDUP(B91*50/59.17,0),"—")</f>
        <v>—</v>
      </c>
      <c r="Q91" s="12" t="str">
        <f>IF(AND(D91="oz",E91="Host"),ROUNDUP(B91*100/59.17,0),"—")</f>
        <v>—</v>
      </c>
      <c r="R91" s="12" t="str">
        <f>IF(AND(D91="oz",E91="Host"),ROUNDUP(B91*200/59.17,0),"—")</f>
        <v>—</v>
      </c>
      <c r="S91" s="12">
        <f>IF(F91=0,0,ROUNDUP(B91*100/F91,0))</f>
        <v>2.0</v>
      </c>
    </row>
    <row r="92">
      <c r="A92" s="4" t="inlineStr">
        <is>
          <t>Cream of coconut</t>
        </is>
      </c>
      <c r="B92" s="21" t="n">
        <v>0.75</v>
      </c>
      <c r="C92" s="12">
        <f>IF(D92="oz",ROUND(B92*29.5735,0),"—")</f>
        <v>22.0</v>
      </c>
      <c r="D92" s="4" t="inlineStr">
        <is>
          <t>oz</t>
        </is>
      </c>
      <c r="E92" s="4" t="inlineStr">
        <is>
          <t>Bar</t>
        </is>
      </c>
      <c r="F92" s="22" t="n">
        <v>15</v>
      </c>
      <c r="G92" s="4" t="inlineStr">
        <is>
          <t>oz (15 oz can)</t>
        </is>
      </c>
      <c r="H92" s="8" t="n">
        <v>4</v>
      </c>
      <c r="I92" s="23">
        <f>IF(F92=0,0,B92/F92*H92)</f>
        <v>0.2</v>
      </c>
      <c r="J92" s="14">
        <f>B92*50</f>
        <v>37.5</v>
      </c>
      <c r="K92" s="14">
        <f>B92*100</f>
        <v>75.0</v>
      </c>
      <c r="L92" s="14">
        <f>B92*200</f>
        <v>150.0</v>
      </c>
      <c r="M92" s="12" t="str">
        <f>IF(AND(D92="oz",E92="Host"),ROUNDUP(B92*50/25.36,0),"—")</f>
        <v>—</v>
      </c>
      <c r="N92" s="12" t="str">
        <f>IF(AND(D92="oz",E92="Host"),ROUNDUP(B92*100/25.36,0),"—")</f>
        <v>—</v>
      </c>
      <c r="O92" s="12" t="str">
        <f>IF(AND(D92="oz",E92="Host"),ROUNDUP(B92*200/25.36,0),"—")</f>
        <v>—</v>
      </c>
      <c r="P92" s="12" t="str">
        <f>IF(AND(D92="oz",E92="Host"),ROUNDUP(B92*50/59.17,0),"—")</f>
        <v>—</v>
      </c>
      <c r="Q92" s="12" t="str">
        <f>IF(AND(D92="oz",E92="Host"),ROUNDUP(B92*100/59.17,0),"—")</f>
        <v>—</v>
      </c>
      <c r="R92" s="12" t="str">
        <f>IF(AND(D92="oz",E92="Host"),ROUNDUP(B92*200/59.17,0),"—")</f>
        <v>—</v>
      </c>
      <c r="S92" s="12">
        <f>IF(F92=0,0,ROUNDUP(B92*100/F92,0))</f>
        <v>5.0</v>
      </c>
    </row>
    <row r="93">
      <c r="A93" s="4" t="inlineStr">
        <is>
          <t>Club soda (top)</t>
        </is>
      </c>
      <c r="B93" s="21" t="n">
        <v>2</v>
      </c>
      <c r="C93" s="12">
        <f>IF(D93="oz",ROUND(B93*29.5735,0),"—")</f>
        <v>59.0</v>
      </c>
      <c r="D93" s="4" t="inlineStr">
        <is>
          <t>oz</t>
        </is>
      </c>
      <c r="E93" s="4" t="inlineStr">
        <is>
          <t>Bar</t>
        </is>
      </c>
      <c r="F93" s="22" t="n">
        <v>33.81</v>
      </c>
      <c r="G93" s="4" t="inlineStr">
        <is>
          <t>oz (1 L bottle)</t>
        </is>
      </c>
      <c r="H93" s="8" t="n">
        <v>1.5</v>
      </c>
      <c r="I93" s="23">
        <f>IF(F93=0,0,B93/F93*H93)</f>
        <v>0.08873114463176575</v>
      </c>
      <c r="J93" s="14">
        <f>B93*50</f>
        <v>100.0</v>
      </c>
      <c r="K93" s="14">
        <f>B93*100</f>
        <v>200.0</v>
      </c>
      <c r="L93" s="14">
        <f>B93*200</f>
        <v>400.0</v>
      </c>
      <c r="M93" s="12" t="str">
        <f>IF(AND(D93="oz",E93="Host"),ROUNDUP(B93*50/25.36,0),"—")</f>
        <v>—</v>
      </c>
      <c r="N93" s="12" t="str">
        <f>IF(AND(D93="oz",E93="Host"),ROUNDUP(B93*100/25.36,0),"—")</f>
        <v>—</v>
      </c>
      <c r="O93" s="12" t="str">
        <f>IF(AND(D93="oz",E93="Host"),ROUNDUP(B93*200/25.36,0),"—")</f>
        <v>—</v>
      </c>
      <c r="P93" s="12" t="str">
        <f>IF(AND(D93="oz",E93="Host"),ROUNDUP(B93*50/59.17,0),"—")</f>
        <v>—</v>
      </c>
      <c r="Q93" s="12" t="str">
        <f>IF(AND(D93="oz",E93="Host"),ROUNDUP(B93*100/59.17,0),"—")</f>
        <v>—</v>
      </c>
      <c r="R93" s="12" t="str">
        <f>IF(AND(D93="oz",E93="Host"),ROUNDUP(B93*200/59.17,0),"—")</f>
        <v>—</v>
      </c>
      <c r="S93" s="12">
        <f>IF(F93=0,0,ROUNDUP(B93*100/F93,0))</f>
        <v>6.0</v>
      </c>
    </row>
    <row r="94">
      <c r="A94" s="15" t="inlineStr">
        <is>
          <t>Cost per drink, all ingredients</t>
        </is>
      </c>
      <c r="I94" s="16">
        <f>SUM(I88:I93)</f>
        <v>1.134012108781455</v>
      </c>
    </row>
    <row r="95">
      <c r="A95" s="15" t="inlineStr">
        <is>
          <t>Your cost per drink in dry hire (bar-supplied items)</t>
        </is>
      </c>
      <c r="I95" s="16">
        <f>SUMIF(E88:E93,"Bar",I88:I93)</f>
        <v>1.134012108781455</v>
      </c>
    </row>
    <row r="97" ht="30" customHeight="1">
      <c r="A97" s="2" t="inlineStr">
        <is>
          <t>Specs converted from milliliters (30 ml = 1 oz) and rounded to the nearest 0.25 oz; the (ml) column converts back at 1 oz = 29.57 ml. A 750 ml bottle (a "fifth") holds about 25.4 oz, a 1.75 L bottle (a "handle") about 59.2 oz and a 1 L bottle about 33.8 oz.</t>
        </is>
      </c>
    </row>
    <row r="98" ht="30" customHeight="1">
      <c r="A98" s="2" t="inlineStr">
        <is>
          <t>Batching tip: pre-batch the still part of each cocktail (spirits, juice, syrup) and add sparkling wine or soda at the bar. Always offer at least one zero-proof drink.</t>
        </is>
      </c>
    </row>
    <row r="99" ht="30" customHeight="1">
      <c r="A99" s="2" t="inlineStr">
        <is>
          <t>Allergens: tell guests that the Mai Tai contains almond (orgeat) and that the Pina Colada and the mocktail contain coconut. Keep an allergen card at the bar.</t>
        </is>
      </c>
    </row>
  </sheetData>
  <sheetProtection selectLockedCells="0" selectUnlockedCells="0" sheet="1" objects="0" insertRows="1" insertHyperlinks="1" autoFilter="1" scenarios="0" formatColumns="1" deleteColumns="1" insertColumns="1" pivotTables="1" deleteRows="1" formatCells="1" formatRows="1" sort="1"/>
  <mergeCells count="14">
    <mergeCell ref="B6:S6"/>
    <mergeCell ref="B68:S68"/>
    <mergeCell ref="A98:S98"/>
    <mergeCell ref="B77:S77"/>
    <mergeCell ref="A99:S99"/>
    <mergeCell ref="B87:S87"/>
    <mergeCell ref="A97:S97"/>
    <mergeCell ref="B22:S22"/>
    <mergeCell ref="B14:S14"/>
    <mergeCell ref="B60:S60"/>
    <mergeCell ref="B31:S31"/>
    <mergeCell ref="B41:S41"/>
    <mergeCell ref="B50:S50"/>
    <mergeCell ref="A2:S2"/>
  </mergeCells>
  <dataValidations count="11">
    <dataValidation sqref="F7 F8 F9 F10" showDropDown="0" showInputMessage="0" showErrorMessage="1" allowBlank="0" errorTitle="Invalid pack size" error="Enter the pack size in the pack unit (greater than 0)." type="decimal" operator="greaterThanOrEqual">
      <formula1>0.01</formula1>
    </dataValidation>
    <dataValidation sqref="F15 F16 F17 F18" showDropDown="0" showInputMessage="0" showErrorMessage="1" allowBlank="0" errorTitle="Invalid pack size" error="Enter the pack size in the pack unit (greater than 0)." type="decimal" operator="greaterThanOrEqual">
      <formula1>0.01</formula1>
    </dataValidation>
    <dataValidation sqref="F23 F24 F25 F26 F27" showDropDown="0" showInputMessage="0" showErrorMessage="1" allowBlank="0" errorTitle="Invalid pack size" error="Enter the pack size in the pack unit (greater than 0)." type="decimal" operator="greaterThanOrEqual">
      <formula1>0.01</formula1>
    </dataValidation>
    <dataValidation sqref="F32 F33 F34 F35 F36 F37" showDropDown="0" showInputMessage="0" showErrorMessage="1" allowBlank="0" errorTitle="Invalid pack size" error="Enter the pack size in the pack unit (greater than 0)." type="decimal" operator="greaterThanOrEqual">
      <formula1>0.01</formula1>
    </dataValidation>
    <dataValidation sqref="F42 F43 F44 F45 F46" showDropDown="0" showInputMessage="0" showErrorMessage="1" allowBlank="0" errorTitle="Invalid pack size" error="Enter the pack size in the pack unit (greater than 0)." type="decimal" operator="greaterThanOrEqual">
      <formula1>0.01</formula1>
    </dataValidation>
    <dataValidation sqref="F51 F52 F53 F54 F55 F56" showDropDown="0" showInputMessage="0" showErrorMessage="1" allowBlank="0" errorTitle="Invalid pack size" error="Enter the pack size in the pack unit (greater than 0)." type="decimal" operator="greaterThanOrEqual">
      <formula1>0.01</formula1>
    </dataValidation>
    <dataValidation sqref="F61 F62 F63 F64" showDropDown="0" showInputMessage="0" showErrorMessage="1" allowBlank="0" errorTitle="Invalid pack size" error="Enter the pack size in the pack unit (greater than 0)." type="decimal" operator="greaterThanOrEqual">
      <formula1>0.01</formula1>
    </dataValidation>
    <dataValidation sqref="F69 F70 F71 F72 F73" showDropDown="0" showInputMessage="0" showErrorMessage="1" allowBlank="0" errorTitle="Invalid pack size" error="Enter the pack size in the pack unit (greater than 0)." type="decimal" operator="greaterThanOrEqual">
      <formula1>0.01</formula1>
    </dataValidation>
    <dataValidation sqref="F78 F79 F80 F81 F82 F83" showDropDown="0" showInputMessage="0" showErrorMessage="1" allowBlank="0" errorTitle="Invalid pack size" error="Enter the pack size in the pack unit (greater than 0)." type="decimal" operator="greaterThanOrEqual">
      <formula1>0.01</formula1>
    </dataValidation>
    <dataValidation sqref="F88 F89 F90 F91 F92 F93" showDropDown="0" showInputMessage="0" showErrorMessage="1" allowBlank="0" errorTitle="Invalid pack size" error="Enter the pack size in the pack unit (greater than 0)." type="decimal" operator="greaterThanOrEqual">
      <formula1>0.01</formula1>
    </dataValidation>
    <dataValidation sqref="B7 B8 B9 B10 B15 B16 B17 B18 B23 B24 B25 B26 B27 B32 B33 B34 B35 B36 B37 B42 B43 B44 B45 B46 B51 B52 B53 B54 B55 B56 B61 B62 B63 B64 B69 B70 B71 B72 B73 B78 B79 B80 B81 B82 B83 B88 B89 B90 B91 B92 B93 H7 H8 H9 H10 H15 H16 H17 H18 H23 H24 H25 H26 H27 H32 H33 H34 H35 H36 H37 H42 H43 H44 H45 H46 H51 H52 H53 H54 H55 H56 H61 H62 H63 H64 H69 H70 H71 H72 H73 H78 H79 H80 H81 H82 H83 H88 H89 H90 H91 H92 H93" showDropDown="0" showInputMessage="0" showErrorMessage="1" allowBlank="0" errorTitle="Invalid amount" error="Enter a number greater than or equal to 0." type="decimal" operator="greaterThanOrEqual">
      <formula1>0</formula1>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D6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26" customWidth="1" min="2" max="2"/>
    <col width="26" customWidth="1" min="3" max="3"/>
    <col width="26" customWidth="1" min="4" max="4"/>
  </cols>
  <sheetData>
    <row r="1">
      <c r="A1" s="1" t="inlineStr">
        <is>
          <t>3 EXAMPLE QUOTES — calculated with the same formulas as the "Pricing Calculator" tab</t>
        </is>
      </c>
    </row>
    <row r="2" ht="48" customHeight="1">
      <c r="A2" s="2" t="inlineStr">
        <is>
          <t>Kit estimates for illustration only, not market prices: change the inputs in "Pricing Calculator" to price your own events. All three are dry hire: the host buys the alcohol.</t>
        </is>
      </c>
    </row>
    <row r="4" ht="30" customHeight="1">
      <c r="A4" s="3" t="inlineStr">
        <is>
          <t>INPUTS</t>
        </is>
      </c>
      <c r="B4" s="18" t="inlineStr">
        <is>
          <t>Wedding, 120 guests, 5 hours</t>
        </is>
      </c>
      <c r="C4" s="18" t="inlineStr">
        <is>
          <t>Corporate holiday party, 100 guests, 4 hours</t>
        </is>
      </c>
      <c r="D4" s="18" t="inlineStr">
        <is>
          <t>Private birthday, 60 guests, 4 hours</t>
        </is>
      </c>
    </row>
    <row r="5" ht="30" customHeight="1">
      <c r="A5" s="4" t="inlineStr">
        <is>
          <t>Bar package</t>
        </is>
      </c>
      <c r="B5" s="2" t="inlineStr">
        <is>
          <t>Full bar – dry hire</t>
        </is>
      </c>
      <c r="C5" s="2" t="inlineStr">
        <is>
          <t>Full bar – dry hire</t>
        </is>
      </c>
      <c r="D5" s="2" t="inlineStr">
        <is>
          <t>Limited bar (beer, wine + 1 signature) – dry hire</t>
        </is>
      </c>
    </row>
    <row r="6">
      <c r="A6" s="4" t="inlineStr">
        <is>
          <t>Guests expected</t>
        </is>
      </c>
      <c r="B6" s="12" t="n">
        <v>120</v>
      </c>
      <c r="C6" s="12" t="n">
        <v>100</v>
      </c>
      <c r="D6" s="12" t="n">
        <v>60</v>
      </c>
    </row>
    <row r="7">
      <c r="A7" s="4" t="inlineStr">
        <is>
          <t>Hours of bar service</t>
        </is>
      </c>
      <c r="B7" s="13" t="n">
        <v>5</v>
      </c>
      <c r="C7" s="13" t="n">
        <v>4</v>
      </c>
      <c r="D7" s="13" t="n">
        <v>4</v>
      </c>
    </row>
    <row r="8">
      <c r="A8" s="4" t="inlineStr">
        <is>
          <t>Drinks per guest in the first hour</t>
        </is>
      </c>
      <c r="B8" s="13" t="n">
        <v>2</v>
      </c>
      <c r="C8" s="13" t="n">
        <v>2</v>
      </c>
      <c r="D8" s="13" t="n">
        <v>2</v>
      </c>
    </row>
    <row r="9">
      <c r="A9" s="4" t="inlineStr">
        <is>
          <t>Drinks per guest in each following hour</t>
        </is>
      </c>
      <c r="B9" s="13" t="n">
        <v>1</v>
      </c>
      <c r="C9" s="13" t="n">
        <v>1</v>
      </c>
      <c r="D9" s="13" t="n">
        <v>1</v>
      </c>
    </row>
    <row r="10">
      <c r="A10" s="4" t="inlineStr">
        <is>
          <t>Bartenders working the event</t>
        </is>
      </c>
      <c r="B10" s="12" t="n">
        <v>3</v>
      </c>
      <c r="C10" s="12" t="n">
        <v>2</v>
      </c>
      <c r="D10" s="12" t="n">
        <v>1</v>
      </c>
    </row>
    <row r="11">
      <c r="A11" s="4" t="inlineStr">
        <is>
          <t>Barbacks / setup crew working the event</t>
        </is>
      </c>
      <c r="B11" s="12" t="n">
        <v>1</v>
      </c>
      <c r="C11" s="12" t="n">
        <v>1</v>
      </c>
      <c r="D11" s="12" t="n">
        <v>0</v>
      </c>
    </row>
    <row r="12">
      <c r="A12" s="4" t="inlineStr">
        <is>
          <t>Setup, travel and breakdown hours per person</t>
        </is>
      </c>
      <c r="B12" s="13" t="n">
        <v>3.5</v>
      </c>
      <c r="C12" s="13" t="n">
        <v>3</v>
      </c>
      <c r="D12" s="13" t="n">
        <v>2.5</v>
      </c>
    </row>
    <row r="13">
      <c r="A13" s="4" t="inlineStr">
        <is>
          <t>Bartender hourly wage</t>
        </is>
      </c>
      <c r="B13" s="14" t="n">
        <v>20</v>
      </c>
      <c r="C13" s="14" t="n">
        <v>20</v>
      </c>
      <c r="D13" s="14" t="n">
        <v>20</v>
      </c>
    </row>
    <row r="14">
      <c r="A14" s="4" t="inlineStr">
        <is>
          <t>Barback hourly wage</t>
        </is>
      </c>
      <c r="B14" s="14" t="n">
        <v>16</v>
      </c>
      <c r="C14" s="14" t="n">
        <v>16</v>
      </c>
      <c r="D14" s="14" t="n">
        <v>16</v>
      </c>
    </row>
    <row r="15">
      <c r="A15" s="4" t="inlineStr">
        <is>
          <t>Employer payroll taxes and workers' comp (% of wages)</t>
        </is>
      </c>
      <c r="B15" s="24" t="n">
        <v>0.1</v>
      </c>
      <c r="C15" s="24" t="n">
        <v>0.1</v>
      </c>
      <c r="D15" s="24" t="n">
        <v>0.1</v>
      </c>
    </row>
    <row r="16">
      <c r="A16" s="4" t="inlineStr">
        <is>
          <t>Mixers, garnishes and N/A drinks per drink served</t>
        </is>
      </c>
      <c r="B16" s="14" t="n">
        <v>0.38</v>
      </c>
      <c r="C16" s="14" t="n">
        <v>0.38</v>
      </c>
      <c r="D16" s="14" t="n">
        <v>0.38</v>
      </c>
    </row>
    <row r="17">
      <c r="A17" s="4" t="inlineStr">
        <is>
          <t>Alcohol cost per drink (licensed package only)</t>
        </is>
      </c>
      <c r="B17" s="14" t="n">
        <v>3</v>
      </c>
      <c r="C17" s="14" t="n">
        <v>3</v>
      </c>
      <c r="D17" s="14" t="n">
        <v>3</v>
      </c>
    </row>
    <row r="18">
      <c r="A18" s="4" t="inlineStr">
        <is>
          <t>Cups, straws, napkins and menu signs per guest</t>
        </is>
      </c>
      <c r="B18" s="14" t="n">
        <v>0.55</v>
      </c>
      <c r="C18" s="14" t="n">
        <v>0.55</v>
      </c>
      <c r="D18" s="14" t="n">
        <v>0.55</v>
      </c>
    </row>
    <row r="19">
      <c r="A19" s="4" t="inlineStr">
        <is>
          <t>Ice per guest (lb)</t>
        </is>
      </c>
      <c r="B19" s="13" t="n">
        <v>1.5</v>
      </c>
      <c r="C19" s="13" t="n">
        <v>1.5</v>
      </c>
      <c r="D19" s="13" t="n">
        <v>1.5</v>
      </c>
    </row>
    <row r="20">
      <c r="A20" s="4" t="inlineStr">
        <is>
          <t>Bagged ice cost per lb</t>
        </is>
      </c>
      <c r="B20" s="14" t="n">
        <v>0.25</v>
      </c>
      <c r="C20" s="14" t="n">
        <v>0.25</v>
      </c>
      <c r="D20" s="14" t="n">
        <v>0.25</v>
      </c>
    </row>
    <row r="21">
      <c r="A21" s="4" t="inlineStr">
        <is>
          <t>Round-trip miles</t>
        </is>
      </c>
      <c r="B21" s="12" t="n">
        <v>60</v>
      </c>
      <c r="C21" s="12" t="n">
        <v>30</v>
      </c>
      <c r="D21" s="12" t="n">
        <v>20</v>
      </c>
    </row>
    <row r="22">
      <c r="A22" s="4" t="inlineStr">
        <is>
          <t>Cost per mile (tow vehicle + trailer)</t>
        </is>
      </c>
      <c r="B22" s="14" t="n">
        <v>0.7</v>
      </c>
      <c r="C22" s="14" t="n">
        <v>0.7</v>
      </c>
      <c r="D22" s="14" t="n">
        <v>0.7</v>
      </c>
    </row>
    <row r="23">
      <c r="A23" s="4" t="inlineStr">
        <is>
          <t>Flat bar fee charged per event (trailer or bar setup)</t>
        </is>
      </c>
      <c r="B23" s="14" t="n">
        <v>250</v>
      </c>
      <c r="C23" s="14" t="n">
        <v>0</v>
      </c>
      <c r="D23" s="14" t="n">
        <v>0</v>
      </c>
    </row>
    <row r="24">
      <c r="A24" s="4" t="inlineStr">
        <is>
          <t>Specialty bar upcharge (% of the per-guest price)</t>
        </is>
      </c>
      <c r="B24" s="24" t="n">
        <v>0</v>
      </c>
      <c r="C24" s="24" t="n">
        <v>0</v>
      </c>
      <c r="D24" s="24" t="n">
        <v>0.15</v>
      </c>
    </row>
    <row r="25">
      <c r="A25" s="4" t="inlineStr">
        <is>
          <t>Marketplace or planner fee on this booking (% of subtotal)</t>
        </is>
      </c>
      <c r="B25" s="24" t="n">
        <v>0</v>
      </c>
      <c r="C25" s="24" t="n">
        <v>0</v>
      </c>
      <c r="D25" s="24" t="n">
        <v>0.05</v>
      </c>
    </row>
    <row r="26">
      <c r="A26" s="4" t="inlineStr">
        <is>
          <t>Target gross margin on the bar service subtotal</t>
        </is>
      </c>
      <c r="B26" s="24" t="n">
        <v>0.55</v>
      </c>
      <c r="C26" s="24" t="n">
        <v>0.55</v>
      </c>
      <c r="D26" s="24" t="n">
        <v>0.55</v>
      </c>
    </row>
    <row r="27">
      <c r="A27" s="4" t="inlineStr">
        <is>
          <t>Service charge (% of subtotal)</t>
        </is>
      </c>
      <c r="B27" s="24" t="n">
        <v>0.15</v>
      </c>
      <c r="C27" s="24" t="n">
        <v>0</v>
      </c>
      <c r="D27" s="24" t="n">
        <v>0</v>
      </c>
    </row>
    <row r="28">
      <c r="A28" s="4" t="inlineStr">
        <is>
          <t>Sales tax rate (state + local)</t>
        </is>
      </c>
      <c r="B28" s="25" t="n">
        <v>0.08</v>
      </c>
      <c r="C28" s="25" t="n">
        <v>0.08</v>
      </c>
      <c r="D28" s="25" t="n">
        <v>0.08</v>
      </c>
    </row>
    <row r="29">
      <c r="A29" s="4" t="inlineStr">
        <is>
          <t>Does your state tax the bar service and the service charge?</t>
        </is>
      </c>
      <c r="B29" s="4" t="inlineStr">
        <is>
          <t>Yes</t>
        </is>
      </c>
      <c r="C29" s="4" t="inlineStr">
        <is>
          <t>Yes</t>
        </is>
      </c>
      <c r="D29" s="4" t="inlineStr">
        <is>
          <t>No</t>
        </is>
      </c>
    </row>
    <row r="30">
      <c r="A30" s="4" t="inlineStr">
        <is>
          <t>Deposit to book the date (% of total)</t>
        </is>
      </c>
      <c r="B30" s="24" t="n">
        <v>0.3</v>
      </c>
      <c r="C30" s="24" t="n">
        <v>0.3</v>
      </c>
      <c r="D30" s="24" t="n">
        <v>0.3</v>
      </c>
    </row>
    <row r="31">
      <c r="A31" s="4" t="inlineStr">
        <is>
          <t>Minimum charge for the bar service (subtotal floor)</t>
        </is>
      </c>
      <c r="B31" s="14" t="n">
        <v>400</v>
      </c>
      <c r="C31" s="14" t="n">
        <v>400</v>
      </c>
      <c r="D31" s="14" t="n">
        <v>400</v>
      </c>
    </row>
    <row r="32">
      <c r="A32" s="4" t="inlineStr">
        <is>
          <t>Price of an extra hour of service (quoted separately)</t>
        </is>
      </c>
      <c r="B32" s="14" t="n">
        <v>150</v>
      </c>
      <c r="C32" s="14" t="n">
        <v>150</v>
      </c>
      <c r="D32" s="14" t="n">
        <v>150</v>
      </c>
    </row>
    <row r="34" ht="30" customHeight="1">
      <c r="A34" s="3" t="inlineStr">
        <is>
          <t>RESULT</t>
        </is>
      </c>
      <c r="B34" s="18" t="inlineStr">
        <is>
          <t>Wedding, 120 guests, 5 hours</t>
        </is>
      </c>
      <c r="C34" s="18" t="inlineStr">
        <is>
          <t>Corporate holiday party, 100 guests, 4 hours</t>
        </is>
      </c>
      <c r="D34" s="18" t="inlineStr">
        <is>
          <t>Private birthday, 60 guests, 4 hours</t>
        </is>
      </c>
    </row>
    <row r="35">
      <c r="A35" s="4" t="inlineStr">
        <is>
          <t>Drinks to plan for</t>
        </is>
      </c>
      <c r="B35" s="12">
        <f>$B$6*($B$8+MAX(0,$B$7-1)*$B$9)</f>
        <v>720.0</v>
      </c>
      <c r="C35" s="12">
        <f>$C$6*($C$8+MAX(0,$C$7-1)*$C$9)</f>
        <v>500.0</v>
      </c>
      <c r="D35" s="12">
        <f>$D$6*($D$8+MAX(0,$D$7-1)*$D$9)</f>
        <v>300.0</v>
      </c>
    </row>
    <row r="36">
      <c r="A36" s="4" t="inlineStr">
        <is>
          <t>Ice to bring (lb)</t>
        </is>
      </c>
      <c r="B36" s="13">
        <f>$B$6*$B$19</f>
        <v>180.0</v>
      </c>
      <c r="C36" s="13">
        <f>$C$6*$C$19</f>
        <v>150.0</v>
      </c>
      <c r="D36" s="13">
        <f>$D$6*$D$19</f>
        <v>90.0</v>
      </c>
    </row>
    <row r="37">
      <c r="A37" s="4" t="inlineStr">
        <is>
          <t>Ice to bring (kg, for metric suppliers)</t>
        </is>
      </c>
      <c r="B37" s="13">
        <f>$B$36*0.45359237</f>
        <v>81.6466266</v>
      </c>
      <c r="C37" s="13">
        <f>$C$36*0.45359237</f>
        <v>68.0388555</v>
      </c>
      <c r="D37" s="13">
        <f>$D$36*0.45359237</f>
        <v>40.8233133</v>
      </c>
    </row>
    <row r="38">
      <c r="A38" s="4" t="inlineStr">
        <is>
          <t>Suggested bartenders for this package (Kit estimate)</t>
        </is>
      </c>
      <c r="B38" s="12">
        <f>IFERROR(ROUNDUP($B$6/INDEX('Pricing Calculator'!$B$61:$B$63,MATCH($B$5,'Pricing Calculator'!$A$61:$A$63,0)),0),"—")</f>
        <v>3.0</v>
      </c>
      <c r="C38" s="12">
        <f>IFERROR(ROUNDUP($C$6/INDEX('Pricing Calculator'!$B$61:$B$63,MATCH($C$5,'Pricing Calculator'!$A$61:$A$63,0)),0),"—")</f>
        <v>2.0</v>
      </c>
      <c r="D38" s="12">
        <f>IFERROR(ROUNDUP($D$6/INDEX('Pricing Calculator'!$B$61:$B$63,MATCH($D$5,'Pricing Calculator'!$A$61:$A$63,0)),0),"—")</f>
        <v>1.0</v>
      </c>
    </row>
    <row r="39">
      <c r="A39" s="4" t="inlineStr">
        <is>
          <t>Staff cost (wages + payroll taxes)</t>
        </is>
      </c>
      <c r="B39" s="14">
        <f>($B$10*$B$13+$B$11*$B$14)*($B$7+$B$12)*(1+$B$15)</f>
        <v>710.6</v>
      </c>
      <c r="C39" s="14">
        <f>($C$10*$C$13+$C$11*$C$14)*($C$7+$C$12)*(1+$C$15)</f>
        <v>431.20000000000005</v>
      </c>
      <c r="D39" s="14">
        <f>($D$10*$D$13+$D$11*$D$14)*($D$7+$D$12)*(1+$D$15)</f>
        <v>143.0</v>
      </c>
    </row>
    <row r="40">
      <c r="A40" s="4" t="inlineStr">
        <is>
          <t>Mixers, garnishes and N/A drinks</t>
        </is>
      </c>
      <c r="B40" s="14">
        <f>$B$35*$B$16</f>
        <v>273.6</v>
      </c>
      <c r="C40" s="14">
        <f>$C$35*$C$16</f>
        <v>190.0</v>
      </c>
      <c r="D40" s="14">
        <f>$D$35*$D$16</f>
        <v>114.0</v>
      </c>
    </row>
    <row r="41">
      <c r="A41" s="4" t="inlineStr">
        <is>
          <t>Alcohol (licensed package only)</t>
        </is>
      </c>
      <c r="B41" s="14">
        <f>IF($B$5='Pricing Calculator'!$A$63,$B$35*$B$17,0)</f>
        <v>0.0</v>
      </c>
      <c r="C41" s="14">
        <f>IF($C$5='Pricing Calculator'!$A$63,$C$35*$C$17,0)</f>
        <v>0.0</v>
      </c>
      <c r="D41" s="14">
        <f>IF($D$5='Pricing Calculator'!$A$63,$D$35*$D$17,0)</f>
        <v>0.0</v>
      </c>
    </row>
    <row r="42">
      <c r="A42" s="4" t="inlineStr">
        <is>
          <t>Cups, straws, napkins and menu signs</t>
        </is>
      </c>
      <c r="B42" s="14">
        <f>$B$6*$B$18</f>
        <v>66.0</v>
      </c>
      <c r="C42" s="14">
        <f>$C$6*$C$18</f>
        <v>55.00000000000001</v>
      </c>
      <c r="D42" s="14">
        <f>$D$6*$D$18</f>
        <v>33.0</v>
      </c>
    </row>
    <row r="43">
      <c r="A43" s="4" t="inlineStr">
        <is>
          <t>Ice</t>
        </is>
      </c>
      <c r="B43" s="14">
        <f>$B$36*$B$20</f>
        <v>45.0</v>
      </c>
      <c r="C43" s="14">
        <f>$C$36*$C$20</f>
        <v>37.5</v>
      </c>
      <c r="D43" s="14">
        <f>$D$36*$D$20</f>
        <v>22.5</v>
      </c>
    </row>
    <row r="44">
      <c r="A44" s="4" t="inlineStr">
        <is>
          <t>Mileage</t>
        </is>
      </c>
      <c r="B44" s="14">
        <f>$B$21*$B$22</f>
        <v>42.0</v>
      </c>
      <c r="C44" s="14">
        <f>$C$21*$C$22</f>
        <v>21.0</v>
      </c>
      <c r="D44" s="14">
        <f>$D$21*$D$22</f>
        <v>14.0</v>
      </c>
    </row>
    <row r="45">
      <c r="A45" s="4" t="inlineStr">
        <is>
          <t>Total direct cost</t>
        </is>
      </c>
      <c r="B45" s="14">
        <f>$B$39+$B$40+$B$41+$B$42+$B$43+$B$44</f>
        <v>1137.2</v>
      </c>
      <c r="C45" s="14">
        <f>$C$39+$C$40+$C$41+$C$42+$C$43+$C$44</f>
        <v>734.7</v>
      </c>
      <c r="D45" s="14">
        <f>$D$39+$D$40+$D$41+$D$42+$D$43+$D$44</f>
        <v>326.5</v>
      </c>
    </row>
    <row r="46">
      <c r="A46" s="4" t="inlineStr">
        <is>
          <t>Direct cost per guest</t>
        </is>
      </c>
      <c r="B46" s="14">
        <f>$B$45/$B$6</f>
        <v>9.476666666666667</v>
      </c>
      <c r="C46" s="14">
        <f>$C$45/$C$6</f>
        <v>7.347</v>
      </c>
      <c r="D46" s="14">
        <f>$D$45/$D$6</f>
        <v>5.441666666666666</v>
      </c>
    </row>
    <row r="47">
      <c r="A47" s="15" t="inlineStr">
        <is>
          <t>PRICE PER GUEST before service charge and tax</t>
        </is>
      </c>
      <c r="B47" s="16">
        <f>ROUNDUP(MAX(0,$B$45/(1-$B$26-$B$25)-$B$23)/$B$6*(1+$B$24)*2,0)/2</f>
        <v>19.0</v>
      </c>
      <c r="C47" s="16">
        <f>ROUNDUP(MAX(0,$C$45/(1-$C$26-$C$25)-$C$23)/$C$6*(1+$C$24)*2,0)/2</f>
        <v>16.5</v>
      </c>
      <c r="D47" s="16">
        <f>ROUNDUP(MAX(0,$D$45/(1-$D$26-$D$25)-$D$23)/$D$6*(1+$D$24)*2,0)/2</f>
        <v>16.0</v>
      </c>
    </row>
    <row r="48">
      <c r="A48" s="4" t="inlineStr">
        <is>
          <t>Bar service subtotal</t>
        </is>
      </c>
      <c r="B48" s="14">
        <f>MAX($B$47*$B$6+$B$23,$B$31)</f>
        <v>2530.0</v>
      </c>
      <c r="C48" s="14">
        <f>MAX($C$47*$C$6+$C$23,$C$31)</f>
        <v>1650.0</v>
      </c>
      <c r="D48" s="14">
        <f>MAX($D$47*$D$6+$D$23,$D$31)</f>
        <v>960.0</v>
      </c>
    </row>
    <row r="49">
      <c r="A49" s="4" t="inlineStr">
        <is>
          <t>Equivalent price per hour of service</t>
        </is>
      </c>
      <c r="B49" s="14">
        <f>$B$48/$B$7</f>
        <v>506.0</v>
      </c>
      <c r="C49" s="14">
        <f>$C$48/$C$7</f>
        <v>412.5</v>
      </c>
      <c r="D49" s="14">
        <f>$D$48/$D$7</f>
        <v>240.0</v>
      </c>
    </row>
    <row r="50">
      <c r="A50" s="4" t="inlineStr">
        <is>
          <t>Service charge</t>
        </is>
      </c>
      <c r="B50" s="14">
        <f>$B$48*$B$27</f>
        <v>379.5</v>
      </c>
      <c r="C50" s="14">
        <f>$C$48*$C$27</f>
        <v>0.0</v>
      </c>
      <c r="D50" s="14">
        <f>$D$48*$D$27</f>
        <v>0.0</v>
      </c>
    </row>
    <row r="51">
      <c r="A51" s="4" t="inlineStr">
        <is>
          <t>Sales tax</t>
        </is>
      </c>
      <c r="B51" s="14">
        <f>($B$48+IF($B$29="Yes",$B$50,0))*$B$28</f>
        <v>232.76</v>
      </c>
      <c r="C51" s="14">
        <f>($C$48+IF($C$29="Yes",$C$50,0))*$C$28</f>
        <v>132.0</v>
      </c>
      <c r="D51" s="14">
        <f>($D$48+IF($D$29="Yes",$D$50,0))*$D$28</f>
        <v>76.8</v>
      </c>
    </row>
    <row r="52">
      <c r="A52" s="15" t="inlineStr">
        <is>
          <t>TOTAL TO QUOTE</t>
        </is>
      </c>
      <c r="B52" s="16">
        <f>$B$48+$B$50+$B$51</f>
        <v>3142.26</v>
      </c>
      <c r="C52" s="16">
        <f>$C$48+$C$50+$C$51</f>
        <v>1782.0</v>
      </c>
      <c r="D52" s="16">
        <f>$D$48+$D$50+$D$51</f>
        <v>1036.8</v>
      </c>
    </row>
    <row r="53">
      <c r="A53" s="4" t="inlineStr">
        <is>
          <t>Deposit to book the date</t>
        </is>
      </c>
      <c r="B53" s="14">
        <f>$B$52*$B$30</f>
        <v>942.678</v>
      </c>
      <c r="C53" s="14">
        <f>$C$52*$C$30</f>
        <v>534.6</v>
      </c>
      <c r="D53" s="14">
        <f>$D$52*$D$30</f>
        <v>311.03999999999996</v>
      </c>
    </row>
    <row r="54">
      <c r="A54" s="4" t="inlineStr">
        <is>
          <t>Balance due before the event</t>
        </is>
      </c>
      <c r="B54" s="14">
        <f>$B$52-$B$53</f>
        <v>2199.5820000000003</v>
      </c>
      <c r="C54" s="14">
        <f>$C$52-$C$53</f>
        <v>1247.4</v>
      </c>
      <c r="D54" s="14">
        <f>$D$52-$D$53</f>
        <v>725.76</v>
      </c>
    </row>
    <row r="55">
      <c r="A55" s="4" t="inlineStr">
        <is>
          <t>Marketplace or planner fee</t>
        </is>
      </c>
      <c r="B55" s="14">
        <f>$B$48*$B$25</f>
        <v>0.0</v>
      </c>
      <c r="C55" s="14">
        <f>$C$48*$C$25</f>
        <v>0.0</v>
      </c>
      <c r="D55" s="14">
        <f>$D$48*$D$25</f>
        <v>48.0</v>
      </c>
    </row>
    <row r="56">
      <c r="A56" s="4" t="inlineStr">
        <is>
          <t>Gross profit on the subtotal</t>
        </is>
      </c>
      <c r="B56" s="14">
        <f>$B$48-$B$55-$B$45</f>
        <v>1392.8</v>
      </c>
      <c r="C56" s="14">
        <f>$C$48-$C$55-$C$45</f>
        <v>915.3</v>
      </c>
      <c r="D56" s="14">
        <f>$D$48-$D$55-$D$45</f>
        <v>585.5</v>
      </c>
    </row>
    <row r="57">
      <c r="A57" s="15" t="inlineStr">
        <is>
          <t>Gross margin (calculated)</t>
        </is>
      </c>
      <c r="B57" s="17">
        <f>IF($B$48=0,0,$B$56/$B$48)</f>
        <v>0.5505138339920949</v>
      </c>
      <c r="C57" s="17">
        <f>IF($C$48=0,0,$C$56/$C$48)</f>
        <v>0.5547272727272727</v>
      </c>
      <c r="D57" s="17">
        <f>IF($D$48=0,0,$D$56/$D$48)</f>
        <v>0.6098958333333333</v>
      </c>
    </row>
    <row r="58">
      <c r="A58" s="4" t="inlineStr">
        <is>
          <t>Extra hour of service (not in the total)</t>
        </is>
      </c>
      <c r="B58" s="14">
        <f>$B$32</f>
        <v>150.0</v>
      </c>
      <c r="C58" s="14">
        <f>$C$32</f>
        <v>150.0</v>
      </c>
      <c r="D58" s="14">
        <f>$D$32</f>
        <v>150.0</v>
      </c>
    </row>
    <row r="60">
      <c r="A60" s="3" t="inlineStr">
        <is>
          <t>WHAT EACH EXAMPLE SHOWS</t>
        </is>
      </c>
    </row>
    <row r="61" ht="45" customHeight="1">
      <c r="A61" s="15" t="inlineStr">
        <is>
          <t>Wedding, 120 guests, 5 hours</t>
        </is>
      </c>
      <c r="B61" s="2" t="inlineStr">
        <is>
          <t>Dry hire full bar from the trailer: 3 bartenders and a barback, a flat bar fee for the trailer and a 15% service charge; 30% deposit to book the date.</t>
        </is>
      </c>
    </row>
    <row r="62" ht="45" customHeight="1">
      <c r="A62" s="15" t="inlineStr">
        <is>
          <t>Corporate holiday party, 100 guests, 4 hours</t>
        </is>
      </c>
      <c r="B62" s="2" t="inlineStr">
        <is>
          <t>Dry hire full bar on a weeknight in December, booked directly by the company: no service charge, no marketplace fee.</t>
        </is>
      </c>
    </row>
    <row r="63" ht="45" customHeight="1">
      <c r="A63" s="15" t="inlineStr">
        <is>
          <t>Private birthday, 60 guests, 4 hours</t>
        </is>
      </c>
      <c r="B63" s="2" t="inlineStr">
        <is>
          <t>Dry hire limited bar (beer, wine and one signature cocktail) with a mimosa bar upcharge, booked through a marketplace (5% fee); this example assumes a state that does not tax the service (switch set to No).</t>
        </is>
      </c>
    </row>
  </sheetData>
  <sheetProtection selectLockedCells="0" selectUnlockedCells="0" sheet="1" objects="0" insertRows="1" insertHyperlinks="1" autoFilter="1" scenarios="0" formatColumns="1" deleteColumns="1" insertColumns="1" pivotTables="1" deleteRows="1" formatCells="1" formatRows="1" sort="1"/>
  <mergeCells count="4">
    <mergeCell ref="B63:D63"/>
    <mergeCell ref="B61:D61"/>
    <mergeCell ref="A2:D2"/>
    <mergeCell ref="B62:D62"/>
  </mergeCell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25"/>
  <sheetViews>
    <sheetView showGridLines="0" workbookViewId="0">
      <selection activeCell="A1" sqref="A1"/>
    </sheetView>
  </sheetViews>
  <sheetFormatPr baseColWidth="8" defaultRowHeight="15"/>
  <cols>
    <col width="110" customWidth="1" min="1" max="1"/>
  </cols>
  <sheetData>
    <row r="1">
      <c r="A1" s="26" t="inlineStr">
        <is>
          <t>HOW TO USE THE MOBILE BAR PRICING CALCULATOR</t>
        </is>
      </c>
    </row>
    <row r="2" ht="45" customHeight="1">
      <c r="A2" s="2" t="inlineStr">
        <is>
          <t>This workbook turns your costs into a price per guest and a full quote, and builds the shopping list for the event. You type only in the GREEN cells; the gross margin is calculated, never typed. The default model is dry hire (you supply the alcohol; we bring the bar, the bartenders and everything else).</t>
        </is>
      </c>
    </row>
    <row r="3" ht="45" customHeight="1">
      <c r="A3" s="2" t="inlineStr">
        <is>
          <t>1. "Pricing Calculator": choose the bar package, then enter guests, hours of service and the drinks rule (2 drinks per guest in the first hour and 1 per hour after: eventplanning.com). The suggested number of bartenders comes from the table at the bottom of the tab (guests per bartender by package: edit it to your own standard).</t>
        </is>
      </c>
    </row>
    <row r="4" ht="30" customHeight="1">
      <c r="A4" s="2" t="inlineStr">
        <is>
          <t>2. Enter the staff (bartenders, barbacks, paid hours, wages, payroll taxes) and the costs you supply: mixers and garnishes per drink, cups and napkins per guest, ice and mileage. The alcohol cost only counts with the licensed package.</t>
        </is>
      </c>
    </row>
    <row r="5" ht="60" customHeight="1">
      <c r="A5" s="2" t="inlineStr">
        <is>
          <t>3. Set a flat bar fee if you charge one, the specialty bar upcharge, the marketplace fee, your target margin, the service charge, your sales tax rate and the switch "Does your state tax the bar service and the service charge?". The price per guest is the direct cost divided by (1 - target margin - marketplace fee), minus the flat fee, rounded up to the next 0.50; the subtotal never goes below your minimum.</t>
        </is>
      </c>
    </row>
    <row r="6" ht="45" customHeight="1">
      <c r="A6" s="2" t="inlineStr">
        <is>
          <t>4. "Drinks &amp; Shopping List": the drink mix of each package and the bottle math give the host's shopping list (spirits split by type, wine, beer, sparkling wine for the toast) and what the bar brings (ice in bags, cups, napkins, mixer servings). Send it to the host about two weeks before the event.</t>
        </is>
      </c>
    </row>
    <row r="7" ht="30" customHeight="1">
      <c r="A7" s="2" t="inlineStr">
        <is>
          <t>5. "Signature Cocktail Specs": ten recipes with the amount per drink, who buys each ingredient in dry hire, the cost per drink from the pack prices you type, and the quantities for 50, 100 and 200 drinks.</t>
        </is>
      </c>
    </row>
    <row r="8" ht="16" customHeight="1">
      <c r="A8" s="2" t="inlineStr">
        <is>
          <t>6. "3 Example Quotes": three complete quotes calculated with the same formulas.</t>
        </is>
      </c>
    </row>
    <row r="9">
      <c r="A9" s="27" t="inlineStr">
        <is>
          <t>DRY HIRE: WHAT YOU CAN AND CANNOT CHARGE</t>
        </is>
      </c>
    </row>
    <row r="11" ht="60" customHeight="1">
      <c r="A11" s="2" t="inlineStr">
        <is>
          <t>In dry hire the host buys and owns the alcohol and keeps what is left. Do not sell drinks, drink tickets or admission that includes drinks, do not add a markup on the alcohol, and keep any tip jar only where your state allows it: Missouri treats admission fees, tips and alcohol surcharges as possible sales (Missouri Division of Alcohol and Tobacco Control, Industry Circular 24-01). Rules vary by state: check yours before you quote.</t>
        </is>
      </c>
    </row>
    <row r="12">
      <c r="A12" s="27" t="inlineStr">
        <is>
          <t>SERVICE CHARGE, GRATUITY AND SALES TAX (US)</t>
        </is>
      </c>
    </row>
    <row r="14" ht="45" customHeight="1">
      <c r="A14" s="2" t="inlineStr">
        <is>
          <t>A mandatory service charge is not a tip: the part you pay out to the staff is wages, with payroll taxes (IRS Rev. Rul. 2012-18), and the part you keep is revenue. A voluntary gratuity is the client's decision and belongs to the staff: this calculator keeps it out of the price and the total.</t>
        </is>
      </c>
    </row>
    <row r="15" ht="30" customHeight="1">
      <c r="A15" s="2" t="inlineStr">
        <is>
          <t>Sales tax: California taxes a caterer's service even when the client supplies the drinks (cdtfa.ca.gov), so a bartending service is taxable there; other states differ. Set your rate and the switch.</t>
        </is>
      </c>
    </row>
    <row r="16" ht="30" customHeight="1">
      <c r="A16" s="2" t="inlineStr">
        <is>
          <t>UK: if you are VAT-registered, enter 0.20 as the tax rate. Selling alcohol needs a premises licence or a Temporary Event Notice: see section 9 of the plan.</t>
        </is>
      </c>
    </row>
    <row r="17">
      <c r="A17" s="27" t="inlineStr">
        <is>
          <t>KIT ESTIMATES</t>
        </is>
      </c>
    </row>
    <row r="19" ht="30" customHeight="1">
      <c r="A19" s="2" t="inlineStr">
        <is>
          <t>Every default value, every pack price and the three example quotes are kit estimates for illustration, not market prices. Replace them with your own wages, supplier prices and tax rate before you quote.</t>
        </is>
      </c>
    </row>
    <row r="21">
      <c r="A21" s="2" t="inlineStr">
        <is>
          <t>To edit a cell that is not green: Review → Unprotect Sheet (there is no password).</t>
        </is>
      </c>
    </row>
    <row r="22">
      <c r="A22" s="2" t="inlineStr">
        <is>
          <t>More templates and kits in the catalog at aichef.pro/en/digital-products</t>
        </is>
      </c>
    </row>
    <row r="23">
      <c r="A23" s="2" t="inlineStr">
        <is>
          <t>Designed by John Guerrero — chef and restaurant consultant since 2010, in the kitchen since age 17 · johnguerrero.es</t>
        </is>
      </c>
    </row>
    <row r="24">
      <c r="A24" s="2" t="inlineStr">
        <is>
          <t>Version 2.2 · October 2026 · aichef.pro/en/digital-products/mobile-bar-business-plan · info@aichef.pro</t>
        </is>
      </c>
    </row>
    <row r="25">
      <c r="A25" s="28"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Mobile Bar Pricing Calculator (Cost per Guest to Quote + Shopping List) · Mobile Bar Business Plan Kit</dc:title>
  <dc:description xmlns:dc="http://purl.org/dc/elements/1.1/">aichef.pro/en/digital-products/mobile-bar-business-plan</dc:description>
  <dc:subject xmlns:dc="http://purl.org/dc/elements/1.1/">Mobile Bar Business Plan Kit · v2.2</dc:subject>
  <dcterms:created xmlns:dcterms="http://purl.org/dc/terms/" xmlns:xsi="http://www.w3.org/2001/XMLSchema-instance" xsi:type="dcterms:W3CDTF">2026-10-13T07:20:22Z</dcterms:created>
  <dcterms:modified xmlns:dcterms="http://purl.org/dc/terms/" xmlns:xsi="http://www.w3.org/2001/XMLSchema-instance" xsi:type="dcterms:W3CDTF">2026-10-13T07:20:22Z</dcterms:modified>
  <cp:lastModifiedBy>AI Chef Pro</cp:lastModifiedBy>
  <cp:category>AI Chef Pro · Digital products</cp:category>
  <cp:keywords>mobile bar business plan, mobile bartending business plan, mobile bar business plan template, how to start a mobile bar business, dry hire mobile bar, mobile bar pricing, mobile bar license, AI Chef Pro</cp:keywords>
</cp:coreProperties>
</file>