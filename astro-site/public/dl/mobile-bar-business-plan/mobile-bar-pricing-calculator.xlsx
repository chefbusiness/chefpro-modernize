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Calculator" sheetId="1" state="visible" r:id="rId1"/>
    <sheet xmlns:r="http://schemas.openxmlformats.org/officeDocument/2006/relationships" name="Drinks &amp; Shopping List" sheetId="2" state="visible" r:id="rId2"/>
    <sheet xmlns:r="http://schemas.openxmlformats.org/officeDocument/2006/relationships" name="Signature Cocktail Specs" sheetId="3" state="visible" r:id="rId3"/>
    <sheet xmlns:r="http://schemas.openxmlformats.org/officeDocument/2006/relationships" name="3 Example Quote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2" fillId="3" borderId="0" applyAlignment="1" applyProtection="1" pivotButton="0" quotePrefix="0" xfId="0">
      <alignment vertical="top" wrapText="1"/>
      <protection locked="0" hidden="0"/>
    </xf>
    <xf numFmtId="3"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3" fontId="2" fillId="0" borderId="0" applyAlignment="1" pivotButton="0" quotePrefix="0" xfId="0">
      <alignment vertical="top"/>
    </xf>
    <xf numFmtId="164" fontId="2" fillId="0" borderId="0" applyAlignment="1" pivotButton="0" quotePrefix="0" xfId="0">
      <alignment vertical="top"/>
    </xf>
    <xf numFmtId="4" fontId="2" fillId="0" borderId="0" applyAlignment="1" pivotButton="0" quotePrefix="0" xfId="0">
      <alignment vertical="top"/>
    </xf>
    <xf numFmtId="0" fontId="3" fillId="0" borderId="0" applyAlignment="1" pivotButton="0" quotePrefix="0" xfId="0">
      <alignment vertical="top"/>
    </xf>
    <xf numFmtId="4" fontId="3" fillId="0" borderId="0" applyAlignment="1" pivotButton="0" quotePrefix="0" xfId="0">
      <alignment vertical="top"/>
    </xf>
    <xf numFmtId="165" fontId="3" fillId="0" borderId="0" applyAlignment="1" pivotButton="0" quotePrefix="0" xfId="0">
      <alignment vertical="top"/>
    </xf>
    <xf numFmtId="0" fontId="3" fillId="2" borderId="0" applyAlignment="1" pivotButton="0" quotePrefix="0" xfId="0">
      <alignment vertical="top" wrapText="1"/>
    </xf>
    <xf numFmtId="3" fontId="3" fillId="0" borderId="0" applyAlignment="1" pivotButton="0" quotePrefix="0" xfId="0">
      <alignment vertical="top"/>
    </xf>
    <xf numFmtId="0" fontId="4" fillId="2" borderId="0" applyAlignment="1" pivotButton="0" quotePrefix="0" xfId="0">
      <alignment vertical="top"/>
    </xf>
    <xf numFmtId="2"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167" fontId="2" fillId="0" borderId="0" applyAlignment="1" pivotButton="0" quotePrefix="0" xfId="0">
      <alignment vertical="top"/>
    </xf>
    <xf numFmtId="9" fontId="2" fillId="0" borderId="0" applyAlignment="1" pivotButton="0" quotePrefix="0" xfId="0">
      <alignment vertical="top"/>
    </xf>
    <xf numFmtId="165" fontId="2" fillId="0" borderId="0" applyAlignment="1" pivotButton="0" quotePrefix="0" xfId="0">
      <alignment vertical="top"/>
    </xf>
    <xf numFmtId="0" fontId="5"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2"/>
  <sheetViews>
    <sheetView showGridLines="0" workbookViewId="0">
      <pane ySplit="4" topLeftCell="A5" activePane="bottomLeft" state="frozen"/>
      <selection pane="bottomLeft" activeCell="A1" sqref="A1"/>
    </sheetView>
  </sheetViews>
  <sheetFormatPr baseColWidth="8" defaultRowHeight="15"/>
  <cols>
    <col width="60" customWidth="1" min="1" max="1"/>
    <col width="22" customWidth="1" min="2" max="2"/>
    <col width="80" customWidth="1" min="3" max="3"/>
  </cols>
  <sheetData>
    <row r="1">
      <c r="A1" s="1" t="inlineStr">
        <is>
          <t>MOBILE BAR PRICING CALCULATOR — COST PER GUEST TO QUOTE</t>
        </is>
      </c>
    </row>
    <row r="2" ht="48" customHeight="1">
      <c r="A2" s="2" t="inlineStr">
        <is>
          <t>Type in the GREEN cells; everything else is calculated. The default model is dry hire (you supply the alcohol; we bring the bar, the bartenders and everything else): the host buys and owns the alcohol, so it is never in your cost or your price. Amounts are in your currency and exclude sales tax unless the row says otherwise. Every default value is a kit estimate: replace it with your own numbers.</t>
        </is>
      </c>
    </row>
    <row r="4">
      <c r="A4" s="3" t="inlineStr">
        <is>
          <t>INPUTS</t>
        </is>
      </c>
      <c r="B4" s="3" t="inlineStr">
        <is>
          <t>Value</t>
        </is>
      </c>
      <c r="C4" s="3" t="inlineStr">
        <is>
          <t>Notes</t>
        </is>
      </c>
    </row>
    <row r="5" ht="47" customHeight="1">
      <c r="A5" s="4" t="inlineStr">
        <is>
          <t>Bar package</t>
        </is>
      </c>
      <c r="B5" s="5" t="inlineStr">
        <is>
          <t>Full bar – dry hire</t>
        </is>
      </c>
      <c r="C5" s="2" t="inlineStr">
        <is>
          <t>Choose from the list. The licensed package is ONLY for a business that holds a liquor license or caterer's permit: see section 9 of the business plan. In dry hire the host buys and owns the alcohol.</t>
        </is>
      </c>
    </row>
    <row r="6">
      <c r="A6" s="4" t="inlineStr">
        <is>
          <t>Guests expected</t>
        </is>
      </c>
      <c r="B6" s="6" t="n">
        <v>95</v>
      </c>
      <c r="C6" s="2" t="inlineStr">
        <is>
          <t>Whole number of adult guests at the event.</t>
        </is>
      </c>
    </row>
    <row r="7">
      <c r="A7" s="4" t="inlineStr">
        <is>
          <t>Hours of bar service</t>
        </is>
      </c>
      <c r="B7" s="7" t="n">
        <v>4</v>
      </c>
      <c r="C7" s="2" t="inlineStr">
        <is>
          <t>Service time only; setup, travel and breakdown go two rows below.</t>
        </is>
      </c>
    </row>
    <row r="8">
      <c r="A8" s="4" t="inlineStr">
        <is>
          <t>Drinks per guest in the first hour</t>
        </is>
      </c>
      <c r="B8" s="7" t="n">
        <v>2</v>
      </c>
      <c r="C8" s="2" t="inlineStr">
        <is>
          <t>Planning rule: 2 drinks per guest in the first hour (eventplanning.com).</t>
        </is>
      </c>
    </row>
    <row r="9">
      <c r="A9" s="4" t="inlineStr">
        <is>
          <t>Drinks per guest in each following hour</t>
        </is>
      </c>
      <c r="B9" s="7" t="n">
        <v>1</v>
      </c>
      <c r="C9" s="2" t="inlineStr">
        <is>
          <t>Planning rule: 1 drink per guest per hour after the first (eventplanning.com).</t>
        </is>
      </c>
    </row>
    <row r="10">
      <c r="A10" s="4" t="inlineStr">
        <is>
          <t>Bartenders working the event</t>
        </is>
      </c>
      <c r="B10" s="6" t="n">
        <v>2</v>
      </c>
      <c r="C10" s="2" t="inlineStr">
        <is>
          <t>Compare with the suggested number in the results (table at the bottom).</t>
        </is>
      </c>
    </row>
    <row r="11">
      <c r="A11" s="4" t="inlineStr">
        <is>
          <t>Barbacks / setup crew working the event</t>
        </is>
      </c>
      <c r="B11" s="6" t="n">
        <v>0</v>
      </c>
      <c r="C11" s="2" t="inlineStr">
        <is>
          <t>Usually needed at large weddings.</t>
        </is>
      </c>
    </row>
    <row r="12">
      <c r="A12" s="4" t="inlineStr">
        <is>
          <t>Setup, travel and breakdown hours per person</t>
        </is>
      </c>
      <c r="B12" s="7" t="n">
        <v>3</v>
      </c>
      <c r="C12" s="2" t="inlineStr">
        <is>
          <t>Paid hours on top of service: loading, travel, setup, breakdown. Kit estimate.</t>
        </is>
      </c>
    </row>
    <row r="13" ht="32" customHeight="1">
      <c r="A13" s="4" t="inlineStr">
        <is>
          <t>Bartender hourly wage</t>
        </is>
      </c>
      <c r="B13" s="8" t="n">
        <v>20</v>
      </c>
      <c r="C13" s="2" t="inlineStr">
        <is>
          <t>Kit estimate. BLS (May 2025): mean 19.61 an hour, median 16.51, tips included. Bartenders are W-2 employees.</t>
        </is>
      </c>
    </row>
    <row r="14">
      <c r="A14" s="4" t="inlineStr">
        <is>
          <t>Barback hourly wage</t>
        </is>
      </c>
      <c r="B14" s="8" t="n">
        <v>16</v>
      </c>
      <c r="C14" s="2" t="inlineStr">
        <is>
          <t>Kit estimate. At or above your state minimum wage.</t>
        </is>
      </c>
    </row>
    <row r="15">
      <c r="A15" s="4" t="inlineStr">
        <is>
          <t>Employer payroll taxes and workers' comp (% of wages)</t>
        </is>
      </c>
      <c r="B15" s="9" t="n">
        <v>0.1</v>
      </c>
      <c r="C15" s="2" t="inlineStr">
        <is>
          <t>Kit estimate.</t>
        </is>
      </c>
    </row>
    <row r="16" ht="32" customHeight="1">
      <c r="A16" s="4" t="inlineStr">
        <is>
          <t>Mixers, garnishes and N/A drinks per drink served</t>
        </is>
      </c>
      <c r="B16" s="8" t="n">
        <v>0.38</v>
      </c>
      <c r="C16" s="2" t="inlineStr">
        <is>
          <t>Kit estimate. Juices, syrups, sodas, fruit and mocktail ingredients: what the bar supplies.</t>
        </is>
      </c>
    </row>
    <row r="17" ht="32" customHeight="1">
      <c r="A17" s="4" t="inlineStr">
        <is>
          <t>Alcohol cost per drink (licensed package only)</t>
        </is>
      </c>
      <c r="B17" s="8" t="n">
        <v>3</v>
      </c>
      <c r="C17" s="2" t="inlineStr">
        <is>
          <t>Used ONLY with the licensed package. In dry hire the host buys the alcohol: it is never in your cost or your price.</t>
        </is>
      </c>
    </row>
    <row r="18">
      <c r="A18" s="4" t="inlineStr">
        <is>
          <t>Cups, straws, napkins and menu signs per guest</t>
        </is>
      </c>
      <c r="B18" s="8" t="n">
        <v>0.55</v>
      </c>
      <c r="C18" s="2" t="inlineStr">
        <is>
          <t>Kit estimate.</t>
        </is>
      </c>
    </row>
    <row r="19">
      <c r="A19" s="4" t="inlineStr">
        <is>
          <t>Ice per guest (lb)</t>
        </is>
      </c>
      <c r="B19" s="7" t="n">
        <v>1.5</v>
      </c>
      <c r="C19" s="2" t="inlineStr">
        <is>
          <t>Kit estimate: 1.5 lb per guest is a common planning rule.</t>
        </is>
      </c>
    </row>
    <row r="20">
      <c r="A20" s="4" t="inlineStr">
        <is>
          <t>Bagged ice cost per lb</t>
        </is>
      </c>
      <c r="B20" s="8" t="n">
        <v>0.25</v>
      </c>
      <c r="C20" s="2" t="inlineStr">
        <is>
          <t>Kit estimate: use your supplier's price.</t>
        </is>
      </c>
    </row>
    <row r="21">
      <c r="A21" s="4" t="inlineStr">
        <is>
          <t>Round-trip miles</t>
        </is>
      </c>
      <c r="B21" s="6" t="n">
        <v>40</v>
      </c>
      <c r="C21" s="2" t="inlineStr">
        <is>
          <t>Storage unit → venue → storage unit.</t>
        </is>
      </c>
    </row>
    <row r="22">
      <c r="A22" s="4" t="inlineStr">
        <is>
          <t>Cost per mile (tow vehicle + trailer)</t>
        </is>
      </c>
      <c r="B22" s="8" t="n">
        <v>0.7</v>
      </c>
      <c r="C22" s="2" t="inlineStr">
        <is>
          <t>Kit estimate: use your real cost per mile or the current IRS standard mileage rate.</t>
        </is>
      </c>
    </row>
    <row r="23" ht="32" customHeight="1">
      <c r="A23" s="4" t="inlineStr">
        <is>
          <t>Flat bar fee charged per event (trailer or bar setup)</t>
        </is>
      </c>
      <c r="B23" s="8" t="n">
        <v>0</v>
      </c>
      <c r="C23" s="2" t="inlineStr">
        <is>
          <t>Optional flat charge on top of the per-guest price ("a flat fee plus a price per guest"). 0 = none.</t>
        </is>
      </c>
    </row>
    <row r="24">
      <c r="A24" s="4" t="inlineStr">
        <is>
          <t>Specialty bar upcharge (% of the per-guest price)</t>
        </is>
      </c>
      <c r="B24" s="9" t="n">
        <v>0</v>
      </c>
      <c r="C24" s="2" t="inlineStr">
        <is>
          <t>Mimosa bar, espresso martini bar and other themed bars. 0 = none.</t>
        </is>
      </c>
    </row>
    <row r="25" ht="32" customHeight="1">
      <c r="A25" s="4" t="inlineStr">
        <is>
          <t>Marketplace or planner fee on this booking (% of subtotal)</t>
        </is>
      </c>
      <c r="B25" s="9" t="n">
        <v>0</v>
      </c>
      <c r="C25" s="2" t="inlineStr">
        <is>
          <t>GigSalad charges 5% on the free plan or 2.5% on a paid plan per confirmed booking (gigsalad.com). 0 = direct booking.</t>
        </is>
      </c>
    </row>
    <row r="26" ht="32" customHeight="1">
      <c r="A26" s="4" t="inlineStr">
        <is>
          <t>Target gross margin on the bar service subtotal</t>
        </is>
      </c>
      <c r="B26" s="9" t="n">
        <v>0.55</v>
      </c>
      <c r="C26" s="2" t="inlineStr">
        <is>
          <t>Share of the subtotal left after the direct costs above and the marketplace fee. Kit estimate.</t>
        </is>
      </c>
    </row>
    <row r="27" ht="32" customHeight="1">
      <c r="A27" s="4" t="inlineStr">
        <is>
          <t>Service charge (% of subtotal)</t>
        </is>
      </c>
      <c r="B27" s="9" t="n">
        <v>0</v>
      </c>
      <c r="C27" s="2" t="inlineStr">
        <is>
          <t>Added on top. The part you pay out to staff is wages, not tips (IRS Rev. Rul. 2012-18), with payroll taxes.</t>
        </is>
      </c>
    </row>
    <row r="28">
      <c r="A28" s="4" t="inlineStr">
        <is>
          <t>Sales tax rate (state + local)</t>
        </is>
      </c>
      <c r="B28" s="10" t="n">
        <v>0.08</v>
      </c>
      <c r="C28" s="2" t="inlineStr">
        <is>
          <t>Kit estimate: use your own state + local rate.</t>
        </is>
      </c>
    </row>
    <row r="29" ht="32" customHeight="1">
      <c r="A29" s="4" t="inlineStr">
        <is>
          <t>Does your state tax the bar service and the service charge?</t>
        </is>
      </c>
      <c r="B29" s="11" t="inlineStr">
        <is>
          <t>Yes</t>
        </is>
      </c>
      <c r="C29" s="2" t="inlineStr">
        <is>
          <t>California taxes a caterer's service even when the client supplies the drinks (cdtfa.ca.gov). Rules vary by state: check yours.</t>
        </is>
      </c>
    </row>
    <row r="30">
      <c r="A30" s="4" t="inlineStr">
        <is>
          <t>Deposit to book the date (% of total)</t>
        </is>
      </c>
      <c r="B30" s="9" t="n">
        <v>0.3</v>
      </c>
      <c r="C30" s="2" t="inlineStr">
        <is>
          <t>A 30% deposit is typical (checkcherry.com); the balance is due before the event.</t>
        </is>
      </c>
    </row>
    <row r="31">
      <c r="A31" s="4" t="inlineStr">
        <is>
          <t>Minimum charge for the bar service (subtotal floor)</t>
        </is>
      </c>
      <c r="B31" s="8" t="n">
        <v>400</v>
      </c>
      <c r="C31" s="2" t="inlineStr">
        <is>
          <t>Below it you bill the minimum. Kit estimate. 0 = no minimum.</t>
        </is>
      </c>
    </row>
    <row r="32">
      <c r="A32" s="4" t="inlineStr">
        <is>
          <t>Price of an extra hour of service (quoted separately)</t>
        </is>
      </c>
      <c r="B32" s="8" t="n">
        <v>150</v>
      </c>
      <c r="C32" s="2" t="inlineStr">
        <is>
          <t>Kit estimate. It is listed in the quote, not added to the total.</t>
        </is>
      </c>
    </row>
    <row r="34">
      <c r="A34" s="3" t="inlineStr">
        <is>
          <t>CALCULATION</t>
        </is>
      </c>
      <c r="B34" s="3" t="inlineStr">
        <is>
          <t>Value</t>
        </is>
      </c>
      <c r="C34" s="3" t="inlineStr">
        <is>
          <t>Notes</t>
        </is>
      </c>
    </row>
    <row r="35">
      <c r="A35" s="4" t="inlineStr">
        <is>
          <t>Drinks to plan for</t>
        </is>
      </c>
      <c r="B35" s="12">
        <f>$B$6*($B$8+MAX(0,$B$7-1)*$B$9)</f>
        <v>475.0</v>
      </c>
      <c r="C35" s="2" t="inlineStr">
        <is>
          <t>Guests × (first-hour drinks + following hours × drinks per hour).</t>
        </is>
      </c>
    </row>
    <row r="36">
      <c r="A36" s="4" t="inlineStr">
        <is>
          <t>Ice to bring (lb)</t>
        </is>
      </c>
      <c r="B36" s="13">
        <f>$B$6*$B$19</f>
        <v>142.5</v>
      </c>
    </row>
    <row r="37">
      <c r="A37" s="4" t="inlineStr">
        <is>
          <t>Suggested bartenders for this package (Kit estimate)</t>
        </is>
      </c>
      <c r="B37" s="12">
        <f>IFERROR(ROUNDUP($B$6/INDEX('Pricing Calculator'!$B$60:$B$62,MATCH($B$5,'Pricing Calculator'!$A$60:$A$62,0)),0),"—")</f>
        <v>2.0</v>
      </c>
      <c r="C37" s="2" t="inlineStr">
        <is>
          <t>Guests ÷ guests per bartender in the table below, rounded up.</t>
        </is>
      </c>
    </row>
    <row r="38">
      <c r="A38" s="4" t="inlineStr">
        <is>
          <t>Staff cost (wages + payroll taxes)</t>
        </is>
      </c>
      <c r="B38" s="14">
        <f>($B$10*$B$13+$B$11*$B$14)*($B$7+$B$12)*(1+$B$15)</f>
        <v>308.0</v>
      </c>
    </row>
    <row r="39">
      <c r="A39" s="4" t="inlineStr">
        <is>
          <t>Mixers, garnishes and N/A drinks</t>
        </is>
      </c>
      <c r="B39" s="14">
        <f>$B$35*$B$16</f>
        <v>180.5</v>
      </c>
    </row>
    <row r="40">
      <c r="A40" s="4" t="inlineStr">
        <is>
          <t>Alcohol (licensed package only)</t>
        </is>
      </c>
      <c r="B40" s="14">
        <f>IF($B$5='Pricing Calculator'!$A$62,$B$35*$B$17,0)</f>
        <v>0.0</v>
      </c>
      <c r="C40" s="2" t="inlineStr">
        <is>
          <t>Zero in dry hire: the host buys the alcohol.</t>
        </is>
      </c>
    </row>
    <row r="41">
      <c r="A41" s="4" t="inlineStr">
        <is>
          <t>Cups, straws, napkins and menu signs</t>
        </is>
      </c>
      <c r="B41" s="14">
        <f>$B$6*$B$18</f>
        <v>52.25000000000001</v>
      </c>
    </row>
    <row r="42">
      <c r="A42" s="4" t="inlineStr">
        <is>
          <t>Ice</t>
        </is>
      </c>
      <c r="B42" s="14">
        <f>$B$36*$B$20</f>
        <v>35.625</v>
      </c>
    </row>
    <row r="43">
      <c r="A43" s="4" t="inlineStr">
        <is>
          <t>Mileage</t>
        </is>
      </c>
      <c r="B43" s="14">
        <f>$B$21*$B$22</f>
        <v>28.0</v>
      </c>
    </row>
    <row r="44">
      <c r="A44" s="4" t="inlineStr">
        <is>
          <t>Total direct cost</t>
        </is>
      </c>
      <c r="B44" s="14">
        <f>$B$38+$B$39+$B$40+$B$41+$B$42+$B$43</f>
        <v>604.375</v>
      </c>
    </row>
    <row r="45">
      <c r="A45" s="4" t="inlineStr">
        <is>
          <t>Direct cost per guest</t>
        </is>
      </c>
      <c r="B45" s="14">
        <f>$B$44/$B$6</f>
        <v>6.3618421052631575</v>
      </c>
    </row>
    <row r="46">
      <c r="A46" s="15" t="inlineStr">
        <is>
          <t>PRICE PER GUEST before service charge and tax</t>
        </is>
      </c>
      <c r="B46" s="16">
        <f>ROUNDUP(MAX(0,$B$44/(1-$B$26-$B$25)-$B$23)/$B$6*(1+$B$24)*2,0)/2</f>
        <v>14.5</v>
      </c>
      <c r="C46" s="2" t="inlineStr">
        <is>
          <t>Rounded up to the next 0.50. Staff, mixers, ice and cups are inside it; the host's alcohol is not.</t>
        </is>
      </c>
    </row>
    <row r="47">
      <c r="A47" s="4" t="inlineStr">
        <is>
          <t>Bar service subtotal</t>
        </is>
      </c>
      <c r="B47" s="14">
        <f>MAX($B$46*$B$6+$B$23,$B$31)</f>
        <v>1377.5</v>
      </c>
      <c r="C47" s="2" t="inlineStr">
        <is>
          <t>Price per guest × guests + flat bar fee, never below the minimum.</t>
        </is>
      </c>
    </row>
    <row r="48">
      <c r="A48" s="4" t="inlineStr">
        <is>
          <t>Equivalent price per hour of service</t>
        </is>
      </c>
      <c r="B48" s="14">
        <f>$B$47/$B$7</f>
        <v>344.375</v>
      </c>
      <c r="C48" s="2" t="inlineStr">
        <is>
          <t>The same quote expressed per hour, for clients who compare hourly rates.</t>
        </is>
      </c>
    </row>
    <row r="49">
      <c r="A49" s="4" t="inlineStr">
        <is>
          <t>Service charge</t>
        </is>
      </c>
      <c r="B49" s="14">
        <f>$B$47*$B$27</f>
        <v>0.0</v>
      </c>
    </row>
    <row r="50">
      <c r="A50" s="4" t="inlineStr">
        <is>
          <t>Sales tax</t>
        </is>
      </c>
      <c r="B50" s="14">
        <f>($B$47+IF($B$29="Yes",$B$49,0))*$B$28</f>
        <v>110.2</v>
      </c>
      <c r="C50" s="2" t="inlineStr">
        <is>
          <t>On the subtotal, plus the service charge if your state taxes it.</t>
        </is>
      </c>
    </row>
    <row r="51">
      <c r="A51" s="15" t="inlineStr">
        <is>
          <t>TOTAL TO QUOTE</t>
        </is>
      </c>
      <c r="B51" s="16">
        <f>$B$47+$B$49+$B$50</f>
        <v>1487.7</v>
      </c>
    </row>
    <row r="52">
      <c r="A52" s="4" t="inlineStr">
        <is>
          <t>Deposit to book the date</t>
        </is>
      </c>
      <c r="B52" s="14">
        <f>$B$51*$B$30</f>
        <v>446.31</v>
      </c>
    </row>
    <row r="53">
      <c r="A53" s="4" t="inlineStr">
        <is>
          <t>Balance due before the event</t>
        </is>
      </c>
      <c r="B53" s="14">
        <f>$B$51-$B$52</f>
        <v>1041.39</v>
      </c>
    </row>
    <row r="54">
      <c r="A54" s="4" t="inlineStr">
        <is>
          <t>Marketplace or planner fee</t>
        </is>
      </c>
      <c r="B54" s="14">
        <f>$B$47*$B$25</f>
        <v>0.0</v>
      </c>
      <c r="C54" s="2" t="inlineStr">
        <is>
          <t>What the marketplace keeps.</t>
        </is>
      </c>
    </row>
    <row r="55">
      <c r="A55" s="4" t="inlineStr">
        <is>
          <t>Gross profit on the subtotal</t>
        </is>
      </c>
      <c r="B55" s="14">
        <f>$B$47-$B$54-$B$44</f>
        <v>773.125</v>
      </c>
    </row>
    <row r="56">
      <c r="A56" s="15" t="inlineStr">
        <is>
          <t>Gross margin (calculated)</t>
        </is>
      </c>
      <c r="B56" s="17">
        <f>IF($B$47=0,0,$B$55/$B$47)</f>
        <v>0.5612522686025408</v>
      </c>
      <c r="C56" s="2" t="inlineStr">
        <is>
          <t>Calculated from the costs above, never typed. It is at or above the target because the price is rounded up.</t>
        </is>
      </c>
    </row>
    <row r="57">
      <c r="A57" s="4" t="inlineStr">
        <is>
          <t>Extra hour of service (not in the total)</t>
        </is>
      </c>
      <c r="B57" s="14">
        <f>$B$32</f>
        <v>150.0</v>
      </c>
    </row>
    <row r="59">
      <c r="A59" s="3" t="inlineStr">
        <is>
          <t>GUESTS PER BARTENDER BY PACKAGE (Kit estimate — edit the numbers)</t>
        </is>
      </c>
      <c r="B59" s="3" t="inlineStr">
        <is>
          <t>Guests</t>
        </is>
      </c>
      <c r="C59" s="3" t="inlineStr">
        <is>
          <t>Notes</t>
        </is>
      </c>
    </row>
    <row r="60">
      <c r="A60" s="4" t="inlineStr">
        <is>
          <t>Full bar – dry hire</t>
        </is>
      </c>
      <c r="B60" s="6" t="n">
        <v>50</v>
      </c>
      <c r="C60" s="2" t="inlineStr">
        <is>
          <t>About 1 bartender per 50 guests with a full bar.</t>
        </is>
      </c>
    </row>
    <row r="61">
      <c r="A61" s="4" t="inlineStr">
        <is>
          <t>Limited bar (beer, wine + 1 signature) – dry hire</t>
        </is>
      </c>
      <c r="B61" s="6" t="n">
        <v>75</v>
      </c>
      <c r="C61" s="2" t="inlineStr">
        <is>
          <t>About 1 bartender per 75 guests with beer, wine and one signature cocktail.</t>
        </is>
      </c>
    </row>
    <row r="62">
      <c r="A62" s="4" t="inlineStr">
        <is>
          <t>Full bar – licensed (alcohol included)</t>
        </is>
      </c>
      <c r="B62" s="6" t="n">
        <v>50</v>
      </c>
      <c r="C62" s="2" t="inlineStr">
        <is>
          <t>Only if you hold the license (plan section 9): you also buy and serve the alcohol.</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C2"/>
  </mergeCells>
  <dataValidations count="10">
    <dataValidation sqref="B5" showDropDown="0" showInputMessage="0" showErrorMessage="1" allowBlank="0" errorTitle="Invalid package" error="Choose a bar package from the list." type="list">
      <formula1>$A$60:$A$62</formula1>
    </dataValidation>
    <dataValidation sqref="B29" showDropDown="0" showInputMessage="0" showErrorMessage="1" allowBlank="0" errorTitle="Invalid entry" error="Choose Yes or No." type="list">
      <formula1>"Yes,No"</formula1>
    </dataValidation>
    <dataValidation sqref="B6" showDropDown="0" showInputMessage="0" showErrorMessage="1" allowBlank="0" errorTitle="Invalid count" error="Enter a whole number of 1 or more." type="whole" operator="between">
      <formula1>1</formula1>
      <formula2>100000</formula2>
    </dataValidation>
    <dataValidation sqref="B10 B11 B21" showDropDown="0" showInputMessage="0" showErrorMessage="1" allowBlank="0" errorTitle="Invalid count" error="Enter a whole number of 0 or more." type="whole" operator="between">
      <formula1>0</formula1>
      <formula2>100000</formula2>
    </dataValidation>
    <dataValidation sqref="B60 B61 B62" showDropDown="0" showInputMessage="0" showErrorMessage="1" allowBlank="0" errorTitle="Invalid count" error="Enter a whole number of guests per bartender, 1 or more." type="whole" operator="between">
      <formula1>1</formula1>
      <formula2>1000</formula2>
    </dataValidation>
    <dataValidation sqref="B7" showDropDown="0" showInputMessage="0" showErrorMessage="1" allowBlank="0" errorTitle="Invalid hours" error="Enter the hours of service, between 0.5 and 24." type="decimal" operator="between">
      <formula1>0.5</formula1>
      <formula2>24</formula2>
    </dataValidation>
    <dataValidation sqref="B8 B9 B12 B13 B14 B16 B17 B18 B19 B20 B22 B23 B31 B32" showDropDown="0" showInputMessage="0" showErrorMessage="1" allowBlank="0" errorTitle="Invalid amount" error="Enter a number greater than or equal to 0." type="decimal" operator="greaterThanOrEqual">
      <formula1>0</formula1>
    </dataValidation>
    <dataValidation sqref="B15 B24 B27 B28 B30" showDropDown="0" showInputMessage="0" showErrorMessage="1" allowBlank="0" errorTitle="Invalid percentage" error="Enter a percentage between 0 and 1 (0.20 = 20%)." type="decimal" operator="between">
      <formula1>0</formula1>
      <formula2>1</formula2>
    </dataValidation>
    <dataValidation sqref="B25" showDropDown="0" showInputMessage="0" showErrorMessage="1" allowBlank="0" errorTitle="Invalid percentage" error="Enter a fee between 0 and 30% (0.05 = 5%)." type="decimal" operator="between">
      <formula1>0</formula1>
      <formula2>0.3</formula2>
    </dataValidation>
    <dataValidation sqref="B26" showDropDown="0" showInputMessage="0" showErrorMessage="1" allowBlank="0" errorTitle="Invalid percentage" error="Enter a target margin between 0 and 65% (0.55 = 55%)." type="decimal" operator="between">
      <formula1>0</formula1>
      <formula2>0.65</formula2>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55"/>
  <sheetViews>
    <sheetView showGridLines="0" workbookViewId="0">
      <pane ySplit="3" topLeftCell="A4" activePane="bottomLeft" state="frozen"/>
      <selection pane="bottomLeft" activeCell="A1" sqref="A1"/>
    </sheetView>
  </sheetViews>
  <sheetFormatPr baseColWidth="8" defaultRowHeight="15"/>
  <cols>
    <col width="56" customWidth="1" min="1" max="1"/>
    <col width="18" customWidth="1" min="2" max="2"/>
    <col width="18" customWidth="1" min="3" max="3"/>
    <col width="18" customWidth="1" min="4" max="4"/>
    <col width="60" customWidth="1" min="5" max="5"/>
  </cols>
  <sheetData>
    <row r="1">
      <c r="A1" s="1" t="inlineStr">
        <is>
          <t>DRINKS &amp; SHOPPING LIST — WHAT THE HOST BUYS AND WHAT THE BAR BRINGS</t>
        </is>
      </c>
    </row>
    <row r="2" ht="48" customHeight="1">
      <c r="A2" s="2" t="inlineStr">
        <is>
          <t>It reads the package, guests, hours and drinks from the "Pricing Calculator" tab. In dry hire this is the shopping list you hand the host about two weeks before the event: the host buys and owns the alcohol, and unopened bottles stay with the host. With the licensed package, you buy it. Green cells are kit estimates: edit them.</t>
        </is>
      </c>
    </row>
    <row r="4">
      <c r="A4" s="3" t="inlineStr">
        <is>
          <t>THE EVENT (from the "Pricing Calculator" tab)</t>
        </is>
      </c>
    </row>
    <row r="5">
      <c r="A5" s="4" t="inlineStr">
        <is>
          <t>Bar package</t>
        </is>
      </c>
      <c r="B5" s="4" t="str">
        <f>'Pricing Calculator'!$B$5</f>
        <v>Full bar – dry hire</v>
      </c>
    </row>
    <row r="6">
      <c r="A6" s="4" t="inlineStr">
        <is>
          <t>Guests</t>
        </is>
      </c>
      <c r="B6" s="12">
        <f>'Pricing Calculator'!$B$6</f>
        <v>95.0</v>
      </c>
    </row>
    <row r="7">
      <c r="A7" s="4" t="inlineStr">
        <is>
          <t>Hours of bar service</t>
        </is>
      </c>
      <c r="B7" s="13">
        <f>'Pricing Calculator'!$B$7</f>
        <v>4.0</v>
      </c>
    </row>
    <row r="8">
      <c r="A8" s="4" t="inlineStr">
        <is>
          <t>Drinks to plan for</t>
        </is>
      </c>
      <c r="B8" s="12">
        <f>'Pricing Calculator'!$B$35</f>
        <v>475.0</v>
      </c>
    </row>
    <row r="10">
      <c r="A10" s="3" t="inlineStr">
        <is>
          <t>DRINK MIX BY PACKAGE (share of drinks; Kit estimate — edit)</t>
        </is>
      </c>
      <c r="B10" s="18" t="inlineStr">
        <is>
          <t>Cocktails &amp; spirits</t>
        </is>
      </c>
      <c r="C10" s="18" t="inlineStr">
        <is>
          <t>Wine</t>
        </is>
      </c>
      <c r="D10" s="18" t="inlineStr">
        <is>
          <t>Beer</t>
        </is>
      </c>
      <c r="E10" s="3" t="inlineStr">
        <is>
          <t>Check (must be 100%)</t>
        </is>
      </c>
    </row>
    <row r="11">
      <c r="A11" s="2" t="inlineStr">
        <is>
          <t>Full bar – dry hire</t>
        </is>
      </c>
      <c r="B11" s="9" t="n">
        <v>0.5</v>
      </c>
      <c r="C11" s="9" t="n">
        <v>0.25</v>
      </c>
      <c r="D11" s="9" t="n">
        <v>0.25</v>
      </c>
      <c r="E11" s="4" t="str">
        <f>IF(ROUND(SUM(B11:D11),4)=1,"OK","Adjust: the three shares must add up to 100%")</f>
        <v>OK</v>
      </c>
    </row>
    <row r="12">
      <c r="A12" s="2" t="inlineStr">
        <is>
          <t>Limited bar (beer, wine + 1 signature) – dry hire</t>
        </is>
      </c>
      <c r="B12" s="9" t="n">
        <v>0.2</v>
      </c>
      <c r="C12" s="9" t="n">
        <v>0.4</v>
      </c>
      <c r="D12" s="9" t="n">
        <v>0.4</v>
      </c>
      <c r="E12" s="4" t="str">
        <f>IF(ROUND(SUM(B12:D12),4)=1,"OK","Adjust: the three shares must add up to 100%")</f>
        <v>OK</v>
      </c>
    </row>
    <row r="13">
      <c r="A13" s="2" t="inlineStr">
        <is>
          <t>Full bar – licensed (alcohol included)</t>
        </is>
      </c>
      <c r="B13" s="9" t="n">
        <v>0.5</v>
      </c>
      <c r="C13" s="9" t="n">
        <v>0.25</v>
      </c>
      <c r="D13" s="9" t="n">
        <v>0.25</v>
      </c>
      <c r="E13" s="4" t="str">
        <f>IF(ROUND(SUM(B13:D13),4)=1,"OK","Adjust: the three shares must add up to 100%")</f>
        <v>OK</v>
      </c>
    </row>
    <row r="15">
      <c r="A15" s="3" t="inlineStr">
        <is>
          <t>ASSUMPTIONS (Kit estimate — edit)</t>
        </is>
      </c>
      <c r="B15" s="3" t="inlineStr">
        <is>
          <t>Value</t>
        </is>
      </c>
      <c r="E15" s="3" t="inlineStr">
        <is>
          <t>Notes</t>
        </is>
      </c>
    </row>
    <row r="16">
      <c r="A16" s="4" t="inlineStr">
        <is>
          <t>Drinks per 750 ml bottle of spirits (1.5 oz pours)</t>
        </is>
      </c>
      <c r="B16" s="6" t="n">
        <v>16</v>
      </c>
      <c r="E16" s="2" t="inlineStr">
        <is>
          <t>A 750 ml bottle holds about 25 oz: about 16 pours of 1.5 oz.</t>
        </is>
      </c>
    </row>
    <row r="17">
      <c r="A17" s="4" t="inlineStr">
        <is>
          <t>Glasses per 750 ml bottle of wine</t>
        </is>
      </c>
      <c r="B17" s="6" t="n">
        <v>5</v>
      </c>
      <c r="E17" s="2" t="inlineStr">
        <is>
          <t>About 5 glasses of 5 oz.</t>
        </is>
      </c>
    </row>
    <row r="18">
      <c r="A18" s="4" t="inlineStr">
        <is>
          <t>Beers (12 oz cans or bottles) per beer drink</t>
        </is>
      </c>
      <c r="B18" s="7" t="n">
        <v>1</v>
      </c>
    </row>
    <row r="19">
      <c r="A19" s="4" t="inlineStr">
        <is>
          <t>Safety buffer on every quantity</t>
        </is>
      </c>
      <c r="B19" s="9" t="n">
        <v>0.1</v>
      </c>
      <c r="E19" s="2" t="inlineStr">
        <is>
          <t>Kit estimate: unopened bottles stay with the host.</t>
        </is>
      </c>
    </row>
    <row r="20">
      <c r="A20" s="4" t="inlineStr">
        <is>
          <t>Champagne toast?</t>
        </is>
      </c>
      <c r="B20" s="11" t="inlineStr">
        <is>
          <t>No</t>
        </is>
      </c>
      <c r="E20" s="2" t="inlineStr">
        <is>
          <t>Yes or No.</t>
        </is>
      </c>
    </row>
    <row r="21">
      <c r="A21" s="4" t="inlineStr">
        <is>
          <t>Toast pours per 750 ml bottle of sparkling wine</t>
        </is>
      </c>
      <c r="B21" s="6" t="n">
        <v>8</v>
      </c>
      <c r="E21" s="2" t="inlineStr">
        <is>
          <t>Kit estimate.</t>
        </is>
      </c>
    </row>
    <row r="22">
      <c r="A22" s="4" t="inlineStr">
        <is>
          <t>Bag of ice (lb)</t>
        </is>
      </c>
      <c r="B22" s="6" t="n">
        <v>10</v>
      </c>
      <c r="E22" s="2" t="inlineStr">
        <is>
          <t>Use the bag size your supplier sells.</t>
        </is>
      </c>
    </row>
    <row r="23">
      <c r="A23" s="4" t="inlineStr">
        <is>
          <t>Cups per drink</t>
        </is>
      </c>
      <c r="B23" s="7" t="n">
        <v>1</v>
      </c>
    </row>
    <row r="24">
      <c r="A24" s="4" t="inlineStr">
        <is>
          <t>Napkins per drink</t>
        </is>
      </c>
      <c r="B24" s="7" t="n">
        <v>1</v>
      </c>
    </row>
    <row r="26">
      <c r="A26" s="3" t="inlineStr">
        <is>
          <t>SPIRITS SPLIT (share of the cocktails &amp; spirits; Kit estimate — edit)</t>
        </is>
      </c>
      <c r="B26" s="3" t="inlineStr">
        <is>
          <t>Share</t>
        </is>
      </c>
    </row>
    <row r="27">
      <c r="A27" s="4" t="inlineStr">
        <is>
          <t>Vodka</t>
        </is>
      </c>
      <c r="B27" s="9" t="n">
        <v>0.3</v>
      </c>
    </row>
    <row r="28">
      <c r="A28" s="4" t="inlineStr">
        <is>
          <t>Tequila</t>
        </is>
      </c>
      <c r="B28" s="9" t="n">
        <v>0.2</v>
      </c>
    </row>
    <row r="29">
      <c r="A29" s="4" t="inlineStr">
        <is>
          <t>Whiskey / bourbon</t>
        </is>
      </c>
      <c r="B29" s="9" t="n">
        <v>0.2</v>
      </c>
    </row>
    <row r="30">
      <c r="A30" s="4" t="inlineStr">
        <is>
          <t>Rum</t>
        </is>
      </c>
      <c r="B30" s="9" t="n">
        <v>0.15</v>
      </c>
    </row>
    <row r="31">
      <c r="A31" s="4" t="inlineStr">
        <is>
          <t>Gin</t>
        </is>
      </c>
      <c r="B31" s="9" t="n">
        <v>0.15</v>
      </c>
    </row>
    <row r="32">
      <c r="A32" s="4" t="inlineStr">
        <is>
          <t>Check (must be 100%)</t>
        </is>
      </c>
      <c r="B32" s="4" t="str">
        <f>IF(ROUND(SUM(B27:B31),4)=1,"OK","Adjust to 100%")</f>
        <v>OK</v>
      </c>
    </row>
    <row r="34">
      <c r="A34" s="3" t="inlineStr">
        <is>
          <t>DRINKS BY CATEGORY</t>
        </is>
      </c>
      <c r="B34" s="3" t="inlineStr">
        <is>
          <t>Drinks</t>
        </is>
      </c>
    </row>
    <row r="35">
      <c r="A35" s="4" t="inlineStr">
        <is>
          <t>Cocktails &amp; spirits</t>
        </is>
      </c>
      <c r="B35" s="13">
        <f>IFERROR($B$8*INDEX($B$11:$B$13,MATCH($B$5,$A$11:$A$13,0)),0)</f>
        <v>237.5</v>
      </c>
    </row>
    <row r="36">
      <c r="A36" s="4" t="inlineStr">
        <is>
          <t>Wine</t>
        </is>
      </c>
      <c r="B36" s="13">
        <f>IFERROR($B$8*INDEX($C$11:$C$13,MATCH($B$5,$A$11:$A$13,0)),0)</f>
        <v>118.75</v>
      </c>
    </row>
    <row r="37">
      <c r="A37" s="4" t="inlineStr">
        <is>
          <t>Beer</t>
        </is>
      </c>
      <c r="B37" s="13">
        <f>IFERROR($B$8*INDEX($D$11:$D$13,MATCH($B$5,$A$11:$A$13,0)),0)</f>
        <v>118.75</v>
      </c>
    </row>
    <row r="39" ht="30" customHeight="1">
      <c r="A39" s="3" t="inlineStr">
        <is>
          <t>SHOPPING LIST — ALCOHOL</t>
        </is>
      </c>
      <c r="B39" s="3" t="inlineStr">
        <is>
          <t>Quantity</t>
        </is>
      </c>
      <c r="C39" s="3" t="inlineStr">
        <is>
          <t>Unit</t>
        </is>
      </c>
      <c r="D39" s="18" t="str">
        <f>IF($B$5='Pricing Calculator'!$A$62,"You (licensed package)","The host (dry hire)")</f>
        <v>The host (dry hire)</v>
      </c>
      <c r="E39" s="3" t="inlineStr">
        <is>
          <t>Notes</t>
        </is>
      </c>
    </row>
    <row r="40">
      <c r="A40" s="15" t="inlineStr">
        <is>
          <t>Spirits, total (750 ml bottles)</t>
        </is>
      </c>
      <c r="B40" s="19">
        <f>ROUNDUP($B$35*(1+$B$19)/$B$16,0)</f>
        <v>17.0</v>
      </c>
      <c r="C40" s="4" t="inlineStr">
        <is>
          <t>bottles</t>
        </is>
      </c>
      <c r="E40" s="2" t="inlineStr">
        <is>
          <t>Cocktails &amp; spirits ÷ drinks per bottle, with the buffer.</t>
        </is>
      </c>
    </row>
    <row r="41">
      <c r="A41" s="4" t="inlineStr">
        <is>
          <t xml:space="preserve">   Vodka</t>
        </is>
      </c>
      <c r="B41" s="12">
        <f>ROUNDUP($B$35*$B$27*(1+$B$19)/$B$16,0)</f>
        <v>5.0</v>
      </c>
      <c r="C41" s="4" t="inlineStr">
        <is>
          <t>bottles</t>
        </is>
      </c>
      <c r="E41" s="2" t="inlineStr">
        <is>
          <t>Rounded up type by type, so the split can add up to a little more than the total.</t>
        </is>
      </c>
    </row>
    <row r="42">
      <c r="A42" s="4" t="inlineStr">
        <is>
          <t xml:space="preserve">   Tequila</t>
        </is>
      </c>
      <c r="B42" s="12">
        <f>ROUNDUP($B$35*$B$28*(1+$B$19)/$B$16,0)</f>
        <v>4.0</v>
      </c>
      <c r="C42" s="4" t="inlineStr">
        <is>
          <t>bottles</t>
        </is>
      </c>
    </row>
    <row r="43">
      <c r="A43" s="4" t="inlineStr">
        <is>
          <t xml:space="preserve">   Whiskey / bourbon</t>
        </is>
      </c>
      <c r="B43" s="12">
        <f>ROUNDUP($B$35*$B$29*(1+$B$19)/$B$16,0)</f>
        <v>4.0</v>
      </c>
      <c r="C43" s="4" t="inlineStr">
        <is>
          <t>bottles</t>
        </is>
      </c>
    </row>
    <row r="44">
      <c r="A44" s="4" t="inlineStr">
        <is>
          <t xml:space="preserve">   Rum</t>
        </is>
      </c>
      <c r="B44" s="12">
        <f>ROUNDUP($B$35*$B$30*(1+$B$19)/$B$16,0)</f>
        <v>3.0</v>
      </c>
      <c r="C44" s="4" t="inlineStr">
        <is>
          <t>bottles</t>
        </is>
      </c>
    </row>
    <row r="45">
      <c r="A45" s="4" t="inlineStr">
        <is>
          <t xml:space="preserve">   Gin</t>
        </is>
      </c>
      <c r="B45" s="12">
        <f>ROUNDUP($B$35*$B$31*(1+$B$19)/$B$16,0)</f>
        <v>3.0</v>
      </c>
      <c r="C45" s="4" t="inlineStr">
        <is>
          <t>bottles</t>
        </is>
      </c>
    </row>
    <row r="46">
      <c r="A46" s="4" t="inlineStr">
        <is>
          <t>Wine (750 ml bottles)</t>
        </is>
      </c>
      <c r="B46" s="12">
        <f>ROUNDUP($B$36*(1+$B$19)/$B$17,0)</f>
        <v>27.0</v>
      </c>
      <c r="C46" s="4" t="inlineStr">
        <is>
          <t>bottles</t>
        </is>
      </c>
      <c r="E46" s="2" t="inlineStr">
        <is>
          <t>Split between red, white and sparkling to taste.</t>
        </is>
      </c>
    </row>
    <row r="47">
      <c r="A47" s="4" t="inlineStr">
        <is>
          <t>Beer (12 oz cans or bottles)</t>
        </is>
      </c>
      <c r="B47" s="12">
        <f>ROUNDUP($B$37*$B$18*(1+$B$19),0)</f>
        <v>131.0</v>
      </c>
      <c r="C47" s="4" t="inlineStr">
        <is>
          <t>units</t>
        </is>
      </c>
    </row>
    <row r="48">
      <c r="A48" s="4" t="inlineStr">
        <is>
          <t>Sparkling wine for the toast (750 ml bottles)</t>
        </is>
      </c>
      <c r="B48" s="12">
        <f>IF($B$20="Yes",ROUNDUP($B$6/$B$21,0),0)</f>
        <v>0.0</v>
      </c>
      <c r="C48" s="4" t="inlineStr">
        <is>
          <t>bottles</t>
        </is>
      </c>
      <c r="E48" s="2" t="inlineStr">
        <is>
          <t>Only if the switch above is Yes.</t>
        </is>
      </c>
    </row>
    <row r="50">
      <c r="A50" s="3" t="inlineStr">
        <is>
          <t>WHAT THE BAR BRINGS</t>
        </is>
      </c>
      <c r="B50" s="3" t="inlineStr">
        <is>
          <t>Quantity</t>
        </is>
      </c>
      <c r="C50" s="3" t="inlineStr">
        <is>
          <t>Unit</t>
        </is>
      </c>
      <c r="E50" s="3" t="inlineStr">
        <is>
          <t>Notes</t>
        </is>
      </c>
    </row>
    <row r="51">
      <c r="A51" s="4" t="inlineStr">
        <is>
          <t>Ice</t>
        </is>
      </c>
      <c r="B51" s="13">
        <f>$B$6*'Pricing Calculator'!$B$19</f>
        <v>142.5</v>
      </c>
      <c r="C51" s="4" t="inlineStr">
        <is>
          <t>lb</t>
        </is>
      </c>
      <c r="E51" s="2" t="inlineStr">
        <is>
          <t>Commercial bagged ice. Ask your county about ice and garnish rules.</t>
        </is>
      </c>
    </row>
    <row r="52">
      <c r="A52" s="4" t="inlineStr">
        <is>
          <t>Ice, in bags</t>
        </is>
      </c>
      <c r="B52" s="12">
        <f>ROUNDUP(B51/$B$22,0)</f>
        <v>15.0</v>
      </c>
      <c r="C52" s="4" t="inlineStr">
        <is>
          <t>bags</t>
        </is>
      </c>
    </row>
    <row r="53">
      <c r="A53" s="4" t="inlineStr">
        <is>
          <t>Cups</t>
        </is>
      </c>
      <c r="B53" s="12">
        <f>ROUNDUP($B$8*$B$23*(1+$B$19),0)</f>
        <v>523.0</v>
      </c>
      <c r="C53" s="4" t="inlineStr">
        <is>
          <t>units</t>
        </is>
      </c>
    </row>
    <row r="54">
      <c r="A54" s="4" t="inlineStr">
        <is>
          <t>Napkins</t>
        </is>
      </c>
      <c r="B54" s="12">
        <f>ROUNDUP($B$8*$B$24*(1+$B$19),0)</f>
        <v>523.0</v>
      </c>
      <c r="C54" s="4" t="inlineStr">
        <is>
          <t>units</t>
        </is>
      </c>
    </row>
    <row r="55">
      <c r="A55" s="4" t="inlineStr">
        <is>
          <t>Mixer and garnish servings</t>
        </is>
      </c>
      <c r="B55" s="12">
        <f>ROUNDUP($B$35*(1+$B$19),0)</f>
        <v>262.0</v>
      </c>
      <c r="C55" s="4" t="inlineStr">
        <is>
          <t>servings</t>
        </is>
      </c>
      <c r="E55" s="2" t="inlineStr">
        <is>
          <t>One per cocktail: see the "Signature Cocktail Specs" tab for each recipe.</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E2"/>
    <mergeCell ref="B5:D5"/>
  </mergeCells>
  <dataValidations count="5">
    <dataValidation sqref="B11 B12 B13 B27 B28 B29 B30 B31 C11 C12 C13 D11 D12 D13" showDropDown="0" showInputMessage="0" showErrorMessage="1" allowBlank="0" errorTitle="Invalid percentage" error="Enter a share between 0 and 1 (0.25 = 25%)." type="decimal" operator="between">
      <formula1>0</formula1>
      <formula2>1</formula2>
    </dataValidation>
    <dataValidation sqref="B16 B17 B21 B22" showDropDown="0" showInputMessage="0" showErrorMessage="1" allowBlank="0" errorTitle="Invalid count" error="Enter a whole number of 1 or more." type="whole" operator="between">
      <formula1>1</formula1>
      <formula2>1000</formula2>
    </dataValidation>
    <dataValidation sqref="B18 B23 B24" showDropDown="0" showInputMessage="0" showErrorMessage="1" allowBlank="0" errorTitle="Invalid amount" error="Enter a number greater than or equal to 0." type="decimal" operator="greaterThanOrEqual">
      <formula1>0</formula1>
    </dataValidation>
    <dataValidation sqref="B19" showDropDown="0" showInputMessage="0" showErrorMessage="1" allowBlank="0" errorTitle="Invalid percentage" error="Enter a percentage between 0 and 1 (0.10 = 10%)." type="decimal" operator="between">
      <formula1>0</formula1>
      <formula2>1</formula2>
    </dataValidation>
    <dataValidation sqref="B20" showDropDown="0" showInputMessage="0" showErrorMessage="1" allowBlank="0" errorTitle="Invalid entry" error="Choose Yes or No." type="list">
      <formula1>"Yes,No"</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9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8" customWidth="1" min="3" max="3"/>
    <col width="12" customWidth="1" min="4" max="4"/>
    <col width="11" customWidth="1" min="5" max="5"/>
    <col width="9" customWidth="1" min="6" max="6"/>
    <col width="11" customWidth="1" min="7" max="7"/>
    <col width="12" customWidth="1" min="8" max="8"/>
    <col width="11" customWidth="1" min="9" max="9"/>
    <col width="11" customWidth="1" min="10" max="10"/>
    <col width="11" customWidth="1" min="11" max="11"/>
    <col width="12" customWidth="1" min="12" max="12"/>
  </cols>
  <sheetData>
    <row r="1">
      <c r="A1" s="1" t="inlineStr">
        <is>
          <t>SIGNATURE COCKTAIL SPECS — 10 RECIPES, SCALED AND COSTED</t>
        </is>
      </c>
    </row>
    <row r="2" ht="48" customHeight="1">
      <c r="A2" s="2" t="inlineStr">
        <is>
          <t>Ten signature cocktails, including one zero-proof mocktail, in US ounces. Type your local price for each bottle or pack in the green cells: the cost per drink and the batch quantities for 50, 100 and 200 drinks are calculated. In dry hire, everything that contains alcohol (bitters included) goes on the host's shopping list; you supply mixers, juices, syrups, garnishes and ice. Pack prices are kit estimates.</t>
        </is>
      </c>
    </row>
    <row r="4" ht="30" customHeight="1">
      <c r="A4" s="18" t="inlineStr">
        <is>
          <t>Ingredient</t>
        </is>
      </c>
      <c r="B4" s="18" t="inlineStr">
        <is>
          <t>Per drink</t>
        </is>
      </c>
      <c r="C4" s="18" t="inlineStr">
        <is>
          <t>Unit</t>
        </is>
      </c>
      <c r="D4" s="18" t="inlineStr">
        <is>
          <t>Who buys (dry hire)</t>
        </is>
      </c>
      <c r="E4" s="18" t="inlineStr">
        <is>
          <t>Pack size</t>
        </is>
      </c>
      <c r="F4" s="18" t="inlineStr">
        <is>
          <t>Pack unit</t>
        </is>
      </c>
      <c r="G4" s="18" t="inlineStr">
        <is>
          <t>Pack price</t>
        </is>
      </c>
      <c r="H4" s="18" t="inlineStr">
        <is>
          <t>Cost per drink</t>
        </is>
      </c>
      <c r="I4" s="18" t="inlineStr">
        <is>
          <t>50 drinks</t>
        </is>
      </c>
      <c r="J4" s="18" t="inlineStr">
        <is>
          <t>100 drinks</t>
        </is>
      </c>
      <c r="K4" s="18" t="inlineStr">
        <is>
          <t>200 drinks</t>
        </is>
      </c>
      <c r="L4" s="18" t="inlineStr">
        <is>
          <t>Packs for 100 drinks</t>
        </is>
      </c>
    </row>
    <row r="6">
      <c r="A6" s="3" t="inlineStr">
        <is>
          <t>OLD FASHIONED</t>
        </is>
      </c>
      <c r="B6" s="20" t="inlineStr">
        <is>
          <t>Rocks glass, one large cube</t>
        </is>
      </c>
    </row>
    <row r="7">
      <c r="A7" s="4" t="inlineStr">
        <is>
          <t>Bourbon</t>
        </is>
      </c>
      <c r="B7" s="21" t="n">
        <v>2</v>
      </c>
      <c r="C7" s="4" t="inlineStr">
        <is>
          <t>oz</t>
        </is>
      </c>
      <c r="D7" s="4" t="inlineStr">
        <is>
          <t>Host</t>
        </is>
      </c>
      <c r="E7" s="22" t="n">
        <v>25.4</v>
      </c>
      <c r="F7" s="4" t="inlineStr">
        <is>
          <t>oz</t>
        </is>
      </c>
      <c r="G7" s="8" t="n">
        <v>25</v>
      </c>
      <c r="H7" s="23">
        <f>IF(E7=0,0,B7/E7*G7)</f>
        <v>1.968503937007874</v>
      </c>
      <c r="I7" s="14">
        <f>B7*50</f>
        <v>100.0</v>
      </c>
      <c r="J7" s="14">
        <f>B7*100</f>
        <v>200.0</v>
      </c>
      <c r="K7" s="14">
        <f>B7*200</f>
        <v>400.0</v>
      </c>
      <c r="L7" s="12">
        <f>IF(E7=0,0,ROUNDUP(B7*100/E7,0))</f>
        <v>8.0</v>
      </c>
    </row>
    <row r="8">
      <c r="A8" s="4" t="inlineStr">
        <is>
          <t>Angostura bitters</t>
        </is>
      </c>
      <c r="B8" s="21" t="n">
        <v>2</v>
      </c>
      <c r="C8" s="4" t="inlineStr">
        <is>
          <t>dash</t>
        </is>
      </c>
      <c r="D8" s="4" t="inlineStr">
        <is>
          <t>Host</t>
        </is>
      </c>
      <c r="E8" s="22" t="n">
        <v>120</v>
      </c>
      <c r="F8" s="4" t="inlineStr">
        <is>
          <t>dash</t>
        </is>
      </c>
      <c r="G8" s="8" t="n">
        <v>10</v>
      </c>
      <c r="H8" s="23">
        <f>IF(E8=0,0,B8/E8*G8)</f>
        <v>0.16666666666666666</v>
      </c>
      <c r="I8" s="14">
        <f>B8*50</f>
        <v>100.0</v>
      </c>
      <c r="J8" s="14">
        <f>B8*100</f>
        <v>200.0</v>
      </c>
      <c r="K8" s="14">
        <f>B8*200</f>
        <v>400.0</v>
      </c>
      <c r="L8" s="12">
        <f>IF(E8=0,0,ROUNDUP(B8*100/E8,0))</f>
        <v>2.0</v>
      </c>
    </row>
    <row r="9">
      <c r="A9" s="4" t="inlineStr">
        <is>
          <t>Sugar cube</t>
        </is>
      </c>
      <c r="B9" s="21" t="n">
        <v>1</v>
      </c>
      <c r="C9" s="4" t="inlineStr">
        <is>
          <t>each</t>
        </is>
      </c>
      <c r="D9" s="4" t="inlineStr">
        <is>
          <t>Bar</t>
        </is>
      </c>
      <c r="E9" s="22" t="n">
        <v>126</v>
      </c>
      <c r="F9" s="4" t="inlineStr">
        <is>
          <t>each</t>
        </is>
      </c>
      <c r="G9" s="8" t="n">
        <v>4</v>
      </c>
      <c r="H9" s="23">
        <f>IF(E9=0,0,B9/E9*G9)</f>
        <v>0.031746031746031744</v>
      </c>
      <c r="I9" s="14">
        <f>B9*50</f>
        <v>50.0</v>
      </c>
      <c r="J9" s="14">
        <f>B9*100</f>
        <v>100.0</v>
      </c>
      <c r="K9" s="14">
        <f>B9*200</f>
        <v>200.0</v>
      </c>
      <c r="L9" s="12">
        <f>IF(E9=0,0,ROUNDUP(B9*100/E9,0))</f>
        <v>1.0</v>
      </c>
    </row>
    <row r="10">
      <c r="A10" s="4" t="inlineStr">
        <is>
          <t>Orange peel</t>
        </is>
      </c>
      <c r="B10" s="21" t="n">
        <v>1</v>
      </c>
      <c r="C10" s="4" t="inlineStr">
        <is>
          <t>each</t>
        </is>
      </c>
      <c r="D10" s="4" t="inlineStr">
        <is>
          <t>Bar</t>
        </is>
      </c>
      <c r="E10" s="22" t="n">
        <v>4</v>
      </c>
      <c r="F10" s="4" t="inlineStr">
        <is>
          <t>each</t>
        </is>
      </c>
      <c r="G10" s="8" t="n">
        <v>1</v>
      </c>
      <c r="H10" s="23">
        <f>IF(E10=0,0,B10/E10*G10)</f>
        <v>0.25</v>
      </c>
      <c r="I10" s="14">
        <f>B10*50</f>
        <v>50.0</v>
      </c>
      <c r="J10" s="14">
        <f>B10*100</f>
        <v>100.0</v>
      </c>
      <c r="K10" s="14">
        <f>B10*200</f>
        <v>200.0</v>
      </c>
      <c r="L10" s="12">
        <f>IF(E10=0,0,ROUNDUP(B10*100/E10,0))</f>
        <v>25.0</v>
      </c>
    </row>
    <row r="11">
      <c r="A11" s="15" t="inlineStr">
        <is>
          <t>Cost per drink, all ingredients</t>
        </is>
      </c>
      <c r="H11" s="16">
        <f>SUM(H7:H10)</f>
        <v>2.4169166354205727</v>
      </c>
    </row>
    <row r="12">
      <c r="A12" s="15" t="inlineStr">
        <is>
          <t>Your cost per drink in dry hire (bar-supplied items)</t>
        </is>
      </c>
      <c r="H12" s="16">
        <f>SUMIF(D7:D10,"Bar",H7:H10)</f>
        <v>0.28174603174603174</v>
      </c>
    </row>
    <row r="14">
      <c r="A14" s="3" t="inlineStr">
        <is>
          <t>NEGRONI</t>
        </is>
      </c>
      <c r="B14" s="20" t="inlineStr">
        <is>
          <t>Rocks glass, one large cube</t>
        </is>
      </c>
    </row>
    <row r="15">
      <c r="A15" s="4" t="inlineStr">
        <is>
          <t>Gin</t>
        </is>
      </c>
      <c r="B15" s="21" t="n">
        <v>1</v>
      </c>
      <c r="C15" s="4" t="inlineStr">
        <is>
          <t>oz</t>
        </is>
      </c>
      <c r="D15" s="4" t="inlineStr">
        <is>
          <t>Host</t>
        </is>
      </c>
      <c r="E15" s="22" t="n">
        <v>25.4</v>
      </c>
      <c r="F15" s="4" t="inlineStr">
        <is>
          <t>oz</t>
        </is>
      </c>
      <c r="G15" s="8" t="n">
        <v>25</v>
      </c>
      <c r="H15" s="23">
        <f>IF(E15=0,0,B15/E15*G15)</f>
        <v>0.984251968503937</v>
      </c>
      <c r="I15" s="14">
        <f>B15*50</f>
        <v>50.0</v>
      </c>
      <c r="J15" s="14">
        <f>B15*100</f>
        <v>100.0</v>
      </c>
      <c r="K15" s="14">
        <f>B15*200</f>
        <v>200.0</v>
      </c>
      <c r="L15" s="12">
        <f>IF(E15=0,0,ROUNDUP(B15*100/E15,0))</f>
        <v>4.0</v>
      </c>
    </row>
    <row r="16">
      <c r="A16" s="4" t="inlineStr">
        <is>
          <t>Sweet vermouth</t>
        </is>
      </c>
      <c r="B16" s="21" t="n">
        <v>1</v>
      </c>
      <c r="C16" s="4" t="inlineStr">
        <is>
          <t>oz</t>
        </is>
      </c>
      <c r="D16" s="4" t="inlineStr">
        <is>
          <t>Host</t>
        </is>
      </c>
      <c r="E16" s="22" t="n">
        <v>25.4</v>
      </c>
      <c r="F16" s="4" t="inlineStr">
        <is>
          <t>oz</t>
        </is>
      </c>
      <c r="G16" s="8" t="n">
        <v>18</v>
      </c>
      <c r="H16" s="23">
        <f>IF(E16=0,0,B16/E16*G16)</f>
        <v>0.7086614173228346</v>
      </c>
      <c r="I16" s="14">
        <f>B16*50</f>
        <v>50.0</v>
      </c>
      <c r="J16" s="14">
        <f>B16*100</f>
        <v>100.0</v>
      </c>
      <c r="K16" s="14">
        <f>B16*200</f>
        <v>200.0</v>
      </c>
      <c r="L16" s="12">
        <f>IF(E16=0,0,ROUNDUP(B16*100/E16,0))</f>
        <v>4.0</v>
      </c>
    </row>
    <row r="17">
      <c r="A17" s="4" t="inlineStr">
        <is>
          <t>Campari</t>
        </is>
      </c>
      <c r="B17" s="21" t="n">
        <v>1</v>
      </c>
      <c r="C17" s="4" t="inlineStr">
        <is>
          <t>oz</t>
        </is>
      </c>
      <c r="D17" s="4" t="inlineStr">
        <is>
          <t>Host</t>
        </is>
      </c>
      <c r="E17" s="22" t="n">
        <v>25.4</v>
      </c>
      <c r="F17" s="4" t="inlineStr">
        <is>
          <t>oz</t>
        </is>
      </c>
      <c r="G17" s="8" t="n">
        <v>28</v>
      </c>
      <c r="H17" s="23">
        <f>IF(E17=0,0,B17/E17*G17)</f>
        <v>1.1023622047244095</v>
      </c>
      <c r="I17" s="14">
        <f>B17*50</f>
        <v>50.0</v>
      </c>
      <c r="J17" s="14">
        <f>B17*100</f>
        <v>100.0</v>
      </c>
      <c r="K17" s="14">
        <f>B17*200</f>
        <v>200.0</v>
      </c>
      <c r="L17" s="12">
        <f>IF(E17=0,0,ROUNDUP(B17*100/E17,0))</f>
        <v>4.0</v>
      </c>
    </row>
    <row r="18">
      <c r="A18" s="4" t="inlineStr">
        <is>
          <t>Orange peel</t>
        </is>
      </c>
      <c r="B18" s="21" t="n">
        <v>1</v>
      </c>
      <c r="C18" s="4" t="inlineStr">
        <is>
          <t>each</t>
        </is>
      </c>
      <c r="D18" s="4" t="inlineStr">
        <is>
          <t>Bar</t>
        </is>
      </c>
      <c r="E18" s="22" t="n">
        <v>4</v>
      </c>
      <c r="F18" s="4" t="inlineStr">
        <is>
          <t>each</t>
        </is>
      </c>
      <c r="G18" s="8" t="n">
        <v>1</v>
      </c>
      <c r="H18" s="23">
        <f>IF(E18=0,0,B18/E18*G18)</f>
        <v>0.25</v>
      </c>
      <c r="I18" s="14">
        <f>B18*50</f>
        <v>50.0</v>
      </c>
      <c r="J18" s="14">
        <f>B18*100</f>
        <v>100.0</v>
      </c>
      <c r="K18" s="14">
        <f>B18*200</f>
        <v>200.0</v>
      </c>
      <c r="L18" s="12">
        <f>IF(E18=0,0,ROUNDUP(B18*100/E18,0))</f>
        <v>25.0</v>
      </c>
    </row>
    <row r="19">
      <c r="A19" s="15" t="inlineStr">
        <is>
          <t>Cost per drink, all ingredients</t>
        </is>
      </c>
      <c r="H19" s="16">
        <f>SUM(H15:H18)</f>
        <v>3.045275590551181</v>
      </c>
    </row>
    <row r="20">
      <c r="A20" s="15" t="inlineStr">
        <is>
          <t>Your cost per drink in dry hire (bar-supplied items)</t>
        </is>
      </c>
      <c r="H20" s="16">
        <f>SUMIF(D15:D18,"Bar",H15:H18)</f>
        <v>0.25</v>
      </c>
    </row>
    <row r="22">
      <c r="A22" s="3" t="inlineStr">
        <is>
          <t>FRENCH 75</t>
        </is>
      </c>
      <c r="B22" s="20" t="inlineStr">
        <is>
          <t>Flute or coupe</t>
        </is>
      </c>
    </row>
    <row r="23">
      <c r="A23" s="4" t="inlineStr">
        <is>
          <t>Gin</t>
        </is>
      </c>
      <c r="B23" s="21" t="n">
        <v>1</v>
      </c>
      <c r="C23" s="4" t="inlineStr">
        <is>
          <t>oz</t>
        </is>
      </c>
      <c r="D23" s="4" t="inlineStr">
        <is>
          <t>Host</t>
        </is>
      </c>
      <c r="E23" s="22" t="n">
        <v>25.4</v>
      </c>
      <c r="F23" s="4" t="inlineStr">
        <is>
          <t>oz</t>
        </is>
      </c>
      <c r="G23" s="8" t="n">
        <v>25</v>
      </c>
      <c r="H23" s="23">
        <f>IF(E23=0,0,B23/E23*G23)</f>
        <v>0.984251968503937</v>
      </c>
      <c r="I23" s="14">
        <f>B23*50</f>
        <v>50.0</v>
      </c>
      <c r="J23" s="14">
        <f>B23*100</f>
        <v>100.0</v>
      </c>
      <c r="K23" s="14">
        <f>B23*200</f>
        <v>200.0</v>
      </c>
      <c r="L23" s="12">
        <f>IF(E23=0,0,ROUNDUP(B23*100/E23,0))</f>
        <v>4.0</v>
      </c>
    </row>
    <row r="24">
      <c r="A24" s="4" t="inlineStr">
        <is>
          <t>Fresh lemon juice</t>
        </is>
      </c>
      <c r="B24" s="21" t="n">
        <v>0.5</v>
      </c>
      <c r="C24" s="4" t="inlineStr">
        <is>
          <t>oz</t>
        </is>
      </c>
      <c r="D24" s="4" t="inlineStr">
        <is>
          <t>Bar</t>
        </is>
      </c>
      <c r="E24" s="22" t="n">
        <v>32</v>
      </c>
      <c r="F24" s="4" t="inlineStr">
        <is>
          <t>oz</t>
        </is>
      </c>
      <c r="G24" s="8" t="n">
        <v>10</v>
      </c>
      <c r="H24" s="23">
        <f>IF(E24=0,0,B24/E24*G24)</f>
        <v>0.15625</v>
      </c>
      <c r="I24" s="14">
        <f>B24*50</f>
        <v>25.0</v>
      </c>
      <c r="J24" s="14">
        <f>B24*100</f>
        <v>50.0</v>
      </c>
      <c r="K24" s="14">
        <f>B24*200</f>
        <v>100.0</v>
      </c>
      <c r="L24" s="12">
        <f>IF(E24=0,0,ROUNDUP(B24*100/E24,0))</f>
        <v>2.0</v>
      </c>
    </row>
    <row r="25">
      <c r="A25" s="4" t="inlineStr">
        <is>
          <t>Simple syrup</t>
        </is>
      </c>
      <c r="B25" s="21" t="n">
        <v>0.5</v>
      </c>
      <c r="C25" s="4" t="inlineStr">
        <is>
          <t>oz</t>
        </is>
      </c>
      <c r="D25" s="4" t="inlineStr">
        <is>
          <t>Bar</t>
        </is>
      </c>
      <c r="E25" s="22" t="n">
        <v>33.8</v>
      </c>
      <c r="F25" s="4" t="inlineStr">
        <is>
          <t>oz</t>
        </is>
      </c>
      <c r="G25" s="8" t="n">
        <v>8</v>
      </c>
      <c r="H25" s="23">
        <f>IF(E25=0,0,B25/E25*G25)</f>
        <v>0.1183431952662722</v>
      </c>
      <c r="I25" s="14">
        <f>B25*50</f>
        <v>25.0</v>
      </c>
      <c r="J25" s="14">
        <f>B25*100</f>
        <v>50.0</v>
      </c>
      <c r="K25" s="14">
        <f>B25*200</f>
        <v>100.0</v>
      </c>
      <c r="L25" s="12">
        <f>IF(E25=0,0,ROUNDUP(B25*100/E25,0))</f>
        <v>2.0</v>
      </c>
    </row>
    <row r="26">
      <c r="A26" s="4" t="inlineStr">
        <is>
          <t>Sparkling wine (brut)</t>
        </is>
      </c>
      <c r="B26" s="21" t="n">
        <v>2</v>
      </c>
      <c r="C26" s="4" t="inlineStr">
        <is>
          <t>oz</t>
        </is>
      </c>
      <c r="D26" s="4" t="inlineStr">
        <is>
          <t>Host</t>
        </is>
      </c>
      <c r="E26" s="22" t="n">
        <v>25.4</v>
      </c>
      <c r="F26" s="4" t="inlineStr">
        <is>
          <t>oz</t>
        </is>
      </c>
      <c r="G26" s="8" t="n">
        <v>14</v>
      </c>
      <c r="H26" s="23">
        <f>IF(E26=0,0,B26/E26*G26)</f>
        <v>1.1023622047244095</v>
      </c>
      <c r="I26" s="14">
        <f>B26*50</f>
        <v>100.0</v>
      </c>
      <c r="J26" s="14">
        <f>B26*100</f>
        <v>200.0</v>
      </c>
      <c r="K26" s="14">
        <f>B26*200</f>
        <v>400.0</v>
      </c>
      <c r="L26" s="12">
        <f>IF(E26=0,0,ROUNDUP(B26*100/E26,0))</f>
        <v>8.0</v>
      </c>
    </row>
    <row r="27">
      <c r="A27" s="4" t="inlineStr">
        <is>
          <t>Lemon twist</t>
        </is>
      </c>
      <c r="B27" s="21" t="n">
        <v>1</v>
      </c>
      <c r="C27" s="4" t="inlineStr">
        <is>
          <t>each</t>
        </is>
      </c>
      <c r="D27" s="4" t="inlineStr">
        <is>
          <t>Bar</t>
        </is>
      </c>
      <c r="E27" s="22" t="n">
        <v>6</v>
      </c>
      <c r="F27" s="4" t="inlineStr">
        <is>
          <t>each</t>
        </is>
      </c>
      <c r="G27" s="8" t="n">
        <v>0.75</v>
      </c>
      <c r="H27" s="23">
        <f>IF(E27=0,0,B27/E27*G27)</f>
        <v>0.125</v>
      </c>
      <c r="I27" s="14">
        <f>B27*50</f>
        <v>50.0</v>
      </c>
      <c r="J27" s="14">
        <f>B27*100</f>
        <v>100.0</v>
      </c>
      <c r="K27" s="14">
        <f>B27*200</f>
        <v>200.0</v>
      </c>
      <c r="L27" s="12">
        <f>IF(E27=0,0,ROUNDUP(B27*100/E27,0))</f>
        <v>17.0</v>
      </c>
    </row>
    <row r="28">
      <c r="A28" s="15" t="inlineStr">
        <is>
          <t>Cost per drink, all ingredients</t>
        </is>
      </c>
      <c r="H28" s="16">
        <f>SUM(H23:H27)</f>
        <v>2.4862073684946187</v>
      </c>
    </row>
    <row r="29">
      <c r="A29" s="15" t="inlineStr">
        <is>
          <t>Your cost per drink in dry hire (bar-supplied items)</t>
        </is>
      </c>
      <c r="H29" s="16">
        <f>SUMIF(D23:D27,"Bar",H23:H27)</f>
        <v>0.3995931952662722</v>
      </c>
    </row>
    <row r="31">
      <c r="A31" s="3" t="inlineStr">
        <is>
          <t>MAI TAI</t>
        </is>
      </c>
      <c r="B31" s="20" t="inlineStr">
        <is>
          <t>Rocks glass or tiki mug, crushed ice. Allergen: orgeat is made from almonds (tree nuts)</t>
        </is>
      </c>
    </row>
    <row r="32">
      <c r="A32" s="4" t="inlineStr">
        <is>
          <t>Aged dark rum</t>
        </is>
      </c>
      <c r="B32" s="21" t="n">
        <v>1</v>
      </c>
      <c r="C32" s="4" t="inlineStr">
        <is>
          <t>oz</t>
        </is>
      </c>
      <c r="D32" s="4" t="inlineStr">
        <is>
          <t>Host</t>
        </is>
      </c>
      <c r="E32" s="22" t="n">
        <v>25.4</v>
      </c>
      <c r="F32" s="4" t="inlineStr">
        <is>
          <t>oz</t>
        </is>
      </c>
      <c r="G32" s="8" t="n">
        <v>25</v>
      </c>
      <c r="H32" s="23">
        <f>IF(E32=0,0,B32/E32*G32)</f>
        <v>0.984251968503937</v>
      </c>
      <c r="I32" s="14">
        <f>B32*50</f>
        <v>50.0</v>
      </c>
      <c r="J32" s="14">
        <f>B32*100</f>
        <v>100.0</v>
      </c>
      <c r="K32" s="14">
        <f>B32*200</f>
        <v>200.0</v>
      </c>
      <c r="L32" s="12">
        <f>IF(E32=0,0,ROUNDUP(B32*100/E32,0))</f>
        <v>4.0</v>
      </c>
    </row>
    <row r="33">
      <c r="A33" s="4" t="inlineStr">
        <is>
          <t>White rum</t>
        </is>
      </c>
      <c r="B33" s="21" t="n">
        <v>1</v>
      </c>
      <c r="C33" s="4" t="inlineStr">
        <is>
          <t>oz</t>
        </is>
      </c>
      <c r="D33" s="4" t="inlineStr">
        <is>
          <t>Host</t>
        </is>
      </c>
      <c r="E33" s="22" t="n">
        <v>25.4</v>
      </c>
      <c r="F33" s="4" t="inlineStr">
        <is>
          <t>oz</t>
        </is>
      </c>
      <c r="G33" s="8" t="n">
        <v>20</v>
      </c>
      <c r="H33" s="23">
        <f>IF(E33=0,0,B33/E33*G33)</f>
        <v>0.7874015748031495</v>
      </c>
      <c r="I33" s="14">
        <f>B33*50</f>
        <v>50.0</v>
      </c>
      <c r="J33" s="14">
        <f>B33*100</f>
        <v>100.0</v>
      </c>
      <c r="K33" s="14">
        <f>B33*200</f>
        <v>200.0</v>
      </c>
      <c r="L33" s="12">
        <f>IF(E33=0,0,ROUNDUP(B33*100/E33,0))</f>
        <v>4.0</v>
      </c>
    </row>
    <row r="34">
      <c r="A34" s="4" t="inlineStr">
        <is>
          <t>Orange curacao</t>
        </is>
      </c>
      <c r="B34" s="21" t="n">
        <v>0.5</v>
      </c>
      <c r="C34" s="4" t="inlineStr">
        <is>
          <t>oz</t>
        </is>
      </c>
      <c r="D34" s="4" t="inlineStr">
        <is>
          <t>Host</t>
        </is>
      </c>
      <c r="E34" s="22" t="n">
        <v>25.4</v>
      </c>
      <c r="F34" s="4" t="inlineStr">
        <is>
          <t>oz</t>
        </is>
      </c>
      <c r="G34" s="8" t="n">
        <v>22</v>
      </c>
      <c r="H34" s="23">
        <f>IF(E34=0,0,B34/E34*G34)</f>
        <v>0.4330708661417323</v>
      </c>
      <c r="I34" s="14">
        <f>B34*50</f>
        <v>25.0</v>
      </c>
      <c r="J34" s="14">
        <f>B34*100</f>
        <v>50.0</v>
      </c>
      <c r="K34" s="14">
        <f>B34*200</f>
        <v>100.0</v>
      </c>
      <c r="L34" s="12">
        <f>IF(E34=0,0,ROUNDUP(B34*100/E34,0))</f>
        <v>2.0</v>
      </c>
    </row>
    <row r="35">
      <c r="A35" s="4" t="inlineStr">
        <is>
          <t>Orgeat (almond) syrup</t>
        </is>
      </c>
      <c r="B35" s="21" t="n">
        <v>0.5</v>
      </c>
      <c r="C35" s="4" t="inlineStr">
        <is>
          <t>oz</t>
        </is>
      </c>
      <c r="D35" s="4" t="inlineStr">
        <is>
          <t>Bar</t>
        </is>
      </c>
      <c r="E35" s="22" t="n">
        <v>25.4</v>
      </c>
      <c r="F35" s="4" t="inlineStr">
        <is>
          <t>oz</t>
        </is>
      </c>
      <c r="G35" s="8" t="n">
        <v>12</v>
      </c>
      <c r="H35" s="23">
        <f>IF(E35=0,0,B35/E35*G35)</f>
        <v>0.23622047244094488</v>
      </c>
      <c r="I35" s="14">
        <f>B35*50</f>
        <v>25.0</v>
      </c>
      <c r="J35" s="14">
        <f>B35*100</f>
        <v>50.0</v>
      </c>
      <c r="K35" s="14">
        <f>B35*200</f>
        <v>100.0</v>
      </c>
      <c r="L35" s="12">
        <f>IF(E35=0,0,ROUNDUP(B35*100/E35,0))</f>
        <v>2.0</v>
      </c>
    </row>
    <row r="36">
      <c r="A36" s="4" t="inlineStr">
        <is>
          <t>Fresh lime juice</t>
        </is>
      </c>
      <c r="B36" s="21" t="n">
        <v>0.75</v>
      </c>
      <c r="C36" s="4" t="inlineStr">
        <is>
          <t>oz</t>
        </is>
      </c>
      <c r="D36" s="4" t="inlineStr">
        <is>
          <t>Bar</t>
        </is>
      </c>
      <c r="E36" s="22" t="n">
        <v>32</v>
      </c>
      <c r="F36" s="4" t="inlineStr">
        <is>
          <t>oz</t>
        </is>
      </c>
      <c r="G36" s="8" t="n">
        <v>10</v>
      </c>
      <c r="H36" s="23">
        <f>IF(E36=0,0,B36/E36*G36)</f>
        <v>0.234375</v>
      </c>
      <c r="I36" s="14">
        <f>B36*50</f>
        <v>37.5</v>
      </c>
      <c r="J36" s="14">
        <f>B36*100</f>
        <v>75.0</v>
      </c>
      <c r="K36" s="14">
        <f>B36*200</f>
        <v>150.0</v>
      </c>
      <c r="L36" s="12">
        <f>IF(E36=0,0,ROUNDUP(B36*100/E36,0))</f>
        <v>3.0</v>
      </c>
    </row>
    <row r="37">
      <c r="A37" s="4" t="inlineStr">
        <is>
          <t>Mint sprig</t>
        </is>
      </c>
      <c r="B37" s="21" t="n">
        <v>1</v>
      </c>
      <c r="C37" s="4" t="inlineStr">
        <is>
          <t>each</t>
        </is>
      </c>
      <c r="D37" s="4" t="inlineStr">
        <is>
          <t>Bar</t>
        </is>
      </c>
      <c r="E37" s="22" t="n">
        <v>20</v>
      </c>
      <c r="F37" s="4" t="inlineStr">
        <is>
          <t>each</t>
        </is>
      </c>
      <c r="G37" s="8" t="n">
        <v>2</v>
      </c>
      <c r="H37" s="23">
        <f>IF(E37=0,0,B37/E37*G37)</f>
        <v>0.1</v>
      </c>
      <c r="I37" s="14">
        <f>B37*50</f>
        <v>50.0</v>
      </c>
      <c r="J37" s="14">
        <f>B37*100</f>
        <v>100.0</v>
      </c>
      <c r="K37" s="14">
        <f>B37*200</f>
        <v>200.0</v>
      </c>
      <c r="L37" s="12">
        <f>IF(E37=0,0,ROUNDUP(B37*100/E37,0))</f>
        <v>5.0</v>
      </c>
    </row>
    <row r="38">
      <c r="A38" s="15" t="inlineStr">
        <is>
          <t>Cost per drink, all ingredients</t>
        </is>
      </c>
      <c r="H38" s="16">
        <f>SUM(H32:H37)</f>
        <v>2.7753198818897635</v>
      </c>
    </row>
    <row r="39">
      <c r="A39" s="15" t="inlineStr">
        <is>
          <t>Your cost per drink in dry hire (bar-supplied items)</t>
        </is>
      </c>
      <c r="H39" s="16">
        <f>SUMIF(D32:D37,"Bar",H32:H37)</f>
        <v>0.5705954724409449</v>
      </c>
    </row>
    <row r="41">
      <c r="A41" s="3" t="inlineStr">
        <is>
          <t>PINA COLADA</t>
        </is>
      </c>
      <c r="B41" s="20" t="inlineStr">
        <is>
          <t>Hurricane glass. Allergen: coconut (cream of coconut)</t>
        </is>
      </c>
    </row>
    <row r="42">
      <c r="A42" s="4" t="inlineStr">
        <is>
          <t>White rum</t>
        </is>
      </c>
      <c r="B42" s="21" t="n">
        <v>2</v>
      </c>
      <c r="C42" s="4" t="inlineStr">
        <is>
          <t>oz</t>
        </is>
      </c>
      <c r="D42" s="4" t="inlineStr">
        <is>
          <t>Host</t>
        </is>
      </c>
      <c r="E42" s="22" t="n">
        <v>25.4</v>
      </c>
      <c r="F42" s="4" t="inlineStr">
        <is>
          <t>oz</t>
        </is>
      </c>
      <c r="G42" s="8" t="n">
        <v>20</v>
      </c>
      <c r="H42" s="23">
        <f>IF(E42=0,0,B42/E42*G42)</f>
        <v>1.574803149606299</v>
      </c>
      <c r="I42" s="14">
        <f>B42*50</f>
        <v>100.0</v>
      </c>
      <c r="J42" s="14">
        <f>B42*100</f>
        <v>200.0</v>
      </c>
      <c r="K42" s="14">
        <f>B42*200</f>
        <v>400.0</v>
      </c>
      <c r="L42" s="12">
        <f>IF(E42=0,0,ROUNDUP(B42*100/E42,0))</f>
        <v>8.0</v>
      </c>
    </row>
    <row r="43">
      <c r="A43" s="4" t="inlineStr">
        <is>
          <t>Aged rum float</t>
        </is>
      </c>
      <c r="B43" s="21" t="n">
        <v>0.5</v>
      </c>
      <c r="C43" s="4" t="inlineStr">
        <is>
          <t>oz</t>
        </is>
      </c>
      <c r="D43" s="4" t="inlineStr">
        <is>
          <t>Host</t>
        </is>
      </c>
      <c r="E43" s="22" t="n">
        <v>25.4</v>
      </c>
      <c r="F43" s="4" t="inlineStr">
        <is>
          <t>oz</t>
        </is>
      </c>
      <c r="G43" s="8" t="n">
        <v>25</v>
      </c>
      <c r="H43" s="23">
        <f>IF(E43=0,0,B43/E43*G43)</f>
        <v>0.4921259842519685</v>
      </c>
      <c r="I43" s="14">
        <f>B43*50</f>
        <v>25.0</v>
      </c>
      <c r="J43" s="14">
        <f>B43*100</f>
        <v>50.0</v>
      </c>
      <c r="K43" s="14">
        <f>B43*200</f>
        <v>100.0</v>
      </c>
      <c r="L43" s="12">
        <f>IF(E43=0,0,ROUNDUP(B43*100/E43,0))</f>
        <v>2.0</v>
      </c>
    </row>
    <row r="44">
      <c r="A44" s="4" t="inlineStr">
        <is>
          <t>Cream of coconut</t>
        </is>
      </c>
      <c r="B44" s="21" t="n">
        <v>2</v>
      </c>
      <c r="C44" s="4" t="inlineStr">
        <is>
          <t>oz</t>
        </is>
      </c>
      <c r="D44" s="4" t="inlineStr">
        <is>
          <t>Bar</t>
        </is>
      </c>
      <c r="E44" s="22" t="n">
        <v>15</v>
      </c>
      <c r="F44" s="4" t="inlineStr">
        <is>
          <t>oz</t>
        </is>
      </c>
      <c r="G44" s="8" t="n">
        <v>4</v>
      </c>
      <c r="H44" s="23">
        <f>IF(E44=0,0,B44/E44*G44)</f>
        <v>0.5333333333333333</v>
      </c>
      <c r="I44" s="14">
        <f>B44*50</f>
        <v>100.0</v>
      </c>
      <c r="J44" s="14">
        <f>B44*100</f>
        <v>200.0</v>
      </c>
      <c r="K44" s="14">
        <f>B44*200</f>
        <v>400.0</v>
      </c>
      <c r="L44" s="12">
        <f>IF(E44=0,0,ROUNDUP(B44*100/E44,0))</f>
        <v>14.0</v>
      </c>
    </row>
    <row r="45">
      <c r="A45" s="4" t="inlineStr">
        <is>
          <t>Pineapple juice</t>
        </is>
      </c>
      <c r="B45" s="21" t="n">
        <v>4</v>
      </c>
      <c r="C45" s="4" t="inlineStr">
        <is>
          <t>oz</t>
        </is>
      </c>
      <c r="D45" s="4" t="inlineStr">
        <is>
          <t>Bar</t>
        </is>
      </c>
      <c r="E45" s="22" t="n">
        <v>46</v>
      </c>
      <c r="F45" s="4" t="inlineStr">
        <is>
          <t>oz</t>
        </is>
      </c>
      <c r="G45" s="8" t="n">
        <v>4</v>
      </c>
      <c r="H45" s="23">
        <f>IF(E45=0,0,B45/E45*G45)</f>
        <v>0.34782608695652173</v>
      </c>
      <c r="I45" s="14">
        <f>B45*50</f>
        <v>200.0</v>
      </c>
      <c r="J45" s="14">
        <f>B45*100</f>
        <v>400.0</v>
      </c>
      <c r="K45" s="14">
        <f>B45*200</f>
        <v>800.0</v>
      </c>
      <c r="L45" s="12">
        <f>IF(E45=0,0,ROUNDUP(B45*100/E45,0))</f>
        <v>9.0</v>
      </c>
    </row>
    <row r="46">
      <c r="A46" s="4" t="inlineStr">
        <is>
          <t>Pineapple wedge</t>
        </is>
      </c>
      <c r="B46" s="21" t="n">
        <v>1</v>
      </c>
      <c r="C46" s="4" t="inlineStr">
        <is>
          <t>each</t>
        </is>
      </c>
      <c r="D46" s="4" t="inlineStr">
        <is>
          <t>Bar</t>
        </is>
      </c>
      <c r="E46" s="22" t="n">
        <v>16</v>
      </c>
      <c r="F46" s="4" t="inlineStr">
        <is>
          <t>each</t>
        </is>
      </c>
      <c r="G46" s="8" t="n">
        <v>4</v>
      </c>
      <c r="H46" s="23">
        <f>IF(E46=0,0,B46/E46*G46)</f>
        <v>0.25</v>
      </c>
      <c r="I46" s="14">
        <f>B46*50</f>
        <v>50.0</v>
      </c>
      <c r="J46" s="14">
        <f>B46*100</f>
        <v>100.0</v>
      </c>
      <c r="K46" s="14">
        <f>B46*200</f>
        <v>200.0</v>
      </c>
      <c r="L46" s="12">
        <f>IF(E46=0,0,ROUNDUP(B46*100/E46,0))</f>
        <v>7.0</v>
      </c>
    </row>
    <row r="47">
      <c r="A47" s="15" t="inlineStr">
        <is>
          <t>Cost per drink, all ingredients</t>
        </is>
      </c>
      <c r="H47" s="16">
        <f>SUM(H42:H46)</f>
        <v>3.1980885541481228</v>
      </c>
    </row>
    <row r="48">
      <c r="A48" s="15" t="inlineStr">
        <is>
          <t>Your cost per drink in dry hire (bar-supplied items)</t>
        </is>
      </c>
      <c r="H48" s="16">
        <f>SUMIF(D42:D46,"Bar",H42:H46)</f>
        <v>1.1311594202898552</v>
      </c>
    </row>
    <row r="50">
      <c r="A50" s="3" t="inlineStr">
        <is>
          <t>PASSION FRUIT MOJITO</t>
        </is>
      </c>
      <c r="B50" s="20" t="inlineStr">
        <is>
          <t>Collins glass, crushed ice</t>
        </is>
      </c>
    </row>
    <row r="51">
      <c r="A51" s="4" t="inlineStr">
        <is>
          <t>White rum</t>
        </is>
      </c>
      <c r="B51" s="21" t="n">
        <v>1.75</v>
      </c>
      <c r="C51" s="4" t="inlineStr">
        <is>
          <t>oz</t>
        </is>
      </c>
      <c r="D51" s="4" t="inlineStr">
        <is>
          <t>Host</t>
        </is>
      </c>
      <c r="E51" s="22" t="n">
        <v>25.4</v>
      </c>
      <c r="F51" s="4" t="inlineStr">
        <is>
          <t>oz</t>
        </is>
      </c>
      <c r="G51" s="8" t="n">
        <v>20</v>
      </c>
      <c r="H51" s="23">
        <f>IF(E51=0,0,B51/E51*G51)</f>
        <v>1.3779527559055118</v>
      </c>
      <c r="I51" s="14">
        <f>B51*50</f>
        <v>87.5</v>
      </c>
      <c r="J51" s="14">
        <f>B51*100</f>
        <v>175.0</v>
      </c>
      <c r="K51" s="14">
        <f>B51*200</f>
        <v>350.0</v>
      </c>
      <c r="L51" s="12">
        <f>IF(E51=0,0,ROUNDUP(B51*100/E51,0))</f>
        <v>7.0</v>
      </c>
    </row>
    <row r="52">
      <c r="A52" s="4" t="inlineStr">
        <is>
          <t>Passion fruit puree</t>
        </is>
      </c>
      <c r="B52" s="21" t="n">
        <v>1</v>
      </c>
      <c r="C52" s="4" t="inlineStr">
        <is>
          <t>oz</t>
        </is>
      </c>
      <c r="D52" s="4" t="inlineStr">
        <is>
          <t>Bar</t>
        </is>
      </c>
      <c r="E52" s="22" t="n">
        <v>32</v>
      </c>
      <c r="F52" s="4" t="inlineStr">
        <is>
          <t>oz</t>
        </is>
      </c>
      <c r="G52" s="8" t="n">
        <v>15</v>
      </c>
      <c r="H52" s="23">
        <f>IF(E52=0,0,B52/E52*G52)</f>
        <v>0.46875</v>
      </c>
      <c r="I52" s="14">
        <f>B52*50</f>
        <v>50.0</v>
      </c>
      <c r="J52" s="14">
        <f>B52*100</f>
        <v>100.0</v>
      </c>
      <c r="K52" s="14">
        <f>B52*200</f>
        <v>200.0</v>
      </c>
      <c r="L52" s="12">
        <f>IF(E52=0,0,ROUNDUP(B52*100/E52,0))</f>
        <v>4.0</v>
      </c>
    </row>
    <row r="53">
      <c r="A53" s="4" t="inlineStr">
        <is>
          <t>Fresh lime juice</t>
        </is>
      </c>
      <c r="B53" s="21" t="n">
        <v>0.75</v>
      </c>
      <c r="C53" s="4" t="inlineStr">
        <is>
          <t>oz</t>
        </is>
      </c>
      <c r="D53" s="4" t="inlineStr">
        <is>
          <t>Bar</t>
        </is>
      </c>
      <c r="E53" s="22" t="n">
        <v>32</v>
      </c>
      <c r="F53" s="4" t="inlineStr">
        <is>
          <t>oz</t>
        </is>
      </c>
      <c r="G53" s="8" t="n">
        <v>10</v>
      </c>
      <c r="H53" s="23">
        <f>IF(E53=0,0,B53/E53*G53)</f>
        <v>0.234375</v>
      </c>
      <c r="I53" s="14">
        <f>B53*50</f>
        <v>37.5</v>
      </c>
      <c r="J53" s="14">
        <f>B53*100</f>
        <v>75.0</v>
      </c>
      <c r="K53" s="14">
        <f>B53*200</f>
        <v>150.0</v>
      </c>
      <c r="L53" s="12">
        <f>IF(E53=0,0,ROUNDUP(B53*100/E53,0))</f>
        <v>3.0</v>
      </c>
    </row>
    <row r="54">
      <c r="A54" s="4" t="inlineStr">
        <is>
          <t>Simple syrup</t>
        </is>
      </c>
      <c r="B54" s="21" t="n">
        <v>0.5</v>
      </c>
      <c r="C54" s="4" t="inlineStr">
        <is>
          <t>oz</t>
        </is>
      </c>
      <c r="D54" s="4" t="inlineStr">
        <is>
          <t>Bar</t>
        </is>
      </c>
      <c r="E54" s="22" t="n">
        <v>33.8</v>
      </c>
      <c r="F54" s="4" t="inlineStr">
        <is>
          <t>oz</t>
        </is>
      </c>
      <c r="G54" s="8" t="n">
        <v>8</v>
      </c>
      <c r="H54" s="23">
        <f>IF(E54=0,0,B54/E54*G54)</f>
        <v>0.1183431952662722</v>
      </c>
      <c r="I54" s="14">
        <f>B54*50</f>
        <v>25.0</v>
      </c>
      <c r="J54" s="14">
        <f>B54*100</f>
        <v>50.0</v>
      </c>
      <c r="K54" s="14">
        <f>B54*200</f>
        <v>100.0</v>
      </c>
      <c r="L54" s="12">
        <f>IF(E54=0,0,ROUNDUP(B54*100/E54,0))</f>
        <v>2.0</v>
      </c>
    </row>
    <row r="55">
      <c r="A55" s="4" t="inlineStr">
        <is>
          <t>Mint leaves</t>
        </is>
      </c>
      <c r="B55" s="21" t="n">
        <v>8</v>
      </c>
      <c r="C55" s="4" t="inlineStr">
        <is>
          <t>each</t>
        </is>
      </c>
      <c r="D55" s="4" t="inlineStr">
        <is>
          <t>Bar</t>
        </is>
      </c>
      <c r="E55" s="22" t="n">
        <v>60</v>
      </c>
      <c r="F55" s="4" t="inlineStr">
        <is>
          <t>each</t>
        </is>
      </c>
      <c r="G55" s="8" t="n">
        <v>2</v>
      </c>
      <c r="H55" s="23">
        <f>IF(E55=0,0,B55/E55*G55)</f>
        <v>0.26666666666666666</v>
      </c>
      <c r="I55" s="14">
        <f>B55*50</f>
        <v>400.0</v>
      </c>
      <c r="J55" s="14">
        <f>B55*100</f>
        <v>800.0</v>
      </c>
      <c r="K55" s="14">
        <f>B55*200</f>
        <v>1600.0</v>
      </c>
      <c r="L55" s="12">
        <f>IF(E55=0,0,ROUNDUP(B55*100/E55,0))</f>
        <v>14.0</v>
      </c>
    </row>
    <row r="56">
      <c r="A56" s="4" t="inlineStr">
        <is>
          <t>Club soda (top)</t>
        </is>
      </c>
      <c r="B56" s="21" t="n">
        <v>2</v>
      </c>
      <c r="C56" s="4" t="inlineStr">
        <is>
          <t>oz</t>
        </is>
      </c>
      <c r="D56" s="4" t="inlineStr">
        <is>
          <t>Bar</t>
        </is>
      </c>
      <c r="E56" s="22" t="n">
        <v>33.8</v>
      </c>
      <c r="F56" s="4" t="inlineStr">
        <is>
          <t>oz</t>
        </is>
      </c>
      <c r="G56" s="8" t="n">
        <v>1.5</v>
      </c>
      <c r="H56" s="23">
        <f>IF(E56=0,0,B56/E56*G56)</f>
        <v>0.08875739644970415</v>
      </c>
      <c r="I56" s="14">
        <f>B56*50</f>
        <v>100.0</v>
      </c>
      <c r="J56" s="14">
        <f>B56*100</f>
        <v>200.0</v>
      </c>
      <c r="K56" s="14">
        <f>B56*200</f>
        <v>400.0</v>
      </c>
      <c r="L56" s="12">
        <f>IF(E56=0,0,ROUNDUP(B56*100/E56,0))</f>
        <v>6.0</v>
      </c>
    </row>
    <row r="57">
      <c r="A57" s="15" t="inlineStr">
        <is>
          <t>Cost per drink, all ingredients</t>
        </is>
      </c>
      <c r="H57" s="16">
        <f>SUM(H51:H56)</f>
        <v>2.554845014288155</v>
      </c>
    </row>
    <row r="58">
      <c r="A58" s="15" t="inlineStr">
        <is>
          <t>Your cost per drink in dry hire (bar-supplied items)</t>
        </is>
      </c>
      <c r="H58" s="16">
        <f>SUMIF(D51:D56,"Bar",H51:H56)</f>
        <v>1.176892258382643</v>
      </c>
    </row>
    <row r="60">
      <c r="A60" s="3" t="inlineStr">
        <is>
          <t>APEROL SPRITZ</t>
        </is>
      </c>
      <c r="B60" s="20" t="inlineStr">
        <is>
          <t>Wine glass</t>
        </is>
      </c>
    </row>
    <row r="61">
      <c r="A61" s="4" t="inlineStr">
        <is>
          <t>Aperol</t>
        </is>
      </c>
      <c r="B61" s="21" t="n">
        <v>2</v>
      </c>
      <c r="C61" s="4" t="inlineStr">
        <is>
          <t>oz</t>
        </is>
      </c>
      <c r="D61" s="4" t="inlineStr">
        <is>
          <t>Host</t>
        </is>
      </c>
      <c r="E61" s="22" t="n">
        <v>25.4</v>
      </c>
      <c r="F61" s="4" t="inlineStr">
        <is>
          <t>oz</t>
        </is>
      </c>
      <c r="G61" s="8" t="n">
        <v>25</v>
      </c>
      <c r="H61" s="23">
        <f>IF(E61=0,0,B61/E61*G61)</f>
        <v>1.968503937007874</v>
      </c>
      <c r="I61" s="14">
        <f>B61*50</f>
        <v>100.0</v>
      </c>
      <c r="J61" s="14">
        <f>B61*100</f>
        <v>200.0</v>
      </c>
      <c r="K61" s="14">
        <f>B61*200</f>
        <v>400.0</v>
      </c>
      <c r="L61" s="12">
        <f>IF(E61=0,0,ROUNDUP(B61*100/E61,0))</f>
        <v>8.0</v>
      </c>
    </row>
    <row r="62">
      <c r="A62" s="4" t="inlineStr">
        <is>
          <t>Prosecco</t>
        </is>
      </c>
      <c r="B62" s="21" t="n">
        <v>3</v>
      </c>
      <c r="C62" s="4" t="inlineStr">
        <is>
          <t>oz</t>
        </is>
      </c>
      <c r="D62" s="4" t="inlineStr">
        <is>
          <t>Host</t>
        </is>
      </c>
      <c r="E62" s="22" t="n">
        <v>25.4</v>
      </c>
      <c r="F62" s="4" t="inlineStr">
        <is>
          <t>oz</t>
        </is>
      </c>
      <c r="G62" s="8" t="n">
        <v>14</v>
      </c>
      <c r="H62" s="23">
        <f>IF(E62=0,0,B62/E62*G62)</f>
        <v>1.6535433070866143</v>
      </c>
      <c r="I62" s="14">
        <f>B62*50</f>
        <v>150.0</v>
      </c>
      <c r="J62" s="14">
        <f>B62*100</f>
        <v>300.0</v>
      </c>
      <c r="K62" s="14">
        <f>B62*200</f>
        <v>600.0</v>
      </c>
      <c r="L62" s="12">
        <f>IF(E62=0,0,ROUNDUP(B62*100/E62,0))</f>
        <v>12.0</v>
      </c>
    </row>
    <row r="63">
      <c r="A63" s="4" t="inlineStr">
        <is>
          <t>Club soda</t>
        </is>
      </c>
      <c r="B63" s="21" t="n">
        <v>1</v>
      </c>
      <c r="C63" s="4" t="inlineStr">
        <is>
          <t>oz</t>
        </is>
      </c>
      <c r="D63" s="4" t="inlineStr">
        <is>
          <t>Bar</t>
        </is>
      </c>
      <c r="E63" s="22" t="n">
        <v>33.8</v>
      </c>
      <c r="F63" s="4" t="inlineStr">
        <is>
          <t>oz</t>
        </is>
      </c>
      <c r="G63" s="8" t="n">
        <v>1.5</v>
      </c>
      <c r="H63" s="23">
        <f>IF(E63=0,0,B63/E63*G63)</f>
        <v>0.044378698224852076</v>
      </c>
      <c r="I63" s="14">
        <f>B63*50</f>
        <v>50.0</v>
      </c>
      <c r="J63" s="14">
        <f>B63*100</f>
        <v>100.0</v>
      </c>
      <c r="K63" s="14">
        <f>B63*200</f>
        <v>200.0</v>
      </c>
      <c r="L63" s="12">
        <f>IF(E63=0,0,ROUNDUP(B63*100/E63,0))</f>
        <v>3.0</v>
      </c>
    </row>
    <row r="64">
      <c r="A64" s="4" t="inlineStr">
        <is>
          <t>Orange slice</t>
        </is>
      </c>
      <c r="B64" s="21" t="n">
        <v>1</v>
      </c>
      <c r="C64" s="4" t="inlineStr">
        <is>
          <t>each</t>
        </is>
      </c>
      <c r="D64" s="4" t="inlineStr">
        <is>
          <t>Bar</t>
        </is>
      </c>
      <c r="E64" s="22" t="n">
        <v>8</v>
      </c>
      <c r="F64" s="4" t="inlineStr">
        <is>
          <t>each</t>
        </is>
      </c>
      <c r="G64" s="8" t="n">
        <v>1</v>
      </c>
      <c r="H64" s="23">
        <f>IF(E64=0,0,B64/E64*G64)</f>
        <v>0.125</v>
      </c>
      <c r="I64" s="14">
        <f>B64*50</f>
        <v>50.0</v>
      </c>
      <c r="J64" s="14">
        <f>B64*100</f>
        <v>100.0</v>
      </c>
      <c r="K64" s="14">
        <f>B64*200</f>
        <v>200.0</v>
      </c>
      <c r="L64" s="12">
        <f>IF(E64=0,0,ROUNDUP(B64*100/E64,0))</f>
        <v>13.0</v>
      </c>
    </row>
    <row r="65">
      <c r="A65" s="15" t="inlineStr">
        <is>
          <t>Cost per drink, all ingredients</t>
        </is>
      </c>
      <c r="H65" s="16">
        <f>SUM(H61:H64)</f>
        <v>3.7914259423193406</v>
      </c>
    </row>
    <row r="66">
      <c r="A66" s="15" t="inlineStr">
        <is>
          <t>Your cost per drink in dry hire (bar-supplied items)</t>
        </is>
      </c>
      <c r="H66" s="16">
        <f>SUMIF(D61:D64,"Bar",H61:H64)</f>
        <v>0.16937869822485208</v>
      </c>
    </row>
    <row r="68">
      <c r="A68" s="3" t="inlineStr">
        <is>
          <t>ESPRESSO MARTINI</t>
        </is>
      </c>
      <c r="B68" s="20" t="inlineStr">
        <is>
          <t>Chilled martini glass or coupe</t>
        </is>
      </c>
    </row>
    <row r="69">
      <c r="A69" s="4" t="inlineStr">
        <is>
          <t>Vodka</t>
        </is>
      </c>
      <c r="B69" s="21" t="n">
        <v>1.75</v>
      </c>
      <c r="C69" s="4" t="inlineStr">
        <is>
          <t>oz</t>
        </is>
      </c>
      <c r="D69" s="4" t="inlineStr">
        <is>
          <t>Host</t>
        </is>
      </c>
      <c r="E69" s="22" t="n">
        <v>25.4</v>
      </c>
      <c r="F69" s="4" t="inlineStr">
        <is>
          <t>oz</t>
        </is>
      </c>
      <c r="G69" s="8" t="n">
        <v>25</v>
      </c>
      <c r="H69" s="23">
        <f>IF(E69=0,0,B69/E69*G69)</f>
        <v>1.7224409448818898</v>
      </c>
      <c r="I69" s="14">
        <f>B69*50</f>
        <v>87.5</v>
      </c>
      <c r="J69" s="14">
        <f>B69*100</f>
        <v>175.0</v>
      </c>
      <c r="K69" s="14">
        <f>B69*200</f>
        <v>350.0</v>
      </c>
      <c r="L69" s="12">
        <f>IF(E69=0,0,ROUNDUP(B69*100/E69,0))</f>
        <v>7.0</v>
      </c>
    </row>
    <row r="70">
      <c r="A70" s="4" t="inlineStr">
        <is>
          <t>Coffee liqueur</t>
        </is>
      </c>
      <c r="B70" s="21" t="n">
        <v>0.75</v>
      </c>
      <c r="C70" s="4" t="inlineStr">
        <is>
          <t>oz</t>
        </is>
      </c>
      <c r="D70" s="4" t="inlineStr">
        <is>
          <t>Host</t>
        </is>
      </c>
      <c r="E70" s="22" t="n">
        <v>25.4</v>
      </c>
      <c r="F70" s="4" t="inlineStr">
        <is>
          <t>oz</t>
        </is>
      </c>
      <c r="G70" s="8" t="n">
        <v>25</v>
      </c>
      <c r="H70" s="23">
        <f>IF(E70=0,0,B70/E70*G70)</f>
        <v>0.7381889763779528</v>
      </c>
      <c r="I70" s="14">
        <f>B70*50</f>
        <v>37.5</v>
      </c>
      <c r="J70" s="14">
        <f>B70*100</f>
        <v>75.0</v>
      </c>
      <c r="K70" s="14">
        <f>B70*200</f>
        <v>150.0</v>
      </c>
      <c r="L70" s="12">
        <f>IF(E70=0,0,ROUNDUP(B70*100/E70,0))</f>
        <v>3.0</v>
      </c>
    </row>
    <row r="71">
      <c r="A71" s="4" t="inlineStr">
        <is>
          <t>Fresh espresso (cooled)</t>
        </is>
      </c>
      <c r="B71" s="21" t="n">
        <v>1</v>
      </c>
      <c r="C71" s="4" t="inlineStr">
        <is>
          <t>oz</t>
        </is>
      </c>
      <c r="D71" s="4" t="inlineStr">
        <is>
          <t>Bar</t>
        </is>
      </c>
      <c r="E71" s="22" t="n">
        <v>1</v>
      </c>
      <c r="F71" s="4" t="inlineStr">
        <is>
          <t>oz</t>
        </is>
      </c>
      <c r="G71" s="8" t="n">
        <v>0.5</v>
      </c>
      <c r="H71" s="23">
        <f>IF(E71=0,0,B71/E71*G71)</f>
        <v>0.5</v>
      </c>
      <c r="I71" s="14">
        <f>B71*50</f>
        <v>50.0</v>
      </c>
      <c r="J71" s="14">
        <f>B71*100</f>
        <v>100.0</v>
      </c>
      <c r="K71" s="14">
        <f>B71*200</f>
        <v>200.0</v>
      </c>
      <c r="L71" s="12">
        <f>IF(E71=0,0,ROUNDUP(B71*100/E71,0))</f>
        <v>100.0</v>
      </c>
    </row>
    <row r="72">
      <c r="A72" s="4" t="inlineStr">
        <is>
          <t>Simple syrup</t>
        </is>
      </c>
      <c r="B72" s="21" t="n">
        <v>0.25</v>
      </c>
      <c r="C72" s="4" t="inlineStr">
        <is>
          <t>oz</t>
        </is>
      </c>
      <c r="D72" s="4" t="inlineStr">
        <is>
          <t>Bar</t>
        </is>
      </c>
      <c r="E72" s="22" t="n">
        <v>33.8</v>
      </c>
      <c r="F72" s="4" t="inlineStr">
        <is>
          <t>oz</t>
        </is>
      </c>
      <c r="G72" s="8" t="n">
        <v>8</v>
      </c>
      <c r="H72" s="23">
        <f>IF(E72=0,0,B72/E72*G72)</f>
        <v>0.0591715976331361</v>
      </c>
      <c r="I72" s="14">
        <f>B72*50</f>
        <v>12.5</v>
      </c>
      <c r="J72" s="14">
        <f>B72*100</f>
        <v>25.0</v>
      </c>
      <c r="K72" s="14">
        <f>B72*200</f>
        <v>50.0</v>
      </c>
      <c r="L72" s="12">
        <f>IF(E72=0,0,ROUNDUP(B72*100/E72,0))</f>
        <v>1.0</v>
      </c>
    </row>
    <row r="73">
      <c r="A73" s="4" t="inlineStr">
        <is>
          <t>Coffee beans (garnish)</t>
        </is>
      </c>
      <c r="B73" s="21" t="n">
        <v>3</v>
      </c>
      <c r="C73" s="4" t="inlineStr">
        <is>
          <t>each</t>
        </is>
      </c>
      <c r="D73" s="4" t="inlineStr">
        <is>
          <t>Bar</t>
        </is>
      </c>
      <c r="E73" s="22" t="n">
        <v>300</v>
      </c>
      <c r="F73" s="4" t="inlineStr">
        <is>
          <t>each</t>
        </is>
      </c>
      <c r="G73" s="8" t="n">
        <v>5</v>
      </c>
      <c r="H73" s="23">
        <f>IF(E73=0,0,B73/E73*G73)</f>
        <v>0.05</v>
      </c>
      <c r="I73" s="14">
        <f>B73*50</f>
        <v>150.0</v>
      </c>
      <c r="J73" s="14">
        <f>B73*100</f>
        <v>300.0</v>
      </c>
      <c r="K73" s="14">
        <f>B73*200</f>
        <v>600.0</v>
      </c>
      <c r="L73" s="12">
        <f>IF(E73=0,0,ROUNDUP(B73*100/E73,0))</f>
        <v>1.0</v>
      </c>
    </row>
    <row r="74">
      <c r="A74" s="15" t="inlineStr">
        <is>
          <t>Cost per drink, all ingredients</t>
        </is>
      </c>
      <c r="H74" s="16">
        <f>SUM(H69:H73)</f>
        <v>3.069801518892979</v>
      </c>
    </row>
    <row r="75">
      <c r="A75" s="15" t="inlineStr">
        <is>
          <t>Your cost per drink in dry hire (bar-supplied items)</t>
        </is>
      </c>
      <c r="H75" s="16">
        <f>SUMIF(D69:D73,"Bar",H69:H73)</f>
        <v>0.6091715976331361</v>
      </c>
    </row>
    <row r="77">
      <c r="A77" s="3" t="inlineStr">
        <is>
          <t>SMOKED MEZCAL MARGARITA</t>
        </is>
      </c>
      <c r="B77" s="20" t="inlineStr">
        <is>
          <t>Coupe with a smoked-salt rim</t>
        </is>
      </c>
    </row>
    <row r="78">
      <c r="A78" s="4" t="inlineStr">
        <is>
          <t>Mezcal</t>
        </is>
      </c>
      <c r="B78" s="21" t="n">
        <v>1.75</v>
      </c>
      <c r="C78" s="4" t="inlineStr">
        <is>
          <t>oz</t>
        </is>
      </c>
      <c r="D78" s="4" t="inlineStr">
        <is>
          <t>Host</t>
        </is>
      </c>
      <c r="E78" s="22" t="n">
        <v>25.4</v>
      </c>
      <c r="F78" s="4" t="inlineStr">
        <is>
          <t>oz</t>
        </is>
      </c>
      <c r="G78" s="8" t="n">
        <v>40</v>
      </c>
      <c r="H78" s="23">
        <f>IF(E78=0,0,B78/E78*G78)</f>
        <v>2.7559055118110236</v>
      </c>
      <c r="I78" s="14">
        <f>B78*50</f>
        <v>87.5</v>
      </c>
      <c r="J78" s="14">
        <f>B78*100</f>
        <v>175.0</v>
      </c>
      <c r="K78" s="14">
        <f>B78*200</f>
        <v>350.0</v>
      </c>
      <c r="L78" s="12">
        <f>IF(E78=0,0,ROUNDUP(B78*100/E78,0))</f>
        <v>7.0</v>
      </c>
    </row>
    <row r="79">
      <c r="A79" s="4" t="inlineStr">
        <is>
          <t>Triple sec</t>
        </is>
      </c>
      <c r="B79" s="21" t="n">
        <v>0.75</v>
      </c>
      <c r="C79" s="4" t="inlineStr">
        <is>
          <t>oz</t>
        </is>
      </c>
      <c r="D79" s="4" t="inlineStr">
        <is>
          <t>Host</t>
        </is>
      </c>
      <c r="E79" s="22" t="n">
        <v>25.4</v>
      </c>
      <c r="F79" s="4" t="inlineStr">
        <is>
          <t>oz</t>
        </is>
      </c>
      <c r="G79" s="8" t="n">
        <v>20</v>
      </c>
      <c r="H79" s="23">
        <f>IF(E79=0,0,B79/E79*G79)</f>
        <v>0.5905511811023623</v>
      </c>
      <c r="I79" s="14">
        <f>B79*50</f>
        <v>37.5</v>
      </c>
      <c r="J79" s="14">
        <f>B79*100</f>
        <v>75.0</v>
      </c>
      <c r="K79" s="14">
        <f>B79*200</f>
        <v>150.0</v>
      </c>
      <c r="L79" s="12">
        <f>IF(E79=0,0,ROUNDUP(B79*100/E79,0))</f>
        <v>3.0</v>
      </c>
    </row>
    <row r="80">
      <c r="A80" s="4" t="inlineStr">
        <is>
          <t>Fresh lime juice</t>
        </is>
      </c>
      <c r="B80" s="21" t="n">
        <v>0.75</v>
      </c>
      <c r="C80" s="4" t="inlineStr">
        <is>
          <t>oz</t>
        </is>
      </c>
      <c r="D80" s="4" t="inlineStr">
        <is>
          <t>Bar</t>
        </is>
      </c>
      <c r="E80" s="22" t="n">
        <v>32</v>
      </c>
      <c r="F80" s="4" t="inlineStr">
        <is>
          <t>oz</t>
        </is>
      </c>
      <c r="G80" s="8" t="n">
        <v>10</v>
      </c>
      <c r="H80" s="23">
        <f>IF(E80=0,0,B80/E80*G80)</f>
        <v>0.234375</v>
      </c>
      <c r="I80" s="14">
        <f>B80*50</f>
        <v>37.5</v>
      </c>
      <c r="J80" s="14">
        <f>B80*100</f>
        <v>75.0</v>
      </c>
      <c r="K80" s="14">
        <f>B80*200</f>
        <v>150.0</v>
      </c>
      <c r="L80" s="12">
        <f>IF(E80=0,0,ROUNDUP(B80*100/E80,0))</f>
        <v>3.0</v>
      </c>
    </row>
    <row r="81">
      <c r="A81" s="4" t="inlineStr">
        <is>
          <t>Simple syrup</t>
        </is>
      </c>
      <c r="B81" s="21" t="n">
        <v>0.25</v>
      </c>
      <c r="C81" s="4" t="inlineStr">
        <is>
          <t>oz</t>
        </is>
      </c>
      <c r="D81" s="4" t="inlineStr">
        <is>
          <t>Bar</t>
        </is>
      </c>
      <c r="E81" s="22" t="n">
        <v>33.8</v>
      </c>
      <c r="F81" s="4" t="inlineStr">
        <is>
          <t>oz</t>
        </is>
      </c>
      <c r="G81" s="8" t="n">
        <v>8</v>
      </c>
      <c r="H81" s="23">
        <f>IF(E81=0,0,B81/E81*G81)</f>
        <v>0.0591715976331361</v>
      </c>
      <c r="I81" s="14">
        <f>B81*50</f>
        <v>12.5</v>
      </c>
      <c r="J81" s="14">
        <f>B81*100</f>
        <v>25.0</v>
      </c>
      <c r="K81" s="14">
        <f>B81*200</f>
        <v>50.0</v>
      </c>
      <c r="L81" s="12">
        <f>IF(E81=0,0,ROUNDUP(B81*100/E81,0))</f>
        <v>1.0</v>
      </c>
    </row>
    <row r="82">
      <c r="A82" s="4" t="inlineStr">
        <is>
          <t>Smoked salt (rim)</t>
        </is>
      </c>
      <c r="B82" s="21" t="n">
        <v>1</v>
      </c>
      <c r="C82" s="4" t="inlineStr">
        <is>
          <t>each</t>
        </is>
      </c>
      <c r="D82" s="4" t="inlineStr">
        <is>
          <t>Bar</t>
        </is>
      </c>
      <c r="E82" s="22" t="n">
        <v>60</v>
      </c>
      <c r="F82" s="4" t="inlineStr">
        <is>
          <t>each</t>
        </is>
      </c>
      <c r="G82" s="8" t="n">
        <v>6</v>
      </c>
      <c r="H82" s="23">
        <f>IF(E82=0,0,B82/E82*G82)</f>
        <v>0.1</v>
      </c>
      <c r="I82" s="14">
        <f>B82*50</f>
        <v>50.0</v>
      </c>
      <c r="J82" s="14">
        <f>B82*100</f>
        <v>100.0</v>
      </c>
      <c r="K82" s="14">
        <f>B82*200</f>
        <v>200.0</v>
      </c>
      <c r="L82" s="12">
        <f>IF(E82=0,0,ROUNDUP(B82*100/E82,0))</f>
        <v>2.0</v>
      </c>
    </row>
    <row r="83">
      <c r="A83" s="4" t="inlineStr">
        <is>
          <t>Lime wedge</t>
        </is>
      </c>
      <c r="B83" s="21" t="n">
        <v>1</v>
      </c>
      <c r="C83" s="4" t="inlineStr">
        <is>
          <t>each</t>
        </is>
      </c>
      <c r="D83" s="4" t="inlineStr">
        <is>
          <t>Bar</t>
        </is>
      </c>
      <c r="E83" s="22" t="n">
        <v>8</v>
      </c>
      <c r="F83" s="4" t="inlineStr">
        <is>
          <t>each</t>
        </is>
      </c>
      <c r="G83" s="8" t="n">
        <v>0.5</v>
      </c>
      <c r="H83" s="23">
        <f>IF(E83=0,0,B83/E83*G83)</f>
        <v>0.0625</v>
      </c>
      <c r="I83" s="14">
        <f>B83*50</f>
        <v>50.0</v>
      </c>
      <c r="J83" s="14">
        <f>B83*100</f>
        <v>100.0</v>
      </c>
      <c r="K83" s="14">
        <f>B83*200</f>
        <v>200.0</v>
      </c>
      <c r="L83" s="12">
        <f>IF(E83=0,0,ROUNDUP(B83*100/E83,0))</f>
        <v>13.0</v>
      </c>
    </row>
    <row r="84">
      <c r="A84" s="15" t="inlineStr">
        <is>
          <t>Cost per drink, all ingredients</t>
        </is>
      </c>
      <c r="H84" s="16">
        <f>SUM(H78:H83)</f>
        <v>3.802503290546522</v>
      </c>
    </row>
    <row r="85">
      <c r="A85" s="15" t="inlineStr">
        <is>
          <t>Your cost per drink in dry hire (bar-supplied items)</t>
        </is>
      </c>
      <c r="H85" s="16">
        <f>SUMIF(D78:D83,"Bar",H78:H83)</f>
        <v>0.4560465976331361</v>
      </c>
    </row>
    <row r="87">
      <c r="A87" s="3" t="inlineStr">
        <is>
          <t>TROPICAL MOCKTAIL (ZERO-PROOF)</t>
        </is>
      </c>
      <c r="B87" s="20" t="inlineStr">
        <is>
          <t>Hurricane glass, crushed ice. Allergen: coconut (cream of coconut)</t>
        </is>
      </c>
    </row>
    <row r="88">
      <c r="A88" s="4" t="inlineStr">
        <is>
          <t>Pineapple juice</t>
        </is>
      </c>
      <c r="B88" s="21" t="n">
        <v>3</v>
      </c>
      <c r="C88" s="4" t="inlineStr">
        <is>
          <t>oz</t>
        </is>
      </c>
      <c r="D88" s="4" t="inlineStr">
        <is>
          <t>Bar</t>
        </is>
      </c>
      <c r="E88" s="22" t="n">
        <v>46</v>
      </c>
      <c r="F88" s="4" t="inlineStr">
        <is>
          <t>oz</t>
        </is>
      </c>
      <c r="G88" s="8" t="n">
        <v>4</v>
      </c>
      <c r="H88" s="23">
        <f>IF(E88=0,0,B88/E88*G88)</f>
        <v>0.2608695652173913</v>
      </c>
      <c r="I88" s="14">
        <f>B88*50</f>
        <v>150.0</v>
      </c>
      <c r="J88" s="14">
        <f>B88*100</f>
        <v>300.0</v>
      </c>
      <c r="K88" s="14">
        <f>B88*200</f>
        <v>600.0</v>
      </c>
      <c r="L88" s="12">
        <f>IF(E88=0,0,ROUNDUP(B88*100/E88,0))</f>
        <v>7.0</v>
      </c>
    </row>
    <row r="89">
      <c r="A89" s="4" t="inlineStr">
        <is>
          <t>Fresh orange juice</t>
        </is>
      </c>
      <c r="B89" s="21" t="n">
        <v>2</v>
      </c>
      <c r="C89" s="4" t="inlineStr">
        <is>
          <t>oz</t>
        </is>
      </c>
      <c r="D89" s="4" t="inlineStr">
        <is>
          <t>Bar</t>
        </is>
      </c>
      <c r="E89" s="22" t="n">
        <v>52</v>
      </c>
      <c r="F89" s="4" t="inlineStr">
        <is>
          <t>oz</t>
        </is>
      </c>
      <c r="G89" s="8" t="n">
        <v>5</v>
      </c>
      <c r="H89" s="23">
        <f>IF(E89=0,0,B89/E89*G89)</f>
        <v>0.19230769230769232</v>
      </c>
      <c r="I89" s="14">
        <f>B89*50</f>
        <v>100.0</v>
      </c>
      <c r="J89" s="14">
        <f>B89*100</f>
        <v>200.0</v>
      </c>
      <c r="K89" s="14">
        <f>B89*200</f>
        <v>400.0</v>
      </c>
      <c r="L89" s="12">
        <f>IF(E89=0,0,ROUNDUP(B89*100/E89,0))</f>
        <v>4.0</v>
      </c>
    </row>
    <row r="90">
      <c r="A90" s="4" t="inlineStr">
        <is>
          <t>Fresh lime juice</t>
        </is>
      </c>
      <c r="B90" s="21" t="n">
        <v>0.75</v>
      </c>
      <c r="C90" s="4" t="inlineStr">
        <is>
          <t>oz</t>
        </is>
      </c>
      <c r="D90" s="4" t="inlineStr">
        <is>
          <t>Bar</t>
        </is>
      </c>
      <c r="E90" s="22" t="n">
        <v>32</v>
      </c>
      <c r="F90" s="4" t="inlineStr">
        <is>
          <t>oz</t>
        </is>
      </c>
      <c r="G90" s="8" t="n">
        <v>10</v>
      </c>
      <c r="H90" s="23">
        <f>IF(E90=0,0,B90/E90*G90)</f>
        <v>0.234375</v>
      </c>
      <c r="I90" s="14">
        <f>B90*50</f>
        <v>37.5</v>
      </c>
      <c r="J90" s="14">
        <f>B90*100</f>
        <v>75.0</v>
      </c>
      <c r="K90" s="14">
        <f>B90*200</f>
        <v>150.0</v>
      </c>
      <c r="L90" s="12">
        <f>IF(E90=0,0,ROUNDUP(B90*100/E90,0))</f>
        <v>3.0</v>
      </c>
    </row>
    <row r="91">
      <c r="A91" s="4" t="inlineStr">
        <is>
          <t>Grenadine</t>
        </is>
      </c>
      <c r="B91" s="21" t="n">
        <v>0.5</v>
      </c>
      <c r="C91" s="4" t="inlineStr">
        <is>
          <t>oz</t>
        </is>
      </c>
      <c r="D91" s="4" t="inlineStr">
        <is>
          <t>Bar</t>
        </is>
      </c>
      <c r="E91" s="22" t="n">
        <v>25.4</v>
      </c>
      <c r="F91" s="4" t="inlineStr">
        <is>
          <t>oz</t>
        </is>
      </c>
      <c r="G91" s="8" t="n">
        <v>8</v>
      </c>
      <c r="H91" s="23">
        <f>IF(E91=0,0,B91/E91*G91)</f>
        <v>0.15748031496062992</v>
      </c>
      <c r="I91" s="14">
        <f>B91*50</f>
        <v>25.0</v>
      </c>
      <c r="J91" s="14">
        <f>B91*100</f>
        <v>50.0</v>
      </c>
      <c r="K91" s="14">
        <f>B91*200</f>
        <v>100.0</v>
      </c>
      <c r="L91" s="12">
        <f>IF(E91=0,0,ROUNDUP(B91*100/E91,0))</f>
        <v>2.0</v>
      </c>
    </row>
    <row r="92">
      <c r="A92" s="4" t="inlineStr">
        <is>
          <t>Cream of coconut</t>
        </is>
      </c>
      <c r="B92" s="21" t="n">
        <v>0.75</v>
      </c>
      <c r="C92" s="4" t="inlineStr">
        <is>
          <t>oz</t>
        </is>
      </c>
      <c r="D92" s="4" t="inlineStr">
        <is>
          <t>Bar</t>
        </is>
      </c>
      <c r="E92" s="22" t="n">
        <v>15</v>
      </c>
      <c r="F92" s="4" t="inlineStr">
        <is>
          <t>oz</t>
        </is>
      </c>
      <c r="G92" s="8" t="n">
        <v>4</v>
      </c>
      <c r="H92" s="23">
        <f>IF(E92=0,0,B92/E92*G92)</f>
        <v>0.2</v>
      </c>
      <c r="I92" s="14">
        <f>B92*50</f>
        <v>37.5</v>
      </c>
      <c r="J92" s="14">
        <f>B92*100</f>
        <v>75.0</v>
      </c>
      <c r="K92" s="14">
        <f>B92*200</f>
        <v>150.0</v>
      </c>
      <c r="L92" s="12">
        <f>IF(E92=0,0,ROUNDUP(B92*100/E92,0))</f>
        <v>5.0</v>
      </c>
    </row>
    <row r="93">
      <c r="A93" s="4" t="inlineStr">
        <is>
          <t>Club soda (top)</t>
        </is>
      </c>
      <c r="B93" s="21" t="n">
        <v>2</v>
      </c>
      <c r="C93" s="4" t="inlineStr">
        <is>
          <t>oz</t>
        </is>
      </c>
      <c r="D93" s="4" t="inlineStr">
        <is>
          <t>Bar</t>
        </is>
      </c>
      <c r="E93" s="22" t="n">
        <v>33.8</v>
      </c>
      <c r="F93" s="4" t="inlineStr">
        <is>
          <t>oz</t>
        </is>
      </c>
      <c r="G93" s="8" t="n">
        <v>1.5</v>
      </c>
      <c r="H93" s="23">
        <f>IF(E93=0,0,B93/E93*G93)</f>
        <v>0.08875739644970415</v>
      </c>
      <c r="I93" s="14">
        <f>B93*50</f>
        <v>100.0</v>
      </c>
      <c r="J93" s="14">
        <f>B93*100</f>
        <v>200.0</v>
      </c>
      <c r="K93" s="14">
        <f>B93*200</f>
        <v>400.0</v>
      </c>
      <c r="L93" s="12">
        <f>IF(E93=0,0,ROUNDUP(B93*100/E93,0))</f>
        <v>6.0</v>
      </c>
    </row>
    <row r="94">
      <c r="A94" s="15" t="inlineStr">
        <is>
          <t>Cost per drink, all ingredients</t>
        </is>
      </c>
      <c r="H94" s="16">
        <f>SUM(H88:H93)</f>
        <v>1.1337899689354176</v>
      </c>
    </row>
    <row r="95">
      <c r="A95" s="15" t="inlineStr">
        <is>
          <t>Your cost per drink in dry hire (bar-supplied items)</t>
        </is>
      </c>
      <c r="H95" s="16">
        <f>SUMIF(D88:D93,"Bar",H88:H93)</f>
        <v>1.1337899689354176</v>
      </c>
    </row>
    <row r="97" ht="30" customHeight="1">
      <c r="A97" s="2" t="inlineStr">
        <is>
          <t>Specs converted from milliliters (30 ml = 1 oz) and rounded to the nearest 0.25 oz. A 750 ml bottle holds about 25.4 oz and a 1 liter bottle about 33.8 oz.</t>
        </is>
      </c>
    </row>
    <row r="98" ht="30" customHeight="1">
      <c r="A98" s="2" t="inlineStr">
        <is>
          <t>Batching tip: pre-batch the still part of each cocktail (spirits, juice, syrup) and add sparkling wine or soda at the bar. Always offer at least one zero-proof drink.</t>
        </is>
      </c>
    </row>
    <row r="99" ht="30" customHeight="1">
      <c r="A99" s="2" t="inlineStr">
        <is>
          <t>Allergens: tell guests that the Mai Tai contains almond (orgeat) and that the Pina Colada and the mocktail contain coconut. Keep an allergen card at the bar.</t>
        </is>
      </c>
    </row>
  </sheetData>
  <sheetProtection selectLockedCells="0" selectUnlockedCells="0" sheet="1" objects="0" insertRows="1" insertHyperlinks="1" autoFilter="1" scenarios="0" formatColumns="1" deleteColumns="1" insertColumns="1" pivotTables="1" deleteRows="1" formatCells="1" formatRows="1" sort="1"/>
  <mergeCells count="14">
    <mergeCell ref="B50:L50"/>
    <mergeCell ref="A2:L2"/>
    <mergeCell ref="B6:L6"/>
    <mergeCell ref="B68:L68"/>
    <mergeCell ref="A98:L98"/>
    <mergeCell ref="B77:L77"/>
    <mergeCell ref="A99:L99"/>
    <mergeCell ref="B87:L87"/>
    <mergeCell ref="B60:L60"/>
    <mergeCell ref="A97:L97"/>
    <mergeCell ref="B22:L22"/>
    <mergeCell ref="B14:L14"/>
    <mergeCell ref="B31:L31"/>
    <mergeCell ref="B41:L41"/>
  </mergeCells>
  <dataValidations count="11">
    <dataValidation sqref="E7 E8 E9 E10" showDropDown="0" showInputMessage="0" showErrorMessage="1" allowBlank="0" errorTitle="Invalid pack size" error="Enter the pack size in the pack unit (greater than 0)." type="decimal" operator="greaterThanOrEqual">
      <formula1>0.01</formula1>
    </dataValidation>
    <dataValidation sqref="E15 E16 E17 E18" showDropDown="0" showInputMessage="0" showErrorMessage="1" allowBlank="0" errorTitle="Invalid pack size" error="Enter the pack size in the pack unit (greater than 0)." type="decimal" operator="greaterThanOrEqual">
      <formula1>0.01</formula1>
    </dataValidation>
    <dataValidation sqref="E23 E24 E25 E26 E27" showDropDown="0" showInputMessage="0" showErrorMessage="1" allowBlank="0" errorTitle="Invalid pack size" error="Enter the pack size in the pack unit (greater than 0)." type="decimal" operator="greaterThanOrEqual">
      <formula1>0.01</formula1>
    </dataValidation>
    <dataValidation sqref="E32 E33 E34 E35 E36 E37" showDropDown="0" showInputMessage="0" showErrorMessage="1" allowBlank="0" errorTitle="Invalid pack size" error="Enter the pack size in the pack unit (greater than 0)." type="decimal" operator="greaterThanOrEqual">
      <formula1>0.01</formula1>
    </dataValidation>
    <dataValidation sqref="E42 E43 E44 E45 E46" showDropDown="0" showInputMessage="0" showErrorMessage="1" allowBlank="0" errorTitle="Invalid pack size" error="Enter the pack size in the pack unit (greater than 0)." type="decimal" operator="greaterThanOrEqual">
      <formula1>0.01</formula1>
    </dataValidation>
    <dataValidation sqref="E51 E52 E53 E54 E55 E56" showDropDown="0" showInputMessage="0" showErrorMessage="1" allowBlank="0" errorTitle="Invalid pack size" error="Enter the pack size in the pack unit (greater than 0)." type="decimal" operator="greaterThanOrEqual">
      <formula1>0.01</formula1>
    </dataValidation>
    <dataValidation sqref="E61 E62 E63 E64" showDropDown="0" showInputMessage="0" showErrorMessage="1" allowBlank="0" errorTitle="Invalid pack size" error="Enter the pack size in the pack unit (greater than 0)." type="decimal" operator="greaterThanOrEqual">
      <formula1>0.01</formula1>
    </dataValidation>
    <dataValidation sqref="E69 E70 E71 E72 E73" showDropDown="0" showInputMessage="0" showErrorMessage="1" allowBlank="0" errorTitle="Invalid pack size" error="Enter the pack size in the pack unit (greater than 0)." type="decimal" operator="greaterThanOrEqual">
      <formula1>0.01</formula1>
    </dataValidation>
    <dataValidation sqref="E78 E79 E80 E81 E82 E83" showDropDown="0" showInputMessage="0" showErrorMessage="1" allowBlank="0" errorTitle="Invalid pack size" error="Enter the pack size in the pack unit (greater than 0)." type="decimal" operator="greaterThanOrEqual">
      <formula1>0.01</formula1>
    </dataValidation>
    <dataValidation sqref="E88 E89 E90 E91 E92 E93" showDropDown="0" showInputMessage="0" showErrorMessage="1" allowBlank="0" errorTitle="Invalid pack size" error="Enter the pack size in the pack unit (greater than 0)." type="decimal" operator="greaterThanOrEqual">
      <formula1>0.01</formula1>
    </dataValidation>
    <dataValidation sqref="B7 B8 B9 B10 B15 B16 B17 B18 B23 B24 B25 B26 B27 B32 B33 B34 B35 B36 B37 B42 B43 B44 B45 B46 B51 B52 B53 B54 B55 B56 B61 B62 B63 B64 B69 B70 B71 B72 B73 B78 B79 B80 B81 B82 B83 B88 B89 B90 B91 B92 B93 G7 G8 G9 G10 G15 G16 G17 G18 G23 G24 G25 G26 G27 G32 G33 G34 G35 G36 G37 G42 G43 G44 G45 G46 G51 G52 G53 G54 G55 G56 G61 G62 G63 G64 G69 G70 G71 G72 G73 G78 G79 G80 G81 G82 G83 G88 G89 G90 G91 G92 G93" showDropDown="0" showInputMessage="0" showErrorMessage="1" allowBlank="0" errorTitle="Invalid amount" error="Enter a number greater than or equal to 0." type="decimal" operator="greaterThanOrEqual">
      <formula1>0</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6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26" customWidth="1" min="2" max="2"/>
    <col width="26" customWidth="1" min="3" max="3"/>
    <col width="26" customWidth="1" min="4" max="4"/>
  </cols>
  <sheetData>
    <row r="1">
      <c r="A1" s="1" t="inlineStr">
        <is>
          <t>3 EXAMPLE QUOTES — calculated with the same formulas as the "Pricing Calculator" tab</t>
        </is>
      </c>
    </row>
    <row r="2" ht="48" customHeight="1">
      <c r="A2" s="2" t="inlineStr">
        <is>
          <t>Kit estimates for illustration only, not market prices: change the inputs in "Pricing Calculator" to price your own events. All three are dry hire: the host buys the alcohol.</t>
        </is>
      </c>
    </row>
    <row r="4" ht="30" customHeight="1">
      <c r="A4" s="3" t="inlineStr">
        <is>
          <t>INPUTS</t>
        </is>
      </c>
      <c r="B4" s="18" t="inlineStr">
        <is>
          <t>Wedding, 120 guests, 5 hours</t>
        </is>
      </c>
      <c r="C4" s="18" t="inlineStr">
        <is>
          <t>Corporate holiday party, 100 guests, 4 hours</t>
        </is>
      </c>
      <c r="D4" s="18" t="inlineStr">
        <is>
          <t>Private birthday, 60 guests, 4 hours</t>
        </is>
      </c>
    </row>
    <row r="5" ht="30" customHeight="1">
      <c r="A5" s="4" t="inlineStr">
        <is>
          <t>Bar package</t>
        </is>
      </c>
      <c r="B5" s="2" t="inlineStr">
        <is>
          <t>Full bar – dry hire</t>
        </is>
      </c>
      <c r="C5" s="2" t="inlineStr">
        <is>
          <t>Full bar – dry hire</t>
        </is>
      </c>
      <c r="D5" s="2" t="inlineStr">
        <is>
          <t>Limited bar (beer, wine + 1 signature) – dry hire</t>
        </is>
      </c>
    </row>
    <row r="6">
      <c r="A6" s="4" t="inlineStr">
        <is>
          <t>Guests expected</t>
        </is>
      </c>
      <c r="B6" s="12" t="n">
        <v>120</v>
      </c>
      <c r="C6" s="12" t="n">
        <v>100</v>
      </c>
      <c r="D6" s="12" t="n">
        <v>60</v>
      </c>
    </row>
    <row r="7">
      <c r="A7" s="4" t="inlineStr">
        <is>
          <t>Hours of bar service</t>
        </is>
      </c>
      <c r="B7" s="13" t="n">
        <v>5</v>
      </c>
      <c r="C7" s="13" t="n">
        <v>4</v>
      </c>
      <c r="D7" s="13" t="n">
        <v>4</v>
      </c>
    </row>
    <row r="8">
      <c r="A8" s="4" t="inlineStr">
        <is>
          <t>Drinks per guest in the first hour</t>
        </is>
      </c>
      <c r="B8" s="13" t="n">
        <v>2</v>
      </c>
      <c r="C8" s="13" t="n">
        <v>2</v>
      </c>
      <c r="D8" s="13" t="n">
        <v>2</v>
      </c>
    </row>
    <row r="9">
      <c r="A9" s="4" t="inlineStr">
        <is>
          <t>Drinks per guest in each following hour</t>
        </is>
      </c>
      <c r="B9" s="13" t="n">
        <v>1</v>
      </c>
      <c r="C9" s="13" t="n">
        <v>1</v>
      </c>
      <c r="D9" s="13" t="n">
        <v>1</v>
      </c>
    </row>
    <row r="10">
      <c r="A10" s="4" t="inlineStr">
        <is>
          <t>Bartenders working the event</t>
        </is>
      </c>
      <c r="B10" s="12" t="n">
        <v>3</v>
      </c>
      <c r="C10" s="12" t="n">
        <v>2</v>
      </c>
      <c r="D10" s="12" t="n">
        <v>1</v>
      </c>
    </row>
    <row r="11">
      <c r="A11" s="4" t="inlineStr">
        <is>
          <t>Barbacks / setup crew working the event</t>
        </is>
      </c>
      <c r="B11" s="12" t="n">
        <v>1</v>
      </c>
      <c r="C11" s="12" t="n">
        <v>1</v>
      </c>
      <c r="D11" s="12" t="n">
        <v>0</v>
      </c>
    </row>
    <row r="12">
      <c r="A12" s="4" t="inlineStr">
        <is>
          <t>Setup, travel and breakdown hours per person</t>
        </is>
      </c>
      <c r="B12" s="13" t="n">
        <v>3.5</v>
      </c>
      <c r="C12" s="13" t="n">
        <v>3</v>
      </c>
      <c r="D12" s="13" t="n">
        <v>2.5</v>
      </c>
    </row>
    <row r="13">
      <c r="A13" s="4" t="inlineStr">
        <is>
          <t>Bartender hourly wage</t>
        </is>
      </c>
      <c r="B13" s="14" t="n">
        <v>20</v>
      </c>
      <c r="C13" s="14" t="n">
        <v>20</v>
      </c>
      <c r="D13" s="14" t="n">
        <v>20</v>
      </c>
    </row>
    <row r="14">
      <c r="A14" s="4" t="inlineStr">
        <is>
          <t>Barback hourly wage</t>
        </is>
      </c>
      <c r="B14" s="14" t="n">
        <v>16</v>
      </c>
      <c r="C14" s="14" t="n">
        <v>16</v>
      </c>
      <c r="D14" s="14" t="n">
        <v>16</v>
      </c>
    </row>
    <row r="15">
      <c r="A15" s="4" t="inlineStr">
        <is>
          <t>Employer payroll taxes and workers' comp (% of wages)</t>
        </is>
      </c>
      <c r="B15" s="24" t="n">
        <v>0.1</v>
      </c>
      <c r="C15" s="24" t="n">
        <v>0.1</v>
      </c>
      <c r="D15" s="24" t="n">
        <v>0.1</v>
      </c>
    </row>
    <row r="16">
      <c r="A16" s="4" t="inlineStr">
        <is>
          <t>Mixers, garnishes and N/A drinks per drink served</t>
        </is>
      </c>
      <c r="B16" s="14" t="n">
        <v>0.38</v>
      </c>
      <c r="C16" s="14" t="n">
        <v>0.38</v>
      </c>
      <c r="D16" s="14" t="n">
        <v>0.38</v>
      </c>
    </row>
    <row r="17">
      <c r="A17" s="4" t="inlineStr">
        <is>
          <t>Alcohol cost per drink (licensed package only)</t>
        </is>
      </c>
      <c r="B17" s="14" t="n">
        <v>3</v>
      </c>
      <c r="C17" s="14" t="n">
        <v>3</v>
      </c>
      <c r="D17" s="14" t="n">
        <v>3</v>
      </c>
    </row>
    <row r="18">
      <c r="A18" s="4" t="inlineStr">
        <is>
          <t>Cups, straws, napkins and menu signs per guest</t>
        </is>
      </c>
      <c r="B18" s="14" t="n">
        <v>0.55</v>
      </c>
      <c r="C18" s="14" t="n">
        <v>0.55</v>
      </c>
      <c r="D18" s="14" t="n">
        <v>0.55</v>
      </c>
    </row>
    <row r="19">
      <c r="A19" s="4" t="inlineStr">
        <is>
          <t>Ice per guest (lb)</t>
        </is>
      </c>
      <c r="B19" s="13" t="n">
        <v>1.5</v>
      </c>
      <c r="C19" s="13" t="n">
        <v>1.5</v>
      </c>
      <c r="D19" s="13" t="n">
        <v>1.5</v>
      </c>
    </row>
    <row r="20">
      <c r="A20" s="4" t="inlineStr">
        <is>
          <t>Bagged ice cost per lb</t>
        </is>
      </c>
      <c r="B20" s="14" t="n">
        <v>0.25</v>
      </c>
      <c r="C20" s="14" t="n">
        <v>0.25</v>
      </c>
      <c r="D20" s="14" t="n">
        <v>0.25</v>
      </c>
    </row>
    <row r="21">
      <c r="A21" s="4" t="inlineStr">
        <is>
          <t>Round-trip miles</t>
        </is>
      </c>
      <c r="B21" s="12" t="n">
        <v>60</v>
      </c>
      <c r="C21" s="12" t="n">
        <v>30</v>
      </c>
      <c r="D21" s="12" t="n">
        <v>20</v>
      </c>
    </row>
    <row r="22">
      <c r="A22" s="4" t="inlineStr">
        <is>
          <t>Cost per mile (tow vehicle + trailer)</t>
        </is>
      </c>
      <c r="B22" s="14" t="n">
        <v>0.7</v>
      </c>
      <c r="C22" s="14" t="n">
        <v>0.7</v>
      </c>
      <c r="D22" s="14" t="n">
        <v>0.7</v>
      </c>
    </row>
    <row r="23">
      <c r="A23" s="4" t="inlineStr">
        <is>
          <t>Flat bar fee charged per event (trailer or bar setup)</t>
        </is>
      </c>
      <c r="B23" s="14" t="n">
        <v>250</v>
      </c>
      <c r="C23" s="14" t="n">
        <v>0</v>
      </c>
      <c r="D23" s="14" t="n">
        <v>0</v>
      </c>
    </row>
    <row r="24">
      <c r="A24" s="4" t="inlineStr">
        <is>
          <t>Specialty bar upcharge (% of the per-guest price)</t>
        </is>
      </c>
      <c r="B24" s="24" t="n">
        <v>0</v>
      </c>
      <c r="C24" s="24" t="n">
        <v>0</v>
      </c>
      <c r="D24" s="24" t="n">
        <v>0.15</v>
      </c>
    </row>
    <row r="25">
      <c r="A25" s="4" t="inlineStr">
        <is>
          <t>Marketplace or planner fee on this booking (% of subtotal)</t>
        </is>
      </c>
      <c r="B25" s="24" t="n">
        <v>0</v>
      </c>
      <c r="C25" s="24" t="n">
        <v>0</v>
      </c>
      <c r="D25" s="24" t="n">
        <v>0.05</v>
      </c>
    </row>
    <row r="26">
      <c r="A26" s="4" t="inlineStr">
        <is>
          <t>Target gross margin on the bar service subtotal</t>
        </is>
      </c>
      <c r="B26" s="24" t="n">
        <v>0.55</v>
      </c>
      <c r="C26" s="24" t="n">
        <v>0.55</v>
      </c>
      <c r="D26" s="24" t="n">
        <v>0.55</v>
      </c>
    </row>
    <row r="27">
      <c r="A27" s="4" t="inlineStr">
        <is>
          <t>Service charge (% of subtotal)</t>
        </is>
      </c>
      <c r="B27" s="24" t="n">
        <v>0.15</v>
      </c>
      <c r="C27" s="24" t="n">
        <v>0</v>
      </c>
      <c r="D27" s="24" t="n">
        <v>0</v>
      </c>
    </row>
    <row r="28">
      <c r="A28" s="4" t="inlineStr">
        <is>
          <t>Sales tax rate (state + local)</t>
        </is>
      </c>
      <c r="B28" s="25" t="n">
        <v>0.08</v>
      </c>
      <c r="C28" s="25" t="n">
        <v>0.08</v>
      </c>
      <c r="D28" s="25" t="n">
        <v>0.08</v>
      </c>
    </row>
    <row r="29">
      <c r="A29" s="4" t="inlineStr">
        <is>
          <t>Does your state tax the bar service and the service charge?</t>
        </is>
      </c>
      <c r="B29" s="4" t="inlineStr">
        <is>
          <t>Yes</t>
        </is>
      </c>
      <c r="C29" s="4" t="inlineStr">
        <is>
          <t>Yes</t>
        </is>
      </c>
      <c r="D29" s="4" t="inlineStr">
        <is>
          <t>No</t>
        </is>
      </c>
    </row>
    <row r="30">
      <c r="A30" s="4" t="inlineStr">
        <is>
          <t>Deposit to book the date (% of total)</t>
        </is>
      </c>
      <c r="B30" s="24" t="n">
        <v>0.3</v>
      </c>
      <c r="C30" s="24" t="n">
        <v>0.3</v>
      </c>
      <c r="D30" s="24" t="n">
        <v>0.3</v>
      </c>
    </row>
    <row r="31">
      <c r="A31" s="4" t="inlineStr">
        <is>
          <t>Minimum charge for the bar service (subtotal floor)</t>
        </is>
      </c>
      <c r="B31" s="14" t="n">
        <v>400</v>
      </c>
      <c r="C31" s="14" t="n">
        <v>400</v>
      </c>
      <c r="D31" s="14" t="n">
        <v>400</v>
      </c>
    </row>
    <row r="32">
      <c r="A32" s="4" t="inlineStr">
        <is>
          <t>Price of an extra hour of service (quoted separately)</t>
        </is>
      </c>
      <c r="B32" s="14" t="n">
        <v>150</v>
      </c>
      <c r="C32" s="14" t="n">
        <v>150</v>
      </c>
      <c r="D32" s="14" t="n">
        <v>150</v>
      </c>
    </row>
    <row r="34" ht="30" customHeight="1">
      <c r="A34" s="3" t="inlineStr">
        <is>
          <t>RESULT</t>
        </is>
      </c>
      <c r="B34" s="18" t="inlineStr">
        <is>
          <t>Wedding, 120 guests, 5 hours</t>
        </is>
      </c>
      <c r="C34" s="18" t="inlineStr">
        <is>
          <t>Corporate holiday party, 100 guests, 4 hours</t>
        </is>
      </c>
      <c r="D34" s="18" t="inlineStr">
        <is>
          <t>Private birthday, 60 guests, 4 hours</t>
        </is>
      </c>
    </row>
    <row r="35">
      <c r="A35" s="4" t="inlineStr">
        <is>
          <t>Drinks to plan for</t>
        </is>
      </c>
      <c r="B35" s="12">
        <f>$B$6*($B$8+MAX(0,$B$7-1)*$B$9)</f>
        <v>720.0</v>
      </c>
      <c r="C35" s="12">
        <f>$C$6*($C$8+MAX(0,$C$7-1)*$C$9)</f>
        <v>500.0</v>
      </c>
      <c r="D35" s="12">
        <f>$D$6*($D$8+MAX(0,$D$7-1)*$D$9)</f>
        <v>300.0</v>
      </c>
    </row>
    <row r="36">
      <c r="A36" s="4" t="inlineStr">
        <is>
          <t>Ice to bring (lb)</t>
        </is>
      </c>
      <c r="B36" s="13">
        <f>$B$6*$B$19</f>
        <v>180.0</v>
      </c>
      <c r="C36" s="13">
        <f>$C$6*$C$19</f>
        <v>150.0</v>
      </c>
      <c r="D36" s="13">
        <f>$D$6*$D$19</f>
        <v>90.0</v>
      </c>
    </row>
    <row r="37">
      <c r="A37" s="4" t="inlineStr">
        <is>
          <t>Suggested bartenders for this package (Kit estimate)</t>
        </is>
      </c>
      <c r="B37" s="12">
        <f>IFERROR(ROUNDUP($B$6/INDEX('Pricing Calculator'!$B$60:$B$62,MATCH($B$5,'Pricing Calculator'!$A$60:$A$62,0)),0),"—")</f>
        <v>3.0</v>
      </c>
      <c r="C37" s="12">
        <f>IFERROR(ROUNDUP($C$6/INDEX('Pricing Calculator'!$B$60:$B$62,MATCH($C$5,'Pricing Calculator'!$A$60:$A$62,0)),0),"—")</f>
        <v>2.0</v>
      </c>
      <c r="D37" s="12">
        <f>IFERROR(ROUNDUP($D$6/INDEX('Pricing Calculator'!$B$60:$B$62,MATCH($D$5,'Pricing Calculator'!$A$60:$A$62,0)),0),"—")</f>
        <v>1.0</v>
      </c>
    </row>
    <row r="38">
      <c r="A38" s="4" t="inlineStr">
        <is>
          <t>Staff cost (wages + payroll taxes)</t>
        </is>
      </c>
      <c r="B38" s="14">
        <f>($B$10*$B$13+$B$11*$B$14)*($B$7+$B$12)*(1+$B$15)</f>
        <v>710.6</v>
      </c>
      <c r="C38" s="14">
        <f>($C$10*$C$13+$C$11*$C$14)*($C$7+$C$12)*(1+$C$15)</f>
        <v>431.20000000000005</v>
      </c>
      <c r="D38" s="14">
        <f>($D$10*$D$13+$D$11*$D$14)*($D$7+$D$12)*(1+$D$15)</f>
        <v>143.0</v>
      </c>
    </row>
    <row r="39">
      <c r="A39" s="4" t="inlineStr">
        <is>
          <t>Mixers, garnishes and N/A drinks</t>
        </is>
      </c>
      <c r="B39" s="14">
        <f>$B$35*$B$16</f>
        <v>273.6</v>
      </c>
      <c r="C39" s="14">
        <f>$C$35*$C$16</f>
        <v>190.0</v>
      </c>
      <c r="D39" s="14">
        <f>$D$35*$D$16</f>
        <v>114.0</v>
      </c>
    </row>
    <row r="40">
      <c r="A40" s="4" t="inlineStr">
        <is>
          <t>Alcohol (licensed package only)</t>
        </is>
      </c>
      <c r="B40" s="14">
        <f>IF($B$5='Pricing Calculator'!$A$62,$B$35*$B$17,0)</f>
        <v>0.0</v>
      </c>
      <c r="C40" s="14">
        <f>IF($C$5='Pricing Calculator'!$A$62,$C$35*$C$17,0)</f>
        <v>0.0</v>
      </c>
      <c r="D40" s="14">
        <f>IF($D$5='Pricing Calculator'!$A$62,$D$35*$D$17,0)</f>
        <v>0.0</v>
      </c>
    </row>
    <row r="41">
      <c r="A41" s="4" t="inlineStr">
        <is>
          <t>Cups, straws, napkins and menu signs</t>
        </is>
      </c>
      <c r="B41" s="14">
        <f>$B$6*$B$18</f>
        <v>66.0</v>
      </c>
      <c r="C41" s="14">
        <f>$C$6*$C$18</f>
        <v>55.00000000000001</v>
      </c>
      <c r="D41" s="14">
        <f>$D$6*$D$18</f>
        <v>33.0</v>
      </c>
    </row>
    <row r="42">
      <c r="A42" s="4" t="inlineStr">
        <is>
          <t>Ice</t>
        </is>
      </c>
      <c r="B42" s="14">
        <f>$B$36*$B$20</f>
        <v>45.0</v>
      </c>
      <c r="C42" s="14">
        <f>$C$36*$C$20</f>
        <v>37.5</v>
      </c>
      <c r="D42" s="14">
        <f>$D$36*$D$20</f>
        <v>22.5</v>
      </c>
    </row>
    <row r="43">
      <c r="A43" s="4" t="inlineStr">
        <is>
          <t>Mileage</t>
        </is>
      </c>
      <c r="B43" s="14">
        <f>$B$21*$B$22</f>
        <v>42.0</v>
      </c>
      <c r="C43" s="14">
        <f>$C$21*$C$22</f>
        <v>21.0</v>
      </c>
      <c r="D43" s="14">
        <f>$D$21*$D$22</f>
        <v>14.0</v>
      </c>
    </row>
    <row r="44">
      <c r="A44" s="4" t="inlineStr">
        <is>
          <t>Total direct cost</t>
        </is>
      </c>
      <c r="B44" s="14">
        <f>$B$38+$B$39+$B$40+$B$41+$B$42+$B$43</f>
        <v>1137.2</v>
      </c>
      <c r="C44" s="14">
        <f>$C$38+$C$39+$C$40+$C$41+$C$42+$C$43</f>
        <v>734.7</v>
      </c>
      <c r="D44" s="14">
        <f>$D$38+$D$39+$D$40+$D$41+$D$42+$D$43</f>
        <v>326.5</v>
      </c>
    </row>
    <row r="45">
      <c r="A45" s="4" t="inlineStr">
        <is>
          <t>Direct cost per guest</t>
        </is>
      </c>
      <c r="B45" s="14">
        <f>$B$44/$B$6</f>
        <v>9.476666666666667</v>
      </c>
      <c r="C45" s="14">
        <f>$C$44/$C$6</f>
        <v>7.347</v>
      </c>
      <c r="D45" s="14">
        <f>$D$44/$D$6</f>
        <v>5.441666666666666</v>
      </c>
    </row>
    <row r="46">
      <c r="A46" s="15" t="inlineStr">
        <is>
          <t>PRICE PER GUEST before service charge and tax</t>
        </is>
      </c>
      <c r="B46" s="16">
        <f>ROUNDUP(MAX(0,$B$44/(1-$B$26-$B$25)-$B$23)/$B$6*(1+$B$24)*2,0)/2</f>
        <v>19.0</v>
      </c>
      <c r="C46" s="16">
        <f>ROUNDUP(MAX(0,$C$44/(1-$C$26-$C$25)-$C$23)/$C$6*(1+$C$24)*2,0)/2</f>
        <v>16.5</v>
      </c>
      <c r="D46" s="16">
        <f>ROUNDUP(MAX(0,$D$44/(1-$D$26-$D$25)-$D$23)/$D$6*(1+$D$24)*2,0)/2</f>
        <v>16.0</v>
      </c>
    </row>
    <row r="47">
      <c r="A47" s="4" t="inlineStr">
        <is>
          <t>Bar service subtotal</t>
        </is>
      </c>
      <c r="B47" s="14">
        <f>MAX($B$46*$B$6+$B$23,$B$31)</f>
        <v>2530.0</v>
      </c>
      <c r="C47" s="14">
        <f>MAX($C$46*$C$6+$C$23,$C$31)</f>
        <v>1650.0</v>
      </c>
      <c r="D47" s="14">
        <f>MAX($D$46*$D$6+$D$23,$D$31)</f>
        <v>960.0</v>
      </c>
    </row>
    <row r="48">
      <c r="A48" s="4" t="inlineStr">
        <is>
          <t>Equivalent price per hour of service</t>
        </is>
      </c>
      <c r="B48" s="14">
        <f>$B$47/$B$7</f>
        <v>506.0</v>
      </c>
      <c r="C48" s="14">
        <f>$C$47/$C$7</f>
        <v>412.5</v>
      </c>
      <c r="D48" s="14">
        <f>$D$47/$D$7</f>
        <v>240.0</v>
      </c>
    </row>
    <row r="49">
      <c r="A49" s="4" t="inlineStr">
        <is>
          <t>Service charge</t>
        </is>
      </c>
      <c r="B49" s="14">
        <f>$B$47*$B$27</f>
        <v>379.5</v>
      </c>
      <c r="C49" s="14">
        <f>$C$47*$C$27</f>
        <v>0.0</v>
      </c>
      <c r="D49" s="14">
        <f>$D$47*$D$27</f>
        <v>0.0</v>
      </c>
    </row>
    <row r="50">
      <c r="A50" s="4" t="inlineStr">
        <is>
          <t>Sales tax</t>
        </is>
      </c>
      <c r="B50" s="14">
        <f>($B$47+IF($B$29="Yes",$B$49,0))*$B$28</f>
        <v>232.76</v>
      </c>
      <c r="C50" s="14">
        <f>($C$47+IF($C$29="Yes",$C$49,0))*$C$28</f>
        <v>132.0</v>
      </c>
      <c r="D50" s="14">
        <f>($D$47+IF($D$29="Yes",$D$49,0))*$D$28</f>
        <v>76.8</v>
      </c>
    </row>
    <row r="51">
      <c r="A51" s="15" t="inlineStr">
        <is>
          <t>TOTAL TO QUOTE</t>
        </is>
      </c>
      <c r="B51" s="16">
        <f>$B$47+$B$49+$B$50</f>
        <v>3142.26</v>
      </c>
      <c r="C51" s="16">
        <f>$C$47+$C$49+$C$50</f>
        <v>1782.0</v>
      </c>
      <c r="D51" s="16">
        <f>$D$47+$D$49+$D$50</f>
        <v>1036.8</v>
      </c>
    </row>
    <row r="52">
      <c r="A52" s="4" t="inlineStr">
        <is>
          <t>Deposit to book the date</t>
        </is>
      </c>
      <c r="B52" s="14">
        <f>$B$51*$B$30</f>
        <v>942.678</v>
      </c>
      <c r="C52" s="14">
        <f>$C$51*$C$30</f>
        <v>534.6</v>
      </c>
      <c r="D52" s="14">
        <f>$D$51*$D$30</f>
        <v>311.03999999999996</v>
      </c>
    </row>
    <row r="53">
      <c r="A53" s="4" t="inlineStr">
        <is>
          <t>Balance due before the event</t>
        </is>
      </c>
      <c r="B53" s="14">
        <f>$B$51-$B$52</f>
        <v>2199.5820000000003</v>
      </c>
      <c r="C53" s="14">
        <f>$C$51-$C$52</f>
        <v>1247.4</v>
      </c>
      <c r="D53" s="14">
        <f>$D$51-$D$52</f>
        <v>725.76</v>
      </c>
    </row>
    <row r="54">
      <c r="A54" s="4" t="inlineStr">
        <is>
          <t>Marketplace or planner fee</t>
        </is>
      </c>
      <c r="B54" s="14">
        <f>$B$47*$B$25</f>
        <v>0.0</v>
      </c>
      <c r="C54" s="14">
        <f>$C$47*$C$25</f>
        <v>0.0</v>
      </c>
      <c r="D54" s="14">
        <f>$D$47*$D$25</f>
        <v>48.0</v>
      </c>
    </row>
    <row r="55">
      <c r="A55" s="4" t="inlineStr">
        <is>
          <t>Gross profit on the subtotal</t>
        </is>
      </c>
      <c r="B55" s="14">
        <f>$B$47-$B$54-$B$44</f>
        <v>1392.8</v>
      </c>
      <c r="C55" s="14">
        <f>$C$47-$C$54-$C$44</f>
        <v>915.3</v>
      </c>
      <c r="D55" s="14">
        <f>$D$47-$D$54-$D$44</f>
        <v>585.5</v>
      </c>
    </row>
    <row r="56">
      <c r="A56" s="15" t="inlineStr">
        <is>
          <t>Gross margin (calculated)</t>
        </is>
      </c>
      <c r="B56" s="17">
        <f>IF($B$47=0,0,$B$55/$B$47)</f>
        <v>0.5505138339920949</v>
      </c>
      <c r="C56" s="17">
        <f>IF($C$47=0,0,$C$55/$C$47)</f>
        <v>0.5547272727272727</v>
      </c>
      <c r="D56" s="17">
        <f>IF($D$47=0,0,$D$55/$D$47)</f>
        <v>0.6098958333333333</v>
      </c>
    </row>
    <row r="57">
      <c r="A57" s="4" t="inlineStr">
        <is>
          <t>Extra hour of service (not in the total)</t>
        </is>
      </c>
      <c r="B57" s="14">
        <f>$B$32</f>
        <v>150.0</v>
      </c>
      <c r="C57" s="14">
        <f>$C$32</f>
        <v>150.0</v>
      </c>
      <c r="D57" s="14">
        <f>$D$32</f>
        <v>150.0</v>
      </c>
    </row>
    <row r="59">
      <c r="A59" s="3" t="inlineStr">
        <is>
          <t>WHAT EACH EXAMPLE SHOWS</t>
        </is>
      </c>
    </row>
    <row r="60" ht="45" customHeight="1">
      <c r="A60" s="15" t="inlineStr">
        <is>
          <t>Wedding, 120 guests, 5 hours</t>
        </is>
      </c>
      <c r="B60" s="2" t="inlineStr">
        <is>
          <t>Dry hire full bar from the trailer: 3 bartenders and a barback, a flat bar fee for the trailer and a 15% service charge; 30% deposit to book the date.</t>
        </is>
      </c>
    </row>
    <row r="61" ht="45" customHeight="1">
      <c r="A61" s="15" t="inlineStr">
        <is>
          <t>Corporate holiday party, 100 guests, 4 hours</t>
        </is>
      </c>
      <c r="B61" s="2" t="inlineStr">
        <is>
          <t>Dry hire full bar on a weeknight in December, booked directly by the company: no service charge, no marketplace fee.</t>
        </is>
      </c>
    </row>
    <row r="62" ht="45" customHeight="1">
      <c r="A62" s="15" t="inlineStr">
        <is>
          <t>Private birthday, 60 guests, 4 hours</t>
        </is>
      </c>
      <c r="B62" s="2" t="inlineStr">
        <is>
          <t>Dry hire limited bar (beer, wine and one signature cocktail) with a mimosa bar upcharge, booked through a marketplace (5% fee); this example assumes a state that does not tax the service (switch set to No).</t>
        </is>
      </c>
    </row>
  </sheetData>
  <sheetProtection selectLockedCells="0" selectUnlockedCells="0" sheet="1" objects="0" insertRows="1" insertHyperlinks="1" autoFilter="1" scenarios="0" formatColumns="1" deleteColumns="1" insertColumns="1" pivotTables="1" deleteRows="1" formatCells="1" formatRows="1" sort="1"/>
  <mergeCells count="4">
    <mergeCell ref="B61:D61"/>
    <mergeCell ref="B60:D60"/>
    <mergeCell ref="A2:D2"/>
    <mergeCell ref="B62:D62"/>
  </mergeCell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25"/>
  <sheetViews>
    <sheetView showGridLines="0" workbookViewId="0">
      <selection activeCell="A1" sqref="A1"/>
    </sheetView>
  </sheetViews>
  <sheetFormatPr baseColWidth="8" defaultRowHeight="15"/>
  <cols>
    <col width="110" customWidth="1" min="1" max="1"/>
  </cols>
  <sheetData>
    <row r="1">
      <c r="A1" s="26" t="inlineStr">
        <is>
          <t>HOW TO USE THE MOBILE BAR PRICING CALCULATOR</t>
        </is>
      </c>
    </row>
    <row r="2" ht="45" customHeight="1">
      <c r="A2" s="2" t="inlineStr">
        <is>
          <t>This workbook turns your costs into a price per guest and a full quote, and builds the shopping list for the event. You type only in the GREEN cells; the gross margin is calculated, never typed. The default model is dry hire (you supply the alcohol; we bring the bar, the bartenders and everything else).</t>
        </is>
      </c>
    </row>
    <row r="3" ht="45" customHeight="1">
      <c r="A3" s="2" t="inlineStr">
        <is>
          <t>1. "Pricing Calculator": choose the bar package, then enter guests, hours of service and the drinks rule (2 drinks per guest in the first hour and 1 per hour after: eventplanning.com). The suggested number of bartenders comes from the table at the bottom of the tab (guests per bartender by package: edit it to your own standard).</t>
        </is>
      </c>
    </row>
    <row r="4" ht="30" customHeight="1">
      <c r="A4" s="2" t="inlineStr">
        <is>
          <t>2. Enter the staff (bartenders, barbacks, paid hours, wages, payroll taxes) and the costs you supply: mixers and garnishes per drink, cups and napkins per guest, ice and mileage. The alcohol cost only counts with the licensed package.</t>
        </is>
      </c>
    </row>
    <row r="5" ht="60" customHeight="1">
      <c r="A5" s="2" t="inlineStr">
        <is>
          <t>3. Set a flat bar fee if you charge one, the specialty bar upcharge, the marketplace fee, your target margin, the service charge, your sales tax rate and the switch "Does your state tax the bar service and the service charge?". The price per guest is the direct cost divided by (1 - target margin - marketplace fee), minus the flat fee, rounded up to the next 0.50; the subtotal never goes below your minimum.</t>
        </is>
      </c>
    </row>
    <row r="6" ht="45" customHeight="1">
      <c r="A6" s="2" t="inlineStr">
        <is>
          <t>4. "Drinks &amp; Shopping List": the drink mix of each package and the bottle math give the host's shopping list (spirits split by type, wine, beer, sparkling wine for the toast) and what the bar brings (ice in bags, cups, napkins, mixer servings). Send it to the host about two weeks before the event.</t>
        </is>
      </c>
    </row>
    <row r="7" ht="30" customHeight="1">
      <c r="A7" s="2" t="inlineStr">
        <is>
          <t>5. "Signature Cocktail Specs": ten recipes with the amount per drink, who buys each ingredient in dry hire, the cost per drink from the pack prices you type, and the quantities for 50, 100 and 200 drinks.</t>
        </is>
      </c>
    </row>
    <row r="8" ht="16" customHeight="1">
      <c r="A8" s="2" t="inlineStr">
        <is>
          <t>6. "3 Example Quotes": three complete quotes calculated with the same formulas.</t>
        </is>
      </c>
    </row>
    <row r="9">
      <c r="A9" s="27" t="inlineStr">
        <is>
          <t>DRY HIRE: WHAT YOU CAN AND CANNOT CHARGE</t>
        </is>
      </c>
    </row>
    <row r="11" ht="60" customHeight="1">
      <c r="A11" s="2" t="inlineStr">
        <is>
          <t>In dry hire the host buys and owns the alcohol and keeps what is left. Do not sell drinks, drink tickets or admission that includes drinks, do not add a markup on the alcohol, and keep any tip jar only where your state allows it: Missouri treats admission fees, tips and alcohol surcharges as possible sales (Missouri Division of Alcohol and Tobacco Control, Industry Circular 24-01). Rules vary by state: check yours before you quote.</t>
        </is>
      </c>
    </row>
    <row r="12">
      <c r="A12" s="27" t="inlineStr">
        <is>
          <t>SERVICE CHARGE, GRATUITY AND SALES TAX (US)</t>
        </is>
      </c>
    </row>
    <row r="14" ht="45" customHeight="1">
      <c r="A14" s="2" t="inlineStr">
        <is>
          <t>A mandatory service charge is not a tip: the part you pay out to the staff is wages, with payroll taxes (IRS Rev. Rul. 2012-18), and the part you keep is revenue. A voluntary gratuity is the client's decision and belongs to the staff: this calculator keeps it out of the price and the total.</t>
        </is>
      </c>
    </row>
    <row r="15" ht="30" customHeight="1">
      <c r="A15" s="2" t="inlineStr">
        <is>
          <t>Sales tax: California taxes a caterer's service even when the client supplies the drinks (cdtfa.ca.gov), so a bartending service is taxable there; other states differ. Set your rate and the switch.</t>
        </is>
      </c>
    </row>
    <row r="16" ht="30" customHeight="1">
      <c r="A16" s="2" t="inlineStr">
        <is>
          <t>UK: if you are VAT-registered, enter 0.20 as the tax rate. Selling alcohol needs a premises licence or a Temporary Event Notice: see section 9 of the plan.</t>
        </is>
      </c>
    </row>
    <row r="17">
      <c r="A17" s="27" t="inlineStr">
        <is>
          <t>KIT ESTIMATES</t>
        </is>
      </c>
    </row>
    <row r="19" ht="30" customHeight="1">
      <c r="A19" s="2" t="inlineStr">
        <is>
          <t>Every default value, every pack price and the three example quotes are kit estimates for illustration, not market prices. Replace them with your own wages, supplier prices and tax rate before you quote.</t>
        </is>
      </c>
    </row>
    <row r="21">
      <c r="A21" s="2" t="inlineStr">
        <is>
          <t>To edit a cell that is not green: Review → Unprotect Sheet (there is no password).</t>
        </is>
      </c>
    </row>
    <row r="22">
      <c r="A22" s="2" t="inlineStr">
        <is>
          <t>More templates and kits in the catalog at aichef.pro/en/digital-products</t>
        </is>
      </c>
    </row>
    <row r="23">
      <c r="A23" s="2" t="inlineStr">
        <is>
          <t>Designed by John Guerrero — chef and restaurant consultant since 2010, in the kitchen since age 17 · johnguerrero.es</t>
        </is>
      </c>
    </row>
    <row r="24">
      <c r="A24" s="2" t="inlineStr">
        <is>
          <t>Version 2.2 · October 2026 · aichef.pro/en/digital-products/mobile-bar-business-plan · info@aichef.pro</t>
        </is>
      </c>
    </row>
    <row r="25">
      <c r="A25" s="28"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Mobile Bar Pricing Calculator (Cost per Guest to Quote + Shopping List) · Mobile Bar Business Plan Kit</dc:title>
  <dc:description xmlns:dc="http://purl.org/dc/elements/1.1/">aichef.pro/en/digital-products/mobile-bar-business-plan</dc:description>
  <dc:subject xmlns:dc="http://purl.org/dc/elements/1.1/">Mobile Bar Business Plan Kit · v2.2</dc:subject>
  <dcterms:created xmlns:dcterms="http://purl.org/dc/terms/" xmlns:xsi="http://www.w3.org/2001/XMLSchema-instance" xsi:type="dcterms:W3CDTF">2026-10-13T07:11:49Z</dcterms:created>
  <dcterms:modified xmlns:dcterms="http://purl.org/dc/terms/" xmlns:xsi="http://www.w3.org/2001/XMLSchema-instance" xsi:type="dcterms:W3CDTF">2026-10-13T07:11:50Z</dcterms:modified>
  <cp:lastModifiedBy>AI Chef Pro</cp:lastModifiedBy>
  <cp:category>AI Chef Pro · Digital products</cp:category>
  <cp:keywords>mobile bar business plan, mobile bartending business plan, mobile bar business plan template, how to start a mobile bar business, dry hire mobile bar, mobile bar pricing, mobile bar license, AI Chef Pro</cp:keywords>
</cp:coreProperties>
</file>