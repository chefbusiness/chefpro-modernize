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lan Semanal" sheetId="2" state="visible" r:id="rId2"/>
    <sheet xmlns:r="http://schemas.openxmlformats.org/officeDocument/2006/relationships" name="Producido vs Vendido" sheetId="3" state="visible" r:id="rId3"/>
    <sheet xmlns:r="http://schemas.openxmlformats.org/officeDocument/2006/relationships" name="Resumen por Partida" sheetId="4" state="visible" r:id="rId4"/>
  </sheets>
  <definedNames>
    <definedName name="_xlnm.Print_Titles" localSheetId="1">'Plan Semanal'!$4:$4</definedName>
    <definedName name="_xlnm.Print_Titles" localSheetId="2">'Producido vs Vendido'!$4:$4</definedName>
    <definedName name="_xlnm.Print_Titles" localSheetId="3">'Resumen por Partida'!$4:$4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color rgb="00555555"/>
      <sz val="10"/>
    </font>
    <font>
      <name val="Calibri"/>
      <color rgb="00999999"/>
      <sz val="9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D700"/>
        <bgColor rgb="00FFD700"/>
      </patternFill>
    </fill>
    <fill>
      <patternFill patternType="solid">
        <fgColor rgb="00F5F5F5"/>
        <bgColor rgb="00F5F5F5"/>
      </patternFill>
    </fill>
  </fills>
  <borders count="11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 style="thin">
        <color rgb="00E0E0E0"/>
      </left>
      <right/>
      <top/>
      <bottom/>
      <diagonal/>
    </border>
    <border>
      <left/>
      <right style="thin">
        <color rgb="00E0E0E0"/>
      </right>
      <top/>
      <bottom/>
      <diagonal/>
    </border>
    <border>
      <left style="thin">
        <color rgb="00E0E0E0"/>
      </left>
      <right/>
      <top/>
      <bottom style="thin">
        <color rgb="00E0E0E0"/>
      </bottom>
      <diagonal/>
    </border>
    <border>
      <left/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1" fontId="10" fillId="4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1" fontId="12" fillId="5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6" fontId="10" fillId="4" borderId="1" applyAlignment="1" pivotButton="0" quotePrefix="0" xfId="0">
      <alignment horizontal="center" vertical="center" wrapText="1"/>
    </xf>
    <xf numFmtId="166" fontId="10" fillId="0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66" fontId="12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165" fontId="10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1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dxfs count="3"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3E0"/>
          <bgColor rgb="00FFF3E0"/>
        </patternFill>
      </fill>
    </dxf>
    <dxf>
      <fill>
        <patternFill patternType="solid">
          <fgColor rgb="00E8F5E9"/>
          <b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>
      <c r="B2" s="1" t="inlineStr">
        <is>
          <t>10 — Plan de Producción Semanal y Control de Mermas</t>
        </is>
      </c>
    </row>
    <row r="3"/>
    <row r="4">
      <c r="B4" s="2" t="inlineStr">
        <is>
          <t>Qué resuelve esta plantilla:</t>
        </is>
      </c>
    </row>
    <row r="5">
      <c r="B5" s="3" t="inlineStr">
        <is>
          <t>▸ Cuánto produces de cada referencia, cuánto vendes y cuánto tiras — con el coste en euros.</t>
        </is>
      </c>
    </row>
    <row r="6">
      <c r="B6" s="3" t="inlineStr">
        <is>
          <t>▸ La merma es el margen que se te va sin que lo veas: medirla una semana ya cambia el plan.</t>
        </is>
      </c>
    </row>
    <row r="7">
      <c r="B7" s="4" t="n"/>
    </row>
    <row r="8">
      <c r="B8" s="2" t="inlineStr">
        <is>
          <t>Cómo usar esta plantilla:</t>
        </is>
      </c>
    </row>
    <row r="9">
      <c r="B9" s="3" t="inlineStr">
        <is>
          <t>▸ Hoja Plan Semanal: escribe las unidades previstas por día. Es el plan que baja al obrador.</t>
        </is>
      </c>
    </row>
    <row r="10">
      <c r="B10" s="3" t="inlineStr">
        <is>
          <t>▸ Hoja Producido vs Vendido: al cerrar la tienda anota producido y vendido de cada referencia.</t>
        </is>
      </c>
    </row>
    <row r="11">
      <c r="B11" s="3" t="inlineStr">
        <is>
          <t>▸ El sobrante, el porcentaje de merma y su coste se calculan solos. Rellena el coste por unidad con el escandallo real (si no lo tienes, empieza por el coste de materia prima).</t>
        </is>
      </c>
    </row>
    <row r="12">
      <c r="B12" s="3" t="inlineStr">
        <is>
          <t>▸ Hoja Resumen por Partida: mira dónde se concentra la merma antes de tocar el plan.</t>
        </is>
      </c>
    </row>
    <row r="13">
      <c r="B13" s="4" t="n"/>
    </row>
    <row r="14">
      <c r="B14" s="2" t="inlineStr">
        <is>
          <t>Columna Acción: qué hacer con el sobrante</t>
        </is>
      </c>
    </row>
    <row r="15">
      <c r="B15" s="3" t="inlineStr">
        <is>
          <t>▸ Cada opción lleva su condición dentro. Léela antes de elegir: no todo el sobrante se puede congelar.</t>
        </is>
      </c>
    </row>
    <row r="16">
      <c r="B16" s="3" t="inlineStr">
        <is>
          <t>▸ Registra siempre lo que decides: es lo que te permite defender tu criterio ante una inspección.</t>
        </is>
      </c>
    </row>
    <row r="17">
      <c r="B17" s="4" t="n"/>
    </row>
    <row r="18">
      <c r="B18" s="2" t="inlineStr">
        <is>
          <t>Personalización:</t>
        </is>
      </c>
    </row>
    <row r="19">
      <c r="B19" s="3" t="inlineStr">
        <is>
          <t>▸ Las celdas verdes son editables. Cambia los productos por los tuyos: la partida se elige de la lista.</t>
        </is>
      </c>
    </row>
    <row r="20">
      <c r="B20" s="3" t="inlineStr">
        <is>
          <t>▸ Cada partida del Plan Semanal tiene dos filas libres, ya incluidas en los totales.</t>
        </is>
      </c>
    </row>
    <row r="21">
      <c r="B21" s="3" t="inlineStr">
        <is>
          <t>▸ Referencias del kit: el sobrante que anotes aquí sale del cierre del fichero 08 (→ 08 Apertura y Cierre del Negocio · hoja Cierre del Negocio).</t>
        </is>
      </c>
    </row>
    <row r="22"/>
    <row r="23"/>
    <row r="24">
      <c r="B24" s="5" t="inlineStr">
        <is>
          <t>Dudas o sugerencias: info@aichef.pro — respondemos en 24-48 h laborables.</t>
        </is>
      </c>
    </row>
    <row r="25">
      <c r="B25" s="5" t="inlineStr">
        <is>
          <t>Diseñado por John Guerrero — chef y consultor gastronómico desde 2010, en cocina desde los 17 años · johnguerrero.es</t>
        </is>
      </c>
    </row>
    <row r="26">
      <c r="B26" s="6" t="inlineStr">
        <is>
          <t>Versión 2.0 · agosto 2026 · aichef.pro/kit-tareas-pasteleria · info@aichef.pro</t>
        </is>
      </c>
    </row>
  </sheetData>
  <pageMargins left="0.75" right="0.75" top="1" bottom="1" header="0.5" footer="0.5"/>
  <pageSetup orientation="portrait" paperSize="9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K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34" customWidth="1" min="11" max="11"/>
  </cols>
  <sheetData>
    <row r="1" ht="22" customHeight="1">
      <c r="A1" s="7" t="inlineStr">
        <is>
          <t>Plan de Producción Semanal</t>
        </is>
      </c>
    </row>
    <row r="2" ht="15" customHeight="1">
      <c r="A2" s="8" t="inlineStr">
        <is>
          <t>Semana del ____/____ al ____/____     Responsable: _________________________     Anota las unidades previstas por día</t>
        </is>
      </c>
    </row>
    <row r="3"/>
    <row r="4">
      <c r="A4" s="9" t="inlineStr">
        <is>
          <t>Producto</t>
        </is>
      </c>
      <c r="B4" s="9" t="inlineStr">
        <is>
          <t>Partida</t>
        </is>
      </c>
      <c r="C4" s="9" t="inlineStr">
        <is>
          <t>Lun</t>
        </is>
      </c>
      <c r="D4" s="9" t="inlineStr">
        <is>
          <t>Mar</t>
        </is>
      </c>
      <c r="E4" s="9" t="inlineStr">
        <is>
          <t>Mié</t>
        </is>
      </c>
      <c r="F4" s="9" t="inlineStr">
        <is>
          <t>Jue</t>
        </is>
      </c>
      <c r="G4" s="9" t="inlineStr">
        <is>
          <t>Vie</t>
        </is>
      </c>
      <c r="H4" s="9" t="inlineStr">
        <is>
          <t>Sáb</t>
        </is>
      </c>
      <c r="I4" s="9" t="inlineStr">
        <is>
          <t>Dom</t>
        </is>
      </c>
      <c r="J4" s="9" t="inlineStr">
        <is>
          <t>Total semana</t>
        </is>
      </c>
      <c r="K4" s="9" t="inlineStr">
        <is>
          <t>Notas</t>
        </is>
      </c>
    </row>
    <row r="5" ht="15.8" customHeight="1">
      <c r="A5" s="10" t="inlineStr">
        <is>
          <t xml:space="preserve">  Bollería</t>
        </is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8" t="n"/>
    </row>
    <row r="6">
      <c r="A6" s="12" t="inlineStr">
        <is>
          <t>Croissant de mantequilla</t>
        </is>
      </c>
      <c r="B6" s="13" t="inlineStr">
        <is>
          <t>Bollería</t>
        </is>
      </c>
      <c r="C6" s="14" t="n"/>
      <c r="D6" s="14" t="n"/>
      <c r="E6" s="14" t="n"/>
      <c r="F6" s="14" t="n"/>
      <c r="G6" s="14" t="n"/>
      <c r="H6" s="14" t="n"/>
      <c r="I6" s="14" t="n"/>
      <c r="J6" s="15">
        <f>SUM(C6:I6)</f>
        <v>0.0</v>
      </c>
      <c r="K6" s="16" t="n"/>
    </row>
    <row r="7">
      <c r="A7" s="12" t="inlineStr">
        <is>
          <t>Pain au chocolat</t>
        </is>
      </c>
      <c r="B7" s="13" t="inlineStr">
        <is>
          <t>Bollería</t>
        </is>
      </c>
      <c r="C7" s="14" t="n"/>
      <c r="D7" s="14" t="n"/>
      <c r="E7" s="14" t="n"/>
      <c r="F7" s="14" t="n"/>
      <c r="G7" s="14" t="n"/>
      <c r="H7" s="14" t="n"/>
      <c r="I7" s="14" t="n"/>
      <c r="J7" s="15">
        <f>SUM(C7:I7)</f>
        <v>0.0</v>
      </c>
      <c r="K7" s="16" t="n"/>
    </row>
    <row r="8">
      <c r="A8" s="12" t="inlineStr">
        <is>
          <t>Napolitana de crema</t>
        </is>
      </c>
      <c r="B8" s="13" t="inlineStr">
        <is>
          <t>Bollería</t>
        </is>
      </c>
      <c r="C8" s="14" t="n"/>
      <c r="D8" s="14" t="n"/>
      <c r="E8" s="14" t="n"/>
      <c r="F8" s="14" t="n"/>
      <c r="G8" s="14" t="n"/>
      <c r="H8" s="14" t="n"/>
      <c r="I8" s="14" t="n"/>
      <c r="J8" s="15">
        <f>SUM(C8:I8)</f>
        <v>0.0</v>
      </c>
      <c r="K8" s="16" t="n"/>
    </row>
    <row r="9">
      <c r="A9" s="12" t="inlineStr">
        <is>
          <t>Ensaimada</t>
        </is>
      </c>
      <c r="B9" s="13" t="inlineStr">
        <is>
          <t>Bollería</t>
        </is>
      </c>
      <c r="C9" s="14" t="n"/>
      <c r="D9" s="14" t="n"/>
      <c r="E9" s="14" t="n"/>
      <c r="F9" s="14" t="n"/>
      <c r="G9" s="14" t="n"/>
      <c r="H9" s="14" t="n"/>
      <c r="I9" s="14" t="n"/>
      <c r="J9" s="15">
        <f>SUM(C9:I9)</f>
        <v>0.0</v>
      </c>
      <c r="K9" s="16" t="n"/>
    </row>
    <row r="10">
      <c r="A10" s="12" t="inlineStr">
        <is>
          <t>Brioche</t>
        </is>
      </c>
      <c r="B10" s="13" t="inlineStr">
        <is>
          <t>Bollería</t>
        </is>
      </c>
      <c r="C10" s="14" t="n"/>
      <c r="D10" s="14" t="n"/>
      <c r="E10" s="14" t="n"/>
      <c r="F10" s="14" t="n"/>
      <c r="G10" s="14" t="n"/>
      <c r="H10" s="14" t="n"/>
      <c r="I10" s="14" t="n"/>
      <c r="J10" s="15">
        <f>SUM(C10:I10)</f>
        <v>0.0</v>
      </c>
      <c r="K10" s="16" t="n"/>
    </row>
    <row r="11">
      <c r="A11" s="12" t="inlineStr">
        <is>
          <t>Caracola de pasas</t>
        </is>
      </c>
      <c r="B11" s="13" t="inlineStr">
        <is>
          <t>Bollería</t>
        </is>
      </c>
      <c r="C11" s="14" t="n"/>
      <c r="D11" s="14" t="n"/>
      <c r="E11" s="14" t="n"/>
      <c r="F11" s="14" t="n"/>
      <c r="G11" s="14" t="n"/>
      <c r="H11" s="14" t="n"/>
      <c r="I11" s="14" t="n"/>
      <c r="J11" s="15">
        <f>SUM(C11:I11)</f>
        <v>0.0</v>
      </c>
      <c r="K11" s="16" t="n"/>
    </row>
    <row r="12">
      <c r="A12" s="12" t="inlineStr">
        <is>
          <t>Palmera de hojaldre</t>
        </is>
      </c>
      <c r="B12" s="13" t="inlineStr">
        <is>
          <t>Bollería</t>
        </is>
      </c>
      <c r="C12" s="14" t="n"/>
      <c r="D12" s="14" t="n"/>
      <c r="E12" s="14" t="n"/>
      <c r="F12" s="14" t="n"/>
      <c r="G12" s="14" t="n"/>
      <c r="H12" s="14" t="n"/>
      <c r="I12" s="14" t="n"/>
      <c r="J12" s="15">
        <f>SUM(C12:I12)</f>
        <v>0.0</v>
      </c>
      <c r="K12" s="16" t="n"/>
    </row>
    <row r="13">
      <c r="A13" s="12" t="inlineStr">
        <is>
          <t>Croissant relleno de crema</t>
        </is>
      </c>
      <c r="B13" s="13" t="inlineStr">
        <is>
          <t>Bollería</t>
        </is>
      </c>
      <c r="C13" s="14" t="n"/>
      <c r="D13" s="14" t="n"/>
      <c r="E13" s="14" t="n"/>
      <c r="F13" s="14" t="n"/>
      <c r="G13" s="14" t="n"/>
      <c r="H13" s="14" t="n"/>
      <c r="I13" s="14" t="n"/>
      <c r="J13" s="15">
        <f>SUM(C13:I13)</f>
        <v>0.0</v>
      </c>
      <c r="K13" s="16" t="n"/>
    </row>
    <row r="14">
      <c r="A14" s="16" t="n"/>
      <c r="B14" s="17" t="n"/>
      <c r="C14" s="14" t="n"/>
      <c r="D14" s="14" t="n"/>
      <c r="E14" s="14" t="n"/>
      <c r="F14" s="14" t="n"/>
      <c r="G14" s="14" t="n"/>
      <c r="H14" s="14" t="n"/>
      <c r="I14" s="14" t="n"/>
      <c r="J14" s="15">
        <f>SUM(C14:I14)</f>
        <v>0.0</v>
      </c>
      <c r="K14" s="16" t="n"/>
    </row>
    <row r="15">
      <c r="A15" s="16" t="n"/>
      <c r="B15" s="17" t="n"/>
      <c r="C15" s="14" t="n"/>
      <c r="D15" s="14" t="n"/>
      <c r="E15" s="14" t="n"/>
      <c r="F15" s="14" t="n"/>
      <c r="G15" s="14" t="n"/>
      <c r="H15" s="14" t="n"/>
      <c r="I15" s="14" t="n"/>
      <c r="J15" s="15">
        <f>SUM(C15:I15)</f>
        <v>0.0</v>
      </c>
      <c r="K15" s="16" t="n"/>
    </row>
    <row r="16" ht="15.8" customHeight="1">
      <c r="A16" s="10" t="inlineStr">
        <is>
          <t xml:space="preserve">  Pastelería</t>
        </is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8" t="n"/>
    </row>
    <row r="17">
      <c r="A17" s="12" t="inlineStr">
        <is>
          <t>Tarta de queso</t>
        </is>
      </c>
      <c r="B17" s="13" t="inlineStr">
        <is>
          <t>Pastelería</t>
        </is>
      </c>
      <c r="C17" s="14" t="n"/>
      <c r="D17" s="14" t="n"/>
      <c r="E17" s="14" t="n"/>
      <c r="F17" s="14" t="n"/>
      <c r="G17" s="14" t="n"/>
      <c r="H17" s="14" t="n"/>
      <c r="I17" s="14" t="n"/>
      <c r="J17" s="15">
        <f>SUM(C17:I17)</f>
        <v>0.0</v>
      </c>
      <c r="K17" s="16" t="n"/>
    </row>
    <row r="18">
      <c r="A18" s="12" t="inlineStr">
        <is>
          <t>Tarta de manzana</t>
        </is>
      </c>
      <c r="B18" s="13" t="inlineStr">
        <is>
          <t>Pastelería</t>
        </is>
      </c>
      <c r="C18" s="14" t="n"/>
      <c r="D18" s="14" t="n"/>
      <c r="E18" s="14" t="n"/>
      <c r="F18" s="14" t="n"/>
      <c r="G18" s="14" t="n"/>
      <c r="H18" s="14" t="n"/>
      <c r="I18" s="14" t="n"/>
      <c r="J18" s="15">
        <f>SUM(C18:I18)</f>
        <v>0.0</v>
      </c>
      <c r="K18" s="16" t="n"/>
    </row>
    <row r="19">
      <c r="A19" s="12" t="inlineStr">
        <is>
          <t>Milhojas</t>
        </is>
      </c>
      <c r="B19" s="13" t="inlineStr">
        <is>
          <t>Pastelería</t>
        </is>
      </c>
      <c r="C19" s="14" t="n"/>
      <c r="D19" s="14" t="n"/>
      <c r="E19" s="14" t="n"/>
      <c r="F19" s="14" t="n"/>
      <c r="G19" s="14" t="n"/>
      <c r="H19" s="14" t="n"/>
      <c r="I19" s="14" t="n"/>
      <c r="J19" s="15">
        <f>SUM(C19:I19)</f>
        <v>0.0</v>
      </c>
      <c r="K19" s="16" t="n"/>
    </row>
    <row r="20">
      <c r="A20" s="12" t="inlineStr">
        <is>
          <t>Éclair</t>
        </is>
      </c>
      <c r="B20" s="13" t="inlineStr">
        <is>
          <t>Pastelería</t>
        </is>
      </c>
      <c r="C20" s="14" t="n"/>
      <c r="D20" s="14" t="n"/>
      <c r="E20" s="14" t="n"/>
      <c r="F20" s="14" t="n"/>
      <c r="G20" s="14" t="n"/>
      <c r="H20" s="14" t="n"/>
      <c r="I20" s="14" t="n"/>
      <c r="J20" s="15">
        <f>SUM(C20:I20)</f>
        <v>0.0</v>
      </c>
      <c r="K20" s="16" t="n"/>
    </row>
    <row r="21">
      <c r="A21" s="12" t="inlineStr">
        <is>
          <t>Tarta de zanahoria</t>
        </is>
      </c>
      <c r="B21" s="13" t="inlineStr">
        <is>
          <t>Pastelería</t>
        </is>
      </c>
      <c r="C21" s="14" t="n"/>
      <c r="D21" s="14" t="n"/>
      <c r="E21" s="14" t="n"/>
      <c r="F21" s="14" t="n"/>
      <c r="G21" s="14" t="n"/>
      <c r="H21" s="14" t="n"/>
      <c r="I21" s="14" t="n"/>
      <c r="J21" s="15">
        <f>SUM(C21:I21)</f>
        <v>0.0</v>
      </c>
      <c r="K21" s="16" t="n"/>
    </row>
    <row r="22">
      <c r="A22" s="12" t="inlineStr">
        <is>
          <t>Tarta Sacher</t>
        </is>
      </c>
      <c r="B22" s="13" t="inlineStr">
        <is>
          <t>Pastelería</t>
        </is>
      </c>
      <c r="C22" s="14" t="n"/>
      <c r="D22" s="14" t="n"/>
      <c r="E22" s="14" t="n"/>
      <c r="F22" s="14" t="n"/>
      <c r="G22" s="14" t="n"/>
      <c r="H22" s="14" t="n"/>
      <c r="I22" s="14" t="n"/>
      <c r="J22" s="15">
        <f>SUM(C22:I22)</f>
        <v>0.0</v>
      </c>
      <c r="K22" s="16" t="n"/>
    </row>
    <row r="23">
      <c r="A23" s="12" t="inlineStr">
        <is>
          <t>Entremet individual</t>
        </is>
      </c>
      <c r="B23" s="13" t="inlineStr">
        <is>
          <t>Pastelería</t>
        </is>
      </c>
      <c r="C23" s="14" t="n"/>
      <c r="D23" s="14" t="n"/>
      <c r="E23" s="14" t="n"/>
      <c r="F23" s="14" t="n"/>
      <c r="G23" s="14" t="n"/>
      <c r="H23" s="14" t="n"/>
      <c r="I23" s="14" t="n"/>
      <c r="J23" s="15">
        <f>SUM(C23:I23)</f>
        <v>0.0</v>
      </c>
      <c r="K23" s="16" t="n"/>
    </row>
    <row r="24">
      <c r="A24" s="12" t="inlineStr">
        <is>
          <t>Macarons (caja de 6)</t>
        </is>
      </c>
      <c r="B24" s="13" t="inlineStr">
        <is>
          <t>Pastelería</t>
        </is>
      </c>
      <c r="C24" s="14" t="n"/>
      <c r="D24" s="14" t="n"/>
      <c r="E24" s="14" t="n"/>
      <c r="F24" s="14" t="n"/>
      <c r="G24" s="14" t="n"/>
      <c r="H24" s="14" t="n"/>
      <c r="I24" s="14" t="n"/>
      <c r="J24" s="15">
        <f>SUM(C24:I24)</f>
        <v>0.0</v>
      </c>
      <c r="K24" s="16" t="n"/>
    </row>
    <row r="25">
      <c r="A25" s="12" t="inlineStr">
        <is>
          <t>Tartaleta de frutas</t>
        </is>
      </c>
      <c r="B25" s="13" t="inlineStr">
        <is>
          <t>Pastelería</t>
        </is>
      </c>
      <c r="C25" s="14" t="n"/>
      <c r="D25" s="14" t="n"/>
      <c r="E25" s="14" t="n"/>
      <c r="F25" s="14" t="n"/>
      <c r="G25" s="14" t="n"/>
      <c r="H25" s="14" t="n"/>
      <c r="I25" s="14" t="n"/>
      <c r="J25" s="15">
        <f>SUM(C25:I25)</f>
        <v>0.0</v>
      </c>
      <c r="K25" s="16" t="n"/>
    </row>
    <row r="26">
      <c r="A26" s="12" t="inlineStr">
        <is>
          <t>Lionesa o profiterol</t>
        </is>
      </c>
      <c r="B26" s="13" t="inlineStr">
        <is>
          <t>Pastelería</t>
        </is>
      </c>
      <c r="C26" s="14" t="n"/>
      <c r="D26" s="14" t="n"/>
      <c r="E26" s="14" t="n"/>
      <c r="F26" s="14" t="n"/>
      <c r="G26" s="14" t="n"/>
      <c r="H26" s="14" t="n"/>
      <c r="I26" s="14" t="n"/>
      <c r="J26" s="15">
        <f>SUM(C26:I26)</f>
        <v>0.0</v>
      </c>
      <c r="K26" s="16" t="n"/>
    </row>
    <row r="27">
      <c r="A27" s="16" t="n"/>
      <c r="B27" s="17" t="n"/>
      <c r="C27" s="14" t="n"/>
      <c r="D27" s="14" t="n"/>
      <c r="E27" s="14" t="n"/>
      <c r="F27" s="14" t="n"/>
      <c r="G27" s="14" t="n"/>
      <c r="H27" s="14" t="n"/>
      <c r="I27" s="14" t="n"/>
      <c r="J27" s="15">
        <f>SUM(C27:I27)</f>
        <v>0.0</v>
      </c>
      <c r="K27" s="16" t="n"/>
    </row>
    <row r="28">
      <c r="A28" s="16" t="n"/>
      <c r="B28" s="17" t="n"/>
      <c r="C28" s="14" t="n"/>
      <c r="D28" s="14" t="n"/>
      <c r="E28" s="14" t="n"/>
      <c r="F28" s="14" t="n"/>
      <c r="G28" s="14" t="n"/>
      <c r="H28" s="14" t="n"/>
      <c r="I28" s="14" t="n"/>
      <c r="J28" s="15">
        <f>SUM(C28:I28)</f>
        <v>0.0</v>
      </c>
      <c r="K28" s="16" t="n"/>
    </row>
    <row r="29" ht="15.8" customHeight="1">
      <c r="A29" s="10" t="inlineStr">
        <is>
          <t xml:space="preserve">  Pan</t>
        </is>
      </c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8" t="n"/>
    </row>
    <row r="30">
      <c r="A30" s="12" t="inlineStr">
        <is>
          <t>Barra</t>
        </is>
      </c>
      <c r="B30" s="13" t="inlineStr">
        <is>
          <t>Pan</t>
        </is>
      </c>
      <c r="C30" s="14" t="n"/>
      <c r="D30" s="14" t="n"/>
      <c r="E30" s="14" t="n"/>
      <c r="F30" s="14" t="n"/>
      <c r="G30" s="14" t="n"/>
      <c r="H30" s="14" t="n"/>
      <c r="I30" s="14" t="n"/>
      <c r="J30" s="15">
        <f>SUM(C30:I30)</f>
        <v>0.0</v>
      </c>
      <c r="K30" s="16" t="n"/>
    </row>
    <row r="31">
      <c r="A31" s="12" t="inlineStr">
        <is>
          <t>Hogaza de masa madre</t>
        </is>
      </c>
      <c r="B31" s="13" t="inlineStr">
        <is>
          <t>Pan</t>
        </is>
      </c>
      <c r="C31" s="14" t="n"/>
      <c r="D31" s="14" t="n"/>
      <c r="E31" s="14" t="n"/>
      <c r="F31" s="14" t="n"/>
      <c r="G31" s="14" t="n"/>
      <c r="H31" s="14" t="n"/>
      <c r="I31" s="14" t="n"/>
      <c r="J31" s="15">
        <f>SUM(C31:I31)</f>
        <v>0.0</v>
      </c>
      <c r="K31" s="16" t="n"/>
    </row>
    <row r="32">
      <c r="A32" s="12" t="inlineStr">
        <is>
          <t>Chapata</t>
        </is>
      </c>
      <c r="B32" s="13" t="inlineStr">
        <is>
          <t>Pan</t>
        </is>
      </c>
      <c r="C32" s="14" t="n"/>
      <c r="D32" s="14" t="n"/>
      <c r="E32" s="14" t="n"/>
      <c r="F32" s="14" t="n"/>
      <c r="G32" s="14" t="n"/>
      <c r="H32" s="14" t="n"/>
      <c r="I32" s="14" t="n"/>
      <c r="J32" s="15">
        <f>SUM(C32:I32)</f>
        <v>0.0</v>
      </c>
      <c r="K32" s="16" t="n"/>
    </row>
    <row r="33">
      <c r="A33" s="12" t="inlineStr">
        <is>
          <t>Pan de molde</t>
        </is>
      </c>
      <c r="B33" s="13" t="inlineStr">
        <is>
          <t>Pan</t>
        </is>
      </c>
      <c r="C33" s="14" t="n"/>
      <c r="D33" s="14" t="n"/>
      <c r="E33" s="14" t="n"/>
      <c r="F33" s="14" t="n"/>
      <c r="G33" s="14" t="n"/>
      <c r="H33" s="14" t="n"/>
      <c r="I33" s="14" t="n"/>
      <c r="J33" s="15">
        <f>SUM(C33:I33)</f>
        <v>0.0</v>
      </c>
      <c r="K33" s="16" t="n"/>
    </row>
    <row r="34">
      <c r="A34" s="12" t="inlineStr">
        <is>
          <t>Focaccia</t>
        </is>
      </c>
      <c r="B34" s="13" t="inlineStr">
        <is>
          <t>Pan</t>
        </is>
      </c>
      <c r="C34" s="14" t="n"/>
      <c r="D34" s="14" t="n"/>
      <c r="E34" s="14" t="n"/>
      <c r="F34" s="14" t="n"/>
      <c r="G34" s="14" t="n"/>
      <c r="H34" s="14" t="n"/>
      <c r="I34" s="14" t="n"/>
      <c r="J34" s="15">
        <f>SUM(C34:I34)</f>
        <v>0.0</v>
      </c>
      <c r="K34" s="16" t="n"/>
    </row>
    <row r="35">
      <c r="A35" s="16" t="n"/>
      <c r="B35" s="17" t="n"/>
      <c r="C35" s="14" t="n"/>
      <c r="D35" s="14" t="n"/>
      <c r="E35" s="14" t="n"/>
      <c r="F35" s="14" t="n"/>
      <c r="G35" s="14" t="n"/>
      <c r="H35" s="14" t="n"/>
      <c r="I35" s="14" t="n"/>
      <c r="J35" s="15">
        <f>SUM(C35:I35)</f>
        <v>0.0</v>
      </c>
      <c r="K35" s="16" t="n"/>
    </row>
    <row r="36">
      <c r="A36" s="16" t="n"/>
      <c r="B36" s="17" t="n"/>
      <c r="C36" s="14" t="n"/>
      <c r="D36" s="14" t="n"/>
      <c r="E36" s="14" t="n"/>
      <c r="F36" s="14" t="n"/>
      <c r="G36" s="14" t="n"/>
      <c r="H36" s="14" t="n"/>
      <c r="I36" s="14" t="n"/>
      <c r="J36" s="15">
        <f>SUM(C36:I36)</f>
        <v>0.0</v>
      </c>
      <c r="K36" s="16" t="n"/>
    </row>
    <row r="37" ht="15.8" customHeight="1">
      <c r="A37" s="10" t="inlineStr">
        <is>
          <t xml:space="preserve">  Salado</t>
        </is>
      </c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8" t="n"/>
    </row>
    <row r="38">
      <c r="A38" s="12" t="inlineStr">
        <is>
          <t>Quiche</t>
        </is>
      </c>
      <c r="B38" s="13" t="inlineStr">
        <is>
          <t>Salado</t>
        </is>
      </c>
      <c r="C38" s="14" t="n"/>
      <c r="D38" s="14" t="n"/>
      <c r="E38" s="14" t="n"/>
      <c r="F38" s="14" t="n"/>
      <c r="G38" s="14" t="n"/>
      <c r="H38" s="14" t="n"/>
      <c r="I38" s="14" t="n"/>
      <c r="J38" s="15">
        <f>SUM(C38:I38)</f>
        <v>0.0</v>
      </c>
      <c r="K38" s="16" t="n"/>
    </row>
    <row r="39">
      <c r="A39" s="12" t="inlineStr">
        <is>
          <t>Empanada</t>
        </is>
      </c>
      <c r="B39" s="13" t="inlineStr">
        <is>
          <t>Salado</t>
        </is>
      </c>
      <c r="C39" s="14" t="n"/>
      <c r="D39" s="14" t="n"/>
      <c r="E39" s="14" t="n"/>
      <c r="F39" s="14" t="n"/>
      <c r="G39" s="14" t="n"/>
      <c r="H39" s="14" t="n"/>
      <c r="I39" s="14" t="n"/>
      <c r="J39" s="15">
        <f>SUM(C39:I39)</f>
        <v>0.0</v>
      </c>
      <c r="K39" s="16" t="n"/>
    </row>
    <row r="40">
      <c r="A40" s="12" t="inlineStr">
        <is>
          <t>Croissant de jamón y queso</t>
        </is>
      </c>
      <c r="B40" s="13" t="inlineStr">
        <is>
          <t>Salado</t>
        </is>
      </c>
      <c r="C40" s="14" t="n"/>
      <c r="D40" s="14" t="n"/>
      <c r="E40" s="14" t="n"/>
      <c r="F40" s="14" t="n"/>
      <c r="G40" s="14" t="n"/>
      <c r="H40" s="14" t="n"/>
      <c r="I40" s="14" t="n"/>
      <c r="J40" s="15">
        <f>SUM(C40:I40)</f>
        <v>0.0</v>
      </c>
      <c r="K40" s="16" t="n"/>
    </row>
    <row r="41">
      <c r="A41" s="16" t="n"/>
      <c r="B41" s="17" t="n"/>
      <c r="C41" s="14" t="n"/>
      <c r="D41" s="14" t="n"/>
      <c r="E41" s="14" t="n"/>
      <c r="F41" s="14" t="n"/>
      <c r="G41" s="14" t="n"/>
      <c r="H41" s="14" t="n"/>
      <c r="I41" s="14" t="n"/>
      <c r="J41" s="15">
        <f>SUM(C41:I41)</f>
        <v>0.0</v>
      </c>
      <c r="K41" s="16" t="n"/>
    </row>
    <row r="42">
      <c r="A42" s="16" t="n"/>
      <c r="B42" s="17" t="n"/>
      <c r="C42" s="14" t="n"/>
      <c r="D42" s="14" t="n"/>
      <c r="E42" s="14" t="n"/>
      <c r="F42" s="14" t="n"/>
      <c r="G42" s="14" t="n"/>
      <c r="H42" s="14" t="n"/>
      <c r="I42" s="14" t="n"/>
      <c r="J42" s="15">
        <f>SUM(C42:I42)</f>
        <v>0.0</v>
      </c>
      <c r="K42" s="16" t="n"/>
    </row>
    <row r="43" ht="15.8" customHeight="1">
      <c r="A43" s="10" t="inlineStr">
        <is>
          <t xml:space="preserve">  Bizcochería</t>
        </is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8" t="n"/>
    </row>
    <row r="44">
      <c r="A44" s="12" t="inlineStr">
        <is>
          <t>Magdalena</t>
        </is>
      </c>
      <c r="B44" s="13" t="inlineStr">
        <is>
          <t>Bizcochería</t>
        </is>
      </c>
      <c r="C44" s="14" t="n"/>
      <c r="D44" s="14" t="n"/>
      <c r="E44" s="14" t="n"/>
      <c r="F44" s="14" t="n"/>
      <c r="G44" s="14" t="n"/>
      <c r="H44" s="14" t="n"/>
      <c r="I44" s="14" t="n"/>
      <c r="J44" s="15">
        <f>SUM(C44:I44)</f>
        <v>0.0</v>
      </c>
      <c r="K44" s="16" t="n"/>
    </row>
    <row r="45">
      <c r="A45" s="12" t="inlineStr">
        <is>
          <t>Cookie de chocolate</t>
        </is>
      </c>
      <c r="B45" s="13" t="inlineStr">
        <is>
          <t>Bizcochería</t>
        </is>
      </c>
      <c r="C45" s="14" t="n"/>
      <c r="D45" s="14" t="n"/>
      <c r="E45" s="14" t="n"/>
      <c r="F45" s="14" t="n"/>
      <c r="G45" s="14" t="n"/>
      <c r="H45" s="14" t="n"/>
      <c r="I45" s="14" t="n"/>
      <c r="J45" s="15">
        <f>SUM(C45:I45)</f>
        <v>0.0</v>
      </c>
      <c r="K45" s="16" t="n"/>
    </row>
    <row r="46">
      <c r="A46" s="12" t="inlineStr">
        <is>
          <t>Brownie</t>
        </is>
      </c>
      <c r="B46" s="13" t="inlineStr">
        <is>
          <t>Bizcochería</t>
        </is>
      </c>
      <c r="C46" s="14" t="n"/>
      <c r="D46" s="14" t="n"/>
      <c r="E46" s="14" t="n"/>
      <c r="F46" s="14" t="n"/>
      <c r="G46" s="14" t="n"/>
      <c r="H46" s="14" t="n"/>
      <c r="I46" s="14" t="n"/>
      <c r="J46" s="15">
        <f>SUM(C46:I46)</f>
        <v>0.0</v>
      </c>
      <c r="K46" s="16" t="n"/>
    </row>
    <row r="47">
      <c r="A47" s="12" t="inlineStr">
        <is>
          <t>Galleta de mantequilla</t>
        </is>
      </c>
      <c r="B47" s="13" t="inlineStr">
        <is>
          <t>Bizcochería</t>
        </is>
      </c>
      <c r="C47" s="14" t="n"/>
      <c r="D47" s="14" t="n"/>
      <c r="E47" s="14" t="n"/>
      <c r="F47" s="14" t="n"/>
      <c r="G47" s="14" t="n"/>
      <c r="H47" s="14" t="n"/>
      <c r="I47" s="14" t="n"/>
      <c r="J47" s="15">
        <f>SUM(C47:I47)</f>
        <v>0.0</v>
      </c>
      <c r="K47" s="16" t="n"/>
    </row>
    <row r="48">
      <c r="A48" s="12" t="inlineStr">
        <is>
          <t>Bizcocho de yogur</t>
        </is>
      </c>
      <c r="B48" s="13" t="inlineStr">
        <is>
          <t>Bizcochería</t>
        </is>
      </c>
      <c r="C48" s="14" t="n"/>
      <c r="D48" s="14" t="n"/>
      <c r="E48" s="14" t="n"/>
      <c r="F48" s="14" t="n"/>
      <c r="G48" s="14" t="n"/>
      <c r="H48" s="14" t="n"/>
      <c r="I48" s="14" t="n"/>
      <c r="J48" s="15">
        <f>SUM(C48:I48)</f>
        <v>0.0</v>
      </c>
      <c r="K48" s="16" t="n"/>
    </row>
    <row r="49">
      <c r="A49" s="12" t="inlineStr">
        <is>
          <t>Financier de almendra</t>
        </is>
      </c>
      <c r="B49" s="13" t="inlineStr">
        <is>
          <t>Bizcochería</t>
        </is>
      </c>
      <c r="C49" s="14" t="n"/>
      <c r="D49" s="14" t="n"/>
      <c r="E49" s="14" t="n"/>
      <c r="F49" s="14" t="n"/>
      <c r="G49" s="14" t="n"/>
      <c r="H49" s="14" t="n"/>
      <c r="I49" s="14" t="n"/>
      <c r="J49" s="15">
        <f>SUM(C49:I49)</f>
        <v>0.0</v>
      </c>
      <c r="K49" s="16" t="n"/>
    </row>
    <row r="50">
      <c r="A50" s="16" t="n"/>
      <c r="B50" s="17" t="n"/>
      <c r="C50" s="14" t="n"/>
      <c r="D50" s="14" t="n"/>
      <c r="E50" s="14" t="n"/>
      <c r="F50" s="14" t="n"/>
      <c r="G50" s="14" t="n"/>
      <c r="H50" s="14" t="n"/>
      <c r="I50" s="14" t="n"/>
      <c r="J50" s="15">
        <f>SUM(C50:I50)</f>
        <v>0.0</v>
      </c>
      <c r="K50" s="16" t="n"/>
    </row>
    <row r="51">
      <c r="A51" s="16" t="n"/>
      <c r="B51" s="17" t="n"/>
      <c r="C51" s="14" t="n"/>
      <c r="D51" s="14" t="n"/>
      <c r="E51" s="14" t="n"/>
      <c r="F51" s="14" t="n"/>
      <c r="G51" s="14" t="n"/>
      <c r="H51" s="14" t="n"/>
      <c r="I51" s="14" t="n"/>
      <c r="J51" s="15">
        <f>SUM(C51:I51)</f>
        <v>0.0</v>
      </c>
      <c r="K51" s="16" t="n"/>
    </row>
    <row r="52">
      <c r="A52" s="18" t="inlineStr">
        <is>
          <t>TOTAL DE UNIDADES</t>
        </is>
      </c>
      <c r="B52" s="19" t="n"/>
      <c r="C52" s="20">
        <f>SUM(C5:C51)</f>
        <v>0.0</v>
      </c>
      <c r="D52" s="20">
        <f>SUM(D5:D51)</f>
        <v>0.0</v>
      </c>
      <c r="E52" s="20">
        <f>SUM(E5:E51)</f>
        <v>0.0</v>
      </c>
      <c r="F52" s="20">
        <f>SUM(F5:F51)</f>
        <v>0.0</v>
      </c>
      <c r="G52" s="20">
        <f>SUM(G5:G51)</f>
        <v>0.0</v>
      </c>
      <c r="H52" s="20">
        <f>SUM(H5:H51)</f>
        <v>0.0</v>
      </c>
      <c r="I52" s="20">
        <f>SUM(I5:I51)</f>
        <v>0.0</v>
      </c>
      <c r="J52" s="20">
        <f>SUM(J5:J51)</f>
        <v>0.0</v>
      </c>
      <c r="K52" s="19" t="n"/>
    </row>
    <row r="53"/>
    <row r="54">
      <c r="A54" s="5" t="inlineStr">
        <is>
          <t>Las filas verdes vacías de cada partida son para tus referencias: ya están dentro de los totales.</t>
        </is>
      </c>
    </row>
    <row r="55"/>
    <row r="56">
      <c r="A56" s="6" t="inlineStr">
        <is>
          <t>— Kit de Tareas Recurrentes · Pastelería / Obrador · AI Chef Pro · aichef.pro</t>
        </is>
      </c>
    </row>
  </sheetData>
  <mergeCells count="7">
    <mergeCell ref="A1:K1"/>
    <mergeCell ref="A29:K29"/>
    <mergeCell ref="A43:K43"/>
    <mergeCell ref="A37:K37"/>
    <mergeCell ref="A5:K5"/>
    <mergeCell ref="A2:K2"/>
    <mergeCell ref="A16:K16"/>
  </mergeCells>
  <printOptions horizontalCentered="1"/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L2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4" customWidth="1" min="10" max="10"/>
    <col width="44" customWidth="1" min="11" max="11"/>
    <col width="28" customWidth="1" min="12" max="12"/>
  </cols>
  <sheetData>
    <row r="1" ht="22" customHeight="1">
      <c r="A1" s="7" t="inlineStr">
        <is>
          <t>Producido vs Vendido — Control Diario de Mermas</t>
        </is>
      </c>
    </row>
    <row r="2" ht="15" customHeight="1">
      <c r="A2" s="8" t="inlineStr">
        <is>
          <t>Anota cada día lo que has producido y lo que has vendido: el sobrante y su coste se calculan solos</t>
        </is>
      </c>
    </row>
    <row r="3"/>
    <row r="4">
      <c r="A4" s="9" t="inlineStr">
        <is>
          <t>Fecha</t>
        </is>
      </c>
      <c r="B4" s="9" t="inlineStr">
        <is>
          <t>Producto</t>
        </is>
      </c>
      <c r="C4" s="9" t="inlineStr">
        <is>
          <t>Partida</t>
        </is>
      </c>
      <c r="D4" s="9" t="inlineStr">
        <is>
          <t>Previsto</t>
        </is>
      </c>
      <c r="E4" s="9" t="inlineStr">
        <is>
          <t>Producido</t>
        </is>
      </c>
      <c r="F4" s="9" t="inlineStr">
        <is>
          <t>Vendido</t>
        </is>
      </c>
      <c r="G4" s="9" t="inlineStr">
        <is>
          <t>Sobrante</t>
        </is>
      </c>
      <c r="H4" s="9" t="inlineStr">
        <is>
          <t>Merma %</t>
        </is>
      </c>
      <c r="I4" s="9" t="inlineStr">
        <is>
          <t>Coste ud (€)</t>
        </is>
      </c>
      <c r="J4" s="9" t="inlineStr">
        <is>
          <t>Coste merma (€)</t>
        </is>
      </c>
      <c r="K4" s="9" t="inlineStr">
        <is>
          <t>Acción</t>
        </is>
      </c>
      <c r="L4" s="9" t="inlineStr">
        <is>
          <t>Notas</t>
        </is>
      </c>
    </row>
    <row r="5">
      <c r="A5" s="21" t="n"/>
      <c r="B5" s="16" t="inlineStr">
        <is>
          <t>Croissant de mantequilla</t>
        </is>
      </c>
      <c r="C5" s="17" t="inlineStr">
        <is>
          <t>Bollería</t>
        </is>
      </c>
      <c r="D5" s="14" t="n"/>
      <c r="E5" s="14" t="n"/>
      <c r="F5" s="14" t="n"/>
      <c r="G5" s="22">
        <f>IFERROR(E5-F5,0)</f>
        <v>0.0</v>
      </c>
      <c r="H5" s="23">
        <f>IFERROR(G5/E5,0)</f>
        <v>0.0</v>
      </c>
      <c r="I5" s="24" t="n"/>
      <c r="J5" s="25">
        <f>IFERROR(G5*I5,0)</f>
        <v>0.0</v>
      </c>
      <c r="K5" s="16" t="n"/>
      <c r="L5" s="16" t="n"/>
    </row>
    <row r="6">
      <c r="A6" s="21" t="n"/>
      <c r="B6" s="16" t="inlineStr">
        <is>
          <t>Pain au chocolat</t>
        </is>
      </c>
      <c r="C6" s="17" t="inlineStr">
        <is>
          <t>Bollería</t>
        </is>
      </c>
      <c r="D6" s="14" t="n"/>
      <c r="E6" s="14" t="n"/>
      <c r="F6" s="14" t="n"/>
      <c r="G6" s="22">
        <f>IFERROR(E6-F6,0)</f>
        <v>0.0</v>
      </c>
      <c r="H6" s="23">
        <f>IFERROR(G6/E6,0)</f>
        <v>0.0</v>
      </c>
      <c r="I6" s="24" t="n"/>
      <c r="J6" s="25">
        <f>IFERROR(G6*I6,0)</f>
        <v>0.0</v>
      </c>
      <c r="K6" s="16" t="n"/>
      <c r="L6" s="16" t="n"/>
    </row>
    <row r="7">
      <c r="A7" s="21" t="n"/>
      <c r="B7" s="16" t="inlineStr">
        <is>
          <t>Napolitana de crema</t>
        </is>
      </c>
      <c r="C7" s="17" t="inlineStr">
        <is>
          <t>Bollería</t>
        </is>
      </c>
      <c r="D7" s="14" t="n"/>
      <c r="E7" s="14" t="n"/>
      <c r="F7" s="14" t="n"/>
      <c r="G7" s="22">
        <f>IFERROR(E7-F7,0)</f>
        <v>0.0</v>
      </c>
      <c r="H7" s="23">
        <f>IFERROR(G7/E7,0)</f>
        <v>0.0</v>
      </c>
      <c r="I7" s="24" t="n"/>
      <c r="J7" s="25">
        <f>IFERROR(G7*I7,0)</f>
        <v>0.0</v>
      </c>
      <c r="K7" s="16" t="n"/>
      <c r="L7" s="16" t="n"/>
    </row>
    <row r="8">
      <c r="A8" s="21" t="n"/>
      <c r="B8" s="16" t="inlineStr">
        <is>
          <t>Palmera de hojaldre</t>
        </is>
      </c>
      <c r="C8" s="17" t="inlineStr">
        <is>
          <t>Bollería</t>
        </is>
      </c>
      <c r="D8" s="14" t="n"/>
      <c r="E8" s="14" t="n"/>
      <c r="F8" s="14" t="n"/>
      <c r="G8" s="22">
        <f>IFERROR(E8-F8,0)</f>
        <v>0.0</v>
      </c>
      <c r="H8" s="23">
        <f>IFERROR(G8/E8,0)</f>
        <v>0.0</v>
      </c>
      <c r="I8" s="24" t="n"/>
      <c r="J8" s="25">
        <f>IFERROR(G8*I8,0)</f>
        <v>0.0</v>
      </c>
      <c r="K8" s="16" t="n"/>
      <c r="L8" s="16" t="n"/>
    </row>
    <row r="9">
      <c r="A9" s="21" t="n"/>
      <c r="B9" s="16" t="inlineStr">
        <is>
          <t>Tarta de queso</t>
        </is>
      </c>
      <c r="C9" s="17" t="inlineStr">
        <is>
          <t>Pastelería</t>
        </is>
      </c>
      <c r="D9" s="14" t="n"/>
      <c r="E9" s="14" t="n"/>
      <c r="F9" s="14" t="n"/>
      <c r="G9" s="22">
        <f>IFERROR(E9-F9,0)</f>
        <v>0.0</v>
      </c>
      <c r="H9" s="23">
        <f>IFERROR(G9/E9,0)</f>
        <v>0.0</v>
      </c>
      <c r="I9" s="24" t="n"/>
      <c r="J9" s="25">
        <f>IFERROR(G9*I9,0)</f>
        <v>0.0</v>
      </c>
      <c r="K9" s="16" t="n"/>
      <c r="L9" s="16" t="n"/>
    </row>
    <row r="10">
      <c r="A10" s="21" t="n"/>
      <c r="B10" s="16" t="inlineStr">
        <is>
          <t>Milhojas</t>
        </is>
      </c>
      <c r="C10" s="17" t="inlineStr">
        <is>
          <t>Pastelería</t>
        </is>
      </c>
      <c r="D10" s="14" t="n"/>
      <c r="E10" s="14" t="n"/>
      <c r="F10" s="14" t="n"/>
      <c r="G10" s="22">
        <f>IFERROR(E10-F10,0)</f>
        <v>0.0</v>
      </c>
      <c r="H10" s="23">
        <f>IFERROR(G10/E10,0)</f>
        <v>0.0</v>
      </c>
      <c r="I10" s="24" t="n"/>
      <c r="J10" s="25">
        <f>IFERROR(G10*I10,0)</f>
        <v>0.0</v>
      </c>
      <c r="K10" s="16" t="n"/>
      <c r="L10" s="16" t="n"/>
    </row>
    <row r="11">
      <c r="A11" s="21" t="n"/>
      <c r="B11" s="16" t="inlineStr">
        <is>
          <t>Tartaleta de frutas</t>
        </is>
      </c>
      <c r="C11" s="17" t="inlineStr">
        <is>
          <t>Pastelería</t>
        </is>
      </c>
      <c r="D11" s="14" t="n"/>
      <c r="E11" s="14" t="n"/>
      <c r="F11" s="14" t="n"/>
      <c r="G11" s="22">
        <f>IFERROR(E11-F11,0)</f>
        <v>0.0</v>
      </c>
      <c r="H11" s="23">
        <f>IFERROR(G11/E11,0)</f>
        <v>0.0</v>
      </c>
      <c r="I11" s="24" t="n"/>
      <c r="J11" s="25">
        <f>IFERROR(G11*I11,0)</f>
        <v>0.0</v>
      </c>
      <c r="K11" s="16" t="n"/>
      <c r="L11" s="16" t="n"/>
    </row>
    <row r="12">
      <c r="A12" s="21" t="n"/>
      <c r="B12" s="16" t="inlineStr">
        <is>
          <t>Barra</t>
        </is>
      </c>
      <c r="C12" s="17" t="inlineStr">
        <is>
          <t>Pan</t>
        </is>
      </c>
      <c r="D12" s="14" t="n"/>
      <c r="E12" s="14" t="n"/>
      <c r="F12" s="14" t="n"/>
      <c r="G12" s="22">
        <f>IFERROR(E12-F12,0)</f>
        <v>0.0</v>
      </c>
      <c r="H12" s="23">
        <f>IFERROR(G12/E12,0)</f>
        <v>0.0</v>
      </c>
      <c r="I12" s="24" t="n"/>
      <c r="J12" s="25">
        <f>IFERROR(G12*I12,0)</f>
        <v>0.0</v>
      </c>
      <c r="K12" s="16" t="n"/>
      <c r="L12" s="16" t="n"/>
    </row>
    <row r="13">
      <c r="A13" s="21" t="n"/>
      <c r="B13" s="16" t="inlineStr">
        <is>
          <t>Hogaza de masa madre</t>
        </is>
      </c>
      <c r="C13" s="17" t="inlineStr">
        <is>
          <t>Pan</t>
        </is>
      </c>
      <c r="D13" s="14" t="n"/>
      <c r="E13" s="14" t="n"/>
      <c r="F13" s="14" t="n"/>
      <c r="G13" s="22">
        <f>IFERROR(E13-F13,0)</f>
        <v>0.0</v>
      </c>
      <c r="H13" s="23">
        <f>IFERROR(G13/E13,0)</f>
        <v>0.0</v>
      </c>
      <c r="I13" s="24" t="n"/>
      <c r="J13" s="25">
        <f>IFERROR(G13*I13,0)</f>
        <v>0.0</v>
      </c>
      <c r="K13" s="16" t="n"/>
      <c r="L13" s="16" t="n"/>
    </row>
    <row r="14">
      <c r="A14" s="21" t="n"/>
      <c r="B14" s="16" t="inlineStr">
        <is>
          <t>Quiche</t>
        </is>
      </c>
      <c r="C14" s="17" t="inlineStr">
        <is>
          <t>Salado</t>
        </is>
      </c>
      <c r="D14" s="14" t="n"/>
      <c r="E14" s="14" t="n"/>
      <c r="F14" s="14" t="n"/>
      <c r="G14" s="22">
        <f>IFERROR(E14-F14,0)</f>
        <v>0.0</v>
      </c>
      <c r="H14" s="23">
        <f>IFERROR(G14/E14,0)</f>
        <v>0.0</v>
      </c>
      <c r="I14" s="24" t="n"/>
      <c r="J14" s="25">
        <f>IFERROR(G14*I14,0)</f>
        <v>0.0</v>
      </c>
      <c r="K14" s="16" t="n"/>
      <c r="L14" s="16" t="n"/>
    </row>
    <row r="15">
      <c r="A15" s="21" t="n"/>
      <c r="B15" s="16" t="inlineStr">
        <is>
          <t>Magdalena</t>
        </is>
      </c>
      <c r="C15" s="17" t="inlineStr">
        <is>
          <t>Bizcochería</t>
        </is>
      </c>
      <c r="D15" s="14" t="n"/>
      <c r="E15" s="14" t="n"/>
      <c r="F15" s="14" t="n"/>
      <c r="G15" s="22">
        <f>IFERROR(E15-F15,0)</f>
        <v>0.0</v>
      </c>
      <c r="H15" s="23">
        <f>IFERROR(G15/E15,0)</f>
        <v>0.0</v>
      </c>
      <c r="I15" s="24" t="n"/>
      <c r="J15" s="25">
        <f>IFERROR(G15*I15,0)</f>
        <v>0.0</v>
      </c>
      <c r="K15" s="16" t="n"/>
      <c r="L15" s="16" t="n"/>
    </row>
    <row r="16">
      <c r="A16" s="21" t="n"/>
      <c r="B16" s="16" t="inlineStr">
        <is>
          <t>Cookie de chocolate</t>
        </is>
      </c>
      <c r="C16" s="17" t="inlineStr">
        <is>
          <t>Bizcochería</t>
        </is>
      </c>
      <c r="D16" s="14" t="n"/>
      <c r="E16" s="14" t="n"/>
      <c r="F16" s="14" t="n"/>
      <c r="G16" s="22">
        <f>IFERROR(E16-F16,0)</f>
        <v>0.0</v>
      </c>
      <c r="H16" s="23">
        <f>IFERROR(G16/E16,0)</f>
        <v>0.0</v>
      </c>
      <c r="I16" s="24" t="n"/>
      <c r="J16" s="25">
        <f>IFERROR(G16*I16,0)</f>
        <v>0.0</v>
      </c>
      <c r="K16" s="16" t="n"/>
      <c r="L16" s="16" t="n"/>
    </row>
    <row r="17">
      <c r="A17" s="21" t="n"/>
      <c r="B17" s="16" t="n"/>
      <c r="C17" s="17" t="n"/>
      <c r="D17" s="14" t="n"/>
      <c r="E17" s="14" t="n"/>
      <c r="F17" s="14" t="n"/>
      <c r="G17" s="22">
        <f>IFERROR(E17-F17,0)</f>
        <v>0.0</v>
      </c>
      <c r="H17" s="23">
        <f>IFERROR(G17/E17,0)</f>
        <v>0.0</v>
      </c>
      <c r="I17" s="24" t="n"/>
      <c r="J17" s="25">
        <f>IFERROR(G17*I17,0)</f>
        <v>0.0</v>
      </c>
      <c r="K17" s="16" t="n"/>
      <c r="L17" s="16" t="n"/>
    </row>
    <row r="18">
      <c r="A18" s="21" t="n"/>
      <c r="B18" s="16" t="n"/>
      <c r="C18" s="17" t="n"/>
      <c r="D18" s="14" t="n"/>
      <c r="E18" s="14" t="n"/>
      <c r="F18" s="14" t="n"/>
      <c r="G18" s="22">
        <f>IFERROR(E18-F18,0)</f>
        <v>0.0</v>
      </c>
      <c r="H18" s="23">
        <f>IFERROR(G18/E18,0)</f>
        <v>0.0</v>
      </c>
      <c r="I18" s="24" t="n"/>
      <c r="J18" s="25">
        <f>IFERROR(G18*I18,0)</f>
        <v>0.0</v>
      </c>
      <c r="K18" s="16" t="n"/>
      <c r="L18" s="16" t="n"/>
    </row>
    <row r="19">
      <c r="A19" s="21" t="n"/>
      <c r="B19" s="16" t="n"/>
      <c r="C19" s="17" t="n"/>
      <c r="D19" s="14" t="n"/>
      <c r="E19" s="14" t="n"/>
      <c r="F19" s="14" t="n"/>
      <c r="G19" s="22">
        <f>IFERROR(E19-F19,0)</f>
        <v>0.0</v>
      </c>
      <c r="H19" s="23">
        <f>IFERROR(G19/E19,0)</f>
        <v>0.0</v>
      </c>
      <c r="I19" s="24" t="n"/>
      <c r="J19" s="25">
        <f>IFERROR(G19*I19,0)</f>
        <v>0.0</v>
      </c>
      <c r="K19" s="16" t="n"/>
      <c r="L19" s="16" t="n"/>
    </row>
    <row r="20">
      <c r="A20" s="21" t="n"/>
      <c r="B20" s="16" t="n"/>
      <c r="C20" s="17" t="n"/>
      <c r="D20" s="14" t="n"/>
      <c r="E20" s="14" t="n"/>
      <c r="F20" s="14" t="n"/>
      <c r="G20" s="22">
        <f>IFERROR(E20-F20,0)</f>
        <v>0.0</v>
      </c>
      <c r="H20" s="23">
        <f>IFERROR(G20/E20,0)</f>
        <v>0.0</v>
      </c>
      <c r="I20" s="24" t="n"/>
      <c r="J20" s="25">
        <f>IFERROR(G20*I20,0)</f>
        <v>0.0</v>
      </c>
      <c r="K20" s="16" t="n"/>
      <c r="L20" s="16" t="n"/>
    </row>
    <row r="21">
      <c r="A21" s="21" t="n"/>
      <c r="B21" s="16" t="n"/>
      <c r="C21" s="17" t="n"/>
      <c r="D21" s="14" t="n"/>
      <c r="E21" s="14" t="n"/>
      <c r="F21" s="14" t="n"/>
      <c r="G21" s="22">
        <f>IFERROR(E21-F21,0)</f>
        <v>0.0</v>
      </c>
      <c r="H21" s="23">
        <f>IFERROR(G21/E21,0)</f>
        <v>0.0</v>
      </c>
      <c r="I21" s="24" t="n"/>
      <c r="J21" s="25">
        <f>IFERROR(G21*I21,0)</f>
        <v>0.0</v>
      </c>
      <c r="K21" s="16" t="n"/>
      <c r="L21" s="16" t="n"/>
    </row>
    <row r="22">
      <c r="A22" s="21" t="n"/>
      <c r="B22" s="16" t="n"/>
      <c r="C22" s="17" t="n"/>
      <c r="D22" s="14" t="n"/>
      <c r="E22" s="14" t="n"/>
      <c r="F22" s="14" t="n"/>
      <c r="G22" s="22">
        <f>IFERROR(E22-F22,0)</f>
        <v>0.0</v>
      </c>
      <c r="H22" s="23">
        <f>IFERROR(G22/E22,0)</f>
        <v>0.0</v>
      </c>
      <c r="I22" s="24" t="n"/>
      <c r="J22" s="25">
        <f>IFERROR(G22*I22,0)</f>
        <v>0.0</v>
      </c>
      <c r="K22" s="16" t="n"/>
      <c r="L22" s="16" t="n"/>
    </row>
    <row r="23">
      <c r="A23" s="21" t="n"/>
      <c r="B23" s="16" t="n"/>
      <c r="C23" s="17" t="n"/>
      <c r="D23" s="14" t="n"/>
      <c r="E23" s="14" t="n"/>
      <c r="F23" s="14" t="n"/>
      <c r="G23" s="22">
        <f>IFERROR(E23-F23,0)</f>
        <v>0.0</v>
      </c>
      <c r="H23" s="23">
        <f>IFERROR(G23/E23,0)</f>
        <v>0.0</v>
      </c>
      <c r="I23" s="24" t="n"/>
      <c r="J23" s="25">
        <f>IFERROR(G23*I23,0)</f>
        <v>0.0</v>
      </c>
      <c r="K23" s="16" t="n"/>
      <c r="L23" s="16" t="n"/>
    </row>
    <row r="24">
      <c r="A24" s="21" t="n"/>
      <c r="B24" s="16" t="n"/>
      <c r="C24" s="17" t="n"/>
      <c r="D24" s="14" t="n"/>
      <c r="E24" s="14" t="n"/>
      <c r="F24" s="14" t="n"/>
      <c r="G24" s="22">
        <f>IFERROR(E24-F24,0)</f>
        <v>0.0</v>
      </c>
      <c r="H24" s="23">
        <f>IFERROR(G24/E24,0)</f>
        <v>0.0</v>
      </c>
      <c r="I24" s="24" t="n"/>
      <c r="J24" s="25">
        <f>IFERROR(G24*I24,0)</f>
        <v>0.0</v>
      </c>
      <c r="K24" s="16" t="n"/>
      <c r="L24" s="16" t="n"/>
    </row>
    <row r="25">
      <c r="A25" s="21" t="n"/>
      <c r="B25" s="16" t="n"/>
      <c r="C25" s="17" t="n"/>
      <c r="D25" s="14" t="n"/>
      <c r="E25" s="14" t="n"/>
      <c r="F25" s="14" t="n"/>
      <c r="G25" s="22">
        <f>IFERROR(E25-F25,0)</f>
        <v>0.0</v>
      </c>
      <c r="H25" s="23">
        <f>IFERROR(G25/E25,0)</f>
        <v>0.0</v>
      </c>
      <c r="I25" s="24" t="n"/>
      <c r="J25" s="25">
        <f>IFERROR(G25*I25,0)</f>
        <v>0.0</v>
      </c>
      <c r="K25" s="16" t="n"/>
      <c r="L25" s="16" t="n"/>
    </row>
    <row r="26">
      <c r="A26" s="21" t="n"/>
      <c r="B26" s="16" t="n"/>
      <c r="C26" s="17" t="n"/>
      <c r="D26" s="14" t="n"/>
      <c r="E26" s="14" t="n"/>
      <c r="F26" s="14" t="n"/>
      <c r="G26" s="22">
        <f>IFERROR(E26-F26,0)</f>
        <v>0.0</v>
      </c>
      <c r="H26" s="23">
        <f>IFERROR(G26/E26,0)</f>
        <v>0.0</v>
      </c>
      <c r="I26" s="24" t="n"/>
      <c r="J26" s="25">
        <f>IFERROR(G26*I26,0)</f>
        <v>0.0</v>
      </c>
      <c r="K26" s="16" t="n"/>
      <c r="L26" s="16" t="n"/>
    </row>
    <row r="27">
      <c r="A27" s="21" t="n"/>
      <c r="B27" s="16" t="n"/>
      <c r="C27" s="17" t="n"/>
      <c r="D27" s="14" t="n"/>
      <c r="E27" s="14" t="n"/>
      <c r="F27" s="14" t="n"/>
      <c r="G27" s="22">
        <f>IFERROR(E27-F27,0)</f>
        <v>0.0</v>
      </c>
      <c r="H27" s="23">
        <f>IFERROR(G27/E27,0)</f>
        <v>0.0</v>
      </c>
      <c r="I27" s="24" t="n"/>
      <c r="J27" s="25">
        <f>IFERROR(G27*I27,0)</f>
        <v>0.0</v>
      </c>
      <c r="K27" s="16" t="n"/>
      <c r="L27" s="16" t="n"/>
    </row>
    <row r="28">
      <c r="A28" s="21" t="n"/>
      <c r="B28" s="16" t="n"/>
      <c r="C28" s="17" t="n"/>
      <c r="D28" s="14" t="n"/>
      <c r="E28" s="14" t="n"/>
      <c r="F28" s="14" t="n"/>
      <c r="G28" s="22">
        <f>IFERROR(E28-F28,0)</f>
        <v>0.0</v>
      </c>
      <c r="H28" s="23">
        <f>IFERROR(G28/E28,0)</f>
        <v>0.0</v>
      </c>
      <c r="I28" s="24" t="n"/>
      <c r="J28" s="25">
        <f>IFERROR(G28*I28,0)</f>
        <v>0.0</v>
      </c>
      <c r="K28" s="16" t="n"/>
      <c r="L28" s="16" t="n"/>
    </row>
    <row r="29">
      <c r="A29" s="21" t="n"/>
      <c r="B29" s="16" t="n"/>
      <c r="C29" s="17" t="n"/>
      <c r="D29" s="14" t="n"/>
      <c r="E29" s="14" t="n"/>
      <c r="F29" s="14" t="n"/>
      <c r="G29" s="22">
        <f>IFERROR(E29-F29,0)</f>
        <v>0.0</v>
      </c>
      <c r="H29" s="23">
        <f>IFERROR(G29/E29,0)</f>
        <v>0.0</v>
      </c>
      <c r="I29" s="24" t="n"/>
      <c r="J29" s="25">
        <f>IFERROR(G29*I29,0)</f>
        <v>0.0</v>
      </c>
      <c r="K29" s="16" t="n"/>
      <c r="L29" s="16" t="n"/>
    </row>
    <row r="30">
      <c r="A30" s="21" t="n"/>
      <c r="B30" s="16" t="n"/>
      <c r="C30" s="17" t="n"/>
      <c r="D30" s="14" t="n"/>
      <c r="E30" s="14" t="n"/>
      <c r="F30" s="14" t="n"/>
      <c r="G30" s="22">
        <f>IFERROR(E30-F30,0)</f>
        <v>0.0</v>
      </c>
      <c r="H30" s="23">
        <f>IFERROR(G30/E30,0)</f>
        <v>0.0</v>
      </c>
      <c r="I30" s="24" t="n"/>
      <c r="J30" s="25">
        <f>IFERROR(G30*I30,0)</f>
        <v>0.0</v>
      </c>
      <c r="K30" s="16" t="n"/>
      <c r="L30" s="16" t="n"/>
    </row>
    <row r="31">
      <c r="A31" s="21" t="n"/>
      <c r="B31" s="16" t="n"/>
      <c r="C31" s="17" t="n"/>
      <c r="D31" s="14" t="n"/>
      <c r="E31" s="14" t="n"/>
      <c r="F31" s="14" t="n"/>
      <c r="G31" s="22">
        <f>IFERROR(E31-F31,0)</f>
        <v>0.0</v>
      </c>
      <c r="H31" s="23">
        <f>IFERROR(G31/E31,0)</f>
        <v>0.0</v>
      </c>
      <c r="I31" s="24" t="n"/>
      <c r="J31" s="25">
        <f>IFERROR(G31*I31,0)</f>
        <v>0.0</v>
      </c>
      <c r="K31" s="16" t="n"/>
      <c r="L31" s="16" t="n"/>
    </row>
    <row r="32">
      <c r="A32" s="21" t="n"/>
      <c r="B32" s="16" t="n"/>
      <c r="C32" s="17" t="n"/>
      <c r="D32" s="14" t="n"/>
      <c r="E32" s="14" t="n"/>
      <c r="F32" s="14" t="n"/>
      <c r="G32" s="22">
        <f>IFERROR(E32-F32,0)</f>
        <v>0.0</v>
      </c>
      <c r="H32" s="23">
        <f>IFERROR(G32/E32,0)</f>
        <v>0.0</v>
      </c>
      <c r="I32" s="24" t="n"/>
      <c r="J32" s="25">
        <f>IFERROR(G32*I32,0)</f>
        <v>0.0</v>
      </c>
      <c r="K32" s="16" t="n"/>
      <c r="L32" s="16" t="n"/>
    </row>
    <row r="33">
      <c r="A33" s="21" t="n"/>
      <c r="B33" s="16" t="n"/>
      <c r="C33" s="17" t="n"/>
      <c r="D33" s="14" t="n"/>
      <c r="E33" s="14" t="n"/>
      <c r="F33" s="14" t="n"/>
      <c r="G33" s="22">
        <f>IFERROR(E33-F33,0)</f>
        <v>0.0</v>
      </c>
      <c r="H33" s="23">
        <f>IFERROR(G33/E33,0)</f>
        <v>0.0</v>
      </c>
      <c r="I33" s="24" t="n"/>
      <c r="J33" s="25">
        <f>IFERROR(G33*I33,0)</f>
        <v>0.0</v>
      </c>
      <c r="K33" s="16" t="n"/>
      <c r="L33" s="16" t="n"/>
    </row>
    <row r="34">
      <c r="A34" s="21" t="n"/>
      <c r="B34" s="16" t="n"/>
      <c r="C34" s="17" t="n"/>
      <c r="D34" s="14" t="n"/>
      <c r="E34" s="14" t="n"/>
      <c r="F34" s="14" t="n"/>
      <c r="G34" s="22">
        <f>IFERROR(E34-F34,0)</f>
        <v>0.0</v>
      </c>
      <c r="H34" s="23">
        <f>IFERROR(G34/E34,0)</f>
        <v>0.0</v>
      </c>
      <c r="I34" s="24" t="n"/>
      <c r="J34" s="25">
        <f>IFERROR(G34*I34,0)</f>
        <v>0.0</v>
      </c>
      <c r="K34" s="16" t="n"/>
      <c r="L34" s="16" t="n"/>
    </row>
    <row r="35">
      <c r="A35" s="21" t="n"/>
      <c r="B35" s="16" t="n"/>
      <c r="C35" s="17" t="n"/>
      <c r="D35" s="14" t="n"/>
      <c r="E35" s="14" t="n"/>
      <c r="F35" s="14" t="n"/>
      <c r="G35" s="22">
        <f>IFERROR(E35-F35,0)</f>
        <v>0.0</v>
      </c>
      <c r="H35" s="23">
        <f>IFERROR(G35/E35,0)</f>
        <v>0.0</v>
      </c>
      <c r="I35" s="24" t="n"/>
      <c r="J35" s="25">
        <f>IFERROR(G35*I35,0)</f>
        <v>0.0</v>
      </c>
      <c r="K35" s="16" t="n"/>
      <c r="L35" s="16" t="n"/>
    </row>
    <row r="36">
      <c r="A36" s="21" t="n"/>
      <c r="B36" s="16" t="n"/>
      <c r="C36" s="17" t="n"/>
      <c r="D36" s="14" t="n"/>
      <c r="E36" s="14" t="n"/>
      <c r="F36" s="14" t="n"/>
      <c r="G36" s="22">
        <f>IFERROR(E36-F36,0)</f>
        <v>0.0</v>
      </c>
      <c r="H36" s="23">
        <f>IFERROR(G36/E36,0)</f>
        <v>0.0</v>
      </c>
      <c r="I36" s="24" t="n"/>
      <c r="J36" s="25">
        <f>IFERROR(G36*I36,0)</f>
        <v>0.0</v>
      </c>
      <c r="K36" s="16" t="n"/>
      <c r="L36" s="16" t="n"/>
    </row>
    <row r="37">
      <c r="A37" s="21" t="n"/>
      <c r="B37" s="16" t="n"/>
      <c r="C37" s="17" t="n"/>
      <c r="D37" s="14" t="n"/>
      <c r="E37" s="14" t="n"/>
      <c r="F37" s="14" t="n"/>
      <c r="G37" s="22">
        <f>IFERROR(E37-F37,0)</f>
        <v>0.0</v>
      </c>
      <c r="H37" s="23">
        <f>IFERROR(G37/E37,0)</f>
        <v>0.0</v>
      </c>
      <c r="I37" s="24" t="n"/>
      <c r="J37" s="25">
        <f>IFERROR(G37*I37,0)</f>
        <v>0.0</v>
      </c>
      <c r="K37" s="16" t="n"/>
      <c r="L37" s="16" t="n"/>
    </row>
    <row r="38">
      <c r="A38" s="21" t="n"/>
      <c r="B38" s="16" t="n"/>
      <c r="C38" s="17" t="n"/>
      <c r="D38" s="14" t="n"/>
      <c r="E38" s="14" t="n"/>
      <c r="F38" s="14" t="n"/>
      <c r="G38" s="22">
        <f>IFERROR(E38-F38,0)</f>
        <v>0.0</v>
      </c>
      <c r="H38" s="23">
        <f>IFERROR(G38/E38,0)</f>
        <v>0.0</v>
      </c>
      <c r="I38" s="24" t="n"/>
      <c r="J38" s="25">
        <f>IFERROR(G38*I38,0)</f>
        <v>0.0</v>
      </c>
      <c r="K38" s="16" t="n"/>
      <c r="L38" s="16" t="n"/>
    </row>
    <row r="39">
      <c r="A39" s="21" t="n"/>
      <c r="B39" s="16" t="n"/>
      <c r="C39" s="17" t="n"/>
      <c r="D39" s="14" t="n"/>
      <c r="E39" s="14" t="n"/>
      <c r="F39" s="14" t="n"/>
      <c r="G39" s="22">
        <f>IFERROR(E39-F39,0)</f>
        <v>0.0</v>
      </c>
      <c r="H39" s="23">
        <f>IFERROR(G39/E39,0)</f>
        <v>0.0</v>
      </c>
      <c r="I39" s="24" t="n"/>
      <c r="J39" s="25">
        <f>IFERROR(G39*I39,0)</f>
        <v>0.0</v>
      </c>
      <c r="K39" s="16" t="n"/>
      <c r="L39" s="16" t="n"/>
    </row>
    <row r="40">
      <c r="A40" s="21" t="n"/>
      <c r="B40" s="16" t="n"/>
      <c r="C40" s="17" t="n"/>
      <c r="D40" s="14" t="n"/>
      <c r="E40" s="14" t="n"/>
      <c r="F40" s="14" t="n"/>
      <c r="G40" s="22">
        <f>IFERROR(E40-F40,0)</f>
        <v>0.0</v>
      </c>
      <c r="H40" s="23">
        <f>IFERROR(G40/E40,0)</f>
        <v>0.0</v>
      </c>
      <c r="I40" s="24" t="n"/>
      <c r="J40" s="25">
        <f>IFERROR(G40*I40,0)</f>
        <v>0.0</v>
      </c>
      <c r="K40" s="16" t="n"/>
      <c r="L40" s="16" t="n"/>
    </row>
    <row r="41">
      <c r="A41" s="21" t="n"/>
      <c r="B41" s="16" t="n"/>
      <c r="C41" s="17" t="n"/>
      <c r="D41" s="14" t="n"/>
      <c r="E41" s="14" t="n"/>
      <c r="F41" s="14" t="n"/>
      <c r="G41" s="22">
        <f>IFERROR(E41-F41,0)</f>
        <v>0.0</v>
      </c>
      <c r="H41" s="23">
        <f>IFERROR(G41/E41,0)</f>
        <v>0.0</v>
      </c>
      <c r="I41" s="24" t="n"/>
      <c r="J41" s="25">
        <f>IFERROR(G41*I41,0)</f>
        <v>0.0</v>
      </c>
      <c r="K41" s="16" t="n"/>
      <c r="L41" s="16" t="n"/>
    </row>
    <row r="42">
      <c r="A42" s="21" t="n"/>
      <c r="B42" s="16" t="n"/>
      <c r="C42" s="17" t="n"/>
      <c r="D42" s="14" t="n"/>
      <c r="E42" s="14" t="n"/>
      <c r="F42" s="14" t="n"/>
      <c r="G42" s="22">
        <f>IFERROR(E42-F42,0)</f>
        <v>0.0</v>
      </c>
      <c r="H42" s="23">
        <f>IFERROR(G42/E42,0)</f>
        <v>0.0</v>
      </c>
      <c r="I42" s="24" t="n"/>
      <c r="J42" s="25">
        <f>IFERROR(G42*I42,0)</f>
        <v>0.0</v>
      </c>
      <c r="K42" s="16" t="n"/>
      <c r="L42" s="16" t="n"/>
    </row>
    <row r="43">
      <c r="A43" s="21" t="n"/>
      <c r="B43" s="16" t="n"/>
      <c r="C43" s="17" t="n"/>
      <c r="D43" s="14" t="n"/>
      <c r="E43" s="14" t="n"/>
      <c r="F43" s="14" t="n"/>
      <c r="G43" s="22">
        <f>IFERROR(E43-F43,0)</f>
        <v>0.0</v>
      </c>
      <c r="H43" s="23">
        <f>IFERROR(G43/E43,0)</f>
        <v>0.0</v>
      </c>
      <c r="I43" s="24" t="n"/>
      <c r="J43" s="25">
        <f>IFERROR(G43*I43,0)</f>
        <v>0.0</v>
      </c>
      <c r="K43" s="16" t="n"/>
      <c r="L43" s="16" t="n"/>
    </row>
    <row r="44">
      <c r="A44" s="21" t="n"/>
      <c r="B44" s="16" t="n"/>
      <c r="C44" s="17" t="n"/>
      <c r="D44" s="14" t="n"/>
      <c r="E44" s="14" t="n"/>
      <c r="F44" s="14" t="n"/>
      <c r="G44" s="22">
        <f>IFERROR(E44-F44,0)</f>
        <v>0.0</v>
      </c>
      <c r="H44" s="23">
        <f>IFERROR(G44/E44,0)</f>
        <v>0.0</v>
      </c>
      <c r="I44" s="24" t="n"/>
      <c r="J44" s="25">
        <f>IFERROR(G44*I44,0)</f>
        <v>0.0</v>
      </c>
      <c r="K44" s="16" t="n"/>
      <c r="L44" s="16" t="n"/>
    </row>
    <row r="45">
      <c r="A45" s="21" t="n"/>
      <c r="B45" s="16" t="n"/>
      <c r="C45" s="17" t="n"/>
      <c r="D45" s="14" t="n"/>
      <c r="E45" s="14" t="n"/>
      <c r="F45" s="14" t="n"/>
      <c r="G45" s="22">
        <f>IFERROR(E45-F45,0)</f>
        <v>0.0</v>
      </c>
      <c r="H45" s="23">
        <f>IFERROR(G45/E45,0)</f>
        <v>0.0</v>
      </c>
      <c r="I45" s="24" t="n"/>
      <c r="J45" s="25">
        <f>IFERROR(G45*I45,0)</f>
        <v>0.0</v>
      </c>
      <c r="K45" s="16" t="n"/>
      <c r="L45" s="16" t="n"/>
    </row>
    <row r="46">
      <c r="A46" s="21" t="n"/>
      <c r="B46" s="16" t="n"/>
      <c r="C46" s="17" t="n"/>
      <c r="D46" s="14" t="n"/>
      <c r="E46" s="14" t="n"/>
      <c r="F46" s="14" t="n"/>
      <c r="G46" s="22">
        <f>IFERROR(E46-F46,0)</f>
        <v>0.0</v>
      </c>
      <c r="H46" s="23">
        <f>IFERROR(G46/E46,0)</f>
        <v>0.0</v>
      </c>
      <c r="I46" s="24" t="n"/>
      <c r="J46" s="25">
        <f>IFERROR(G46*I46,0)</f>
        <v>0.0</v>
      </c>
      <c r="K46" s="16" t="n"/>
      <c r="L46" s="16" t="n"/>
    </row>
    <row r="47">
      <c r="A47" s="21" t="n"/>
      <c r="B47" s="16" t="n"/>
      <c r="C47" s="17" t="n"/>
      <c r="D47" s="14" t="n"/>
      <c r="E47" s="14" t="n"/>
      <c r="F47" s="14" t="n"/>
      <c r="G47" s="22">
        <f>IFERROR(E47-F47,0)</f>
        <v>0.0</v>
      </c>
      <c r="H47" s="23">
        <f>IFERROR(G47/E47,0)</f>
        <v>0.0</v>
      </c>
      <c r="I47" s="24" t="n"/>
      <c r="J47" s="25">
        <f>IFERROR(G47*I47,0)</f>
        <v>0.0</v>
      </c>
      <c r="K47" s="16" t="n"/>
      <c r="L47" s="16" t="n"/>
    </row>
    <row r="48">
      <c r="A48" s="21" t="n"/>
      <c r="B48" s="16" t="n"/>
      <c r="C48" s="17" t="n"/>
      <c r="D48" s="14" t="n"/>
      <c r="E48" s="14" t="n"/>
      <c r="F48" s="14" t="n"/>
      <c r="G48" s="22">
        <f>IFERROR(E48-F48,0)</f>
        <v>0.0</v>
      </c>
      <c r="H48" s="23">
        <f>IFERROR(G48/E48,0)</f>
        <v>0.0</v>
      </c>
      <c r="I48" s="24" t="n"/>
      <c r="J48" s="25">
        <f>IFERROR(G48*I48,0)</f>
        <v>0.0</v>
      </c>
      <c r="K48" s="16" t="n"/>
      <c r="L48" s="16" t="n"/>
    </row>
    <row r="49">
      <c r="A49" s="21" t="n"/>
      <c r="B49" s="16" t="n"/>
      <c r="C49" s="17" t="n"/>
      <c r="D49" s="14" t="n"/>
      <c r="E49" s="14" t="n"/>
      <c r="F49" s="14" t="n"/>
      <c r="G49" s="22">
        <f>IFERROR(E49-F49,0)</f>
        <v>0.0</v>
      </c>
      <c r="H49" s="23">
        <f>IFERROR(G49/E49,0)</f>
        <v>0.0</v>
      </c>
      <c r="I49" s="24" t="n"/>
      <c r="J49" s="25">
        <f>IFERROR(G49*I49,0)</f>
        <v>0.0</v>
      </c>
      <c r="K49" s="16" t="n"/>
      <c r="L49" s="16" t="n"/>
    </row>
    <row r="50">
      <c r="A50" s="21" t="n"/>
      <c r="B50" s="16" t="n"/>
      <c r="C50" s="17" t="n"/>
      <c r="D50" s="14" t="n"/>
      <c r="E50" s="14" t="n"/>
      <c r="F50" s="14" t="n"/>
      <c r="G50" s="22">
        <f>IFERROR(E50-F50,0)</f>
        <v>0.0</v>
      </c>
      <c r="H50" s="23">
        <f>IFERROR(G50/E50,0)</f>
        <v>0.0</v>
      </c>
      <c r="I50" s="24" t="n"/>
      <c r="J50" s="25">
        <f>IFERROR(G50*I50,0)</f>
        <v>0.0</v>
      </c>
      <c r="K50" s="16" t="n"/>
      <c r="L50" s="16" t="n"/>
    </row>
    <row r="51">
      <c r="A51" s="21" t="n"/>
      <c r="B51" s="16" t="n"/>
      <c r="C51" s="17" t="n"/>
      <c r="D51" s="14" t="n"/>
      <c r="E51" s="14" t="n"/>
      <c r="F51" s="14" t="n"/>
      <c r="G51" s="22">
        <f>IFERROR(E51-F51,0)</f>
        <v>0.0</v>
      </c>
      <c r="H51" s="23">
        <f>IFERROR(G51/E51,0)</f>
        <v>0.0</v>
      </c>
      <c r="I51" s="24" t="n"/>
      <c r="J51" s="25">
        <f>IFERROR(G51*I51,0)</f>
        <v>0.0</v>
      </c>
      <c r="K51" s="16" t="n"/>
      <c r="L51" s="16" t="n"/>
    </row>
    <row r="52">
      <c r="A52" s="21" t="n"/>
      <c r="B52" s="16" t="n"/>
      <c r="C52" s="17" t="n"/>
      <c r="D52" s="14" t="n"/>
      <c r="E52" s="14" t="n"/>
      <c r="F52" s="14" t="n"/>
      <c r="G52" s="22">
        <f>IFERROR(E52-F52,0)</f>
        <v>0.0</v>
      </c>
      <c r="H52" s="23">
        <f>IFERROR(G52/E52,0)</f>
        <v>0.0</v>
      </c>
      <c r="I52" s="24" t="n"/>
      <c r="J52" s="25">
        <f>IFERROR(G52*I52,0)</f>
        <v>0.0</v>
      </c>
      <c r="K52" s="16" t="n"/>
      <c r="L52" s="16" t="n"/>
    </row>
    <row r="53">
      <c r="A53" s="21" t="n"/>
      <c r="B53" s="16" t="n"/>
      <c r="C53" s="17" t="n"/>
      <c r="D53" s="14" t="n"/>
      <c r="E53" s="14" t="n"/>
      <c r="F53" s="14" t="n"/>
      <c r="G53" s="22">
        <f>IFERROR(E53-F53,0)</f>
        <v>0.0</v>
      </c>
      <c r="H53" s="23">
        <f>IFERROR(G53/E53,0)</f>
        <v>0.0</v>
      </c>
      <c r="I53" s="24" t="n"/>
      <c r="J53" s="25">
        <f>IFERROR(G53*I53,0)</f>
        <v>0.0</v>
      </c>
      <c r="K53" s="16" t="n"/>
      <c r="L53" s="16" t="n"/>
    </row>
    <row r="54">
      <c r="A54" s="21" t="n"/>
      <c r="B54" s="16" t="n"/>
      <c r="C54" s="17" t="n"/>
      <c r="D54" s="14" t="n"/>
      <c r="E54" s="14" t="n"/>
      <c r="F54" s="14" t="n"/>
      <c r="G54" s="22">
        <f>IFERROR(E54-F54,0)</f>
        <v>0.0</v>
      </c>
      <c r="H54" s="23">
        <f>IFERROR(G54/E54,0)</f>
        <v>0.0</v>
      </c>
      <c r="I54" s="24" t="n"/>
      <c r="J54" s="25">
        <f>IFERROR(G54*I54,0)</f>
        <v>0.0</v>
      </c>
      <c r="K54" s="16" t="n"/>
      <c r="L54" s="16" t="n"/>
    </row>
    <row r="55">
      <c r="A55" s="21" t="n"/>
      <c r="B55" s="16" t="n"/>
      <c r="C55" s="17" t="n"/>
      <c r="D55" s="14" t="n"/>
      <c r="E55" s="14" t="n"/>
      <c r="F55" s="14" t="n"/>
      <c r="G55" s="22">
        <f>IFERROR(E55-F55,0)</f>
        <v>0.0</v>
      </c>
      <c r="H55" s="23">
        <f>IFERROR(G55/E55,0)</f>
        <v>0.0</v>
      </c>
      <c r="I55" s="24" t="n"/>
      <c r="J55" s="25">
        <f>IFERROR(G55*I55,0)</f>
        <v>0.0</v>
      </c>
      <c r="K55" s="16" t="n"/>
      <c r="L55" s="16" t="n"/>
    </row>
    <row r="56">
      <c r="A56" s="21" t="n"/>
      <c r="B56" s="16" t="n"/>
      <c r="C56" s="17" t="n"/>
      <c r="D56" s="14" t="n"/>
      <c r="E56" s="14" t="n"/>
      <c r="F56" s="14" t="n"/>
      <c r="G56" s="22">
        <f>IFERROR(E56-F56,0)</f>
        <v>0.0</v>
      </c>
      <c r="H56" s="23">
        <f>IFERROR(G56/E56,0)</f>
        <v>0.0</v>
      </c>
      <c r="I56" s="24" t="n"/>
      <c r="J56" s="25">
        <f>IFERROR(G56*I56,0)</f>
        <v>0.0</v>
      </c>
      <c r="K56" s="16" t="n"/>
      <c r="L56" s="16" t="n"/>
    </row>
    <row r="57">
      <c r="A57" s="21" t="n"/>
      <c r="B57" s="16" t="n"/>
      <c r="C57" s="17" t="n"/>
      <c r="D57" s="14" t="n"/>
      <c r="E57" s="14" t="n"/>
      <c r="F57" s="14" t="n"/>
      <c r="G57" s="22">
        <f>IFERROR(E57-F57,0)</f>
        <v>0.0</v>
      </c>
      <c r="H57" s="23">
        <f>IFERROR(G57/E57,0)</f>
        <v>0.0</v>
      </c>
      <c r="I57" s="24" t="n"/>
      <c r="J57" s="25">
        <f>IFERROR(G57*I57,0)</f>
        <v>0.0</v>
      </c>
      <c r="K57" s="16" t="n"/>
      <c r="L57" s="16" t="n"/>
    </row>
    <row r="58">
      <c r="A58" s="21" t="n"/>
      <c r="B58" s="16" t="n"/>
      <c r="C58" s="17" t="n"/>
      <c r="D58" s="14" t="n"/>
      <c r="E58" s="14" t="n"/>
      <c r="F58" s="14" t="n"/>
      <c r="G58" s="22">
        <f>IFERROR(E58-F58,0)</f>
        <v>0.0</v>
      </c>
      <c r="H58" s="23">
        <f>IFERROR(G58/E58,0)</f>
        <v>0.0</v>
      </c>
      <c r="I58" s="24" t="n"/>
      <c r="J58" s="25">
        <f>IFERROR(G58*I58,0)</f>
        <v>0.0</v>
      </c>
      <c r="K58" s="16" t="n"/>
      <c r="L58" s="16" t="n"/>
    </row>
    <row r="59">
      <c r="A59" s="21" t="n"/>
      <c r="B59" s="16" t="n"/>
      <c r="C59" s="17" t="n"/>
      <c r="D59" s="14" t="n"/>
      <c r="E59" s="14" t="n"/>
      <c r="F59" s="14" t="n"/>
      <c r="G59" s="22">
        <f>IFERROR(E59-F59,0)</f>
        <v>0.0</v>
      </c>
      <c r="H59" s="23">
        <f>IFERROR(G59/E59,0)</f>
        <v>0.0</v>
      </c>
      <c r="I59" s="24" t="n"/>
      <c r="J59" s="25">
        <f>IFERROR(G59*I59,0)</f>
        <v>0.0</v>
      </c>
      <c r="K59" s="16" t="n"/>
      <c r="L59" s="16" t="n"/>
    </row>
    <row r="60">
      <c r="A60" s="21" t="n"/>
      <c r="B60" s="16" t="n"/>
      <c r="C60" s="17" t="n"/>
      <c r="D60" s="14" t="n"/>
      <c r="E60" s="14" t="n"/>
      <c r="F60" s="14" t="n"/>
      <c r="G60" s="22">
        <f>IFERROR(E60-F60,0)</f>
        <v>0.0</v>
      </c>
      <c r="H60" s="23">
        <f>IFERROR(G60/E60,0)</f>
        <v>0.0</v>
      </c>
      <c r="I60" s="24" t="n"/>
      <c r="J60" s="25">
        <f>IFERROR(G60*I60,0)</f>
        <v>0.0</v>
      </c>
      <c r="K60" s="16" t="n"/>
      <c r="L60" s="16" t="n"/>
    </row>
    <row r="61">
      <c r="A61" s="21" t="n"/>
      <c r="B61" s="16" t="n"/>
      <c r="C61" s="17" t="n"/>
      <c r="D61" s="14" t="n"/>
      <c r="E61" s="14" t="n"/>
      <c r="F61" s="14" t="n"/>
      <c r="G61" s="22">
        <f>IFERROR(E61-F61,0)</f>
        <v>0.0</v>
      </c>
      <c r="H61" s="23">
        <f>IFERROR(G61/E61,0)</f>
        <v>0.0</v>
      </c>
      <c r="I61" s="24" t="n"/>
      <c r="J61" s="25">
        <f>IFERROR(G61*I61,0)</f>
        <v>0.0</v>
      </c>
      <c r="K61" s="16" t="n"/>
      <c r="L61" s="16" t="n"/>
    </row>
    <row r="62">
      <c r="A62" s="21" t="n"/>
      <c r="B62" s="16" t="n"/>
      <c r="C62" s="17" t="n"/>
      <c r="D62" s="14" t="n"/>
      <c r="E62" s="14" t="n"/>
      <c r="F62" s="14" t="n"/>
      <c r="G62" s="22">
        <f>IFERROR(E62-F62,0)</f>
        <v>0.0</v>
      </c>
      <c r="H62" s="23">
        <f>IFERROR(G62/E62,0)</f>
        <v>0.0</v>
      </c>
      <c r="I62" s="24" t="n"/>
      <c r="J62" s="25">
        <f>IFERROR(G62*I62,0)</f>
        <v>0.0</v>
      </c>
      <c r="K62" s="16" t="n"/>
      <c r="L62" s="16" t="n"/>
    </row>
    <row r="63">
      <c r="A63" s="21" t="n"/>
      <c r="B63" s="16" t="n"/>
      <c r="C63" s="17" t="n"/>
      <c r="D63" s="14" t="n"/>
      <c r="E63" s="14" t="n"/>
      <c r="F63" s="14" t="n"/>
      <c r="G63" s="22">
        <f>IFERROR(E63-F63,0)</f>
        <v>0.0</v>
      </c>
      <c r="H63" s="23">
        <f>IFERROR(G63/E63,0)</f>
        <v>0.0</v>
      </c>
      <c r="I63" s="24" t="n"/>
      <c r="J63" s="25">
        <f>IFERROR(G63*I63,0)</f>
        <v>0.0</v>
      </c>
      <c r="K63" s="16" t="n"/>
      <c r="L63" s="16" t="n"/>
    </row>
    <row r="64">
      <c r="A64" s="21" t="n"/>
      <c r="B64" s="16" t="n"/>
      <c r="C64" s="17" t="n"/>
      <c r="D64" s="14" t="n"/>
      <c r="E64" s="14" t="n"/>
      <c r="F64" s="14" t="n"/>
      <c r="G64" s="22">
        <f>IFERROR(E64-F64,0)</f>
        <v>0.0</v>
      </c>
      <c r="H64" s="23">
        <f>IFERROR(G64/E64,0)</f>
        <v>0.0</v>
      </c>
      <c r="I64" s="24" t="n"/>
      <c r="J64" s="25">
        <f>IFERROR(G64*I64,0)</f>
        <v>0.0</v>
      </c>
      <c r="K64" s="16" t="n"/>
      <c r="L64" s="16" t="n"/>
    </row>
    <row r="65">
      <c r="A65" s="21" t="n"/>
      <c r="B65" s="16" t="n"/>
      <c r="C65" s="17" t="n"/>
      <c r="D65" s="14" t="n"/>
      <c r="E65" s="14" t="n"/>
      <c r="F65" s="14" t="n"/>
      <c r="G65" s="22">
        <f>IFERROR(E65-F65,0)</f>
        <v>0.0</v>
      </c>
      <c r="H65" s="23">
        <f>IFERROR(G65/E65,0)</f>
        <v>0.0</v>
      </c>
      <c r="I65" s="24" t="n"/>
      <c r="J65" s="25">
        <f>IFERROR(G65*I65,0)</f>
        <v>0.0</v>
      </c>
      <c r="K65" s="16" t="n"/>
      <c r="L65" s="16" t="n"/>
    </row>
    <row r="66">
      <c r="A66" s="21" t="n"/>
      <c r="B66" s="16" t="n"/>
      <c r="C66" s="17" t="n"/>
      <c r="D66" s="14" t="n"/>
      <c r="E66" s="14" t="n"/>
      <c r="F66" s="14" t="n"/>
      <c r="G66" s="22">
        <f>IFERROR(E66-F66,0)</f>
        <v>0.0</v>
      </c>
      <c r="H66" s="23">
        <f>IFERROR(G66/E66,0)</f>
        <v>0.0</v>
      </c>
      <c r="I66" s="24" t="n"/>
      <c r="J66" s="25">
        <f>IFERROR(G66*I66,0)</f>
        <v>0.0</v>
      </c>
      <c r="K66" s="16" t="n"/>
      <c r="L66" s="16" t="n"/>
    </row>
    <row r="67">
      <c r="A67" s="21" t="n"/>
      <c r="B67" s="16" t="n"/>
      <c r="C67" s="17" t="n"/>
      <c r="D67" s="14" t="n"/>
      <c r="E67" s="14" t="n"/>
      <c r="F67" s="14" t="n"/>
      <c r="G67" s="22">
        <f>IFERROR(E67-F67,0)</f>
        <v>0.0</v>
      </c>
      <c r="H67" s="23">
        <f>IFERROR(G67/E67,0)</f>
        <v>0.0</v>
      </c>
      <c r="I67" s="24" t="n"/>
      <c r="J67" s="25">
        <f>IFERROR(G67*I67,0)</f>
        <v>0.0</v>
      </c>
      <c r="K67" s="16" t="n"/>
      <c r="L67" s="16" t="n"/>
    </row>
    <row r="68">
      <c r="A68" s="21" t="n"/>
      <c r="B68" s="16" t="n"/>
      <c r="C68" s="17" t="n"/>
      <c r="D68" s="14" t="n"/>
      <c r="E68" s="14" t="n"/>
      <c r="F68" s="14" t="n"/>
      <c r="G68" s="22">
        <f>IFERROR(E68-F68,0)</f>
        <v>0.0</v>
      </c>
      <c r="H68" s="23">
        <f>IFERROR(G68/E68,0)</f>
        <v>0.0</v>
      </c>
      <c r="I68" s="24" t="n"/>
      <c r="J68" s="25">
        <f>IFERROR(G68*I68,0)</f>
        <v>0.0</v>
      </c>
      <c r="K68" s="16" t="n"/>
      <c r="L68" s="16" t="n"/>
    </row>
    <row r="69">
      <c r="A69" s="21" t="n"/>
      <c r="B69" s="16" t="n"/>
      <c r="C69" s="17" t="n"/>
      <c r="D69" s="14" t="n"/>
      <c r="E69" s="14" t="n"/>
      <c r="F69" s="14" t="n"/>
      <c r="G69" s="22">
        <f>IFERROR(E69-F69,0)</f>
        <v>0.0</v>
      </c>
      <c r="H69" s="23">
        <f>IFERROR(G69/E69,0)</f>
        <v>0.0</v>
      </c>
      <c r="I69" s="24" t="n"/>
      <c r="J69" s="25">
        <f>IFERROR(G69*I69,0)</f>
        <v>0.0</v>
      </c>
      <c r="K69" s="16" t="n"/>
      <c r="L69" s="16" t="n"/>
    </row>
    <row r="70">
      <c r="A70" s="21" t="n"/>
      <c r="B70" s="16" t="n"/>
      <c r="C70" s="17" t="n"/>
      <c r="D70" s="14" t="n"/>
      <c r="E70" s="14" t="n"/>
      <c r="F70" s="14" t="n"/>
      <c r="G70" s="22">
        <f>IFERROR(E70-F70,0)</f>
        <v>0.0</v>
      </c>
      <c r="H70" s="23">
        <f>IFERROR(G70/E70,0)</f>
        <v>0.0</v>
      </c>
      <c r="I70" s="24" t="n"/>
      <c r="J70" s="25">
        <f>IFERROR(G70*I70,0)</f>
        <v>0.0</v>
      </c>
      <c r="K70" s="16" t="n"/>
      <c r="L70" s="16" t="n"/>
    </row>
    <row r="71">
      <c r="A71" s="21" t="n"/>
      <c r="B71" s="16" t="n"/>
      <c r="C71" s="17" t="n"/>
      <c r="D71" s="14" t="n"/>
      <c r="E71" s="14" t="n"/>
      <c r="F71" s="14" t="n"/>
      <c r="G71" s="22">
        <f>IFERROR(E71-F71,0)</f>
        <v>0.0</v>
      </c>
      <c r="H71" s="23">
        <f>IFERROR(G71/E71,0)</f>
        <v>0.0</v>
      </c>
      <c r="I71" s="24" t="n"/>
      <c r="J71" s="25">
        <f>IFERROR(G71*I71,0)</f>
        <v>0.0</v>
      </c>
      <c r="K71" s="16" t="n"/>
      <c r="L71" s="16" t="n"/>
    </row>
    <row r="72">
      <c r="A72" s="21" t="n"/>
      <c r="B72" s="16" t="n"/>
      <c r="C72" s="17" t="n"/>
      <c r="D72" s="14" t="n"/>
      <c r="E72" s="14" t="n"/>
      <c r="F72" s="14" t="n"/>
      <c r="G72" s="22">
        <f>IFERROR(E72-F72,0)</f>
        <v>0.0</v>
      </c>
      <c r="H72" s="23">
        <f>IFERROR(G72/E72,0)</f>
        <v>0.0</v>
      </c>
      <c r="I72" s="24" t="n"/>
      <c r="J72" s="25">
        <f>IFERROR(G72*I72,0)</f>
        <v>0.0</v>
      </c>
      <c r="K72" s="16" t="n"/>
      <c r="L72" s="16" t="n"/>
    </row>
    <row r="73">
      <c r="A73" s="21" t="n"/>
      <c r="B73" s="16" t="n"/>
      <c r="C73" s="17" t="n"/>
      <c r="D73" s="14" t="n"/>
      <c r="E73" s="14" t="n"/>
      <c r="F73" s="14" t="n"/>
      <c r="G73" s="22">
        <f>IFERROR(E73-F73,0)</f>
        <v>0.0</v>
      </c>
      <c r="H73" s="23">
        <f>IFERROR(G73/E73,0)</f>
        <v>0.0</v>
      </c>
      <c r="I73" s="24" t="n"/>
      <c r="J73" s="25">
        <f>IFERROR(G73*I73,0)</f>
        <v>0.0</v>
      </c>
      <c r="K73" s="16" t="n"/>
      <c r="L73" s="16" t="n"/>
    </row>
    <row r="74">
      <c r="A74" s="21" t="n"/>
      <c r="B74" s="16" t="n"/>
      <c r="C74" s="17" t="n"/>
      <c r="D74" s="14" t="n"/>
      <c r="E74" s="14" t="n"/>
      <c r="F74" s="14" t="n"/>
      <c r="G74" s="22">
        <f>IFERROR(E74-F74,0)</f>
        <v>0.0</v>
      </c>
      <c r="H74" s="23">
        <f>IFERROR(G74/E74,0)</f>
        <v>0.0</v>
      </c>
      <c r="I74" s="24" t="n"/>
      <c r="J74" s="25">
        <f>IFERROR(G74*I74,0)</f>
        <v>0.0</v>
      </c>
      <c r="K74" s="16" t="n"/>
      <c r="L74" s="16" t="n"/>
    </row>
    <row r="75">
      <c r="A75" s="21" t="n"/>
      <c r="B75" s="16" t="n"/>
      <c r="C75" s="17" t="n"/>
      <c r="D75" s="14" t="n"/>
      <c r="E75" s="14" t="n"/>
      <c r="F75" s="14" t="n"/>
      <c r="G75" s="22">
        <f>IFERROR(E75-F75,0)</f>
        <v>0.0</v>
      </c>
      <c r="H75" s="23">
        <f>IFERROR(G75/E75,0)</f>
        <v>0.0</v>
      </c>
      <c r="I75" s="24" t="n"/>
      <c r="J75" s="25">
        <f>IFERROR(G75*I75,0)</f>
        <v>0.0</v>
      </c>
      <c r="K75" s="16" t="n"/>
      <c r="L75" s="16" t="n"/>
    </row>
    <row r="76">
      <c r="A76" s="21" t="n"/>
      <c r="B76" s="16" t="n"/>
      <c r="C76" s="17" t="n"/>
      <c r="D76" s="14" t="n"/>
      <c r="E76" s="14" t="n"/>
      <c r="F76" s="14" t="n"/>
      <c r="G76" s="22">
        <f>IFERROR(E76-F76,0)</f>
        <v>0.0</v>
      </c>
      <c r="H76" s="23">
        <f>IFERROR(G76/E76,0)</f>
        <v>0.0</v>
      </c>
      <c r="I76" s="24" t="n"/>
      <c r="J76" s="25">
        <f>IFERROR(G76*I76,0)</f>
        <v>0.0</v>
      </c>
      <c r="K76" s="16" t="n"/>
      <c r="L76" s="16" t="n"/>
    </row>
    <row r="77">
      <c r="A77" s="21" t="n"/>
      <c r="B77" s="16" t="n"/>
      <c r="C77" s="17" t="n"/>
      <c r="D77" s="14" t="n"/>
      <c r="E77" s="14" t="n"/>
      <c r="F77" s="14" t="n"/>
      <c r="G77" s="22">
        <f>IFERROR(E77-F77,0)</f>
        <v>0.0</v>
      </c>
      <c r="H77" s="23">
        <f>IFERROR(G77/E77,0)</f>
        <v>0.0</v>
      </c>
      <c r="I77" s="24" t="n"/>
      <c r="J77" s="25">
        <f>IFERROR(G77*I77,0)</f>
        <v>0.0</v>
      </c>
      <c r="K77" s="16" t="n"/>
      <c r="L77" s="16" t="n"/>
    </row>
    <row r="78">
      <c r="A78" s="21" t="n"/>
      <c r="B78" s="16" t="n"/>
      <c r="C78" s="17" t="n"/>
      <c r="D78" s="14" t="n"/>
      <c r="E78" s="14" t="n"/>
      <c r="F78" s="14" t="n"/>
      <c r="G78" s="22">
        <f>IFERROR(E78-F78,0)</f>
        <v>0.0</v>
      </c>
      <c r="H78" s="23">
        <f>IFERROR(G78/E78,0)</f>
        <v>0.0</v>
      </c>
      <c r="I78" s="24" t="n"/>
      <c r="J78" s="25">
        <f>IFERROR(G78*I78,0)</f>
        <v>0.0</v>
      </c>
      <c r="K78" s="16" t="n"/>
      <c r="L78" s="16" t="n"/>
    </row>
    <row r="79">
      <c r="A79" s="21" t="n"/>
      <c r="B79" s="16" t="n"/>
      <c r="C79" s="17" t="n"/>
      <c r="D79" s="14" t="n"/>
      <c r="E79" s="14" t="n"/>
      <c r="F79" s="14" t="n"/>
      <c r="G79" s="22">
        <f>IFERROR(E79-F79,0)</f>
        <v>0.0</v>
      </c>
      <c r="H79" s="23">
        <f>IFERROR(G79/E79,0)</f>
        <v>0.0</v>
      </c>
      <c r="I79" s="24" t="n"/>
      <c r="J79" s="25">
        <f>IFERROR(G79*I79,0)</f>
        <v>0.0</v>
      </c>
      <c r="K79" s="16" t="n"/>
      <c r="L79" s="16" t="n"/>
    </row>
    <row r="80">
      <c r="A80" s="21" t="n"/>
      <c r="B80" s="16" t="n"/>
      <c r="C80" s="17" t="n"/>
      <c r="D80" s="14" t="n"/>
      <c r="E80" s="14" t="n"/>
      <c r="F80" s="14" t="n"/>
      <c r="G80" s="22">
        <f>IFERROR(E80-F80,0)</f>
        <v>0.0</v>
      </c>
      <c r="H80" s="23">
        <f>IFERROR(G80/E80,0)</f>
        <v>0.0</v>
      </c>
      <c r="I80" s="24" t="n"/>
      <c r="J80" s="25">
        <f>IFERROR(G80*I80,0)</f>
        <v>0.0</v>
      </c>
      <c r="K80" s="16" t="n"/>
      <c r="L80" s="16" t="n"/>
    </row>
    <row r="81">
      <c r="A81" s="21" t="n"/>
      <c r="B81" s="16" t="n"/>
      <c r="C81" s="17" t="n"/>
      <c r="D81" s="14" t="n"/>
      <c r="E81" s="14" t="n"/>
      <c r="F81" s="14" t="n"/>
      <c r="G81" s="22">
        <f>IFERROR(E81-F81,0)</f>
        <v>0.0</v>
      </c>
      <c r="H81" s="23">
        <f>IFERROR(G81/E81,0)</f>
        <v>0.0</v>
      </c>
      <c r="I81" s="24" t="n"/>
      <c r="J81" s="25">
        <f>IFERROR(G81*I81,0)</f>
        <v>0.0</v>
      </c>
      <c r="K81" s="16" t="n"/>
      <c r="L81" s="16" t="n"/>
    </row>
    <row r="82">
      <c r="A82" s="21" t="n"/>
      <c r="B82" s="16" t="n"/>
      <c r="C82" s="17" t="n"/>
      <c r="D82" s="14" t="n"/>
      <c r="E82" s="14" t="n"/>
      <c r="F82" s="14" t="n"/>
      <c r="G82" s="22">
        <f>IFERROR(E82-F82,0)</f>
        <v>0.0</v>
      </c>
      <c r="H82" s="23">
        <f>IFERROR(G82/E82,0)</f>
        <v>0.0</v>
      </c>
      <c r="I82" s="24" t="n"/>
      <c r="J82" s="25">
        <f>IFERROR(G82*I82,0)</f>
        <v>0.0</v>
      </c>
      <c r="K82" s="16" t="n"/>
      <c r="L82" s="16" t="n"/>
    </row>
    <row r="83">
      <c r="A83" s="21" t="n"/>
      <c r="B83" s="16" t="n"/>
      <c r="C83" s="17" t="n"/>
      <c r="D83" s="14" t="n"/>
      <c r="E83" s="14" t="n"/>
      <c r="F83" s="14" t="n"/>
      <c r="G83" s="22">
        <f>IFERROR(E83-F83,0)</f>
        <v>0.0</v>
      </c>
      <c r="H83" s="23">
        <f>IFERROR(G83/E83,0)</f>
        <v>0.0</v>
      </c>
      <c r="I83" s="24" t="n"/>
      <c r="J83" s="25">
        <f>IFERROR(G83*I83,0)</f>
        <v>0.0</v>
      </c>
      <c r="K83" s="16" t="n"/>
      <c r="L83" s="16" t="n"/>
    </row>
    <row r="84">
      <c r="A84" s="21" t="n"/>
      <c r="B84" s="16" t="n"/>
      <c r="C84" s="17" t="n"/>
      <c r="D84" s="14" t="n"/>
      <c r="E84" s="14" t="n"/>
      <c r="F84" s="14" t="n"/>
      <c r="G84" s="22">
        <f>IFERROR(E84-F84,0)</f>
        <v>0.0</v>
      </c>
      <c r="H84" s="23">
        <f>IFERROR(G84/E84,0)</f>
        <v>0.0</v>
      </c>
      <c r="I84" s="24" t="n"/>
      <c r="J84" s="25">
        <f>IFERROR(G84*I84,0)</f>
        <v>0.0</v>
      </c>
      <c r="K84" s="16" t="n"/>
      <c r="L84" s="16" t="n"/>
    </row>
    <row r="85">
      <c r="A85" s="21" t="n"/>
      <c r="B85" s="16" t="n"/>
      <c r="C85" s="17" t="n"/>
      <c r="D85" s="14" t="n"/>
      <c r="E85" s="14" t="n"/>
      <c r="F85" s="14" t="n"/>
      <c r="G85" s="22">
        <f>IFERROR(E85-F85,0)</f>
        <v>0.0</v>
      </c>
      <c r="H85" s="23">
        <f>IFERROR(G85/E85,0)</f>
        <v>0.0</v>
      </c>
      <c r="I85" s="24" t="n"/>
      <c r="J85" s="25">
        <f>IFERROR(G85*I85,0)</f>
        <v>0.0</v>
      </c>
      <c r="K85" s="16" t="n"/>
      <c r="L85" s="16" t="n"/>
    </row>
    <row r="86">
      <c r="A86" s="21" t="n"/>
      <c r="B86" s="16" t="n"/>
      <c r="C86" s="17" t="n"/>
      <c r="D86" s="14" t="n"/>
      <c r="E86" s="14" t="n"/>
      <c r="F86" s="14" t="n"/>
      <c r="G86" s="22">
        <f>IFERROR(E86-F86,0)</f>
        <v>0.0</v>
      </c>
      <c r="H86" s="23">
        <f>IFERROR(G86/E86,0)</f>
        <v>0.0</v>
      </c>
      <c r="I86" s="24" t="n"/>
      <c r="J86" s="25">
        <f>IFERROR(G86*I86,0)</f>
        <v>0.0</v>
      </c>
      <c r="K86" s="16" t="n"/>
      <c r="L86" s="16" t="n"/>
    </row>
    <row r="87">
      <c r="A87" s="21" t="n"/>
      <c r="B87" s="16" t="n"/>
      <c r="C87" s="17" t="n"/>
      <c r="D87" s="14" t="n"/>
      <c r="E87" s="14" t="n"/>
      <c r="F87" s="14" t="n"/>
      <c r="G87" s="22">
        <f>IFERROR(E87-F87,0)</f>
        <v>0.0</v>
      </c>
      <c r="H87" s="23">
        <f>IFERROR(G87/E87,0)</f>
        <v>0.0</v>
      </c>
      <c r="I87" s="24" t="n"/>
      <c r="J87" s="25">
        <f>IFERROR(G87*I87,0)</f>
        <v>0.0</v>
      </c>
      <c r="K87" s="16" t="n"/>
      <c r="L87" s="16" t="n"/>
    </row>
    <row r="88">
      <c r="A88" s="21" t="n"/>
      <c r="B88" s="16" t="n"/>
      <c r="C88" s="17" t="n"/>
      <c r="D88" s="14" t="n"/>
      <c r="E88" s="14" t="n"/>
      <c r="F88" s="14" t="n"/>
      <c r="G88" s="22">
        <f>IFERROR(E88-F88,0)</f>
        <v>0.0</v>
      </c>
      <c r="H88" s="23">
        <f>IFERROR(G88/E88,0)</f>
        <v>0.0</v>
      </c>
      <c r="I88" s="24" t="n"/>
      <c r="J88" s="25">
        <f>IFERROR(G88*I88,0)</f>
        <v>0.0</v>
      </c>
      <c r="K88" s="16" t="n"/>
      <c r="L88" s="16" t="n"/>
    </row>
    <row r="89">
      <c r="A89" s="21" t="n"/>
      <c r="B89" s="16" t="n"/>
      <c r="C89" s="17" t="n"/>
      <c r="D89" s="14" t="n"/>
      <c r="E89" s="14" t="n"/>
      <c r="F89" s="14" t="n"/>
      <c r="G89" s="22">
        <f>IFERROR(E89-F89,0)</f>
        <v>0.0</v>
      </c>
      <c r="H89" s="23">
        <f>IFERROR(G89/E89,0)</f>
        <v>0.0</v>
      </c>
      <c r="I89" s="24" t="n"/>
      <c r="J89" s="25">
        <f>IFERROR(G89*I89,0)</f>
        <v>0.0</v>
      </c>
      <c r="K89" s="16" t="n"/>
      <c r="L89" s="16" t="n"/>
    </row>
    <row r="90">
      <c r="A90" s="21" t="n"/>
      <c r="B90" s="16" t="n"/>
      <c r="C90" s="17" t="n"/>
      <c r="D90" s="14" t="n"/>
      <c r="E90" s="14" t="n"/>
      <c r="F90" s="14" t="n"/>
      <c r="G90" s="22">
        <f>IFERROR(E90-F90,0)</f>
        <v>0.0</v>
      </c>
      <c r="H90" s="23">
        <f>IFERROR(G90/E90,0)</f>
        <v>0.0</v>
      </c>
      <c r="I90" s="24" t="n"/>
      <c r="J90" s="25">
        <f>IFERROR(G90*I90,0)</f>
        <v>0.0</v>
      </c>
      <c r="K90" s="16" t="n"/>
      <c r="L90" s="16" t="n"/>
    </row>
    <row r="91">
      <c r="A91" s="21" t="n"/>
      <c r="B91" s="16" t="n"/>
      <c r="C91" s="17" t="n"/>
      <c r="D91" s="14" t="n"/>
      <c r="E91" s="14" t="n"/>
      <c r="F91" s="14" t="n"/>
      <c r="G91" s="22">
        <f>IFERROR(E91-F91,0)</f>
        <v>0.0</v>
      </c>
      <c r="H91" s="23">
        <f>IFERROR(G91/E91,0)</f>
        <v>0.0</v>
      </c>
      <c r="I91" s="24" t="n"/>
      <c r="J91" s="25">
        <f>IFERROR(G91*I91,0)</f>
        <v>0.0</v>
      </c>
      <c r="K91" s="16" t="n"/>
      <c r="L91" s="16" t="n"/>
    </row>
    <row r="92">
      <c r="A92" s="21" t="n"/>
      <c r="B92" s="16" t="n"/>
      <c r="C92" s="17" t="n"/>
      <c r="D92" s="14" t="n"/>
      <c r="E92" s="14" t="n"/>
      <c r="F92" s="14" t="n"/>
      <c r="G92" s="22">
        <f>IFERROR(E92-F92,0)</f>
        <v>0.0</v>
      </c>
      <c r="H92" s="23">
        <f>IFERROR(G92/E92,0)</f>
        <v>0.0</v>
      </c>
      <c r="I92" s="24" t="n"/>
      <c r="J92" s="25">
        <f>IFERROR(G92*I92,0)</f>
        <v>0.0</v>
      </c>
      <c r="K92" s="16" t="n"/>
      <c r="L92" s="16" t="n"/>
    </row>
    <row r="93">
      <c r="A93" s="21" t="n"/>
      <c r="B93" s="16" t="n"/>
      <c r="C93" s="17" t="n"/>
      <c r="D93" s="14" t="n"/>
      <c r="E93" s="14" t="n"/>
      <c r="F93" s="14" t="n"/>
      <c r="G93" s="22">
        <f>IFERROR(E93-F93,0)</f>
        <v>0.0</v>
      </c>
      <c r="H93" s="23">
        <f>IFERROR(G93/E93,0)</f>
        <v>0.0</v>
      </c>
      <c r="I93" s="24" t="n"/>
      <c r="J93" s="25">
        <f>IFERROR(G93*I93,0)</f>
        <v>0.0</v>
      </c>
      <c r="K93" s="16" t="n"/>
      <c r="L93" s="16" t="n"/>
    </row>
    <row r="94">
      <c r="A94" s="21" t="n"/>
      <c r="B94" s="16" t="n"/>
      <c r="C94" s="17" t="n"/>
      <c r="D94" s="14" t="n"/>
      <c r="E94" s="14" t="n"/>
      <c r="F94" s="14" t="n"/>
      <c r="G94" s="22">
        <f>IFERROR(E94-F94,0)</f>
        <v>0.0</v>
      </c>
      <c r="H94" s="23">
        <f>IFERROR(G94/E94,0)</f>
        <v>0.0</v>
      </c>
      <c r="I94" s="24" t="n"/>
      <c r="J94" s="25">
        <f>IFERROR(G94*I94,0)</f>
        <v>0.0</v>
      </c>
      <c r="K94" s="16" t="n"/>
      <c r="L94" s="16" t="n"/>
    </row>
    <row r="95">
      <c r="A95" s="21" t="n"/>
      <c r="B95" s="16" t="n"/>
      <c r="C95" s="17" t="n"/>
      <c r="D95" s="14" t="n"/>
      <c r="E95" s="14" t="n"/>
      <c r="F95" s="14" t="n"/>
      <c r="G95" s="22">
        <f>IFERROR(E95-F95,0)</f>
        <v>0.0</v>
      </c>
      <c r="H95" s="23">
        <f>IFERROR(G95/E95,0)</f>
        <v>0.0</v>
      </c>
      <c r="I95" s="24" t="n"/>
      <c r="J95" s="25">
        <f>IFERROR(G95*I95,0)</f>
        <v>0.0</v>
      </c>
      <c r="K95" s="16" t="n"/>
      <c r="L95" s="16" t="n"/>
    </row>
    <row r="96">
      <c r="A96" s="21" t="n"/>
      <c r="B96" s="16" t="n"/>
      <c r="C96" s="17" t="n"/>
      <c r="D96" s="14" t="n"/>
      <c r="E96" s="14" t="n"/>
      <c r="F96" s="14" t="n"/>
      <c r="G96" s="22">
        <f>IFERROR(E96-F96,0)</f>
        <v>0.0</v>
      </c>
      <c r="H96" s="23">
        <f>IFERROR(G96/E96,0)</f>
        <v>0.0</v>
      </c>
      <c r="I96" s="24" t="n"/>
      <c r="J96" s="25">
        <f>IFERROR(G96*I96,0)</f>
        <v>0.0</v>
      </c>
      <c r="K96" s="16" t="n"/>
      <c r="L96" s="16" t="n"/>
    </row>
    <row r="97">
      <c r="A97" s="21" t="n"/>
      <c r="B97" s="16" t="n"/>
      <c r="C97" s="17" t="n"/>
      <c r="D97" s="14" t="n"/>
      <c r="E97" s="14" t="n"/>
      <c r="F97" s="14" t="n"/>
      <c r="G97" s="22">
        <f>IFERROR(E97-F97,0)</f>
        <v>0.0</v>
      </c>
      <c r="H97" s="23">
        <f>IFERROR(G97/E97,0)</f>
        <v>0.0</v>
      </c>
      <c r="I97" s="24" t="n"/>
      <c r="J97" s="25">
        <f>IFERROR(G97*I97,0)</f>
        <v>0.0</v>
      </c>
      <c r="K97" s="16" t="n"/>
      <c r="L97" s="16" t="n"/>
    </row>
    <row r="98">
      <c r="A98" s="21" t="n"/>
      <c r="B98" s="16" t="n"/>
      <c r="C98" s="17" t="n"/>
      <c r="D98" s="14" t="n"/>
      <c r="E98" s="14" t="n"/>
      <c r="F98" s="14" t="n"/>
      <c r="G98" s="22">
        <f>IFERROR(E98-F98,0)</f>
        <v>0.0</v>
      </c>
      <c r="H98" s="23">
        <f>IFERROR(G98/E98,0)</f>
        <v>0.0</v>
      </c>
      <c r="I98" s="24" t="n"/>
      <c r="J98" s="25">
        <f>IFERROR(G98*I98,0)</f>
        <v>0.0</v>
      </c>
      <c r="K98" s="16" t="n"/>
      <c r="L98" s="16" t="n"/>
    </row>
    <row r="99">
      <c r="A99" s="21" t="n"/>
      <c r="B99" s="16" t="n"/>
      <c r="C99" s="17" t="n"/>
      <c r="D99" s="14" t="n"/>
      <c r="E99" s="14" t="n"/>
      <c r="F99" s="14" t="n"/>
      <c r="G99" s="22">
        <f>IFERROR(E99-F99,0)</f>
        <v>0.0</v>
      </c>
      <c r="H99" s="23">
        <f>IFERROR(G99/E99,0)</f>
        <v>0.0</v>
      </c>
      <c r="I99" s="24" t="n"/>
      <c r="J99" s="25">
        <f>IFERROR(G99*I99,0)</f>
        <v>0.0</v>
      </c>
      <c r="K99" s="16" t="n"/>
      <c r="L99" s="16" t="n"/>
    </row>
    <row r="100">
      <c r="A100" s="21" t="n"/>
      <c r="B100" s="16" t="n"/>
      <c r="C100" s="17" t="n"/>
      <c r="D100" s="14" t="n"/>
      <c r="E100" s="14" t="n"/>
      <c r="F100" s="14" t="n"/>
      <c r="G100" s="22">
        <f>IFERROR(E100-F100,0)</f>
        <v>0.0</v>
      </c>
      <c r="H100" s="23">
        <f>IFERROR(G100/E100,0)</f>
        <v>0.0</v>
      </c>
      <c r="I100" s="24" t="n"/>
      <c r="J100" s="25">
        <f>IFERROR(G100*I100,0)</f>
        <v>0.0</v>
      </c>
      <c r="K100" s="16" t="n"/>
      <c r="L100" s="16" t="n"/>
    </row>
    <row r="101">
      <c r="A101" s="21" t="n"/>
      <c r="B101" s="16" t="n"/>
      <c r="C101" s="17" t="n"/>
      <c r="D101" s="14" t="n"/>
      <c r="E101" s="14" t="n"/>
      <c r="F101" s="14" t="n"/>
      <c r="G101" s="22">
        <f>IFERROR(E101-F101,0)</f>
        <v>0.0</v>
      </c>
      <c r="H101" s="23">
        <f>IFERROR(G101/E101,0)</f>
        <v>0.0</v>
      </c>
      <c r="I101" s="24" t="n"/>
      <c r="J101" s="25">
        <f>IFERROR(G101*I101,0)</f>
        <v>0.0</v>
      </c>
      <c r="K101" s="16" t="n"/>
      <c r="L101" s="16" t="n"/>
    </row>
    <row r="102">
      <c r="A102" s="21" t="n"/>
      <c r="B102" s="16" t="n"/>
      <c r="C102" s="17" t="n"/>
      <c r="D102" s="14" t="n"/>
      <c r="E102" s="14" t="n"/>
      <c r="F102" s="14" t="n"/>
      <c r="G102" s="22">
        <f>IFERROR(E102-F102,0)</f>
        <v>0.0</v>
      </c>
      <c r="H102" s="23">
        <f>IFERROR(G102/E102,0)</f>
        <v>0.0</v>
      </c>
      <c r="I102" s="24" t="n"/>
      <c r="J102" s="25">
        <f>IFERROR(G102*I102,0)</f>
        <v>0.0</v>
      </c>
      <c r="K102" s="16" t="n"/>
      <c r="L102" s="16" t="n"/>
    </row>
    <row r="103">
      <c r="A103" s="21" t="n"/>
      <c r="B103" s="16" t="n"/>
      <c r="C103" s="17" t="n"/>
      <c r="D103" s="14" t="n"/>
      <c r="E103" s="14" t="n"/>
      <c r="F103" s="14" t="n"/>
      <c r="G103" s="22">
        <f>IFERROR(E103-F103,0)</f>
        <v>0.0</v>
      </c>
      <c r="H103" s="23">
        <f>IFERROR(G103/E103,0)</f>
        <v>0.0</v>
      </c>
      <c r="I103" s="24" t="n"/>
      <c r="J103" s="25">
        <f>IFERROR(G103*I103,0)</f>
        <v>0.0</v>
      </c>
      <c r="K103" s="16" t="n"/>
      <c r="L103" s="16" t="n"/>
    </row>
    <row r="104">
      <c r="A104" s="21" t="n"/>
      <c r="B104" s="16" t="n"/>
      <c r="C104" s="17" t="n"/>
      <c r="D104" s="14" t="n"/>
      <c r="E104" s="14" t="n"/>
      <c r="F104" s="14" t="n"/>
      <c r="G104" s="22">
        <f>IFERROR(E104-F104,0)</f>
        <v>0.0</v>
      </c>
      <c r="H104" s="23">
        <f>IFERROR(G104/E104,0)</f>
        <v>0.0</v>
      </c>
      <c r="I104" s="24" t="n"/>
      <c r="J104" s="25">
        <f>IFERROR(G104*I104,0)</f>
        <v>0.0</v>
      </c>
      <c r="K104" s="16" t="n"/>
      <c r="L104" s="16" t="n"/>
    </row>
    <row r="105">
      <c r="A105" s="21" t="n"/>
      <c r="B105" s="16" t="n"/>
      <c r="C105" s="17" t="n"/>
      <c r="D105" s="14" t="n"/>
      <c r="E105" s="14" t="n"/>
      <c r="F105" s="14" t="n"/>
      <c r="G105" s="22">
        <f>IFERROR(E105-F105,0)</f>
        <v>0.0</v>
      </c>
      <c r="H105" s="23">
        <f>IFERROR(G105/E105,0)</f>
        <v>0.0</v>
      </c>
      <c r="I105" s="24" t="n"/>
      <c r="J105" s="25">
        <f>IFERROR(G105*I105,0)</f>
        <v>0.0</v>
      </c>
      <c r="K105" s="16" t="n"/>
      <c r="L105" s="16" t="n"/>
    </row>
    <row r="106">
      <c r="A106" s="21" t="n"/>
      <c r="B106" s="16" t="n"/>
      <c r="C106" s="17" t="n"/>
      <c r="D106" s="14" t="n"/>
      <c r="E106" s="14" t="n"/>
      <c r="F106" s="14" t="n"/>
      <c r="G106" s="22">
        <f>IFERROR(E106-F106,0)</f>
        <v>0.0</v>
      </c>
      <c r="H106" s="23">
        <f>IFERROR(G106/E106,0)</f>
        <v>0.0</v>
      </c>
      <c r="I106" s="24" t="n"/>
      <c r="J106" s="25">
        <f>IFERROR(G106*I106,0)</f>
        <v>0.0</v>
      </c>
      <c r="K106" s="16" t="n"/>
      <c r="L106" s="16" t="n"/>
    </row>
    <row r="107">
      <c r="A107" s="21" t="n"/>
      <c r="B107" s="16" t="n"/>
      <c r="C107" s="17" t="n"/>
      <c r="D107" s="14" t="n"/>
      <c r="E107" s="14" t="n"/>
      <c r="F107" s="14" t="n"/>
      <c r="G107" s="22">
        <f>IFERROR(E107-F107,0)</f>
        <v>0.0</v>
      </c>
      <c r="H107" s="23">
        <f>IFERROR(G107/E107,0)</f>
        <v>0.0</v>
      </c>
      <c r="I107" s="24" t="n"/>
      <c r="J107" s="25">
        <f>IFERROR(G107*I107,0)</f>
        <v>0.0</v>
      </c>
      <c r="K107" s="16" t="n"/>
      <c r="L107" s="16" t="n"/>
    </row>
    <row r="108">
      <c r="A108" s="21" t="n"/>
      <c r="B108" s="16" t="n"/>
      <c r="C108" s="17" t="n"/>
      <c r="D108" s="14" t="n"/>
      <c r="E108" s="14" t="n"/>
      <c r="F108" s="14" t="n"/>
      <c r="G108" s="22">
        <f>IFERROR(E108-F108,0)</f>
        <v>0.0</v>
      </c>
      <c r="H108" s="23">
        <f>IFERROR(G108/E108,0)</f>
        <v>0.0</v>
      </c>
      <c r="I108" s="24" t="n"/>
      <c r="J108" s="25">
        <f>IFERROR(G108*I108,0)</f>
        <v>0.0</v>
      </c>
      <c r="K108" s="16" t="n"/>
      <c r="L108" s="16" t="n"/>
    </row>
    <row r="109">
      <c r="A109" s="21" t="n"/>
      <c r="B109" s="16" t="n"/>
      <c r="C109" s="17" t="n"/>
      <c r="D109" s="14" t="n"/>
      <c r="E109" s="14" t="n"/>
      <c r="F109" s="14" t="n"/>
      <c r="G109" s="22">
        <f>IFERROR(E109-F109,0)</f>
        <v>0.0</v>
      </c>
      <c r="H109" s="23">
        <f>IFERROR(G109/E109,0)</f>
        <v>0.0</v>
      </c>
      <c r="I109" s="24" t="n"/>
      <c r="J109" s="25">
        <f>IFERROR(G109*I109,0)</f>
        <v>0.0</v>
      </c>
      <c r="K109" s="16" t="n"/>
      <c r="L109" s="16" t="n"/>
    </row>
    <row r="110">
      <c r="A110" s="21" t="n"/>
      <c r="B110" s="16" t="n"/>
      <c r="C110" s="17" t="n"/>
      <c r="D110" s="14" t="n"/>
      <c r="E110" s="14" t="n"/>
      <c r="F110" s="14" t="n"/>
      <c r="G110" s="22">
        <f>IFERROR(E110-F110,0)</f>
        <v>0.0</v>
      </c>
      <c r="H110" s="23">
        <f>IFERROR(G110/E110,0)</f>
        <v>0.0</v>
      </c>
      <c r="I110" s="24" t="n"/>
      <c r="J110" s="25">
        <f>IFERROR(G110*I110,0)</f>
        <v>0.0</v>
      </c>
      <c r="K110" s="16" t="n"/>
      <c r="L110" s="16" t="n"/>
    </row>
    <row r="111">
      <c r="A111" s="21" t="n"/>
      <c r="B111" s="16" t="n"/>
      <c r="C111" s="17" t="n"/>
      <c r="D111" s="14" t="n"/>
      <c r="E111" s="14" t="n"/>
      <c r="F111" s="14" t="n"/>
      <c r="G111" s="22">
        <f>IFERROR(E111-F111,0)</f>
        <v>0.0</v>
      </c>
      <c r="H111" s="23">
        <f>IFERROR(G111/E111,0)</f>
        <v>0.0</v>
      </c>
      <c r="I111" s="24" t="n"/>
      <c r="J111" s="25">
        <f>IFERROR(G111*I111,0)</f>
        <v>0.0</v>
      </c>
      <c r="K111" s="16" t="n"/>
      <c r="L111" s="16" t="n"/>
    </row>
    <row r="112">
      <c r="A112" s="21" t="n"/>
      <c r="B112" s="16" t="n"/>
      <c r="C112" s="17" t="n"/>
      <c r="D112" s="14" t="n"/>
      <c r="E112" s="14" t="n"/>
      <c r="F112" s="14" t="n"/>
      <c r="G112" s="22">
        <f>IFERROR(E112-F112,0)</f>
        <v>0.0</v>
      </c>
      <c r="H112" s="23">
        <f>IFERROR(G112/E112,0)</f>
        <v>0.0</v>
      </c>
      <c r="I112" s="24" t="n"/>
      <c r="J112" s="25">
        <f>IFERROR(G112*I112,0)</f>
        <v>0.0</v>
      </c>
      <c r="K112" s="16" t="n"/>
      <c r="L112" s="16" t="n"/>
    </row>
    <row r="113">
      <c r="A113" s="21" t="n"/>
      <c r="B113" s="16" t="n"/>
      <c r="C113" s="17" t="n"/>
      <c r="D113" s="14" t="n"/>
      <c r="E113" s="14" t="n"/>
      <c r="F113" s="14" t="n"/>
      <c r="G113" s="22">
        <f>IFERROR(E113-F113,0)</f>
        <v>0.0</v>
      </c>
      <c r="H113" s="23">
        <f>IFERROR(G113/E113,0)</f>
        <v>0.0</v>
      </c>
      <c r="I113" s="24" t="n"/>
      <c r="J113" s="25">
        <f>IFERROR(G113*I113,0)</f>
        <v>0.0</v>
      </c>
      <c r="K113" s="16" t="n"/>
      <c r="L113" s="16" t="n"/>
    </row>
    <row r="114">
      <c r="A114" s="21" t="n"/>
      <c r="B114" s="16" t="n"/>
      <c r="C114" s="17" t="n"/>
      <c r="D114" s="14" t="n"/>
      <c r="E114" s="14" t="n"/>
      <c r="F114" s="14" t="n"/>
      <c r="G114" s="22">
        <f>IFERROR(E114-F114,0)</f>
        <v>0.0</v>
      </c>
      <c r="H114" s="23">
        <f>IFERROR(G114/E114,0)</f>
        <v>0.0</v>
      </c>
      <c r="I114" s="24" t="n"/>
      <c r="J114" s="25">
        <f>IFERROR(G114*I114,0)</f>
        <v>0.0</v>
      </c>
      <c r="K114" s="16" t="n"/>
      <c r="L114" s="16" t="n"/>
    </row>
    <row r="115">
      <c r="A115" s="21" t="n"/>
      <c r="B115" s="16" t="n"/>
      <c r="C115" s="17" t="n"/>
      <c r="D115" s="14" t="n"/>
      <c r="E115" s="14" t="n"/>
      <c r="F115" s="14" t="n"/>
      <c r="G115" s="22">
        <f>IFERROR(E115-F115,0)</f>
        <v>0.0</v>
      </c>
      <c r="H115" s="23">
        <f>IFERROR(G115/E115,0)</f>
        <v>0.0</v>
      </c>
      <c r="I115" s="24" t="n"/>
      <c r="J115" s="25">
        <f>IFERROR(G115*I115,0)</f>
        <v>0.0</v>
      </c>
      <c r="K115" s="16" t="n"/>
      <c r="L115" s="16" t="n"/>
    </row>
    <row r="116">
      <c r="A116" s="21" t="n"/>
      <c r="B116" s="16" t="n"/>
      <c r="C116" s="17" t="n"/>
      <c r="D116" s="14" t="n"/>
      <c r="E116" s="14" t="n"/>
      <c r="F116" s="14" t="n"/>
      <c r="G116" s="22">
        <f>IFERROR(E116-F116,0)</f>
        <v>0.0</v>
      </c>
      <c r="H116" s="23">
        <f>IFERROR(G116/E116,0)</f>
        <v>0.0</v>
      </c>
      <c r="I116" s="24" t="n"/>
      <c r="J116" s="25">
        <f>IFERROR(G116*I116,0)</f>
        <v>0.0</v>
      </c>
      <c r="K116" s="16" t="n"/>
      <c r="L116" s="16" t="n"/>
    </row>
    <row r="117">
      <c r="A117" s="21" t="n"/>
      <c r="B117" s="16" t="n"/>
      <c r="C117" s="17" t="n"/>
      <c r="D117" s="14" t="n"/>
      <c r="E117" s="14" t="n"/>
      <c r="F117" s="14" t="n"/>
      <c r="G117" s="22">
        <f>IFERROR(E117-F117,0)</f>
        <v>0.0</v>
      </c>
      <c r="H117" s="23">
        <f>IFERROR(G117/E117,0)</f>
        <v>0.0</v>
      </c>
      <c r="I117" s="24" t="n"/>
      <c r="J117" s="25">
        <f>IFERROR(G117*I117,0)</f>
        <v>0.0</v>
      </c>
      <c r="K117" s="16" t="n"/>
      <c r="L117" s="16" t="n"/>
    </row>
    <row r="118">
      <c r="A118" s="21" t="n"/>
      <c r="B118" s="16" t="n"/>
      <c r="C118" s="17" t="n"/>
      <c r="D118" s="14" t="n"/>
      <c r="E118" s="14" t="n"/>
      <c r="F118" s="14" t="n"/>
      <c r="G118" s="22">
        <f>IFERROR(E118-F118,0)</f>
        <v>0.0</v>
      </c>
      <c r="H118" s="23">
        <f>IFERROR(G118/E118,0)</f>
        <v>0.0</v>
      </c>
      <c r="I118" s="24" t="n"/>
      <c r="J118" s="25">
        <f>IFERROR(G118*I118,0)</f>
        <v>0.0</v>
      </c>
      <c r="K118" s="16" t="n"/>
      <c r="L118" s="16" t="n"/>
    </row>
    <row r="119">
      <c r="A119" s="21" t="n"/>
      <c r="B119" s="16" t="n"/>
      <c r="C119" s="17" t="n"/>
      <c r="D119" s="14" t="n"/>
      <c r="E119" s="14" t="n"/>
      <c r="F119" s="14" t="n"/>
      <c r="G119" s="22">
        <f>IFERROR(E119-F119,0)</f>
        <v>0.0</v>
      </c>
      <c r="H119" s="23">
        <f>IFERROR(G119/E119,0)</f>
        <v>0.0</v>
      </c>
      <c r="I119" s="24" t="n"/>
      <c r="J119" s="25">
        <f>IFERROR(G119*I119,0)</f>
        <v>0.0</v>
      </c>
      <c r="K119" s="16" t="n"/>
      <c r="L119" s="16" t="n"/>
    </row>
    <row r="120">
      <c r="A120" s="21" t="n"/>
      <c r="B120" s="16" t="n"/>
      <c r="C120" s="17" t="n"/>
      <c r="D120" s="14" t="n"/>
      <c r="E120" s="14" t="n"/>
      <c r="F120" s="14" t="n"/>
      <c r="G120" s="22">
        <f>IFERROR(E120-F120,0)</f>
        <v>0.0</v>
      </c>
      <c r="H120" s="23">
        <f>IFERROR(G120/E120,0)</f>
        <v>0.0</v>
      </c>
      <c r="I120" s="24" t="n"/>
      <c r="J120" s="25">
        <f>IFERROR(G120*I120,0)</f>
        <v>0.0</v>
      </c>
      <c r="K120" s="16" t="n"/>
      <c r="L120" s="16" t="n"/>
    </row>
    <row r="121">
      <c r="A121" s="21" t="n"/>
      <c r="B121" s="16" t="n"/>
      <c r="C121" s="17" t="n"/>
      <c r="D121" s="14" t="n"/>
      <c r="E121" s="14" t="n"/>
      <c r="F121" s="14" t="n"/>
      <c r="G121" s="22">
        <f>IFERROR(E121-F121,0)</f>
        <v>0.0</v>
      </c>
      <c r="H121" s="23">
        <f>IFERROR(G121/E121,0)</f>
        <v>0.0</v>
      </c>
      <c r="I121" s="24" t="n"/>
      <c r="J121" s="25">
        <f>IFERROR(G121*I121,0)</f>
        <v>0.0</v>
      </c>
      <c r="K121" s="16" t="n"/>
      <c r="L121" s="16" t="n"/>
    </row>
    <row r="122">
      <c r="A122" s="21" t="n"/>
      <c r="B122" s="16" t="n"/>
      <c r="C122" s="17" t="n"/>
      <c r="D122" s="14" t="n"/>
      <c r="E122" s="14" t="n"/>
      <c r="F122" s="14" t="n"/>
      <c r="G122" s="22">
        <f>IFERROR(E122-F122,0)</f>
        <v>0.0</v>
      </c>
      <c r="H122" s="23">
        <f>IFERROR(G122/E122,0)</f>
        <v>0.0</v>
      </c>
      <c r="I122" s="24" t="n"/>
      <c r="J122" s="25">
        <f>IFERROR(G122*I122,0)</f>
        <v>0.0</v>
      </c>
      <c r="K122" s="16" t="n"/>
      <c r="L122" s="16" t="n"/>
    </row>
    <row r="123">
      <c r="A123" s="21" t="n"/>
      <c r="B123" s="16" t="n"/>
      <c r="C123" s="17" t="n"/>
      <c r="D123" s="14" t="n"/>
      <c r="E123" s="14" t="n"/>
      <c r="F123" s="14" t="n"/>
      <c r="G123" s="22">
        <f>IFERROR(E123-F123,0)</f>
        <v>0.0</v>
      </c>
      <c r="H123" s="23">
        <f>IFERROR(G123/E123,0)</f>
        <v>0.0</v>
      </c>
      <c r="I123" s="24" t="n"/>
      <c r="J123" s="25">
        <f>IFERROR(G123*I123,0)</f>
        <v>0.0</v>
      </c>
      <c r="K123" s="16" t="n"/>
      <c r="L123" s="16" t="n"/>
    </row>
    <row r="124">
      <c r="A124" s="21" t="n"/>
      <c r="B124" s="16" t="n"/>
      <c r="C124" s="17" t="n"/>
      <c r="D124" s="14" t="n"/>
      <c r="E124" s="14" t="n"/>
      <c r="F124" s="14" t="n"/>
      <c r="G124" s="22">
        <f>IFERROR(E124-F124,0)</f>
        <v>0.0</v>
      </c>
      <c r="H124" s="23">
        <f>IFERROR(G124/E124,0)</f>
        <v>0.0</v>
      </c>
      <c r="I124" s="24" t="n"/>
      <c r="J124" s="25">
        <f>IFERROR(G124*I124,0)</f>
        <v>0.0</v>
      </c>
      <c r="K124" s="16" t="n"/>
      <c r="L124" s="16" t="n"/>
    </row>
    <row r="125">
      <c r="A125" s="21" t="n"/>
      <c r="B125" s="16" t="n"/>
      <c r="C125" s="17" t="n"/>
      <c r="D125" s="14" t="n"/>
      <c r="E125" s="14" t="n"/>
      <c r="F125" s="14" t="n"/>
      <c r="G125" s="22">
        <f>IFERROR(E125-F125,0)</f>
        <v>0.0</v>
      </c>
      <c r="H125" s="23">
        <f>IFERROR(G125/E125,0)</f>
        <v>0.0</v>
      </c>
      <c r="I125" s="24" t="n"/>
      <c r="J125" s="25">
        <f>IFERROR(G125*I125,0)</f>
        <v>0.0</v>
      </c>
      <c r="K125" s="16" t="n"/>
      <c r="L125" s="16" t="n"/>
    </row>
    <row r="126">
      <c r="A126" s="21" t="n"/>
      <c r="B126" s="16" t="n"/>
      <c r="C126" s="17" t="n"/>
      <c r="D126" s="14" t="n"/>
      <c r="E126" s="14" t="n"/>
      <c r="F126" s="14" t="n"/>
      <c r="G126" s="22">
        <f>IFERROR(E126-F126,0)</f>
        <v>0.0</v>
      </c>
      <c r="H126" s="23">
        <f>IFERROR(G126/E126,0)</f>
        <v>0.0</v>
      </c>
      <c r="I126" s="24" t="n"/>
      <c r="J126" s="25">
        <f>IFERROR(G126*I126,0)</f>
        <v>0.0</v>
      </c>
      <c r="K126" s="16" t="n"/>
      <c r="L126" s="16" t="n"/>
    </row>
    <row r="127">
      <c r="A127" s="21" t="n"/>
      <c r="B127" s="16" t="n"/>
      <c r="C127" s="17" t="n"/>
      <c r="D127" s="14" t="n"/>
      <c r="E127" s="14" t="n"/>
      <c r="F127" s="14" t="n"/>
      <c r="G127" s="22">
        <f>IFERROR(E127-F127,0)</f>
        <v>0.0</v>
      </c>
      <c r="H127" s="23">
        <f>IFERROR(G127/E127,0)</f>
        <v>0.0</v>
      </c>
      <c r="I127" s="24" t="n"/>
      <c r="J127" s="25">
        <f>IFERROR(G127*I127,0)</f>
        <v>0.0</v>
      </c>
      <c r="K127" s="16" t="n"/>
      <c r="L127" s="16" t="n"/>
    </row>
    <row r="128">
      <c r="A128" s="21" t="n"/>
      <c r="B128" s="16" t="n"/>
      <c r="C128" s="17" t="n"/>
      <c r="D128" s="14" t="n"/>
      <c r="E128" s="14" t="n"/>
      <c r="F128" s="14" t="n"/>
      <c r="G128" s="22">
        <f>IFERROR(E128-F128,0)</f>
        <v>0.0</v>
      </c>
      <c r="H128" s="23">
        <f>IFERROR(G128/E128,0)</f>
        <v>0.0</v>
      </c>
      <c r="I128" s="24" t="n"/>
      <c r="J128" s="25">
        <f>IFERROR(G128*I128,0)</f>
        <v>0.0</v>
      </c>
      <c r="K128" s="16" t="n"/>
      <c r="L128" s="16" t="n"/>
    </row>
    <row r="129">
      <c r="A129" s="21" t="n"/>
      <c r="B129" s="16" t="n"/>
      <c r="C129" s="17" t="n"/>
      <c r="D129" s="14" t="n"/>
      <c r="E129" s="14" t="n"/>
      <c r="F129" s="14" t="n"/>
      <c r="G129" s="22">
        <f>IFERROR(E129-F129,0)</f>
        <v>0.0</v>
      </c>
      <c r="H129" s="23">
        <f>IFERROR(G129/E129,0)</f>
        <v>0.0</v>
      </c>
      <c r="I129" s="24" t="n"/>
      <c r="J129" s="25">
        <f>IFERROR(G129*I129,0)</f>
        <v>0.0</v>
      </c>
      <c r="K129" s="16" t="n"/>
      <c r="L129" s="16" t="n"/>
    </row>
    <row r="130">
      <c r="A130" s="21" t="n"/>
      <c r="B130" s="16" t="n"/>
      <c r="C130" s="17" t="n"/>
      <c r="D130" s="14" t="n"/>
      <c r="E130" s="14" t="n"/>
      <c r="F130" s="14" t="n"/>
      <c r="G130" s="22">
        <f>IFERROR(E130-F130,0)</f>
        <v>0.0</v>
      </c>
      <c r="H130" s="23">
        <f>IFERROR(G130/E130,0)</f>
        <v>0.0</v>
      </c>
      <c r="I130" s="24" t="n"/>
      <c r="J130" s="25">
        <f>IFERROR(G130*I130,0)</f>
        <v>0.0</v>
      </c>
      <c r="K130" s="16" t="n"/>
      <c r="L130" s="16" t="n"/>
    </row>
    <row r="131">
      <c r="A131" s="21" t="n"/>
      <c r="B131" s="16" t="n"/>
      <c r="C131" s="17" t="n"/>
      <c r="D131" s="14" t="n"/>
      <c r="E131" s="14" t="n"/>
      <c r="F131" s="14" t="n"/>
      <c r="G131" s="22">
        <f>IFERROR(E131-F131,0)</f>
        <v>0.0</v>
      </c>
      <c r="H131" s="23">
        <f>IFERROR(G131/E131,0)</f>
        <v>0.0</v>
      </c>
      <c r="I131" s="24" t="n"/>
      <c r="J131" s="25">
        <f>IFERROR(G131*I131,0)</f>
        <v>0.0</v>
      </c>
      <c r="K131" s="16" t="n"/>
      <c r="L131" s="16" t="n"/>
    </row>
    <row r="132">
      <c r="A132" s="21" t="n"/>
      <c r="B132" s="16" t="n"/>
      <c r="C132" s="17" t="n"/>
      <c r="D132" s="14" t="n"/>
      <c r="E132" s="14" t="n"/>
      <c r="F132" s="14" t="n"/>
      <c r="G132" s="22">
        <f>IFERROR(E132-F132,0)</f>
        <v>0.0</v>
      </c>
      <c r="H132" s="23">
        <f>IFERROR(G132/E132,0)</f>
        <v>0.0</v>
      </c>
      <c r="I132" s="24" t="n"/>
      <c r="J132" s="25">
        <f>IFERROR(G132*I132,0)</f>
        <v>0.0</v>
      </c>
      <c r="K132" s="16" t="n"/>
      <c r="L132" s="16" t="n"/>
    </row>
    <row r="133">
      <c r="A133" s="21" t="n"/>
      <c r="B133" s="16" t="n"/>
      <c r="C133" s="17" t="n"/>
      <c r="D133" s="14" t="n"/>
      <c r="E133" s="14" t="n"/>
      <c r="F133" s="14" t="n"/>
      <c r="G133" s="22">
        <f>IFERROR(E133-F133,0)</f>
        <v>0.0</v>
      </c>
      <c r="H133" s="23">
        <f>IFERROR(G133/E133,0)</f>
        <v>0.0</v>
      </c>
      <c r="I133" s="24" t="n"/>
      <c r="J133" s="25">
        <f>IFERROR(G133*I133,0)</f>
        <v>0.0</v>
      </c>
      <c r="K133" s="16" t="n"/>
      <c r="L133" s="16" t="n"/>
    </row>
    <row r="134">
      <c r="A134" s="21" t="n"/>
      <c r="B134" s="16" t="n"/>
      <c r="C134" s="17" t="n"/>
      <c r="D134" s="14" t="n"/>
      <c r="E134" s="14" t="n"/>
      <c r="F134" s="14" t="n"/>
      <c r="G134" s="22">
        <f>IFERROR(E134-F134,0)</f>
        <v>0.0</v>
      </c>
      <c r="H134" s="23">
        <f>IFERROR(G134/E134,0)</f>
        <v>0.0</v>
      </c>
      <c r="I134" s="24" t="n"/>
      <c r="J134" s="25">
        <f>IFERROR(G134*I134,0)</f>
        <v>0.0</v>
      </c>
      <c r="K134" s="16" t="n"/>
      <c r="L134" s="16" t="n"/>
    </row>
    <row r="135">
      <c r="A135" s="21" t="n"/>
      <c r="B135" s="16" t="n"/>
      <c r="C135" s="17" t="n"/>
      <c r="D135" s="14" t="n"/>
      <c r="E135" s="14" t="n"/>
      <c r="F135" s="14" t="n"/>
      <c r="G135" s="22">
        <f>IFERROR(E135-F135,0)</f>
        <v>0.0</v>
      </c>
      <c r="H135" s="23">
        <f>IFERROR(G135/E135,0)</f>
        <v>0.0</v>
      </c>
      <c r="I135" s="24" t="n"/>
      <c r="J135" s="25">
        <f>IFERROR(G135*I135,0)</f>
        <v>0.0</v>
      </c>
      <c r="K135" s="16" t="n"/>
      <c r="L135" s="16" t="n"/>
    </row>
    <row r="136">
      <c r="A136" s="21" t="n"/>
      <c r="B136" s="16" t="n"/>
      <c r="C136" s="17" t="n"/>
      <c r="D136" s="14" t="n"/>
      <c r="E136" s="14" t="n"/>
      <c r="F136" s="14" t="n"/>
      <c r="G136" s="22">
        <f>IFERROR(E136-F136,0)</f>
        <v>0.0</v>
      </c>
      <c r="H136" s="23">
        <f>IFERROR(G136/E136,0)</f>
        <v>0.0</v>
      </c>
      <c r="I136" s="24" t="n"/>
      <c r="J136" s="25">
        <f>IFERROR(G136*I136,0)</f>
        <v>0.0</v>
      </c>
      <c r="K136" s="16" t="n"/>
      <c r="L136" s="16" t="n"/>
    </row>
    <row r="137">
      <c r="A137" s="21" t="n"/>
      <c r="B137" s="16" t="n"/>
      <c r="C137" s="17" t="n"/>
      <c r="D137" s="14" t="n"/>
      <c r="E137" s="14" t="n"/>
      <c r="F137" s="14" t="n"/>
      <c r="G137" s="22">
        <f>IFERROR(E137-F137,0)</f>
        <v>0.0</v>
      </c>
      <c r="H137" s="23">
        <f>IFERROR(G137/E137,0)</f>
        <v>0.0</v>
      </c>
      <c r="I137" s="24" t="n"/>
      <c r="J137" s="25">
        <f>IFERROR(G137*I137,0)</f>
        <v>0.0</v>
      </c>
      <c r="K137" s="16" t="n"/>
      <c r="L137" s="16" t="n"/>
    </row>
    <row r="138">
      <c r="A138" s="21" t="n"/>
      <c r="B138" s="16" t="n"/>
      <c r="C138" s="17" t="n"/>
      <c r="D138" s="14" t="n"/>
      <c r="E138" s="14" t="n"/>
      <c r="F138" s="14" t="n"/>
      <c r="G138" s="22">
        <f>IFERROR(E138-F138,0)</f>
        <v>0.0</v>
      </c>
      <c r="H138" s="23">
        <f>IFERROR(G138/E138,0)</f>
        <v>0.0</v>
      </c>
      <c r="I138" s="24" t="n"/>
      <c r="J138" s="25">
        <f>IFERROR(G138*I138,0)</f>
        <v>0.0</v>
      </c>
      <c r="K138" s="16" t="n"/>
      <c r="L138" s="16" t="n"/>
    </row>
    <row r="139">
      <c r="A139" s="21" t="n"/>
      <c r="B139" s="16" t="n"/>
      <c r="C139" s="17" t="n"/>
      <c r="D139" s="14" t="n"/>
      <c r="E139" s="14" t="n"/>
      <c r="F139" s="14" t="n"/>
      <c r="G139" s="22">
        <f>IFERROR(E139-F139,0)</f>
        <v>0.0</v>
      </c>
      <c r="H139" s="23">
        <f>IFERROR(G139/E139,0)</f>
        <v>0.0</v>
      </c>
      <c r="I139" s="24" t="n"/>
      <c r="J139" s="25">
        <f>IFERROR(G139*I139,0)</f>
        <v>0.0</v>
      </c>
      <c r="K139" s="16" t="n"/>
      <c r="L139" s="16" t="n"/>
    </row>
    <row r="140">
      <c r="A140" s="21" t="n"/>
      <c r="B140" s="16" t="n"/>
      <c r="C140" s="17" t="n"/>
      <c r="D140" s="14" t="n"/>
      <c r="E140" s="14" t="n"/>
      <c r="F140" s="14" t="n"/>
      <c r="G140" s="22">
        <f>IFERROR(E140-F140,0)</f>
        <v>0.0</v>
      </c>
      <c r="H140" s="23">
        <f>IFERROR(G140/E140,0)</f>
        <v>0.0</v>
      </c>
      <c r="I140" s="24" t="n"/>
      <c r="J140" s="25">
        <f>IFERROR(G140*I140,0)</f>
        <v>0.0</v>
      </c>
      <c r="K140" s="16" t="n"/>
      <c r="L140" s="16" t="n"/>
    </row>
    <row r="141">
      <c r="A141" s="21" t="n"/>
      <c r="B141" s="16" t="n"/>
      <c r="C141" s="17" t="n"/>
      <c r="D141" s="14" t="n"/>
      <c r="E141" s="14" t="n"/>
      <c r="F141" s="14" t="n"/>
      <c r="G141" s="22">
        <f>IFERROR(E141-F141,0)</f>
        <v>0.0</v>
      </c>
      <c r="H141" s="23">
        <f>IFERROR(G141/E141,0)</f>
        <v>0.0</v>
      </c>
      <c r="I141" s="24" t="n"/>
      <c r="J141" s="25">
        <f>IFERROR(G141*I141,0)</f>
        <v>0.0</v>
      </c>
      <c r="K141" s="16" t="n"/>
      <c r="L141" s="16" t="n"/>
    </row>
    <row r="142">
      <c r="A142" s="21" t="n"/>
      <c r="B142" s="16" t="n"/>
      <c r="C142" s="17" t="n"/>
      <c r="D142" s="14" t="n"/>
      <c r="E142" s="14" t="n"/>
      <c r="F142" s="14" t="n"/>
      <c r="G142" s="22">
        <f>IFERROR(E142-F142,0)</f>
        <v>0.0</v>
      </c>
      <c r="H142" s="23">
        <f>IFERROR(G142/E142,0)</f>
        <v>0.0</v>
      </c>
      <c r="I142" s="24" t="n"/>
      <c r="J142" s="25">
        <f>IFERROR(G142*I142,0)</f>
        <v>0.0</v>
      </c>
      <c r="K142" s="16" t="n"/>
      <c r="L142" s="16" t="n"/>
    </row>
    <row r="143">
      <c r="A143" s="21" t="n"/>
      <c r="B143" s="16" t="n"/>
      <c r="C143" s="17" t="n"/>
      <c r="D143" s="14" t="n"/>
      <c r="E143" s="14" t="n"/>
      <c r="F143" s="14" t="n"/>
      <c r="G143" s="22">
        <f>IFERROR(E143-F143,0)</f>
        <v>0.0</v>
      </c>
      <c r="H143" s="23">
        <f>IFERROR(G143/E143,0)</f>
        <v>0.0</v>
      </c>
      <c r="I143" s="24" t="n"/>
      <c r="J143" s="25">
        <f>IFERROR(G143*I143,0)</f>
        <v>0.0</v>
      </c>
      <c r="K143" s="16" t="n"/>
      <c r="L143" s="16" t="n"/>
    </row>
    <row r="144">
      <c r="A144" s="21" t="n"/>
      <c r="B144" s="16" t="n"/>
      <c r="C144" s="17" t="n"/>
      <c r="D144" s="14" t="n"/>
      <c r="E144" s="14" t="n"/>
      <c r="F144" s="14" t="n"/>
      <c r="G144" s="22">
        <f>IFERROR(E144-F144,0)</f>
        <v>0.0</v>
      </c>
      <c r="H144" s="23">
        <f>IFERROR(G144/E144,0)</f>
        <v>0.0</v>
      </c>
      <c r="I144" s="24" t="n"/>
      <c r="J144" s="25">
        <f>IFERROR(G144*I144,0)</f>
        <v>0.0</v>
      </c>
      <c r="K144" s="16" t="n"/>
      <c r="L144" s="16" t="n"/>
    </row>
    <row r="145">
      <c r="A145" s="21" t="n"/>
      <c r="B145" s="16" t="n"/>
      <c r="C145" s="17" t="n"/>
      <c r="D145" s="14" t="n"/>
      <c r="E145" s="14" t="n"/>
      <c r="F145" s="14" t="n"/>
      <c r="G145" s="22">
        <f>IFERROR(E145-F145,0)</f>
        <v>0.0</v>
      </c>
      <c r="H145" s="23">
        <f>IFERROR(G145/E145,0)</f>
        <v>0.0</v>
      </c>
      <c r="I145" s="24" t="n"/>
      <c r="J145" s="25">
        <f>IFERROR(G145*I145,0)</f>
        <v>0.0</v>
      </c>
      <c r="K145" s="16" t="n"/>
      <c r="L145" s="16" t="n"/>
    </row>
    <row r="146">
      <c r="A146" s="21" t="n"/>
      <c r="B146" s="16" t="n"/>
      <c r="C146" s="17" t="n"/>
      <c r="D146" s="14" t="n"/>
      <c r="E146" s="14" t="n"/>
      <c r="F146" s="14" t="n"/>
      <c r="G146" s="22">
        <f>IFERROR(E146-F146,0)</f>
        <v>0.0</v>
      </c>
      <c r="H146" s="23">
        <f>IFERROR(G146/E146,0)</f>
        <v>0.0</v>
      </c>
      <c r="I146" s="24" t="n"/>
      <c r="J146" s="25">
        <f>IFERROR(G146*I146,0)</f>
        <v>0.0</v>
      </c>
      <c r="K146" s="16" t="n"/>
      <c r="L146" s="16" t="n"/>
    </row>
    <row r="147">
      <c r="A147" s="21" t="n"/>
      <c r="B147" s="16" t="n"/>
      <c r="C147" s="17" t="n"/>
      <c r="D147" s="14" t="n"/>
      <c r="E147" s="14" t="n"/>
      <c r="F147" s="14" t="n"/>
      <c r="G147" s="22">
        <f>IFERROR(E147-F147,0)</f>
        <v>0.0</v>
      </c>
      <c r="H147" s="23">
        <f>IFERROR(G147/E147,0)</f>
        <v>0.0</v>
      </c>
      <c r="I147" s="24" t="n"/>
      <c r="J147" s="25">
        <f>IFERROR(G147*I147,0)</f>
        <v>0.0</v>
      </c>
      <c r="K147" s="16" t="n"/>
      <c r="L147" s="16" t="n"/>
    </row>
    <row r="148">
      <c r="A148" s="21" t="n"/>
      <c r="B148" s="16" t="n"/>
      <c r="C148" s="17" t="n"/>
      <c r="D148" s="14" t="n"/>
      <c r="E148" s="14" t="n"/>
      <c r="F148" s="14" t="n"/>
      <c r="G148" s="22">
        <f>IFERROR(E148-F148,0)</f>
        <v>0.0</v>
      </c>
      <c r="H148" s="23">
        <f>IFERROR(G148/E148,0)</f>
        <v>0.0</v>
      </c>
      <c r="I148" s="24" t="n"/>
      <c r="J148" s="25">
        <f>IFERROR(G148*I148,0)</f>
        <v>0.0</v>
      </c>
      <c r="K148" s="16" t="n"/>
      <c r="L148" s="16" t="n"/>
    </row>
    <row r="149">
      <c r="A149" s="21" t="n"/>
      <c r="B149" s="16" t="n"/>
      <c r="C149" s="17" t="n"/>
      <c r="D149" s="14" t="n"/>
      <c r="E149" s="14" t="n"/>
      <c r="F149" s="14" t="n"/>
      <c r="G149" s="22">
        <f>IFERROR(E149-F149,0)</f>
        <v>0.0</v>
      </c>
      <c r="H149" s="23">
        <f>IFERROR(G149/E149,0)</f>
        <v>0.0</v>
      </c>
      <c r="I149" s="24" t="n"/>
      <c r="J149" s="25">
        <f>IFERROR(G149*I149,0)</f>
        <v>0.0</v>
      </c>
      <c r="K149" s="16" t="n"/>
      <c r="L149" s="16" t="n"/>
    </row>
    <row r="150">
      <c r="A150" s="21" t="n"/>
      <c r="B150" s="16" t="n"/>
      <c r="C150" s="17" t="n"/>
      <c r="D150" s="14" t="n"/>
      <c r="E150" s="14" t="n"/>
      <c r="F150" s="14" t="n"/>
      <c r="G150" s="22">
        <f>IFERROR(E150-F150,0)</f>
        <v>0.0</v>
      </c>
      <c r="H150" s="23">
        <f>IFERROR(G150/E150,0)</f>
        <v>0.0</v>
      </c>
      <c r="I150" s="24" t="n"/>
      <c r="J150" s="25">
        <f>IFERROR(G150*I150,0)</f>
        <v>0.0</v>
      </c>
      <c r="K150" s="16" t="n"/>
      <c r="L150" s="16" t="n"/>
    </row>
    <row r="151">
      <c r="A151" s="21" t="n"/>
      <c r="B151" s="16" t="n"/>
      <c r="C151" s="17" t="n"/>
      <c r="D151" s="14" t="n"/>
      <c r="E151" s="14" t="n"/>
      <c r="F151" s="14" t="n"/>
      <c r="G151" s="22">
        <f>IFERROR(E151-F151,0)</f>
        <v>0.0</v>
      </c>
      <c r="H151" s="23">
        <f>IFERROR(G151/E151,0)</f>
        <v>0.0</v>
      </c>
      <c r="I151" s="24" t="n"/>
      <c r="J151" s="25">
        <f>IFERROR(G151*I151,0)</f>
        <v>0.0</v>
      </c>
      <c r="K151" s="16" t="n"/>
      <c r="L151" s="16" t="n"/>
    </row>
    <row r="152">
      <c r="A152" s="21" t="n"/>
      <c r="B152" s="16" t="n"/>
      <c r="C152" s="17" t="n"/>
      <c r="D152" s="14" t="n"/>
      <c r="E152" s="14" t="n"/>
      <c r="F152" s="14" t="n"/>
      <c r="G152" s="22">
        <f>IFERROR(E152-F152,0)</f>
        <v>0.0</v>
      </c>
      <c r="H152" s="23">
        <f>IFERROR(G152/E152,0)</f>
        <v>0.0</v>
      </c>
      <c r="I152" s="24" t="n"/>
      <c r="J152" s="25">
        <f>IFERROR(G152*I152,0)</f>
        <v>0.0</v>
      </c>
      <c r="K152" s="16" t="n"/>
      <c r="L152" s="16" t="n"/>
    </row>
    <row r="153">
      <c r="A153" s="21" t="n"/>
      <c r="B153" s="16" t="n"/>
      <c r="C153" s="17" t="n"/>
      <c r="D153" s="14" t="n"/>
      <c r="E153" s="14" t="n"/>
      <c r="F153" s="14" t="n"/>
      <c r="G153" s="22">
        <f>IFERROR(E153-F153,0)</f>
        <v>0.0</v>
      </c>
      <c r="H153" s="23">
        <f>IFERROR(G153/E153,0)</f>
        <v>0.0</v>
      </c>
      <c r="I153" s="24" t="n"/>
      <c r="J153" s="25">
        <f>IFERROR(G153*I153,0)</f>
        <v>0.0</v>
      </c>
      <c r="K153" s="16" t="n"/>
      <c r="L153" s="16" t="n"/>
    </row>
    <row r="154">
      <c r="A154" s="21" t="n"/>
      <c r="B154" s="16" t="n"/>
      <c r="C154" s="17" t="n"/>
      <c r="D154" s="14" t="n"/>
      <c r="E154" s="14" t="n"/>
      <c r="F154" s="14" t="n"/>
      <c r="G154" s="22">
        <f>IFERROR(E154-F154,0)</f>
        <v>0.0</v>
      </c>
      <c r="H154" s="23">
        <f>IFERROR(G154/E154,0)</f>
        <v>0.0</v>
      </c>
      <c r="I154" s="24" t="n"/>
      <c r="J154" s="25">
        <f>IFERROR(G154*I154,0)</f>
        <v>0.0</v>
      </c>
      <c r="K154" s="16" t="n"/>
      <c r="L154" s="16" t="n"/>
    </row>
    <row r="155">
      <c r="A155" s="21" t="n"/>
      <c r="B155" s="16" t="n"/>
      <c r="C155" s="17" t="n"/>
      <c r="D155" s="14" t="n"/>
      <c r="E155" s="14" t="n"/>
      <c r="F155" s="14" t="n"/>
      <c r="G155" s="22">
        <f>IFERROR(E155-F155,0)</f>
        <v>0.0</v>
      </c>
      <c r="H155" s="23">
        <f>IFERROR(G155/E155,0)</f>
        <v>0.0</v>
      </c>
      <c r="I155" s="24" t="n"/>
      <c r="J155" s="25">
        <f>IFERROR(G155*I155,0)</f>
        <v>0.0</v>
      </c>
      <c r="K155" s="16" t="n"/>
      <c r="L155" s="16" t="n"/>
    </row>
    <row r="156">
      <c r="A156" s="21" t="n"/>
      <c r="B156" s="16" t="n"/>
      <c r="C156" s="17" t="n"/>
      <c r="D156" s="14" t="n"/>
      <c r="E156" s="14" t="n"/>
      <c r="F156" s="14" t="n"/>
      <c r="G156" s="22">
        <f>IFERROR(E156-F156,0)</f>
        <v>0.0</v>
      </c>
      <c r="H156" s="23">
        <f>IFERROR(G156/E156,0)</f>
        <v>0.0</v>
      </c>
      <c r="I156" s="24" t="n"/>
      <c r="J156" s="25">
        <f>IFERROR(G156*I156,0)</f>
        <v>0.0</v>
      </c>
      <c r="K156" s="16" t="n"/>
      <c r="L156" s="16" t="n"/>
    </row>
    <row r="157">
      <c r="A157" s="21" t="n"/>
      <c r="B157" s="16" t="n"/>
      <c r="C157" s="17" t="n"/>
      <c r="D157" s="14" t="n"/>
      <c r="E157" s="14" t="n"/>
      <c r="F157" s="14" t="n"/>
      <c r="G157" s="22">
        <f>IFERROR(E157-F157,0)</f>
        <v>0.0</v>
      </c>
      <c r="H157" s="23">
        <f>IFERROR(G157/E157,0)</f>
        <v>0.0</v>
      </c>
      <c r="I157" s="24" t="n"/>
      <c r="J157" s="25">
        <f>IFERROR(G157*I157,0)</f>
        <v>0.0</v>
      </c>
      <c r="K157" s="16" t="n"/>
      <c r="L157" s="16" t="n"/>
    </row>
    <row r="158">
      <c r="A158" s="21" t="n"/>
      <c r="B158" s="16" t="n"/>
      <c r="C158" s="17" t="n"/>
      <c r="D158" s="14" t="n"/>
      <c r="E158" s="14" t="n"/>
      <c r="F158" s="14" t="n"/>
      <c r="G158" s="22">
        <f>IFERROR(E158-F158,0)</f>
        <v>0.0</v>
      </c>
      <c r="H158" s="23">
        <f>IFERROR(G158/E158,0)</f>
        <v>0.0</v>
      </c>
      <c r="I158" s="24" t="n"/>
      <c r="J158" s="25">
        <f>IFERROR(G158*I158,0)</f>
        <v>0.0</v>
      </c>
      <c r="K158" s="16" t="n"/>
      <c r="L158" s="16" t="n"/>
    </row>
    <row r="159">
      <c r="A159" s="21" t="n"/>
      <c r="B159" s="16" t="n"/>
      <c r="C159" s="17" t="n"/>
      <c r="D159" s="14" t="n"/>
      <c r="E159" s="14" t="n"/>
      <c r="F159" s="14" t="n"/>
      <c r="G159" s="22">
        <f>IFERROR(E159-F159,0)</f>
        <v>0.0</v>
      </c>
      <c r="H159" s="23">
        <f>IFERROR(G159/E159,0)</f>
        <v>0.0</v>
      </c>
      <c r="I159" s="24" t="n"/>
      <c r="J159" s="25">
        <f>IFERROR(G159*I159,0)</f>
        <v>0.0</v>
      </c>
      <c r="K159" s="16" t="n"/>
      <c r="L159" s="16" t="n"/>
    </row>
    <row r="160">
      <c r="A160" s="21" t="n"/>
      <c r="B160" s="16" t="n"/>
      <c r="C160" s="17" t="n"/>
      <c r="D160" s="14" t="n"/>
      <c r="E160" s="14" t="n"/>
      <c r="F160" s="14" t="n"/>
      <c r="G160" s="22">
        <f>IFERROR(E160-F160,0)</f>
        <v>0.0</v>
      </c>
      <c r="H160" s="23">
        <f>IFERROR(G160/E160,0)</f>
        <v>0.0</v>
      </c>
      <c r="I160" s="24" t="n"/>
      <c r="J160" s="25">
        <f>IFERROR(G160*I160,0)</f>
        <v>0.0</v>
      </c>
      <c r="K160" s="16" t="n"/>
      <c r="L160" s="16" t="n"/>
    </row>
    <row r="161">
      <c r="A161" s="21" t="n"/>
      <c r="B161" s="16" t="n"/>
      <c r="C161" s="17" t="n"/>
      <c r="D161" s="14" t="n"/>
      <c r="E161" s="14" t="n"/>
      <c r="F161" s="14" t="n"/>
      <c r="G161" s="22">
        <f>IFERROR(E161-F161,0)</f>
        <v>0.0</v>
      </c>
      <c r="H161" s="23">
        <f>IFERROR(G161/E161,0)</f>
        <v>0.0</v>
      </c>
      <c r="I161" s="24" t="n"/>
      <c r="J161" s="25">
        <f>IFERROR(G161*I161,0)</f>
        <v>0.0</v>
      </c>
      <c r="K161" s="16" t="n"/>
      <c r="L161" s="16" t="n"/>
    </row>
    <row r="162">
      <c r="A162" s="21" t="n"/>
      <c r="B162" s="16" t="n"/>
      <c r="C162" s="17" t="n"/>
      <c r="D162" s="14" t="n"/>
      <c r="E162" s="14" t="n"/>
      <c r="F162" s="14" t="n"/>
      <c r="G162" s="22">
        <f>IFERROR(E162-F162,0)</f>
        <v>0.0</v>
      </c>
      <c r="H162" s="23">
        <f>IFERROR(G162/E162,0)</f>
        <v>0.0</v>
      </c>
      <c r="I162" s="24" t="n"/>
      <c r="J162" s="25">
        <f>IFERROR(G162*I162,0)</f>
        <v>0.0</v>
      </c>
      <c r="K162" s="16" t="n"/>
      <c r="L162" s="16" t="n"/>
    </row>
    <row r="163">
      <c r="A163" s="21" t="n"/>
      <c r="B163" s="16" t="n"/>
      <c r="C163" s="17" t="n"/>
      <c r="D163" s="14" t="n"/>
      <c r="E163" s="14" t="n"/>
      <c r="F163" s="14" t="n"/>
      <c r="G163" s="22">
        <f>IFERROR(E163-F163,0)</f>
        <v>0.0</v>
      </c>
      <c r="H163" s="23">
        <f>IFERROR(G163/E163,0)</f>
        <v>0.0</v>
      </c>
      <c r="I163" s="24" t="n"/>
      <c r="J163" s="25">
        <f>IFERROR(G163*I163,0)</f>
        <v>0.0</v>
      </c>
      <c r="K163" s="16" t="n"/>
      <c r="L163" s="16" t="n"/>
    </row>
    <row r="164">
      <c r="A164" s="21" t="n"/>
      <c r="B164" s="16" t="n"/>
      <c r="C164" s="17" t="n"/>
      <c r="D164" s="14" t="n"/>
      <c r="E164" s="14" t="n"/>
      <c r="F164" s="14" t="n"/>
      <c r="G164" s="22">
        <f>IFERROR(E164-F164,0)</f>
        <v>0.0</v>
      </c>
      <c r="H164" s="23">
        <f>IFERROR(G164/E164,0)</f>
        <v>0.0</v>
      </c>
      <c r="I164" s="24" t="n"/>
      <c r="J164" s="25">
        <f>IFERROR(G164*I164,0)</f>
        <v>0.0</v>
      </c>
      <c r="K164" s="16" t="n"/>
      <c r="L164" s="16" t="n"/>
    </row>
    <row r="165">
      <c r="A165" s="21" t="n"/>
      <c r="B165" s="16" t="n"/>
      <c r="C165" s="17" t="n"/>
      <c r="D165" s="14" t="n"/>
      <c r="E165" s="14" t="n"/>
      <c r="F165" s="14" t="n"/>
      <c r="G165" s="22">
        <f>IFERROR(E165-F165,0)</f>
        <v>0.0</v>
      </c>
      <c r="H165" s="23">
        <f>IFERROR(G165/E165,0)</f>
        <v>0.0</v>
      </c>
      <c r="I165" s="24" t="n"/>
      <c r="J165" s="25">
        <f>IFERROR(G165*I165,0)</f>
        <v>0.0</v>
      </c>
      <c r="K165" s="16" t="n"/>
      <c r="L165" s="16" t="n"/>
    </row>
    <row r="166">
      <c r="A166" s="21" t="n"/>
      <c r="B166" s="16" t="n"/>
      <c r="C166" s="17" t="n"/>
      <c r="D166" s="14" t="n"/>
      <c r="E166" s="14" t="n"/>
      <c r="F166" s="14" t="n"/>
      <c r="G166" s="22">
        <f>IFERROR(E166-F166,0)</f>
        <v>0.0</v>
      </c>
      <c r="H166" s="23">
        <f>IFERROR(G166/E166,0)</f>
        <v>0.0</v>
      </c>
      <c r="I166" s="24" t="n"/>
      <c r="J166" s="25">
        <f>IFERROR(G166*I166,0)</f>
        <v>0.0</v>
      </c>
      <c r="K166" s="16" t="n"/>
      <c r="L166" s="16" t="n"/>
    </row>
    <row r="167">
      <c r="A167" s="21" t="n"/>
      <c r="B167" s="16" t="n"/>
      <c r="C167" s="17" t="n"/>
      <c r="D167" s="14" t="n"/>
      <c r="E167" s="14" t="n"/>
      <c r="F167" s="14" t="n"/>
      <c r="G167" s="22">
        <f>IFERROR(E167-F167,0)</f>
        <v>0.0</v>
      </c>
      <c r="H167" s="23">
        <f>IFERROR(G167/E167,0)</f>
        <v>0.0</v>
      </c>
      <c r="I167" s="24" t="n"/>
      <c r="J167" s="25">
        <f>IFERROR(G167*I167,0)</f>
        <v>0.0</v>
      </c>
      <c r="K167" s="16" t="n"/>
      <c r="L167" s="16" t="n"/>
    </row>
    <row r="168">
      <c r="A168" s="21" t="n"/>
      <c r="B168" s="16" t="n"/>
      <c r="C168" s="17" t="n"/>
      <c r="D168" s="14" t="n"/>
      <c r="E168" s="14" t="n"/>
      <c r="F168" s="14" t="n"/>
      <c r="G168" s="22">
        <f>IFERROR(E168-F168,0)</f>
        <v>0.0</v>
      </c>
      <c r="H168" s="23">
        <f>IFERROR(G168/E168,0)</f>
        <v>0.0</v>
      </c>
      <c r="I168" s="24" t="n"/>
      <c r="J168" s="25">
        <f>IFERROR(G168*I168,0)</f>
        <v>0.0</v>
      </c>
      <c r="K168" s="16" t="n"/>
      <c r="L168" s="16" t="n"/>
    </row>
    <row r="169">
      <c r="A169" s="21" t="n"/>
      <c r="B169" s="16" t="n"/>
      <c r="C169" s="17" t="n"/>
      <c r="D169" s="14" t="n"/>
      <c r="E169" s="14" t="n"/>
      <c r="F169" s="14" t="n"/>
      <c r="G169" s="22">
        <f>IFERROR(E169-F169,0)</f>
        <v>0.0</v>
      </c>
      <c r="H169" s="23">
        <f>IFERROR(G169/E169,0)</f>
        <v>0.0</v>
      </c>
      <c r="I169" s="24" t="n"/>
      <c r="J169" s="25">
        <f>IFERROR(G169*I169,0)</f>
        <v>0.0</v>
      </c>
      <c r="K169" s="16" t="n"/>
      <c r="L169" s="16" t="n"/>
    </row>
    <row r="170">
      <c r="A170" s="21" t="n"/>
      <c r="B170" s="16" t="n"/>
      <c r="C170" s="17" t="n"/>
      <c r="D170" s="14" t="n"/>
      <c r="E170" s="14" t="n"/>
      <c r="F170" s="14" t="n"/>
      <c r="G170" s="22">
        <f>IFERROR(E170-F170,0)</f>
        <v>0.0</v>
      </c>
      <c r="H170" s="23">
        <f>IFERROR(G170/E170,0)</f>
        <v>0.0</v>
      </c>
      <c r="I170" s="24" t="n"/>
      <c r="J170" s="25">
        <f>IFERROR(G170*I170,0)</f>
        <v>0.0</v>
      </c>
      <c r="K170" s="16" t="n"/>
      <c r="L170" s="16" t="n"/>
    </row>
    <row r="171">
      <c r="A171" s="21" t="n"/>
      <c r="B171" s="16" t="n"/>
      <c r="C171" s="17" t="n"/>
      <c r="D171" s="14" t="n"/>
      <c r="E171" s="14" t="n"/>
      <c r="F171" s="14" t="n"/>
      <c r="G171" s="22">
        <f>IFERROR(E171-F171,0)</f>
        <v>0.0</v>
      </c>
      <c r="H171" s="23">
        <f>IFERROR(G171/E171,0)</f>
        <v>0.0</v>
      </c>
      <c r="I171" s="24" t="n"/>
      <c r="J171" s="25">
        <f>IFERROR(G171*I171,0)</f>
        <v>0.0</v>
      </c>
      <c r="K171" s="16" t="n"/>
      <c r="L171" s="16" t="n"/>
    </row>
    <row r="172">
      <c r="A172" s="21" t="n"/>
      <c r="B172" s="16" t="n"/>
      <c r="C172" s="17" t="n"/>
      <c r="D172" s="14" t="n"/>
      <c r="E172" s="14" t="n"/>
      <c r="F172" s="14" t="n"/>
      <c r="G172" s="22">
        <f>IFERROR(E172-F172,0)</f>
        <v>0.0</v>
      </c>
      <c r="H172" s="23">
        <f>IFERROR(G172/E172,0)</f>
        <v>0.0</v>
      </c>
      <c r="I172" s="24" t="n"/>
      <c r="J172" s="25">
        <f>IFERROR(G172*I172,0)</f>
        <v>0.0</v>
      </c>
      <c r="K172" s="16" t="n"/>
      <c r="L172" s="16" t="n"/>
    </row>
    <row r="173">
      <c r="A173" s="21" t="n"/>
      <c r="B173" s="16" t="n"/>
      <c r="C173" s="17" t="n"/>
      <c r="D173" s="14" t="n"/>
      <c r="E173" s="14" t="n"/>
      <c r="F173" s="14" t="n"/>
      <c r="G173" s="22">
        <f>IFERROR(E173-F173,0)</f>
        <v>0.0</v>
      </c>
      <c r="H173" s="23">
        <f>IFERROR(G173/E173,0)</f>
        <v>0.0</v>
      </c>
      <c r="I173" s="24" t="n"/>
      <c r="J173" s="25">
        <f>IFERROR(G173*I173,0)</f>
        <v>0.0</v>
      </c>
      <c r="K173" s="16" t="n"/>
      <c r="L173" s="16" t="n"/>
    </row>
    <row r="174">
      <c r="A174" s="21" t="n"/>
      <c r="B174" s="16" t="n"/>
      <c r="C174" s="17" t="n"/>
      <c r="D174" s="14" t="n"/>
      <c r="E174" s="14" t="n"/>
      <c r="F174" s="14" t="n"/>
      <c r="G174" s="22">
        <f>IFERROR(E174-F174,0)</f>
        <v>0.0</v>
      </c>
      <c r="H174" s="23">
        <f>IFERROR(G174/E174,0)</f>
        <v>0.0</v>
      </c>
      <c r="I174" s="24" t="n"/>
      <c r="J174" s="25">
        <f>IFERROR(G174*I174,0)</f>
        <v>0.0</v>
      </c>
      <c r="K174" s="16" t="n"/>
      <c r="L174" s="16" t="n"/>
    </row>
    <row r="175">
      <c r="A175" s="21" t="n"/>
      <c r="B175" s="16" t="n"/>
      <c r="C175" s="17" t="n"/>
      <c r="D175" s="14" t="n"/>
      <c r="E175" s="14" t="n"/>
      <c r="F175" s="14" t="n"/>
      <c r="G175" s="22">
        <f>IFERROR(E175-F175,0)</f>
        <v>0.0</v>
      </c>
      <c r="H175" s="23">
        <f>IFERROR(G175/E175,0)</f>
        <v>0.0</v>
      </c>
      <c r="I175" s="24" t="n"/>
      <c r="J175" s="25">
        <f>IFERROR(G175*I175,0)</f>
        <v>0.0</v>
      </c>
      <c r="K175" s="16" t="n"/>
      <c r="L175" s="16" t="n"/>
    </row>
    <row r="176">
      <c r="A176" s="21" t="n"/>
      <c r="B176" s="16" t="n"/>
      <c r="C176" s="17" t="n"/>
      <c r="D176" s="14" t="n"/>
      <c r="E176" s="14" t="n"/>
      <c r="F176" s="14" t="n"/>
      <c r="G176" s="22">
        <f>IFERROR(E176-F176,0)</f>
        <v>0.0</v>
      </c>
      <c r="H176" s="23">
        <f>IFERROR(G176/E176,0)</f>
        <v>0.0</v>
      </c>
      <c r="I176" s="24" t="n"/>
      <c r="J176" s="25">
        <f>IFERROR(G176*I176,0)</f>
        <v>0.0</v>
      </c>
      <c r="K176" s="16" t="n"/>
      <c r="L176" s="16" t="n"/>
    </row>
    <row r="177">
      <c r="A177" s="21" t="n"/>
      <c r="B177" s="16" t="n"/>
      <c r="C177" s="17" t="n"/>
      <c r="D177" s="14" t="n"/>
      <c r="E177" s="14" t="n"/>
      <c r="F177" s="14" t="n"/>
      <c r="G177" s="22">
        <f>IFERROR(E177-F177,0)</f>
        <v>0.0</v>
      </c>
      <c r="H177" s="23">
        <f>IFERROR(G177/E177,0)</f>
        <v>0.0</v>
      </c>
      <c r="I177" s="24" t="n"/>
      <c r="J177" s="25">
        <f>IFERROR(G177*I177,0)</f>
        <v>0.0</v>
      </c>
      <c r="K177" s="16" t="n"/>
      <c r="L177" s="16" t="n"/>
    </row>
    <row r="178">
      <c r="A178" s="21" t="n"/>
      <c r="B178" s="16" t="n"/>
      <c r="C178" s="17" t="n"/>
      <c r="D178" s="14" t="n"/>
      <c r="E178" s="14" t="n"/>
      <c r="F178" s="14" t="n"/>
      <c r="G178" s="22">
        <f>IFERROR(E178-F178,0)</f>
        <v>0.0</v>
      </c>
      <c r="H178" s="23">
        <f>IFERROR(G178/E178,0)</f>
        <v>0.0</v>
      </c>
      <c r="I178" s="24" t="n"/>
      <c r="J178" s="25">
        <f>IFERROR(G178*I178,0)</f>
        <v>0.0</v>
      </c>
      <c r="K178" s="16" t="n"/>
      <c r="L178" s="16" t="n"/>
    </row>
    <row r="179">
      <c r="A179" s="21" t="n"/>
      <c r="B179" s="16" t="n"/>
      <c r="C179" s="17" t="n"/>
      <c r="D179" s="14" t="n"/>
      <c r="E179" s="14" t="n"/>
      <c r="F179" s="14" t="n"/>
      <c r="G179" s="22">
        <f>IFERROR(E179-F179,0)</f>
        <v>0.0</v>
      </c>
      <c r="H179" s="23">
        <f>IFERROR(G179/E179,0)</f>
        <v>0.0</v>
      </c>
      <c r="I179" s="24" t="n"/>
      <c r="J179" s="25">
        <f>IFERROR(G179*I179,0)</f>
        <v>0.0</v>
      </c>
      <c r="K179" s="16" t="n"/>
      <c r="L179" s="16" t="n"/>
    </row>
    <row r="180">
      <c r="A180" s="21" t="n"/>
      <c r="B180" s="16" t="n"/>
      <c r="C180" s="17" t="n"/>
      <c r="D180" s="14" t="n"/>
      <c r="E180" s="14" t="n"/>
      <c r="F180" s="14" t="n"/>
      <c r="G180" s="22">
        <f>IFERROR(E180-F180,0)</f>
        <v>0.0</v>
      </c>
      <c r="H180" s="23">
        <f>IFERROR(G180/E180,0)</f>
        <v>0.0</v>
      </c>
      <c r="I180" s="24" t="n"/>
      <c r="J180" s="25">
        <f>IFERROR(G180*I180,0)</f>
        <v>0.0</v>
      </c>
      <c r="K180" s="16" t="n"/>
      <c r="L180" s="16" t="n"/>
    </row>
    <row r="181">
      <c r="A181" s="21" t="n"/>
      <c r="B181" s="16" t="n"/>
      <c r="C181" s="17" t="n"/>
      <c r="D181" s="14" t="n"/>
      <c r="E181" s="14" t="n"/>
      <c r="F181" s="14" t="n"/>
      <c r="G181" s="22">
        <f>IFERROR(E181-F181,0)</f>
        <v>0.0</v>
      </c>
      <c r="H181" s="23">
        <f>IFERROR(G181/E181,0)</f>
        <v>0.0</v>
      </c>
      <c r="I181" s="24" t="n"/>
      <c r="J181" s="25">
        <f>IFERROR(G181*I181,0)</f>
        <v>0.0</v>
      </c>
      <c r="K181" s="16" t="n"/>
      <c r="L181" s="16" t="n"/>
    </row>
    <row r="182">
      <c r="A182" s="21" t="n"/>
      <c r="B182" s="16" t="n"/>
      <c r="C182" s="17" t="n"/>
      <c r="D182" s="14" t="n"/>
      <c r="E182" s="14" t="n"/>
      <c r="F182" s="14" t="n"/>
      <c r="G182" s="22">
        <f>IFERROR(E182-F182,0)</f>
        <v>0.0</v>
      </c>
      <c r="H182" s="23">
        <f>IFERROR(G182/E182,0)</f>
        <v>0.0</v>
      </c>
      <c r="I182" s="24" t="n"/>
      <c r="J182" s="25">
        <f>IFERROR(G182*I182,0)</f>
        <v>0.0</v>
      </c>
      <c r="K182" s="16" t="n"/>
      <c r="L182" s="16" t="n"/>
    </row>
    <row r="183">
      <c r="A183" s="21" t="n"/>
      <c r="B183" s="16" t="n"/>
      <c r="C183" s="17" t="n"/>
      <c r="D183" s="14" t="n"/>
      <c r="E183" s="14" t="n"/>
      <c r="F183" s="14" t="n"/>
      <c r="G183" s="22">
        <f>IFERROR(E183-F183,0)</f>
        <v>0.0</v>
      </c>
      <c r="H183" s="23">
        <f>IFERROR(G183/E183,0)</f>
        <v>0.0</v>
      </c>
      <c r="I183" s="24" t="n"/>
      <c r="J183" s="25">
        <f>IFERROR(G183*I183,0)</f>
        <v>0.0</v>
      </c>
      <c r="K183" s="16" t="n"/>
      <c r="L183" s="16" t="n"/>
    </row>
    <row r="184">
      <c r="A184" s="21" t="n"/>
      <c r="B184" s="16" t="n"/>
      <c r="C184" s="17" t="n"/>
      <c r="D184" s="14" t="n"/>
      <c r="E184" s="14" t="n"/>
      <c r="F184" s="14" t="n"/>
      <c r="G184" s="22">
        <f>IFERROR(E184-F184,0)</f>
        <v>0.0</v>
      </c>
      <c r="H184" s="23">
        <f>IFERROR(G184/E184,0)</f>
        <v>0.0</v>
      </c>
      <c r="I184" s="24" t="n"/>
      <c r="J184" s="25">
        <f>IFERROR(G184*I184,0)</f>
        <v>0.0</v>
      </c>
      <c r="K184" s="16" t="n"/>
      <c r="L184" s="16" t="n"/>
    </row>
    <row r="185">
      <c r="A185" s="21" t="n"/>
      <c r="B185" s="16" t="n"/>
      <c r="C185" s="17" t="n"/>
      <c r="D185" s="14" t="n"/>
      <c r="E185" s="14" t="n"/>
      <c r="F185" s="14" t="n"/>
      <c r="G185" s="22">
        <f>IFERROR(E185-F185,0)</f>
        <v>0.0</v>
      </c>
      <c r="H185" s="23">
        <f>IFERROR(G185/E185,0)</f>
        <v>0.0</v>
      </c>
      <c r="I185" s="24" t="n"/>
      <c r="J185" s="25">
        <f>IFERROR(G185*I185,0)</f>
        <v>0.0</v>
      </c>
      <c r="K185" s="16" t="n"/>
      <c r="L185" s="16" t="n"/>
    </row>
    <row r="186">
      <c r="A186" s="21" t="n"/>
      <c r="B186" s="16" t="n"/>
      <c r="C186" s="17" t="n"/>
      <c r="D186" s="14" t="n"/>
      <c r="E186" s="14" t="n"/>
      <c r="F186" s="14" t="n"/>
      <c r="G186" s="22">
        <f>IFERROR(E186-F186,0)</f>
        <v>0.0</v>
      </c>
      <c r="H186" s="23">
        <f>IFERROR(G186/E186,0)</f>
        <v>0.0</v>
      </c>
      <c r="I186" s="24" t="n"/>
      <c r="J186" s="25">
        <f>IFERROR(G186*I186,0)</f>
        <v>0.0</v>
      </c>
      <c r="K186" s="16" t="n"/>
      <c r="L186" s="16" t="n"/>
    </row>
    <row r="187">
      <c r="A187" s="21" t="n"/>
      <c r="B187" s="16" t="n"/>
      <c r="C187" s="17" t="n"/>
      <c r="D187" s="14" t="n"/>
      <c r="E187" s="14" t="n"/>
      <c r="F187" s="14" t="n"/>
      <c r="G187" s="22">
        <f>IFERROR(E187-F187,0)</f>
        <v>0.0</v>
      </c>
      <c r="H187" s="23">
        <f>IFERROR(G187/E187,0)</f>
        <v>0.0</v>
      </c>
      <c r="I187" s="24" t="n"/>
      <c r="J187" s="25">
        <f>IFERROR(G187*I187,0)</f>
        <v>0.0</v>
      </c>
      <c r="K187" s="16" t="n"/>
      <c r="L187" s="16" t="n"/>
    </row>
    <row r="188">
      <c r="A188" s="21" t="n"/>
      <c r="B188" s="16" t="n"/>
      <c r="C188" s="17" t="n"/>
      <c r="D188" s="14" t="n"/>
      <c r="E188" s="14" t="n"/>
      <c r="F188" s="14" t="n"/>
      <c r="G188" s="22">
        <f>IFERROR(E188-F188,0)</f>
        <v>0.0</v>
      </c>
      <c r="H188" s="23">
        <f>IFERROR(G188/E188,0)</f>
        <v>0.0</v>
      </c>
      <c r="I188" s="24" t="n"/>
      <c r="J188" s="25">
        <f>IFERROR(G188*I188,0)</f>
        <v>0.0</v>
      </c>
      <c r="K188" s="16" t="n"/>
      <c r="L188" s="16" t="n"/>
    </row>
    <row r="189">
      <c r="A189" s="21" t="n"/>
      <c r="B189" s="16" t="n"/>
      <c r="C189" s="17" t="n"/>
      <c r="D189" s="14" t="n"/>
      <c r="E189" s="14" t="n"/>
      <c r="F189" s="14" t="n"/>
      <c r="G189" s="22">
        <f>IFERROR(E189-F189,0)</f>
        <v>0.0</v>
      </c>
      <c r="H189" s="23">
        <f>IFERROR(G189/E189,0)</f>
        <v>0.0</v>
      </c>
      <c r="I189" s="24" t="n"/>
      <c r="J189" s="25">
        <f>IFERROR(G189*I189,0)</f>
        <v>0.0</v>
      </c>
      <c r="K189" s="16" t="n"/>
      <c r="L189" s="16" t="n"/>
    </row>
    <row r="190">
      <c r="A190" s="21" t="n"/>
      <c r="B190" s="16" t="n"/>
      <c r="C190" s="17" t="n"/>
      <c r="D190" s="14" t="n"/>
      <c r="E190" s="14" t="n"/>
      <c r="F190" s="14" t="n"/>
      <c r="G190" s="22">
        <f>IFERROR(E190-F190,0)</f>
        <v>0.0</v>
      </c>
      <c r="H190" s="23">
        <f>IFERROR(G190/E190,0)</f>
        <v>0.0</v>
      </c>
      <c r="I190" s="24" t="n"/>
      <c r="J190" s="25">
        <f>IFERROR(G190*I190,0)</f>
        <v>0.0</v>
      </c>
      <c r="K190" s="16" t="n"/>
      <c r="L190" s="16" t="n"/>
    </row>
    <row r="191">
      <c r="A191" s="21" t="n"/>
      <c r="B191" s="16" t="n"/>
      <c r="C191" s="17" t="n"/>
      <c r="D191" s="14" t="n"/>
      <c r="E191" s="14" t="n"/>
      <c r="F191" s="14" t="n"/>
      <c r="G191" s="22">
        <f>IFERROR(E191-F191,0)</f>
        <v>0.0</v>
      </c>
      <c r="H191" s="23">
        <f>IFERROR(G191/E191,0)</f>
        <v>0.0</v>
      </c>
      <c r="I191" s="24" t="n"/>
      <c r="J191" s="25">
        <f>IFERROR(G191*I191,0)</f>
        <v>0.0</v>
      </c>
      <c r="K191" s="16" t="n"/>
      <c r="L191" s="16" t="n"/>
    </row>
    <row r="192">
      <c r="A192" s="21" t="n"/>
      <c r="B192" s="16" t="n"/>
      <c r="C192" s="17" t="n"/>
      <c r="D192" s="14" t="n"/>
      <c r="E192" s="14" t="n"/>
      <c r="F192" s="14" t="n"/>
      <c r="G192" s="22">
        <f>IFERROR(E192-F192,0)</f>
        <v>0.0</v>
      </c>
      <c r="H192" s="23">
        <f>IFERROR(G192/E192,0)</f>
        <v>0.0</v>
      </c>
      <c r="I192" s="24" t="n"/>
      <c r="J192" s="25">
        <f>IFERROR(G192*I192,0)</f>
        <v>0.0</v>
      </c>
      <c r="K192" s="16" t="n"/>
      <c r="L192" s="16" t="n"/>
    </row>
    <row r="193">
      <c r="A193" s="21" t="n"/>
      <c r="B193" s="16" t="n"/>
      <c r="C193" s="17" t="n"/>
      <c r="D193" s="14" t="n"/>
      <c r="E193" s="14" t="n"/>
      <c r="F193" s="14" t="n"/>
      <c r="G193" s="22">
        <f>IFERROR(E193-F193,0)</f>
        <v>0.0</v>
      </c>
      <c r="H193" s="23">
        <f>IFERROR(G193/E193,0)</f>
        <v>0.0</v>
      </c>
      <c r="I193" s="24" t="n"/>
      <c r="J193" s="25">
        <f>IFERROR(G193*I193,0)</f>
        <v>0.0</v>
      </c>
      <c r="K193" s="16" t="n"/>
      <c r="L193" s="16" t="n"/>
    </row>
    <row r="194">
      <c r="A194" s="21" t="n"/>
      <c r="B194" s="16" t="n"/>
      <c r="C194" s="17" t="n"/>
      <c r="D194" s="14" t="n"/>
      <c r="E194" s="14" t="n"/>
      <c r="F194" s="14" t="n"/>
      <c r="G194" s="22">
        <f>IFERROR(E194-F194,0)</f>
        <v>0.0</v>
      </c>
      <c r="H194" s="23">
        <f>IFERROR(G194/E194,0)</f>
        <v>0.0</v>
      </c>
      <c r="I194" s="24" t="n"/>
      <c r="J194" s="25">
        <f>IFERROR(G194*I194,0)</f>
        <v>0.0</v>
      </c>
      <c r="K194" s="16" t="n"/>
      <c r="L194" s="16" t="n"/>
    </row>
    <row r="195">
      <c r="A195" s="21" t="n"/>
      <c r="B195" s="16" t="n"/>
      <c r="C195" s="17" t="n"/>
      <c r="D195" s="14" t="n"/>
      <c r="E195" s="14" t="n"/>
      <c r="F195" s="14" t="n"/>
      <c r="G195" s="22">
        <f>IFERROR(E195-F195,0)</f>
        <v>0.0</v>
      </c>
      <c r="H195" s="23">
        <f>IFERROR(G195/E195,0)</f>
        <v>0.0</v>
      </c>
      <c r="I195" s="24" t="n"/>
      <c r="J195" s="25">
        <f>IFERROR(G195*I195,0)</f>
        <v>0.0</v>
      </c>
      <c r="K195" s="16" t="n"/>
      <c r="L195" s="16" t="n"/>
    </row>
    <row r="196">
      <c r="A196" s="21" t="n"/>
      <c r="B196" s="16" t="n"/>
      <c r="C196" s="17" t="n"/>
      <c r="D196" s="14" t="n"/>
      <c r="E196" s="14" t="n"/>
      <c r="F196" s="14" t="n"/>
      <c r="G196" s="22">
        <f>IFERROR(E196-F196,0)</f>
        <v>0.0</v>
      </c>
      <c r="H196" s="23">
        <f>IFERROR(G196/E196,0)</f>
        <v>0.0</v>
      </c>
      <c r="I196" s="24" t="n"/>
      <c r="J196" s="25">
        <f>IFERROR(G196*I196,0)</f>
        <v>0.0</v>
      </c>
      <c r="K196" s="16" t="n"/>
      <c r="L196" s="16" t="n"/>
    </row>
    <row r="197">
      <c r="A197" s="21" t="n"/>
      <c r="B197" s="16" t="n"/>
      <c r="C197" s="17" t="n"/>
      <c r="D197" s="14" t="n"/>
      <c r="E197" s="14" t="n"/>
      <c r="F197" s="14" t="n"/>
      <c r="G197" s="22">
        <f>IFERROR(E197-F197,0)</f>
        <v>0.0</v>
      </c>
      <c r="H197" s="23">
        <f>IFERROR(G197/E197,0)</f>
        <v>0.0</v>
      </c>
      <c r="I197" s="24" t="n"/>
      <c r="J197" s="25">
        <f>IFERROR(G197*I197,0)</f>
        <v>0.0</v>
      </c>
      <c r="K197" s="16" t="n"/>
      <c r="L197" s="16" t="n"/>
    </row>
    <row r="198">
      <c r="A198" s="21" t="n"/>
      <c r="B198" s="16" t="n"/>
      <c r="C198" s="17" t="n"/>
      <c r="D198" s="14" t="n"/>
      <c r="E198" s="14" t="n"/>
      <c r="F198" s="14" t="n"/>
      <c r="G198" s="22">
        <f>IFERROR(E198-F198,0)</f>
        <v>0.0</v>
      </c>
      <c r="H198" s="23">
        <f>IFERROR(G198/E198,0)</f>
        <v>0.0</v>
      </c>
      <c r="I198" s="24" t="n"/>
      <c r="J198" s="25">
        <f>IFERROR(G198*I198,0)</f>
        <v>0.0</v>
      </c>
      <c r="K198" s="16" t="n"/>
      <c r="L198" s="16" t="n"/>
    </row>
    <row r="199">
      <c r="A199" s="21" t="n"/>
      <c r="B199" s="16" t="n"/>
      <c r="C199" s="17" t="n"/>
      <c r="D199" s="14" t="n"/>
      <c r="E199" s="14" t="n"/>
      <c r="F199" s="14" t="n"/>
      <c r="G199" s="22">
        <f>IFERROR(E199-F199,0)</f>
        <v>0.0</v>
      </c>
      <c r="H199" s="23">
        <f>IFERROR(G199/E199,0)</f>
        <v>0.0</v>
      </c>
      <c r="I199" s="24" t="n"/>
      <c r="J199" s="25">
        <f>IFERROR(G199*I199,0)</f>
        <v>0.0</v>
      </c>
      <c r="K199" s="16" t="n"/>
      <c r="L199" s="16" t="n"/>
    </row>
    <row r="200">
      <c r="A200" s="21" t="n"/>
      <c r="B200" s="16" t="n"/>
      <c r="C200" s="17" t="n"/>
      <c r="D200" s="14" t="n"/>
      <c r="E200" s="14" t="n"/>
      <c r="F200" s="14" t="n"/>
      <c r="G200" s="22">
        <f>IFERROR(E200-F200,0)</f>
        <v>0.0</v>
      </c>
      <c r="H200" s="23">
        <f>IFERROR(G200/E200,0)</f>
        <v>0.0</v>
      </c>
      <c r="I200" s="24" t="n"/>
      <c r="J200" s="25">
        <f>IFERROR(G200*I200,0)</f>
        <v>0.0</v>
      </c>
      <c r="K200" s="16" t="n"/>
      <c r="L200" s="16" t="n"/>
    </row>
    <row r="201">
      <c r="A201" s="21" t="n"/>
      <c r="B201" s="16" t="n"/>
      <c r="C201" s="17" t="n"/>
      <c r="D201" s="14" t="n"/>
      <c r="E201" s="14" t="n"/>
      <c r="F201" s="14" t="n"/>
      <c r="G201" s="22">
        <f>IFERROR(E201-F201,0)</f>
        <v>0.0</v>
      </c>
      <c r="H201" s="23">
        <f>IFERROR(G201/E201,0)</f>
        <v>0.0</v>
      </c>
      <c r="I201" s="24" t="n"/>
      <c r="J201" s="25">
        <f>IFERROR(G201*I201,0)</f>
        <v>0.0</v>
      </c>
      <c r="K201" s="16" t="n"/>
      <c r="L201" s="16" t="n"/>
    </row>
    <row r="202">
      <c r="A202" s="21" t="n"/>
      <c r="B202" s="16" t="n"/>
      <c r="C202" s="17" t="n"/>
      <c r="D202" s="14" t="n"/>
      <c r="E202" s="14" t="n"/>
      <c r="F202" s="14" t="n"/>
      <c r="G202" s="22">
        <f>IFERROR(E202-F202,0)</f>
        <v>0.0</v>
      </c>
      <c r="H202" s="23">
        <f>IFERROR(G202/E202,0)</f>
        <v>0.0</v>
      </c>
      <c r="I202" s="24" t="n"/>
      <c r="J202" s="25">
        <f>IFERROR(G202*I202,0)</f>
        <v>0.0</v>
      </c>
      <c r="K202" s="16" t="n"/>
      <c r="L202" s="16" t="n"/>
    </row>
    <row r="203">
      <c r="A203" s="21" t="n"/>
      <c r="B203" s="16" t="n"/>
      <c r="C203" s="17" t="n"/>
      <c r="D203" s="14" t="n"/>
      <c r="E203" s="14" t="n"/>
      <c r="F203" s="14" t="n"/>
      <c r="G203" s="22">
        <f>IFERROR(E203-F203,0)</f>
        <v>0.0</v>
      </c>
      <c r="H203" s="23">
        <f>IFERROR(G203/E203,0)</f>
        <v>0.0</v>
      </c>
      <c r="I203" s="24" t="n"/>
      <c r="J203" s="25">
        <f>IFERROR(G203*I203,0)</f>
        <v>0.0</v>
      </c>
      <c r="K203" s="16" t="n"/>
      <c r="L203" s="16" t="n"/>
    </row>
    <row r="204">
      <c r="A204" s="21" t="n"/>
      <c r="B204" s="16" t="n"/>
      <c r="C204" s="17" t="n"/>
      <c r="D204" s="14" t="n"/>
      <c r="E204" s="14" t="n"/>
      <c r="F204" s="14" t="n"/>
      <c r="G204" s="22">
        <f>IFERROR(E204-F204,0)</f>
        <v>0.0</v>
      </c>
      <c r="H204" s="23">
        <f>IFERROR(G204/E204,0)</f>
        <v>0.0</v>
      </c>
      <c r="I204" s="24" t="n"/>
      <c r="J204" s="25">
        <f>IFERROR(G204*I204,0)</f>
        <v>0.0</v>
      </c>
      <c r="K204" s="16" t="n"/>
      <c r="L204" s="16" t="n"/>
    </row>
    <row r="205">
      <c r="A205" s="21" t="n"/>
      <c r="B205" s="16" t="n"/>
      <c r="C205" s="17" t="n"/>
      <c r="D205" s="14" t="n"/>
      <c r="E205" s="14" t="n"/>
      <c r="F205" s="14" t="n"/>
      <c r="G205" s="22">
        <f>IFERROR(E205-F205,0)</f>
        <v>0.0</v>
      </c>
      <c r="H205" s="23">
        <f>IFERROR(G205/E205,0)</f>
        <v>0.0</v>
      </c>
      <c r="I205" s="24" t="n"/>
      <c r="J205" s="25">
        <f>IFERROR(G205*I205,0)</f>
        <v>0.0</v>
      </c>
      <c r="K205" s="16" t="n"/>
      <c r="L205" s="16" t="n"/>
    </row>
    <row r="206">
      <c r="A206" s="21" t="n"/>
      <c r="B206" s="16" t="n"/>
      <c r="C206" s="17" t="n"/>
      <c r="D206" s="14" t="n"/>
      <c r="E206" s="14" t="n"/>
      <c r="F206" s="14" t="n"/>
      <c r="G206" s="22">
        <f>IFERROR(E206-F206,0)</f>
        <v>0.0</v>
      </c>
      <c r="H206" s="23">
        <f>IFERROR(G206/E206,0)</f>
        <v>0.0</v>
      </c>
      <c r="I206" s="24" t="n"/>
      <c r="J206" s="25">
        <f>IFERROR(G206*I206,0)</f>
        <v>0.0</v>
      </c>
      <c r="K206" s="16" t="n"/>
      <c r="L206" s="16" t="n"/>
    </row>
    <row r="207">
      <c r="A207" s="21" t="n"/>
      <c r="B207" s="16" t="n"/>
      <c r="C207" s="17" t="n"/>
      <c r="D207" s="14" t="n"/>
      <c r="E207" s="14" t="n"/>
      <c r="F207" s="14" t="n"/>
      <c r="G207" s="22">
        <f>IFERROR(E207-F207,0)</f>
        <v>0.0</v>
      </c>
      <c r="H207" s="23">
        <f>IFERROR(G207/E207,0)</f>
        <v>0.0</v>
      </c>
      <c r="I207" s="24" t="n"/>
      <c r="J207" s="25">
        <f>IFERROR(G207*I207,0)</f>
        <v>0.0</v>
      </c>
      <c r="K207" s="16" t="n"/>
      <c r="L207" s="16" t="n"/>
    </row>
    <row r="208">
      <c r="A208" s="21" t="n"/>
      <c r="B208" s="16" t="n"/>
      <c r="C208" s="17" t="n"/>
      <c r="D208" s="14" t="n"/>
      <c r="E208" s="14" t="n"/>
      <c r="F208" s="14" t="n"/>
      <c r="G208" s="22">
        <f>IFERROR(E208-F208,0)</f>
        <v>0.0</v>
      </c>
      <c r="H208" s="23">
        <f>IFERROR(G208/E208,0)</f>
        <v>0.0</v>
      </c>
      <c r="I208" s="24" t="n"/>
      <c r="J208" s="25">
        <f>IFERROR(G208*I208,0)</f>
        <v>0.0</v>
      </c>
      <c r="K208" s="16" t="n"/>
      <c r="L208" s="16" t="n"/>
    </row>
    <row r="209">
      <c r="A209" s="21" t="n"/>
      <c r="B209" s="16" t="n"/>
      <c r="C209" s="17" t="n"/>
      <c r="D209" s="14" t="n"/>
      <c r="E209" s="14" t="n"/>
      <c r="F209" s="14" t="n"/>
      <c r="G209" s="22">
        <f>IFERROR(E209-F209,0)</f>
        <v>0.0</v>
      </c>
      <c r="H209" s="23">
        <f>IFERROR(G209/E209,0)</f>
        <v>0.0</v>
      </c>
      <c r="I209" s="24" t="n"/>
      <c r="J209" s="25">
        <f>IFERROR(G209*I209,0)</f>
        <v>0.0</v>
      </c>
      <c r="K209" s="16" t="n"/>
      <c r="L209" s="16" t="n"/>
    </row>
    <row r="210">
      <c r="A210" s="21" t="n"/>
      <c r="B210" s="16" t="n"/>
      <c r="C210" s="17" t="n"/>
      <c r="D210" s="14" t="n"/>
      <c r="E210" s="14" t="n"/>
      <c r="F210" s="14" t="n"/>
      <c r="G210" s="22">
        <f>IFERROR(E210-F210,0)</f>
        <v>0.0</v>
      </c>
      <c r="H210" s="23">
        <f>IFERROR(G210/E210,0)</f>
        <v>0.0</v>
      </c>
      <c r="I210" s="24" t="n"/>
      <c r="J210" s="25">
        <f>IFERROR(G210*I210,0)</f>
        <v>0.0</v>
      </c>
      <c r="K210" s="16" t="n"/>
      <c r="L210" s="16" t="n"/>
    </row>
    <row r="211">
      <c r="A211" s="21" t="n"/>
      <c r="B211" s="16" t="n"/>
      <c r="C211" s="17" t="n"/>
      <c r="D211" s="14" t="n"/>
      <c r="E211" s="14" t="n"/>
      <c r="F211" s="14" t="n"/>
      <c r="G211" s="22">
        <f>IFERROR(E211-F211,0)</f>
        <v>0.0</v>
      </c>
      <c r="H211" s="23">
        <f>IFERROR(G211/E211,0)</f>
        <v>0.0</v>
      </c>
      <c r="I211" s="24" t="n"/>
      <c r="J211" s="25">
        <f>IFERROR(G211*I211,0)</f>
        <v>0.0</v>
      </c>
      <c r="K211" s="16" t="n"/>
      <c r="L211" s="16" t="n"/>
    </row>
    <row r="212">
      <c r="A212" s="21" t="n"/>
      <c r="B212" s="16" t="n"/>
      <c r="C212" s="17" t="n"/>
      <c r="D212" s="14" t="n"/>
      <c r="E212" s="14" t="n"/>
      <c r="F212" s="14" t="n"/>
      <c r="G212" s="22">
        <f>IFERROR(E212-F212,0)</f>
        <v>0.0</v>
      </c>
      <c r="H212" s="23">
        <f>IFERROR(G212/E212,0)</f>
        <v>0.0</v>
      </c>
      <c r="I212" s="24" t="n"/>
      <c r="J212" s="25">
        <f>IFERROR(G212*I212,0)</f>
        <v>0.0</v>
      </c>
      <c r="K212" s="16" t="n"/>
      <c r="L212" s="16" t="n"/>
    </row>
    <row r="213">
      <c r="A213" s="21" t="n"/>
      <c r="B213" s="16" t="n"/>
      <c r="C213" s="17" t="n"/>
      <c r="D213" s="14" t="n"/>
      <c r="E213" s="14" t="n"/>
      <c r="F213" s="14" t="n"/>
      <c r="G213" s="22">
        <f>IFERROR(E213-F213,0)</f>
        <v>0.0</v>
      </c>
      <c r="H213" s="23">
        <f>IFERROR(G213/E213,0)</f>
        <v>0.0</v>
      </c>
      <c r="I213" s="24" t="n"/>
      <c r="J213" s="25">
        <f>IFERROR(G213*I213,0)</f>
        <v>0.0</v>
      </c>
      <c r="K213" s="16" t="n"/>
      <c r="L213" s="16" t="n"/>
    </row>
    <row r="214">
      <c r="A214" s="21" t="n"/>
      <c r="B214" s="16" t="n"/>
      <c r="C214" s="17" t="n"/>
      <c r="D214" s="14" t="n"/>
      <c r="E214" s="14" t="n"/>
      <c r="F214" s="14" t="n"/>
      <c r="G214" s="22">
        <f>IFERROR(E214-F214,0)</f>
        <v>0.0</v>
      </c>
      <c r="H214" s="23">
        <f>IFERROR(G214/E214,0)</f>
        <v>0.0</v>
      </c>
      <c r="I214" s="24" t="n"/>
      <c r="J214" s="25">
        <f>IFERROR(G214*I214,0)</f>
        <v>0.0</v>
      </c>
      <c r="K214" s="16" t="n"/>
      <c r="L214" s="16" t="n"/>
    </row>
    <row r="215">
      <c r="A215" s="21" t="n"/>
      <c r="B215" s="16" t="n"/>
      <c r="C215" s="17" t="n"/>
      <c r="D215" s="14" t="n"/>
      <c r="E215" s="14" t="n"/>
      <c r="F215" s="14" t="n"/>
      <c r="G215" s="22">
        <f>IFERROR(E215-F215,0)</f>
        <v>0.0</v>
      </c>
      <c r="H215" s="23">
        <f>IFERROR(G215/E215,0)</f>
        <v>0.0</v>
      </c>
      <c r="I215" s="24" t="n"/>
      <c r="J215" s="25">
        <f>IFERROR(G215*I215,0)</f>
        <v>0.0</v>
      </c>
      <c r="K215" s="16" t="n"/>
      <c r="L215" s="16" t="n"/>
    </row>
    <row r="216">
      <c r="A216" s="21" t="n"/>
      <c r="B216" s="16" t="n"/>
      <c r="C216" s="17" t="n"/>
      <c r="D216" s="14" t="n"/>
      <c r="E216" s="14" t="n"/>
      <c r="F216" s="14" t="n"/>
      <c r="G216" s="22">
        <f>IFERROR(E216-F216,0)</f>
        <v>0.0</v>
      </c>
      <c r="H216" s="23">
        <f>IFERROR(G216/E216,0)</f>
        <v>0.0</v>
      </c>
      <c r="I216" s="24" t="n"/>
      <c r="J216" s="25">
        <f>IFERROR(G216*I216,0)</f>
        <v>0.0</v>
      </c>
      <c r="K216" s="16" t="n"/>
      <c r="L216" s="16" t="n"/>
    </row>
    <row r="217">
      <c r="A217" s="21" t="n"/>
      <c r="B217" s="16" t="n"/>
      <c r="C217" s="17" t="n"/>
      <c r="D217" s="14" t="n"/>
      <c r="E217" s="14" t="n"/>
      <c r="F217" s="14" t="n"/>
      <c r="G217" s="22">
        <f>IFERROR(E217-F217,0)</f>
        <v>0.0</v>
      </c>
      <c r="H217" s="23">
        <f>IFERROR(G217/E217,0)</f>
        <v>0.0</v>
      </c>
      <c r="I217" s="24" t="n"/>
      <c r="J217" s="25">
        <f>IFERROR(G217*I217,0)</f>
        <v>0.0</v>
      </c>
      <c r="K217" s="16" t="n"/>
      <c r="L217" s="16" t="n"/>
    </row>
    <row r="218">
      <c r="A218" s="21" t="n"/>
      <c r="B218" s="16" t="n"/>
      <c r="C218" s="17" t="n"/>
      <c r="D218" s="14" t="n"/>
      <c r="E218" s="14" t="n"/>
      <c r="F218" s="14" t="n"/>
      <c r="G218" s="22">
        <f>IFERROR(E218-F218,0)</f>
        <v>0.0</v>
      </c>
      <c r="H218" s="23">
        <f>IFERROR(G218/E218,0)</f>
        <v>0.0</v>
      </c>
      <c r="I218" s="24" t="n"/>
      <c r="J218" s="25">
        <f>IFERROR(G218*I218,0)</f>
        <v>0.0</v>
      </c>
      <c r="K218" s="16" t="n"/>
      <c r="L218" s="16" t="n"/>
    </row>
    <row r="219">
      <c r="A219" s="21" t="n"/>
      <c r="B219" s="16" t="n"/>
      <c r="C219" s="17" t="n"/>
      <c r="D219" s="14" t="n"/>
      <c r="E219" s="14" t="n"/>
      <c r="F219" s="14" t="n"/>
      <c r="G219" s="22">
        <f>IFERROR(E219-F219,0)</f>
        <v>0.0</v>
      </c>
      <c r="H219" s="23">
        <f>IFERROR(G219/E219,0)</f>
        <v>0.0</v>
      </c>
      <c r="I219" s="24" t="n"/>
      <c r="J219" s="25">
        <f>IFERROR(G219*I219,0)</f>
        <v>0.0</v>
      </c>
      <c r="K219" s="16" t="n"/>
      <c r="L219" s="16" t="n"/>
    </row>
    <row r="220">
      <c r="A220" s="21" t="n"/>
      <c r="B220" s="16" t="n"/>
      <c r="C220" s="17" t="n"/>
      <c r="D220" s="14" t="n"/>
      <c r="E220" s="14" t="n"/>
      <c r="F220" s="14" t="n"/>
      <c r="G220" s="22">
        <f>IFERROR(E220-F220,0)</f>
        <v>0.0</v>
      </c>
      <c r="H220" s="23">
        <f>IFERROR(G220/E220,0)</f>
        <v>0.0</v>
      </c>
      <c r="I220" s="24" t="n"/>
      <c r="J220" s="25">
        <f>IFERROR(G220*I220,0)</f>
        <v>0.0</v>
      </c>
      <c r="K220" s="16" t="n"/>
      <c r="L220" s="16" t="n"/>
    </row>
    <row r="221">
      <c r="A221" s="21" t="n"/>
      <c r="B221" s="16" t="n"/>
      <c r="C221" s="17" t="n"/>
      <c r="D221" s="14" t="n"/>
      <c r="E221" s="14" t="n"/>
      <c r="F221" s="14" t="n"/>
      <c r="G221" s="22">
        <f>IFERROR(E221-F221,0)</f>
        <v>0.0</v>
      </c>
      <c r="H221" s="23">
        <f>IFERROR(G221/E221,0)</f>
        <v>0.0</v>
      </c>
      <c r="I221" s="24" t="n"/>
      <c r="J221" s="25">
        <f>IFERROR(G221*I221,0)</f>
        <v>0.0</v>
      </c>
      <c r="K221" s="16" t="n"/>
      <c r="L221" s="16" t="n"/>
    </row>
    <row r="222">
      <c r="A222" s="21" t="n"/>
      <c r="B222" s="16" t="n"/>
      <c r="C222" s="17" t="n"/>
      <c r="D222" s="14" t="n"/>
      <c r="E222" s="14" t="n"/>
      <c r="F222" s="14" t="n"/>
      <c r="G222" s="22">
        <f>IFERROR(E222-F222,0)</f>
        <v>0.0</v>
      </c>
      <c r="H222" s="23">
        <f>IFERROR(G222/E222,0)</f>
        <v>0.0</v>
      </c>
      <c r="I222" s="24" t="n"/>
      <c r="J222" s="25">
        <f>IFERROR(G222*I222,0)</f>
        <v>0.0</v>
      </c>
      <c r="K222" s="16" t="n"/>
      <c r="L222" s="16" t="n"/>
    </row>
    <row r="223">
      <c r="A223" s="21" t="n"/>
      <c r="B223" s="16" t="n"/>
      <c r="C223" s="17" t="n"/>
      <c r="D223" s="14" t="n"/>
      <c r="E223" s="14" t="n"/>
      <c r="F223" s="14" t="n"/>
      <c r="G223" s="22">
        <f>IFERROR(E223-F223,0)</f>
        <v>0.0</v>
      </c>
      <c r="H223" s="23">
        <f>IFERROR(G223/E223,0)</f>
        <v>0.0</v>
      </c>
      <c r="I223" s="24" t="n"/>
      <c r="J223" s="25">
        <f>IFERROR(G223*I223,0)</f>
        <v>0.0</v>
      </c>
      <c r="K223" s="16" t="n"/>
      <c r="L223" s="16" t="n"/>
    </row>
    <row r="224">
      <c r="A224" s="21" t="n"/>
      <c r="B224" s="16" t="n"/>
      <c r="C224" s="17" t="n"/>
      <c r="D224" s="14" t="n"/>
      <c r="E224" s="14" t="n"/>
      <c r="F224" s="14" t="n"/>
      <c r="G224" s="22">
        <f>IFERROR(E224-F224,0)</f>
        <v>0.0</v>
      </c>
      <c r="H224" s="23">
        <f>IFERROR(G224/E224,0)</f>
        <v>0.0</v>
      </c>
      <c r="I224" s="24" t="n"/>
      <c r="J224" s="25">
        <f>IFERROR(G224*I224,0)</f>
        <v>0.0</v>
      </c>
      <c r="K224" s="16" t="n"/>
      <c r="L224" s="16" t="n"/>
    </row>
    <row r="225">
      <c r="A225" s="21" t="n"/>
      <c r="B225" s="16" t="n"/>
      <c r="C225" s="17" t="n"/>
      <c r="D225" s="14" t="n"/>
      <c r="E225" s="14" t="n"/>
      <c r="F225" s="14" t="n"/>
      <c r="G225" s="22">
        <f>IFERROR(E225-F225,0)</f>
        <v>0.0</v>
      </c>
      <c r="H225" s="23">
        <f>IFERROR(G225/E225,0)</f>
        <v>0.0</v>
      </c>
      <c r="I225" s="24" t="n"/>
      <c r="J225" s="25">
        <f>IFERROR(G225*I225,0)</f>
        <v>0.0</v>
      </c>
      <c r="K225" s="16" t="n"/>
      <c r="L225" s="16" t="n"/>
    </row>
    <row r="226">
      <c r="A226" s="21" t="n"/>
      <c r="B226" s="16" t="n"/>
      <c r="C226" s="17" t="n"/>
      <c r="D226" s="14" t="n"/>
      <c r="E226" s="14" t="n"/>
      <c r="F226" s="14" t="n"/>
      <c r="G226" s="22">
        <f>IFERROR(E226-F226,0)</f>
        <v>0.0</v>
      </c>
      <c r="H226" s="23">
        <f>IFERROR(G226/E226,0)</f>
        <v>0.0</v>
      </c>
      <c r="I226" s="24" t="n"/>
      <c r="J226" s="25">
        <f>IFERROR(G226*I226,0)</f>
        <v>0.0</v>
      </c>
      <c r="K226" s="16" t="n"/>
      <c r="L226" s="16" t="n"/>
    </row>
    <row r="227">
      <c r="A227" s="21" t="n"/>
      <c r="B227" s="16" t="n"/>
      <c r="C227" s="17" t="n"/>
      <c r="D227" s="14" t="n"/>
      <c r="E227" s="14" t="n"/>
      <c r="F227" s="14" t="n"/>
      <c r="G227" s="22">
        <f>IFERROR(E227-F227,0)</f>
        <v>0.0</v>
      </c>
      <c r="H227" s="23">
        <f>IFERROR(G227/E227,0)</f>
        <v>0.0</v>
      </c>
      <c r="I227" s="24" t="n"/>
      <c r="J227" s="25">
        <f>IFERROR(G227*I227,0)</f>
        <v>0.0</v>
      </c>
      <c r="K227" s="16" t="n"/>
      <c r="L227" s="16" t="n"/>
    </row>
    <row r="228">
      <c r="A228" s="21" t="n"/>
      <c r="B228" s="16" t="n"/>
      <c r="C228" s="17" t="n"/>
      <c r="D228" s="14" t="n"/>
      <c r="E228" s="14" t="n"/>
      <c r="F228" s="14" t="n"/>
      <c r="G228" s="22">
        <f>IFERROR(E228-F228,0)</f>
        <v>0.0</v>
      </c>
      <c r="H228" s="23">
        <f>IFERROR(G228/E228,0)</f>
        <v>0.0</v>
      </c>
      <c r="I228" s="24" t="n"/>
      <c r="J228" s="25">
        <f>IFERROR(G228*I228,0)</f>
        <v>0.0</v>
      </c>
      <c r="K228" s="16" t="n"/>
      <c r="L228" s="16" t="n"/>
    </row>
    <row r="229">
      <c r="A229" s="21" t="n"/>
      <c r="B229" s="16" t="n"/>
      <c r="C229" s="17" t="n"/>
      <c r="D229" s="14" t="n"/>
      <c r="E229" s="14" t="n"/>
      <c r="F229" s="14" t="n"/>
      <c r="G229" s="22">
        <f>IFERROR(E229-F229,0)</f>
        <v>0.0</v>
      </c>
      <c r="H229" s="23">
        <f>IFERROR(G229/E229,0)</f>
        <v>0.0</v>
      </c>
      <c r="I229" s="24" t="n"/>
      <c r="J229" s="25">
        <f>IFERROR(G229*I229,0)</f>
        <v>0.0</v>
      </c>
      <c r="K229" s="16" t="n"/>
      <c r="L229" s="16" t="n"/>
    </row>
    <row r="230">
      <c r="A230" s="21" t="n"/>
      <c r="B230" s="16" t="n"/>
      <c r="C230" s="17" t="n"/>
      <c r="D230" s="14" t="n"/>
      <c r="E230" s="14" t="n"/>
      <c r="F230" s="14" t="n"/>
      <c r="G230" s="22">
        <f>IFERROR(E230-F230,0)</f>
        <v>0.0</v>
      </c>
      <c r="H230" s="23">
        <f>IFERROR(G230/E230,0)</f>
        <v>0.0</v>
      </c>
      <c r="I230" s="24" t="n"/>
      <c r="J230" s="25">
        <f>IFERROR(G230*I230,0)</f>
        <v>0.0</v>
      </c>
      <c r="K230" s="16" t="n"/>
      <c r="L230" s="16" t="n"/>
    </row>
    <row r="231">
      <c r="A231" s="21" t="n"/>
      <c r="B231" s="16" t="n"/>
      <c r="C231" s="17" t="n"/>
      <c r="D231" s="14" t="n"/>
      <c r="E231" s="14" t="n"/>
      <c r="F231" s="14" t="n"/>
      <c r="G231" s="22">
        <f>IFERROR(E231-F231,0)</f>
        <v>0.0</v>
      </c>
      <c r="H231" s="23">
        <f>IFERROR(G231/E231,0)</f>
        <v>0.0</v>
      </c>
      <c r="I231" s="24" t="n"/>
      <c r="J231" s="25">
        <f>IFERROR(G231*I231,0)</f>
        <v>0.0</v>
      </c>
      <c r="K231" s="16" t="n"/>
      <c r="L231" s="16" t="n"/>
    </row>
    <row r="232">
      <c r="A232" s="21" t="n"/>
      <c r="B232" s="16" t="n"/>
      <c r="C232" s="17" t="n"/>
      <c r="D232" s="14" t="n"/>
      <c r="E232" s="14" t="n"/>
      <c r="F232" s="14" t="n"/>
      <c r="G232" s="22">
        <f>IFERROR(E232-F232,0)</f>
        <v>0.0</v>
      </c>
      <c r="H232" s="23">
        <f>IFERROR(G232/E232,0)</f>
        <v>0.0</v>
      </c>
      <c r="I232" s="24" t="n"/>
      <c r="J232" s="25">
        <f>IFERROR(G232*I232,0)</f>
        <v>0.0</v>
      </c>
      <c r="K232" s="16" t="n"/>
      <c r="L232" s="16" t="n"/>
    </row>
    <row r="233">
      <c r="A233" s="21" t="n"/>
      <c r="B233" s="16" t="n"/>
      <c r="C233" s="17" t="n"/>
      <c r="D233" s="14" t="n"/>
      <c r="E233" s="14" t="n"/>
      <c r="F233" s="14" t="n"/>
      <c r="G233" s="22">
        <f>IFERROR(E233-F233,0)</f>
        <v>0.0</v>
      </c>
      <c r="H233" s="23">
        <f>IFERROR(G233/E233,0)</f>
        <v>0.0</v>
      </c>
      <c r="I233" s="24" t="n"/>
      <c r="J233" s="25">
        <f>IFERROR(G233*I233,0)</f>
        <v>0.0</v>
      </c>
      <c r="K233" s="16" t="n"/>
      <c r="L233" s="16" t="n"/>
    </row>
    <row r="234">
      <c r="A234" s="21" t="n"/>
      <c r="B234" s="16" t="n"/>
      <c r="C234" s="17" t="n"/>
      <c r="D234" s="14" t="n"/>
      <c r="E234" s="14" t="n"/>
      <c r="F234" s="14" t="n"/>
      <c r="G234" s="22">
        <f>IFERROR(E234-F234,0)</f>
        <v>0.0</v>
      </c>
      <c r="H234" s="23">
        <f>IFERROR(G234/E234,0)</f>
        <v>0.0</v>
      </c>
      <c r="I234" s="24" t="n"/>
      <c r="J234" s="25">
        <f>IFERROR(G234*I234,0)</f>
        <v>0.0</v>
      </c>
      <c r="K234" s="16" t="n"/>
      <c r="L234" s="16" t="n"/>
    </row>
    <row r="235">
      <c r="A235" s="21" t="n"/>
      <c r="B235" s="16" t="n"/>
      <c r="C235" s="17" t="n"/>
      <c r="D235" s="14" t="n"/>
      <c r="E235" s="14" t="n"/>
      <c r="F235" s="14" t="n"/>
      <c r="G235" s="22">
        <f>IFERROR(E235-F235,0)</f>
        <v>0.0</v>
      </c>
      <c r="H235" s="23">
        <f>IFERROR(G235/E235,0)</f>
        <v>0.0</v>
      </c>
      <c r="I235" s="24" t="n"/>
      <c r="J235" s="25">
        <f>IFERROR(G235*I235,0)</f>
        <v>0.0</v>
      </c>
      <c r="K235" s="16" t="n"/>
      <c r="L235" s="16" t="n"/>
    </row>
    <row r="236">
      <c r="A236" s="21" t="n"/>
      <c r="B236" s="16" t="n"/>
      <c r="C236" s="17" t="n"/>
      <c r="D236" s="14" t="n"/>
      <c r="E236" s="14" t="n"/>
      <c r="F236" s="14" t="n"/>
      <c r="G236" s="22">
        <f>IFERROR(E236-F236,0)</f>
        <v>0.0</v>
      </c>
      <c r="H236" s="23">
        <f>IFERROR(G236/E236,0)</f>
        <v>0.0</v>
      </c>
      <c r="I236" s="24" t="n"/>
      <c r="J236" s="25">
        <f>IFERROR(G236*I236,0)</f>
        <v>0.0</v>
      </c>
      <c r="K236" s="16" t="n"/>
      <c r="L236" s="16" t="n"/>
    </row>
    <row r="237">
      <c r="A237" s="21" t="n"/>
      <c r="B237" s="16" t="n"/>
      <c r="C237" s="17" t="n"/>
      <c r="D237" s="14" t="n"/>
      <c r="E237" s="14" t="n"/>
      <c r="F237" s="14" t="n"/>
      <c r="G237" s="22">
        <f>IFERROR(E237-F237,0)</f>
        <v>0.0</v>
      </c>
      <c r="H237" s="23">
        <f>IFERROR(G237/E237,0)</f>
        <v>0.0</v>
      </c>
      <c r="I237" s="24" t="n"/>
      <c r="J237" s="25">
        <f>IFERROR(G237*I237,0)</f>
        <v>0.0</v>
      </c>
      <c r="K237" s="16" t="n"/>
      <c r="L237" s="16" t="n"/>
    </row>
    <row r="238">
      <c r="A238" s="21" t="n"/>
      <c r="B238" s="16" t="n"/>
      <c r="C238" s="17" t="n"/>
      <c r="D238" s="14" t="n"/>
      <c r="E238" s="14" t="n"/>
      <c r="F238" s="14" t="n"/>
      <c r="G238" s="22">
        <f>IFERROR(E238-F238,0)</f>
        <v>0.0</v>
      </c>
      <c r="H238" s="23">
        <f>IFERROR(G238/E238,0)</f>
        <v>0.0</v>
      </c>
      <c r="I238" s="24" t="n"/>
      <c r="J238" s="25">
        <f>IFERROR(G238*I238,0)</f>
        <v>0.0</v>
      </c>
      <c r="K238" s="16" t="n"/>
      <c r="L238" s="16" t="n"/>
    </row>
    <row r="239">
      <c r="A239" s="21" t="n"/>
      <c r="B239" s="16" t="n"/>
      <c r="C239" s="17" t="n"/>
      <c r="D239" s="14" t="n"/>
      <c r="E239" s="14" t="n"/>
      <c r="F239" s="14" t="n"/>
      <c r="G239" s="22">
        <f>IFERROR(E239-F239,0)</f>
        <v>0.0</v>
      </c>
      <c r="H239" s="23">
        <f>IFERROR(G239/E239,0)</f>
        <v>0.0</v>
      </c>
      <c r="I239" s="24" t="n"/>
      <c r="J239" s="25">
        <f>IFERROR(G239*I239,0)</f>
        <v>0.0</v>
      </c>
      <c r="K239" s="16" t="n"/>
      <c r="L239" s="16" t="n"/>
    </row>
    <row r="240">
      <c r="A240" s="21" t="n"/>
      <c r="B240" s="16" t="n"/>
      <c r="C240" s="17" t="n"/>
      <c r="D240" s="14" t="n"/>
      <c r="E240" s="14" t="n"/>
      <c r="F240" s="14" t="n"/>
      <c r="G240" s="22">
        <f>IFERROR(E240-F240,0)</f>
        <v>0.0</v>
      </c>
      <c r="H240" s="23">
        <f>IFERROR(G240/E240,0)</f>
        <v>0.0</v>
      </c>
      <c r="I240" s="24" t="n"/>
      <c r="J240" s="25">
        <f>IFERROR(G240*I240,0)</f>
        <v>0.0</v>
      </c>
      <c r="K240" s="16" t="n"/>
      <c r="L240" s="16" t="n"/>
    </row>
    <row r="241">
      <c r="A241" s="21" t="n"/>
      <c r="B241" s="16" t="n"/>
      <c r="C241" s="17" t="n"/>
      <c r="D241" s="14" t="n"/>
      <c r="E241" s="14" t="n"/>
      <c r="F241" s="14" t="n"/>
      <c r="G241" s="22">
        <f>IFERROR(E241-F241,0)</f>
        <v>0.0</v>
      </c>
      <c r="H241" s="23">
        <f>IFERROR(G241/E241,0)</f>
        <v>0.0</v>
      </c>
      <c r="I241" s="24" t="n"/>
      <c r="J241" s="25">
        <f>IFERROR(G241*I241,0)</f>
        <v>0.0</v>
      </c>
      <c r="K241" s="16" t="n"/>
      <c r="L241" s="16" t="n"/>
    </row>
    <row r="242">
      <c r="A242" s="21" t="n"/>
      <c r="B242" s="16" t="n"/>
      <c r="C242" s="17" t="n"/>
      <c r="D242" s="14" t="n"/>
      <c r="E242" s="14" t="n"/>
      <c r="F242" s="14" t="n"/>
      <c r="G242" s="22">
        <f>IFERROR(E242-F242,0)</f>
        <v>0.0</v>
      </c>
      <c r="H242" s="23">
        <f>IFERROR(G242/E242,0)</f>
        <v>0.0</v>
      </c>
      <c r="I242" s="24" t="n"/>
      <c r="J242" s="25">
        <f>IFERROR(G242*I242,0)</f>
        <v>0.0</v>
      </c>
      <c r="K242" s="16" t="n"/>
      <c r="L242" s="16" t="n"/>
    </row>
    <row r="243">
      <c r="A243" s="21" t="n"/>
      <c r="B243" s="16" t="n"/>
      <c r="C243" s="17" t="n"/>
      <c r="D243" s="14" t="n"/>
      <c r="E243" s="14" t="n"/>
      <c r="F243" s="14" t="n"/>
      <c r="G243" s="22">
        <f>IFERROR(E243-F243,0)</f>
        <v>0.0</v>
      </c>
      <c r="H243" s="23">
        <f>IFERROR(G243/E243,0)</f>
        <v>0.0</v>
      </c>
      <c r="I243" s="24" t="n"/>
      <c r="J243" s="25">
        <f>IFERROR(G243*I243,0)</f>
        <v>0.0</v>
      </c>
      <c r="K243" s="16" t="n"/>
      <c r="L243" s="16" t="n"/>
    </row>
    <row r="244">
      <c r="A244" s="21" t="n"/>
      <c r="B244" s="16" t="n"/>
      <c r="C244" s="17" t="n"/>
      <c r="D244" s="14" t="n"/>
      <c r="E244" s="14" t="n"/>
      <c r="F244" s="14" t="n"/>
      <c r="G244" s="22">
        <f>IFERROR(E244-F244,0)</f>
        <v>0.0</v>
      </c>
      <c r="H244" s="23">
        <f>IFERROR(G244/E244,0)</f>
        <v>0.0</v>
      </c>
      <c r="I244" s="24" t="n"/>
      <c r="J244" s="25">
        <f>IFERROR(G244*I244,0)</f>
        <v>0.0</v>
      </c>
      <c r="K244" s="16" t="n"/>
      <c r="L244" s="16" t="n"/>
    </row>
    <row r="245">
      <c r="A245" s="21" t="n"/>
      <c r="B245" s="16" t="n"/>
      <c r="C245" s="17" t="n"/>
      <c r="D245" s="14" t="n"/>
      <c r="E245" s="14" t="n"/>
      <c r="F245" s="14" t="n"/>
      <c r="G245" s="22">
        <f>IFERROR(E245-F245,0)</f>
        <v>0.0</v>
      </c>
      <c r="H245" s="23">
        <f>IFERROR(G245/E245,0)</f>
        <v>0.0</v>
      </c>
      <c r="I245" s="24" t="n"/>
      <c r="J245" s="25">
        <f>IFERROR(G245*I245,0)</f>
        <v>0.0</v>
      </c>
      <c r="K245" s="16" t="n"/>
      <c r="L245" s="16" t="n"/>
    </row>
    <row r="246">
      <c r="A246" s="21" t="n"/>
      <c r="B246" s="16" t="n"/>
      <c r="C246" s="17" t="n"/>
      <c r="D246" s="14" t="n"/>
      <c r="E246" s="14" t="n"/>
      <c r="F246" s="14" t="n"/>
      <c r="G246" s="22">
        <f>IFERROR(E246-F246,0)</f>
        <v>0.0</v>
      </c>
      <c r="H246" s="23">
        <f>IFERROR(G246/E246,0)</f>
        <v>0.0</v>
      </c>
      <c r="I246" s="24" t="n"/>
      <c r="J246" s="25">
        <f>IFERROR(G246*I246,0)</f>
        <v>0.0</v>
      </c>
      <c r="K246" s="16" t="n"/>
      <c r="L246" s="16" t="n"/>
    </row>
    <row r="247">
      <c r="A247" s="21" t="n"/>
      <c r="B247" s="16" t="n"/>
      <c r="C247" s="17" t="n"/>
      <c r="D247" s="14" t="n"/>
      <c r="E247" s="14" t="n"/>
      <c r="F247" s="14" t="n"/>
      <c r="G247" s="22">
        <f>IFERROR(E247-F247,0)</f>
        <v>0.0</v>
      </c>
      <c r="H247" s="23">
        <f>IFERROR(G247/E247,0)</f>
        <v>0.0</v>
      </c>
      <c r="I247" s="24" t="n"/>
      <c r="J247" s="25">
        <f>IFERROR(G247*I247,0)</f>
        <v>0.0</v>
      </c>
      <c r="K247" s="16" t="n"/>
      <c r="L247" s="16" t="n"/>
    </row>
    <row r="248">
      <c r="A248" s="21" t="n"/>
      <c r="B248" s="16" t="n"/>
      <c r="C248" s="17" t="n"/>
      <c r="D248" s="14" t="n"/>
      <c r="E248" s="14" t="n"/>
      <c r="F248" s="14" t="n"/>
      <c r="G248" s="22">
        <f>IFERROR(E248-F248,0)</f>
        <v>0.0</v>
      </c>
      <c r="H248" s="23">
        <f>IFERROR(G248/E248,0)</f>
        <v>0.0</v>
      </c>
      <c r="I248" s="24" t="n"/>
      <c r="J248" s="25">
        <f>IFERROR(G248*I248,0)</f>
        <v>0.0</v>
      </c>
      <c r="K248" s="16" t="n"/>
      <c r="L248" s="16" t="n"/>
    </row>
    <row r="249">
      <c r="A249" s="21" t="n"/>
      <c r="B249" s="16" t="n"/>
      <c r="C249" s="17" t="n"/>
      <c r="D249" s="14" t="n"/>
      <c r="E249" s="14" t="n"/>
      <c r="F249" s="14" t="n"/>
      <c r="G249" s="22">
        <f>IFERROR(E249-F249,0)</f>
        <v>0.0</v>
      </c>
      <c r="H249" s="23">
        <f>IFERROR(G249/E249,0)</f>
        <v>0.0</v>
      </c>
      <c r="I249" s="24" t="n"/>
      <c r="J249" s="25">
        <f>IFERROR(G249*I249,0)</f>
        <v>0.0</v>
      </c>
      <c r="K249" s="16" t="n"/>
      <c r="L249" s="16" t="n"/>
    </row>
    <row r="250">
      <c r="A250" s="21" t="n"/>
      <c r="B250" s="16" t="n"/>
      <c r="C250" s="17" t="n"/>
      <c r="D250" s="14" t="n"/>
      <c r="E250" s="14" t="n"/>
      <c r="F250" s="14" t="n"/>
      <c r="G250" s="22">
        <f>IFERROR(E250-F250,0)</f>
        <v>0.0</v>
      </c>
      <c r="H250" s="23">
        <f>IFERROR(G250/E250,0)</f>
        <v>0.0</v>
      </c>
      <c r="I250" s="24" t="n"/>
      <c r="J250" s="25">
        <f>IFERROR(G250*I250,0)</f>
        <v>0.0</v>
      </c>
      <c r="K250" s="16" t="n"/>
      <c r="L250" s="16" t="n"/>
    </row>
    <row r="251">
      <c r="A251" s="21" t="n"/>
      <c r="B251" s="16" t="n"/>
      <c r="C251" s="17" t="n"/>
      <c r="D251" s="14" t="n"/>
      <c r="E251" s="14" t="n"/>
      <c r="F251" s="14" t="n"/>
      <c r="G251" s="22">
        <f>IFERROR(E251-F251,0)</f>
        <v>0.0</v>
      </c>
      <c r="H251" s="23">
        <f>IFERROR(G251/E251,0)</f>
        <v>0.0</v>
      </c>
      <c r="I251" s="24" t="n"/>
      <c r="J251" s="25">
        <f>IFERROR(G251*I251,0)</f>
        <v>0.0</v>
      </c>
      <c r="K251" s="16" t="n"/>
      <c r="L251" s="16" t="n"/>
    </row>
    <row r="252">
      <c r="A252" s="21" t="n"/>
      <c r="B252" s="16" t="n"/>
      <c r="C252" s="17" t="n"/>
      <c r="D252" s="14" t="n"/>
      <c r="E252" s="14" t="n"/>
      <c r="F252" s="14" t="n"/>
      <c r="G252" s="22">
        <f>IFERROR(E252-F252,0)</f>
        <v>0.0</v>
      </c>
      <c r="H252" s="23">
        <f>IFERROR(G252/E252,0)</f>
        <v>0.0</v>
      </c>
      <c r="I252" s="24" t="n"/>
      <c r="J252" s="25">
        <f>IFERROR(G252*I252,0)</f>
        <v>0.0</v>
      </c>
      <c r="K252" s="16" t="n"/>
      <c r="L252" s="16" t="n"/>
    </row>
    <row r="253">
      <c r="A253" s="21" t="n"/>
      <c r="B253" s="16" t="n"/>
      <c r="C253" s="17" t="n"/>
      <c r="D253" s="14" t="n"/>
      <c r="E253" s="14" t="n"/>
      <c r="F253" s="14" t="n"/>
      <c r="G253" s="22">
        <f>IFERROR(E253-F253,0)</f>
        <v>0.0</v>
      </c>
      <c r="H253" s="23">
        <f>IFERROR(G253/E253,0)</f>
        <v>0.0</v>
      </c>
      <c r="I253" s="24" t="n"/>
      <c r="J253" s="25">
        <f>IFERROR(G253*I253,0)</f>
        <v>0.0</v>
      </c>
      <c r="K253" s="16" t="n"/>
      <c r="L253" s="16" t="n"/>
    </row>
    <row r="254">
      <c r="A254" s="21" t="n"/>
      <c r="B254" s="16" t="n"/>
      <c r="C254" s="17" t="n"/>
      <c r="D254" s="14" t="n"/>
      <c r="E254" s="14" t="n"/>
      <c r="F254" s="14" t="n"/>
      <c r="G254" s="22">
        <f>IFERROR(E254-F254,0)</f>
        <v>0.0</v>
      </c>
      <c r="H254" s="23">
        <f>IFERROR(G254/E254,0)</f>
        <v>0.0</v>
      </c>
      <c r="I254" s="24" t="n"/>
      <c r="J254" s="25">
        <f>IFERROR(G254*I254,0)</f>
        <v>0.0</v>
      </c>
      <c r="K254" s="16" t="n"/>
      <c r="L254" s="16" t="n"/>
    </row>
    <row r="255">
      <c r="A255" s="18" t="inlineStr">
        <is>
          <t>TOTALES</t>
        </is>
      </c>
      <c r="B255" s="19" t="n"/>
      <c r="C255" s="19" t="n"/>
      <c r="D255" s="20">
        <f>SUM(D5:D254)</f>
        <v>0.0</v>
      </c>
      <c r="E255" s="20">
        <f>SUM(E5:E254)</f>
        <v>0.0</v>
      </c>
      <c r="F255" s="20">
        <f>SUM(F5:F254)</f>
        <v>0.0</v>
      </c>
      <c r="G255" s="20">
        <f>SUM(G5:G254)</f>
        <v>0.0</v>
      </c>
      <c r="H255" s="26">
        <f>IFERROR(G255/E255,0)</f>
        <v>0.0</v>
      </c>
      <c r="I255" s="19" t="n"/>
      <c r="J255" s="27">
        <f>SUM(J5:J254)</f>
        <v>0.0</v>
      </c>
      <c r="K255" s="19" t="n"/>
      <c r="L255" s="19" t="n"/>
    </row>
    <row r="256"/>
    <row r="257">
      <c r="A257" s="28" t="inlineStr">
        <is>
          <t>Criterio APPCC: el producto que ha estado expuesto en vitrina NO se congela para venderlo después. Solo se congela producto del día que no ha salido a la venta y que se abate antes de bajar de −18 °C. Si vendes un producto que ha sido congelado, tienes que informar de que está descongelado. Prioriza la donación sobre el desecho: revisa el plan de prevención de pérdidas y desperdicio alimentario que te aplique antes de dar salida al sobrante.</t>
        </is>
      </c>
      <c r="B257" s="39" t="n"/>
      <c r="C257" s="39" t="n"/>
      <c r="D257" s="39" t="n"/>
      <c r="E257" s="39" t="n"/>
      <c r="F257" s="39" t="n"/>
      <c r="G257" s="39" t="n"/>
      <c r="H257" s="39" t="n"/>
      <c r="I257" s="39" t="n"/>
      <c r="J257" s="39" t="n"/>
      <c r="K257" s="39" t="n"/>
      <c r="L257" s="40" t="n"/>
    </row>
    <row r="258">
      <c r="A258" s="41" t="n"/>
      <c r="L258" s="42" t="n"/>
    </row>
    <row r="259">
      <c r="A259" s="43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5" t="n"/>
    </row>
    <row r="260"/>
    <row r="261">
      <c r="A261" s="6" t="inlineStr">
        <is>
          <t>— Kit de Tareas Recurrentes · Pastelería / Obrador · AI Chef Pro · aichef.pro</t>
        </is>
      </c>
    </row>
  </sheetData>
  <mergeCells count="3">
    <mergeCell ref="A1:L1"/>
    <mergeCell ref="A257:L259"/>
    <mergeCell ref="A2:L2"/>
  </mergeCells>
  <conditionalFormatting sqref="H5:H254">
    <cfRule type="expression" priority="1" dxfId="0">
      <formula>AND($E5&gt;0,$H5&gt;0.1)</formula>
    </cfRule>
    <cfRule type="expression" priority="2" dxfId="1">
      <formula>AND($E5&gt;0,$H5&gt;=0.05,$H5&lt;=0.1)</formula>
    </cfRule>
    <cfRule type="expression" priority="3" dxfId="2">
      <formula>AND($E5&gt;0,$H5&lt;0.05)</formula>
    </cfRule>
  </conditionalFormatting>
  <dataValidations count="2">
    <dataValidation sqref="K5:K254" showDropDown="0" showInputMessage="0" showErrorMessage="0" allowBlank="1" type="list">
      <formula1>"Vender −30 % última hora,Congelar (SOLO producto no expuesto del día y abatido antes de −18 °C),Reprocesar (SOLO producto seco de menos de 24 h; registrar lote destino),Donar,Desechar"</formula1>
    </dataValidation>
    <dataValidation sqref="C5:C254" showDropDown="0" showInputMessage="0" showErrorMessage="0" allowBlank="1" type="list">
      <formula1>"Bollería,Pastelería,Pan,Salado,Bizcochería"</formula1>
    </dataValidation>
  </dataValidations>
  <printOptions horizontalCentered="1"/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34" customWidth="1" min="7" max="7"/>
  </cols>
  <sheetData>
    <row r="1" ht="22" customHeight="1">
      <c r="A1" s="7" t="inlineStr">
        <is>
          <t>Resumen Semanal por Partida</t>
        </is>
      </c>
    </row>
    <row r="2" ht="15" customHeight="1">
      <c r="A2" s="8" t="inlineStr">
        <is>
          <t>Se calcula solo a partir de la hoja Producido vs Vendido</t>
        </is>
      </c>
    </row>
    <row r="3"/>
    <row r="4">
      <c r="A4" s="9" t="inlineStr">
        <is>
          <t>Partida</t>
        </is>
      </c>
      <c r="B4" s="9" t="inlineStr">
        <is>
          <t>Producido</t>
        </is>
      </c>
      <c r="C4" s="9" t="inlineStr">
        <is>
          <t>Vendido</t>
        </is>
      </c>
      <c r="D4" s="9" t="inlineStr">
        <is>
          <t>Sobrante</t>
        </is>
      </c>
      <c r="E4" s="9" t="inlineStr">
        <is>
          <t>Merma %</t>
        </is>
      </c>
      <c r="F4" s="9" t="inlineStr">
        <is>
          <t>Coste merma (€)</t>
        </is>
      </c>
      <c r="G4" s="9" t="inlineStr">
        <is>
          <t>Lectura</t>
        </is>
      </c>
    </row>
    <row r="5">
      <c r="A5" s="29" t="inlineStr">
        <is>
          <t>Bollería</t>
        </is>
      </c>
      <c r="B5" s="22">
        <f>SUMIF('Producido vs Vendido'!$C$5:$C$254,$A5,'Producido vs Vendido'!$E$5:$E$254)</f>
        <v>0.0</v>
      </c>
      <c r="C5" s="22">
        <f>SUMIF('Producido vs Vendido'!$C$5:$C$254,$A5,'Producido vs Vendido'!$F$5:$F$254)</f>
        <v>0.0</v>
      </c>
      <c r="D5" s="22">
        <f>SUMIF('Producido vs Vendido'!$C$5:$C$254,$A5,'Producido vs Vendido'!$G$5:$G$254)</f>
        <v>0.0</v>
      </c>
      <c r="E5" s="23">
        <f>IFERROR(D5/B5,0)</f>
        <v>0.0</v>
      </c>
      <c r="F5" s="25">
        <f>SUMIF('Producido vs Vendido'!$C$5:$C$254,$A5,'Producido vs Vendido'!$J$5:$J$254)</f>
        <v>0.0</v>
      </c>
      <c r="G5" s="30" t="str">
        <f>IF(E5&lt;=$B$13,"OK","Revisar")</f>
        <v>OK</v>
      </c>
    </row>
    <row r="6">
      <c r="A6" s="29" t="inlineStr">
        <is>
          <t>Pastelería</t>
        </is>
      </c>
      <c r="B6" s="22">
        <f>SUMIF('Producido vs Vendido'!$C$5:$C$254,$A6,'Producido vs Vendido'!$E$5:$E$254)</f>
        <v>0.0</v>
      </c>
      <c r="C6" s="22">
        <f>SUMIF('Producido vs Vendido'!$C$5:$C$254,$A6,'Producido vs Vendido'!$F$5:$F$254)</f>
        <v>0.0</v>
      </c>
      <c r="D6" s="22">
        <f>SUMIF('Producido vs Vendido'!$C$5:$C$254,$A6,'Producido vs Vendido'!$G$5:$G$254)</f>
        <v>0.0</v>
      </c>
      <c r="E6" s="23">
        <f>IFERROR(D6/B6,0)</f>
        <v>0.0</v>
      </c>
      <c r="F6" s="25">
        <f>SUMIF('Producido vs Vendido'!$C$5:$C$254,$A6,'Producido vs Vendido'!$J$5:$J$254)</f>
        <v>0.0</v>
      </c>
      <c r="G6" s="30" t="str">
        <f>IF(E6&lt;=$B$13,"OK","Revisar")</f>
        <v>OK</v>
      </c>
    </row>
    <row r="7">
      <c r="A7" s="29" t="inlineStr">
        <is>
          <t>Pan</t>
        </is>
      </c>
      <c r="B7" s="22">
        <f>SUMIF('Producido vs Vendido'!$C$5:$C$254,$A7,'Producido vs Vendido'!$E$5:$E$254)</f>
        <v>0.0</v>
      </c>
      <c r="C7" s="22">
        <f>SUMIF('Producido vs Vendido'!$C$5:$C$254,$A7,'Producido vs Vendido'!$F$5:$F$254)</f>
        <v>0.0</v>
      </c>
      <c r="D7" s="22">
        <f>SUMIF('Producido vs Vendido'!$C$5:$C$254,$A7,'Producido vs Vendido'!$G$5:$G$254)</f>
        <v>0.0</v>
      </c>
      <c r="E7" s="23">
        <f>IFERROR(D7/B7,0)</f>
        <v>0.0</v>
      </c>
      <c r="F7" s="25">
        <f>SUMIF('Producido vs Vendido'!$C$5:$C$254,$A7,'Producido vs Vendido'!$J$5:$J$254)</f>
        <v>0.0</v>
      </c>
      <c r="G7" s="30" t="str">
        <f>IF(E7&lt;=$B$13,"OK","Revisar")</f>
        <v>OK</v>
      </c>
    </row>
    <row r="8">
      <c r="A8" s="29" t="inlineStr">
        <is>
          <t>Salado</t>
        </is>
      </c>
      <c r="B8" s="22">
        <f>SUMIF('Producido vs Vendido'!$C$5:$C$254,$A8,'Producido vs Vendido'!$E$5:$E$254)</f>
        <v>0.0</v>
      </c>
      <c r="C8" s="22">
        <f>SUMIF('Producido vs Vendido'!$C$5:$C$254,$A8,'Producido vs Vendido'!$F$5:$F$254)</f>
        <v>0.0</v>
      </c>
      <c r="D8" s="22">
        <f>SUMIF('Producido vs Vendido'!$C$5:$C$254,$A8,'Producido vs Vendido'!$G$5:$G$254)</f>
        <v>0.0</v>
      </c>
      <c r="E8" s="23">
        <f>IFERROR(D8/B8,0)</f>
        <v>0.0</v>
      </c>
      <c r="F8" s="25">
        <f>SUMIF('Producido vs Vendido'!$C$5:$C$254,$A8,'Producido vs Vendido'!$J$5:$J$254)</f>
        <v>0.0</v>
      </c>
      <c r="G8" s="30" t="str">
        <f>IF(E8&lt;=$B$13,"OK","Revisar")</f>
        <v>OK</v>
      </c>
    </row>
    <row r="9">
      <c r="A9" s="29" t="inlineStr">
        <is>
          <t>Bizcochería</t>
        </is>
      </c>
      <c r="B9" s="22">
        <f>SUMIF('Producido vs Vendido'!$C$5:$C$254,$A9,'Producido vs Vendido'!$E$5:$E$254)</f>
        <v>0.0</v>
      </c>
      <c r="C9" s="22">
        <f>SUMIF('Producido vs Vendido'!$C$5:$C$254,$A9,'Producido vs Vendido'!$F$5:$F$254)</f>
        <v>0.0</v>
      </c>
      <c r="D9" s="22">
        <f>SUMIF('Producido vs Vendido'!$C$5:$C$254,$A9,'Producido vs Vendido'!$G$5:$G$254)</f>
        <v>0.0</v>
      </c>
      <c r="E9" s="23">
        <f>IFERROR(D9/B9,0)</f>
        <v>0.0</v>
      </c>
      <c r="F9" s="25">
        <f>SUMIF('Producido vs Vendido'!$C$5:$C$254,$A9,'Producido vs Vendido'!$J$5:$J$254)</f>
        <v>0.0</v>
      </c>
      <c r="G9" s="30" t="str">
        <f>IF(E9&lt;=$B$13,"OK","Revisar")</f>
        <v>OK</v>
      </c>
    </row>
    <row r="10">
      <c r="A10" s="18" t="inlineStr">
        <is>
          <t>TOTAL</t>
        </is>
      </c>
      <c r="B10" s="20">
        <f>SUM(B5:B9)</f>
        <v>0.0</v>
      </c>
      <c r="C10" s="20">
        <f>SUM(C5:C9)</f>
        <v>0.0</v>
      </c>
      <c r="D10" s="20">
        <f>SUM(D5:D9)</f>
        <v>0.0</v>
      </c>
      <c r="E10" s="26">
        <f>IFERROR(D10/B10,0)</f>
        <v>0.0</v>
      </c>
      <c r="F10" s="27">
        <f>SUM(F5:F9)</f>
        <v>0.0</v>
      </c>
      <c r="G10" s="31" t="str">
        <f>IF(E10&lt;=$B$13,"OK","Revisar")</f>
        <v>OK</v>
      </c>
    </row>
    <row r="11"/>
    <row r="12" ht="15.8" customHeight="1">
      <c r="A12" s="32" t="inlineStr">
        <is>
          <t xml:space="preserve">  Objetivo de Merma</t>
        </is>
      </c>
      <c r="B12" s="37" t="n"/>
      <c r="C12" s="37" t="n"/>
      <c r="D12" s="37" t="n"/>
      <c r="E12" s="37" t="n"/>
      <c r="F12" s="37" t="n"/>
      <c r="G12" s="38" t="n"/>
    </row>
    <row r="13">
      <c r="A13" s="29" t="inlineStr">
        <is>
          <t>Objetivo de merma (editable)</t>
        </is>
      </c>
      <c r="B13" s="34" t="n">
        <v>0.05</v>
      </c>
      <c r="C13" s="35" t="inlineStr">
        <is>
          <t>Escribe aquí tu objetivo: la columna Lectura compara cada partida contra él.</t>
        </is>
      </c>
      <c r="D13" s="37" t="n"/>
      <c r="E13" s="37" t="n"/>
      <c r="F13" s="37" t="n"/>
      <c r="G13" s="38" t="n"/>
    </row>
    <row r="14">
      <c r="A14" s="29" t="inlineStr">
        <is>
          <t>Merma global de la semana</t>
        </is>
      </c>
      <c r="B14" s="36">
        <f>E10</f>
        <v>0.0</v>
      </c>
      <c r="C14" s="29" t="str">
        <f>IF(B14&lt;=B13,"Dentro del objetivo","Por encima del objetivo: revisa el plan")</f>
        <v>Dentro del objetivo</v>
      </c>
      <c r="D14" s="37" t="n"/>
      <c r="E14" s="37" t="n"/>
      <c r="F14" s="37" t="n"/>
      <c r="G14" s="38" t="n"/>
    </row>
    <row r="15"/>
    <row r="16">
      <c r="A16" s="28" t="inlineStr">
        <is>
          <t>Criterio: la merma de una pastelería artesana suele moverse entre el 3 % y el 8 % de la producción. Por encima del 10 % hay que revisar el plan de producción: casi siempre es exceso de unidades en dos o tres referencias, no un problema general.</t>
        </is>
      </c>
      <c r="B16" s="39" t="n"/>
      <c r="C16" s="39" t="n"/>
      <c r="D16" s="39" t="n"/>
      <c r="E16" s="39" t="n"/>
      <c r="F16" s="39" t="n"/>
      <c r="G16" s="40" t="n"/>
    </row>
    <row r="17">
      <c r="A17" s="43" t="n"/>
      <c r="B17" s="44" t="n"/>
      <c r="C17" s="44" t="n"/>
      <c r="D17" s="44" t="n"/>
      <c r="E17" s="44" t="n"/>
      <c r="F17" s="44" t="n"/>
      <c r="G17" s="45" t="n"/>
    </row>
    <row r="18"/>
    <row r="19">
      <c r="A19" s="6" t="inlineStr">
        <is>
          <t>— Kit de Tareas Recurrentes · Pastelería / Obrador · AI Chef Pro · aichef.pro</t>
        </is>
      </c>
    </row>
  </sheetData>
  <mergeCells count="6">
    <mergeCell ref="A12:G12"/>
    <mergeCell ref="C13:G13"/>
    <mergeCell ref="A1:G1"/>
    <mergeCell ref="C14:G14"/>
    <mergeCell ref="A2:G2"/>
    <mergeCell ref="A16:G17"/>
  </mergeCells>
  <printOptions horizontalCentered="1"/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10 — Plan de Producción Semanal + Mermas · Kit de Tareas Pastelería / Obrador</dc:title>
  <dc:description xmlns:dc="http://purl.org/dc/elements/1.1/">aichef.pro/kit-tareas-pasteleria</dc:description>
  <dc:subject xmlns:dc="http://purl.org/dc/elements/1.1/">Kit de Tareas Recurrentes · Pastelería / Obrador · v2.0</dc:subject>
  <dcterms:created xmlns:dcterms="http://purl.org/dc/terms/" xmlns:xsi="http://www.w3.org/2001/XMLSchema-instance" xsi:type="dcterms:W3CDTF">2026-08-21T00:00:00Z</dcterms:created>
  <dcterms:modified xmlns:dcterms="http://purl.org/dc/terms/" xmlns:xsi="http://www.w3.org/2001/XMLSchema-instance" xsi:type="dcterms:W3CDTF">2026-08-21T23:30:53Z</dcterms:modified>
  <cp:lastModifiedBy>AI Chef Pro</cp:lastModifiedBy>
  <cp:category>AI Chef Pro · Productos digitales</cp:category>
  <cp:keywords>pastelería, obrador, checklist, tareas, AI Chef Pro</cp:keywords>
</cp:coreProperties>
</file>