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5" fillId="7" borderId="1" applyAlignment="1" pivotButton="0" quotePrefix="0" xfId="0">
      <alignment horizontal="center" vertical="center" wrapText="1"/>
    </xf>
    <xf numFmtId="1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right" vertical="center" wrapText="1"/>
    </xf>
    <xf numFmtId="164" fontId="5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F3CD"/>
          <bgColor rgb="00FFF3CD"/>
        </patternFill>
      </fill>
    </dxf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8"/>
  <cols>
    <col width="3" customWidth="1" min="1" max="1"/>
    <col width="108" customWidth="1" min="2" max="2"/>
  </cols>
  <sheetData>
    <row r="1" ht="40" customHeight="1">
      <c r="A1" s="1" t="n"/>
    </row>
    <row r="2" ht="30" customHeight="1">
      <c r="A2" s="2" t="n"/>
      <c r="B2" s="3" t="inlineStr">
        <is>
          <t>09 — Apertura y Cierre de Caja · Pastelería / Obrador</t>
        </is>
      </c>
    </row>
    <row r="3">
      <c r="A3" s="3" t="n"/>
    </row>
    <row r="4">
      <c r="B4" s="4" t="inlineStr">
        <is>
          <t>Qué resuelve:</t>
        </is>
      </c>
    </row>
    <row r="5" ht="35" customHeight="1">
      <c r="A5" s="4" t="n"/>
      <c r="B5" s="5" t="inlineStr">
        <is>
          <t>▸ El arqueo diario de la caja de la tienda: fondo inicial, recuento por denominación y cuadre contra la Z del TPV</t>
        </is>
      </c>
    </row>
    <row r="6">
      <c r="A6" s="5" t="n"/>
      <c r="B6" s="5" t="inlineStr">
        <is>
          <t>▸ El registro mensual, para ver de un vistazo qué días descuadraron y cuánto</t>
        </is>
      </c>
    </row>
    <row r="7">
      <c r="A7" s="5" t="n"/>
    </row>
    <row r="8">
      <c r="A8" s="5" t="n"/>
      <c r="B8" s="4" t="inlineStr">
        <is>
          <t>Cómo usar:</t>
        </is>
      </c>
    </row>
    <row r="9">
      <c r="A9" s="5" t="n"/>
      <c r="B9" s="5" t="inlineStr">
        <is>
          <t>▸ Apertura de Caja: cuenta el fondo y anótalo en la celda verde «Fondo de caja inicial (€)»</t>
        </is>
      </c>
    </row>
    <row r="10">
      <c r="A10" s="5" t="n"/>
      <c r="B10" s="5" t="inlineStr">
        <is>
          <t>▸ Cierre de Caja: saca la Z del TPV, cuenta el efectivo por denominación y anota las tarjetas y los otros medios de pago</t>
        </is>
      </c>
    </row>
    <row r="11">
      <c r="A11" s="5" t="n"/>
      <c r="B11" s="5" t="inlineStr">
        <is>
          <t>▸ El fondo se descuenta solo: total facturado = (efectivo contado − fondo) + tarjetas + otros</t>
        </is>
      </c>
    </row>
    <row r="12">
      <c r="A12" s="5" t="n"/>
      <c r="B12" s="5" t="inlineStr">
        <is>
          <t>▸ Si la casilla DESCUADRE se pone ámbar, la caja no cuadra: revísala antes de cerrar</t>
        </is>
      </c>
    </row>
    <row r="13">
      <c r="A13" s="5" t="n"/>
      <c r="B13" s="5" t="inlineStr">
        <is>
          <t>▸ Registro Mensual: anota cada día el efectivo, las tarjetas, los otros medios y la Z; el descuadre se calcula solo</t>
        </is>
      </c>
    </row>
    <row r="14">
      <c r="A14" s="5" t="n"/>
    </row>
    <row r="15">
      <c r="A15" s="5" t="n"/>
      <c r="B15" s="4" t="inlineStr">
        <is>
          <t>Personalización:</t>
        </is>
      </c>
    </row>
    <row r="16">
      <c r="A16" s="5" t="n"/>
      <c r="B16" s="5" t="inlineStr">
        <is>
          <t>▸ Las celdas verdes son editables — ajusta importes, responsables y horarios</t>
        </is>
      </c>
    </row>
    <row r="17">
      <c r="A17" s="5" t="n"/>
      <c r="B17" s="5" t="inlineStr">
        <is>
          <t>▸ Añade o elimina tareas según tu operativa y borra las denominaciones que no uses</t>
        </is>
      </c>
    </row>
    <row r="18">
      <c r="A18" s="5" t="n"/>
      <c r="B18" s="5" t="inlineStr">
        <is>
          <t>▸ Plastifica una copia impresa y usa rotuladores borrables para reutilizarla cada día</t>
        </is>
      </c>
    </row>
    <row r="19">
      <c r="B19" s="4" t="n"/>
    </row>
    <row r="20">
      <c r="A20" s="25" t="n"/>
      <c r="B20" s="4" t="inlineStr">
        <is>
          <t>Se conecta con:</t>
        </is>
      </c>
    </row>
    <row r="21">
      <c r="B21" s="5" t="inlineStr">
        <is>
          <t>▸ 08 Apertura y Cierre del Negocio — el cierre de caja es una de sus últimas tareas del día</t>
        </is>
      </c>
    </row>
    <row r="22">
      <c r="B22" s="5" t="inlineStr">
        <is>
          <t>▸ 10 Plan de Producción Semanal — el sobrante de la vitrina se registra en su hoja Producido vs Vendido</t>
        </is>
      </c>
    </row>
    <row r="23">
      <c r="B23" s="5" t="n"/>
    </row>
    <row r="24">
      <c r="B24" s="5" t="inlineStr">
        <is>
          <t>Marca con ✓ en la columna «✓ Completada» (desplegable) cada tarea que completes.</t>
        </is>
      </c>
    </row>
    <row r="25">
      <c r="B25" s="5" t="n"/>
    </row>
    <row r="26">
      <c r="B26" s="5" t="inlineStr">
        <is>
          <t>© AI Chef Pro — aichef.pro</t>
        </is>
      </c>
    </row>
    <row r="27">
      <c r="B27" s="5" t="inlineStr">
        <is>
          <t>Diseñado por John Guerrero — chef y consultor gastronómico desde 2010, en cocina desde los 17 años · johnguerrero.es</t>
        </is>
      </c>
    </row>
    <row r="28">
      <c r="B28" s="5" t="inlineStr">
        <is>
          <t>Contacto: info@aichef.pro</t>
        </is>
      </c>
    </row>
    <row r="29">
      <c r="B29" s="5" t="n"/>
    </row>
    <row r="30">
      <c r="B30" s="5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Pastelería / Obrador</t>
        </is>
      </c>
    </row>
    <row r="2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>
      <c r="A5" s="8" t="n">
        <v>1</v>
      </c>
      <c r="B5" s="9" t="inlineStr">
        <is>
          <t>Verificar fondo de caja del día anterior</t>
        </is>
      </c>
      <c r="C5" s="27" t="inlineStr"/>
      <c r="D5" s="27" t="inlineStr"/>
      <c r="E5" s="27" t="inlineStr"/>
      <c r="F5" s="27" t="inlineStr"/>
    </row>
    <row r="6">
      <c r="A6" s="10" t="n">
        <v>2</v>
      </c>
      <c r="B6" s="11" t="inlineStr">
        <is>
          <t>Contar fondo de caja inicial</t>
        </is>
      </c>
      <c r="C6" s="27" t="inlineStr"/>
      <c r="D6" s="27" t="inlineStr"/>
      <c r="E6" s="27" t="inlineStr"/>
      <c r="F6" s="27" t="inlineStr"/>
    </row>
    <row r="7">
      <c r="A7" s="8" t="n">
        <v>3</v>
      </c>
      <c r="B7" s="9" t="inlineStr">
        <is>
          <t>Anotar el importe del fondo en la celda «Fondo de caja inicial (€)» de esta hoja</t>
        </is>
      </c>
      <c r="C7" s="27" t="inlineStr"/>
      <c r="D7" s="27" t="inlineStr"/>
      <c r="E7" s="27" t="inlineStr"/>
      <c r="F7" s="27" t="inlineStr"/>
    </row>
    <row r="8">
      <c r="A8" s="10" t="n">
        <v>4</v>
      </c>
      <c r="B8" s="11" t="inlineStr">
        <is>
          <t>Verificar cambio suficiente (monedas, billetes pequeños)</t>
        </is>
      </c>
      <c r="C8" s="27" t="inlineStr"/>
      <c r="D8" s="27" t="inlineStr"/>
      <c r="E8" s="27" t="inlineStr"/>
      <c r="F8" s="27" t="inlineStr"/>
    </row>
    <row r="9">
      <c r="A9" s="8" t="n">
        <v>5</v>
      </c>
      <c r="B9" s="9" t="inlineStr">
        <is>
          <t>Encender TPV / POS</t>
        </is>
      </c>
      <c r="C9" s="27" t="inlineStr"/>
      <c r="D9" s="27" t="inlineStr"/>
      <c r="E9" s="27" t="inlineStr"/>
      <c r="F9" s="27" t="inlineStr"/>
    </row>
    <row r="10">
      <c r="A10" s="10" t="n">
        <v>6</v>
      </c>
      <c r="B10" s="11" t="inlineStr">
        <is>
          <t>Imprimir X de apertura (informe de inicio)</t>
        </is>
      </c>
      <c r="C10" s="27" t="inlineStr"/>
      <c r="D10" s="27" t="inlineStr"/>
      <c r="E10" s="27" t="inlineStr"/>
      <c r="F10" s="27" t="inlineStr"/>
    </row>
    <row r="11">
      <c r="A11" s="8" t="n">
        <v>7</v>
      </c>
      <c r="B11" s="9" t="inlineStr">
        <is>
          <t>Comprobar rollo de papel de ticket</t>
        </is>
      </c>
      <c r="C11" s="27" t="inlineStr"/>
      <c r="D11" s="27" t="inlineStr"/>
      <c r="E11" s="27" t="inlineStr"/>
      <c r="F11" s="27" t="inlineStr"/>
    </row>
    <row r="12">
      <c r="A12" s="10" t="n">
        <v>8</v>
      </c>
      <c r="B12" s="11" t="inlineStr">
        <is>
          <t>Verificar datáfono operativo</t>
        </is>
      </c>
      <c r="C12" s="27" t="inlineStr"/>
      <c r="D12" s="27" t="inlineStr"/>
      <c r="E12" s="27" t="inlineStr"/>
      <c r="F12" s="27" t="inlineStr"/>
    </row>
    <row r="13">
      <c r="A13" s="8" t="n">
        <v>9</v>
      </c>
      <c r="B13" s="9" t="inlineStr">
        <is>
          <t>Verificar conexión de pasarela de pago</t>
        </is>
      </c>
      <c r="C13" s="27" t="inlineStr"/>
      <c r="D13" s="27" t="inlineStr"/>
      <c r="E13" s="27" t="inlineStr"/>
      <c r="F13" s="27" t="inlineStr"/>
    </row>
    <row r="14">
      <c r="A14" s="10" t="n">
        <v>10</v>
      </c>
      <c r="B14" s="11" t="inlineStr">
        <is>
          <t>Anotar incidencias del turno anterior</t>
        </is>
      </c>
      <c r="C14" s="27" t="inlineStr"/>
      <c r="D14" s="27" t="inlineStr"/>
      <c r="E14" s="27" t="inlineStr"/>
      <c r="F14" s="27" t="inlineStr"/>
    </row>
    <row r="15">
      <c r="A15" s="8" t="n">
        <v>11</v>
      </c>
      <c r="B15" s="9" t="inlineStr">
        <is>
          <t>Firma del responsable de apertura</t>
        </is>
      </c>
      <c r="C15" s="27" t="inlineStr"/>
      <c r="D15" s="27" t="inlineStr"/>
      <c r="E15" s="27" t="inlineStr"/>
      <c r="F15" s="27" t="inlineStr"/>
    </row>
    <row r="16"/>
    <row r="17" ht="30" customHeight="1">
      <c r="A17" s="8" t="n"/>
      <c r="B17" s="9" t="inlineStr">
        <is>
          <t>Fondo de caja inicial (€)</t>
        </is>
      </c>
      <c r="C17" s="30" t="n">
        <v>0</v>
      </c>
      <c r="D17" s="27" t="inlineStr">
        <is>
          <t>Se descuenta del efectivo en el Cierre de Caja</t>
        </is>
      </c>
      <c r="E17" s="26" t="n"/>
      <c r="F17" s="20" t="n"/>
    </row>
    <row r="18" ht="30" customHeight="1"/>
    <row r="19" ht="30" customHeight="1">
      <c r="A19" s="6" t="inlineStr">
        <is>
          <t>Firma del responsable: _________________________     Hora: ________</t>
        </is>
      </c>
    </row>
    <row r="20">
      <c r="A20" s="12" t="inlineStr">
        <is>
          <t>© AI Chef Pro — aichef.pro</t>
        </is>
      </c>
    </row>
  </sheetData>
  <mergeCells count="6">
    <mergeCell ref="D17:F17"/>
    <mergeCell ref="A2:C2"/>
    <mergeCell ref="A19:F19"/>
    <mergeCell ref="A20:F20"/>
    <mergeCell ref="A1:F1"/>
    <mergeCell ref="D2:F2"/>
  </mergeCells>
  <conditionalFormatting sqref="A5:F15">
    <cfRule type="expression" priority="2" dxfId="1">
      <formula>$D5="✓"</formula>
    </cfRule>
  </conditionalFormatting>
  <dataValidations count="1">
    <dataValidation sqref="D5 D6 D7 D8 D9 D10 D11 D12 D13 D14 D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Pastelería / Obrador</t>
        </is>
      </c>
    </row>
    <row r="2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>
      <c r="A5" s="8" t="n">
        <v>1</v>
      </c>
      <c r="B5" s="9" t="inlineStr">
        <is>
          <t>Imprimir Z de cierre (informe final del día)</t>
        </is>
      </c>
      <c r="C5" s="27" t="inlineStr"/>
      <c r="D5" s="27" t="inlineStr"/>
      <c r="E5" s="27" t="inlineStr"/>
      <c r="F5" s="27" t="inlineStr"/>
    </row>
    <row r="6">
      <c r="A6" s="10" t="n">
        <v>2</v>
      </c>
      <c r="B6" s="11" t="inlineStr">
        <is>
          <t>Recuento de efectivo por denominación (ver tabla inferior)</t>
        </is>
      </c>
      <c r="C6" s="27" t="inlineStr"/>
      <c r="D6" s="27" t="inlineStr"/>
      <c r="E6" s="27" t="inlineStr"/>
      <c r="F6" s="27" t="inlineStr"/>
    </row>
    <row r="7">
      <c r="A7" s="8" t="n">
        <v>3</v>
      </c>
      <c r="B7" s="9" t="inlineStr">
        <is>
          <t>Calcular total efectivo</t>
        </is>
      </c>
      <c r="C7" s="27" t="inlineStr"/>
      <c r="D7" s="27" t="inlineStr"/>
      <c r="E7" s="27" t="inlineStr"/>
      <c r="F7" s="27" t="inlineStr"/>
    </row>
    <row r="8">
      <c r="A8" s="10" t="n">
        <v>4</v>
      </c>
      <c r="B8" s="11" t="inlineStr">
        <is>
          <t>Anotar total tarjetas (Visa/Mastercard)</t>
        </is>
      </c>
      <c r="C8" s="27" t="inlineStr"/>
      <c r="D8" s="27" t="inlineStr"/>
      <c r="E8" s="27" t="inlineStr"/>
      <c r="F8" s="27" t="inlineStr"/>
    </row>
    <row r="9">
      <c r="A9" s="8" t="n">
        <v>5</v>
      </c>
      <c r="B9" s="9" t="inlineStr">
        <is>
          <t>Anotar otros medios (Bizum, vales, invitaciones)</t>
        </is>
      </c>
      <c r="C9" s="27" t="inlineStr"/>
      <c r="D9" s="27" t="inlineStr"/>
      <c r="E9" s="27" t="inlineStr"/>
      <c r="F9" s="27" t="inlineStr"/>
    </row>
    <row r="10">
      <c r="A10" s="10" t="n">
        <v>6</v>
      </c>
      <c r="B10" s="11" t="inlineStr">
        <is>
          <t>Total facturado = (efectivo contado − fondo de caja) + tarjetas + otros</t>
        </is>
      </c>
      <c r="C10" s="27" t="inlineStr"/>
      <c r="D10" s="27" t="inlineStr"/>
      <c r="E10" s="27" t="inlineStr"/>
      <c r="F10" s="27" t="inlineStr"/>
    </row>
    <row r="11">
      <c r="A11" s="8" t="n">
        <v>7</v>
      </c>
      <c r="B11" s="9" t="inlineStr">
        <is>
          <t>Comparar con Z del TPV → calcular diferencia/descuadre</t>
        </is>
      </c>
      <c r="C11" s="27" t="inlineStr"/>
      <c r="D11" s="27" t="inlineStr"/>
      <c r="E11" s="27" t="inlineStr"/>
      <c r="F11" s="27" t="inlineStr"/>
    </row>
    <row r="12">
      <c r="A12" s="10" t="n">
        <v>8</v>
      </c>
      <c r="B12" s="11" t="inlineStr">
        <is>
          <t>Registrar devoluciones del día</t>
        </is>
      </c>
      <c r="C12" s="27" t="inlineStr"/>
      <c r="D12" s="27" t="inlineStr"/>
      <c r="E12" s="27" t="inlineStr"/>
      <c r="F12" s="27" t="inlineStr"/>
    </row>
    <row r="13">
      <c r="A13" s="8" t="n">
        <v>9</v>
      </c>
      <c r="B13" s="9" t="inlineStr">
        <is>
          <t>Registrar anulaciones del día</t>
        </is>
      </c>
      <c r="C13" s="27" t="inlineStr"/>
      <c r="D13" s="27" t="inlineStr"/>
      <c r="E13" s="27" t="inlineStr"/>
      <c r="F13" s="27" t="inlineStr"/>
    </row>
    <row r="14">
      <c r="A14" s="10" t="n">
        <v>10</v>
      </c>
      <c r="B14" s="11" t="inlineStr">
        <is>
          <t>Separar fondo de caja para mañana</t>
        </is>
      </c>
      <c r="C14" s="27" t="inlineStr"/>
      <c r="D14" s="27" t="inlineStr"/>
      <c r="E14" s="27" t="inlineStr"/>
      <c r="F14" s="27" t="inlineStr"/>
    </row>
    <row r="15">
      <c r="A15" s="8" t="n">
        <v>11</v>
      </c>
      <c r="B15" s="9" t="inlineStr">
        <is>
          <t>Preparar depósito bancario / guardar en caja fuerte</t>
        </is>
      </c>
      <c r="C15" s="27" t="inlineStr"/>
      <c r="D15" s="27" t="inlineStr"/>
      <c r="E15" s="27" t="inlineStr"/>
      <c r="F15" s="27" t="inlineStr"/>
    </row>
    <row r="16">
      <c r="A16" s="10" t="n">
        <v>12</v>
      </c>
      <c r="B16" s="11" t="inlineStr">
        <is>
          <t>Firma del responsable de cierre</t>
        </is>
      </c>
      <c r="C16" s="27" t="inlineStr"/>
      <c r="D16" s="27" t="inlineStr"/>
      <c r="E16" s="27" t="inlineStr"/>
      <c r="F16" s="27" t="inlineStr"/>
    </row>
    <row r="17"/>
    <row r="18" ht="32" customHeight="1">
      <c r="A18" s="13" t="inlineStr">
        <is>
          <t>Recuento de Efectivo por Denominación</t>
        </is>
      </c>
    </row>
    <row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>
      <c r="A20" s="14" t="inlineStr">
        <is>
          <t>BILLETES</t>
        </is>
      </c>
      <c r="B20" s="26" t="n"/>
      <c r="C20" s="20" t="n"/>
    </row>
    <row r="21">
      <c r="A21" s="15" t="inlineStr">
        <is>
          <t>500 €</t>
        </is>
      </c>
      <c r="B21" s="28" t="n">
        <v>0</v>
      </c>
      <c r="C21" s="16">
        <f>B21*500</f>
        <v>0.0</v>
      </c>
    </row>
    <row r="22">
      <c r="A22" s="17" t="inlineStr">
        <is>
          <t>200 €</t>
        </is>
      </c>
      <c r="B22" s="28" t="n">
        <v>0</v>
      </c>
      <c r="C22" s="18">
        <f>B22*200</f>
        <v>0.0</v>
      </c>
    </row>
    <row r="23">
      <c r="A23" s="15" t="inlineStr">
        <is>
          <t>100 €</t>
        </is>
      </c>
      <c r="B23" s="28" t="n">
        <v>0</v>
      </c>
      <c r="C23" s="16">
        <f>B23*100</f>
        <v>0.0</v>
      </c>
    </row>
    <row r="24">
      <c r="A24" s="17" t="inlineStr">
        <is>
          <t>50 €</t>
        </is>
      </c>
      <c r="B24" s="28" t="n">
        <v>0</v>
      </c>
      <c r="C24" s="18">
        <f>B24*50</f>
        <v>0.0</v>
      </c>
    </row>
    <row r="25">
      <c r="A25" s="15" t="inlineStr">
        <is>
          <t>20 €</t>
        </is>
      </c>
      <c r="B25" s="28" t="n">
        <v>0</v>
      </c>
      <c r="C25" s="16">
        <f>B25*20</f>
        <v>0.0</v>
      </c>
    </row>
    <row r="26">
      <c r="A26" s="17" t="inlineStr">
        <is>
          <t>10 €</t>
        </is>
      </c>
      <c r="B26" s="28" t="n">
        <v>0</v>
      </c>
      <c r="C26" s="18">
        <f>B26*10</f>
        <v>0.0</v>
      </c>
    </row>
    <row r="27">
      <c r="A27" s="15" t="inlineStr">
        <is>
          <t>5 €</t>
        </is>
      </c>
      <c r="B27" s="28" t="n">
        <v>0</v>
      </c>
      <c r="C27" s="16">
        <f>B27*5</f>
        <v>0.0</v>
      </c>
    </row>
    <row r="28">
      <c r="A28" s="14" t="inlineStr">
        <is>
          <t>MONEDAS</t>
        </is>
      </c>
      <c r="B28" s="26" t="n"/>
      <c r="C28" s="20" t="n"/>
    </row>
    <row r="29">
      <c r="A29" s="15" t="inlineStr">
        <is>
          <t>2 €</t>
        </is>
      </c>
      <c r="B29" s="28" t="n">
        <v>0</v>
      </c>
      <c r="C29" s="16">
        <f>B29*2</f>
        <v>0.0</v>
      </c>
    </row>
    <row r="30">
      <c r="A30" s="17" t="inlineStr">
        <is>
          <t>1 €</t>
        </is>
      </c>
      <c r="B30" s="28" t="n">
        <v>0</v>
      </c>
      <c r="C30" s="18">
        <f>B30*1</f>
        <v>0.0</v>
      </c>
    </row>
    <row r="31">
      <c r="A31" s="15" t="inlineStr">
        <is>
          <t>0,50 €</t>
        </is>
      </c>
      <c r="B31" s="28" t="n">
        <v>0</v>
      </c>
      <c r="C31" s="16">
        <f>B31*0.5</f>
        <v>0.0</v>
      </c>
    </row>
    <row r="32">
      <c r="A32" s="17" t="inlineStr">
        <is>
          <t>0,20 €</t>
        </is>
      </c>
      <c r="B32" s="28" t="n">
        <v>0</v>
      </c>
      <c r="C32" s="18">
        <f>B32*0.2</f>
        <v>0.0</v>
      </c>
    </row>
    <row r="33">
      <c r="A33" s="15" t="inlineStr">
        <is>
          <t>0,10 €</t>
        </is>
      </c>
      <c r="B33" s="28" t="n">
        <v>0</v>
      </c>
      <c r="C33" s="16">
        <f>B33*0.1</f>
        <v>0.0</v>
      </c>
    </row>
    <row r="34">
      <c r="A34" s="17" t="inlineStr">
        <is>
          <t>0,05 €</t>
        </is>
      </c>
      <c r="B34" s="28" t="n">
        <v>0</v>
      </c>
      <c r="C34" s="18">
        <f>B34*0.05</f>
        <v>0.0</v>
      </c>
    </row>
    <row r="35">
      <c r="A35" s="17" t="inlineStr">
        <is>
          <t>0,02 €</t>
        </is>
      </c>
      <c r="B35" s="28" t="n">
        <v>0</v>
      </c>
      <c r="C35" s="18">
        <f>B35*0.02</f>
        <v>0.0</v>
      </c>
    </row>
    <row r="36">
      <c r="A36" s="15" t="inlineStr">
        <is>
          <t>0,01 €</t>
        </is>
      </c>
      <c r="B36" s="28" t="n">
        <v>0</v>
      </c>
      <c r="C36" s="16">
        <f>B36*0.01</f>
        <v>0.0</v>
      </c>
    </row>
    <row r="37">
      <c r="A37" s="19" t="inlineStr">
        <is>
          <t>TOTAL EFECTIVO</t>
        </is>
      </c>
      <c r="B37" s="20" t="n"/>
      <c r="C37" s="21">
        <f>SUM(C21:C36)</f>
        <v>0.0</v>
      </c>
    </row>
    <row r="38" ht="30" customHeight="1"/>
    <row r="39" ht="30" customHeight="1">
      <c r="A39" s="13" t="inlineStr">
        <is>
          <t>Resumen de Cierre</t>
        </is>
      </c>
    </row>
    <row r="40">
      <c r="A40" s="7" t="inlineStr">
        <is>
          <t>Concepto</t>
        </is>
      </c>
      <c r="B40" s="7" t="inlineStr">
        <is>
          <t>Importe (€)</t>
        </is>
      </c>
    </row>
    <row r="41">
      <c r="A41" s="9" t="inlineStr">
        <is>
          <t>Total Efectivo (recuento)</t>
        </is>
      </c>
      <c r="B41" s="16">
        <f>C37</f>
        <v>0.0</v>
      </c>
    </row>
    <row r="42">
      <c r="A42" s="9" t="inlineStr">
        <is>
          <t>Fondo de caja inicial (−)</t>
        </is>
      </c>
      <c r="B42" s="16">
        <f>IFERROR('Apertura de Caja'!C17,0)</f>
        <v>0.0</v>
      </c>
    </row>
    <row r="43">
      <c r="A43" s="11" t="inlineStr">
        <is>
          <t>Total Tarjetas (Visa/MC)</t>
        </is>
      </c>
      <c r="B43" s="29" t="n">
        <v>0</v>
      </c>
    </row>
    <row r="44">
      <c r="A44" s="9" t="inlineStr">
        <is>
          <t>Total Otros (Bizum, Vales)</t>
        </is>
      </c>
      <c r="B44" s="29" t="n">
        <v>0</v>
      </c>
    </row>
    <row r="45">
      <c r="A45" s="22" t="inlineStr">
        <is>
          <t>TOTAL FACTURADO</t>
        </is>
      </c>
      <c r="B45" s="23">
        <f>IFERROR(B41-B42,0)+B43+B44</f>
        <v>0.0</v>
      </c>
    </row>
    <row r="46">
      <c r="A46" s="9" t="inlineStr">
        <is>
          <t>Z del TPV</t>
        </is>
      </c>
      <c r="B46" s="29" t="n">
        <v>0</v>
      </c>
    </row>
    <row r="47" ht="30" customHeight="1">
      <c r="A47" s="22" t="inlineStr">
        <is>
          <t>DESCUADRE</t>
        </is>
      </c>
      <c r="B47" s="23">
        <f>IFERROR(B45-B46,0)</f>
        <v>0.0</v>
      </c>
    </row>
    <row r="48" ht="30" customHeight="1"/>
    <row r="49" ht="30" customHeight="1">
      <c r="A49" s="6" t="inlineStr">
        <is>
          <t>Firma del responsable: _________________________     Hora: ________</t>
        </is>
      </c>
    </row>
    <row r="50">
      <c r="A50" s="12" t="inlineStr">
        <is>
          <t>© AI Chef Pro — aichef.pro</t>
        </is>
      </c>
    </row>
  </sheetData>
  <mergeCells count="10">
    <mergeCell ref="A18:F18"/>
    <mergeCell ref="A50:F50"/>
    <mergeCell ref="A37:B37"/>
    <mergeCell ref="A39:C39"/>
    <mergeCell ref="A2:C2"/>
    <mergeCell ref="D2:F2"/>
    <mergeCell ref="A1:F1"/>
    <mergeCell ref="A49:F49"/>
    <mergeCell ref="A20:C20"/>
    <mergeCell ref="A28:C28"/>
  </mergeCells>
  <conditionalFormatting sqref="B47">
    <cfRule type="cellIs" priority="3" operator="notEqual" dxfId="0">
      <formula>0</formula>
    </cfRule>
  </conditionalFormatting>
  <conditionalFormatting sqref="A5:F16">
    <cfRule type="expression" priority="4" dxfId="1">
      <formula>$D5="✓"</formula>
    </cfRule>
  </conditionalFormatting>
  <dataValidations count="2">
    <dataValidation sqref="B21 B22 B23 B24 B25 B26 B27 B29 B30 B31 B32 B33 B34 B35 B36" showDropDown="0" showInputMessage="0" showErrorMessage="1" allowBlank="1" errorTitle="Cantidad no válida" error="Escribe el número de billetes o monedas (un número entero, sin decimales)." type="whole" operator="greaterThanOrEqual">
      <formula1>0</formula1>
    </dataValidation>
    <dataValidation sqref="D5 D6 D7 D8 D9 D10 D11 D12 D13 D14 D15 D1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Pastelería / Obrador</t>
        </is>
      </c>
    </row>
    <row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>
      <c r="A5" s="15" t="n">
        <v>1</v>
      </c>
      <c r="B5" s="29" t="n">
        <v>0</v>
      </c>
      <c r="C5" s="29" t="n">
        <v>0</v>
      </c>
      <c r="D5" s="29" t="n">
        <v>0</v>
      </c>
      <c r="E5" s="29" t="n">
        <v>0</v>
      </c>
      <c r="F5" s="16">
        <f>C5+D5+E5</f>
        <v>0.0</v>
      </c>
      <c r="G5" s="29" t="n">
        <v>0</v>
      </c>
      <c r="H5" s="16">
        <f>IFERROR(F5-G5,0)</f>
        <v>0.0</v>
      </c>
      <c r="I5" s="29" t="n">
        <v>0</v>
      </c>
      <c r="J5" s="29" t="n"/>
    </row>
    <row r="6">
      <c r="A6" s="17" t="n">
        <v>2</v>
      </c>
      <c r="B6" s="29" t="n">
        <v>0</v>
      </c>
      <c r="C6" s="29" t="n">
        <v>0</v>
      </c>
      <c r="D6" s="29" t="n">
        <v>0</v>
      </c>
      <c r="E6" s="29" t="n">
        <v>0</v>
      </c>
      <c r="F6" s="18">
        <f>C6+D6+E6</f>
        <v>0.0</v>
      </c>
      <c r="G6" s="29" t="n">
        <v>0</v>
      </c>
      <c r="H6" s="16">
        <f>IFERROR(F6-G6,0)</f>
        <v>0.0</v>
      </c>
      <c r="I6" s="29" t="n">
        <v>0</v>
      </c>
      <c r="J6" s="29" t="n"/>
    </row>
    <row r="7">
      <c r="A7" s="15" t="n">
        <v>3</v>
      </c>
      <c r="B7" s="29" t="n">
        <v>0</v>
      </c>
      <c r="C7" s="29" t="n">
        <v>0</v>
      </c>
      <c r="D7" s="29" t="n">
        <v>0</v>
      </c>
      <c r="E7" s="29" t="n">
        <v>0</v>
      </c>
      <c r="F7" s="16">
        <f>C7+D7+E7</f>
        <v>0.0</v>
      </c>
      <c r="G7" s="29" t="n">
        <v>0</v>
      </c>
      <c r="H7" s="16">
        <f>IFERROR(F7-G7,0)</f>
        <v>0.0</v>
      </c>
      <c r="I7" s="29" t="n">
        <v>0</v>
      </c>
      <c r="J7" s="29" t="n"/>
    </row>
    <row r="8">
      <c r="A8" s="17" t="n">
        <v>4</v>
      </c>
      <c r="B8" s="29" t="n">
        <v>0</v>
      </c>
      <c r="C8" s="29" t="n">
        <v>0</v>
      </c>
      <c r="D8" s="29" t="n">
        <v>0</v>
      </c>
      <c r="E8" s="29" t="n">
        <v>0</v>
      </c>
      <c r="F8" s="18">
        <f>C8+D8+E8</f>
        <v>0.0</v>
      </c>
      <c r="G8" s="29" t="n">
        <v>0</v>
      </c>
      <c r="H8" s="16">
        <f>IFERROR(F8-G8,0)</f>
        <v>0.0</v>
      </c>
      <c r="I8" s="29" t="n">
        <v>0</v>
      </c>
      <c r="J8" s="29" t="n"/>
    </row>
    <row r="9">
      <c r="A9" s="15" t="n">
        <v>5</v>
      </c>
      <c r="B9" s="29" t="n">
        <v>0</v>
      </c>
      <c r="C9" s="29" t="n">
        <v>0</v>
      </c>
      <c r="D9" s="29" t="n">
        <v>0</v>
      </c>
      <c r="E9" s="29" t="n">
        <v>0</v>
      </c>
      <c r="F9" s="16">
        <f>C9+D9+E9</f>
        <v>0.0</v>
      </c>
      <c r="G9" s="29" t="n">
        <v>0</v>
      </c>
      <c r="H9" s="16">
        <f>IFERROR(F9-G9,0)</f>
        <v>0.0</v>
      </c>
      <c r="I9" s="29" t="n">
        <v>0</v>
      </c>
      <c r="J9" s="29" t="n"/>
    </row>
    <row r="10">
      <c r="A10" s="17" t="n">
        <v>6</v>
      </c>
      <c r="B10" s="29" t="n">
        <v>0</v>
      </c>
      <c r="C10" s="29" t="n">
        <v>0</v>
      </c>
      <c r="D10" s="29" t="n">
        <v>0</v>
      </c>
      <c r="E10" s="29" t="n">
        <v>0</v>
      </c>
      <c r="F10" s="18">
        <f>C10+D10+E10</f>
        <v>0.0</v>
      </c>
      <c r="G10" s="29" t="n">
        <v>0</v>
      </c>
      <c r="H10" s="16">
        <f>IFERROR(F10-G10,0)</f>
        <v>0.0</v>
      </c>
      <c r="I10" s="29" t="n">
        <v>0</v>
      </c>
      <c r="J10" s="29" t="n"/>
    </row>
    <row r="11">
      <c r="A11" s="15" t="n">
        <v>7</v>
      </c>
      <c r="B11" s="29" t="n">
        <v>0</v>
      </c>
      <c r="C11" s="29" t="n">
        <v>0</v>
      </c>
      <c r="D11" s="29" t="n">
        <v>0</v>
      </c>
      <c r="E11" s="29" t="n">
        <v>0</v>
      </c>
      <c r="F11" s="16">
        <f>C11+D11+E11</f>
        <v>0.0</v>
      </c>
      <c r="G11" s="29" t="n">
        <v>0</v>
      </c>
      <c r="H11" s="16">
        <f>IFERROR(F11-G11,0)</f>
        <v>0.0</v>
      </c>
      <c r="I11" s="29" t="n">
        <v>0</v>
      </c>
      <c r="J11" s="29" t="n"/>
    </row>
    <row r="12">
      <c r="A12" s="17" t="n">
        <v>8</v>
      </c>
      <c r="B12" s="29" t="n">
        <v>0</v>
      </c>
      <c r="C12" s="29" t="n">
        <v>0</v>
      </c>
      <c r="D12" s="29" t="n">
        <v>0</v>
      </c>
      <c r="E12" s="29" t="n">
        <v>0</v>
      </c>
      <c r="F12" s="18">
        <f>C12+D12+E12</f>
        <v>0.0</v>
      </c>
      <c r="G12" s="29" t="n">
        <v>0</v>
      </c>
      <c r="H12" s="16">
        <f>IFERROR(F12-G12,0)</f>
        <v>0.0</v>
      </c>
      <c r="I12" s="29" t="n">
        <v>0</v>
      </c>
      <c r="J12" s="29" t="n"/>
    </row>
    <row r="13">
      <c r="A13" s="15" t="n">
        <v>9</v>
      </c>
      <c r="B13" s="29" t="n">
        <v>0</v>
      </c>
      <c r="C13" s="29" t="n">
        <v>0</v>
      </c>
      <c r="D13" s="29" t="n">
        <v>0</v>
      </c>
      <c r="E13" s="29" t="n">
        <v>0</v>
      </c>
      <c r="F13" s="16">
        <f>C13+D13+E13</f>
        <v>0.0</v>
      </c>
      <c r="G13" s="29" t="n">
        <v>0</v>
      </c>
      <c r="H13" s="16">
        <f>IFERROR(F13-G13,0)</f>
        <v>0.0</v>
      </c>
      <c r="I13" s="29" t="n">
        <v>0</v>
      </c>
      <c r="J13" s="29" t="n"/>
    </row>
    <row r="14">
      <c r="A14" s="17" t="n">
        <v>10</v>
      </c>
      <c r="B14" s="29" t="n">
        <v>0</v>
      </c>
      <c r="C14" s="29" t="n">
        <v>0</v>
      </c>
      <c r="D14" s="29" t="n">
        <v>0</v>
      </c>
      <c r="E14" s="29" t="n">
        <v>0</v>
      </c>
      <c r="F14" s="18">
        <f>C14+D14+E14</f>
        <v>0.0</v>
      </c>
      <c r="G14" s="29" t="n">
        <v>0</v>
      </c>
      <c r="H14" s="16">
        <f>IFERROR(F14-G14,0)</f>
        <v>0.0</v>
      </c>
      <c r="I14" s="29" t="n">
        <v>0</v>
      </c>
      <c r="J14" s="29" t="n"/>
    </row>
    <row r="15">
      <c r="A15" s="15" t="n">
        <v>11</v>
      </c>
      <c r="B15" s="29" t="n">
        <v>0</v>
      </c>
      <c r="C15" s="29" t="n">
        <v>0</v>
      </c>
      <c r="D15" s="29" t="n">
        <v>0</v>
      </c>
      <c r="E15" s="29" t="n">
        <v>0</v>
      </c>
      <c r="F15" s="16">
        <f>C15+D15+E15</f>
        <v>0.0</v>
      </c>
      <c r="G15" s="29" t="n">
        <v>0</v>
      </c>
      <c r="H15" s="16">
        <f>IFERROR(F15-G15,0)</f>
        <v>0.0</v>
      </c>
      <c r="I15" s="29" t="n">
        <v>0</v>
      </c>
      <c r="J15" s="29" t="n"/>
    </row>
    <row r="16">
      <c r="A16" s="17" t="n">
        <v>12</v>
      </c>
      <c r="B16" s="29" t="n">
        <v>0</v>
      </c>
      <c r="C16" s="29" t="n">
        <v>0</v>
      </c>
      <c r="D16" s="29" t="n">
        <v>0</v>
      </c>
      <c r="E16" s="29" t="n">
        <v>0</v>
      </c>
      <c r="F16" s="18">
        <f>C16+D16+E16</f>
        <v>0.0</v>
      </c>
      <c r="G16" s="29" t="n">
        <v>0</v>
      </c>
      <c r="H16" s="16">
        <f>IFERROR(F16-G16,0)</f>
        <v>0.0</v>
      </c>
      <c r="I16" s="29" t="n">
        <v>0</v>
      </c>
      <c r="J16" s="29" t="n"/>
    </row>
    <row r="17">
      <c r="A17" s="15" t="n">
        <v>13</v>
      </c>
      <c r="B17" s="29" t="n">
        <v>0</v>
      </c>
      <c r="C17" s="29" t="n">
        <v>0</v>
      </c>
      <c r="D17" s="29" t="n">
        <v>0</v>
      </c>
      <c r="E17" s="29" t="n">
        <v>0</v>
      </c>
      <c r="F17" s="16">
        <f>C17+D17+E17</f>
        <v>0.0</v>
      </c>
      <c r="G17" s="29" t="n">
        <v>0</v>
      </c>
      <c r="H17" s="16">
        <f>IFERROR(F17-G17,0)</f>
        <v>0.0</v>
      </c>
      <c r="I17" s="29" t="n">
        <v>0</v>
      </c>
      <c r="J17" s="29" t="n"/>
    </row>
    <row r="18">
      <c r="A18" s="17" t="n">
        <v>14</v>
      </c>
      <c r="B18" s="29" t="n">
        <v>0</v>
      </c>
      <c r="C18" s="29" t="n">
        <v>0</v>
      </c>
      <c r="D18" s="29" t="n">
        <v>0</v>
      </c>
      <c r="E18" s="29" t="n">
        <v>0</v>
      </c>
      <c r="F18" s="18">
        <f>C18+D18+E18</f>
        <v>0.0</v>
      </c>
      <c r="G18" s="29" t="n">
        <v>0</v>
      </c>
      <c r="H18" s="16">
        <f>IFERROR(F18-G18,0)</f>
        <v>0.0</v>
      </c>
      <c r="I18" s="29" t="n">
        <v>0</v>
      </c>
      <c r="J18" s="29" t="n"/>
    </row>
    <row r="19">
      <c r="A19" s="15" t="n">
        <v>15</v>
      </c>
      <c r="B19" s="29" t="n">
        <v>0</v>
      </c>
      <c r="C19" s="29" t="n">
        <v>0</v>
      </c>
      <c r="D19" s="29" t="n">
        <v>0</v>
      </c>
      <c r="E19" s="29" t="n">
        <v>0</v>
      </c>
      <c r="F19" s="16">
        <f>C19+D19+E19</f>
        <v>0.0</v>
      </c>
      <c r="G19" s="29" t="n">
        <v>0</v>
      </c>
      <c r="H19" s="16">
        <f>IFERROR(F19-G19,0)</f>
        <v>0.0</v>
      </c>
      <c r="I19" s="29" t="n">
        <v>0</v>
      </c>
      <c r="J19" s="29" t="n"/>
    </row>
    <row r="20">
      <c r="A20" s="17" t="n">
        <v>16</v>
      </c>
      <c r="B20" s="29" t="n">
        <v>0</v>
      </c>
      <c r="C20" s="29" t="n">
        <v>0</v>
      </c>
      <c r="D20" s="29" t="n">
        <v>0</v>
      </c>
      <c r="E20" s="29" t="n">
        <v>0</v>
      </c>
      <c r="F20" s="18">
        <f>C20+D20+E20</f>
        <v>0.0</v>
      </c>
      <c r="G20" s="29" t="n">
        <v>0</v>
      </c>
      <c r="H20" s="16">
        <f>IFERROR(F20-G20,0)</f>
        <v>0.0</v>
      </c>
      <c r="I20" s="29" t="n">
        <v>0</v>
      </c>
      <c r="J20" s="29" t="n"/>
    </row>
    <row r="21">
      <c r="A21" s="15" t="n">
        <v>17</v>
      </c>
      <c r="B21" s="29" t="n">
        <v>0</v>
      </c>
      <c r="C21" s="29" t="n">
        <v>0</v>
      </c>
      <c r="D21" s="29" t="n">
        <v>0</v>
      </c>
      <c r="E21" s="29" t="n">
        <v>0</v>
      </c>
      <c r="F21" s="16">
        <f>C21+D21+E21</f>
        <v>0.0</v>
      </c>
      <c r="G21" s="29" t="n">
        <v>0</v>
      </c>
      <c r="H21" s="16">
        <f>IFERROR(F21-G21,0)</f>
        <v>0.0</v>
      </c>
      <c r="I21" s="29" t="n">
        <v>0</v>
      </c>
      <c r="J21" s="29" t="n"/>
    </row>
    <row r="22">
      <c r="A22" s="17" t="n">
        <v>18</v>
      </c>
      <c r="B22" s="29" t="n">
        <v>0</v>
      </c>
      <c r="C22" s="29" t="n">
        <v>0</v>
      </c>
      <c r="D22" s="29" t="n">
        <v>0</v>
      </c>
      <c r="E22" s="29" t="n">
        <v>0</v>
      </c>
      <c r="F22" s="18">
        <f>C22+D22+E22</f>
        <v>0.0</v>
      </c>
      <c r="G22" s="29" t="n">
        <v>0</v>
      </c>
      <c r="H22" s="16">
        <f>IFERROR(F22-G22,0)</f>
        <v>0.0</v>
      </c>
      <c r="I22" s="29" t="n">
        <v>0</v>
      </c>
      <c r="J22" s="29" t="n"/>
    </row>
    <row r="23">
      <c r="A23" s="15" t="n">
        <v>19</v>
      </c>
      <c r="B23" s="29" t="n">
        <v>0</v>
      </c>
      <c r="C23" s="29" t="n">
        <v>0</v>
      </c>
      <c r="D23" s="29" t="n">
        <v>0</v>
      </c>
      <c r="E23" s="29" t="n">
        <v>0</v>
      </c>
      <c r="F23" s="16">
        <f>C23+D23+E23</f>
        <v>0.0</v>
      </c>
      <c r="G23" s="29" t="n">
        <v>0</v>
      </c>
      <c r="H23" s="16">
        <f>IFERROR(F23-G23,0)</f>
        <v>0.0</v>
      </c>
      <c r="I23" s="29" t="n">
        <v>0</v>
      </c>
      <c r="J23" s="29" t="n"/>
    </row>
    <row r="24">
      <c r="A24" s="17" t="n">
        <v>20</v>
      </c>
      <c r="B24" s="29" t="n">
        <v>0</v>
      </c>
      <c r="C24" s="29" t="n">
        <v>0</v>
      </c>
      <c r="D24" s="29" t="n">
        <v>0</v>
      </c>
      <c r="E24" s="29" t="n">
        <v>0</v>
      </c>
      <c r="F24" s="18">
        <f>C24+D24+E24</f>
        <v>0.0</v>
      </c>
      <c r="G24" s="29" t="n">
        <v>0</v>
      </c>
      <c r="H24" s="16">
        <f>IFERROR(F24-G24,0)</f>
        <v>0.0</v>
      </c>
      <c r="I24" s="29" t="n">
        <v>0</v>
      </c>
      <c r="J24" s="29" t="n"/>
    </row>
    <row r="25">
      <c r="A25" s="15" t="n">
        <v>21</v>
      </c>
      <c r="B25" s="29" t="n">
        <v>0</v>
      </c>
      <c r="C25" s="29" t="n">
        <v>0</v>
      </c>
      <c r="D25" s="29" t="n">
        <v>0</v>
      </c>
      <c r="E25" s="29" t="n">
        <v>0</v>
      </c>
      <c r="F25" s="16">
        <f>C25+D25+E25</f>
        <v>0.0</v>
      </c>
      <c r="G25" s="29" t="n">
        <v>0</v>
      </c>
      <c r="H25" s="16">
        <f>IFERROR(F25-G25,0)</f>
        <v>0.0</v>
      </c>
      <c r="I25" s="29" t="n">
        <v>0</v>
      </c>
      <c r="J25" s="29" t="n"/>
    </row>
    <row r="26">
      <c r="A26" s="17" t="n">
        <v>22</v>
      </c>
      <c r="B26" s="29" t="n">
        <v>0</v>
      </c>
      <c r="C26" s="29" t="n">
        <v>0</v>
      </c>
      <c r="D26" s="29" t="n">
        <v>0</v>
      </c>
      <c r="E26" s="29" t="n">
        <v>0</v>
      </c>
      <c r="F26" s="18">
        <f>C26+D26+E26</f>
        <v>0.0</v>
      </c>
      <c r="G26" s="29" t="n">
        <v>0</v>
      </c>
      <c r="H26" s="16">
        <f>IFERROR(F26-G26,0)</f>
        <v>0.0</v>
      </c>
      <c r="I26" s="29" t="n">
        <v>0</v>
      </c>
      <c r="J26" s="29" t="n"/>
    </row>
    <row r="27">
      <c r="A27" s="15" t="n">
        <v>23</v>
      </c>
      <c r="B27" s="29" t="n">
        <v>0</v>
      </c>
      <c r="C27" s="29" t="n">
        <v>0</v>
      </c>
      <c r="D27" s="29" t="n">
        <v>0</v>
      </c>
      <c r="E27" s="29" t="n">
        <v>0</v>
      </c>
      <c r="F27" s="16">
        <f>C27+D27+E27</f>
        <v>0.0</v>
      </c>
      <c r="G27" s="29" t="n">
        <v>0</v>
      </c>
      <c r="H27" s="16">
        <f>IFERROR(F27-G27,0)</f>
        <v>0.0</v>
      </c>
      <c r="I27" s="29" t="n">
        <v>0</v>
      </c>
      <c r="J27" s="29" t="n"/>
    </row>
    <row r="28">
      <c r="A28" s="17" t="n">
        <v>24</v>
      </c>
      <c r="B28" s="29" t="n">
        <v>0</v>
      </c>
      <c r="C28" s="29" t="n">
        <v>0</v>
      </c>
      <c r="D28" s="29" t="n">
        <v>0</v>
      </c>
      <c r="E28" s="29" t="n">
        <v>0</v>
      </c>
      <c r="F28" s="18">
        <f>C28+D28+E28</f>
        <v>0.0</v>
      </c>
      <c r="G28" s="29" t="n">
        <v>0</v>
      </c>
      <c r="H28" s="16">
        <f>IFERROR(F28-G28,0)</f>
        <v>0.0</v>
      </c>
      <c r="I28" s="29" t="n">
        <v>0</v>
      </c>
      <c r="J28" s="29" t="n"/>
    </row>
    <row r="29">
      <c r="A29" s="15" t="n">
        <v>25</v>
      </c>
      <c r="B29" s="29" t="n">
        <v>0</v>
      </c>
      <c r="C29" s="29" t="n">
        <v>0</v>
      </c>
      <c r="D29" s="29" t="n">
        <v>0</v>
      </c>
      <c r="E29" s="29" t="n">
        <v>0</v>
      </c>
      <c r="F29" s="16">
        <f>C29+D29+E29</f>
        <v>0.0</v>
      </c>
      <c r="G29" s="29" t="n">
        <v>0</v>
      </c>
      <c r="H29" s="16">
        <f>IFERROR(F29-G29,0)</f>
        <v>0.0</v>
      </c>
      <c r="I29" s="29" t="n">
        <v>0</v>
      </c>
      <c r="J29" s="29" t="n"/>
    </row>
    <row r="30">
      <c r="A30" s="17" t="n">
        <v>26</v>
      </c>
      <c r="B30" s="29" t="n">
        <v>0</v>
      </c>
      <c r="C30" s="29" t="n">
        <v>0</v>
      </c>
      <c r="D30" s="29" t="n">
        <v>0</v>
      </c>
      <c r="E30" s="29" t="n">
        <v>0</v>
      </c>
      <c r="F30" s="18">
        <f>C30+D30+E30</f>
        <v>0.0</v>
      </c>
      <c r="G30" s="29" t="n">
        <v>0</v>
      </c>
      <c r="H30" s="16">
        <f>IFERROR(F30-G30,0)</f>
        <v>0.0</v>
      </c>
      <c r="I30" s="29" t="n">
        <v>0</v>
      </c>
      <c r="J30" s="29" t="n"/>
    </row>
    <row r="31">
      <c r="A31" s="15" t="n">
        <v>27</v>
      </c>
      <c r="B31" s="29" t="n">
        <v>0</v>
      </c>
      <c r="C31" s="29" t="n">
        <v>0</v>
      </c>
      <c r="D31" s="29" t="n">
        <v>0</v>
      </c>
      <c r="E31" s="29" t="n">
        <v>0</v>
      </c>
      <c r="F31" s="16">
        <f>C31+D31+E31</f>
        <v>0.0</v>
      </c>
      <c r="G31" s="29" t="n">
        <v>0</v>
      </c>
      <c r="H31" s="16">
        <f>IFERROR(F31-G31,0)</f>
        <v>0.0</v>
      </c>
      <c r="I31" s="29" t="n">
        <v>0</v>
      </c>
      <c r="J31" s="29" t="n"/>
    </row>
    <row r="32">
      <c r="A32" s="17" t="n">
        <v>28</v>
      </c>
      <c r="B32" s="29" t="n">
        <v>0</v>
      </c>
      <c r="C32" s="29" t="n">
        <v>0</v>
      </c>
      <c r="D32" s="29" t="n">
        <v>0</v>
      </c>
      <c r="E32" s="29" t="n">
        <v>0</v>
      </c>
      <c r="F32" s="18">
        <f>C32+D32+E32</f>
        <v>0.0</v>
      </c>
      <c r="G32" s="29" t="n">
        <v>0</v>
      </c>
      <c r="H32" s="16">
        <f>IFERROR(F32-G32,0)</f>
        <v>0.0</v>
      </c>
      <c r="I32" s="29" t="n">
        <v>0</v>
      </c>
      <c r="J32" s="29" t="n"/>
    </row>
    <row r="33">
      <c r="A33" s="15" t="n">
        <v>29</v>
      </c>
      <c r="B33" s="29" t="n">
        <v>0</v>
      </c>
      <c r="C33" s="29" t="n">
        <v>0</v>
      </c>
      <c r="D33" s="29" t="n">
        <v>0</v>
      </c>
      <c r="E33" s="29" t="n">
        <v>0</v>
      </c>
      <c r="F33" s="16">
        <f>C33+D33+E33</f>
        <v>0.0</v>
      </c>
      <c r="G33" s="29" t="n">
        <v>0</v>
      </c>
      <c r="H33" s="16">
        <f>IFERROR(F33-G33,0)</f>
        <v>0.0</v>
      </c>
      <c r="I33" s="29" t="n">
        <v>0</v>
      </c>
      <c r="J33" s="29" t="n"/>
    </row>
    <row r="34">
      <c r="A34" s="17" t="n">
        <v>30</v>
      </c>
      <c r="B34" s="29" t="n">
        <v>0</v>
      </c>
      <c r="C34" s="29" t="n">
        <v>0</v>
      </c>
      <c r="D34" s="29" t="n">
        <v>0</v>
      </c>
      <c r="E34" s="29" t="n">
        <v>0</v>
      </c>
      <c r="F34" s="18">
        <f>C34+D34+E34</f>
        <v>0.0</v>
      </c>
      <c r="G34" s="29" t="n">
        <v>0</v>
      </c>
      <c r="H34" s="16">
        <f>IFERROR(F34-G34,0)</f>
        <v>0.0</v>
      </c>
      <c r="I34" s="29" t="n">
        <v>0</v>
      </c>
      <c r="J34" s="29" t="n"/>
    </row>
    <row r="35">
      <c r="A35" s="15" t="n">
        <v>31</v>
      </c>
      <c r="B35" s="29" t="n">
        <v>0</v>
      </c>
      <c r="C35" s="29" t="n">
        <v>0</v>
      </c>
      <c r="D35" s="29" t="n">
        <v>0</v>
      </c>
      <c r="E35" s="29" t="n">
        <v>0</v>
      </c>
      <c r="F35" s="16">
        <f>C35+D35+E35</f>
        <v>0.0</v>
      </c>
      <c r="G35" s="29" t="n">
        <v>0</v>
      </c>
      <c r="H35" s="16">
        <f>IFERROR(F35-G35,0)</f>
        <v>0.0</v>
      </c>
      <c r="I35" s="29" t="n">
        <v>0</v>
      </c>
      <c r="J35" s="29" t="n"/>
    </row>
    <row r="36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24">
        <f>SUM(I5:I35)</f>
        <v>0.0</v>
      </c>
      <c r="J36" s="24" t="n"/>
    </row>
    <row r="37">
      <c r="A37" s="12" t="inlineStr">
        <is>
          <t>El fondo de caja es un saldo, no una venta: en la fila TOTALES la columna «Fondo Apertura» muestra el fondo medio de los días anotados, no su suma.</t>
        </is>
      </c>
    </row>
    <row r="38">
      <c r="A38" s="12" t="inlineStr">
        <is>
          <t>© AI Chef Pro — aichef.pro</t>
        </is>
      </c>
    </row>
  </sheetData>
  <mergeCells count="5">
    <mergeCell ref="A38:J38"/>
    <mergeCell ref="A37:J37"/>
    <mergeCell ref="F2:J2"/>
    <mergeCell ref="A1:J1"/>
    <mergeCell ref="A2:E2"/>
  </mergeCells>
  <conditionalFormatting sqref="H5:H35">
    <cfRule type="cellIs" priority="2" operator="notEqual" dxfId="0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— Apertura y Cierre de Caja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2026-08-21T23:30:53Z</dcterms:modified>
  <cp:lastModifiedBy>AI Chef Pro</cp:lastModifiedBy>
  <cp:category>AI Chef Pro · Productos digitales</cp:category>
  <cp:keywords>pastelería, obrador, checklist, tareas, AI Chef Pro</cp:keywords>
</cp:coreProperties>
</file>