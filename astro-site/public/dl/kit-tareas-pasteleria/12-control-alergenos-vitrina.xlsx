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atriz Alérgenos" sheetId="2" state="visible" r:id="rId2"/>
    <sheet xmlns:r="http://schemas.openxmlformats.org/officeDocument/2006/relationships" name="Carta de Alérgenos" sheetId="3" state="visible" r:id="rId3"/>
    <sheet xmlns:r="http://schemas.openxmlformats.org/officeDocument/2006/relationships" name="Cartel Vitrina" sheetId="4" state="visible" r:id="rId4"/>
    <sheet xmlns:r="http://schemas.openxmlformats.org/officeDocument/2006/relationships" name="Etiquetas Vitrina" sheetId="5" state="visible" r:id="rId5"/>
  </sheets>
  <definedNames>
    <definedName name="_xlnm.Print_Titles" localSheetId="1">'Matriz Alérgenos'!$4:$4</definedName>
    <definedName name="_xlnm.Print_Titles" localSheetId="2">'Carta de Alérgenos'!$5:$5</definedName>
    <definedName name="_xlnm.Print_Area" localSheetId="3">'Cartel Vitrina'!$A$1:$D$30</definedName>
    <definedName name="_xlnm.Print_Area" localSheetId="4">'Etiquetas Vitrina'!$A$1:$F$31</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D700"/>
      <sz val="18"/>
    </font>
    <font>
      <name val="Calibri"/>
      <b val="1"/>
      <color rgb="00B71C1C"/>
      <sz val="11"/>
    </font>
    <font>
      <name val="Calibri"/>
      <b val="1"/>
      <color rgb="00333333"/>
      <sz val="12"/>
    </font>
    <font>
      <name val="Calibri"/>
      <color rgb="00555555"/>
      <sz val="11"/>
    </font>
    <font>
      <name val="Calibri"/>
      <color rgb="00555555"/>
      <sz val="10"/>
    </font>
    <font>
      <name val="Calibri"/>
      <color rgb="00999999"/>
      <sz val="9"/>
    </font>
    <font>
      <name val="Calibri"/>
      <b val="1"/>
      <color rgb="00FFD700"/>
      <sz val="16"/>
    </font>
    <font>
      <name val="Calibri"/>
      <b val="1"/>
      <color rgb="00FFFFFF"/>
      <sz val="11"/>
    </font>
    <font>
      <name val="Calibri"/>
      <sz val="11"/>
    </font>
    <font>
      <name val="Calibri"/>
      <color rgb="00666666"/>
      <sz val="10"/>
    </font>
    <font>
      <name val="Calibri"/>
      <color rgb="009E9E9E"/>
      <sz val="12"/>
    </font>
    <font>
      <name val="Calibri"/>
      <b val="1"/>
      <sz val="11"/>
    </font>
    <font>
      <name val="Calibri"/>
      <i val="1"/>
      <color rgb="00888888"/>
      <sz val="11"/>
    </font>
    <font>
      <name val="Calibri"/>
      <sz val="12"/>
    </font>
    <font>
      <name val="Calibri"/>
      <b val="1"/>
      <color rgb="001A1A1A"/>
      <sz val="22"/>
    </font>
    <font>
      <name val="Calibri"/>
      <b val="1"/>
      <color rgb="001A1A1A"/>
      <sz val="14"/>
    </font>
    <font>
      <name val="Calibri"/>
      <color rgb="00333333"/>
      <sz val="11"/>
    </font>
    <font>
      <name val="Calibri"/>
      <b val="1"/>
      <color rgb="00FFD700"/>
      <sz val="12"/>
    </font>
    <font>
      <name val="Calibri"/>
      <color rgb="00333333"/>
      <sz val="10"/>
    </font>
    <font>
      <name val="Calibri"/>
      <b val="1"/>
      <sz val="13"/>
    </font>
    <font>
      <name val="Calibri"/>
      <color rgb="00555555"/>
      <sz val="9"/>
    </font>
  </fonts>
  <fills count="7">
    <fill>
      <patternFill/>
    </fill>
    <fill>
      <patternFill patternType="gray125"/>
    </fill>
    <fill>
      <patternFill patternType="solid">
        <fgColor rgb="00FFEBEE"/>
        <bgColor rgb="00FFEBEE"/>
      </patternFill>
    </fill>
    <fill>
      <patternFill patternType="solid">
        <fgColor rgb="002D2D2D"/>
        <bgColor rgb="002D2D2D"/>
      </patternFill>
    </fill>
    <fill>
      <patternFill patternType="solid">
        <fgColor rgb="00E8F5E9"/>
        <bgColor rgb="00E8F5E9"/>
      </patternFill>
    </fill>
    <fill>
      <patternFill patternType="solid">
        <fgColor rgb="00FFD700"/>
        <bgColor rgb="00FFD700"/>
      </patternFill>
    </fill>
    <fill>
      <patternFill patternType="solid">
        <fgColor rgb="00F5F5F5"/>
        <bgColor rgb="00F5F5F5"/>
      </patternFill>
    </fill>
  </fills>
  <borders count="12">
    <border>
      <left/>
      <right/>
      <top/>
      <bottom/>
      <diagonal/>
    </border>
    <border>
      <left style="thin">
        <color rgb="00E0E0E0"/>
      </left>
      <right style="thin">
        <color rgb="00E0E0E0"/>
      </right>
      <top style="thin">
        <color rgb="00E0E0E0"/>
      </top>
      <bottom style="thin">
        <color rgb="00E0E0E0"/>
      </bottom>
    </border>
    <border>
      <left style="medium">
        <color rgb="009E9E9E"/>
      </left>
      <right style="medium">
        <color rgb="009E9E9E"/>
      </right>
      <top style="medium">
        <color rgb="009E9E9E"/>
      </top>
      <bottom style="medium">
        <color rgb="009E9E9E"/>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E0E0E0"/>
      </left>
      <right/>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s>
  <cellStyleXfs count="1">
    <xf numFmtId="0" fontId="0" fillId="0" borderId="0"/>
  </cellStyleXfs>
  <cellXfs count="53">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0" borderId="0" applyAlignment="1" pivotButton="0" quotePrefix="0" xfId="0">
      <alignment horizontal="left" vertical="center" wrapText="1"/>
    </xf>
    <xf numFmtId="0" fontId="5"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8" fillId="3" borderId="1" applyAlignment="1" pivotButton="0" quotePrefix="0" xfId="0">
      <alignment horizontal="center" vertical="bottom" textRotation="90"/>
    </xf>
    <xf numFmtId="0" fontId="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5" fillId="4" borderId="1" applyAlignment="1" pivotButton="0" quotePrefix="0" xfId="0">
      <alignment horizontal="left" vertical="center" wrapText="1"/>
    </xf>
    <xf numFmtId="1"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2" fillId="5" borderId="1" applyAlignment="1" pivotButton="0" quotePrefix="0" xfId="0">
      <alignment horizontal="left" vertical="center" wrapText="1"/>
    </xf>
    <xf numFmtId="0" fontId="9" fillId="5" borderId="1" applyAlignment="1" pivotButton="0" quotePrefix="0" xfId="0">
      <alignment horizontal="left" vertical="center" wrapText="1"/>
    </xf>
    <xf numFmtId="1" fontId="12" fillId="5" borderId="1" applyAlignment="1" pivotButton="0" quotePrefix="0" xfId="0">
      <alignment horizontal="center" vertical="center" wrapText="1"/>
    </xf>
    <xf numFmtId="0" fontId="12" fillId="6" borderId="1" applyAlignment="1" pivotButton="0" quotePrefix="0" xfId="0">
      <alignment horizontal="left" vertical="center" wrapText="1"/>
    </xf>
    <xf numFmtId="0" fontId="9" fillId="6" borderId="1" applyAlignment="1" pivotButton="0" quotePrefix="0" xfId="0">
      <alignment horizontal="left" vertical="center" wrapText="1"/>
    </xf>
    <xf numFmtId="1" fontId="12" fillId="6" borderId="1" applyAlignment="1" pivotButton="0" quotePrefix="0" xfId="0">
      <alignment horizontal="center" vertical="center" wrapText="1"/>
    </xf>
    <xf numFmtId="0" fontId="1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3" fillId="0" borderId="0" applyAlignment="1" pivotButton="0" quotePrefix="0" xfId="0">
      <alignment horizontal="left" vertical="center" wrapText="1"/>
    </xf>
    <xf numFmtId="0" fontId="14" fillId="0" borderId="1" applyAlignment="1" pivotButton="0" quotePrefix="0" xfId="0">
      <alignment horizontal="center" vertical="center" wrapText="1"/>
    </xf>
    <xf numFmtId="0" fontId="0" fillId="4" borderId="1" pivotButton="0" quotePrefix="0" xfId="0"/>
    <xf numFmtId="0" fontId="12" fillId="0" borderId="0" pivotButton="0" quotePrefix="0" xfId="0"/>
    <xf numFmtId="0" fontId="15" fillId="0" borderId="0" applyAlignment="1" pivotButton="0" quotePrefix="0" xfId="0">
      <alignment horizontal="center" vertical="center" wrapText="1"/>
    </xf>
    <xf numFmtId="0" fontId="16" fillId="5" borderId="1" applyAlignment="1" pivotButton="0" quotePrefix="0" xfId="0">
      <alignment horizontal="center" vertical="center" wrapText="1"/>
    </xf>
    <xf numFmtId="0" fontId="0" fillId="5" borderId="1" pivotButton="0" quotePrefix="0" xfId="0"/>
    <xf numFmtId="0" fontId="17" fillId="4" borderId="1" applyAlignment="1" pivotButton="0" quotePrefix="0" xfId="0">
      <alignment horizontal="center" vertical="center" wrapText="1"/>
    </xf>
    <xf numFmtId="0" fontId="18" fillId="3" borderId="0" applyAlignment="1" pivotButton="0" quotePrefix="0" xfId="0">
      <alignment horizontal="center" vertical="center" wrapText="1"/>
    </xf>
    <xf numFmtId="0" fontId="0" fillId="3" borderId="0" pivotButton="0" quotePrefix="0" xfId="0"/>
    <xf numFmtId="0" fontId="19" fillId="0" borderId="1" applyAlignment="1" pivotButton="0" quotePrefix="0" xfId="0">
      <alignment horizontal="left"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20" fillId="4" borderId="2" applyAlignment="1" pivotButton="0" quotePrefix="0" xfId="0">
      <alignment horizontal="center" vertical="center" wrapText="1"/>
    </xf>
    <xf numFmtId="0" fontId="14" fillId="4" borderId="2" applyAlignment="1" pivotButton="0" quotePrefix="0" xfId="0">
      <alignment horizontal="center" vertical="center" wrapText="1"/>
    </xf>
    <xf numFmtId="0" fontId="21" fillId="4" borderId="2"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hidden="0"/>
  </cellStyles>
  <dxfs count="2">
    <dxf>
      <font>
        <name val="Calibri"/>
        <b val="1"/>
        <color rgb="00B71C1C"/>
        <sz val="11"/>
      </font>
      <fill>
        <patternFill patternType="solid">
          <fgColor rgb="00FFCDD2"/>
          <bgColor rgb="00FFCDD2"/>
        </patternFill>
      </fill>
    </dxf>
    <dxf>
      <fill>
        <patternFill patternType="solid">
          <fgColor rgb="00E8F5E9"/>
          <b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B32"/>
  <sheetViews>
    <sheetView workbookViewId="0">
      <selection activeCell="A1" sqref="A1"/>
    </sheetView>
  </sheetViews>
  <sheetFormatPr baseColWidth="8" defaultRowHeight="15"/>
  <cols>
    <col width="3" customWidth="1" min="1" max="1"/>
    <col width="95" customWidth="1" min="2" max="2"/>
  </cols>
  <sheetData>
    <row r="1"/>
    <row r="2">
      <c r="B2" s="1" t="inlineStr">
        <is>
          <t>12 — Control de Alérgenos de Vitrina · 14 Alérgenos de Declaración Obligatoria</t>
        </is>
      </c>
    </row>
    <row r="3"/>
    <row r="4">
      <c r="B4" s="2" t="inlineStr">
        <is>
          <t>Esta plantilla se entrega como BORRADOR. Los símbolos vienen pre-marcados en gris como propuesta de partida. No publiques ni enseñes nada sin contrastar cada referencia con tu receta real y con las fichas técnicas de tus proveedores. La responsabilidad de la información es del establecimiento.</t>
        </is>
      </c>
    </row>
    <row r="5">
      <c r="B5" s="3" t="n"/>
    </row>
    <row r="6">
      <c r="B6" s="4" t="inlineStr">
        <is>
          <t>Qué exige la ley:</t>
        </is>
      </c>
    </row>
    <row r="7">
      <c r="B7" s="5" t="inlineStr">
        <is>
          <t>▸ El Reglamento (UE) 1169/2011 y el Real Decreto 126/2015 obligan a informar de los 14 alérgenos también en los alimentos que se venden sin envasar: vitrina, granel, obrador y cafetería.</t>
        </is>
      </c>
    </row>
    <row r="8">
      <c r="B8" s="5" t="inlineStr">
        <is>
          <t>▸ En producto sin envasar la información tiene que estar disponible POR ESCRITO y ser accesible antes de la compra. La vía oral solo vale si hay un cartel visible que indique que la información escrita se puede solicitar.</t>
        </is>
      </c>
    </row>
    <row r="9">
      <c r="B9" s="5" t="inlineStr">
        <is>
          <t>▸ Un «puede contener» genérico no sustituye a declarar los alérgenos que llevas de forma intencionada.</t>
        </is>
      </c>
    </row>
    <row r="10">
      <c r="B10" s="3" t="n"/>
    </row>
    <row r="11">
      <c r="B11" s="4" t="inlineStr">
        <is>
          <t>Cómo usar esta plantilla:</t>
        </is>
      </c>
    </row>
    <row r="12">
      <c r="B12" s="5" t="inlineStr">
        <is>
          <t>▸ Hoja Matriz Alérgenos: repasa referencia por referencia. Marca ● si el producto lo contiene y ○ si puede contener trazas por contaminación cruzada en tu obrador.</t>
        </is>
      </c>
    </row>
    <row r="13">
      <c r="B13" s="5" t="inlineStr">
        <is>
          <t>▸ Anota el proveedor y el número de ficha técnica que respalda cada decisión, pon la fecha de verificación y firma. Hasta que no pongas la fecha, la columna Estado dice NO PUBLICAR.</t>
        </is>
      </c>
    </row>
    <row r="14">
      <c r="B14" s="5" t="inlineStr">
        <is>
          <t>▸ La columna Notas de verificación te dice qué mirar en las referencias donde el símbolo depende de la marca o de la receta: pasas y fruta escarchada (sulfitos), turrón (clara de huevo), coberturas de chocolate (lecitina de soja), polvorones (ajonjolí).</t>
        </is>
      </c>
    </row>
    <row r="15">
      <c r="B15" s="5" t="inlineStr">
        <is>
          <t>▸ La frase de contaminación cruzada del cartel y de la carta está en celda verde: sustituye la lista por los alérgenos que se manipulan de verdad en tu obrador. Declarar «los 14» cuando no trabajas con crustáceos ni con moluscos es el «puede contener» genérico que la ley desaconseja.</t>
        </is>
      </c>
    </row>
    <row r="16">
      <c r="B16" s="5" t="inlineStr">
        <is>
          <t>▸ Hoja Carta de Alérgenos: se rellena sola desde la matriz. Es el documento que se enseña al cliente y el que pide el inspector. Imprímela cuando no quede ninguna referencia sin verificar.</t>
        </is>
      </c>
    </row>
    <row r="17">
      <c r="B17" s="5" t="inlineStr">
        <is>
          <t>▸ Hoja Cartel Vitrina: cuélgalo a la vista del cliente, junto a la vitrina.</t>
        </is>
      </c>
    </row>
    <row r="18">
      <c r="B18" s="5" t="inlineStr">
        <is>
          <t>▸ Hoja Etiquetas Vitrina: una etiqueta por referencia, con precio y alérgenos abreviados.</t>
        </is>
      </c>
    </row>
    <row r="19">
      <c r="B19" s="3" t="n"/>
    </row>
    <row r="20">
      <c r="B20" s="4" t="inlineStr">
        <is>
          <t>Cuándo hay que revisarla:</t>
        </is>
      </c>
    </row>
    <row r="21">
      <c r="B21" s="5" t="inlineStr">
        <is>
          <t>▸ Siempre que cambies una receta, un ingrediente o un proveedor.</t>
        </is>
      </c>
    </row>
    <row r="22">
      <c r="B22" s="5" t="inlineStr">
        <is>
          <t>▸ Al menos una vez al año, aunque no haya cambiado nada, y siempre antes de una campaña.</t>
        </is>
      </c>
    </row>
    <row r="23">
      <c r="B23" s="3" t="n"/>
    </row>
    <row r="24">
      <c r="B24" s="4" t="inlineStr">
        <is>
          <t>Personalización:</t>
        </is>
      </c>
    </row>
    <row r="25">
      <c r="B25" s="5" t="inlineStr">
        <is>
          <t>▸ Las celdas verdes son editables. Los símbolos ● y ○ se eligen del desplegable de cada casilla.</t>
        </is>
      </c>
    </row>
    <row r="26">
      <c r="B26" s="5" t="inlineStr">
        <is>
          <t>▸ Hay cuatro filas libres al final de la matriz para tus referencias propias.</t>
        </is>
      </c>
    </row>
    <row r="27">
      <c r="B27" s="5" t="inlineStr">
        <is>
          <t>▸ Referencias del kit: las etiquetas de vitrina se colocan en la apertura (→ 08 Apertura y Cierre del Negocio · hoja Apertura del Negocio) y los alérgenos declarados por el cliente se anotan en la ficha de encargo (→ 11 Control de Encargos).</t>
        </is>
      </c>
    </row>
    <row r="28"/>
    <row r="29"/>
    <row r="30">
      <c r="B30" s="6" t="inlineStr">
        <is>
          <t>Dudas o sugerencias: info@aichef.pro — respondemos en 24-48 h laborables.</t>
        </is>
      </c>
    </row>
    <row r="31">
      <c r="B31" s="6" t="inlineStr">
        <is>
          <t>Diseñado por John Guerrero — chef y consultor gastronómico desde 2010, en cocina desde los 17 años · johnguerrero.es</t>
        </is>
      </c>
    </row>
    <row r="32">
      <c r="B32" s="7" t="inlineStr">
        <is>
          <t>Versión 2.0 · agosto 2026 · aichef.pro/kit-tareas-pasteleria · info@aichef.pro</t>
        </is>
      </c>
    </row>
  </sheetData>
  <pageMargins left="0.75" right="0.75" top="1" bottom="1" header="0.5" footer="0.5"/>
  <pageSetup orientation="portrait" paperSize="9"/>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V57"/>
  <sheetViews>
    <sheetView workbookViewId="0">
      <pane ySplit="4" topLeftCell="A5" activePane="bottomLeft" state="frozen"/>
      <selection pane="bottomLeft" activeCell="A1" sqref="A1"/>
    </sheetView>
  </sheetViews>
  <sheetFormatPr baseColWidth="8" defaultRowHeight="15"/>
  <cols>
    <col width="28" customWidth="1" min="1" max="1"/>
    <col width="17"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9" customWidth="1" min="17" max="17"/>
    <col width="26" customWidth="1" min="18" max="18"/>
    <col width="22" customWidth="1" min="19" max="19"/>
    <col width="13" customWidth="1" min="20" max="20"/>
    <col width="15" customWidth="1" min="21" max="21"/>
    <col width="52" customWidth="1" min="22" max="22"/>
  </cols>
  <sheetData>
    <row r="1" ht="22" customHeight="1">
      <c r="A1" s="8" t="inlineStr">
        <is>
          <t>Matriz de Alérgenos de Vitrina — Borrador de Trabajo</t>
        </is>
      </c>
    </row>
    <row r="2">
      <c r="A2" s="2" t="inlineStr">
        <is>
          <t>PLANTILLA DE PARTIDA — NO LA PUBLIQUES SIN VERIFICARLA. Los símbolos vienen pre-marcados en gris como propuesta: contrasta cada referencia con TU receta real y con las fichas técnicas de tus proveedores antes de enseñar nada a un cliente.</t>
        </is>
      </c>
      <c r="B2" s="46" t="n"/>
      <c r="C2" s="46" t="n"/>
      <c r="D2" s="46" t="n"/>
      <c r="E2" s="46" t="n"/>
      <c r="F2" s="46" t="n"/>
      <c r="G2" s="46" t="n"/>
      <c r="H2" s="46" t="n"/>
      <c r="I2" s="46" t="n"/>
      <c r="J2" s="46" t="n"/>
      <c r="K2" s="46" t="n"/>
      <c r="L2" s="46" t="n"/>
      <c r="M2" s="46" t="n"/>
      <c r="N2" s="46" t="n"/>
      <c r="O2" s="46" t="n"/>
      <c r="P2" s="46" t="n"/>
      <c r="Q2" s="46" t="n"/>
      <c r="R2" s="46" t="n"/>
      <c r="S2" s="46" t="n"/>
      <c r="T2" s="46" t="n"/>
      <c r="U2" s="46" t="n"/>
      <c r="V2" s="47" t="n"/>
    </row>
    <row r="3">
      <c r="A3" s="9" t="inlineStr">
        <is>
          <t>●  contiene    ○  puede contener trazas    celda vacía  no contiene    Los símbolos en gris son la propuesta de partida; al verificarlos, reescríbelos.</t>
        </is>
      </c>
    </row>
    <row r="4" ht="95" customHeight="1">
      <c r="A4" s="10" t="inlineStr">
        <is>
          <t>Producto</t>
        </is>
      </c>
      <c r="B4" s="10" t="inlineStr">
        <is>
          <t>Categoría</t>
        </is>
      </c>
      <c r="C4" s="11" t="inlineStr">
        <is>
          <t>Gluten</t>
        </is>
      </c>
      <c r="D4" s="11" t="inlineStr">
        <is>
          <t>Crustáceos</t>
        </is>
      </c>
      <c r="E4" s="11" t="inlineStr">
        <is>
          <t>Huevos</t>
        </is>
      </c>
      <c r="F4" s="11" t="inlineStr">
        <is>
          <t>Pescado</t>
        </is>
      </c>
      <c r="G4" s="11" t="inlineStr">
        <is>
          <t>Cacahuetes</t>
        </is>
      </c>
      <c r="H4" s="11" t="inlineStr">
        <is>
          <t>Soja</t>
        </is>
      </c>
      <c r="I4" s="11" t="inlineStr">
        <is>
          <t>Lácteos</t>
        </is>
      </c>
      <c r="J4" s="11" t="inlineStr">
        <is>
          <t>Frutos de cáscara</t>
        </is>
      </c>
      <c r="K4" s="11" t="inlineStr">
        <is>
          <t>Apio</t>
        </is>
      </c>
      <c r="L4" s="11" t="inlineStr">
        <is>
          <t>Mostaza</t>
        </is>
      </c>
      <c r="M4" s="11" t="inlineStr">
        <is>
          <t>Sésamo</t>
        </is>
      </c>
      <c r="N4" s="11" t="inlineStr">
        <is>
          <t>Sulfitos</t>
        </is>
      </c>
      <c r="O4" s="11" t="inlineStr">
        <is>
          <t>Altramuces</t>
        </is>
      </c>
      <c r="P4" s="11" t="inlineStr">
        <is>
          <t>Moluscos</t>
        </is>
      </c>
      <c r="Q4" s="10" t="inlineStr">
        <is>
          <t>Total ●</t>
        </is>
      </c>
      <c r="R4" s="10" t="inlineStr">
        <is>
          <t>Proveedor / Nº de ficha técnica</t>
        </is>
      </c>
      <c r="S4" s="10" t="inlineStr">
        <is>
          <t>Verificado con ficha técnica (fecha)</t>
        </is>
      </c>
      <c r="T4" s="10" t="inlineStr">
        <is>
          <t>Firma</t>
        </is>
      </c>
      <c r="U4" s="10" t="inlineStr">
        <is>
          <t>Estado</t>
        </is>
      </c>
      <c r="V4" s="10" t="inlineStr">
        <is>
          <t>Notas de verificación</t>
        </is>
      </c>
    </row>
    <row r="5">
      <c r="A5" s="12" t="inlineStr">
        <is>
          <t>Croissant de mantequilla</t>
        </is>
      </c>
      <c r="B5" s="13" t="inlineStr">
        <is>
          <t>Bollería</t>
        </is>
      </c>
      <c r="C5" s="14" t="inlineStr">
        <is>
          <t>●</t>
        </is>
      </c>
      <c r="D5" s="14" t="n"/>
      <c r="E5" s="14" t="inlineStr">
        <is>
          <t>●</t>
        </is>
      </c>
      <c r="F5" s="14" t="n"/>
      <c r="G5" s="14" t="n"/>
      <c r="H5" s="14" t="inlineStr">
        <is>
          <t>○</t>
        </is>
      </c>
      <c r="I5" s="14" t="inlineStr">
        <is>
          <t>●</t>
        </is>
      </c>
      <c r="J5" s="14" t="inlineStr">
        <is>
          <t>○</t>
        </is>
      </c>
      <c r="K5" s="14" t="n"/>
      <c r="L5" s="14" t="n"/>
      <c r="M5" s="14" t="inlineStr">
        <is>
          <t>○</t>
        </is>
      </c>
      <c r="N5" s="14" t="n"/>
      <c r="O5" s="14" t="n"/>
      <c r="P5" s="14" t="n"/>
      <c r="Q5" s="15">
        <f>COUNTIF(C5:P5,"●")</f>
        <v>3.0</v>
      </c>
      <c r="R5" s="16" t="n"/>
      <c r="S5" s="17" t="n"/>
      <c r="T5" s="17" t="n"/>
      <c r="U5" s="18" t="str">
        <f>IF($S5="","NO PUBLICAR","Verificado")</f>
        <v>NO PUBLICAR</v>
      </c>
      <c r="V5" s="19" t="n"/>
    </row>
    <row r="6">
      <c r="A6" s="12" t="inlineStr">
        <is>
          <t>Pain au chocolat</t>
        </is>
      </c>
      <c r="B6" s="13" t="inlineStr">
        <is>
          <t>Bollería</t>
        </is>
      </c>
      <c r="C6" s="14" t="inlineStr">
        <is>
          <t>●</t>
        </is>
      </c>
      <c r="D6" s="14" t="n"/>
      <c r="E6" s="14" t="inlineStr">
        <is>
          <t>●</t>
        </is>
      </c>
      <c r="F6" s="14" t="n"/>
      <c r="G6" s="14" t="n"/>
      <c r="H6" s="14" t="inlineStr">
        <is>
          <t>●</t>
        </is>
      </c>
      <c r="I6" s="14" t="inlineStr">
        <is>
          <t>●</t>
        </is>
      </c>
      <c r="J6" s="14" t="inlineStr">
        <is>
          <t>○</t>
        </is>
      </c>
      <c r="K6" s="14" t="n"/>
      <c r="L6" s="14" t="n"/>
      <c r="M6" s="14" t="n"/>
      <c r="N6" s="14" t="n"/>
      <c r="O6" s="14" t="n"/>
      <c r="P6" s="14" t="n"/>
      <c r="Q6" s="15">
        <f>COUNTIF(C6:P6,"●")</f>
        <v>4.0</v>
      </c>
      <c r="R6" s="16" t="n"/>
      <c r="S6" s="17" t="n"/>
      <c r="T6" s="17" t="n"/>
      <c r="U6" s="18" t="str">
        <f>IF($S6="","NO PUBLICAR","Verificado")</f>
        <v>NO PUBLICAR</v>
      </c>
      <c r="V6" s="19" t="n"/>
    </row>
    <row r="7">
      <c r="A7" s="12" t="inlineStr">
        <is>
          <t>Napolitana de crema</t>
        </is>
      </c>
      <c r="B7" s="13" t="inlineStr">
        <is>
          <t>Bollería</t>
        </is>
      </c>
      <c r="C7" s="14" t="inlineStr">
        <is>
          <t>●</t>
        </is>
      </c>
      <c r="D7" s="14" t="n"/>
      <c r="E7" s="14" t="inlineStr">
        <is>
          <t>●</t>
        </is>
      </c>
      <c r="F7" s="14" t="n"/>
      <c r="G7" s="14" t="n"/>
      <c r="H7" s="14" t="inlineStr">
        <is>
          <t>○</t>
        </is>
      </c>
      <c r="I7" s="14" t="inlineStr">
        <is>
          <t>●</t>
        </is>
      </c>
      <c r="J7" s="14" t="inlineStr">
        <is>
          <t>○</t>
        </is>
      </c>
      <c r="K7" s="14" t="n"/>
      <c r="L7" s="14" t="n"/>
      <c r="M7" s="14" t="n"/>
      <c r="N7" s="14" t="n"/>
      <c r="O7" s="14" t="n"/>
      <c r="P7" s="14" t="n"/>
      <c r="Q7" s="15">
        <f>COUNTIF(C7:P7,"●")</f>
        <v>3.0</v>
      </c>
      <c r="R7" s="16" t="n"/>
      <c r="S7" s="17" t="n"/>
      <c r="T7" s="17" t="n"/>
      <c r="U7" s="18" t="str">
        <f>IF($S7="","NO PUBLICAR","Verificado")</f>
        <v>NO PUBLICAR</v>
      </c>
      <c r="V7" s="19" t="n"/>
    </row>
    <row r="8">
      <c r="A8" s="12" t="inlineStr">
        <is>
          <t>Ensaimada</t>
        </is>
      </c>
      <c r="B8" s="13" t="inlineStr">
        <is>
          <t>Bollería</t>
        </is>
      </c>
      <c r="C8" s="14" t="inlineStr">
        <is>
          <t>●</t>
        </is>
      </c>
      <c r="D8" s="14" t="n"/>
      <c r="E8" s="14" t="inlineStr">
        <is>
          <t>●</t>
        </is>
      </c>
      <c r="F8" s="14" t="n"/>
      <c r="G8" s="14" t="n"/>
      <c r="H8" s="14" t="inlineStr">
        <is>
          <t>○</t>
        </is>
      </c>
      <c r="I8" s="14" t="inlineStr">
        <is>
          <t>○</t>
        </is>
      </c>
      <c r="J8" s="14" t="inlineStr">
        <is>
          <t>○</t>
        </is>
      </c>
      <c r="K8" s="14" t="n"/>
      <c r="L8" s="14" t="n"/>
      <c r="M8" s="14" t="n"/>
      <c r="N8" s="14" t="n"/>
      <c r="O8" s="14" t="n"/>
      <c r="P8" s="14" t="n"/>
      <c r="Q8" s="15">
        <f>COUNTIF(C8:P8,"●")</f>
        <v>2.0</v>
      </c>
      <c r="R8" s="16" t="n"/>
      <c r="S8" s="17" t="n"/>
      <c r="T8" s="17" t="n"/>
      <c r="U8" s="18" t="str">
        <f>IF($S8="","NO PUBLICAR","Verificado")</f>
        <v>NO PUBLICAR</v>
      </c>
      <c r="V8" s="19" t="n"/>
    </row>
    <row r="9">
      <c r="A9" s="12" t="inlineStr">
        <is>
          <t>Brioche</t>
        </is>
      </c>
      <c r="B9" s="13" t="inlineStr">
        <is>
          <t>Bollería</t>
        </is>
      </c>
      <c r="C9" s="14" t="inlineStr">
        <is>
          <t>●</t>
        </is>
      </c>
      <c r="D9" s="14" t="n"/>
      <c r="E9" s="14" t="inlineStr">
        <is>
          <t>●</t>
        </is>
      </c>
      <c r="F9" s="14" t="n"/>
      <c r="G9" s="14" t="n"/>
      <c r="H9" s="14" t="inlineStr">
        <is>
          <t>○</t>
        </is>
      </c>
      <c r="I9" s="14" t="inlineStr">
        <is>
          <t>●</t>
        </is>
      </c>
      <c r="J9" s="14" t="inlineStr">
        <is>
          <t>○</t>
        </is>
      </c>
      <c r="K9" s="14" t="n"/>
      <c r="L9" s="14" t="n"/>
      <c r="M9" s="14" t="n"/>
      <c r="N9" s="14" t="n"/>
      <c r="O9" s="14" t="n"/>
      <c r="P9" s="14" t="n"/>
      <c r="Q9" s="15">
        <f>COUNTIF(C9:P9,"●")</f>
        <v>3.0</v>
      </c>
      <c r="R9" s="16" t="n"/>
      <c r="S9" s="17" t="n"/>
      <c r="T9" s="17" t="n"/>
      <c r="U9" s="18" t="str">
        <f>IF($S9="","NO PUBLICAR","Verificado")</f>
        <v>NO PUBLICAR</v>
      </c>
      <c r="V9" s="19" t="n"/>
    </row>
    <row r="10">
      <c r="A10" s="12" t="inlineStr">
        <is>
          <t>Caracola de pasas</t>
        </is>
      </c>
      <c r="B10" s="13" t="inlineStr">
        <is>
          <t>Bollería</t>
        </is>
      </c>
      <c r="C10" s="14" t="inlineStr">
        <is>
          <t>●</t>
        </is>
      </c>
      <c r="D10" s="14" t="n"/>
      <c r="E10" s="14" t="inlineStr">
        <is>
          <t>●</t>
        </is>
      </c>
      <c r="F10" s="14" t="n"/>
      <c r="G10" s="14" t="n"/>
      <c r="H10" s="14" t="inlineStr">
        <is>
          <t>○</t>
        </is>
      </c>
      <c r="I10" s="14" t="inlineStr">
        <is>
          <t>●</t>
        </is>
      </c>
      <c r="J10" s="14" t="inlineStr">
        <is>
          <t>○</t>
        </is>
      </c>
      <c r="K10" s="14" t="n"/>
      <c r="L10" s="14" t="n"/>
      <c r="M10" s="14" t="n"/>
      <c r="N10" s="14" t="inlineStr">
        <is>
          <t>●</t>
        </is>
      </c>
      <c r="O10" s="14" t="n"/>
      <c r="P10" s="14" t="n"/>
      <c r="Q10" s="15">
        <f>COUNTIF(C10:P10,"●")</f>
        <v>4.0</v>
      </c>
      <c r="R10" s="16" t="n"/>
      <c r="S10" s="17" t="n"/>
      <c r="T10" s="17" t="n"/>
      <c r="U10" s="18" t="str">
        <f>IF($S10="","NO PUBLICAR","Verificado")</f>
        <v>NO PUBLICAR</v>
      </c>
      <c r="V10" s="19" t="inlineStr">
        <is>
          <t>Sulfitos: las pasas suelen ir sulfitadas — comprobar mg/kg en la ficha técnica.</t>
        </is>
      </c>
    </row>
    <row r="11">
      <c r="A11" s="12" t="inlineStr">
        <is>
          <t>Palmera de hojaldre</t>
        </is>
      </c>
      <c r="B11" s="13" t="inlineStr">
        <is>
          <t>Bollería</t>
        </is>
      </c>
      <c r="C11" s="14" t="inlineStr">
        <is>
          <t>●</t>
        </is>
      </c>
      <c r="D11" s="14" t="n"/>
      <c r="E11" s="14" t="inlineStr">
        <is>
          <t>○</t>
        </is>
      </c>
      <c r="F11" s="14" t="n"/>
      <c r="G11" s="14" t="n"/>
      <c r="H11" s="14" t="inlineStr">
        <is>
          <t>○</t>
        </is>
      </c>
      <c r="I11" s="14" t="inlineStr">
        <is>
          <t>●</t>
        </is>
      </c>
      <c r="J11" s="14" t="inlineStr">
        <is>
          <t>○</t>
        </is>
      </c>
      <c r="K11" s="14" t="n"/>
      <c r="L11" s="14" t="n"/>
      <c r="M11" s="14" t="n"/>
      <c r="N11" s="14" t="n"/>
      <c r="O11" s="14" t="n"/>
      <c r="P11" s="14" t="n"/>
      <c r="Q11" s="15">
        <f>COUNTIF(C11:P11,"●")</f>
        <v>2.0</v>
      </c>
      <c r="R11" s="16" t="n"/>
      <c r="S11" s="17" t="n"/>
      <c r="T11" s="17" t="n"/>
      <c r="U11" s="18" t="str">
        <f>IF($S11="","NO PUBLICAR","Verificado")</f>
        <v>NO PUBLICAR</v>
      </c>
      <c r="V11" s="19" t="n"/>
    </row>
    <row r="12">
      <c r="A12" s="12" t="inlineStr">
        <is>
          <t>Croissant relleno de crema</t>
        </is>
      </c>
      <c r="B12" s="13" t="inlineStr">
        <is>
          <t>Bollería</t>
        </is>
      </c>
      <c r="C12" s="14" t="inlineStr">
        <is>
          <t>●</t>
        </is>
      </c>
      <c r="D12" s="14" t="n"/>
      <c r="E12" s="14" t="inlineStr">
        <is>
          <t>●</t>
        </is>
      </c>
      <c r="F12" s="14" t="n"/>
      <c r="G12" s="14" t="n"/>
      <c r="H12" s="14" t="inlineStr">
        <is>
          <t>○</t>
        </is>
      </c>
      <c r="I12" s="14" t="inlineStr">
        <is>
          <t>●</t>
        </is>
      </c>
      <c r="J12" s="14" t="inlineStr">
        <is>
          <t>○</t>
        </is>
      </c>
      <c r="K12" s="14" t="n"/>
      <c r="L12" s="14" t="n"/>
      <c r="M12" s="14" t="n"/>
      <c r="N12" s="14" t="n"/>
      <c r="O12" s="14" t="n"/>
      <c r="P12" s="14" t="n"/>
      <c r="Q12" s="15">
        <f>COUNTIF(C12:P12,"●")</f>
        <v>3.0</v>
      </c>
      <c r="R12" s="16" t="n"/>
      <c r="S12" s="17" t="n"/>
      <c r="T12" s="17" t="n"/>
      <c r="U12" s="18" t="str">
        <f>IF($S12="","NO PUBLICAR","Verificado")</f>
        <v>NO PUBLICAR</v>
      </c>
      <c r="V12" s="19" t="n"/>
    </row>
    <row r="13">
      <c r="A13" s="12" t="inlineStr">
        <is>
          <t>Tarta de queso</t>
        </is>
      </c>
      <c r="B13" s="13" t="inlineStr">
        <is>
          <t>Pastelería</t>
        </is>
      </c>
      <c r="C13" s="14" t="inlineStr">
        <is>
          <t>●</t>
        </is>
      </c>
      <c r="D13" s="14" t="n"/>
      <c r="E13" s="14" t="inlineStr">
        <is>
          <t>●</t>
        </is>
      </c>
      <c r="F13" s="14" t="n"/>
      <c r="G13" s="14" t="n"/>
      <c r="H13" s="14" t="inlineStr">
        <is>
          <t>○</t>
        </is>
      </c>
      <c r="I13" s="14" t="inlineStr">
        <is>
          <t>●</t>
        </is>
      </c>
      <c r="J13" s="14" t="inlineStr">
        <is>
          <t>○</t>
        </is>
      </c>
      <c r="K13" s="14" t="n"/>
      <c r="L13" s="14" t="n"/>
      <c r="M13" s="14" t="n"/>
      <c r="N13" s="14" t="n"/>
      <c r="O13" s="14" t="n"/>
      <c r="P13" s="14" t="n"/>
      <c r="Q13" s="15">
        <f>COUNTIF(C13:P13,"●")</f>
        <v>3.0</v>
      </c>
      <c r="R13" s="16" t="n"/>
      <c r="S13" s="17" t="n"/>
      <c r="T13" s="17" t="n"/>
      <c r="U13" s="18" t="str">
        <f>IF($S13="","NO PUBLICAR","Verificado")</f>
        <v>NO PUBLICAR</v>
      </c>
      <c r="V13" s="19" t="n"/>
    </row>
    <row r="14">
      <c r="A14" s="12" t="inlineStr">
        <is>
          <t>Tarta de manzana</t>
        </is>
      </c>
      <c r="B14" s="13" t="inlineStr">
        <is>
          <t>Pastelería</t>
        </is>
      </c>
      <c r="C14" s="14" t="inlineStr">
        <is>
          <t>●</t>
        </is>
      </c>
      <c r="D14" s="14" t="n"/>
      <c r="E14" s="14" t="inlineStr">
        <is>
          <t>●</t>
        </is>
      </c>
      <c r="F14" s="14" t="n"/>
      <c r="G14" s="14" t="n"/>
      <c r="H14" s="14" t="n"/>
      <c r="I14" s="14" t="inlineStr">
        <is>
          <t>●</t>
        </is>
      </c>
      <c r="J14" s="14" t="inlineStr">
        <is>
          <t>○</t>
        </is>
      </c>
      <c r="K14" s="14" t="n"/>
      <c r="L14" s="14" t="n"/>
      <c r="M14" s="14" t="n"/>
      <c r="N14" s="14" t="inlineStr">
        <is>
          <t>○</t>
        </is>
      </c>
      <c r="O14" s="14" t="n"/>
      <c r="P14" s="14" t="n"/>
      <c r="Q14" s="15">
        <f>COUNTIF(C14:P14,"●")</f>
        <v>3.0</v>
      </c>
      <c r="R14" s="16" t="n"/>
      <c r="S14" s="17" t="n"/>
      <c r="T14" s="17" t="n"/>
      <c r="U14" s="18" t="str">
        <f>IF($S14="","NO PUBLICAR","Verificado")</f>
        <v>NO PUBLICAR</v>
      </c>
      <c r="V14" s="19" t="n"/>
    </row>
    <row r="15">
      <c r="A15" s="12" t="inlineStr">
        <is>
          <t>Milhojas</t>
        </is>
      </c>
      <c r="B15" s="13" t="inlineStr">
        <is>
          <t>Pastelería</t>
        </is>
      </c>
      <c r="C15" s="14" t="inlineStr">
        <is>
          <t>●</t>
        </is>
      </c>
      <c r="D15" s="14" t="n"/>
      <c r="E15" s="14" t="inlineStr">
        <is>
          <t>●</t>
        </is>
      </c>
      <c r="F15" s="14" t="n"/>
      <c r="G15" s="14" t="n"/>
      <c r="H15" s="14" t="inlineStr">
        <is>
          <t>○</t>
        </is>
      </c>
      <c r="I15" s="14" t="inlineStr">
        <is>
          <t>●</t>
        </is>
      </c>
      <c r="J15" s="14" t="inlineStr">
        <is>
          <t>○</t>
        </is>
      </c>
      <c r="K15" s="14" t="n"/>
      <c r="L15" s="14" t="n"/>
      <c r="M15" s="14" t="n"/>
      <c r="N15" s="14" t="n"/>
      <c r="O15" s="14" t="n"/>
      <c r="P15" s="14" t="n"/>
      <c r="Q15" s="15">
        <f>COUNTIF(C15:P15,"●")</f>
        <v>3.0</v>
      </c>
      <c r="R15" s="16" t="n"/>
      <c r="S15" s="17" t="n"/>
      <c r="T15" s="17" t="n"/>
      <c r="U15" s="18" t="str">
        <f>IF($S15="","NO PUBLICAR","Verificado")</f>
        <v>NO PUBLICAR</v>
      </c>
      <c r="V15" s="19" t="n"/>
    </row>
    <row r="16">
      <c r="A16" s="12" t="inlineStr">
        <is>
          <t>Éclair</t>
        </is>
      </c>
      <c r="B16" s="13" t="inlineStr">
        <is>
          <t>Pastelería</t>
        </is>
      </c>
      <c r="C16" s="14" t="inlineStr">
        <is>
          <t>●</t>
        </is>
      </c>
      <c r="D16" s="14" t="n"/>
      <c r="E16" s="14" t="inlineStr">
        <is>
          <t>●</t>
        </is>
      </c>
      <c r="F16" s="14" t="n"/>
      <c r="G16" s="14" t="n"/>
      <c r="H16" s="14" t="inlineStr">
        <is>
          <t>○</t>
        </is>
      </c>
      <c r="I16" s="14" t="inlineStr">
        <is>
          <t>●</t>
        </is>
      </c>
      <c r="J16" s="14" t="inlineStr">
        <is>
          <t>○</t>
        </is>
      </c>
      <c r="K16" s="14" t="n"/>
      <c r="L16" s="14" t="n"/>
      <c r="M16" s="14" t="n"/>
      <c r="N16" s="14" t="n"/>
      <c r="O16" s="14" t="n"/>
      <c r="P16" s="14" t="n"/>
      <c r="Q16" s="15">
        <f>COUNTIF(C16:P16,"●")</f>
        <v>3.0</v>
      </c>
      <c r="R16" s="16" t="n"/>
      <c r="S16" s="17" t="n"/>
      <c r="T16" s="17" t="n"/>
      <c r="U16" s="18" t="str">
        <f>IF($S16="","NO PUBLICAR","Verificado")</f>
        <v>NO PUBLICAR</v>
      </c>
      <c r="V16" s="19" t="n"/>
    </row>
    <row r="17">
      <c r="A17" s="12" t="inlineStr">
        <is>
          <t>Tarta de zanahoria</t>
        </is>
      </c>
      <c r="B17" s="13" t="inlineStr">
        <is>
          <t>Pastelería</t>
        </is>
      </c>
      <c r="C17" s="14" t="inlineStr">
        <is>
          <t>●</t>
        </is>
      </c>
      <c r="D17" s="14" t="n"/>
      <c r="E17" s="14" t="inlineStr">
        <is>
          <t>●</t>
        </is>
      </c>
      <c r="F17" s="14" t="n"/>
      <c r="G17" s="14" t="n"/>
      <c r="H17" s="14" t="inlineStr">
        <is>
          <t>○</t>
        </is>
      </c>
      <c r="I17" s="14" t="inlineStr">
        <is>
          <t>●</t>
        </is>
      </c>
      <c r="J17" s="14" t="inlineStr">
        <is>
          <t>●</t>
        </is>
      </c>
      <c r="K17" s="14" t="n"/>
      <c r="L17" s="14" t="n"/>
      <c r="M17" s="14" t="n"/>
      <c r="N17" s="14" t="n"/>
      <c r="O17" s="14" t="n"/>
      <c r="P17" s="14" t="n"/>
      <c r="Q17" s="15">
        <f>COUNTIF(C17:P17,"●")</f>
        <v>4.0</v>
      </c>
      <c r="R17" s="16" t="n"/>
      <c r="S17" s="17" t="n"/>
      <c r="T17" s="17" t="n"/>
      <c r="U17" s="18" t="str">
        <f>IF($S17="","NO PUBLICAR","Verificado")</f>
        <v>NO PUBLICAR</v>
      </c>
      <c r="V17" s="19" t="n"/>
    </row>
    <row r="18">
      <c r="A18" s="12" t="inlineStr">
        <is>
          <t>Tarta Sacher</t>
        </is>
      </c>
      <c r="B18" s="13" t="inlineStr">
        <is>
          <t>Pastelería</t>
        </is>
      </c>
      <c r="C18" s="14" t="inlineStr">
        <is>
          <t>●</t>
        </is>
      </c>
      <c r="D18" s="14" t="n"/>
      <c r="E18" s="14" t="inlineStr">
        <is>
          <t>●</t>
        </is>
      </c>
      <c r="F18" s="14" t="n"/>
      <c r="G18" s="14" t="n"/>
      <c r="H18" s="14" t="inlineStr">
        <is>
          <t>●</t>
        </is>
      </c>
      <c r="I18" s="14" t="inlineStr">
        <is>
          <t>●</t>
        </is>
      </c>
      <c r="J18" s="14" t="inlineStr">
        <is>
          <t>○</t>
        </is>
      </c>
      <c r="K18" s="14" t="n"/>
      <c r="L18" s="14" t="n"/>
      <c r="M18" s="14" t="n"/>
      <c r="N18" s="14" t="n"/>
      <c r="O18" s="14" t="n"/>
      <c r="P18" s="14" t="n"/>
      <c r="Q18" s="15">
        <f>COUNTIF(C18:P18,"●")</f>
        <v>4.0</v>
      </c>
      <c r="R18" s="16" t="n"/>
      <c r="S18" s="17" t="n"/>
      <c r="T18" s="17" t="n"/>
      <c r="U18" s="18" t="str">
        <f>IF($S18="","NO PUBLICAR","Verificado")</f>
        <v>NO PUBLICAR</v>
      </c>
      <c r="V18" s="19" t="n"/>
    </row>
    <row r="19">
      <c r="A19" s="12" t="inlineStr">
        <is>
          <t>Entremet individual</t>
        </is>
      </c>
      <c r="B19" s="13" t="inlineStr">
        <is>
          <t>Pastelería</t>
        </is>
      </c>
      <c r="C19" s="14" t="inlineStr">
        <is>
          <t>●</t>
        </is>
      </c>
      <c r="D19" s="14" t="n"/>
      <c r="E19" s="14" t="inlineStr">
        <is>
          <t>●</t>
        </is>
      </c>
      <c r="F19" s="14" t="n"/>
      <c r="G19" s="14" t="n"/>
      <c r="H19" s="14" t="inlineStr">
        <is>
          <t>●</t>
        </is>
      </c>
      <c r="I19" s="14" t="inlineStr">
        <is>
          <t>●</t>
        </is>
      </c>
      <c r="J19" s="14" t="inlineStr">
        <is>
          <t>○</t>
        </is>
      </c>
      <c r="K19" s="14" t="n"/>
      <c r="L19" s="14" t="n"/>
      <c r="M19" s="14" t="n"/>
      <c r="N19" s="14" t="n"/>
      <c r="O19" s="14" t="n"/>
      <c r="P19" s="14" t="n"/>
      <c r="Q19" s="15">
        <f>COUNTIF(C19:P19,"●")</f>
        <v>4.0</v>
      </c>
      <c r="R19" s="16" t="n"/>
      <c r="S19" s="17" t="n"/>
      <c r="T19" s="17" t="n"/>
      <c r="U19" s="18" t="str">
        <f>IF($S19="","NO PUBLICAR","Verificado")</f>
        <v>NO PUBLICAR</v>
      </c>
      <c r="V19" s="19" t="n"/>
    </row>
    <row r="20">
      <c r="A20" s="12" t="inlineStr">
        <is>
          <t>Macarons (caja de 6)</t>
        </is>
      </c>
      <c r="B20" s="13" t="inlineStr">
        <is>
          <t>Pastelería</t>
        </is>
      </c>
      <c r="C20" s="14" t="inlineStr">
        <is>
          <t>○</t>
        </is>
      </c>
      <c r="D20" s="14" t="n"/>
      <c r="E20" s="14" t="inlineStr">
        <is>
          <t>●</t>
        </is>
      </c>
      <c r="F20" s="14" t="n"/>
      <c r="G20" s="14" t="n"/>
      <c r="H20" s="14" t="inlineStr">
        <is>
          <t>○</t>
        </is>
      </c>
      <c r="I20" s="14" t="inlineStr">
        <is>
          <t>●</t>
        </is>
      </c>
      <c r="J20" s="14" t="inlineStr">
        <is>
          <t>●</t>
        </is>
      </c>
      <c r="K20" s="14" t="n"/>
      <c r="L20" s="14" t="n"/>
      <c r="M20" s="14" t="n"/>
      <c r="N20" s="14" t="n"/>
      <c r="O20" s="14" t="n"/>
      <c r="P20" s="14" t="n"/>
      <c r="Q20" s="15">
        <f>COUNTIF(C20:P20,"●")</f>
        <v>3.0</v>
      </c>
      <c r="R20" s="16" t="n"/>
      <c r="S20" s="17" t="n"/>
      <c r="T20" s="17" t="n"/>
      <c r="U20" s="18" t="str">
        <f>IF($S20="","NO PUBLICAR","Verificado")</f>
        <v>NO PUBLICAR</v>
      </c>
      <c r="V20" s="19" t="inlineStr">
        <is>
          <t>Frutos de cáscara: almendra como ingrediente principal, nunca es una traza.</t>
        </is>
      </c>
    </row>
    <row r="21">
      <c r="A21" s="12" t="inlineStr">
        <is>
          <t>Tartaleta de frutas</t>
        </is>
      </c>
      <c r="B21" s="13" t="inlineStr">
        <is>
          <t>Pastelería</t>
        </is>
      </c>
      <c r="C21" s="14" t="inlineStr">
        <is>
          <t>●</t>
        </is>
      </c>
      <c r="D21" s="14" t="n"/>
      <c r="E21" s="14" t="inlineStr">
        <is>
          <t>●</t>
        </is>
      </c>
      <c r="F21" s="14" t="n"/>
      <c r="G21" s="14" t="n"/>
      <c r="H21" s="14" t="n"/>
      <c r="I21" s="14" t="inlineStr">
        <is>
          <t>●</t>
        </is>
      </c>
      <c r="J21" s="14" t="inlineStr">
        <is>
          <t>○</t>
        </is>
      </c>
      <c r="K21" s="14" t="n"/>
      <c r="L21" s="14" t="n"/>
      <c r="M21" s="14" t="n"/>
      <c r="N21" s="14" t="inlineStr">
        <is>
          <t>○</t>
        </is>
      </c>
      <c r="O21" s="14" t="n"/>
      <c r="P21" s="14" t="n"/>
      <c r="Q21" s="15">
        <f>COUNTIF(C21:P21,"●")</f>
        <v>3.0</v>
      </c>
      <c r="R21" s="16" t="n"/>
      <c r="S21" s="17" t="n"/>
      <c r="T21" s="17" t="n"/>
      <c r="U21" s="18" t="str">
        <f>IF($S21="","NO PUBLICAR","Verificado")</f>
        <v>NO PUBLICAR</v>
      </c>
      <c r="V21" s="19" t="n"/>
    </row>
    <row r="22">
      <c r="A22" s="12" t="inlineStr">
        <is>
          <t>Lionesa o profiterol</t>
        </is>
      </c>
      <c r="B22" s="13" t="inlineStr">
        <is>
          <t>Pastelería</t>
        </is>
      </c>
      <c r="C22" s="14" t="inlineStr">
        <is>
          <t>●</t>
        </is>
      </c>
      <c r="D22" s="14" t="n"/>
      <c r="E22" s="14" t="inlineStr">
        <is>
          <t>●</t>
        </is>
      </c>
      <c r="F22" s="14" t="n"/>
      <c r="G22" s="14" t="n"/>
      <c r="H22" s="14" t="inlineStr">
        <is>
          <t>○</t>
        </is>
      </c>
      <c r="I22" s="14" t="inlineStr">
        <is>
          <t>●</t>
        </is>
      </c>
      <c r="J22" s="14" t="inlineStr">
        <is>
          <t>○</t>
        </is>
      </c>
      <c r="K22" s="14" t="n"/>
      <c r="L22" s="14" t="n"/>
      <c r="M22" s="14" t="n"/>
      <c r="N22" s="14" t="n"/>
      <c r="O22" s="14" t="n"/>
      <c r="P22" s="14" t="n"/>
      <c r="Q22" s="15">
        <f>COUNTIF(C22:P22,"●")</f>
        <v>3.0</v>
      </c>
      <c r="R22" s="16" t="n"/>
      <c r="S22" s="17" t="n"/>
      <c r="T22" s="17" t="n"/>
      <c r="U22" s="18" t="str">
        <f>IF($S22="","NO PUBLICAR","Verificado")</f>
        <v>NO PUBLICAR</v>
      </c>
      <c r="V22" s="19" t="n"/>
    </row>
    <row r="23">
      <c r="A23" s="12" t="inlineStr">
        <is>
          <t>Roscón de Reyes</t>
        </is>
      </c>
      <c r="B23" s="13" t="inlineStr">
        <is>
          <t>Temporada</t>
        </is>
      </c>
      <c r="C23" s="14" t="inlineStr">
        <is>
          <t>●</t>
        </is>
      </c>
      <c r="D23" s="14" t="n"/>
      <c r="E23" s="14" t="inlineStr">
        <is>
          <t>●</t>
        </is>
      </c>
      <c r="F23" s="14" t="n"/>
      <c r="G23" s="14" t="n"/>
      <c r="H23" s="14" t="inlineStr">
        <is>
          <t>○</t>
        </is>
      </c>
      <c r="I23" s="14" t="inlineStr">
        <is>
          <t>●</t>
        </is>
      </c>
      <c r="J23" s="14" t="inlineStr">
        <is>
          <t>●</t>
        </is>
      </c>
      <c r="K23" s="14" t="n"/>
      <c r="L23" s="14" t="n"/>
      <c r="M23" s="14" t="n"/>
      <c r="N23" s="14" t="inlineStr">
        <is>
          <t>●</t>
        </is>
      </c>
      <c r="O23" s="14" t="n"/>
      <c r="P23" s="14" t="n"/>
      <c r="Q23" s="15">
        <f>COUNTIF(C23:P23,"●")</f>
        <v>5.0</v>
      </c>
      <c r="R23" s="16" t="n"/>
      <c r="S23" s="17" t="n"/>
      <c r="T23" s="17" t="n"/>
      <c r="U23" s="18" t="str">
        <f>IF($S23="","NO PUBLICAR","Verificado")</f>
        <v>NO PUBLICAR</v>
      </c>
      <c r="V23" s="19" t="inlineStr">
        <is>
          <t>Sulfitos: comprobar mg/kg en la ficha técnica de la fruta escarchada.</t>
        </is>
      </c>
    </row>
    <row r="24">
      <c r="A24" s="12" t="inlineStr">
        <is>
          <t>Torrijas</t>
        </is>
      </c>
      <c r="B24" s="13" t="inlineStr">
        <is>
          <t>Temporada</t>
        </is>
      </c>
      <c r="C24" s="14" t="inlineStr">
        <is>
          <t>●</t>
        </is>
      </c>
      <c r="D24" s="14" t="n"/>
      <c r="E24" s="14" t="inlineStr">
        <is>
          <t>●</t>
        </is>
      </c>
      <c r="F24" s="14" t="n"/>
      <c r="G24" s="14" t="n"/>
      <c r="H24" s="14" t="n"/>
      <c r="I24" s="14" t="inlineStr">
        <is>
          <t>●</t>
        </is>
      </c>
      <c r="J24" s="14" t="inlineStr">
        <is>
          <t>○</t>
        </is>
      </c>
      <c r="K24" s="14" t="n"/>
      <c r="L24" s="14" t="n"/>
      <c r="M24" s="14" t="n"/>
      <c r="N24" s="14" t="inlineStr">
        <is>
          <t>○</t>
        </is>
      </c>
      <c r="O24" s="14" t="n"/>
      <c r="P24" s="14" t="n"/>
      <c r="Q24" s="15">
        <f>COUNTIF(C24:P24,"●")</f>
        <v>3.0</v>
      </c>
      <c r="R24" s="16" t="n"/>
      <c r="S24" s="17" t="n"/>
      <c r="T24" s="17" t="n"/>
      <c r="U24" s="18" t="str">
        <f>IF($S24="","NO PUBLICAR","Verificado")</f>
        <v>NO PUBLICAR</v>
      </c>
      <c r="V24" s="19" t="inlineStr">
        <is>
          <t>Sulfitos: si las elaboras con vino, declara el sulfito como ingrediente, no como traza.</t>
        </is>
      </c>
    </row>
    <row r="25">
      <c r="A25" s="12" t="inlineStr">
        <is>
          <t>Buñuelos de viento</t>
        </is>
      </c>
      <c r="B25" s="13" t="inlineStr">
        <is>
          <t>Temporada</t>
        </is>
      </c>
      <c r="C25" s="14" t="inlineStr">
        <is>
          <t>●</t>
        </is>
      </c>
      <c r="D25" s="14" t="n"/>
      <c r="E25" s="14" t="inlineStr">
        <is>
          <t>●</t>
        </is>
      </c>
      <c r="F25" s="14" t="n"/>
      <c r="G25" s="14" t="n"/>
      <c r="H25" s="14" t="inlineStr">
        <is>
          <t>○</t>
        </is>
      </c>
      <c r="I25" s="14" t="inlineStr">
        <is>
          <t>●</t>
        </is>
      </c>
      <c r="J25" s="14" t="inlineStr">
        <is>
          <t>○</t>
        </is>
      </c>
      <c r="K25" s="14" t="n"/>
      <c r="L25" s="14" t="n"/>
      <c r="M25" s="14" t="n"/>
      <c r="N25" s="14" t="n"/>
      <c r="O25" s="14" t="n"/>
      <c r="P25" s="14" t="n"/>
      <c r="Q25" s="15">
        <f>COUNTIF(C25:P25,"●")</f>
        <v>3.0</v>
      </c>
      <c r="R25" s="16" t="n"/>
      <c r="S25" s="17" t="n"/>
      <c r="T25" s="17" t="n"/>
      <c r="U25" s="18" t="str">
        <f>IF($S25="","NO PUBLICAR","Verificado")</f>
        <v>NO PUBLICAR</v>
      </c>
      <c r="V25" s="19" t="n"/>
    </row>
    <row r="26">
      <c r="A26" s="12" t="inlineStr">
        <is>
          <t>Huesos de santo</t>
        </is>
      </c>
      <c r="B26" s="13" t="inlineStr">
        <is>
          <t>Temporada</t>
        </is>
      </c>
      <c r="C26" s="14" t="inlineStr">
        <is>
          <t>○</t>
        </is>
      </c>
      <c r="D26" s="14" t="n"/>
      <c r="E26" s="14" t="inlineStr">
        <is>
          <t>●</t>
        </is>
      </c>
      <c r="F26" s="14" t="n"/>
      <c r="G26" s="14" t="n"/>
      <c r="H26" s="14" t="n"/>
      <c r="I26" s="14" t="inlineStr">
        <is>
          <t>○</t>
        </is>
      </c>
      <c r="J26" s="14" t="inlineStr">
        <is>
          <t>●</t>
        </is>
      </c>
      <c r="K26" s="14" t="n"/>
      <c r="L26" s="14" t="n"/>
      <c r="M26" s="14" t="n"/>
      <c r="N26" s="14" t="n"/>
      <c r="O26" s="14" t="n"/>
      <c r="P26" s="14" t="n"/>
      <c r="Q26" s="15">
        <f>COUNTIF(C26:P26,"●")</f>
        <v>2.0</v>
      </c>
      <c r="R26" s="16" t="n"/>
      <c r="S26" s="17" t="n"/>
      <c r="T26" s="17" t="n"/>
      <c r="U26" s="18" t="str">
        <f>IF($S26="","NO PUBLICAR","Verificado")</f>
        <v>NO PUBLICAR</v>
      </c>
      <c r="V26" s="19" t="n"/>
    </row>
    <row r="27">
      <c r="A27" s="12" t="inlineStr">
        <is>
          <t>Panellets</t>
        </is>
      </c>
      <c r="B27" s="13" t="inlineStr">
        <is>
          <t>Temporada</t>
        </is>
      </c>
      <c r="C27" s="14" t="inlineStr">
        <is>
          <t>○</t>
        </is>
      </c>
      <c r="D27" s="14" t="n"/>
      <c r="E27" s="14" t="inlineStr">
        <is>
          <t>●</t>
        </is>
      </c>
      <c r="F27" s="14" t="n"/>
      <c r="G27" s="14" t="n"/>
      <c r="H27" s="14" t="n"/>
      <c r="I27" s="14" t="inlineStr">
        <is>
          <t>○</t>
        </is>
      </c>
      <c r="J27" s="14" t="inlineStr">
        <is>
          <t>●</t>
        </is>
      </c>
      <c r="K27" s="14" t="n"/>
      <c r="L27" s="14" t="n"/>
      <c r="M27" s="14" t="n"/>
      <c r="N27" s="14" t="n"/>
      <c r="O27" s="14" t="n"/>
      <c r="P27" s="14" t="n"/>
      <c r="Q27" s="15">
        <f>COUNTIF(C27:P27,"●")</f>
        <v>2.0</v>
      </c>
      <c r="R27" s="16" t="n"/>
      <c r="S27" s="17" t="n"/>
      <c r="T27" s="17" t="n"/>
      <c r="U27" s="18" t="str">
        <f>IF($S27="","NO PUBLICAR","Verificado")</f>
        <v>NO PUBLICAR</v>
      </c>
      <c r="V27" s="19" t="n"/>
    </row>
    <row r="28">
      <c r="A28" s="12" t="inlineStr">
        <is>
          <t>Polvorón o mantecado</t>
        </is>
      </c>
      <c r="B28" s="13" t="inlineStr">
        <is>
          <t>Temporada</t>
        </is>
      </c>
      <c r="C28" s="14" t="inlineStr">
        <is>
          <t>●</t>
        </is>
      </c>
      <c r="D28" s="14" t="n"/>
      <c r="E28" s="14" t="inlineStr">
        <is>
          <t>○</t>
        </is>
      </c>
      <c r="F28" s="14" t="n"/>
      <c r="G28" s="14" t="n"/>
      <c r="H28" s="14" t="n"/>
      <c r="I28" s="14" t="inlineStr">
        <is>
          <t>○</t>
        </is>
      </c>
      <c r="J28" s="14" t="inlineStr">
        <is>
          <t>●</t>
        </is>
      </c>
      <c r="K28" s="14" t="n"/>
      <c r="L28" s="14" t="n"/>
      <c r="M28" s="14" t="inlineStr">
        <is>
          <t>○</t>
        </is>
      </c>
      <c r="N28" s="14" t="n"/>
      <c r="O28" s="14" t="n"/>
      <c r="P28" s="14" t="n"/>
      <c r="Q28" s="15">
        <f>COUNTIF(C28:P28,"●")</f>
        <v>2.0</v>
      </c>
      <c r="R28" s="16" t="n"/>
      <c r="S28" s="17" t="n"/>
      <c r="T28" s="17" t="n"/>
      <c r="U28" s="18" t="str">
        <f>IF($S28="","NO PUBLICAR","Verificado")</f>
        <v>NO PUBLICAR</v>
      </c>
      <c r="V28" s="19" t="inlineStr">
        <is>
          <t>Sésamo: muchos polvorones llevan ajonjolí como ingrediente — revisa el tuyo.</t>
        </is>
      </c>
    </row>
    <row r="29">
      <c r="A29" s="12" t="inlineStr">
        <is>
          <t>Turrón de almendra</t>
        </is>
      </c>
      <c r="B29" s="13" t="inlineStr">
        <is>
          <t>Temporada</t>
        </is>
      </c>
      <c r="C29" s="14" t="n"/>
      <c r="D29" s="14" t="n"/>
      <c r="E29" s="14" t="inlineStr">
        <is>
          <t>●</t>
        </is>
      </c>
      <c r="F29" s="14" t="n"/>
      <c r="G29" s="14" t="n"/>
      <c r="H29" s="14" t="inlineStr">
        <is>
          <t>○</t>
        </is>
      </c>
      <c r="I29" s="14" t="inlineStr">
        <is>
          <t>○</t>
        </is>
      </c>
      <c r="J29" s="14" t="inlineStr">
        <is>
          <t>●</t>
        </is>
      </c>
      <c r="K29" s="14" t="n"/>
      <c r="L29" s="14" t="n"/>
      <c r="M29" s="14" t="inlineStr">
        <is>
          <t>○</t>
        </is>
      </c>
      <c r="N29" s="14" t="n"/>
      <c r="O29" s="14" t="n"/>
      <c r="P29" s="14" t="n"/>
      <c r="Q29" s="15">
        <f>COUNTIF(C29:P29,"●")</f>
        <v>2.0</v>
      </c>
      <c r="R29" s="16" t="n"/>
      <c r="S29" s="17" t="n"/>
      <c r="T29" s="17" t="n"/>
      <c r="U29" s="18" t="str">
        <f>IF($S29="","NO PUBLICAR","Verificado")</f>
        <v>NO PUBLICAR</v>
      </c>
      <c r="V29" s="19" t="inlineStr">
        <is>
          <t>Clara de huevo: verificar receta o variedad (Alicante lleva, Jijona puede no llevar).</t>
        </is>
      </c>
    </row>
    <row r="30">
      <c r="A30" s="12" t="inlineStr">
        <is>
          <t>Mona de Pascua</t>
        </is>
      </c>
      <c r="B30" s="13" t="inlineStr">
        <is>
          <t>Temporada</t>
        </is>
      </c>
      <c r="C30" s="14" t="inlineStr">
        <is>
          <t>●</t>
        </is>
      </c>
      <c r="D30" s="14" t="n"/>
      <c r="E30" s="14" t="inlineStr">
        <is>
          <t>●</t>
        </is>
      </c>
      <c r="F30" s="14" t="n"/>
      <c r="G30" s="14" t="n"/>
      <c r="H30" s="14" t="inlineStr">
        <is>
          <t>●</t>
        </is>
      </c>
      <c r="I30" s="14" t="inlineStr">
        <is>
          <t>●</t>
        </is>
      </c>
      <c r="J30" s="14" t="inlineStr">
        <is>
          <t>○</t>
        </is>
      </c>
      <c r="K30" s="14" t="n"/>
      <c r="L30" s="14" t="n"/>
      <c r="M30" s="14" t="n"/>
      <c r="N30" s="14" t="n"/>
      <c r="O30" s="14" t="n"/>
      <c r="P30" s="14" t="n"/>
      <c r="Q30" s="15">
        <f>COUNTIF(C30:P30,"●")</f>
        <v>4.0</v>
      </c>
      <c r="R30" s="16" t="n"/>
      <c r="S30" s="17" t="n"/>
      <c r="T30" s="17" t="n"/>
      <c r="U30" s="18" t="str">
        <f>IF($S30="","NO PUBLICAR","Verificado")</f>
        <v>NO PUBLICAR</v>
      </c>
      <c r="V30" s="19" t="n"/>
    </row>
    <row r="31">
      <c r="A31" s="12" t="inlineStr">
        <is>
          <t>Brownie</t>
        </is>
      </c>
      <c r="B31" s="13" t="inlineStr">
        <is>
          <t>Bizcochería</t>
        </is>
      </c>
      <c r="C31" s="14" t="inlineStr">
        <is>
          <t>●</t>
        </is>
      </c>
      <c r="D31" s="14" t="n"/>
      <c r="E31" s="14" t="inlineStr">
        <is>
          <t>●</t>
        </is>
      </c>
      <c r="F31" s="14" t="n"/>
      <c r="G31" s="14" t="n"/>
      <c r="H31" s="14" t="inlineStr">
        <is>
          <t>●</t>
        </is>
      </c>
      <c r="I31" s="14" t="inlineStr">
        <is>
          <t>●</t>
        </is>
      </c>
      <c r="J31" s="14" t="inlineStr">
        <is>
          <t>●</t>
        </is>
      </c>
      <c r="K31" s="14" t="n"/>
      <c r="L31" s="14" t="n"/>
      <c r="M31" s="14" t="n"/>
      <c r="N31" s="14" t="n"/>
      <c r="O31" s="14" t="n"/>
      <c r="P31" s="14" t="n"/>
      <c r="Q31" s="15">
        <f>COUNTIF(C31:P31,"●")</f>
        <v>5.0</v>
      </c>
      <c r="R31" s="16" t="n"/>
      <c r="S31" s="17" t="n"/>
      <c r="T31" s="17" t="n"/>
      <c r="U31" s="18" t="str">
        <f>IF($S31="","NO PUBLICAR","Verificado")</f>
        <v>NO PUBLICAR</v>
      </c>
      <c r="V31" s="19" t="inlineStr">
        <is>
          <t>Soja: lecitina de la cobertura de chocolate — comprobar la ficha técnica de tu cobertura.</t>
        </is>
      </c>
    </row>
    <row r="32">
      <c r="A32" s="12" t="inlineStr">
        <is>
          <t>Cookie de chocolate</t>
        </is>
      </c>
      <c r="B32" s="13" t="inlineStr">
        <is>
          <t>Bizcochería</t>
        </is>
      </c>
      <c r="C32" s="14" t="inlineStr">
        <is>
          <t>●</t>
        </is>
      </c>
      <c r="D32" s="14" t="n"/>
      <c r="E32" s="14" t="inlineStr">
        <is>
          <t>●</t>
        </is>
      </c>
      <c r="F32" s="14" t="n"/>
      <c r="G32" s="14" t="n"/>
      <c r="H32" s="14" t="inlineStr">
        <is>
          <t>●</t>
        </is>
      </c>
      <c r="I32" s="14" t="inlineStr">
        <is>
          <t>●</t>
        </is>
      </c>
      <c r="J32" s="14" t="inlineStr">
        <is>
          <t>○</t>
        </is>
      </c>
      <c r="K32" s="14" t="n"/>
      <c r="L32" s="14" t="n"/>
      <c r="M32" s="14" t="n"/>
      <c r="N32" s="14" t="n"/>
      <c r="O32" s="14" t="n"/>
      <c r="P32" s="14" t="n"/>
      <c r="Q32" s="15">
        <f>COUNTIF(C32:P32,"●")</f>
        <v>4.0</v>
      </c>
      <c r="R32" s="16" t="n"/>
      <c r="S32" s="17" t="n"/>
      <c r="T32" s="17" t="n"/>
      <c r="U32" s="18" t="str">
        <f>IF($S32="","NO PUBLICAR","Verificado")</f>
        <v>NO PUBLICAR</v>
      </c>
      <c r="V32" s="19" t="inlineStr">
        <is>
          <t>Soja: lecitina de las pepitas de chocolate — comprobar la ficha técnica.</t>
        </is>
      </c>
    </row>
    <row r="33">
      <c r="A33" s="12" t="inlineStr">
        <is>
          <t>Magdalena</t>
        </is>
      </c>
      <c r="B33" s="13" t="inlineStr">
        <is>
          <t>Bizcochería</t>
        </is>
      </c>
      <c r="C33" s="14" t="inlineStr">
        <is>
          <t>●</t>
        </is>
      </c>
      <c r="D33" s="14" t="n"/>
      <c r="E33" s="14" t="inlineStr">
        <is>
          <t>●</t>
        </is>
      </c>
      <c r="F33" s="14" t="n"/>
      <c r="G33" s="14" t="n"/>
      <c r="H33" s="14" t="inlineStr">
        <is>
          <t>○</t>
        </is>
      </c>
      <c r="I33" s="14" t="inlineStr">
        <is>
          <t>●</t>
        </is>
      </c>
      <c r="J33" s="14" t="inlineStr">
        <is>
          <t>○</t>
        </is>
      </c>
      <c r="K33" s="14" t="n"/>
      <c r="L33" s="14" t="n"/>
      <c r="M33" s="14" t="n"/>
      <c r="N33" s="14" t="n"/>
      <c r="O33" s="14" t="n"/>
      <c r="P33" s="14" t="n"/>
      <c r="Q33" s="15">
        <f>COUNTIF(C33:P33,"●")</f>
        <v>3.0</v>
      </c>
      <c r="R33" s="16" t="n"/>
      <c r="S33" s="17" t="n"/>
      <c r="T33" s="17" t="n"/>
      <c r="U33" s="18" t="str">
        <f>IF($S33="","NO PUBLICAR","Verificado")</f>
        <v>NO PUBLICAR</v>
      </c>
      <c r="V33" s="19" t="n"/>
    </row>
    <row r="34">
      <c r="A34" s="12" t="inlineStr">
        <is>
          <t>Bizcocho de yogur</t>
        </is>
      </c>
      <c r="B34" s="13" t="inlineStr">
        <is>
          <t>Bizcochería</t>
        </is>
      </c>
      <c r="C34" s="14" t="inlineStr">
        <is>
          <t>●</t>
        </is>
      </c>
      <c r="D34" s="14" t="n"/>
      <c r="E34" s="14" t="inlineStr">
        <is>
          <t>●</t>
        </is>
      </c>
      <c r="F34" s="14" t="n"/>
      <c r="G34" s="14" t="n"/>
      <c r="H34" s="14" t="inlineStr">
        <is>
          <t>○</t>
        </is>
      </c>
      <c r="I34" s="14" t="inlineStr">
        <is>
          <t>●</t>
        </is>
      </c>
      <c r="J34" s="14" t="inlineStr">
        <is>
          <t>○</t>
        </is>
      </c>
      <c r="K34" s="14" t="n"/>
      <c r="L34" s="14" t="n"/>
      <c r="M34" s="14" t="n"/>
      <c r="N34" s="14" t="n"/>
      <c r="O34" s="14" t="n"/>
      <c r="P34" s="14" t="n"/>
      <c r="Q34" s="15">
        <f>COUNTIF(C34:P34,"●")</f>
        <v>3.0</v>
      </c>
      <c r="R34" s="16" t="n"/>
      <c r="S34" s="17" t="n"/>
      <c r="T34" s="17" t="n"/>
      <c r="U34" s="18" t="str">
        <f>IF($S34="","NO PUBLICAR","Verificado")</f>
        <v>NO PUBLICAR</v>
      </c>
      <c r="V34" s="19" t="n"/>
    </row>
    <row r="35">
      <c r="A35" s="12" t="inlineStr">
        <is>
          <t>Galleta de mantequilla</t>
        </is>
      </c>
      <c r="B35" s="13" t="inlineStr">
        <is>
          <t>Bizcochería</t>
        </is>
      </c>
      <c r="C35" s="14" t="inlineStr">
        <is>
          <t>●</t>
        </is>
      </c>
      <c r="D35" s="14" t="n"/>
      <c r="E35" s="14" t="inlineStr">
        <is>
          <t>●</t>
        </is>
      </c>
      <c r="F35" s="14" t="n"/>
      <c r="G35" s="14" t="n"/>
      <c r="H35" s="14" t="inlineStr">
        <is>
          <t>○</t>
        </is>
      </c>
      <c r="I35" s="14" t="inlineStr">
        <is>
          <t>●</t>
        </is>
      </c>
      <c r="J35" s="14" t="inlineStr">
        <is>
          <t>○</t>
        </is>
      </c>
      <c r="K35" s="14" t="n"/>
      <c r="L35" s="14" t="n"/>
      <c r="M35" s="14" t="n"/>
      <c r="N35" s="14" t="n"/>
      <c r="O35" s="14" t="n"/>
      <c r="P35" s="14" t="n"/>
      <c r="Q35" s="15">
        <f>COUNTIF(C35:P35,"●")</f>
        <v>3.0</v>
      </c>
      <c r="R35" s="16" t="n"/>
      <c r="S35" s="17" t="n"/>
      <c r="T35" s="17" t="n"/>
      <c r="U35" s="18" t="str">
        <f>IF($S35="","NO PUBLICAR","Verificado")</f>
        <v>NO PUBLICAR</v>
      </c>
      <c r="V35" s="19" t="n"/>
    </row>
    <row r="36">
      <c r="A36" s="12" t="inlineStr">
        <is>
          <t>Financier de almendra</t>
        </is>
      </c>
      <c r="B36" s="13" t="inlineStr">
        <is>
          <t>Bizcochería</t>
        </is>
      </c>
      <c r="C36" s="14" t="inlineStr">
        <is>
          <t>●</t>
        </is>
      </c>
      <c r="D36" s="14" t="n"/>
      <c r="E36" s="14" t="inlineStr">
        <is>
          <t>●</t>
        </is>
      </c>
      <c r="F36" s="14" t="n"/>
      <c r="G36" s="14" t="n"/>
      <c r="H36" s="14" t="inlineStr">
        <is>
          <t>○</t>
        </is>
      </c>
      <c r="I36" s="14" t="inlineStr">
        <is>
          <t>●</t>
        </is>
      </c>
      <c r="J36" s="14" t="inlineStr">
        <is>
          <t>●</t>
        </is>
      </c>
      <c r="K36" s="14" t="n"/>
      <c r="L36" s="14" t="n"/>
      <c r="M36" s="14" t="n"/>
      <c r="N36" s="14" t="n"/>
      <c r="O36" s="14" t="n"/>
      <c r="P36" s="14" t="n"/>
      <c r="Q36" s="15">
        <f>COUNTIF(C36:P36,"●")</f>
        <v>4.0</v>
      </c>
      <c r="R36" s="16" t="n"/>
      <c r="S36" s="17" t="n"/>
      <c r="T36" s="17" t="n"/>
      <c r="U36" s="18" t="str">
        <f>IF($S36="","NO PUBLICAR","Verificado")</f>
        <v>NO PUBLICAR</v>
      </c>
      <c r="V36" s="19" t="n"/>
    </row>
    <row r="37">
      <c r="A37" s="12" t="inlineStr">
        <is>
          <t>Quiche</t>
        </is>
      </c>
      <c r="B37" s="13" t="inlineStr">
        <is>
          <t>Salado</t>
        </is>
      </c>
      <c r="C37" s="14" t="inlineStr">
        <is>
          <t>●</t>
        </is>
      </c>
      <c r="D37" s="14" t="n"/>
      <c r="E37" s="14" t="inlineStr">
        <is>
          <t>●</t>
        </is>
      </c>
      <c r="F37" s="14" t="n"/>
      <c r="G37" s="14" t="n"/>
      <c r="H37" s="14" t="inlineStr">
        <is>
          <t>○</t>
        </is>
      </c>
      <c r="I37" s="14" t="inlineStr">
        <is>
          <t>●</t>
        </is>
      </c>
      <c r="J37" s="14" t="n"/>
      <c r="K37" s="14" t="inlineStr">
        <is>
          <t>○</t>
        </is>
      </c>
      <c r="L37" s="14" t="inlineStr">
        <is>
          <t>○</t>
        </is>
      </c>
      <c r="M37" s="14" t="n"/>
      <c r="N37" s="14" t="n"/>
      <c r="O37" s="14" t="n"/>
      <c r="P37" s="14" t="n"/>
      <c r="Q37" s="15">
        <f>COUNTIF(C37:P37,"●")</f>
        <v>3.0</v>
      </c>
      <c r="R37" s="16" t="n"/>
      <c r="S37" s="17" t="n"/>
      <c r="T37" s="17" t="n"/>
      <c r="U37" s="18" t="str">
        <f>IF($S37="","NO PUBLICAR","Verificado")</f>
        <v>NO PUBLICAR</v>
      </c>
      <c r="V37" s="19" t="n"/>
    </row>
    <row r="38">
      <c r="A38" s="12" t="inlineStr">
        <is>
          <t>Empanada de atún</t>
        </is>
      </c>
      <c r="B38" s="13" t="inlineStr">
        <is>
          <t>Salado</t>
        </is>
      </c>
      <c r="C38" s="14" t="inlineStr">
        <is>
          <t>●</t>
        </is>
      </c>
      <c r="D38" s="14" t="n"/>
      <c r="E38" s="14" t="inlineStr">
        <is>
          <t>○</t>
        </is>
      </c>
      <c r="F38" s="14" t="inlineStr">
        <is>
          <t>●</t>
        </is>
      </c>
      <c r="G38" s="14" t="n"/>
      <c r="H38" s="14" t="n"/>
      <c r="I38" s="14" t="n"/>
      <c r="J38" s="14" t="n"/>
      <c r="K38" s="14" t="inlineStr">
        <is>
          <t>○</t>
        </is>
      </c>
      <c r="L38" s="14" t="n"/>
      <c r="M38" s="14" t="n"/>
      <c r="N38" s="14" t="inlineStr">
        <is>
          <t>○</t>
        </is>
      </c>
      <c r="O38" s="14" t="n"/>
      <c r="P38" s="14" t="n"/>
      <c r="Q38" s="15">
        <f>COUNTIF(C38:P38,"●")</f>
        <v>2.0</v>
      </c>
      <c r="R38" s="16" t="n"/>
      <c r="S38" s="17" t="n"/>
      <c r="T38" s="17" t="n"/>
      <c r="U38" s="18" t="str">
        <f>IF($S38="","NO PUBLICAR","Verificado")</f>
        <v>NO PUBLICAR</v>
      </c>
      <c r="V38" s="19" t="inlineStr">
        <is>
          <t>Pescado: solo si es de atún o de bonito. Cambia la referencia si la tuya es de carne.</t>
        </is>
      </c>
    </row>
    <row r="39">
      <c r="A39" s="12" t="inlineStr">
        <is>
          <t>Croissant de jamón y queso</t>
        </is>
      </c>
      <c r="B39" s="13" t="inlineStr">
        <is>
          <t>Salado</t>
        </is>
      </c>
      <c r="C39" s="14" t="inlineStr">
        <is>
          <t>●</t>
        </is>
      </c>
      <c r="D39" s="14" t="n"/>
      <c r="E39" s="14" t="inlineStr">
        <is>
          <t>●</t>
        </is>
      </c>
      <c r="F39" s="14" t="n"/>
      <c r="G39" s="14" t="n"/>
      <c r="H39" s="14" t="inlineStr">
        <is>
          <t>○</t>
        </is>
      </c>
      <c r="I39" s="14" t="inlineStr">
        <is>
          <t>●</t>
        </is>
      </c>
      <c r="J39" s="14" t="n"/>
      <c r="K39" s="14" t="n"/>
      <c r="L39" s="14" t="inlineStr">
        <is>
          <t>○</t>
        </is>
      </c>
      <c r="M39" s="14" t="n"/>
      <c r="N39" s="14" t="n"/>
      <c r="O39" s="14" t="n"/>
      <c r="P39" s="14" t="n"/>
      <c r="Q39" s="15">
        <f>COUNTIF(C39:P39,"●")</f>
        <v>3.0</v>
      </c>
      <c r="R39" s="16" t="n"/>
      <c r="S39" s="17" t="n"/>
      <c r="T39" s="17" t="n"/>
      <c r="U39" s="18" t="str">
        <f>IF($S39="","NO PUBLICAR","Verificado")</f>
        <v>NO PUBLICAR</v>
      </c>
      <c r="V39" s="19" t="inlineStr">
        <is>
          <t>Huevo: sale de la misma masa laminada pincelada que el croissant de mantequilla.</t>
        </is>
      </c>
    </row>
    <row r="40">
      <c r="A40" s="12" t="inlineStr">
        <is>
          <t>Pan de molde</t>
        </is>
      </c>
      <c r="B40" s="13" t="inlineStr">
        <is>
          <t>Pan</t>
        </is>
      </c>
      <c r="C40" s="14" t="inlineStr">
        <is>
          <t>●</t>
        </is>
      </c>
      <c r="D40" s="14" t="n"/>
      <c r="E40" s="14" t="n"/>
      <c r="F40" s="14" t="n"/>
      <c r="G40" s="14" t="n"/>
      <c r="H40" s="14" t="inlineStr">
        <is>
          <t>○</t>
        </is>
      </c>
      <c r="I40" s="14" t="inlineStr">
        <is>
          <t>○</t>
        </is>
      </c>
      <c r="J40" s="14" t="n"/>
      <c r="K40" s="14" t="n"/>
      <c r="L40" s="14" t="n"/>
      <c r="M40" s="14" t="inlineStr">
        <is>
          <t>○</t>
        </is>
      </c>
      <c r="N40" s="14" t="n"/>
      <c r="O40" s="14" t="n"/>
      <c r="P40" s="14" t="n"/>
      <c r="Q40" s="15">
        <f>COUNTIF(C40:P40,"●")</f>
        <v>1.0</v>
      </c>
      <c r="R40" s="16" t="n"/>
      <c r="S40" s="17" t="n"/>
      <c r="T40" s="17" t="n"/>
      <c r="U40" s="18" t="str">
        <f>IF($S40="","NO PUBLICAR","Verificado")</f>
        <v>NO PUBLICAR</v>
      </c>
      <c r="V40" s="19" t="n"/>
    </row>
    <row r="41">
      <c r="A41" s="12" t="inlineStr">
        <is>
          <t>Barra</t>
        </is>
      </c>
      <c r="B41" s="13" t="inlineStr">
        <is>
          <t>Pan</t>
        </is>
      </c>
      <c r="C41" s="14" t="inlineStr">
        <is>
          <t>●</t>
        </is>
      </c>
      <c r="D41" s="14" t="n"/>
      <c r="E41" s="14" t="n"/>
      <c r="F41" s="14" t="n"/>
      <c r="G41" s="14" t="n"/>
      <c r="H41" s="14" t="inlineStr">
        <is>
          <t>○</t>
        </is>
      </c>
      <c r="I41" s="14" t="n"/>
      <c r="J41" s="14" t="n"/>
      <c r="K41" s="14" t="n"/>
      <c r="L41" s="14" t="n"/>
      <c r="M41" s="14" t="inlineStr">
        <is>
          <t>○</t>
        </is>
      </c>
      <c r="N41" s="14" t="n"/>
      <c r="O41" s="14" t="n"/>
      <c r="P41" s="14" t="n"/>
      <c r="Q41" s="15">
        <f>COUNTIF(C41:P41,"●")</f>
        <v>1.0</v>
      </c>
      <c r="R41" s="16" t="n"/>
      <c r="S41" s="17" t="n"/>
      <c r="T41" s="17" t="n"/>
      <c r="U41" s="18" t="str">
        <f>IF($S41="","NO PUBLICAR","Verificado")</f>
        <v>NO PUBLICAR</v>
      </c>
      <c r="V41" s="19" t="n"/>
    </row>
    <row r="42">
      <c r="A42" s="12" t="inlineStr">
        <is>
          <t>Hogaza de masa madre</t>
        </is>
      </c>
      <c r="B42" s="13" t="inlineStr">
        <is>
          <t>Pan</t>
        </is>
      </c>
      <c r="C42" s="14" t="inlineStr">
        <is>
          <t>●</t>
        </is>
      </c>
      <c r="D42" s="14" t="n"/>
      <c r="E42" s="14" t="n"/>
      <c r="F42" s="14" t="n"/>
      <c r="G42" s="14" t="n"/>
      <c r="H42" s="14" t="inlineStr">
        <is>
          <t>○</t>
        </is>
      </c>
      <c r="I42" s="14" t="n"/>
      <c r="J42" s="14" t="n"/>
      <c r="K42" s="14" t="n"/>
      <c r="L42" s="14" t="n"/>
      <c r="M42" s="14" t="inlineStr">
        <is>
          <t>○</t>
        </is>
      </c>
      <c r="N42" s="14" t="n"/>
      <c r="O42" s="14" t="n"/>
      <c r="P42" s="14" t="n"/>
      <c r="Q42" s="15">
        <f>COUNTIF(C42:P42,"●")</f>
        <v>1.0</v>
      </c>
      <c r="R42" s="16" t="n"/>
      <c r="S42" s="17" t="n"/>
      <c r="T42" s="17" t="n"/>
      <c r="U42" s="18" t="str">
        <f>IF($S42="","NO PUBLICAR","Verificado")</f>
        <v>NO PUBLICAR</v>
      </c>
      <c r="V42" s="19" t="n"/>
    </row>
    <row r="43">
      <c r="A43" s="12" t="inlineStr">
        <is>
          <t>Chapata</t>
        </is>
      </c>
      <c r="B43" s="13" t="inlineStr">
        <is>
          <t>Pan</t>
        </is>
      </c>
      <c r="C43" s="14" t="inlineStr">
        <is>
          <t>●</t>
        </is>
      </c>
      <c r="D43" s="14" t="n"/>
      <c r="E43" s="14" t="n"/>
      <c r="F43" s="14" t="n"/>
      <c r="G43" s="14" t="n"/>
      <c r="H43" s="14" t="inlineStr">
        <is>
          <t>○</t>
        </is>
      </c>
      <c r="I43" s="14" t="n"/>
      <c r="J43" s="14" t="n"/>
      <c r="K43" s="14" t="n"/>
      <c r="L43" s="14" t="n"/>
      <c r="M43" s="14" t="inlineStr">
        <is>
          <t>○</t>
        </is>
      </c>
      <c r="N43" s="14" t="n"/>
      <c r="O43" s="14" t="n"/>
      <c r="P43" s="14" t="n"/>
      <c r="Q43" s="15">
        <f>COUNTIF(C43:P43,"●")</f>
        <v>1.0</v>
      </c>
      <c r="R43" s="16" t="n"/>
      <c r="S43" s="17" t="n"/>
      <c r="T43" s="17" t="n"/>
      <c r="U43" s="18" t="str">
        <f>IF($S43="","NO PUBLICAR","Verificado")</f>
        <v>NO PUBLICAR</v>
      </c>
      <c r="V43" s="19" t="n"/>
    </row>
    <row r="44">
      <c r="A44" s="12" t="inlineStr">
        <is>
          <t>Focaccia</t>
        </is>
      </c>
      <c r="B44" s="13" t="inlineStr">
        <is>
          <t>Pan</t>
        </is>
      </c>
      <c r="C44" s="14" t="inlineStr">
        <is>
          <t>●</t>
        </is>
      </c>
      <c r="D44" s="14" t="n"/>
      <c r="E44" s="14" t="n"/>
      <c r="F44" s="14" t="n"/>
      <c r="G44" s="14" t="n"/>
      <c r="H44" s="14" t="inlineStr">
        <is>
          <t>○</t>
        </is>
      </c>
      <c r="I44" s="14" t="inlineStr">
        <is>
          <t>○</t>
        </is>
      </c>
      <c r="J44" s="14" t="n"/>
      <c r="K44" s="14" t="n"/>
      <c r="L44" s="14" t="n"/>
      <c r="M44" s="14" t="inlineStr">
        <is>
          <t>○</t>
        </is>
      </c>
      <c r="N44" s="14" t="n"/>
      <c r="O44" s="14" t="n"/>
      <c r="P44" s="14" t="n"/>
      <c r="Q44" s="15">
        <f>COUNTIF(C44:P44,"●")</f>
        <v>1.0</v>
      </c>
      <c r="R44" s="16" t="n"/>
      <c r="S44" s="17" t="n"/>
      <c r="T44" s="17" t="n"/>
      <c r="U44" s="18" t="str">
        <f>IF($S44="","NO PUBLICAR","Verificado")</f>
        <v>NO PUBLICAR</v>
      </c>
      <c r="V44" s="19" t="n"/>
    </row>
    <row r="45">
      <c r="A45" s="12" t="inlineStr">
        <is>
          <t>Crema pastelera</t>
        </is>
      </c>
      <c r="B45" s="13" t="inlineStr">
        <is>
          <t>Elaboración base</t>
        </is>
      </c>
      <c r="C45" s="14" t="inlineStr">
        <is>
          <t>○</t>
        </is>
      </c>
      <c r="D45" s="14" t="n"/>
      <c r="E45" s="14" t="inlineStr">
        <is>
          <t>●</t>
        </is>
      </c>
      <c r="F45" s="14" t="n"/>
      <c r="G45" s="14" t="n"/>
      <c r="H45" s="14" t="inlineStr">
        <is>
          <t>○</t>
        </is>
      </c>
      <c r="I45" s="14" t="inlineStr">
        <is>
          <t>●</t>
        </is>
      </c>
      <c r="J45" s="14" t="n"/>
      <c r="K45" s="14" t="n"/>
      <c r="L45" s="14" t="n"/>
      <c r="M45" s="14" t="n"/>
      <c r="N45" s="14" t="n"/>
      <c r="O45" s="14" t="n"/>
      <c r="P45" s="14" t="n"/>
      <c r="Q45" s="15">
        <f>COUNTIF(C45:P45,"●")</f>
        <v>2.0</v>
      </c>
      <c r="R45" s="16" t="n"/>
      <c r="S45" s="17" t="n"/>
      <c r="T45" s="17" t="n"/>
      <c r="U45" s="18" t="str">
        <f>IF($S45="","NO PUBLICAR","Verificado")</f>
        <v>NO PUBLICAR</v>
      </c>
      <c r="V45" s="19" t="n"/>
    </row>
    <row r="46">
      <c r="A46" s="12" t="inlineStr">
        <is>
          <t>Ganache de chocolate</t>
        </is>
      </c>
      <c r="B46" s="13" t="inlineStr">
        <is>
          <t>Elaboración base</t>
        </is>
      </c>
      <c r="C46" s="14" t="inlineStr">
        <is>
          <t>○</t>
        </is>
      </c>
      <c r="D46" s="14" t="n"/>
      <c r="E46" s="14" t="n"/>
      <c r="F46" s="14" t="n"/>
      <c r="G46" s="14" t="n"/>
      <c r="H46" s="14" t="inlineStr">
        <is>
          <t>●</t>
        </is>
      </c>
      <c r="I46" s="14" t="inlineStr">
        <is>
          <t>●</t>
        </is>
      </c>
      <c r="J46" s="14" t="inlineStr">
        <is>
          <t>○</t>
        </is>
      </c>
      <c r="K46" s="14" t="n"/>
      <c r="L46" s="14" t="n"/>
      <c r="M46" s="14" t="n"/>
      <c r="N46" s="14" t="n"/>
      <c r="O46" s="14" t="n"/>
      <c r="P46" s="14" t="n"/>
      <c r="Q46" s="15">
        <f>COUNTIF(C46:P46,"●")</f>
        <v>2.0</v>
      </c>
      <c r="R46" s="16" t="n"/>
      <c r="S46" s="17" t="n"/>
      <c r="T46" s="17" t="n"/>
      <c r="U46" s="18" t="str">
        <f>IF($S46="","NO PUBLICAR","Verificado")</f>
        <v>NO PUBLICAR</v>
      </c>
      <c r="V46" s="19" t="n"/>
    </row>
    <row r="47">
      <c r="A47" s="12" t="inlineStr">
        <is>
          <t>Nata montada</t>
        </is>
      </c>
      <c r="B47" s="13" t="inlineStr">
        <is>
          <t>Elaboración base</t>
        </is>
      </c>
      <c r="C47" s="14" t="n"/>
      <c r="D47" s="14" t="n"/>
      <c r="E47" s="14" t="n"/>
      <c r="F47" s="14" t="n"/>
      <c r="G47" s="14" t="n"/>
      <c r="H47" s="14" t="inlineStr">
        <is>
          <t>○</t>
        </is>
      </c>
      <c r="I47" s="14" t="inlineStr">
        <is>
          <t>●</t>
        </is>
      </c>
      <c r="J47" s="14" t="n"/>
      <c r="K47" s="14" t="n"/>
      <c r="L47" s="14" t="n"/>
      <c r="M47" s="14" t="n"/>
      <c r="N47" s="14" t="n"/>
      <c r="O47" s="14" t="n"/>
      <c r="P47" s="14" t="n"/>
      <c r="Q47" s="15">
        <f>COUNTIF(C47:P47,"●")</f>
        <v>1.0</v>
      </c>
      <c r="R47" s="16" t="n"/>
      <c r="S47" s="17" t="n"/>
      <c r="T47" s="17" t="n"/>
      <c r="U47" s="18" t="str">
        <f>IF($S47="","NO PUBLICAR","Verificado")</f>
        <v>NO PUBLICAR</v>
      </c>
      <c r="V47" s="19" t="n"/>
    </row>
    <row r="48">
      <c r="A48" s="16" t="n"/>
      <c r="B48" s="17" t="n"/>
      <c r="C48" s="17" t="n"/>
      <c r="D48" s="17" t="n"/>
      <c r="E48" s="17" t="n"/>
      <c r="F48" s="17" t="n"/>
      <c r="G48" s="17" t="n"/>
      <c r="H48" s="17" t="n"/>
      <c r="I48" s="17" t="n"/>
      <c r="J48" s="17" t="n"/>
      <c r="K48" s="17" t="n"/>
      <c r="L48" s="17" t="n"/>
      <c r="M48" s="17" t="n"/>
      <c r="N48" s="17" t="n"/>
      <c r="O48" s="17" t="n"/>
      <c r="P48" s="17" t="n"/>
      <c r="Q48" s="20">
        <f>COUNTIF(C48:P48,"●")</f>
        <v>0.0</v>
      </c>
      <c r="R48" s="17" t="n"/>
      <c r="S48" s="17" t="n"/>
      <c r="T48" s="17" t="n"/>
      <c r="U48" s="21" t="str">
        <f>IF($S48="","NO PUBLICAR","Verificado")</f>
        <v>NO PUBLICAR</v>
      </c>
      <c r="V48" s="16" t="n"/>
    </row>
    <row r="49">
      <c r="A49" s="16" t="n"/>
      <c r="B49" s="17" t="n"/>
      <c r="C49" s="17" t="n"/>
      <c r="D49" s="17" t="n"/>
      <c r="E49" s="17" t="n"/>
      <c r="F49" s="17" t="n"/>
      <c r="G49" s="17" t="n"/>
      <c r="H49" s="17" t="n"/>
      <c r="I49" s="17" t="n"/>
      <c r="J49" s="17" t="n"/>
      <c r="K49" s="17" t="n"/>
      <c r="L49" s="17" t="n"/>
      <c r="M49" s="17" t="n"/>
      <c r="N49" s="17" t="n"/>
      <c r="O49" s="17" t="n"/>
      <c r="P49" s="17" t="n"/>
      <c r="Q49" s="20">
        <f>COUNTIF(C49:P49,"●")</f>
        <v>0.0</v>
      </c>
      <c r="R49" s="17" t="n"/>
      <c r="S49" s="17" t="n"/>
      <c r="T49" s="17" t="n"/>
      <c r="U49" s="21" t="str">
        <f>IF($S49="","NO PUBLICAR","Verificado")</f>
        <v>NO PUBLICAR</v>
      </c>
      <c r="V49" s="16" t="n"/>
    </row>
    <row r="50">
      <c r="A50" s="16" t="n"/>
      <c r="B50" s="17" t="n"/>
      <c r="C50" s="17" t="n"/>
      <c r="D50" s="17" t="n"/>
      <c r="E50" s="17" t="n"/>
      <c r="F50" s="17" t="n"/>
      <c r="G50" s="17" t="n"/>
      <c r="H50" s="17" t="n"/>
      <c r="I50" s="17" t="n"/>
      <c r="J50" s="17" t="n"/>
      <c r="K50" s="17" t="n"/>
      <c r="L50" s="17" t="n"/>
      <c r="M50" s="17" t="n"/>
      <c r="N50" s="17" t="n"/>
      <c r="O50" s="17" t="n"/>
      <c r="P50" s="17" t="n"/>
      <c r="Q50" s="20">
        <f>COUNTIF(C50:P50,"●")</f>
        <v>0.0</v>
      </c>
      <c r="R50" s="17" t="n"/>
      <c r="S50" s="17" t="n"/>
      <c r="T50" s="17" t="n"/>
      <c r="U50" s="21" t="str">
        <f>IF($S50="","NO PUBLICAR","Verificado")</f>
        <v>NO PUBLICAR</v>
      </c>
      <c r="V50" s="16" t="n"/>
    </row>
    <row r="51">
      <c r="A51" s="16" t="n"/>
      <c r="B51" s="17" t="n"/>
      <c r="C51" s="17" t="n"/>
      <c r="D51" s="17" t="n"/>
      <c r="E51" s="17" t="n"/>
      <c r="F51" s="17" t="n"/>
      <c r="G51" s="17" t="n"/>
      <c r="H51" s="17" t="n"/>
      <c r="I51" s="17" t="n"/>
      <c r="J51" s="17" t="n"/>
      <c r="K51" s="17" t="n"/>
      <c r="L51" s="17" t="n"/>
      <c r="M51" s="17" t="n"/>
      <c r="N51" s="17" t="n"/>
      <c r="O51" s="17" t="n"/>
      <c r="P51" s="17" t="n"/>
      <c r="Q51" s="20">
        <f>COUNTIF(C51:P51,"●")</f>
        <v>0.0</v>
      </c>
      <c r="R51" s="17" t="n"/>
      <c r="S51" s="17" t="n"/>
      <c r="T51" s="17" t="n"/>
      <c r="U51" s="21" t="str">
        <f>IF($S51="","NO PUBLICAR","Verificado")</f>
        <v>NO PUBLICAR</v>
      </c>
      <c r="V51" s="16" t="n"/>
    </row>
    <row r="52"/>
    <row r="53">
      <c r="A53" s="22" t="inlineStr">
        <is>
          <t>Nº de referencias que lo CONTIENEN (●)</t>
        </is>
      </c>
      <c r="B53" s="23" t="n"/>
      <c r="C53" s="24">
        <f>COUNTIF(C5:C51,"●")</f>
        <v>36.0</v>
      </c>
      <c r="D53" s="24">
        <f>COUNTIF(D5:D51,"●")</f>
        <v>0.0</v>
      </c>
      <c r="E53" s="24">
        <f>COUNTIF(E5:E51,"●")</f>
        <v>33.0</v>
      </c>
      <c r="F53" s="24">
        <f>COUNTIF(F5:F51,"●")</f>
        <v>1.0</v>
      </c>
      <c r="G53" s="24">
        <f>COUNTIF(G5:G51,"●")</f>
        <v>0.0</v>
      </c>
      <c r="H53" s="24">
        <f>COUNTIF(H5:H51,"●")</f>
        <v>7.0</v>
      </c>
      <c r="I53" s="24">
        <f>COUNTIF(I5:I51,"●")</f>
        <v>32.0</v>
      </c>
      <c r="J53" s="24">
        <f>COUNTIF(J5:J51,"●")</f>
        <v>9.0</v>
      </c>
      <c r="K53" s="24">
        <f>COUNTIF(K5:K51,"●")</f>
        <v>0.0</v>
      </c>
      <c r="L53" s="24">
        <f>COUNTIF(L5:L51,"●")</f>
        <v>0.0</v>
      </c>
      <c r="M53" s="24">
        <f>COUNTIF(M5:M51,"●")</f>
        <v>0.0</v>
      </c>
      <c r="N53" s="24">
        <f>COUNTIF(N5:N51,"●")</f>
        <v>2.0</v>
      </c>
      <c r="O53" s="24">
        <f>COUNTIF(O5:O51,"●")</f>
        <v>0.0</v>
      </c>
      <c r="P53" s="24">
        <f>COUNTIF(P5:P51,"●")</f>
        <v>0.0</v>
      </c>
      <c r="Q53" s="23" t="n"/>
      <c r="R53" s="23" t="n"/>
      <c r="S53" s="23" t="n"/>
      <c r="T53" s="23" t="n"/>
      <c r="U53" s="23" t="n"/>
      <c r="V53" s="23" t="n"/>
    </row>
    <row r="54">
      <c r="A54" s="25" t="inlineStr">
        <is>
          <t>Nº de referencias con TRAZAS (○)</t>
        </is>
      </c>
      <c r="B54" s="26" t="n"/>
      <c r="C54" s="27">
        <f>COUNTIF(C5:C51,"○")</f>
        <v>5.0</v>
      </c>
      <c r="D54" s="27">
        <f>COUNTIF(D5:D51,"○")</f>
        <v>0.0</v>
      </c>
      <c r="E54" s="27">
        <f>COUNTIF(E5:E51,"○")</f>
        <v>3.0</v>
      </c>
      <c r="F54" s="27">
        <f>COUNTIF(F5:F51,"○")</f>
        <v>0.0</v>
      </c>
      <c r="G54" s="27">
        <f>COUNTIF(G5:G51,"○")</f>
        <v>0.0</v>
      </c>
      <c r="H54" s="27">
        <f>COUNTIF(H5:H51,"○")</f>
        <v>29.0</v>
      </c>
      <c r="I54" s="27">
        <f>COUNTIF(I5:I51,"○")</f>
        <v>7.0</v>
      </c>
      <c r="J54" s="27">
        <f>COUNTIF(J5:J51,"○")</f>
        <v>24.0</v>
      </c>
      <c r="K54" s="27">
        <f>COUNTIF(K5:K51,"○")</f>
        <v>2.0</v>
      </c>
      <c r="L54" s="27">
        <f>COUNTIF(L5:L51,"○")</f>
        <v>2.0</v>
      </c>
      <c r="M54" s="27">
        <f>COUNTIF(M5:M51,"○")</f>
        <v>8.0</v>
      </c>
      <c r="N54" s="27">
        <f>COUNTIF(N5:N51,"○")</f>
        <v>4.0</v>
      </c>
      <c r="O54" s="27">
        <f>COUNTIF(O5:O51,"○")</f>
        <v>0.0</v>
      </c>
      <c r="P54" s="27">
        <f>COUNTIF(P5:P51,"○")</f>
        <v>0.0</v>
      </c>
      <c r="Q54" s="26" t="n"/>
      <c r="R54" s="26" t="n"/>
      <c r="S54" s="26" t="n"/>
      <c r="T54" s="26" t="n"/>
      <c r="U54" s="26" t="n"/>
      <c r="V54" s="26" t="n"/>
    </row>
    <row r="55">
      <c r="A55" s="28" t="inlineStr">
        <is>
          <t>Referencias pendientes de verificar</t>
        </is>
      </c>
      <c r="B55" s="15">
        <f>COUNTIF(U5:U51,"NO PUBLICAR")</f>
        <v>47.0</v>
      </c>
      <c r="C55" s="29" t="inlineStr">
        <is>
          <t>Mientras este número no sea cero, la carta de alérgenos no está lista para enseñarse.</t>
        </is>
      </c>
      <c r="D55" s="46" t="n"/>
      <c r="E55" s="46" t="n"/>
      <c r="F55" s="46" t="n"/>
      <c r="G55" s="46" t="n"/>
      <c r="H55" s="46" t="n"/>
      <c r="I55" s="46" t="n"/>
      <c r="J55" s="46" t="n"/>
      <c r="K55" s="46" t="n"/>
      <c r="L55" s="46" t="n"/>
      <c r="M55" s="46" t="n"/>
      <c r="N55" s="46" t="n"/>
      <c r="O55" s="46" t="n"/>
      <c r="P55" s="46" t="n"/>
      <c r="Q55" s="46" t="n"/>
      <c r="R55" s="46" t="n"/>
      <c r="S55" s="46" t="n"/>
      <c r="T55" s="46" t="n"/>
      <c r="U55" s="46" t="n"/>
      <c r="V55" s="47" t="n"/>
    </row>
    <row r="56"/>
    <row r="57">
      <c r="A57" s="7" t="inlineStr">
        <is>
          <t>— Kit de Tareas Recurrentes · Pastelería / Obrador · AI Chef Pro · aichef.pro</t>
        </is>
      </c>
    </row>
  </sheetData>
  <mergeCells count="4">
    <mergeCell ref="C55:V55"/>
    <mergeCell ref="A1:V1"/>
    <mergeCell ref="A2:V2"/>
    <mergeCell ref="A3:V3"/>
  </mergeCells>
  <conditionalFormatting sqref="U5:U51">
    <cfRule type="cellIs" priority="1" operator="equal" dxfId="0">
      <formula>"NO PUBLICAR"</formula>
    </cfRule>
    <cfRule type="cellIs" priority="2" operator="equal" dxfId="1">
      <formula>"Verificado"</formula>
    </cfRule>
  </conditionalFormatting>
  <dataValidations count="1">
    <dataValidation sqref="C5:P51" showDropDown="0" showInputMessage="0" showErrorMessage="0" allowBlank="1" type="list">
      <formula1>"●,○"</formula1>
    </dataValidation>
  </dataValidations>
  <printOptions horizontalCentered="1"/>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FF8C00"/>
    <outlinePr summaryBelow="1" summaryRight="1"/>
    <pageSetUpPr fitToPage="1"/>
  </sheetPr>
  <dimension ref="A1:O59"/>
  <sheetViews>
    <sheetView showGridLines="0" workbookViewId="0">
      <pane ySplit="5" topLeftCell="A6" activePane="bottomLeft" state="frozen"/>
      <selection pane="bottomLeft" activeCell="A1" sqref="A1"/>
    </sheetView>
  </sheetViews>
  <sheetFormatPr baseColWidth="8" defaultRowHeight="15"/>
  <cols>
    <col width="30"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s>
  <sheetData>
    <row r="1" ht="22" customHeight="1">
      <c r="A1" s="8" t="inlineStr">
        <is>
          <t>Carta de Alérgenos</t>
        </is>
      </c>
    </row>
    <row r="2" ht="15" customHeight="1">
      <c r="A2" s="30" t="inlineStr">
        <is>
          <t>Establecimiento: ______________________________     Fecha de revisión: ____/____/________</t>
        </is>
      </c>
    </row>
    <row r="3" ht="30.4" customHeight="1">
      <c r="A3" s="9" t="inlineStr">
        <is>
          <t>Documento para enseñar al cliente. Se rellena solo desde la hoja Matriz Alérgenos: verifica allí cada referencia antes de imprimir esta carta.   ●  contiene    ○  puede contener trazas</t>
        </is>
      </c>
    </row>
    <row r="4"/>
    <row r="5" ht="95" customHeight="1">
      <c r="A5" s="10" t="inlineStr">
        <is>
          <t>Producto</t>
        </is>
      </c>
      <c r="B5" s="11" t="inlineStr">
        <is>
          <t>Gluten</t>
        </is>
      </c>
      <c r="C5" s="11" t="inlineStr">
        <is>
          <t>Crustáceos</t>
        </is>
      </c>
      <c r="D5" s="11" t="inlineStr">
        <is>
          <t>Huevos</t>
        </is>
      </c>
      <c r="E5" s="11" t="inlineStr">
        <is>
          <t>Pescado</t>
        </is>
      </c>
      <c r="F5" s="11" t="inlineStr">
        <is>
          <t>Cacahuetes</t>
        </is>
      </c>
      <c r="G5" s="11" t="inlineStr">
        <is>
          <t>Soja</t>
        </is>
      </c>
      <c r="H5" s="11" t="inlineStr">
        <is>
          <t>Lácteos</t>
        </is>
      </c>
      <c r="I5" s="11" t="inlineStr">
        <is>
          <t>Frutos de cáscara</t>
        </is>
      </c>
      <c r="J5" s="11" t="inlineStr">
        <is>
          <t>Apio</t>
        </is>
      </c>
      <c r="K5" s="11" t="inlineStr">
        <is>
          <t>Mostaza</t>
        </is>
      </c>
      <c r="L5" s="11" t="inlineStr">
        <is>
          <t>Sésamo</t>
        </is>
      </c>
      <c r="M5" s="11" t="inlineStr">
        <is>
          <t>Sulfitos</t>
        </is>
      </c>
      <c r="N5" s="11" t="inlineStr">
        <is>
          <t>Altramuces</t>
        </is>
      </c>
      <c r="O5" s="11" t="inlineStr">
        <is>
          <t>Moluscos</t>
        </is>
      </c>
    </row>
    <row r="6">
      <c r="A6" s="12" t="str">
        <f>IF('Matriz Alérgenos'!A5="","",'Matriz Alérgenos'!A5)</f>
        <v>Croissant de mantequilla</v>
      </c>
      <c r="B6" s="31" t="str">
        <f>IF('Matriz Alérgenos'!C5="","",'Matriz Alérgenos'!C5)</f>
        <v>●</v>
      </c>
      <c r="C6" s="31">
        <f>IF('Matriz Alérgenos'!D5="","",'Matriz Alérgenos'!D5)</f>
        <v/>
      </c>
      <c r="D6" s="31" t="str">
        <f>IF('Matriz Alérgenos'!E5="","",'Matriz Alérgenos'!E5)</f>
        <v>●</v>
      </c>
      <c r="E6" s="31">
        <f>IF('Matriz Alérgenos'!F5="","",'Matriz Alérgenos'!F5)</f>
        <v/>
      </c>
      <c r="F6" s="31">
        <f>IF('Matriz Alérgenos'!G5="","",'Matriz Alérgenos'!G5)</f>
        <v/>
      </c>
      <c r="G6" s="31" t="str">
        <f>IF('Matriz Alérgenos'!H5="","",'Matriz Alérgenos'!H5)</f>
        <v>○</v>
      </c>
      <c r="H6" s="31" t="str">
        <f>IF('Matriz Alérgenos'!I5="","",'Matriz Alérgenos'!I5)</f>
        <v>●</v>
      </c>
      <c r="I6" s="31" t="str">
        <f>IF('Matriz Alérgenos'!J5="","",'Matriz Alérgenos'!J5)</f>
        <v>○</v>
      </c>
      <c r="J6" s="31">
        <f>IF('Matriz Alérgenos'!K5="","",'Matriz Alérgenos'!K5)</f>
        <v/>
      </c>
      <c r="K6" s="31">
        <f>IF('Matriz Alérgenos'!L5="","",'Matriz Alérgenos'!L5)</f>
        <v/>
      </c>
      <c r="L6" s="31" t="str">
        <f>IF('Matriz Alérgenos'!M5="","",'Matriz Alérgenos'!M5)</f>
        <v>○</v>
      </c>
      <c r="M6" s="31">
        <f>IF('Matriz Alérgenos'!N5="","",'Matriz Alérgenos'!N5)</f>
        <v/>
      </c>
      <c r="N6" s="31">
        <f>IF('Matriz Alérgenos'!O5="","",'Matriz Alérgenos'!O5)</f>
        <v/>
      </c>
      <c r="O6" s="31">
        <f>IF('Matriz Alérgenos'!P5="","",'Matriz Alérgenos'!P5)</f>
        <v/>
      </c>
    </row>
    <row r="7">
      <c r="A7" s="12" t="str">
        <f>IF('Matriz Alérgenos'!A6="","",'Matriz Alérgenos'!A6)</f>
        <v>Pain au chocolat</v>
      </c>
      <c r="B7" s="31" t="str">
        <f>IF('Matriz Alérgenos'!C6="","",'Matriz Alérgenos'!C6)</f>
        <v>●</v>
      </c>
      <c r="C7" s="31">
        <f>IF('Matriz Alérgenos'!D6="","",'Matriz Alérgenos'!D6)</f>
        <v/>
      </c>
      <c r="D7" s="31" t="str">
        <f>IF('Matriz Alérgenos'!E6="","",'Matriz Alérgenos'!E6)</f>
        <v>●</v>
      </c>
      <c r="E7" s="31">
        <f>IF('Matriz Alérgenos'!F6="","",'Matriz Alérgenos'!F6)</f>
        <v/>
      </c>
      <c r="F7" s="31">
        <f>IF('Matriz Alérgenos'!G6="","",'Matriz Alérgenos'!G6)</f>
        <v/>
      </c>
      <c r="G7" s="31" t="str">
        <f>IF('Matriz Alérgenos'!H6="","",'Matriz Alérgenos'!H6)</f>
        <v>●</v>
      </c>
      <c r="H7" s="31" t="str">
        <f>IF('Matriz Alérgenos'!I6="","",'Matriz Alérgenos'!I6)</f>
        <v>●</v>
      </c>
      <c r="I7" s="31" t="str">
        <f>IF('Matriz Alérgenos'!J6="","",'Matriz Alérgenos'!J6)</f>
        <v>○</v>
      </c>
      <c r="J7" s="31">
        <f>IF('Matriz Alérgenos'!K6="","",'Matriz Alérgenos'!K6)</f>
        <v/>
      </c>
      <c r="K7" s="31">
        <f>IF('Matriz Alérgenos'!L6="","",'Matriz Alérgenos'!L6)</f>
        <v/>
      </c>
      <c r="L7" s="31">
        <f>IF('Matriz Alérgenos'!M6="","",'Matriz Alérgenos'!M6)</f>
        <v/>
      </c>
      <c r="M7" s="31">
        <f>IF('Matriz Alérgenos'!N6="","",'Matriz Alérgenos'!N6)</f>
        <v/>
      </c>
      <c r="N7" s="31">
        <f>IF('Matriz Alérgenos'!O6="","",'Matriz Alérgenos'!O6)</f>
        <v/>
      </c>
      <c r="O7" s="31">
        <f>IF('Matriz Alérgenos'!P6="","",'Matriz Alérgenos'!P6)</f>
        <v/>
      </c>
    </row>
    <row r="8">
      <c r="A8" s="12" t="str">
        <f>IF('Matriz Alérgenos'!A7="","",'Matriz Alérgenos'!A7)</f>
        <v>Napolitana de crema</v>
      </c>
      <c r="B8" s="31" t="str">
        <f>IF('Matriz Alérgenos'!C7="","",'Matriz Alérgenos'!C7)</f>
        <v>●</v>
      </c>
      <c r="C8" s="31">
        <f>IF('Matriz Alérgenos'!D7="","",'Matriz Alérgenos'!D7)</f>
        <v/>
      </c>
      <c r="D8" s="31" t="str">
        <f>IF('Matriz Alérgenos'!E7="","",'Matriz Alérgenos'!E7)</f>
        <v>●</v>
      </c>
      <c r="E8" s="31">
        <f>IF('Matriz Alérgenos'!F7="","",'Matriz Alérgenos'!F7)</f>
        <v/>
      </c>
      <c r="F8" s="31">
        <f>IF('Matriz Alérgenos'!G7="","",'Matriz Alérgenos'!G7)</f>
        <v/>
      </c>
      <c r="G8" s="31" t="str">
        <f>IF('Matriz Alérgenos'!H7="","",'Matriz Alérgenos'!H7)</f>
        <v>○</v>
      </c>
      <c r="H8" s="31" t="str">
        <f>IF('Matriz Alérgenos'!I7="","",'Matriz Alérgenos'!I7)</f>
        <v>●</v>
      </c>
      <c r="I8" s="31" t="str">
        <f>IF('Matriz Alérgenos'!J7="","",'Matriz Alérgenos'!J7)</f>
        <v>○</v>
      </c>
      <c r="J8" s="31">
        <f>IF('Matriz Alérgenos'!K7="","",'Matriz Alérgenos'!K7)</f>
        <v/>
      </c>
      <c r="K8" s="31">
        <f>IF('Matriz Alérgenos'!L7="","",'Matriz Alérgenos'!L7)</f>
        <v/>
      </c>
      <c r="L8" s="31">
        <f>IF('Matriz Alérgenos'!M7="","",'Matriz Alérgenos'!M7)</f>
        <v/>
      </c>
      <c r="M8" s="31">
        <f>IF('Matriz Alérgenos'!N7="","",'Matriz Alérgenos'!N7)</f>
        <v/>
      </c>
      <c r="N8" s="31">
        <f>IF('Matriz Alérgenos'!O7="","",'Matriz Alérgenos'!O7)</f>
        <v/>
      </c>
      <c r="O8" s="31">
        <f>IF('Matriz Alérgenos'!P7="","",'Matriz Alérgenos'!P7)</f>
        <v/>
      </c>
    </row>
    <row r="9">
      <c r="A9" s="12" t="str">
        <f>IF('Matriz Alérgenos'!A8="","",'Matriz Alérgenos'!A8)</f>
        <v>Ensaimada</v>
      </c>
      <c r="B9" s="31" t="str">
        <f>IF('Matriz Alérgenos'!C8="","",'Matriz Alérgenos'!C8)</f>
        <v>●</v>
      </c>
      <c r="C9" s="31">
        <f>IF('Matriz Alérgenos'!D8="","",'Matriz Alérgenos'!D8)</f>
        <v/>
      </c>
      <c r="D9" s="31" t="str">
        <f>IF('Matriz Alérgenos'!E8="","",'Matriz Alérgenos'!E8)</f>
        <v>●</v>
      </c>
      <c r="E9" s="31">
        <f>IF('Matriz Alérgenos'!F8="","",'Matriz Alérgenos'!F8)</f>
        <v/>
      </c>
      <c r="F9" s="31">
        <f>IF('Matriz Alérgenos'!G8="","",'Matriz Alérgenos'!G8)</f>
        <v/>
      </c>
      <c r="G9" s="31" t="str">
        <f>IF('Matriz Alérgenos'!H8="","",'Matriz Alérgenos'!H8)</f>
        <v>○</v>
      </c>
      <c r="H9" s="31" t="str">
        <f>IF('Matriz Alérgenos'!I8="","",'Matriz Alérgenos'!I8)</f>
        <v>○</v>
      </c>
      <c r="I9" s="31" t="str">
        <f>IF('Matriz Alérgenos'!J8="","",'Matriz Alérgenos'!J8)</f>
        <v>○</v>
      </c>
      <c r="J9" s="31">
        <f>IF('Matriz Alérgenos'!K8="","",'Matriz Alérgenos'!K8)</f>
        <v/>
      </c>
      <c r="K9" s="31">
        <f>IF('Matriz Alérgenos'!L8="","",'Matriz Alérgenos'!L8)</f>
        <v/>
      </c>
      <c r="L9" s="31">
        <f>IF('Matriz Alérgenos'!M8="","",'Matriz Alérgenos'!M8)</f>
        <v/>
      </c>
      <c r="M9" s="31">
        <f>IF('Matriz Alérgenos'!N8="","",'Matriz Alérgenos'!N8)</f>
        <v/>
      </c>
      <c r="N9" s="31">
        <f>IF('Matriz Alérgenos'!O8="","",'Matriz Alérgenos'!O8)</f>
        <v/>
      </c>
      <c r="O9" s="31">
        <f>IF('Matriz Alérgenos'!P8="","",'Matriz Alérgenos'!P8)</f>
        <v/>
      </c>
    </row>
    <row r="10">
      <c r="A10" s="12" t="str">
        <f>IF('Matriz Alérgenos'!A9="","",'Matriz Alérgenos'!A9)</f>
        <v>Brioche</v>
      </c>
      <c r="B10" s="31" t="str">
        <f>IF('Matriz Alérgenos'!C9="","",'Matriz Alérgenos'!C9)</f>
        <v>●</v>
      </c>
      <c r="C10" s="31">
        <f>IF('Matriz Alérgenos'!D9="","",'Matriz Alérgenos'!D9)</f>
        <v/>
      </c>
      <c r="D10" s="31" t="str">
        <f>IF('Matriz Alérgenos'!E9="","",'Matriz Alérgenos'!E9)</f>
        <v>●</v>
      </c>
      <c r="E10" s="31">
        <f>IF('Matriz Alérgenos'!F9="","",'Matriz Alérgenos'!F9)</f>
        <v/>
      </c>
      <c r="F10" s="31">
        <f>IF('Matriz Alérgenos'!G9="","",'Matriz Alérgenos'!G9)</f>
        <v/>
      </c>
      <c r="G10" s="31" t="str">
        <f>IF('Matriz Alérgenos'!H9="","",'Matriz Alérgenos'!H9)</f>
        <v>○</v>
      </c>
      <c r="H10" s="31" t="str">
        <f>IF('Matriz Alérgenos'!I9="","",'Matriz Alérgenos'!I9)</f>
        <v>●</v>
      </c>
      <c r="I10" s="31" t="str">
        <f>IF('Matriz Alérgenos'!J9="","",'Matriz Alérgenos'!J9)</f>
        <v>○</v>
      </c>
      <c r="J10" s="31">
        <f>IF('Matriz Alérgenos'!K9="","",'Matriz Alérgenos'!K9)</f>
        <v/>
      </c>
      <c r="K10" s="31">
        <f>IF('Matriz Alérgenos'!L9="","",'Matriz Alérgenos'!L9)</f>
        <v/>
      </c>
      <c r="L10" s="31">
        <f>IF('Matriz Alérgenos'!M9="","",'Matriz Alérgenos'!M9)</f>
        <v/>
      </c>
      <c r="M10" s="31">
        <f>IF('Matriz Alérgenos'!N9="","",'Matriz Alérgenos'!N9)</f>
        <v/>
      </c>
      <c r="N10" s="31">
        <f>IF('Matriz Alérgenos'!O9="","",'Matriz Alérgenos'!O9)</f>
        <v/>
      </c>
      <c r="O10" s="31">
        <f>IF('Matriz Alérgenos'!P9="","",'Matriz Alérgenos'!P9)</f>
        <v/>
      </c>
    </row>
    <row r="11">
      <c r="A11" s="12" t="str">
        <f>IF('Matriz Alérgenos'!A10="","",'Matriz Alérgenos'!A10)</f>
        <v>Caracola de pasas</v>
      </c>
      <c r="B11" s="31" t="str">
        <f>IF('Matriz Alérgenos'!C10="","",'Matriz Alérgenos'!C10)</f>
        <v>●</v>
      </c>
      <c r="C11" s="31">
        <f>IF('Matriz Alérgenos'!D10="","",'Matriz Alérgenos'!D10)</f>
        <v/>
      </c>
      <c r="D11" s="31" t="str">
        <f>IF('Matriz Alérgenos'!E10="","",'Matriz Alérgenos'!E10)</f>
        <v>●</v>
      </c>
      <c r="E11" s="31">
        <f>IF('Matriz Alérgenos'!F10="","",'Matriz Alérgenos'!F10)</f>
        <v/>
      </c>
      <c r="F11" s="31">
        <f>IF('Matriz Alérgenos'!G10="","",'Matriz Alérgenos'!G10)</f>
        <v/>
      </c>
      <c r="G11" s="31" t="str">
        <f>IF('Matriz Alérgenos'!H10="","",'Matriz Alérgenos'!H10)</f>
        <v>○</v>
      </c>
      <c r="H11" s="31" t="str">
        <f>IF('Matriz Alérgenos'!I10="","",'Matriz Alérgenos'!I10)</f>
        <v>●</v>
      </c>
      <c r="I11" s="31" t="str">
        <f>IF('Matriz Alérgenos'!J10="","",'Matriz Alérgenos'!J10)</f>
        <v>○</v>
      </c>
      <c r="J11" s="31">
        <f>IF('Matriz Alérgenos'!K10="","",'Matriz Alérgenos'!K10)</f>
        <v/>
      </c>
      <c r="K11" s="31">
        <f>IF('Matriz Alérgenos'!L10="","",'Matriz Alérgenos'!L10)</f>
        <v/>
      </c>
      <c r="L11" s="31">
        <f>IF('Matriz Alérgenos'!M10="","",'Matriz Alérgenos'!M10)</f>
        <v/>
      </c>
      <c r="M11" s="31" t="str">
        <f>IF('Matriz Alérgenos'!N10="","",'Matriz Alérgenos'!N10)</f>
        <v>●</v>
      </c>
      <c r="N11" s="31">
        <f>IF('Matriz Alérgenos'!O10="","",'Matriz Alérgenos'!O10)</f>
        <v/>
      </c>
      <c r="O11" s="31">
        <f>IF('Matriz Alérgenos'!P10="","",'Matriz Alérgenos'!P10)</f>
        <v/>
      </c>
    </row>
    <row r="12">
      <c r="A12" s="12" t="str">
        <f>IF('Matriz Alérgenos'!A11="","",'Matriz Alérgenos'!A11)</f>
        <v>Palmera de hojaldre</v>
      </c>
      <c r="B12" s="31" t="str">
        <f>IF('Matriz Alérgenos'!C11="","",'Matriz Alérgenos'!C11)</f>
        <v>●</v>
      </c>
      <c r="C12" s="31">
        <f>IF('Matriz Alérgenos'!D11="","",'Matriz Alérgenos'!D11)</f>
        <v/>
      </c>
      <c r="D12" s="31" t="str">
        <f>IF('Matriz Alérgenos'!E11="","",'Matriz Alérgenos'!E11)</f>
        <v>○</v>
      </c>
      <c r="E12" s="31">
        <f>IF('Matriz Alérgenos'!F11="","",'Matriz Alérgenos'!F11)</f>
        <v/>
      </c>
      <c r="F12" s="31">
        <f>IF('Matriz Alérgenos'!G11="","",'Matriz Alérgenos'!G11)</f>
        <v/>
      </c>
      <c r="G12" s="31" t="str">
        <f>IF('Matriz Alérgenos'!H11="","",'Matriz Alérgenos'!H11)</f>
        <v>○</v>
      </c>
      <c r="H12" s="31" t="str">
        <f>IF('Matriz Alérgenos'!I11="","",'Matriz Alérgenos'!I11)</f>
        <v>●</v>
      </c>
      <c r="I12" s="31" t="str">
        <f>IF('Matriz Alérgenos'!J11="","",'Matriz Alérgenos'!J11)</f>
        <v>○</v>
      </c>
      <c r="J12" s="31">
        <f>IF('Matriz Alérgenos'!K11="","",'Matriz Alérgenos'!K11)</f>
        <v/>
      </c>
      <c r="K12" s="31">
        <f>IF('Matriz Alérgenos'!L11="","",'Matriz Alérgenos'!L11)</f>
        <v/>
      </c>
      <c r="L12" s="31">
        <f>IF('Matriz Alérgenos'!M11="","",'Matriz Alérgenos'!M11)</f>
        <v/>
      </c>
      <c r="M12" s="31">
        <f>IF('Matriz Alérgenos'!N11="","",'Matriz Alérgenos'!N11)</f>
        <v/>
      </c>
      <c r="N12" s="31">
        <f>IF('Matriz Alérgenos'!O11="","",'Matriz Alérgenos'!O11)</f>
        <v/>
      </c>
      <c r="O12" s="31">
        <f>IF('Matriz Alérgenos'!P11="","",'Matriz Alérgenos'!P11)</f>
        <v/>
      </c>
    </row>
    <row r="13">
      <c r="A13" s="12" t="str">
        <f>IF('Matriz Alérgenos'!A12="","",'Matriz Alérgenos'!A12)</f>
        <v>Croissant relleno de crema</v>
      </c>
      <c r="B13" s="31" t="str">
        <f>IF('Matriz Alérgenos'!C12="","",'Matriz Alérgenos'!C12)</f>
        <v>●</v>
      </c>
      <c r="C13" s="31">
        <f>IF('Matriz Alérgenos'!D12="","",'Matriz Alérgenos'!D12)</f>
        <v/>
      </c>
      <c r="D13" s="31" t="str">
        <f>IF('Matriz Alérgenos'!E12="","",'Matriz Alérgenos'!E12)</f>
        <v>●</v>
      </c>
      <c r="E13" s="31">
        <f>IF('Matriz Alérgenos'!F12="","",'Matriz Alérgenos'!F12)</f>
        <v/>
      </c>
      <c r="F13" s="31">
        <f>IF('Matriz Alérgenos'!G12="","",'Matriz Alérgenos'!G12)</f>
        <v/>
      </c>
      <c r="G13" s="31" t="str">
        <f>IF('Matriz Alérgenos'!H12="","",'Matriz Alérgenos'!H12)</f>
        <v>○</v>
      </c>
      <c r="H13" s="31" t="str">
        <f>IF('Matriz Alérgenos'!I12="","",'Matriz Alérgenos'!I12)</f>
        <v>●</v>
      </c>
      <c r="I13" s="31" t="str">
        <f>IF('Matriz Alérgenos'!J12="","",'Matriz Alérgenos'!J12)</f>
        <v>○</v>
      </c>
      <c r="J13" s="31">
        <f>IF('Matriz Alérgenos'!K12="","",'Matriz Alérgenos'!K12)</f>
        <v/>
      </c>
      <c r="K13" s="31">
        <f>IF('Matriz Alérgenos'!L12="","",'Matriz Alérgenos'!L12)</f>
        <v/>
      </c>
      <c r="L13" s="31">
        <f>IF('Matriz Alérgenos'!M12="","",'Matriz Alérgenos'!M12)</f>
        <v/>
      </c>
      <c r="M13" s="31">
        <f>IF('Matriz Alérgenos'!N12="","",'Matriz Alérgenos'!N12)</f>
        <v/>
      </c>
      <c r="N13" s="31">
        <f>IF('Matriz Alérgenos'!O12="","",'Matriz Alérgenos'!O12)</f>
        <v/>
      </c>
      <c r="O13" s="31">
        <f>IF('Matriz Alérgenos'!P12="","",'Matriz Alérgenos'!P12)</f>
        <v/>
      </c>
    </row>
    <row r="14">
      <c r="A14" s="12" t="str">
        <f>IF('Matriz Alérgenos'!A13="","",'Matriz Alérgenos'!A13)</f>
        <v>Tarta de queso</v>
      </c>
      <c r="B14" s="31" t="str">
        <f>IF('Matriz Alérgenos'!C13="","",'Matriz Alérgenos'!C13)</f>
        <v>●</v>
      </c>
      <c r="C14" s="31">
        <f>IF('Matriz Alérgenos'!D13="","",'Matriz Alérgenos'!D13)</f>
        <v/>
      </c>
      <c r="D14" s="31" t="str">
        <f>IF('Matriz Alérgenos'!E13="","",'Matriz Alérgenos'!E13)</f>
        <v>●</v>
      </c>
      <c r="E14" s="31">
        <f>IF('Matriz Alérgenos'!F13="","",'Matriz Alérgenos'!F13)</f>
        <v/>
      </c>
      <c r="F14" s="31">
        <f>IF('Matriz Alérgenos'!G13="","",'Matriz Alérgenos'!G13)</f>
        <v/>
      </c>
      <c r="G14" s="31" t="str">
        <f>IF('Matriz Alérgenos'!H13="","",'Matriz Alérgenos'!H13)</f>
        <v>○</v>
      </c>
      <c r="H14" s="31" t="str">
        <f>IF('Matriz Alérgenos'!I13="","",'Matriz Alérgenos'!I13)</f>
        <v>●</v>
      </c>
      <c r="I14" s="31" t="str">
        <f>IF('Matriz Alérgenos'!J13="","",'Matriz Alérgenos'!J13)</f>
        <v>○</v>
      </c>
      <c r="J14" s="31">
        <f>IF('Matriz Alérgenos'!K13="","",'Matriz Alérgenos'!K13)</f>
        <v/>
      </c>
      <c r="K14" s="31">
        <f>IF('Matriz Alérgenos'!L13="","",'Matriz Alérgenos'!L13)</f>
        <v/>
      </c>
      <c r="L14" s="31">
        <f>IF('Matriz Alérgenos'!M13="","",'Matriz Alérgenos'!M13)</f>
        <v/>
      </c>
      <c r="M14" s="31">
        <f>IF('Matriz Alérgenos'!N13="","",'Matriz Alérgenos'!N13)</f>
        <v/>
      </c>
      <c r="N14" s="31">
        <f>IF('Matriz Alérgenos'!O13="","",'Matriz Alérgenos'!O13)</f>
        <v/>
      </c>
      <c r="O14" s="31">
        <f>IF('Matriz Alérgenos'!P13="","",'Matriz Alérgenos'!P13)</f>
        <v/>
      </c>
    </row>
    <row r="15">
      <c r="A15" s="12" t="str">
        <f>IF('Matriz Alérgenos'!A14="","",'Matriz Alérgenos'!A14)</f>
        <v>Tarta de manzana</v>
      </c>
      <c r="B15" s="31" t="str">
        <f>IF('Matriz Alérgenos'!C14="","",'Matriz Alérgenos'!C14)</f>
        <v>●</v>
      </c>
      <c r="C15" s="31">
        <f>IF('Matriz Alérgenos'!D14="","",'Matriz Alérgenos'!D14)</f>
        <v/>
      </c>
      <c r="D15" s="31" t="str">
        <f>IF('Matriz Alérgenos'!E14="","",'Matriz Alérgenos'!E14)</f>
        <v>●</v>
      </c>
      <c r="E15" s="31">
        <f>IF('Matriz Alérgenos'!F14="","",'Matriz Alérgenos'!F14)</f>
        <v/>
      </c>
      <c r="F15" s="31">
        <f>IF('Matriz Alérgenos'!G14="","",'Matriz Alérgenos'!G14)</f>
        <v/>
      </c>
      <c r="G15" s="31">
        <f>IF('Matriz Alérgenos'!H14="","",'Matriz Alérgenos'!H14)</f>
        <v/>
      </c>
      <c r="H15" s="31" t="str">
        <f>IF('Matriz Alérgenos'!I14="","",'Matriz Alérgenos'!I14)</f>
        <v>●</v>
      </c>
      <c r="I15" s="31" t="str">
        <f>IF('Matriz Alérgenos'!J14="","",'Matriz Alérgenos'!J14)</f>
        <v>○</v>
      </c>
      <c r="J15" s="31">
        <f>IF('Matriz Alérgenos'!K14="","",'Matriz Alérgenos'!K14)</f>
        <v/>
      </c>
      <c r="K15" s="31">
        <f>IF('Matriz Alérgenos'!L14="","",'Matriz Alérgenos'!L14)</f>
        <v/>
      </c>
      <c r="L15" s="31">
        <f>IF('Matriz Alérgenos'!M14="","",'Matriz Alérgenos'!M14)</f>
        <v/>
      </c>
      <c r="M15" s="31" t="str">
        <f>IF('Matriz Alérgenos'!N14="","",'Matriz Alérgenos'!N14)</f>
        <v>○</v>
      </c>
      <c r="N15" s="31">
        <f>IF('Matriz Alérgenos'!O14="","",'Matriz Alérgenos'!O14)</f>
        <v/>
      </c>
      <c r="O15" s="31">
        <f>IF('Matriz Alérgenos'!P14="","",'Matriz Alérgenos'!P14)</f>
        <v/>
      </c>
    </row>
    <row r="16">
      <c r="A16" s="12" t="str">
        <f>IF('Matriz Alérgenos'!A15="","",'Matriz Alérgenos'!A15)</f>
        <v>Milhojas</v>
      </c>
      <c r="B16" s="31" t="str">
        <f>IF('Matriz Alérgenos'!C15="","",'Matriz Alérgenos'!C15)</f>
        <v>●</v>
      </c>
      <c r="C16" s="31">
        <f>IF('Matriz Alérgenos'!D15="","",'Matriz Alérgenos'!D15)</f>
        <v/>
      </c>
      <c r="D16" s="31" t="str">
        <f>IF('Matriz Alérgenos'!E15="","",'Matriz Alérgenos'!E15)</f>
        <v>●</v>
      </c>
      <c r="E16" s="31">
        <f>IF('Matriz Alérgenos'!F15="","",'Matriz Alérgenos'!F15)</f>
        <v/>
      </c>
      <c r="F16" s="31">
        <f>IF('Matriz Alérgenos'!G15="","",'Matriz Alérgenos'!G15)</f>
        <v/>
      </c>
      <c r="G16" s="31" t="str">
        <f>IF('Matriz Alérgenos'!H15="","",'Matriz Alérgenos'!H15)</f>
        <v>○</v>
      </c>
      <c r="H16" s="31" t="str">
        <f>IF('Matriz Alérgenos'!I15="","",'Matriz Alérgenos'!I15)</f>
        <v>●</v>
      </c>
      <c r="I16" s="31" t="str">
        <f>IF('Matriz Alérgenos'!J15="","",'Matriz Alérgenos'!J15)</f>
        <v>○</v>
      </c>
      <c r="J16" s="31">
        <f>IF('Matriz Alérgenos'!K15="","",'Matriz Alérgenos'!K15)</f>
        <v/>
      </c>
      <c r="K16" s="31">
        <f>IF('Matriz Alérgenos'!L15="","",'Matriz Alérgenos'!L15)</f>
        <v/>
      </c>
      <c r="L16" s="31">
        <f>IF('Matriz Alérgenos'!M15="","",'Matriz Alérgenos'!M15)</f>
        <v/>
      </c>
      <c r="M16" s="31">
        <f>IF('Matriz Alérgenos'!N15="","",'Matriz Alérgenos'!N15)</f>
        <v/>
      </c>
      <c r="N16" s="31">
        <f>IF('Matriz Alérgenos'!O15="","",'Matriz Alérgenos'!O15)</f>
        <v/>
      </c>
      <c r="O16" s="31">
        <f>IF('Matriz Alérgenos'!P15="","",'Matriz Alérgenos'!P15)</f>
        <v/>
      </c>
    </row>
    <row r="17">
      <c r="A17" s="12" t="str">
        <f>IF('Matriz Alérgenos'!A16="","",'Matriz Alérgenos'!A16)</f>
        <v>Éclair</v>
      </c>
      <c r="B17" s="31" t="str">
        <f>IF('Matriz Alérgenos'!C16="","",'Matriz Alérgenos'!C16)</f>
        <v>●</v>
      </c>
      <c r="C17" s="31">
        <f>IF('Matriz Alérgenos'!D16="","",'Matriz Alérgenos'!D16)</f>
        <v/>
      </c>
      <c r="D17" s="31" t="str">
        <f>IF('Matriz Alérgenos'!E16="","",'Matriz Alérgenos'!E16)</f>
        <v>●</v>
      </c>
      <c r="E17" s="31">
        <f>IF('Matriz Alérgenos'!F16="","",'Matriz Alérgenos'!F16)</f>
        <v/>
      </c>
      <c r="F17" s="31">
        <f>IF('Matriz Alérgenos'!G16="","",'Matriz Alérgenos'!G16)</f>
        <v/>
      </c>
      <c r="G17" s="31" t="str">
        <f>IF('Matriz Alérgenos'!H16="","",'Matriz Alérgenos'!H16)</f>
        <v>○</v>
      </c>
      <c r="H17" s="31" t="str">
        <f>IF('Matriz Alérgenos'!I16="","",'Matriz Alérgenos'!I16)</f>
        <v>●</v>
      </c>
      <c r="I17" s="31" t="str">
        <f>IF('Matriz Alérgenos'!J16="","",'Matriz Alérgenos'!J16)</f>
        <v>○</v>
      </c>
      <c r="J17" s="31">
        <f>IF('Matriz Alérgenos'!K16="","",'Matriz Alérgenos'!K16)</f>
        <v/>
      </c>
      <c r="K17" s="31">
        <f>IF('Matriz Alérgenos'!L16="","",'Matriz Alérgenos'!L16)</f>
        <v/>
      </c>
      <c r="L17" s="31">
        <f>IF('Matriz Alérgenos'!M16="","",'Matriz Alérgenos'!M16)</f>
        <v/>
      </c>
      <c r="M17" s="31">
        <f>IF('Matriz Alérgenos'!N16="","",'Matriz Alérgenos'!N16)</f>
        <v/>
      </c>
      <c r="N17" s="31">
        <f>IF('Matriz Alérgenos'!O16="","",'Matriz Alérgenos'!O16)</f>
        <v/>
      </c>
      <c r="O17" s="31">
        <f>IF('Matriz Alérgenos'!P16="","",'Matriz Alérgenos'!P16)</f>
        <v/>
      </c>
    </row>
    <row r="18">
      <c r="A18" s="12" t="str">
        <f>IF('Matriz Alérgenos'!A17="","",'Matriz Alérgenos'!A17)</f>
        <v>Tarta de zanahoria</v>
      </c>
      <c r="B18" s="31" t="str">
        <f>IF('Matriz Alérgenos'!C17="","",'Matriz Alérgenos'!C17)</f>
        <v>●</v>
      </c>
      <c r="C18" s="31">
        <f>IF('Matriz Alérgenos'!D17="","",'Matriz Alérgenos'!D17)</f>
        <v/>
      </c>
      <c r="D18" s="31" t="str">
        <f>IF('Matriz Alérgenos'!E17="","",'Matriz Alérgenos'!E17)</f>
        <v>●</v>
      </c>
      <c r="E18" s="31">
        <f>IF('Matriz Alérgenos'!F17="","",'Matriz Alérgenos'!F17)</f>
        <v/>
      </c>
      <c r="F18" s="31">
        <f>IF('Matriz Alérgenos'!G17="","",'Matriz Alérgenos'!G17)</f>
        <v/>
      </c>
      <c r="G18" s="31" t="str">
        <f>IF('Matriz Alérgenos'!H17="","",'Matriz Alérgenos'!H17)</f>
        <v>○</v>
      </c>
      <c r="H18" s="31" t="str">
        <f>IF('Matriz Alérgenos'!I17="","",'Matriz Alérgenos'!I17)</f>
        <v>●</v>
      </c>
      <c r="I18" s="31" t="str">
        <f>IF('Matriz Alérgenos'!J17="","",'Matriz Alérgenos'!J17)</f>
        <v>●</v>
      </c>
      <c r="J18" s="31">
        <f>IF('Matriz Alérgenos'!K17="","",'Matriz Alérgenos'!K17)</f>
        <v/>
      </c>
      <c r="K18" s="31">
        <f>IF('Matriz Alérgenos'!L17="","",'Matriz Alérgenos'!L17)</f>
        <v/>
      </c>
      <c r="L18" s="31">
        <f>IF('Matriz Alérgenos'!M17="","",'Matriz Alérgenos'!M17)</f>
        <v/>
      </c>
      <c r="M18" s="31">
        <f>IF('Matriz Alérgenos'!N17="","",'Matriz Alérgenos'!N17)</f>
        <v/>
      </c>
      <c r="N18" s="31">
        <f>IF('Matriz Alérgenos'!O17="","",'Matriz Alérgenos'!O17)</f>
        <v/>
      </c>
      <c r="O18" s="31">
        <f>IF('Matriz Alérgenos'!P17="","",'Matriz Alérgenos'!P17)</f>
        <v/>
      </c>
    </row>
    <row r="19">
      <c r="A19" s="12" t="str">
        <f>IF('Matriz Alérgenos'!A18="","",'Matriz Alérgenos'!A18)</f>
        <v>Tarta Sacher</v>
      </c>
      <c r="B19" s="31" t="str">
        <f>IF('Matriz Alérgenos'!C18="","",'Matriz Alérgenos'!C18)</f>
        <v>●</v>
      </c>
      <c r="C19" s="31">
        <f>IF('Matriz Alérgenos'!D18="","",'Matriz Alérgenos'!D18)</f>
        <v/>
      </c>
      <c r="D19" s="31" t="str">
        <f>IF('Matriz Alérgenos'!E18="","",'Matriz Alérgenos'!E18)</f>
        <v>●</v>
      </c>
      <c r="E19" s="31">
        <f>IF('Matriz Alérgenos'!F18="","",'Matriz Alérgenos'!F18)</f>
        <v/>
      </c>
      <c r="F19" s="31">
        <f>IF('Matriz Alérgenos'!G18="","",'Matriz Alérgenos'!G18)</f>
        <v/>
      </c>
      <c r="G19" s="31" t="str">
        <f>IF('Matriz Alérgenos'!H18="","",'Matriz Alérgenos'!H18)</f>
        <v>●</v>
      </c>
      <c r="H19" s="31" t="str">
        <f>IF('Matriz Alérgenos'!I18="","",'Matriz Alérgenos'!I18)</f>
        <v>●</v>
      </c>
      <c r="I19" s="31" t="str">
        <f>IF('Matriz Alérgenos'!J18="","",'Matriz Alérgenos'!J18)</f>
        <v>○</v>
      </c>
      <c r="J19" s="31">
        <f>IF('Matriz Alérgenos'!K18="","",'Matriz Alérgenos'!K18)</f>
        <v/>
      </c>
      <c r="K19" s="31">
        <f>IF('Matriz Alérgenos'!L18="","",'Matriz Alérgenos'!L18)</f>
        <v/>
      </c>
      <c r="L19" s="31">
        <f>IF('Matriz Alérgenos'!M18="","",'Matriz Alérgenos'!M18)</f>
        <v/>
      </c>
      <c r="M19" s="31">
        <f>IF('Matriz Alérgenos'!N18="","",'Matriz Alérgenos'!N18)</f>
        <v/>
      </c>
      <c r="N19" s="31">
        <f>IF('Matriz Alérgenos'!O18="","",'Matriz Alérgenos'!O18)</f>
        <v/>
      </c>
      <c r="O19" s="31">
        <f>IF('Matriz Alérgenos'!P18="","",'Matriz Alérgenos'!P18)</f>
        <v/>
      </c>
    </row>
    <row r="20">
      <c r="A20" s="12" t="str">
        <f>IF('Matriz Alérgenos'!A19="","",'Matriz Alérgenos'!A19)</f>
        <v>Entremet individual</v>
      </c>
      <c r="B20" s="31" t="str">
        <f>IF('Matriz Alérgenos'!C19="","",'Matriz Alérgenos'!C19)</f>
        <v>●</v>
      </c>
      <c r="C20" s="31">
        <f>IF('Matriz Alérgenos'!D19="","",'Matriz Alérgenos'!D19)</f>
        <v/>
      </c>
      <c r="D20" s="31" t="str">
        <f>IF('Matriz Alérgenos'!E19="","",'Matriz Alérgenos'!E19)</f>
        <v>●</v>
      </c>
      <c r="E20" s="31">
        <f>IF('Matriz Alérgenos'!F19="","",'Matriz Alérgenos'!F19)</f>
        <v/>
      </c>
      <c r="F20" s="31">
        <f>IF('Matriz Alérgenos'!G19="","",'Matriz Alérgenos'!G19)</f>
        <v/>
      </c>
      <c r="G20" s="31" t="str">
        <f>IF('Matriz Alérgenos'!H19="","",'Matriz Alérgenos'!H19)</f>
        <v>●</v>
      </c>
      <c r="H20" s="31" t="str">
        <f>IF('Matriz Alérgenos'!I19="","",'Matriz Alérgenos'!I19)</f>
        <v>●</v>
      </c>
      <c r="I20" s="31" t="str">
        <f>IF('Matriz Alérgenos'!J19="","",'Matriz Alérgenos'!J19)</f>
        <v>○</v>
      </c>
      <c r="J20" s="31">
        <f>IF('Matriz Alérgenos'!K19="","",'Matriz Alérgenos'!K19)</f>
        <v/>
      </c>
      <c r="K20" s="31">
        <f>IF('Matriz Alérgenos'!L19="","",'Matriz Alérgenos'!L19)</f>
        <v/>
      </c>
      <c r="L20" s="31">
        <f>IF('Matriz Alérgenos'!M19="","",'Matriz Alérgenos'!M19)</f>
        <v/>
      </c>
      <c r="M20" s="31">
        <f>IF('Matriz Alérgenos'!N19="","",'Matriz Alérgenos'!N19)</f>
        <v/>
      </c>
      <c r="N20" s="31">
        <f>IF('Matriz Alérgenos'!O19="","",'Matriz Alérgenos'!O19)</f>
        <v/>
      </c>
      <c r="O20" s="31">
        <f>IF('Matriz Alérgenos'!P19="","",'Matriz Alérgenos'!P19)</f>
        <v/>
      </c>
    </row>
    <row r="21">
      <c r="A21" s="12" t="str">
        <f>IF('Matriz Alérgenos'!A20="","",'Matriz Alérgenos'!A20)</f>
        <v>Macarons (caja de 6)</v>
      </c>
      <c r="B21" s="31" t="str">
        <f>IF('Matriz Alérgenos'!C20="","",'Matriz Alérgenos'!C20)</f>
        <v>○</v>
      </c>
      <c r="C21" s="31">
        <f>IF('Matriz Alérgenos'!D20="","",'Matriz Alérgenos'!D20)</f>
        <v/>
      </c>
      <c r="D21" s="31" t="str">
        <f>IF('Matriz Alérgenos'!E20="","",'Matriz Alérgenos'!E20)</f>
        <v>●</v>
      </c>
      <c r="E21" s="31">
        <f>IF('Matriz Alérgenos'!F20="","",'Matriz Alérgenos'!F20)</f>
        <v/>
      </c>
      <c r="F21" s="31">
        <f>IF('Matriz Alérgenos'!G20="","",'Matriz Alérgenos'!G20)</f>
        <v/>
      </c>
      <c r="G21" s="31" t="str">
        <f>IF('Matriz Alérgenos'!H20="","",'Matriz Alérgenos'!H20)</f>
        <v>○</v>
      </c>
      <c r="H21" s="31" t="str">
        <f>IF('Matriz Alérgenos'!I20="","",'Matriz Alérgenos'!I20)</f>
        <v>●</v>
      </c>
      <c r="I21" s="31" t="str">
        <f>IF('Matriz Alérgenos'!J20="","",'Matriz Alérgenos'!J20)</f>
        <v>●</v>
      </c>
      <c r="J21" s="31">
        <f>IF('Matriz Alérgenos'!K20="","",'Matriz Alérgenos'!K20)</f>
        <v/>
      </c>
      <c r="K21" s="31">
        <f>IF('Matriz Alérgenos'!L20="","",'Matriz Alérgenos'!L20)</f>
        <v/>
      </c>
      <c r="L21" s="31">
        <f>IF('Matriz Alérgenos'!M20="","",'Matriz Alérgenos'!M20)</f>
        <v/>
      </c>
      <c r="M21" s="31">
        <f>IF('Matriz Alérgenos'!N20="","",'Matriz Alérgenos'!N20)</f>
        <v/>
      </c>
      <c r="N21" s="31">
        <f>IF('Matriz Alérgenos'!O20="","",'Matriz Alérgenos'!O20)</f>
        <v/>
      </c>
      <c r="O21" s="31">
        <f>IF('Matriz Alérgenos'!P20="","",'Matriz Alérgenos'!P20)</f>
        <v/>
      </c>
    </row>
    <row r="22">
      <c r="A22" s="12" t="str">
        <f>IF('Matriz Alérgenos'!A21="","",'Matriz Alérgenos'!A21)</f>
        <v>Tartaleta de frutas</v>
      </c>
      <c r="B22" s="31" t="str">
        <f>IF('Matriz Alérgenos'!C21="","",'Matriz Alérgenos'!C21)</f>
        <v>●</v>
      </c>
      <c r="C22" s="31">
        <f>IF('Matriz Alérgenos'!D21="","",'Matriz Alérgenos'!D21)</f>
        <v/>
      </c>
      <c r="D22" s="31" t="str">
        <f>IF('Matriz Alérgenos'!E21="","",'Matriz Alérgenos'!E21)</f>
        <v>●</v>
      </c>
      <c r="E22" s="31">
        <f>IF('Matriz Alérgenos'!F21="","",'Matriz Alérgenos'!F21)</f>
        <v/>
      </c>
      <c r="F22" s="31">
        <f>IF('Matriz Alérgenos'!G21="","",'Matriz Alérgenos'!G21)</f>
        <v/>
      </c>
      <c r="G22" s="31">
        <f>IF('Matriz Alérgenos'!H21="","",'Matriz Alérgenos'!H21)</f>
        <v/>
      </c>
      <c r="H22" s="31" t="str">
        <f>IF('Matriz Alérgenos'!I21="","",'Matriz Alérgenos'!I21)</f>
        <v>●</v>
      </c>
      <c r="I22" s="31" t="str">
        <f>IF('Matriz Alérgenos'!J21="","",'Matriz Alérgenos'!J21)</f>
        <v>○</v>
      </c>
      <c r="J22" s="31">
        <f>IF('Matriz Alérgenos'!K21="","",'Matriz Alérgenos'!K21)</f>
        <v/>
      </c>
      <c r="K22" s="31">
        <f>IF('Matriz Alérgenos'!L21="","",'Matriz Alérgenos'!L21)</f>
        <v/>
      </c>
      <c r="L22" s="31">
        <f>IF('Matriz Alérgenos'!M21="","",'Matriz Alérgenos'!M21)</f>
        <v/>
      </c>
      <c r="M22" s="31" t="str">
        <f>IF('Matriz Alérgenos'!N21="","",'Matriz Alérgenos'!N21)</f>
        <v>○</v>
      </c>
      <c r="N22" s="31">
        <f>IF('Matriz Alérgenos'!O21="","",'Matriz Alérgenos'!O21)</f>
        <v/>
      </c>
      <c r="O22" s="31">
        <f>IF('Matriz Alérgenos'!P21="","",'Matriz Alérgenos'!P21)</f>
        <v/>
      </c>
    </row>
    <row r="23">
      <c r="A23" s="12" t="str">
        <f>IF('Matriz Alérgenos'!A22="","",'Matriz Alérgenos'!A22)</f>
        <v>Lionesa o profiterol</v>
      </c>
      <c r="B23" s="31" t="str">
        <f>IF('Matriz Alérgenos'!C22="","",'Matriz Alérgenos'!C22)</f>
        <v>●</v>
      </c>
      <c r="C23" s="31">
        <f>IF('Matriz Alérgenos'!D22="","",'Matriz Alérgenos'!D22)</f>
        <v/>
      </c>
      <c r="D23" s="31" t="str">
        <f>IF('Matriz Alérgenos'!E22="","",'Matriz Alérgenos'!E22)</f>
        <v>●</v>
      </c>
      <c r="E23" s="31">
        <f>IF('Matriz Alérgenos'!F22="","",'Matriz Alérgenos'!F22)</f>
        <v/>
      </c>
      <c r="F23" s="31">
        <f>IF('Matriz Alérgenos'!G22="","",'Matriz Alérgenos'!G22)</f>
        <v/>
      </c>
      <c r="G23" s="31" t="str">
        <f>IF('Matriz Alérgenos'!H22="","",'Matriz Alérgenos'!H22)</f>
        <v>○</v>
      </c>
      <c r="H23" s="31" t="str">
        <f>IF('Matriz Alérgenos'!I22="","",'Matriz Alérgenos'!I22)</f>
        <v>●</v>
      </c>
      <c r="I23" s="31" t="str">
        <f>IF('Matriz Alérgenos'!J22="","",'Matriz Alérgenos'!J22)</f>
        <v>○</v>
      </c>
      <c r="J23" s="31">
        <f>IF('Matriz Alérgenos'!K22="","",'Matriz Alérgenos'!K22)</f>
        <v/>
      </c>
      <c r="K23" s="31">
        <f>IF('Matriz Alérgenos'!L22="","",'Matriz Alérgenos'!L22)</f>
        <v/>
      </c>
      <c r="L23" s="31">
        <f>IF('Matriz Alérgenos'!M22="","",'Matriz Alérgenos'!M22)</f>
        <v/>
      </c>
      <c r="M23" s="31">
        <f>IF('Matriz Alérgenos'!N22="","",'Matriz Alérgenos'!N22)</f>
        <v/>
      </c>
      <c r="N23" s="31">
        <f>IF('Matriz Alérgenos'!O22="","",'Matriz Alérgenos'!O22)</f>
        <v/>
      </c>
      <c r="O23" s="31">
        <f>IF('Matriz Alérgenos'!P22="","",'Matriz Alérgenos'!P22)</f>
        <v/>
      </c>
    </row>
    <row r="24">
      <c r="A24" s="12" t="str">
        <f>IF('Matriz Alérgenos'!A23="","",'Matriz Alérgenos'!A23)</f>
        <v>Roscón de Reyes</v>
      </c>
      <c r="B24" s="31" t="str">
        <f>IF('Matriz Alérgenos'!C23="","",'Matriz Alérgenos'!C23)</f>
        <v>●</v>
      </c>
      <c r="C24" s="31">
        <f>IF('Matriz Alérgenos'!D23="","",'Matriz Alérgenos'!D23)</f>
        <v/>
      </c>
      <c r="D24" s="31" t="str">
        <f>IF('Matriz Alérgenos'!E23="","",'Matriz Alérgenos'!E23)</f>
        <v>●</v>
      </c>
      <c r="E24" s="31">
        <f>IF('Matriz Alérgenos'!F23="","",'Matriz Alérgenos'!F23)</f>
        <v/>
      </c>
      <c r="F24" s="31">
        <f>IF('Matriz Alérgenos'!G23="","",'Matriz Alérgenos'!G23)</f>
        <v/>
      </c>
      <c r="G24" s="31" t="str">
        <f>IF('Matriz Alérgenos'!H23="","",'Matriz Alérgenos'!H23)</f>
        <v>○</v>
      </c>
      <c r="H24" s="31" t="str">
        <f>IF('Matriz Alérgenos'!I23="","",'Matriz Alérgenos'!I23)</f>
        <v>●</v>
      </c>
      <c r="I24" s="31" t="str">
        <f>IF('Matriz Alérgenos'!J23="","",'Matriz Alérgenos'!J23)</f>
        <v>●</v>
      </c>
      <c r="J24" s="31">
        <f>IF('Matriz Alérgenos'!K23="","",'Matriz Alérgenos'!K23)</f>
        <v/>
      </c>
      <c r="K24" s="31">
        <f>IF('Matriz Alérgenos'!L23="","",'Matriz Alérgenos'!L23)</f>
        <v/>
      </c>
      <c r="L24" s="31">
        <f>IF('Matriz Alérgenos'!M23="","",'Matriz Alérgenos'!M23)</f>
        <v/>
      </c>
      <c r="M24" s="31" t="str">
        <f>IF('Matriz Alérgenos'!N23="","",'Matriz Alérgenos'!N23)</f>
        <v>●</v>
      </c>
      <c r="N24" s="31">
        <f>IF('Matriz Alérgenos'!O23="","",'Matriz Alérgenos'!O23)</f>
        <v/>
      </c>
      <c r="O24" s="31">
        <f>IF('Matriz Alérgenos'!P23="","",'Matriz Alérgenos'!P23)</f>
        <v/>
      </c>
    </row>
    <row r="25">
      <c r="A25" s="12" t="str">
        <f>IF('Matriz Alérgenos'!A24="","",'Matriz Alérgenos'!A24)</f>
        <v>Torrijas</v>
      </c>
      <c r="B25" s="31" t="str">
        <f>IF('Matriz Alérgenos'!C24="","",'Matriz Alérgenos'!C24)</f>
        <v>●</v>
      </c>
      <c r="C25" s="31">
        <f>IF('Matriz Alérgenos'!D24="","",'Matriz Alérgenos'!D24)</f>
        <v/>
      </c>
      <c r="D25" s="31" t="str">
        <f>IF('Matriz Alérgenos'!E24="","",'Matriz Alérgenos'!E24)</f>
        <v>●</v>
      </c>
      <c r="E25" s="31">
        <f>IF('Matriz Alérgenos'!F24="","",'Matriz Alérgenos'!F24)</f>
        <v/>
      </c>
      <c r="F25" s="31">
        <f>IF('Matriz Alérgenos'!G24="","",'Matriz Alérgenos'!G24)</f>
        <v/>
      </c>
      <c r="G25" s="31">
        <f>IF('Matriz Alérgenos'!H24="","",'Matriz Alérgenos'!H24)</f>
        <v/>
      </c>
      <c r="H25" s="31" t="str">
        <f>IF('Matriz Alérgenos'!I24="","",'Matriz Alérgenos'!I24)</f>
        <v>●</v>
      </c>
      <c r="I25" s="31" t="str">
        <f>IF('Matriz Alérgenos'!J24="","",'Matriz Alérgenos'!J24)</f>
        <v>○</v>
      </c>
      <c r="J25" s="31">
        <f>IF('Matriz Alérgenos'!K24="","",'Matriz Alérgenos'!K24)</f>
        <v/>
      </c>
      <c r="K25" s="31">
        <f>IF('Matriz Alérgenos'!L24="","",'Matriz Alérgenos'!L24)</f>
        <v/>
      </c>
      <c r="L25" s="31">
        <f>IF('Matriz Alérgenos'!M24="","",'Matriz Alérgenos'!M24)</f>
        <v/>
      </c>
      <c r="M25" s="31" t="str">
        <f>IF('Matriz Alérgenos'!N24="","",'Matriz Alérgenos'!N24)</f>
        <v>○</v>
      </c>
      <c r="N25" s="31">
        <f>IF('Matriz Alérgenos'!O24="","",'Matriz Alérgenos'!O24)</f>
        <v/>
      </c>
      <c r="O25" s="31">
        <f>IF('Matriz Alérgenos'!P24="","",'Matriz Alérgenos'!P24)</f>
        <v/>
      </c>
    </row>
    <row r="26">
      <c r="A26" s="12" t="str">
        <f>IF('Matriz Alérgenos'!A25="","",'Matriz Alérgenos'!A25)</f>
        <v>Buñuelos de viento</v>
      </c>
      <c r="B26" s="31" t="str">
        <f>IF('Matriz Alérgenos'!C25="","",'Matriz Alérgenos'!C25)</f>
        <v>●</v>
      </c>
      <c r="C26" s="31">
        <f>IF('Matriz Alérgenos'!D25="","",'Matriz Alérgenos'!D25)</f>
        <v/>
      </c>
      <c r="D26" s="31" t="str">
        <f>IF('Matriz Alérgenos'!E25="","",'Matriz Alérgenos'!E25)</f>
        <v>●</v>
      </c>
      <c r="E26" s="31">
        <f>IF('Matriz Alérgenos'!F25="","",'Matriz Alérgenos'!F25)</f>
        <v/>
      </c>
      <c r="F26" s="31">
        <f>IF('Matriz Alérgenos'!G25="","",'Matriz Alérgenos'!G25)</f>
        <v/>
      </c>
      <c r="G26" s="31" t="str">
        <f>IF('Matriz Alérgenos'!H25="","",'Matriz Alérgenos'!H25)</f>
        <v>○</v>
      </c>
      <c r="H26" s="31" t="str">
        <f>IF('Matriz Alérgenos'!I25="","",'Matriz Alérgenos'!I25)</f>
        <v>●</v>
      </c>
      <c r="I26" s="31" t="str">
        <f>IF('Matriz Alérgenos'!J25="","",'Matriz Alérgenos'!J25)</f>
        <v>○</v>
      </c>
      <c r="J26" s="31">
        <f>IF('Matriz Alérgenos'!K25="","",'Matriz Alérgenos'!K25)</f>
        <v/>
      </c>
      <c r="K26" s="31">
        <f>IF('Matriz Alérgenos'!L25="","",'Matriz Alérgenos'!L25)</f>
        <v/>
      </c>
      <c r="L26" s="31">
        <f>IF('Matriz Alérgenos'!M25="","",'Matriz Alérgenos'!M25)</f>
        <v/>
      </c>
      <c r="M26" s="31">
        <f>IF('Matriz Alérgenos'!N25="","",'Matriz Alérgenos'!N25)</f>
        <v/>
      </c>
      <c r="N26" s="31">
        <f>IF('Matriz Alérgenos'!O25="","",'Matriz Alérgenos'!O25)</f>
        <v/>
      </c>
      <c r="O26" s="31">
        <f>IF('Matriz Alérgenos'!P25="","",'Matriz Alérgenos'!P25)</f>
        <v/>
      </c>
    </row>
    <row r="27">
      <c r="A27" s="12" t="str">
        <f>IF('Matriz Alérgenos'!A26="","",'Matriz Alérgenos'!A26)</f>
        <v>Huesos de santo</v>
      </c>
      <c r="B27" s="31" t="str">
        <f>IF('Matriz Alérgenos'!C26="","",'Matriz Alérgenos'!C26)</f>
        <v>○</v>
      </c>
      <c r="C27" s="31">
        <f>IF('Matriz Alérgenos'!D26="","",'Matriz Alérgenos'!D26)</f>
        <v/>
      </c>
      <c r="D27" s="31" t="str">
        <f>IF('Matriz Alérgenos'!E26="","",'Matriz Alérgenos'!E26)</f>
        <v>●</v>
      </c>
      <c r="E27" s="31">
        <f>IF('Matriz Alérgenos'!F26="","",'Matriz Alérgenos'!F26)</f>
        <v/>
      </c>
      <c r="F27" s="31">
        <f>IF('Matriz Alérgenos'!G26="","",'Matriz Alérgenos'!G26)</f>
        <v/>
      </c>
      <c r="G27" s="31">
        <f>IF('Matriz Alérgenos'!H26="","",'Matriz Alérgenos'!H26)</f>
        <v/>
      </c>
      <c r="H27" s="31" t="str">
        <f>IF('Matriz Alérgenos'!I26="","",'Matriz Alérgenos'!I26)</f>
        <v>○</v>
      </c>
      <c r="I27" s="31" t="str">
        <f>IF('Matriz Alérgenos'!J26="","",'Matriz Alérgenos'!J26)</f>
        <v>●</v>
      </c>
      <c r="J27" s="31">
        <f>IF('Matriz Alérgenos'!K26="","",'Matriz Alérgenos'!K26)</f>
        <v/>
      </c>
      <c r="K27" s="31">
        <f>IF('Matriz Alérgenos'!L26="","",'Matriz Alérgenos'!L26)</f>
        <v/>
      </c>
      <c r="L27" s="31">
        <f>IF('Matriz Alérgenos'!M26="","",'Matriz Alérgenos'!M26)</f>
        <v/>
      </c>
      <c r="M27" s="31">
        <f>IF('Matriz Alérgenos'!N26="","",'Matriz Alérgenos'!N26)</f>
        <v/>
      </c>
      <c r="N27" s="31">
        <f>IF('Matriz Alérgenos'!O26="","",'Matriz Alérgenos'!O26)</f>
        <v/>
      </c>
      <c r="O27" s="31">
        <f>IF('Matriz Alérgenos'!P26="","",'Matriz Alérgenos'!P26)</f>
        <v/>
      </c>
    </row>
    <row r="28">
      <c r="A28" s="12" t="str">
        <f>IF('Matriz Alérgenos'!A27="","",'Matriz Alérgenos'!A27)</f>
        <v>Panellets</v>
      </c>
      <c r="B28" s="31" t="str">
        <f>IF('Matriz Alérgenos'!C27="","",'Matriz Alérgenos'!C27)</f>
        <v>○</v>
      </c>
      <c r="C28" s="31">
        <f>IF('Matriz Alérgenos'!D27="","",'Matriz Alérgenos'!D27)</f>
        <v/>
      </c>
      <c r="D28" s="31" t="str">
        <f>IF('Matriz Alérgenos'!E27="","",'Matriz Alérgenos'!E27)</f>
        <v>●</v>
      </c>
      <c r="E28" s="31">
        <f>IF('Matriz Alérgenos'!F27="","",'Matriz Alérgenos'!F27)</f>
        <v/>
      </c>
      <c r="F28" s="31">
        <f>IF('Matriz Alérgenos'!G27="","",'Matriz Alérgenos'!G27)</f>
        <v/>
      </c>
      <c r="G28" s="31">
        <f>IF('Matriz Alérgenos'!H27="","",'Matriz Alérgenos'!H27)</f>
        <v/>
      </c>
      <c r="H28" s="31" t="str">
        <f>IF('Matriz Alérgenos'!I27="","",'Matriz Alérgenos'!I27)</f>
        <v>○</v>
      </c>
      <c r="I28" s="31" t="str">
        <f>IF('Matriz Alérgenos'!J27="","",'Matriz Alérgenos'!J27)</f>
        <v>●</v>
      </c>
      <c r="J28" s="31">
        <f>IF('Matriz Alérgenos'!K27="","",'Matriz Alérgenos'!K27)</f>
        <v/>
      </c>
      <c r="K28" s="31">
        <f>IF('Matriz Alérgenos'!L27="","",'Matriz Alérgenos'!L27)</f>
        <v/>
      </c>
      <c r="L28" s="31">
        <f>IF('Matriz Alérgenos'!M27="","",'Matriz Alérgenos'!M27)</f>
        <v/>
      </c>
      <c r="M28" s="31">
        <f>IF('Matriz Alérgenos'!N27="","",'Matriz Alérgenos'!N27)</f>
        <v/>
      </c>
      <c r="N28" s="31">
        <f>IF('Matriz Alérgenos'!O27="","",'Matriz Alérgenos'!O27)</f>
        <v/>
      </c>
      <c r="O28" s="31">
        <f>IF('Matriz Alérgenos'!P27="","",'Matriz Alérgenos'!P27)</f>
        <v/>
      </c>
    </row>
    <row r="29">
      <c r="A29" s="12" t="str">
        <f>IF('Matriz Alérgenos'!A28="","",'Matriz Alérgenos'!A28)</f>
        <v>Polvorón o mantecado</v>
      </c>
      <c r="B29" s="31" t="str">
        <f>IF('Matriz Alérgenos'!C28="","",'Matriz Alérgenos'!C28)</f>
        <v>●</v>
      </c>
      <c r="C29" s="31">
        <f>IF('Matriz Alérgenos'!D28="","",'Matriz Alérgenos'!D28)</f>
        <v/>
      </c>
      <c r="D29" s="31" t="str">
        <f>IF('Matriz Alérgenos'!E28="","",'Matriz Alérgenos'!E28)</f>
        <v>○</v>
      </c>
      <c r="E29" s="31">
        <f>IF('Matriz Alérgenos'!F28="","",'Matriz Alérgenos'!F28)</f>
        <v/>
      </c>
      <c r="F29" s="31">
        <f>IF('Matriz Alérgenos'!G28="","",'Matriz Alérgenos'!G28)</f>
        <v/>
      </c>
      <c r="G29" s="31">
        <f>IF('Matriz Alérgenos'!H28="","",'Matriz Alérgenos'!H28)</f>
        <v/>
      </c>
      <c r="H29" s="31" t="str">
        <f>IF('Matriz Alérgenos'!I28="","",'Matriz Alérgenos'!I28)</f>
        <v>○</v>
      </c>
      <c r="I29" s="31" t="str">
        <f>IF('Matriz Alérgenos'!J28="","",'Matriz Alérgenos'!J28)</f>
        <v>●</v>
      </c>
      <c r="J29" s="31">
        <f>IF('Matriz Alérgenos'!K28="","",'Matriz Alérgenos'!K28)</f>
        <v/>
      </c>
      <c r="K29" s="31">
        <f>IF('Matriz Alérgenos'!L28="","",'Matriz Alérgenos'!L28)</f>
        <v/>
      </c>
      <c r="L29" s="31" t="str">
        <f>IF('Matriz Alérgenos'!M28="","",'Matriz Alérgenos'!M28)</f>
        <v>○</v>
      </c>
      <c r="M29" s="31">
        <f>IF('Matriz Alérgenos'!N28="","",'Matriz Alérgenos'!N28)</f>
        <v/>
      </c>
      <c r="N29" s="31">
        <f>IF('Matriz Alérgenos'!O28="","",'Matriz Alérgenos'!O28)</f>
        <v/>
      </c>
      <c r="O29" s="31">
        <f>IF('Matriz Alérgenos'!P28="","",'Matriz Alérgenos'!P28)</f>
        <v/>
      </c>
    </row>
    <row r="30">
      <c r="A30" s="12" t="str">
        <f>IF('Matriz Alérgenos'!A29="","",'Matriz Alérgenos'!A29)</f>
        <v>Turrón de almendra</v>
      </c>
      <c r="B30" s="31">
        <f>IF('Matriz Alérgenos'!C29="","",'Matriz Alérgenos'!C29)</f>
        <v/>
      </c>
      <c r="C30" s="31">
        <f>IF('Matriz Alérgenos'!D29="","",'Matriz Alérgenos'!D29)</f>
        <v/>
      </c>
      <c r="D30" s="31" t="str">
        <f>IF('Matriz Alérgenos'!E29="","",'Matriz Alérgenos'!E29)</f>
        <v>●</v>
      </c>
      <c r="E30" s="31">
        <f>IF('Matriz Alérgenos'!F29="","",'Matriz Alérgenos'!F29)</f>
        <v/>
      </c>
      <c r="F30" s="31">
        <f>IF('Matriz Alérgenos'!G29="","",'Matriz Alérgenos'!G29)</f>
        <v/>
      </c>
      <c r="G30" s="31" t="str">
        <f>IF('Matriz Alérgenos'!H29="","",'Matriz Alérgenos'!H29)</f>
        <v>○</v>
      </c>
      <c r="H30" s="31" t="str">
        <f>IF('Matriz Alérgenos'!I29="","",'Matriz Alérgenos'!I29)</f>
        <v>○</v>
      </c>
      <c r="I30" s="31" t="str">
        <f>IF('Matriz Alérgenos'!J29="","",'Matriz Alérgenos'!J29)</f>
        <v>●</v>
      </c>
      <c r="J30" s="31">
        <f>IF('Matriz Alérgenos'!K29="","",'Matriz Alérgenos'!K29)</f>
        <v/>
      </c>
      <c r="K30" s="31">
        <f>IF('Matriz Alérgenos'!L29="","",'Matriz Alérgenos'!L29)</f>
        <v/>
      </c>
      <c r="L30" s="31" t="str">
        <f>IF('Matriz Alérgenos'!M29="","",'Matriz Alérgenos'!M29)</f>
        <v>○</v>
      </c>
      <c r="M30" s="31">
        <f>IF('Matriz Alérgenos'!N29="","",'Matriz Alérgenos'!N29)</f>
        <v/>
      </c>
      <c r="N30" s="31">
        <f>IF('Matriz Alérgenos'!O29="","",'Matriz Alérgenos'!O29)</f>
        <v/>
      </c>
      <c r="O30" s="31">
        <f>IF('Matriz Alérgenos'!P29="","",'Matriz Alérgenos'!P29)</f>
        <v/>
      </c>
    </row>
    <row r="31">
      <c r="A31" s="12" t="str">
        <f>IF('Matriz Alérgenos'!A30="","",'Matriz Alérgenos'!A30)</f>
        <v>Mona de Pascua</v>
      </c>
      <c r="B31" s="31" t="str">
        <f>IF('Matriz Alérgenos'!C30="","",'Matriz Alérgenos'!C30)</f>
        <v>●</v>
      </c>
      <c r="C31" s="31">
        <f>IF('Matriz Alérgenos'!D30="","",'Matriz Alérgenos'!D30)</f>
        <v/>
      </c>
      <c r="D31" s="31" t="str">
        <f>IF('Matriz Alérgenos'!E30="","",'Matriz Alérgenos'!E30)</f>
        <v>●</v>
      </c>
      <c r="E31" s="31">
        <f>IF('Matriz Alérgenos'!F30="","",'Matriz Alérgenos'!F30)</f>
        <v/>
      </c>
      <c r="F31" s="31">
        <f>IF('Matriz Alérgenos'!G30="","",'Matriz Alérgenos'!G30)</f>
        <v/>
      </c>
      <c r="G31" s="31" t="str">
        <f>IF('Matriz Alérgenos'!H30="","",'Matriz Alérgenos'!H30)</f>
        <v>●</v>
      </c>
      <c r="H31" s="31" t="str">
        <f>IF('Matriz Alérgenos'!I30="","",'Matriz Alérgenos'!I30)</f>
        <v>●</v>
      </c>
      <c r="I31" s="31" t="str">
        <f>IF('Matriz Alérgenos'!J30="","",'Matriz Alérgenos'!J30)</f>
        <v>○</v>
      </c>
      <c r="J31" s="31">
        <f>IF('Matriz Alérgenos'!K30="","",'Matriz Alérgenos'!K30)</f>
        <v/>
      </c>
      <c r="K31" s="31">
        <f>IF('Matriz Alérgenos'!L30="","",'Matriz Alérgenos'!L30)</f>
        <v/>
      </c>
      <c r="L31" s="31">
        <f>IF('Matriz Alérgenos'!M30="","",'Matriz Alérgenos'!M30)</f>
        <v/>
      </c>
      <c r="M31" s="31">
        <f>IF('Matriz Alérgenos'!N30="","",'Matriz Alérgenos'!N30)</f>
        <v/>
      </c>
      <c r="N31" s="31">
        <f>IF('Matriz Alérgenos'!O30="","",'Matriz Alérgenos'!O30)</f>
        <v/>
      </c>
      <c r="O31" s="31">
        <f>IF('Matriz Alérgenos'!P30="","",'Matriz Alérgenos'!P30)</f>
        <v/>
      </c>
    </row>
    <row r="32">
      <c r="A32" s="12" t="str">
        <f>IF('Matriz Alérgenos'!A31="","",'Matriz Alérgenos'!A31)</f>
        <v>Brownie</v>
      </c>
      <c r="B32" s="31" t="str">
        <f>IF('Matriz Alérgenos'!C31="","",'Matriz Alérgenos'!C31)</f>
        <v>●</v>
      </c>
      <c r="C32" s="31">
        <f>IF('Matriz Alérgenos'!D31="","",'Matriz Alérgenos'!D31)</f>
        <v/>
      </c>
      <c r="D32" s="31" t="str">
        <f>IF('Matriz Alérgenos'!E31="","",'Matriz Alérgenos'!E31)</f>
        <v>●</v>
      </c>
      <c r="E32" s="31">
        <f>IF('Matriz Alérgenos'!F31="","",'Matriz Alérgenos'!F31)</f>
        <v/>
      </c>
      <c r="F32" s="31">
        <f>IF('Matriz Alérgenos'!G31="","",'Matriz Alérgenos'!G31)</f>
        <v/>
      </c>
      <c r="G32" s="31" t="str">
        <f>IF('Matriz Alérgenos'!H31="","",'Matriz Alérgenos'!H31)</f>
        <v>●</v>
      </c>
      <c r="H32" s="31" t="str">
        <f>IF('Matriz Alérgenos'!I31="","",'Matriz Alérgenos'!I31)</f>
        <v>●</v>
      </c>
      <c r="I32" s="31" t="str">
        <f>IF('Matriz Alérgenos'!J31="","",'Matriz Alérgenos'!J31)</f>
        <v>●</v>
      </c>
      <c r="J32" s="31">
        <f>IF('Matriz Alérgenos'!K31="","",'Matriz Alérgenos'!K31)</f>
        <v/>
      </c>
      <c r="K32" s="31">
        <f>IF('Matriz Alérgenos'!L31="","",'Matriz Alérgenos'!L31)</f>
        <v/>
      </c>
      <c r="L32" s="31">
        <f>IF('Matriz Alérgenos'!M31="","",'Matriz Alérgenos'!M31)</f>
        <v/>
      </c>
      <c r="M32" s="31">
        <f>IF('Matriz Alérgenos'!N31="","",'Matriz Alérgenos'!N31)</f>
        <v/>
      </c>
      <c r="N32" s="31">
        <f>IF('Matriz Alérgenos'!O31="","",'Matriz Alérgenos'!O31)</f>
        <v/>
      </c>
      <c r="O32" s="31">
        <f>IF('Matriz Alérgenos'!P31="","",'Matriz Alérgenos'!P31)</f>
        <v/>
      </c>
    </row>
    <row r="33">
      <c r="A33" s="12" t="str">
        <f>IF('Matriz Alérgenos'!A32="","",'Matriz Alérgenos'!A32)</f>
        <v>Cookie de chocolate</v>
      </c>
      <c r="B33" s="31" t="str">
        <f>IF('Matriz Alérgenos'!C32="","",'Matriz Alérgenos'!C32)</f>
        <v>●</v>
      </c>
      <c r="C33" s="31">
        <f>IF('Matriz Alérgenos'!D32="","",'Matriz Alérgenos'!D32)</f>
        <v/>
      </c>
      <c r="D33" s="31" t="str">
        <f>IF('Matriz Alérgenos'!E32="","",'Matriz Alérgenos'!E32)</f>
        <v>●</v>
      </c>
      <c r="E33" s="31">
        <f>IF('Matriz Alérgenos'!F32="","",'Matriz Alérgenos'!F32)</f>
        <v/>
      </c>
      <c r="F33" s="31">
        <f>IF('Matriz Alérgenos'!G32="","",'Matriz Alérgenos'!G32)</f>
        <v/>
      </c>
      <c r="G33" s="31" t="str">
        <f>IF('Matriz Alérgenos'!H32="","",'Matriz Alérgenos'!H32)</f>
        <v>●</v>
      </c>
      <c r="H33" s="31" t="str">
        <f>IF('Matriz Alérgenos'!I32="","",'Matriz Alérgenos'!I32)</f>
        <v>●</v>
      </c>
      <c r="I33" s="31" t="str">
        <f>IF('Matriz Alérgenos'!J32="","",'Matriz Alérgenos'!J32)</f>
        <v>○</v>
      </c>
      <c r="J33" s="31">
        <f>IF('Matriz Alérgenos'!K32="","",'Matriz Alérgenos'!K32)</f>
        <v/>
      </c>
      <c r="K33" s="31">
        <f>IF('Matriz Alérgenos'!L32="","",'Matriz Alérgenos'!L32)</f>
        <v/>
      </c>
      <c r="L33" s="31">
        <f>IF('Matriz Alérgenos'!M32="","",'Matriz Alérgenos'!M32)</f>
        <v/>
      </c>
      <c r="M33" s="31">
        <f>IF('Matriz Alérgenos'!N32="","",'Matriz Alérgenos'!N32)</f>
        <v/>
      </c>
      <c r="N33" s="31">
        <f>IF('Matriz Alérgenos'!O32="","",'Matriz Alérgenos'!O32)</f>
        <v/>
      </c>
      <c r="O33" s="31">
        <f>IF('Matriz Alérgenos'!P32="","",'Matriz Alérgenos'!P32)</f>
        <v/>
      </c>
    </row>
    <row r="34">
      <c r="A34" s="12" t="str">
        <f>IF('Matriz Alérgenos'!A33="","",'Matriz Alérgenos'!A33)</f>
        <v>Magdalena</v>
      </c>
      <c r="B34" s="31" t="str">
        <f>IF('Matriz Alérgenos'!C33="","",'Matriz Alérgenos'!C33)</f>
        <v>●</v>
      </c>
      <c r="C34" s="31">
        <f>IF('Matriz Alérgenos'!D33="","",'Matriz Alérgenos'!D33)</f>
        <v/>
      </c>
      <c r="D34" s="31" t="str">
        <f>IF('Matriz Alérgenos'!E33="","",'Matriz Alérgenos'!E33)</f>
        <v>●</v>
      </c>
      <c r="E34" s="31">
        <f>IF('Matriz Alérgenos'!F33="","",'Matriz Alérgenos'!F33)</f>
        <v/>
      </c>
      <c r="F34" s="31">
        <f>IF('Matriz Alérgenos'!G33="","",'Matriz Alérgenos'!G33)</f>
        <v/>
      </c>
      <c r="G34" s="31" t="str">
        <f>IF('Matriz Alérgenos'!H33="","",'Matriz Alérgenos'!H33)</f>
        <v>○</v>
      </c>
      <c r="H34" s="31" t="str">
        <f>IF('Matriz Alérgenos'!I33="","",'Matriz Alérgenos'!I33)</f>
        <v>●</v>
      </c>
      <c r="I34" s="31" t="str">
        <f>IF('Matriz Alérgenos'!J33="","",'Matriz Alérgenos'!J33)</f>
        <v>○</v>
      </c>
      <c r="J34" s="31">
        <f>IF('Matriz Alérgenos'!K33="","",'Matriz Alérgenos'!K33)</f>
        <v/>
      </c>
      <c r="K34" s="31">
        <f>IF('Matriz Alérgenos'!L33="","",'Matriz Alérgenos'!L33)</f>
        <v/>
      </c>
      <c r="L34" s="31">
        <f>IF('Matriz Alérgenos'!M33="","",'Matriz Alérgenos'!M33)</f>
        <v/>
      </c>
      <c r="M34" s="31">
        <f>IF('Matriz Alérgenos'!N33="","",'Matriz Alérgenos'!N33)</f>
        <v/>
      </c>
      <c r="N34" s="31">
        <f>IF('Matriz Alérgenos'!O33="","",'Matriz Alérgenos'!O33)</f>
        <v/>
      </c>
      <c r="O34" s="31">
        <f>IF('Matriz Alérgenos'!P33="","",'Matriz Alérgenos'!P33)</f>
        <v/>
      </c>
    </row>
    <row r="35">
      <c r="A35" s="12" t="str">
        <f>IF('Matriz Alérgenos'!A34="","",'Matriz Alérgenos'!A34)</f>
        <v>Bizcocho de yogur</v>
      </c>
      <c r="B35" s="31" t="str">
        <f>IF('Matriz Alérgenos'!C34="","",'Matriz Alérgenos'!C34)</f>
        <v>●</v>
      </c>
      <c r="C35" s="31">
        <f>IF('Matriz Alérgenos'!D34="","",'Matriz Alérgenos'!D34)</f>
        <v/>
      </c>
      <c r="D35" s="31" t="str">
        <f>IF('Matriz Alérgenos'!E34="","",'Matriz Alérgenos'!E34)</f>
        <v>●</v>
      </c>
      <c r="E35" s="31">
        <f>IF('Matriz Alérgenos'!F34="","",'Matriz Alérgenos'!F34)</f>
        <v/>
      </c>
      <c r="F35" s="31">
        <f>IF('Matriz Alérgenos'!G34="","",'Matriz Alérgenos'!G34)</f>
        <v/>
      </c>
      <c r="G35" s="31" t="str">
        <f>IF('Matriz Alérgenos'!H34="","",'Matriz Alérgenos'!H34)</f>
        <v>○</v>
      </c>
      <c r="H35" s="31" t="str">
        <f>IF('Matriz Alérgenos'!I34="","",'Matriz Alérgenos'!I34)</f>
        <v>●</v>
      </c>
      <c r="I35" s="31" t="str">
        <f>IF('Matriz Alérgenos'!J34="","",'Matriz Alérgenos'!J34)</f>
        <v>○</v>
      </c>
      <c r="J35" s="31">
        <f>IF('Matriz Alérgenos'!K34="","",'Matriz Alérgenos'!K34)</f>
        <v/>
      </c>
      <c r="K35" s="31">
        <f>IF('Matriz Alérgenos'!L34="","",'Matriz Alérgenos'!L34)</f>
        <v/>
      </c>
      <c r="L35" s="31">
        <f>IF('Matriz Alérgenos'!M34="","",'Matriz Alérgenos'!M34)</f>
        <v/>
      </c>
      <c r="M35" s="31">
        <f>IF('Matriz Alérgenos'!N34="","",'Matriz Alérgenos'!N34)</f>
        <v/>
      </c>
      <c r="N35" s="31">
        <f>IF('Matriz Alérgenos'!O34="","",'Matriz Alérgenos'!O34)</f>
        <v/>
      </c>
      <c r="O35" s="31">
        <f>IF('Matriz Alérgenos'!P34="","",'Matriz Alérgenos'!P34)</f>
        <v/>
      </c>
    </row>
    <row r="36">
      <c r="A36" s="12" t="str">
        <f>IF('Matriz Alérgenos'!A35="","",'Matriz Alérgenos'!A35)</f>
        <v>Galleta de mantequilla</v>
      </c>
      <c r="B36" s="31" t="str">
        <f>IF('Matriz Alérgenos'!C35="","",'Matriz Alérgenos'!C35)</f>
        <v>●</v>
      </c>
      <c r="C36" s="31">
        <f>IF('Matriz Alérgenos'!D35="","",'Matriz Alérgenos'!D35)</f>
        <v/>
      </c>
      <c r="D36" s="31" t="str">
        <f>IF('Matriz Alérgenos'!E35="","",'Matriz Alérgenos'!E35)</f>
        <v>●</v>
      </c>
      <c r="E36" s="31">
        <f>IF('Matriz Alérgenos'!F35="","",'Matriz Alérgenos'!F35)</f>
        <v/>
      </c>
      <c r="F36" s="31">
        <f>IF('Matriz Alérgenos'!G35="","",'Matriz Alérgenos'!G35)</f>
        <v/>
      </c>
      <c r="G36" s="31" t="str">
        <f>IF('Matriz Alérgenos'!H35="","",'Matriz Alérgenos'!H35)</f>
        <v>○</v>
      </c>
      <c r="H36" s="31" t="str">
        <f>IF('Matriz Alérgenos'!I35="","",'Matriz Alérgenos'!I35)</f>
        <v>●</v>
      </c>
      <c r="I36" s="31" t="str">
        <f>IF('Matriz Alérgenos'!J35="","",'Matriz Alérgenos'!J35)</f>
        <v>○</v>
      </c>
      <c r="J36" s="31">
        <f>IF('Matriz Alérgenos'!K35="","",'Matriz Alérgenos'!K35)</f>
        <v/>
      </c>
      <c r="K36" s="31">
        <f>IF('Matriz Alérgenos'!L35="","",'Matriz Alérgenos'!L35)</f>
        <v/>
      </c>
      <c r="L36" s="31">
        <f>IF('Matriz Alérgenos'!M35="","",'Matriz Alérgenos'!M35)</f>
        <v/>
      </c>
      <c r="M36" s="31">
        <f>IF('Matriz Alérgenos'!N35="","",'Matriz Alérgenos'!N35)</f>
        <v/>
      </c>
      <c r="N36" s="31">
        <f>IF('Matriz Alérgenos'!O35="","",'Matriz Alérgenos'!O35)</f>
        <v/>
      </c>
      <c r="O36" s="31">
        <f>IF('Matriz Alérgenos'!P35="","",'Matriz Alérgenos'!P35)</f>
        <v/>
      </c>
    </row>
    <row r="37">
      <c r="A37" s="12" t="str">
        <f>IF('Matriz Alérgenos'!A36="","",'Matriz Alérgenos'!A36)</f>
        <v>Financier de almendra</v>
      </c>
      <c r="B37" s="31" t="str">
        <f>IF('Matriz Alérgenos'!C36="","",'Matriz Alérgenos'!C36)</f>
        <v>●</v>
      </c>
      <c r="C37" s="31">
        <f>IF('Matriz Alérgenos'!D36="","",'Matriz Alérgenos'!D36)</f>
        <v/>
      </c>
      <c r="D37" s="31" t="str">
        <f>IF('Matriz Alérgenos'!E36="","",'Matriz Alérgenos'!E36)</f>
        <v>●</v>
      </c>
      <c r="E37" s="31">
        <f>IF('Matriz Alérgenos'!F36="","",'Matriz Alérgenos'!F36)</f>
        <v/>
      </c>
      <c r="F37" s="31">
        <f>IF('Matriz Alérgenos'!G36="","",'Matriz Alérgenos'!G36)</f>
        <v/>
      </c>
      <c r="G37" s="31" t="str">
        <f>IF('Matriz Alérgenos'!H36="","",'Matriz Alérgenos'!H36)</f>
        <v>○</v>
      </c>
      <c r="H37" s="31" t="str">
        <f>IF('Matriz Alérgenos'!I36="","",'Matriz Alérgenos'!I36)</f>
        <v>●</v>
      </c>
      <c r="I37" s="31" t="str">
        <f>IF('Matriz Alérgenos'!J36="","",'Matriz Alérgenos'!J36)</f>
        <v>●</v>
      </c>
      <c r="J37" s="31">
        <f>IF('Matriz Alérgenos'!K36="","",'Matriz Alérgenos'!K36)</f>
        <v/>
      </c>
      <c r="K37" s="31">
        <f>IF('Matriz Alérgenos'!L36="","",'Matriz Alérgenos'!L36)</f>
        <v/>
      </c>
      <c r="L37" s="31">
        <f>IF('Matriz Alérgenos'!M36="","",'Matriz Alérgenos'!M36)</f>
        <v/>
      </c>
      <c r="M37" s="31">
        <f>IF('Matriz Alérgenos'!N36="","",'Matriz Alérgenos'!N36)</f>
        <v/>
      </c>
      <c r="N37" s="31">
        <f>IF('Matriz Alérgenos'!O36="","",'Matriz Alérgenos'!O36)</f>
        <v/>
      </c>
      <c r="O37" s="31">
        <f>IF('Matriz Alérgenos'!P36="","",'Matriz Alérgenos'!P36)</f>
        <v/>
      </c>
    </row>
    <row r="38">
      <c r="A38" s="12" t="str">
        <f>IF('Matriz Alérgenos'!A37="","",'Matriz Alérgenos'!A37)</f>
        <v>Quiche</v>
      </c>
      <c r="B38" s="31" t="str">
        <f>IF('Matriz Alérgenos'!C37="","",'Matriz Alérgenos'!C37)</f>
        <v>●</v>
      </c>
      <c r="C38" s="31">
        <f>IF('Matriz Alérgenos'!D37="","",'Matriz Alérgenos'!D37)</f>
        <v/>
      </c>
      <c r="D38" s="31" t="str">
        <f>IF('Matriz Alérgenos'!E37="","",'Matriz Alérgenos'!E37)</f>
        <v>●</v>
      </c>
      <c r="E38" s="31">
        <f>IF('Matriz Alérgenos'!F37="","",'Matriz Alérgenos'!F37)</f>
        <v/>
      </c>
      <c r="F38" s="31">
        <f>IF('Matriz Alérgenos'!G37="","",'Matriz Alérgenos'!G37)</f>
        <v/>
      </c>
      <c r="G38" s="31" t="str">
        <f>IF('Matriz Alérgenos'!H37="","",'Matriz Alérgenos'!H37)</f>
        <v>○</v>
      </c>
      <c r="H38" s="31" t="str">
        <f>IF('Matriz Alérgenos'!I37="","",'Matriz Alérgenos'!I37)</f>
        <v>●</v>
      </c>
      <c r="I38" s="31">
        <f>IF('Matriz Alérgenos'!J37="","",'Matriz Alérgenos'!J37)</f>
        <v/>
      </c>
      <c r="J38" s="31" t="str">
        <f>IF('Matriz Alérgenos'!K37="","",'Matriz Alérgenos'!K37)</f>
        <v>○</v>
      </c>
      <c r="K38" s="31" t="str">
        <f>IF('Matriz Alérgenos'!L37="","",'Matriz Alérgenos'!L37)</f>
        <v>○</v>
      </c>
      <c r="L38" s="31">
        <f>IF('Matriz Alérgenos'!M37="","",'Matriz Alérgenos'!M37)</f>
        <v/>
      </c>
      <c r="M38" s="31">
        <f>IF('Matriz Alérgenos'!N37="","",'Matriz Alérgenos'!N37)</f>
        <v/>
      </c>
      <c r="N38" s="31">
        <f>IF('Matriz Alérgenos'!O37="","",'Matriz Alérgenos'!O37)</f>
        <v/>
      </c>
      <c r="O38" s="31">
        <f>IF('Matriz Alérgenos'!P37="","",'Matriz Alérgenos'!P37)</f>
        <v/>
      </c>
    </row>
    <row r="39">
      <c r="A39" s="12" t="str">
        <f>IF('Matriz Alérgenos'!A38="","",'Matriz Alérgenos'!A38)</f>
        <v>Empanada de atún</v>
      </c>
      <c r="B39" s="31" t="str">
        <f>IF('Matriz Alérgenos'!C38="","",'Matriz Alérgenos'!C38)</f>
        <v>●</v>
      </c>
      <c r="C39" s="31">
        <f>IF('Matriz Alérgenos'!D38="","",'Matriz Alérgenos'!D38)</f>
        <v/>
      </c>
      <c r="D39" s="31" t="str">
        <f>IF('Matriz Alérgenos'!E38="","",'Matriz Alérgenos'!E38)</f>
        <v>○</v>
      </c>
      <c r="E39" s="31" t="str">
        <f>IF('Matriz Alérgenos'!F38="","",'Matriz Alérgenos'!F38)</f>
        <v>●</v>
      </c>
      <c r="F39" s="31">
        <f>IF('Matriz Alérgenos'!G38="","",'Matriz Alérgenos'!G38)</f>
        <v/>
      </c>
      <c r="G39" s="31">
        <f>IF('Matriz Alérgenos'!H38="","",'Matriz Alérgenos'!H38)</f>
        <v/>
      </c>
      <c r="H39" s="31">
        <f>IF('Matriz Alérgenos'!I38="","",'Matriz Alérgenos'!I38)</f>
        <v/>
      </c>
      <c r="I39" s="31">
        <f>IF('Matriz Alérgenos'!J38="","",'Matriz Alérgenos'!J38)</f>
        <v/>
      </c>
      <c r="J39" s="31" t="str">
        <f>IF('Matriz Alérgenos'!K38="","",'Matriz Alérgenos'!K38)</f>
        <v>○</v>
      </c>
      <c r="K39" s="31">
        <f>IF('Matriz Alérgenos'!L38="","",'Matriz Alérgenos'!L38)</f>
        <v/>
      </c>
      <c r="L39" s="31">
        <f>IF('Matriz Alérgenos'!M38="","",'Matriz Alérgenos'!M38)</f>
        <v/>
      </c>
      <c r="M39" s="31" t="str">
        <f>IF('Matriz Alérgenos'!N38="","",'Matriz Alérgenos'!N38)</f>
        <v>○</v>
      </c>
      <c r="N39" s="31">
        <f>IF('Matriz Alérgenos'!O38="","",'Matriz Alérgenos'!O38)</f>
        <v/>
      </c>
      <c r="O39" s="31">
        <f>IF('Matriz Alérgenos'!P38="","",'Matriz Alérgenos'!P38)</f>
        <v/>
      </c>
    </row>
    <row r="40">
      <c r="A40" s="12" t="str">
        <f>IF('Matriz Alérgenos'!A39="","",'Matriz Alérgenos'!A39)</f>
        <v>Croissant de jamón y queso</v>
      </c>
      <c r="B40" s="31" t="str">
        <f>IF('Matriz Alérgenos'!C39="","",'Matriz Alérgenos'!C39)</f>
        <v>●</v>
      </c>
      <c r="C40" s="31">
        <f>IF('Matriz Alérgenos'!D39="","",'Matriz Alérgenos'!D39)</f>
        <v/>
      </c>
      <c r="D40" s="31" t="str">
        <f>IF('Matriz Alérgenos'!E39="","",'Matriz Alérgenos'!E39)</f>
        <v>●</v>
      </c>
      <c r="E40" s="31">
        <f>IF('Matriz Alérgenos'!F39="","",'Matriz Alérgenos'!F39)</f>
        <v/>
      </c>
      <c r="F40" s="31">
        <f>IF('Matriz Alérgenos'!G39="","",'Matriz Alérgenos'!G39)</f>
        <v/>
      </c>
      <c r="G40" s="31" t="str">
        <f>IF('Matriz Alérgenos'!H39="","",'Matriz Alérgenos'!H39)</f>
        <v>○</v>
      </c>
      <c r="H40" s="31" t="str">
        <f>IF('Matriz Alérgenos'!I39="","",'Matriz Alérgenos'!I39)</f>
        <v>●</v>
      </c>
      <c r="I40" s="31">
        <f>IF('Matriz Alérgenos'!J39="","",'Matriz Alérgenos'!J39)</f>
        <v/>
      </c>
      <c r="J40" s="31">
        <f>IF('Matriz Alérgenos'!K39="","",'Matriz Alérgenos'!K39)</f>
        <v/>
      </c>
      <c r="K40" s="31" t="str">
        <f>IF('Matriz Alérgenos'!L39="","",'Matriz Alérgenos'!L39)</f>
        <v>○</v>
      </c>
      <c r="L40" s="31">
        <f>IF('Matriz Alérgenos'!M39="","",'Matriz Alérgenos'!M39)</f>
        <v/>
      </c>
      <c r="M40" s="31">
        <f>IF('Matriz Alérgenos'!N39="","",'Matriz Alérgenos'!N39)</f>
        <v/>
      </c>
      <c r="N40" s="31">
        <f>IF('Matriz Alérgenos'!O39="","",'Matriz Alérgenos'!O39)</f>
        <v/>
      </c>
      <c r="O40" s="31">
        <f>IF('Matriz Alérgenos'!P39="","",'Matriz Alérgenos'!P39)</f>
        <v/>
      </c>
    </row>
    <row r="41">
      <c r="A41" s="12" t="str">
        <f>IF('Matriz Alérgenos'!A40="","",'Matriz Alérgenos'!A40)</f>
        <v>Pan de molde</v>
      </c>
      <c r="B41" s="31" t="str">
        <f>IF('Matriz Alérgenos'!C40="","",'Matriz Alérgenos'!C40)</f>
        <v>●</v>
      </c>
      <c r="C41" s="31">
        <f>IF('Matriz Alérgenos'!D40="","",'Matriz Alérgenos'!D40)</f>
        <v/>
      </c>
      <c r="D41" s="31">
        <f>IF('Matriz Alérgenos'!E40="","",'Matriz Alérgenos'!E40)</f>
        <v/>
      </c>
      <c r="E41" s="31">
        <f>IF('Matriz Alérgenos'!F40="","",'Matriz Alérgenos'!F40)</f>
        <v/>
      </c>
      <c r="F41" s="31">
        <f>IF('Matriz Alérgenos'!G40="","",'Matriz Alérgenos'!G40)</f>
        <v/>
      </c>
      <c r="G41" s="31" t="str">
        <f>IF('Matriz Alérgenos'!H40="","",'Matriz Alérgenos'!H40)</f>
        <v>○</v>
      </c>
      <c r="H41" s="31" t="str">
        <f>IF('Matriz Alérgenos'!I40="","",'Matriz Alérgenos'!I40)</f>
        <v>○</v>
      </c>
      <c r="I41" s="31">
        <f>IF('Matriz Alérgenos'!J40="","",'Matriz Alérgenos'!J40)</f>
        <v/>
      </c>
      <c r="J41" s="31">
        <f>IF('Matriz Alérgenos'!K40="","",'Matriz Alérgenos'!K40)</f>
        <v/>
      </c>
      <c r="K41" s="31">
        <f>IF('Matriz Alérgenos'!L40="","",'Matriz Alérgenos'!L40)</f>
        <v/>
      </c>
      <c r="L41" s="31" t="str">
        <f>IF('Matriz Alérgenos'!M40="","",'Matriz Alérgenos'!M40)</f>
        <v>○</v>
      </c>
      <c r="M41" s="31">
        <f>IF('Matriz Alérgenos'!N40="","",'Matriz Alérgenos'!N40)</f>
        <v/>
      </c>
      <c r="N41" s="31">
        <f>IF('Matriz Alérgenos'!O40="","",'Matriz Alérgenos'!O40)</f>
        <v/>
      </c>
      <c r="O41" s="31">
        <f>IF('Matriz Alérgenos'!P40="","",'Matriz Alérgenos'!P40)</f>
        <v/>
      </c>
    </row>
    <row r="42">
      <c r="A42" s="12" t="str">
        <f>IF('Matriz Alérgenos'!A41="","",'Matriz Alérgenos'!A41)</f>
        <v>Barra</v>
      </c>
      <c r="B42" s="31" t="str">
        <f>IF('Matriz Alérgenos'!C41="","",'Matriz Alérgenos'!C41)</f>
        <v>●</v>
      </c>
      <c r="C42" s="31">
        <f>IF('Matriz Alérgenos'!D41="","",'Matriz Alérgenos'!D41)</f>
        <v/>
      </c>
      <c r="D42" s="31">
        <f>IF('Matriz Alérgenos'!E41="","",'Matriz Alérgenos'!E41)</f>
        <v/>
      </c>
      <c r="E42" s="31">
        <f>IF('Matriz Alérgenos'!F41="","",'Matriz Alérgenos'!F41)</f>
        <v/>
      </c>
      <c r="F42" s="31">
        <f>IF('Matriz Alérgenos'!G41="","",'Matriz Alérgenos'!G41)</f>
        <v/>
      </c>
      <c r="G42" s="31" t="str">
        <f>IF('Matriz Alérgenos'!H41="","",'Matriz Alérgenos'!H41)</f>
        <v>○</v>
      </c>
      <c r="H42" s="31">
        <f>IF('Matriz Alérgenos'!I41="","",'Matriz Alérgenos'!I41)</f>
        <v/>
      </c>
      <c r="I42" s="31">
        <f>IF('Matriz Alérgenos'!J41="","",'Matriz Alérgenos'!J41)</f>
        <v/>
      </c>
      <c r="J42" s="31">
        <f>IF('Matriz Alérgenos'!K41="","",'Matriz Alérgenos'!K41)</f>
        <v/>
      </c>
      <c r="K42" s="31">
        <f>IF('Matriz Alérgenos'!L41="","",'Matriz Alérgenos'!L41)</f>
        <v/>
      </c>
      <c r="L42" s="31" t="str">
        <f>IF('Matriz Alérgenos'!M41="","",'Matriz Alérgenos'!M41)</f>
        <v>○</v>
      </c>
      <c r="M42" s="31">
        <f>IF('Matriz Alérgenos'!N41="","",'Matriz Alérgenos'!N41)</f>
        <v/>
      </c>
      <c r="N42" s="31">
        <f>IF('Matriz Alérgenos'!O41="","",'Matriz Alérgenos'!O41)</f>
        <v/>
      </c>
      <c r="O42" s="31">
        <f>IF('Matriz Alérgenos'!P41="","",'Matriz Alérgenos'!P41)</f>
        <v/>
      </c>
    </row>
    <row r="43">
      <c r="A43" s="12" t="str">
        <f>IF('Matriz Alérgenos'!A42="","",'Matriz Alérgenos'!A42)</f>
        <v>Hogaza de masa madre</v>
      </c>
      <c r="B43" s="31" t="str">
        <f>IF('Matriz Alérgenos'!C42="","",'Matriz Alérgenos'!C42)</f>
        <v>●</v>
      </c>
      <c r="C43" s="31">
        <f>IF('Matriz Alérgenos'!D42="","",'Matriz Alérgenos'!D42)</f>
        <v/>
      </c>
      <c r="D43" s="31">
        <f>IF('Matriz Alérgenos'!E42="","",'Matriz Alérgenos'!E42)</f>
        <v/>
      </c>
      <c r="E43" s="31">
        <f>IF('Matriz Alérgenos'!F42="","",'Matriz Alérgenos'!F42)</f>
        <v/>
      </c>
      <c r="F43" s="31">
        <f>IF('Matriz Alérgenos'!G42="","",'Matriz Alérgenos'!G42)</f>
        <v/>
      </c>
      <c r="G43" s="31" t="str">
        <f>IF('Matriz Alérgenos'!H42="","",'Matriz Alérgenos'!H42)</f>
        <v>○</v>
      </c>
      <c r="H43" s="31">
        <f>IF('Matriz Alérgenos'!I42="","",'Matriz Alérgenos'!I42)</f>
        <v/>
      </c>
      <c r="I43" s="31">
        <f>IF('Matriz Alérgenos'!J42="","",'Matriz Alérgenos'!J42)</f>
        <v/>
      </c>
      <c r="J43" s="31">
        <f>IF('Matriz Alérgenos'!K42="","",'Matriz Alérgenos'!K42)</f>
        <v/>
      </c>
      <c r="K43" s="31">
        <f>IF('Matriz Alérgenos'!L42="","",'Matriz Alérgenos'!L42)</f>
        <v/>
      </c>
      <c r="L43" s="31" t="str">
        <f>IF('Matriz Alérgenos'!M42="","",'Matriz Alérgenos'!M42)</f>
        <v>○</v>
      </c>
      <c r="M43" s="31">
        <f>IF('Matriz Alérgenos'!N42="","",'Matriz Alérgenos'!N42)</f>
        <v/>
      </c>
      <c r="N43" s="31">
        <f>IF('Matriz Alérgenos'!O42="","",'Matriz Alérgenos'!O42)</f>
        <v/>
      </c>
      <c r="O43" s="31">
        <f>IF('Matriz Alérgenos'!P42="","",'Matriz Alérgenos'!P42)</f>
        <v/>
      </c>
    </row>
    <row r="44">
      <c r="A44" s="12" t="str">
        <f>IF('Matriz Alérgenos'!A43="","",'Matriz Alérgenos'!A43)</f>
        <v>Chapata</v>
      </c>
      <c r="B44" s="31" t="str">
        <f>IF('Matriz Alérgenos'!C43="","",'Matriz Alérgenos'!C43)</f>
        <v>●</v>
      </c>
      <c r="C44" s="31">
        <f>IF('Matriz Alérgenos'!D43="","",'Matriz Alérgenos'!D43)</f>
        <v/>
      </c>
      <c r="D44" s="31">
        <f>IF('Matriz Alérgenos'!E43="","",'Matriz Alérgenos'!E43)</f>
        <v/>
      </c>
      <c r="E44" s="31">
        <f>IF('Matriz Alérgenos'!F43="","",'Matriz Alérgenos'!F43)</f>
        <v/>
      </c>
      <c r="F44" s="31">
        <f>IF('Matriz Alérgenos'!G43="","",'Matriz Alérgenos'!G43)</f>
        <v/>
      </c>
      <c r="G44" s="31" t="str">
        <f>IF('Matriz Alérgenos'!H43="","",'Matriz Alérgenos'!H43)</f>
        <v>○</v>
      </c>
      <c r="H44" s="31">
        <f>IF('Matriz Alérgenos'!I43="","",'Matriz Alérgenos'!I43)</f>
        <v/>
      </c>
      <c r="I44" s="31">
        <f>IF('Matriz Alérgenos'!J43="","",'Matriz Alérgenos'!J43)</f>
        <v/>
      </c>
      <c r="J44" s="31">
        <f>IF('Matriz Alérgenos'!K43="","",'Matriz Alérgenos'!K43)</f>
        <v/>
      </c>
      <c r="K44" s="31">
        <f>IF('Matriz Alérgenos'!L43="","",'Matriz Alérgenos'!L43)</f>
        <v/>
      </c>
      <c r="L44" s="31" t="str">
        <f>IF('Matriz Alérgenos'!M43="","",'Matriz Alérgenos'!M43)</f>
        <v>○</v>
      </c>
      <c r="M44" s="31">
        <f>IF('Matriz Alérgenos'!N43="","",'Matriz Alérgenos'!N43)</f>
        <v/>
      </c>
      <c r="N44" s="31">
        <f>IF('Matriz Alérgenos'!O43="","",'Matriz Alérgenos'!O43)</f>
        <v/>
      </c>
      <c r="O44" s="31">
        <f>IF('Matriz Alérgenos'!P43="","",'Matriz Alérgenos'!P43)</f>
        <v/>
      </c>
    </row>
    <row r="45">
      <c r="A45" s="12" t="str">
        <f>IF('Matriz Alérgenos'!A44="","",'Matriz Alérgenos'!A44)</f>
        <v>Focaccia</v>
      </c>
      <c r="B45" s="31" t="str">
        <f>IF('Matriz Alérgenos'!C44="","",'Matriz Alérgenos'!C44)</f>
        <v>●</v>
      </c>
      <c r="C45" s="31">
        <f>IF('Matriz Alérgenos'!D44="","",'Matriz Alérgenos'!D44)</f>
        <v/>
      </c>
      <c r="D45" s="31">
        <f>IF('Matriz Alérgenos'!E44="","",'Matriz Alérgenos'!E44)</f>
        <v/>
      </c>
      <c r="E45" s="31">
        <f>IF('Matriz Alérgenos'!F44="","",'Matriz Alérgenos'!F44)</f>
        <v/>
      </c>
      <c r="F45" s="31">
        <f>IF('Matriz Alérgenos'!G44="","",'Matriz Alérgenos'!G44)</f>
        <v/>
      </c>
      <c r="G45" s="31" t="str">
        <f>IF('Matriz Alérgenos'!H44="","",'Matriz Alérgenos'!H44)</f>
        <v>○</v>
      </c>
      <c r="H45" s="31" t="str">
        <f>IF('Matriz Alérgenos'!I44="","",'Matriz Alérgenos'!I44)</f>
        <v>○</v>
      </c>
      <c r="I45" s="31">
        <f>IF('Matriz Alérgenos'!J44="","",'Matriz Alérgenos'!J44)</f>
        <v/>
      </c>
      <c r="J45" s="31">
        <f>IF('Matriz Alérgenos'!K44="","",'Matriz Alérgenos'!K44)</f>
        <v/>
      </c>
      <c r="K45" s="31">
        <f>IF('Matriz Alérgenos'!L44="","",'Matriz Alérgenos'!L44)</f>
        <v/>
      </c>
      <c r="L45" s="31" t="str">
        <f>IF('Matriz Alérgenos'!M44="","",'Matriz Alérgenos'!M44)</f>
        <v>○</v>
      </c>
      <c r="M45" s="31">
        <f>IF('Matriz Alérgenos'!N44="","",'Matriz Alérgenos'!N44)</f>
        <v/>
      </c>
      <c r="N45" s="31">
        <f>IF('Matriz Alérgenos'!O44="","",'Matriz Alérgenos'!O44)</f>
        <v/>
      </c>
      <c r="O45" s="31">
        <f>IF('Matriz Alérgenos'!P44="","",'Matriz Alérgenos'!P44)</f>
        <v/>
      </c>
    </row>
    <row r="46">
      <c r="A46" s="12" t="str">
        <f>IF('Matriz Alérgenos'!A45="","",'Matriz Alérgenos'!A45)</f>
        <v>Crema pastelera</v>
      </c>
      <c r="B46" s="31" t="str">
        <f>IF('Matriz Alérgenos'!C45="","",'Matriz Alérgenos'!C45)</f>
        <v>○</v>
      </c>
      <c r="C46" s="31">
        <f>IF('Matriz Alérgenos'!D45="","",'Matriz Alérgenos'!D45)</f>
        <v/>
      </c>
      <c r="D46" s="31" t="str">
        <f>IF('Matriz Alérgenos'!E45="","",'Matriz Alérgenos'!E45)</f>
        <v>●</v>
      </c>
      <c r="E46" s="31">
        <f>IF('Matriz Alérgenos'!F45="","",'Matriz Alérgenos'!F45)</f>
        <v/>
      </c>
      <c r="F46" s="31">
        <f>IF('Matriz Alérgenos'!G45="","",'Matriz Alérgenos'!G45)</f>
        <v/>
      </c>
      <c r="G46" s="31" t="str">
        <f>IF('Matriz Alérgenos'!H45="","",'Matriz Alérgenos'!H45)</f>
        <v>○</v>
      </c>
      <c r="H46" s="31" t="str">
        <f>IF('Matriz Alérgenos'!I45="","",'Matriz Alérgenos'!I45)</f>
        <v>●</v>
      </c>
      <c r="I46" s="31">
        <f>IF('Matriz Alérgenos'!J45="","",'Matriz Alérgenos'!J45)</f>
        <v/>
      </c>
      <c r="J46" s="31">
        <f>IF('Matriz Alérgenos'!K45="","",'Matriz Alérgenos'!K45)</f>
        <v/>
      </c>
      <c r="K46" s="31">
        <f>IF('Matriz Alérgenos'!L45="","",'Matriz Alérgenos'!L45)</f>
        <v/>
      </c>
      <c r="L46" s="31">
        <f>IF('Matriz Alérgenos'!M45="","",'Matriz Alérgenos'!M45)</f>
        <v/>
      </c>
      <c r="M46" s="31">
        <f>IF('Matriz Alérgenos'!N45="","",'Matriz Alérgenos'!N45)</f>
        <v/>
      </c>
      <c r="N46" s="31">
        <f>IF('Matriz Alérgenos'!O45="","",'Matriz Alérgenos'!O45)</f>
        <v/>
      </c>
      <c r="O46" s="31">
        <f>IF('Matriz Alérgenos'!P45="","",'Matriz Alérgenos'!P45)</f>
        <v/>
      </c>
    </row>
    <row r="47">
      <c r="A47" s="12" t="str">
        <f>IF('Matriz Alérgenos'!A46="","",'Matriz Alérgenos'!A46)</f>
        <v>Ganache de chocolate</v>
      </c>
      <c r="B47" s="31" t="str">
        <f>IF('Matriz Alérgenos'!C46="","",'Matriz Alérgenos'!C46)</f>
        <v>○</v>
      </c>
      <c r="C47" s="31">
        <f>IF('Matriz Alérgenos'!D46="","",'Matriz Alérgenos'!D46)</f>
        <v/>
      </c>
      <c r="D47" s="31">
        <f>IF('Matriz Alérgenos'!E46="","",'Matriz Alérgenos'!E46)</f>
        <v/>
      </c>
      <c r="E47" s="31">
        <f>IF('Matriz Alérgenos'!F46="","",'Matriz Alérgenos'!F46)</f>
        <v/>
      </c>
      <c r="F47" s="31">
        <f>IF('Matriz Alérgenos'!G46="","",'Matriz Alérgenos'!G46)</f>
        <v/>
      </c>
      <c r="G47" s="31" t="str">
        <f>IF('Matriz Alérgenos'!H46="","",'Matriz Alérgenos'!H46)</f>
        <v>●</v>
      </c>
      <c r="H47" s="31" t="str">
        <f>IF('Matriz Alérgenos'!I46="","",'Matriz Alérgenos'!I46)</f>
        <v>●</v>
      </c>
      <c r="I47" s="31" t="str">
        <f>IF('Matriz Alérgenos'!J46="","",'Matriz Alérgenos'!J46)</f>
        <v>○</v>
      </c>
      <c r="J47" s="31">
        <f>IF('Matriz Alérgenos'!K46="","",'Matriz Alérgenos'!K46)</f>
        <v/>
      </c>
      <c r="K47" s="31">
        <f>IF('Matriz Alérgenos'!L46="","",'Matriz Alérgenos'!L46)</f>
        <v/>
      </c>
      <c r="L47" s="31">
        <f>IF('Matriz Alérgenos'!M46="","",'Matriz Alérgenos'!M46)</f>
        <v/>
      </c>
      <c r="M47" s="31">
        <f>IF('Matriz Alérgenos'!N46="","",'Matriz Alérgenos'!N46)</f>
        <v/>
      </c>
      <c r="N47" s="31">
        <f>IF('Matriz Alérgenos'!O46="","",'Matriz Alérgenos'!O46)</f>
        <v/>
      </c>
      <c r="O47" s="31">
        <f>IF('Matriz Alérgenos'!P46="","",'Matriz Alérgenos'!P46)</f>
        <v/>
      </c>
    </row>
    <row r="48">
      <c r="A48" s="12" t="str">
        <f>IF('Matriz Alérgenos'!A47="","",'Matriz Alérgenos'!A47)</f>
        <v>Nata montada</v>
      </c>
      <c r="B48" s="31">
        <f>IF('Matriz Alérgenos'!C47="","",'Matriz Alérgenos'!C47)</f>
        <v/>
      </c>
      <c r="C48" s="31">
        <f>IF('Matriz Alérgenos'!D47="","",'Matriz Alérgenos'!D47)</f>
        <v/>
      </c>
      <c r="D48" s="31">
        <f>IF('Matriz Alérgenos'!E47="","",'Matriz Alérgenos'!E47)</f>
        <v/>
      </c>
      <c r="E48" s="31">
        <f>IF('Matriz Alérgenos'!F47="","",'Matriz Alérgenos'!F47)</f>
        <v/>
      </c>
      <c r="F48" s="31">
        <f>IF('Matriz Alérgenos'!G47="","",'Matriz Alérgenos'!G47)</f>
        <v/>
      </c>
      <c r="G48" s="31" t="str">
        <f>IF('Matriz Alérgenos'!H47="","",'Matriz Alérgenos'!H47)</f>
        <v>○</v>
      </c>
      <c r="H48" s="31" t="str">
        <f>IF('Matriz Alérgenos'!I47="","",'Matriz Alérgenos'!I47)</f>
        <v>●</v>
      </c>
      <c r="I48" s="31">
        <f>IF('Matriz Alérgenos'!J47="","",'Matriz Alérgenos'!J47)</f>
        <v/>
      </c>
      <c r="J48" s="31">
        <f>IF('Matriz Alérgenos'!K47="","",'Matriz Alérgenos'!K47)</f>
        <v/>
      </c>
      <c r="K48" s="31">
        <f>IF('Matriz Alérgenos'!L47="","",'Matriz Alérgenos'!L47)</f>
        <v/>
      </c>
      <c r="L48" s="31">
        <f>IF('Matriz Alérgenos'!M47="","",'Matriz Alérgenos'!M47)</f>
        <v/>
      </c>
      <c r="M48" s="31">
        <f>IF('Matriz Alérgenos'!N47="","",'Matriz Alérgenos'!N47)</f>
        <v/>
      </c>
      <c r="N48" s="31">
        <f>IF('Matriz Alérgenos'!O47="","",'Matriz Alérgenos'!O47)</f>
        <v/>
      </c>
      <c r="O48" s="31">
        <f>IF('Matriz Alérgenos'!P47="","",'Matriz Alérgenos'!P47)</f>
        <v/>
      </c>
    </row>
    <row r="49">
      <c r="A49" s="12">
        <f>IF('Matriz Alérgenos'!A48="","",'Matriz Alérgenos'!A48)</f>
        <v/>
      </c>
      <c r="B49" s="31">
        <f>IF('Matriz Alérgenos'!C48="","",'Matriz Alérgenos'!C48)</f>
        <v/>
      </c>
      <c r="C49" s="31">
        <f>IF('Matriz Alérgenos'!D48="","",'Matriz Alérgenos'!D48)</f>
        <v/>
      </c>
      <c r="D49" s="31">
        <f>IF('Matriz Alérgenos'!E48="","",'Matriz Alérgenos'!E48)</f>
        <v/>
      </c>
      <c r="E49" s="31">
        <f>IF('Matriz Alérgenos'!F48="","",'Matriz Alérgenos'!F48)</f>
        <v/>
      </c>
      <c r="F49" s="31">
        <f>IF('Matriz Alérgenos'!G48="","",'Matriz Alérgenos'!G48)</f>
        <v/>
      </c>
      <c r="G49" s="31">
        <f>IF('Matriz Alérgenos'!H48="","",'Matriz Alérgenos'!H48)</f>
        <v/>
      </c>
      <c r="H49" s="31">
        <f>IF('Matriz Alérgenos'!I48="","",'Matriz Alérgenos'!I48)</f>
        <v/>
      </c>
      <c r="I49" s="31">
        <f>IF('Matriz Alérgenos'!J48="","",'Matriz Alérgenos'!J48)</f>
        <v/>
      </c>
      <c r="J49" s="31">
        <f>IF('Matriz Alérgenos'!K48="","",'Matriz Alérgenos'!K48)</f>
        <v/>
      </c>
      <c r="K49" s="31">
        <f>IF('Matriz Alérgenos'!L48="","",'Matriz Alérgenos'!L48)</f>
        <v/>
      </c>
      <c r="L49" s="31">
        <f>IF('Matriz Alérgenos'!M48="","",'Matriz Alérgenos'!M48)</f>
        <v/>
      </c>
      <c r="M49" s="31">
        <f>IF('Matriz Alérgenos'!N48="","",'Matriz Alérgenos'!N48)</f>
        <v/>
      </c>
      <c r="N49" s="31">
        <f>IF('Matriz Alérgenos'!O48="","",'Matriz Alérgenos'!O48)</f>
        <v/>
      </c>
      <c r="O49" s="31">
        <f>IF('Matriz Alérgenos'!P48="","",'Matriz Alérgenos'!P48)</f>
        <v/>
      </c>
    </row>
    <row r="50">
      <c r="A50" s="12">
        <f>IF('Matriz Alérgenos'!A49="","",'Matriz Alérgenos'!A49)</f>
        <v/>
      </c>
      <c r="B50" s="31">
        <f>IF('Matriz Alérgenos'!C49="","",'Matriz Alérgenos'!C49)</f>
        <v/>
      </c>
      <c r="C50" s="31">
        <f>IF('Matriz Alérgenos'!D49="","",'Matriz Alérgenos'!D49)</f>
        <v/>
      </c>
      <c r="D50" s="31">
        <f>IF('Matriz Alérgenos'!E49="","",'Matriz Alérgenos'!E49)</f>
        <v/>
      </c>
      <c r="E50" s="31">
        <f>IF('Matriz Alérgenos'!F49="","",'Matriz Alérgenos'!F49)</f>
        <v/>
      </c>
      <c r="F50" s="31">
        <f>IF('Matriz Alérgenos'!G49="","",'Matriz Alérgenos'!G49)</f>
        <v/>
      </c>
      <c r="G50" s="31">
        <f>IF('Matriz Alérgenos'!H49="","",'Matriz Alérgenos'!H49)</f>
        <v/>
      </c>
      <c r="H50" s="31">
        <f>IF('Matriz Alérgenos'!I49="","",'Matriz Alérgenos'!I49)</f>
        <v/>
      </c>
      <c r="I50" s="31">
        <f>IF('Matriz Alérgenos'!J49="","",'Matriz Alérgenos'!J49)</f>
        <v/>
      </c>
      <c r="J50" s="31">
        <f>IF('Matriz Alérgenos'!K49="","",'Matriz Alérgenos'!K49)</f>
        <v/>
      </c>
      <c r="K50" s="31">
        <f>IF('Matriz Alérgenos'!L49="","",'Matriz Alérgenos'!L49)</f>
        <v/>
      </c>
      <c r="L50" s="31">
        <f>IF('Matriz Alérgenos'!M49="","",'Matriz Alérgenos'!M49)</f>
        <v/>
      </c>
      <c r="M50" s="31">
        <f>IF('Matriz Alérgenos'!N49="","",'Matriz Alérgenos'!N49)</f>
        <v/>
      </c>
      <c r="N50" s="31">
        <f>IF('Matriz Alérgenos'!O49="","",'Matriz Alérgenos'!O49)</f>
        <v/>
      </c>
      <c r="O50" s="31">
        <f>IF('Matriz Alérgenos'!P49="","",'Matriz Alérgenos'!P49)</f>
        <v/>
      </c>
    </row>
    <row r="51">
      <c r="A51" s="12">
        <f>IF('Matriz Alérgenos'!A50="","",'Matriz Alérgenos'!A50)</f>
        <v/>
      </c>
      <c r="B51" s="31">
        <f>IF('Matriz Alérgenos'!C50="","",'Matriz Alérgenos'!C50)</f>
        <v/>
      </c>
      <c r="C51" s="31">
        <f>IF('Matriz Alérgenos'!D50="","",'Matriz Alérgenos'!D50)</f>
        <v/>
      </c>
      <c r="D51" s="31">
        <f>IF('Matriz Alérgenos'!E50="","",'Matriz Alérgenos'!E50)</f>
        <v/>
      </c>
      <c r="E51" s="31">
        <f>IF('Matriz Alérgenos'!F50="","",'Matriz Alérgenos'!F50)</f>
        <v/>
      </c>
      <c r="F51" s="31">
        <f>IF('Matriz Alérgenos'!G50="","",'Matriz Alérgenos'!G50)</f>
        <v/>
      </c>
      <c r="G51" s="31">
        <f>IF('Matriz Alérgenos'!H50="","",'Matriz Alérgenos'!H50)</f>
        <v/>
      </c>
      <c r="H51" s="31">
        <f>IF('Matriz Alérgenos'!I50="","",'Matriz Alérgenos'!I50)</f>
        <v/>
      </c>
      <c r="I51" s="31">
        <f>IF('Matriz Alérgenos'!J50="","",'Matriz Alérgenos'!J50)</f>
        <v/>
      </c>
      <c r="J51" s="31">
        <f>IF('Matriz Alérgenos'!K50="","",'Matriz Alérgenos'!K50)</f>
        <v/>
      </c>
      <c r="K51" s="31">
        <f>IF('Matriz Alérgenos'!L50="","",'Matriz Alérgenos'!L50)</f>
        <v/>
      </c>
      <c r="L51" s="31">
        <f>IF('Matriz Alérgenos'!M50="","",'Matriz Alérgenos'!M50)</f>
        <v/>
      </c>
      <c r="M51" s="31">
        <f>IF('Matriz Alérgenos'!N50="","",'Matriz Alérgenos'!N50)</f>
        <v/>
      </c>
      <c r="N51" s="31">
        <f>IF('Matriz Alérgenos'!O50="","",'Matriz Alérgenos'!O50)</f>
        <v/>
      </c>
      <c r="O51" s="31">
        <f>IF('Matriz Alérgenos'!P50="","",'Matriz Alérgenos'!P50)</f>
        <v/>
      </c>
    </row>
    <row r="52">
      <c r="A52" s="12">
        <f>IF('Matriz Alérgenos'!A51="","",'Matriz Alérgenos'!A51)</f>
        <v/>
      </c>
      <c r="B52" s="31">
        <f>IF('Matriz Alérgenos'!C51="","",'Matriz Alérgenos'!C51)</f>
        <v/>
      </c>
      <c r="C52" s="31">
        <f>IF('Matriz Alérgenos'!D51="","",'Matriz Alérgenos'!D51)</f>
        <v/>
      </c>
      <c r="D52" s="31">
        <f>IF('Matriz Alérgenos'!E51="","",'Matriz Alérgenos'!E51)</f>
        <v/>
      </c>
      <c r="E52" s="31">
        <f>IF('Matriz Alérgenos'!F51="","",'Matriz Alérgenos'!F51)</f>
        <v/>
      </c>
      <c r="F52" s="31">
        <f>IF('Matriz Alérgenos'!G51="","",'Matriz Alérgenos'!G51)</f>
        <v/>
      </c>
      <c r="G52" s="31">
        <f>IF('Matriz Alérgenos'!H51="","",'Matriz Alérgenos'!H51)</f>
        <v/>
      </c>
      <c r="H52" s="31">
        <f>IF('Matriz Alérgenos'!I51="","",'Matriz Alérgenos'!I51)</f>
        <v/>
      </c>
      <c r="I52" s="31">
        <f>IF('Matriz Alérgenos'!J51="","",'Matriz Alérgenos'!J51)</f>
        <v/>
      </c>
      <c r="J52" s="31">
        <f>IF('Matriz Alérgenos'!K51="","",'Matriz Alérgenos'!K51)</f>
        <v/>
      </c>
      <c r="K52" s="31">
        <f>IF('Matriz Alérgenos'!L51="","",'Matriz Alérgenos'!L51)</f>
        <v/>
      </c>
      <c r="L52" s="31">
        <f>IF('Matriz Alérgenos'!M51="","",'Matriz Alérgenos'!M51)</f>
        <v/>
      </c>
      <c r="M52" s="31">
        <f>IF('Matriz Alérgenos'!N51="","",'Matriz Alérgenos'!N51)</f>
        <v/>
      </c>
      <c r="N52" s="31">
        <f>IF('Matriz Alérgenos'!O51="","",'Matriz Alérgenos'!O51)</f>
        <v/>
      </c>
      <c r="O52" s="31">
        <f>IF('Matriz Alérgenos'!P51="","",'Matriz Alérgenos'!P51)</f>
        <v/>
      </c>
    </row>
    <row r="53"/>
    <row r="54" ht="21.8" customHeight="1">
      <c r="A54" s="19" t="inlineStr">
        <is>
          <t>En nuestro obrador se manipulan, entre otros, cereales con gluten, huevo, leche, frutos de cáscara, soja y sésamo, por lo que puede haber contaminación cruzada. Esta advertencia complementa la información por escrito: no la sustituye.</t>
        </is>
      </c>
      <c r="B54" s="48" t="n"/>
      <c r="C54" s="48" t="n"/>
      <c r="D54" s="48" t="n"/>
      <c r="E54" s="48" t="n"/>
      <c r="F54" s="48" t="n"/>
      <c r="G54" s="48" t="n"/>
      <c r="H54" s="48" t="n"/>
      <c r="I54" s="48" t="n"/>
      <c r="J54" s="48" t="n"/>
      <c r="K54" s="48" t="n"/>
      <c r="L54" s="48" t="n"/>
      <c r="M54" s="48" t="n"/>
      <c r="N54" s="48" t="n"/>
      <c r="O54" s="49" t="n"/>
    </row>
    <row r="55" ht="21.8" customHeight="1">
      <c r="A55" s="50" t="n"/>
      <c r="B55" s="51" t="n"/>
      <c r="C55" s="51" t="n"/>
      <c r="D55" s="51" t="n"/>
      <c r="E55" s="51" t="n"/>
      <c r="F55" s="51" t="n"/>
      <c r="G55" s="51" t="n"/>
      <c r="H55" s="51" t="n"/>
      <c r="I55" s="51" t="n"/>
      <c r="J55" s="51" t="n"/>
      <c r="K55" s="51" t="n"/>
      <c r="L55" s="51" t="n"/>
      <c r="M55" s="51" t="n"/>
      <c r="N55" s="51" t="n"/>
      <c r="O55" s="52" t="n"/>
    </row>
    <row r="56"/>
    <row r="57">
      <c r="A57" s="33" t="inlineStr">
        <is>
          <t>Revisado por: _________________________     Firma: _________________________</t>
        </is>
      </c>
    </row>
    <row r="58"/>
    <row r="59">
      <c r="A59" s="7" t="inlineStr">
        <is>
          <t>— Kit de Tareas Recurrentes · Pastelería / Obrador · AI Chef Pro · aichef.pro</t>
        </is>
      </c>
    </row>
  </sheetData>
  <mergeCells count="5">
    <mergeCell ref="A54:O55"/>
    <mergeCell ref="A1:O1"/>
    <mergeCell ref="A3:O3"/>
    <mergeCell ref="A2:O2"/>
    <mergeCell ref="A57:O57"/>
  </mergeCells>
  <printOptions horizontalCentered="1"/>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8B4513"/>
    <outlinePr summaryBelow="1" summaryRight="1"/>
    <pageSetUpPr fitToPage="1"/>
  </sheetPr>
  <dimension ref="A1:D30"/>
  <sheetViews>
    <sheetView showGridLines="0" workbookViewId="0">
      <selection activeCell="A1" sqref="A1"/>
    </sheetView>
  </sheetViews>
  <sheetFormatPr baseColWidth="8" defaultRowHeight="15"/>
  <cols>
    <col width="2" customWidth="1" min="1" max="1"/>
    <col width="24" customWidth="1" min="2" max="2"/>
    <col width="56" customWidth="1" min="3" max="3"/>
    <col width="30" customWidth="1" min="4" max="4"/>
  </cols>
  <sheetData>
    <row r="1"/>
    <row r="2" ht="34" customHeight="1">
      <c r="B2" s="34" t="inlineStr">
        <is>
          <t>Información sobre Alérgenos</t>
        </is>
      </c>
    </row>
    <row r="3"/>
    <row r="4" ht="26" customHeight="1">
      <c r="B4" s="35" t="inlineStr">
        <is>
          <t>INFORMACIÓN DE ALÉRGENOS DISPONIBLE POR ESCRITO — SOLICÍTELA A NUESTRO PERSONAL</t>
        </is>
      </c>
      <c r="C4" s="48" t="n"/>
      <c r="D4" s="49" t="n"/>
    </row>
    <row r="5">
      <c r="B5" s="50" t="n"/>
      <c r="C5" s="51" t="n"/>
      <c r="D5" s="52" t="n"/>
    </row>
    <row r="6"/>
    <row r="7" ht="23.8" customHeight="1">
      <c r="B7" s="37" t="inlineStr">
        <is>
          <t>En nuestro obrador se manipulan, entre otros, cereales con gluten, huevo, leche, frutos de cáscara, soja y sésamo, por lo que puede haber contaminación cruzada. Esta advertencia complementa la información por escrito: no la sustituye.</t>
        </is>
      </c>
      <c r="C7" s="48" t="n"/>
      <c r="D7" s="49" t="n"/>
    </row>
    <row r="8" ht="23.8" customHeight="1">
      <c r="B8" s="50" t="n"/>
      <c r="C8" s="51" t="n"/>
      <c r="D8" s="52" t="n"/>
    </row>
    <row r="9"/>
    <row r="10" ht="22" customHeight="1">
      <c r="B10" s="38" t="inlineStr">
        <is>
          <t>Los 14 alérgenos de declaración obligatoria</t>
        </is>
      </c>
    </row>
    <row r="11">
      <c r="B11" s="10" t="inlineStr">
        <is>
          <t>Alérgeno</t>
        </is>
      </c>
      <c r="C11" s="10" t="inlineStr">
        <is>
          <t>Qué incluye</t>
        </is>
      </c>
      <c r="D11" s="10" t="inlineStr">
        <is>
          <t>Nuestros productos que lo contienen</t>
        </is>
      </c>
    </row>
    <row r="12" ht="30.4" customHeight="1">
      <c r="B12" s="28" t="inlineStr">
        <is>
          <t>Gluten</t>
        </is>
      </c>
      <c r="C12" s="40" t="inlineStr">
        <is>
          <t>Cereales con gluten: trigo, centeno, cebada, avena, espelta, kamut y sus derivados</t>
        </is>
      </c>
      <c r="D12" s="16" t="n"/>
    </row>
    <row r="13" ht="26" customHeight="1">
      <c r="B13" s="28" t="inlineStr">
        <is>
          <t>Crustáceos</t>
        </is>
      </c>
      <c r="C13" s="40" t="inlineStr">
        <is>
          <t>Crustáceos y productos a base de crustáceos</t>
        </is>
      </c>
      <c r="D13" s="16" t="n"/>
    </row>
    <row r="14" ht="26" customHeight="1">
      <c r="B14" s="28" t="inlineStr">
        <is>
          <t>Huevos</t>
        </is>
      </c>
      <c r="C14" s="40" t="inlineStr">
        <is>
          <t>Huevos y productos a base de huevo</t>
        </is>
      </c>
      <c r="D14" s="16" t="n"/>
    </row>
    <row r="15" ht="26" customHeight="1">
      <c r="B15" s="28" t="inlineStr">
        <is>
          <t>Pescado</t>
        </is>
      </c>
      <c r="C15" s="40" t="inlineStr">
        <is>
          <t>Pescado y productos a base de pescado</t>
        </is>
      </c>
      <c r="D15" s="16" t="n"/>
    </row>
    <row r="16" ht="26" customHeight="1">
      <c r="B16" s="28" t="inlineStr">
        <is>
          <t>Cacahuetes</t>
        </is>
      </c>
      <c r="C16" s="40" t="inlineStr">
        <is>
          <t>Cacahuetes y productos a base de cacahuete</t>
        </is>
      </c>
      <c r="D16" s="16" t="n"/>
    </row>
    <row r="17" ht="26" customHeight="1">
      <c r="B17" s="28" t="inlineStr">
        <is>
          <t>Soja</t>
        </is>
      </c>
      <c r="C17" s="40" t="inlineStr">
        <is>
          <t>Soja y productos a base de soja, incluida la lecitina de soja</t>
        </is>
      </c>
      <c r="D17" s="16" t="n"/>
    </row>
    <row r="18" ht="26" customHeight="1">
      <c r="B18" s="28" t="inlineStr">
        <is>
          <t>Lácteos</t>
        </is>
      </c>
      <c r="C18" s="40" t="inlineStr">
        <is>
          <t>Leche y sus derivados, incluida la lactosa</t>
        </is>
      </c>
      <c r="D18" s="16" t="n"/>
    </row>
    <row r="19" ht="30.4" customHeight="1">
      <c r="B19" s="28" t="inlineStr">
        <is>
          <t>Frutos de cáscara</t>
        </is>
      </c>
      <c r="C19" s="40" t="inlineStr">
        <is>
          <t>Almendra, avellana, nuez, anacardo, pistacho, pacana, nuez de Brasil y macadamia</t>
        </is>
      </c>
      <c r="D19" s="16" t="n"/>
    </row>
    <row r="20" ht="26" customHeight="1">
      <c r="B20" s="28" t="inlineStr">
        <is>
          <t>Apio</t>
        </is>
      </c>
      <c r="C20" s="40" t="inlineStr">
        <is>
          <t>Apio y productos derivados</t>
        </is>
      </c>
      <c r="D20" s="16" t="n"/>
    </row>
    <row r="21" ht="26" customHeight="1">
      <c r="B21" s="28" t="inlineStr">
        <is>
          <t>Mostaza</t>
        </is>
      </c>
      <c r="C21" s="40" t="inlineStr">
        <is>
          <t>Mostaza y productos derivados</t>
        </is>
      </c>
      <c r="D21" s="16" t="n"/>
    </row>
    <row r="22" ht="26" customHeight="1">
      <c r="B22" s="28" t="inlineStr">
        <is>
          <t>Sésamo</t>
        </is>
      </c>
      <c r="C22" s="40" t="inlineStr">
        <is>
          <t>Granos de sésamo y productos a base de sésamo</t>
        </is>
      </c>
      <c r="D22" s="16" t="n"/>
    </row>
    <row r="23" ht="30.4" customHeight="1">
      <c r="B23" s="28" t="inlineStr">
        <is>
          <t>Sulfitos</t>
        </is>
      </c>
      <c r="C23" s="40" t="inlineStr">
        <is>
          <t>Dióxido de azufre y sulfitos en concentración superior a 10 mg/kg o 10 mg/l</t>
        </is>
      </c>
      <c r="D23" s="16" t="n"/>
    </row>
    <row r="24" ht="26" customHeight="1">
      <c r="B24" s="28" t="inlineStr">
        <is>
          <t>Altramuces</t>
        </is>
      </c>
      <c r="C24" s="40" t="inlineStr">
        <is>
          <t>Altramuces y productos a base de altramuces</t>
        </is>
      </c>
      <c r="D24" s="16" t="n"/>
    </row>
    <row r="25" ht="26" customHeight="1">
      <c r="B25" s="28" t="inlineStr">
        <is>
          <t>Moluscos</t>
        </is>
      </c>
      <c r="C25" s="40" t="inlineStr">
        <is>
          <t>Moluscos y productos a base de moluscos</t>
        </is>
      </c>
      <c r="D25" s="16" t="n"/>
    </row>
    <row r="26"/>
    <row r="27">
      <c r="B27" s="41" t="inlineStr">
        <is>
          <t>Establecimiento: ______________________________          Última revisión: ____/____/________</t>
        </is>
      </c>
    </row>
    <row r="28">
      <c r="B28" s="42" t="inlineStr">
        <is>
          <t>Reglamento (UE) 1169/2011 y Real Decreto 126/2015, sobre la información alimentaria de los alimentos que se presentan sin envasar.</t>
        </is>
      </c>
    </row>
    <row r="29"/>
    <row r="30">
      <c r="B30" s="7" t="inlineStr">
        <is>
          <t>— Kit de Tareas Recurrentes · Pastelería / Obrador · AI Chef Pro · aichef.pro</t>
        </is>
      </c>
    </row>
  </sheetData>
  <mergeCells count="6">
    <mergeCell ref="B4:D5"/>
    <mergeCell ref="B7:D8"/>
    <mergeCell ref="B27:D27"/>
    <mergeCell ref="B10:D10"/>
    <mergeCell ref="B2:D2"/>
    <mergeCell ref="B28:D28"/>
  </mergeCells>
  <printOptions horizontalCentered="1"/>
  <pageMargins left="0.59" right="0.59" top="0.59" bottom="0.59" header="0.3" footer="0.3"/>
  <pageSetup orientation="portrait" paperSize="9" fitToHeight="1"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tabColor rgb="00FFD700"/>
    <outlinePr summaryBelow="1" summaryRight="1"/>
    <pageSetUpPr fitToPage="1"/>
  </sheetPr>
  <dimension ref="A1:F31"/>
  <sheetViews>
    <sheetView showGridLines="0" workbookViewId="0">
      <selection activeCell="A1" sqref="A1"/>
    </sheetView>
  </sheetViews>
  <sheetFormatPr baseColWidth="8" defaultRowHeight="15"/>
  <cols>
    <col width="2" customWidth="1" min="1" max="1"/>
    <col width="30" customWidth="1" min="2" max="2"/>
    <col width="2" customWidth="1" min="3" max="3"/>
    <col width="30" customWidth="1" min="4" max="4"/>
    <col width="2" customWidth="1" min="5" max="5"/>
    <col width="30" customWidth="1" min="6" max="6"/>
  </cols>
  <sheetData>
    <row r="1" ht="21.1" customHeight="1">
      <c r="B1" s="8" t="inlineStr">
        <is>
          <t>Etiquetas de Vitrina</t>
        </is>
      </c>
    </row>
    <row r="2" ht="30.4" customHeight="1">
      <c r="B2" s="9" t="inlineStr">
        <is>
          <t>Rellena, imprime en cartulina y recorta por el borde. Abrevia los alérgenos: GLU gluten · HUE huevos · LAC lácteos · FCA frutos de cáscara · SOJ soja · SES sésamo · SUL sulfitos.</t>
        </is>
      </c>
    </row>
    <row r="3"/>
    <row r="4" ht="26" customHeight="1">
      <c r="B4" s="43" t="n"/>
      <c r="D4" s="43" t="n"/>
      <c r="F4" s="43" t="n"/>
    </row>
    <row r="5" ht="20" customHeight="1">
      <c r="B5" s="44" t="n"/>
      <c r="D5" s="44" t="n"/>
      <c r="F5" s="44" t="n"/>
    </row>
    <row r="6" ht="18" customHeight="1">
      <c r="B6" s="45" t="n"/>
      <c r="D6" s="45" t="n"/>
      <c r="F6" s="45" t="n"/>
    </row>
    <row r="7"/>
    <row r="8" ht="26" customHeight="1">
      <c r="B8" s="43" t="n"/>
      <c r="D8" s="43" t="n"/>
      <c r="F8" s="43" t="n"/>
    </row>
    <row r="9" ht="20" customHeight="1">
      <c r="B9" s="44" t="n"/>
      <c r="D9" s="44" t="n"/>
      <c r="F9" s="44" t="n"/>
    </row>
    <row r="10" ht="18" customHeight="1">
      <c r="B10" s="45" t="n"/>
      <c r="D10" s="45" t="n"/>
      <c r="F10" s="45" t="n"/>
    </row>
    <row r="11"/>
    <row r="12" ht="26" customHeight="1">
      <c r="B12" s="43" t="n"/>
      <c r="D12" s="43" t="n"/>
      <c r="F12" s="43" t="n"/>
    </row>
    <row r="13" ht="20" customHeight="1">
      <c r="B13" s="44" t="n"/>
      <c r="D13" s="44" t="n"/>
      <c r="F13" s="44" t="n"/>
    </row>
    <row r="14" ht="18" customHeight="1">
      <c r="B14" s="45" t="n"/>
      <c r="D14" s="45" t="n"/>
      <c r="F14" s="45" t="n"/>
    </row>
    <row r="15"/>
    <row r="16" ht="26" customHeight="1">
      <c r="B16" s="43" t="n"/>
      <c r="D16" s="43" t="n"/>
      <c r="F16" s="43" t="n"/>
    </row>
    <row r="17" ht="20" customHeight="1">
      <c r="B17" s="44" t="n"/>
      <c r="D17" s="44" t="n"/>
      <c r="F17" s="44" t="n"/>
    </row>
    <row r="18" ht="18" customHeight="1">
      <c r="B18" s="45" t="n"/>
      <c r="D18" s="45" t="n"/>
      <c r="F18" s="45" t="n"/>
    </row>
    <row r="19"/>
    <row r="20" ht="26" customHeight="1">
      <c r="B20" s="43" t="n"/>
      <c r="D20" s="43" t="n"/>
      <c r="F20" s="43" t="n"/>
    </row>
    <row r="21" ht="20" customHeight="1">
      <c r="B21" s="44" t="n"/>
      <c r="D21" s="44" t="n"/>
      <c r="F21" s="44" t="n"/>
    </row>
    <row r="22" ht="18" customHeight="1">
      <c r="B22" s="45" t="n"/>
      <c r="D22" s="45" t="n"/>
      <c r="F22" s="45" t="n"/>
    </row>
    <row r="23"/>
    <row r="24" ht="26" customHeight="1">
      <c r="B24" s="43" t="n"/>
      <c r="D24" s="43" t="n"/>
      <c r="F24" s="43" t="n"/>
    </row>
    <row r="25" ht="20" customHeight="1">
      <c r="B25" s="44" t="n"/>
      <c r="D25" s="44" t="n"/>
      <c r="F25" s="44" t="n"/>
    </row>
    <row r="26" ht="18" customHeight="1">
      <c r="B26" s="45" t="n"/>
      <c r="D26" s="45" t="n"/>
      <c r="F26" s="45" t="n"/>
    </row>
    <row r="27"/>
    <row r="28"/>
    <row r="29">
      <c r="B29" s="6" t="inlineStr">
        <is>
          <t>Cada etiqueta: primera línea el producto, segunda el precio por unidad, tercera los alérgenos (→ hoja Carta de Alérgenos).</t>
        </is>
      </c>
    </row>
    <row r="30"/>
    <row r="31">
      <c r="B31" s="7" t="inlineStr">
        <is>
          <t>— Kit de Tareas Recurrentes · Pastelería / Obrador · AI Chef Pro · aichef.pro</t>
        </is>
      </c>
    </row>
  </sheetData>
  <mergeCells count="3">
    <mergeCell ref="B2:F2"/>
    <mergeCell ref="B29:F29"/>
    <mergeCell ref="B1:F1"/>
  </mergeCells>
  <printOptions horizontalCentered="1"/>
  <pageMargins left="0.59" right="0.59" top="0.59" bottom="0.59" header="0.3" footer="0.3"/>
  <pageSetup orientation="portrait" paperSize="9" fitToHeight="1"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12 — Alérgenos de Vitrina (14 UE) · Kit de Tareas Pastelería / Obrador</dc:title>
  <dc:description xmlns:dc="http://purl.org/dc/elements/1.1/">aichef.pro/kit-tareas-pasteleria</dc:description>
  <dc:subject xmlns:dc="http://purl.org/dc/elements/1.1/">Kit de Tareas Recurrentes · Pastelería / Obrador · v2.0</dc:subject>
  <dcterms:created xmlns:dcterms="http://purl.org/dc/terms/" xmlns:xsi="http://www.w3.org/2001/XMLSchema-instance" xsi:type="dcterms:W3CDTF">2026-08-21T00:00:00Z</dcterms:created>
  <dcterms:modified xmlns:dcterms="http://purl.org/dc/terms/" xmlns:xsi="http://www.w3.org/2001/XMLSchema-instance" xsi:type="dcterms:W3CDTF">2026-08-21T23:30:53Z</dcterms:modified>
  <cp:lastModifiedBy>AI Chef Pro</cp:lastModifiedBy>
  <cp:category>AI Chef Pro · Productos digitales</cp:category>
  <cp:keywords>pastelería, obrador, checklist, tareas, AI Chef Pro</cp:keywords>
</cp:coreProperties>
</file>