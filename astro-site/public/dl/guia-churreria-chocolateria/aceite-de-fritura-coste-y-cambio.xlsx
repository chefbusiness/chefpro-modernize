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onsumo y Reposición" sheetId="3" state="visible" r:id="rId3"/>
    <sheet xmlns:r="http://schemas.openxmlformats.org/officeDocument/2006/relationships" name="Punto Económico de Cambio" sheetId="4" state="visible" r:id="rId4"/>
    <sheet xmlns:r="http://schemas.openxmlformats.org/officeDocument/2006/relationships" name="Escenarios de Precio del Aceite" sheetId="5" state="visible" r:id="rId5"/>
    <sheet xmlns:r="http://schemas.openxmlformats.org/officeDocument/2006/relationships" name="Gestor de Aceite Usado" sheetId="6" state="visible" r:id="rId6"/>
  </sheets>
  <definedNames/>
  <calcPr calcId="124519" fullCalcOnLoad="1"/>
</workbook>
</file>

<file path=xl/styles.xml><?xml version="1.0" encoding="utf-8"?>
<styleSheet xmlns="http://schemas.openxmlformats.org/spreadsheetml/2006/main">
  <numFmts count="5">
    <numFmt numFmtId="164" formatCode="#,##0.0000 €"/>
    <numFmt numFmtId="165" formatCode="0.0%"/>
    <numFmt numFmtId="166" formatCode="#,##0.0000"/>
    <numFmt numFmtId="167" formatCode="#,##0.0"/>
    <numFmt numFmtId="168" formatCode="#,##0.00 €"/>
  </numFmts>
  <fonts count="12">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b val="1"/>
      <color rgb="00FFFFFF"/>
      <sz val="9"/>
    </font>
    <font>
      <color rgb="00888888"/>
      <sz val="8"/>
    </font>
    <font>
      <b val="1"/>
      <sz val="9"/>
    </font>
    <font>
      <color theme="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47">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0" fontId="8" fillId="3" borderId="0" applyAlignment="1" pivotButton="0" quotePrefix="0" xfId="0">
      <alignment horizontal="center" vertical="center" wrapText="1"/>
    </xf>
    <xf numFmtId="164" fontId="0" fillId="2" borderId="0" applyProtection="1" pivotButton="0" quotePrefix="0" xfId="0">
      <protection locked="0" hidden="0"/>
    </xf>
    <xf numFmtId="0" fontId="9" fillId="0" borderId="0" applyAlignment="1" pivotButton="0" quotePrefix="0" xfId="0">
      <alignment horizontal="general" vertical="top" wrapText="1"/>
    </xf>
    <xf numFmtId="165" fontId="0" fillId="2" borderId="0" applyProtection="1" pivotButton="0" quotePrefix="0" xfId="0">
      <protection locked="0" hidden="0"/>
    </xf>
    <xf numFmtId="4" fontId="0" fillId="2" borderId="0" applyProtection="1" pivotButton="0" quotePrefix="0" xfId="0">
      <protection locked="0" hidden="0"/>
    </xf>
    <xf numFmtId="166" fontId="0" fillId="2" borderId="0" applyProtection="1" pivotButton="0" quotePrefix="0" xfId="0">
      <protection locked="0" hidden="0"/>
    </xf>
    <xf numFmtId="167" fontId="0" fillId="2" borderId="0" applyProtection="1" pivotButton="0" quotePrefix="0" xfId="0">
      <protection locked="0" hidden="0"/>
    </xf>
    <xf numFmtId="3" fontId="0" fillId="2" borderId="0" applyProtection="1" pivotButton="0" quotePrefix="0" xfId="0">
      <protection locked="0" hidden="0"/>
    </xf>
    <xf numFmtId="168" fontId="0" fillId="2" borderId="0" applyProtection="1" pivotButton="0" quotePrefix="0" xfId="0">
      <protection locked="0" hidden="0"/>
    </xf>
    <xf numFmtId="4" fontId="1" fillId="4" borderId="0" pivotButton="0" quotePrefix="0" xfId="0"/>
    <xf numFmtId="164" fontId="0" fillId="0" borderId="0" pivotButton="0" quotePrefix="0" xfId="0"/>
    <xf numFmtId="165" fontId="0" fillId="0" borderId="0" pivotButton="0" quotePrefix="0" xfId="0"/>
    <xf numFmtId="166" fontId="0" fillId="0" borderId="0" pivotButton="0" quotePrefix="0" xfId="0"/>
    <xf numFmtId="4" fontId="0" fillId="0" borderId="0" pivotButton="0" quotePrefix="0" xfId="0"/>
    <xf numFmtId="0" fontId="10" fillId="0" borderId="0" applyAlignment="1" pivotButton="0" quotePrefix="0" xfId="0">
      <alignment horizontal="general" vertical="top" wrapText="1"/>
    </xf>
    <xf numFmtId="0" fontId="1" fillId="0" borderId="0" applyAlignment="1" pivotButton="0" quotePrefix="0" xfId="0">
      <alignment vertical="top" wrapText="1"/>
    </xf>
    <xf numFmtId="0" fontId="11" fillId="0" borderId="0" pivotButton="0" quotePrefix="0" xfId="0"/>
    <xf numFmtId="167" fontId="11" fillId="0" borderId="0" pivotButton="0" quotePrefix="0" xfId="0"/>
    <xf numFmtId="164" fontId="1" fillId="4" borderId="0" pivotButton="0" quotePrefix="0" xfId="0"/>
    <xf numFmtId="3" fontId="11" fillId="0" borderId="0" pivotButton="0" quotePrefix="0" xfId="0"/>
    <xf numFmtId="4" fontId="11" fillId="0" borderId="0" pivotButton="0" quotePrefix="0" xfId="0"/>
    <xf numFmtId="164" fontId="11" fillId="0" borderId="0" pivotButton="0" quotePrefix="0" xfId="0"/>
    <xf numFmtId="168" fontId="11" fillId="0" borderId="0" pivotButton="0" quotePrefix="0" xfId="0"/>
    <xf numFmtId="0" fontId="1" fillId="0" borderId="0" pivotButton="0" quotePrefix="0" xfId="0"/>
    <xf numFmtId="168" fontId="1" fillId="4" borderId="0" pivotButton="0" quotePrefix="0" xfId="0"/>
    <xf numFmtId="0" fontId="11" fillId="0" borderId="0" applyAlignment="1" pivotButton="0" quotePrefix="0" xfId="0">
      <alignment horizontal="general" vertical="top" wrapText="1"/>
    </xf>
    <xf numFmtId="167" fontId="0" fillId="0" borderId="0" pivotButton="0" quotePrefix="0" xfId="0"/>
    <xf numFmtId="0" fontId="1" fillId="0" borderId="0" applyAlignment="1" pivotButton="0" quotePrefix="0" xfId="0">
      <alignment horizontal="general" vertical="top" wrapText="1"/>
    </xf>
    <xf numFmtId="168" fontId="0" fillId="0" borderId="0" pivotButton="0" quotePrefix="0" xfId="0"/>
    <xf numFmtId="167" fontId="1" fillId="4" borderId="0" pivotButton="0" quotePrefix="0" xfId="0"/>
    <xf numFmtId="165" fontId="11" fillId="0" borderId="0" pivotButton="0" quotePrefix="0" xfId="0"/>
    <xf numFmtId="166" fontId="11" fillId="0" borderId="0" pivotButton="0" quotePrefix="0" xfId="0"/>
    <xf numFmtId="0" fontId="4" fillId="0" borderId="0" applyAlignment="1" pivotButton="0" quotePrefix="0" xfId="0">
      <alignment horizontal="general" vertical="top" wrapText="1"/>
    </xf>
    <xf numFmtId="3" fontId="1" fillId="0" borderId="0" pivotButton="0" quotePrefix="0" xfId="0"/>
    <xf numFmtId="168" fontId="1" fillId="0" borderId="0" pivotButton="0" quotePrefix="0" xfId="0"/>
    <xf numFmtId="165" fontId="1" fillId="0" borderId="0" pivotButton="0" quotePrefix="0" xfId="0"/>
    <xf numFmtId="164" fontId="1" fillId="0" borderId="0" pivotButton="0" quotePrefix="0" xfId="0"/>
    <xf numFmtId="168" fontId="0" fillId="4" borderId="0"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AI Chef Pro</author>
  </authors>
  <commentList>
    <comment ref="A31" authorId="0" shapeId="0">
      <text>
        <t>Fuente: Registro del lector: Pack Plantillas APPCC, fichero 09-control-aceite-fritura.xlsx, hoja «Control Aceite» y Pack Plantillas APPCC, fichero 09-control-aceite-fritura.xlsx, hoja «Retirada de aceite usado»</t>
      </text>
    </comment>
    <comment ref="A35" authorId="0" shapeId="0">
      <text>
        <t>Verificado el 03-10-2026 · Reglamento (UE) 2017/2158 de la Comisión, de 20 de noviembre de 2017, por el que se establecen medidas de mitigación y niveles de referencia para reducir la presencia de acrilamida en los alimentos (DOUE L 304 de 21-11-2017, copia en boe.es/doue), art. 2.2-2.3 y anexo II parte A · https://www.boe.es/doue/2017/304/L00024-00044.pdf</t>
      </text>
    </comment>
  </commentList>
</comments>
</file>

<file path=xl/comments/comment2.xml><?xml version="1.0" encoding="utf-8"?>
<comments xmlns="http://schemas.openxmlformats.org/spreadsheetml/2006/main">
  <authors>
    <author>AI Chef Pro</author>
  </authors>
  <commentList>
    <comment ref="B7" authorId="0" shapeId="0">
      <text>
        <t>Fuente: CUS-23 · fiabilidad alta · https://www.churrofacil.com/tienda/es/accesorios-y-consumibles/82-aceite-girasol-profesional-25-litros-alto-rendimiento.html | Se copia del libro 3, donde vive la celda única del precio.</t>
      </text>
    </comment>
    <comment ref="B24" authorId="0" shapeId="0">
      <text>
        <t>Fuente: CUS-44h · fiabilidad alta · https://www.reseave.es/</t>
      </text>
    </comment>
    <comment ref="B25" authorId="0" shapeId="0">
      <text>
        <t>Verificado el 03-10-2026 · Orden de 26 de enero de 1989 por la que se aprueba la Norma de Calidad para los Aceites y Grasas Calentados (BOE-A-1989-2265), texto consolidado · «Última actualización publicada el 29/03/2013», art. 6.3 y anexo 1 · https://www.boe.es/buscar/act.php?id=BOE-A-1989-2265</t>
      </text>
    </comment>
  </commentList>
</comments>
</file>

<file path=xl/comments/comment3.xml><?xml version="1.0" encoding="utf-8"?>
<comments xmlns="http://schemas.openxmlformats.org/spreadsheetml/2006/main">
  <authors>
    <author>AI Chef Pro</author>
  </authors>
  <commentList>
    <comment ref="G18" authorId="0" shapeId="0">
      <text>
        <t>Verificado el 03-10-2026 · Orden de 26 de enero de 1989 por la que se aprueba la Norma de Calidad para los Aceites y Grasas Calentados (BOE-A-1989-2265), texto consolidado, art. 9 (vigente: los arts. 7, 8, 10, 11 y 12 los derogó el Real Decreto 176/2013, art. 46) · https://www.boe.es/buscar/act.php?id=BOE-A-1989-2265</t>
      </text>
    </comment>
    <comment ref="A42" authorId="0" shapeId="0">
      <text>
        <t>Verificado el 03-10-2026 · Orden de 26 de enero de 1989 por la que se aprueba la Norma de Calidad para los Aceites y Grasas Calentados (BOE-A-1989-2265), texto consolidado · «Última actualización publicada el 29/03/2013», art. 3 · https://www.boe.es/buscar/act.php?id=BOE-A-1989-2265</t>
      </text>
    </comment>
  </commentList>
</comments>
</file>

<file path=xl/comments/comment4.xml><?xml version="1.0" encoding="utf-8"?>
<comments xmlns="http://schemas.openxmlformats.org/spreadsheetml/2006/main">
  <authors>
    <author>AI Chef Pro</author>
  </authors>
  <commentList>
    <comment ref="A25" authorId="0" shapeId="0">
      <text>
        <t>Fuente: CUS-38 · fiabilidad alta · https://www.infoagro.com/instrumentos_medida/medidor_imprimir.asp?id=7558 | Medidor de compuestos polares de mano (el del ejemplo está en el libro 2).</t>
      </text>
    </comment>
  </commentList>
</comments>
</file>

<file path=xl/comments/comment5.xml><?xml version="1.0" encoding="utf-8"?>
<comments xmlns="http://schemas.openxmlformats.org/spreadsheetml/2006/main">
  <authors>
    <author>AI Chef Pro</author>
  </authors>
  <commentList>
    <comment ref="B8" authorId="0" shapeId="0">
      <text>
        <t>Fuente: Subidas: supuesto declarado de El Molinete. Pon las que temas.</t>
      </text>
    </comment>
  </commentList>
</comments>
</file>

<file path=xl/comments/comment6.xml><?xml version="1.0" encoding="utf-8"?>
<comments xmlns="http://schemas.openxmlformats.org/spreadsheetml/2006/main">
  <authors>
    <author>AI Chef Pro</author>
  </authors>
  <commentList>
    <comment ref="A19" authorId="0" shapeId="0">
      <text>
        <t>Verificado el 03-10-2026 · Ley 7/2022, de 8 de abril, de residuos y suelos contaminados para una economía circular (BOE-A-2022-5809), texto consolidado · «Última actualización publicada el 02/04/2025», arts. 2.a) y 25.3 · https://www.boe.es/buscar/act.php?id=BOE-A-2022-5809</t>
      </text>
    </comment>
    <comment ref="A20" authorId="0" shapeId="0">
      <text>
        <t>Fuente: Registro del lector: Pack Plantillas APPCC, fichero 09-control-aceite-fritura.xlsx, hoja «Retirada de aceite usado»</t>
      </text>
    </comment>
    <comment ref="A22" authorId="0" shapeId="0">
      <text>
        <t>Fuente: CUS-44h · fiabilidad alta · https://www.reseave.es/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A43"/>
  <sheetViews>
    <sheetView workbookViewId="0">
      <selection activeCell="A1" sqref="A1"/>
    </sheetView>
  </sheetViews>
  <sheetFormatPr baseColWidth="8" defaultRowHeight="15"/>
  <cols>
    <col width="100" customWidth="1" min="1" max="1"/>
  </cols>
  <sheetData>
    <row r="1">
      <c r="A1" s="1" t="inlineStr">
        <is>
          <t>Aceite de Fritura: Coste y Cambio</t>
        </is>
      </c>
    </row>
    <row r="2">
      <c r="A2" s="2" t="inlineStr">
        <is>
          <t>AI Chef Pro · aichef.pro — Cómo Montar una Churrería-Chocolatería</t>
        </is>
      </c>
    </row>
    <row r="3">
      <c r="A3" s="3" t="inlineStr">
        <is>
          <t>Para qué sirve: saber cuánto te cuesta el aceite por ración y al mes, cada cuántos días te sale a cuenta cambiar la cuba, qué te hace una subida del precio y cuánto aceite usado sale hacia el gestor.</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58" customHeight="1">
      <c r="A9" s="6" t="inlineStr">
        <is>
          <t>1. Hoja «Parámetros». Arriba, diez celdas verdes que copias a mano de los libros 3 y 1 (cada una dice de qué celda exacta). Debajo, tus datos del aceite: cada cuántos días cambias la cuba, cuánto repones al día y lo que te cobra el gestor. Al pie, primero el CONTRASTE (si tus copias son coherentes entre sí) y después el CUADRE: anota lo que publica hoy la celda de origen de cada cifra y, si lo que usas se separa, su fila se pone en rojo.</t>
        </is>
      </c>
    </row>
    <row r="10" ht="58" customHeight="1">
      <c r="A10" s="6" t="inlineStr">
        <is>
          <t>2. Hoja «Consumo y Reposición». Lo que tiras al cambiar la cuba (la renovación), lo que añades cada día para que no baje (la reposición) y lo que compras al mes. Aquí sale la renovación por ración que copia el libro 6, y la fila de contraste: aceite absorbido (libro 3) más renovación (este libro) igual a aceite total por ración.</t>
        </is>
      </c>
    </row>
    <row r="11" ht="58" customHeight="1">
      <c r="A11" s="6" t="inlineStr">
        <is>
          <t>3. Hoja «Punto Económico de Cambio». Cuánto cuesta cada ciclo de cambio, de 3 a 10 días (los días de la tabla se pueden cambiar), lo que te cuesta adelantar un día y lo que ahorras alargando uno. El límite no lo pone el dinero: lo pone el medidor.</t>
        </is>
      </c>
    </row>
    <row r="12" ht="58" customHeight="1">
      <c r="A12" s="6" t="inlineStr">
        <is>
          <t>4. Hoja «Escenarios de Precio del Aceite». Tres subidas del precio del aceite (sólo se teclea el porcentaje) y el margen que pierdes por ración, al mes y al año si no tocas el PVP.</t>
        </is>
      </c>
    </row>
    <row r="13" ht="58" customHeight="1">
      <c r="A13" s="6" t="inlineStr">
        <is>
          <t>5. Hoja «Gestor de Aceite Usado». Los litros que se lleva el gestor al mes y al año, lo que cuesta, el contraste con tu registro de retiradas y los papeles que tienes que guardar.</t>
        </is>
      </c>
    </row>
    <row r="14"/>
    <row r="15">
      <c r="A15" s="4" t="inlineStr">
        <is>
          <t>Orden de Relleno y Cifras que Viajan</t>
        </is>
      </c>
    </row>
    <row r="16" ht="58" customHeight="1">
      <c r="A16"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4: rellénalo DESPUÉS del 3 y del 1, que le pasan sus cifras, y ANTES del 6, que copia la renovación por ración.</t>
        </is>
      </c>
    </row>
    <row r="17" ht="58" customHeight="1">
      <c r="A17" s="6" t="inlineStr">
        <is>
          <t>Ningún libro se vincula con otro por fórmula. Lo que viene de otro libro tiene en «Parámetros» una celda verde para copiarlo a mano, con la celda exacta de origen, y una fila de CUADRE que avisa si se ha quedado vieja frente a las demás. Lo que este libro pasa a otro está en el bloque «Lo que Copian Otros Libros» (rótulo en la columna K, valor en la L).</t>
        </is>
      </c>
    </row>
    <row r="18" ht="28" customHeight="1">
      <c r="A18" s="7" t="inlineStr">
        <is>
          <t>Parámetros!B7 - Precio del aceite (base imponible). Viene del libro 3: carta-de-apertura-y-escandallo-churro.xlsx!Parámetros!L5.</t>
        </is>
      </c>
    </row>
    <row r="19" ht="28" customHeight="1">
      <c r="A19" s="7" t="inlineStr">
        <is>
          <t>Parámetros!B8 - Absorción de aceite, en % del peso frito. Viene del libro 3: carta-de-apertura-y-escandallo-churro.xlsx!Parámetros!L6.</t>
        </is>
      </c>
    </row>
    <row r="20" ht="28" customHeight="1">
      <c r="A20" s="7" t="inlineStr">
        <is>
          <t>Parámetros!B9 - Densidad del aceite. Viene del libro 3: carta-de-apertura-y-escandallo-churro.xlsx!Parámetros!L7.</t>
        </is>
      </c>
    </row>
    <row r="21" ht="28" customHeight="1">
      <c r="A21" s="7" t="inlineStr">
        <is>
          <t>Parámetros!B10 - kg de masa por ración media. Viene del libro 3: carta-de-apertura-y-escandallo-churro.xlsx!Mix y Ticket Canal y Temporada!L5.</t>
        </is>
      </c>
    </row>
    <row r="22" ht="28" customHeight="1">
      <c r="A22" s="7" t="inlineStr">
        <is>
          <t>Parámetros!B11 - Aceite absorbido por ración (mix de invierno). Viene del libro 3: carta-de-apertura-y-escandallo-churro.xlsx!Absorción de Aceite y Merma!L5.</t>
        </is>
      </c>
    </row>
    <row r="23" ht="28" customHeight="1">
      <c r="A23" s="7" t="inlineStr">
        <is>
          <t>Parámetros!B14 - kg fritos en un día tipo. Viene del libro 1: produccion-hora-punta-y-local.xlsx!Día Tipo y Día Punta!L5.</t>
        </is>
      </c>
    </row>
    <row r="24" ht="28" customHeight="1">
      <c r="A24" s="7" t="inlineStr">
        <is>
          <t>Parámetros!B15 - kg fritos en un día punta. Viene del libro 1: produccion-hora-punta-y-local.xlsx!Día Tipo y Día Punta!L6.</t>
        </is>
      </c>
    </row>
    <row r="25" ht="28" customHeight="1">
      <c r="A25" s="7" t="inlineStr">
        <is>
          <t>Parámetros!B16 - Litros totales de cuba. Viene del libro 1: produccion-hora-punta-y-local.xlsx!Freidoras, Potencia y Riesgo!L5.</t>
        </is>
      </c>
    </row>
    <row r="26" ht="28" customHeight="1">
      <c r="A26" s="7" t="inlineStr">
        <is>
          <t>Parámetros!B17 - Raciones del día tipo. Viene del libro 1: produccion-hora-punta-y-local.xlsx!Día Tipo y Día Punta!L7.</t>
        </is>
      </c>
    </row>
    <row r="27" ht="28" customHeight="1">
      <c r="A27" s="7" t="inlineStr">
        <is>
          <t>Parámetros!B18 - Raciones del día punta. Viene del libro 1: produccion-hora-punta-y-local.xlsx!Día Tipo y Día Punta!L8.</t>
        </is>
      </c>
    </row>
    <row r="28" ht="28" customHeight="1">
      <c r="A28" s="7" t="inlineStr">
        <is>
          <t>Consumo y Reposición!L5 - Renovación de aceite por ración. Lo copia: libro 6 (plan-financiero-3-anos-churreria.xlsx, X12).</t>
        </is>
      </c>
    </row>
    <row r="29"/>
    <row r="30">
      <c r="A30" s="4" t="inlineStr">
        <is>
          <t>Lo que Conviene Saber Antes de Empezar</t>
        </is>
      </c>
    </row>
    <row r="31" ht="72" customHeight="1">
      <c r="A31" s="6" t="inlineStr">
        <is>
          <t>ESTE LIBRO NO ES UN REGISTRO APPCC. El registro del aceite (lecturas del medidor, cambios y retiradas) es el del Pack APPCC, fichero 09-control-aceite-fritura.xlsx: aquí se cita, no se copia. Si lo tienes, los días entre cambios salen de contar los días entre dos filas con «cambio de aceite» en su hoja «Control Aceite», y los litros que se llevó el gestor, de su hoja «Retirada de aceite usado».</t>
        </is>
      </c>
    </row>
    <row r="32" ht="72" customHeight="1">
      <c r="A32" s="6" t="inlineStr">
        <is>
          <t>DOS ACEITES DISTINTOS POR RACIÓN. El que se lleva la masa (aceite absorbido) ya está en el coste de materia del libro 3. El que tiras al cambiar la cuba (renovación) lo calcula este libro. El plan financiero del libro 6 suma los dos, cada uno con su fuente: si metieras la renovación también en el libro 3, la contarías dos veces.</t>
        </is>
      </c>
    </row>
    <row r="33" ht="72" customHeight="1">
      <c r="A33" s="6" t="inlineStr">
        <is>
          <t>NO COMPARA MARCAS NI TIPOS DE ACEITE. Trabaja con TU aceite, TU precio y TU ciclo de cambio. Lo que dure tu aceite lo dicen tu medidor y tu registro, no una ficha comercial.</t>
        </is>
      </c>
    </row>
    <row r="34" ht="72" customHeight="1">
      <c r="A34" s="6" t="inlineStr">
        <is>
          <t>EL MEDIDOR DE MANO TE DICE CUÁNDO CAMBIAR; EL 25 % LEGAL SE PRUEBA EN LABORATORIO. La norma fija los compuestos polares por debajo del 25 %, medidos con el método de su anexo 1 (cromatografía en columna). El medidor es una ayuda para decidir, no la prueba.</t>
        </is>
      </c>
    </row>
    <row r="35" ht="72" customHeight="1">
      <c r="A35" s="6" t="inlineStr">
        <is>
          <t>SIN TEMPERATURA DE FRITURA DEL CHURRO. No hay una fuente primaria que la fije y este paquete no da ninguna. Si además fríes patatas frescas, te toca la parte A del reglamento de la acrilamida (su temperatura máxima de fritura es para las PATATAS, no para el churro): mira la nota de esta celda y la hoja de alérgenos y acrilamida del libro 7.</t>
        </is>
      </c>
    </row>
    <row r="36" ht="72" customHeight="1">
      <c r="A36" s="6" t="inlineStr">
        <is>
          <t>LOS SUPUESTOS NO SON DATOS DEL SECTOR. Los días entre cambios, la reposición diaria, la tolerancia de los cuadres y los días de la tabla de ciclos son supuestos declarados de El Molinete, sin fuente pública. Pon los tuyos.</t>
        </is>
      </c>
    </row>
    <row r="37"/>
    <row r="38" ht="58" customHeight="1">
      <c r="A38" s="6" t="inlineStr">
        <is>
          <t>Cada cuánto se usa este libro: los días entre cambios y la reposición, al mes de abrir con tu registro y cada vez que cambies de aceite o de freidora. El precio, cada vez que te suba el proveedor (lo cambias en el libro 3 y lo copias aquí). Si cambia la renovación por ración del bloque «Lo que Copian Otros Libros», cópiala de nuevo en el libro 6.</t>
        </is>
      </c>
    </row>
    <row r="39"/>
    <row r="40">
      <c r="A40" s="6" t="inlineStr">
        <is>
          <t>Para editar la estructura o una celda que no esté en verde: Revisar &gt; Desproteger hoja (no tiene contraseña).</t>
        </is>
      </c>
    </row>
    <row r="41"/>
    <row r="42">
      <c r="A42" s="6" t="inlineStr">
        <is>
          <t>Diseñado por John Guerrero — chef y consultor gastronómico desde 2010, en cocina desde los 17 años.</t>
        </is>
      </c>
    </row>
    <row r="43">
      <c r="A43"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E64"/>
  <sheetViews>
    <sheetView workbookViewId="0">
      <pane ySplit="5" topLeftCell="A6" activePane="bottomLeft" state="frozen"/>
      <selection pane="bottomLeft" activeCell="A1" sqref="A1"/>
    </sheetView>
  </sheetViews>
  <sheetFormatPr baseColWidth="8" defaultRowHeight="15"/>
  <cols>
    <col width="54" customWidth="1" min="1" max="1"/>
    <col width="16" customWidth="1" min="2" max="2"/>
    <col width="15" customWidth="1" min="3" max="3"/>
    <col width="46" customWidth="1" min="4" max="4"/>
    <col width="66" customWidth="1" min="5" max="5"/>
  </cols>
  <sheetData>
    <row r="1">
      <c r="A1" s="1" t="inlineStr">
        <is>
          <t>Parámetros</t>
        </is>
      </c>
    </row>
    <row r="2">
      <c r="A2" s="2" t="inlineStr">
        <is>
          <t>AI Chef Pro · aichef.pro — Cómo Montar una Churrería-Chocolatería</t>
        </is>
      </c>
    </row>
    <row r="3">
      <c r="A3" s="3" t="inlineStr">
        <is>
          <t>Todo lo que el resto de hojas da por sabido vive aquí. Ninguna fórmula de este libro lleva dentro un precio, un umbral ni un número de días.</t>
        </is>
      </c>
    </row>
    <row r="4"/>
    <row r="5" ht="24" customHeight="1">
      <c r="A5" s="9" t="inlineStr">
        <is>
          <t>Parámetro</t>
        </is>
      </c>
      <c r="B5" s="9" t="inlineStr">
        <is>
          <t>Valor</t>
        </is>
      </c>
      <c r="C5" s="9" t="inlineStr">
        <is>
          <t>Unidad</t>
        </is>
      </c>
      <c r="D5" s="9" t="inlineStr">
        <is>
          <t>De dónde sale</t>
        </is>
      </c>
      <c r="E5" s="9" t="inlineStr">
        <is>
          <t>Nota</t>
        </is>
      </c>
    </row>
    <row r="6">
      <c r="A6" s="4" t="inlineStr">
        <is>
          <t>Lo que Copias del Libro 3 (Carta y Escandallo)</t>
        </is>
      </c>
    </row>
    <row r="7" ht="44" customHeight="1">
      <c r="A7" s="6" t="inlineStr">
        <is>
          <t>Precio del aceite (base imponible)</t>
        </is>
      </c>
      <c r="B7" s="10" t="n">
        <v>1.996</v>
      </c>
      <c r="C7" t="inlineStr">
        <is>
          <t>EUR/L</t>
        </is>
      </c>
      <c r="D7" s="11" t="inlineStr">
        <is>
          <t>cópialo del libro 3: carta-de-apertura-y-escandallo-churro.xlsx!Parámetros!L5</t>
        </is>
      </c>
      <c r="E7" s="11" t="inlineStr">
        <is>
          <t>El precio del aceite vive en UNA celda de todo el paquete, en el libro 3. Aquí se copia; no se vuelve a pedir.</t>
        </is>
      </c>
    </row>
    <row r="8" ht="44" customHeight="1">
      <c r="A8" s="6" t="inlineStr">
        <is>
          <t>Absorción de aceite, en % del peso frito</t>
        </is>
      </c>
      <c r="B8" s="12" t="n">
        <v>0.1</v>
      </c>
      <c r="C8" t="inlineStr">
        <is>
          <t>del peso frito</t>
        </is>
      </c>
      <c r="D8" s="11" t="inlineStr">
        <is>
          <t>cópialo del libro 3: carta-de-apertura-y-escandallo-churro.xlsx!Parámetros!L6</t>
        </is>
      </c>
      <c r="E8" s="11" t="inlineStr">
        <is>
          <t>Supuesto de El Molinete en el libro 3, sin fuente pública: copia el tuyo.</t>
        </is>
      </c>
    </row>
    <row r="9" ht="44" customHeight="1">
      <c r="A9" s="6" t="inlineStr">
        <is>
          <t>Densidad del aceite</t>
        </is>
      </c>
      <c r="B9" s="13" t="n">
        <v>0.92</v>
      </c>
      <c r="C9" t="inlineStr">
        <is>
          <t>kg/L</t>
        </is>
      </c>
      <c r="D9" s="11" t="inlineStr">
        <is>
          <t>cópialo del libro 3: carta-de-apertura-y-escandallo-churro.xlsx!Parámetros!L7</t>
        </is>
      </c>
      <c r="E9" s="11" t="inlineStr">
        <is>
          <t>Supuesto de El Molinete en el libro 3: hace falta porque la absorción va en peso y el aceite se compra por litros.</t>
        </is>
      </c>
    </row>
    <row r="10" ht="44" customHeight="1">
      <c r="A10" s="6" t="inlineStr">
        <is>
          <t>Kilos de masa por ración media (merma incluida)</t>
        </is>
      </c>
      <c r="B10" s="14" t="n">
        <v>0.09791812865497077</v>
      </c>
      <c r="C10" t="inlineStr">
        <is>
          <t>kg/ración</t>
        </is>
      </c>
      <c r="D10" s="11" t="inlineStr">
        <is>
          <t>cópialo del libro 3: carta-de-apertura-y-escandallo-churro.xlsx!Mix y Ticket Canal y Temporada!L5</t>
        </is>
      </c>
      <c r="E10" s="11" t="inlineStr">
        <is>
          <t>Con la merma: es la masa que se fríe por cada ración media de la carta.</t>
        </is>
      </c>
    </row>
    <row r="11" ht="44" customHeight="1">
      <c r="A11" s="6" t="inlineStr">
        <is>
          <t>Aceite absorbido por ración media</t>
        </is>
      </c>
      <c r="B11" s="10" t="n">
        <v>0.01911957894736842</v>
      </c>
      <c r="C11" t="inlineStr">
        <is>
          <t>EUR/ración</t>
        </is>
      </c>
      <c r="D11" s="11" t="inlineStr">
        <is>
          <t>cópialo del libro 3: carta-de-apertura-y-escandallo-churro.xlsx!Absorción de Aceite y Merma!L5</t>
        </is>
      </c>
      <c r="E11" s="11" t="inlineStr">
        <is>
          <t>Lo que se lleva la masa. Ya está dentro del coste de materia del libro 3; aquí sirve para el contraste con la renovación.</t>
        </is>
      </c>
    </row>
    <row r="12"/>
    <row r="13">
      <c r="A13" s="4" t="inlineStr">
        <is>
          <t>Lo que Copias del Libro 1 (Producción y Local)</t>
        </is>
      </c>
    </row>
    <row r="14" ht="44" customHeight="1">
      <c r="A14" s="6" t="inlineStr">
        <is>
          <t>Kilos fritos en un día tipo</t>
        </is>
      </c>
      <c r="B14" s="15" t="n">
        <v>22.03157894736842</v>
      </c>
      <c r="C14" t="inlineStr">
        <is>
          <t>kg/día</t>
        </is>
      </c>
      <c r="D14" s="11" t="inlineStr">
        <is>
          <t>cópialo del libro 1: produccion-hora-punta-y-local.xlsx!Día Tipo y Día Punta!L5</t>
        </is>
      </c>
      <c r="E14" s="11" t="inlineStr">
        <is>
          <t>Lo que sale de la freidora un día de lunes a viernes.</t>
        </is>
      </c>
    </row>
    <row r="15" ht="44" customHeight="1">
      <c r="A15" s="6" t="inlineStr">
        <is>
          <t>Kilos fritos en un día punta</t>
        </is>
      </c>
      <c r="B15" s="15" t="n">
        <v>35.25052631578948</v>
      </c>
      <c r="C15" t="inlineStr">
        <is>
          <t>kg/día</t>
        </is>
      </c>
      <c r="D15" s="11" t="inlineStr">
        <is>
          <t>cópialo del libro 1: produccion-hora-punta-y-local.xlsx!Día Tipo y Día Punta!L6</t>
        </is>
      </c>
      <c r="E15" s="11" t="inlineStr">
        <is>
          <t>Lo que sale de la freidora un sábado, domingo o festivo.</t>
        </is>
      </c>
    </row>
    <row r="16" ht="44" customHeight="1">
      <c r="A16" s="6" t="inlineStr">
        <is>
          <t>Litros totales de cuba (todas las freidoras)</t>
        </is>
      </c>
      <c r="B16" s="15" t="n">
        <v>25</v>
      </c>
      <c r="C16" t="inlineStr">
        <is>
          <t>L</t>
        </is>
      </c>
      <c r="D16" s="11" t="inlineStr">
        <is>
          <t>cópialo del libro 1: produccion-hora-punta-y-local.xlsx!Freidoras, Potencia y Riesgo!L5</t>
        </is>
      </c>
      <c r="E16" s="11" t="inlineStr">
        <is>
          <t>Si tienes dos freidoras, la suma de las dos cubas: es lo que tiras en cada cambio.</t>
        </is>
      </c>
    </row>
    <row r="17" ht="44" customHeight="1">
      <c r="A17" s="6" t="inlineStr">
        <is>
          <t>Raciones de un día tipo (lunes a viernes)</t>
        </is>
      </c>
      <c r="B17" s="16" t="n">
        <v>250</v>
      </c>
      <c r="C17" t="inlineStr">
        <is>
          <t>raciones</t>
        </is>
      </c>
      <c r="D17" s="11" t="inlineStr">
        <is>
          <t>cópialo del libro 1: produccion-hora-punta-y-local.xlsx!Día Tipo y Día Punta!L7</t>
        </is>
      </c>
      <c r="E17" s="11" t="inlineStr">
        <is>
          <t>La demanda base nace en el libro 1.</t>
        </is>
      </c>
    </row>
    <row r="18" ht="44" customHeight="1">
      <c r="A18" s="6" t="inlineStr">
        <is>
          <t>Raciones de un día punta (sábado, domingo y festivo)</t>
        </is>
      </c>
      <c r="B18" s="16" t="n">
        <v>400</v>
      </c>
      <c r="C18" t="inlineStr">
        <is>
          <t>raciones</t>
        </is>
      </c>
      <c r="D18" s="11" t="inlineStr">
        <is>
          <t>cópialo del libro 1: produccion-hora-punta-y-local.xlsx!Día Tipo y Día Punta!L8</t>
        </is>
      </c>
      <c r="E18" s="11" t="inlineStr">
        <is>
          <t>La demanda base nace en el libro 1.</t>
        </is>
      </c>
    </row>
    <row r="19"/>
    <row r="20">
      <c r="A20" s="4" t="inlineStr">
        <is>
          <t>Tus Datos del Aceite</t>
        </is>
      </c>
    </row>
    <row r="21" ht="44" customHeight="1">
      <c r="A21" s="6" t="inlineStr">
        <is>
          <t>Días entre cambios de aceite (cada cuántos días vacías la cuba)</t>
        </is>
      </c>
      <c r="B21" s="16" t="n">
        <v>6</v>
      </c>
      <c r="C21" t="inlineStr">
        <is>
          <t>días</t>
        </is>
      </c>
      <c r="D21" s="11" t="inlineStr">
        <is>
          <t>supuesto declarado de El Molinete</t>
        </is>
      </c>
      <c r="E21" s="11" t="inlineStr">
        <is>
          <t>Supuesto declarado de El Molinete. Si tienes el Pack APPCC, usa tu registro: cuenta los días entre dos filas con «cambio de aceite» en su hoja «Control Aceite» (09-control-aceite-fritura.xlsx).</t>
        </is>
      </c>
    </row>
    <row r="22" ht="44" customHeight="1">
      <c r="A22" s="6" t="inlineStr">
        <is>
          <t>Aceite que repones en un día tipo</t>
        </is>
      </c>
      <c r="B22" s="13" t="n">
        <v>2.39</v>
      </c>
      <c r="C22" t="inlineStr">
        <is>
          <t>L/día</t>
        </is>
      </c>
      <c r="D22" s="11" t="inlineStr">
        <is>
          <t>supuesto declarado de El Molinete (calculado con su absorción)</t>
        </is>
      </c>
      <c r="E22" s="11" t="inlineStr">
        <is>
          <t>El aceite nuevo que añades para que la cuba no baje. Mídelo una semana: los litros que entran en la freidora sin contar los cambios. La hoja «Consumo y Reposición» lo contrasta con la absorción del libro 3.</t>
        </is>
      </c>
    </row>
    <row r="23" ht="44" customHeight="1">
      <c r="A23" s="6" t="inlineStr">
        <is>
          <t>Aceite que repones en un día punta</t>
        </is>
      </c>
      <c r="B23" s="13" t="n">
        <v>3.83</v>
      </c>
      <c r="C23" t="inlineStr">
        <is>
          <t>L/día</t>
        </is>
      </c>
      <c r="D23" s="11" t="inlineStr">
        <is>
          <t>supuesto declarado de El Molinete (calculado con su absorción)</t>
        </is>
      </c>
      <c r="E23" s="11" t="inlineStr">
        <is>
          <t>Lo mismo un sábado, domingo o festivo.</t>
        </is>
      </c>
    </row>
    <row r="24" ht="44" customHeight="1">
      <c r="A24" s="6" t="inlineStr">
        <is>
          <t>Lo que te cobra el gestor de aceite usado al mes (base imponible)</t>
        </is>
      </c>
      <c r="B24" s="17" t="n">
        <v>0</v>
      </c>
      <c r="C24" t="inlineStr">
        <is>
          <t>EUR/mes</t>
        </is>
      </c>
      <c r="D24" s="11" t="inlineStr">
        <is>
          <t>supuesto declarado de El Molinete + CUS-44h</t>
        </is>
      </c>
      <c r="E24" s="11" t="inlineStr">
        <is>
          <t>En el ejemplo el gestor recoge a cambio de obsequios, servicios gratuitos o valoración económica: la recogida no cuesta. Si el tuyo cobra, pon aquí su importe sin IVA.</t>
        </is>
      </c>
    </row>
    <row r="25" ht="44" customHeight="1">
      <c r="A25" s="6" t="inlineStr">
        <is>
          <t>Compuestos polares: el aceite tiene que estar por debajo de</t>
        </is>
      </c>
      <c r="B25" s="12" t="n">
        <v>0.25</v>
      </c>
      <c r="C25" t="inlineStr">
        <is>
          <t>del aceite</t>
        </is>
      </c>
      <c r="D25" s="11" t="inlineStr">
        <is>
          <t>CUN-02</t>
        </is>
      </c>
      <c r="E25" s="11" t="inlineStr">
        <is>
          <t>Límite legal, medido con el método del anexo 1 de la norma (cromatografía en columna, en laboratorio). El medidor de mano te dice cuándo cambiar; el 25 % legal se prueba en laboratorio.</t>
        </is>
      </c>
    </row>
    <row r="26" ht="44" customHeight="1">
      <c r="A26" s="6" t="inlineStr">
        <is>
          <t>Litros que retiró tu gestor el último mes (de tu registro)</t>
        </is>
      </c>
      <c r="B26" s="15" t="n">
        <v>126.7</v>
      </c>
      <c r="C26" t="inlineStr">
        <is>
          <t>L/mes</t>
        </is>
      </c>
      <c r="D26" s="11" t="inlineStr">
        <is>
          <t>supuesto declarado de El Molinete (lo que calcula este libro)</t>
        </is>
      </c>
      <c r="E26" s="11" t="inlineStr">
        <is>
          <t>Anótalo de la hoja «Retirada de aceite usado» del Pack APPCC 09. La hoja «Gestor de Aceite Usado» lo contrasta con lo que renuevas.</t>
        </is>
      </c>
    </row>
    <row r="27"/>
    <row r="28">
      <c r="A28" s="4" t="inlineStr">
        <is>
          <t>Calendario y Tolerancia</t>
        </is>
      </c>
    </row>
    <row r="29" ht="44" customHeight="1">
      <c r="A29" s="6" t="inlineStr">
        <is>
          <t>Días tipo a la semana</t>
        </is>
      </c>
      <c r="B29" s="16" t="n">
        <v>5</v>
      </c>
      <c r="C29" t="inlineStr">
        <is>
          <t>días</t>
        </is>
      </c>
      <c r="D29" s="11" t="inlineStr">
        <is>
          <t>supuesto declarado de El Molinete (horario: de lunes a viernes)</t>
        </is>
      </c>
      <c r="E29" s="11" t="inlineStr">
        <is>
          <t>Los días con las raciones del día tipo. Pesan en la ración media de la semana.</t>
        </is>
      </c>
    </row>
    <row r="30" ht="44" customHeight="1">
      <c r="A30" s="6" t="inlineStr">
        <is>
          <t>Días punta a la semana</t>
        </is>
      </c>
      <c r="B30" s="16" t="n">
        <v>2</v>
      </c>
      <c r="C30" t="inlineStr">
        <is>
          <t>días</t>
        </is>
      </c>
      <c r="D30" s="11" t="inlineStr">
        <is>
          <t>supuesto declarado de El Molinete (horario: sábado y domingo)</t>
        </is>
      </c>
      <c r="E30" s="11" t="inlineStr">
        <is>
          <t>Los días con las raciones del día punta. Si cierras un día, réstalo de su grupo.</t>
        </is>
      </c>
    </row>
    <row r="31" ht="44" customHeight="1">
      <c r="A31" s="6" t="inlineStr">
        <is>
          <t>Días naturales del año</t>
        </is>
      </c>
      <c r="B31" s="16" t="n">
        <v>365</v>
      </c>
      <c r="C31" t="inlineStr">
        <is>
          <t>días</t>
        </is>
      </c>
      <c r="D31" s="11" t="inlineStr">
        <is>
          <t>calendario</t>
        </is>
      </c>
      <c r="E31" s="11" t="inlineStr">
        <is>
          <t>Los cambios de aceite se cuentan en días de calendario, como en el registro, que va por fechas.</t>
        </is>
      </c>
    </row>
    <row r="32" ht="44" customHeight="1">
      <c r="A32" s="6" t="inlineStr">
        <is>
          <t>Días naturales por mes (media)</t>
        </is>
      </c>
      <c r="B32" s="18">
        <f>IFERROR('Parámetros'!$B$31/12,"")</f>
        <v>30.416666666666668</v>
      </c>
      <c r="C32" t="inlineStr">
        <is>
          <t>días</t>
        </is>
      </c>
      <c r="D32" s="11" t="inlineStr">
        <is>
          <t>calculado</t>
        </is>
      </c>
      <c r="E32" s="11" t="inlineStr">
        <is>
          <t>Días del año entre los doce meses.</t>
        </is>
      </c>
    </row>
    <row r="33" ht="44" customHeight="1">
      <c r="A33" s="6" t="inlineStr">
        <is>
          <t>Tolerancia de los contrastes</t>
        </is>
      </c>
      <c r="B33" s="12" t="n">
        <v>0.05</v>
      </c>
      <c r="C33" t="inlineStr"/>
      <c r="D33" s="11" t="inlineStr">
        <is>
          <t>supuesto declarado de este libro</t>
        </is>
      </c>
      <c r="E33" s="11" t="inlineStr">
        <is>
          <t>Cuánto pueden separarse dos cifras que deberían coincidir (lo que repones frente a lo que dice la absorción, las proporciones punta/tipo) antes de que la hoja avise.</t>
        </is>
      </c>
    </row>
    <row r="34" ht="44" customHeight="1">
      <c r="A34" s="6" t="inlineStr">
        <is>
          <t>Tolerancia de las filas de CUADRE</t>
        </is>
      </c>
      <c r="B34" s="12" t="n">
        <v>0.02</v>
      </c>
      <c r="C34" t="inlineStr"/>
      <c r="D34" s="11" t="inlineStr">
        <is>
          <t>heredado de la Guía de la Chocolatería (tolerancia de las filas de CUADRE)</t>
        </is>
      </c>
      <c r="E34" s="11" t="inlineStr">
        <is>
          <t>Por encima de esta desviación, la fila de CUADRE avisa de que lo que has copiado no es lo que publica el libro de origen.</t>
        </is>
      </c>
    </row>
    <row r="35"/>
    <row r="36">
      <c r="A36" s="4" t="inlineStr">
        <is>
          <t>Contraste entre tus Copias</t>
        </is>
      </c>
    </row>
    <row r="37" ht="30" customHeight="1">
      <c r="A37" s="7" t="inlineStr">
        <is>
          <t>Aceite absorbido por ración, recalculado con tus copias (kg fritos del día tipo / raciones del día tipo x absorción / densidad x precio)</t>
        </is>
      </c>
      <c r="B37" s="19">
        <f>IFERROR('Parámetros'!$B$14/'Parámetros'!$B$17*'Parámetros'!$B$8/'Parámetros'!$B$9*'Parámetros'!$B$7,"")</f>
        <v>0.01911957894736842</v>
      </c>
      <c r="C37" t="inlineStr">
        <is>
          <t>EUR/ración</t>
        </is>
      </c>
      <c r="D37" s="11" t="inlineStr">
        <is>
          <t>Con las cifras de El Molinete coinciden al céntimo: salen de los mismos supuestos. Si una se ha copiado de una versión vieja, se separan.</t>
        </is>
      </c>
    </row>
    <row r="38" ht="30" customHeight="1">
      <c r="A38" s="7" t="inlineStr">
        <is>
          <t>Separación entre el aceite absorbido copiado y el recalculado</t>
        </is>
      </c>
      <c r="B38" s="20">
        <f>IFERROR(ABS(B37/'Parámetros'!$B$11-1),"")</f>
        <v>0.0</v>
      </c>
      <c r="C38" t="inlineStr"/>
    </row>
    <row r="39" ht="30" customHeight="1">
      <c r="A39" s="7" t="inlineStr">
        <is>
          <t>Kilos fritos del día punta entre los del día tipo</t>
        </is>
      </c>
      <c r="B39" s="21">
        <f>IFERROR('Parámetros'!$B$15/'Parámetros'!$B$14,"")</f>
        <v>1.6000000000000003</v>
      </c>
      <c r="C39" t="inlineStr">
        <is>
          <t>veces</t>
        </is>
      </c>
    </row>
    <row r="40" ht="30" customHeight="1">
      <c r="A40" s="7" t="inlineStr">
        <is>
          <t>Raciones del día punta entre las del día tipo</t>
        </is>
      </c>
      <c r="B40" s="21">
        <f>IFERROR('Parámetros'!$B$18/'Parámetros'!$B$17,"")</f>
        <v>1.6</v>
      </c>
      <c r="C40" t="inlineStr">
        <is>
          <t>veces</t>
        </is>
      </c>
    </row>
    <row r="41" ht="30" customHeight="1">
      <c r="A41" s="7" t="inlineStr">
        <is>
          <t>Separación entre las dos proporciones</t>
        </is>
      </c>
      <c r="B41" s="20">
        <f>IFERROR(ABS(B39/B40-1),"")</f>
        <v>2.220446049250313e-16</v>
      </c>
      <c r="C41" t="inlineStr"/>
    </row>
    <row r="42" ht="30" customHeight="1">
      <c r="A42" s="7" t="inlineStr">
        <is>
          <t>Kilos fritos por kilo de masa que implican tus copias</t>
        </is>
      </c>
      <c r="B42" s="21">
        <f>IFERROR('Parámetros'!$B$14/('Parámetros'!$B$17*'Parámetros'!$B$10),"")</f>
        <v>0.8999999999999998</v>
      </c>
      <c r="C42" t="inlineStr">
        <is>
          <t>kg/kg</t>
        </is>
      </c>
    </row>
    <row r="43" ht="30" customHeight="1">
      <c r="A43" s="7" t="inlineStr">
        <is>
          <t>Máximo físico con tu absorción: 1 / (1 - absorción)</t>
        </is>
      </c>
      <c r="B43" s="21">
        <f>IFERROR(1/(1-'Parámetros'!$B$8),"")</f>
        <v>1.1111111111111112</v>
      </c>
      <c r="C43" t="inlineStr">
        <is>
          <t>kg/kg</t>
        </is>
      </c>
      <c r="D43" s="11" t="inlineStr">
        <is>
          <t>La pieza frita pierde agua y gana aceite: por cada kilo de masa no puede salir más de esto.</t>
        </is>
      </c>
    </row>
    <row r="44" ht="30" customHeight="1">
      <c r="A44" s="7" t="inlineStr">
        <is>
          <t>Litros que repondrías en un día punta según tu absorción</t>
        </is>
      </c>
      <c r="B44" s="22">
        <f>IFERROR('Parámetros'!$B$15*'Parámetros'!$B$8/'Parámetros'!$B$9,"")</f>
        <v>3.8315789473684214</v>
      </c>
      <c r="C44" t="inlineStr">
        <is>
          <t>L/día</t>
        </is>
      </c>
    </row>
    <row r="45" ht="24" customHeight="1">
      <c r="A45" s="9" t="inlineStr">
        <is>
          <t>Contraste</t>
        </is>
      </c>
      <c r="B45" s="9" t="inlineStr">
        <is>
          <t>Veredicto</t>
        </is>
      </c>
      <c r="C45" s="9" t="inlineStr">
        <is>
          <t>Celdas que compara</t>
        </is>
      </c>
      <c r="D45" s="9" t="inlineStr">
        <is>
          <t>Qué compara</t>
        </is>
      </c>
      <c r="E45" s="9" t="inlineStr">
        <is>
          <t>Si no es coherente</t>
        </is>
      </c>
    </row>
    <row r="46" ht="48" customHeight="1">
      <c r="A46" s="23" t="inlineStr">
        <is>
          <t>Contraste A · aceite absorbido por ración</t>
        </is>
      </c>
      <c r="B46" s="24" t="str">
        <f>IF(AND(ISNUMBER(B38)),IF(B38&gt;'Parámetros'!$B$33,"INCOHERENTE: el aceite absorbido, el precio, la absorción, la densidad, los kilos fritos y las raciones del día tipo no salen de la misma versión de los libros 3 y 1; vuelve a copiarlos","COHERENTE"),"")</f>
        <v>COHERENTE</v>
      </c>
      <c r="C46" t="inlineStr">
        <is>
          <t>B11, B7, B8, B9, B14, B17</t>
        </is>
      </c>
      <c r="D46" s="11" t="inlineStr">
        <is>
          <t>Aceite absorbido copiado del libro 3 frente al que sale de recalcularlo con las demás cifras copiadas (filas 37 y 38)</t>
        </is>
      </c>
      <c r="E46" s="11" t="inlineStr">
        <is>
          <t>Vuelve a copiar las cifras del libro 3 y del libro 1: alguna es de otra versión.</t>
        </is>
      </c>
    </row>
    <row r="47" ht="48" customHeight="1">
      <c r="A47" s="23" t="inlineStr">
        <is>
          <t>Contraste B · proporción punta/tipo</t>
        </is>
      </c>
      <c r="B47" s="24" t="str">
        <f>IF(AND(ISNUMBER(B41)),IF(B41&gt;'Parámetros'!$B$33,"INCOHERENTE: los kilos fritos y las raciones del día punta no guardan la proporción del día tipo; vuelve a copiar el libro 1","COHERENTE"),"")</f>
        <v>COHERENTE</v>
      </c>
      <c r="C47" t="inlineStr">
        <is>
          <t>B15, B14, B18, B17</t>
        </is>
      </c>
      <c r="D47" s="11" t="inlineStr">
        <is>
          <t>Proporción punta/tipo de los kilos fritos frente a la de las raciones (filas 39 a 41)</t>
        </is>
      </c>
      <c r="E47" s="11" t="inlineStr">
        <is>
          <t>Vuelve a copiar las cifras del libro 3 y del libro 1: alguna es de otra versión.</t>
        </is>
      </c>
    </row>
    <row r="48" ht="48" customHeight="1">
      <c r="A48" s="23" t="inlineStr">
        <is>
          <t>Contraste C · masa por ración y kilos fritos</t>
        </is>
      </c>
      <c r="B48" s="24" t="str">
        <f>IF(AND(ISNUMBER(B42),ISNUMBER(B43)),IF(B42&gt;B43,"INCOHERENTE: con esta masa por ración no salen los kilos fritos del libro 1; vuelve a copiar la masa por ración del libro 3","COHERENTE"),"")</f>
        <v>COHERENTE</v>
      </c>
      <c r="C48" t="inlineStr">
        <is>
          <t>B14, B17, B10, B8</t>
        </is>
      </c>
      <c r="D48" s="11" t="inlineStr">
        <is>
          <t>Kilos fritos por kilo de masa que implican tus copias frente al máximo físico con tu absorción (filas 42 y 43)</t>
        </is>
      </c>
      <c r="E48" s="11" t="inlineStr">
        <is>
          <t>Vuelve a copiar las cifras del libro 3 y del libro 1: alguna es de otra versión.</t>
        </is>
      </c>
    </row>
    <row r="49" ht="48" customHeight="1">
      <c r="A49" s="23" t="inlineStr">
        <is>
          <t>Contraste D · reposición del día punta frente a la cuba</t>
        </is>
      </c>
      <c r="B49" s="24" t="str">
        <f>IF(AND(ISNUMBER(B44),ISNUMBER('Parámetros'!$B$16)),IF(B44&gt;'Parámetros'!$B$16,"INCOHERENTE: repondrías más de una cuba entera en un día punta; revisa los litros de cuba y los kilos fritos del libro 1","COHERENTE"),"")</f>
        <v>COHERENTE</v>
      </c>
      <c r="C49" t="inlineStr">
        <is>
          <t>B15, B8, B9, B16</t>
        </is>
      </c>
      <c r="D49" s="11" t="inlineStr">
        <is>
          <t>Reposición que pide un día punta según tu absorción frente a los litros de cuba (fila 44)</t>
        </is>
      </c>
      <c r="E49" s="11" t="inlineStr">
        <is>
          <t>Vuelve a copiar las cifras del libro 3 y del libro 1: alguna es de otra versión.</t>
        </is>
      </c>
    </row>
    <row r="50"/>
    <row r="51">
      <c r="A51" s="4" t="inlineStr">
        <is>
          <t>Cuadre de lo que Has Copiado</t>
        </is>
      </c>
    </row>
    <row r="52" ht="36" customHeight="1">
      <c r="A52" s="9" t="inlineStr">
        <is>
          <t>Cuadre</t>
        </is>
      </c>
      <c r="B52" s="9" t="inlineStr">
        <is>
          <t>Lo que publica hoy la celda de origen (anótalo)</t>
        </is>
      </c>
      <c r="C52" s="9" t="inlineStr">
        <is>
          <t>Desviación</t>
        </is>
      </c>
      <c r="D52" s="9" t="inlineStr">
        <is>
          <t>Veredicto</t>
        </is>
      </c>
      <c r="E52" s="9" t="inlineStr">
        <is>
          <t>Si no cuadra</t>
        </is>
      </c>
    </row>
    <row r="53" ht="40" customHeight="1">
      <c r="A53" s="23" t="inlineStr">
        <is>
          <t>CUADRE · Precio del aceite (base imponible) (X2)</t>
        </is>
      </c>
      <c r="B53" s="10" t="n">
        <v>1.996</v>
      </c>
      <c r="C53" s="20">
        <f>IFERROR(ABS('Parámetros'!$B$7-B53)/B53,"")</f>
        <v>0.0</v>
      </c>
      <c r="D53" s="24" t="str">
        <f>IF(NOT(ISNUMBER(C53)),"",IF(C53&lt;='Parámetros'!$B$34,"CUADRA","REVISA: no es lo que publica el libro 3"))</f>
        <v>CUADRA</v>
      </c>
      <c r="E53" s="11" t="inlineStr">
        <is>
          <t>Vuelve a copiar la cifra de su celda de origen (libro 3, carta-de-apertura-y-escandallo-churro.xlsx!Parámetros!L5) en la fila 7, o anota aquí lo que publica hoy.</t>
        </is>
      </c>
    </row>
    <row r="54" ht="40" customHeight="1">
      <c r="A54" s="23" t="inlineStr">
        <is>
          <t>CUADRE · Absorción de aceite, en % del peso frito (X2)</t>
        </is>
      </c>
      <c r="B54" s="12" t="n">
        <v>0.1</v>
      </c>
      <c r="C54" s="20">
        <f>IFERROR(ABS('Parámetros'!$B$8-B54)/B54,"")</f>
        <v>0.0</v>
      </c>
      <c r="D54" s="24" t="str">
        <f>IF(NOT(ISNUMBER(C54)),"",IF(C54&lt;='Parámetros'!$B$34,"CUADRA","REVISA: no es lo que publica el libro 3"))</f>
        <v>CUADRA</v>
      </c>
      <c r="E54" s="11" t="inlineStr">
        <is>
          <t>Vuelve a copiar la cifra de su celda de origen (libro 3, carta-de-apertura-y-escandallo-churro.xlsx!Parámetros!L6) en la fila 8, o anota aquí lo que publica hoy.</t>
        </is>
      </c>
    </row>
    <row r="55" ht="40" customHeight="1">
      <c r="A55" s="23" t="inlineStr">
        <is>
          <t>CUADRE · Densidad del aceite (X2)</t>
        </is>
      </c>
      <c r="B55" s="13" t="n">
        <v>0.92</v>
      </c>
      <c r="C55" s="20">
        <f>IFERROR(ABS('Parámetros'!$B$9-B55)/B55,"")</f>
        <v>0.0</v>
      </c>
      <c r="D55" s="24" t="str">
        <f>IF(NOT(ISNUMBER(C55)),"",IF(C55&lt;='Parámetros'!$B$34,"CUADRA","REVISA: no es lo que publica el libro 3"))</f>
        <v>CUADRA</v>
      </c>
      <c r="E55" s="11" t="inlineStr">
        <is>
          <t>Vuelve a copiar la cifra de su celda de origen (libro 3, carta-de-apertura-y-escandallo-churro.xlsx!Parámetros!L7) en la fila 9, o anota aquí lo que publica hoy.</t>
        </is>
      </c>
    </row>
    <row r="56" ht="40" customHeight="1">
      <c r="A56" s="23" t="inlineStr">
        <is>
          <t>CUADRE · Kilos de masa por ración media (merma incluida) (X2 bis)</t>
        </is>
      </c>
      <c r="B56" s="14" t="n">
        <v>0.09791812865497077</v>
      </c>
      <c r="C56" s="20">
        <f>IFERROR(ABS('Parámetros'!$B$10-B56)/B56,"")</f>
        <v>0.0</v>
      </c>
      <c r="D56" s="24" t="str">
        <f>IF(NOT(ISNUMBER(C56)),"",IF(C56&lt;='Parámetros'!$B$34,"CUADRA","REVISA: no es lo que publica el libro 3"))</f>
        <v>CUADRA</v>
      </c>
      <c r="E56" s="11" t="inlineStr">
        <is>
          <t>Vuelve a copiar la cifra de su celda de origen (libro 3, carta-de-apertura-y-escandallo-churro.xlsx!Mix y Ticket Canal y Temporada!L5) en la fila 10, o anota aquí lo que publica hoy.</t>
        </is>
      </c>
    </row>
    <row r="57" ht="40" customHeight="1">
      <c r="A57" s="23" t="inlineStr">
        <is>
          <t>CUADRE · Aceite absorbido por ración media (X2 bis)</t>
        </is>
      </c>
      <c r="B57" s="10" t="n">
        <v>0.01911957894736842</v>
      </c>
      <c r="C57" s="20">
        <f>IFERROR(ABS('Parámetros'!$B$11-B57)/B57,"")</f>
        <v>0.0</v>
      </c>
      <c r="D57" s="24" t="str">
        <f>IF(NOT(ISNUMBER(C57)),"",IF(C57&lt;='Parámetros'!$B$34,"CUADRA","REVISA: no es lo que publica el libro 3"))</f>
        <v>CUADRA</v>
      </c>
      <c r="E57" s="11" t="inlineStr">
        <is>
          <t>Vuelve a copiar la cifra de su celda de origen (libro 3, carta-de-apertura-y-escandallo-churro.xlsx!Absorción de Aceite y Merma!L5) en la fila 11, o anota aquí lo que publica hoy.</t>
        </is>
      </c>
    </row>
    <row r="58" ht="40" customHeight="1">
      <c r="A58" s="23" t="inlineStr">
        <is>
          <t>CUADRE · Kilos fritos en un día tipo (X3)</t>
        </is>
      </c>
      <c r="B58" s="15" t="n">
        <v>22.03157894736842</v>
      </c>
      <c r="C58" s="20">
        <f>IFERROR(ABS('Parámetros'!$B$14-B58)/B58,"")</f>
        <v>0.0</v>
      </c>
      <c r="D58" s="24" t="str">
        <f>IF(NOT(ISNUMBER(C58)),"",IF(C58&lt;='Parámetros'!$B$34,"CUADRA","REVISA: no es lo que publica el libro 1"))</f>
        <v>CUADRA</v>
      </c>
      <c r="E58" s="11" t="inlineStr">
        <is>
          <t>Vuelve a copiar la cifra de su celda de origen (libro 1, produccion-hora-punta-y-local.xlsx!Día Tipo y Día Punta!L5) en la fila 14, o anota aquí lo que publica hoy.</t>
        </is>
      </c>
    </row>
    <row r="59" ht="40" customHeight="1">
      <c r="A59" s="23" t="inlineStr">
        <is>
          <t>CUADRE · Kilos fritos en un día punta (X3)</t>
        </is>
      </c>
      <c r="B59" s="15" t="n">
        <v>35.25052631578948</v>
      </c>
      <c r="C59" s="20">
        <f>IFERROR(ABS('Parámetros'!$B$15-B59)/B59,"")</f>
        <v>0.0</v>
      </c>
      <c r="D59" s="24" t="str">
        <f>IF(NOT(ISNUMBER(C59)),"",IF(C59&lt;='Parámetros'!$B$34,"CUADRA","REVISA: no es lo que publica el libro 1"))</f>
        <v>CUADRA</v>
      </c>
      <c r="E59" s="11" t="inlineStr">
        <is>
          <t>Vuelve a copiar la cifra de su celda de origen (libro 1, produccion-hora-punta-y-local.xlsx!Día Tipo y Día Punta!L6) en la fila 15, o anota aquí lo que publica hoy.</t>
        </is>
      </c>
    </row>
    <row r="60" ht="40" customHeight="1">
      <c r="A60" s="23" t="inlineStr">
        <is>
          <t>CUADRE · Litros totales de cuba (todas las freidoras) (X3)</t>
        </is>
      </c>
      <c r="B60" s="15" t="n">
        <v>25</v>
      </c>
      <c r="C60" s="20">
        <f>IFERROR(ABS('Parámetros'!$B$16-B60)/B60,"")</f>
        <v>0.0</v>
      </c>
      <c r="D60" s="24" t="str">
        <f>IF(NOT(ISNUMBER(C60)),"",IF(C60&lt;='Parámetros'!$B$34,"CUADRA","REVISA: no es lo que publica el libro 1"))</f>
        <v>CUADRA</v>
      </c>
      <c r="E60" s="11" t="inlineStr">
        <is>
          <t>Vuelve a copiar la cifra de su celda de origen (libro 1, produccion-hora-punta-y-local.xlsx!Freidoras, Potencia y Riesgo!L5) en la fila 16, o anota aquí lo que publica hoy.</t>
        </is>
      </c>
    </row>
    <row r="61" ht="40" customHeight="1">
      <c r="A61" s="23" t="inlineStr">
        <is>
          <t>CUADRE · Raciones de un día tipo (lunes a viernes) (X3 bis)</t>
        </is>
      </c>
      <c r="B61" s="16" t="n">
        <v>250</v>
      </c>
      <c r="C61" s="20">
        <f>IFERROR(ABS('Parámetros'!$B$17-B61)/B61,"")</f>
        <v>0.0</v>
      </c>
      <c r="D61" s="24" t="str">
        <f>IF(NOT(ISNUMBER(C61)),"",IF(C61&lt;='Parámetros'!$B$34,"CUADRA","REVISA: no es lo que publica el libro 1"))</f>
        <v>CUADRA</v>
      </c>
      <c r="E61" s="11" t="inlineStr">
        <is>
          <t>Vuelve a copiar la cifra de su celda de origen (libro 1, produccion-hora-punta-y-local.xlsx!Día Tipo y Día Punta!L7) en la fila 17, o anota aquí lo que publica hoy.</t>
        </is>
      </c>
    </row>
    <row r="62" ht="40" customHeight="1">
      <c r="A62" s="23" t="inlineStr">
        <is>
          <t>CUADRE · Raciones de un día punta (sábado, domingo y festivo) (X3 bis)</t>
        </is>
      </c>
      <c r="B62" s="16" t="n">
        <v>400</v>
      </c>
      <c r="C62" s="20">
        <f>IFERROR(ABS('Parámetros'!$B$18-B62)/B62,"")</f>
        <v>0.0</v>
      </c>
      <c r="D62" s="24" t="str">
        <f>IF(NOT(ISNUMBER(C62)),"",IF(C62&lt;='Parámetros'!$B$34,"CUADRA","REVISA: no es lo que publica el libro 1"))</f>
        <v>CUADRA</v>
      </c>
      <c r="E62" s="11" t="inlineStr">
        <is>
          <t>Vuelve a copiar la cifra de su celda de origen (libro 1, produccion-hora-punta-y-local.xlsx!Día Tipo y Día Punta!L8) en la fila 18, o anota aquí lo que publica hoy.</t>
        </is>
      </c>
    </row>
    <row r="63"/>
    <row r="64">
      <c r="A64"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conditionalFormatting sqref="B46">
    <cfRule type="cellIs" priority="1" operator="equal" dxfId="0" stopIfTrue="1">
      <formula>"COHERENTE"</formula>
    </cfRule>
    <cfRule type="cellIs" priority="2" operator="equal" dxfId="1" stopIfTrue="1">
      <formula>"INCOHERENTE: el aceite absorbido, el precio, la absorción, la densidad, los kilos fritos y las raciones del día tipo no salen de la misma versión de los libros 3 y 1; vuelve a copiarlos"</formula>
    </cfRule>
  </conditionalFormatting>
  <conditionalFormatting sqref="B47">
    <cfRule type="cellIs" priority="3" operator="equal" dxfId="0" stopIfTrue="1">
      <formula>"COHERENTE"</formula>
    </cfRule>
    <cfRule type="cellIs" priority="4" operator="equal" dxfId="1" stopIfTrue="1">
      <formula>"INCOHERENTE: los kilos fritos y las raciones del día punta no guardan la proporción del día tipo; vuelve a copiar el libro 1"</formula>
    </cfRule>
  </conditionalFormatting>
  <conditionalFormatting sqref="B48">
    <cfRule type="cellIs" priority="5" operator="equal" dxfId="0" stopIfTrue="1">
      <formula>"COHERENTE"</formula>
    </cfRule>
    <cfRule type="cellIs" priority="6" operator="equal" dxfId="1" stopIfTrue="1">
      <formula>"INCOHERENTE: con esta masa por ración no salen los kilos fritos del libro 1; vuelve a copiar la masa por ración del libro 3"</formula>
    </cfRule>
  </conditionalFormatting>
  <conditionalFormatting sqref="B49">
    <cfRule type="cellIs" priority="7" operator="equal" dxfId="0" stopIfTrue="1">
      <formula>"COHERENTE"</formula>
    </cfRule>
    <cfRule type="cellIs" priority="8" operator="equal" dxfId="1" stopIfTrue="1">
      <formula>"INCOHERENTE: repondrías más de una cuba entera en un día punta; revisa los litros de cuba y los kilos fritos del libro 1"</formula>
    </cfRule>
  </conditionalFormatting>
  <conditionalFormatting sqref="D53">
    <cfRule type="cellIs" priority="9" operator="equal" dxfId="0" stopIfTrue="1">
      <formula>"CUADRA"</formula>
    </cfRule>
    <cfRule type="cellIs" priority="10" operator="equal" dxfId="1" stopIfTrue="1">
      <formula>"REVISA: no es lo que publica el libro 3"</formula>
    </cfRule>
  </conditionalFormatting>
  <conditionalFormatting sqref="D54">
    <cfRule type="cellIs" priority="11" operator="equal" dxfId="0" stopIfTrue="1">
      <formula>"CUADRA"</formula>
    </cfRule>
    <cfRule type="cellIs" priority="12" operator="equal" dxfId="1" stopIfTrue="1">
      <formula>"REVISA: no es lo que publica el libro 3"</formula>
    </cfRule>
  </conditionalFormatting>
  <conditionalFormatting sqref="D55">
    <cfRule type="cellIs" priority="13" operator="equal" dxfId="0" stopIfTrue="1">
      <formula>"CUADRA"</formula>
    </cfRule>
    <cfRule type="cellIs" priority="14" operator="equal" dxfId="1" stopIfTrue="1">
      <formula>"REVISA: no es lo que publica el libro 3"</formula>
    </cfRule>
  </conditionalFormatting>
  <conditionalFormatting sqref="D56">
    <cfRule type="cellIs" priority="15" operator="equal" dxfId="0" stopIfTrue="1">
      <formula>"CUADRA"</formula>
    </cfRule>
    <cfRule type="cellIs" priority="16" operator="equal" dxfId="1" stopIfTrue="1">
      <formula>"REVISA: no es lo que publica el libro 3"</formula>
    </cfRule>
  </conditionalFormatting>
  <conditionalFormatting sqref="D57">
    <cfRule type="cellIs" priority="17" operator="equal" dxfId="0" stopIfTrue="1">
      <formula>"CUADRA"</formula>
    </cfRule>
    <cfRule type="cellIs" priority="18" operator="equal" dxfId="1" stopIfTrue="1">
      <formula>"REVISA: no es lo que publica el libro 3"</formula>
    </cfRule>
  </conditionalFormatting>
  <conditionalFormatting sqref="D58">
    <cfRule type="cellIs" priority="19" operator="equal" dxfId="0" stopIfTrue="1">
      <formula>"CUADRA"</formula>
    </cfRule>
    <cfRule type="cellIs" priority="20" operator="equal" dxfId="1" stopIfTrue="1">
      <formula>"REVISA: no es lo que publica el libro 1"</formula>
    </cfRule>
  </conditionalFormatting>
  <conditionalFormatting sqref="D59">
    <cfRule type="cellIs" priority="21" operator="equal" dxfId="0" stopIfTrue="1">
      <formula>"CUADRA"</formula>
    </cfRule>
    <cfRule type="cellIs" priority="22" operator="equal" dxfId="1" stopIfTrue="1">
      <formula>"REVISA: no es lo que publica el libro 1"</formula>
    </cfRule>
  </conditionalFormatting>
  <conditionalFormatting sqref="D60">
    <cfRule type="cellIs" priority="23" operator="equal" dxfId="0" stopIfTrue="1">
      <formula>"CUADRA"</formula>
    </cfRule>
    <cfRule type="cellIs" priority="24" operator="equal" dxfId="1" stopIfTrue="1">
      <formula>"REVISA: no es lo que publica el libro 1"</formula>
    </cfRule>
  </conditionalFormatting>
  <conditionalFormatting sqref="D61">
    <cfRule type="cellIs" priority="25" operator="equal" dxfId="0" stopIfTrue="1">
      <formula>"CUADRA"</formula>
    </cfRule>
    <cfRule type="cellIs" priority="26" operator="equal" dxfId="1" stopIfTrue="1">
      <formula>"REVISA: no es lo que publica el libro 1"</formula>
    </cfRule>
  </conditionalFormatting>
  <conditionalFormatting sqref="D62">
    <cfRule type="cellIs" priority="27" operator="equal" dxfId="0" stopIfTrue="1">
      <formula>"CUADRA"</formula>
    </cfRule>
    <cfRule type="cellIs" priority="28" operator="equal" dxfId="1" stopIfTrue="1">
      <formula>"REVISA: no es lo que publica el libro 1"</formula>
    </cfRule>
  </conditionalFormatting>
  <dataValidations count="31">
    <dataValidation sqref="B7" showDropDown="0" showInputMessage="0" showErrorMessage="1" allowBlank="1" errorTitle="Importe no válido" error="Escribe un número mayor o igual que 0." type="decimal" operator="greaterThanOrEqual">
      <formula1>0</formula1>
    </dataValidation>
    <dataValidation sqref="B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9" showDropDown="0" showInputMessage="0" showErrorMessage="1" allowBlank="1" errorTitle="Importe no válido" error="Escribe un número mayor o igual que 0." type="decimal" operator="greaterThanOrEqual">
      <formula1>0</formula1>
    </dataValidation>
    <dataValidation sqref="B10" showDropDown="0" showInputMessage="0" showErrorMessage="1" allowBlank="1" errorTitle="Importe no válido" error="Escribe un número mayor o igual que 0." type="decimal" operator="greaterThanOrEqual">
      <formula1>0</formula1>
    </dataValidation>
    <dataValidation sqref="B11" showDropDown="0" showInputMessage="0" showErrorMessage="1" allowBlank="1" errorTitle="Importe no válido" error="Escribe un número mayor o igual que 0." type="decimal" operator="greaterThanOrEqual">
      <formula1>0</formula1>
    </dataValidation>
    <dataValidation sqref="B14" showDropDown="0" showInputMessage="0" showErrorMessage="1" allowBlank="1" errorTitle="Importe no válido" error="Escribe un número mayor o igual que 0." type="decimal" operator="greaterThanOrEqual">
      <formula1>0</formula1>
    </dataValidation>
    <dataValidation sqref="B15" showDropDown="0" showInputMessage="0" showErrorMessage="1" allowBlank="1" errorTitle="Importe no válido" error="Escribe un número mayor o igual que 0." type="decimal" operator="greaterThanOrEqual">
      <formula1>0</formula1>
    </dataValidation>
    <dataValidation sqref="B16"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Importe no válido" error="Escribe un número mayor o igual que 0." type="decimal" operator="greaterThanOrEqual">
      <formula1>0</formula1>
    </dataValidation>
    <dataValidation sqref="B18" showDropDown="0" showInputMessage="0" showErrorMessage="1" allowBlank="1" errorTitle="Importe no válido" error="Escribe un número mayor o igual que 0." type="decimal" operator="greaterThanOrEqual">
      <formula1>0</formula1>
    </dataValidation>
    <dataValidation sqref="B21" showDropDown="0" showInputMessage="0" showErrorMessage="1" allowBlank="1" errorTitle="Importe no válido" error="Escribe un número mayor o igual que 1." type="decimal" operator="greaterThanOrEqual">
      <formula1>1</formula1>
    </dataValidation>
    <dataValidation sqref="B22" showDropDown="0" showInputMessage="0" showErrorMessage="1" allowBlank="1" errorTitle="Importe no válido" error="Escribe un número mayor o igual que 0." type="decimal" operator="greaterThanOrEqual">
      <formula1>0</formula1>
    </dataValidation>
    <dataValidation sqref="B23" showDropDown="0" showInputMessage="0" showErrorMessage="1" allowBlank="1" errorTitle="Importe no válido" error="Escribe un número mayor o igual que 0." type="decimal" operator="greaterThanOrEqual">
      <formula1>0</formula1>
    </dataValidation>
    <dataValidation sqref="B24" showDropDown="0" showInputMessage="0" showErrorMessage="1" allowBlank="1" errorTitle="Importe no válido" error="Escribe un número mayor o igual que 0." type="decimal" operator="greaterThanOrEqual">
      <formula1>0</formula1>
    </dataValidation>
    <dataValidation sqref="B25"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26" showDropDown="0" showInputMessage="0" showErrorMessage="1" allowBlank="1" errorTitle="Importe no válido" error="Escribe un número mayor o igual que 0." type="decimal" operator="greaterThanOrEqual">
      <formula1>0</formula1>
    </dataValidation>
    <dataValidation sqref="B29" showDropDown="0" showInputMessage="0" showErrorMessage="1" allowBlank="1" errorTitle="Importe no válido" error="Escribe un número mayor o igual que 0." type="decimal" operator="greaterThanOrEqual">
      <formula1>0</formula1>
    </dataValidation>
    <dataValidation sqref="B30" showDropDown="0" showInputMessage="0" showErrorMessage="1" allowBlank="1" errorTitle="Importe no válido" error="Escribe un número mayor o igual que 0." type="decimal" operator="greaterThanOrEqual">
      <formula1>0</formula1>
    </dataValidation>
    <dataValidation sqref="B31" showDropDown="0" showInputMessage="0" showErrorMessage="1" allowBlank="1" errorTitle="Importe no válido" error="Escribe un número mayor o igual que 1." type="decimal" operator="greaterThanOrEqual">
      <formula1>1</formula1>
    </dataValidation>
    <dataValidation sqref="B33"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34"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53" showDropDown="0" showInputMessage="0" showErrorMessage="1" allowBlank="1" errorTitle="Importe no válido" error="Escribe un número mayor o igual que 0." type="decimal" operator="greaterThanOrEqual">
      <formula1>0</formula1>
    </dataValidation>
    <dataValidation sqref="B54" showDropDown="0" showInputMessage="0" showErrorMessage="1" allowBlank="1" errorTitle="Importe no válido" error="Escribe un número mayor o igual que 0." type="decimal" operator="greaterThanOrEqual">
      <formula1>0</formula1>
    </dataValidation>
    <dataValidation sqref="B55" showDropDown="0" showInputMessage="0" showErrorMessage="1" allowBlank="1" errorTitle="Importe no válido" error="Escribe un número mayor o igual que 0." type="decimal" operator="greaterThanOrEqual">
      <formula1>0</formula1>
    </dataValidation>
    <dataValidation sqref="B56" showDropDown="0" showInputMessage="0" showErrorMessage="1" allowBlank="1" errorTitle="Importe no válido" error="Escribe un número mayor o igual que 0." type="decimal" operator="greaterThanOrEqual">
      <formula1>0</formula1>
    </dataValidation>
    <dataValidation sqref="B57" showDropDown="0" showInputMessage="0" showErrorMessage="1" allowBlank="1" errorTitle="Importe no válido" error="Escribe un número mayor o igual que 0." type="decimal" operator="greaterThanOrEqual">
      <formula1>0</formula1>
    </dataValidation>
    <dataValidation sqref="B58" showDropDown="0" showInputMessage="0" showErrorMessage="1" allowBlank="1" errorTitle="Importe no válido" error="Escribe un número mayor o igual que 0." type="decimal" operator="greaterThanOrEqual">
      <formula1>0</formula1>
    </dataValidation>
    <dataValidation sqref="B59" showDropDown="0" showInputMessage="0" showErrorMessage="1" allowBlank="1" errorTitle="Importe no válido" error="Escribe un número mayor o igual que 0." type="decimal" operator="greaterThanOrEqual">
      <formula1>0</formula1>
    </dataValidation>
    <dataValidation sqref="B60" showDropDown="0" showInputMessage="0" showErrorMessage="1" allowBlank="1" errorTitle="Importe no válido" error="Escribe un número mayor o igual que 0." type="decimal" operator="greaterThanOrEqual">
      <formula1>0</formula1>
    </dataValidation>
    <dataValidation sqref="B61" showDropDown="0" showInputMessage="0" showErrorMessage="1" allowBlank="1" errorTitle="Importe no válido" error="Escribe un número mayor o igual que 0." type="decimal" operator="greaterThanOrEqual">
      <formula1>0</formula1>
    </dataValidation>
    <dataValidation sqref="B62"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44"/>
  <sheetViews>
    <sheetView workbookViewId="0">
      <selection activeCell="A1" sqref="A1"/>
    </sheetView>
  </sheetViews>
  <sheetFormatPr baseColWidth="8" defaultRowHeight="15"/>
  <cols>
    <col width="58" customWidth="1" min="1" max="1"/>
    <col width="16" customWidth="1" min="2" max="2"/>
    <col width="16" customWidth="1" min="3" max="3"/>
    <col width="17" customWidth="1" min="4" max="4"/>
    <col width="16" customWidth="1" min="5" max="5"/>
    <col width="4" customWidth="1" min="6" max="6"/>
    <col width="44" customWidth="1" min="7" max="7"/>
    <col width="40" customWidth="1" min="11" max="11"/>
    <col width="14" customWidth="1" min="12" max="12"/>
    <col width="48" customWidth="1" min="13" max="13"/>
  </cols>
  <sheetData>
    <row r="1">
      <c r="A1" s="1" t="inlineStr">
        <is>
          <t>Consumo y Reposición</t>
        </is>
      </c>
    </row>
    <row r="2">
      <c r="A2" s="2" t="inlineStr">
        <is>
          <t>AI Chef Pro · aichef.pro — Cómo Montar una Churrería-Chocolatería</t>
        </is>
      </c>
    </row>
    <row r="3">
      <c r="A3" s="3" t="inlineStr">
        <is>
          <t>Lo que tiras al cambiar la cuba, lo que añades cada día y lo que compras. El aceite que se lleva la masa (absorbido) está en el libro 3.</t>
        </is>
      </c>
    </row>
    <row r="4">
      <c r="A4" s="4" t="inlineStr">
        <is>
          <t>Renovación: el Aceite que Tiras al Cambiar la Cuba</t>
        </is>
      </c>
      <c r="K4" s="4" t="inlineStr">
        <is>
          <t>Lo que Copian Otros Libros (No Muevas Estas Celdas)</t>
        </is>
      </c>
    </row>
    <row r="5" ht="30" customHeight="1">
      <c r="A5" s="25" t="inlineStr">
        <is>
          <t>Litros de cuba (todas las freidoras)</t>
        </is>
      </c>
      <c r="B5" s="26">
        <f>'Parámetros'!$B$16</f>
        <v>25.0</v>
      </c>
      <c r="C5" t="inlineStr">
        <is>
          <t>L</t>
        </is>
      </c>
      <c r="K5" s="23" t="inlineStr">
        <is>
          <t>Renovación de aceite por ración (EUR)</t>
        </is>
      </c>
      <c r="L5" s="27">
        <f>B11</f>
        <v>0.02839837398373984</v>
      </c>
      <c r="M5" s="11" t="inlineStr">
        <is>
          <t>Lo copia: libro 6 (plan-financiero-3-anos-churreria.xlsx, hoja 0. Supuestos, X12)</t>
        </is>
      </c>
    </row>
    <row r="6">
      <c r="A6" s="25" t="inlineStr">
        <is>
          <t>Días entre cambios</t>
        </is>
      </c>
      <c r="B6" s="28">
        <f>'Parámetros'!$B$21</f>
        <v>6.0</v>
      </c>
      <c r="C6" t="inlineStr">
        <is>
          <t>días</t>
        </is>
      </c>
    </row>
    <row r="7">
      <c r="A7" s="25" t="inlineStr">
        <is>
          <t>Litros renovados por día</t>
        </is>
      </c>
      <c r="B7" s="29">
        <f>IFERROR(B5/B6,"")</f>
        <v>4.166666666666667</v>
      </c>
      <c r="C7" t="inlineStr">
        <is>
          <t>L/día</t>
        </is>
      </c>
    </row>
    <row r="8">
      <c r="A8" s="25" t="inlineStr">
        <is>
          <t>Precio del aceite (base imponible)</t>
        </is>
      </c>
      <c r="B8" s="30">
        <f>'Parámetros'!$B$7</f>
        <v>1.996</v>
      </c>
      <c r="C8" t="inlineStr">
        <is>
          <t>EUR/L</t>
        </is>
      </c>
    </row>
    <row r="9">
      <c r="A9" s="25" t="inlineStr">
        <is>
          <t>Renovación en euros por día</t>
        </is>
      </c>
      <c r="B9" s="31">
        <f>IFERROR(B7*B8,"")</f>
        <v>8.316666666666666</v>
      </c>
      <c r="C9" t="inlineStr">
        <is>
          <t>EUR/día</t>
        </is>
      </c>
    </row>
    <row r="10">
      <c r="A10" s="25" t="inlineStr">
        <is>
          <t>Raciones de un día medio de la semana</t>
        </is>
      </c>
      <c r="B10" s="26">
        <f>IFERROR(('Parámetros'!$B$29*'Parámetros'!$B$17+'Parámetros'!$B$30*'Parámetros'!$B$18)/('Parámetros'!$B$29+'Parámetros'!$B$30),"")</f>
        <v>292.85714285714283</v>
      </c>
      <c r="C10" t="inlineStr">
        <is>
          <t>raciones/día</t>
        </is>
      </c>
    </row>
    <row r="11" ht="64" customHeight="1">
      <c r="A11" s="32" t="inlineStr">
        <is>
          <t>RENOVACIÓN POR RACIÓN</t>
        </is>
      </c>
      <c r="B11" s="27">
        <f>IFERROR(B9/B10,"")</f>
        <v>0.02839837398373984</v>
      </c>
      <c r="C11" t="inlineStr">
        <is>
          <t>EUR/ración</t>
        </is>
      </c>
      <c r="D11" s="11" t="inlineStr">
        <is>
          <t>La copia el libro 6 (bloque de la derecha). Va sobre la ración media de la semana: cinco días tipo y dos punta, sin festivos ni días cerrados. El libro 6 la multiplica por las raciones del año, que sí los cuentan: por eso su cifra anual y la de este libro pueden separarse en torno a un 0,5 %.</t>
        </is>
      </c>
    </row>
    <row r="12">
      <c r="A12" s="25" t="inlineStr">
        <is>
          <t>Días naturales por mes (media)</t>
        </is>
      </c>
      <c r="B12" s="29">
        <f>'Parámetros'!$B$32</f>
        <v>30.416666666666668</v>
      </c>
      <c r="C12" t="inlineStr">
        <is>
          <t>días</t>
        </is>
      </c>
    </row>
    <row r="13">
      <c r="A13" s="25" t="inlineStr">
        <is>
          <t>Renovación en euros al mes</t>
        </is>
      </c>
      <c r="B13" s="33">
        <f>IFERROR(B9*B12,"")</f>
        <v>252.96527777777777</v>
      </c>
      <c r="C13" t="inlineStr">
        <is>
          <t>EUR/mes</t>
        </is>
      </c>
    </row>
    <row r="14"/>
    <row r="15">
      <c r="A15" s="4" t="inlineStr">
        <is>
          <t>Reposición: el Aceite que Añades para que la Cuba no Baje</t>
        </is>
      </c>
    </row>
    <row r="16" ht="30" customHeight="1">
      <c r="A16" s="9" t="inlineStr">
        <is>
          <t>Concepto</t>
        </is>
      </c>
      <c r="B16" s="9" t="inlineStr">
        <is>
          <t>Día tipo</t>
        </is>
      </c>
      <c r="C16" s="9" t="inlineStr">
        <is>
          <t>Día punta</t>
        </is>
      </c>
      <c r="D16" s="9" t="inlineStr">
        <is>
          <t>Media de la semana</t>
        </is>
      </c>
      <c r="E16" s="9" t="inlineStr">
        <is>
          <t>Unidad</t>
        </is>
      </c>
    </row>
    <row r="17" ht="30" customHeight="1">
      <c r="A17" s="34" t="inlineStr">
        <is>
          <t>Kilos fritos (copiados del libro 1)</t>
        </is>
      </c>
      <c r="B17" s="35">
        <f>'Parámetros'!$B$14</f>
        <v>22.03157894736842</v>
      </c>
      <c r="C17" s="35">
        <f>'Parámetros'!$B$15</f>
        <v>35.25052631578948</v>
      </c>
      <c r="D17" s="35">
        <f>IFERROR(('Parámetros'!$B$29*B17+'Parámetros'!$B$30*C17)/('Parámetros'!$B$29+'Parámetros'!$B$30),"")</f>
        <v>25.80842105263158</v>
      </c>
      <c r="E17" t="inlineStr">
        <is>
          <t>kg/día</t>
        </is>
      </c>
    </row>
    <row r="18" ht="96" customHeight="1">
      <c r="A18" s="34" t="inlineStr">
        <is>
          <t>Reposición que mides (Parámetros)</t>
        </is>
      </c>
      <c r="B18" s="22">
        <f>'Parámetros'!$B$22</f>
        <v>2.39</v>
      </c>
      <c r="C18" s="22">
        <f>'Parámetros'!$B$23</f>
        <v>3.83</v>
      </c>
      <c r="D18" s="22">
        <f>IFERROR(('Parámetros'!$B$29*B18+'Parámetros'!$B$30*C18)/('Parámetros'!$B$29+'Parámetros'!$B$30),"")</f>
        <v>2.801428571428571</v>
      </c>
      <c r="E18" t="inlineStr">
        <is>
          <t>L/día</t>
        </is>
      </c>
      <c r="G18" s="7" t="inlineStr">
        <is>
          <t>Reponer es una decisión de cocina, no un permiso de la norma: el aceite se cambia cuando el medidor se acerca al límite de compuestos polares. Varios artículos de la norma de aceites calentados están derogados; el que sigue vivo prohíbe añadir al aceite sustancias extrañas y vender el usado para uso alimentario.</t>
        </is>
      </c>
    </row>
    <row r="19" ht="30" customHeight="1">
      <c r="A19" s="34" t="inlineStr">
        <is>
          <t>Reposición que sale de la absorción del libro 3 (kg fritos x absorción / densidad)</t>
        </is>
      </c>
      <c r="B19" s="22">
        <f>IFERROR(B17*'Parámetros'!$B$8/'Parámetros'!$B$9,"")</f>
        <v>2.394736842105263</v>
      </c>
      <c r="C19" s="22">
        <f>IFERROR(C17*'Parámetros'!$B$8/'Parámetros'!$B$9,"")</f>
        <v>3.8315789473684214</v>
      </c>
      <c r="D19" s="22">
        <f>IFERROR(('Parámetros'!$B$29*B19+'Parámetros'!$B$30*C19)/('Parámetros'!$B$29+'Parámetros'!$B$30),"")</f>
        <v>2.8052631578947365</v>
      </c>
      <c r="E19" t="inlineStr">
        <is>
          <t>L/día</t>
        </is>
      </c>
    </row>
    <row r="20" ht="30" customHeight="1">
      <c r="A20" s="34" t="inlineStr">
        <is>
          <t>Lo que repones de más (+) o de menos (-) frente a la absorción</t>
        </is>
      </c>
      <c r="B20" s="20">
        <f>IFERROR(B18/B19-1,"")</f>
        <v>-0.001978021978021771</v>
      </c>
      <c r="C20" s="20">
        <f>IFERROR(C18/C19-1,"")</f>
        <v>-0.00041208791208802165</v>
      </c>
      <c r="D20" s="20">
        <f>IFERROR(D18/D19-1,"")</f>
        <v>-0.001366925757169568</v>
      </c>
      <c r="E20" t="inlineStr"/>
    </row>
    <row r="21" ht="58" customHeight="1">
      <c r="A21" s="36" t="inlineStr">
        <is>
          <t>Contraste</t>
        </is>
      </c>
      <c r="B21" s="24" t="str">
        <f>IF(ISNUMBER(B20),IF(B20&gt;'Parámetros'!$B$33,"Repones más de lo que dice la absorción del libro 3: revísala, o busca derrames y fugas",IF(B20&lt;-'Parámetros'!$B$33,"Repones menos de lo que dice la absorción del libro 3: revísala","Tu reposición cuadra con la absorción del libro 3")),"")</f>
        <v>Tu reposición cuadra con la absorción del libro 3</v>
      </c>
      <c r="C21" s="24" t="str">
        <f>IF(ISNUMBER(C20),IF(C20&gt;'Parámetros'!$B$33,"Repones más de lo que dice la absorción del libro 3: revísala, o busca derrames y fugas",IF(C20&lt;-'Parámetros'!$B$33,"Repones menos de lo que dice la absorción del libro 3: revísala","Tu reposición cuadra con la absorción del libro 3")),"")</f>
        <v>Tu reposición cuadra con la absorción del libro 3</v>
      </c>
      <c r="D21" s="24" t="str">
        <f>IF(ISNUMBER(D20),IF(D20&gt;'Parámetros'!$B$33,"Repones más de lo que dice la absorción del libro 3: revísala, o busca derrames y fugas",IF(D20&lt;-'Parámetros'!$B$33,"Repones menos de lo que dice la absorción del libro 3: revísala","Tu reposición cuadra con la absorción del libro 3")),"")</f>
        <v>Tu reposición cuadra con la absorción del libro 3</v>
      </c>
      <c r="E21" t="inlineStr"/>
    </row>
    <row r="22" ht="30" customHeight="1">
      <c r="A22" s="34" t="inlineStr">
        <is>
          <t>Reposición en euros</t>
        </is>
      </c>
      <c r="B22" s="37">
        <f>IFERROR(B18*'Parámetros'!$B$7,"")</f>
        <v>4.770440000000001</v>
      </c>
      <c r="C22" s="37">
        <f>IFERROR(C18*'Parámetros'!$B$7,"")</f>
        <v>7.64468</v>
      </c>
      <c r="D22" s="37">
        <f>IFERROR(('Parámetros'!$B$29*B22+'Parámetros'!$B$30*C22)/('Parámetros'!$B$29+'Parámetros'!$B$30),"")</f>
        <v>5.59165142857143</v>
      </c>
      <c r="E22" t="inlineStr">
        <is>
          <t>EUR/día</t>
        </is>
      </c>
    </row>
    <row r="23" ht="30" customHeight="1">
      <c r="A23" s="34" t="inlineStr">
        <is>
          <t>Reposición en euros por ración</t>
        </is>
      </c>
      <c r="B23" s="19">
        <f>IFERROR(B22/'Parámetros'!$B$17,"")</f>
        <v>0.019081760000000003</v>
      </c>
      <c r="C23" s="19">
        <f>IFERROR(C22/'Parámetros'!$B$18,"")</f>
        <v>0.0191117</v>
      </c>
      <c r="D23" s="19">
        <f>IFERROR(('Parámetros'!$B$29*B22+'Parámetros'!$B$30*C22)/('Parámetros'!$B$29*'Parámetros'!$B$17+'Parámetros'!$B$30*'Parámetros'!$B$18),"")</f>
        <v>0.019093443902439028</v>
      </c>
      <c r="E23" t="inlineStr">
        <is>
          <t>EUR/ración</t>
        </is>
      </c>
    </row>
    <row r="24"/>
    <row r="25">
      <c r="A25" s="4" t="inlineStr">
        <is>
          <t>Lo que Compras de Aceite</t>
        </is>
      </c>
    </row>
    <row r="26" ht="30" customHeight="1">
      <c r="A26" s="9" t="inlineStr">
        <is>
          <t>Concepto</t>
        </is>
      </c>
      <c r="B26" s="9" t="inlineStr">
        <is>
          <t>Día tipo</t>
        </is>
      </c>
      <c r="C26" s="9" t="inlineStr">
        <is>
          <t>Día punta</t>
        </is>
      </c>
      <c r="D26" s="9" t="inlineStr">
        <is>
          <t>Media de la semana</t>
        </is>
      </c>
      <c r="E26" s="9" t="inlineStr">
        <is>
          <t>Al mes</t>
        </is>
      </c>
    </row>
    <row r="27">
      <c r="A27" t="inlineStr">
        <is>
          <t>Litros que compras (renovación + reposición)</t>
        </is>
      </c>
      <c r="B27" s="22">
        <f>IFERROR($B$7+B18,"")</f>
        <v>6.556666666666667</v>
      </c>
      <c r="C27" s="22">
        <f>IFERROR($B$7+C18,"")</f>
        <v>7.996666666666667</v>
      </c>
      <c r="D27" s="22">
        <f>IFERROR(('Parámetros'!$B$29*B27+'Parámetros'!$B$30*C27)/('Parámetros'!$B$29+'Parámetros'!$B$30),"")</f>
        <v>6.968095238095238</v>
      </c>
      <c r="E27" s="38">
        <f>IFERROR(D27*$B$12,"")</f>
        <v>211.94623015873015</v>
      </c>
    </row>
    <row r="28">
      <c r="A28" s="32" t="inlineStr">
        <is>
          <t>Euros de aceite que compras (base imponible)</t>
        </is>
      </c>
      <c r="B28" s="37">
        <f>IFERROR(B27*'Parámetros'!$B$7,"")</f>
        <v>13.087106666666667</v>
      </c>
      <c r="C28" s="37">
        <f>IFERROR(C27*'Parámetros'!$B$7,"")</f>
        <v>15.961346666666667</v>
      </c>
      <c r="D28" s="37">
        <f>IFERROR(('Parámetros'!$B$29*B28+'Parámetros'!$B$30*C28)/('Parámetros'!$B$29+'Parámetros'!$B$30),"")</f>
        <v>13.908318095238096</v>
      </c>
      <c r="E28" s="33">
        <f>IFERROR(D28*$B$12,"")</f>
        <v>423.0446753968254</v>
      </c>
    </row>
    <row r="29"/>
    <row r="30">
      <c r="A30" s="4" t="inlineStr">
        <is>
          <t>Fila de Contraste: Aceite Absorbido (3) + Renovación (4) = Aceite Total por Ración</t>
        </is>
      </c>
    </row>
    <row r="31">
      <c r="A31" s="34" t="inlineStr">
        <is>
          <t>Aceite absorbido por ración (libro 3, copiado en Parámetros)</t>
        </is>
      </c>
      <c r="B31" s="30">
        <f>'Parámetros'!$B$11</f>
        <v>0.01911957894736842</v>
      </c>
      <c r="C31" t="inlineStr">
        <is>
          <t>EUR/ración</t>
        </is>
      </c>
    </row>
    <row r="32">
      <c r="A32" s="34" t="inlineStr">
        <is>
          <t>Renovación por ración (este libro)</t>
        </is>
      </c>
      <c r="B32" s="30">
        <f>B11</f>
        <v>0.02839837398373984</v>
      </c>
      <c r="C32" t="inlineStr">
        <is>
          <t>EUR/ración</t>
        </is>
      </c>
    </row>
    <row r="33" ht="48" customHeight="1">
      <c r="A33" s="36" t="inlineStr">
        <is>
          <t>ACEITE TOTAL POR RACIÓN</t>
        </is>
      </c>
      <c r="B33" s="27">
        <f>IFERROR(B31+B32,"")</f>
        <v>0.04751795293110826</v>
      </c>
      <c r="C33" t="inlineStr">
        <is>
          <t>EUR/ración</t>
        </is>
      </c>
      <c r="D33" s="11" t="inlineStr">
        <is>
          <t>El libro 6 suma las dos partes, cada una con su fuente: la absorbida dentro del coste de materia del libro 3 y la renovación con la celda de la derecha. Así no se cuenta dos veces.</t>
        </is>
      </c>
    </row>
    <row r="34">
      <c r="A34" s="34" t="inlineStr">
        <is>
          <t>Parte del aceite total que es renovación</t>
        </is>
      </c>
      <c r="B34" s="39">
        <f>IFERROR(B32/B33,"")</f>
        <v>0.5976346250629089</v>
      </c>
      <c r="C34" t="inlineStr"/>
    </row>
    <row r="35">
      <c r="A35" s="34" t="inlineStr">
        <is>
          <t>Reposición que mides, por ración (media de la semana)</t>
        </is>
      </c>
      <c r="B35" s="30">
        <f>D23</f>
        <v>0.019093443902439028</v>
      </c>
      <c r="C35" t="inlineStr">
        <is>
          <t>EUR/ración</t>
        </is>
      </c>
    </row>
    <row r="36" ht="36" customHeight="1">
      <c r="A36" s="34" t="inlineStr">
        <is>
          <t>Reposición por ración menos aceite absorbido por ración</t>
        </is>
      </c>
      <c r="B36" s="30">
        <f>IFERROR(B35-B31,"")</f>
        <v>-2.6135044929393586e-05</v>
      </c>
      <c r="C36" t="inlineStr">
        <is>
          <t>EUR/ración</t>
        </is>
      </c>
      <c r="D36" s="11" t="inlineStr">
        <is>
          <t>Cerca de cero si tu absorción del libro 3 es realista: lo que repones es, sobre todo, lo que se lleva la masa.</t>
        </is>
      </c>
    </row>
    <row r="37">
      <c r="A37" s="34" t="inlineStr">
        <is>
          <t>Kilos de masa por ración media (libro 3, copiado en Parámetros)</t>
        </is>
      </c>
      <c r="B37" s="40">
        <f>'Parámetros'!$B$10</f>
        <v>0.09791812865497077</v>
      </c>
      <c r="C37" t="inlineStr">
        <is>
          <t>kg/ración</t>
        </is>
      </c>
    </row>
    <row r="38">
      <c r="A38" s="34" t="inlineStr">
        <is>
          <t>Aceite absorbido por kilo de masa</t>
        </is>
      </c>
      <c r="B38" s="30">
        <f>IFERROR(B31/B37,"")</f>
        <v>0.19526086956521738</v>
      </c>
      <c r="C38" t="inlineStr">
        <is>
          <t>EUR/kg de masa</t>
        </is>
      </c>
    </row>
    <row r="39">
      <c r="A39" s="34" t="inlineStr">
        <is>
          <t>Renovación por kilo de masa</t>
        </is>
      </c>
      <c r="B39" s="30">
        <f>IFERROR(B32/B37,"")</f>
        <v>0.2900216167713517</v>
      </c>
      <c r="C39" t="inlineStr">
        <is>
          <t>EUR/kg de masa</t>
        </is>
      </c>
    </row>
    <row r="40" ht="48" customHeight="1">
      <c r="A40" s="36" t="inlineStr">
        <is>
          <t>ACEITE TOTAL POR KILO DE MASA</t>
        </is>
      </c>
      <c r="B40" s="27">
        <f>IFERROR(B38+B39,"")</f>
        <v>0.48528248633656906</v>
      </c>
      <c r="C40" t="inlineStr">
        <is>
          <t>EUR/kg de masa</t>
        </is>
      </c>
      <c r="D40" s="11" t="inlineStr">
        <is>
          <t>Lo que te cuesta el aceite por cada kilo de masa que fríes: lo que se lleva la pieza y lo que tiras al cambiar la cuba. Sirve para comparar con el precio por kilo de tu preparado o de tu mix.</t>
        </is>
      </c>
    </row>
    <row r="41"/>
    <row r="42" ht="36" customHeight="1">
      <c r="A42" s="41" t="inlineStr">
        <is>
          <t>La norma de calidad de los aceites y grasas calentados alcanza a la churrería, sea permanente o de temporada: la nota de esta celda dice dónde.</t>
        </is>
      </c>
    </row>
    <row r="43"/>
    <row r="44">
      <c r="A44"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6">
    <mergeCell ref="D36:G36"/>
    <mergeCell ref="D33:G33"/>
    <mergeCell ref="G18:G19"/>
    <mergeCell ref="A42:E42"/>
    <mergeCell ref="D40:G40"/>
    <mergeCell ref="D11:G11"/>
  </mergeCells>
  <conditionalFormatting sqref="B21:D21">
    <cfRule type="cellIs" priority="1" operator="equal" dxfId="0" stopIfTrue="1">
      <formula>"Tu reposición cuadra con la absorción del libro 3"</formula>
    </cfRule>
    <cfRule type="cellIs" priority="2" operator="equal" dxfId="1" stopIfTrue="1">
      <formula>"Repones más de lo que dice la absorción del libro 3: revísala, o busca derrames y fugas"</formula>
    </cfRule>
    <cfRule type="cellIs" priority="3" operator="equal" dxfId="2" stopIfTrue="1">
      <formula>"Repones menos de lo que dice la absorción del libro 3: revísala"</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27"/>
  <sheetViews>
    <sheetView workbookViewId="0">
      <pane ySplit="6" topLeftCell="A7" activePane="bottomLeft" state="frozen"/>
      <selection pane="bottomLeft" activeCell="A1" sqref="A1"/>
    </sheetView>
  </sheetViews>
  <sheetFormatPr baseColWidth="8" defaultRowHeight="15"/>
  <cols>
    <col width="16" customWidth="1" min="1" max="1"/>
    <col width="15" customWidth="1" min="2" max="2"/>
    <col width="15" customWidth="1" min="3" max="3"/>
    <col width="16" customWidth="1" min="4" max="4"/>
    <col width="18" customWidth="1" min="5" max="5"/>
    <col width="16" customWidth="1" min="6" max="6"/>
    <col width="16" customWidth="1" min="7" max="7"/>
    <col width="18" customWidth="1" min="8" max="8"/>
    <col width="14" customWidth="1" min="9" max="9"/>
  </cols>
  <sheetData>
    <row r="1">
      <c r="A1" s="1" t="inlineStr">
        <is>
          <t>Punto Económico de Cambio</t>
        </is>
      </c>
    </row>
    <row r="2">
      <c r="A2" s="2" t="inlineStr">
        <is>
          <t>AI Chef Pro · aichef.pro — Cómo Montar una Churrería-Chocolatería</t>
        </is>
      </c>
    </row>
    <row r="3">
      <c r="A3" s="3" t="inlineStr">
        <is>
          <t>Cuánto cuesta cada ciclo de cambio de la cuba. El dinero te dice cuánto ahorras alargando; el medidor te dice hasta dónde puedes.</t>
        </is>
      </c>
    </row>
    <row r="4">
      <c r="A4" s="4" t="inlineStr">
        <is>
          <t>Cuánto Te Cuesta Cada Ciclo de Cambio</t>
        </is>
      </c>
    </row>
    <row r="5"/>
    <row r="6" ht="58" customHeight="1">
      <c r="A6" s="9" t="inlineStr">
        <is>
          <t>Días entre cambios (cámbialos)</t>
        </is>
      </c>
      <c r="B6" s="9" t="inlineStr">
        <is>
          <t>Litros renovados por día</t>
        </is>
      </c>
      <c r="C6" s="9" t="inlineStr">
        <is>
          <t>Renovación en euros por día</t>
        </is>
      </c>
      <c r="D6" s="9" t="inlineStr">
        <is>
          <t>Renovación por ración (EUR)</t>
        </is>
      </c>
      <c r="E6" s="9" t="inlineStr">
        <is>
          <t>Aceite total por ración: absorbido + renovación (EUR)</t>
        </is>
      </c>
      <c r="F6" s="9" t="inlineStr">
        <is>
          <t>Renovación al mes (EUR)</t>
        </is>
      </c>
      <c r="G6" s="9" t="inlineStr">
        <is>
          <t>Litros al gestor al mes</t>
        </is>
      </c>
      <c r="H6" s="9" t="inlineStr">
        <is>
          <t>Diferencia al mes frente a tu ciclo (EUR)</t>
        </is>
      </c>
      <c r="I6" s="9" t="inlineStr">
        <is>
          <t>¿Es tu ciclo?</t>
        </is>
      </c>
    </row>
    <row r="7">
      <c r="A7" s="16" t="n">
        <v>3</v>
      </c>
      <c r="B7" s="22">
        <f>IFERROR('Consumo y Reposición'!$B$5/A7,"")</f>
        <v>8.333333333333334</v>
      </c>
      <c r="C7" s="37">
        <f>IFERROR(B7*'Consumo y Reposición'!$B$8,"")</f>
        <v>16.633333333333333</v>
      </c>
      <c r="D7" s="19">
        <f>IFERROR(C7/'Consumo y Reposición'!$B$10,"")</f>
        <v>0.05679674796747968</v>
      </c>
      <c r="E7" s="19">
        <f>IFERROR(D7+'Parámetros'!$B$11,"")</f>
        <v>0.0759163269148481</v>
      </c>
      <c r="F7" s="37">
        <f>IFERROR(C7*'Consumo y Reposición'!$B$12,"")</f>
        <v>505.93055555555554</v>
      </c>
      <c r="G7" s="35">
        <f>IFERROR(B7*'Consumo y Reposición'!$B$12,"")</f>
        <v>253.47222222222226</v>
      </c>
      <c r="H7" s="37">
        <f>IFERROR(F7-'Consumo y Reposición'!$B$13,"")</f>
        <v>252.96527777777777</v>
      </c>
      <c r="I7">
        <f>IF(A7='Parámetros'!$B$21,"Tu ciclo","")</f>
        <v/>
      </c>
    </row>
    <row r="8">
      <c r="A8" s="16" t="n">
        <v>4</v>
      </c>
      <c r="B8" s="22">
        <f>IFERROR('Consumo y Reposición'!$B$5/A8,"")</f>
        <v>6.25</v>
      </c>
      <c r="C8" s="37">
        <f>IFERROR(B8*'Consumo y Reposición'!$B$8,"")</f>
        <v>12.475</v>
      </c>
      <c r="D8" s="19">
        <f>IFERROR(C8/'Consumo y Reposición'!$B$10,"")</f>
        <v>0.04259756097560976</v>
      </c>
      <c r="E8" s="19">
        <f>IFERROR(D8+'Parámetros'!$B$11,"")</f>
        <v>0.061717139922978184</v>
      </c>
      <c r="F8" s="37">
        <f>IFERROR(C8*'Consumo y Reposición'!$B$12,"")</f>
        <v>379.4479166666667</v>
      </c>
      <c r="G8" s="35">
        <f>IFERROR(B8*'Consumo y Reposición'!$B$12,"")</f>
        <v>190.10416666666669</v>
      </c>
      <c r="H8" s="37">
        <f>IFERROR(F8-'Consumo y Reposición'!$B$13,"")</f>
        <v>126.48263888888891</v>
      </c>
      <c r="I8">
        <f>IF(A8='Parámetros'!$B$21,"Tu ciclo","")</f>
        <v/>
      </c>
    </row>
    <row r="9">
      <c r="A9" s="16" t="n">
        <v>5</v>
      </c>
      <c r="B9" s="22">
        <f>IFERROR('Consumo y Reposición'!$B$5/A9,"")</f>
        <v>5.0</v>
      </c>
      <c r="C9" s="37">
        <f>IFERROR(B9*'Consumo y Reposición'!$B$8,"")</f>
        <v>9.98</v>
      </c>
      <c r="D9" s="19">
        <f>IFERROR(C9/'Consumo y Reposición'!$B$10,"")</f>
        <v>0.034078048780487806</v>
      </c>
      <c r="E9" s="19">
        <f>IFERROR(D9+'Parámetros'!$B$11,"")</f>
        <v>0.05319762772785623</v>
      </c>
      <c r="F9" s="37">
        <f>IFERROR(C9*'Consumo y Reposición'!$B$12,"")</f>
        <v>303.55833333333334</v>
      </c>
      <c r="G9" s="35">
        <f>IFERROR(B9*'Consumo y Reposición'!$B$12,"")</f>
        <v>152.08333333333334</v>
      </c>
      <c r="H9" s="37">
        <f>IFERROR(F9-'Consumo y Reposición'!$B$13,"")</f>
        <v>50.593055555555566</v>
      </c>
      <c r="I9">
        <f>IF(A9='Parámetros'!$B$21,"Tu ciclo","")</f>
        <v/>
      </c>
    </row>
    <row r="10">
      <c r="A10" s="16" t="n">
        <v>6</v>
      </c>
      <c r="B10" s="22">
        <f>IFERROR('Consumo y Reposición'!$B$5/A10,"")</f>
        <v>4.166666666666667</v>
      </c>
      <c r="C10" s="37">
        <f>IFERROR(B10*'Consumo y Reposición'!$B$8,"")</f>
        <v>8.316666666666666</v>
      </c>
      <c r="D10" s="19">
        <f>IFERROR(C10/'Consumo y Reposición'!$B$10,"")</f>
        <v>0.02839837398373984</v>
      </c>
      <c r="E10" s="19">
        <f>IFERROR(D10+'Parámetros'!$B$11,"")</f>
        <v>0.04751795293110826</v>
      </c>
      <c r="F10" s="37">
        <f>IFERROR(C10*'Consumo y Reposición'!$B$12,"")</f>
        <v>252.96527777777777</v>
      </c>
      <c r="G10" s="35">
        <f>IFERROR(B10*'Consumo y Reposición'!$B$12,"")</f>
        <v>126.73611111111113</v>
      </c>
      <c r="H10" s="37">
        <f>IFERROR(F10-'Consumo y Reposición'!$B$13,"")</f>
        <v>0.0</v>
      </c>
      <c r="I10" t="str">
        <f>IF(A10='Parámetros'!$B$21,"Tu ciclo","")</f>
        <v>Tu ciclo</v>
      </c>
    </row>
    <row r="11">
      <c r="A11" s="16" t="n">
        <v>7</v>
      </c>
      <c r="B11" s="22">
        <f>IFERROR('Consumo y Reposición'!$B$5/A11,"")</f>
        <v>3.5714285714285716</v>
      </c>
      <c r="C11" s="37">
        <f>IFERROR(B11*'Consumo y Reposición'!$B$8,"")</f>
        <v>7.128571428571429</v>
      </c>
      <c r="D11" s="19">
        <f>IFERROR(C11/'Consumo y Reposición'!$B$10,"")</f>
        <v>0.02434146341463415</v>
      </c>
      <c r="E11" s="19">
        <f>IFERROR(D11+'Parámetros'!$B$11,"")</f>
        <v>0.04346104236200257</v>
      </c>
      <c r="F11" s="37">
        <f>IFERROR(C11*'Consumo y Reposición'!$B$12,"")</f>
        <v>216.82738095238096</v>
      </c>
      <c r="G11" s="35">
        <f>IFERROR(B11*'Consumo y Reposición'!$B$12,"")</f>
        <v>108.6309523809524</v>
      </c>
      <c r="H11" s="37">
        <f>IFERROR(F11-'Consumo y Reposición'!$B$13,"")</f>
        <v>-36.13789682539681</v>
      </c>
      <c r="I11">
        <f>IF(A11='Parámetros'!$B$21,"Tu ciclo","")</f>
        <v/>
      </c>
    </row>
    <row r="12">
      <c r="A12" s="16" t="n">
        <v>8</v>
      </c>
      <c r="B12" s="22">
        <f>IFERROR('Consumo y Reposición'!$B$5/A12,"")</f>
        <v>3.125</v>
      </c>
      <c r="C12" s="37">
        <f>IFERROR(B12*'Consumo y Reposición'!$B$8,"")</f>
        <v>6.2375</v>
      </c>
      <c r="D12" s="19">
        <f>IFERROR(C12/'Consumo y Reposición'!$B$10,"")</f>
        <v>0.02129878048780488</v>
      </c>
      <c r="E12" s="19">
        <f>IFERROR(D12+'Parámetros'!$B$11,"")</f>
        <v>0.0404183594351733</v>
      </c>
      <c r="F12" s="37">
        <f>IFERROR(C12*'Consumo y Reposición'!$B$12,"")</f>
        <v>189.72395833333334</v>
      </c>
      <c r="G12" s="35">
        <f>IFERROR(B12*'Consumo y Reposición'!$B$12,"")</f>
        <v>95.05208333333334</v>
      </c>
      <c r="H12" s="37">
        <f>IFERROR(F12-'Consumo y Reposición'!$B$13,"")</f>
        <v>-63.24131944444443</v>
      </c>
      <c r="I12">
        <f>IF(A12='Parámetros'!$B$21,"Tu ciclo","")</f>
        <v/>
      </c>
    </row>
    <row r="13">
      <c r="A13" s="16" t="n">
        <v>9</v>
      </c>
      <c r="B13" s="22">
        <f>IFERROR('Consumo y Reposición'!$B$5/A13,"")</f>
        <v>2.7777777777777777</v>
      </c>
      <c r="C13" s="37">
        <f>IFERROR(B13*'Consumo y Reposición'!$B$8,"")</f>
        <v>5.544444444444444</v>
      </c>
      <c r="D13" s="19">
        <f>IFERROR(C13/'Consumo y Reposición'!$B$10,"")</f>
        <v>0.018932249322493225</v>
      </c>
      <c r="E13" s="19">
        <f>IFERROR(D13+'Parámetros'!$B$11,"")</f>
        <v>0.03805182826986164</v>
      </c>
      <c r="F13" s="37">
        <f>IFERROR(C13*'Consumo y Reposición'!$B$12,"")</f>
        <v>168.64351851851853</v>
      </c>
      <c r="G13" s="35">
        <f>IFERROR(B13*'Consumo y Reposición'!$B$12,"")</f>
        <v>84.49074074074075</v>
      </c>
      <c r="H13" s="37">
        <f>IFERROR(F13-'Consumo y Reposición'!$B$13,"")</f>
        <v>-84.32175925925924</v>
      </c>
      <c r="I13">
        <f>IF(A13='Parámetros'!$B$21,"Tu ciclo","")</f>
        <v/>
      </c>
    </row>
    <row r="14">
      <c r="A14" s="16" t="n">
        <v>10</v>
      </c>
      <c r="B14" s="22">
        <f>IFERROR('Consumo y Reposición'!$B$5/A14,"")</f>
        <v>2.5</v>
      </c>
      <c r="C14" s="37">
        <f>IFERROR(B14*'Consumo y Reposición'!$B$8,"")</f>
        <v>4.99</v>
      </c>
      <c r="D14" s="19">
        <f>IFERROR(C14/'Consumo y Reposición'!$B$10,"")</f>
        <v>0.017039024390243903</v>
      </c>
      <c r="E14" s="19">
        <f>IFERROR(D14+'Parámetros'!$B$11,"")</f>
        <v>0.036158603337612324</v>
      </c>
      <c r="F14" s="37">
        <f>IFERROR(C14*'Consumo y Reposición'!$B$12,"")</f>
        <v>151.77916666666667</v>
      </c>
      <c r="G14" s="35">
        <f>IFERROR(B14*'Consumo y Reposición'!$B$12,"")</f>
        <v>76.04166666666667</v>
      </c>
      <c r="H14" s="37">
        <f>IFERROR(F14-'Consumo y Reposición'!$B$13,"")</f>
        <v>-101.1861111111111</v>
      </c>
      <c r="I14">
        <f>IF(A14='Parámetros'!$B$21,"Tu ciclo","")</f>
        <v/>
      </c>
    </row>
    <row r="15"/>
    <row r="16">
      <c r="A16" s="4" t="inlineStr">
        <is>
          <t>Tu Ciclo y el Punto Económico</t>
        </is>
      </c>
    </row>
    <row r="17" ht="30" customHeight="1">
      <c r="A17" s="6" t="inlineStr">
        <is>
          <t>Tu ciclo actual (días entre cambios)</t>
        </is>
      </c>
      <c r="F17" s="42">
        <f>'Parámetros'!$B$21</f>
        <v>6.0</v>
      </c>
      <c r="G17" t="inlineStr">
        <is>
          <t>días</t>
        </is>
      </c>
    </row>
    <row r="18" ht="30" customHeight="1">
      <c r="A18" s="6" t="inlineStr">
        <is>
          <t>Renovación al mes con tu ciclo</t>
        </is>
      </c>
      <c r="F18" s="43">
        <f>'Consumo y Reposición'!$B$13</f>
        <v>252.96527777777777</v>
      </c>
      <c r="G18" t="inlineStr">
        <is>
          <t>EUR/mes</t>
        </is>
      </c>
    </row>
    <row r="19" ht="30" customHeight="1">
      <c r="A19" s="6" t="inlineStr">
        <is>
          <t>Lo que te cuesta cambiar un día antes</t>
        </is>
      </c>
      <c r="F19" s="33">
        <f>IFERROR('Consumo y Reposición'!$B$5*'Consumo y Reposición'!$B$8*'Consumo y Reposición'!$B$12*(1/(F17-1)-1/F17),"")</f>
        <v>50.59305555555559</v>
      </c>
      <c r="G19" t="inlineStr">
        <is>
          <t>EUR/mes más</t>
        </is>
      </c>
    </row>
    <row r="20" ht="30" customHeight="1">
      <c r="A20" s="6" t="inlineStr">
        <is>
          <t>Lo que ahorras alargando un día (si el medidor te deja)</t>
        </is>
      </c>
      <c r="F20" s="33">
        <f>IFERROR('Consumo y Reposición'!$B$5*'Consumo y Reposición'!$B$8*'Consumo y Reposición'!$B$12*(1/F17-1/(F17+1)),"")</f>
        <v>36.13789682539682</v>
      </c>
      <c r="G20" t="inlineStr">
        <is>
          <t>EUR/mes menos</t>
        </is>
      </c>
    </row>
    <row r="21" ht="30" customHeight="1">
      <c r="A21" s="6" t="inlineStr">
        <is>
          <t>Días a partir de los cuales lo que tiras al cambiar cuesta menos por ración que lo que se lleva la masa</t>
        </is>
      </c>
      <c r="F21" s="38">
        <f>IFERROR('Consumo y Reposición'!$B$5*'Consumo y Reposición'!$B$8/('Consumo y Reposición'!$B$10*'Parámetros'!$B$11),"")</f>
        <v>8.911819887429644</v>
      </c>
      <c r="G21" t="inlineStr">
        <is>
          <t>días</t>
        </is>
      </c>
    </row>
    <row r="22" ht="48" customHeight="1">
      <c r="A22" s="32" t="inlineStr">
        <is>
          <t>Veredicto</t>
        </is>
      </c>
      <c r="F22" s="24" t="str">
        <f>IF(AND(ISNUMBER(F17),ISNUMBER(F21)),IF(F17&lt;F21,"Con tu ciclo, el aceite que tiras al cambiar cuesta más por ración que el que se lleva la masa: cada día que alargues, sin pasar del límite del medidor, se nota","Con tu ciclo, lo que tiras al cambiar ya cuesta menos por ración que lo que se lleva la masa: alargar más ahorra poco"),"")</f>
        <v>Con tu ciclo, el aceite que tiras al cambiar cuesta más por ración que el que se lleva la masa: cada día que alargues, sin pasar del límite del medidor, se nota</v>
      </c>
    </row>
    <row r="23" ht="30" customHeight="1">
      <c r="A23" s="6" t="inlineStr">
        <is>
          <t>El límite que no se negocia: compuestos polares por debajo de</t>
        </is>
      </c>
      <c r="F23" s="44">
        <f>'Parámetros'!$B$25</f>
        <v>0.25</v>
      </c>
    </row>
    <row r="24"/>
    <row r="25" ht="60" customHeight="1">
      <c r="A25" s="41" t="inlineStr">
        <is>
          <t>El día del cambio lo decide la lectura del medidor de mano, no esta tabla: anótala en tu registro del Pack APPCC (hoja «Control Aceite») y cambia antes de llegar al límite. El medidor es una ayuda para decidir; el 25 % legal se prueba en laboratorio, con el método del anexo 1 de la norma. Esta tabla sólo te dice cuánto dinero hay en juego en cada día que ganes o pierdas.</t>
        </is>
      </c>
    </row>
    <row r="26"/>
    <row r="27">
      <c r="A27"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9">
    <mergeCell ref="A23:E23"/>
    <mergeCell ref="A25:I25"/>
    <mergeCell ref="F22:I22"/>
    <mergeCell ref="A19:E19"/>
    <mergeCell ref="A21:E21"/>
    <mergeCell ref="A22:E22"/>
    <mergeCell ref="A17:E17"/>
    <mergeCell ref="A20:E20"/>
    <mergeCell ref="A18:E18"/>
  </mergeCells>
  <conditionalFormatting sqref="H7:H14">
    <cfRule type="expression" priority="1" dxfId="1" stopIfTrue="1">
      <formula>=AND(ISNUMBER($H7),$H7&gt;0)</formula>
    </cfRule>
  </conditionalFormatting>
  <conditionalFormatting sqref="I7:I14">
    <cfRule type="cellIs" priority="2" operator="equal" dxfId="0" stopIfTrue="1">
      <formula>"Tu ciclo"</formula>
    </cfRule>
  </conditionalFormatting>
  <conditionalFormatting sqref="F22">
    <cfRule type="cellIs" priority="3" operator="equal" dxfId="2" stopIfTrue="1">
      <formula>"Con tu ciclo, el aceite que tiras al cambiar cuesta más por ración que el que se lleva la masa: cada día que alargues, sin pasar del límite del medidor, se nota"</formula>
    </cfRule>
    <cfRule type="cellIs" priority="4" operator="equal" dxfId="0" stopIfTrue="1">
      <formula>"Con tu ciclo, lo que tiras al cambiar ya cuesta menos por ración que lo que se lleva la masa: alargar más ahorra poco"</formula>
    </cfRule>
  </conditionalFormatting>
  <dataValidations count="8">
    <dataValidation sqref="A7" showDropDown="0" showInputMessage="0" showErrorMessage="1" allowBlank="1" errorTitle="Importe no válido" error="Escribe un número mayor o igual que 1." type="decimal" operator="greaterThanOrEqual">
      <formula1>1</formula1>
    </dataValidation>
    <dataValidation sqref="A8" showDropDown="0" showInputMessage="0" showErrorMessage="1" allowBlank="1" errorTitle="Importe no válido" error="Escribe un número mayor o igual que 1." type="decimal" operator="greaterThanOrEqual">
      <formula1>1</formula1>
    </dataValidation>
    <dataValidation sqref="A9" showDropDown="0" showInputMessage="0" showErrorMessage="1" allowBlank="1" errorTitle="Importe no válido" error="Escribe un número mayor o igual que 1." type="decimal" operator="greaterThanOrEqual">
      <formula1>1</formula1>
    </dataValidation>
    <dataValidation sqref="A10" showDropDown="0" showInputMessage="0" showErrorMessage="1" allowBlank="1" errorTitle="Importe no válido" error="Escribe un número mayor o igual que 1." type="decimal" operator="greaterThanOrEqual">
      <formula1>1</formula1>
    </dataValidation>
    <dataValidation sqref="A11" showDropDown="0" showInputMessage="0" showErrorMessage="1" allowBlank="1" errorTitle="Importe no válido" error="Escribe un número mayor o igual que 1." type="decimal" operator="greaterThanOrEqual">
      <formula1>1</formula1>
    </dataValidation>
    <dataValidation sqref="A12" showDropDown="0" showInputMessage="0" showErrorMessage="1" allowBlank="1" errorTitle="Importe no válido" error="Escribe un número mayor o igual que 1." type="decimal" operator="greaterThanOrEqual">
      <formula1>1</formula1>
    </dataValidation>
    <dataValidation sqref="A13" showDropDown="0" showInputMessage="0" showErrorMessage="1" allowBlank="1" errorTitle="Importe no válido" error="Escribe un número mayor o igual que 1." type="decimal" operator="greaterThanOrEqual">
      <formula1>1</formula1>
    </dataValidation>
    <dataValidation sqref="A14" showDropDown="0" showInputMessage="0" showErrorMessage="1" allowBlank="1" errorTitle="Importe no válido" error="Escribe un número mayor o igual que 1." type="decimal" operator="greaterThanOrEqual">
      <formula1>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16"/>
  <sheetViews>
    <sheetView workbookViewId="0">
      <pane ySplit="6" topLeftCell="A7" activePane="bottomLeft" state="frozen"/>
      <selection pane="bottomLef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17" customWidth="1" min="7" max="7"/>
    <col width="17" customWidth="1" min="8" max="8"/>
    <col width="17" customWidth="1" min="9" max="9"/>
    <col width="17" customWidth="1" min="10" max="10"/>
  </cols>
  <sheetData>
    <row r="1">
      <c r="A1" s="1" t="inlineStr">
        <is>
          <t>Escenarios de Precio del Aceite</t>
        </is>
      </c>
    </row>
    <row r="2">
      <c r="A2" s="2" t="inlineStr">
        <is>
          <t>AI Chef Pro · aichef.pro — Cómo Montar una Churrería-Chocolatería</t>
        </is>
      </c>
    </row>
    <row r="3">
      <c r="A3" s="3" t="inlineStr">
        <is>
          <t>Tres subidas sobre el precio de hoy. Sólo se teclea el porcentaje: lo demás sale solo.</t>
        </is>
      </c>
    </row>
    <row r="4">
      <c r="A4" s="4" t="inlineStr">
        <is>
          <t>Lo que Te Hace una Subida del Aceite</t>
        </is>
      </c>
    </row>
    <row r="5"/>
    <row r="6" ht="58" customHeight="1">
      <c r="A6" s="9" t="inlineStr">
        <is>
          <t>Escenario</t>
        </is>
      </c>
      <c r="B6" s="9" t="inlineStr">
        <is>
          <t>Subida sobre el precio de hoy</t>
        </is>
      </c>
      <c r="C6" s="9" t="inlineStr">
        <is>
          <t>Precio del aceite (EUR/L)</t>
        </is>
      </c>
      <c r="D6" s="9" t="inlineStr">
        <is>
          <t>Aceite absorbido por ración (EUR)</t>
        </is>
      </c>
      <c r="E6" s="9" t="inlineStr">
        <is>
          <t>Renovación por ración (EUR)</t>
        </is>
      </c>
      <c r="F6" s="9" t="inlineStr">
        <is>
          <t>Aceite total por ración (EUR)</t>
        </is>
      </c>
      <c r="G6" s="9" t="inlineStr">
        <is>
          <t>Aceite que compras al mes (EUR)</t>
        </is>
      </c>
      <c r="H6" s="9" t="inlineStr">
        <is>
          <t>Margen que pierdes por ración (EUR)</t>
        </is>
      </c>
      <c r="I6" s="9" t="inlineStr">
        <is>
          <t>Margen que pierdes al mes (EUR)</t>
        </is>
      </c>
      <c r="J6" s="9" t="inlineStr">
        <is>
          <t>Margen que pierdes al año (EUR)</t>
        </is>
      </c>
    </row>
    <row r="7">
      <c r="A7" s="32" t="inlineStr">
        <is>
          <t>Hoy</t>
        </is>
      </c>
      <c r="B7" t="inlineStr">
        <is>
          <t>precio de hoy</t>
        </is>
      </c>
      <c r="C7" s="19">
        <f>'Parámetros'!$B$7</f>
        <v>1.996</v>
      </c>
      <c r="D7" s="19">
        <f>IFERROR('Parámetros'!$B$11*C7/$C$7,"")</f>
        <v>0.01911957894736842</v>
      </c>
      <c r="E7" s="19">
        <f>IFERROR('Consumo y Reposición'!$B$7*C7/'Consumo y Reposición'!$B$10,"")</f>
        <v>0.02839837398373984</v>
      </c>
      <c r="F7" s="45">
        <f>IFERROR(D7+E7,"")</f>
        <v>0.04751795293110826</v>
      </c>
      <c r="G7" s="37">
        <f>IFERROR('Consumo y Reposición'!$E$27*C7,"")</f>
        <v>423.04467539682537</v>
      </c>
      <c r="H7" s="19">
        <f>IFERROR(F7-$F$7,"")</f>
        <v>0.0</v>
      </c>
      <c r="I7" s="43">
        <f>IFERROR(G7-$G$7,"")</f>
        <v>0.0</v>
      </c>
      <c r="J7" s="37">
        <f>IFERROR(I7*12,"")</f>
        <v>0.0</v>
      </c>
    </row>
    <row r="8">
      <c r="A8" s="32" t="inlineStr">
        <is>
          <t>Subida 1</t>
        </is>
      </c>
      <c r="B8" s="12" t="n">
        <v>0.1</v>
      </c>
      <c r="C8" s="19">
        <f>IFERROR($C$7*(1+B8),"")</f>
        <v>2.1956</v>
      </c>
      <c r="D8" s="19">
        <f>IFERROR('Parámetros'!$B$11*C8/$C$7,"")</f>
        <v>0.021031536842105264</v>
      </c>
      <c r="E8" s="19">
        <f>IFERROR('Consumo y Reposición'!$B$7*C8/'Consumo y Reposición'!$B$10,"")</f>
        <v>0.03123821138211383</v>
      </c>
      <c r="F8" s="45">
        <f>IFERROR(D8+E8,"")</f>
        <v>0.05226974822421909</v>
      </c>
      <c r="G8" s="37">
        <f>IFERROR('Consumo y Reposición'!$E$27*C8,"")</f>
        <v>465.349142936508</v>
      </c>
      <c r="H8" s="19">
        <f>IFERROR(F8-$F$7,"")</f>
        <v>0.00475179529311083</v>
      </c>
      <c r="I8" s="43">
        <f>IFERROR(G8-$G$7,"")</f>
        <v>42.304467539682605</v>
      </c>
      <c r="J8" s="46">
        <f>IFERROR(I8*12,"")</f>
        <v>507.65361047619126</v>
      </c>
    </row>
    <row r="9">
      <c r="A9" s="32" t="inlineStr">
        <is>
          <t>Subida 2</t>
        </is>
      </c>
      <c r="B9" s="12" t="n">
        <v>0.2</v>
      </c>
      <c r="C9" s="19">
        <f>IFERROR($C$7*(1+B9),"")</f>
        <v>2.3952</v>
      </c>
      <c r="D9" s="19">
        <f>IFERROR('Parámetros'!$B$11*C9/$C$7,"")</f>
        <v>0.022943494736842106</v>
      </c>
      <c r="E9" s="19">
        <f>IFERROR('Consumo y Reposición'!$B$7*C9/'Consumo y Reposición'!$B$10,"")</f>
        <v>0.034078048780487806</v>
      </c>
      <c r="F9" s="45">
        <f>IFERROR(D9+E9,"")</f>
        <v>0.05702154351732991</v>
      </c>
      <c r="G9" s="37">
        <f>IFERROR('Consumo y Reposición'!$E$27*C9,"")</f>
        <v>507.65361047619047</v>
      </c>
      <c r="H9" s="19">
        <f>IFERROR(F9-$F$7,"")</f>
        <v>0.009503590586221647</v>
      </c>
      <c r="I9" s="43">
        <f>IFERROR(G9-$G$7,"")</f>
        <v>84.6089350793651</v>
      </c>
      <c r="J9" s="46">
        <f>IFERROR(I9*12,"")</f>
        <v>1015.3072209523812</v>
      </c>
    </row>
    <row r="10">
      <c r="A10" s="32" t="inlineStr">
        <is>
          <t>Subida 3</t>
        </is>
      </c>
      <c r="B10" s="12" t="n">
        <v>0.3</v>
      </c>
      <c r="C10" s="19">
        <f>IFERROR($C$7*(1+B10),"")</f>
        <v>2.5948</v>
      </c>
      <c r="D10" s="19">
        <f>IFERROR('Parámetros'!$B$11*C10/$C$7,"")</f>
        <v>0.02485545263157895</v>
      </c>
      <c r="E10" s="19">
        <f>IFERROR('Consumo y Reposición'!$B$7*C10/'Consumo y Reposición'!$B$10,"")</f>
        <v>0.0369178861788618</v>
      </c>
      <c r="F10" s="45">
        <f>IFERROR(D10+E10,"")</f>
        <v>0.061773338810440746</v>
      </c>
      <c r="G10" s="37">
        <f>IFERROR('Consumo y Reposición'!$E$27*C10,"")</f>
        <v>549.9580780158731</v>
      </c>
      <c r="H10" s="19">
        <f>IFERROR(F10-$F$7,"")</f>
        <v>0.014255385879332484</v>
      </c>
      <c r="I10" s="43">
        <f>IFERROR(G10-$G$7,"")</f>
        <v>126.9134026190477</v>
      </c>
      <c r="J10" s="46">
        <f>IFERROR(I10*12,"")</f>
        <v>1522.9608314285724</v>
      </c>
    </row>
    <row r="11"/>
    <row r="12">
      <c r="A12" s="4" t="inlineStr">
        <is>
          <t>Cómo Leerlo</t>
        </is>
      </c>
    </row>
    <row r="13" ht="48" customHeight="1">
      <c r="A13" s="7" t="inlineStr">
        <is>
          <t>Lo que sube por ración es lo que baja tu margen por ración si no tocas el PVP: para no perderlo, el PVP sin IVA tendría que subir esa misma cantidad. Sólo se mueve el aceite (el que se lleva la masa y el que tiras al cambiar); el resto del escandallo se queda donde estaba.</t>
        </is>
      </c>
    </row>
    <row r="14" ht="48" customHeight="1">
      <c r="A14" s="7" t="inlineStr">
        <is>
          <t>El margen que pierdes al mes sale del aceite que COMPRAS (la renovación más tu reposición medida), no de las raciones: es lo que de verdad sale de la caja. Si cambias el precio de la garrafa, hazlo en el libro 3 (allí se recalcula todo el coste de materia) y cópialo aquí.</t>
        </is>
      </c>
    </row>
    <row r="15"/>
    <row r="16">
      <c r="A16"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14:J14"/>
    <mergeCell ref="A13:J13"/>
  </mergeCells>
  <conditionalFormatting sqref="I8:I10">
    <cfRule type="expression" priority="1" dxfId="1" stopIfTrue="1">
      <formula>=AND(ISNUMBER($I8),$I8&gt;0)</formula>
    </cfRule>
  </conditionalFormatting>
  <dataValidations count="3">
    <dataValidation sqref="B8" showDropDown="0" showInputMessage="1" showErrorMessage="1" allowBlank="1" errorTitle="Porcentaje" error="Escribe un porcentaje entre 0 y 5 (0,20 = 20 %)." promptTitle="Porcentaje" prompt="Se escribe en tanto por uno: 0,20 = 20 %." type="decimal" operator="between">
      <formula1>0</formula1>
      <formula2>5</formula2>
    </dataValidation>
    <dataValidation sqref="B9" showDropDown="0" showInputMessage="1" showErrorMessage="1" allowBlank="1" errorTitle="Porcentaje" error="Escribe un porcentaje entre 0 y 5 (0,20 = 20 %)." promptTitle="Porcentaje" prompt="Se escribe en tanto por uno: 0,20 = 20 %." type="decimal" operator="between">
      <formula1>0</formula1>
      <formula2>5</formula2>
    </dataValidation>
    <dataValidation sqref="B10" showDropDown="0" showInputMessage="1" showErrorMessage="1" allowBlank="1" errorTitle="Porcentaje" error="Escribe un porcentaje entre 0 y 5 (0,20 = 20 %)." promptTitle="Porcentaje" prompt="Se escribe en tanto por uno: 0,20 = 20 %." type="decimal" operator="between">
      <formula1>0</formula1>
      <formula2>5</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D24"/>
  <sheetViews>
    <sheetView workbookViewId="0">
      <selection activeCell="A1" sqref="A1"/>
    </sheetView>
  </sheetViews>
  <sheetFormatPr baseColWidth="8" defaultRowHeight="15"/>
  <cols>
    <col width="62" customWidth="1" min="1" max="1"/>
    <col width="16" customWidth="1" min="2" max="2"/>
    <col width="14" customWidth="1" min="3" max="3"/>
    <col width="60" customWidth="1" min="4" max="4"/>
  </cols>
  <sheetData>
    <row r="1">
      <c r="A1" s="1" t="inlineStr">
        <is>
          <t>Gestor de Aceite Usado</t>
        </is>
      </c>
    </row>
    <row r="2">
      <c r="A2" s="2" t="inlineStr">
        <is>
          <t>AI Chef Pro · aichef.pro — Cómo Montar una Churrería-Chocolatería</t>
        </is>
      </c>
    </row>
    <row r="3">
      <c r="A3" s="3" t="inlineStr">
        <is>
          <t>El aceite que tiras al cambiar la cuba sale por la puerta de atrás hacia un gestor autorizado. Aquí, cuánto, cuánto cuesta y qué papeles guardas.</t>
        </is>
      </c>
    </row>
    <row r="4">
      <c r="A4" s="4" t="inlineStr">
        <is>
          <t>Lo que Se Lleva el Gestor</t>
        </is>
      </c>
    </row>
    <row r="5">
      <c r="A5" s="25" t="inlineStr">
        <is>
          <t>Litros renovados por día</t>
        </is>
      </c>
      <c r="B5" s="29">
        <f>'Consumo y Reposición'!$B$7</f>
        <v>4.166666666666667</v>
      </c>
      <c r="C5" t="inlineStr">
        <is>
          <t>L/día</t>
        </is>
      </c>
    </row>
    <row r="6">
      <c r="A6" s="25" t="inlineStr">
        <is>
          <t>Días naturales por mes (media)</t>
        </is>
      </c>
      <c r="B6" s="29">
        <f>'Parámetros'!$B$32</f>
        <v>30.416666666666668</v>
      </c>
      <c r="C6" t="inlineStr">
        <is>
          <t>días</t>
        </is>
      </c>
    </row>
    <row r="7" ht="30" customHeight="1">
      <c r="A7" s="32" t="inlineStr">
        <is>
          <t>LITROS AL GESTOR AL MES</t>
        </is>
      </c>
      <c r="B7" s="38">
        <f>IFERROR(B5*B6,"")</f>
        <v>126.73611111111113</v>
      </c>
      <c r="C7" t="inlineStr">
        <is>
          <t>L/mes</t>
        </is>
      </c>
      <c r="D7" s="11" t="inlineStr">
        <is>
          <t>Sólo el aceite de los cambios de cuba: la reposición se la lleva la masa.</t>
        </is>
      </c>
    </row>
    <row r="8">
      <c r="A8" s="25" t="inlineStr">
        <is>
          <t>Litros al gestor al año</t>
        </is>
      </c>
      <c r="B8" s="28">
        <f>IFERROR(B5*'Parámetros'!$B$31,"")</f>
        <v>1520.8333333333335</v>
      </c>
      <c r="C8" t="inlineStr">
        <is>
          <t>L/año</t>
        </is>
      </c>
    </row>
    <row r="9">
      <c r="A9" s="25" t="inlineStr">
        <is>
          <t>Lo que te cobra el gestor al mes (base imponible)</t>
        </is>
      </c>
      <c r="B9" s="31">
        <f>'Parámetros'!$B$24</f>
        <v>0.0</v>
      </c>
      <c r="C9" t="inlineStr">
        <is>
          <t>EUR/mes</t>
        </is>
      </c>
    </row>
    <row r="10">
      <c r="A10" s="25" t="inlineStr">
        <is>
          <t>Lo que te cobra el gestor al año</t>
        </is>
      </c>
      <c r="B10" s="31">
        <f>IFERROR(B9*12,"")</f>
        <v>0.0</v>
      </c>
      <c r="C10" t="inlineStr">
        <is>
          <t>EUR/año</t>
        </is>
      </c>
    </row>
    <row r="11" ht="30" customHeight="1">
      <c r="A11" s="25" t="inlineStr">
        <is>
          <t>Coste del gestor por ración</t>
        </is>
      </c>
      <c r="B11" s="30">
        <f>IFERROR(B9/('Consumo y Reposición'!$B$10*B6),"")</f>
        <v>0.0</v>
      </c>
      <c r="C11" t="inlineStr">
        <is>
          <t>EUR/ración</t>
        </is>
      </c>
      <c r="D11" s="11" t="inlineStr">
        <is>
          <t>Con un gestor que recoge sin cobrar, cero. Lo que no puede faltar es el justificante de cada retirada.</t>
        </is>
      </c>
    </row>
    <row r="12"/>
    <row r="13">
      <c r="A13" s="4" t="inlineStr">
        <is>
          <t>Contraste con tu Registro de Retiradas</t>
        </is>
      </c>
    </row>
    <row r="14">
      <c r="A14" s="6" t="inlineStr">
        <is>
          <t>Litros que retiró tu gestor el último mes (Parámetros)</t>
        </is>
      </c>
      <c r="B14" s="35">
        <f>'Parámetros'!$B$26</f>
        <v>126.7</v>
      </c>
    </row>
    <row r="15">
      <c r="A15" s="6" t="inlineStr">
        <is>
          <t>Diferencia frente a los litros que calcula este libro</t>
        </is>
      </c>
      <c r="B15" s="20">
        <f>IFERROR(B14/B7-1,"")</f>
        <v>-0.00028493150684938406</v>
      </c>
    </row>
    <row r="16" ht="34" customHeight="1">
      <c r="A16" s="32" t="inlineStr">
        <is>
          <t>Contraste</t>
        </is>
      </c>
      <c r="B16" s="24" t="str">
        <f>IF(ISNUMBER(B15),IF(B15&lt;-'Parámetros'!$B$33,"El gestor se lleva menos aceite del que renuevas: averigua a dónde va el resto",IF(B15&gt;'Parámetros'!$B$33,"El gestor se lleva más aceite del que calcula este libro: revisa los días entre cambios y los litros de cuba","Cuadra con tu registro de retiradas")),"")</f>
        <v>Cuadra con tu registro de retiradas</v>
      </c>
    </row>
    <row r="17"/>
    <row r="18">
      <c r="A18" s="4" t="inlineStr">
        <is>
          <t>Obligaciones y Papeles que Guardas</t>
        </is>
      </c>
    </row>
    <row r="19" ht="40" customHeight="1">
      <c r="A19" s="7" t="inlineStr">
        <is>
          <t>El aceite de cocina usado de la hostelería tiene recogida separada obligatoria desde el 30 de junio de 2022: contrato con un gestor autorizado y archivo de los justificantes de cada retirada.</t>
        </is>
      </c>
    </row>
    <row r="20" ht="40" customHeight="1">
      <c r="A20" s="7" t="inlineStr">
        <is>
          <t>Cada retirada se anota en el registro del Pack APPCC, fichero 09-control-aceite-fritura.xlsx, hoja «Retirada de aceite usado» (fecha, litros, gestor, número de documento y firma). Este libro no lo duplica: sólo contrasta los litros del mes.</t>
        </is>
      </c>
    </row>
    <row r="21" ht="30" customHeight="1">
      <c r="A21" s="7" t="inlineStr">
        <is>
          <t>La prohibición de verter el aceite por el desagüe la fijan las ordenanzas municipales: mira la de tu ayuntamiento.</t>
        </is>
      </c>
    </row>
    <row r="22" ht="58" customHeight="1">
      <c r="A22" s="7" t="inlineStr">
        <is>
          <t>Ejemplo de gestor para Madrid, sin relación comercial: Reseave (Mejorada del Campo, Madrid). Gestor autorizado de aceite de cocina usado. Ejemplo para Madrid, sin relación comercial: entrega documento de identificación, contrato y certificado de eliminación. El de El Molinete recoge sin coste a cambio de obsequios, servicios gratuitos o valoración económica; pide el tuyo en tu ciudad.</t>
        </is>
      </c>
    </row>
    <row r="23"/>
    <row r="24">
      <c r="A24"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5">
    <mergeCell ref="A19:D19"/>
    <mergeCell ref="A21:D21"/>
    <mergeCell ref="B16:D16"/>
    <mergeCell ref="A22:D22"/>
    <mergeCell ref="A20:D20"/>
  </mergeCells>
  <conditionalFormatting sqref="B16">
    <cfRule type="cellIs" priority="1" operator="equal" dxfId="0" stopIfTrue="1">
      <formula>"Cuadra con tu registro de retiradas"</formula>
    </cfRule>
    <cfRule type="cellIs" priority="2" operator="equal" dxfId="1" stopIfTrue="1">
      <formula>"El gestor se lleva menos aceite del que renuevas: averigua a dónde va el resto"</formula>
    </cfRule>
    <cfRule type="cellIs" priority="3" operator="equal" dxfId="2" stopIfTrue="1">
      <formula>"El gestor se lleva más aceite del que calcula este libro: revisa los días entre cambios y los litros de cuba"</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Aceite de Fritura: Coste y Cambio</dc:title>
  <dc:subject xmlns:dc="http://purl.org/dc/elements/1.1/">Cómo Montar una Churrería-Chocolatería · Versión 1.0 · octubre 2026</dc:subject>
  <dcterms:created xmlns:dcterms="http://purl.org/dc/terms/" xmlns:xsi="http://www.w3.org/2001/XMLSchema-instance" xsi:type="dcterms:W3CDTF">2026-10-03T08:37:02Z</dcterms:created>
  <dcterms:modified xmlns:dcterms="http://purl.org/dc/terms/" xmlns:xsi="http://www.w3.org/2001/XMLSchema-instance" xsi:type="dcterms:W3CDTF">2026-10-03T08:37:02Z</dcterms:modified>
  <cp:lastModifiedBy>AI Chef Pro</cp:lastModifiedBy>
</cp:coreProperties>
</file>