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PEX por Bloque" sheetId="3" state="visible" r:id="rId3"/>
    <sheet xmlns:r="http://schemas.openxmlformats.org/officeDocument/2006/relationships" name="Equipamiento Línea a Línea" sheetId="4" state="visible" r:id="rId4"/>
    <sheet xmlns:r="http://schemas.openxmlformats.org/officeDocument/2006/relationships" name="Variante del Formato" sheetId="5" state="visible" r:id="rId5"/>
    <sheet xmlns:r="http://schemas.openxmlformats.org/officeDocument/2006/relationships" name="Franquicia o Independiente" sheetId="6" state="visible" r:id="rId6"/>
    <sheet xmlns:r="http://schemas.openxmlformats.org/officeDocument/2006/relationships" name="Traspaso vs Obra Nueva" sheetId="7" state="visible" r:id="rId7"/>
    <sheet xmlns:r="http://schemas.openxmlformats.org/officeDocument/2006/relationships" name="IVA y Tesorería" sheetId="8" state="visible" r:id="rId8"/>
    <sheet xmlns:r="http://schemas.openxmlformats.org/officeDocument/2006/relationships" name="Proveedores" sheetId="9" state="visible" r:id="rId9"/>
    <sheet xmlns:r="http://schemas.openxmlformats.org/officeDocument/2006/relationships" name="Resumen" sheetId="10" state="visible" r:id="rId10"/>
  </sheets>
  <definedNames>
    <definedName name="_xlnm.Print_Titles" localSheetId="1">'Parámetros'!$4:$4</definedName>
    <definedName name="_xlnm.Print_Titles" localSheetId="2">'CAPEX por Bloque'!$5:$5</definedName>
    <definedName name="_xlnm.Print_Titles" localSheetId="3">'Equipamiento Línea a Línea'!$5:$5</definedName>
    <definedName name="_xlnm.Print_Titles" localSheetId="4">'Variante del Formato'!$5:$5</definedName>
    <definedName name="_xlnm.Print_Titles" localSheetId="5">'Franquicia o Independiente'!$5:$5</definedName>
    <definedName name="_xlnm.Print_Titles" localSheetId="6">'Traspaso vs Obra Nueva'!$5:$5</definedName>
    <definedName name="_xlnm.Print_Titles" localSheetId="7">'IVA y Tesorería'!$5:$5</definedName>
    <definedName name="_xlnm.Print_Titles" localSheetId="8">'Proveedores'!$5:$5</definedName>
    <definedName name="_xlnm.Print_Titles" localSheetId="9">'Resumen'!$5:$5</definedName>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
    <numFmt numFmtId="167" formatCode="#,##0.000"/>
    <numFmt numFmtId="168" formatCode="yyyy-mm-dd h:mm:ss"/>
    <numFmt numFmtId="169" formatCode="dd/mm/yyyy"/>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b val="1"/>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6">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0" fontId="10" fillId="0" borderId="0" applyAlignment="1" pivotButton="0" quotePrefix="0" xfId="0">
      <alignment horizontal="general" vertical="top" wrapText="1"/>
    </xf>
    <xf numFmtId="166" fontId="1" fillId="4" borderId="0" pivotButton="0" quotePrefix="0" xfId="0"/>
    <xf numFmtId="0" fontId="9" fillId="0" borderId="0" applyAlignment="1" pivotButton="0" quotePrefix="0" xfId="0">
      <alignment horizontal="general" vertical="top" wrapText="1"/>
    </xf>
    <xf numFmtId="164" fontId="0" fillId="2" borderId="0" applyProtection="1" pivotButton="0" quotePrefix="0" xfId="0">
      <protection locked="0" hidden="0"/>
    </xf>
    <xf numFmtId="165" fontId="0" fillId="4"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0" fontId="9" fillId="0" borderId="0" pivotButton="0" quotePrefix="0" xfId="0"/>
    <xf numFmtId="0" fontId="11" fillId="0" borderId="0" applyAlignment="1" pivotButton="0" quotePrefix="0" xfId="0">
      <alignment horizontal="general" vertical="top" wrapText="1"/>
    </xf>
    <xf numFmtId="0" fontId="1" fillId="4" borderId="0" pivotButton="0" quotePrefix="0" xfId="0"/>
    <xf numFmtId="167" fontId="0" fillId="2" borderId="0" applyProtection="1" pivotButton="0" quotePrefix="0" xfId="0">
      <protection locked="0" hidden="0"/>
    </xf>
    <xf numFmtId="164" fontId="0" fillId="0" borderId="0" pivotButton="0" quotePrefix="0" xfId="0"/>
    <xf numFmtId="165" fontId="0" fillId="2" borderId="0" applyProtection="1" pivotButton="0" quotePrefix="0" xfId="0">
      <protection locked="0" hidden="0"/>
    </xf>
    <xf numFmtId="0" fontId="12" fillId="0" borderId="0" pivotButton="0" quotePrefix="0" xfId="0"/>
    <xf numFmtId="0" fontId="1" fillId="0" borderId="0" pivotButton="0" quotePrefix="0" xfId="0"/>
    <xf numFmtId="166" fontId="0" fillId="0" borderId="0" pivotButton="0" quotePrefix="0" xfId="0"/>
    <xf numFmtId="167" fontId="0" fillId="0" borderId="0" pivotButton="0" quotePrefix="0" xfId="0"/>
    <xf numFmtId="166" fontId="1" fillId="0" borderId="0" pivotButton="0" quotePrefix="0" xfId="0"/>
    <xf numFmtId="164" fontId="1" fillId="4" borderId="0" pivotButton="0" quotePrefix="0" xfId="0"/>
    <xf numFmtId="0" fontId="4" fillId="0" borderId="0" applyAlignment="1" pivotButton="0" quotePrefix="0" xfId="0">
      <alignment horizontal="general" vertical="top" wrapText="1"/>
    </xf>
    <xf numFmtId="169" fontId="0" fillId="0" borderId="0" pivotButton="0" quotePrefix="0" xfId="0"/>
    <xf numFmtId="164" fontId="1" fillId="0" borderId="0" pivotButton="0" quotePrefix="0" xfId="0"/>
    <xf numFmtId="0" fontId="1" fillId="0" borderId="0" applyAlignment="1" pivotButton="0" quotePrefix="0" xfId="0">
      <alignment horizontal="general" vertical="top" wrapText="1"/>
    </xf>
    <xf numFmtId="3" fontId="1" fillId="4" borderId="0" pivotButton="0" quotePrefix="0" xfId="0"/>
    <xf numFmtId="166" fontId="0" fillId="4"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6"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10" authorId="0" shapeId="0">
      <text>
        <t>Fuente: CHS-37a · fiabilidad media · https://www.milanuncios.com/traspasos/chocolateria.htm | CUS-02 · fiabilidad media · https://www.milanuncios.com/otros-traspasos/vallecas-c-de-villacanas-604310907.htm</t>
      </text>
    </comment>
    <comment ref="B12" authorId="0" shapeId="0">
      <text>
        <t>Fuente: CUS-02 · fiabilidad media · https://www.milanuncios.com/otros-traspasos/vallecas-c-de-villacanas-604310907.htm</t>
      </text>
    </comment>
  </commentList>
</comments>
</file>

<file path=xl/comments/comment2.xml><?xml version="1.0" encoding="utf-8"?>
<comments xmlns="http://schemas.openxmlformats.org/spreadsheetml/2006/main">
  <authors>
    <author>AI Chef Pro</author>
  </authors>
  <commentList>
    <comment ref="C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8"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P9" authorId="0" shapeId="0">
      <text>
        <t>Suma su importe sólo si la celda del libro 1 copiada en «Parámetros» (cruce X9) vale 1.</t>
      </text>
    </comment>
    <comment ref="F16" authorId="0" shapeId="0">
      <text>
        <t>Fuente: CUS-21 · fiabilidad alta · https://www.churrofacil.com/tienda/es/accesorios-y-consumibles/13-preparado-para-masa-de-churro-de-lazo-o-relleno-pack-de-3-cajas.html</t>
      </text>
    </comment>
    <comment ref="F17" authorId="0" shapeId="0">
      <text>
        <t>Fuente: CUS-23 · fiabilidad alta · https://www.churrofacil.com/tienda/es/accesorios-y-consumibles/82-aceite-girasol-profesional-25-litros-alto-rendimiento.html</t>
      </text>
    </comment>
    <comment ref="F18" authorId="0" shapeId="0">
      <text>
        <t>Fuente: CUS-24 · fiabilidad alta · https://www.churrofacil.com/tienda/es/accesorios-y-consumibles/14-chocolate-a-la-taza-en-polvo.html</t>
      </text>
    </comment>
    <comment ref="F19" authorId="0" shapeId="0">
      <text>
        <t>Fuente: CUS-24 · fiabilidad alta · https://www.churrofacil.com/tienda/es/accesorios-y-consumibles/14-chocolate-a-la-taza-en-polvo.html</t>
      </text>
    </comment>
    <comment ref="F20" authorId="0" shapeId="0">
      <text>
        <t>Fuente: CUS-25 · fiabilidad media · https://www.churrofacil.com/tienda/es/30-accesorios-y-consumibles</t>
      </text>
    </comment>
    <comment ref="L21" authorId="0" shapeId="0">
      <text>
        <t>Verificado el 03-10-2026 · Ley 7/2022 (BOE-A-2022-5809), art. 55 y anexo IV, partes A y B · https://www.boe.es/buscar/act.php?id=BOE-A-2022-5809</t>
      </text>
    </comment>
  </commentList>
</comments>
</file>

<file path=xl/comments/comment3.xml><?xml version="1.0" encoding="utf-8"?>
<comments xmlns="http://schemas.openxmlformats.org/spreadsheetml/2006/main">
  <authors>
    <author>AI Chef Pro</author>
  </authors>
  <commentList>
    <comment ref="I6" authorId="0" shapeId="0">
      <text>
        <t>Fuente: CUS-33a · fiabilidad media · https://hosteleria10.com/cocina/churreras/</t>
      </text>
    </comment>
    <comment ref="Z6" authorId="0" shapeId="0">
      <text>
        <t>Verificado el 03-10-2026 · Código Técnico de la Edificación, DB-SI Seguridad en caso de incendio, SI 1 tabla 2.1 notas (2) y (3) y SI 4 tabla 1.1 (última modificación del DB: RD 164/2025) · https://www.codigotecnico.org/pdf/Documentos/SI/DBSI.pdf</t>
      </text>
    </comment>
    <comment ref="I7" authorId="0" shapeId="0">
      <text>
        <t>Fuente: CUS-34c · fiabilidad media · https://hosteleria10.com/cocina/churreras/</t>
      </text>
    </comment>
    <comment ref="I8" authorId="0" shapeId="0">
      <text>
        <t>Fuente: CUS-35a · fiabilidad alta · https://www.churrofacil.com/tienda/es/amasadoras/26-amasadora-automatica.html</t>
      </text>
    </comment>
    <comment ref="I9" authorId="0" shapeId="0">
      <text>
        <t>Fuente: CUS-36a · fiabilidad alta · https://www.churrofacil.com/tienda/es/campanas-extractoras/28-campana-extractora-industrial.html</t>
      </text>
    </comment>
    <comment ref="I10" authorId="0" shapeId="0">
      <text>
        <t>Fuente: CUS-37a · fiabilidad media · https://hosteleria10.com/negocios/churreria/</t>
      </text>
    </comment>
    <comment ref="I11" authorId="0" shapeId="0">
      <text>
        <t>Fuente: CUS-39 · fiabilidad media · https://hosteleria10.com/cocina/churreras/</t>
      </text>
    </comment>
    <comment ref="I12" authorId="0" shapeId="0">
      <text>
        <t>Fuente: CUS-41 · fiabilidad media · https://hosteleria10.com/cocina/churreras/</t>
      </text>
    </comment>
    <comment ref="I13" authorId="0" shapeId="0">
      <text>
        <t>Fuente: CUS-38 · fiabilidad alta · https://www.infoagro.com/instrumentos_medida/medidor_imprimir.asp?id=7558</t>
      </text>
    </comment>
    <comment ref="I15" authorId="0" shapeId="0">
      <text>
        <t>Fuente: CUS-32a · fiabilidad media · https://hosteleria10.com/cocina/churreras/</t>
      </text>
    </comment>
    <comment ref="I16" authorId="0" shapeId="0">
      <text>
        <t>Fuente: CUS-35a · fiabilidad alta · https://www.churrofacil.com/tienda/es/amasadoras/26-amasadora-automatica.html</t>
      </text>
    </comment>
    <comment ref="I17" authorId="0" shapeId="0">
      <text>
        <t>Fuente: CUS-35a · fiabilidad alta · https://www.churrofacil.com/tienda/es/amasadoras/26-amasadora-automatica.html</t>
      </text>
    </comment>
    <comment ref="I18" authorId="0" shapeId="0">
      <text>
        <t>Fuente: CUS-39 · fiabilidad media · https://hosteleria10.com/cocina/churreras/</t>
      </text>
    </comment>
    <comment ref="I19" authorId="0" shapeId="0">
      <text>
        <t>Fuente: CUS-33b · fiabilidad media · https://hosteleria10.com/cocina/churreras/</t>
      </text>
    </comment>
    <comment ref="Z20"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Z30" authorId="0" shapeId="0">
      <text>
        <t>Verificado el 03-10-2026 · Reglamento de instalaciones de protección contra incendios (RD 513/2017, BOE-A-2017-6606), texto consolidado · «Última actualización publicada el 03/09/2025», anexo I · https://www.boe.es/buscar/act.php?id=BOE-A-2017-6606</t>
      </text>
    </comment>
  </commentList>
</comments>
</file>

<file path=xl/comments/comment4.xml><?xml version="1.0" encoding="utf-8"?>
<comments xmlns="http://schemas.openxmlformats.org/spreadsheetml/2006/main">
  <authors>
    <author>AI Chef Pro</author>
  </authors>
  <commentList>
    <comment ref="E6"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F6" authorId="0" shapeId="0">
      <text>
        <t>Fuente: CUS-59 · fiabilidad baja</t>
      </text>
    </comment>
    <comment ref="E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 || Verificado el 03-10-2026 · Real Decreto Legislativo 1175/1990, de 28 de septiembre, por el que se aprueban las tarifas y la instrucción del Impuesto sobre Actividades Económicas (BOE-A-1990-23930), texto consolidado · «Última actualización publicada el 21/03/2026», epígrafe 644.6 · https://www.boe.es/buscar/act.php?id=BOE-A-1990-23930</t>
      </text>
    </comment>
    <comment ref="F7" authorId="0" shapeId="0">
      <text>
        <t>Fuente: CUS-58 · fiabilidad baja</t>
      </text>
    </comment>
    <comment ref="A8" authorId="0" shapeId="0">
      <text>
        <t>Verificado el 03-10-2026 · Real Decreto Legislativo 1175/1990, de 28 de septiembre, por el que se aprueban las tarifas y la instrucción del Impuesto sobre Actividades Económicas (BOE-A-1990-23930), texto consolidado · «Última actualización publicada el 21/03/2026», grupo 675 y epígrafe 674.7 · https://www.boe.es/buscar/act.php?id=BOE-A-1990-23930</t>
      </text>
    </comment>
    <comment ref="E8"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 || Verificado el 03-10-2026 · Real Decreto Legislativo 1175/1990, de 28 de septiembre, por el que se aprueban las tarifas y la instrucción del Impuesto sobre Actividades Económicas (BOE-A-1990-23930), texto consolidado · «Última actualización publicada el 21/03/2026», epígrafe 663.1 · https://www.boe.es/buscar/act.php?id=BOE-A-1990-23930</t>
      </text>
    </comment>
    <comment ref="F8" authorId="0" shapeId="0">
      <text>
        <t>Fuente: CUS-42 · fiabilidad alta · https://www.churrofacil.com/tienda/es/remolques/455-remolque-3x2x210-hg-con-cartel-para-publicidad.html</t>
      </text>
    </comment>
    <comment ref="F9" authorId="0" shapeId="0">
      <text>
        <t>Fuente: CUS-M12 · fiabilidad media · https://lexpress-franchise.com/es/articulos/como-abrir-una-churreria-top-10-de-marcas-en-espana/ | CUS-M14 · fiabilidad media · https://lexpress-franchise.com/es/articulos/como-abrir-una-churreria-top-10-de-marcas-en-espana/ | CUS-M15 · fiabilidad media · https://lexpress-franchise.com/es/articulos/como-abrir-una-churreria-top-10-de-marcas-en-espana/</t>
      </text>
    </comment>
    <comment ref="C14" authorId="0" shapeId="0">
      <text>
        <t>Fuente: CUS-42 · fiabilidad alta · https://www.churrofacil.com/tienda/es/remolques/455-remolque-3x2x210-hg-con-cartel-para-publicidad.html</t>
      </text>
    </comment>
    <comment ref="C15" authorId="0" shapeId="0">
      <text>
        <t>Fuente: CUS-42 · fiabilidad alta · https://www.churrofacil.com/tienda/es/remolques/455-remolque-3x2x210-hg-con-cartel-para-publicidad.html</t>
      </text>
    </comment>
    <comment ref="C16" authorId="0" shapeId="0">
      <text>
        <t>Fuente: CUS-42 · fiabilidad alta · https://www.churrofacil.com/tienda/es/remolques/455-remolque-3x2x210-hg-con-cartel-para-publicidad.html</t>
      </text>
    </comment>
    <comment ref="E20"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419.3 · https://www.boe.es/buscar/act.php?id=BOE-A-1990-23930 || Verificado el 03-10-2026 · Comunidad de Madrid, Guía informativa sobre el Registro General Sanitario de Empresas Alimentarias y Alimentos, revisión 16 (aprobada 11-06-2025), p. 10 · https://www.comunidad.madrid/docs/assets/2025/06/25/guia_informativa_sobre_el_registro_general_sanitario_de_empresas_alimentarias_y_alimentos_11-06-2025_rev_16.pdf</t>
      </text>
    </comment>
  </commentList>
</comments>
</file>

<file path=xl/comments/comment5.xml><?xml version="1.0" encoding="utf-8"?>
<comments xmlns="http://schemas.openxmlformats.org/spreadsheetml/2006/main">
  <authors>
    <author>AI Chef Pro</author>
  </authors>
  <commentList>
    <comment ref="B6" authorId="0" shapeId="0">
      <text>
        <t>Fuente: CUS-M12 · fiabilidad media · https://lexpress-franchise.com/es/articulos/como-abrir-una-churreria-top-10-de-marcas-en-espana/ | CUS-03 · fiabilidad media · https://lexpress-franchise.com/es/articulos/como-abrir-una-churreria-top-10-de-marcas-en-espana/</t>
      </text>
    </comment>
    <comment ref="B7" authorId="0" shapeId="0">
      <text>
        <t>Fuente: CUS-M14 · fiabilidad media · https://lexpress-franchise.com/es/articulos/como-abrir-una-churreria-top-10-de-marcas-en-espana/</t>
      </text>
    </comment>
    <comment ref="B8" authorId="0" shapeId="0">
      <text>
        <t>Fuente: CUS-M15 · fiabilidad media · https://lexpress-franchise.com/es/articulos/como-abrir-una-churreria-top-10-de-marcas-en-espana/</t>
      </text>
    </comment>
    <comment ref="B9" authorId="0" shapeId="0">
      <text>
        <t>Fuente: CUS-M16 · fiabilidad media · https://lexpress-franchise.com/es/articulos/como-abrir-una-churreria-top-10-de-marcas-en-espana/</t>
      </text>
    </comment>
    <comment ref="B10" authorId="0" shapeId="0">
      <text>
        <t>Fuente: CUS-M17 · fiabilidad media · https://lexpress-franchise.com/es/articulos/como-abrir-una-churreria-top-10-de-marcas-en-espana/ | CUS-14 · fiabilidad media · https://www.start-franchising.com/es/franquicias/pinocho-churros-gourmet/</t>
      </text>
    </comment>
    <comment ref="B11" authorId="0" shapeId="0">
      <text>
        <t>Fuente: CUS-M18 · fiabilidad media · https://lexpress-franchise.com/es/articulos/como-abrir-una-churreria-top-10-de-marcas-en-espana/</t>
      </text>
    </comment>
    <comment ref="B12" authorId="0" shapeId="0">
      <text>
        <t>Fuente: CUS-M19 · fiabilidad media · https://lexpress-franchise.com/es/articulos/como-abrir-una-churreria-top-10-de-marcas-en-espana/</t>
      </text>
    </comment>
    <comment ref="B13" authorId="0" shapeId="0">
      <text>
        <t>Fuente: CUS-M20 · fiabilidad media · https://lexpress-franchise.com/es/articulos/como-abrir-una-churreria-top-10-de-marcas-en-espana/</t>
      </text>
    </comment>
    <comment ref="B14" authorId="0" shapeId="0">
      <text>
        <t>Fuente: CUS-M21 · fiabilidad media · https://lexpress-franchise.com/es/articulos/como-abrir-una-churreria-top-10-de-marcas-en-espana/</t>
      </text>
    </comment>
    <comment ref="B15" authorId="0" shapeId="0">
      <text>
        <t>Fuente: CUS-M22 · fiabilidad media · https://lexpress-franchise.com/es/articulos/como-abrir-una-churreria-top-10-de-marcas-en-espana/</t>
      </text>
    </comment>
    <comment ref="B16" authorId="0" shapeId="0">
      <text>
        <t>Fuente: CUS-D6 · fiabilidad media · https://www.centraldefranquicias.es/franquicia/churro-planet/</t>
      </text>
    </comment>
    <comment ref="B17" authorId="0" shapeId="0">
      <text>
        <t>Fuente: CUS-M23 · fiabilidad media · https://www.franquiciasaldia.es/franquicias/franquicias-de-hosteleria/Franquicia-churrofacil-negocio/</t>
      </text>
    </comment>
  </commentList>
</comments>
</file>

<file path=xl/comments/comment6.xml><?xml version="1.0" encoding="utf-8"?>
<comments xmlns="http://schemas.openxmlformats.org/spreadsheetml/2006/main">
  <authors>
    <author>AI Chef Pro</author>
  </authors>
  <commentList>
    <comment ref="B6" authorId="0" shapeId="0">
      <text>
        <t>Fuente: CUS-02 · fiabilidad media · https://www.milanuncios.com/otros-traspasos/vallecas-c-de-villacanas-604310907.htm</t>
      </text>
    </comment>
    <comment ref="B8" authorId="0" shapeId="0">
      <text>
        <t>Fuente: CUS-02 · fiabilidad media · https://www.milanuncios.com/otros-traspasos/vallecas-c-de-villacanas-604310907.htm</t>
      </text>
    </comment>
    <comment ref="D28" authorId="0" shapeId="0">
      <text>
        <t>Fuente: CUS-31a · fiabilidad media · https://www.milanuncios.com/traspasos-en-granada/churreria.htm</t>
      </text>
    </comment>
    <comment ref="D29" authorId="0" shapeId="0">
      <text>
        <t>Fuente: CUS-31b · fiabilidad media · https://www.milanuncios.com/traspasos-en-granada/churreria.htm</t>
      </text>
    </comment>
    <comment ref="D30" authorId="0" shapeId="0">
      <text>
        <t>Fuente: CUS-31c · fiabilidad media · https://www.milanuncios.com/traspasos-en-granada/churreria.htm</t>
      </text>
    </comment>
    <comment ref="D31" authorId="0" shapeId="0">
      <text>
        <t>Fuente: CUS-31d · fiabilidad media · https://www.milanuncios.com/traspasos-en-granada/churreria.htm</t>
      </text>
    </comment>
    <comment ref="D32" authorId="0" shapeId="0">
      <text>
        <t>Fuente: CUS-31e · fiabilidad media · https://www.milanuncios.com/traspasos-en-granada/churreria.htm</t>
      </text>
    </comment>
    <comment ref="D33" authorId="0" shapeId="0">
      <text>
        <t>Fuente: CUS-31f · fiabilidad baja</t>
      </text>
    </comment>
    <comment ref="D34" authorId="0" shapeId="0">
      <text>
        <t>Fuente: CUS-31g · fiabilidad media · https://www.milanuncios.com/traspasos-en-madrid/churreria.htm</t>
      </text>
    </comment>
    <comment ref="D35" authorId="0" shapeId="0">
      <text>
        <t>Fuente: CUS-02 · fiabilidad media · https://www.milanuncios.com/otros-traspasos/vallecas-c-de-villacanas-604310907.htm</t>
      </text>
    </comment>
  </commentList>
</comments>
</file>

<file path=xl/comments/comment7.xml><?xml version="1.0" encoding="utf-8"?>
<comments xmlns="http://schemas.openxmlformats.org/spreadsheetml/2006/main">
  <authors>
    <author>AI Chef Pro</author>
  </authors>
  <commentList>
    <comment ref="A21"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List>
</comments>
</file>

<file path=xl/comments/comment8.xml><?xml version="1.0" encoding="utf-8"?>
<comments xmlns="http://schemas.openxmlformats.org/spreadsheetml/2006/main">
  <authors>
    <author>AI Chef Pro</author>
  </authors>
  <commentList>
    <comment ref="E6" authorId="0" shapeId="0">
      <text>
        <t>Fuente: CUS-44a · fiabilidad alta · https://www.churrofacil.com/</t>
      </text>
    </comment>
    <comment ref="E7" authorId="0" shapeId="0">
      <text>
        <t>Fuente: CUS-44b · fiabilidad media · https://www.harinassp.es/</t>
      </text>
    </comment>
    <comment ref="E8" authorId="0" shapeId="0">
      <text>
        <t>Fuente: CUS-44e · fiabilidad alta · https://www.inblan.com/maquinaria-para-churreria/</t>
      </text>
    </comment>
    <comment ref="E9" authorId="0" shapeId="0">
      <text>
        <t>Fuente: CUS-44f · fiabilidad media · https://hostelshopespana.com/maquinaria-de-hosteleria-para-churrerias/</t>
      </text>
    </comment>
    <comment ref="E10" authorId="0" shapeId="0">
      <text>
        <t>Fuente: CUS-44h · fiabilidad alta · https://www.reseave.es/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fitToPage="1"/>
  </sheetPr>
  <dimension ref="A1:A41"/>
  <sheetViews>
    <sheetView workbookViewId="0">
      <selection activeCell="A1" sqref="A1"/>
    </sheetView>
  </sheetViews>
  <sheetFormatPr baseColWidth="8" defaultRowHeight="15"/>
  <cols>
    <col width="100" customWidth="1" min="1" max="1"/>
  </cols>
  <sheetData>
    <row r="1">
      <c r="A1" s="1" t="inlineStr">
        <is>
          <t>Calculadora de CAPEX de la Churrería-Chocolatería</t>
        </is>
      </c>
    </row>
    <row r="2">
      <c r="A2" s="2" t="inlineStr">
        <is>
          <t>AI Chef Pro · aichef.pro — Cómo Montar una Churrería-Chocolatería</t>
        </is>
      </c>
    </row>
    <row r="3">
      <c r="A3" s="3" t="inlineStr">
        <is>
          <t>Para qué sirve: saber cuánto necesitas para abrir y en qué formato, línea a línea y en base imponible, con el IVA que adelantas aparte. Responde a una pregunta: ¿cuánto necesito y en qué formato?</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46" customHeight="1">
      <c r="A9" s="6" t="inlineStr">
        <is>
          <t>1. Hoja «Parámetros». Los tipos de IVA, los metros del local, el coste de obra por metro, la RENTA MENSUAL (nace aquí: el libro 6 la copia) y los meses de fianza. Abajo, las celdas verdes que copias de otros libros, cada una con su fila de CUADRE: si necesitas extinción automática y la superficie útil (del libro 1) y los precios del aceite, del mix y de los demás insumos del stock (del libro 3).</t>
        </is>
      </c>
    </row>
    <row r="10" ht="46" customHeight="1">
      <c r="A10" s="6" t="inlineStr">
        <is>
          <t>2. Hoja «Equipamiento Línea a Línea». Cada máquina con su precio de referencia, su fuente y la fecha en que se leyó. Pon tu mínimo, tu máximo y TU importe, y di si ese importe lleva IVA: el libro lo pasa a base imponible antes de sumar. «¿La compras?» decide si entra en el CAPEX.</t>
        </is>
      </c>
    </row>
    <row r="11" ht="46" customHeight="1">
      <c r="A11" s="6" t="inlineStr">
        <is>
          <t>3. Hoja «CAPEX por Bloque». Lo que no es máquina: la obra, el proyecto, la licencia y las tasas, la extinción automática si te toca, la fianza, el stock inicial y el marketing de apertura. Y abajo, los once bloques sumados: equipamiento más partidas.</t>
        </is>
      </c>
    </row>
    <row r="12" ht="46" customHeight="1">
      <c r="A12" s="6" t="inlineStr">
        <is>
          <t>4. Hoja «Variante del Formato». Local con sala, despacho para llevar, caseta de feria o franquicia: la dotación con fuente de cada una y lo que cambia frente al local con sala.</t>
        </is>
      </c>
    </row>
    <row r="13" ht="46" customHeight="1">
      <c r="A13" s="6" t="inlineStr">
        <is>
          <t>5. Hoja «Franquicia o Independiente». Lo que publican las enseñas, fechado y como orden de magnitud, frente a tu CAPEX. No es una recomendación de marca.</t>
        </is>
      </c>
    </row>
    <row r="14" ht="46" customHeight="1">
      <c r="A14" s="6" t="inlineStr">
        <is>
          <t>6. Hoja «Traspaso vs Obra Nueva». El precio que te piden por un traspaso y lo que te costaría adaptarlo, frente a la obra nueva, primero en inversión y después en el horizonte con la renta.</t>
        </is>
      </c>
    </row>
    <row r="15" ht="46" customHeight="1">
      <c r="A15" s="6" t="inlineStr">
        <is>
          <t>7. Hoja «IVA y Tesorería». El IVA que adelantas el día que pagas, de qué tipo es y el desembolso total con IVA.</t>
        </is>
      </c>
    </row>
    <row r="16" ht="46" customHeight="1">
      <c r="A16" s="6" t="inlineStr">
        <is>
          <t>8. Hoja «Proveedores». Los proveedores con URL comprobada, para pedir presupuestos por escrito.</t>
        </is>
      </c>
    </row>
    <row r="17" ht="46" customHeight="1">
      <c r="A17" s="6" t="inlineStr">
        <is>
          <t>9. Hoja «Resumen». Las cifras que llevas al banco y al libro 6. Aquí no se teclea nada.</t>
        </is>
      </c>
    </row>
    <row r="18"/>
    <row r="19">
      <c r="A19" s="4" t="inlineStr">
        <is>
          <t>Orden de Relleno y Lo que Este Libro Pasa a los Demás</t>
        </is>
      </c>
    </row>
    <row r="20" ht="70" customHeight="1">
      <c r="A20"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2 y va el SEXTO: antes, el libro 1 (si necesitas extinción automática) y el 3 (precio del aceite y del mix); después, el 6, que copia de aquí el CAPEX y la renta.</t>
        </is>
      </c>
    </row>
    <row r="21" ht="44" customHeight="1">
      <c r="A21" s="6" t="inlineStr">
        <is>
          <t>Ningún libro se vincula con otro por fórmula. Lo que este libro necesita del 1 y del 3 se copia a mano en las celdas verdes de «Parámetros», y una fila de CUADRE avisa si se ha quedado vieja. Lo que este libro pasa a los demás está en el bloque «Lo que Copian Otros Libros» (rótulo en la columna K, valor en la L):</t>
        </is>
      </c>
    </row>
    <row r="22" ht="28" customHeight="1">
      <c r="A22" s="7" t="inlineStr">
        <is>
          <t>Parámetros!L5 - Renta mensual. Lo copia: libro 6 (X18).</t>
        </is>
      </c>
    </row>
    <row r="23" ht="28" customHeight="1">
      <c r="A23" s="7" t="inlineStr">
        <is>
          <t>Resumen!L5 - CAPEX sin el fondo de maniobra. Lo copia: libro 6 (X10).</t>
        </is>
      </c>
    </row>
    <row r="24" ht="28" customHeight="1">
      <c r="A24" s="7" t="inlineStr">
        <is>
          <t>Resumen!L6 - CAPEX que no se amortiza (fianza, stock inicial y marketing). Lo copia: libro 6 (X10 bis).</t>
        </is>
      </c>
    </row>
    <row r="25"/>
    <row r="26">
      <c r="A26" s="4" t="inlineStr">
        <is>
          <t>Lo que Conviene Saber Antes de Empezar</t>
        </is>
      </c>
    </row>
    <row r="27" ht="62" customHeight="1">
      <c r="A27" s="6" t="inlineStr">
        <is>
          <t>ESTE LIBRO SUMA LO QUE CUESTA ABRIR, NO LO QUE CUESTA AGUANTAR. El fondo de maniobra de los primeros meses no es una partida de este libro: lo calcula el libro 6 con sus gastos fijos y sus meses de colchón, y le suma este CAPEX. Si lo metieras aquí, el mismo negocio aparecería con dos inversiones distintas.</t>
        </is>
      </c>
    </row>
    <row r="28" ht="62" customHeight="1">
      <c r="A28" s="6" t="inlineStr">
        <is>
          <t>TODO SE SUMA EN BASE IMPONIBLE. Unas fichas publican el precio sin IVA y otras con IVA (el medidor de compuestos polares, por ejemplo). La columna «¿Tu importe lleva IVA?» existe para que el total no se desvíe un 21 %. El IVA que adelantas va aparte, en «IVA y Tesorería».</t>
        </is>
      </c>
    </row>
    <row r="29" ht="62" customHeight="1">
      <c r="A29" s="6" t="inlineStr">
        <is>
          <t>LOS PRECIOS DE MÁQUINA SON DE TIENDA, CON DESCUENTO Y CON FECHA. Los de la tienda de hostelería llevaban un descuento vigente el día de la lectura: pueden haber cambiado. La columna de fecha dice cuándo se leyó cada uno. Pide siempre presupuesto por escrito.</t>
        </is>
      </c>
    </row>
    <row r="30" ht="62" customHeight="1">
      <c r="A30" s="6" t="inlineStr">
        <is>
          <t>LO QUE NO TIENE PRECIO CON FUENTE VA COMO SUPUESTO DECLARADO, Y SE DICE. El conducto a cubierta, la cafetera, la barra, el mobiliario o la obra por metro son importes de ejemplo de El Molinete: el que vale es el de tu presupuesto. La rellenadora no tiene precio con fuente: su importe es el tuyo y El Molinete no la compra (rellena con manga).</t>
        </is>
      </c>
    </row>
    <row r="31" ht="62" customHeight="1">
      <c r="A31" s="6" t="inlineStr">
        <is>
          <t>UNA REFERENCIA DE CONTRASTE, Y SÓLO UNA. El traspaso de Vallecas de 74 m² (CUS-02) declara unos 50.000 € de equipos incluidos (freidora, dosificadores, calientachocolates, cafetera, campana, frío y TPV). Es una declaración del anunciante, con la base de IVA sin declarar: sirve para ver el orden de magnitud de tus bloques 2 a 7, no para restarla de nada.</t>
        </is>
      </c>
    </row>
    <row r="32" ht="62" customHeight="1">
      <c r="A32" s="6" t="inlineStr">
        <is>
          <t>DÓNDE NO ESTÁ LO QUE AQUÍ NO ESTÁ. El plazo de entrega de la maquinaria crítica vive en el libro 7 (checklist legal y cronograma); el riesgo de incendio y los kW de la cocina, en el 1; el precio del aceite y del mix, en el 3; los gastos fijos, el fondo de maniobra, la financiación y el P&amp;L, en el 6. Las franquicias van como orden de magnitud fechado; los traspasos, como precio PEDIDO, nunca como precio pagado.</t>
        </is>
      </c>
    </row>
    <row r="33"/>
    <row r="34" ht="46" customHeight="1">
      <c r="A34" s="6" t="inlineStr">
        <is>
          <t>Cada cuánto se usa este libro: una vez al preparar el plan, con presupuestos de verdad, y otra cada vez que firmes un pedido (pon el importe real en «Tu importe» y mira la desviación). Cuando cambie el CAPEX o la renta del bloque «Lo que Copian Otros Libros», cópialos de nuevo en el libro 6.</t>
        </is>
      </c>
    </row>
    <row r="35"/>
    <row r="36" ht="46" customHeight="1">
      <c r="A36" s="6" t="inlineStr">
        <is>
          <t>Los valores marcados «supuesto declarado» son los de la churrería-chocolatería de ejemplo «El Molinete» (75 m² con sala, terraza y despacho a calle, obra nueva en un local sin salida de humos). NO son datos de sector: son un punto de partida coherente para que veas el libro funcionando antes de meter los tuyos.</t>
        </is>
      </c>
    </row>
    <row r="37"/>
    <row r="38">
      <c r="A38" s="6" t="inlineStr">
        <is>
          <t>Para editar la estructura o una celda que no esté en verde: Revisar &gt; Desproteger hoja (no tiene contraseña).</t>
        </is>
      </c>
    </row>
    <row r="39"/>
    <row r="40">
      <c r="A40" s="6" t="inlineStr">
        <is>
          <t>Diseñado por John Guerrero — chef y consultor gastronómico desde 2010, en cocina desde los 17 años.</t>
        </is>
      </c>
    </row>
    <row r="41">
      <c r="A41"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88"/>
  <sheetViews>
    <sheetView workbookViewId="0">
      <pane ySplit="4" topLeftCell="A5" activePane="bottomLeft" state="frozen"/>
      <selection pane="bottomLeft" activeCell="A1" sqref="A1"/>
    </sheetView>
  </sheetViews>
  <sheetFormatPr baseColWidth="8" defaultRowHeight="15"/>
  <cols>
    <col width="50" customWidth="1" min="1" max="1"/>
    <col width="16" customWidth="1" min="2" max="2"/>
    <col width="12" customWidth="1" min="3" max="3"/>
    <col width="22" customWidth="1" min="4" max="4"/>
    <col width="78" customWidth="1" min="5" max="5"/>
    <col width="40" customWidth="1" min="11" max="11"/>
    <col width="15" customWidth="1" min="12" max="12"/>
    <col width="48" customWidth="1" min="13" max="13"/>
  </cols>
  <sheetData>
    <row r="1">
      <c r="A1" s="1" t="inlineStr">
        <is>
          <t>Parámetros</t>
        </is>
      </c>
    </row>
    <row r="2">
      <c r="A2" s="2" t="inlineStr">
        <is>
          <t>AI Chef Pro · aichef.pro — Cómo Montar una Churrería-Chocolatería</t>
        </is>
      </c>
    </row>
    <row r="3">
      <c r="A3" s="3" t="inlineStr">
        <is>
          <t>Lo que vale para todo el libro. Ninguna fórmula lleva un número dentro: los tipos de IVA, los metros, la renta y los umbrales viven aquí.</t>
        </is>
      </c>
    </row>
    <row r="4" ht="42" customHeight="1">
      <c r="A4" s="9" t="inlineStr">
        <is>
          <t>Parámetro</t>
        </is>
      </c>
      <c r="B4" s="9" t="inlineStr">
        <is>
          <t>Valor</t>
        </is>
      </c>
      <c r="C4" s="9" t="inlineStr">
        <is>
          <t>Unidad</t>
        </is>
      </c>
      <c r="D4" s="9" t="inlineStr">
        <is>
          <t>Procedencia</t>
        </is>
      </c>
      <c r="E4" s="9" t="inlineStr">
        <is>
          <t>Nota</t>
        </is>
      </c>
      <c r="K4" s="4" t="inlineStr">
        <is>
          <t>Lo que Copian Otros Libros (No Muevas Estas Celdas)</t>
        </is>
      </c>
    </row>
    <row r="5" ht="30" customHeight="1">
      <c r="A5" s="4" t="inlineStr">
        <is>
          <t>El IVA</t>
        </is>
      </c>
      <c r="K5" s="10" t="inlineStr">
        <is>
          <t>Renta mensual del local (nace aquí; la copia el libro 6)</t>
        </is>
      </c>
      <c r="L5" s="11">
        <f>B12</f>
        <v>910.0</v>
      </c>
      <c r="M5" s="12" t="inlineStr">
        <is>
          <t>Lo copia: libro 6 (plan-financiero-3-anos-churreria.xlsx, hoja 0. Supuestos, X18)</t>
        </is>
      </c>
    </row>
    <row r="6" ht="44" customHeight="1">
      <c r="A6" s="6" t="inlineStr">
        <is>
          <t>Tipo de IVA general (maquinaria, obra, servicios y envases)</t>
        </is>
      </c>
      <c r="B6" s="13" t="n">
        <v>0.21</v>
      </c>
      <c r="C6" t="inlineStr">
        <is>
          <t>%</t>
        </is>
      </c>
      <c r="D6" s="12" t="inlineStr">
        <is>
          <t>CHN-71c</t>
        </is>
      </c>
      <c r="E6" s="12" t="inlineStr">
        <is>
          <t>El equipamiento, la obra, el proyecto y los envases van al tipo general. Lo que vendes en la carta va a otros tipos: se explica en el capítulo 3 de la guía y lo aplica el libro 3.</t>
        </is>
      </c>
    </row>
    <row r="7" ht="44" customHeight="1">
      <c r="A7" s="6" t="inlineStr">
        <is>
          <t>Tipo de IVA de los alimentos del stock inicial (mix, aceite, preparado, leche, café...)</t>
        </is>
      </c>
      <c r="B7" s="13" t="n">
        <v>0.1</v>
      </c>
      <c r="C7" t="inlineStr">
        <is>
          <t>%</t>
        </is>
      </c>
      <c r="D7" s="12" t="inlineStr">
        <is>
          <t>supuesto declarado</t>
        </is>
      </c>
      <c r="E7" s="12" t="inlineStr">
        <is>
          <t>IVA soportado del mix, el aceite y el preparado: compruébalo en cada factura, el aceite ha tenido tipos rebajados temporales.</t>
        </is>
      </c>
    </row>
    <row r="8" ht="44" customHeight="1">
      <c r="A8" s="6" t="inlineStr">
        <is>
          <t>Tipo de las partidas que no llevan IVA (tasas municipales y fianza)</t>
        </is>
      </c>
      <c r="B8" s="13" t="n">
        <v>0</v>
      </c>
      <c r="C8" t="inlineStr">
        <is>
          <t>%</t>
        </is>
      </c>
      <c r="D8" s="12" t="inlineStr">
        <is>
          <t>supuesto declarado</t>
        </is>
      </c>
      <c r="E8" s="12" t="inlineStr">
        <is>
          <t>Las tasas del ayuntamiento y la fianza del arrendamiento no llevan IVA: la fianza es un depósito que se recupera, no una compra.</t>
        </is>
      </c>
    </row>
    <row r="9">
      <c r="A9" s="4" t="inlineStr">
        <is>
          <t>El Local, la Renta y la Obra</t>
        </is>
      </c>
    </row>
    <row r="10" ht="44" customHeight="1">
      <c r="A10" s="6" t="inlineStr">
        <is>
          <t>Superficie útil del local (copiada del libro 1, más abajo)</t>
        </is>
      </c>
      <c r="B10" s="14">
        <f>'Parámetros'!$B$31</f>
        <v>75.0</v>
      </c>
      <c r="C10" t="inlineStr">
        <is>
          <t>m²</t>
        </is>
      </c>
      <c r="D10" s="12" t="inlineStr">
        <is>
          <t>CHS-37a + CUS-02</t>
        </is>
      </c>
      <c r="E10" s="12" t="inlineStr">
        <is>
          <t>La que copias del libro 1 en la sección «Lo que Copias de Otros Libros» (cruce X9 bis): la superficie tiene una sola fuente. Aquí sólo sirve para el coste de la obra por metro.</t>
        </is>
      </c>
    </row>
    <row r="11" ht="44" customHeight="1">
      <c r="A11" s="6" t="inlineStr">
        <is>
          <t>Coste de obra y acondicionamiento por m² (local en bruto)</t>
        </is>
      </c>
      <c r="B11" s="15" t="n">
        <v>380</v>
      </c>
      <c r="C11" t="inlineStr">
        <is>
          <t>€/m²</t>
        </is>
      </c>
      <c r="D11" s="12" t="inlineStr">
        <is>
          <t>supuesto declarado</t>
        </is>
      </c>
      <c r="E11" s="12" t="inlineStr">
        <is>
          <t>Coste de obra y acondicionamiento por m² de local en bruto. Supuesto de El Molinete: ninguna ficha publica un coste de obra por m² de churrería. El conducto a cubierta va en su propia línea.</t>
        </is>
      </c>
    </row>
    <row r="12" ht="44" customHeight="1">
      <c r="A12" s="6" t="inlineStr">
        <is>
          <t>Renta mensual del local (nace aquí)</t>
        </is>
      </c>
      <c r="B12" s="15" t="n">
        <v>910</v>
      </c>
      <c r="C12" t="inlineStr">
        <is>
          <t>€/mes</t>
        </is>
      </c>
      <c r="D12" s="12" t="inlineStr">
        <is>
          <t>CUS-02</t>
        </is>
      </c>
      <c r="E12" s="12" t="inlineStr">
        <is>
          <t>La renta del local de 74 m² del traspaso de Vallecas (CUS-02). De aquí sale la fianza y la copia el libro 6 para sus gastos fijos (bloque de la derecha).</t>
        </is>
      </c>
    </row>
    <row r="13" ht="44" customHeight="1">
      <c r="A13" s="6" t="inlineStr">
        <is>
          <t>Meses de fianza y garantía</t>
        </is>
      </c>
      <c r="B13" s="16" t="n">
        <v>2</v>
      </c>
      <c r="C13" t="inlineStr">
        <is>
          <t>meses</t>
        </is>
      </c>
      <c r="D13" s="12" t="inlineStr">
        <is>
          <t>supuesto declarado</t>
        </is>
      </c>
      <c r="E13" s="12" t="inlineStr">
        <is>
          <t>Meses de fianza y garantía que pide el arrendador. Cambia por comunidad y por contrato.</t>
        </is>
      </c>
    </row>
    <row r="14">
      <c r="A14" s="4" t="inlineStr">
        <is>
          <t>Controles y Conversiones</t>
        </is>
      </c>
    </row>
    <row r="15" ht="44" customHeight="1">
      <c r="A15" s="6" t="inlineStr">
        <is>
          <t>Meses que tiene un año</t>
        </is>
      </c>
      <c r="B15" s="17" t="n">
        <v>12</v>
      </c>
      <c r="C15" t="inlineStr">
        <is>
          <t>meses</t>
        </is>
      </c>
      <c r="D15" s="12" t="inlineStr">
        <is>
          <t>conversión</t>
        </is>
      </c>
      <c r="E15" s="12" t="inlineStr">
        <is>
          <t>Conversión de unidades. Vive aquí para que ninguna fórmula lleve un número dentro.</t>
        </is>
      </c>
    </row>
    <row r="16" ht="44" customHeight="1">
      <c r="A16" s="6" t="inlineStr">
        <is>
          <t>Tolerancia de las filas de CUADRE</t>
        </is>
      </c>
      <c r="B16" s="13" t="n">
        <v>0.02</v>
      </c>
      <c r="C16" t="inlineStr">
        <is>
          <t>desviación</t>
        </is>
      </c>
      <c r="D16" s="12" t="inlineStr">
        <is>
          <t>heredado de la hermana</t>
        </is>
      </c>
      <c r="E16" s="12" t="inlineStr">
        <is>
          <t>Por encima de esta desviación, la fila de CUADRE avisa de que lo que has copiado ya no es lo que publica el libro de origen.</t>
        </is>
      </c>
    </row>
    <row r="17" ht="44" customHeight="1">
      <c r="A17" s="6" t="inlineStr">
        <is>
          <t>Desviación admitida de tus importes contra la referencia</t>
        </is>
      </c>
      <c r="B17" s="13" t="n">
        <v>0.1</v>
      </c>
      <c r="C17" t="inlineStr">
        <is>
          <t>desviación</t>
        </is>
      </c>
      <c r="D17" s="12" t="inlineStr">
        <is>
          <t>heredado de la hermana</t>
        </is>
      </c>
      <c r="E17" s="12" t="inlineStr">
        <is>
          <t>Por encima, la hoja «Equipamiento Línea a Línea» y el «Resumen» avisan: o has comprado más caro, o has elegido otro equipo. No es un error: es una pregunta.</t>
        </is>
      </c>
    </row>
    <row r="18">
      <c r="A18" s="4" t="inlineStr">
        <is>
          <t>Lo que Copias de Otros Libros</t>
        </is>
      </c>
    </row>
    <row r="19" ht="58" customHeight="1">
      <c r="A19" s="10" t="inlineStr">
        <is>
          <t>cópialo del libro 1: produccion-hora-punta-y-local.xlsx!Freidoras, Potencia y Riesgo!L6</t>
        </is>
      </c>
      <c r="B19" s="16" t="n">
        <v>0</v>
      </c>
      <c r="C19" t="inlineStr">
        <is>
          <t>1/0</t>
        </is>
      </c>
      <c r="D19" s="18" t="inlineStr">
        <is>
          <t>cruce X9 (libro 1)</t>
        </is>
      </c>
      <c r="E19" s="12" t="inlineStr">
        <is>
          <t>1 si tu cocina pasa de 50 kW computables y la extinción automática es obligatoria; 0 si no. El umbral se aplica UNA vez, en el libro 1. Con 1, la línea de extinción automática de «CAPEX por Bloque» suma su importe.</t>
        </is>
      </c>
    </row>
    <row r="20" ht="36" customHeight="1">
      <c r="A20" s="6" t="inlineStr">
        <is>
          <t>Lo que publica hoy esa celda del libro 1 (anótalo cada vez que lo abras)</t>
        </is>
      </c>
      <c r="B20" s="16" t="n">
        <v>0</v>
      </c>
      <c r="C20" t="inlineStr">
        <is>
          <t>1/0</t>
        </is>
      </c>
      <c r="E20" s="12" t="inlineStr">
        <is>
          <t>Si arriba usas otra cifra, la fila de CUADRE te avisa en vez de dejar las dos separadas en silencio.</t>
        </is>
      </c>
    </row>
    <row r="21">
      <c r="A21" t="inlineStr">
        <is>
          <t>Diferencia entre las dos</t>
        </is>
      </c>
      <c r="B21" s="17">
        <f>IF(AND(ISNUMBER(B19),ISNUMBER(B20)),ABS(B19-B20),"")</f>
        <v>0.0</v>
      </c>
    </row>
    <row r="22" ht="34" customHeight="1">
      <c r="A22" s="19" t="inlineStr">
        <is>
          <t>CUADRE: lo que usas frente a lo que publica el libro 1 (¿necesitas extinción automática? (1 sí, 0 no))</t>
        </is>
      </c>
      <c r="B22" s="20" t="str">
        <f>IF(NOT(ISNUMBER(B21)),"",IF(B21=0,"CUADRA","REVISA: no es lo que publica el libro 1"))</f>
        <v>CUADRA</v>
      </c>
    </row>
    <row r="23" ht="58" customHeight="1">
      <c r="A23" s="10" t="inlineStr">
        <is>
          <t>cópialo del libro 3: carta-de-apertura-y-escandallo-churro.xlsx!Parámetros!L5</t>
        </is>
      </c>
      <c r="B23" s="21" t="n">
        <v>1.996</v>
      </c>
      <c r="C23" t="inlineStr">
        <is>
          <t>€/L</t>
        </is>
      </c>
      <c r="D23" s="18" t="inlineStr">
        <is>
          <t>cruce X17 (libro 3)</t>
        </is>
      </c>
      <c r="E23" s="12" t="inlineStr">
        <is>
          <t>Precio del aceite de fritura en base imponible. Vive en el libro 3 (celda única del paquete): aquí sólo sirve para valorar el stock inicial.</t>
        </is>
      </c>
    </row>
    <row r="24" ht="36" customHeight="1">
      <c r="A24" s="6" t="inlineStr">
        <is>
          <t>Lo que publica hoy esa celda del libro 3 (anótalo cada vez que lo abras)</t>
        </is>
      </c>
      <c r="B24" s="21" t="n">
        <v>1.996</v>
      </c>
      <c r="C24" t="inlineStr">
        <is>
          <t>€/L</t>
        </is>
      </c>
      <c r="E24" s="12" t="inlineStr">
        <is>
          <t>Si arriba usas otra cifra, la fila de CUADRE te avisa en vez de dejar las dos separadas en silencio.</t>
        </is>
      </c>
    </row>
    <row r="25">
      <c r="A25" t="inlineStr">
        <is>
          <t>Desviación entre las dos</t>
        </is>
      </c>
      <c r="B25" s="22">
        <f>IFERROR(ABS(B23-B24)/B24,"")</f>
        <v>0.0</v>
      </c>
    </row>
    <row r="26" ht="34" customHeight="1">
      <c r="A26" s="19" t="inlineStr">
        <is>
          <t>CUADRE: lo que usas frente a lo que publica el libro 3 (precio del aceite (base imponible))</t>
        </is>
      </c>
      <c r="B26" s="20" t="str">
        <f>IF(NOT(ISNUMBER(B25)),"",IF(B25&lt;='Parámetros'!$B$16,"CUADRA","REVISA: no es lo que publica el libro 3"))</f>
        <v>CUADRA</v>
      </c>
    </row>
    <row r="27" ht="58" customHeight="1">
      <c r="A27" s="10" t="inlineStr">
        <is>
          <t>cópialo del libro 3: carta-de-apertura-y-escandallo-churro.xlsx!Parámetros!L8</t>
        </is>
      </c>
      <c r="B27" s="21" t="n">
        <v>1.45</v>
      </c>
      <c r="C27" t="inlineStr">
        <is>
          <t>€/kg</t>
        </is>
      </c>
      <c r="D27" s="18" t="inlineStr">
        <is>
          <t>cruce X17 (libro 3)</t>
        </is>
      </c>
      <c r="E27" s="12" t="inlineStr">
        <is>
          <t>Precio del preparado para masa de churro en base imponible, del libro 3. Aquí sólo valora el stock inicial.</t>
        </is>
      </c>
    </row>
    <row r="28" ht="36" customHeight="1">
      <c r="A28" s="6" t="inlineStr">
        <is>
          <t>Lo que publica hoy esa celda del libro 3 (anótalo cada vez que lo abras)</t>
        </is>
      </c>
      <c r="B28" s="21" t="n">
        <v>1.45</v>
      </c>
      <c r="C28" t="inlineStr">
        <is>
          <t>€/kg</t>
        </is>
      </c>
      <c r="E28" s="12" t="inlineStr">
        <is>
          <t>Si arriba usas otra cifra, la fila de CUADRE te avisa en vez de dejar las dos separadas en silencio.</t>
        </is>
      </c>
    </row>
    <row r="29">
      <c r="A29" t="inlineStr">
        <is>
          <t>Desviación entre las dos</t>
        </is>
      </c>
      <c r="B29" s="22">
        <f>IFERROR(ABS(B27-B28)/B28,"")</f>
        <v>0.0</v>
      </c>
    </row>
    <row r="30" ht="34" customHeight="1">
      <c r="A30" s="19" t="inlineStr">
        <is>
          <t>CUADRE: lo que usas frente a lo que publica el libro 3 (precio del mix (base imponible))</t>
        </is>
      </c>
      <c r="B30" s="20" t="str">
        <f>IF(NOT(ISNUMBER(B29)),"",IF(B29&lt;='Parámetros'!$B$16,"CUADRA","REVISA: no es lo que publica el libro 3"))</f>
        <v>CUADRA</v>
      </c>
    </row>
    <row r="31" ht="58" customHeight="1">
      <c r="A31" s="10" t="inlineStr">
        <is>
          <t>cópialo del libro 1: produccion-hora-punta-y-local.xlsx!Zonas y m²!L5</t>
        </is>
      </c>
      <c r="B31" s="23" t="n">
        <v>75</v>
      </c>
      <c r="C31" t="inlineStr">
        <is>
          <t>m²</t>
        </is>
      </c>
      <c r="D31" s="18" t="inlineStr">
        <is>
          <t>cruce X9 bis (libro 1)</t>
        </is>
      </c>
      <c r="E31" s="12" t="inlineStr">
        <is>
          <t>La superficie útil del local, del libro 1 (hoja «Zonas y m²»). Mide el coste de la obra: obra por metro por metros.</t>
        </is>
      </c>
    </row>
    <row r="32" ht="36" customHeight="1">
      <c r="A32" s="6" t="inlineStr">
        <is>
          <t>Lo que publica hoy esa celda del libro 1 (anótalo cada vez que lo abras)</t>
        </is>
      </c>
      <c r="B32" s="23" t="n">
        <v>75</v>
      </c>
      <c r="C32" t="inlineStr">
        <is>
          <t>m²</t>
        </is>
      </c>
      <c r="E32" s="12" t="inlineStr">
        <is>
          <t>Si arriba usas otra cifra, la fila de CUADRE te avisa en vez de dejar las dos separadas en silencio.</t>
        </is>
      </c>
    </row>
    <row r="33">
      <c r="A33" t="inlineStr">
        <is>
          <t>Desviación entre las dos</t>
        </is>
      </c>
      <c r="B33" s="22">
        <f>IFERROR(ABS(B31-B32)/B32,"")</f>
        <v>0.0</v>
      </c>
    </row>
    <row r="34" ht="34" customHeight="1">
      <c r="A34" s="19" t="inlineStr">
        <is>
          <t>CUADRE: lo que usas frente a lo que publica el libro 1 (superficie útil del local)</t>
        </is>
      </c>
      <c r="B34" s="20" t="str">
        <f>IF(NOT(ISNUMBER(B33)),"",IF(B33&lt;='Parámetros'!$B$16,"CUADRA","REVISA: no es lo que publica el libro 1"))</f>
        <v>CUADRA</v>
      </c>
    </row>
    <row r="35" ht="58" customHeight="1">
      <c r="A35" s="10" t="inlineStr">
        <is>
          <t>cópialo del libro 3: carta-de-apertura-y-escandallo-churro.xlsx!Parámetros!L10</t>
        </is>
      </c>
      <c r="B35" s="21" t="n">
        <v>7.1875</v>
      </c>
      <c r="C35" t="inlineStr">
        <is>
          <t>€/unidad</t>
        </is>
      </c>
      <c r="D35" s="18" t="inlineStr">
        <is>
          <t>cruce X17 (libro 3)</t>
        </is>
      </c>
      <c r="E35" s="12" t="inlineStr">
        <is>
          <t>Precio de «Chocolate a la taza en polvo (bolsa de 800 g, rinde 4,3 L)» sin IVA, por unidad, del libro 3 (tabla de insumos de su hoja «Parámetros»). Aquí sólo valora el stock inicial.</t>
        </is>
      </c>
    </row>
    <row r="36" ht="36" customHeight="1">
      <c r="A36" s="6" t="inlineStr">
        <is>
          <t>Lo que publica hoy esa celda del libro 3 (anótalo cada vez que lo abras)</t>
        </is>
      </c>
      <c r="B36" s="21" t="n">
        <v>7.1875</v>
      </c>
      <c r="C36" t="inlineStr">
        <is>
          <t>€/unidad</t>
        </is>
      </c>
      <c r="E36" s="12" t="inlineStr">
        <is>
          <t>Si arriba usas otra cifra, la fila de CUADRE te avisa en vez de dejar las dos separadas en silencio.</t>
        </is>
      </c>
    </row>
    <row r="37">
      <c r="A37" t="inlineStr">
        <is>
          <t>Desviación entre las dos</t>
        </is>
      </c>
      <c r="B37" s="22">
        <f>IFERROR(ABS(B35-B36)/B36,"")</f>
        <v>0.0</v>
      </c>
    </row>
    <row r="38" ht="34" customHeight="1">
      <c r="A38" s="19" t="inlineStr">
        <is>
          <t>CUADRE: lo que usas frente a lo que publica el libro 3 (precio del insumo «preparado_taza» del stock inicial (base imponible))</t>
        </is>
      </c>
      <c r="B38" s="20" t="str">
        <f>IF(NOT(ISNUMBER(B37)),"",IF(B37&lt;='Parámetros'!$B$16,"CUADRA","REVISA: no es lo que publica el libro 3"))</f>
        <v>CUADRA</v>
      </c>
    </row>
    <row r="39" ht="58" customHeight="1">
      <c r="A39" s="10" t="inlineStr">
        <is>
          <t>cópialo del libro 3: carta-de-apertura-y-escandallo-churro.xlsx!Parámetros!L11</t>
        </is>
      </c>
      <c r="B39" s="21" t="n">
        <v>6.5</v>
      </c>
      <c r="C39" t="inlineStr">
        <is>
          <t>€/unidad</t>
        </is>
      </c>
      <c r="D39" s="18" t="inlineStr">
        <is>
          <t>cruce X17 (libro 3)</t>
        </is>
      </c>
      <c r="E39" s="12" t="inlineStr">
        <is>
          <t>Precio de «Cobertura de chocolate negro (1 kg)» sin IVA, por unidad, del libro 3 (tabla de insumos de su hoja «Parámetros»). Aquí sólo valora el stock inicial.</t>
        </is>
      </c>
    </row>
    <row r="40" ht="36" customHeight="1">
      <c r="A40" s="6" t="inlineStr">
        <is>
          <t>Lo que publica hoy esa celda del libro 3 (anótalo cada vez que lo abras)</t>
        </is>
      </c>
      <c r="B40" s="21" t="n">
        <v>6.5</v>
      </c>
      <c r="C40" t="inlineStr">
        <is>
          <t>€/unidad</t>
        </is>
      </c>
      <c r="E40" s="12" t="inlineStr">
        <is>
          <t>Si arriba usas otra cifra, la fila de CUADRE te avisa en vez de dejar las dos separadas en silencio.</t>
        </is>
      </c>
    </row>
    <row r="41">
      <c r="A41" t="inlineStr">
        <is>
          <t>Desviación entre las dos</t>
        </is>
      </c>
      <c r="B41" s="22">
        <f>IFERROR(ABS(B39-B40)/B40,"")</f>
        <v>0.0</v>
      </c>
    </row>
    <row r="42" ht="34" customHeight="1">
      <c r="A42" s="19" t="inlineStr">
        <is>
          <t>CUADRE: lo que usas frente a lo que publica el libro 3 (precio del insumo «cobertura» del stock inicial (base imponible))</t>
        </is>
      </c>
      <c r="B42" s="20" t="str">
        <f>IF(NOT(ISNUMBER(B41)),"",IF(B41&lt;='Parámetros'!$B$16,"CUADRA","REVISA: no es lo que publica el libro 3"))</f>
        <v>CUADRA</v>
      </c>
    </row>
    <row r="43" ht="58" customHeight="1">
      <c r="A43" s="10" t="inlineStr">
        <is>
          <t>cópialo del libro 3: carta-de-apertura-y-escandallo-churro.xlsx!Parámetros!L12</t>
        </is>
      </c>
      <c r="B43" s="21" t="n">
        <v>0.15</v>
      </c>
      <c r="C43" t="inlineStr">
        <is>
          <t>€/unidad</t>
        </is>
      </c>
      <c r="D43" s="18" t="inlineStr">
        <is>
          <t>cruce X17 (libro 3)</t>
        </is>
      </c>
      <c r="E43" s="12" t="inlineStr">
        <is>
          <t>Precio de «Cucurucho de cartón para churros (caja de 100)» sin IVA, por unidad, del libro 3 (tabla de insumos de su hoja «Parámetros»). Aquí sólo valora el stock inicial.</t>
        </is>
      </c>
    </row>
    <row r="44" ht="36" customHeight="1">
      <c r="A44" s="6" t="inlineStr">
        <is>
          <t>Lo que publica hoy esa celda del libro 3 (anótalo cada vez que lo abras)</t>
        </is>
      </c>
      <c r="B44" s="21" t="n">
        <v>0.15</v>
      </c>
      <c r="C44" t="inlineStr">
        <is>
          <t>€/unidad</t>
        </is>
      </c>
      <c r="E44" s="12" t="inlineStr">
        <is>
          <t>Si arriba usas otra cifra, la fila de CUADRE te avisa en vez de dejar las dos separadas en silencio.</t>
        </is>
      </c>
    </row>
    <row r="45">
      <c r="A45" t="inlineStr">
        <is>
          <t>Desviación entre las dos</t>
        </is>
      </c>
      <c r="B45" s="22">
        <f>IFERROR(ABS(B43-B44)/B44,"")</f>
        <v>0.0</v>
      </c>
    </row>
    <row r="46" ht="34" customHeight="1">
      <c r="A46" s="19" t="inlineStr">
        <is>
          <t>CUADRE: lo que usas frente a lo que publica el libro 3 (precio del insumo «cucurucho» del stock inicial (base imponible))</t>
        </is>
      </c>
      <c r="B46" s="20" t="str">
        <f>IF(NOT(ISNUMBER(B45)),"",IF(B45&lt;='Parámetros'!$B$16,"CUADRA","REVISA: no es lo que publica el libro 3"))</f>
        <v>CUADRA</v>
      </c>
    </row>
    <row r="47" ht="58" customHeight="1">
      <c r="A47" s="10" t="inlineStr">
        <is>
          <t>cópialo del libro 3: carta-de-apertura-y-escandallo-churro.xlsx!Parámetros!L13</t>
        </is>
      </c>
      <c r="B47" s="21" t="n">
        <v>0.08</v>
      </c>
      <c r="C47" t="inlineStr">
        <is>
          <t>€/unidad</t>
        </is>
      </c>
      <c r="D47" s="18" t="inlineStr">
        <is>
          <t>cruce X17 (libro 3)</t>
        </is>
      </c>
      <c r="E47" s="12" t="inlineStr">
        <is>
          <t>Precio de «Vaso de papel plastificado con tapa» sin IVA, por unidad, del libro 3 (tabla de insumos de su hoja «Parámetros»). Aquí sólo valora el stock inicial.</t>
        </is>
      </c>
    </row>
    <row r="48" ht="36" customHeight="1">
      <c r="A48" s="6" t="inlineStr">
        <is>
          <t>Lo que publica hoy esa celda del libro 3 (anótalo cada vez que lo abras)</t>
        </is>
      </c>
      <c r="B48" s="21" t="n">
        <v>0.08</v>
      </c>
      <c r="C48" t="inlineStr">
        <is>
          <t>€/unidad</t>
        </is>
      </c>
      <c r="E48" s="12" t="inlineStr">
        <is>
          <t>Si arriba usas otra cifra, la fila de CUADRE te avisa en vez de dejar las dos separadas en silencio.</t>
        </is>
      </c>
    </row>
    <row r="49">
      <c r="A49" t="inlineStr">
        <is>
          <t>Desviación entre las dos</t>
        </is>
      </c>
      <c r="B49" s="22">
        <f>IFERROR(ABS(B47-B48)/B48,"")</f>
        <v>0.0</v>
      </c>
    </row>
    <row r="50" ht="34" customHeight="1">
      <c r="A50" s="19" t="inlineStr">
        <is>
          <t>CUADRE: lo que usas frente a lo que publica el libro 3 (precio del insumo «vaso_llevar» del stock inicial (base imponible))</t>
        </is>
      </c>
      <c r="B50" s="20" t="str">
        <f>IF(NOT(ISNUMBER(B49)),"",IF(B49&lt;='Parámetros'!$B$16,"CUADRA","REVISA: no es lo que publica el libro 3"))</f>
        <v>CUADRA</v>
      </c>
    </row>
    <row r="51" ht="58" customHeight="1">
      <c r="A51" s="10" t="inlineStr">
        <is>
          <t>cópialo del libro 3: carta-de-apertura-y-escandallo-churro.xlsx!Parámetros!L14</t>
        </is>
      </c>
      <c r="B51" s="21" t="n">
        <v>0.02</v>
      </c>
      <c r="C51" t="inlineStr">
        <is>
          <t>€/unidad</t>
        </is>
      </c>
      <c r="D51" s="18" t="inlineStr">
        <is>
          <t>cruce X17 (libro 3)</t>
        </is>
      </c>
      <c r="E51" s="12" t="inlineStr">
        <is>
          <t>Precio de «Papel antigrasa para sueltos» sin IVA, por unidad, del libro 3 (tabla de insumos de su hoja «Parámetros»). Aquí sólo valora el stock inicial.</t>
        </is>
      </c>
    </row>
    <row r="52" ht="36" customHeight="1">
      <c r="A52" s="6" t="inlineStr">
        <is>
          <t>Lo que publica hoy esa celda del libro 3 (anótalo cada vez que lo abras)</t>
        </is>
      </c>
      <c r="B52" s="21" t="n">
        <v>0.02</v>
      </c>
      <c r="C52" t="inlineStr">
        <is>
          <t>€/unidad</t>
        </is>
      </c>
      <c r="E52" s="12" t="inlineStr">
        <is>
          <t>Si arriba usas otra cifra, la fila de CUADRE te avisa en vez de dejar las dos separadas en silencio.</t>
        </is>
      </c>
    </row>
    <row r="53">
      <c r="A53" t="inlineStr">
        <is>
          <t>Desviación entre las dos</t>
        </is>
      </c>
      <c r="B53" s="22">
        <f>IFERROR(ABS(B51-B52)/B52,"")</f>
        <v>0.0</v>
      </c>
    </row>
    <row r="54" ht="34" customHeight="1">
      <c r="A54" s="19" t="inlineStr">
        <is>
          <t>CUADRE: lo que usas frente a lo que publica el libro 3 (precio del insumo «papel_antigrasa» del stock inicial (base imponible))</t>
        </is>
      </c>
      <c r="B54" s="20" t="str">
        <f>IF(NOT(ISNUMBER(B53)),"",IF(B53&lt;='Parámetros'!$B$16,"CUADRA","REVISA: no es lo que publica el libro 3"))</f>
        <v>CUADRA</v>
      </c>
    </row>
    <row r="55" ht="58" customHeight="1">
      <c r="A55" s="10" t="inlineStr">
        <is>
          <t>cópialo del libro 3: carta-de-apertura-y-escandallo-churro.xlsx!Parámetros!L15</t>
        </is>
      </c>
      <c r="B55" s="21" t="n">
        <v>0.25</v>
      </c>
      <c r="C55" t="inlineStr">
        <is>
          <t>€/unidad</t>
        </is>
      </c>
      <c r="D55" s="18" t="inlineStr">
        <is>
          <t>cruce X17 (libro 3)</t>
        </is>
      </c>
      <c r="E55" s="12" t="inlineStr">
        <is>
          <t>Precio de «Caja de cartón para el kilo» sin IVA, por unidad, del libro 3 (tabla de insumos de su hoja «Parámetros»). Aquí sólo valora el stock inicial.</t>
        </is>
      </c>
    </row>
    <row r="56" ht="36" customHeight="1">
      <c r="A56" s="6" t="inlineStr">
        <is>
          <t>Lo que publica hoy esa celda del libro 3 (anótalo cada vez que lo abras)</t>
        </is>
      </c>
      <c r="B56" s="21" t="n">
        <v>0.25</v>
      </c>
      <c r="C56" t="inlineStr">
        <is>
          <t>€/unidad</t>
        </is>
      </c>
      <c r="E56" s="12" t="inlineStr">
        <is>
          <t>Si arriba usas otra cifra, la fila de CUADRE te avisa en vez de dejar las dos separadas en silencio.</t>
        </is>
      </c>
    </row>
    <row r="57">
      <c r="A57" t="inlineStr">
        <is>
          <t>Desviación entre las dos</t>
        </is>
      </c>
      <c r="B57" s="22">
        <f>IFERROR(ABS(B55-B56)/B56,"")</f>
        <v>0.0</v>
      </c>
    </row>
    <row r="58" ht="34" customHeight="1">
      <c r="A58" s="19" t="inlineStr">
        <is>
          <t>CUADRE: lo que usas frente a lo que publica el libro 3 (precio del insumo «caja_kilo» del stock inicial (base imponible))</t>
        </is>
      </c>
      <c r="B58" s="20" t="str">
        <f>IF(NOT(ISNUMBER(B57)),"",IF(B57&lt;='Parámetros'!$B$16,"CUADRA","REVISA: no es lo que publica el libro 3"))</f>
        <v>CUADRA</v>
      </c>
    </row>
    <row r="59" ht="58" customHeight="1">
      <c r="A59" s="10" t="inlineStr">
        <is>
          <t>cópialo del libro 3: carta-de-apertura-y-escandallo-churro.xlsx!Parámetros!L16</t>
        </is>
      </c>
      <c r="B59" s="21" t="n">
        <v>18</v>
      </c>
      <c r="C59" t="inlineStr">
        <is>
          <t>€/unidad</t>
        </is>
      </c>
      <c r="D59" s="18" t="inlineStr">
        <is>
          <t>cruce X17 (libro 3)</t>
        </is>
      </c>
      <c r="E59" s="12" t="inlineStr">
        <is>
          <t>Precio de «Café en grano» sin IVA, por unidad, del libro 3 (tabla de insumos de su hoja «Parámetros»). Aquí sólo valora el stock inicial.</t>
        </is>
      </c>
    </row>
    <row r="60" ht="36" customHeight="1">
      <c r="A60" s="6" t="inlineStr">
        <is>
          <t>Lo que publica hoy esa celda del libro 3 (anótalo cada vez que lo abras)</t>
        </is>
      </c>
      <c r="B60" s="21" t="n">
        <v>18</v>
      </c>
      <c r="C60" t="inlineStr">
        <is>
          <t>€/unidad</t>
        </is>
      </c>
      <c r="E60" s="12" t="inlineStr">
        <is>
          <t>Si arriba usas otra cifra, la fila de CUADRE te avisa en vez de dejar las dos separadas en silencio.</t>
        </is>
      </c>
    </row>
    <row r="61">
      <c r="A61" t="inlineStr">
        <is>
          <t>Desviación entre las dos</t>
        </is>
      </c>
      <c r="B61" s="22">
        <f>IFERROR(ABS(B59-B60)/B60,"")</f>
        <v>0.0</v>
      </c>
    </row>
    <row r="62" ht="34" customHeight="1">
      <c r="A62" s="19" t="inlineStr">
        <is>
          <t>CUADRE: lo que usas frente a lo que publica el libro 3 (precio del insumo «cafe» del stock inicial (base imponible))</t>
        </is>
      </c>
      <c r="B62" s="20" t="str">
        <f>IF(NOT(ISNUMBER(B61)),"",IF(B61&lt;='Parámetros'!$B$16,"CUADRA","REVISA: no es lo que publica el libro 3"))</f>
        <v>CUADRA</v>
      </c>
    </row>
    <row r="63" ht="58" customHeight="1">
      <c r="A63" s="10" t="inlineStr">
        <is>
          <t>cópialo del libro 3: carta-de-apertura-y-escandallo-churro.xlsx!Parámetros!L17</t>
        </is>
      </c>
      <c r="B63" s="21" t="n">
        <v>0.85</v>
      </c>
      <c r="C63" t="inlineStr">
        <is>
          <t>€/unidad</t>
        </is>
      </c>
      <c r="D63" s="18" t="inlineStr">
        <is>
          <t>cruce X17 (libro 3)</t>
        </is>
      </c>
      <c r="E63" s="12" t="inlineStr">
        <is>
          <t>Precio de «Leche» sin IVA, por unidad, del libro 3 (tabla de insumos de su hoja «Parámetros»). Aquí sólo valora el stock inicial.</t>
        </is>
      </c>
    </row>
    <row r="64" ht="36" customHeight="1">
      <c r="A64" s="6" t="inlineStr">
        <is>
          <t>Lo que publica hoy esa celda del libro 3 (anótalo cada vez que lo abras)</t>
        </is>
      </c>
      <c r="B64" s="21" t="n">
        <v>0.85</v>
      </c>
      <c r="C64" t="inlineStr">
        <is>
          <t>€/unidad</t>
        </is>
      </c>
      <c r="E64" s="12" t="inlineStr">
        <is>
          <t>Si arriba usas otra cifra, la fila de CUADRE te avisa en vez de dejar las dos separadas en silencio.</t>
        </is>
      </c>
    </row>
    <row r="65">
      <c r="A65" t="inlineStr">
        <is>
          <t>Desviación entre las dos</t>
        </is>
      </c>
      <c r="B65" s="22">
        <f>IFERROR(ABS(B63-B64)/B64,"")</f>
        <v>0.0</v>
      </c>
    </row>
    <row r="66" ht="34" customHeight="1">
      <c r="A66" s="19" t="inlineStr">
        <is>
          <t>CUADRE: lo que usas frente a lo que publica el libro 3 (precio del insumo «leche» del stock inicial (base imponible))</t>
        </is>
      </c>
      <c r="B66" s="20" t="str">
        <f>IF(NOT(ISNUMBER(B65)),"",IF(B65&lt;='Parámetros'!$B$16,"CUADRA","REVISA: no es lo que publica el libro 3"))</f>
        <v>CUADRA</v>
      </c>
    </row>
    <row r="67" ht="58" customHeight="1">
      <c r="A67" s="10" t="inlineStr">
        <is>
          <t>cópialo del libro 3: carta-de-apertura-y-escandallo-churro.xlsx!Parámetros!L18</t>
        </is>
      </c>
      <c r="B67" s="21" t="n">
        <v>1</v>
      </c>
      <c r="C67" t="inlineStr">
        <is>
          <t>€/unidad</t>
        </is>
      </c>
      <c r="D67" s="18" t="inlineStr">
        <is>
          <t>cruce X17 (libro 3)</t>
        </is>
      </c>
      <c r="E67" s="12" t="inlineStr">
        <is>
          <t>Precio de «Azúcar para espolvorear y sobres» sin IVA, por unidad, del libro 3 (tabla de insumos de su hoja «Parámetros»). Aquí sólo valora el stock inicial.</t>
        </is>
      </c>
    </row>
    <row r="68" ht="36" customHeight="1">
      <c r="A68" s="6" t="inlineStr">
        <is>
          <t>Lo que publica hoy esa celda del libro 3 (anótalo cada vez que lo abras)</t>
        </is>
      </c>
      <c r="B68" s="21" t="n">
        <v>1</v>
      </c>
      <c r="C68" t="inlineStr">
        <is>
          <t>€/unidad</t>
        </is>
      </c>
      <c r="E68" s="12" t="inlineStr">
        <is>
          <t>Si arriba usas otra cifra, la fila de CUADRE te avisa en vez de dejar las dos separadas en silencio.</t>
        </is>
      </c>
    </row>
    <row r="69">
      <c r="A69" t="inlineStr">
        <is>
          <t>Desviación entre las dos</t>
        </is>
      </c>
      <c r="B69" s="22">
        <f>IFERROR(ABS(B67-B68)/B68,"")</f>
        <v>0.0</v>
      </c>
    </row>
    <row r="70" ht="34" customHeight="1">
      <c r="A70" s="19" t="inlineStr">
        <is>
          <t>CUADRE: lo que usas frente a lo que publica el libro 3 (precio del insumo «azucar» del stock inicial (base imponible))</t>
        </is>
      </c>
      <c r="B70" s="20" t="str">
        <f>IF(NOT(ISNUMBER(B69)),"",IF(B69&lt;='Parámetros'!$B$16,"CUADRA","REVISA: no es lo que publica el libro 3"))</f>
        <v>CUADRA</v>
      </c>
    </row>
    <row r="71" ht="58" customHeight="1">
      <c r="A71" s="10" t="inlineStr">
        <is>
          <t>cópialo del libro 3: carta-de-apertura-y-escandallo-churro.xlsx!Parámetros!L19</t>
        </is>
      </c>
      <c r="B71" s="21" t="n">
        <v>6</v>
      </c>
      <c r="C71" t="inlineStr">
        <is>
          <t>€/unidad</t>
        </is>
      </c>
      <c r="D71" s="18" t="inlineStr">
        <is>
          <t>cruce X17 (libro 3)</t>
        </is>
      </c>
      <c r="E71" s="12" t="inlineStr">
        <is>
          <t>Precio de «Cacao soluble» sin IVA, por unidad, del libro 3 (tabla de insumos de su hoja «Parámetros»). Aquí sólo valora el stock inicial.</t>
        </is>
      </c>
    </row>
    <row r="72" ht="36" customHeight="1">
      <c r="A72" s="6" t="inlineStr">
        <is>
          <t>Lo que publica hoy esa celda del libro 3 (anótalo cada vez que lo abras)</t>
        </is>
      </c>
      <c r="B72" s="21" t="n">
        <v>6</v>
      </c>
      <c r="C72" t="inlineStr">
        <is>
          <t>€/unidad</t>
        </is>
      </c>
      <c r="E72" s="12" t="inlineStr">
        <is>
          <t>Si arriba usas otra cifra, la fila de CUADRE te avisa en vez de dejar las dos separadas en silencio.</t>
        </is>
      </c>
    </row>
    <row r="73">
      <c r="A73" t="inlineStr">
        <is>
          <t>Desviación entre las dos</t>
        </is>
      </c>
      <c r="B73" s="22">
        <f>IFERROR(ABS(B71-B72)/B72,"")</f>
        <v>0.0</v>
      </c>
    </row>
    <row r="74" ht="34" customHeight="1">
      <c r="A74" s="19" t="inlineStr">
        <is>
          <t>CUADRE: lo que usas frente a lo que publica el libro 3 (precio del insumo «cacao_soluble» del stock inicial (base imponible))</t>
        </is>
      </c>
      <c r="B74" s="20" t="str">
        <f>IF(NOT(ISNUMBER(B73)),"",IF(B73&lt;='Parámetros'!$B$16,"CUADRA","REVISA: no es lo que publica el libro 3"))</f>
        <v>CUADRA</v>
      </c>
    </row>
    <row r="75" ht="58" customHeight="1">
      <c r="A75" s="10" t="inlineStr">
        <is>
          <t>cópialo del libro 3: carta-de-apertura-y-escandallo-churro.xlsx!Parámetros!L20</t>
        </is>
      </c>
      <c r="B75" s="21" t="n">
        <v>0.06</v>
      </c>
      <c r="C75" t="inlineStr">
        <is>
          <t>€/unidad</t>
        </is>
      </c>
      <c r="D75" s="18" t="inlineStr">
        <is>
          <t>cruce X17 (libro 3)</t>
        </is>
      </c>
      <c r="E75" s="12" t="inlineStr">
        <is>
          <t>Precio de «Infusión (sobre)» sin IVA, por unidad, del libro 3 (tabla de insumos de su hoja «Parámetros»). Aquí sólo valora el stock inicial.</t>
        </is>
      </c>
    </row>
    <row r="76" ht="36" customHeight="1">
      <c r="A76" s="6" t="inlineStr">
        <is>
          <t>Lo que publica hoy esa celda del libro 3 (anótalo cada vez que lo abras)</t>
        </is>
      </c>
      <c r="B76" s="21" t="n">
        <v>0.06</v>
      </c>
      <c r="C76" t="inlineStr">
        <is>
          <t>€/unidad</t>
        </is>
      </c>
      <c r="E76" s="12" t="inlineStr">
        <is>
          <t>Si arriba usas otra cifra, la fila de CUADRE te avisa en vez de dejar las dos separadas en silencio.</t>
        </is>
      </c>
    </row>
    <row r="77">
      <c r="A77" t="inlineStr">
        <is>
          <t>Desviación entre las dos</t>
        </is>
      </c>
      <c r="B77" s="22">
        <f>IFERROR(ABS(B75-B76)/B76,"")</f>
        <v>0.0</v>
      </c>
    </row>
    <row r="78" ht="34" customHeight="1">
      <c r="A78" s="19" t="inlineStr">
        <is>
          <t>CUADRE: lo que usas frente a lo que publica el libro 3 (precio del insumo «infusion» del stock inicial (base imponible))</t>
        </is>
      </c>
      <c r="B78" s="20" t="str">
        <f>IF(NOT(ISNUMBER(B77)),"",IF(B77&lt;='Parámetros'!$B$16,"CUADRA","REVISA: no es lo que publica el libro 3"))</f>
        <v>CUADRA</v>
      </c>
    </row>
    <row r="79" ht="58" customHeight="1">
      <c r="A79" s="10" t="inlineStr">
        <is>
          <t>cópialo del libro 3: carta-de-apertura-y-escandallo-churro.xlsx!Parámetros!L21</t>
        </is>
      </c>
      <c r="B79" s="21" t="n">
        <v>0.22</v>
      </c>
      <c r="C79" t="inlineStr">
        <is>
          <t>€/unidad</t>
        </is>
      </c>
      <c r="D79" s="18" t="inlineStr">
        <is>
          <t>cruce X17 (libro 3)</t>
        </is>
      </c>
      <c r="E79" s="12" t="inlineStr">
        <is>
          <t>Precio de «Agua (botella de 50 cl)» sin IVA, por unidad, del libro 3 (tabla de insumos de su hoja «Parámetros»). Aquí sólo valora el stock inicial.</t>
        </is>
      </c>
    </row>
    <row r="80" ht="36" customHeight="1">
      <c r="A80" s="6" t="inlineStr">
        <is>
          <t>Lo que publica hoy esa celda del libro 3 (anótalo cada vez que lo abras)</t>
        </is>
      </c>
      <c r="B80" s="21" t="n">
        <v>0.22</v>
      </c>
      <c r="C80" t="inlineStr">
        <is>
          <t>€/unidad</t>
        </is>
      </c>
      <c r="E80" s="12" t="inlineStr">
        <is>
          <t>Si arriba usas otra cifra, la fila de CUADRE te avisa en vez de dejar las dos separadas en silencio.</t>
        </is>
      </c>
    </row>
    <row r="81">
      <c r="A81" t="inlineStr">
        <is>
          <t>Desviación entre las dos</t>
        </is>
      </c>
      <c r="B81" s="22">
        <f>IFERROR(ABS(B79-B80)/B80,"")</f>
        <v>0.0</v>
      </c>
    </row>
    <row r="82" ht="34" customHeight="1">
      <c r="A82" s="19" t="inlineStr">
        <is>
          <t>CUADRE: lo que usas frente a lo que publica el libro 3 (precio del insumo «agua» del stock inicial (base imponible))</t>
        </is>
      </c>
      <c r="B82" s="20" t="str">
        <f>IF(NOT(ISNUMBER(B81)),"",IF(B81&lt;='Parámetros'!$B$16,"CUADRA","REVISA: no es lo que publica el libro 3"))</f>
        <v>CUADRA</v>
      </c>
    </row>
    <row r="83"/>
    <row r="84"/>
    <row r="85">
      <c r="A85" s="24" t="inlineStr">
        <is>
          <t>Listas de validación (no las borres: las usan los desplegables)</t>
        </is>
      </c>
    </row>
    <row r="86">
      <c r="A86" s="25" t="inlineStr">
        <is>
          <t>1 o 0</t>
        </is>
      </c>
    </row>
    <row r="87">
      <c r="A87" t="n">
        <v>1</v>
      </c>
    </row>
    <row r="88">
      <c r="A88" t="n">
        <v>0</v>
      </c>
    </row>
  </sheetData>
  <sheetProtection selectLockedCells="0" selectUnlockedCells="0" sheet="1" objects="0" insertRows="0" insertHyperlinks="1" autoFilter="1" scenarios="0" formatColumns="0" deleteColumns="1" insertColumns="1" pivotTables="1" deleteRows="1" formatCells="1" formatRows="0" sort="0"/>
  <conditionalFormatting sqref="B22">
    <cfRule type="cellIs" priority="1" operator="equal" dxfId="0" stopIfTrue="1">
      <formula>"CUADRA"</formula>
    </cfRule>
    <cfRule type="cellIs" priority="2" operator="equal" dxfId="1" stopIfTrue="1">
      <formula>"REVISA: no es lo que publica el libro 1"</formula>
    </cfRule>
  </conditionalFormatting>
  <conditionalFormatting sqref="B25">
    <cfRule type="expression" priority="3" dxfId="1" stopIfTrue="1">
      <formula>=AND(ISNUMBER($B$25),$B$25&gt;'Parámetros'!$B$16)</formula>
    </cfRule>
  </conditionalFormatting>
  <conditionalFormatting sqref="B26">
    <cfRule type="cellIs" priority="4" operator="equal" dxfId="0" stopIfTrue="1">
      <formula>"CUADRA"</formula>
    </cfRule>
    <cfRule type="cellIs" priority="5" operator="equal" dxfId="1" stopIfTrue="1">
      <formula>"REVISA: no es lo que publica el libro 3"</formula>
    </cfRule>
  </conditionalFormatting>
  <conditionalFormatting sqref="B29">
    <cfRule type="expression" priority="6" dxfId="1" stopIfTrue="1">
      <formula>=AND(ISNUMBER($B$29),$B$29&gt;'Parámetros'!$B$16)</formula>
    </cfRule>
  </conditionalFormatting>
  <conditionalFormatting sqref="B30">
    <cfRule type="cellIs" priority="7" operator="equal" dxfId="0" stopIfTrue="1">
      <formula>"CUADRA"</formula>
    </cfRule>
    <cfRule type="cellIs" priority="8" operator="equal" dxfId="1" stopIfTrue="1">
      <formula>"REVISA: no es lo que publica el libro 3"</formula>
    </cfRule>
  </conditionalFormatting>
  <conditionalFormatting sqref="B33">
    <cfRule type="expression" priority="9" dxfId="1" stopIfTrue="1">
      <formula>=AND(ISNUMBER($B$33),$B$33&gt;'Parámetros'!$B$16)</formula>
    </cfRule>
  </conditionalFormatting>
  <conditionalFormatting sqref="B34">
    <cfRule type="cellIs" priority="10" operator="equal" dxfId="0" stopIfTrue="1">
      <formula>"CUADRA"</formula>
    </cfRule>
    <cfRule type="cellIs" priority="11" operator="equal" dxfId="1" stopIfTrue="1">
      <formula>"REVISA: no es lo que publica el libro 1"</formula>
    </cfRule>
  </conditionalFormatting>
  <conditionalFormatting sqref="B37">
    <cfRule type="expression" priority="12" dxfId="1" stopIfTrue="1">
      <formula>=AND(ISNUMBER($B$37),$B$37&gt;'Parámetros'!$B$16)</formula>
    </cfRule>
  </conditionalFormatting>
  <conditionalFormatting sqref="B38">
    <cfRule type="cellIs" priority="13" operator="equal" dxfId="0" stopIfTrue="1">
      <formula>"CUADRA"</formula>
    </cfRule>
    <cfRule type="cellIs" priority="14" operator="equal" dxfId="1" stopIfTrue="1">
      <formula>"REVISA: no es lo que publica el libro 3"</formula>
    </cfRule>
  </conditionalFormatting>
  <conditionalFormatting sqref="B41">
    <cfRule type="expression" priority="15" dxfId="1" stopIfTrue="1">
      <formula>=AND(ISNUMBER($B$41),$B$41&gt;'Parámetros'!$B$16)</formula>
    </cfRule>
  </conditionalFormatting>
  <conditionalFormatting sqref="B42">
    <cfRule type="cellIs" priority="16" operator="equal" dxfId="0" stopIfTrue="1">
      <formula>"CUADRA"</formula>
    </cfRule>
    <cfRule type="cellIs" priority="17" operator="equal" dxfId="1" stopIfTrue="1">
      <formula>"REVISA: no es lo que publica el libro 3"</formula>
    </cfRule>
  </conditionalFormatting>
  <conditionalFormatting sqref="B45">
    <cfRule type="expression" priority="18" dxfId="1" stopIfTrue="1">
      <formula>=AND(ISNUMBER($B$45),$B$45&gt;'Parámetros'!$B$16)</formula>
    </cfRule>
  </conditionalFormatting>
  <conditionalFormatting sqref="B46">
    <cfRule type="cellIs" priority="19" operator="equal" dxfId="0" stopIfTrue="1">
      <formula>"CUADRA"</formula>
    </cfRule>
    <cfRule type="cellIs" priority="20" operator="equal" dxfId="1" stopIfTrue="1">
      <formula>"REVISA: no es lo que publica el libro 3"</formula>
    </cfRule>
  </conditionalFormatting>
  <conditionalFormatting sqref="B49">
    <cfRule type="expression" priority="21" dxfId="1" stopIfTrue="1">
      <formula>=AND(ISNUMBER($B$49),$B$49&gt;'Parámetros'!$B$16)</formula>
    </cfRule>
  </conditionalFormatting>
  <conditionalFormatting sqref="B50">
    <cfRule type="cellIs" priority="22" operator="equal" dxfId="0" stopIfTrue="1">
      <formula>"CUADRA"</formula>
    </cfRule>
    <cfRule type="cellIs" priority="23" operator="equal" dxfId="1" stopIfTrue="1">
      <formula>"REVISA: no es lo que publica el libro 3"</formula>
    </cfRule>
  </conditionalFormatting>
  <conditionalFormatting sqref="B53">
    <cfRule type="expression" priority="24" dxfId="1" stopIfTrue="1">
      <formula>=AND(ISNUMBER($B$53),$B$53&gt;'Parámetros'!$B$16)</formula>
    </cfRule>
  </conditionalFormatting>
  <conditionalFormatting sqref="B54">
    <cfRule type="cellIs" priority="25" operator="equal" dxfId="0" stopIfTrue="1">
      <formula>"CUADRA"</formula>
    </cfRule>
    <cfRule type="cellIs" priority="26" operator="equal" dxfId="1" stopIfTrue="1">
      <formula>"REVISA: no es lo que publica el libro 3"</formula>
    </cfRule>
  </conditionalFormatting>
  <conditionalFormatting sqref="B57">
    <cfRule type="expression" priority="27" dxfId="1" stopIfTrue="1">
      <formula>=AND(ISNUMBER($B$57),$B$57&gt;'Parámetros'!$B$16)</formula>
    </cfRule>
  </conditionalFormatting>
  <conditionalFormatting sqref="B58">
    <cfRule type="cellIs" priority="28" operator="equal" dxfId="0" stopIfTrue="1">
      <formula>"CUADRA"</formula>
    </cfRule>
    <cfRule type="cellIs" priority="29" operator="equal" dxfId="1" stopIfTrue="1">
      <formula>"REVISA: no es lo que publica el libro 3"</formula>
    </cfRule>
  </conditionalFormatting>
  <conditionalFormatting sqref="B61">
    <cfRule type="expression" priority="30" dxfId="1" stopIfTrue="1">
      <formula>=AND(ISNUMBER($B$61),$B$61&gt;'Parámetros'!$B$16)</formula>
    </cfRule>
  </conditionalFormatting>
  <conditionalFormatting sqref="B62">
    <cfRule type="cellIs" priority="31" operator="equal" dxfId="0" stopIfTrue="1">
      <formula>"CUADRA"</formula>
    </cfRule>
    <cfRule type="cellIs" priority="32" operator="equal" dxfId="1" stopIfTrue="1">
      <formula>"REVISA: no es lo que publica el libro 3"</formula>
    </cfRule>
  </conditionalFormatting>
  <conditionalFormatting sqref="B65">
    <cfRule type="expression" priority="33" dxfId="1" stopIfTrue="1">
      <formula>=AND(ISNUMBER($B$65),$B$65&gt;'Parámetros'!$B$16)</formula>
    </cfRule>
  </conditionalFormatting>
  <conditionalFormatting sqref="B66">
    <cfRule type="cellIs" priority="34" operator="equal" dxfId="0" stopIfTrue="1">
      <formula>"CUADRA"</formula>
    </cfRule>
    <cfRule type="cellIs" priority="35" operator="equal" dxfId="1" stopIfTrue="1">
      <formula>"REVISA: no es lo que publica el libro 3"</formula>
    </cfRule>
  </conditionalFormatting>
  <conditionalFormatting sqref="B69">
    <cfRule type="expression" priority="36" dxfId="1" stopIfTrue="1">
      <formula>=AND(ISNUMBER($B$69),$B$69&gt;'Parámetros'!$B$16)</formula>
    </cfRule>
  </conditionalFormatting>
  <conditionalFormatting sqref="B70">
    <cfRule type="cellIs" priority="37" operator="equal" dxfId="0" stopIfTrue="1">
      <formula>"CUADRA"</formula>
    </cfRule>
    <cfRule type="cellIs" priority="38" operator="equal" dxfId="1" stopIfTrue="1">
      <formula>"REVISA: no es lo que publica el libro 3"</formula>
    </cfRule>
  </conditionalFormatting>
  <conditionalFormatting sqref="B73">
    <cfRule type="expression" priority="39" dxfId="1" stopIfTrue="1">
      <formula>=AND(ISNUMBER($B$73),$B$73&gt;'Parámetros'!$B$16)</formula>
    </cfRule>
  </conditionalFormatting>
  <conditionalFormatting sqref="B74">
    <cfRule type="cellIs" priority="40" operator="equal" dxfId="0" stopIfTrue="1">
      <formula>"CUADRA"</formula>
    </cfRule>
    <cfRule type="cellIs" priority="41" operator="equal" dxfId="1" stopIfTrue="1">
      <formula>"REVISA: no es lo que publica el libro 3"</formula>
    </cfRule>
  </conditionalFormatting>
  <conditionalFormatting sqref="B77">
    <cfRule type="expression" priority="42" dxfId="1" stopIfTrue="1">
      <formula>=AND(ISNUMBER($B$77),$B$77&gt;'Parámetros'!$B$16)</formula>
    </cfRule>
  </conditionalFormatting>
  <conditionalFormatting sqref="B78">
    <cfRule type="cellIs" priority="43" operator="equal" dxfId="0" stopIfTrue="1">
      <formula>"CUADRA"</formula>
    </cfRule>
    <cfRule type="cellIs" priority="44" operator="equal" dxfId="1" stopIfTrue="1">
      <formula>"REVISA: no es lo que publica el libro 3"</formula>
    </cfRule>
  </conditionalFormatting>
  <conditionalFormatting sqref="B81">
    <cfRule type="expression" priority="45" dxfId="1" stopIfTrue="1">
      <formula>=AND(ISNUMBER($B$81),$B$81&gt;'Parámetros'!$B$16)</formula>
    </cfRule>
  </conditionalFormatting>
  <conditionalFormatting sqref="B82">
    <cfRule type="cellIs" priority="46" operator="equal" dxfId="0" stopIfTrue="1">
      <formula>"CUADRA"</formula>
    </cfRule>
    <cfRule type="cellIs" priority="47" operator="equal" dxfId="1" stopIfTrue="1">
      <formula>"REVISA: no es lo que publica el libro 3"</formula>
    </cfRule>
  </conditionalFormatting>
  <dataValidations count="24">
    <dataValidation sqref="B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9 B20" showDropDown="0" showInputMessage="0" showErrorMessage="1" allowBlank="0" errorTitle="Extinción automática" error="Escribe 1 (sí) o 0 (no)." type="list">
      <formula1>=$A$87:$A$88</formula1>
    </dataValidation>
    <dataValidation sqref="B23 B24" showDropDown="0" showInputMessage="0" showErrorMessage="1" allowBlank="1" errorTitle="Importe no válido" error="Escribe un número mayor o igual que 0." type="decimal" operator="greaterThanOrEqual">
      <formula1>0</formula1>
    </dataValidation>
    <dataValidation sqref="B27 B28" showDropDown="0" showInputMessage="0" showErrorMessage="1" allowBlank="1" errorTitle="Importe no válido" error="Escribe un número mayor o igual que 0." type="decimal" operator="greaterThanOrEqual">
      <formula1>0</formula1>
    </dataValidation>
    <dataValidation sqref="B31 B32" showDropDown="0" showInputMessage="0" showErrorMessage="1" allowBlank="1" errorTitle="Importe no válido" error="Escribe un número mayor o igual que 0." type="decimal" operator="greaterThanOrEqual">
      <formula1>0</formula1>
    </dataValidation>
    <dataValidation sqref="B35 B36" showDropDown="0" showInputMessage="0" showErrorMessage="1" allowBlank="1" errorTitle="Importe no válido" error="Escribe un número mayor o igual que 0." type="decimal" operator="greaterThanOrEqual">
      <formula1>0</formula1>
    </dataValidation>
    <dataValidation sqref="B39 B40" showDropDown="0" showInputMessage="0" showErrorMessage="1" allowBlank="1" errorTitle="Importe no válido" error="Escribe un número mayor o igual que 0." type="decimal" operator="greaterThanOrEqual">
      <formula1>0</formula1>
    </dataValidation>
    <dataValidation sqref="B43 B44" showDropDown="0" showInputMessage="0" showErrorMessage="1" allowBlank="1" errorTitle="Importe no válido" error="Escribe un número mayor o igual que 0." type="decimal" operator="greaterThanOrEqual">
      <formula1>0</formula1>
    </dataValidation>
    <dataValidation sqref="B47 B48" showDropDown="0" showInputMessage="0" showErrorMessage="1" allowBlank="1" errorTitle="Importe no válido" error="Escribe un número mayor o igual que 0." type="decimal" operator="greaterThanOrEqual">
      <formula1>0</formula1>
    </dataValidation>
    <dataValidation sqref="B51 B52" showDropDown="0" showInputMessage="0" showErrorMessage="1" allowBlank="1" errorTitle="Importe no válido" error="Escribe un número mayor o igual que 0." type="decimal" operator="greaterThanOrEqual">
      <formula1>0</formula1>
    </dataValidation>
    <dataValidation sqref="B55 B56" showDropDown="0" showInputMessage="0" showErrorMessage="1" allowBlank="1" errorTitle="Importe no válido" error="Escribe un número mayor o igual que 0." type="decimal" operator="greaterThanOrEqual">
      <formula1>0</formula1>
    </dataValidation>
    <dataValidation sqref="B59 B60" showDropDown="0" showInputMessage="0" showErrorMessage="1" allowBlank="1" errorTitle="Importe no válido" error="Escribe un número mayor o igual que 0." type="decimal" operator="greaterThanOrEqual">
      <formula1>0</formula1>
    </dataValidation>
    <dataValidation sqref="B63 B64" showDropDown="0" showInputMessage="0" showErrorMessage="1" allowBlank="1" errorTitle="Importe no válido" error="Escribe un número mayor o igual que 0." type="decimal" operator="greaterThanOrEqual">
      <formula1>0</formula1>
    </dataValidation>
    <dataValidation sqref="B67 B68" showDropDown="0" showInputMessage="0" showErrorMessage="1" allowBlank="1" errorTitle="Importe no válido" error="Escribe un número mayor o igual que 0." type="decimal" operator="greaterThanOrEqual">
      <formula1>0</formula1>
    </dataValidation>
    <dataValidation sqref="B71 B72" showDropDown="0" showInputMessage="0" showErrorMessage="1" allowBlank="1" errorTitle="Importe no válido" error="Escribe un número mayor o igual que 0." type="decimal" operator="greaterThanOrEqual">
      <formula1>0</formula1>
    </dataValidation>
    <dataValidation sqref="B75 B76" showDropDown="0" showInputMessage="0" showErrorMessage="1" allowBlank="1" errorTitle="Importe no válido" error="Escribe un número mayor o igual que 0." type="decimal" operator="greaterThanOrEqual">
      <formula1>0</formula1>
    </dataValidation>
    <dataValidation sqref="B79 B8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P52"/>
  <sheetViews>
    <sheetView workbookViewId="0">
      <pane ySplit="5" topLeftCell="A6" activePane="bottomLeft" state="frozen"/>
      <selection pane="bottomLeft" activeCell="A1" sqref="A1"/>
    </sheetView>
  </sheetViews>
  <sheetFormatPr baseColWidth="8" defaultRowHeight="15"/>
  <cols>
    <col width="5" customWidth="1" min="1" max="1"/>
    <col width="24" customWidth="1" min="2" max="2"/>
    <col width="42" customWidth="1" min="3" max="3"/>
    <col width="14" customWidth="1" min="4" max="4"/>
    <col width="10" customWidth="1" min="5" max="5"/>
    <col width="13" customWidth="1" min="6" max="6"/>
    <col width="13" customWidth="1" min="7" max="7"/>
    <col width="13" customWidth="1" min="8" max="8"/>
    <col width="10" customWidth="1" min="9" max="9"/>
    <col width="9" customWidth="1" min="10" max="10"/>
    <col width="13" customWidth="1" min="11" max="11"/>
    <col width="12" customWidth="1" min="12" max="12"/>
    <col width="13" customWidth="1" min="13" max="13"/>
    <col width="10" customWidth="1" min="14" max="14"/>
    <col width="13" customWidth="1" min="15" max="15"/>
    <col width="70" customWidth="1" min="16" max="16"/>
  </cols>
  <sheetData>
    <row r="1">
      <c r="A1" s="1" t="inlineStr">
        <is>
          <t>CAPEX por Bloque</t>
        </is>
      </c>
    </row>
    <row r="2">
      <c r="A2" s="2" t="inlineStr">
        <is>
          <t>AI Chef Pro · aichef.pro — Cómo Montar una Churrería-Chocolatería</t>
        </is>
      </c>
    </row>
    <row r="3">
      <c r="A3" s="3" t="inlineStr">
        <is>
          <t>Lo que no es máquina, el stock inicial y los once bloques sumados. Sin fondo de maniobra: lo calcula el libro 6.</t>
        </is>
      </c>
    </row>
    <row r="4"/>
    <row r="5" ht="52" customHeight="1">
      <c r="A5" s="9" t="inlineStr">
        <is>
          <t>Nº</t>
        </is>
      </c>
      <c r="B5" s="9" t="inlineStr">
        <is>
          <t>Bloque</t>
        </is>
      </c>
      <c r="C5" s="9" t="inlineStr">
        <is>
          <t>Partida</t>
        </is>
      </c>
      <c r="D5" s="9" t="inlineStr">
        <is>
          <t>Procedencia</t>
        </is>
      </c>
      <c r="E5" s="9" t="inlineStr">
        <is>
          <t>¿La incluyes?</t>
        </is>
      </c>
      <c r="F5" s="9" t="inlineStr">
        <is>
          <t>Mínimo</t>
        </is>
      </c>
      <c r="G5" s="9" t="inlineStr">
        <is>
          <t>Máximo</t>
        </is>
      </c>
      <c r="H5" s="9" t="inlineStr">
        <is>
          <t>Tu importe</t>
        </is>
      </c>
      <c r="I5" s="9" t="inlineStr">
        <is>
          <t>¿Tu importe lleva IVA?</t>
        </is>
      </c>
      <c r="J5" s="9" t="inlineStr">
        <is>
          <t>Tipo de IVA</t>
        </is>
      </c>
      <c r="K5" s="9" t="inlineStr">
        <is>
          <t>Base sin IVA</t>
        </is>
      </c>
      <c r="L5" s="9" t="inlineStr">
        <is>
          <t>IVA soportado</t>
        </is>
      </c>
      <c r="M5" s="9" t="inlineStr">
        <is>
          <t>Total con IVA</t>
        </is>
      </c>
      <c r="N5" s="9" t="inlineStr">
        <is>
          <t>¿Se amortiza?</t>
        </is>
      </c>
      <c r="O5" s="9" t="inlineStr">
        <is>
          <t>Base amortizable</t>
        </is>
      </c>
      <c r="P5" s="9" t="inlineStr">
        <is>
          <t>Nota</t>
        </is>
      </c>
    </row>
    <row r="6" ht="48" customHeight="1">
      <c r="A6" s="17" t="n">
        <v>1</v>
      </c>
      <c r="B6" s="6" t="inlineStr">
        <is>
          <t>Obra civil y acondicionamiento</t>
        </is>
      </c>
      <c r="C6" s="6" t="inlineStr">
        <is>
          <t>Obra y acondicionamiento del local en bruto (380 €/m²)</t>
        </is>
      </c>
      <c r="D6" s="12" t="inlineStr">
        <is>
          <t>supuesto declarado</t>
        </is>
      </c>
      <c r="E6" s="5" t="inlineStr">
        <is>
          <t>Sí</t>
        </is>
      </c>
      <c r="F6" s="26">
        <f>'Parámetros'!$B$10*'Parámetros'!$B$11</f>
        <v>28500.0</v>
      </c>
      <c r="G6" s="26">
        <f>'Parámetros'!$B$10*'Parámetros'!$B$11</f>
        <v>28500.0</v>
      </c>
      <c r="H6" s="26">
        <f>'Parámetros'!$B$10*'Parámetros'!$B$11</f>
        <v>28500.0</v>
      </c>
      <c r="I6" s="5" t="inlineStr">
        <is>
          <t>No</t>
        </is>
      </c>
      <c r="J6" s="22">
        <f>'Parámetros'!$B$6</f>
        <v>0.21</v>
      </c>
      <c r="K6" s="26">
        <f>IF(E6="No","",IFERROR(IF(I6="Sí",H6/(1+J6),H6),""))</f>
        <v>28500.0</v>
      </c>
      <c r="L6" s="26">
        <f>IF(K6="","",K6*J6)</f>
        <v>5985.0</v>
      </c>
      <c r="M6" s="26">
        <f>IF(K6="","",K6+L6)</f>
        <v>34485.0</v>
      </c>
      <c r="N6" t="inlineStr">
        <is>
          <t>Sí</t>
        </is>
      </c>
      <c r="O6" s="26">
        <f>IF(AND(N6="Sí",ISNUMBER(K6)),K6,"")</f>
        <v>28500.0</v>
      </c>
      <c r="P6" s="6" t="inlineStr">
        <is>
          <t>Supuesto declarado: ninguna ficha publica un coste de obra por m² de churrería. Se calcula con los m² de NEGOCIO.</t>
        </is>
      </c>
    </row>
    <row r="7" ht="48" customHeight="1">
      <c r="A7" s="17" t="n">
        <v>2</v>
      </c>
      <c r="B7" s="6" t="inlineStr">
        <is>
          <t>Licencias, proyecto de actividad y tasas</t>
        </is>
      </c>
      <c r="C7" s="6" t="inlineStr">
        <is>
          <t>Proyecto técnico de actividad y de la extracción</t>
        </is>
      </c>
      <c r="D7" s="12" t="inlineStr">
        <is>
          <t>supuesto declarado</t>
        </is>
      </c>
      <c r="E7" s="5" t="inlineStr">
        <is>
          <t>Sí</t>
        </is>
      </c>
      <c r="F7" s="15" t="n">
        <v>4200</v>
      </c>
      <c r="G7" s="15" t="n">
        <v>4200</v>
      </c>
      <c r="H7" s="15" t="n">
        <v>4200</v>
      </c>
      <c r="I7" s="5" t="inlineStr">
        <is>
          <t>No</t>
        </is>
      </c>
      <c r="J7" s="22">
        <f>'Parámetros'!$B$6</f>
        <v>0.21</v>
      </c>
      <c r="K7" s="26">
        <f>IF(E7="No","",IFERROR(IF(I7="Sí",H7/(1+J7),H7),""))</f>
        <v>4200.0</v>
      </c>
      <c r="L7" s="26">
        <f>IF(K7="","",K7*J7)</f>
        <v>882.0</v>
      </c>
      <c r="M7" s="26">
        <f>IF(K7="","",K7+L7)</f>
        <v>5082.0</v>
      </c>
      <c r="N7" t="inlineStr">
        <is>
          <t>Sí</t>
        </is>
      </c>
      <c r="O7" s="26">
        <f>IF(AND(N7="Sí",ISNUMBER(K7)),K7,"")</f>
        <v>4200.0</v>
      </c>
      <c r="P7" s="6" t="inlineStr">
        <is>
          <t>Supuesto declarado.</t>
        </is>
      </c>
    </row>
    <row r="8" ht="48" customHeight="1">
      <c r="A8" s="17" t="n">
        <v>3</v>
      </c>
      <c r="B8" s="6" t="inlineStr">
        <is>
          <t>Licencias, proyecto de actividad y tasas</t>
        </is>
      </c>
      <c r="C8" s="6" t="inlineStr">
        <is>
          <t>Licencia de obra del conducto y tasas municipales</t>
        </is>
      </c>
      <c r="D8" s="12" t="inlineStr">
        <is>
          <t>supuesto declarado</t>
        </is>
      </c>
      <c r="E8" s="5" t="inlineStr">
        <is>
          <t>Sí</t>
        </is>
      </c>
      <c r="F8" s="15" t="n">
        <v>1900</v>
      </c>
      <c r="G8" s="15" t="n">
        <v>1900</v>
      </c>
      <c r="H8" s="15" t="n">
        <v>1900</v>
      </c>
      <c r="I8" s="5" t="inlineStr">
        <is>
          <t>No</t>
        </is>
      </c>
      <c r="J8" s="22">
        <f>'Parámetros'!$B$8</f>
        <v>0.0</v>
      </c>
      <c r="K8" s="26">
        <f>IF(E8="No","",IFERROR(IF(I8="Sí",H8/(1+J8),H8),""))</f>
        <v>1900.0</v>
      </c>
      <c r="L8" s="26">
        <f>IF(K8="","",K8*J8)</f>
        <v>0.0</v>
      </c>
      <c r="M8" s="26">
        <f>IF(K8="","",K8+L8)</f>
        <v>1900.0</v>
      </c>
      <c r="N8" t="inlineStr">
        <is>
          <t>Sí</t>
        </is>
      </c>
      <c r="O8" s="26">
        <f>IF(AND(N8="Sí",ISNUMBER(K8)),K8,"")</f>
        <v>1900.0</v>
      </c>
      <c r="P8" s="6" t="inlineStr">
        <is>
          <t>Las tasas no llevan IVA y cambian en cada ayuntamiento: es la cifra que hay que ir a buscar, no copiar.</t>
        </is>
      </c>
    </row>
    <row r="9" ht="48" customHeight="1">
      <c r="A9" s="17" t="n">
        <v>4</v>
      </c>
      <c r="B9" s="6" t="inlineStr">
        <is>
          <t>Licencias, proyecto de actividad y tasas</t>
        </is>
      </c>
      <c r="C9" s="6" t="inlineStr">
        <is>
          <t>Sistema automático de extinción en la campana (sólo si X9 = 1)</t>
        </is>
      </c>
      <c r="D9" s="12" t="inlineStr">
        <is>
          <t>supuesto declarado</t>
        </is>
      </c>
      <c r="E9" s="5" t="inlineStr">
        <is>
          <t>Sí</t>
        </is>
      </c>
      <c r="F9" s="15" t="n">
        <v>2800</v>
      </c>
      <c r="G9" s="15" t="n">
        <v>2800</v>
      </c>
      <c r="H9" s="15" t="n">
        <v>2800</v>
      </c>
      <c r="I9" s="5" t="inlineStr">
        <is>
          <t>No</t>
        </is>
      </c>
      <c r="J9" s="22">
        <f>'Parámetros'!$B$6</f>
        <v>0.21</v>
      </c>
      <c r="K9" s="26">
        <f>IF(E9="No","",IF('Parámetros'!$B$19=1,IFERROR(IF(I9="Sí",H9/(1+J9),H9),""),0))</f>
        <v>0.0</v>
      </c>
      <c r="L9" s="26">
        <f>IF(K9="","",K9*J9)</f>
        <v>0.0</v>
      </c>
      <c r="M9" s="26">
        <f>IF(K9="","",K9+L9)</f>
        <v>0.0</v>
      </c>
      <c r="N9" t="inlineStr">
        <is>
          <t>Sí</t>
        </is>
      </c>
      <c r="O9" s="26">
        <f>IF(AND(N9="Sí",ISNUMBER(K9)),K9,"")</f>
        <v>0.0</v>
      </c>
      <c r="P9" s="6" t="inlineStr">
        <is>
          <t>Obligatorio por encima de 50 kW. El Molinete no lo necesita (cruce X9 = 0) y la línea suma cero; es la otra salida de la decisión 4, con su coste.</t>
        </is>
      </c>
    </row>
    <row r="10" ht="48" customHeight="1">
      <c r="A10" s="17" t="n">
        <v>5</v>
      </c>
      <c r="B10" s="6" t="inlineStr">
        <is>
          <t>Fianza y garantías</t>
        </is>
      </c>
      <c r="C10" s="6" t="inlineStr">
        <is>
          <t>Fianza y garantías (meses de fianza por la renta)</t>
        </is>
      </c>
      <c r="D10" s="12" t="inlineStr">
        <is>
          <t>calculado</t>
        </is>
      </c>
      <c r="E10" s="5" t="inlineStr">
        <is>
          <t>Sí</t>
        </is>
      </c>
      <c r="F10" s="26">
        <f>'Parámetros'!$B$13*'Parámetros'!$B$12</f>
        <v>1820.0</v>
      </c>
      <c r="G10" s="26">
        <f>'Parámetros'!$B$13*'Parámetros'!$B$12</f>
        <v>1820.0</v>
      </c>
      <c r="H10" s="26">
        <f>'Parámetros'!$B$13*'Parámetros'!$B$12</f>
        <v>1820.0</v>
      </c>
      <c r="I10" s="5" t="inlineStr">
        <is>
          <t>No</t>
        </is>
      </c>
      <c r="J10" s="22">
        <f>'Parámetros'!$B$8</f>
        <v>0.0</v>
      </c>
      <c r="K10" s="26">
        <f>IF(E10="No","",IFERROR(IF(I10="Sí",H10/(1+J10),H10),""))</f>
        <v>1820.0</v>
      </c>
      <c r="L10" s="26">
        <f>IF(K10="","",K10*J10)</f>
        <v>0.0</v>
      </c>
      <c r="M10" s="26">
        <f>IF(K10="","",K10+L10)</f>
        <v>1820.0</v>
      </c>
      <c r="N10" t="inlineStr">
        <is>
          <t>No</t>
        </is>
      </c>
      <c r="O10" s="26">
        <f>IF(AND(N10="Sí",ISNUMBER(K10)),K10,"")</f>
        <v/>
      </c>
      <c r="P10" s="6" t="inlineStr">
        <is>
          <t>No es un gasto: se recupera. Por eso no se amortiza.</t>
        </is>
      </c>
    </row>
    <row r="11" ht="48" customHeight="1">
      <c r="A11" s="17" t="n">
        <v>6</v>
      </c>
      <c r="B11" s="6" t="inlineStr">
        <is>
          <t>Stock inicial y envase</t>
        </is>
      </c>
      <c r="C11" s="6" t="inlineStr">
        <is>
          <t>Stock inicial de mix, aceite, preparado, envase y bebida</t>
        </is>
      </c>
      <c r="D11" s="12" t="inlineStr">
        <is>
          <t>calculado</t>
        </is>
      </c>
      <c r="E11" s="5" t="inlineStr">
        <is>
          <t>Sí</t>
        </is>
      </c>
      <c r="F11" s="26">
        <f>I30</f>
        <v>848.3</v>
      </c>
      <c r="G11" s="26">
        <f>I30</f>
        <v>848.3</v>
      </c>
      <c r="H11" s="26">
        <f>I30</f>
        <v>848.3</v>
      </c>
      <c r="I11" s="6" t="inlineStr">
        <is>
          <t>Por línea, abajo</t>
        </is>
      </c>
      <c r="J11" s="22">
        <f>IFERROR(J30/I30,"")</f>
        <v>0.13047271012613465</v>
      </c>
      <c r="K11" s="26">
        <f>IF(E11="No","",H11)</f>
        <v>848.3</v>
      </c>
      <c r="L11" s="26">
        <f>IF(K11="","",J30)</f>
        <v>110.68</v>
      </c>
      <c r="M11" s="26">
        <f>IF(K11="","",K11+L11)</f>
        <v>958.98</v>
      </c>
      <c r="N11" t="inlineStr">
        <is>
          <t>No</t>
        </is>
      </c>
      <c r="O11" s="26">
        <f>IF(AND(N11="Sí",ISNUMBER(K11)),K11,"")</f>
        <v/>
      </c>
      <c r="P11" s="6" t="inlineStr">
        <is>
          <t>Se calcula con los precios de los insumos (el aceite y el mix llegan por el cruce X17) y las cantidades de STOCK_INICIAL.</t>
        </is>
      </c>
    </row>
    <row r="12" ht="48" customHeight="1">
      <c r="A12" s="17" t="n">
        <v>7</v>
      </c>
      <c r="B12" s="6" t="inlineStr">
        <is>
          <t>Marketing de apertura</t>
        </is>
      </c>
      <c r="C12" s="6" t="inlineStr">
        <is>
          <t>Marketing de apertura</t>
        </is>
      </c>
      <c r="D12" s="12" t="inlineStr">
        <is>
          <t>supuesto declarado</t>
        </is>
      </c>
      <c r="E12" s="5" t="inlineStr">
        <is>
          <t>Sí</t>
        </is>
      </c>
      <c r="F12" s="15" t="n">
        <v>2000</v>
      </c>
      <c r="G12" s="15" t="n">
        <v>2000</v>
      </c>
      <c r="H12" s="15" t="n">
        <v>2000</v>
      </c>
      <c r="I12" s="5" t="inlineStr">
        <is>
          <t>No</t>
        </is>
      </c>
      <c r="J12" s="22">
        <f>'Parámetros'!$B$6</f>
        <v>0.21</v>
      </c>
      <c r="K12" s="26">
        <f>IF(E12="No","",IFERROR(IF(I12="Sí",H12/(1+J12),H12),""))</f>
        <v>2000.0</v>
      </c>
      <c r="L12" s="26">
        <f>IF(K12="","",K12*J12)</f>
        <v>420.0</v>
      </c>
      <c r="M12" s="26">
        <f>IF(K12="","",K12+L12)</f>
        <v>2420.0</v>
      </c>
      <c r="N12" t="inlineStr">
        <is>
          <t>No</t>
        </is>
      </c>
      <c r="O12" s="26">
        <f>IF(AND(N12="Sí",ISNUMBER(K12)),K12,"")</f>
        <v/>
      </c>
      <c r="P12" s="6" t="inlineStr">
        <is>
          <t>Gasto del primer año, no inmovilizado.</t>
        </is>
      </c>
    </row>
    <row r="13"/>
    <row r="14">
      <c r="A14" s="4" t="inlineStr">
        <is>
          <t>Stock Inicial y Envase (Bloque 10), Línea a Línea</t>
        </is>
      </c>
    </row>
    <row r="15" ht="44" customHeight="1">
      <c r="A15" s="9" t="inlineStr">
        <is>
          <t>Nº</t>
        </is>
      </c>
      <c r="B15" s="9" t="inlineStr">
        <is>
          <t>Insumo</t>
        </is>
      </c>
      <c r="C15" s="9" t="inlineStr">
        <is>
          <t>Procedencia del precio</t>
        </is>
      </c>
      <c r="D15" s="9" t="inlineStr">
        <is>
          <t>Cantidad</t>
        </is>
      </c>
      <c r="E15" s="9" t="inlineStr">
        <is>
          <t>Unidad</t>
        </is>
      </c>
      <c r="F15" s="9" t="inlineStr">
        <is>
          <t>Precio por unidad, como lo copias</t>
        </is>
      </c>
      <c r="G15" s="9" t="inlineStr">
        <is>
          <t>¿Lleva IVA?</t>
        </is>
      </c>
      <c r="H15" s="9" t="inlineStr">
        <is>
          <t>Tipo de IVA</t>
        </is>
      </c>
      <c r="I15" s="9" t="inlineStr">
        <is>
          <t>Base sin IVA</t>
        </is>
      </c>
      <c r="J15" s="9" t="inlineStr">
        <is>
          <t>IVA soportado</t>
        </is>
      </c>
      <c r="K15" s="9" t="inlineStr">
        <is>
          <t>Total con IVA</t>
        </is>
      </c>
      <c r="L15" s="9" t="inlineStr">
        <is>
          <t>Nota</t>
        </is>
      </c>
    </row>
    <row r="16" ht="34" customHeight="1">
      <c r="A16" s="17" t="n">
        <v>1</v>
      </c>
      <c r="B16" s="6" t="inlineStr">
        <is>
          <t>Preparado para masa de churro (caja de 6 sacos de 4 kg)</t>
        </is>
      </c>
      <c r="C16" s="12" t="inlineStr">
        <is>
          <t>cruce X17 (libro 3)</t>
        </is>
      </c>
      <c r="D16" s="23" t="n">
        <v>96</v>
      </c>
      <c r="E16" t="inlineStr">
        <is>
          <t>kg</t>
        </is>
      </c>
      <c r="F16" s="27">
        <f>'Parámetros'!$B$27</f>
        <v>1.45</v>
      </c>
      <c r="G16" s="5" t="inlineStr">
        <is>
          <t>No</t>
        </is>
      </c>
      <c r="H16" s="22">
        <f>'Parámetros'!$B$7</f>
        <v>0.1</v>
      </c>
      <c r="I16" s="26">
        <f>IFERROR(IF(G16="Sí",D16*F16/(1+H16),D16*F16),"")</f>
        <v>139.2</v>
      </c>
      <c r="J16" s="26">
        <f>IF(I16="","",I16*H16)</f>
        <v>13.92</v>
      </c>
      <c r="K16" s="26">
        <f>IF(I16="","",I16+J16)</f>
        <v>153.11999999999998</v>
      </c>
      <c r="L16" s="6" t="inlineStr">
        <is>
          <t>El precio llega del libro 3 por la celda verde de «Parámetros»: no se teclea aquí.</t>
        </is>
      </c>
    </row>
    <row r="17" ht="34" customHeight="1">
      <c r="A17" s="17" t="n">
        <v>2</v>
      </c>
      <c r="B17" s="6" t="inlineStr">
        <is>
          <t>Aceite especial de fritura (garrafa de 25 L)</t>
        </is>
      </c>
      <c r="C17" s="12" t="inlineStr">
        <is>
          <t>cruce X17 (libro 3, celda única del precio del aceite)</t>
        </is>
      </c>
      <c r="D17" s="23" t="n">
        <v>75</v>
      </c>
      <c r="E17" t="inlineStr">
        <is>
          <t>L</t>
        </is>
      </c>
      <c r="F17" s="27">
        <f>'Parámetros'!$B$23</f>
        <v>1.996</v>
      </c>
      <c r="G17" s="5" t="inlineStr">
        <is>
          <t>No</t>
        </is>
      </c>
      <c r="H17" s="22">
        <f>'Parámetros'!$B$7</f>
        <v>0.1</v>
      </c>
      <c r="I17" s="26">
        <f>IFERROR(IF(G17="Sí",D17*F17/(1+H17),D17*F17),"")</f>
        <v>149.7</v>
      </c>
      <c r="J17" s="26">
        <f>IF(I17="","",I17*H17)</f>
        <v>14.969999999999999</v>
      </c>
      <c r="K17" s="26">
        <f>IF(I17="","",I17+J17)</f>
        <v>164.67</v>
      </c>
      <c r="L17" s="6" t="inlineStr">
        <is>
          <t>El precio llega del libro 3 por la celda verde de «Parámetros»: no se teclea aquí.</t>
        </is>
      </c>
    </row>
    <row r="18" ht="34" customHeight="1">
      <c r="A18" s="17" t="n">
        <v>3</v>
      </c>
      <c r="B18" s="6" t="inlineStr">
        <is>
          <t>Chocolate a la taza en polvo (bolsa de 800 g, rinde 4,3 L)</t>
        </is>
      </c>
      <c r="C18" s="12" t="inlineStr">
        <is>
          <t>cruce X17 (libro 3)</t>
        </is>
      </c>
      <c r="D18" s="23" t="n">
        <v>8</v>
      </c>
      <c r="E18" t="inlineStr">
        <is>
          <t>kg</t>
        </is>
      </c>
      <c r="F18" s="27">
        <f>'Parámetros'!$B$35</f>
        <v>7.1875</v>
      </c>
      <c r="G18" s="5" t="inlineStr">
        <is>
          <t>No</t>
        </is>
      </c>
      <c r="H18" s="22">
        <f>'Parámetros'!$B$7</f>
        <v>0.1</v>
      </c>
      <c r="I18" s="26">
        <f>IFERROR(IF(G18="Sí",D18*F18/(1+H18),D18*F18),"")</f>
        <v>57.5</v>
      </c>
      <c r="J18" s="26">
        <f>IF(I18="","",I18*H18)</f>
        <v>5.75</v>
      </c>
      <c r="K18" s="26">
        <f>IF(I18="","",I18+J18)</f>
        <v>63.25</v>
      </c>
      <c r="L18" s="6" t="inlineStr">
        <is>
          <t>El precio llega del libro 3 por la celda verde de «Parámetros»: no se teclea aquí. Base de la fuente: sin IVA, declarada en la ficha («Impuestos excluidos»). El techo por kilo de la ficha. La ficha no dice a qué denominación del RD 1055/2003 corresponde: la carta usa la de la etiqueta.</t>
        </is>
      </c>
    </row>
    <row r="19" ht="34" customHeight="1">
      <c r="A19" s="17" t="n">
        <v>4</v>
      </c>
      <c r="B19" s="6" t="inlineStr">
        <is>
          <t>Cobertura de chocolate negro (1 kg)</t>
        </is>
      </c>
      <c r="C19" s="12" t="inlineStr">
        <is>
          <t>cruce X17 (libro 3)</t>
        </is>
      </c>
      <c r="D19" s="23" t="n">
        <v>5</v>
      </c>
      <c r="E19" t="inlineStr">
        <is>
          <t>kg</t>
        </is>
      </c>
      <c r="F19" s="27">
        <f>'Parámetros'!$B$39</f>
        <v>6.5</v>
      </c>
      <c r="G19" s="5" t="inlineStr">
        <is>
          <t>No</t>
        </is>
      </c>
      <c r="H19" s="22">
        <f>'Parámetros'!$B$7</f>
        <v>0.1</v>
      </c>
      <c r="I19" s="26">
        <f>IFERROR(IF(G19="Sí",D19*F19/(1+H19),D19*F19),"")</f>
        <v>32.5</v>
      </c>
      <c r="J19" s="26">
        <f>IF(I19="","",I19*H19)</f>
        <v>3.25</v>
      </c>
      <c r="K19" s="26">
        <f>IF(I19="","",I19+J19)</f>
        <v>35.75</v>
      </c>
      <c r="L19" s="6" t="inlineStr">
        <is>
          <t>El precio llega del libro 3 por la celda verde de «Parámetros»: no se teclea aquí. Base de la fuente: sin IVA, declarada en la ficha («Impuestos excluidos»). Para rellenar y bañar churros.</t>
        </is>
      </c>
    </row>
    <row r="20" ht="34" customHeight="1">
      <c r="A20" s="17" t="n">
        <v>5</v>
      </c>
      <c r="B20" s="6" t="inlineStr">
        <is>
          <t>Cucurucho de cartón para churros (caja de 100)</t>
        </is>
      </c>
      <c r="C20" s="12" t="inlineStr">
        <is>
          <t>cruce X17 (libro 3)</t>
        </is>
      </c>
      <c r="D20" s="23" t="n">
        <v>1000</v>
      </c>
      <c r="E20" t="inlineStr">
        <is>
          <t>ud</t>
        </is>
      </c>
      <c r="F20" s="27">
        <f>'Parámetros'!$B$43</f>
        <v>0.15</v>
      </c>
      <c r="G20" s="5" t="inlineStr">
        <is>
          <t>No</t>
        </is>
      </c>
      <c r="H20" s="22">
        <f>'Parámetros'!$B$6</f>
        <v>0.21</v>
      </c>
      <c r="I20" s="26">
        <f>IFERROR(IF(G20="Sí",D20*F20/(1+H20),D20*F20),"")</f>
        <v>150.0</v>
      </c>
      <c r="J20" s="26">
        <f>IF(I20="","",I20*H20)</f>
        <v>31.5</v>
      </c>
      <c r="K20" s="26">
        <f>IF(I20="","",I20+J20)</f>
        <v>181.5</v>
      </c>
      <c r="L20" s="6" t="inlineStr">
        <is>
          <t>El precio llega del libro 3 por la celda verde de «Parámetros»: no se teclea aquí. Base de la fuente: sin IVA, inferida (celda «¿lleva IVA?» en verde, «no» por defecto). Su composición está por confirmar: no se presenta como conforme a la ley de plásticos.</t>
        </is>
      </c>
    </row>
    <row r="21" ht="34" customHeight="1">
      <c r="A21" s="17" t="n">
        <v>6</v>
      </c>
      <c r="B21" s="6" t="inlineStr">
        <is>
          <t>Vaso de papel plastificado con tapa</t>
        </is>
      </c>
      <c r="C21" s="12" t="inlineStr">
        <is>
          <t>cruce X17 (libro 3)</t>
        </is>
      </c>
      <c r="D21" s="23" t="n">
        <v>500</v>
      </c>
      <c r="E21" t="inlineStr">
        <is>
          <t>ud</t>
        </is>
      </c>
      <c r="F21" s="27">
        <f>'Parámetros'!$B$47</f>
        <v>0.08</v>
      </c>
      <c r="G21" s="5" t="inlineStr">
        <is>
          <t>No</t>
        </is>
      </c>
      <c r="H21" s="22">
        <f>'Parámetros'!$B$6</f>
        <v>0.21</v>
      </c>
      <c r="I21" s="26">
        <f>IFERROR(IF(G21="Sí",D21*F21/(1+H21),D21*F21),"")</f>
        <v>40.0</v>
      </c>
      <c r="J21" s="26">
        <f>IF(I21="","",I21*H21)</f>
        <v>8.4</v>
      </c>
      <c r="K21" s="26">
        <f>IF(I21="","",I21+J21)</f>
        <v>48.4</v>
      </c>
      <c r="L21" s="6" t="inlineStr">
        <is>
          <t>El precio llega del libro 3 por la celda verde de «Parámetros»: no se teclea aquí. Base de la fuente: supuesto, sin IVA. Lleva plástico: se cobra aparte (CUN-41).</t>
        </is>
      </c>
    </row>
    <row r="22" ht="34" customHeight="1">
      <c r="A22" s="17" t="n">
        <v>7</v>
      </c>
      <c r="B22" s="6" t="inlineStr">
        <is>
          <t>Papel antigrasa para sueltos</t>
        </is>
      </c>
      <c r="C22" s="12" t="inlineStr">
        <is>
          <t>cruce X17 (libro 3)</t>
        </is>
      </c>
      <c r="D22" s="23" t="n">
        <v>1000</v>
      </c>
      <c r="E22" t="inlineStr">
        <is>
          <t>ud</t>
        </is>
      </c>
      <c r="F22" s="27">
        <f>'Parámetros'!$B$51</f>
        <v>0.02</v>
      </c>
      <c r="G22" s="5" t="inlineStr">
        <is>
          <t>No</t>
        </is>
      </c>
      <c r="H22" s="22">
        <f>'Parámetros'!$B$6</f>
        <v>0.21</v>
      </c>
      <c r="I22" s="26">
        <f>IFERROR(IF(G22="Sí",D22*F22/(1+H22),D22*F22),"")</f>
        <v>20.0</v>
      </c>
      <c r="J22" s="26">
        <f>IF(I22="","",I22*H22)</f>
        <v>4.2</v>
      </c>
      <c r="K22" s="26">
        <f>IF(I22="","",I22+J22)</f>
        <v>24.2</v>
      </c>
      <c r="L22" s="6" t="inlineStr">
        <is>
          <t>El precio llega del libro 3 por la celda verde de «Parámetros»: no se teclea aquí. Base de la fuente: supuesto, sin IVA.</t>
        </is>
      </c>
    </row>
    <row r="23" ht="34" customHeight="1">
      <c r="A23" s="17" t="n">
        <v>8</v>
      </c>
      <c r="B23" s="6" t="inlineStr">
        <is>
          <t>Caja de cartón para el kilo</t>
        </is>
      </c>
      <c r="C23" s="12" t="inlineStr">
        <is>
          <t>cruce X17 (libro 3)</t>
        </is>
      </c>
      <c r="D23" s="23" t="n">
        <v>100</v>
      </c>
      <c r="E23" t="inlineStr">
        <is>
          <t>ud</t>
        </is>
      </c>
      <c r="F23" s="27">
        <f>'Parámetros'!$B$55</f>
        <v>0.25</v>
      </c>
      <c r="G23" s="5" t="inlineStr">
        <is>
          <t>No</t>
        </is>
      </c>
      <c r="H23" s="22">
        <f>'Parámetros'!$B$6</f>
        <v>0.21</v>
      </c>
      <c r="I23" s="26">
        <f>IFERROR(IF(G23="Sí",D23*F23/(1+H23),D23*F23),"")</f>
        <v>25.0</v>
      </c>
      <c r="J23" s="26">
        <f>IF(I23="","",I23*H23)</f>
        <v>5.25</v>
      </c>
      <c r="K23" s="26">
        <f>IF(I23="","",I23+J23)</f>
        <v>30.25</v>
      </c>
      <c r="L23" s="6" t="inlineStr">
        <is>
          <t>El precio llega del libro 3 por la celda verde de «Parámetros»: no se teclea aquí. Base de la fuente: supuesto, sin IVA.</t>
        </is>
      </c>
    </row>
    <row r="24" ht="34" customHeight="1">
      <c r="A24" s="17" t="n">
        <v>9</v>
      </c>
      <c r="B24" s="6" t="inlineStr">
        <is>
          <t>Café en grano</t>
        </is>
      </c>
      <c r="C24" s="12" t="inlineStr">
        <is>
          <t>cruce X17 (libro 3)</t>
        </is>
      </c>
      <c r="D24" s="23" t="n">
        <v>6</v>
      </c>
      <c r="E24" t="inlineStr">
        <is>
          <t>kg</t>
        </is>
      </c>
      <c r="F24" s="27">
        <f>'Parámetros'!$B$59</f>
        <v>18.0</v>
      </c>
      <c r="G24" s="5" t="inlineStr">
        <is>
          <t>No</t>
        </is>
      </c>
      <c r="H24" s="22">
        <f>'Parámetros'!$B$7</f>
        <v>0.1</v>
      </c>
      <c r="I24" s="26">
        <f>IFERROR(IF(G24="Sí",D24*F24/(1+H24),D24*F24),"")</f>
        <v>108.0</v>
      </c>
      <c r="J24" s="26">
        <f>IF(I24="","",I24*H24)</f>
        <v>10.8</v>
      </c>
      <c r="K24" s="26">
        <f>IF(I24="","",I24+J24)</f>
        <v>118.8</v>
      </c>
      <c r="L24" s="6" t="inlineStr">
        <is>
          <t>El precio llega del libro 3 por la celda verde de «Parámetros»: no se teclea aquí. Base de la fuente: supuesto, sin IVA. Sin fuente de precio de café en el research.</t>
        </is>
      </c>
    </row>
    <row r="25" ht="34" customHeight="1">
      <c r="A25" s="17" t="n">
        <v>10</v>
      </c>
      <c r="B25" s="6" t="inlineStr">
        <is>
          <t>Leche</t>
        </is>
      </c>
      <c r="C25" s="12" t="inlineStr">
        <is>
          <t>cruce X17 (libro 3)</t>
        </is>
      </c>
      <c r="D25" s="23" t="n">
        <v>60</v>
      </c>
      <c r="E25" t="inlineStr">
        <is>
          <t>L</t>
        </is>
      </c>
      <c r="F25" s="27">
        <f>'Parámetros'!$B$63</f>
        <v>0.85</v>
      </c>
      <c r="G25" s="5" t="inlineStr">
        <is>
          <t>No</t>
        </is>
      </c>
      <c r="H25" s="22">
        <f>'Parámetros'!$B$7</f>
        <v>0.1</v>
      </c>
      <c r="I25" s="26">
        <f>IFERROR(IF(G25="Sí",D25*F25/(1+H25),D25*F25),"")</f>
        <v>51.0</v>
      </c>
      <c r="J25" s="26">
        <f>IF(I25="","",I25*H25)</f>
        <v>5.1000000000000005</v>
      </c>
      <c r="K25" s="26">
        <f>IF(I25="","",I25+J25)</f>
        <v>56.1</v>
      </c>
      <c r="L25" s="6" t="inlineStr">
        <is>
          <t>El precio llega del libro 3 por la celda verde de «Parámetros»: no se teclea aquí. Base de la fuente: supuesto, sin IVA.</t>
        </is>
      </c>
    </row>
    <row r="26" ht="34" customHeight="1">
      <c r="A26" s="17" t="n">
        <v>11</v>
      </c>
      <c r="B26" s="6" t="inlineStr">
        <is>
          <t>Azúcar para espolvorear y sobres</t>
        </is>
      </c>
      <c r="C26" s="12" t="inlineStr">
        <is>
          <t>cruce X17 (libro 3)</t>
        </is>
      </c>
      <c r="D26" s="23" t="n">
        <v>25</v>
      </c>
      <c r="E26" t="inlineStr">
        <is>
          <t>kg</t>
        </is>
      </c>
      <c r="F26" s="27">
        <f>'Parámetros'!$B$67</f>
        <v>1.0</v>
      </c>
      <c r="G26" s="5" t="inlineStr">
        <is>
          <t>No</t>
        </is>
      </c>
      <c r="H26" s="22">
        <f>'Parámetros'!$B$7</f>
        <v>0.1</v>
      </c>
      <c r="I26" s="26">
        <f>IFERROR(IF(G26="Sí",D26*F26/(1+H26),D26*F26),"")</f>
        <v>25.0</v>
      </c>
      <c r="J26" s="26">
        <f>IF(I26="","",I26*H26)</f>
        <v>2.5</v>
      </c>
      <c r="K26" s="26">
        <f>IF(I26="","",I26+J26)</f>
        <v>27.5</v>
      </c>
      <c r="L26" s="6" t="inlineStr">
        <is>
          <t>El precio llega del libro 3 por la celda verde de «Parámetros»: no se teclea aquí. Base de la fuente: supuesto, sin IVA. El azúcar glas que publica CUS-25 es otro producto.</t>
        </is>
      </c>
    </row>
    <row r="27" ht="34" customHeight="1">
      <c r="A27" s="17" t="n">
        <v>12</v>
      </c>
      <c r="B27" s="6" t="inlineStr">
        <is>
          <t>Cacao soluble</t>
        </is>
      </c>
      <c r="C27" s="12" t="inlineStr">
        <is>
          <t>cruce X17 (libro 3)</t>
        </is>
      </c>
      <c r="D27" s="23" t="n">
        <v>3</v>
      </c>
      <c r="E27" t="inlineStr">
        <is>
          <t>kg</t>
        </is>
      </c>
      <c r="F27" s="27">
        <f>'Parámetros'!$B$71</f>
        <v>6.0</v>
      </c>
      <c r="G27" s="5" t="inlineStr">
        <is>
          <t>No</t>
        </is>
      </c>
      <c r="H27" s="22">
        <f>'Parámetros'!$B$7</f>
        <v>0.1</v>
      </c>
      <c r="I27" s="26">
        <f>IFERROR(IF(G27="Sí",D27*F27/(1+H27),D27*F27),"")</f>
        <v>18.0</v>
      </c>
      <c r="J27" s="26">
        <f>IF(I27="","",I27*H27)</f>
        <v>1.8</v>
      </c>
      <c r="K27" s="26">
        <f>IF(I27="","",I27+J27)</f>
        <v>19.8</v>
      </c>
      <c r="L27" s="6" t="inlineStr">
        <is>
          <t>El precio llega del libro 3 por la celda verde de «Parámetros»: no se teclea aquí. Base de la fuente: supuesto, sin IVA.</t>
        </is>
      </c>
    </row>
    <row r="28" ht="34" customHeight="1">
      <c r="A28" s="17" t="n">
        <v>13</v>
      </c>
      <c r="B28" s="6" t="inlineStr">
        <is>
          <t>Infusión (sobre)</t>
        </is>
      </c>
      <c r="C28" s="12" t="inlineStr">
        <is>
          <t>cruce X17 (libro 3)</t>
        </is>
      </c>
      <c r="D28" s="23" t="n">
        <v>100</v>
      </c>
      <c r="E28" t="inlineStr">
        <is>
          <t>ud</t>
        </is>
      </c>
      <c r="F28" s="27">
        <f>'Parámetros'!$B$75</f>
        <v>0.06</v>
      </c>
      <c r="G28" s="5" t="inlineStr">
        <is>
          <t>No</t>
        </is>
      </c>
      <c r="H28" s="22">
        <f>'Parámetros'!$B$7</f>
        <v>0.1</v>
      </c>
      <c r="I28" s="26">
        <f>IFERROR(IF(G28="Sí",D28*F28/(1+H28),D28*F28),"")</f>
        <v>6.0</v>
      </c>
      <c r="J28" s="26">
        <f>IF(I28="","",I28*H28)</f>
        <v>0.6000000000000001</v>
      </c>
      <c r="K28" s="26">
        <f>IF(I28="","",I28+J28)</f>
        <v>6.6</v>
      </c>
      <c r="L28" s="6" t="inlineStr">
        <is>
          <t>El precio llega del libro 3 por la celda verde de «Parámetros»: no se teclea aquí. Base de la fuente: supuesto, sin IVA.</t>
        </is>
      </c>
    </row>
    <row r="29" ht="34" customHeight="1">
      <c r="A29" s="17" t="n">
        <v>14</v>
      </c>
      <c r="B29" s="6" t="inlineStr">
        <is>
          <t>Agua (botella de 50 cl)</t>
        </is>
      </c>
      <c r="C29" s="12" t="inlineStr">
        <is>
          <t>cruce X17 (libro 3)</t>
        </is>
      </c>
      <c r="D29" s="23" t="n">
        <v>120</v>
      </c>
      <c r="E29" t="inlineStr">
        <is>
          <t>ud</t>
        </is>
      </c>
      <c r="F29" s="27">
        <f>'Parámetros'!$B$79</f>
        <v>0.22</v>
      </c>
      <c r="G29" s="5" t="inlineStr">
        <is>
          <t>No</t>
        </is>
      </c>
      <c r="H29" s="22">
        <f>'Parámetros'!$B$7</f>
        <v>0.1</v>
      </c>
      <c r="I29" s="26">
        <f>IFERROR(IF(G29="Sí",D29*F29/(1+H29),D29*F29),"")</f>
        <v>26.4</v>
      </c>
      <c r="J29" s="26">
        <f>IF(I29="","",I29*H29)</f>
        <v>2.64</v>
      </c>
      <c r="K29" s="26">
        <f>IF(I29="","",I29+J29)</f>
        <v>29.04</v>
      </c>
      <c r="L29" s="6" t="inlineStr">
        <is>
          <t>El precio llega del libro 3 por la celda verde de «Parámetros»: no se teclea aquí. Base de la fuente: supuesto, sin IVA.</t>
        </is>
      </c>
    </row>
    <row r="30">
      <c r="B30" s="25" t="inlineStr">
        <is>
          <t>TOTAL del stock inicial</t>
        </is>
      </c>
      <c r="I30" s="11">
        <f>SUM(I16:I29)</f>
        <v>848.3</v>
      </c>
      <c r="J30" s="11">
        <f>SUM(J16:J29)</f>
        <v>110.68</v>
      </c>
      <c r="K30" s="11">
        <f>SUM(K16:K29)</f>
        <v>958.9799999999999</v>
      </c>
    </row>
    <row r="31"/>
    <row r="32">
      <c r="A32" s="4" t="inlineStr">
        <is>
          <t>Los Once Bloques, Equipamiento y Partidas</t>
        </is>
      </c>
    </row>
    <row r="33" ht="44" customHeight="1">
      <c r="A33" s="9" t="inlineStr">
        <is>
          <t>Nº</t>
        </is>
      </c>
      <c r="B33" s="9" t="inlineStr">
        <is>
          <t>Bloque</t>
        </is>
      </c>
      <c r="C33" s="9" t="inlineStr">
        <is>
          <t>Equipamiento sin IVA</t>
        </is>
      </c>
      <c r="D33" s="9" t="inlineStr">
        <is>
          <t>Otras partidas sin IVA</t>
        </is>
      </c>
      <c r="E33" s="9" t="inlineStr">
        <is>
          <t>Base sin IVA</t>
        </is>
      </c>
      <c r="F33" s="9" t="inlineStr">
        <is>
          <t>IVA soportado</t>
        </is>
      </c>
      <c r="G33" s="9" t="inlineStr">
        <is>
          <t>Total con IVA</t>
        </is>
      </c>
      <c r="H33" s="9" t="inlineStr">
        <is>
          <t>% del CAPEX</t>
        </is>
      </c>
      <c r="I33" s="9" t="inlineStr">
        <is>
          <t>Inmovilizado amortizable</t>
        </is>
      </c>
      <c r="J33" s="9" t="inlineStr">
        <is>
          <t>Procedencia</t>
        </is>
      </c>
    </row>
    <row r="34" ht="30" customHeight="1">
      <c r="A34" s="17" t="n">
        <v>1</v>
      </c>
      <c r="B34" s="6" t="inlineStr">
        <is>
          <t>Obra civil y acondicionamiento</t>
        </is>
      </c>
      <c r="C34" s="26">
        <f>SUMIF('Equipamiento Línea a Línea'!$B$6:$B$33,B34,'Equipamiento Línea a Línea'!$O$6:$O$33)</f>
        <v>0.0</v>
      </c>
      <c r="D34" s="26">
        <f>SUMIF($B$6:$B$12,B34,$K$6:$K$12)</f>
        <v>28500.0</v>
      </c>
      <c r="E34" s="28">
        <f>C34+D34</f>
        <v>28500.0</v>
      </c>
      <c r="F34" s="26">
        <f>SUMIF('Equipamiento Línea a Línea'!$B$6:$B$33,B34,'Equipamiento Línea a Línea'!$P$6:$P$33)+SUMIF($B$6:$B$12,B34,$L$6:$L$12)</f>
        <v>5985.0</v>
      </c>
      <c r="G34" s="26">
        <f>E34+F34</f>
        <v>34485.0</v>
      </c>
      <c r="H34" s="22">
        <f>IFERROR(E34/$E$45,"")</f>
        <v>0.3298013727837492</v>
      </c>
      <c r="I34" s="26">
        <f>C34+SUMIF($B$6:$B$12,B34,$O$6:$O$12)</f>
        <v>28500.0</v>
      </c>
      <c r="J34" s="12" t="inlineStr">
        <is>
          <t>supuesto (obra por m²)</t>
        </is>
      </c>
    </row>
    <row r="35" ht="30" customHeight="1">
      <c r="A35" s="17" t="n">
        <v>2</v>
      </c>
      <c r="B35" s="6" t="inlineStr">
        <is>
          <t>Extracción y conducto</t>
        </is>
      </c>
      <c r="C35" s="26">
        <f>SUMIF('Equipamiento Línea a Línea'!$B$6:$B$33,B35,'Equipamiento Línea a Línea'!$O$6:$O$33)</f>
        <v>9990.0</v>
      </c>
      <c r="D35" s="26">
        <f>SUMIF($B$6:$B$12,B35,$K$6:$K$12)</f>
        <v>0.0</v>
      </c>
      <c r="E35" s="28">
        <f>C35+D35</f>
        <v>9990.0</v>
      </c>
      <c r="F35" s="26">
        <f>SUMIF('Equipamiento Línea a Línea'!$B$6:$B$33,B35,'Equipamiento Línea a Línea'!$P$6:$P$33)+SUMIF($B$6:$B$12,B35,$L$6:$L$12)</f>
        <v>2097.9</v>
      </c>
      <c r="G35" s="26">
        <f>E35+F35</f>
        <v>12087.9</v>
      </c>
      <c r="H35" s="22">
        <f>IFERROR(E35/$E$45,"")</f>
        <v>0.11560406014419841</v>
      </c>
      <c r="I35" s="26">
        <f>C35+SUMIF($B$6:$B$12,B35,$O$6:$O$12)</f>
        <v>9990.0</v>
      </c>
      <c r="J35" s="12" t="inlineStr">
        <is>
          <t>CUS-36a + supuesto (conducto, CUS-36b sin fuente)</t>
        </is>
      </c>
    </row>
    <row r="36" ht="30" customHeight="1">
      <c r="A36" s="17" t="n">
        <v>3</v>
      </c>
      <c r="B36" s="6" t="inlineStr">
        <is>
          <t>Fritura, dosificación y amasado</t>
        </is>
      </c>
      <c r="C36" s="26">
        <f>SUMIF('Equipamiento Línea a Línea'!$B$6:$B$33,B36,'Equipamiento Línea a Línea'!$O$6:$O$33)</f>
        <v>6754.2</v>
      </c>
      <c r="D36" s="26">
        <f>SUMIF($B$6:$B$12,B36,$K$6:$K$12)</f>
        <v>0.0</v>
      </c>
      <c r="E36" s="28">
        <f>C36+D36</f>
        <v>6754.2</v>
      </c>
      <c r="F36" s="26">
        <f>SUMIF('Equipamiento Línea a Línea'!$B$6:$B$33,B36,'Equipamiento Línea a Línea'!$P$6:$P$33)+SUMIF($B$6:$B$12,B36,$L$6:$L$12)</f>
        <v>1418.382</v>
      </c>
      <c r="G36" s="26">
        <f>E36+F36</f>
        <v>8172.582</v>
      </c>
      <c r="H36" s="22">
        <f>IFERROR(E36/$E$45,"")</f>
        <v>0.07815945375635083</v>
      </c>
      <c r="I36" s="26">
        <f>C36+SUMIF($B$6:$B$12,B36,$O$6:$O$12)</f>
        <v>6754.2</v>
      </c>
      <c r="J36" s="12" t="inlineStr">
        <is>
          <t>CUS-33a, CUS-34c, CUS-35a, CUS-39</t>
        </is>
      </c>
    </row>
    <row r="37" ht="30" customHeight="1">
      <c r="A37" s="17" t="n">
        <v>4</v>
      </c>
      <c r="B37" s="6" t="inlineStr">
        <is>
          <t>Chocolate y café</t>
        </is>
      </c>
      <c r="C37" s="26">
        <f>SUMIF('Equipamiento Línea a Línea'!$B$6:$B$33,B37,'Equipamiento Línea a Línea'!$O$6:$O$33)</f>
        <v>5675.4</v>
      </c>
      <c r="D37" s="26">
        <f>SUMIF($B$6:$B$12,B37,$K$6:$K$12)</f>
        <v>0.0</v>
      </c>
      <c r="E37" s="28">
        <f>C37+D37</f>
        <v>5675.4</v>
      </c>
      <c r="F37" s="26">
        <f>SUMIF('Equipamiento Línea a Línea'!$B$6:$B$33,B37,'Equipamiento Línea a Línea'!$P$6:$P$33)+SUMIF($B$6:$B$12,B37,$L$6:$L$12)</f>
        <v>1191.834</v>
      </c>
      <c r="G37" s="26">
        <f>E37+F37</f>
        <v>6867.2339999999995</v>
      </c>
      <c r="H37" s="22">
        <f>IFERROR(E37/$E$45,"")</f>
        <v>0.0656756038981365</v>
      </c>
      <c r="I37" s="26">
        <f>C37+SUMIF($B$6:$B$12,B37,$O$6:$O$12)</f>
        <v>5675.4</v>
      </c>
      <c r="J37" s="12" t="inlineStr">
        <is>
          <t>CUS-37a + supuesto (cafetera, CUS-43)</t>
        </is>
      </c>
    </row>
    <row r="38" ht="30" customHeight="1">
      <c r="A38" s="17" t="n">
        <v>5</v>
      </c>
      <c r="B38" s="6" t="inlineStr">
        <is>
          <t>Barra, sala y terraza</t>
        </is>
      </c>
      <c r="C38" s="26">
        <f>SUMIF('Equipamiento Línea a Línea'!$B$6:$B$33,B38,'Equipamiento Línea a Línea'!$O$6:$O$33)</f>
        <v>20800.0</v>
      </c>
      <c r="D38" s="26">
        <f>SUMIF($B$6:$B$12,B38,$K$6:$K$12)</f>
        <v>0.0</v>
      </c>
      <c r="E38" s="28">
        <f>C38+D38</f>
        <v>20800.0</v>
      </c>
      <c r="F38" s="26">
        <f>SUMIF('Equipamiento Línea a Línea'!$B$6:$B$33,B38,'Equipamiento Línea a Línea'!$P$6:$P$33)+SUMIF($B$6:$B$12,B38,$L$6:$L$12)</f>
        <v>4368.0</v>
      </c>
      <c r="G38" s="26">
        <f>E38+F38</f>
        <v>25168.0</v>
      </c>
      <c r="H38" s="22">
        <f>IFERROR(E38/$E$45,"")</f>
        <v>0.24069714224217487</v>
      </c>
      <c r="I38" s="26">
        <f>C38+SUMIF($B$6:$B$12,B38,$O$6:$O$12)</f>
        <v>20800.0</v>
      </c>
      <c r="J38" s="12" t="inlineStr">
        <is>
          <t>supuesto (CUS-43: sin precio con fuente)</t>
        </is>
      </c>
    </row>
    <row r="39" ht="30" customHeight="1">
      <c r="A39" s="17" t="n">
        <v>6</v>
      </c>
      <c r="B39" s="6" t="inlineStr">
        <is>
          <t>Control y seguridad</t>
        </is>
      </c>
      <c r="C39" s="26">
        <f>SUMIF('Equipamiento Línea a Línea'!$B$6:$B$33,B39,'Equipamiento Línea a Línea'!$O$6:$O$33)</f>
        <v>1027.75</v>
      </c>
      <c r="D39" s="26">
        <f>SUMIF($B$6:$B$12,B39,$K$6:$K$12)</f>
        <v>0.0</v>
      </c>
      <c r="E39" s="28">
        <f>C39+D39</f>
        <v>1027.75</v>
      </c>
      <c r="F39" s="26">
        <f>SUMIF('Equipamiento Línea a Línea'!$B$6:$B$33,B39,'Equipamiento Línea a Línea'!$P$6:$P$33)+SUMIF($B$6:$B$12,B39,$L$6:$L$12)</f>
        <v>215.8275</v>
      </c>
      <c r="G39" s="26">
        <f>E39+F39</f>
        <v>1243.5774999999999</v>
      </c>
      <c r="H39" s="22">
        <f>IFERROR(E39/$E$45,"")</f>
        <v>0.011893100381701693</v>
      </c>
      <c r="I39" s="26">
        <f>C39+SUMIF($B$6:$B$12,B39,$O$6:$O$12)</f>
        <v>1027.75</v>
      </c>
      <c r="J39" s="12" t="inlineStr">
        <is>
          <t>CUS-38, CUS-41 + supuesto</t>
        </is>
      </c>
    </row>
    <row r="40" ht="30" customHeight="1">
      <c r="A40" s="17" t="n">
        <v>7</v>
      </c>
      <c r="B40" s="6" t="inlineStr">
        <is>
          <t>TPV y rótulo</t>
        </is>
      </c>
      <c r="C40" s="26">
        <f>SUMIF('Equipamiento Línea a Línea'!$B$6:$B$33,B40,'Equipamiento Línea a Línea'!$O$6:$O$33)</f>
        <v>2900.0</v>
      </c>
      <c r="D40" s="26">
        <f>SUMIF($B$6:$B$12,B40,$K$6:$K$12)</f>
        <v>0.0</v>
      </c>
      <c r="E40" s="28">
        <f>C40+D40</f>
        <v>2900.0</v>
      </c>
      <c r="F40" s="26">
        <f>SUMIF('Equipamiento Línea a Línea'!$B$6:$B$33,B40,'Equipamiento Línea a Línea'!$P$6:$P$33)+SUMIF($B$6:$B$12,B40,$L$6:$L$12)</f>
        <v>609.0</v>
      </c>
      <c r="G40" s="26">
        <f>E40+F40</f>
        <v>3509.0</v>
      </c>
      <c r="H40" s="22">
        <f>IFERROR(E40/$E$45,"")</f>
        <v>0.033558736177995534</v>
      </c>
      <c r="I40" s="26">
        <f>C40+SUMIF($B$6:$B$12,B40,$O$6:$O$12)</f>
        <v>2900.0</v>
      </c>
      <c r="J40" s="12" t="inlineStr">
        <is>
          <t>supuesto</t>
        </is>
      </c>
    </row>
    <row r="41" ht="30" customHeight="1">
      <c r="A41" s="17" t="n">
        <v>8</v>
      </c>
      <c r="B41" s="6" t="inlineStr">
        <is>
          <t>Licencias, proyecto de actividad y tasas</t>
        </is>
      </c>
      <c r="C41" s="26">
        <f>SUMIF('Equipamiento Línea a Línea'!$B$6:$B$33,B41,'Equipamiento Línea a Línea'!$O$6:$O$33)</f>
        <v>0.0</v>
      </c>
      <c r="D41" s="26">
        <f>SUMIF($B$6:$B$12,B41,$K$6:$K$12)</f>
        <v>6100.0</v>
      </c>
      <c r="E41" s="28">
        <f>C41+D41</f>
        <v>6100.0</v>
      </c>
      <c r="F41" s="26">
        <f>SUMIF('Equipamiento Línea a Línea'!$B$6:$B$33,B41,'Equipamiento Línea a Línea'!$P$6:$P$33)+SUMIF($B$6:$B$12,B41,$L$6:$L$12)</f>
        <v>882.0</v>
      </c>
      <c r="G41" s="26">
        <f>E41+F41</f>
        <v>6982.0</v>
      </c>
      <c r="H41" s="22">
        <f>IFERROR(E41/$E$45,"")</f>
        <v>0.07058906575371474</v>
      </c>
      <c r="I41" s="26">
        <f>C41+SUMIF($B$6:$B$12,B41,$O$6:$O$12)</f>
        <v>6100.0</v>
      </c>
      <c r="J41" s="12" t="inlineStr">
        <is>
          <t>supuesto declarado</t>
        </is>
      </c>
    </row>
    <row r="42" ht="30" customHeight="1">
      <c r="A42" s="17" t="n">
        <v>9</v>
      </c>
      <c r="B42" s="6" t="inlineStr">
        <is>
          <t>Fianza y garantías</t>
        </is>
      </c>
      <c r="C42" s="26">
        <f>SUMIF('Equipamiento Línea a Línea'!$B$6:$B$33,B42,'Equipamiento Línea a Línea'!$O$6:$O$33)</f>
        <v>0.0</v>
      </c>
      <c r="D42" s="26">
        <f>SUMIF($B$6:$B$12,B42,$K$6:$K$12)</f>
        <v>1820.0</v>
      </c>
      <c r="E42" s="28">
        <f>C42+D42</f>
        <v>1820.0</v>
      </c>
      <c r="F42" s="26">
        <f>SUMIF('Equipamiento Línea a Línea'!$B$6:$B$33,B42,'Equipamiento Línea a Línea'!$P$6:$P$33)+SUMIF($B$6:$B$12,B42,$L$6:$L$12)</f>
        <v>0.0</v>
      </c>
      <c r="G42" s="26">
        <f>E42+F42</f>
        <v>1820.0</v>
      </c>
      <c r="H42" s="22">
        <f>IFERROR(E42/$E$45,"")</f>
        <v>0.0210609999461903</v>
      </c>
      <c r="I42" s="26">
        <f>C42+SUMIF($B$6:$B$12,B42,$O$6:$O$12)</f>
        <v>0.0</v>
      </c>
      <c r="J42" s="12" t="inlineStr">
        <is>
          <t>meses de fianza por la renta (CUS-02)</t>
        </is>
      </c>
    </row>
    <row r="43" ht="30" customHeight="1">
      <c r="A43" s="17" t="n">
        <v>10</v>
      </c>
      <c r="B43" s="6" t="inlineStr">
        <is>
          <t>Stock inicial y envase</t>
        </is>
      </c>
      <c r="C43" s="26">
        <f>SUMIF('Equipamiento Línea a Línea'!$B$6:$B$33,B43,'Equipamiento Línea a Línea'!$O$6:$O$33)</f>
        <v>0.0</v>
      </c>
      <c r="D43" s="26">
        <f>SUMIF($B$6:$B$12,B43,$K$6:$K$12)</f>
        <v>848.3</v>
      </c>
      <c r="E43" s="28">
        <f>C43+D43</f>
        <v>848.3</v>
      </c>
      <c r="F43" s="26">
        <f>SUMIF('Equipamiento Línea a Línea'!$B$6:$B$33,B43,'Equipamiento Línea a Línea'!$P$6:$P$33)+SUMIF($B$6:$B$12,B43,$L$6:$L$12)</f>
        <v>110.68</v>
      </c>
      <c r="G43" s="26">
        <f>E43+F43</f>
        <v>958.98</v>
      </c>
      <c r="H43" s="22">
        <f>IFERROR(E43/$E$45,"")</f>
        <v>0.009816508930963313</v>
      </c>
      <c r="I43" s="26">
        <f>C43+SUMIF($B$6:$B$12,B43,$O$6:$O$12)</f>
        <v>0.0</v>
      </c>
      <c r="J43" s="12" t="inlineStr">
        <is>
          <t>precios del libro 3 y de las fichas</t>
        </is>
      </c>
    </row>
    <row r="44" ht="30" customHeight="1">
      <c r="A44" s="17" t="n">
        <v>11</v>
      </c>
      <c r="B44" s="6" t="inlineStr">
        <is>
          <t>Marketing de apertura</t>
        </is>
      </c>
      <c r="C44" s="26">
        <f>SUMIF('Equipamiento Línea a Línea'!$B$6:$B$33,B44,'Equipamiento Línea a Línea'!$O$6:$O$33)</f>
        <v>0.0</v>
      </c>
      <c r="D44" s="26">
        <f>SUMIF($B$6:$B$12,B44,$K$6:$K$12)</f>
        <v>2000.0</v>
      </c>
      <c r="E44" s="28">
        <f>C44+D44</f>
        <v>2000.0</v>
      </c>
      <c r="F44" s="26">
        <f>SUMIF('Equipamiento Línea a Línea'!$B$6:$B$33,B44,'Equipamiento Línea a Línea'!$P$6:$P$33)+SUMIF($B$6:$B$12,B44,$L$6:$L$12)</f>
        <v>420.0</v>
      </c>
      <c r="G44" s="26">
        <f>E44+F44</f>
        <v>2420.0</v>
      </c>
      <c r="H44" s="22">
        <f>IFERROR(E44/$E$45,"")</f>
        <v>0.023143955984824507</v>
      </c>
      <c r="I44" s="26">
        <f>C44+SUMIF($B$6:$B$12,B44,$O$6:$O$12)</f>
        <v>0.0</v>
      </c>
      <c r="J44" s="12" t="inlineStr">
        <is>
          <t>supuesto</t>
        </is>
      </c>
    </row>
    <row r="45" ht="44" customHeight="1">
      <c r="B45" s="25" t="inlineStr">
        <is>
          <t>CAPEX TOTAL, sin fondo de maniobra</t>
        </is>
      </c>
      <c r="C45" s="11">
        <f>SUM(C34:C44)</f>
        <v>47147.35</v>
      </c>
      <c r="D45" s="11">
        <f>SUM(D34:D44)</f>
        <v>39268.3</v>
      </c>
      <c r="E45" s="11">
        <f>SUM(E34:E44)</f>
        <v>86415.65000000001</v>
      </c>
      <c r="F45" s="11">
        <f>SUM(F34:F44)</f>
        <v>17298.6235</v>
      </c>
      <c r="G45" s="11">
        <f>SUM(G34:G44)</f>
        <v>103714.2735</v>
      </c>
      <c r="H45" s="29">
        <f>SUM(H34:H44)</f>
        <v>0.9999999999999999</v>
      </c>
      <c r="I45" s="11">
        <f>SUM(I34:I44)</f>
        <v>81747.35</v>
      </c>
      <c r="J45" s="6" t="inlineStr">
        <is>
          <t>Viaja al libro 6 desde «Resumen». El libro 6 le suma el fondo de maniobra de los primeros meses: aquí no está.</t>
        </is>
      </c>
    </row>
    <row r="46"/>
    <row r="47" ht="44" customHeight="1">
      <c r="B47" s="30" t="inlineStr">
        <is>
          <t>Los importes de obra, proyecto, licencia, tasas y marketing son supuestos de El Molinete: ninguna ficha publica esas cifras para una churrería, y la horquilla de licencias que circula por internet no vale para tu ayuntamiento. Pide presupuesto. La extinción automática suma cero mientras el libro 1 diga que no la necesitas.</t>
        </is>
      </c>
    </row>
    <row r="48"/>
    <row r="49">
      <c r="C49" s="24" t="inlineStr">
        <is>
          <t>Listas de validación (no las borres: las usan los desplegables)</t>
        </is>
      </c>
    </row>
    <row r="50">
      <c r="C50" s="25" t="inlineStr">
        <is>
          <t>Sí o No</t>
        </is>
      </c>
    </row>
    <row r="51">
      <c r="C51" t="inlineStr">
        <is>
          <t>Sí</t>
        </is>
      </c>
    </row>
    <row r="52">
      <c r="C52"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B47:P47"/>
  </mergeCells>
  <dataValidations count="2">
    <dataValidation sqref="D16 D17 D18 D19 D20 D21 D22 D23 D24 D25 D26 D27 D28 D29 F7 F8 F9 F12 G7 G8 G9 G12 H7 H8 H9 H12" showDropDown="0" showInputMessage="0" showErrorMessage="1" allowBlank="1" errorTitle="Importe no válido" error="Escribe un número mayor o igual que 0." type="decimal" operator="greaterThanOrEqual">
      <formula1>0</formula1>
    </dataValidation>
    <dataValidation sqref="E6 E7 E8 E9 E10 E11 E12 G16 G17 G18 G19 G20 G21 G22 G23 G24 G25 G26 G27 G28 G29 I6 I7 I8 I9 I10 I12" showDropDown="0" showInputMessage="0" showErrorMessage="1" allowBlank="0" errorTitle="Sí o No" error="Elige una opción de la lista." type="list">
      <formula1>=$C$51:$C$52</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Z44"/>
  <sheetViews>
    <sheetView workbookViewId="0">
      <pane ySplit="5" topLeftCell="A6" activePane="bottomLeft" state="frozen"/>
      <selection pane="bottomLeft" activeCell="A1" sqref="A1"/>
    </sheetView>
  </sheetViews>
  <sheetFormatPr baseColWidth="8" defaultRowHeight="15"/>
  <cols>
    <col width="5" customWidth="1" min="1" max="1"/>
    <col width="22" customWidth="1" min="2" max="2"/>
    <col width="40" customWidth="1" min="3" max="3"/>
    <col width="14" customWidth="1" min="4" max="4"/>
    <col width="18" customWidth="1" min="5" max="5"/>
    <col width="12" customWidth="1" min="6" max="6"/>
    <col width="10" customWidth="1" min="7" max="7"/>
    <col width="7" customWidth="1" min="8" max="8"/>
    <col width="12" customWidth="1" min="9" max="9"/>
    <col width="12" customWidth="1" min="10" max="10"/>
    <col width="12" customWidth="1" min="11" max="11"/>
    <col width="12" customWidth="1" min="12" max="12"/>
    <col width="10" customWidth="1" min="13" max="13"/>
    <col width="8" customWidth="1" min="14" max="14"/>
    <col width="13" customWidth="1" min="15" max="15"/>
    <col width="12" customWidth="1" min="16" max="16"/>
    <col width="13" customWidth="1" min="17" max="17"/>
    <col width="12" customWidth="1" min="18" max="18"/>
    <col width="13" customWidth="1" min="19" max="19"/>
    <col width="11" customWidth="1" min="20" max="20"/>
    <col width="13" customWidth="1" min="21" max="21"/>
    <col width="9" customWidth="1" min="22" max="22"/>
    <col width="9" customWidth="1" min="23" max="23"/>
    <col width="12" customWidth="1" min="24" max="24"/>
    <col width="12" customWidth="1" min="25" max="25"/>
    <col width="60" customWidth="1" min="26" max="26"/>
  </cols>
  <sheetData>
    <row r="1">
      <c r="A1" s="1" t="inlineStr">
        <is>
          <t>Equipamiento Línea a Línea</t>
        </is>
      </c>
    </row>
    <row r="2">
      <c r="A2" s="2" t="inlineStr">
        <is>
          <t>AI Chef Pro · aichef.pro — Cómo Montar una Churrería-Chocolatería</t>
        </is>
      </c>
    </row>
    <row r="3">
      <c r="A3" s="3" t="inlineStr">
        <is>
          <t>Cada máquina con su fuente, su fecha y su base de IVA. Tu importe se pasa a base imponible antes de sumar. Sin plazo de entrega: vive en el libro 7.</t>
        </is>
      </c>
    </row>
    <row r="4"/>
    <row r="5" ht="58" customHeight="1">
      <c r="A5" s="9" t="inlineStr">
        <is>
          <t>Nº</t>
        </is>
      </c>
      <c r="B5" s="9" t="inlineStr">
        <is>
          <t>Bloque</t>
        </is>
      </c>
      <c r="C5" s="9" t="inlineStr">
        <is>
          <t>Partida</t>
        </is>
      </c>
      <c r="D5" s="9" t="inlineStr">
        <is>
          <t>Procedencia</t>
        </is>
      </c>
      <c r="E5" s="9" t="inlineStr">
        <is>
          <t>Cómo publica la fuente el precio</t>
        </is>
      </c>
      <c r="F5" s="9" t="inlineStr">
        <is>
          <t>Fecha del precio</t>
        </is>
      </c>
      <c r="G5" s="9" t="inlineStr">
        <is>
          <t>¿La compras?</t>
        </is>
      </c>
      <c r="H5" s="9" t="inlineStr">
        <is>
          <t>Uds</t>
        </is>
      </c>
      <c r="I5" s="9" t="inlineStr">
        <is>
          <t>Precio de referencia (ud)</t>
        </is>
      </c>
      <c r="J5" s="9" t="inlineStr">
        <is>
          <t>Mínimo (ud)</t>
        </is>
      </c>
      <c r="K5" s="9" t="inlineStr">
        <is>
          <t>Máximo (ud)</t>
        </is>
      </c>
      <c r="L5" s="9" t="inlineStr">
        <is>
          <t>Tu importe (ud)</t>
        </is>
      </c>
      <c r="M5" s="9" t="inlineStr">
        <is>
          <t>¿Tu importe lleva IVA?</t>
        </is>
      </c>
      <c r="N5" s="9" t="inlineStr">
        <is>
          <t>Tipo de IVA</t>
        </is>
      </c>
      <c r="O5" s="9" t="inlineStr">
        <is>
          <t>Base sin IVA</t>
        </is>
      </c>
      <c r="P5" s="9" t="inlineStr">
        <is>
          <t>IVA soportado</t>
        </is>
      </c>
      <c r="Q5" s="9" t="inlineStr">
        <is>
          <t>Total con IVA</t>
        </is>
      </c>
      <c r="R5" s="9" t="inlineStr">
        <is>
          <t>Referencia sin IVA (ud)</t>
        </is>
      </c>
      <c r="S5" s="9" t="inlineStr">
        <is>
          <t>Referencia de la línea</t>
        </is>
      </c>
      <c r="T5" s="9" t="inlineStr">
        <is>
          <t>Desviación contra la referencia</t>
        </is>
      </c>
      <c r="U5" s="9" t="inlineStr">
        <is>
          <t>¿Dentro de tu horquilla?</t>
        </is>
      </c>
      <c r="V5" s="9" t="inlineStr">
        <is>
          <t>Uds en el local con sala</t>
        </is>
      </c>
      <c r="W5" s="9" t="inlineStr">
        <is>
          <t>Uds en el despacho</t>
        </is>
      </c>
      <c r="X5" s="9" t="inlineStr">
        <is>
          <t>Dotación del local con sala</t>
        </is>
      </c>
      <c r="Y5" s="9" t="inlineStr">
        <is>
          <t>Dotación del despacho</t>
        </is>
      </c>
      <c r="Z5" s="9" t="inlineStr">
        <is>
          <t>Nota</t>
        </is>
      </c>
    </row>
    <row r="6" ht="44" customHeight="1">
      <c r="A6" s="17" t="n">
        <v>1</v>
      </c>
      <c r="B6" s="6" t="inlineStr">
        <is>
          <t>Fritura, dosificación y amasado</t>
        </is>
      </c>
      <c r="C6" s="6" t="inlineStr">
        <is>
          <t>Freidora de churros de gas de 25 L (ClimaHosteleria EMPLK002)</t>
        </is>
      </c>
      <c r="D6" s="12" t="inlineStr">
        <is>
          <t>CUS-33a</t>
        </is>
      </c>
      <c r="E6" s="6" t="inlineStr">
        <is>
          <t>sin IVA declarada en la ficha</t>
        </is>
      </c>
      <c r="F6" s="31" t="n">
        <v>46298</v>
      </c>
      <c r="G6" s="5" t="inlineStr">
        <is>
          <t>Sí</t>
        </is>
      </c>
      <c r="H6" s="16" t="n">
        <v>1</v>
      </c>
      <c r="I6" s="26" t="n">
        <v>1907</v>
      </c>
      <c r="J6" s="15" t="n">
        <v>1907</v>
      </c>
      <c r="K6" s="15" t="n">
        <v>1907</v>
      </c>
      <c r="L6" s="15" t="n">
        <v>1907</v>
      </c>
      <c r="M6" s="5" t="inlineStr">
        <is>
          <t>No</t>
        </is>
      </c>
      <c r="N6" s="22">
        <f>'Parámetros'!$B$6</f>
        <v>0.21</v>
      </c>
      <c r="O6" s="26">
        <f>IF(G6="No","",IFERROR(ROUND(IF(M6="Sí",L6/(1+N6),L6),2)*H6,""))</f>
        <v>1907.0</v>
      </c>
      <c r="P6" s="26">
        <f>IF(O6="","",O6*N6)</f>
        <v>400.46999999999997</v>
      </c>
      <c r="Q6" s="26">
        <f>IF(O6="","",O6+P6)</f>
        <v>2307.47</v>
      </c>
      <c r="R6" s="26">
        <f>IFERROR(ROUND(IF(E6="con IVA en la ficha",I6/(1+N6),I6),2),"")</f>
        <v>1907.0</v>
      </c>
      <c r="S6" s="26">
        <f>IF(OR(G6="No",NOT(ISNUMBER(R6))),"",R6*H6)</f>
        <v>1907.0</v>
      </c>
      <c r="T6" s="22">
        <f>IF(OR(O6="",S6=""),"",IF(S6=0,"",IFERROR(O6/S6-1,"")))</f>
        <v>0.0</v>
      </c>
      <c r="U6" t="str">
        <f>IF(G6="No","",IF(AND(L6&gt;=J6,L6&lt;=K6),"Dentro","Fuera de tu horquilla"))</f>
        <v>Dentro</v>
      </c>
      <c r="V6" s="17" t="n">
        <v>1</v>
      </c>
      <c r="W6" s="17" t="n">
        <v>0</v>
      </c>
      <c r="X6" s="26">
        <f>IF(ISNUMBER(R6),R6*V6,"")</f>
        <v>1907.0</v>
      </c>
      <c r="Y6" s="26">
        <f>IF(ISNUMBER(R6),R6*W6,"")</f>
        <v>0.0</v>
      </c>
      <c r="Z6" s="6" t="inlineStr">
        <is>
          <t>Gas: le tocan los filtros a 1,20 m (CUN-26).</t>
        </is>
      </c>
    </row>
    <row r="7" ht="44" customHeight="1">
      <c r="A7" s="17" t="n">
        <v>2</v>
      </c>
      <c r="B7" s="6" t="inlineStr">
        <is>
          <t>Fritura, dosificación y amasado</t>
        </is>
      </c>
      <c r="C7" s="6" t="inlineStr">
        <is>
          <t>Dosificadora automática de 5 kg de masa (ClimaHosteleria CH)</t>
        </is>
      </c>
      <c r="D7" s="12" t="inlineStr">
        <is>
          <t>CUS-34c</t>
        </is>
      </c>
      <c r="E7" s="6" t="inlineStr">
        <is>
          <t>sin IVA declarada en la ficha</t>
        </is>
      </c>
      <c r="F7" s="31" t="n">
        <v>46298</v>
      </c>
      <c r="G7" s="5" t="inlineStr">
        <is>
          <t>Sí</t>
        </is>
      </c>
      <c r="H7" s="16" t="n">
        <v>1</v>
      </c>
      <c r="I7" s="26" t="n">
        <v>1798</v>
      </c>
      <c r="J7" s="15" t="n">
        <v>1798</v>
      </c>
      <c r="K7" s="15" t="n">
        <v>1798</v>
      </c>
      <c r="L7" s="15" t="n">
        <v>1798</v>
      </c>
      <c r="M7" s="5" t="inlineStr">
        <is>
          <t>No</t>
        </is>
      </c>
      <c r="N7" s="22">
        <f>'Parámetros'!$B$6</f>
        <v>0.21</v>
      </c>
      <c r="O7" s="26">
        <f>IF(G7="No","",IFERROR(ROUND(IF(M7="Sí",L7/(1+N7),L7),2)*H7,""))</f>
        <v>1798.0</v>
      </c>
      <c r="P7" s="26">
        <f>IF(O7="","",O7*N7)</f>
        <v>377.58</v>
      </c>
      <c r="Q7" s="26">
        <f>IF(O7="","",O7+P7)</f>
        <v>2175.58</v>
      </c>
      <c r="R7" s="26">
        <f>IFERROR(ROUND(IF(E7="con IVA en la ficha",I7/(1+N7),I7),2),"")</f>
        <v>1798.0</v>
      </c>
      <c r="S7" s="26">
        <f>IF(OR(G7="No",NOT(ISNUMBER(R7))),"",R7*H7)</f>
        <v>1798.0</v>
      </c>
      <c r="T7" s="22">
        <f>IF(OR(O7="",S7=""),"",IF(S7=0,"",IFERROR(O7/S7-1,"")))</f>
        <v>0.0</v>
      </c>
      <c r="U7" t="str">
        <f>IF(G7="No","",IF(AND(L7&gt;=J7,L7&lt;=K7),"Dentro","Fuera de tu horquilla"))</f>
        <v>Dentro</v>
      </c>
      <c r="V7" s="17" t="n">
        <v>1</v>
      </c>
      <c r="W7" s="17" t="n">
        <v>0</v>
      </c>
      <c r="X7" s="26">
        <f>IF(ISNUMBER(R7),R7*V7,"")</f>
        <v>1798.0</v>
      </c>
      <c r="Y7" s="26">
        <f>IF(ISNUMBER(R7),R7*W7,"")</f>
        <v>0.0</v>
      </c>
      <c r="Z7" s="6" t="inlineStr"/>
    </row>
    <row r="8" ht="44" customHeight="1">
      <c r="A8" s="17" t="n">
        <v>3</v>
      </c>
      <c r="B8" s="6" t="inlineStr">
        <is>
          <t>Fritura, dosificación y amasado</t>
        </is>
      </c>
      <c r="C8" s="6" t="inlineStr">
        <is>
          <t>Amasadora automática con rascador (30 kg)</t>
        </is>
      </c>
      <c r="D8" s="12" t="inlineStr">
        <is>
          <t>CUS-35a</t>
        </is>
      </c>
      <c r="E8" s="6" t="inlineStr">
        <is>
          <t>sin IVA declarada en la ficha</t>
        </is>
      </c>
      <c r="F8" s="31" t="n">
        <v>46298</v>
      </c>
      <c r="G8" s="5" t="inlineStr">
        <is>
          <t>Sí</t>
        </is>
      </c>
      <c r="H8" s="16" t="n">
        <v>1</v>
      </c>
      <c r="I8" s="26" t="n">
        <v>2550</v>
      </c>
      <c r="J8" s="15" t="n">
        <v>2550</v>
      </c>
      <c r="K8" s="15" t="n">
        <v>2550</v>
      </c>
      <c r="L8" s="15" t="n">
        <v>2550</v>
      </c>
      <c r="M8" s="5" t="inlineStr">
        <is>
          <t>No</t>
        </is>
      </c>
      <c r="N8" s="22">
        <f>'Parámetros'!$B$6</f>
        <v>0.21</v>
      </c>
      <c r="O8" s="26">
        <f>IF(G8="No","",IFERROR(ROUND(IF(M8="Sí",L8/(1+N8),L8),2)*H8,""))</f>
        <v>2550.0</v>
      </c>
      <c r="P8" s="26">
        <f>IF(O8="","",O8*N8)</f>
        <v>535.5</v>
      </c>
      <c r="Q8" s="26">
        <f>IF(O8="","",O8+P8)</f>
        <v>3085.5</v>
      </c>
      <c r="R8" s="26">
        <f>IFERROR(ROUND(IF(E8="con IVA en la ficha",I8/(1+N8),I8),2),"")</f>
        <v>2550.0</v>
      </c>
      <c r="S8" s="26">
        <f>IF(OR(G8="No",NOT(ISNUMBER(R8))),"",R8*H8)</f>
        <v>2550.0</v>
      </c>
      <c r="T8" s="22">
        <f>IF(OR(O8="",S8=""),"",IF(S8=0,"",IFERROR(O8/S8-1,"")))</f>
        <v>0.0</v>
      </c>
      <c r="U8" t="str">
        <f>IF(G8="No","",IF(AND(L8&gt;=J8,L8&lt;=K8),"Dentro","Fuera de tu horquilla"))</f>
        <v>Dentro</v>
      </c>
      <c r="V8" s="17" t="n">
        <v>1</v>
      </c>
      <c r="W8" s="17" t="n">
        <v>0</v>
      </c>
      <c r="X8" s="26">
        <f>IF(ISNUMBER(R8),R8*V8,"")</f>
        <v>2550.0</v>
      </c>
      <c r="Y8" s="26">
        <f>IF(ISNUMBER(R8),R8*W8,"")</f>
        <v>0.0</v>
      </c>
      <c r="Z8" s="6" t="inlineStr"/>
    </row>
    <row r="9" ht="44" customHeight="1">
      <c r="A9" s="17" t="n">
        <v>4</v>
      </c>
      <c r="B9" s="6" t="inlineStr">
        <is>
          <t>Extracción y conducto</t>
        </is>
      </c>
      <c r="C9" s="6" t="inlineStr">
        <is>
          <t>Campana extractora de 1.200 mm con turbina y filtros</t>
        </is>
      </c>
      <c r="D9" s="12" t="inlineStr">
        <is>
          <t>CUS-36a</t>
        </is>
      </c>
      <c r="E9" s="6" t="inlineStr">
        <is>
          <t>sin IVA declarada en la ficha</t>
        </is>
      </c>
      <c r="F9" s="31" t="n">
        <v>46298</v>
      </c>
      <c r="G9" s="5" t="inlineStr">
        <is>
          <t>Sí</t>
        </is>
      </c>
      <c r="H9" s="16" t="n">
        <v>1</v>
      </c>
      <c r="I9" s="26" t="n">
        <v>990</v>
      </c>
      <c r="J9" s="15" t="n">
        <v>990</v>
      </c>
      <c r="K9" s="15" t="n">
        <v>990</v>
      </c>
      <c r="L9" s="15" t="n">
        <v>990</v>
      </c>
      <c r="M9" s="5" t="inlineStr">
        <is>
          <t>No</t>
        </is>
      </c>
      <c r="N9" s="22">
        <f>'Parámetros'!$B$6</f>
        <v>0.21</v>
      </c>
      <c r="O9" s="26">
        <f>IF(G9="No","",IFERROR(ROUND(IF(M9="Sí",L9/(1+N9),L9),2)*H9,""))</f>
        <v>990.0</v>
      </c>
      <c r="P9" s="26">
        <f>IF(O9="","",O9*N9)</f>
        <v>207.9</v>
      </c>
      <c r="Q9" s="26">
        <f>IF(O9="","",O9+P9)</f>
        <v>1197.9</v>
      </c>
      <c r="R9" s="26">
        <f>IFERROR(ROUND(IF(E9="con IVA en la ficha",I9/(1+N9),I9),2),"")</f>
        <v>990.0</v>
      </c>
      <c r="S9" s="26">
        <f>IF(OR(G9="No",NOT(ISNUMBER(R9))),"",R9*H9)</f>
        <v>990.0</v>
      </c>
      <c r="T9" s="22">
        <f>IF(OR(O9="",S9=""),"",IF(S9=0,"",IFERROR(O9/S9-1,"")))</f>
        <v>0.0</v>
      </c>
      <c r="U9" t="str">
        <f>IF(G9="No","",IF(AND(L9&gt;=J9,L9&lt;=K9),"Dentro","Fuera de tu horquilla"))</f>
        <v>Dentro</v>
      </c>
      <c r="V9" s="17" t="n">
        <v>1</v>
      </c>
      <c r="W9" s="17" t="n">
        <v>1</v>
      </c>
      <c r="X9" s="26">
        <f>IF(ISNUMBER(R9),R9*V9,"")</f>
        <v>990.0</v>
      </c>
      <c r="Y9" s="26">
        <f>IF(ISNUMBER(R9),R9*W9,"")</f>
        <v>990.0</v>
      </c>
      <c r="Z9" s="6" t="inlineStr">
        <is>
          <t>No incluye el conducto a cubierta ni el proyecto: van en su propia línea.</t>
        </is>
      </c>
    </row>
    <row r="10" ht="44" customHeight="1">
      <c r="A10" s="17" t="n">
        <v>5</v>
      </c>
      <c r="B10" s="6" t="inlineStr">
        <is>
          <t>Chocolate y café</t>
        </is>
      </c>
      <c r="C10" s="6" t="inlineStr">
        <is>
          <t>Chocolatera Irimar MCH-5 (5 L)</t>
        </is>
      </c>
      <c r="D10" s="12" t="inlineStr">
        <is>
          <t>CUS-37a</t>
        </is>
      </c>
      <c r="E10" s="6" t="inlineStr">
        <is>
          <t>sin IVA declarada en la ficha</t>
        </is>
      </c>
      <c r="F10" s="31" t="n">
        <v>46298</v>
      </c>
      <c r="G10" s="5" t="inlineStr">
        <is>
          <t>Sí</t>
        </is>
      </c>
      <c r="H10" s="16" t="n">
        <v>2</v>
      </c>
      <c r="I10" s="26" t="n">
        <v>412.7</v>
      </c>
      <c r="J10" s="15" t="n">
        <v>412.7</v>
      </c>
      <c r="K10" s="15" t="n">
        <v>412.7</v>
      </c>
      <c r="L10" s="15" t="n">
        <v>412.7</v>
      </c>
      <c r="M10" s="5" t="inlineStr">
        <is>
          <t>No</t>
        </is>
      </c>
      <c r="N10" s="22">
        <f>'Parámetros'!$B$6</f>
        <v>0.21</v>
      </c>
      <c r="O10" s="26">
        <f>IF(G10="No","",IFERROR(ROUND(IF(M10="Sí",L10/(1+N10),L10),2)*H10,""))</f>
        <v>825.4</v>
      </c>
      <c r="P10" s="26">
        <f>IF(O10="","",O10*N10)</f>
        <v>173.33399999999997</v>
      </c>
      <c r="Q10" s="26">
        <f>IF(O10="","",O10+P10)</f>
        <v>998.7339999999999</v>
      </c>
      <c r="R10" s="26">
        <f>IFERROR(ROUND(IF(E10="con IVA en la ficha",I10/(1+N10),I10),2),"")</f>
        <v>412.7</v>
      </c>
      <c r="S10" s="26">
        <f>IF(OR(G10="No",NOT(ISNUMBER(R10))),"",R10*H10)</f>
        <v>825.4</v>
      </c>
      <c r="T10" s="22">
        <f>IF(OR(O10="",S10=""),"",IF(S10=0,"",IFERROR(O10/S10-1,"")))</f>
        <v>0.0</v>
      </c>
      <c r="U10" t="str">
        <f>IF(G10="No","",IF(AND(L10&gt;=J10,L10&lt;=K10),"Dentro","Fuera de tu horquilla"))</f>
        <v>Dentro</v>
      </c>
      <c r="V10" s="17" t="n">
        <v>2</v>
      </c>
      <c r="W10" s="17" t="n">
        <v>1</v>
      </c>
      <c r="X10" s="26">
        <f>IF(ISNUMBER(R10),R10*V10,"")</f>
        <v>825.4</v>
      </c>
      <c r="Y10" s="26">
        <f>IF(ISNUMBER(R10),R10*W10,"")</f>
        <v>412.7</v>
      </c>
      <c r="Z10" s="6" t="inlineStr">
        <is>
          <t>Dos en el local con sala; una en el despacho.</t>
        </is>
      </c>
    </row>
    <row r="11" ht="44" customHeight="1">
      <c r="A11" s="17" t="n">
        <v>6</v>
      </c>
      <c r="B11" s="6" t="inlineStr">
        <is>
          <t>Fritura, dosificación y amasado</t>
        </is>
      </c>
      <c r="C11" s="6" t="inlineStr">
        <is>
          <t>Bandeja escurridor de 50 × 60 cm (Inblan)</t>
        </is>
      </c>
      <c r="D11" s="12" t="inlineStr">
        <is>
          <t>CUS-39</t>
        </is>
      </c>
      <c r="E11" s="6" t="inlineStr">
        <is>
          <t>sin IVA declarada en la ficha</t>
        </is>
      </c>
      <c r="F11" s="31" t="n">
        <v>46298</v>
      </c>
      <c r="G11" s="5" t="inlineStr">
        <is>
          <t>Sí</t>
        </is>
      </c>
      <c r="H11" s="16" t="n">
        <v>1</v>
      </c>
      <c r="I11" s="26" t="n">
        <v>499.2</v>
      </c>
      <c r="J11" s="15" t="n">
        <v>499.2</v>
      </c>
      <c r="K11" s="15" t="n">
        <v>499.2</v>
      </c>
      <c r="L11" s="15" t="n">
        <v>499.2</v>
      </c>
      <c r="M11" s="5" t="inlineStr">
        <is>
          <t>No</t>
        </is>
      </c>
      <c r="N11" s="22">
        <f>'Parámetros'!$B$6</f>
        <v>0.21</v>
      </c>
      <c r="O11" s="26">
        <f>IF(G11="No","",IFERROR(ROUND(IF(M11="Sí",L11/(1+N11),L11),2)*H11,""))</f>
        <v>499.2</v>
      </c>
      <c r="P11" s="26">
        <f>IF(O11="","",O11*N11)</f>
        <v>104.832</v>
      </c>
      <c r="Q11" s="26">
        <f>IF(O11="","",O11+P11)</f>
        <v>604.0319999999999</v>
      </c>
      <c r="R11" s="26">
        <f>IFERROR(ROUND(IF(E11="con IVA en la ficha",I11/(1+N11),I11),2),"")</f>
        <v>499.2</v>
      </c>
      <c r="S11" s="26">
        <f>IF(OR(G11="No",NOT(ISNUMBER(R11))),"",R11*H11)</f>
        <v>499.2</v>
      </c>
      <c r="T11" s="22">
        <f>IF(OR(O11="",S11=""),"",IF(S11=0,"",IFERROR(O11/S11-1,"")))</f>
        <v>0.0</v>
      </c>
      <c r="U11" t="str">
        <f>IF(G11="No","",IF(AND(L11&gt;=J11,L11&lt;=K11),"Dentro","Fuera de tu horquilla"))</f>
        <v>Dentro</v>
      </c>
      <c r="V11" s="17" t="n">
        <v>1</v>
      </c>
      <c r="W11" s="17" t="n">
        <v>0</v>
      </c>
      <c r="X11" s="26">
        <f>IF(ISNUMBER(R11),R11*V11,"")</f>
        <v>499.2</v>
      </c>
      <c r="Y11" s="26">
        <f>IF(ISNUMBER(R11),R11*W11,"")</f>
        <v>0.0</v>
      </c>
      <c r="Z11" s="6" t="inlineStr"/>
    </row>
    <row r="12" ht="44" customHeight="1">
      <c r="A12" s="17" t="n">
        <v>7</v>
      </c>
      <c r="B12" s="6" t="inlineStr">
        <is>
          <t>Control y seguridad</t>
        </is>
      </c>
      <c r="C12" s="6" t="inlineStr">
        <is>
          <t>Balanza de 6 kg (Baxtran PD LCD)</t>
        </is>
      </c>
      <c r="D12" s="12" t="inlineStr">
        <is>
          <t>CUS-41</t>
        </is>
      </c>
      <c r="E12" s="6" t="inlineStr">
        <is>
          <t>sin IVA declarada en la ficha</t>
        </is>
      </c>
      <c r="F12" s="31" t="n">
        <v>46298</v>
      </c>
      <c r="G12" s="5" t="inlineStr">
        <is>
          <t>Sí</t>
        </is>
      </c>
      <c r="H12" s="16" t="n">
        <v>1</v>
      </c>
      <c r="I12" s="26" t="n">
        <v>48.75</v>
      </c>
      <c r="J12" s="15" t="n">
        <v>48.75</v>
      </c>
      <c r="K12" s="15" t="n">
        <v>48.75</v>
      </c>
      <c r="L12" s="15" t="n">
        <v>48.75</v>
      </c>
      <c r="M12" s="5" t="inlineStr">
        <is>
          <t>No</t>
        </is>
      </c>
      <c r="N12" s="22">
        <f>'Parámetros'!$B$6</f>
        <v>0.21</v>
      </c>
      <c r="O12" s="26">
        <f>IF(G12="No","",IFERROR(ROUND(IF(M12="Sí",L12/(1+N12),L12),2)*H12,""))</f>
        <v>48.75</v>
      </c>
      <c r="P12" s="26">
        <f>IF(O12="","",O12*N12)</f>
        <v>10.237499999999999</v>
      </c>
      <c r="Q12" s="26">
        <f>IF(O12="","",O12+P12)</f>
        <v>58.9875</v>
      </c>
      <c r="R12" s="26">
        <f>IFERROR(ROUND(IF(E12="con IVA en la ficha",I12/(1+N12),I12),2),"")</f>
        <v>48.75</v>
      </c>
      <c r="S12" s="26">
        <f>IF(OR(G12="No",NOT(ISNUMBER(R12))),"",R12*H12)</f>
        <v>48.75</v>
      </c>
      <c r="T12" s="22">
        <f>IF(OR(O12="",S12=""),"",IF(S12=0,"",IFERROR(O12/S12-1,"")))</f>
        <v>0.0</v>
      </c>
      <c r="U12" t="str">
        <f>IF(G12="No","",IF(AND(L12&gt;=J12,L12&lt;=K12),"Dentro","Fuera de tu horquilla"))</f>
        <v>Dentro</v>
      </c>
      <c r="V12" s="17" t="n">
        <v>1</v>
      </c>
      <c r="W12" s="17" t="n">
        <v>1</v>
      </c>
      <c r="X12" s="26">
        <f>IF(ISNUMBER(R12),R12*V12,"")</f>
        <v>48.75</v>
      </c>
      <c r="Y12" s="26">
        <f>IF(ISNUMBER(R12),R12*W12,"")</f>
        <v>48.75</v>
      </c>
      <c r="Z12" s="6" t="inlineStr"/>
    </row>
    <row r="13" ht="44" customHeight="1">
      <c r="A13" s="17" t="n">
        <v>8</v>
      </c>
      <c r="B13" s="6" t="inlineStr">
        <is>
          <t>Control y seguridad</t>
        </is>
      </c>
      <c r="C13" s="6" t="inlineStr">
        <is>
          <t>Medidor de compuestos polares Testo 270 BT</t>
        </is>
      </c>
      <c r="D13" s="12" t="inlineStr">
        <is>
          <t>CUS-38</t>
        </is>
      </c>
      <c r="E13" s="6" t="inlineStr">
        <is>
          <t>con IVA en la ficha</t>
        </is>
      </c>
      <c r="F13" s="31" t="n">
        <v>46298</v>
      </c>
      <c r="G13" s="5" t="inlineStr">
        <is>
          <t>Sí</t>
        </is>
      </c>
      <c r="H13" s="16" t="n">
        <v>1</v>
      </c>
      <c r="I13" s="26" t="n">
        <v>603.79</v>
      </c>
      <c r="J13" s="15" t="n">
        <v>603.79</v>
      </c>
      <c r="K13" s="15" t="n">
        <v>603.79</v>
      </c>
      <c r="L13" s="15" t="n">
        <v>603.79</v>
      </c>
      <c r="M13" s="5" t="inlineStr">
        <is>
          <t>Sí</t>
        </is>
      </c>
      <c r="N13" s="22">
        <f>'Parámetros'!$B$6</f>
        <v>0.21</v>
      </c>
      <c r="O13" s="26">
        <f>IF(G13="No","",IFERROR(ROUND(IF(M13="Sí",L13/(1+N13),L13),2)*H13,""))</f>
        <v>499.0</v>
      </c>
      <c r="P13" s="26">
        <f>IF(O13="","",O13*N13)</f>
        <v>104.78999999999999</v>
      </c>
      <c r="Q13" s="26">
        <f>IF(O13="","",O13+P13)</f>
        <v>603.79</v>
      </c>
      <c r="R13" s="26">
        <f>IFERROR(ROUND(IF(E13="con IVA en la ficha",I13/(1+N13),I13),2),"")</f>
        <v>499.0</v>
      </c>
      <c r="S13" s="26">
        <f>IF(OR(G13="No",NOT(ISNUMBER(R13))),"",R13*H13)</f>
        <v>499.0</v>
      </c>
      <c r="T13" s="22">
        <f>IF(OR(O13="",S13=""),"",IF(S13=0,"",IFERROR(O13/S13-1,"")))</f>
        <v>0.0</v>
      </c>
      <c r="U13" t="str">
        <f>IF(G13="No","",IF(AND(L13&gt;=J13,L13&lt;=K13),"Dentro","Fuera de tu horquilla"))</f>
        <v>Dentro</v>
      </c>
      <c r="V13" s="17" t="n">
        <v>1</v>
      </c>
      <c r="W13" s="17" t="n">
        <v>1</v>
      </c>
      <c r="X13" s="26">
        <f>IF(ISNUMBER(R13),R13*V13,"")</f>
        <v>499.0</v>
      </c>
      <c r="Y13" s="26">
        <f>IF(ISNUMBER(R13),R13*W13,"")</f>
        <v>499.0</v>
      </c>
      <c r="Z13" s="6" t="inlineStr">
        <is>
          <t>La tienda lo publica con IVA: la base imponible se calcula. Ayuda a decidir el cambio de aceite; no es la prueba legal del 25 % (CUN-02).</t>
        </is>
      </c>
    </row>
    <row r="14" ht="44" customHeight="1">
      <c r="A14" s="17" t="n">
        <v>9</v>
      </c>
      <c r="B14" s="6" t="inlineStr">
        <is>
          <t>Control y seguridad</t>
        </is>
      </c>
      <c r="C14" s="6" t="inlineStr">
        <is>
          <t>Rellenadora de churros</t>
        </is>
      </c>
      <c r="D14" s="12" t="inlineStr">
        <is>
          <t>supuesto declarado</t>
        </is>
      </c>
      <c r="E14" s="6" t="inlineStr">
        <is>
          <t>importe del lector</t>
        </is>
      </c>
      <c r="F14" s="6" t="inlineStr">
        <is>
          <t>supuesto, sin fecha</t>
        </is>
      </c>
      <c r="G14" s="5" t="inlineStr">
        <is>
          <t>No</t>
        </is>
      </c>
      <c r="H14" s="16" t="n">
        <v>1</v>
      </c>
      <c r="I14" s="26" t="n">
        <v>0</v>
      </c>
      <c r="J14" s="15" t="n">
        <v>0</v>
      </c>
      <c r="K14" s="15" t="n">
        <v>0</v>
      </c>
      <c r="L14" s="15" t="n">
        <v>0</v>
      </c>
      <c r="M14" s="5" t="inlineStr">
        <is>
          <t>No</t>
        </is>
      </c>
      <c r="N14" s="22">
        <f>'Parámetros'!$B$6</f>
        <v>0.21</v>
      </c>
      <c r="O14" s="26">
        <f>IF(G14="No","",IFERROR(ROUND(IF(M14="Sí",L14/(1+N14),L14),2)*H14,""))</f>
        <v/>
      </c>
      <c r="P14" s="26">
        <f>IF(O14="","",O14*N14)</f>
        <v/>
      </c>
      <c r="Q14" s="26">
        <f>IF(O14="","",O14+P14)</f>
        <v/>
      </c>
      <c r="R14" s="26">
        <f>IFERROR(ROUND(IF(E14="con IVA en la ficha",I14/(1+N14),I14),2),"")</f>
        <v>0.0</v>
      </c>
      <c r="S14" s="26">
        <f>IF(OR(G14="No",NOT(ISNUMBER(R14))),"",R14*H14)</f>
        <v/>
      </c>
      <c r="T14" s="22">
        <f>IF(OR(O14="",S14=""),"",IF(S14=0,"",IFERROR(O14/S14-1,"")))</f>
        <v/>
      </c>
      <c r="U14">
        <f>IF(G14="No","",IF(AND(L14&gt;=J14,L14&lt;=K14),"Dentro","Fuera de tu horquilla"))</f>
        <v/>
      </c>
      <c r="V14" s="17" t="n">
        <v>0</v>
      </c>
      <c r="W14" s="17" t="n">
        <v>0</v>
      </c>
      <c r="X14" s="26">
        <f>IF(ISNUMBER(R14),R14*V14,"")</f>
        <v>0.0</v>
      </c>
      <c r="Y14" s="26">
        <f>IF(ISNUMBER(R14),R14*W14,"")</f>
        <v>0.0</v>
      </c>
      <c r="Z14" s="6" t="inlineStr">
        <is>
          <t>Sin precio con fuente: pon tu presupuesto. El Molinete rellena con manga y no la compra; por eso su importe por defecto es cero.</t>
        </is>
      </c>
    </row>
    <row r="15" ht="44" customHeight="1">
      <c r="A15" s="17" t="n">
        <v>10</v>
      </c>
      <c r="B15" s="6" t="inlineStr">
        <is>
          <t>Fritura, dosificación y amasado</t>
        </is>
      </c>
      <c r="C15" s="6" t="inlineStr">
        <is>
          <t>Equipo completo de churros Mundigas CH-1-D (dosificador de 1,5 kg y caldero de 14 L)</t>
        </is>
      </c>
      <c r="D15" s="12" t="inlineStr">
        <is>
          <t>CUS-32a</t>
        </is>
      </c>
      <c r="E15" s="6" t="inlineStr">
        <is>
          <t>sin IVA declarada en la ficha</t>
        </is>
      </c>
      <c r="F15" s="31" t="n">
        <v>46298</v>
      </c>
      <c r="G15" s="5" t="inlineStr">
        <is>
          <t>No</t>
        </is>
      </c>
      <c r="H15" s="16" t="n">
        <v>1</v>
      </c>
      <c r="I15" s="26" t="n">
        <v>2188</v>
      </c>
      <c r="J15" s="15" t="n">
        <v>2188</v>
      </c>
      <c r="K15" s="15" t="n">
        <v>2188</v>
      </c>
      <c r="L15" s="15" t="n">
        <v>2188</v>
      </c>
      <c r="M15" s="5" t="inlineStr">
        <is>
          <t>No</t>
        </is>
      </c>
      <c r="N15" s="22">
        <f>'Parámetros'!$B$6</f>
        <v>0.21</v>
      </c>
      <c r="O15" s="26">
        <f>IF(G15="No","",IFERROR(ROUND(IF(M15="Sí",L15/(1+N15),L15),2)*H15,""))</f>
        <v/>
      </c>
      <c r="P15" s="26">
        <f>IF(O15="","",O15*N15)</f>
        <v/>
      </c>
      <c r="Q15" s="26">
        <f>IF(O15="","",O15+P15)</f>
        <v/>
      </c>
      <c r="R15" s="26">
        <f>IFERROR(ROUND(IF(E15="con IVA en la ficha",I15/(1+N15),I15),2),"")</f>
        <v>2188.0</v>
      </c>
      <c r="S15" s="26">
        <f>IF(OR(G15="No",NOT(ISNUMBER(R15))),"",R15*H15)</f>
        <v/>
      </c>
      <c r="T15" s="22">
        <f>IF(OR(O15="",S15=""),"",IF(S15=0,"",IFERROR(O15/S15-1,"")))</f>
        <v/>
      </c>
      <c r="U15">
        <f>IF(G15="No","",IF(AND(L15&gt;=J15,L15&lt;=K15),"Dentro","Fuera de tu horquilla"))</f>
        <v/>
      </c>
      <c r="V15" s="17" t="n">
        <v>0</v>
      </c>
      <c r="W15" s="17" t="n">
        <v>1</v>
      </c>
      <c r="X15" s="26">
        <f>IF(ISNUMBER(R15),R15*V15,"")</f>
        <v>0.0</v>
      </c>
      <c r="Y15" s="26">
        <f>IF(ISNUMBER(R15),R15*W15,"")</f>
        <v>2188.0</v>
      </c>
      <c r="Z15" s="6" t="inlineStr">
        <is>
          <t>La alternativa de la decisión 3: equipo completo frente a línea separada.</t>
        </is>
      </c>
    </row>
    <row r="16" ht="44" customHeight="1">
      <c r="A16" s="17" t="n">
        <v>11</v>
      </c>
      <c r="B16" s="6" t="inlineStr">
        <is>
          <t>Fritura, dosificación y amasado</t>
        </is>
      </c>
      <c r="C16" s="6" t="inlineStr">
        <is>
          <t>Caldero amasador Inhospan CALD50</t>
        </is>
      </c>
      <c r="D16" s="12" t="inlineStr">
        <is>
          <t>CUS-35a</t>
        </is>
      </c>
      <c r="E16" s="6" t="inlineStr">
        <is>
          <t>sin IVA declarada en la ficha</t>
        </is>
      </c>
      <c r="F16" s="31" t="n">
        <v>46298</v>
      </c>
      <c r="G16" s="5" t="inlineStr">
        <is>
          <t>No</t>
        </is>
      </c>
      <c r="H16" s="16" t="n">
        <v>1</v>
      </c>
      <c r="I16" s="26" t="n">
        <v>247</v>
      </c>
      <c r="J16" s="15" t="n">
        <v>247</v>
      </c>
      <c r="K16" s="15" t="n">
        <v>247</v>
      </c>
      <c r="L16" s="15" t="n">
        <v>247</v>
      </c>
      <c r="M16" s="5" t="inlineStr">
        <is>
          <t>No</t>
        </is>
      </c>
      <c r="N16" s="22">
        <f>'Parámetros'!$B$6</f>
        <v>0.21</v>
      </c>
      <c r="O16" s="26">
        <f>IF(G16="No","",IFERROR(ROUND(IF(M16="Sí",L16/(1+N16),L16),2)*H16,""))</f>
        <v/>
      </c>
      <c r="P16" s="26">
        <f>IF(O16="","",O16*N16)</f>
        <v/>
      </c>
      <c r="Q16" s="26">
        <f>IF(O16="","",O16+P16)</f>
        <v/>
      </c>
      <c r="R16" s="26">
        <f>IFERROR(ROUND(IF(E16="con IVA en la ficha",I16/(1+N16),I16),2),"")</f>
        <v>247.0</v>
      </c>
      <c r="S16" s="26">
        <f>IF(OR(G16="No",NOT(ISNUMBER(R16))),"",R16*H16)</f>
        <v/>
      </c>
      <c r="T16" s="22">
        <f>IF(OR(O16="",S16=""),"",IF(S16=0,"",IFERROR(O16/S16-1,"")))</f>
        <v/>
      </c>
      <c r="U16">
        <f>IF(G16="No","",IF(AND(L16&gt;=J16,L16&lt;=K16),"Dentro","Fuera de tu horquilla"))</f>
        <v/>
      </c>
      <c r="V16" s="17" t="n">
        <v>0</v>
      </c>
      <c r="W16" s="17" t="n">
        <v>1</v>
      </c>
      <c r="X16" s="26">
        <f>IF(ISNUMBER(R16),R16*V16,"")</f>
        <v>0.0</v>
      </c>
      <c r="Y16" s="26">
        <f>IF(ISNUMBER(R16),R16*W16,"")</f>
        <v>247.0</v>
      </c>
      <c r="Z16" s="6" t="inlineStr">
        <is>
          <t>La alternativa artesanal a la amasadora.</t>
        </is>
      </c>
    </row>
    <row r="17" ht="44" customHeight="1">
      <c r="A17" s="17" t="n">
        <v>12</v>
      </c>
      <c r="B17" s="6" t="inlineStr">
        <is>
          <t>Fritura, dosificación y amasado</t>
        </is>
      </c>
      <c r="C17" s="6" t="inlineStr">
        <is>
          <t>Pala de amasar</t>
        </is>
      </c>
      <c r="D17" s="12" t="inlineStr">
        <is>
          <t>CUS-35a</t>
        </is>
      </c>
      <c r="E17" s="6" t="inlineStr">
        <is>
          <t>sin IVA declarada en la ficha (precio «desde»)</t>
        </is>
      </c>
      <c r="F17" s="31" t="n">
        <v>46298</v>
      </c>
      <c r="G17" s="5" t="inlineStr">
        <is>
          <t>No</t>
        </is>
      </c>
      <c r="H17" s="16" t="n">
        <v>1</v>
      </c>
      <c r="I17" s="26" t="n">
        <v>39</v>
      </c>
      <c r="J17" s="15" t="n">
        <v>39</v>
      </c>
      <c r="K17" s="15" t="n">
        <v>39</v>
      </c>
      <c r="L17" s="15" t="n">
        <v>39</v>
      </c>
      <c r="M17" s="5" t="inlineStr">
        <is>
          <t>No</t>
        </is>
      </c>
      <c r="N17" s="22">
        <f>'Parámetros'!$B$6</f>
        <v>0.21</v>
      </c>
      <c r="O17" s="26">
        <f>IF(G17="No","",IFERROR(ROUND(IF(M17="Sí",L17/(1+N17),L17),2)*H17,""))</f>
        <v/>
      </c>
      <c r="P17" s="26">
        <f>IF(O17="","",O17*N17)</f>
        <v/>
      </c>
      <c r="Q17" s="26">
        <f>IF(O17="","",O17+P17)</f>
        <v/>
      </c>
      <c r="R17" s="26">
        <f>IFERROR(ROUND(IF(E17="con IVA en la ficha",I17/(1+N17),I17),2),"")</f>
        <v>39.0</v>
      </c>
      <c r="S17" s="26">
        <f>IF(OR(G17="No",NOT(ISNUMBER(R17))),"",R17*H17)</f>
        <v/>
      </c>
      <c r="T17" s="22">
        <f>IF(OR(O17="",S17=""),"",IF(S17=0,"",IFERROR(O17/S17-1,"")))</f>
        <v/>
      </c>
      <c r="U17">
        <f>IF(G17="No","",IF(AND(L17&gt;=J17,L17&lt;=K17),"Dentro","Fuera de tu horquilla"))</f>
        <v/>
      </c>
      <c r="V17" s="17" t="n">
        <v>0</v>
      </c>
      <c r="W17" s="17" t="n">
        <v>1</v>
      </c>
      <c r="X17" s="26">
        <f>IF(ISNUMBER(R17),R17*V17,"")</f>
        <v>0.0</v>
      </c>
      <c r="Y17" s="26">
        <f>IF(ISNUMBER(R17),R17*W17,"")</f>
        <v>39.0</v>
      </c>
      <c r="Z17" s="6" t="inlineStr">
        <is>
          <t>Precio «desde».</t>
        </is>
      </c>
    </row>
    <row r="18" ht="44" customHeight="1">
      <c r="A18" s="17" t="n">
        <v>13</v>
      </c>
      <c r="B18" s="6" t="inlineStr">
        <is>
          <t>Fritura, dosificación y amasado</t>
        </is>
      </c>
      <c r="C18" s="6" t="inlineStr">
        <is>
          <t>Escurridor Inhospan ESCL</t>
        </is>
      </c>
      <c r="D18" s="12" t="inlineStr">
        <is>
          <t>CUS-39</t>
        </is>
      </c>
      <c r="E18" s="6" t="inlineStr">
        <is>
          <t>sin IVA declarada en la ficha (precio «desde»)</t>
        </is>
      </c>
      <c r="F18" s="31" t="n">
        <v>46298</v>
      </c>
      <c r="G18" s="5" t="inlineStr">
        <is>
          <t>No</t>
        </is>
      </c>
      <c r="H18" s="16" t="n">
        <v>1</v>
      </c>
      <c r="I18" s="26" t="n">
        <v>260</v>
      </c>
      <c r="J18" s="15" t="n">
        <v>260</v>
      </c>
      <c r="K18" s="15" t="n">
        <v>260</v>
      </c>
      <c r="L18" s="15" t="n">
        <v>260</v>
      </c>
      <c r="M18" s="5" t="inlineStr">
        <is>
          <t>No</t>
        </is>
      </c>
      <c r="N18" s="22">
        <f>'Parámetros'!$B$6</f>
        <v>0.21</v>
      </c>
      <c r="O18" s="26">
        <f>IF(G18="No","",IFERROR(ROUND(IF(M18="Sí",L18/(1+N18),L18),2)*H18,""))</f>
        <v/>
      </c>
      <c r="P18" s="26">
        <f>IF(O18="","",O18*N18)</f>
        <v/>
      </c>
      <c r="Q18" s="26">
        <f>IF(O18="","",O18+P18)</f>
        <v/>
      </c>
      <c r="R18" s="26">
        <f>IFERROR(ROUND(IF(E18="con IVA en la ficha",I18/(1+N18),I18),2),"")</f>
        <v>260.0</v>
      </c>
      <c r="S18" s="26">
        <f>IF(OR(G18="No",NOT(ISNUMBER(R18))),"",R18*H18)</f>
        <v/>
      </c>
      <c r="T18" s="22">
        <f>IF(OR(O18="",S18=""),"",IF(S18=0,"",IFERROR(O18/S18-1,"")))</f>
        <v/>
      </c>
      <c r="U18">
        <f>IF(G18="No","",IF(AND(L18&gt;=J18,L18&lt;=K18),"Dentro","Fuera de tu horquilla"))</f>
        <v/>
      </c>
      <c r="V18" s="17" t="n">
        <v>0</v>
      </c>
      <c r="W18" s="17" t="n">
        <v>1</v>
      </c>
      <c r="X18" s="26">
        <f>IF(ISNUMBER(R18),R18*V18,"")</f>
        <v>0.0</v>
      </c>
      <c r="Y18" s="26">
        <f>IF(ISNUMBER(R18),R18*W18,"")</f>
        <v>260.0</v>
      </c>
      <c r="Z18" s="6" t="inlineStr">
        <is>
          <t>Precio «desde».</t>
        </is>
      </c>
    </row>
    <row r="19" ht="44" customHeight="1">
      <c r="A19" s="17" t="n">
        <v>14</v>
      </c>
      <c r="B19" s="6" t="inlineStr">
        <is>
          <t>Fritura, dosificación y amasado</t>
        </is>
      </c>
      <c r="C19" s="6" t="inlineStr">
        <is>
          <t>Freidora de churros eléctrica de 25 L (ClimaHosteleria EMPLK003)</t>
        </is>
      </c>
      <c r="D19" s="12" t="inlineStr">
        <is>
          <t>CUS-33b</t>
        </is>
      </c>
      <c r="E19" s="6" t="inlineStr">
        <is>
          <t>sin IVA declarada en la ficha</t>
        </is>
      </c>
      <c r="F19" s="31" t="n">
        <v>46298</v>
      </c>
      <c r="G19" s="5" t="inlineStr">
        <is>
          <t>No</t>
        </is>
      </c>
      <c r="H19" s="16" t="n">
        <v>1</v>
      </c>
      <c r="I19" s="26" t="n">
        <v>2053</v>
      </c>
      <c r="J19" s="15" t="n">
        <v>2053</v>
      </c>
      <c r="K19" s="15" t="n">
        <v>2053</v>
      </c>
      <c r="L19" s="15" t="n">
        <v>2053</v>
      </c>
      <c r="M19" s="5" t="inlineStr">
        <is>
          <t>No</t>
        </is>
      </c>
      <c r="N19" s="22">
        <f>'Parámetros'!$B$6</f>
        <v>0.21</v>
      </c>
      <c r="O19" s="26">
        <f>IF(G19="No","",IFERROR(ROUND(IF(M19="Sí",L19/(1+N19),L19),2)*H19,""))</f>
        <v/>
      </c>
      <c r="P19" s="26">
        <f>IF(O19="","",O19*N19)</f>
        <v/>
      </c>
      <c r="Q19" s="26">
        <f>IF(O19="","",O19+P19)</f>
        <v/>
      </c>
      <c r="R19" s="26">
        <f>IFERROR(ROUND(IF(E19="con IVA en la ficha",I19/(1+N19),I19),2),"")</f>
        <v>2053.0</v>
      </c>
      <c r="S19" s="26">
        <f>IF(OR(G19="No",NOT(ISNUMBER(R19))),"",R19*H19)</f>
        <v/>
      </c>
      <c r="T19" s="22">
        <f>IF(OR(O19="",S19=""),"",IF(S19=0,"",IFERROR(O19/S19-1,"")))</f>
        <v/>
      </c>
      <c r="U19">
        <f>IF(G19="No","",IF(AND(L19&gt;=J19,L19&lt;=K19),"Dentro","Fuera de tu horquilla"))</f>
        <v/>
      </c>
      <c r="V19" s="17" t="n">
        <v>0</v>
      </c>
      <c r="W19" s="17" t="n">
        <v>0</v>
      </c>
      <c r="X19" s="26">
        <f>IF(ISNUMBER(R19),R19*V19,"")</f>
        <v>0.0</v>
      </c>
      <c r="Y19" s="26">
        <f>IF(ISNUMBER(R19),R19*W19,"")</f>
        <v>0.0</v>
      </c>
      <c r="Z19" s="6" t="inlineStr">
        <is>
          <t>La salida eléctrica de la decisión 4: sin instalación de gas, con más potencia contratada.</t>
        </is>
      </c>
    </row>
    <row r="20" ht="44" customHeight="1">
      <c r="A20" s="17" t="n">
        <v>15</v>
      </c>
      <c r="B20" s="6" t="inlineStr">
        <is>
          <t>Extracción y conducto</t>
        </is>
      </c>
      <c r="C20" s="6" t="inlineStr">
        <is>
          <t>Conducto de evacuación a cubierta, obra y proyecto de ventilación</t>
        </is>
      </c>
      <c r="D20" s="12" t="inlineStr">
        <is>
          <t>supuesto declarado</t>
        </is>
      </c>
      <c r="E20" s="6" t="inlineStr">
        <is>
          <t>supuesto, sin IVA</t>
        </is>
      </c>
      <c r="F20" s="6" t="inlineStr">
        <is>
          <t>supuesto, sin fecha</t>
        </is>
      </c>
      <c r="G20" s="5" t="inlineStr">
        <is>
          <t>Sí</t>
        </is>
      </c>
      <c r="H20" s="16" t="n">
        <v>1</v>
      </c>
      <c r="I20" s="26" t="n">
        <v>9000</v>
      </c>
      <c r="J20" s="15" t="n">
        <v>9000</v>
      </c>
      <c r="K20" s="15" t="n">
        <v>9000</v>
      </c>
      <c r="L20" s="15" t="n">
        <v>9000</v>
      </c>
      <c r="M20" s="5" t="inlineStr">
        <is>
          <t>No</t>
        </is>
      </c>
      <c r="N20" s="22">
        <f>'Parámetros'!$B$6</f>
        <v>0.21</v>
      </c>
      <c r="O20" s="26">
        <f>IF(G20="No","",IFERROR(ROUND(IF(M20="Sí",L20/(1+N20),L20),2)*H20,""))</f>
        <v>9000.0</v>
      </c>
      <c r="P20" s="26">
        <f>IF(O20="","",O20*N20)</f>
        <v>1890.0</v>
      </c>
      <c r="Q20" s="26">
        <f>IF(O20="","",O20+P20)</f>
        <v>10890.0</v>
      </c>
      <c r="R20" s="26">
        <f>IFERROR(ROUND(IF(E20="con IVA en la ficha",I20/(1+N20),I20),2),"")</f>
        <v>9000.0</v>
      </c>
      <c r="S20" s="26">
        <f>IF(OR(G20="No",NOT(ISNUMBER(R20))),"",R20*H20)</f>
        <v>9000.0</v>
      </c>
      <c r="T20" s="22">
        <f>IF(OR(O20="",S20=""),"",IF(S20=0,"",IFERROR(O20/S20-1,"")))</f>
        <v>0.0</v>
      </c>
      <c r="U20" t="str">
        <f>IF(G20="No","",IF(AND(L20&gt;=J20,L20&lt;=K20),"Dentro","Fuera de tu horquilla"))</f>
        <v>Dentro</v>
      </c>
      <c r="V20" s="17" t="n">
        <v>0</v>
      </c>
      <c r="W20" s="17" t="n">
        <v>0</v>
      </c>
      <c r="X20" s="26">
        <f>IF(ISNUMBER(R20),R20*V20,"")</f>
        <v>0.0</v>
      </c>
      <c r="Y20" s="26">
        <f>IF(ISNUMBER(R20),R20*W20,"")</f>
        <v>0.0</v>
      </c>
      <c r="Z20" s="6" t="inlineStr">
        <is>
          <t>Sin precio con fuente (CUS-36b): pide presupuesto al técnico. Es la partida que decide la licencia de obra (CUN-35) y la primera fila del checklist.</t>
        </is>
      </c>
    </row>
    <row r="21" ht="44" customHeight="1">
      <c r="A21" s="17" t="n">
        <v>16</v>
      </c>
      <c r="B21" s="6" t="inlineStr">
        <is>
          <t>Chocolate y café</t>
        </is>
      </c>
      <c r="C21" s="6" t="inlineStr">
        <is>
          <t>Cafetera de dos grupos</t>
        </is>
      </c>
      <c r="D21" s="12" t="inlineStr">
        <is>
          <t>supuesto declarado</t>
        </is>
      </c>
      <c r="E21" s="6" t="inlineStr">
        <is>
          <t>supuesto, sin IVA</t>
        </is>
      </c>
      <c r="F21" s="6" t="inlineStr">
        <is>
          <t>supuesto, sin fecha</t>
        </is>
      </c>
      <c r="G21" s="5" t="inlineStr">
        <is>
          <t>Sí</t>
        </is>
      </c>
      <c r="H21" s="16" t="n">
        <v>1</v>
      </c>
      <c r="I21" s="26" t="n">
        <v>4200</v>
      </c>
      <c r="J21" s="15" t="n">
        <v>4200</v>
      </c>
      <c r="K21" s="15" t="n">
        <v>4200</v>
      </c>
      <c r="L21" s="15" t="n">
        <v>4200</v>
      </c>
      <c r="M21" s="5" t="inlineStr">
        <is>
          <t>No</t>
        </is>
      </c>
      <c r="N21" s="22">
        <f>'Parámetros'!$B$6</f>
        <v>0.21</v>
      </c>
      <c r="O21" s="26">
        <f>IF(G21="No","",IFERROR(ROUND(IF(M21="Sí",L21/(1+N21),L21),2)*H21,""))</f>
        <v>4200.0</v>
      </c>
      <c r="P21" s="26">
        <f>IF(O21="","",O21*N21)</f>
        <v>882.0</v>
      </c>
      <c r="Q21" s="26">
        <f>IF(O21="","",O21+P21)</f>
        <v>5082.0</v>
      </c>
      <c r="R21" s="26">
        <f>IFERROR(ROUND(IF(E21="con IVA en la ficha",I21/(1+N21),I21),2),"")</f>
        <v>4200.0</v>
      </c>
      <c r="S21" s="26">
        <f>IF(OR(G21="No",NOT(ISNUMBER(R21))),"",R21*H21)</f>
        <v>4200.0</v>
      </c>
      <c r="T21" s="22">
        <f>IF(OR(O21="",S21=""),"",IF(S21=0,"",IFERROR(O21/S21-1,"")))</f>
        <v>0.0</v>
      </c>
      <c r="U21" t="str">
        <f>IF(G21="No","",IF(AND(L21&gt;=J21,L21&lt;=K21),"Dentro","Fuera de tu horquilla"))</f>
        <v>Dentro</v>
      </c>
      <c r="V21" s="17" t="n">
        <v>0</v>
      </c>
      <c r="W21" s="17" t="n">
        <v>0</v>
      </c>
      <c r="X21" s="26">
        <f>IF(ISNUMBER(R21),R21*V21,"")</f>
        <v>0.0</v>
      </c>
      <c r="Y21" s="26">
        <f>IF(ISNUMBER(R21),R21*W21,"")</f>
        <v>0.0</v>
      </c>
      <c r="Z21" s="6" t="inlineStr">
        <is>
          <t>Sin precio con fuente (CUS-43).</t>
        </is>
      </c>
    </row>
    <row r="22" ht="44" customHeight="1">
      <c r="A22" s="17" t="n">
        <v>17</v>
      </c>
      <c r="B22" s="6" t="inlineStr">
        <is>
          <t>Chocolate y café</t>
        </is>
      </c>
      <c r="C22" s="6" t="inlineStr">
        <is>
          <t>Molinillo de café</t>
        </is>
      </c>
      <c r="D22" s="12" t="inlineStr">
        <is>
          <t>supuesto declarado</t>
        </is>
      </c>
      <c r="E22" s="6" t="inlineStr">
        <is>
          <t>supuesto, sin IVA</t>
        </is>
      </c>
      <c r="F22" s="6" t="inlineStr">
        <is>
          <t>supuesto, sin fecha</t>
        </is>
      </c>
      <c r="G22" s="5" t="inlineStr">
        <is>
          <t>Sí</t>
        </is>
      </c>
      <c r="H22" s="16" t="n">
        <v>1</v>
      </c>
      <c r="I22" s="26" t="n">
        <v>650</v>
      </c>
      <c r="J22" s="15" t="n">
        <v>650</v>
      </c>
      <c r="K22" s="15" t="n">
        <v>650</v>
      </c>
      <c r="L22" s="15" t="n">
        <v>650</v>
      </c>
      <c r="M22" s="5" t="inlineStr">
        <is>
          <t>No</t>
        </is>
      </c>
      <c r="N22" s="22">
        <f>'Parámetros'!$B$6</f>
        <v>0.21</v>
      </c>
      <c r="O22" s="26">
        <f>IF(G22="No","",IFERROR(ROUND(IF(M22="Sí",L22/(1+N22),L22),2)*H22,""))</f>
        <v>650.0</v>
      </c>
      <c r="P22" s="26">
        <f>IF(O22="","",O22*N22)</f>
        <v>136.5</v>
      </c>
      <c r="Q22" s="26">
        <f>IF(O22="","",O22+P22)</f>
        <v>786.5</v>
      </c>
      <c r="R22" s="26">
        <f>IFERROR(ROUND(IF(E22="con IVA en la ficha",I22/(1+N22),I22),2),"")</f>
        <v>650.0</v>
      </c>
      <c r="S22" s="26">
        <f>IF(OR(G22="No",NOT(ISNUMBER(R22))),"",R22*H22)</f>
        <v>650.0</v>
      </c>
      <c r="T22" s="22">
        <f>IF(OR(O22="",S22=""),"",IF(S22=0,"",IFERROR(O22/S22-1,"")))</f>
        <v>0.0</v>
      </c>
      <c r="U22" t="str">
        <f>IF(G22="No","",IF(AND(L22&gt;=J22,L22&lt;=K22),"Dentro","Fuera de tu horquilla"))</f>
        <v>Dentro</v>
      </c>
      <c r="V22" s="17" t="n">
        <v>0</v>
      </c>
      <c r="W22" s="17" t="n">
        <v>0</v>
      </c>
      <c r="X22" s="26">
        <f>IF(ISNUMBER(R22),R22*V22,"")</f>
        <v>0.0</v>
      </c>
      <c r="Y22" s="26">
        <f>IF(ISNUMBER(R22),R22*W22,"")</f>
        <v>0.0</v>
      </c>
      <c r="Z22" s="6" t="inlineStr"/>
    </row>
    <row r="23" ht="44" customHeight="1">
      <c r="A23" s="17" t="n">
        <v>18</v>
      </c>
      <c r="B23" s="6" t="inlineStr">
        <is>
          <t>Barra, sala y terraza</t>
        </is>
      </c>
      <c r="C23" s="6" t="inlineStr">
        <is>
          <t>Mostrador y barra</t>
        </is>
      </c>
      <c r="D23" s="12" t="inlineStr">
        <is>
          <t>supuesto declarado</t>
        </is>
      </c>
      <c r="E23" s="6" t="inlineStr">
        <is>
          <t>supuesto, sin IVA</t>
        </is>
      </c>
      <c r="F23" s="6" t="inlineStr">
        <is>
          <t>supuesto, sin fecha</t>
        </is>
      </c>
      <c r="G23" s="5" t="inlineStr">
        <is>
          <t>Sí</t>
        </is>
      </c>
      <c r="H23" s="16" t="n">
        <v>1</v>
      </c>
      <c r="I23" s="26" t="n">
        <v>6500</v>
      </c>
      <c r="J23" s="15" t="n">
        <v>6500</v>
      </c>
      <c r="K23" s="15" t="n">
        <v>6500</v>
      </c>
      <c r="L23" s="15" t="n">
        <v>6500</v>
      </c>
      <c r="M23" s="5" t="inlineStr">
        <is>
          <t>No</t>
        </is>
      </c>
      <c r="N23" s="22">
        <f>'Parámetros'!$B$6</f>
        <v>0.21</v>
      </c>
      <c r="O23" s="26">
        <f>IF(G23="No","",IFERROR(ROUND(IF(M23="Sí",L23/(1+N23),L23),2)*H23,""))</f>
        <v>6500.0</v>
      </c>
      <c r="P23" s="26">
        <f>IF(O23="","",O23*N23)</f>
        <v>1365.0</v>
      </c>
      <c r="Q23" s="26">
        <f>IF(O23="","",O23+P23)</f>
        <v>7865.0</v>
      </c>
      <c r="R23" s="26">
        <f>IFERROR(ROUND(IF(E23="con IVA en la ficha",I23/(1+N23),I23),2),"")</f>
        <v>6500.0</v>
      </c>
      <c r="S23" s="26">
        <f>IF(OR(G23="No",NOT(ISNUMBER(R23))),"",R23*H23)</f>
        <v>6500.0</v>
      </c>
      <c r="T23" s="22">
        <f>IF(OR(O23="",S23=""),"",IF(S23=0,"",IFERROR(O23/S23-1,"")))</f>
        <v>0.0</v>
      </c>
      <c r="U23" t="str">
        <f>IF(G23="No","",IF(AND(L23&gt;=J23,L23&lt;=K23),"Dentro","Fuera de tu horquilla"))</f>
        <v>Dentro</v>
      </c>
      <c r="V23" s="17" t="n">
        <v>0</v>
      </c>
      <c r="W23" s="17" t="n">
        <v>0</v>
      </c>
      <c r="X23" s="26">
        <f>IF(ISNUMBER(R23),R23*V23,"")</f>
        <v>0.0</v>
      </c>
      <c r="Y23" s="26">
        <f>IF(ISNUMBER(R23),R23*W23,"")</f>
        <v>0.0</v>
      </c>
      <c r="Z23" s="6" t="inlineStr">
        <is>
          <t>Sin precio con fuente (CUS-43).</t>
        </is>
      </c>
    </row>
    <row r="24" ht="44" customHeight="1">
      <c r="A24" s="17" t="n">
        <v>19</v>
      </c>
      <c r="B24" s="6" t="inlineStr">
        <is>
          <t>Barra, sala y terraza</t>
        </is>
      </c>
      <c r="C24" s="6" t="inlineStr">
        <is>
          <t>Vitrina calefactada</t>
        </is>
      </c>
      <c r="D24" s="12" t="inlineStr">
        <is>
          <t>supuesto declarado</t>
        </is>
      </c>
      <c r="E24" s="6" t="inlineStr">
        <is>
          <t>supuesto, sin IVA</t>
        </is>
      </c>
      <c r="F24" s="6" t="inlineStr">
        <is>
          <t>supuesto, sin fecha</t>
        </is>
      </c>
      <c r="G24" s="5" t="inlineStr">
        <is>
          <t>Sí</t>
        </is>
      </c>
      <c r="H24" s="16" t="n">
        <v>1</v>
      </c>
      <c r="I24" s="26" t="n">
        <v>1400</v>
      </c>
      <c r="J24" s="15" t="n">
        <v>1400</v>
      </c>
      <c r="K24" s="15" t="n">
        <v>1400</v>
      </c>
      <c r="L24" s="15" t="n">
        <v>1400</v>
      </c>
      <c r="M24" s="5" t="inlineStr">
        <is>
          <t>No</t>
        </is>
      </c>
      <c r="N24" s="22">
        <f>'Parámetros'!$B$6</f>
        <v>0.21</v>
      </c>
      <c r="O24" s="26">
        <f>IF(G24="No","",IFERROR(ROUND(IF(M24="Sí",L24/(1+N24),L24),2)*H24,""))</f>
        <v>1400.0</v>
      </c>
      <c r="P24" s="26">
        <f>IF(O24="","",O24*N24)</f>
        <v>294.0</v>
      </c>
      <c r="Q24" s="26">
        <f>IF(O24="","",O24+P24)</f>
        <v>1694.0</v>
      </c>
      <c r="R24" s="26">
        <f>IFERROR(ROUND(IF(E24="con IVA en la ficha",I24/(1+N24),I24),2),"")</f>
        <v>1400.0</v>
      </c>
      <c r="S24" s="26">
        <f>IF(OR(G24="No",NOT(ISNUMBER(R24))),"",R24*H24)</f>
        <v>1400.0</v>
      </c>
      <c r="T24" s="22">
        <f>IF(OR(O24="",S24=""),"",IF(S24=0,"",IFERROR(O24/S24-1,"")))</f>
        <v>0.0</v>
      </c>
      <c r="U24" t="str">
        <f>IF(G24="No","",IF(AND(L24&gt;=J24,L24&lt;=K24),"Dentro","Fuera de tu horquilla"))</f>
        <v>Dentro</v>
      </c>
      <c r="V24" s="17" t="n">
        <v>0</v>
      </c>
      <c r="W24" s="17" t="n">
        <v>0</v>
      </c>
      <c r="X24" s="26">
        <f>IF(ISNUMBER(R24),R24*V24,"")</f>
        <v>0.0</v>
      </c>
      <c r="Y24" s="26">
        <f>IF(ISNUMBER(R24),R24*W24,"")</f>
        <v>0.0</v>
      </c>
      <c r="Z24" s="6" t="inlineStr"/>
    </row>
    <row r="25" ht="44" customHeight="1">
      <c r="A25" s="17" t="n">
        <v>20</v>
      </c>
      <c r="B25" s="6" t="inlineStr">
        <is>
          <t>Barra, sala y terraza</t>
        </is>
      </c>
      <c r="C25" s="6" t="inlineStr">
        <is>
          <t>Mesas y sillas de la sala</t>
        </is>
      </c>
      <c r="D25" s="12" t="inlineStr">
        <is>
          <t>supuesto declarado</t>
        </is>
      </c>
      <c r="E25" s="6" t="inlineStr">
        <is>
          <t>supuesto, sin IVA</t>
        </is>
      </c>
      <c r="F25" s="6" t="inlineStr">
        <is>
          <t>supuesto, sin fecha</t>
        </is>
      </c>
      <c r="G25" s="5" t="inlineStr">
        <is>
          <t>Sí</t>
        </is>
      </c>
      <c r="H25" s="16" t="n">
        <v>1</v>
      </c>
      <c r="I25" s="26" t="n">
        <v>5500</v>
      </c>
      <c r="J25" s="15" t="n">
        <v>5500</v>
      </c>
      <c r="K25" s="15" t="n">
        <v>5500</v>
      </c>
      <c r="L25" s="15" t="n">
        <v>5500</v>
      </c>
      <c r="M25" s="5" t="inlineStr">
        <is>
          <t>No</t>
        </is>
      </c>
      <c r="N25" s="22">
        <f>'Parámetros'!$B$6</f>
        <v>0.21</v>
      </c>
      <c r="O25" s="26">
        <f>IF(G25="No","",IFERROR(ROUND(IF(M25="Sí",L25/(1+N25),L25),2)*H25,""))</f>
        <v>5500.0</v>
      </c>
      <c r="P25" s="26">
        <f>IF(O25="","",O25*N25)</f>
        <v>1155.0</v>
      </c>
      <c r="Q25" s="26">
        <f>IF(O25="","",O25+P25)</f>
        <v>6655.0</v>
      </c>
      <c r="R25" s="26">
        <f>IFERROR(ROUND(IF(E25="con IVA en la ficha",I25/(1+N25),I25),2),"")</f>
        <v>5500.0</v>
      </c>
      <c r="S25" s="26">
        <f>IF(OR(G25="No",NOT(ISNUMBER(R25))),"",R25*H25)</f>
        <v>5500.0</v>
      </c>
      <c r="T25" s="22">
        <f>IF(OR(O25="",S25=""),"",IF(S25=0,"",IFERROR(O25/S25-1,"")))</f>
        <v>0.0</v>
      </c>
      <c r="U25" t="str">
        <f>IF(G25="No","",IF(AND(L25&gt;=J25,L25&lt;=K25),"Dentro","Fuera de tu horquilla"))</f>
        <v>Dentro</v>
      </c>
      <c r="V25" s="17" t="n">
        <v>0</v>
      </c>
      <c r="W25" s="17" t="n">
        <v>0</v>
      </c>
      <c r="X25" s="26">
        <f>IF(ISNUMBER(R25),R25*V25,"")</f>
        <v>0.0</v>
      </c>
      <c r="Y25" s="26">
        <f>IF(ISNUMBER(R25),R25*W25,"")</f>
        <v>0.0</v>
      </c>
      <c r="Z25" s="6" t="inlineStr"/>
    </row>
    <row r="26" ht="44" customHeight="1">
      <c r="A26" s="17" t="n">
        <v>21</v>
      </c>
      <c r="B26" s="6" t="inlineStr">
        <is>
          <t>Barra, sala y terraza</t>
        </is>
      </c>
      <c r="C26" s="6" t="inlineStr">
        <is>
          <t>Mesas, sillas y sombrillas de la terraza</t>
        </is>
      </c>
      <c r="D26" s="12" t="inlineStr">
        <is>
          <t>supuesto declarado</t>
        </is>
      </c>
      <c r="E26" s="6" t="inlineStr">
        <is>
          <t>supuesto, sin IVA</t>
        </is>
      </c>
      <c r="F26" s="6" t="inlineStr">
        <is>
          <t>supuesto, sin fecha</t>
        </is>
      </c>
      <c r="G26" s="5" t="inlineStr">
        <is>
          <t>Sí</t>
        </is>
      </c>
      <c r="H26" s="16" t="n">
        <v>1</v>
      </c>
      <c r="I26" s="26" t="n">
        <v>1800</v>
      </c>
      <c r="J26" s="15" t="n">
        <v>1800</v>
      </c>
      <c r="K26" s="15" t="n">
        <v>1800</v>
      </c>
      <c r="L26" s="15" t="n">
        <v>1800</v>
      </c>
      <c r="M26" s="5" t="inlineStr">
        <is>
          <t>No</t>
        </is>
      </c>
      <c r="N26" s="22">
        <f>'Parámetros'!$B$6</f>
        <v>0.21</v>
      </c>
      <c r="O26" s="26">
        <f>IF(G26="No","",IFERROR(ROUND(IF(M26="Sí",L26/(1+N26),L26),2)*H26,""))</f>
        <v>1800.0</v>
      </c>
      <c r="P26" s="26">
        <f>IF(O26="","",O26*N26)</f>
        <v>378.0</v>
      </c>
      <c r="Q26" s="26">
        <f>IF(O26="","",O26+P26)</f>
        <v>2178.0</v>
      </c>
      <c r="R26" s="26">
        <f>IFERROR(ROUND(IF(E26="con IVA en la ficha",I26/(1+N26),I26),2),"")</f>
        <v>1800.0</v>
      </c>
      <c r="S26" s="26">
        <f>IF(OR(G26="No",NOT(ISNUMBER(R26))),"",R26*H26)</f>
        <v>1800.0</v>
      </c>
      <c r="T26" s="22">
        <f>IF(OR(O26="",S26=""),"",IF(S26=0,"",IFERROR(O26/S26-1,"")))</f>
        <v>0.0</v>
      </c>
      <c r="U26" t="str">
        <f>IF(G26="No","",IF(AND(L26&gt;=J26,L26&lt;=K26),"Dentro","Fuera de tu horquilla"))</f>
        <v>Dentro</v>
      </c>
      <c r="V26" s="17" t="n">
        <v>0</v>
      </c>
      <c r="W26" s="17" t="n">
        <v>0</v>
      </c>
      <c r="X26" s="26">
        <f>IF(ISNUMBER(R26),R26*V26,"")</f>
        <v>0.0</v>
      </c>
      <c r="Y26" s="26">
        <f>IF(ISNUMBER(R26),R26*W26,"")</f>
        <v>0.0</v>
      </c>
      <c r="Z26" s="6" t="inlineStr"/>
    </row>
    <row r="27" ht="44" customHeight="1">
      <c r="A27" s="17" t="n">
        <v>22</v>
      </c>
      <c r="B27" s="6" t="inlineStr">
        <is>
          <t>Barra, sala y terraza</t>
        </is>
      </c>
      <c r="C27" s="6" t="inlineStr">
        <is>
          <t>Vajilla, tazas y menaje</t>
        </is>
      </c>
      <c r="D27" s="12" t="inlineStr">
        <is>
          <t>supuesto declarado</t>
        </is>
      </c>
      <c r="E27" s="6" t="inlineStr">
        <is>
          <t>supuesto, sin IVA</t>
        </is>
      </c>
      <c r="F27" s="6" t="inlineStr">
        <is>
          <t>supuesto, sin fecha</t>
        </is>
      </c>
      <c r="G27" s="5" t="inlineStr">
        <is>
          <t>Sí</t>
        </is>
      </c>
      <c r="H27" s="16" t="n">
        <v>1</v>
      </c>
      <c r="I27" s="26" t="n">
        <v>1500</v>
      </c>
      <c r="J27" s="15" t="n">
        <v>1500</v>
      </c>
      <c r="K27" s="15" t="n">
        <v>1500</v>
      </c>
      <c r="L27" s="15" t="n">
        <v>1500</v>
      </c>
      <c r="M27" s="5" t="inlineStr">
        <is>
          <t>No</t>
        </is>
      </c>
      <c r="N27" s="22">
        <f>'Parámetros'!$B$6</f>
        <v>0.21</v>
      </c>
      <c r="O27" s="26">
        <f>IF(G27="No","",IFERROR(ROUND(IF(M27="Sí",L27/(1+N27),L27),2)*H27,""))</f>
        <v>1500.0</v>
      </c>
      <c r="P27" s="26">
        <f>IF(O27="","",O27*N27)</f>
        <v>315.0</v>
      </c>
      <c r="Q27" s="26">
        <f>IF(O27="","",O27+P27)</f>
        <v>1815.0</v>
      </c>
      <c r="R27" s="26">
        <f>IFERROR(ROUND(IF(E27="con IVA en la ficha",I27/(1+N27),I27),2),"")</f>
        <v>1500.0</v>
      </c>
      <c r="S27" s="26">
        <f>IF(OR(G27="No",NOT(ISNUMBER(R27))),"",R27*H27)</f>
        <v>1500.0</v>
      </c>
      <c r="T27" s="22">
        <f>IF(OR(O27="",S27=""),"",IF(S27=0,"",IFERROR(O27/S27-1,"")))</f>
        <v>0.0</v>
      </c>
      <c r="U27" t="str">
        <f>IF(G27="No","",IF(AND(L27&gt;=J27,L27&lt;=K27),"Dentro","Fuera de tu horquilla"))</f>
        <v>Dentro</v>
      </c>
      <c r="V27" s="17" t="n">
        <v>0</v>
      </c>
      <c r="W27" s="17" t="n">
        <v>0</v>
      </c>
      <c r="X27" s="26">
        <f>IF(ISNUMBER(R27),R27*V27,"")</f>
        <v>0.0</v>
      </c>
      <c r="Y27" s="26">
        <f>IF(ISNUMBER(R27),R27*W27,"")</f>
        <v>0.0</v>
      </c>
      <c r="Z27" s="6" t="inlineStr"/>
    </row>
    <row r="28" ht="44" customHeight="1">
      <c r="A28" s="17" t="n">
        <v>23</v>
      </c>
      <c r="B28" s="6" t="inlineStr">
        <is>
          <t>Barra, sala y terraza</t>
        </is>
      </c>
      <c r="C28" s="6" t="inlineStr">
        <is>
          <t>Lavavajillas</t>
        </is>
      </c>
      <c r="D28" s="12" t="inlineStr">
        <is>
          <t>supuesto declarado</t>
        </is>
      </c>
      <c r="E28" s="6" t="inlineStr">
        <is>
          <t>supuesto, sin IVA</t>
        </is>
      </c>
      <c r="F28" s="6" t="inlineStr">
        <is>
          <t>supuesto, sin fecha</t>
        </is>
      </c>
      <c r="G28" s="5" t="inlineStr">
        <is>
          <t>Sí</t>
        </is>
      </c>
      <c r="H28" s="16" t="n">
        <v>1</v>
      </c>
      <c r="I28" s="26" t="n">
        <v>2200</v>
      </c>
      <c r="J28" s="15" t="n">
        <v>2200</v>
      </c>
      <c r="K28" s="15" t="n">
        <v>2200</v>
      </c>
      <c r="L28" s="15" t="n">
        <v>2200</v>
      </c>
      <c r="M28" s="5" t="inlineStr">
        <is>
          <t>No</t>
        </is>
      </c>
      <c r="N28" s="22">
        <f>'Parámetros'!$B$6</f>
        <v>0.21</v>
      </c>
      <c r="O28" s="26">
        <f>IF(G28="No","",IFERROR(ROUND(IF(M28="Sí",L28/(1+N28),L28),2)*H28,""))</f>
        <v>2200.0</v>
      </c>
      <c r="P28" s="26">
        <f>IF(O28="","",O28*N28)</f>
        <v>462.0</v>
      </c>
      <c r="Q28" s="26">
        <f>IF(O28="","",O28+P28)</f>
        <v>2662.0</v>
      </c>
      <c r="R28" s="26">
        <f>IFERROR(ROUND(IF(E28="con IVA en la ficha",I28/(1+N28),I28),2),"")</f>
        <v>2200.0</v>
      </c>
      <c r="S28" s="26">
        <f>IF(OR(G28="No",NOT(ISNUMBER(R28))),"",R28*H28)</f>
        <v>2200.0</v>
      </c>
      <c r="T28" s="22">
        <f>IF(OR(O28="",S28=""),"",IF(S28=0,"",IFERROR(O28/S28-1,"")))</f>
        <v>0.0</v>
      </c>
      <c r="U28" t="str">
        <f>IF(G28="No","",IF(AND(L28&gt;=J28,L28&lt;=K28),"Dentro","Fuera de tu horquilla"))</f>
        <v>Dentro</v>
      </c>
      <c r="V28" s="17" t="n">
        <v>0</v>
      </c>
      <c r="W28" s="17" t="n">
        <v>0</v>
      </c>
      <c r="X28" s="26">
        <f>IF(ISNUMBER(R28),R28*V28,"")</f>
        <v>0.0</v>
      </c>
      <c r="Y28" s="26">
        <f>IF(ISNUMBER(R28),R28*W28,"")</f>
        <v>0.0</v>
      </c>
      <c r="Z28" s="6" t="inlineStr"/>
    </row>
    <row r="29" ht="44" customHeight="1">
      <c r="A29" s="17" t="n">
        <v>24</v>
      </c>
      <c r="B29" s="6" t="inlineStr">
        <is>
          <t>Barra, sala y terraza</t>
        </is>
      </c>
      <c r="C29" s="6" t="inlineStr">
        <is>
          <t>Frigorífico de barra y arcón para el helado del verano</t>
        </is>
      </c>
      <c r="D29" s="12" t="inlineStr">
        <is>
          <t>supuesto declarado</t>
        </is>
      </c>
      <c r="E29" s="6" t="inlineStr">
        <is>
          <t>supuesto, sin IVA</t>
        </is>
      </c>
      <c r="F29" s="6" t="inlineStr">
        <is>
          <t>supuesto, sin fecha</t>
        </is>
      </c>
      <c r="G29" s="5" t="inlineStr">
        <is>
          <t>Sí</t>
        </is>
      </c>
      <c r="H29" s="16" t="n">
        <v>1</v>
      </c>
      <c r="I29" s="26" t="n">
        <v>1900</v>
      </c>
      <c r="J29" s="15" t="n">
        <v>1900</v>
      </c>
      <c r="K29" s="15" t="n">
        <v>1900</v>
      </c>
      <c r="L29" s="15" t="n">
        <v>1900</v>
      </c>
      <c r="M29" s="5" t="inlineStr">
        <is>
          <t>No</t>
        </is>
      </c>
      <c r="N29" s="22">
        <f>'Parámetros'!$B$6</f>
        <v>0.21</v>
      </c>
      <c r="O29" s="26">
        <f>IF(G29="No","",IFERROR(ROUND(IF(M29="Sí",L29/(1+N29),L29),2)*H29,""))</f>
        <v>1900.0</v>
      </c>
      <c r="P29" s="26">
        <f>IF(O29="","",O29*N29)</f>
        <v>399.0</v>
      </c>
      <c r="Q29" s="26">
        <f>IF(O29="","",O29+P29)</f>
        <v>2299.0</v>
      </c>
      <c r="R29" s="26">
        <f>IFERROR(ROUND(IF(E29="con IVA en la ficha",I29/(1+N29),I29),2),"")</f>
        <v>1900.0</v>
      </c>
      <c r="S29" s="26">
        <f>IF(OR(G29="No",NOT(ISNUMBER(R29))),"",R29*H29)</f>
        <v>1900.0</v>
      </c>
      <c r="T29" s="22">
        <f>IF(OR(O29="",S29=""),"",IF(S29=0,"",IFERROR(O29/S29-1,"")))</f>
        <v>0.0</v>
      </c>
      <c r="U29" t="str">
        <f>IF(G29="No","",IF(AND(L29&gt;=J29,L29&lt;=K29),"Dentro","Fuera de tu horquilla"))</f>
        <v>Dentro</v>
      </c>
      <c r="V29" s="17" t="n">
        <v>0</v>
      </c>
      <c r="W29" s="17" t="n">
        <v>0</v>
      </c>
      <c r="X29" s="26">
        <f>IF(ISNUMBER(R29),R29*V29,"")</f>
        <v>0.0</v>
      </c>
      <c r="Y29" s="26">
        <f>IF(ISNUMBER(R29),R29*W29,"")</f>
        <v>0.0</v>
      </c>
      <c r="Z29" s="6" t="inlineStr"/>
    </row>
    <row r="30" ht="44" customHeight="1">
      <c r="A30" s="17" t="n">
        <v>25</v>
      </c>
      <c r="B30" s="6" t="inlineStr">
        <is>
          <t>Control y seguridad</t>
        </is>
      </c>
      <c r="C30" s="6" t="inlineStr">
        <is>
          <t>Extintor de clase F para aceites</t>
        </is>
      </c>
      <c r="D30" s="12" t="inlineStr">
        <is>
          <t>supuesto declarado</t>
        </is>
      </c>
      <c r="E30" s="6" t="inlineStr">
        <is>
          <t>supuesto, sin IVA</t>
        </is>
      </c>
      <c r="F30" s="6" t="inlineStr">
        <is>
          <t>supuesto, sin fecha</t>
        </is>
      </c>
      <c r="G30" s="5" t="inlineStr">
        <is>
          <t>Sí</t>
        </is>
      </c>
      <c r="H30" s="16" t="n">
        <v>1</v>
      </c>
      <c r="I30" s="26" t="n">
        <v>130</v>
      </c>
      <c r="J30" s="15" t="n">
        <v>130</v>
      </c>
      <c r="K30" s="15" t="n">
        <v>130</v>
      </c>
      <c r="L30" s="15" t="n">
        <v>130</v>
      </c>
      <c r="M30" s="5" t="inlineStr">
        <is>
          <t>No</t>
        </is>
      </c>
      <c r="N30" s="22">
        <f>'Parámetros'!$B$6</f>
        <v>0.21</v>
      </c>
      <c r="O30" s="26">
        <f>IF(G30="No","",IFERROR(ROUND(IF(M30="Sí",L30/(1+N30),L30),2)*H30,""))</f>
        <v>130.0</v>
      </c>
      <c r="P30" s="26">
        <f>IF(O30="","",O30*N30)</f>
        <v>27.3</v>
      </c>
      <c r="Q30" s="26">
        <f>IF(O30="","",O30+P30)</f>
        <v>157.3</v>
      </c>
      <c r="R30" s="26">
        <f>IFERROR(ROUND(IF(E30="con IVA en la ficha",I30/(1+N30),I30),2),"")</f>
        <v>130.0</v>
      </c>
      <c r="S30" s="26">
        <f>IF(OR(G30="No",NOT(ISNUMBER(R30))),"",R30*H30)</f>
        <v>130.0</v>
      </c>
      <c r="T30" s="22">
        <f>IF(OR(O30="",S30=""),"",IF(S30=0,"",IFERROR(O30/S30-1,"")))</f>
        <v>0.0</v>
      </c>
      <c r="U30" t="str">
        <f>IF(G30="No","",IF(AND(L30&gt;=J30,L30&lt;=K30),"Dentro","Fuera de tu horquilla"))</f>
        <v>Dentro</v>
      </c>
      <c r="V30" s="17" t="n">
        <v>0</v>
      </c>
      <c r="W30" s="17" t="n">
        <v>0</v>
      </c>
      <c r="X30" s="26">
        <f>IF(ISNUMBER(R30),R30*V30,"")</f>
        <v>0.0</v>
      </c>
      <c r="Y30" s="26">
        <f>IF(ISNUMBER(R30),R30*W30,"")</f>
        <v>0.0</v>
      </c>
      <c r="Z30" s="6" t="inlineStr">
        <is>
          <t>El agente tiene que ser el adecuado a la clase de fuego (CUN-38); el precio, supuesto.</t>
        </is>
      </c>
    </row>
    <row r="31" ht="44" customHeight="1">
      <c r="A31" s="17" t="n">
        <v>26</v>
      </c>
      <c r="B31" s="6" t="inlineStr">
        <is>
          <t>Control y seguridad</t>
        </is>
      </c>
      <c r="C31" s="6" t="inlineStr">
        <is>
          <t>Filtrado de aceite (filtro y portafiltros)</t>
        </is>
      </c>
      <c r="D31" s="12" t="inlineStr">
        <is>
          <t>supuesto declarado</t>
        </is>
      </c>
      <c r="E31" s="6" t="inlineStr">
        <is>
          <t>supuesto, sin IVA</t>
        </is>
      </c>
      <c r="F31" s="6" t="inlineStr">
        <is>
          <t>supuesto, sin fecha</t>
        </is>
      </c>
      <c r="G31" s="5" t="inlineStr">
        <is>
          <t>Sí</t>
        </is>
      </c>
      <c r="H31" s="16" t="n">
        <v>1</v>
      </c>
      <c r="I31" s="26" t="n">
        <v>350</v>
      </c>
      <c r="J31" s="15" t="n">
        <v>350</v>
      </c>
      <c r="K31" s="15" t="n">
        <v>350</v>
      </c>
      <c r="L31" s="15" t="n">
        <v>350</v>
      </c>
      <c r="M31" s="5" t="inlineStr">
        <is>
          <t>No</t>
        </is>
      </c>
      <c r="N31" s="22">
        <f>'Parámetros'!$B$6</f>
        <v>0.21</v>
      </c>
      <c r="O31" s="26">
        <f>IF(G31="No","",IFERROR(ROUND(IF(M31="Sí",L31/(1+N31),L31),2)*H31,""))</f>
        <v>350.0</v>
      </c>
      <c r="P31" s="26">
        <f>IF(O31="","",O31*N31)</f>
        <v>73.5</v>
      </c>
      <c r="Q31" s="26">
        <f>IF(O31="","",O31+P31)</f>
        <v>423.5</v>
      </c>
      <c r="R31" s="26">
        <f>IFERROR(ROUND(IF(E31="con IVA en la ficha",I31/(1+N31),I31),2),"")</f>
        <v>350.0</v>
      </c>
      <c r="S31" s="26">
        <f>IF(OR(G31="No",NOT(ISNUMBER(R31))),"",R31*H31)</f>
        <v>350.0</v>
      </c>
      <c r="T31" s="22">
        <f>IF(OR(O31="",S31=""),"",IF(S31=0,"",IFERROR(O31/S31-1,"")))</f>
        <v>0.0</v>
      </c>
      <c r="U31" t="str">
        <f>IF(G31="No","",IF(AND(L31&gt;=J31,L31&lt;=K31),"Dentro","Fuera de tu horquilla"))</f>
        <v>Dentro</v>
      </c>
      <c r="V31" s="17" t="n">
        <v>0</v>
      </c>
      <c r="W31" s="17" t="n">
        <v>0</v>
      </c>
      <c r="X31" s="26">
        <f>IF(ISNUMBER(R31),R31*V31,"")</f>
        <v>0.0</v>
      </c>
      <c r="Y31" s="26">
        <f>IF(ISNUMBER(R31),R31*W31,"")</f>
        <v>0.0</v>
      </c>
      <c r="Z31" s="6" t="inlineStr"/>
    </row>
    <row r="32" ht="44" customHeight="1">
      <c r="A32" s="17" t="n">
        <v>27</v>
      </c>
      <c r="B32" s="6" t="inlineStr">
        <is>
          <t>TPV y rótulo</t>
        </is>
      </c>
      <c r="C32" s="6" t="inlineStr">
        <is>
          <t>TPV con impresora de tiques</t>
        </is>
      </c>
      <c r="D32" s="12" t="inlineStr">
        <is>
          <t>supuesto declarado</t>
        </is>
      </c>
      <c r="E32" s="6" t="inlineStr">
        <is>
          <t>supuesto, sin IVA</t>
        </is>
      </c>
      <c r="F32" s="6" t="inlineStr">
        <is>
          <t>supuesto, sin fecha</t>
        </is>
      </c>
      <c r="G32" s="5" t="inlineStr">
        <is>
          <t>Sí</t>
        </is>
      </c>
      <c r="H32" s="16" t="n">
        <v>1</v>
      </c>
      <c r="I32" s="26" t="n">
        <v>1300</v>
      </c>
      <c r="J32" s="15" t="n">
        <v>1300</v>
      </c>
      <c r="K32" s="15" t="n">
        <v>1300</v>
      </c>
      <c r="L32" s="15" t="n">
        <v>1300</v>
      </c>
      <c r="M32" s="5" t="inlineStr">
        <is>
          <t>No</t>
        </is>
      </c>
      <c r="N32" s="22">
        <f>'Parámetros'!$B$6</f>
        <v>0.21</v>
      </c>
      <c r="O32" s="26">
        <f>IF(G32="No","",IFERROR(ROUND(IF(M32="Sí",L32/(1+N32),L32),2)*H32,""))</f>
        <v>1300.0</v>
      </c>
      <c r="P32" s="26">
        <f>IF(O32="","",O32*N32)</f>
        <v>273.0</v>
      </c>
      <c r="Q32" s="26">
        <f>IF(O32="","",O32+P32)</f>
        <v>1573.0</v>
      </c>
      <c r="R32" s="26">
        <f>IFERROR(ROUND(IF(E32="con IVA en la ficha",I32/(1+N32),I32),2),"")</f>
        <v>1300.0</v>
      </c>
      <c r="S32" s="26">
        <f>IF(OR(G32="No",NOT(ISNUMBER(R32))),"",R32*H32)</f>
        <v>1300.0</v>
      </c>
      <c r="T32" s="22">
        <f>IF(OR(O32="",S32=""),"",IF(S32=0,"",IFERROR(O32/S32-1,"")))</f>
        <v>0.0</v>
      </c>
      <c r="U32" t="str">
        <f>IF(G32="No","",IF(AND(L32&gt;=J32,L32&lt;=K32),"Dentro","Fuera de tu horquilla"))</f>
        <v>Dentro</v>
      </c>
      <c r="V32" s="17" t="n">
        <v>0</v>
      </c>
      <c r="W32" s="17" t="n">
        <v>0</v>
      </c>
      <c r="X32" s="26">
        <f>IF(ISNUMBER(R32),R32*V32,"")</f>
        <v>0.0</v>
      </c>
      <c r="Y32" s="26">
        <f>IF(ISNUMBER(R32),R32*W32,"")</f>
        <v>0.0</v>
      </c>
      <c r="Z32" s="6" t="inlineStr"/>
    </row>
    <row r="33" ht="44" customHeight="1">
      <c r="A33" s="17" t="n">
        <v>28</v>
      </c>
      <c r="B33" s="6" t="inlineStr">
        <is>
          <t>TPV y rótulo</t>
        </is>
      </c>
      <c r="C33" s="6" t="inlineStr">
        <is>
          <t>Rótulo de fachada</t>
        </is>
      </c>
      <c r="D33" s="12" t="inlineStr">
        <is>
          <t>supuesto declarado</t>
        </is>
      </c>
      <c r="E33" s="6" t="inlineStr">
        <is>
          <t>supuesto, sin IVA</t>
        </is>
      </c>
      <c r="F33" s="6" t="inlineStr">
        <is>
          <t>supuesto, sin fecha</t>
        </is>
      </c>
      <c r="G33" s="5" t="inlineStr">
        <is>
          <t>Sí</t>
        </is>
      </c>
      <c r="H33" s="16" t="n">
        <v>1</v>
      </c>
      <c r="I33" s="26" t="n">
        <v>1600</v>
      </c>
      <c r="J33" s="15" t="n">
        <v>1600</v>
      </c>
      <c r="K33" s="15" t="n">
        <v>1600</v>
      </c>
      <c r="L33" s="15" t="n">
        <v>1600</v>
      </c>
      <c r="M33" s="5" t="inlineStr">
        <is>
          <t>No</t>
        </is>
      </c>
      <c r="N33" s="22">
        <f>'Parámetros'!$B$6</f>
        <v>0.21</v>
      </c>
      <c r="O33" s="26">
        <f>IF(G33="No","",IFERROR(ROUND(IF(M33="Sí",L33/(1+N33),L33),2)*H33,""))</f>
        <v>1600.0</v>
      </c>
      <c r="P33" s="26">
        <f>IF(O33="","",O33*N33)</f>
        <v>336.0</v>
      </c>
      <c r="Q33" s="26">
        <f>IF(O33="","",O33+P33)</f>
        <v>1936.0</v>
      </c>
      <c r="R33" s="26">
        <f>IFERROR(ROUND(IF(E33="con IVA en la ficha",I33/(1+N33),I33),2),"")</f>
        <v>1600.0</v>
      </c>
      <c r="S33" s="26">
        <f>IF(OR(G33="No",NOT(ISNUMBER(R33))),"",R33*H33)</f>
        <v>1600.0</v>
      </c>
      <c r="T33" s="22">
        <f>IF(OR(O33="",S33=""),"",IF(S33=0,"",IFERROR(O33/S33-1,"")))</f>
        <v>0.0</v>
      </c>
      <c r="U33" t="str">
        <f>IF(G33="No","",IF(AND(L33&gt;=J33,L33&lt;=K33),"Dentro","Fuera de tu horquilla"))</f>
        <v>Dentro</v>
      </c>
      <c r="V33" s="17" t="n">
        <v>0</v>
      </c>
      <c r="W33" s="17" t="n">
        <v>0</v>
      </c>
      <c r="X33" s="26">
        <f>IF(ISNUMBER(R33),R33*V33,"")</f>
        <v>0.0</v>
      </c>
      <c r="Y33" s="26">
        <f>IF(ISNUMBER(R33),R33*W33,"")</f>
        <v>0.0</v>
      </c>
      <c r="Z33" s="6" t="inlineStr"/>
    </row>
    <row r="34"/>
    <row r="35">
      <c r="C35" s="25" t="inlineStr">
        <is>
          <t>TOTAL del equipamiento que compras</t>
        </is>
      </c>
      <c r="O35" s="11">
        <f>SUM(O6:O33)</f>
        <v>47147.35</v>
      </c>
      <c r="P35" s="11">
        <f>SUM(P6:P33)</f>
        <v>9900.9435</v>
      </c>
      <c r="Q35" s="11">
        <f>SUM(Q6:Q33)</f>
        <v>57048.2935</v>
      </c>
      <c r="S35" s="11">
        <f>SUM(S6:S33)</f>
        <v>47147.35</v>
      </c>
      <c r="X35" s="11">
        <f>SUM(X6:X33)</f>
        <v>9117.35</v>
      </c>
      <c r="Y35" s="11">
        <f>SUM(Y6:Y33)</f>
        <v>4684.45</v>
      </c>
    </row>
    <row r="36" ht="34" customHeight="1">
      <c r="C36" s="6" t="inlineStr">
        <is>
          <t>Núcleo con precio de ficha del local con sala, sin el medidor de polares (el que suman las siete líneas de CUS-59)</t>
        </is>
      </c>
      <c r="X36" s="28">
        <f>IFERROR(X35-X13,"")</f>
        <v>8618.35</v>
      </c>
      <c r="Y36" s="28">
        <f>IFERROR(Y35-Y13,"")</f>
        <v>4185.45</v>
      </c>
    </row>
    <row r="37">
      <c r="C37" s="6" t="inlineStr">
        <is>
          <t>Desviación de tus importes contra la referencia (líneas que compras)</t>
        </is>
      </c>
      <c r="T37" s="32">
        <f>IF(OR(NOT(ISNUMBER(S35)),S35=0),"",IFERROR(O35/S35-1,""))</f>
        <v>0.0</v>
      </c>
    </row>
    <row r="38">
      <c r="C38" s="25" t="inlineStr">
        <is>
          <t>VEREDICTO DE LA DESVIACIÓN</t>
        </is>
      </c>
      <c r="T38" s="20" t="str">
        <f>IF(NOT(ISNUMBER(T37)),"",IF(ABS(T37)&gt;'Parámetros'!$B$17,"REVISA: te desvías más de lo admitido","Dentro de lo admitido"))</f>
        <v>Dentro de lo admitido</v>
      </c>
    </row>
    <row r="39"/>
    <row r="40" ht="40" customHeight="1">
      <c r="C40" s="30" t="inlineStr">
        <is>
          <t>Precios de la ficha el 03-10-2026: los descuentos de las tiendas caducan, así que confirma el precio vigente antes de presupuestar y pon el tuyo en «Tu importe». La columna «Referencia» es el precio que publica la fuente el día de la fecha, en base imponible; «Tu importe» es el de TU presupuesto. Las líneas que El Molinete no compra (el despacho, la freidora eléctrica de la decisión 4, la rellenadora) están para que cambies «¿La compras?» y veas qué pasa con el CAPEX.</t>
        </is>
      </c>
    </row>
    <row r="41">
      <c r="C41" s="24" t="inlineStr">
        <is>
          <t>Listas de validación (no las borres: las usan los desplegables)</t>
        </is>
      </c>
    </row>
    <row r="42">
      <c r="C42" s="25" t="inlineStr">
        <is>
          <t>Sí o No</t>
        </is>
      </c>
    </row>
    <row r="43">
      <c r="C43" t="inlineStr">
        <is>
          <t>Sí</t>
        </is>
      </c>
    </row>
    <row r="44">
      <c r="C44"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C40:Z40"/>
  </mergeCells>
  <conditionalFormatting sqref="T6:T33">
    <cfRule type="expression" priority="1" dxfId="2" stopIfTrue="1">
      <formula>=AND(ISNUMBER($T6),ABS($T6)&gt;'Parámetros'!$B$17)</formula>
    </cfRule>
  </conditionalFormatting>
  <conditionalFormatting sqref="U6:U33">
    <cfRule type="cellIs" priority="2" operator="equal" dxfId="2" stopIfTrue="1">
      <formula>"Fuera de tu horquilla"</formula>
    </cfRule>
    <cfRule type="cellIs" priority="3" operator="equal" dxfId="0" stopIfTrue="1">
      <formula>"Dentro"</formula>
    </cfRule>
  </conditionalFormatting>
  <conditionalFormatting sqref="T38">
    <cfRule type="cellIs" priority="4" operator="equal" dxfId="2" stopIfTrue="1">
      <formula>"REVISA: te desvías más de lo admitido"</formula>
    </cfRule>
    <cfRule type="cellIs" priority="5" operator="equal" dxfId="0" stopIfTrue="1">
      <formula>"Dentro de lo admitido"</formula>
    </cfRule>
  </conditionalFormatting>
  <dataValidations count="2">
    <dataValidation sqref="H6 H7 H8 H9 H10 H11 H12 H13 H14 H15 H16 H17 H18 H19 H20 H21 H22 H23 H24 H25 H26 H27 H28 H29 H30 H31 H32 H33 J6 J7 J8 J9 J10 J11 J12 J13 J14 J15 J16 J17 J18 J19 J20 J21 J22 J23 J24 J25 J26 J27 J28 J29 J30 J31 J32 J33 K6 K7 K8 K9 K10 K11 K12 K13 K14 K15 K16 K17 K18 K19 K20 K21 K22 K23 K24 K25 K26 K27 K28 K29 K30 K31 K32 K33 L6 L7 L8 L9 L10 L11 L12 L13 L14 L15 L16 L17 L18 L19 L20 L21 L22 L23 L24 L25 L26 L27 L28 L29 L30 L31 L32 L33" showDropDown="0" showInputMessage="0" showErrorMessage="1" allowBlank="1" errorTitle="Importe no válido" error="Escribe un número mayor o igual que 0." type="decimal" operator="greaterThanOrEqual">
      <formula1>0</formula1>
    </dataValidation>
    <dataValidation sqref="G6 G7 G8 G9 G10 G11 G12 G13 G14 G15 G16 G17 G18 G19 G20 G21 G22 G23 G24 G25 G26 G27 G28 G29 G30 G31 G32 G33 M6 M7 M8 M9 M10 M11 M12 M13 M14 M15 M16 M17 M18 M19 M20 M21 M22 M23 M24 M25 M26 M27 M28 M29 M30 M31 M32 M33" showDropDown="0" showInputMessage="0" showErrorMessage="1" allowBlank="0" errorTitle="Sí o No" error="Elige una opción de la lista." type="list">
      <formula1>=$C$43:$C$44</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27"/>
  <sheetViews>
    <sheetView workbookViewId="0">
      <pane ySplit="5" topLeftCell="A6" activePane="bottomLeft" state="frozen"/>
      <selection pane="bottomLeft" activeCell="A1" sqref="A1"/>
    </sheetView>
  </sheetViews>
  <sheetFormatPr baseColWidth="8" defaultRowHeight="15"/>
  <cols>
    <col width="34" customWidth="1" min="1" max="1"/>
    <col width="12" customWidth="1" min="2" max="2"/>
    <col width="15" customWidth="1" min="3" max="3"/>
    <col width="15" customWidth="1" min="4" max="4"/>
    <col width="60" customWidth="1" min="5" max="5"/>
    <col width="22" customWidth="1" min="6" max="6"/>
    <col width="10" customWidth="1" min="7" max="7"/>
    <col width="28" customWidth="1" min="8" max="8"/>
    <col width="50" customWidth="1" min="9" max="9"/>
  </cols>
  <sheetData>
    <row r="1">
      <c r="A1" s="1" t="inlineStr">
        <is>
          <t>Variante del Formato</t>
        </is>
      </c>
    </row>
    <row r="2">
      <c r="A2" s="2" t="inlineStr">
        <is>
          <t>AI Chef Pro · aichef.pro — Cómo Montar una Churrería-Chocolatería</t>
        </is>
      </c>
    </row>
    <row r="3">
      <c r="A3" s="3" t="inlineStr">
        <is>
          <t>Local con sala, despacho para llevar, caseta de feria o franquicia. Sólo el local con sala es caso cifrado; la caseta remite al food truck.</t>
        </is>
      </c>
    </row>
    <row r="4"/>
    <row r="5" ht="46" customHeight="1">
      <c r="A5" s="9" t="inlineStr">
        <is>
          <t>Variante</t>
        </is>
      </c>
      <c r="B5" s="9" t="inlineStr">
        <is>
          <t>m²</t>
        </is>
      </c>
      <c r="C5" s="9" t="inlineStr">
        <is>
          <t>Dotación con fuente, sin IVA</t>
        </is>
      </c>
      <c r="D5" s="9" t="inlineStr">
        <is>
          <t>Diferencia frente al local con sala</t>
        </is>
      </c>
      <c r="E5" s="9" t="inlineStr">
        <is>
          <t>Régimen de apertura</t>
        </is>
      </c>
      <c r="F5" s="9" t="inlineStr">
        <is>
          <t>Procedencia</t>
        </is>
      </c>
      <c r="G5" s="9" t="inlineStr">
        <is>
          <t>¿Caso cifrado?</t>
        </is>
      </c>
      <c r="H5" s="9" t="inlineStr">
        <is>
          <t>Remite a</t>
        </is>
      </c>
      <c r="I5" s="9" t="inlineStr">
        <is>
          <t>Nota</t>
        </is>
      </c>
    </row>
    <row r="6" ht="80" customHeight="1">
      <c r="A6" s="6" t="inlineStr">
        <is>
          <t>Local con sala, terraza y despacho a calle (el caso de El Molinete)</t>
        </is>
      </c>
      <c r="B6" t="inlineStr">
        <is>
          <t>75 m²</t>
        </is>
      </c>
      <c r="C6" s="28">
        <f>'Equipamiento Línea a Línea'!$X$35</f>
        <v>9117.35</v>
      </c>
      <c r="D6" s="26">
        <f>C6-$C$6</f>
        <v>0.0</v>
      </c>
      <c r="E6" s="6" t="inlineStr">
        <is>
          <t>Con mesas (676 o 673) la actividad sale del Anexo de la Ley 12/2012: manda tu ayuntamiento. Las obras con proyecto, con su licencia.</t>
        </is>
      </c>
      <c r="F6" s="12" t="inlineStr">
        <is>
          <t>CUS-59 + CUN-35 + CHN-49c</t>
        </is>
      </c>
      <c r="G6" t="inlineStr">
        <is>
          <t>Sí</t>
        </is>
      </c>
      <c r="H6" s="6" t="inlineStr">
        <is>
          <t>esta guía</t>
        </is>
      </c>
      <c r="I6" s="6" t="inlineStr">
        <is>
          <t>Las ocho líneas con precio de ficha (CUS-59) más el medidor de polares. Sin la rellenadora, que no tiene cifra con fuente. Es la dotación con fuente, no el CAPEX: el CAPEX entero está en «CAPEX por Bloque».</t>
        </is>
      </c>
    </row>
    <row r="7" ht="80" customHeight="1">
      <c r="A7" s="6" t="inlineStr">
        <is>
          <t>Despacho para llevar</t>
        </is>
      </c>
      <c r="B7" t="inlineStr">
        <is>
          <t>25-40 m²</t>
        </is>
      </c>
      <c r="C7" s="28">
        <f>'Equipamiento Línea a Línea'!$Y$35</f>
        <v>4684.45</v>
      </c>
      <c r="D7" s="26">
        <f>C7-$C$6</f>
        <v>-4432.900000000001</v>
      </c>
      <c r="E7" s="6" t="inlineStr">
        <is>
          <t>La ACTIVIDAD del despacho (644.6, hasta 750 m²) va por declaración responsable; las obras que requieren proyecto, el conducto a cubierta incluido, siguen necesitando su licencia y su técnico.</t>
        </is>
      </c>
      <c r="F7" s="12" t="inlineStr">
        <is>
          <t>CUS-58 + CUN-35 + CUN-09</t>
        </is>
      </c>
      <c r="G7" t="inlineStr">
        <is>
          <t>No</t>
        </is>
      </c>
      <c r="H7" s="6" t="inlineStr">
        <is>
          <t>esta guía</t>
        </is>
      </c>
      <c r="I7" s="6" t="inlineStr">
        <is>
          <t>La dotación A (CUS-58): equipo completo Mundigas, caldero, pala, escurridor, una chocolatera, campana, balanza y medidor de polares. Sin sala te ahorras mobiliario y vajilla, y pierdes la parte de la venta que se consume en el local.</t>
        </is>
      </c>
    </row>
    <row r="8" ht="80" customHeight="1">
      <c r="A8" s="6" t="inlineStr">
        <is>
          <t>Caseta, remolque o carrito de feria</t>
        </is>
      </c>
      <c r="B8" t="inlineStr">
        <is>
          <t>el del puesto</t>
        </is>
      </c>
      <c r="C8" s="28">
        <f>INDEX($F$14:$F$16,$B$12)</f>
        <v>14800.0</v>
      </c>
      <c r="D8" s="26">
        <f>C8-$C$6</f>
        <v>5682.65</v>
      </c>
      <c r="E8" s="6" t="inlineStr">
        <is>
          <t>663.1 si sólo vende masas fritas (CUN-11); 675 o 674.7 con mesas (CUN-13). La bombona de menos de 15 kg sólo libra de la instalación receptora a un aparato de utilización móvil (CUN-28).</t>
        </is>
      </c>
      <c r="F8" s="12" t="inlineStr">
        <is>
          <t>CUS-42 + CUN-11 + CUN-13 + CUN-28</t>
        </is>
      </c>
      <c r="G8" t="inlineStr">
        <is>
          <t>No</t>
        </is>
      </c>
      <c r="H8" s="6" t="inlineStr">
        <is>
          <t>Plan de Negocio: Food Truck, Tareas: Food Truck</t>
        </is>
      </c>
      <c r="I8" s="6" t="inlineStr">
        <is>
          <t>El equipo de feria que elijas abajo. Sin caso cifrado: el capítulo y el checklist del libro 7 te dicen qué papeles hacen falta; las cuentas de un puesto móvil, el plan de negocio del food truck.</t>
        </is>
      </c>
    </row>
    <row r="9" ht="80" customHeight="1">
      <c r="A9" s="6" t="inlineStr">
        <is>
          <t>Franquicia</t>
        </is>
      </c>
      <c r="B9" t="inlineStr">
        <is>
          <t>el que pida la enseña</t>
        </is>
      </c>
      <c r="C9" s="6" t="inlineStr">
        <is>
          <t>No es una dotación</t>
        </is>
      </c>
      <c r="D9" s="6" t="inlineStr">
        <is>
          <t>Ver «Franquicia o Independiente»</t>
        </is>
      </c>
      <c r="E9" s="6" t="inlineStr">
        <is>
          <t>El de su formato, más el contrato de franquicia.</t>
        </is>
      </c>
      <c r="F9" s="12" t="inlineStr">
        <is>
          <t>CUS-M12 + CUS-M14 + CUS-M15</t>
        </is>
      </c>
      <c r="G9" t="inlineStr">
        <is>
          <t>No</t>
        </is>
      </c>
      <c r="H9" s="6" t="inlineStr">
        <is>
          <t>esta guía</t>
        </is>
      </c>
      <c r="I9" s="6" t="inlineStr">
        <is>
          <t>La inversión de una franquicia incluye canon, obra y lo que diga cada enseña: no se compara con una dotación de máquinas. Va en su hoja, fechada y como orden de magnitud.</t>
        </is>
      </c>
    </row>
    <row r="10"/>
    <row r="11">
      <c r="A11" s="4" t="inlineStr">
        <is>
          <t>Equipos de Feria (Variante Caseta)</t>
        </is>
      </c>
    </row>
    <row r="12">
      <c r="A12" s="6" t="inlineStr">
        <is>
          <t>Equipo de feria que miras (1, 2 o 3, por su número de abajo)</t>
        </is>
      </c>
      <c r="B12" s="16" t="n">
        <v>1</v>
      </c>
    </row>
    <row r="13" ht="34" customHeight="1">
      <c r="A13" s="9" t="inlineStr">
        <is>
          <t>Equipo</t>
        </is>
      </c>
      <c r="B13" s="9" t="inlineStr">
        <is>
          <t>Nº</t>
        </is>
      </c>
      <c r="C13" s="9" t="inlineStr">
        <is>
          <t>Precio publicado</t>
        </is>
      </c>
      <c r="D13" s="9" t="inlineStr">
        <is>
          <t>¿Lleva IVA?</t>
        </is>
      </c>
      <c r="E13" s="9" t="inlineStr">
        <is>
          <t>Tipo de IVA</t>
        </is>
      </c>
      <c r="F13" s="9" t="inlineStr">
        <is>
          <t>Base sin IVA</t>
        </is>
      </c>
      <c r="G13" s="9" t="inlineStr">
        <is>
          <t>Fecha del precio</t>
        </is>
      </c>
      <c r="H13" s="9" t="inlineStr">
        <is>
          <t>Procedencia</t>
        </is>
      </c>
    </row>
    <row r="14" ht="30" customHeight="1">
      <c r="A14" s="6" t="inlineStr">
        <is>
          <t>Remolque de 3 × 2 × 2,10 m con cartel</t>
        </is>
      </c>
      <c r="B14" s="17" t="n">
        <v>1</v>
      </c>
      <c r="C14" s="15" t="n">
        <v>14800</v>
      </c>
      <c r="D14" s="5" t="inlineStr">
        <is>
          <t>No</t>
        </is>
      </c>
      <c r="E14" s="22">
        <f>'Parámetros'!$B$6</f>
        <v>0.21</v>
      </c>
      <c r="F14" s="26">
        <f>IFERROR(IF(D14="Sí",C14/(1+E14),C14),"")</f>
        <v>14800.0</v>
      </c>
      <c r="G14" s="31" t="n">
        <v>46298</v>
      </c>
      <c r="H14" s="6" t="inlineStr">
        <is>
          <t>CUS-42 (la tienda publica «Impuestos excluidos»)</t>
        </is>
      </c>
    </row>
    <row r="15" ht="30" customHeight="1">
      <c r="A15" s="6" t="inlineStr">
        <is>
          <t>Mini carrito para eventos y mercados</t>
        </is>
      </c>
      <c r="B15" s="17" t="n">
        <v>2</v>
      </c>
      <c r="C15" s="15" t="n">
        <v>6190</v>
      </c>
      <c r="D15" s="5" t="inlineStr">
        <is>
          <t>No</t>
        </is>
      </c>
      <c r="E15" s="22">
        <f>'Parámetros'!$B$6</f>
        <v>0.21</v>
      </c>
      <c r="F15" s="26">
        <f>IFERROR(IF(D15="Sí",C15/(1+E15),C15),"")</f>
        <v>6190.0</v>
      </c>
      <c r="G15" s="31" t="n">
        <v>46298</v>
      </c>
      <c r="H15" s="6" t="inlineStr">
        <is>
          <t>CUS-42 (la tienda publica «Impuestos excluidos»)</t>
        </is>
      </c>
    </row>
    <row r="16" ht="30" customHeight="1">
      <c r="A16" s="6" t="inlineStr">
        <is>
          <t>Churrería portátil para exteriores de cafeterías</t>
        </is>
      </c>
      <c r="B16" s="17" t="n">
        <v>3</v>
      </c>
      <c r="C16" s="15" t="n">
        <v>4190</v>
      </c>
      <c r="D16" s="5" t="inlineStr">
        <is>
          <t>No</t>
        </is>
      </c>
      <c r="E16" s="22">
        <f>'Parámetros'!$B$6</f>
        <v>0.21</v>
      </c>
      <c r="F16" s="26">
        <f>IFERROR(IF(D16="Sí",C16/(1+E16),C16),"")</f>
        <v>4190.0</v>
      </c>
      <c r="G16" s="31" t="n">
        <v>46298</v>
      </c>
      <c r="H16" s="6" t="inlineStr">
        <is>
          <t>CUS-42 (la tienda publica «Impuestos excluidos»)</t>
        </is>
      </c>
    </row>
    <row r="17"/>
    <row r="18">
      <c r="A18" s="4" t="inlineStr">
        <is>
          <t>Lo que Queda Fuera del Comparador</t>
        </is>
      </c>
    </row>
    <row r="19" ht="40" customHeight="1">
      <c r="A19" s="6" t="inlineStr">
        <is>
          <t>Churros en una cafetería o un bar</t>
        </is>
      </c>
      <c r="E19" s="6" t="inlineStr">
        <is>
          <t>Epígrafe con remisión al Plan de Negocio de Cafetería: la churrería es una línea más de su carta.</t>
        </is>
      </c>
      <c r="H19" s="6" t="inlineStr">
        <is>
          <t>Plan de Negocio: Cafetería</t>
        </is>
      </c>
    </row>
    <row r="20" ht="40" customHeight="1">
      <c r="A20" s="6" t="inlineStr">
        <is>
          <t>Obrador que sirve a otros negocios</t>
        </is>
      </c>
      <c r="E20" s="6" t="inlineStr">
        <is>
          <t>Fuera del producto: si fabricas para otros dejas de ser minorista (419.3, CUN-12; la churrería que sirve a la cafetería, CUN-30).</t>
        </is>
      </c>
      <c r="H20" s="6" t="inlineStr">
        <is>
          <t>fuera del producto</t>
        </is>
      </c>
    </row>
    <row r="21"/>
    <row r="22"/>
    <row r="23">
      <c r="A23" s="24" t="inlineStr">
        <is>
          <t>Listas de validación (no las borres: las usan los desplegables)</t>
        </is>
      </c>
    </row>
    <row r="24">
      <c r="A24" s="25" t="inlineStr">
        <is>
          <t>Sí o No</t>
        </is>
      </c>
      <c r="B24" s="25" t="inlineStr">
        <is>
          <t>Equipo de feria</t>
        </is>
      </c>
    </row>
    <row r="25">
      <c r="A25" t="inlineStr">
        <is>
          <t>Sí</t>
        </is>
      </c>
      <c r="B25" t="n">
        <v>1</v>
      </c>
    </row>
    <row r="26">
      <c r="A26" t="inlineStr">
        <is>
          <t>No</t>
        </is>
      </c>
      <c r="B26" t="n">
        <v>2</v>
      </c>
    </row>
    <row r="27">
      <c r="B27" t="n">
        <v>3</v>
      </c>
    </row>
  </sheetData>
  <sheetProtection selectLockedCells="0" selectUnlockedCells="0" sheet="1" objects="0" insertRows="0" insertHyperlinks="1" autoFilter="1" scenarios="0" formatColumns="0" deleteColumns="1" insertColumns="1" pivotTables="1" deleteRows="1" formatCells="1" formatRows="0" sort="0"/>
  <dataValidations count="3">
    <dataValidation sqref="C14 C15 C16" showDropDown="0" showInputMessage="0" showErrorMessage="1" allowBlank="1" errorTitle="Importe no válido" error="Escribe un número mayor o igual que 0." type="decimal" operator="greaterThanOrEqual">
      <formula1>0</formula1>
    </dataValidation>
    <dataValidation sqref="D14 D15 D16" showDropDown="0" showInputMessage="0" showErrorMessage="1" allowBlank="0" errorTitle="Sí o No" error="Elige una opción de la lista." type="list">
      <formula1>=$A$25:$A$26</formula1>
    </dataValidation>
    <dataValidation sqref="B12" showDropDown="0" showInputMessage="0" showErrorMessage="1" allowBlank="0" errorTitle="Equipo de feria" error="Escribe 1, 2 o 3." type="list">
      <formula1>=$B$25:$B$27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32"/>
  <sheetViews>
    <sheetView workbookViewId="0">
      <pane ySplit="5" topLeftCell="A6" activePane="bottomLeft" state="frozen"/>
      <selection pane="bottomLeft" activeCell="A1" sqref="A1"/>
    </sheetView>
  </sheetViews>
  <sheetFormatPr baseColWidth="8" defaultRowHeight="15"/>
  <cols>
    <col width="24" customWidth="1" min="1" max="1"/>
    <col width="14" customWidth="1" min="2" max="2"/>
    <col width="46" customWidth="1" min="3" max="3"/>
    <col width="13" customWidth="1" min="4" max="4"/>
    <col width="11" customWidth="1" min="5" max="5"/>
    <col width="16" customWidth="1" min="6" max="6"/>
    <col width="18" customWidth="1" min="7" max="7"/>
    <col width="12" customWidth="1" min="8" max="8"/>
    <col width="15" customWidth="1" min="9" max="9"/>
    <col width="15" customWidth="1" min="10" max="10"/>
    <col width="54" customWidth="1" min="11" max="11"/>
  </cols>
  <sheetData>
    <row r="1">
      <c r="A1" s="1" t="inlineStr">
        <is>
          <t>Franquicia o Independiente</t>
        </is>
      </c>
    </row>
    <row r="2">
      <c r="A2" s="2" t="inlineStr">
        <is>
          <t>AI Chef Pro · aichef.pro — Cómo Montar una Churrería-Chocolatería</t>
        </is>
      </c>
    </row>
    <row r="3">
      <c r="A3" s="3" t="inlineStr">
        <is>
          <t>Orden de magnitud publicado por el franquiciador a través de un agregador, consultado el 03-10-2026: no es precio de contrato ni una recomendación de marca.</t>
        </is>
      </c>
    </row>
    <row r="4"/>
    <row r="5" ht="58" customHeight="1">
      <c r="A5" s="9" t="inlineStr">
        <is>
          <t>Enseña</t>
        </is>
      </c>
      <c r="B5" s="9" t="inlineStr">
        <is>
          <t>Inversión publicada</t>
        </is>
      </c>
      <c r="C5" s="9" t="inlineStr">
        <is>
          <t>Qué incluye, según la enseña</t>
        </is>
      </c>
      <c r="D5" s="9" t="inlineStr">
        <is>
          <t>Canon de entrada</t>
        </is>
      </c>
      <c r="E5" s="9" t="inlineStr">
        <is>
          <t>Royalty sobre ventas</t>
        </is>
      </c>
      <c r="F5" s="9" t="inlineStr">
        <is>
          <t>Locales</t>
        </is>
      </c>
      <c r="G5" s="9" t="inlineStr">
        <is>
          <t>Fuente</t>
        </is>
      </c>
      <c r="H5" s="9" t="inlineStr">
        <is>
          <t>Consultado el</t>
        </is>
      </c>
      <c r="I5" s="9" t="inlineStr">
        <is>
          <t>¿Base comparable con tu CAPEX?</t>
        </is>
      </c>
      <c r="J5" s="9" t="inlineStr">
        <is>
          <t>Diferencia frente a tu CAPEX</t>
        </is>
      </c>
      <c r="K5" s="9" t="inlineStr">
        <is>
          <t>Nota</t>
        </is>
      </c>
    </row>
    <row r="6" ht="34" customHeight="1">
      <c r="A6" s="6" t="inlineStr">
        <is>
          <t>Chocolaterías Valor</t>
        </is>
      </c>
      <c r="B6" s="26" t="n">
        <v>125000</v>
      </c>
      <c r="C6" s="6" t="inlineStr">
        <is>
          <t>local en bruto con obra, maquinaria y mobiliario</t>
        </is>
      </c>
      <c r="D6" s="26" t="n">
        <v>24040</v>
      </c>
      <c r="E6" s="22" t="n">
        <v>0.05</v>
      </c>
      <c r="F6" s="6" t="inlineStr">
        <is>
          <t>39 (32 franquiciados)</t>
        </is>
      </c>
      <c r="G6" s="6" t="inlineStr">
        <is>
          <t>CUS-M12 + CUS-03</t>
        </is>
      </c>
      <c r="H6" s="31" t="n">
        <v>46298</v>
      </c>
      <c r="I6" s="5" t="inlineStr">
        <is>
          <t>Sí</t>
        </is>
      </c>
      <c r="J6" s="26">
        <f>IF(I6="Sí",IFERROR(B6-$B$19,""),"")</f>
        <v>38584.34999999999</v>
      </c>
      <c r="K6" s="6" t="inlineStr"/>
    </row>
    <row r="7" ht="34" customHeight="1">
      <c r="A7" s="6" t="inlineStr">
        <is>
          <t>Maestro Churrero</t>
        </is>
      </c>
      <c r="B7" s="26" t="n">
        <v>115000</v>
      </c>
      <c r="C7" s="6" t="inlineStr">
        <is>
          <t>inversión inicial «desde»</t>
        </is>
      </c>
      <c r="D7" s="26" t="n">
        <v>15000</v>
      </c>
      <c r="E7" s="22" t="n">
        <v>0.05</v>
      </c>
      <c r="F7" s="6" t="inlineStr">
        <is>
          <t>no publicado</t>
        </is>
      </c>
      <c r="G7" s="6" t="inlineStr">
        <is>
          <t>CUS-M14</t>
        </is>
      </c>
      <c r="H7" s="31" t="n">
        <v>46298</v>
      </c>
      <c r="I7" s="5" t="inlineStr">
        <is>
          <t>No</t>
        </is>
      </c>
      <c r="J7" s="26">
        <f>IF(I7="Sí",IFERROR(B7-$B$19,""),"")</f>
        <v/>
      </c>
      <c r="K7" s="6" t="inlineStr">
        <is>
          <t>Más un 1 % de canon publicitario.</t>
        </is>
      </c>
    </row>
    <row r="8" ht="34" customHeight="1">
      <c r="A8" s="6" t="inlineStr">
        <is>
          <t>Churros Factory</t>
        </is>
      </c>
      <c r="B8" s="26" t="n">
        <v>45000</v>
      </c>
      <c r="C8" s="6" t="inlineStr">
        <is>
          <t>inversión total</t>
        </is>
      </c>
      <c r="D8" s="26" t="n">
        <v>12000</v>
      </c>
      <c r="E8" s="22" t="n">
        <v>0.06</v>
      </c>
      <c r="F8" s="6" t="inlineStr">
        <is>
          <t>no publicado</t>
        </is>
      </c>
      <c r="G8" s="6" t="inlineStr">
        <is>
          <t>CUS-M15</t>
        </is>
      </c>
      <c r="H8" s="31" t="n">
        <v>46298</v>
      </c>
      <c r="I8" s="5" t="inlineStr">
        <is>
          <t>Sí</t>
        </is>
      </c>
      <c r="J8" s="26">
        <f>IF(I8="Sí",IFERROR(B8-$B$19,""),"")</f>
        <v>-41415.65000000001</v>
      </c>
      <c r="K8" s="6" t="inlineStr">
        <is>
          <t>Contrato de 10 años renovables.</t>
        </is>
      </c>
    </row>
    <row r="9" ht="34" customHeight="1">
      <c r="A9" s="6" t="inlineStr">
        <is>
          <t>Madrid1883</t>
        </is>
      </c>
      <c r="B9" s="26" t="n">
        <v>96000</v>
      </c>
      <c r="C9" s="6" t="inlineStr">
        <is>
          <t>inversión total aproximada</t>
        </is>
      </c>
      <c r="D9" s="26" t="n">
        <v>20000</v>
      </c>
      <c r="E9" s="22" t="n">
        <v>0.04</v>
      </c>
      <c r="F9" s="6" t="inlineStr">
        <is>
          <t>no publicado</t>
        </is>
      </c>
      <c r="G9" s="6" t="inlineStr">
        <is>
          <t>CUS-M16</t>
        </is>
      </c>
      <c r="H9" s="31" t="n">
        <v>46298</v>
      </c>
      <c r="I9" s="5" t="inlineStr">
        <is>
          <t>Sí</t>
        </is>
      </c>
      <c r="J9" s="26">
        <f>IF(I9="Sí",IFERROR(B9-$B$19,""),"")</f>
        <v>9584.349999999991</v>
      </c>
      <c r="K9" s="6" t="inlineStr">
        <is>
          <t>Más un 2 % de publicidad. Su facturación esperada es proyección: no entra.</t>
        </is>
      </c>
    </row>
    <row r="10" ht="34" customHeight="1">
      <c r="A10" s="6" t="inlineStr">
        <is>
          <t>Pinocho Churros Gourmet</t>
        </is>
      </c>
      <c r="B10" s="26" t="n">
        <v>73000</v>
      </c>
      <c r="C10" s="6" t="inlineStr">
        <is>
          <t>inversión total según el dossier (58.000 € de capital propio)</t>
        </is>
      </c>
      <c r="D10" t="inlineStr">
        <is>
          <t>no publicado</t>
        </is>
      </c>
      <c r="E10" t="inlineStr">
        <is>
          <t>no publicado</t>
        </is>
      </c>
      <c r="F10" s="6" t="inlineStr">
        <is>
          <t>10 implantaciones</t>
        </is>
      </c>
      <c r="G10" s="6" t="inlineStr">
        <is>
          <t>CUS-M17 + CUS-14</t>
        </is>
      </c>
      <c r="H10" s="31" t="n">
        <v>46298</v>
      </c>
      <c r="I10" s="5" t="inlineStr">
        <is>
          <t>Sí</t>
        </is>
      </c>
      <c r="J10" s="26">
        <f>IF(I10="Sí",IFERROR(B10-$B$19,""),"")</f>
        <v>-13415.650000000009</v>
      </c>
      <c r="K10" s="6" t="inlineStr">
        <is>
          <t>El objetivo de expansión del franquiciador no es un dato.</t>
        </is>
      </c>
    </row>
    <row r="11" ht="34" customHeight="1">
      <c r="A11" s="6" t="inlineStr">
        <is>
          <t>Tejeringo's Coffee</t>
        </is>
      </c>
      <c r="B11" s="26" t="n">
        <v>320000</v>
      </c>
      <c r="C11" s="6" t="inlineStr">
        <is>
          <t>inversión aproximada más IVA, canon incluido</t>
        </is>
      </c>
      <c r="D11" s="26" t="n">
        <v>20000</v>
      </c>
      <c r="E11" t="inlineStr">
        <is>
          <t>no publicado</t>
        </is>
      </c>
      <c r="F11" s="6" t="inlineStr">
        <is>
          <t>no publicado</t>
        </is>
      </c>
      <c r="G11" s="6" t="inlineStr">
        <is>
          <t>CUS-M18</t>
        </is>
      </c>
      <c r="H11" s="31" t="n">
        <v>46298</v>
      </c>
      <c r="I11" s="5" t="inlineStr">
        <is>
          <t>No</t>
        </is>
      </c>
      <c r="J11" s="26">
        <f>IF(I11="Sí",IFERROR(B11-$B$19,""),"")</f>
        <v/>
      </c>
      <c r="K11" s="6" t="inlineStr"/>
    </row>
    <row r="12" ht="34" customHeight="1">
      <c r="A12" s="6" t="inlineStr">
        <is>
          <t>Kukuchurro</t>
        </is>
      </c>
      <c r="B12" s="26" t="n">
        <v>75000</v>
      </c>
      <c r="C12" s="6" t="inlineStr">
        <is>
          <t>inversión inicial «desde», más IVA, canon incluido</t>
        </is>
      </c>
      <c r="D12" s="26" t="n">
        <v>15000</v>
      </c>
      <c r="E12" t="inlineStr">
        <is>
          <t>no publicado</t>
        </is>
      </c>
      <c r="F12" s="6" t="inlineStr">
        <is>
          <t>no publicado</t>
        </is>
      </c>
      <c r="G12" s="6" t="inlineStr">
        <is>
          <t>CUS-M19</t>
        </is>
      </c>
      <c r="H12" s="31" t="n">
        <v>46298</v>
      </c>
      <c r="I12" s="5" t="inlineStr">
        <is>
          <t>No</t>
        </is>
      </c>
      <c r="J12" s="26">
        <f>IF(I12="Sí",IFERROR(B12-$B$19,""),"")</f>
        <v/>
      </c>
      <c r="K12" s="6" t="inlineStr"/>
    </row>
    <row r="13" ht="34" customHeight="1">
      <c r="A13" s="6" t="inlineStr">
        <is>
          <t>ChurroWay</t>
        </is>
      </c>
      <c r="B13" s="26" t="n">
        <v>75000</v>
      </c>
      <c r="C13" s="6" t="inlineStr">
        <is>
          <t>inversión inicial «desde», sin IVA, fianzas ni existencias</t>
        </is>
      </c>
      <c r="D13" s="26" t="n">
        <v>15000</v>
      </c>
      <c r="E13" t="inlineStr">
        <is>
          <t>no publicado</t>
        </is>
      </c>
      <c r="F13" s="6" t="inlineStr">
        <is>
          <t>no publicado</t>
        </is>
      </c>
      <c r="G13" s="6" t="inlineStr">
        <is>
          <t>CUS-M20</t>
        </is>
      </c>
      <c r="H13" s="31" t="n">
        <v>46298</v>
      </c>
      <c r="I13" s="5" t="inlineStr">
        <is>
          <t>No</t>
        </is>
      </c>
      <c r="J13" s="26">
        <f>IF(I13="Sí",IFERROR(B13-$B$19,""),"")</f>
        <v/>
      </c>
      <c r="K13" s="6" t="inlineStr"/>
    </row>
    <row r="14" ht="34" customHeight="1">
      <c r="A14" s="6" t="inlineStr">
        <is>
          <t>Churritopping</t>
        </is>
      </c>
      <c r="B14" s="26" t="n">
        <v>42600</v>
      </c>
      <c r="C14" s="6" t="inlineStr">
        <is>
          <t>inversión inicial aproximada, sin la obra</t>
        </is>
      </c>
      <c r="D14" t="inlineStr">
        <is>
          <t>no publicado</t>
        </is>
      </c>
      <c r="E14" s="22" t="n">
        <v>0.05</v>
      </c>
      <c r="F14" s="6" t="inlineStr">
        <is>
          <t>no publicado</t>
        </is>
      </c>
      <c r="G14" s="6" t="inlineStr">
        <is>
          <t>CUS-M21</t>
        </is>
      </c>
      <c r="H14" s="31" t="n">
        <v>46298</v>
      </c>
      <c r="I14" s="5" t="inlineStr">
        <is>
          <t>No</t>
        </is>
      </c>
      <c r="J14" s="26">
        <f>IF(I14="Sí",IFERROR(B14-$B$19,""),"")</f>
        <v/>
      </c>
      <c r="K14" s="6" t="inlineStr">
        <is>
          <t>Más un 2 % de publicidad.</t>
        </is>
      </c>
    </row>
    <row r="15" ht="34" customHeight="1">
      <c r="A15" s="6" t="inlineStr">
        <is>
          <t>King Churro</t>
        </is>
      </c>
      <c r="B15" s="26" t="n">
        <v>20000</v>
      </c>
      <c r="C15" s="6" t="inlineStr">
        <is>
          <t>inversión inicial «desde» (hasta 25.000 €)</t>
        </is>
      </c>
      <c r="D15" t="inlineStr">
        <is>
          <t>no publicado</t>
        </is>
      </c>
      <c r="E15" t="inlineStr">
        <is>
          <t>no publicado</t>
        </is>
      </c>
      <c r="F15" s="6" t="inlineStr">
        <is>
          <t>no publicado</t>
        </is>
      </c>
      <c r="G15" s="6" t="inlineStr">
        <is>
          <t>CUS-M22</t>
        </is>
      </c>
      <c r="H15" s="31" t="n">
        <v>46298</v>
      </c>
      <c r="I15" s="5" t="inlineStr">
        <is>
          <t>No</t>
        </is>
      </c>
      <c r="J15" s="26">
        <f>IF(I15="Sí",IFERROR(B15-$B$19,""),"")</f>
        <v/>
      </c>
      <c r="K15" s="6" t="inlineStr"/>
    </row>
    <row r="16" ht="34" customHeight="1">
      <c r="A16" s="6" t="inlineStr">
        <is>
          <t>Churro Planet</t>
        </is>
      </c>
      <c r="B16" s="26" t="n">
        <v>44000</v>
      </c>
      <c r="C16" s="6" t="inlineStr">
        <is>
          <t>inversión «desde», sin la obra, canon de 5.000 € incluido</t>
        </is>
      </c>
      <c r="D16" s="26" t="n">
        <v>5000</v>
      </c>
      <c r="E16" t="inlineStr">
        <is>
          <t>no publicado</t>
        </is>
      </c>
      <c r="F16" s="6" t="inlineStr">
        <is>
          <t>no publicado</t>
        </is>
      </c>
      <c r="G16" s="6" t="inlineStr">
        <is>
          <t>CUS-D6</t>
        </is>
      </c>
      <c r="H16" s="31" t="n">
        <v>46298</v>
      </c>
      <c r="I16" s="5" t="inlineStr">
        <is>
          <t>No</t>
        </is>
      </c>
      <c r="J16" s="26">
        <f>IF(I16="Sí",IFERROR(B16-$B$19,""),"")</f>
        <v/>
      </c>
      <c r="K16" s="6" t="inlineStr"/>
    </row>
    <row r="17" ht="34" customHeight="1">
      <c r="A17" s="6" t="inlineStr">
        <is>
          <t>ChurroFácil</t>
        </is>
      </c>
      <c r="B17" s="26" t="n">
        <v>6000</v>
      </c>
      <c r="C17" s="6" t="inlineStr">
        <is>
          <t>«franquicia» desde: el negocio de la marca es vender mezcla, máquinas y remolques</t>
        </is>
      </c>
      <c r="D17" t="inlineStr">
        <is>
          <t>no publicado</t>
        </is>
      </c>
      <c r="E17" t="inlineStr">
        <is>
          <t>no publicado</t>
        </is>
      </c>
      <c r="F17" s="6" t="inlineStr">
        <is>
          <t>no publicado</t>
        </is>
      </c>
      <c r="G17" s="6" t="inlineStr">
        <is>
          <t>CUS-M23</t>
        </is>
      </c>
      <c r="H17" s="31" t="n">
        <v>46298</v>
      </c>
      <c r="I17" s="5" t="inlineStr">
        <is>
          <t>No</t>
        </is>
      </c>
      <c r="J17" s="26">
        <f>IF(I17="Sí",IFERROR(B17-$B$19,""),"")</f>
        <v/>
      </c>
      <c r="K17" s="6" t="inlineStr"/>
    </row>
    <row r="18"/>
    <row r="19" ht="30" customHeight="1">
      <c r="A19" s="33" t="inlineStr">
        <is>
          <t>Tu CAPEX, sin fondo de maniobra (de «CAPEX por Bloque»)</t>
        </is>
      </c>
      <c r="B19" s="11">
        <f>'CAPEX por Bloque'!$E$45</f>
        <v>86415.65000000001</v>
      </c>
    </row>
    <row r="20" ht="30" customHeight="1">
      <c r="A20" s="33" t="inlineStr">
        <is>
          <t>Inversión publicada más baja</t>
        </is>
      </c>
      <c r="B20" s="11">
        <f>IFERROR(MIN(B6:B17),"")</f>
        <v>6000.0</v>
      </c>
    </row>
    <row r="21" ht="30" customHeight="1">
      <c r="A21" s="33" t="inlineStr">
        <is>
          <t>Inversión publicada más alta</t>
        </is>
      </c>
      <c r="B21" s="11">
        <f>IFERROR(MAX(B6:B17),"")</f>
        <v>320000.0</v>
      </c>
    </row>
    <row r="22" ht="30" customHeight="1">
      <c r="A22" s="33" t="inlineStr">
        <is>
          <t>Enseñas con inversión publicada en la tabla</t>
        </is>
      </c>
      <c r="B22" s="34">
        <f>COUNT(B6:B17)</f>
        <v>12.0</v>
      </c>
    </row>
    <row r="23" ht="30" customHeight="1">
      <c r="A23" s="33" t="inlineStr">
        <is>
          <t>Enseñas de base comparable que publican una inversión por debajo de tu CAPEX</t>
        </is>
      </c>
      <c r="B23" s="34">
        <f>SUMPRODUCT(--(I6:I17="Sí"),--(B6:B17&lt;B19))</f>
        <v>2.0</v>
      </c>
    </row>
    <row r="24" ht="30" customHeight="1">
      <c r="A24" s="33" t="inlineStr">
        <is>
          <t>Enseñas de base comparable que publican una inversión igual o por encima de tu CAPEX</t>
        </is>
      </c>
      <c r="B24" s="34">
        <f>SUMPRODUCT(--(I6:I17="Sí"),--(B6:B17&gt;=B19))</f>
        <v>2.0</v>
      </c>
    </row>
    <row r="25"/>
    <row r="26" ht="110" customHeight="1">
      <c r="A26" s="30" t="inlineStr">
        <is>
          <t>CÓMO LEER ESTA HOJA. Cada enseña dice «inversión» de una manera: con obra o sin ella, con IVA o sin él, «desde» o total, con el canon dentro o aparte. Por eso no se suman, no se promedian como si fueran lo mismo y no se recomienda ninguna: son el orden de magnitud que publica el franquiciador, consultado en la fecha de la columna H. Tu CAPEX va sin fondo de maniobra y con la obra. Por eso la columna «¿Base comparable con tu CAPEX?» sólo dice «Sí» donde la enseña publica una inversión total con obra y equipamiento, y sólo ahí se calcula la diferencia y se cuentan las enseñas por debajo o por encima; en las «desde», con IVA aparte o sin obra, la comparación sería mezclar bases. Lo que la franquicia te da a cambio del canon y del royalty (marca, proveedor, formación y central de compras) no sale en esta tabla: pregúntalo por escrito y pide el documento de información precontractual.</t>
        </is>
      </c>
    </row>
    <row r="27" ht="36" customHeight="1">
      <c r="A27" s="30" t="inlineStr">
        <is>
          <t>El royalty se paga sobre las ventas de cada mes, también en verano. Con las ventas de tu libro 6 y el porcentaje de esta tabla sabrás cuánto es al año antes de firmar.</t>
        </is>
      </c>
    </row>
    <row r="28"/>
    <row r="29">
      <c r="A29" s="24" t="inlineStr">
        <is>
          <t>Listas de validación (no las borres: las usan los desplegables)</t>
        </is>
      </c>
    </row>
    <row r="30">
      <c r="A30" s="25" t="inlineStr">
        <is>
          <t>Sí o No</t>
        </is>
      </c>
    </row>
    <row r="31">
      <c r="A31" t="inlineStr">
        <is>
          <t>Sí</t>
        </is>
      </c>
    </row>
    <row r="32">
      <c r="A32"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7:K27"/>
    <mergeCell ref="A26:K26"/>
  </mergeCells>
  <dataValidations count="1">
    <dataValidation sqref="I6 I7 I8 I9 I10 I11 I12 I13 I14 I15 I16 I17" showDropDown="0" showInputMessage="0" showErrorMessage="1" allowBlank="0" errorTitle="Sí o No" error="Elige una opción de la lista." type="list">
      <formula1>=$A$31:$A$32</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H43"/>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0" customWidth="1" min="3" max="3"/>
    <col width="20" customWidth="1" min="4" max="4"/>
    <col width="80" customWidth="1" min="5" max="5"/>
    <col width="12" customWidth="1" min="6" max="6"/>
    <col width="12" customWidth="1" min="7" max="7"/>
    <col width="10" customWidth="1" min="8" max="8"/>
  </cols>
  <sheetData>
    <row r="1">
      <c r="A1" s="1" t="inlineStr">
        <is>
          <t>Traspaso vs Obra Nueva</t>
        </is>
      </c>
    </row>
    <row r="2">
      <c r="A2" s="2" t="inlineStr">
        <is>
          <t>AI Chef Pro · aichef.pro — Cómo Montar una Churrería-Chocolatería</t>
        </is>
      </c>
    </row>
    <row r="3">
      <c r="A3" s="3" t="inlineStr">
        <is>
          <t>El precio de un traspaso es lo que te PIDEN, no lo que se paga. Primero la inversión; después, el horizonte con la renta.</t>
        </is>
      </c>
    </row>
    <row r="4">
      <c r="A4" s="4" t="inlineStr">
        <is>
          <t>El Local que Estás Mirando (Traspaso)</t>
        </is>
      </c>
    </row>
    <row r="5" ht="30" customHeight="1">
      <c r="A5" s="9" t="inlineStr">
        <is>
          <t>Concepto</t>
        </is>
      </c>
      <c r="B5" s="9" t="inlineStr">
        <is>
          <t>Valor</t>
        </is>
      </c>
      <c r="C5" s="9" t="inlineStr">
        <is>
          <t>Unidad</t>
        </is>
      </c>
      <c r="D5" s="9" t="inlineStr">
        <is>
          <t>Procedencia</t>
        </is>
      </c>
      <c r="E5" s="9" t="inlineStr">
        <is>
          <t>Nota</t>
        </is>
      </c>
    </row>
    <row r="6" ht="46" customHeight="1">
      <c r="A6" s="6" t="inlineStr">
        <is>
          <t>Precio de traspaso que te piden</t>
        </is>
      </c>
      <c r="B6" s="15" t="n">
        <v>82000</v>
      </c>
      <c r="C6" t="inlineStr">
        <is>
          <t>€</t>
        </is>
      </c>
      <c r="D6" s="12" t="inlineStr">
        <is>
          <t>CUS-02</t>
        </is>
      </c>
      <c r="E6" s="12" t="inlineStr">
        <is>
          <t>Sembrado con el traspaso con sala de Vallecas: 74 m², precio PEDIDO y negociable, con los equipos dentro. Es el techo de los anuncios leídos para un local con sala. Lectura del anuncio del 3-10-2026, sin reverificar: compruébalo en el anuncio antes de usarlo.</t>
        </is>
      </c>
    </row>
    <row r="7" ht="46" customHeight="1">
      <c r="A7" s="6" t="inlineStr">
        <is>
          <t>Inversión de adaptación que aún tendrías que hacer</t>
        </is>
      </c>
      <c r="B7" s="15" t="n">
        <v>6000</v>
      </c>
      <c r="C7" t="inlineStr">
        <is>
          <t>€</t>
        </is>
      </c>
      <c r="D7" s="12" t="inlineStr">
        <is>
          <t>supuesto declarado</t>
        </is>
      </c>
      <c r="E7" s="12" t="inlineStr">
        <is>
          <t>Lo que habría que gastar para adaptar el local traspasado. Supuesto de El Molinete. Pasa el local por la «Ficha de Visita a Local» del libro 1 antes de fiarte de esta cifra.</t>
        </is>
      </c>
    </row>
    <row r="8" ht="46" customHeight="1">
      <c r="A8" s="6" t="inlineStr">
        <is>
          <t>Renta mensual del local traspasado</t>
        </is>
      </c>
      <c r="B8" s="15" t="n">
        <v>910</v>
      </c>
      <c r="C8" t="inlineStr">
        <is>
          <t>€/mes</t>
        </is>
      </c>
      <c r="D8" s="12" t="inlineStr">
        <is>
          <t>CUS-02</t>
        </is>
      </c>
      <c r="E8" s="12" t="inlineStr">
        <is>
          <t>La del anuncio de Vallecas, la misma que la de El Molinete: por eso, en este ejemplo, la renta pesa igual en los dos lados.</t>
        </is>
      </c>
    </row>
    <row r="9" ht="46" customHeight="1">
      <c r="A9" s="6" t="inlineStr">
        <is>
          <t>Meses pagando renta sin facturar con el traspaso</t>
        </is>
      </c>
      <c r="B9" s="16" t="n">
        <v>3</v>
      </c>
      <c r="C9" t="inlineStr">
        <is>
          <t>meses</t>
        </is>
      </c>
      <c r="D9" s="12" t="inlineStr">
        <is>
          <t>supuesto declarado</t>
        </is>
      </c>
      <c r="E9" s="12" t="inlineStr">
        <is>
          <t>Un traspaso en marcha abre antes que una obra nueva.</t>
        </is>
      </c>
    </row>
    <row r="10">
      <c r="A10" s="4" t="inlineStr">
        <is>
          <t>La Obra Nueva (El Caso de El Molinete)</t>
        </is>
      </c>
    </row>
    <row r="11" ht="46" customHeight="1">
      <c r="A11" s="6" t="inlineStr">
        <is>
          <t>CAPEX comparable de la obra nueva (bloques 1 a 8 de «CAPEX por Bloque»)</t>
        </is>
      </c>
      <c r="B11" s="28">
        <f>SUM('CAPEX por Bloque'!$E$34:$E$41)</f>
        <v>81747.35</v>
      </c>
      <c r="E11" s="12" t="inlineStr">
        <is>
          <t>Obra, extracción, maquinaria, barra y sala, control, TPV y licencias. Fuera quedan la fianza, el stock y el marketing, que pagarías igual con un traspaso: sumarlos a un solo lado falsearía la comparación.</t>
        </is>
      </c>
    </row>
    <row r="12">
      <c r="A12" t="inlineStr">
        <is>
          <t>Renta mensual del local de obra nueva (de «Parámetros»)</t>
        </is>
      </c>
      <c r="B12" s="26">
        <f>'Parámetros'!$B$12</f>
        <v>910.0</v>
      </c>
    </row>
    <row r="13" ht="46" customHeight="1">
      <c r="A13" s="6" t="inlineStr">
        <is>
          <t>Meses pagando renta sin facturar con la obra nueva</t>
        </is>
      </c>
      <c r="B13" s="23" t="n">
        <v>7.5</v>
      </c>
      <c r="C13" t="inlineStr">
        <is>
          <t>meses</t>
        </is>
      </c>
      <c r="D13" s="12" t="inlineStr">
        <is>
          <t>supuesto declarado</t>
        </is>
      </c>
      <c r="E13" s="12" t="inlineStr">
        <is>
          <t>De la firma del arrendamiento a la apertura en el cronograma de El Molinete (proyecto, licencia de obra, obra y conducto, gas, montaje y pruebas). El tuyo sale de la hoja «Cronograma y Ruta Crítica» del libro 7.</t>
        </is>
      </c>
    </row>
    <row r="14" ht="46" customHeight="1">
      <c r="A14" s="6" t="inlineStr">
        <is>
          <t>Horizonte de la comparación</t>
        </is>
      </c>
      <c r="B14" s="16" t="n">
        <v>5</v>
      </c>
      <c r="C14" t="inlineStr">
        <is>
          <t>años</t>
        </is>
      </c>
      <c r="D14" s="12" t="inlineStr">
        <is>
          <t>heredado de la hermana</t>
        </is>
      </c>
      <c r="E14" s="12" t="inlineStr">
        <is>
          <t>Horizonte de «Traspaso vs Obra Nueva».</t>
        </is>
      </c>
    </row>
    <row r="15">
      <c r="A15" s="4" t="inlineStr">
        <is>
          <t>La Inversión (Decisión 2)</t>
        </is>
      </c>
    </row>
    <row r="16">
      <c r="A16" t="inlineStr">
        <is>
          <t>Traspaso: precio pedido más adaptación</t>
        </is>
      </c>
      <c r="B16" s="28">
        <f>B6+B7</f>
        <v>88000.0</v>
      </c>
    </row>
    <row r="17">
      <c r="A17" t="inlineStr">
        <is>
          <t>Obra nueva: CAPEX comparable</t>
        </is>
      </c>
      <c r="B17" s="28">
        <f>B11</f>
        <v>81747.35</v>
      </c>
    </row>
    <row r="18" ht="30" customHeight="1">
      <c r="A18" s="6" t="inlineStr">
        <is>
          <t>Precio de traspaso por debajo del cual gana el traspaso</t>
        </is>
      </c>
      <c r="B18" s="11">
        <f>B11-B7</f>
        <v>75747.35</v>
      </c>
      <c r="E18" s="12" t="inlineStr">
        <is>
          <t>Es la cifra a la que hay que negociar: si el traspaso se cierra por debajo, la inversión sale mejor que la obra nueva.</t>
        </is>
      </c>
    </row>
    <row r="19">
      <c r="A19" s="25" t="inlineStr">
        <is>
          <t>VEREDICTO DE LA INVERSIÓN</t>
        </is>
      </c>
      <c r="B19" s="20" t="str">
        <f>IF(OR(NOT(ISNUMBER(B16)),NOT(ISNUMBER(B17))),"",IF(B16&lt;B17,"Sale mejor el TRASPASO","Sale mejor la OBRA NUEVA"))</f>
        <v>Sale mejor la OBRA NUEVA</v>
      </c>
    </row>
    <row r="20">
      <c r="A20" s="4" t="inlineStr">
        <is>
          <t>En el Horizonte, con la Renta</t>
        </is>
      </c>
    </row>
    <row r="21" ht="30" customHeight="1">
      <c r="A21" s="6" t="inlineStr">
        <is>
          <t>Coste del traspaso en el horizonte (precio, adaptación, renta y meses parado)</t>
        </is>
      </c>
      <c r="B21" s="28">
        <f>IFERROR(B6+B7+B8*'Parámetros'!$B$15*B14+B8*B9,"")</f>
        <v>145330.0</v>
      </c>
    </row>
    <row r="22" ht="30" customHeight="1">
      <c r="A22" s="6" t="inlineStr">
        <is>
          <t>Coste de la obra nueva en el horizonte (CAPEX comparable, renta y meses de obra)</t>
        </is>
      </c>
      <c r="B22" s="28">
        <f>IFERROR(B11+B12*'Parámetros'!$B$15*B14+B12*B13,"")</f>
        <v>143172.35</v>
      </c>
    </row>
    <row r="23" ht="30" customHeight="1">
      <c r="A23" s="6" t="inlineStr">
        <is>
          <t>Diferencia (traspaso menos obra nueva)</t>
        </is>
      </c>
      <c r="B23" s="28">
        <f>IFERROR(B21-B22,"")</f>
        <v>2157.649999999994</v>
      </c>
    </row>
    <row r="24" ht="58" customHeight="1">
      <c r="A24" s="25" t="inlineStr">
        <is>
          <t>VEREDICTO EN EL HORIZONTE</t>
        </is>
      </c>
      <c r="B24" s="20" t="str">
        <f>IF(NOT(ISNUMBER(B23)),"",IF(B23&lt;0,"Sale mejor el TRASPASO","Sale mejor la OBRA NUEVA"))</f>
        <v>Sale mejor la OBRA NUEVA</v>
      </c>
      <c r="E24" s="12" t="inlineStr">
        <is>
          <t>Compara dinero. Un traspaso te da clientela y un local que ya funcionó, y te ata a una distribución que igual no admite el conducto ni la freidora que quieres. Pide los modelos 303 y 390 de los tres últimos años: un traspaso se valora por lo que gana el negocio, no por lo que pide el anuncio.</t>
        </is>
      </c>
    </row>
    <row r="25"/>
    <row r="26">
      <c r="A26" s="4" t="inlineStr">
        <is>
          <t>Traspasos Publicados: Precios Pedidos, No Pagados</t>
        </is>
      </c>
    </row>
    <row r="27" ht="30" customHeight="1">
      <c r="A27" s="9" t="inlineStr">
        <is>
          <t>Zona</t>
        </is>
      </c>
      <c r="B27" s="9" t="inlineStr">
        <is>
          <t>Tipo de negocio</t>
        </is>
      </c>
      <c r="C27" s="9" t="inlineStr">
        <is>
          <t>m²</t>
        </is>
      </c>
      <c r="D27" s="9" t="inlineStr">
        <is>
          <t>Precio pedido</t>
        </is>
      </c>
      <c r="E27" s="9" t="inlineStr">
        <is>
          <t>Nota</t>
        </is>
      </c>
      <c r="F27" s="9" t="inlineStr">
        <is>
          <t>€ por m²</t>
        </is>
      </c>
      <c r="G27" s="9" t="inlineStr">
        <is>
          <t>Fuente</t>
        </is>
      </c>
      <c r="H27" s="9" t="inlineStr">
        <is>
          <t>Fiabilidad</t>
        </is>
      </c>
    </row>
    <row r="28" ht="36" customHeight="1">
      <c r="A28" s="6" t="inlineStr">
        <is>
          <t>Granada capital</t>
        </is>
      </c>
      <c r="B28" s="6" t="inlineStr">
        <is>
          <t>Churrería, bocadillería, patatas asadas y kebab</t>
        </is>
      </c>
      <c r="C28" s="17" t="n">
        <v>80</v>
      </c>
      <c r="D28" s="26" t="n">
        <v>19500</v>
      </c>
      <c r="E28" s="6" t="inlineStr">
        <is>
          <t>Publicado hace unas horas.</t>
        </is>
      </c>
      <c r="F28" s="26">
        <f>IFERROR(D28/C28,"")</f>
        <v>243.75</v>
      </c>
      <c r="G28" t="inlineStr">
        <is>
          <t>CUS-31a</t>
        </is>
      </c>
      <c r="H28" t="inlineStr">
        <is>
          <t>media</t>
        </is>
      </c>
    </row>
    <row r="29" ht="36" customHeight="1">
      <c r="A29" s="6" t="inlineStr">
        <is>
          <t>Granada (Zaidín)</t>
        </is>
      </c>
      <c r="B29" s="6" t="inlineStr">
        <is>
          <t>Churrería y patatas asadas, por jubilación</t>
        </is>
      </c>
      <c r="C29" s="17" t="n">
        <v>60</v>
      </c>
      <c r="D29" s="26" t="n">
        <v>16000</v>
      </c>
      <c r="E29" s="6" t="inlineStr">
        <is>
          <t>El único con motivo declarado.</t>
        </is>
      </c>
      <c r="F29" s="26">
        <f>IFERROR(D29/C29,"")</f>
        <v>266.6666666666667</v>
      </c>
      <c r="G29" t="inlineStr">
        <is>
          <t>CUS-31b</t>
        </is>
      </c>
      <c r="H29" t="inlineStr">
        <is>
          <t>media</t>
        </is>
      </c>
    </row>
    <row r="30" ht="36" customHeight="1">
      <c r="A30" s="6" t="inlineStr">
        <is>
          <t>Granada (centro)</t>
        </is>
      </c>
      <c r="B30" s="6" t="inlineStr">
        <is>
          <t>Cafetería-churrería en funcionamiento</t>
        </is>
      </c>
      <c r="C30" s="17" t="n">
        <v>70</v>
      </c>
      <c r="D30" s="26" t="n">
        <v>40000</v>
      </c>
      <c r="E30" s="6" t="inlineStr">
        <is>
          <t>Seis meses sin venderse: el precio pedido no se cierra.</t>
        </is>
      </c>
      <c r="F30" s="26">
        <f>IFERROR(D30/C30,"")</f>
        <v>571.4285714285714</v>
      </c>
      <c r="G30" t="inlineStr">
        <is>
          <t>CUS-31c</t>
        </is>
      </c>
      <c r="H30" t="inlineStr">
        <is>
          <t>media</t>
        </is>
      </c>
    </row>
    <row r="31" ht="36" customHeight="1">
      <c r="A31" s="6" t="inlineStr">
        <is>
          <t>Granada (Genil)</t>
        </is>
      </c>
      <c r="B31" s="6" t="inlineStr">
        <is>
          <t>Cafetería y churrería</t>
        </is>
      </c>
      <c r="C31" s="17" t="n">
        <v>70</v>
      </c>
      <c r="D31" s="26" t="n">
        <v>40000</v>
      </c>
      <c r="E31" s="6" t="inlineStr">
        <is>
          <t>Casi cuatro meses publicado.</t>
        </is>
      </c>
      <c r="F31" s="26">
        <f>IFERROR(D31/C31,"")</f>
        <v>571.4285714285714</v>
      </c>
      <c r="G31" t="inlineStr">
        <is>
          <t>CUS-31d</t>
        </is>
      </c>
      <c r="H31" t="inlineStr">
        <is>
          <t>media</t>
        </is>
      </c>
    </row>
    <row r="32" ht="36" customHeight="1">
      <c r="A32" s="6" t="inlineStr">
        <is>
          <t>Montefrío (Granada)</t>
        </is>
      </c>
      <c r="B32" s="6" t="inlineStr">
        <is>
          <t>Heladería y churrería</t>
        </is>
      </c>
      <c r="C32" s="17" t="n">
        <v>105</v>
      </c>
      <c r="D32" s="26" t="n">
        <v>65000</v>
      </c>
      <c r="E32" s="6" t="inlineStr">
        <is>
          <t>Helado en verano, churro en invierno.</t>
        </is>
      </c>
      <c r="F32" s="26">
        <f>IFERROR(D32/C32,"")</f>
        <v>619.047619047619</v>
      </c>
      <c r="G32" t="inlineStr">
        <is>
          <t>CUS-31e</t>
        </is>
      </c>
      <c r="H32" t="inlineStr">
        <is>
          <t>media</t>
        </is>
      </c>
    </row>
    <row r="33" ht="36" customHeight="1">
      <c r="A33" s="6" t="inlineStr">
        <is>
          <t>Ibiza</t>
        </is>
      </c>
      <c r="B33" s="6" t="inlineStr">
        <is>
          <t>Heladería y churrería</t>
        </is>
      </c>
      <c r="C33" s="17" t="n">
        <v>120</v>
      </c>
      <c r="D33" s="26" t="n">
        <v>60000</v>
      </c>
      <c r="E33" s="6" t="inlineStr">
        <is>
          <t>Sin URL: sólo como orden de magnitud.</t>
        </is>
      </c>
      <c r="F33" s="26">
        <f>IFERROR(D33/C33,"")</f>
        <v>500.0</v>
      </c>
      <c r="G33" t="inlineStr">
        <is>
          <t>CUS-31f</t>
        </is>
      </c>
      <c r="H33" t="inlineStr">
        <is>
          <t>baja</t>
        </is>
      </c>
    </row>
    <row r="34" ht="36" customHeight="1">
      <c r="A34" s="6" t="inlineStr">
        <is>
          <t>Valdemoro (Madrid)</t>
        </is>
      </c>
      <c r="B34" s="6" t="inlineStr">
        <is>
          <t>Cafetería-churrería en el centro</t>
        </is>
      </c>
      <c r="C34" s="17" t="n">
        <v>240</v>
      </c>
      <c r="D34" s="26" t="n">
        <v>65000</v>
      </c>
      <c r="E34" s="6" t="inlineStr">
        <is>
          <t>Tres anuncios del mismo local: cuenta uno.</t>
        </is>
      </c>
      <c r="F34" s="26">
        <f>IFERROR(D34/C34,"")</f>
        <v>270.8333333333333</v>
      </c>
      <c r="G34" t="inlineStr">
        <is>
          <t>CUS-31g</t>
        </is>
      </c>
      <c r="H34" t="inlineStr">
        <is>
          <t>media</t>
        </is>
      </c>
    </row>
    <row r="35" ht="36" customHeight="1">
      <c r="A35" s="6" t="inlineStr">
        <is>
          <t>Madrid (Vallecas)</t>
        </is>
      </c>
      <c r="B35" s="6" t="inlineStr">
        <is>
          <t>Churrería-chocolatería con sala</t>
        </is>
      </c>
      <c r="C35" s="17" t="n">
        <v>74</v>
      </c>
      <c r="D35" s="26" t="n">
        <v>82000</v>
      </c>
      <c r="E35" s="6" t="inlineStr">
        <is>
          <t>Precio pedido y negociable, con unos 50.000 € de equipos declarados dentro y la misma renta que El Molinete. Lectura del anuncio del 3-10-2026, sin reverificar: compruébalo en el anuncio antes de usarlo.</t>
        </is>
      </c>
      <c r="F35" s="26">
        <f>IFERROR(D35/C35,"")</f>
        <v>1108.1081081081081</v>
      </c>
      <c r="G35" t="inlineStr">
        <is>
          <t>CUS-02</t>
        </is>
      </c>
      <c r="H35" t="inlineStr">
        <is>
          <t>media</t>
        </is>
      </c>
    </row>
    <row r="36"/>
    <row r="37">
      <c r="A37" s="25" t="inlineStr">
        <is>
          <t>Churrería de barrio: precio pedido más bajo</t>
        </is>
      </c>
      <c r="D37" s="11">
        <f>MIN(D28,D29)</f>
        <v>16000.0</v>
      </c>
    </row>
    <row r="38">
      <c r="A38" s="25" t="inlineStr">
        <is>
          <t>Churrería de barrio: precio pedido más alto</t>
        </is>
      </c>
      <c r="D38" s="11">
        <f>MAX(D28,D29)</f>
        <v>19500.0</v>
      </c>
    </row>
    <row r="39">
      <c r="A39" s="25" t="inlineStr">
        <is>
          <t>Cafetería-churrería: precio pedido más bajo</t>
        </is>
      </c>
      <c r="D39" s="11">
        <f>MIN(D30,D31,D34)</f>
        <v>40000.0</v>
      </c>
    </row>
    <row r="40">
      <c r="A40" s="25" t="inlineStr">
        <is>
          <t>Cafetería-churrería: precio pedido más alto</t>
        </is>
      </c>
      <c r="D40" s="11">
        <f>MAX(D30,D31,D34)</f>
        <v>65000.0</v>
      </c>
    </row>
    <row r="41">
      <c r="A41" s="25" t="inlineStr">
        <is>
          <t>Churrería-chocolatería con sala: techo de los anuncios leídos</t>
        </is>
      </c>
      <c r="D41" s="11">
        <f>D35</f>
        <v>82000.0</v>
      </c>
    </row>
    <row r="42"/>
    <row r="43" ht="46" customHeight="1">
      <c r="A43" s="30" t="inlineStr">
        <is>
          <t>Son precios PEDIDOS en anuncios, no precios pagados: un traspaso se negocia, y algunos llevan meses sin venderse. Los anuncios que se reeditan durante años no entran en ningún rango. El techo con sala es el del anuncio de Vallecas, precio pedido y negociable, con los equipos dentro.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43:H43"/>
  </mergeCells>
  <conditionalFormatting sqref="B19">
    <cfRule type="cellIs" priority="1" operator="equal" dxfId="0" stopIfTrue="1">
      <formula>"Sale mejor el TRASPASO"</formula>
    </cfRule>
    <cfRule type="cellIs" priority="2" operator="equal" dxfId="2" stopIfTrue="1">
      <formula>"Sale mejor la OBRA NUEVA"</formula>
    </cfRule>
  </conditionalFormatting>
  <conditionalFormatting sqref="B24">
    <cfRule type="cellIs" priority="3" operator="equal" dxfId="0" stopIfTrue="1">
      <formula>"Sale mejor el TRASPASO"</formula>
    </cfRule>
    <cfRule type="cellIs" priority="4" operator="equal" dxfId="2" stopIfTrue="1">
      <formula>"Sale mejor la OBRA NUEVA"</formula>
    </cfRule>
  </conditionalFormatting>
  <dataValidations count="1">
    <dataValidation sqref="B6 B7 B8 B9 B13 B1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E28"/>
  <sheetViews>
    <sheetView workbookViewId="0">
      <pane ySplit="5" topLeftCell="A6"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80" customWidth="1" min="5" max="5"/>
  </cols>
  <sheetData>
    <row r="1">
      <c r="A1" s="1" t="inlineStr">
        <is>
          <t>IVA y Tesorería</t>
        </is>
      </c>
    </row>
    <row r="2">
      <c r="A2" s="2" t="inlineStr">
        <is>
          <t>AI Chef Pro · aichef.pro — Cómo Montar una Churrería-Chocolatería</t>
        </is>
      </c>
    </row>
    <row r="3">
      <c r="A3" s="3" t="inlineStr">
        <is>
          <t>El IVA de la inversión sale de tu bolsillo el día que pagas y vuelve después, al ritmo al que factures.</t>
        </is>
      </c>
    </row>
    <row r="4"/>
    <row r="5" ht="30" customHeight="1">
      <c r="A5" s="9" t="inlineStr">
        <is>
          <t>Bloque</t>
        </is>
      </c>
      <c r="B5" s="9" t="inlineStr">
        <is>
          <t>Base sin IVA</t>
        </is>
      </c>
      <c r="C5" s="9" t="inlineStr">
        <is>
          <t>IVA soportado</t>
        </is>
      </c>
      <c r="D5" s="9" t="inlineStr">
        <is>
          <t>Total con IVA</t>
        </is>
      </c>
      <c r="E5" s="9" t="inlineStr">
        <is>
          <t>Nota</t>
        </is>
      </c>
    </row>
    <row r="6">
      <c r="A6" t="inlineStr">
        <is>
          <t>Obra civil y acondicionamiento</t>
        </is>
      </c>
      <c r="B6" s="26">
        <f>'CAPEX por Bloque'!$E$34</f>
        <v>28500.0</v>
      </c>
      <c r="C6" s="26">
        <f>'CAPEX por Bloque'!$F$34</f>
        <v>5985.0</v>
      </c>
      <c r="D6" s="26">
        <f>'CAPEX por Bloque'!$G$34</f>
        <v>34485.0</v>
      </c>
    </row>
    <row r="7">
      <c r="A7" t="inlineStr">
        <is>
          <t>Extracción y conducto</t>
        </is>
      </c>
      <c r="B7" s="26">
        <f>'CAPEX por Bloque'!$E$35</f>
        <v>9990.0</v>
      </c>
      <c r="C7" s="26">
        <f>'CAPEX por Bloque'!$F$35</f>
        <v>2097.9</v>
      </c>
      <c r="D7" s="26">
        <f>'CAPEX por Bloque'!$G$35</f>
        <v>12087.9</v>
      </c>
    </row>
    <row r="8">
      <c r="A8" t="inlineStr">
        <is>
          <t>Fritura, dosificación y amasado</t>
        </is>
      </c>
      <c r="B8" s="26">
        <f>'CAPEX por Bloque'!$E$36</f>
        <v>6754.2</v>
      </c>
      <c r="C8" s="26">
        <f>'CAPEX por Bloque'!$F$36</f>
        <v>1418.382</v>
      </c>
      <c r="D8" s="26">
        <f>'CAPEX por Bloque'!$G$36</f>
        <v>8172.582</v>
      </c>
    </row>
    <row r="9">
      <c r="A9" t="inlineStr">
        <is>
          <t>Chocolate y café</t>
        </is>
      </c>
      <c r="B9" s="26">
        <f>'CAPEX por Bloque'!$E$37</f>
        <v>5675.4</v>
      </c>
      <c r="C9" s="26">
        <f>'CAPEX por Bloque'!$F$37</f>
        <v>1191.834</v>
      </c>
      <c r="D9" s="26">
        <f>'CAPEX por Bloque'!$G$37</f>
        <v>6867.2339999999995</v>
      </c>
    </row>
    <row r="10">
      <c r="A10" t="inlineStr">
        <is>
          <t>Barra, sala y terraza</t>
        </is>
      </c>
      <c r="B10" s="26">
        <f>'CAPEX por Bloque'!$E$38</f>
        <v>20800.0</v>
      </c>
      <c r="C10" s="26">
        <f>'CAPEX por Bloque'!$F$38</f>
        <v>4368.0</v>
      </c>
      <c r="D10" s="26">
        <f>'CAPEX por Bloque'!$G$38</f>
        <v>25168.0</v>
      </c>
    </row>
    <row r="11">
      <c r="A11" t="inlineStr">
        <is>
          <t>Control y seguridad</t>
        </is>
      </c>
      <c r="B11" s="26">
        <f>'CAPEX por Bloque'!$E$39</f>
        <v>1027.75</v>
      </c>
      <c r="C11" s="26">
        <f>'CAPEX por Bloque'!$F$39</f>
        <v>215.8275</v>
      </c>
      <c r="D11" s="26">
        <f>'CAPEX por Bloque'!$G$39</f>
        <v>1243.5774999999999</v>
      </c>
    </row>
    <row r="12">
      <c r="A12" t="inlineStr">
        <is>
          <t>TPV y rótulo</t>
        </is>
      </c>
      <c r="B12" s="26">
        <f>'CAPEX por Bloque'!$E$40</f>
        <v>2900.0</v>
      </c>
      <c r="C12" s="26">
        <f>'CAPEX por Bloque'!$F$40</f>
        <v>609.0</v>
      </c>
      <c r="D12" s="26">
        <f>'CAPEX por Bloque'!$G$40</f>
        <v>3509.0</v>
      </c>
    </row>
    <row r="13">
      <c r="A13" t="inlineStr">
        <is>
          <t>Licencias, proyecto de actividad y tasas</t>
        </is>
      </c>
      <c r="B13" s="26">
        <f>'CAPEX por Bloque'!$E$41</f>
        <v>6100.0</v>
      </c>
      <c r="C13" s="26">
        <f>'CAPEX por Bloque'!$F$41</f>
        <v>882.0</v>
      </c>
      <c r="D13" s="26">
        <f>'CAPEX por Bloque'!$G$41</f>
        <v>6982.0</v>
      </c>
    </row>
    <row r="14">
      <c r="A14" t="inlineStr">
        <is>
          <t>Fianza y garantías</t>
        </is>
      </c>
      <c r="B14" s="26">
        <f>'CAPEX por Bloque'!$E$42</f>
        <v>1820.0</v>
      </c>
      <c r="C14" s="26">
        <f>'CAPEX por Bloque'!$F$42</f>
        <v>0.0</v>
      </c>
      <c r="D14" s="26">
        <f>'CAPEX por Bloque'!$G$42</f>
        <v>1820.0</v>
      </c>
    </row>
    <row r="15">
      <c r="A15" t="inlineStr">
        <is>
          <t>Stock inicial y envase</t>
        </is>
      </c>
      <c r="B15" s="26">
        <f>'CAPEX por Bloque'!$E$43</f>
        <v>848.3</v>
      </c>
      <c r="C15" s="26">
        <f>'CAPEX por Bloque'!$F$43</f>
        <v>110.68</v>
      </c>
      <c r="D15" s="26">
        <f>'CAPEX por Bloque'!$G$43</f>
        <v>958.98</v>
      </c>
    </row>
    <row r="16">
      <c r="A16" t="inlineStr">
        <is>
          <t>Marketing de apertura</t>
        </is>
      </c>
      <c r="B16" s="26">
        <f>'CAPEX por Bloque'!$E$44</f>
        <v>2000.0</v>
      </c>
      <c r="C16" s="26">
        <f>'CAPEX por Bloque'!$F$44</f>
        <v>420.0</v>
      </c>
      <c r="D16" s="26">
        <f>'CAPEX por Bloque'!$G$44</f>
        <v>2420.0</v>
      </c>
    </row>
    <row r="17">
      <c r="A17" s="25" t="inlineStr">
        <is>
          <t>TOTAL</t>
        </is>
      </c>
      <c r="B17" s="11">
        <f>SUM(B6:B16)</f>
        <v>86415.65000000001</v>
      </c>
      <c r="C17" s="11">
        <f>SUM(C6:C16)</f>
        <v>17298.6235</v>
      </c>
      <c r="D17" s="11">
        <f>SUM(D6:D16)</f>
        <v>103714.2735</v>
      </c>
    </row>
    <row r="18"/>
    <row r="19">
      <c r="A19" s="4" t="inlineStr">
        <is>
          <t>De Qué Tipo Es el IVA que Adelantas</t>
        </is>
      </c>
    </row>
    <row r="20">
      <c r="A20" s="6" t="inlineStr">
        <is>
          <t>IVA al tipo de los alimentos (el stock de mix, aceite, preparado...)</t>
        </is>
      </c>
      <c r="C20" s="26">
        <f>SUMIF('CAPEX por Bloque'!$H$16:$H$29,'Parámetros'!$B$7,'CAPEX por Bloque'!$J$16:$J$29)</f>
        <v>61.33</v>
      </c>
    </row>
    <row r="21" ht="58" customHeight="1">
      <c r="A21" s="6" t="inlineStr">
        <is>
          <t>IVA al tipo general (maquinaria, obra, servicios y envases)</t>
        </is>
      </c>
      <c r="C21" s="26">
        <f>C17-C20</f>
        <v>17237.2935</v>
      </c>
      <c r="E21" s="12" t="inlineStr">
        <is>
          <t>Casi todo el IVA que adelantas es del tipo general, y lo que vendes en la carta va a tipos más bajos: la compensación tarda más de lo que parece. Si te inscribes en el registro de devolución mensual, la espera se acorta; pregúntaselo a tu asesor.</t>
        </is>
      </c>
    </row>
    <row r="22">
      <c r="A22" s="6" t="inlineStr">
        <is>
          <t>Partidas que no llevan IVA (tasas y fianza), base</t>
        </is>
      </c>
      <c r="B22" s="26">
        <f>SUMIF('CAPEX por Bloque'!$J$6:$J$12,'Parámetros'!$B$8,'CAPEX por Bloque'!$K$6:$K$12)</f>
        <v>3720.0</v>
      </c>
    </row>
    <row r="23"/>
    <row r="24">
      <c r="A24" s="4" t="inlineStr">
        <is>
          <t>La Caja del Día que Pagas</t>
        </is>
      </c>
    </row>
    <row r="25">
      <c r="A25" s="25" t="inlineStr">
        <is>
          <t>CAPEX sin IVA (los once bloques)</t>
        </is>
      </c>
      <c r="B25" s="11">
        <f>B17</f>
        <v>86415.65000000001</v>
      </c>
    </row>
    <row r="26">
      <c r="A26" s="25" t="inlineStr">
        <is>
          <t>IVA que tienes que adelantar</t>
        </is>
      </c>
      <c r="B26" s="11">
        <f>C17</f>
        <v>17298.6235</v>
      </c>
    </row>
    <row r="27" ht="44" customHeight="1">
      <c r="A27" s="25" t="inlineStr">
        <is>
          <t>Desembolso total con IVA</t>
        </is>
      </c>
      <c r="B27" s="11">
        <f>D17</f>
        <v>103714.2735</v>
      </c>
      <c r="E27" s="12" t="inlineStr">
        <is>
          <t>Lo que sale de la cuenta para abrir, sin contar el fondo de maniobra de los primeros meses: ese lo calcula el libro 6 con sus gastos fijos, junto con la financiación y la aportación propia.</t>
        </is>
      </c>
    </row>
    <row r="28">
      <c r="A28" s="25" t="inlineStr">
        <is>
          <t>Peso del IVA sobre el desembolso</t>
        </is>
      </c>
      <c r="B28" s="29">
        <f>IFERROR(C17/D17,"")</f>
        <v>0.16679115531769118</v>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21"/>
  <sheetViews>
    <sheetView workbookViewId="0">
      <pane ySplit="5" topLeftCell="A6" activePane="bottomLeft" state="frozen"/>
      <selection pane="bottomLeft" activeCell="A1" sqref="A1"/>
    </sheetView>
  </sheetViews>
  <sheetFormatPr baseColWidth="8" defaultRowHeight="15"/>
  <cols>
    <col width="5" customWidth="1" min="1" max="1"/>
    <col width="32" customWidth="1" min="2" max="2"/>
    <col width="40" customWidth="1" min="3" max="3"/>
    <col width="44" customWidth="1" min="4" max="4"/>
    <col width="9" customWidth="1" min="5" max="5"/>
    <col width="11" customWidth="1" min="6" max="6"/>
    <col width="13" customWidth="1" min="7" max="7"/>
    <col width="60" customWidth="1" min="8" max="8"/>
  </cols>
  <sheetData>
    <row r="1">
      <c r="A1" s="1" t="inlineStr">
        <is>
          <t>Proveedores</t>
        </is>
      </c>
    </row>
    <row r="2">
      <c r="A2" s="2" t="inlineStr">
        <is>
          <t>AI Chef Pro · aichef.pro — Cómo Montar una Churrería-Chocolatería</t>
        </is>
      </c>
    </row>
    <row r="3">
      <c r="A3" s="3" t="inlineStr">
        <is>
          <t>Sólo proveedores con URL comprobada. Sin relación comercial: están para que pidas presupuesto por escrito.</t>
        </is>
      </c>
    </row>
    <row r="4"/>
    <row r="5" ht="46" customHeight="1">
      <c r="A5" s="9" t="inlineStr">
        <is>
          <t>Nº</t>
        </is>
      </c>
      <c r="B5" s="9" t="inlineStr">
        <is>
          <t>Proveedor</t>
        </is>
      </c>
      <c r="C5" s="9" t="inlineStr">
        <is>
          <t>Qué ofrece</t>
        </is>
      </c>
      <c r="D5" s="9" t="inlineStr">
        <is>
          <t>URL</t>
        </is>
      </c>
      <c r="E5" s="9" t="inlineStr">
        <is>
          <t>Id</t>
        </is>
      </c>
      <c r="F5" s="9" t="inlineStr">
        <is>
          <t>¿Trabajas con él?</t>
        </is>
      </c>
      <c r="G5" s="9" t="inlineStr">
        <is>
          <t>¿Te ha dado presupuesto por escrito?</t>
        </is>
      </c>
      <c r="H5" s="9" t="inlineStr">
        <is>
          <t>Nota</t>
        </is>
      </c>
    </row>
    <row r="6" ht="46" customHeight="1">
      <c r="A6" s="17" t="n">
        <v>1</v>
      </c>
      <c r="B6" s="6" t="inlineStr">
        <is>
          <t>Churrofácil CB (Linares, Jaén)</t>
        </is>
      </c>
      <c r="C6" s="6" t="inlineStr">
        <is>
          <t>Mix de churros y porras, aceite, chocolate en polvo, cucuruchos, maquinaria y remolques</t>
        </is>
      </c>
      <c r="D6" s="6" t="inlineStr">
        <is>
          <t>https://www.churrofacil.com/</t>
        </is>
      </c>
      <c r="E6" t="inlineStr">
        <is>
          <t>CUS-44a</t>
        </is>
      </c>
      <c r="F6" s="5" t="inlineStr">
        <is>
          <t>No</t>
        </is>
      </c>
      <c r="G6" s="5" t="inlineStr">
        <is>
          <t>Por pedir</t>
        </is>
      </c>
      <c r="H6" s="6" t="inlineStr">
        <is>
          <t>Precios publicados sin IVA: de aquí salen el mix, el aceite, el preparado y el cucurucho. Da formación con la maquinaria.</t>
        </is>
      </c>
    </row>
    <row r="7" ht="46" customHeight="1">
      <c r="A7" s="17" t="n">
        <v>2</v>
      </c>
      <c r="B7" s="6" t="inlineStr">
        <is>
          <t>Harinas Sánchez Palencia</t>
        </is>
      </c>
      <c r="C7" s="6" t="inlineStr">
        <is>
          <t>Harina especial para churros (sin precio publicado)</t>
        </is>
      </c>
      <c r="D7" s="6" t="inlineStr">
        <is>
          <t>https://www.harinassp.es/</t>
        </is>
      </c>
      <c r="E7" t="inlineStr">
        <is>
          <t>CUS-44b</t>
        </is>
      </c>
      <c r="F7" s="5" t="inlineStr">
        <is>
          <t>No</t>
        </is>
      </c>
      <c r="G7" s="5" t="inlineStr">
        <is>
          <t>Por pedir</t>
        </is>
      </c>
      <c r="H7" s="6" t="inlineStr"/>
    </row>
    <row r="8" ht="46" customHeight="1">
      <c r="A8" s="17" t="n">
        <v>3</v>
      </c>
      <c r="B8" s="6" t="inlineStr">
        <is>
          <t>Fabricantes de maquinaria: Inblan, J.L. Blanco, Inhospan, Mundigas, Repagas y NTGAS</t>
        </is>
      </c>
      <c r="C8" s="6" t="inlineStr">
        <is>
          <t>Churreras, freidoras, dosificadoras, amasadoras y chocolateras</t>
        </is>
      </c>
      <c r="D8" s="6" t="inlineStr">
        <is>
          <t>https://www.inblan.com/maquinaria-para-churreria/</t>
        </is>
      </c>
      <c r="E8" t="inlineStr">
        <is>
          <t>CUS-44e</t>
        </is>
      </c>
      <c r="F8" s="5" t="inlineStr">
        <is>
          <t>No</t>
        </is>
      </c>
      <c r="G8" s="5" t="inlineStr">
        <is>
          <t>Por pedir</t>
        </is>
      </c>
      <c r="H8" s="6" t="inlineStr">
        <is>
          <t>Inblan no publica precios; los demás aparecen con precio en el listado de un distribuidor.</t>
        </is>
      </c>
    </row>
    <row r="9" ht="46" customHeight="1">
      <c r="A9" s="17" t="n">
        <v>4</v>
      </c>
      <c r="B9" s="6" t="inlineStr">
        <is>
          <t>HostelShop España</t>
        </is>
      </c>
      <c r="C9" s="6" t="inlineStr">
        <is>
          <t>Maquinaria para churrerías (sin precios en la página)</t>
        </is>
      </c>
      <c r="D9" s="6" t="inlineStr">
        <is>
          <t>https://hostelshopespana.com/maquinaria-de-hosteleria-para-churrerias/</t>
        </is>
      </c>
      <c r="E9" t="inlineStr">
        <is>
          <t>CUS-44f</t>
        </is>
      </c>
      <c r="F9" s="5" t="inlineStr">
        <is>
          <t>No</t>
        </is>
      </c>
      <c r="G9" s="5" t="inlineStr">
        <is>
          <t>Por pedir</t>
        </is>
      </c>
      <c r="H9" s="6" t="inlineStr"/>
    </row>
    <row r="10" ht="46" customHeight="1">
      <c r="A10" s="17" t="n">
        <v>5</v>
      </c>
      <c r="B10" s="6" t="inlineStr">
        <is>
          <t>Reseave (Mejorada del Campo, Madrid)</t>
        </is>
      </c>
      <c r="C10" s="6" t="inlineStr">
        <is>
          <t>Gestor autorizado de aceite de cocina usado</t>
        </is>
      </c>
      <c r="D10" s="6" t="inlineStr">
        <is>
          <t>https://www.reseave.es/</t>
        </is>
      </c>
      <c r="E10" t="inlineStr">
        <is>
          <t>CUS-44h</t>
        </is>
      </c>
      <c r="F10" s="5" t="inlineStr">
        <is>
          <t>No</t>
        </is>
      </c>
      <c r="G10" s="5" t="inlineStr">
        <is>
          <t>Por pedir</t>
        </is>
      </c>
      <c r="H10" s="6" t="inlineStr">
        <is>
          <t>Ejemplo para Madrid, sin relación comercial: entrega documento de identificación, contrato y certificado de eliminación.</t>
        </is>
      </c>
    </row>
    <row r="11"/>
    <row r="12">
      <c r="B12" s="25" t="inlineStr">
        <is>
          <t>Proveedores con los que trabajas</t>
        </is>
      </c>
      <c r="F12" s="34">
        <f>COUNTIF(F6:F10,"Sí")</f>
        <v>0.0</v>
      </c>
    </row>
    <row r="13">
      <c r="B13" s="25" t="inlineStr">
        <is>
          <t>Presupuestos por escrito recibidos</t>
        </is>
      </c>
      <c r="G13" s="34">
        <f>COUNTIF(G6:G10,"Sí")</f>
        <v>0.0</v>
      </c>
    </row>
    <row r="14"/>
    <row r="15" ht="46" customHeight="1">
      <c r="B15" s="30" t="inlineStr">
        <is>
          <t>No se publican los proveedores que sólo salen en directorios, ni los formatos profesionales de chocolate sin fuente, ni listados antiguos sin reconfirmar. Para la maquinaria, pide al menos dos presupuestos por escrito con la base de IVA declarada, y apunta el importe en «Equipamiento Línea a Línea». El plazo de entrega se anota en el libro 7.</t>
        </is>
      </c>
    </row>
    <row r="16"/>
    <row r="17">
      <c r="B17" s="24" t="inlineStr">
        <is>
          <t>Listas de validación (no las borres: las usan los desplegables)</t>
        </is>
      </c>
    </row>
    <row r="18">
      <c r="B18" s="25" t="inlineStr">
        <is>
          <t>Sí o No</t>
        </is>
      </c>
      <c r="C18" s="25" t="inlineStr">
        <is>
          <t>Presupuesto</t>
        </is>
      </c>
    </row>
    <row r="19">
      <c r="B19" t="inlineStr">
        <is>
          <t>Sí</t>
        </is>
      </c>
      <c r="C19" t="inlineStr">
        <is>
          <t>Sí</t>
        </is>
      </c>
    </row>
    <row r="20">
      <c r="B20" t="inlineStr">
        <is>
          <t>No</t>
        </is>
      </c>
      <c r="C20" t="inlineStr">
        <is>
          <t>No</t>
        </is>
      </c>
    </row>
    <row r="21">
      <c r="C21" t="inlineStr">
        <is>
          <t>Por pedir</t>
        </is>
      </c>
    </row>
  </sheetData>
  <sheetProtection selectLockedCells="0" selectUnlockedCells="0" sheet="1" objects="0" insertRows="0" insertHyperlinks="1" autoFilter="1" scenarios="0" formatColumns="0" deleteColumns="1" insertColumns="1" pivotTables="1" deleteRows="1" formatCells="1" formatRows="0" sort="0"/>
  <mergeCells count="1">
    <mergeCell ref="B15:H15"/>
  </mergeCells>
  <dataValidations count="2">
    <dataValidation sqref="F6 F7 F8 F9 F10" showDropDown="0" showInputMessage="0" showErrorMessage="1" allowBlank="0" errorTitle="¿Trabajas con él?" error="Elige una opción de la lista." type="list">
      <formula1>=$B$19:$B$20</formula1>
    </dataValidation>
    <dataValidation sqref="G6 G7 G8 G9 G10" showDropDown="0" showInputMessage="0" showErrorMessage="1" allowBlank="0" errorTitle="Presupuesto" error="Elige Sí, No o Por pedir." type="list">
      <formula1>=$C$19:$C$21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M49"/>
  <sheetViews>
    <sheetView workbookViewId="0">
      <pane ySplit="5" topLeftCell="A6" activePane="bottomLeft" state="frozen"/>
      <selection pane="bottomLeft" activeCell="A1" sqref="A1"/>
    </sheetView>
  </sheetViews>
  <sheetFormatPr baseColWidth="8" defaultRowHeight="15"/>
  <cols>
    <col width="56" customWidth="1" min="1" max="1"/>
    <col width="16" customWidth="1" min="2" max="2"/>
    <col width="24" customWidth="1" min="3" max="3"/>
    <col width="70" customWidth="1" min="4" max="4"/>
    <col width="40" customWidth="1" min="11" max="11"/>
    <col width="15" customWidth="1" min="12" max="12"/>
    <col width="48" customWidth="1" min="13" max="13"/>
  </cols>
  <sheetData>
    <row r="1">
      <c r="A1" s="1" t="inlineStr">
        <is>
          <t>Resumen</t>
        </is>
      </c>
    </row>
    <row r="2">
      <c r="A2" s="2" t="inlineStr">
        <is>
          <t>AI Chef Pro · aichef.pro — Cómo Montar una Churrería-Chocolatería</t>
        </is>
      </c>
    </row>
    <row r="3">
      <c r="A3" s="3" t="inlineStr">
        <is>
          <t>Las cifras que llevas al banco y al libro 6. Todas calculadas; aquí no se teclea nada.</t>
        </is>
      </c>
    </row>
    <row r="4">
      <c r="K4" s="4" t="inlineStr">
        <is>
          <t>Lo que Copian Otros Libros (No Muevas Estas Celdas)</t>
        </is>
      </c>
    </row>
    <row r="5" ht="30" customHeight="1">
      <c r="A5" s="9" t="inlineStr">
        <is>
          <t>Cifra</t>
        </is>
      </c>
      <c r="B5" s="9" t="inlineStr">
        <is>
          <t>Valor</t>
        </is>
      </c>
      <c r="C5" s="9" t="inlineStr">
        <is>
          <t>De dónde sale</t>
        </is>
      </c>
      <c r="D5" s="9" t="inlineStr">
        <is>
          <t>Qué dice</t>
        </is>
      </c>
      <c r="K5" s="10" t="inlineStr">
        <is>
          <t>CAPEX de apertura, sin el fondo de maniobra (lo suma el libro 6)</t>
        </is>
      </c>
      <c r="L5" s="11">
        <f>'CAPEX por Bloque'!$E$45</f>
        <v>86415.65000000001</v>
      </c>
      <c r="M5" s="12" t="inlineStr">
        <is>
          <t>Lo copia: libro 6 (plan-financiero-3-anos-churreria.xlsx, hoja 0. Supuestos, X10)</t>
        </is>
      </c>
    </row>
    <row r="6" ht="30" customHeight="1">
      <c r="A6" s="6" t="inlineStr">
        <is>
          <t>Bloque 1. Obra civil y acondicionamiento</t>
        </is>
      </c>
      <c r="B6" s="26">
        <f>'CAPEX por Bloque'!$E$34</f>
        <v>28500.0</v>
      </c>
      <c r="C6" t="inlineStr">
        <is>
          <t>CAPEX por Bloque</t>
        </is>
      </c>
      <c r="D6" s="6" t="inlineStr">
        <is>
          <t>Base sin IVA del bloque.</t>
        </is>
      </c>
      <c r="K6" s="10" t="inlineStr">
        <is>
          <t>CAPEX que no se amortiza (fianza, stock inicial y marketing)</t>
        </is>
      </c>
      <c r="L6" s="11">
        <f>'CAPEX por Bloque'!$E$45-'CAPEX por Bloque'!$I$45</f>
        <v>4668.300000000003</v>
      </c>
      <c r="M6" s="12" t="inlineStr">
        <is>
          <t>Lo copia: libro 6 (plan-financiero-3-anos-churreria.xlsx, hoja 0. Supuestos, X10 bis)</t>
        </is>
      </c>
    </row>
    <row r="7" ht="30" customHeight="1">
      <c r="A7" s="6" t="inlineStr">
        <is>
          <t>Bloque 2. Extracción y conducto</t>
        </is>
      </c>
      <c r="B7" s="26">
        <f>'CAPEX por Bloque'!$E$35</f>
        <v>9990.0</v>
      </c>
      <c r="C7" t="inlineStr">
        <is>
          <t>CAPEX por Bloque</t>
        </is>
      </c>
      <c r="D7" s="6" t="inlineStr">
        <is>
          <t>Base sin IVA del bloque.</t>
        </is>
      </c>
    </row>
    <row r="8" ht="30" customHeight="1">
      <c r="A8" s="6" t="inlineStr">
        <is>
          <t>Bloque 3. Fritura, dosificación y amasado</t>
        </is>
      </c>
      <c r="B8" s="26">
        <f>'CAPEX por Bloque'!$E$36</f>
        <v>6754.2</v>
      </c>
      <c r="C8" t="inlineStr">
        <is>
          <t>CAPEX por Bloque</t>
        </is>
      </c>
      <c r="D8" s="6" t="inlineStr">
        <is>
          <t>Base sin IVA del bloque.</t>
        </is>
      </c>
    </row>
    <row r="9" ht="30" customHeight="1">
      <c r="A9" s="6" t="inlineStr">
        <is>
          <t>Bloque 4. Chocolate y café</t>
        </is>
      </c>
      <c r="B9" s="26">
        <f>'CAPEX por Bloque'!$E$37</f>
        <v>5675.4</v>
      </c>
      <c r="C9" t="inlineStr">
        <is>
          <t>CAPEX por Bloque</t>
        </is>
      </c>
      <c r="D9" s="6" t="inlineStr">
        <is>
          <t>Base sin IVA del bloque.</t>
        </is>
      </c>
    </row>
    <row r="10" ht="30" customHeight="1">
      <c r="A10" s="6" t="inlineStr">
        <is>
          <t>Bloque 5. Barra, sala y terraza</t>
        </is>
      </c>
      <c r="B10" s="26">
        <f>'CAPEX por Bloque'!$E$38</f>
        <v>20800.0</v>
      </c>
      <c r="C10" t="inlineStr">
        <is>
          <t>CAPEX por Bloque</t>
        </is>
      </c>
      <c r="D10" s="6" t="inlineStr">
        <is>
          <t>Base sin IVA del bloque.</t>
        </is>
      </c>
    </row>
    <row r="11" ht="30" customHeight="1">
      <c r="A11" s="6" t="inlineStr">
        <is>
          <t>Bloque 6. Control y seguridad</t>
        </is>
      </c>
      <c r="B11" s="26">
        <f>'CAPEX por Bloque'!$E$39</f>
        <v>1027.75</v>
      </c>
      <c r="C11" t="inlineStr">
        <is>
          <t>CAPEX por Bloque</t>
        </is>
      </c>
      <c r="D11" s="6" t="inlineStr">
        <is>
          <t>Base sin IVA del bloque.</t>
        </is>
      </c>
    </row>
    <row r="12" ht="30" customHeight="1">
      <c r="A12" s="6" t="inlineStr">
        <is>
          <t>Bloque 7. TPV y rótulo</t>
        </is>
      </c>
      <c r="B12" s="26">
        <f>'CAPEX por Bloque'!$E$40</f>
        <v>2900.0</v>
      </c>
      <c r="C12" t="inlineStr">
        <is>
          <t>CAPEX por Bloque</t>
        </is>
      </c>
      <c r="D12" s="6" t="inlineStr">
        <is>
          <t>Base sin IVA del bloque.</t>
        </is>
      </c>
    </row>
    <row r="13" ht="30" customHeight="1">
      <c r="A13" s="6" t="inlineStr">
        <is>
          <t>Bloque 8. Licencias, proyecto de actividad y tasas</t>
        </is>
      </c>
      <c r="B13" s="26">
        <f>'CAPEX por Bloque'!$E$41</f>
        <v>6100.0</v>
      </c>
      <c r="C13" t="inlineStr">
        <is>
          <t>CAPEX por Bloque</t>
        </is>
      </c>
      <c r="D13" s="6" t="inlineStr">
        <is>
          <t>Base sin IVA del bloque.</t>
        </is>
      </c>
    </row>
    <row r="14" ht="30" customHeight="1">
      <c r="A14" s="6" t="inlineStr">
        <is>
          <t>Bloque 9. Fianza y garantías</t>
        </is>
      </c>
      <c r="B14" s="26">
        <f>'CAPEX por Bloque'!$E$42</f>
        <v>1820.0</v>
      </c>
      <c r="C14" t="inlineStr">
        <is>
          <t>CAPEX por Bloque</t>
        </is>
      </c>
      <c r="D14" s="6" t="inlineStr">
        <is>
          <t>Base sin IVA del bloque.</t>
        </is>
      </c>
    </row>
    <row r="15" ht="30" customHeight="1">
      <c r="A15" s="6" t="inlineStr">
        <is>
          <t>Bloque 10. Stock inicial y envase</t>
        </is>
      </c>
      <c r="B15" s="26">
        <f>'CAPEX por Bloque'!$E$43</f>
        <v>848.3</v>
      </c>
      <c r="C15" t="inlineStr">
        <is>
          <t>CAPEX por Bloque</t>
        </is>
      </c>
      <c r="D15" s="6" t="inlineStr">
        <is>
          <t>Base sin IVA del bloque.</t>
        </is>
      </c>
    </row>
    <row r="16" ht="30" customHeight="1">
      <c r="A16" s="6" t="inlineStr">
        <is>
          <t>Bloque 11. Marketing de apertura</t>
        </is>
      </c>
      <c r="B16" s="26">
        <f>'CAPEX por Bloque'!$E$44</f>
        <v>2000.0</v>
      </c>
      <c r="C16" t="inlineStr">
        <is>
          <t>CAPEX por Bloque</t>
        </is>
      </c>
      <c r="D16" s="6" t="inlineStr">
        <is>
          <t>Base sin IVA del bloque.</t>
        </is>
      </c>
    </row>
    <row r="17" ht="30" customHeight="1">
      <c r="A17" s="19" t="inlineStr">
        <is>
          <t>CAPEX TOTAL, sin fondo de maniobra</t>
        </is>
      </c>
      <c r="B17" s="35">
        <f>'CAPEX por Bloque'!$E$45</f>
        <v>86415.65000000001</v>
      </c>
      <c r="C17" t="inlineStr">
        <is>
          <t>CAPEX por Bloque</t>
        </is>
      </c>
      <c r="D17" s="6" t="inlineStr">
        <is>
          <t>LA CIFRA QUE VIAJA AL LIBRO 6 (columna L de esta hoja). El libro 6 le suma el colchón de caja de los primeros meses, que se calcula allí y sólo allí.</t>
        </is>
      </c>
    </row>
    <row r="18" ht="30" customHeight="1">
      <c r="A18" s="6" t="inlineStr">
        <is>
          <t>IVA soportado que adelantas</t>
        </is>
      </c>
      <c r="B18" s="26">
        <f>'CAPEX por Bloque'!$F$45</f>
        <v>17298.6235</v>
      </c>
      <c r="C18" t="inlineStr">
        <is>
          <t>CAPEX por Bloque</t>
        </is>
      </c>
      <c r="D18" s="6" t="inlineStr">
        <is>
          <t>Vuelve al ritmo al que factures, no en una fecha.</t>
        </is>
      </c>
    </row>
    <row r="19" ht="30" customHeight="1">
      <c r="A19" s="6" t="inlineStr">
        <is>
          <t>Desembolso total con IVA</t>
        </is>
      </c>
      <c r="B19" s="26">
        <f>'CAPEX por Bloque'!$G$45</f>
        <v>103714.2735</v>
      </c>
      <c r="C19" t="inlineStr">
        <is>
          <t>CAPEX por Bloque</t>
        </is>
      </c>
      <c r="D19" s="6" t="inlineStr">
        <is>
          <t>Lo que sale de la cuenta para abrir.</t>
        </is>
      </c>
    </row>
    <row r="20" ht="30" customHeight="1">
      <c r="A20" s="6" t="inlineStr">
        <is>
          <t>Inmovilizado amortizable</t>
        </is>
      </c>
      <c r="B20" s="26">
        <f>'CAPEX por Bloque'!$I$45</f>
        <v>81747.35</v>
      </c>
      <c r="C20" t="inlineStr">
        <is>
          <t>CAPEX por Bloque</t>
        </is>
      </c>
      <c r="D20" s="6" t="inlineStr">
        <is>
          <t>Máquinas, obra, proyecto y licencias. La fianza (se recupera), el stock (existencias) y el marketing (gasto del primer año) no se amortizan.</t>
        </is>
      </c>
    </row>
    <row r="21" ht="30" customHeight="1">
      <c r="A21" s="6" t="inlineStr">
        <is>
          <t>No amortizable (fianza, stock inicial y marketing)</t>
        </is>
      </c>
      <c r="B21" s="26">
        <f>'CAPEX por Bloque'!$E$45-'CAPEX por Bloque'!$I$45</f>
        <v>4668.300000000003</v>
      </c>
      <c r="C21" t="inlineStr">
        <is>
          <t>CAPEX por Bloque</t>
        </is>
      </c>
      <c r="D21" s="6" t="inlineStr"/>
    </row>
    <row r="22" ht="30" customHeight="1">
      <c r="A22" s="6" t="inlineStr">
        <is>
          <t>Equipamiento y mobiliario (bloques 2 a 7)</t>
        </is>
      </c>
      <c r="B22" s="26">
        <f>SUM('CAPEX por Bloque'!$E$35:$E$40)</f>
        <v>47147.35</v>
      </c>
      <c r="C22" t="inlineStr">
        <is>
          <t>CAPEX por Bloque</t>
        </is>
      </c>
      <c r="D22" s="6" t="inlineStr">
        <is>
          <t>Lo que se puede poner al lado de los ~50.000 € de equipos que declara el traspaso de Vallecas, sólo como orden de magnitud (base de IVA sin declarar).</t>
        </is>
      </c>
    </row>
    <row r="23" ht="30" customHeight="1">
      <c r="A23" s="6" t="inlineStr">
        <is>
          <t>Dotación con fuente del local con sala (con el medidor de polares)</t>
        </is>
      </c>
      <c r="B23" s="26">
        <f>'Equipamiento Línea a Línea'!$X$35</f>
        <v>9117.35</v>
      </c>
      <c r="C23" t="inlineStr">
        <is>
          <t>Equipamiento Línea a Línea</t>
        </is>
      </c>
      <c r="D23" s="6" t="inlineStr">
        <is>
          <t>Las ocho líneas con precio de ficha, sin la rellenadora.</t>
        </is>
      </c>
    </row>
    <row r="24" ht="30" customHeight="1">
      <c r="A24" s="6" t="inlineStr">
        <is>
          <t>Dotación con fuente del despacho (con el medidor de polares)</t>
        </is>
      </c>
      <c r="B24" s="26">
        <f>'Equipamiento Línea a Línea'!$Y$35</f>
        <v>4684.45</v>
      </c>
      <c r="C24" t="inlineStr">
        <is>
          <t>Equipamiento Línea a Línea</t>
        </is>
      </c>
      <c r="D24" s="6" t="inlineStr">
        <is>
          <t>La variante (b), sin sala.</t>
        </is>
      </c>
    </row>
    <row r="25" ht="30" customHeight="1">
      <c r="A25" s="6" t="inlineStr">
        <is>
          <t>Desviación de tus importes contra la referencia</t>
        </is>
      </c>
      <c r="B25" s="22">
        <f>'Equipamiento Línea a Línea'!$T$37</f>
        <v>0.0</v>
      </c>
      <c r="C25" t="inlineStr">
        <is>
          <t>Equipamiento Línea a Línea</t>
        </is>
      </c>
      <c r="D25" s="6" t="inlineStr">
        <is>
          <t>Cero mientras uses los precios de referencia. Cuando metas tus presupuestos, te dice cuánto te has movido.</t>
        </is>
      </c>
    </row>
    <row r="26" ht="30" customHeight="1">
      <c r="A26" s="6" t="inlineStr">
        <is>
          <t>Veredicto de la desviación</t>
        </is>
      </c>
      <c r="B26" t="str">
        <f>'Equipamiento Línea a Línea'!$T$38</f>
        <v>Dentro de lo admitido</v>
      </c>
      <c r="C26" t="inlineStr">
        <is>
          <t>Equipamiento Línea a Línea</t>
        </is>
      </c>
      <c r="D26" s="6" t="inlineStr"/>
    </row>
    <row r="27" ht="30" customHeight="1">
      <c r="A27" s="6" t="inlineStr">
        <is>
          <t>¿Necesitas extinción automática? (1 sí, 0 no; del libro 1)</t>
        </is>
      </c>
      <c r="B27" s="17">
        <f>'Parámetros'!$B$19</f>
        <v>0.0</v>
      </c>
      <c r="C27" t="inlineStr">
        <is>
          <t>Parámetros</t>
        </is>
      </c>
      <c r="D27" s="6" t="inlineStr">
        <is>
          <t>Con 1, la línea de extinción automática suma su importe en el bloque 8.</t>
        </is>
      </c>
    </row>
    <row r="28" ht="30" customHeight="1">
      <c r="A28" s="6" t="inlineStr">
        <is>
          <t>Traspaso u obra nueva: veredicto de la inversión</t>
        </is>
      </c>
      <c r="B28" t="str">
        <f>'Traspaso vs Obra Nueva'!$B$19</f>
        <v>Sale mejor la OBRA NUEVA</v>
      </c>
      <c r="C28" t="inlineStr">
        <is>
          <t>Traspaso vs Obra Nueva</t>
        </is>
      </c>
      <c r="D28" s="6" t="inlineStr">
        <is>
          <t>Compara dinero; la clientela y la distribución del local no salen en esta celda.</t>
        </is>
      </c>
    </row>
    <row r="29" ht="30" customHeight="1">
      <c r="A29" s="6" t="inlineStr">
        <is>
          <t>Precio de traspaso por debajo del cual gana el traspaso</t>
        </is>
      </c>
      <c r="B29" s="26">
        <f>'Traspaso vs Obra Nueva'!$B$18</f>
        <v>75747.35</v>
      </c>
      <c r="C29" t="inlineStr">
        <is>
          <t>Traspaso vs Obra Nueva</t>
        </is>
      </c>
      <c r="D29" s="6" t="inlineStr">
        <is>
          <t>La cifra a la que hay que negociar.</t>
        </is>
      </c>
    </row>
    <row r="30" ht="30" customHeight="1">
      <c r="A30" s="6" t="inlineStr">
        <is>
          <t>Despacho frente al local con sala: diferencia de dotación</t>
        </is>
      </c>
      <c r="B30" s="26">
        <f>'Variante del Formato'!$D$7</f>
        <v>-4432.900000000001</v>
      </c>
      <c r="C30" t="inlineStr">
        <is>
          <t>Variante del Formato</t>
        </is>
      </c>
      <c r="D30" s="6" t="inlineStr"/>
    </row>
    <row r="31" ht="30" customHeight="1">
      <c r="A31" s="6" t="inlineStr">
        <is>
          <t>Franquicias de base comparable que publican una inversión por debajo de tu CAPEX</t>
        </is>
      </c>
      <c r="B31" s="17">
        <f>'Franquicia o Independiente'!$B$23</f>
        <v>2.0</v>
      </c>
      <c r="C31" t="inlineStr">
        <is>
          <t>Franquicia o Independiente</t>
        </is>
      </c>
      <c r="D31" s="6" t="inlineStr">
        <is>
          <t>Orden de magnitud, no recomendación.</t>
        </is>
      </c>
    </row>
    <row r="32" ht="30" customHeight="1">
      <c r="A32" s="6" t="inlineStr">
        <is>
          <t>Cuadre del cruce X9 (¿necesitas extinción automática? (1 sí, 0 no))</t>
        </is>
      </c>
      <c r="B32" t="str">
        <f>'Parámetros'!$B$22</f>
        <v>CUADRA</v>
      </c>
      <c r="C32" t="inlineStr">
        <is>
          <t>Parámetros</t>
        </is>
      </c>
      <c r="D32" s="6" t="inlineStr">
        <is>
          <t>Si no dice CUADRA, has copiado una cifra que el libro 1 ya no publica.</t>
        </is>
      </c>
    </row>
    <row r="33" ht="30" customHeight="1">
      <c r="A33" s="6" t="inlineStr">
        <is>
          <t>Cuadre del cruce X17 (precio del aceite (base imponible))</t>
        </is>
      </c>
      <c r="B33" t="str">
        <f>'Parámetros'!$B$26</f>
        <v>CUADRA</v>
      </c>
      <c r="C33" t="inlineStr">
        <is>
          <t>Parámetros</t>
        </is>
      </c>
      <c r="D33" s="6" t="inlineStr">
        <is>
          <t>Si no dice CUADRA, has copiado una cifra que el libro 3 ya no publica.</t>
        </is>
      </c>
    </row>
    <row r="34" ht="30" customHeight="1">
      <c r="A34" s="6" t="inlineStr">
        <is>
          <t>Cuadre del cruce X17 (precio del mix (base imponible))</t>
        </is>
      </c>
      <c r="B34" t="str">
        <f>'Parámetros'!$B$30</f>
        <v>CUADRA</v>
      </c>
      <c r="C34" t="inlineStr">
        <is>
          <t>Parámetros</t>
        </is>
      </c>
      <c r="D34" s="6" t="inlineStr">
        <is>
          <t>Si no dice CUADRA, has copiado una cifra que el libro 3 ya no publica.</t>
        </is>
      </c>
    </row>
    <row r="35" ht="30" customHeight="1">
      <c r="A35" s="6" t="inlineStr">
        <is>
          <t>Cuadre del cruce X9 bis (superficie útil del local)</t>
        </is>
      </c>
      <c r="B35" t="str">
        <f>'Parámetros'!$B$34</f>
        <v>CUADRA</v>
      </c>
      <c r="C35" t="inlineStr">
        <is>
          <t>Parámetros</t>
        </is>
      </c>
      <c r="D35" s="6" t="inlineStr">
        <is>
          <t>Si no dice CUADRA, has copiado una cifra que el libro 1 ya no publica.</t>
        </is>
      </c>
    </row>
    <row r="36" ht="30" customHeight="1">
      <c r="A36" s="6" t="inlineStr">
        <is>
          <t>Cuadre del cruce X17 (precio del insumo «preparado_taza» del stock inicial (base imponible))</t>
        </is>
      </c>
      <c r="B36" t="str">
        <f>'Parámetros'!$B$38</f>
        <v>CUADRA</v>
      </c>
      <c r="C36" t="inlineStr">
        <is>
          <t>Parámetros</t>
        </is>
      </c>
      <c r="D36" s="6" t="inlineStr">
        <is>
          <t>Si no dice CUADRA, has copiado una cifra que el libro 3 ya no publica.</t>
        </is>
      </c>
    </row>
    <row r="37" ht="30" customHeight="1">
      <c r="A37" s="6" t="inlineStr">
        <is>
          <t>Cuadre del cruce X17 (precio del insumo «cobertura» del stock inicial (base imponible))</t>
        </is>
      </c>
      <c r="B37" t="str">
        <f>'Parámetros'!$B$42</f>
        <v>CUADRA</v>
      </c>
      <c r="C37" t="inlineStr">
        <is>
          <t>Parámetros</t>
        </is>
      </c>
      <c r="D37" s="6" t="inlineStr">
        <is>
          <t>Si no dice CUADRA, has copiado una cifra que el libro 3 ya no publica.</t>
        </is>
      </c>
    </row>
    <row r="38" ht="30" customHeight="1">
      <c r="A38" s="6" t="inlineStr">
        <is>
          <t>Cuadre del cruce X17 (precio del insumo «cucurucho» del stock inicial (base imponible))</t>
        </is>
      </c>
      <c r="B38" t="str">
        <f>'Parámetros'!$B$46</f>
        <v>CUADRA</v>
      </c>
      <c r="C38" t="inlineStr">
        <is>
          <t>Parámetros</t>
        </is>
      </c>
      <c r="D38" s="6" t="inlineStr">
        <is>
          <t>Si no dice CUADRA, has copiado una cifra que el libro 3 ya no publica.</t>
        </is>
      </c>
    </row>
    <row r="39" ht="30" customHeight="1">
      <c r="A39" s="6" t="inlineStr">
        <is>
          <t>Cuadre del cruce X17 (precio del insumo «vaso_llevar» del stock inicial (base imponible))</t>
        </is>
      </c>
      <c r="B39" t="str">
        <f>'Parámetros'!$B$50</f>
        <v>CUADRA</v>
      </c>
      <c r="C39" t="inlineStr">
        <is>
          <t>Parámetros</t>
        </is>
      </c>
      <c r="D39" s="6" t="inlineStr">
        <is>
          <t>Si no dice CUADRA, has copiado una cifra que el libro 3 ya no publica.</t>
        </is>
      </c>
    </row>
    <row r="40" ht="30" customHeight="1">
      <c r="A40" s="6" t="inlineStr">
        <is>
          <t>Cuadre del cruce X17 (precio del insumo «papel_antigrasa» del stock inicial (base imponible))</t>
        </is>
      </c>
      <c r="B40" t="str">
        <f>'Parámetros'!$B$54</f>
        <v>CUADRA</v>
      </c>
      <c r="C40" t="inlineStr">
        <is>
          <t>Parámetros</t>
        </is>
      </c>
      <c r="D40" s="6" t="inlineStr">
        <is>
          <t>Si no dice CUADRA, has copiado una cifra que el libro 3 ya no publica.</t>
        </is>
      </c>
    </row>
    <row r="41" ht="30" customHeight="1">
      <c r="A41" s="6" t="inlineStr">
        <is>
          <t>Cuadre del cruce X17 (precio del insumo «caja_kilo» del stock inicial (base imponible))</t>
        </is>
      </c>
      <c r="B41" t="str">
        <f>'Parámetros'!$B$58</f>
        <v>CUADRA</v>
      </c>
      <c r="C41" t="inlineStr">
        <is>
          <t>Parámetros</t>
        </is>
      </c>
      <c r="D41" s="6" t="inlineStr">
        <is>
          <t>Si no dice CUADRA, has copiado una cifra que el libro 3 ya no publica.</t>
        </is>
      </c>
    </row>
    <row r="42" ht="30" customHeight="1">
      <c r="A42" s="6" t="inlineStr">
        <is>
          <t>Cuadre del cruce X17 (precio del insumo «cafe» del stock inicial (base imponible))</t>
        </is>
      </c>
      <c r="B42" t="str">
        <f>'Parámetros'!$B$62</f>
        <v>CUADRA</v>
      </c>
      <c r="C42" t="inlineStr">
        <is>
          <t>Parámetros</t>
        </is>
      </c>
      <c r="D42" s="6" t="inlineStr">
        <is>
          <t>Si no dice CUADRA, has copiado una cifra que el libro 3 ya no publica.</t>
        </is>
      </c>
    </row>
    <row r="43" ht="30" customHeight="1">
      <c r="A43" s="6" t="inlineStr">
        <is>
          <t>Cuadre del cruce X17 (precio del insumo «leche» del stock inicial (base imponible))</t>
        </is>
      </c>
      <c r="B43" t="str">
        <f>'Parámetros'!$B$66</f>
        <v>CUADRA</v>
      </c>
      <c r="C43" t="inlineStr">
        <is>
          <t>Parámetros</t>
        </is>
      </c>
      <c r="D43" s="6" t="inlineStr">
        <is>
          <t>Si no dice CUADRA, has copiado una cifra que el libro 3 ya no publica.</t>
        </is>
      </c>
    </row>
    <row r="44" ht="30" customHeight="1">
      <c r="A44" s="6" t="inlineStr">
        <is>
          <t>Cuadre del cruce X17 (precio del insumo «azucar» del stock inicial (base imponible))</t>
        </is>
      </c>
      <c r="B44" t="str">
        <f>'Parámetros'!$B$70</f>
        <v>CUADRA</v>
      </c>
      <c r="C44" t="inlineStr">
        <is>
          <t>Parámetros</t>
        </is>
      </c>
      <c r="D44" s="6" t="inlineStr">
        <is>
          <t>Si no dice CUADRA, has copiado una cifra que el libro 3 ya no publica.</t>
        </is>
      </c>
    </row>
    <row r="45" ht="30" customHeight="1">
      <c r="A45" s="6" t="inlineStr">
        <is>
          <t>Cuadre del cruce X17 (precio del insumo «cacao_soluble» del stock inicial (base imponible))</t>
        </is>
      </c>
      <c r="B45" t="str">
        <f>'Parámetros'!$B$74</f>
        <v>CUADRA</v>
      </c>
      <c r="C45" t="inlineStr">
        <is>
          <t>Parámetros</t>
        </is>
      </c>
      <c r="D45" s="6" t="inlineStr">
        <is>
          <t>Si no dice CUADRA, has copiado una cifra que el libro 3 ya no publica.</t>
        </is>
      </c>
    </row>
    <row r="46" ht="30" customHeight="1">
      <c r="A46" s="6" t="inlineStr">
        <is>
          <t>Cuadre del cruce X17 (precio del insumo «infusion» del stock inicial (base imponible))</t>
        </is>
      </c>
      <c r="B46" t="str">
        <f>'Parámetros'!$B$78</f>
        <v>CUADRA</v>
      </c>
      <c r="C46" t="inlineStr">
        <is>
          <t>Parámetros</t>
        </is>
      </c>
      <c r="D46" s="6" t="inlineStr">
        <is>
          <t>Si no dice CUADRA, has copiado una cifra que el libro 3 ya no publica.</t>
        </is>
      </c>
    </row>
    <row r="47" ht="30" customHeight="1">
      <c r="A47" s="6" t="inlineStr">
        <is>
          <t>Cuadre del cruce X17 (precio del insumo «agua» del stock inicial (base imponible))</t>
        </is>
      </c>
      <c r="B47" t="str">
        <f>'Parámetros'!$B$82</f>
        <v>CUADRA</v>
      </c>
      <c r="C47" t="inlineStr">
        <is>
          <t>Parámetros</t>
        </is>
      </c>
      <c r="D47" s="6" t="inlineStr">
        <is>
          <t>Si no dice CUADRA, has copiado una cifra que el libro 3 ya no publica.</t>
        </is>
      </c>
    </row>
    <row r="48"/>
    <row r="49" ht="34" customHeight="1">
      <c r="A49" s="30" t="inlineStr">
        <is>
          <t>Si alguna de estas cifras no te cuadra, no la cambies aquí: esta hoja no tiene ni una celda editable. Vuelve a la hoja donde nace y cambia el importe o el parámetro.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49:D49"/>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CAPEX de la Churrería-Chocolatería</dc:title>
  <dc:subject xmlns:dc="http://purl.org/dc/elements/1.1/">Cómo Montar una Churrería-Chocolatería · Versión 1.0 · octubre 2026</dc:subject>
  <dcterms:created xmlns:dcterms="http://purl.org/dc/terms/" xmlns:xsi="http://www.w3.org/2001/XMLSchema-instance" xsi:type="dcterms:W3CDTF">2026-10-03T09:56:40Z</dcterms:created>
  <dcterms:modified xmlns:dcterms="http://purl.org/dc/terms/" xmlns:xsi="http://www.w3.org/2001/XMLSchema-instance" xsi:type="dcterms:W3CDTF">2026-10-03T09:56:41Z</dcterms:modified>
  <cp:lastModifiedBy>AI Chef Pro</cp:lastModifiedBy>
</cp:coreProperties>
</file>