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Peso sobre el Año" sheetId="3" state="visible" r:id="rId3"/>
    <sheet xmlns:r="http://schemas.openxmlformats.org/officeDocument/2006/relationships" name="Franjas del Día" sheetId="4" state="visible" r:id="rId4"/>
    <sheet xmlns:r="http://schemas.openxmlformats.org/officeDocument/2006/relationships" name="Capacidad contra el Pico" sheetId="5" state="visible" r:id="rId5"/>
    <sheet xmlns:r="http://schemas.openxmlformats.org/officeDocument/2006/relationships" name="Cola del Domingo" sheetId="6" state="visible" r:id="rId6"/>
    <sheet xmlns:r="http://schemas.openxmlformats.org/officeDocument/2006/relationships" name="Refuerzo por Pico" sheetId="7" state="visible" r:id="rId7"/>
    <sheet xmlns:r="http://schemas.openxmlformats.org/officeDocument/2006/relationships" name="El Verano (Tres Salidas)" sheetId="8" state="visible" r:id="rId8"/>
    <sheet xmlns:r="http://schemas.openxmlformats.org/officeDocument/2006/relationships" name="Punto Muerto por Evento" sheetId="9" state="visible" r:id="rId9"/>
    <sheet xmlns:r="http://schemas.openxmlformats.org/officeDocument/2006/relationships" name="Calendario de Ferias" sheetId="10" state="visible" r:id="rId10"/>
  </sheets>
  <definedNames>
    <definedName name="_xlnm.Print_Titles" localSheetId="1">'Parámetros'!$5:$5</definedName>
    <definedName name="_xlnm.Print_Titles" localSheetId="3">'Franjas del Día'!$21:$21</definedName>
    <definedName name="_xlnm.Print_Titles" localSheetId="4">'Capacidad contra el Pico'!$6:$6</definedName>
    <definedName name="_xlnm.Print_Titles" localSheetId="5">'Cola del Domingo'!$6:$6</definedName>
    <definedName name="_xlnm.Print_Titles" localSheetId="6">'Refuerzo por Pico'!$13:$13</definedName>
    <definedName name="_xlnm.Print_Titles" localSheetId="8">'Punto Muerto por Evento'!$5:$5</definedName>
    <definedName name="_xlnm.Print_Titles" localSheetId="9">'Calendario de Ferias'!$6:$6</definedName>
  </definedNames>
  <calcPr calcId="124519" fullCalcOnLoad="1"/>
</workbook>
</file>

<file path=xl/styles.xml><?xml version="1.0" encoding="utf-8"?>
<styleSheet xmlns="http://schemas.openxmlformats.org/spreadsheetml/2006/main">
  <numFmts count="4">
    <numFmt numFmtId="164" formatCode="#,##0.0"/>
    <numFmt numFmtId="165" formatCode="#,##0.0000 €"/>
    <numFmt numFmtId="166" formatCode="#,##0.00 €"/>
    <numFmt numFmtId="167" formatCode="0.0%"/>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color theme="1"/>
      <sz val="11"/>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2">
    <border>
      <left/>
      <right/>
      <top/>
      <bottom/>
      <diagonal/>
    </border>
    <border>
      <top style="thin">
        <color rgb="00999999"/>
      </top>
    </border>
  </borders>
  <cellStyleXfs count="1">
    <xf numFmtId="0" fontId="0" fillId="0" borderId="0"/>
  </cellStyleXfs>
  <cellXfs count="5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3" fontId="0" fillId="2" borderId="0" applyProtection="1" pivotButton="0" quotePrefix="0" xfId="0">
      <protection locked="0" hidden="0"/>
    </xf>
    <xf numFmtId="0" fontId="9" fillId="0" borderId="0" applyAlignment="1" pivotButton="0" quotePrefix="0" xfId="0">
      <alignment horizontal="general" vertical="top" wrapText="1"/>
    </xf>
    <xf numFmtId="164" fontId="0" fillId="2" borderId="0" applyProtection="1" pivotButton="0" quotePrefix="0" xfId="0">
      <protection locked="0" hidden="0"/>
    </xf>
    <xf numFmtId="165" fontId="0" fillId="2" borderId="0" applyProtection="1" pivotButton="0" quotePrefix="0" xfId="0">
      <protection locked="0" hidden="0"/>
    </xf>
    <xf numFmtId="166" fontId="0" fillId="2" borderId="0" applyProtection="1" pivotButton="0" quotePrefix="0" xfId="0">
      <protection locked="0" hidden="0"/>
    </xf>
    <xf numFmtId="4" fontId="0" fillId="2" borderId="0" applyProtection="1" pivotButton="0" quotePrefix="0" xfId="0">
      <protection locked="0" hidden="0"/>
    </xf>
    <xf numFmtId="2" fontId="0" fillId="2" borderId="0" applyProtection="1" pivotButton="0" quotePrefix="0" xfId="0">
      <protection locked="0" hidden="0"/>
    </xf>
    <xf numFmtId="167" fontId="0" fillId="2" borderId="0" applyProtection="1" pivotButton="0" quotePrefix="0" xfId="0">
      <protection locked="0" hidden="0"/>
    </xf>
    <xf numFmtId="0" fontId="10" fillId="0" borderId="0" applyAlignment="1" pivotButton="0" quotePrefix="0" xfId="0">
      <alignment horizontal="general" vertical="top" wrapText="1"/>
    </xf>
    <xf numFmtId="167" fontId="0" fillId="0" borderId="0" pivotButton="0" quotePrefix="0" xfId="0"/>
    <xf numFmtId="0" fontId="1" fillId="0" borderId="0" applyAlignment="1" pivotButton="0" quotePrefix="0" xfId="0">
      <alignment vertical="top" wrapText="1"/>
    </xf>
    <xf numFmtId="0" fontId="11" fillId="0" borderId="0" pivotButton="0" quotePrefix="0" xfId="0"/>
    <xf numFmtId="3" fontId="11" fillId="0" borderId="0" pivotButton="0" quotePrefix="0" xfId="0"/>
    <xf numFmtId="3" fontId="1" fillId="4" borderId="0" pivotButton="0" quotePrefix="0" xfId="0"/>
    <xf numFmtId="4" fontId="1" fillId="4" borderId="0" pivotButton="0" quotePrefix="0" xfId="0"/>
    <xf numFmtId="0" fontId="1" fillId="0" borderId="0" pivotButton="0" quotePrefix="0" xfId="0"/>
    <xf numFmtId="4" fontId="11" fillId="0" borderId="0" pivotButton="0" quotePrefix="0" xfId="0"/>
    <xf numFmtId="3" fontId="0" fillId="0" borderId="0" pivotButton="0" quotePrefix="0" xfId="0"/>
    <xf numFmtId="4" fontId="1" fillId="0" borderId="0" pivotButton="0" quotePrefix="0" xfId="0"/>
    <xf numFmtId="3" fontId="1" fillId="0" borderId="0" pivotButton="0" quotePrefix="0" xfId="0"/>
    <xf numFmtId="167" fontId="1" fillId="0" borderId="0" pivotButton="0" quotePrefix="0" xfId="0"/>
    <xf numFmtId="4" fontId="0" fillId="0" borderId="0" pivotButton="0" quotePrefix="0" xfId="0"/>
    <xf numFmtId="164" fontId="1" fillId="4" borderId="0" pivotButton="0" quotePrefix="0" xfId="0"/>
    <xf numFmtId="2" fontId="0" fillId="0" borderId="0" pivotButton="0" quotePrefix="0" xfId="0"/>
    <xf numFmtId="164" fontId="0" fillId="0" borderId="0" pivotButton="0" quotePrefix="0" xfId="0"/>
    <xf numFmtId="164" fontId="1" fillId="0" borderId="0" pivotButton="0" quotePrefix="0" xfId="0"/>
    <xf numFmtId="0" fontId="0" fillId="0" borderId="1" pivotButton="0" quotePrefix="0" xfId="0"/>
    <xf numFmtId="2" fontId="0" fillId="2" borderId="1" applyProtection="1" pivotButton="0" quotePrefix="0" xfId="0">
      <protection locked="0" hidden="0"/>
    </xf>
    <xf numFmtId="164" fontId="0" fillId="0" borderId="1" pivotButton="0" quotePrefix="0" xfId="0"/>
    <xf numFmtId="167" fontId="0" fillId="2" borderId="1" applyProtection="1" pivotButton="0" quotePrefix="0" xfId="0">
      <protection locked="0" hidden="0"/>
    </xf>
    <xf numFmtId="0" fontId="4" fillId="0" borderId="0" applyAlignment="1" pivotButton="0" quotePrefix="0" xfId="0">
      <alignment horizontal="general" vertical="top" wrapText="1"/>
    </xf>
    <xf numFmtId="0" fontId="12" fillId="0" borderId="0" pivotButton="0" quotePrefix="0" xfId="0"/>
    <xf numFmtId="0" fontId="1" fillId="0" borderId="0" applyAlignment="1" pivotButton="0" quotePrefix="0" xfId="0">
      <alignment wrapText="1"/>
    </xf>
    <xf numFmtId="0" fontId="1" fillId="4" borderId="0" applyAlignment="1" pivotButton="0" quotePrefix="0" xfId="0">
      <alignment vertical="top" wrapText="1"/>
    </xf>
    <xf numFmtId="0" fontId="1" fillId="4" borderId="0" pivotButton="0" quotePrefix="0" xfId="0"/>
    <xf numFmtId="166" fontId="0" fillId="0" borderId="0" pivotButton="0" quotePrefix="0" xfId="0"/>
    <xf numFmtId="166" fontId="1" fillId="0" borderId="0" pivotButton="0" quotePrefix="0" xfId="0"/>
    <xf numFmtId="166" fontId="1" fillId="4" borderId="0" pivotButton="0" quotePrefix="0" xfId="0"/>
    <xf numFmtId="0" fontId="1" fillId="0" borderId="0" applyAlignment="1" pivotButton="0" quotePrefix="0" xfId="0">
      <alignment horizontal="center"/>
    </xf>
    <xf numFmtId="0" fontId="11" fillId="0" borderId="0" applyAlignment="1" pivotButton="0" quotePrefix="0" xfId="0">
      <alignment horizontal="general" vertical="top" wrapText="1"/>
    </xf>
    <xf numFmtId="0" fontId="1" fillId="0" borderId="0" applyAlignment="1" pivotButton="0" quotePrefix="0" xfId="0">
      <alignment horizontal="general" vertical="top" wrapText="1"/>
    </xf>
    <xf numFmtId="0" fontId="0" fillId="2" borderId="0" applyAlignment="1" applyProtection="1" pivotButton="0" quotePrefix="0" xfId="0">
      <alignment vertical="top" wrapText="1"/>
      <protection locked="0" hidden="0"/>
    </xf>
    <xf numFmtId="165" fontId="0" fillId="0"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A38"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List>
</comments>
</file>

<file path=xl/comments/comment2.xml><?xml version="1.0" encoding="utf-8"?>
<comments xmlns="http://schemas.openxmlformats.org/spreadsheetml/2006/main">
  <authors>
    <author>AI Chef Pro</author>
  </authors>
  <commentList>
    <comment ref="B28"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9"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32" authorId="0" shapeId="0">
      <text>
        <t>Fuente: CUS-29 · fiabilidad media · https://www.elespanol.com/valencia/oci/20260226/confirmado-churrerias-autorizadas-fallas-abriran-partir-dia-calles-valencia-trt/1003744145016_0.html | CUS-V17 · fiabilidad media · https://www.ondavasca.com/maria-malo-churrera-y-repostera-un-chocolate-con-churros-une-a-las-familias/ | Forma cualitativa de la temporada; el umbral es supuesto.</t>
      </text>
    </comment>
    <comment ref="B34" authorId="0" shapeId="0">
      <text>
        <t>Fuente: FC-IVA-02 · fiabilidad alta · https://petete.tributos.hacienda.gob.es/consultas/?num_consulta=V2254-22</t>
      </text>
    </comment>
  </commentList>
</comments>
</file>

<file path=xl/comments/comment3.xml><?xml version="1.0" encoding="utf-8"?>
<comments xmlns="http://schemas.openxmlformats.org/spreadsheetml/2006/main">
  <authors>
    <author>AI Chef Pro</author>
  </authors>
  <commentList>
    <comment ref="I18" authorId="0" shapeId="0">
      <text>
        <t>Fuente: CUS-29 · fiabilidad media · https://www.elespanol.com/valencia/oci/20260226/confirmado-churrerias-autorizadas-fallas-abriran-partir-dia-calles-valencia-trt/1003744145016_0.html | CUS-V17 · fiabilidad media · https://www.ondavasca.com/maria-malo-churrera-y-repostera-un-chocolate-con-churros-une-a-las-familias/ | Forma cualitativa; los valores son supuesto.</t>
      </text>
    </comment>
  </commentList>
</comments>
</file>

<file path=xl/comments/comment4.xml><?xml version="1.0" encoding="utf-8"?>
<comments xmlns="http://schemas.openxmlformats.org/spreadsheetml/2006/main">
  <authors>
    <author>AI Chef Pro</author>
  </authors>
  <commentList>
    <comment ref="E5"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A59"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List>
</comments>
</file>

<file path=xl/comments/comment5.xml><?xml version="1.0" encoding="utf-8"?>
<comments xmlns="http://schemas.openxmlformats.org/spreadsheetml/2006/main">
  <authors>
    <author>AI Chef Pro</author>
  </authors>
  <commentList>
    <comment ref="C7" authorId="0" shapeId="0">
      <text>
        <t>Fuente: CUS-11 · fiabilidad alta · https://chocolateria1902.com/carta/ | Carta de verano de una chocolatería real (granizado, horchata, batido): sólo el formato; los precios de El Molinete están en el libro 3.</t>
      </text>
    </comment>
  </commentList>
</comments>
</file>

<file path=xl/comments/comment6.xml><?xml version="1.0" encoding="utf-8"?>
<comments xmlns="http://schemas.openxmlformats.org/spreadsheetml/2006/main">
  <authors>
    <author>AI Chef Pro</author>
  </authors>
  <commentList>
    <comment ref="B6" authorId="0" shapeId="0">
      <text>
        <t>Fuente: Eventos de ejemplo: supuesto declarado, todo. Son método, no caso.</t>
      </text>
    </comment>
  </commentList>
</comments>
</file>

<file path=xl/comments/comment7.xml><?xml version="1.0" encoding="utf-8"?>
<comments xmlns="http://schemas.openxmlformats.org/spreadsheetml/2006/main">
  <authors>
    <author>AI Chef Pro</author>
  </authors>
  <commentList>
    <comment ref="A22" authorId="0" shapeId="0">
      <text>
        <t>Fuente: CUS-29 · fiabilidad media · https://www.elespanol.com/valencia/oci/20260226/confirmado-churrerias-autorizadas-fallas-abriran-partir-dia-calles-valencia-trt/1003744145016_0.html</t>
      </text>
    </comment>
    <comment ref="A23" authorId="0" shapeId="0">
      <text>
        <t>Verificado el 03-10-2026 · Ordenanza fiscal de la ELA de Ochavillo del Río (Córdoba), art. 7.C (BOP de Córdoba n.º 144, 28-07-2026) · https://bop.dipucordoba.es/visor-pdf/28-07-2026/BOP-A-2026-2586.pdf</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0.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fitToPage="1"/>
  </sheetPr>
  <dimension ref="A1:A46"/>
  <sheetViews>
    <sheetView workbookViewId="0">
      <selection activeCell="A1" sqref="A1"/>
    </sheetView>
  </sheetViews>
  <sheetFormatPr baseColWidth="8" defaultRowHeight="15"/>
  <cols>
    <col width="100" customWidth="1" min="1" max="1"/>
  </cols>
  <sheetData>
    <row r="1">
      <c r="A1" s="1" t="inlineStr">
        <is>
          <t>Temporada, Franjas y Ferias</t>
        </is>
      </c>
    </row>
    <row r="2">
      <c r="A2" s="2" t="inlineStr">
        <is>
          <t>AI Chef Pro · aichef.pro — Cómo Montar una Churrería-Chocolatería</t>
        </is>
      </c>
    </row>
    <row r="3">
      <c r="A3" s="3" t="inlineStr">
        <is>
          <t>Para qué sirve: repartir tus raciones por meses y por franjas, saber si la línea aguanta la hora punta (y la cola del domingo), cuánto refuerzo te toca en Navidad, qué haces en verano y a qué ferias te compensa ir.</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58" customHeight="1">
      <c r="A9" s="6" t="inlineStr">
        <is>
          <t>1. Hoja «Parámetros». Arriba, siete celdas verdes que copias a mano de los libros 1 y 3 (cada una dice de qué celda exacta). Debajo, el calendario del año, la hora punta, la hora mínima de apertura del ejemplo de Madrid y la tolerancia. Al pie, el CUADRE: anota lo que publica hoy cada celda de origen y, si lo que usas se separa, la fila se pone en rojo.</t>
        </is>
      </c>
    </row>
    <row r="10" ht="58" customHeight="1">
      <c r="A10" s="6" t="inlineStr">
        <is>
          <t>2. Hoja «Peso sobre el Año». Las raciones de un año normal y doce coeficientes que las reparten por meses (suman 12). Es lo que copia el libro 6 para su tesorería.</t>
        </is>
      </c>
    </row>
    <row r="11" ht="58" customHeight="1">
      <c r="A11" s="6" t="inlineStr">
        <is>
          <t>3. Hoja «Franjas del Día». La ÚNICA fuente de las franjas de todo el paquete: a qué hora empieza y acaba cada franja cada día y qué parte de las raciones del día se lleva. De aquí salen la hora punta, el semáforo de la hora de apertura y las horas por franja de la semana tipo (a la derecha, como dato de referencia).</t>
        </is>
      </c>
    </row>
    <row r="12" ht="58" customHeight="1">
      <c r="A12" s="6" t="inlineStr">
        <is>
          <t>4. Hojas «Capacidad contra el Pico» y «Cola del Domingo». Mes a mes, si la línea aguanta la hora punta de un día tipo y de un día punta, y cuántas raciones por hora se quedan en cola el domingo. Diciembre y enero son Navidad y Reyes. Al pie de la primera sale el veredicto «¿Una churrera o dos?».</t>
        </is>
      </c>
    </row>
    <row r="13" ht="58" customHeight="1">
      <c r="A13" s="6" t="inlineStr">
        <is>
          <t>5. Hoja «Refuerzo por Pico». Las horas de refuerzo de Navidad y Reyes y lo que cuestan. Las copia el libro 8.</t>
        </is>
      </c>
    </row>
    <row r="14" ht="58" customHeight="1">
      <c r="A14" s="6" t="inlineStr">
        <is>
          <t>6. Hoja «El Verano (Tres Salidas)». Cerrar, abrir con carta de verano o salir de ferias, comparadas por lo que dejan en euros en julio y agosto. Eliges una y su contribución la copia el libro 6.</t>
        </is>
      </c>
    </row>
    <row r="15" ht="58" customHeight="1">
      <c r="A15" s="6" t="inlineStr">
        <is>
          <t>7. Hojas «Punto Muerto por Evento» y «Calendario de Ferias». Cada feria con sus días, su tasa y su afluencia: las raciones que necesitas para cubrirla, lo que deja y su orden. Las que marcas con «Sí» van al calendario y su resultado del año lo copia el libro 6.</t>
        </is>
      </c>
    </row>
    <row r="16"/>
    <row r="17">
      <c r="A17" s="4" t="inlineStr">
        <is>
          <t>Orden de Relleno y Cifras que Viajan</t>
        </is>
      </c>
    </row>
    <row r="18" ht="58" customHeight="1">
      <c r="A18"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5: rellénalo DESPUÉS del 3 y del 1, que le pasan sus cifras, y ANTES del 8 y del 6, que copian sus horas de refuerzo, su año y su verano.</t>
        </is>
      </c>
    </row>
    <row r="19" ht="58" customHeight="1">
      <c r="A19" s="6" t="inlineStr">
        <is>
          <t>Ningún libro se vincula con otro por fórmula. Lo que viene de otro libro tiene en «Parámetros» una celda verde para copiarlo a mano, con la celda exacta de origen, y una fila de CUADRE que avisa si se separa de lo que publica el origen. Lo que este libro pasa a otro está en el bloque «Lo que Copian Otros Libros» de cada hoja (rótulo en la columna K, valor en la L).</t>
        </is>
      </c>
    </row>
    <row r="20" ht="28" customHeight="1">
      <c r="A20" s="7" t="inlineStr">
        <is>
          <t>Parámetros!B7 - Raciones del día tipo. Viene del libro 1: produccion-hora-punta-y-local.xlsx!Día Tipo y Día Punta!L7.</t>
        </is>
      </c>
    </row>
    <row r="21" ht="28" customHeight="1">
      <c r="A21" s="7" t="inlineStr">
        <is>
          <t>Parámetros!B8 - Raciones del día punta. Viene del libro 1: produccion-hora-punta-y-local.xlsx!Día Tipo y Día Punta!L8.</t>
        </is>
      </c>
    </row>
    <row r="22" ht="28" customHeight="1">
      <c r="A22" s="7" t="inlineStr">
        <is>
          <t>Parámetros!B9 - Capacidad del conjunto. Viene del libro 1: produccion-hora-punta-y-local.xlsx!Cuello de Botella!L5.</t>
        </is>
      </c>
    </row>
    <row r="23" ht="28" customHeight="1">
      <c r="A23" s="7" t="inlineStr">
        <is>
          <t>Parámetros!B11 - Ticket sin IVA por ración en verano (carta de verano). Viene del libro 3: carta-de-apertura-y-escandallo-churro.xlsx!Mix y Ticket Canal y Temporada!L6.</t>
        </is>
      </c>
    </row>
    <row r="24" ht="28" customHeight="1">
      <c r="A24" s="7" t="inlineStr">
        <is>
          <t>Parámetros!B12 - Coste de materia por ración en verano, aceite absorbido incluido. Viene del libro 3: carta-de-apertura-y-escandallo-churro.xlsx!Mix y Ticket Canal y Temporada!L7.</t>
        </is>
      </c>
    </row>
    <row r="25" ht="28" customHeight="1">
      <c r="A25" s="7" t="inlineStr">
        <is>
          <t>Parámetros!B13 - Coste de materia por ración para llevar, aceite absorbido incluido. Viene del libro 3: carta-de-apertura-y-escandallo-churro.xlsx!Mix y Ticket Canal y Temporada!L8.</t>
        </is>
      </c>
    </row>
    <row r="26" ht="28" customHeight="1">
      <c r="A26" s="7" t="inlineStr">
        <is>
          <t>Parámetros!B14 - Coste hora de mano de obra. Viene del libro 3: carta-de-apertura-y-escandallo-churro.xlsx!Coste Hora!L5.</t>
        </is>
      </c>
    </row>
    <row r="27" ht="28" customHeight="1">
      <c r="A27" s="7" t="inlineStr">
        <is>
          <t>Refuerzo por Pico!L5 - horas de refuerzo. Lo copia: libro 8 (turnos-plantilla-y-madrugada.xlsx, X7).</t>
        </is>
      </c>
    </row>
    <row r="28" ht="28" customHeight="1">
      <c r="A28" s="7" t="inlineStr">
        <is>
          <t>Peso sobre el Año!L5 a L17 - doce coeficientes y raciones del año. Lo copia: libro 6 (plan-financiero-3-anos-churreria.xlsx, X13).</t>
        </is>
      </c>
    </row>
    <row r="29" ht="28" customHeight="1">
      <c r="A29" s="7" t="inlineStr">
        <is>
          <t>Calendario de Ferias!L5 - Resultado anual de ferias. Lo copia: libro 6 (plan-financiero-3-anos-churreria.xlsx, X14).</t>
        </is>
      </c>
    </row>
    <row r="30" ht="28" customHeight="1">
      <c r="A30" s="7" t="inlineStr">
        <is>
          <t>El Verano (Tres Salidas)!L5 - Contribución de julio y agosto de la salida elegida. Lo copia: libro 6 (plan-financiero-3-anos-churreria.xlsx, X16).</t>
        </is>
      </c>
    </row>
    <row r="31" ht="28" customHeight="1">
      <c r="A31" s="7" t="inlineStr">
        <is>
          <t>El Verano (Tres Salidas)!L6 a L8 - Contribución de julio y agosto si cierras. Lo copia: libro 6 (plan-financiero-3-anos-churreria.xlsx, X16 bis).</t>
        </is>
      </c>
    </row>
    <row r="32" ht="28" customHeight="1">
      <c r="A32" s="7" t="inlineStr">
        <is>
          <t>El Verano (Tres Salidas)!L9 - Ventas sin IVA de julio y agosto de la salida elegida. Lo copia: libro 6 (plan-financiero-3-anos-churreria.xlsx, X16 ter).</t>
        </is>
      </c>
    </row>
    <row r="33"/>
    <row r="34">
      <c r="A34" s="4" t="inlineStr">
        <is>
          <t>Lo que Conviene Saber Antes de Empezar</t>
        </is>
      </c>
    </row>
    <row r="35" ht="72" customHeight="1">
      <c r="A35" s="6" t="inlineStr">
        <is>
          <t>LA FRANJA DEL DÍA VIVE SÓLO AQUÍ. Ningún otro libro del paquete pide horarios ni porcentajes por franja: el libro 8 trabaja con sus propios mínimos de cobertura y el libro 7 cita la norma de horarios y remite a esta hoja, donde pones tu hora de apertura.</t>
        </is>
      </c>
    </row>
    <row r="36" ht="72" customHeight="1">
      <c r="A36" s="6" t="inlineStr">
        <is>
          <t>EL VERANO SE COMPARA POR CONTRIBUCIÓN. Lo que pagas igual abras o cierres en julio y agosto (el local, la plantilla fija, los seguros, las cuotas) es lo mismo en las tres salidas y no entra en este libro: lo resta el libro 6, que enseña cada salida con todo pagado en su hoja «Escenarios». Por eso aquí cerrar deja cero, no un número negativo.</t>
        </is>
      </c>
    </row>
    <row r="37" ht="72" customHeight="1">
      <c r="A37" s="6" t="inlineStr">
        <is>
          <t>LAS FERIAS SON MÉTODO, NO CASO. El Molinete no va a ninguna (elige la carta de verano). Los cuatro eventos de la hoja son ejemplos para enseñar el cálculo: pon los tuyos. Si vas a montar un puesto que viva de las ferias, el Plan de Negocio Food Truck y el Kit de Tareas Food Truck de aichef.pro son el sitio; lo legal de la venta ambulante está en el libro 7.</t>
        </is>
      </c>
    </row>
    <row r="38" ht="72" customHeight="1">
      <c r="A38" s="6" t="inlineStr">
        <is>
          <t>LA HORA MÍNIMA DE APERTURA ES LA DEL EJEMPLO DE MADRID. Allí una chocolatería no abre antes de las 8:00 y una cafetería o bar puede desde las 6:00: abrir a las 6:00 o a las 7:00 obliga a clasificarse como cafetería o bar. Otras comunidades tienen su propia norma: cambia las dos celdas verdes por las de la tuya.</t>
        </is>
      </c>
    </row>
    <row r="39" ht="72" customHeight="1">
      <c r="A39" s="6" t="inlineStr">
        <is>
          <t>LOS SUPUESTOS NO SON DATOS DEL SECTOR. Los coeficientes de cada mes, el reparto por franjas, el factor de la hora punta, los días de refuerzo y todos los datos de las ferias son supuestos declarados de El Molinete, sin fuente pública. Pon los tuyos.</t>
        </is>
      </c>
    </row>
    <row r="40"/>
    <row r="41" ht="58" customHeight="1">
      <c r="A41" s="6" t="inlineStr">
        <is>
          <t>Cada cuánto se usa este libro: los coeficientes y las franjas, al cerrar el primer año con tus ventas reales de cada mes y de cada franja (el TPV las da); el verano, cada primavera; las ferias, cuando te llegue cada convocatoria. Si cambia alguna cifra del bloque «Lo que Copian Otros Libros», cópiala de nuevo en el libro 8 o en el 6.</t>
        </is>
      </c>
    </row>
    <row r="42"/>
    <row r="43">
      <c r="A43" s="6" t="inlineStr">
        <is>
          <t>Para editar la estructura o una celda que no esté en verde: Revisar &gt; Desproteger hoja (no tiene contraseña).</t>
        </is>
      </c>
    </row>
    <row r="44"/>
    <row r="45">
      <c r="A45" s="6" t="inlineStr">
        <is>
          <t>Diseñado por John Guerrero — chef y consultor gastronómico desde 2010, en cocina desde los 17 años.</t>
        </is>
      </c>
    </row>
    <row r="46">
      <c r="A4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E47"/>
  <sheetViews>
    <sheetView workbookViewId="0">
      <pane ySplit="5" topLeftCell="A6" activePane="bottomLeft" state="frozen"/>
      <selection pane="bottomLeft" activeCell="A1" sqref="A1"/>
    </sheetView>
  </sheetViews>
  <sheetFormatPr baseColWidth="8" defaultRowHeight="15"/>
  <cols>
    <col width="56" customWidth="1" min="1" max="1"/>
    <col width="16" customWidth="1" min="2" max="2"/>
    <col width="15" customWidth="1" min="3" max="3"/>
    <col width="46" customWidth="1" min="4" max="4"/>
    <col width="66" customWidth="1" min="5" max="5"/>
  </cols>
  <sheetData>
    <row r="1">
      <c r="A1" s="1" t="inlineStr">
        <is>
          <t>Parámetros</t>
        </is>
      </c>
    </row>
    <row r="2">
      <c r="A2" s="2" t="inlineStr">
        <is>
          <t>AI Chef Pro · aichef.pro — Cómo Montar una Churrería-Chocolatería</t>
        </is>
      </c>
    </row>
    <row r="3">
      <c r="A3" s="3" t="inlineStr">
        <is>
          <t>Todo lo que el resto de hojas da por sabido vive aquí. Ninguna fórmula de este libro lleva dentro un umbral, una hora ni un número de días.</t>
        </is>
      </c>
    </row>
    <row r="4"/>
    <row r="5" ht="24" customHeight="1">
      <c r="A5" s="9" t="inlineStr">
        <is>
          <t>Parámetro</t>
        </is>
      </c>
      <c r="B5" s="9" t="inlineStr">
        <is>
          <t>Valor</t>
        </is>
      </c>
      <c r="C5" s="9" t="inlineStr">
        <is>
          <t>Unidad</t>
        </is>
      </c>
      <c r="D5" s="9" t="inlineStr">
        <is>
          <t>De dónde sale</t>
        </is>
      </c>
      <c r="E5" s="9" t="inlineStr">
        <is>
          <t>Nota</t>
        </is>
      </c>
    </row>
    <row r="6">
      <c r="A6" s="4" t="inlineStr">
        <is>
          <t>Lo que Copias del Libro 1 (Producción y Local)</t>
        </is>
      </c>
    </row>
    <row r="7" ht="44" customHeight="1">
      <c r="A7" s="6" t="inlineStr">
        <is>
          <t>Raciones de un día tipo (lunes a viernes)</t>
        </is>
      </c>
      <c r="B7" s="10" t="n">
        <v>250</v>
      </c>
      <c r="C7" t="inlineStr">
        <is>
          <t>raciones</t>
        </is>
      </c>
      <c r="D7" s="11" t="inlineStr">
        <is>
          <t>cópialo del libro 1: produccion-hora-punta-y-local.xlsx!Día Tipo y Día Punta!L7</t>
        </is>
      </c>
      <c r="E7" s="11" t="inlineStr">
        <is>
          <t>La demanda base nace en el libro 1; aquí se reparte por mes y por franja.</t>
        </is>
      </c>
    </row>
    <row r="8" ht="44" customHeight="1">
      <c r="A8" s="6" t="inlineStr">
        <is>
          <t>Raciones de un día punta (sábado, domingo y festivo)</t>
        </is>
      </c>
      <c r="B8" s="10" t="n">
        <v>400</v>
      </c>
      <c r="C8" t="inlineStr">
        <is>
          <t>raciones</t>
        </is>
      </c>
      <c r="D8" s="11" t="inlineStr">
        <is>
          <t>cópialo del libro 1: produccion-hora-punta-y-local.xlsx!Día Tipo y Día Punta!L8</t>
        </is>
      </c>
      <c r="E8" s="11" t="inlineStr">
        <is>
          <t>Sábados, domingos y festivos. Nace en el libro 1.</t>
        </is>
      </c>
    </row>
    <row r="9" ht="44" customHeight="1">
      <c r="A9" s="6" t="inlineStr">
        <is>
          <t>Capacidad de la línea, en raciones por hora</t>
        </is>
      </c>
      <c r="B9" s="12" t="n">
        <v>122.5513616817965</v>
      </c>
      <c r="C9" t="inlineStr">
        <is>
          <t>raciones/h</t>
        </is>
      </c>
      <c r="D9" s="11" t="inlineStr">
        <is>
          <t>cópialo del libro 1: produccion-hora-punta-y-local.xlsx!Cuello de Botella!L5</t>
        </is>
      </c>
      <c r="E9" s="11" t="inlineStr">
        <is>
          <t>Lo que aguanta el conjunto (el equipo que manda) con tu masa por ración. Si compras otra máquina, vuelve a copiarla.</t>
        </is>
      </c>
    </row>
    <row r="10">
      <c r="A10" s="4" t="inlineStr">
        <is>
          <t>Lo que Copias del Libro 3 (Carta y Escandallo)</t>
        </is>
      </c>
    </row>
    <row r="11" ht="44" customHeight="1">
      <c r="A11" s="6" t="inlineStr">
        <is>
          <t>Ticket sin IVA por ración en julio y agosto (carta de verano)</t>
        </is>
      </c>
      <c r="B11" s="13" t="n">
        <v>2.206727272727273</v>
      </c>
      <c r="C11" t="inlineStr">
        <is>
          <t>EUR/ración</t>
        </is>
      </c>
      <c r="D11" s="11" t="inlineStr">
        <is>
          <t>cópialo del libro 3: carta-de-apertura-y-escandallo-churro.xlsx!Mix y Ticket Canal y Temporada!L6</t>
        </is>
      </c>
      <c r="E11" s="11" t="inlineStr">
        <is>
          <t>Con el mix de julio y agosto del libro 3 (la carta de verano). Es la base imponible media de una ración de la carta.</t>
        </is>
      </c>
    </row>
    <row r="12" ht="44" customHeight="1">
      <c r="A12" s="6" t="inlineStr">
        <is>
          <t>Coste de materia por ración en julio y agosto (aceite absorbido incluido)</t>
        </is>
      </c>
      <c r="B12" s="13" t="n">
        <v>0.3585007170394811</v>
      </c>
      <c r="C12" t="inlineStr">
        <is>
          <t>EUR/ración</t>
        </is>
      </c>
      <c r="D12" s="11" t="inlineStr">
        <is>
          <t>cópialo del libro 3: carta-de-apertura-y-escandallo-churro.xlsx!Mix y Ticket Canal y Temporada!L7</t>
        </is>
      </c>
      <c r="E12" s="11" t="inlineStr">
        <is>
          <t>El coste de materia de esa misma ración media de verano.</t>
        </is>
      </c>
    </row>
    <row r="13" ht="44" customHeight="1">
      <c r="A13" s="6" t="inlineStr">
        <is>
          <t>Coste de materia por ración para llevar (aceite absorbido incluido)</t>
        </is>
      </c>
      <c r="B13" s="13" t="n">
        <v>0.3054629283128054</v>
      </c>
      <c r="C13" t="inlineStr">
        <is>
          <t>EUR/ración</t>
        </is>
      </c>
      <c r="D13" s="11" t="inlineStr">
        <is>
          <t>cópialo del libro 3: carta-de-apertura-y-escandallo-churro.xlsx!Mix y Ticket Canal y Temporada!L8</t>
        </is>
      </c>
      <c r="E13" s="11" t="inlineStr">
        <is>
          <t>El coste de materia de una ración para llevar: es el que se usa en las ferias.</t>
        </is>
      </c>
    </row>
    <row r="14" ht="44" customHeight="1">
      <c r="A14" s="6" t="inlineStr">
        <is>
          <t>Coste hora de mano de obra</t>
        </is>
      </c>
      <c r="B14" s="14" t="n">
        <v>13.24384288441323</v>
      </c>
      <c r="C14" t="inlineStr">
        <is>
          <t>EUR/h</t>
        </is>
      </c>
      <c r="D14" s="11" t="inlineStr">
        <is>
          <t>cópialo del libro 3: carta-de-apertura-y-escandallo-churro.xlsx!Coste Hora!L5</t>
        </is>
      </c>
      <c r="E14" s="11" t="inlineStr">
        <is>
          <t>Valora el refuerzo y el personal de las ferias sin una segunda fuente del salario: es el mismo que usa el escandallo.</t>
        </is>
      </c>
    </row>
    <row r="15"/>
    <row r="16">
      <c r="A16" s="4" t="inlineStr">
        <is>
          <t>Calendario del Año</t>
        </is>
      </c>
    </row>
    <row r="17" ht="44" customHeight="1">
      <c r="A17" s="6" t="inlineStr">
        <is>
          <t>Días del año</t>
        </is>
      </c>
      <c r="B17" s="10" t="n">
        <v>365</v>
      </c>
      <c r="C17" t="inlineStr">
        <is>
          <t>días</t>
        </is>
      </c>
      <c r="D17" s="11" t="inlineStr">
        <is>
          <t>calendario</t>
        </is>
      </c>
      <c r="E17" s="11" t="inlineStr">
        <is>
          <t>Un año normal.</t>
        </is>
      </c>
    </row>
    <row r="18" ht="44" customHeight="1">
      <c r="A18" s="6" t="inlineStr">
        <is>
          <t>Días al año con el local cerrado</t>
        </is>
      </c>
      <c r="B18" s="10" t="n">
        <v>5</v>
      </c>
      <c r="C18" t="inlineStr">
        <is>
          <t>días</t>
        </is>
      </c>
      <c r="D18" s="11" t="inlineStr">
        <is>
          <t>supuesto declarado de El Molinete</t>
        </is>
      </c>
      <c r="E18" s="11" t="inlineStr">
        <is>
          <t>Cinco días seguidos para la limpieza a fondo y la puesta a punto de la línea. Se restan de los días tipo.</t>
        </is>
      </c>
    </row>
    <row r="19" ht="44" customHeight="1">
      <c r="A19" s="6" t="inlineStr">
        <is>
          <t>Sábados y domingos del año</t>
        </is>
      </c>
      <c r="B19" s="10" t="n">
        <v>104</v>
      </c>
      <c r="C19" t="inlineStr">
        <is>
          <t>días</t>
        </is>
      </c>
      <c r="D19" s="11" t="inlineStr">
        <is>
          <t>calendario (52 semanas)</t>
        </is>
      </c>
      <c r="E19" s="11" t="inlineStr">
        <is>
          <t>Son días punta. Si cierras un día de la semana, réstalo aquí o en los días tipo.</t>
        </is>
      </c>
    </row>
    <row r="20" ht="44" customHeight="1">
      <c r="A20" s="6" t="inlineStr">
        <is>
          <t>Festivos de lunes a viernes que abres como un domingo</t>
        </is>
      </c>
      <c r="B20" s="10" t="n">
        <v>12</v>
      </c>
      <c r="C20" t="inlineStr">
        <is>
          <t>días</t>
        </is>
      </c>
      <c r="D20" s="11" t="inlineStr">
        <is>
          <t>supuesto declarado de El Molinete</t>
        </is>
      </c>
      <c r="E20" s="11" t="inlineStr">
        <is>
          <t>Cambian cada año y en cada municipio. Se trabajan como un día punta.</t>
        </is>
      </c>
    </row>
    <row r="21" ht="44" customHeight="1">
      <c r="A21" s="6" t="inlineStr">
        <is>
          <t>Primer mes del verano (número del mes)</t>
        </is>
      </c>
      <c r="B21" s="10" t="n">
        <v>7</v>
      </c>
      <c r="C21" t="inlineStr">
        <is>
          <t>mes</t>
        </is>
      </c>
      <c r="D21" s="11" t="inlineStr">
        <is>
          <t>supuesto declarado de El Molinete</t>
        </is>
      </c>
      <c r="E21" s="11" t="inlineStr">
        <is>
          <t>El valle: julio. Si tu valle es otro, cambia los dos meses.</t>
        </is>
      </c>
    </row>
    <row r="22" ht="44" customHeight="1">
      <c r="A22" s="6" t="inlineStr">
        <is>
          <t>Segundo mes del verano (número del mes)</t>
        </is>
      </c>
      <c r="B22" s="10" t="n">
        <v>8</v>
      </c>
      <c r="C22" t="inlineStr">
        <is>
          <t>mes</t>
        </is>
      </c>
      <c r="D22" s="11" t="inlineStr">
        <is>
          <t>supuesto declarado de El Molinete</t>
        </is>
      </c>
      <c r="E22" s="11" t="inlineStr">
        <is>
          <t>Agosto.</t>
        </is>
      </c>
    </row>
    <row r="23" ht="44" customHeight="1">
      <c r="A23" s="6" t="inlineStr">
        <is>
          <t>Días de esos dos meses</t>
        </is>
      </c>
      <c r="B23" s="10" t="n">
        <v>62</v>
      </c>
      <c r="C23" t="inlineStr">
        <is>
          <t>días</t>
        </is>
      </c>
      <c r="D23" s="11" t="inlineStr">
        <is>
          <t>calendario</t>
        </is>
      </c>
      <c r="E23" s="11" t="inlineStr">
        <is>
          <t>Julio y agosto: 31 + 31. Sirve para pasar la contribución del verano a raciones al día en «El Verano (Tres Salidas)».</t>
        </is>
      </c>
    </row>
    <row r="24"/>
    <row r="25">
      <c r="A25" s="4" t="inlineStr">
        <is>
          <t>Hora Punta y Hora Mínima de Apertura</t>
        </is>
      </c>
    </row>
    <row r="26" ht="44" customHeight="1">
      <c r="A26" s="6" t="inlineStr">
        <is>
          <t>Factor de la hora punta (la hora más cargada frente a la media de su franja)</t>
        </is>
      </c>
      <c r="B26" s="15" t="n">
        <v>1.5</v>
      </c>
      <c r="C26" t="inlineStr">
        <is>
          <t>veces</t>
        </is>
      </c>
      <c r="D26" s="11" t="inlineStr">
        <is>
          <t>supuesto declarado de El Molinete</t>
        </is>
      </c>
      <c r="E26" s="11" t="inlineStr">
        <is>
          <t>La hora más cargada de una franja lleva un 50 % más que la media de la franja. Míralo en tu TPV: las ventas de la peor hora entre las de la franja.</t>
        </is>
      </c>
    </row>
    <row r="27" ht="44" customHeight="1">
      <c r="A27" s="6" t="inlineStr">
        <is>
          <t>Minutos de una hora</t>
        </is>
      </c>
      <c r="B27" s="10" t="n">
        <v>60</v>
      </c>
      <c r="C27" t="inlineStr">
        <is>
          <t>min</t>
        </is>
      </c>
      <c r="D27" s="11" t="inlineStr">
        <is>
          <t>calendario</t>
        </is>
      </c>
      <c r="E27" s="11" t="inlineStr">
        <is>
          <t>Para pasar la cola a minutos de espera.</t>
        </is>
      </c>
    </row>
    <row r="28" ht="44" customHeight="1">
      <c r="A28" s="6" t="inlineStr">
        <is>
          <t>Hora mínima de apertura como chocolatería (ejemplo de Madrid)</t>
        </is>
      </c>
      <c r="B28" s="16" t="n">
        <v>8</v>
      </c>
      <c r="C28" t="inlineStr">
        <is>
          <t>hora</t>
        </is>
      </c>
      <c r="D28" s="11" t="inlineStr">
        <is>
          <t>CUN-34</t>
        </is>
      </c>
      <c r="E28" s="11" t="inlineStr">
        <is>
          <t>Chocolaterías, heladerías y salones de té: desde las 8:00 hasta la 1:00. No se extrapola a otras comunidades. Si tu comunidad tiene otra norma, pon su hora.</t>
        </is>
      </c>
    </row>
    <row r="29" ht="44" customHeight="1">
      <c r="A29" s="6" t="inlineStr">
        <is>
          <t>Hora mínima de apertura como cafetería o bar (ejemplo de Madrid)</t>
        </is>
      </c>
      <c r="B29" s="16" t="n">
        <v>6</v>
      </c>
      <c r="C29" t="inlineStr">
        <is>
          <t>hora</t>
        </is>
      </c>
      <c r="D29" s="11" t="inlineStr">
        <is>
          <t>CUN-34</t>
        </is>
      </c>
      <c r="E29" s="11" t="inlineStr">
        <is>
          <t>Cafeterías, bares y cafés-bares: desde las 6:00 hasta las 2:00. Abrir antes de las 8:00 obliga a clasificarse así.</t>
        </is>
      </c>
    </row>
    <row r="30"/>
    <row r="31">
      <c r="A31" s="4" t="inlineStr">
        <is>
          <t>Temporada, IVA de Feria y Tolerancia</t>
        </is>
      </c>
    </row>
    <row r="32" ht="44" customHeight="1">
      <c r="A32" s="6" t="inlineStr">
        <is>
          <t>Coeficiente desde el que un mes es temporada alta</t>
        </is>
      </c>
      <c r="B32" s="15" t="n">
        <v>1.1</v>
      </c>
      <c r="C32" t="inlineStr">
        <is>
          <t>veces</t>
        </is>
      </c>
      <c r="D32" s="11" t="inlineStr">
        <is>
          <t>supuesto declarado de El Molinete</t>
        </is>
      </c>
      <c r="E32" s="11" t="inlineStr">
        <is>
          <t>Con los coeficientes del ejemplo marca de octubre a marzo, la forma que describen las fuentes del sector: el churro vive de octubre a marzo con Navidad arriba.</t>
        </is>
      </c>
    </row>
    <row r="33" ht="44" customHeight="1">
      <c r="A33" s="6" t="inlineStr">
        <is>
          <t>Coeficiente hasta el que un mes es valle</t>
        </is>
      </c>
      <c r="B33" s="15" t="n">
        <v>0.6</v>
      </c>
      <c r="C33" t="inlineStr">
        <is>
          <t>veces</t>
        </is>
      </c>
      <c r="D33" s="11" t="inlineStr">
        <is>
          <t>supuesto declarado de El Molinete</t>
        </is>
      </c>
      <c r="E33" s="11" t="inlineStr">
        <is>
          <t>Con el ejemplo marca julio y agosto.</t>
        </is>
      </c>
    </row>
    <row r="34" ht="44" customHeight="1">
      <c r="A34" s="6" t="inlineStr">
        <is>
          <t>IVA de lo que vendes en una feria (churros para llevar)</t>
        </is>
      </c>
      <c r="B34" s="17" t="n">
        <v>0.1</v>
      </c>
      <c r="C34" t="inlineStr"/>
      <c r="D34" s="11" t="inlineStr">
        <is>
          <t>FC-IVA-02</t>
        </is>
      </c>
      <c r="E34" s="11" t="inlineStr">
        <is>
          <t>Churros y porras para llevar: entrega de un alimento. El PVP de feria se teclea con IVA y aquí se le quita.</t>
        </is>
      </c>
    </row>
    <row r="35" ht="44" customHeight="1">
      <c r="A35" s="6" t="inlineStr">
        <is>
          <t>Tolerancia de las filas de CUADRE y de los repartos</t>
        </is>
      </c>
      <c r="B35" s="17" t="n">
        <v>0.02</v>
      </c>
      <c r="C35" t="inlineStr"/>
      <c r="D35" s="11" t="inlineStr">
        <is>
          <t>heredado de la Guía de la Chocolatería (tolerancia de las filas de CUADRE)</t>
        </is>
      </c>
      <c r="E35" s="11" t="inlineStr">
        <is>
          <t>Por encima de esta desviación, la fila de CUADRE avisa de que lo que has copiado no es lo que publica el libro de origen.</t>
        </is>
      </c>
    </row>
    <row r="36" ht="44" customHeight="1">
      <c r="A36" s="6" t="inlineStr">
        <is>
          <t>Déficit que cubren la masa preparada antes de abrir y una persona más en la línea (en % de la capacidad)</t>
        </is>
      </c>
      <c r="B36" s="17" t="n">
        <v>0.25</v>
      </c>
      <c r="C36" t="inlineStr"/>
      <c r="D36" s="11" t="inlineStr">
        <is>
          <t>supuesto declarado de El Molinete</t>
        </is>
      </c>
      <c r="E36" s="11" t="inlineStr">
        <is>
          <t>Con un déficit de hora punta por debajo de esta parte de la capacidad, el veredicto «¿Una churrera o dos?» de «Capacidad contra el Pico» dice que una basta con refuerzo en el pico. Mide cuánto adelantas con masa preparada y una segunda persona, y pon tu cifra.</t>
        </is>
      </c>
    </row>
    <row r="37"/>
    <row r="38" ht="36" customHeight="1">
      <c r="A38" s="9" t="inlineStr">
        <is>
          <t>Cuadre</t>
        </is>
      </c>
      <c r="B38" s="9" t="inlineStr">
        <is>
          <t>Lo que publica hoy la celda de origen (anótalo)</t>
        </is>
      </c>
      <c r="C38" s="9" t="inlineStr">
        <is>
          <t>Desviación</t>
        </is>
      </c>
      <c r="D38" s="9" t="inlineStr">
        <is>
          <t>Veredicto</t>
        </is>
      </c>
      <c r="E38" s="9" t="inlineStr">
        <is>
          <t>Si no cuadra</t>
        </is>
      </c>
    </row>
    <row r="39" ht="40" customHeight="1">
      <c r="A39" s="18" t="inlineStr">
        <is>
          <t>CUADRE · Raciones de un día tipo (lunes a viernes) (X4)</t>
        </is>
      </c>
      <c r="B39" s="10" t="n">
        <v>250</v>
      </c>
      <c r="C39" s="19">
        <f>IFERROR(ABS('Parámetros'!$B$7-B39)/B39,"")</f>
        <v>0.0</v>
      </c>
      <c r="D39" s="20" t="str">
        <f>IF(NOT(ISNUMBER(C39)),"",IF(C39&lt;='Parámetros'!$B$35,"CUADRA","REVISA: no es lo que publica el libro 1"))</f>
        <v>CUADRA</v>
      </c>
      <c r="E39" s="11" t="inlineStr">
        <is>
          <t>Vuelve a copiar la cifra de su celda de origen (libro 1, produccion-hora-punta-y-local.xlsx!Día Tipo y Día Punta!L7) en la fila 7, o anota aquí lo que publica hoy.</t>
        </is>
      </c>
    </row>
    <row r="40" ht="40" customHeight="1">
      <c r="A40" s="18" t="inlineStr">
        <is>
          <t>CUADRE · Raciones de un día punta (sábado, domingo y festivo) (X4)</t>
        </is>
      </c>
      <c r="B40" s="10" t="n">
        <v>400</v>
      </c>
      <c r="C40" s="19">
        <f>IFERROR(ABS('Parámetros'!$B$8-B40)/B40,"")</f>
        <v>0.0</v>
      </c>
      <c r="D40" s="20" t="str">
        <f>IF(NOT(ISNUMBER(C40)),"",IF(C40&lt;='Parámetros'!$B$35,"CUADRA","REVISA: no es lo que publica el libro 1"))</f>
        <v>CUADRA</v>
      </c>
      <c r="E40" s="11" t="inlineStr">
        <is>
          <t>Vuelve a copiar la cifra de su celda de origen (libro 1, produccion-hora-punta-y-local.xlsx!Día Tipo y Día Punta!L8) en la fila 8, o anota aquí lo que publica hoy.</t>
        </is>
      </c>
    </row>
    <row r="41" ht="40" customHeight="1">
      <c r="A41" s="18" t="inlineStr">
        <is>
          <t>CUADRE · Capacidad de la línea, en raciones por hora (X4)</t>
        </is>
      </c>
      <c r="B41" s="12" t="n">
        <v>122.5513616817965</v>
      </c>
      <c r="C41" s="19">
        <f>IFERROR(ABS('Parámetros'!$B$9-B41)/B41,"")</f>
        <v>0.0</v>
      </c>
      <c r="D41" s="20" t="str">
        <f>IF(NOT(ISNUMBER(C41)),"",IF(C41&lt;='Parámetros'!$B$35,"CUADRA","REVISA: no es lo que publica el libro 1"))</f>
        <v>CUADRA</v>
      </c>
      <c r="E41" s="11" t="inlineStr">
        <is>
          <t>Vuelve a copiar la cifra de su celda de origen (libro 1, produccion-hora-punta-y-local.xlsx!Cuello de Botella!L5) en la fila 9, o anota aquí lo que publica hoy.</t>
        </is>
      </c>
    </row>
    <row r="42" ht="40" customHeight="1">
      <c r="A42" s="18" t="inlineStr">
        <is>
          <t>CUADRE · Ticket sin IVA por ración en julio y agosto (carta de verano) (X5)</t>
        </is>
      </c>
      <c r="B42" s="13" t="n">
        <v>2.206727272727273</v>
      </c>
      <c r="C42" s="19">
        <f>IFERROR(ABS('Parámetros'!$B$11-B42)/B42,"")</f>
        <v>0.0</v>
      </c>
      <c r="D42" s="20" t="str">
        <f>IF(NOT(ISNUMBER(C42)),"",IF(C42&lt;='Parámetros'!$B$35,"CUADRA","REVISA: no es lo que publica el libro 3"))</f>
        <v>CUADRA</v>
      </c>
      <c r="E42" s="11" t="inlineStr">
        <is>
          <t>Vuelve a copiar la cifra de su celda de origen (libro 3, carta-de-apertura-y-escandallo-churro.xlsx!Mix y Ticket Canal y Temporada!L6) en la fila 11, o anota aquí lo que publica hoy.</t>
        </is>
      </c>
    </row>
    <row r="43" ht="40" customHeight="1">
      <c r="A43" s="18" t="inlineStr">
        <is>
          <t>CUADRE · Coste de materia por ración en julio y agosto (aceite absorbido incluido) (X5)</t>
        </is>
      </c>
      <c r="B43" s="13" t="n">
        <v>0.3585007170394811</v>
      </c>
      <c r="C43" s="19">
        <f>IFERROR(ABS('Parámetros'!$B$12-B43)/B43,"")</f>
        <v>0.0</v>
      </c>
      <c r="D43" s="20" t="str">
        <f>IF(NOT(ISNUMBER(C43)),"",IF(C43&lt;='Parámetros'!$B$35,"CUADRA","REVISA: no es lo que publica el libro 3"))</f>
        <v>CUADRA</v>
      </c>
      <c r="E43" s="11" t="inlineStr">
        <is>
          <t>Vuelve a copiar la cifra de su celda de origen (libro 3, carta-de-apertura-y-escandallo-churro.xlsx!Mix y Ticket Canal y Temporada!L7) en la fila 12, o anota aquí lo que publica hoy.</t>
        </is>
      </c>
    </row>
    <row r="44" ht="40" customHeight="1">
      <c r="A44" s="18" t="inlineStr">
        <is>
          <t>CUADRE · Coste de materia por ración para llevar (aceite absorbido incluido) (X5)</t>
        </is>
      </c>
      <c r="B44" s="13" t="n">
        <v>0.3054629283128054</v>
      </c>
      <c r="C44" s="19">
        <f>IFERROR(ABS('Parámetros'!$B$13-B44)/B44,"")</f>
        <v>0.0</v>
      </c>
      <c r="D44" s="20" t="str">
        <f>IF(NOT(ISNUMBER(C44)),"",IF(C44&lt;='Parámetros'!$B$35,"CUADRA","REVISA: no es lo que publica el libro 3"))</f>
        <v>CUADRA</v>
      </c>
      <c r="E44" s="11" t="inlineStr">
        <is>
          <t>Vuelve a copiar la cifra de su celda de origen (libro 3, carta-de-apertura-y-escandallo-churro.xlsx!Mix y Ticket Canal y Temporada!L8) en la fila 13, o anota aquí lo que publica hoy.</t>
        </is>
      </c>
    </row>
    <row r="45" ht="40" customHeight="1">
      <c r="A45" s="18" t="inlineStr">
        <is>
          <t>CUADRE · Coste hora de mano de obra (X5)</t>
        </is>
      </c>
      <c r="B45" s="14" t="n">
        <v>13.24384288441323</v>
      </c>
      <c r="C45" s="19">
        <f>IFERROR(ABS('Parámetros'!$B$14-B45)/B45,"")</f>
        <v>0.0</v>
      </c>
      <c r="D45" s="20" t="str">
        <f>IF(NOT(ISNUMBER(C45)),"",IF(C45&lt;='Parámetros'!$B$35,"CUADRA","REVISA: no es lo que publica el libro 3"))</f>
        <v>CUADRA</v>
      </c>
      <c r="E45" s="11" t="inlineStr">
        <is>
          <t>Vuelve a copiar la cifra de su celda de origen (libro 3, carta-de-apertura-y-escandallo-churro.xlsx!Coste Hora!L5) en la fila 14, o anota aquí lo que publica hoy.</t>
        </is>
      </c>
    </row>
    <row r="46"/>
    <row r="47">
      <c r="A4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conditionalFormatting sqref="D39">
    <cfRule type="cellIs" priority="1" operator="equal" dxfId="0" stopIfTrue="1">
      <formula>"CUADRA"</formula>
    </cfRule>
    <cfRule type="cellIs" priority="2" operator="equal" dxfId="1" stopIfTrue="1">
      <formula>"REVISA: no es lo que publica el libro 1"</formula>
    </cfRule>
  </conditionalFormatting>
  <conditionalFormatting sqref="D40">
    <cfRule type="cellIs" priority="3" operator="equal" dxfId="0" stopIfTrue="1">
      <formula>"CUADRA"</formula>
    </cfRule>
    <cfRule type="cellIs" priority="4" operator="equal" dxfId="1" stopIfTrue="1">
      <formula>"REVISA: no es lo que publica el libro 1"</formula>
    </cfRule>
  </conditionalFormatting>
  <conditionalFormatting sqref="D41">
    <cfRule type="cellIs" priority="5" operator="equal" dxfId="0" stopIfTrue="1">
      <formula>"CUADRA"</formula>
    </cfRule>
    <cfRule type="cellIs" priority="6" operator="equal" dxfId="1" stopIfTrue="1">
      <formula>"REVISA: no es lo que publica el libro 1"</formula>
    </cfRule>
  </conditionalFormatting>
  <conditionalFormatting sqref="D42">
    <cfRule type="cellIs" priority="7" operator="equal" dxfId="0" stopIfTrue="1">
      <formula>"CUADRA"</formula>
    </cfRule>
    <cfRule type="cellIs" priority="8" operator="equal" dxfId="1" stopIfTrue="1">
      <formula>"REVISA: no es lo que publica el libro 3"</formula>
    </cfRule>
  </conditionalFormatting>
  <conditionalFormatting sqref="D43">
    <cfRule type="cellIs" priority="9" operator="equal" dxfId="0" stopIfTrue="1">
      <formula>"CUADRA"</formula>
    </cfRule>
    <cfRule type="cellIs" priority="10" operator="equal" dxfId="1" stopIfTrue="1">
      <formula>"REVISA: no es lo que publica el libro 3"</formula>
    </cfRule>
  </conditionalFormatting>
  <conditionalFormatting sqref="D44">
    <cfRule type="cellIs" priority="11" operator="equal" dxfId="0" stopIfTrue="1">
      <formula>"CUADRA"</formula>
    </cfRule>
    <cfRule type="cellIs" priority="12" operator="equal" dxfId="1" stopIfTrue="1">
      <formula>"REVISA: no es lo que publica el libro 3"</formula>
    </cfRule>
  </conditionalFormatting>
  <conditionalFormatting sqref="D45">
    <cfRule type="cellIs" priority="13" operator="equal" dxfId="0" stopIfTrue="1">
      <formula>"CUADRA"</formula>
    </cfRule>
    <cfRule type="cellIs" priority="14" operator="equal" dxfId="1" stopIfTrue="1">
      <formula>"REVISA: no es lo que publica el libro 3"</formula>
    </cfRule>
  </conditionalFormatting>
  <dataValidations count="30">
    <dataValidation sqref="B7" showDropDown="0" showInputMessage="0" showErrorMessage="1" allowBlank="1" errorTitle="Importe no válido" error="Escribe un número mayor o igual que 0." type="decimal" operator="greaterThanOrEqual">
      <formula1>0</formula1>
    </dataValidation>
    <dataValidation sqref="B8"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Importe no válido" error="Escribe un número mayor o igual que 1." type="decimal" operator="greaterThanOrEqual">
      <formula1>1</formula1>
    </dataValidation>
    <dataValidation sqref="B1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Importe no válido" error="Escribe un número mayor o igual que 0." type="decimal" operator="greaterThanOrEqual">
      <formula1>0</formula1>
    </dataValidation>
    <dataValidation sqref="B2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Valor fuera de rango" error="Escribe un valor entre 1 y 12." type="decimal" operator="between">
      <formula1>1</formula1>
      <formula2>12</formula2>
    </dataValidation>
    <dataValidation sqref="B22" showDropDown="0" showInputMessage="0" showErrorMessage="1" allowBlank="1" errorTitle="Valor fuera de rango" error="Escribe un valor entre 1 y 12." type="decimal" operator="between">
      <formula1>1</formula1>
      <formula2>12</formula2>
    </dataValidation>
    <dataValidation sqref="B23" showDropDown="0" showInputMessage="0" showErrorMessage="1" allowBlank="1" errorTitle="Importe no válido" error="Escribe un número mayor o igual que 1." type="decimal" operator="greaterThanOrEqual">
      <formula1>1</formula1>
    </dataValidation>
    <dataValidation sqref="B26" showDropDown="0" showInputMessage="0" showErrorMessage="1" allowBlank="1" errorTitle="Importe no válido" error="Escribe un número mayor o igual que 1." type="decimal" operator="greaterThanOrEqual">
      <formula1>1</formula1>
    </dataValidation>
    <dataValidation sqref="B27" showDropDown="0" showInputMessage="0" showErrorMessage="1" allowBlank="1" errorTitle="Importe no válido" error="Escribe un número mayor o igual que 1." type="decimal" operator="greaterThanOrEqual">
      <formula1>1</formula1>
    </dataValidation>
    <dataValidation sqref="B28" showDropDown="0" showInputMessage="0" showErrorMessage="1" allowBlank="1" errorTitle="Valor fuera de rango" error="Escribe un valor entre 0 y 24." type="decimal" operator="between">
      <formula1>0</formula1>
      <formula2>24</formula2>
    </dataValidation>
    <dataValidation sqref="B29" showDropDown="0" showInputMessage="0" showErrorMessage="1" allowBlank="1" errorTitle="Valor fuera de rango" error="Escribe un valor entre 0 y 24." type="decimal" operator="between">
      <formula1>0</formula1>
      <formula2>24</formula2>
    </dataValidation>
    <dataValidation sqref="B32" showDropDown="0" showInputMessage="0" showErrorMessage="1" allowBlank="1" errorTitle="Importe no válido" error="Escribe un número mayor o igual que 0." type="decimal" operator="greaterThanOrEqual">
      <formula1>0</formula1>
    </dataValidation>
    <dataValidation sqref="B33" showDropDown="0" showInputMessage="0" showErrorMessage="1" allowBlank="1" errorTitle="Importe no válido" error="Escribe un número mayor o igual que 0." type="decimal" operator="greaterThanOrEqual">
      <formula1>0</formula1>
    </dataValidation>
    <dataValidation sqref="B34"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5"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39" showDropDown="0" showInputMessage="0" showErrorMessage="1" allowBlank="1" errorTitle="Importe no válido" error="Escribe un número mayor o igual que 0." type="decimal" operator="greaterThanOrEqual">
      <formula1>0</formula1>
    </dataValidation>
    <dataValidation sqref="B40" showDropDown="0" showInputMessage="0" showErrorMessage="1" allowBlank="1" errorTitle="Importe no válido" error="Escribe un número mayor o igual que 0." type="decimal" operator="greaterThanOrEqual">
      <formula1>0</formula1>
    </dataValidation>
    <dataValidation sqref="B41" showDropDown="0" showInputMessage="0" showErrorMessage="1" allowBlank="1" errorTitle="Importe no válido" error="Escribe un número mayor o igual que 0." type="decimal" operator="greaterThanOrEqual">
      <formula1>0</formula1>
    </dataValidation>
    <dataValidation sqref="B42" showDropDown="0" showInputMessage="0" showErrorMessage="1" allowBlank="1" errorTitle="Importe no válido" error="Escribe un número mayor o igual que 0." type="decimal" operator="greaterThanOrEqual">
      <formula1>0</formula1>
    </dataValidation>
    <dataValidation sqref="B43" showDropDown="0" showInputMessage="0" showErrorMessage="1" allowBlank="1" errorTitle="Importe no válido" error="Escribe un número mayor o igual que 0." type="decimal" operator="greaterThanOrEqual">
      <formula1>0</formula1>
    </dataValidation>
    <dataValidation sqref="B44" showDropDown="0" showInputMessage="0" showErrorMessage="1" allowBlank="1" errorTitle="Importe no válido" error="Escribe un número mayor o igual que 0." type="decimal" operator="greaterThanOrEqual">
      <formula1>0</formula1>
    </dataValidation>
    <dataValidation sqref="B4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37"/>
  <sheetViews>
    <sheetView workbookViewId="0">
      <selection activeCell="A1" sqref="A1"/>
    </sheetView>
  </sheetViews>
  <sheetFormatPr baseColWidth="8" defaultRowHeight="15"/>
  <cols>
    <col width="46" customWidth="1" min="1" max="1"/>
    <col width="15" customWidth="1" min="2" max="2"/>
    <col width="18" customWidth="1" min="3" max="3"/>
    <col width="16" customWidth="1" min="4" max="4"/>
    <col width="13" customWidth="1" min="5" max="5"/>
    <col width="16" customWidth="1" min="6" max="6"/>
    <col width="16" customWidth="1" min="7" max="7"/>
    <col width="16" customWidth="1" min="8" max="8"/>
    <col width="56" customWidth="1" min="9" max="9"/>
    <col width="40" customWidth="1" min="11" max="11"/>
    <col width="14" customWidth="1" min="12" max="12"/>
    <col width="44" customWidth="1" min="13" max="13"/>
  </cols>
  <sheetData>
    <row r="1">
      <c r="A1" s="1" t="inlineStr">
        <is>
          <t>Peso sobre el Año</t>
        </is>
      </c>
    </row>
    <row r="2">
      <c r="A2" s="2" t="inlineStr">
        <is>
          <t>AI Chef Pro · aichef.pro — Cómo Montar una Churrería-Chocolatería</t>
        </is>
      </c>
    </row>
    <row r="3">
      <c r="A3" s="3" t="inlineStr">
        <is>
          <t>Las raciones de un año normal y doce coeficientes que las reparten por meses. Los coeficientes son SUPUESTOS: no hay reparto mensual publicado de churrería.</t>
        </is>
      </c>
    </row>
    <row r="4">
      <c r="A4" s="4" t="inlineStr">
        <is>
          <t>Las Raciones del Año</t>
        </is>
      </c>
      <c r="K4" s="4" t="inlineStr">
        <is>
          <t>Lo que Copian Otros Libros (No Muevas Estas Celdas)</t>
        </is>
      </c>
    </row>
    <row r="5" ht="28" customHeight="1">
      <c r="A5" s="21" t="inlineStr">
        <is>
          <t>Días del año</t>
        </is>
      </c>
      <c r="B5" s="22">
        <f>'Parámetros'!$B$17</f>
        <v>365.0</v>
      </c>
      <c r="C5" t="inlineStr">
        <is>
          <t>días</t>
        </is>
      </c>
      <c r="K5" s="18" t="inlineStr">
        <is>
          <t>Raciones del año</t>
        </is>
      </c>
      <c r="L5" s="23">
        <f>B12</f>
        <v>107400.0</v>
      </c>
      <c r="M5" s="11" t="inlineStr">
        <is>
          <t>Lo copia: libro 6 (plan-financiero-3-anos-churreria.xlsx, hoja 0. Supuestos, X13)</t>
        </is>
      </c>
    </row>
    <row r="6" ht="28" customHeight="1">
      <c r="A6" s="21" t="inlineStr">
        <is>
          <t>Días con el local cerrado</t>
        </is>
      </c>
      <c r="B6" s="22">
        <f>'Parámetros'!$B$18</f>
        <v>5.0</v>
      </c>
      <c r="C6" t="inlineStr">
        <is>
          <t>días</t>
        </is>
      </c>
      <c r="K6" s="18" t="inlineStr">
        <is>
          <t>Coeficiente de enero</t>
        </is>
      </c>
      <c r="L6" s="24">
        <f>B18</f>
        <v>1.25</v>
      </c>
      <c r="M6" s="11" t="inlineStr">
        <is>
          <t>Lo copia: libro 6 (plan-financiero-3-anos-churreria.xlsx, hoja 0. Supuestos, X13)</t>
        </is>
      </c>
    </row>
    <row r="7" ht="28" customHeight="1">
      <c r="A7" s="21" t="inlineStr">
        <is>
          <t>Días punta: sábados, domingos y festivos que abres</t>
        </is>
      </c>
      <c r="B7" s="22">
        <f>'Parámetros'!$B$19+'Parámetros'!$B$20</f>
        <v>116.0</v>
      </c>
      <c r="C7" t="inlineStr">
        <is>
          <t>días</t>
        </is>
      </c>
      <c r="K7" s="18" t="inlineStr">
        <is>
          <t>Coeficiente de febrero</t>
        </is>
      </c>
      <c r="L7" s="24">
        <f>B19</f>
        <v>1.15</v>
      </c>
      <c r="M7" s="11" t="inlineStr">
        <is>
          <t>Lo copia: libro 6 (plan-financiero-3-anos-churreria.xlsx, hoja 0. Supuestos, X13)</t>
        </is>
      </c>
    </row>
    <row r="8" ht="28" customHeight="1">
      <c r="A8" s="21" t="inlineStr">
        <is>
          <t>Días tipo: el resto de días abiertos</t>
        </is>
      </c>
      <c r="B8" s="22">
        <f>B5-B6-B7</f>
        <v>244.0</v>
      </c>
      <c r="C8" t="inlineStr">
        <is>
          <t>días</t>
        </is>
      </c>
      <c r="K8" s="18" t="inlineStr">
        <is>
          <t>Coeficiente de marzo</t>
        </is>
      </c>
      <c r="L8" s="24">
        <f>B20</f>
        <v>1.1</v>
      </c>
      <c r="M8" s="11" t="inlineStr">
        <is>
          <t>Lo copia: libro 6 (plan-financiero-3-anos-churreria.xlsx, hoja 0. Supuestos, X13)</t>
        </is>
      </c>
    </row>
    <row r="9" ht="28" customHeight="1">
      <c r="A9" s="21" t="inlineStr">
        <is>
          <t>Días de apertura del año</t>
        </is>
      </c>
      <c r="B9" s="22">
        <f>B5-B6</f>
        <v>360.0</v>
      </c>
      <c r="C9" t="inlineStr">
        <is>
          <t>días</t>
        </is>
      </c>
      <c r="K9" s="18" t="inlineStr">
        <is>
          <t>Coeficiente de abril</t>
        </is>
      </c>
      <c r="L9" s="24">
        <f>B21</f>
        <v>0.95</v>
      </c>
      <c r="M9" s="11" t="inlineStr">
        <is>
          <t>Lo copia: libro 6 (plan-financiero-3-anos-churreria.xlsx, hoja 0. Supuestos, X13)</t>
        </is>
      </c>
    </row>
    <row r="10" ht="28" customHeight="1">
      <c r="A10" s="21" t="inlineStr">
        <is>
          <t>Raciones de un día tipo (copiadas del libro 1)</t>
        </is>
      </c>
      <c r="B10" s="22">
        <f>'Parámetros'!$B$7</f>
        <v>250.0</v>
      </c>
      <c r="C10" t="inlineStr">
        <is>
          <t>raciones</t>
        </is>
      </c>
      <c r="K10" s="18" t="inlineStr">
        <is>
          <t>Coeficiente de mayo</t>
        </is>
      </c>
      <c r="L10" s="24">
        <f>B22</f>
        <v>0.85</v>
      </c>
      <c r="M10" s="11" t="inlineStr">
        <is>
          <t>Lo copia: libro 6 (plan-financiero-3-anos-churreria.xlsx, hoja 0. Supuestos, X13)</t>
        </is>
      </c>
    </row>
    <row r="11" ht="28" customHeight="1">
      <c r="A11" s="21" t="inlineStr">
        <is>
          <t>Raciones de un día punta (copiadas del libro 1)</t>
        </is>
      </c>
      <c r="B11" s="22">
        <f>'Parámetros'!$B$8</f>
        <v>400.0</v>
      </c>
      <c r="C11" t="inlineStr">
        <is>
          <t>raciones</t>
        </is>
      </c>
      <c r="K11" s="18" t="inlineStr">
        <is>
          <t>Coeficiente de junio</t>
        </is>
      </c>
      <c r="L11" s="24">
        <f>B23</f>
        <v>0.7</v>
      </c>
      <c r="M11" s="11" t="inlineStr">
        <is>
          <t>Lo copia: libro 6 (plan-financiero-3-anos-churreria.xlsx, hoja 0. Supuestos, X13)</t>
        </is>
      </c>
    </row>
    <row r="12" ht="28" customHeight="1">
      <c r="A12" s="25" t="inlineStr">
        <is>
          <t>RACIONES DEL AÑO</t>
        </is>
      </c>
      <c r="B12" s="23">
        <f>B8*B10+B7*B11</f>
        <v>107400.0</v>
      </c>
      <c r="C12" t="inlineStr">
        <is>
          <t>raciones</t>
        </is>
      </c>
      <c r="D12" s="11" t="inlineStr">
        <is>
          <t>Lo copia el libro 6 (bloque de la derecha, celda L5).</t>
        </is>
      </c>
      <c r="K12" s="18" t="inlineStr">
        <is>
          <t>Coeficiente de julio</t>
        </is>
      </c>
      <c r="L12" s="24">
        <f>B24</f>
        <v>0.55</v>
      </c>
      <c r="M12" s="11" t="inlineStr">
        <is>
          <t>Lo copia: libro 6 (plan-financiero-3-anos-churreria.xlsx, hoja 0. Supuestos, X13)</t>
        </is>
      </c>
    </row>
    <row r="13" ht="28" customHeight="1">
      <c r="A13" s="21" t="inlineStr">
        <is>
          <t>Meses con coeficiente</t>
        </is>
      </c>
      <c r="B13" s="22">
        <f>COUNT(B18:B29)</f>
        <v>12.0</v>
      </c>
      <c r="C13" t="inlineStr">
        <is>
          <t>meses</t>
        </is>
      </c>
      <c r="K13" s="18" t="inlineStr">
        <is>
          <t>Coeficiente de agosto</t>
        </is>
      </c>
      <c r="L13" s="24">
        <f>B25</f>
        <v>0.5</v>
      </c>
      <c r="M13" s="11" t="inlineStr">
        <is>
          <t>Lo copia: libro 6 (plan-financiero-3-anos-churreria.xlsx, hoja 0. Supuestos, X13)</t>
        </is>
      </c>
    </row>
    <row r="14" ht="28" customHeight="1">
      <c r="A14" s="21" t="inlineStr">
        <is>
          <t>Suma de los doce coeficientes</t>
        </is>
      </c>
      <c r="B14" s="26">
        <f>SUM(B18:B29)</f>
        <v>12.0</v>
      </c>
      <c r="C14" t="inlineStr">
        <is>
          <t>tiene que dar 12</t>
        </is>
      </c>
      <c r="K14" s="18" t="inlineStr">
        <is>
          <t>Coeficiente de septiembre</t>
        </is>
      </c>
      <c r="L14" s="24">
        <f>B26</f>
        <v>0.8</v>
      </c>
      <c r="M14" s="11" t="inlineStr">
        <is>
          <t>Lo copia: libro 6 (plan-financiero-3-anos-churreria.xlsx, hoja 0. Supuestos, X13)</t>
        </is>
      </c>
    </row>
    <row r="15" ht="30" customHeight="1">
      <c r="A15" s="25" t="inlineStr">
        <is>
          <t>¿Los coeficientes reparten el año entero?</t>
        </is>
      </c>
      <c r="B15" s="20" t="str">
        <f>IF(NOT(ISNUMBER(B14)),"",IF(ABS(B14-B13)&lt;='Parámetros'!$B$35*B13,"CUADRA","REVISA: los doce coeficientes no suman 12 y los meses no suman el año"))</f>
        <v>CUADRA</v>
      </c>
      <c r="K15" s="18" t="inlineStr">
        <is>
          <t>Coeficiente de octubre</t>
        </is>
      </c>
      <c r="L15" s="24">
        <f>B27</f>
        <v>1.1</v>
      </c>
      <c r="M15" s="11" t="inlineStr">
        <is>
          <t>Lo copia: libro 6 (plan-financiero-3-anos-churreria.xlsx, hoja 0. Supuestos, X13)</t>
        </is>
      </c>
    </row>
    <row r="16" ht="28" customHeight="1">
      <c r="K16" s="18" t="inlineStr">
        <is>
          <t>Coeficiente de noviembre</t>
        </is>
      </c>
      <c r="L16" s="24">
        <f>B28</f>
        <v>1.3</v>
      </c>
      <c r="M16" s="11" t="inlineStr">
        <is>
          <t>Lo copia: libro 6 (plan-financiero-3-anos-churreria.xlsx, hoja 0. Supuestos, X13)</t>
        </is>
      </c>
    </row>
    <row r="17" ht="48" customHeight="1">
      <c r="A17" s="9" t="inlineStr">
        <is>
          <t>Mes</t>
        </is>
      </c>
      <c r="B17" s="9" t="inlineStr">
        <is>
          <t>Coeficiente (1 = un mes medio)</t>
        </is>
      </c>
      <c r="C17" s="9" t="inlineStr">
        <is>
          <t>Temporada</t>
        </is>
      </c>
      <c r="D17" s="9" t="inlineStr">
        <is>
          <t>Raciones del mes</t>
        </is>
      </c>
      <c r="E17" s="9" t="inlineStr">
        <is>
          <t>Peso sobre el año</t>
        </is>
      </c>
      <c r="F17" s="9" t="inlineStr">
        <is>
          <t>Raciones de un día medio del mes</t>
        </is>
      </c>
      <c r="G17" s="9" t="inlineStr">
        <is>
          <t>Raciones de un día tipo del mes</t>
        </is>
      </c>
      <c r="H17" s="9" t="inlineStr">
        <is>
          <t>Raciones de un día punta del mes</t>
        </is>
      </c>
      <c r="I17" s="9" t="inlineStr">
        <is>
          <t>Nota</t>
        </is>
      </c>
      <c r="K17" s="18" t="inlineStr">
        <is>
          <t>Coeficiente de diciembre</t>
        </is>
      </c>
      <c r="L17" s="24">
        <f>B29</f>
        <v>1.75</v>
      </c>
      <c r="M17" s="11" t="inlineStr">
        <is>
          <t>Lo copia: libro 6 (plan-financiero-3-anos-churreria.xlsx, hoja 0. Supuestos, X13)</t>
        </is>
      </c>
    </row>
    <row r="18" ht="60" customHeight="1">
      <c r="A18" t="inlineStr">
        <is>
          <t>Enero</t>
        </is>
      </c>
      <c r="B18" s="15" t="n">
        <v>1.25</v>
      </c>
      <c r="C18" t="str">
        <f>IF(NOT(ISNUMBER(B18)),"",IF(B18&gt;='Parámetros'!$B$32,"Temporada alta",IF(B18&lt;='Parámetros'!$B$33,"Valle","Media")))</f>
        <v>Temporada alta</v>
      </c>
      <c r="D18" s="27">
        <f>IFERROR($B$12*B18/$B$13,"")</f>
        <v>11187.5</v>
      </c>
      <c r="E18" s="19">
        <f>IFERROR(D18/$B$12,"")</f>
        <v>0.10416666666666667</v>
      </c>
      <c r="F18" s="27">
        <f>IFERROR(D18/($B$9/$B$13),"")</f>
        <v>372.9166666666667</v>
      </c>
      <c r="G18" s="27">
        <f>IFERROR($B$10*B18,"")</f>
        <v>312.5</v>
      </c>
      <c r="H18" s="27">
        <f>IFERROR($B$11*B18,"")</f>
        <v>500.0</v>
      </c>
      <c r="I18" s="11" t="inlineStr">
        <is>
          <t>Supuestos declarados con la forma que describen las fuentes del sector: pico de octubre a marzo con Navidad arriba y valle en julio y agosto. La serie de búsquedas en internet no vale como reparto de ventas. Al cerrar tu primer año, pon los tuyos (ventas del mes entre la media).</t>
        </is>
      </c>
    </row>
    <row r="19">
      <c r="A19" t="inlineStr">
        <is>
          <t>Febrero</t>
        </is>
      </c>
      <c r="B19" s="15" t="n">
        <v>1.15</v>
      </c>
      <c r="C19" t="str">
        <f>IF(NOT(ISNUMBER(B19)),"",IF(B19&gt;='Parámetros'!$B$32,"Temporada alta",IF(B19&lt;='Parámetros'!$B$33,"Valle","Media")))</f>
        <v>Temporada alta</v>
      </c>
      <c r="D19" s="27">
        <f>IFERROR($B$12*B19/$B$13,"")</f>
        <v>10292.499999999998</v>
      </c>
      <c r="E19" s="19">
        <f>IFERROR(D19/$B$12,"")</f>
        <v>0.09583333333333331</v>
      </c>
      <c r="F19" s="27">
        <f>IFERROR(D19/($B$9/$B$13),"")</f>
        <v>343.08333333333326</v>
      </c>
      <c r="G19" s="27">
        <f>IFERROR($B$10*B19,"")</f>
        <v>287.5</v>
      </c>
      <c r="H19" s="27">
        <f>IFERROR($B$11*B19,"")</f>
        <v>459.99999999999994</v>
      </c>
    </row>
    <row r="20">
      <c r="A20" t="inlineStr">
        <is>
          <t>Marzo</t>
        </is>
      </c>
      <c r="B20" s="15" t="n">
        <v>1.1</v>
      </c>
      <c r="C20" t="str">
        <f>IF(NOT(ISNUMBER(B20)),"",IF(B20&gt;='Parámetros'!$B$32,"Temporada alta",IF(B20&lt;='Parámetros'!$B$33,"Valle","Media")))</f>
        <v>Temporada alta</v>
      </c>
      <c r="D20" s="27">
        <f>IFERROR($B$12*B20/$B$13,"")</f>
        <v>9845.000000000002</v>
      </c>
      <c r="E20" s="19">
        <f>IFERROR(D20/$B$12,"")</f>
        <v>0.09166666666666669</v>
      </c>
      <c r="F20" s="27">
        <f>IFERROR(D20/($B$9/$B$13),"")</f>
        <v>328.16666666666674</v>
      </c>
      <c r="G20" s="27">
        <f>IFERROR($B$10*B20,"")</f>
        <v>275.0</v>
      </c>
      <c r="H20" s="27">
        <f>IFERROR($B$11*B20,"")</f>
        <v>440.00000000000006</v>
      </c>
    </row>
    <row r="21">
      <c r="A21" t="inlineStr">
        <is>
          <t>Abril</t>
        </is>
      </c>
      <c r="B21" s="15" t="n">
        <v>0.95</v>
      </c>
      <c r="C21" t="str">
        <f>IF(NOT(ISNUMBER(B21)),"",IF(B21&gt;='Parámetros'!$B$32,"Temporada alta",IF(B21&lt;='Parámetros'!$B$33,"Valle","Media")))</f>
        <v>Media</v>
      </c>
      <c r="D21" s="27">
        <f>IFERROR($B$12*B21/$B$13,"")</f>
        <v>8502.5</v>
      </c>
      <c r="E21" s="19">
        <f>IFERROR(D21/$B$12,"")</f>
        <v>0.07916666666666666</v>
      </c>
      <c r="F21" s="27">
        <f>IFERROR(D21/($B$9/$B$13),"")</f>
        <v>283.4166666666667</v>
      </c>
      <c r="G21" s="27">
        <f>IFERROR($B$10*B21,"")</f>
        <v>237.5</v>
      </c>
      <c r="H21" s="27">
        <f>IFERROR($B$11*B21,"")</f>
        <v>380.0</v>
      </c>
    </row>
    <row r="22">
      <c r="A22" t="inlineStr">
        <is>
          <t>Mayo</t>
        </is>
      </c>
      <c r="B22" s="15" t="n">
        <v>0.85</v>
      </c>
      <c r="C22" t="str">
        <f>IF(NOT(ISNUMBER(B22)),"",IF(B22&gt;='Parámetros'!$B$32,"Temporada alta",IF(B22&lt;='Parámetros'!$B$33,"Valle","Media")))</f>
        <v>Media</v>
      </c>
      <c r="D22" s="27">
        <f>IFERROR($B$12*B22/$B$13,"")</f>
        <v>7607.5</v>
      </c>
      <c r="E22" s="19">
        <f>IFERROR(D22/$B$12,"")</f>
        <v>0.07083333333333333</v>
      </c>
      <c r="F22" s="27">
        <f>IFERROR(D22/($B$9/$B$13),"")</f>
        <v>253.58333333333334</v>
      </c>
      <c r="G22" s="27">
        <f>IFERROR($B$10*B22,"")</f>
        <v>212.5</v>
      </c>
      <c r="H22" s="27">
        <f>IFERROR($B$11*B22,"")</f>
        <v>340.0</v>
      </c>
    </row>
    <row r="23">
      <c r="A23" t="inlineStr">
        <is>
          <t>Junio</t>
        </is>
      </c>
      <c r="B23" s="15" t="n">
        <v>0.7</v>
      </c>
      <c r="C23" t="str">
        <f>IF(NOT(ISNUMBER(B23)),"",IF(B23&gt;='Parámetros'!$B$32,"Temporada alta",IF(B23&lt;='Parámetros'!$B$33,"Valle","Media")))</f>
        <v>Media</v>
      </c>
      <c r="D23" s="27">
        <f>IFERROR($B$12*B23/$B$13,"")</f>
        <v>6265.0</v>
      </c>
      <c r="E23" s="19">
        <f>IFERROR(D23/$B$12,"")</f>
        <v>0.058333333333333334</v>
      </c>
      <c r="F23" s="27">
        <f>IFERROR(D23/($B$9/$B$13),"")</f>
        <v>208.83333333333334</v>
      </c>
      <c r="G23" s="27">
        <f>IFERROR($B$10*B23,"")</f>
        <v>175.0</v>
      </c>
      <c r="H23" s="27">
        <f>IFERROR($B$11*B23,"")</f>
        <v>280.0</v>
      </c>
    </row>
    <row r="24">
      <c r="A24" t="inlineStr">
        <is>
          <t>Julio</t>
        </is>
      </c>
      <c r="B24" s="15" t="n">
        <v>0.55</v>
      </c>
      <c r="C24" t="str">
        <f>IF(NOT(ISNUMBER(B24)),"",IF(B24&gt;='Parámetros'!$B$32,"Temporada alta",IF(B24&lt;='Parámetros'!$B$33,"Valle","Media")))</f>
        <v>Valle</v>
      </c>
      <c r="D24" s="27">
        <f>IFERROR($B$12*B24/$B$13,"")</f>
        <v>4922.500000000001</v>
      </c>
      <c r="E24" s="19">
        <f>IFERROR(D24/$B$12,"")</f>
        <v>0.045833333333333344</v>
      </c>
      <c r="F24" s="27">
        <f>IFERROR(D24/($B$9/$B$13),"")</f>
        <v>164.08333333333337</v>
      </c>
      <c r="G24" s="27">
        <f>IFERROR($B$10*B24,"")</f>
        <v>137.5</v>
      </c>
      <c r="H24" s="27">
        <f>IFERROR($B$11*B24,"")</f>
        <v>220.00000000000003</v>
      </c>
    </row>
    <row r="25">
      <c r="A25" t="inlineStr">
        <is>
          <t>Agosto</t>
        </is>
      </c>
      <c r="B25" s="15" t="n">
        <v>0.5</v>
      </c>
      <c r="C25" t="str">
        <f>IF(NOT(ISNUMBER(B25)),"",IF(B25&gt;='Parámetros'!$B$32,"Temporada alta",IF(B25&lt;='Parámetros'!$B$33,"Valle","Media")))</f>
        <v>Valle</v>
      </c>
      <c r="D25" s="27">
        <f>IFERROR($B$12*B25/$B$13,"")</f>
        <v>4475.0</v>
      </c>
      <c r="E25" s="19">
        <f>IFERROR(D25/$B$12,"")</f>
        <v>0.041666666666666664</v>
      </c>
      <c r="F25" s="27">
        <f>IFERROR(D25/($B$9/$B$13),"")</f>
        <v>149.16666666666666</v>
      </c>
      <c r="G25" s="27">
        <f>IFERROR($B$10*B25,"")</f>
        <v>125.0</v>
      </c>
      <c r="H25" s="27">
        <f>IFERROR($B$11*B25,"")</f>
        <v>200.0</v>
      </c>
    </row>
    <row r="26">
      <c r="A26" t="inlineStr">
        <is>
          <t>Septiembre</t>
        </is>
      </c>
      <c r="B26" s="15" t="n">
        <v>0.8</v>
      </c>
      <c r="C26" t="str">
        <f>IF(NOT(ISNUMBER(B26)),"",IF(B26&gt;='Parámetros'!$B$32,"Temporada alta",IF(B26&lt;='Parámetros'!$B$33,"Valle","Media")))</f>
        <v>Media</v>
      </c>
      <c r="D26" s="27">
        <f>IFERROR($B$12*B26/$B$13,"")</f>
        <v>7160.0</v>
      </c>
      <c r="E26" s="19">
        <f>IFERROR(D26/$B$12,"")</f>
        <v>0.06666666666666667</v>
      </c>
      <c r="F26" s="27">
        <f>IFERROR(D26/($B$9/$B$13),"")</f>
        <v>238.66666666666666</v>
      </c>
      <c r="G26" s="27">
        <f>IFERROR($B$10*B26,"")</f>
        <v>200.0</v>
      </c>
      <c r="H26" s="27">
        <f>IFERROR($B$11*B26,"")</f>
        <v>320.0</v>
      </c>
    </row>
    <row r="27">
      <c r="A27" t="inlineStr">
        <is>
          <t>Octubre</t>
        </is>
      </c>
      <c r="B27" s="15" t="n">
        <v>1.1</v>
      </c>
      <c r="C27" t="str">
        <f>IF(NOT(ISNUMBER(B27)),"",IF(B27&gt;='Parámetros'!$B$32,"Temporada alta",IF(B27&lt;='Parámetros'!$B$33,"Valle","Media")))</f>
        <v>Temporada alta</v>
      </c>
      <c r="D27" s="27">
        <f>IFERROR($B$12*B27/$B$13,"")</f>
        <v>9845.000000000002</v>
      </c>
      <c r="E27" s="19">
        <f>IFERROR(D27/$B$12,"")</f>
        <v>0.09166666666666669</v>
      </c>
      <c r="F27" s="27">
        <f>IFERROR(D27/($B$9/$B$13),"")</f>
        <v>328.16666666666674</v>
      </c>
      <c r="G27" s="27">
        <f>IFERROR($B$10*B27,"")</f>
        <v>275.0</v>
      </c>
      <c r="H27" s="27">
        <f>IFERROR($B$11*B27,"")</f>
        <v>440.00000000000006</v>
      </c>
    </row>
    <row r="28" ht="30" customHeight="1">
      <c r="A28" t="inlineStr">
        <is>
          <t>Noviembre</t>
        </is>
      </c>
      <c r="B28" s="15" t="n">
        <v>1.3</v>
      </c>
      <c r="C28" t="str">
        <f>IF(NOT(ISNUMBER(B28)),"",IF(B28&gt;='Parámetros'!$B$32,"Temporada alta",IF(B28&lt;='Parámetros'!$B$33,"Valle","Media")))</f>
        <v>Temporada alta</v>
      </c>
      <c r="D28" s="27">
        <f>IFERROR($B$12*B28/$B$13,"")</f>
        <v>11635.0</v>
      </c>
      <c r="E28" s="19">
        <f>IFERROR(D28/$B$12,"")</f>
        <v>0.10833333333333334</v>
      </c>
      <c r="F28" s="27">
        <f>IFERROR(D28/($B$9/$B$13),"")</f>
        <v>387.8333333333333</v>
      </c>
      <c r="G28" s="27">
        <f>IFERROR($B$10*B28,"")</f>
        <v>325.0</v>
      </c>
      <c r="H28" s="27">
        <f>IFERROR($B$11*B28,"")</f>
        <v>520.0</v>
      </c>
      <c r="I28" s="11" t="inlineStr">
        <is>
          <t>Diciembre es Navidad y Reyes: mira la cola del domingo y el refuerzo.</t>
        </is>
      </c>
    </row>
    <row r="29">
      <c r="A29" t="inlineStr">
        <is>
          <t>Diciembre</t>
        </is>
      </c>
      <c r="B29" s="15" t="n">
        <v>1.75</v>
      </c>
      <c r="C29" t="str">
        <f>IF(NOT(ISNUMBER(B29)),"",IF(B29&gt;='Parámetros'!$B$32,"Temporada alta",IF(B29&lt;='Parámetros'!$B$33,"Valle","Media")))</f>
        <v>Temporada alta</v>
      </c>
      <c r="D29" s="27">
        <f>IFERROR($B$12*B29/$B$13,"")</f>
        <v>15662.5</v>
      </c>
      <c r="E29" s="19">
        <f>IFERROR(D29/$B$12,"")</f>
        <v>0.14583333333333334</v>
      </c>
      <c r="F29" s="27">
        <f>IFERROR(D29/($B$9/$B$13),"")</f>
        <v>522.0833333333334</v>
      </c>
      <c r="G29" s="27">
        <f>IFERROR($B$10*B29,"")</f>
        <v>437.5</v>
      </c>
      <c r="H29" s="27">
        <f>IFERROR($B$11*B29,"")</f>
        <v>700.0</v>
      </c>
    </row>
    <row r="30">
      <c r="A30" s="25" t="inlineStr">
        <is>
          <t>TOTAL del año</t>
        </is>
      </c>
      <c r="B30" s="28">
        <f>SUM(B18:B29)</f>
        <v>12.0</v>
      </c>
      <c r="D30" s="29">
        <f>SUM(D18:D29)</f>
        <v>107400.0</v>
      </c>
      <c r="E30" s="30">
        <f>SUM(E18:E29)</f>
        <v>1.0</v>
      </c>
    </row>
    <row r="31"/>
    <row r="32">
      <c r="A32" s="4" t="inlineStr">
        <is>
          <t>Julio y Agosto (los Dos Meses del Verano)</t>
        </is>
      </c>
    </row>
    <row r="33">
      <c r="A33" t="inlineStr">
        <is>
          <t>Coeficiente del primer mes del verano</t>
        </is>
      </c>
      <c r="B33" s="31">
        <f>IFERROR(INDEX($B$18:$B$29,'Parámetros'!$B$21),"")</f>
        <v>0.55</v>
      </c>
    </row>
    <row r="34">
      <c r="A34" t="inlineStr">
        <is>
          <t>Coeficiente del segundo mes del verano</t>
        </is>
      </c>
      <c r="B34" s="31">
        <f>IFERROR(INDEX($B$18:$B$29,'Parámetros'!$B$22),"")</f>
        <v>0.5</v>
      </c>
    </row>
    <row r="35">
      <c r="A35" s="25" t="inlineStr">
        <is>
          <t>Raciones que vendería el local en julio y agosto</t>
        </is>
      </c>
      <c r="B35" s="23">
        <f>IFERROR((B33+B34)*$B$12/$B$13,"")</f>
        <v>9397.5</v>
      </c>
      <c r="C35" s="11" t="inlineStr">
        <is>
          <t>Si abre con carta de verano. Lo usa la hoja «El Verano (Tres Salidas)».</t>
        </is>
      </c>
    </row>
    <row r="36"/>
    <row r="37">
      <c r="A3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B15:D15"/>
    <mergeCell ref="I18:I20"/>
    <mergeCell ref="C35:F35"/>
  </mergeCells>
  <conditionalFormatting sqref="B15">
    <cfRule type="cellIs" priority="1" operator="equal" dxfId="0" stopIfTrue="1">
      <formula>"CUADRA"</formula>
    </cfRule>
    <cfRule type="cellIs" priority="2" operator="equal" dxfId="1" stopIfTrue="1">
      <formula>"REVISA: los doce coeficientes no suman 12 y los meses no suman el año"</formula>
    </cfRule>
  </conditionalFormatting>
  <conditionalFormatting sqref="C18:C29">
    <cfRule type="cellIs" priority="3" operator="equal" dxfId="0" stopIfTrue="1">
      <formula>"Temporada alta"</formula>
    </cfRule>
    <cfRule type="cellIs" priority="4" operator="equal" dxfId="2" stopIfTrue="1">
      <formula>"Valle"</formula>
    </cfRule>
  </conditionalFormatting>
  <dataValidations count="12">
    <dataValidation sqref="B18" showDropDown="0" showInputMessage="0" showErrorMessage="1" allowBlank="1" errorTitle="Valor fuera de rango" error="Escribe un valor entre 0 y 5." type="decimal" operator="between">
      <formula1>0</formula1>
      <formula2>5</formula2>
    </dataValidation>
    <dataValidation sqref="B19" showDropDown="0" showInputMessage="0" showErrorMessage="1" allowBlank="1" errorTitle="Valor fuera de rango" error="Escribe un valor entre 0 y 5." type="decimal" operator="between">
      <formula1>0</formula1>
      <formula2>5</formula2>
    </dataValidation>
    <dataValidation sqref="B20" showDropDown="0" showInputMessage="0" showErrorMessage="1" allowBlank="1" errorTitle="Valor fuera de rango" error="Escribe un valor entre 0 y 5." type="decimal" operator="between">
      <formula1>0</formula1>
      <formula2>5</formula2>
    </dataValidation>
    <dataValidation sqref="B21" showDropDown="0" showInputMessage="0" showErrorMessage="1" allowBlank="1" errorTitle="Valor fuera de rango" error="Escribe un valor entre 0 y 5." type="decimal" operator="between">
      <formula1>0</formula1>
      <formula2>5</formula2>
    </dataValidation>
    <dataValidation sqref="B22" showDropDown="0" showInputMessage="0" showErrorMessage="1" allowBlank="1" errorTitle="Valor fuera de rango" error="Escribe un valor entre 0 y 5." type="decimal" operator="between">
      <formula1>0</formula1>
      <formula2>5</formula2>
    </dataValidation>
    <dataValidation sqref="B23" showDropDown="0" showInputMessage="0" showErrorMessage="1" allowBlank="1" errorTitle="Valor fuera de rango" error="Escribe un valor entre 0 y 5." type="decimal" operator="between">
      <formula1>0</formula1>
      <formula2>5</formula2>
    </dataValidation>
    <dataValidation sqref="B24" showDropDown="0" showInputMessage="0" showErrorMessage="1" allowBlank="1" errorTitle="Valor fuera de rango" error="Escribe un valor entre 0 y 5." type="decimal" operator="between">
      <formula1>0</formula1>
      <formula2>5</formula2>
    </dataValidation>
    <dataValidation sqref="B25" showDropDown="0" showInputMessage="0" showErrorMessage="1" allowBlank="1" errorTitle="Valor fuera de rango" error="Escribe un valor entre 0 y 5." type="decimal" operator="between">
      <formula1>0</formula1>
      <formula2>5</formula2>
    </dataValidation>
    <dataValidation sqref="B26" showDropDown="0" showInputMessage="0" showErrorMessage="1" allowBlank="1" errorTitle="Valor fuera de rango" error="Escribe un valor entre 0 y 5." type="decimal" operator="between">
      <formula1>0</formula1>
      <formula2>5</formula2>
    </dataValidation>
    <dataValidation sqref="B27" showDropDown="0" showInputMessage="0" showErrorMessage="1" allowBlank="1" errorTitle="Valor fuera de rango" error="Escribe un valor entre 0 y 5." type="decimal" operator="between">
      <formula1>0</formula1>
      <formula2>5</formula2>
    </dataValidation>
    <dataValidation sqref="B28" showDropDown="0" showInputMessage="0" showErrorMessage="1" allowBlank="1" errorTitle="Valor fuera de rango" error="Escribe un valor entre 0 y 5." type="decimal" operator="between">
      <formula1>0</formula1>
      <formula2>5</formula2>
    </dataValidation>
    <dataValidation sqref="B29" showDropDown="0" showInputMessage="0" showErrorMessage="1" allowBlank="1" errorTitle="Valor fuera de rango" error="Escribe un valor entre 0 y 5." type="decimal" operator="between">
      <formula1>0</formula1>
      <formula2>5</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68"/>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30" customWidth="1" min="5" max="5"/>
    <col width="14" customWidth="1" min="6" max="6"/>
    <col width="14" customWidth="1" min="7" max="7"/>
    <col width="15" customWidth="1" min="8" max="8"/>
    <col width="15" customWidth="1" min="9" max="9"/>
    <col width="15" customWidth="1" min="10" max="10"/>
    <col width="40" customWidth="1" min="11" max="11"/>
    <col width="14" customWidth="1" min="12" max="12"/>
    <col width="44" customWidth="1" min="13" max="13"/>
  </cols>
  <sheetData>
    <row r="1">
      <c r="A1" s="1" t="inlineStr">
        <is>
          <t>Franjas del Día</t>
        </is>
      </c>
    </row>
    <row r="2">
      <c r="A2" s="2" t="inlineStr">
        <is>
          <t>AI Chef Pro · aichef.pro — Cómo Montar una Churrería-Chocolatería</t>
        </is>
      </c>
    </row>
    <row r="3">
      <c r="A3" s="3" t="inlineStr">
        <is>
          <t>La franja del día vive SÓLO aquí. Horario y reparto de las raciones de cada día, la hora punta y el semáforo de la hora de apertura.</t>
        </is>
      </c>
    </row>
    <row r="4">
      <c r="A4" s="4" t="inlineStr">
        <is>
          <t>Los Siete Días</t>
        </is>
      </c>
      <c r="K4" s="4" t="inlineStr">
        <is>
          <t>Horas por Franja de la Semana Tipo (Dato de Referencia)</t>
        </is>
      </c>
    </row>
    <row r="5" ht="58" customHeight="1">
      <c r="A5" s="9" t="inlineStr">
        <is>
          <t>Día</t>
        </is>
      </c>
      <c r="B5" s="9" t="inlineStr">
        <is>
          <t>Tipo de día</t>
        </is>
      </c>
      <c r="C5" s="9" t="inlineStr">
        <is>
          <t>Raciones del día (mes medio)</t>
        </is>
      </c>
      <c r="D5" s="9" t="inlineStr">
        <is>
          <t>Hora de apertura</t>
        </is>
      </c>
      <c r="E5" s="9" t="inlineStr">
        <is>
          <t>Hora de apertura frente a la mínima legal (ejemplo de Madrid)</t>
        </is>
      </c>
      <c r="F5" s="9" t="inlineStr">
        <is>
          <t>Horas abiertas</t>
        </is>
      </c>
      <c r="G5" s="9" t="inlineStr">
        <is>
          <t>Reparto de las raciones (tiene que dar 100 %)</t>
        </is>
      </c>
      <c r="H5" s="9" t="inlineStr">
        <is>
          <t>Hora punta del día (raciones/h)</t>
        </is>
      </c>
      <c r="I5" s="9" t="inlineStr">
        <is>
          <t>Hora punta si es día tipo</t>
        </is>
      </c>
      <c r="J5" s="9" t="inlineStr">
        <is>
          <t>Hora punta si es día punta</t>
        </is>
      </c>
      <c r="K5" s="18" t="inlineStr">
        <is>
          <t>Horas a la semana: desayuno</t>
        </is>
      </c>
      <c r="L5" s="32">
        <f>B53</f>
        <v>23.0</v>
      </c>
    </row>
    <row r="6" ht="34" customHeight="1">
      <c r="A6" s="25" t="inlineStr">
        <is>
          <t>Lunes</t>
        </is>
      </c>
      <c r="B6" s="5" t="inlineStr">
        <is>
          <t>Tipo</t>
        </is>
      </c>
      <c r="C6" s="27">
        <f>IF(B6="Punta",'Parámetros'!$B$8,IF(B6="Tipo",'Parámetros'!$B$7,""))</f>
        <v>250.0</v>
      </c>
      <c r="D6" s="33">
        <f>C22</f>
        <v>7.0</v>
      </c>
      <c r="E6" s="20" t="str">
        <f>IF(NOT(ISNUMBER(D6)),"",IF(D6&lt;'Parámetros'!$B$29,"Antes de la hora mínima también como cafetería o bar",IF(D6&lt;'Parámetros'!$B$28,"Antes de la hora de chocolatería: sólo como cafetería o bar (ejemplo de Madrid)","Cabe también como chocolatería")))</f>
        <v>Antes de la hora de chocolatería: sólo como cafetería o bar (ejemplo de Madrid)</v>
      </c>
      <c r="F6" s="34">
        <f>SUMIF($B$22:$B$49,A6,$E$22:$E$49)</f>
        <v>10.5</v>
      </c>
      <c r="G6" s="19">
        <f>SUMIF($B$22:$B$49,A6,$F$22:$F$49)</f>
        <v>1.0</v>
      </c>
      <c r="H6" s="35">
        <f>MAX(I22:I25)</f>
        <v>62.5</v>
      </c>
      <c r="I6" s="34">
        <f>IF(B6="Tipo",H6,"")</f>
        <v>62.5</v>
      </c>
      <c r="J6" s="34">
        <f>IF(B6="Punta",H6,"")</f>
        <v/>
      </c>
      <c r="K6" s="18" t="inlineStr">
        <is>
          <t>Horas a la semana: media mañana</t>
        </is>
      </c>
      <c r="L6" s="32">
        <f>B54</f>
        <v>21.0</v>
      </c>
    </row>
    <row r="7" ht="34" customHeight="1">
      <c r="A7" s="25" t="inlineStr">
        <is>
          <t>Martes</t>
        </is>
      </c>
      <c r="B7" s="5" t="inlineStr">
        <is>
          <t>Tipo</t>
        </is>
      </c>
      <c r="C7" s="27">
        <f>IF(B7="Punta",'Parámetros'!$B$8,IF(B7="Tipo",'Parámetros'!$B$7,""))</f>
        <v>250.0</v>
      </c>
      <c r="D7" s="33">
        <f>C26</f>
        <v>7.0</v>
      </c>
      <c r="E7" s="20" t="str">
        <f>IF(NOT(ISNUMBER(D7)),"",IF(D7&lt;'Parámetros'!$B$29,"Antes de la hora mínima también como cafetería o bar",IF(D7&lt;'Parámetros'!$B$28,"Antes de la hora de chocolatería: sólo como cafetería o bar (ejemplo de Madrid)","Cabe también como chocolatería")))</f>
        <v>Antes de la hora de chocolatería: sólo como cafetería o bar (ejemplo de Madrid)</v>
      </c>
      <c r="F7" s="34">
        <f>SUMIF($B$22:$B$49,A7,$E$22:$E$49)</f>
        <v>10.5</v>
      </c>
      <c r="G7" s="19">
        <f>SUMIF($B$22:$B$49,A7,$F$22:$F$49)</f>
        <v>1.0</v>
      </c>
      <c r="H7" s="35">
        <f>MAX(I26:I29)</f>
        <v>62.5</v>
      </c>
      <c r="I7" s="34">
        <f>IF(B7="Tipo",H7,"")</f>
        <v>62.5</v>
      </c>
      <c r="J7" s="34">
        <f>IF(B7="Punta",H7,"")</f>
        <v/>
      </c>
      <c r="K7" s="18" t="inlineStr">
        <is>
          <t>Horas a la semana: merienda</t>
        </is>
      </c>
      <c r="L7" s="32">
        <f>B55</f>
        <v>31.5</v>
      </c>
    </row>
    <row r="8" ht="34" customHeight="1">
      <c r="A8" s="25" t="inlineStr">
        <is>
          <t>Miércoles</t>
        </is>
      </c>
      <c r="B8" s="5" t="inlineStr">
        <is>
          <t>Tipo</t>
        </is>
      </c>
      <c r="C8" s="27">
        <f>IF(B8="Punta",'Parámetros'!$B$8,IF(B8="Tipo",'Parámetros'!$B$7,""))</f>
        <v>250.0</v>
      </c>
      <c r="D8" s="33">
        <f>C30</f>
        <v>7.0</v>
      </c>
      <c r="E8" s="20" t="str">
        <f>IF(NOT(ISNUMBER(D8)),"",IF(D8&lt;'Parámetros'!$B$29,"Antes de la hora mínima también como cafetería o bar",IF(D8&lt;'Parámetros'!$B$28,"Antes de la hora de chocolatería: sólo como cafetería o bar (ejemplo de Madrid)","Cabe también como chocolatería")))</f>
        <v>Antes de la hora de chocolatería: sólo como cafetería o bar (ejemplo de Madrid)</v>
      </c>
      <c r="F8" s="34">
        <f>SUMIF($B$22:$B$49,A8,$E$22:$E$49)</f>
        <v>10.5</v>
      </c>
      <c r="G8" s="19">
        <f>SUMIF($B$22:$B$49,A8,$F$22:$F$49)</f>
        <v>1.0</v>
      </c>
      <c r="H8" s="35">
        <f>MAX(I30:I33)</f>
        <v>62.5</v>
      </c>
      <c r="I8" s="34">
        <f>IF(B8="Tipo",H8,"")</f>
        <v>62.5</v>
      </c>
      <c r="J8" s="34">
        <f>IF(B8="Punta",H8,"")</f>
        <v/>
      </c>
      <c r="K8" s="18" t="inlineStr">
        <is>
          <t>Horas a la semana: noche (viernes y sábado)</t>
        </is>
      </c>
      <c r="L8" s="32">
        <f>B56</f>
        <v>8.0</v>
      </c>
    </row>
    <row r="9" ht="34" customHeight="1">
      <c r="A9" s="25" t="inlineStr">
        <is>
          <t>Jueves</t>
        </is>
      </c>
      <c r="B9" s="5" t="inlineStr">
        <is>
          <t>Tipo</t>
        </is>
      </c>
      <c r="C9" s="27">
        <f>IF(B9="Punta",'Parámetros'!$B$8,IF(B9="Tipo",'Parámetros'!$B$7,""))</f>
        <v>250.0</v>
      </c>
      <c r="D9" s="33">
        <f>C34</f>
        <v>7.0</v>
      </c>
      <c r="E9" s="20" t="str">
        <f>IF(NOT(ISNUMBER(D9)),"",IF(D9&lt;'Parámetros'!$B$29,"Antes de la hora mínima también como cafetería o bar",IF(D9&lt;'Parámetros'!$B$28,"Antes de la hora de chocolatería: sólo como cafetería o bar (ejemplo de Madrid)","Cabe también como chocolatería")))</f>
        <v>Antes de la hora de chocolatería: sólo como cafetería o bar (ejemplo de Madrid)</v>
      </c>
      <c r="F9" s="34">
        <f>SUMIF($B$22:$B$49,A9,$E$22:$E$49)</f>
        <v>10.5</v>
      </c>
      <c r="G9" s="19">
        <f>SUMIF($B$22:$B$49,A9,$F$22:$F$49)</f>
        <v>1.0</v>
      </c>
      <c r="H9" s="35">
        <f>MAX(I34:I37)</f>
        <v>62.5</v>
      </c>
      <c r="I9" s="34">
        <f>IF(B9="Tipo",H9,"")</f>
        <v>62.5</v>
      </c>
      <c r="J9" s="34">
        <f>IF(B9="Punta",H9,"")</f>
        <v/>
      </c>
    </row>
    <row r="10" ht="34" customHeight="1">
      <c r="A10" s="25" t="inlineStr">
        <is>
          <t>Viernes</t>
        </is>
      </c>
      <c r="B10" s="5" t="inlineStr">
        <is>
          <t>Tipo</t>
        </is>
      </c>
      <c r="C10" s="27">
        <f>IF(B10="Punta",'Parámetros'!$B$8,IF(B10="Tipo",'Parámetros'!$B$7,""))</f>
        <v>250.0</v>
      </c>
      <c r="D10" s="33">
        <f>C38</f>
        <v>7.0</v>
      </c>
      <c r="E10" s="20" t="str">
        <f>IF(NOT(ISNUMBER(D10)),"",IF(D10&lt;'Parámetros'!$B$29,"Antes de la hora mínima también como cafetería o bar",IF(D10&lt;'Parámetros'!$B$28,"Antes de la hora de chocolatería: sólo como cafetería o bar (ejemplo de Madrid)","Cabe también como chocolatería")))</f>
        <v>Antes de la hora de chocolatería: sólo como cafetería o bar (ejemplo de Madrid)</v>
      </c>
      <c r="F10" s="34">
        <f>SUMIF($B$22:$B$49,A10,$E$22:$E$49)</f>
        <v>14.5</v>
      </c>
      <c r="G10" s="19">
        <f>SUMIF($B$22:$B$49,A10,$F$22:$F$49)</f>
        <v>1.0</v>
      </c>
      <c r="H10" s="35">
        <f>MAX(I38:I41)</f>
        <v>62.5</v>
      </c>
      <c r="I10" s="34">
        <f>IF(B10="Tipo",H10,"")</f>
        <v>62.5</v>
      </c>
      <c r="J10" s="34">
        <f>IF(B10="Punta",H10,"")</f>
        <v/>
      </c>
    </row>
    <row r="11" ht="34" customHeight="1">
      <c r="A11" s="25" t="inlineStr">
        <is>
          <t>Sábado</t>
        </is>
      </c>
      <c r="B11" s="5" t="inlineStr">
        <is>
          <t>Punta</t>
        </is>
      </c>
      <c r="C11" s="27">
        <f>IF(B11="Punta",'Parámetros'!$B$8,IF(B11="Tipo",'Parámetros'!$B$7,""))</f>
        <v>400.0</v>
      </c>
      <c r="D11" s="33">
        <f>C42</f>
        <v>6.0</v>
      </c>
      <c r="E11" s="20" t="str">
        <f>IF(NOT(ISNUMBER(D11)),"",IF(D11&lt;'Parámetros'!$B$29,"Antes de la hora mínima también como cafetería o bar",IF(D11&lt;'Parámetros'!$B$28,"Antes de la hora de chocolatería: sólo como cafetería o bar (ejemplo de Madrid)","Cabe también como chocolatería")))</f>
        <v>Antes de la hora de chocolatería: sólo como cafetería o bar (ejemplo de Madrid)</v>
      </c>
      <c r="F11" s="34">
        <f>SUMIF($B$22:$B$49,A11,$E$22:$E$49)</f>
        <v>15.5</v>
      </c>
      <c r="G11" s="19">
        <f>SUMIF($B$22:$B$49,A11,$F$22:$F$49)</f>
        <v>1.0</v>
      </c>
      <c r="H11" s="35">
        <f>MAX(I42:I45)</f>
        <v>75.0</v>
      </c>
      <c r="I11" s="34">
        <f>IF(B11="Tipo",H11,"")</f>
        <v/>
      </c>
      <c r="J11" s="34">
        <f>IF(B11="Punta",H11,"")</f>
        <v>75.0</v>
      </c>
    </row>
    <row r="12" ht="34" customHeight="1">
      <c r="A12" s="25" t="inlineStr">
        <is>
          <t>Domingo</t>
        </is>
      </c>
      <c r="B12" s="5" t="inlineStr">
        <is>
          <t>Punta</t>
        </is>
      </c>
      <c r="C12" s="27">
        <f>IF(B12="Punta",'Parámetros'!$B$8,IF(B12="Tipo",'Parámetros'!$B$7,""))</f>
        <v>400.0</v>
      </c>
      <c r="D12" s="33">
        <f>C46</f>
        <v>6.0</v>
      </c>
      <c r="E12" s="20" t="str">
        <f>IF(NOT(ISNUMBER(D12)),"",IF(D12&lt;'Parámetros'!$B$29,"Antes de la hora mínima también como cafetería o bar",IF(D12&lt;'Parámetros'!$B$28,"Antes de la hora de chocolatería: sólo como cafetería o bar (ejemplo de Madrid)","Cabe también como chocolatería")))</f>
        <v>Antes de la hora de chocolatería: sólo como cafetería o bar (ejemplo de Madrid)</v>
      </c>
      <c r="F12" s="34">
        <f>SUMIF($B$22:$B$49,A12,$E$22:$E$49)</f>
        <v>11.5</v>
      </c>
      <c r="G12" s="19">
        <f>SUMIF($B$22:$B$49,A12,$F$22:$F$49)</f>
        <v>1.0</v>
      </c>
      <c r="H12" s="35">
        <f>MAX(I46:I49)</f>
        <v>75.0</v>
      </c>
      <c r="I12" s="34">
        <f>IF(B12="Tipo",H12,"")</f>
        <v/>
      </c>
      <c r="J12" s="34">
        <f>IF(B12="Punta",H12,"")</f>
        <v>75.0</v>
      </c>
    </row>
    <row r="13"/>
    <row r="14" ht="22" customHeight="1">
      <c r="A14" s="6" t="inlineStr">
        <is>
          <t>Hora punta de un día tipo (la más alta de los días tipo), mes medio</t>
        </is>
      </c>
      <c r="E14" s="32">
        <f>MAX(I6:I12)</f>
        <v>62.5</v>
      </c>
      <c r="F14" t="inlineStr">
        <is>
          <t>raciones/h</t>
        </is>
      </c>
    </row>
    <row r="15" ht="22" customHeight="1">
      <c r="A15" s="6" t="inlineStr">
        <is>
          <t>Hora punta de un día punta (la más alta de los días punta), mes medio</t>
        </is>
      </c>
      <c r="E15" s="32">
        <f>MAX(J6:J12)</f>
        <v>75.0</v>
      </c>
      <c r="F15" t="inlineStr">
        <is>
          <t>raciones/h</t>
        </is>
      </c>
    </row>
    <row r="16" ht="44" customHeight="1">
      <c r="A16" s="6" t="inlineStr">
        <is>
          <t>Días que abres antes de la hora mínima de chocolatería</t>
        </is>
      </c>
      <c r="E16" s="29">
        <f>COUNTIF(E6:E12,"Antes de la hora de chocolatería: sólo como cafetería o bar (ejemplo de Madrid)")+COUNTIF(E6:E12,"Antes de la hora mínima también como cafetería o bar")</f>
        <v>7.0</v>
      </c>
      <c r="F16" t="inlineStr">
        <is>
          <t>días</t>
        </is>
      </c>
      <c r="G16" s="11" t="inlineStr">
        <is>
          <t>El Molinete abre a las 6:00 y a las 7:00: en el ejemplo de Madrid se clasifica como cafetería o bar (decisión 8). El libro 7 cita la norma y remite aquí.</t>
        </is>
      </c>
    </row>
    <row r="17" ht="22" customHeight="1">
      <c r="A17" s="6" t="inlineStr">
        <is>
          <t>De ellos, días que abres antes de la hora mínima incluso como cafetería o bar</t>
        </is>
      </c>
      <c r="E17" s="29">
        <f>COUNTIF(E6:E12,"Antes de la hora mínima también como cafetería o bar")</f>
        <v>0.0</v>
      </c>
      <c r="F17" t="inlineStr">
        <is>
          <t>días</t>
        </is>
      </c>
    </row>
    <row r="18" ht="22" customHeight="1">
      <c r="A18" s="6" t="inlineStr">
        <is>
          <t>Días cuyo reparto de raciones no suma el 100 %</t>
        </is>
      </c>
      <c r="E18" s="29">
        <f>COUNTIF(G6:G12,"&lt;"&amp;(1-'Parámetros'!$B$35))+COUNTIF(G6:G12,"&gt;"&amp;(1+'Parámetros'!$B$35))</f>
        <v>0.0</v>
      </c>
      <c r="F18" t="inlineStr">
        <is>
          <t>días</t>
        </is>
      </c>
    </row>
    <row r="19"/>
    <row r="20">
      <c r="A20" s="4" t="inlineStr">
        <is>
          <t>Las Franjas, Día a Día</t>
        </is>
      </c>
    </row>
    <row r="21" ht="58" customHeight="1">
      <c r="A21" s="9" t="inlineStr">
        <is>
          <t>Franja</t>
        </is>
      </c>
      <c r="B21" s="9" t="inlineStr">
        <is>
          <t>Día</t>
        </is>
      </c>
      <c r="C21" s="9" t="inlineStr">
        <is>
          <t>Empieza (hora: 16,5 = 16:30)</t>
        </is>
      </c>
      <c r="D21" s="9" t="inlineStr">
        <is>
          <t>Acaba (25 = la 1:00 del día siguiente)</t>
        </is>
      </c>
      <c r="E21" s="9" t="inlineStr">
        <is>
          <t>Horas</t>
        </is>
      </c>
      <c r="F21" s="9" t="inlineStr">
        <is>
          <t>Parte de las raciones del día</t>
        </is>
      </c>
      <c r="G21" s="9" t="inlineStr">
        <is>
          <t>Raciones de la franja (mes medio)</t>
        </is>
      </c>
      <c r="H21" s="9" t="inlineStr">
        <is>
          <t>Raciones por hora (media)</t>
        </is>
      </c>
      <c r="I21" s="9" t="inlineStr">
        <is>
          <t>Raciones por hora en su hora punta</t>
        </is>
      </c>
      <c r="J21" s="9" t="inlineStr">
        <is>
          <t>¿Aguanta la línea? (mes medio)</t>
        </is>
      </c>
    </row>
    <row r="22" ht="30" customHeight="1">
      <c r="A22" s="36" t="inlineStr">
        <is>
          <t>Desayuno</t>
        </is>
      </c>
      <c r="B22" s="36" t="inlineStr">
        <is>
          <t>Lunes</t>
        </is>
      </c>
      <c r="C22" s="37" t="n">
        <v>7</v>
      </c>
      <c r="D22" s="37" t="n">
        <v>10</v>
      </c>
      <c r="E22" s="38">
        <f>IF(AND(ISNUMBER(C22),ISNUMBER(D22)),MAX(0,D22-C22),"")</f>
        <v>3.0</v>
      </c>
      <c r="F22" s="39" t="n">
        <v>0.5</v>
      </c>
      <c r="G22" s="38">
        <f>IFERROR($C$6*F22,"")</f>
        <v>125.0</v>
      </c>
      <c r="H22" s="38">
        <f>IFERROR(G22/E22,"")</f>
        <v>41.666666666666664</v>
      </c>
      <c r="I22" s="38">
        <f>IFERROR(H22*'Parámetros'!$B$26,"")</f>
        <v>62.5</v>
      </c>
      <c r="J22" s="36" t="str">
        <f>IF(NOT(ISNUMBER(I22)),"",IF(I22&lt;='Parámetros'!$B$9,"Sí","No"))</f>
        <v>Sí</v>
      </c>
      <c r="K22" s="11" t="inlineStr">
        <is>
          <t>Si un día no abres una franja, pon la misma hora de inicio y de fin y un 0 % de las raciones. El 100 % de cada día se reparte entre sus franjas: el resumen de arriba cuenta los días que no cuadran.</t>
        </is>
      </c>
    </row>
    <row r="23">
      <c r="A23" t="inlineStr">
        <is>
          <t>Media mañana</t>
        </is>
      </c>
      <c r="B23" t="inlineStr">
        <is>
          <t>Lunes</t>
        </is>
      </c>
      <c r="C23" s="16" t="n">
        <v>10</v>
      </c>
      <c r="D23" s="16" t="n">
        <v>13</v>
      </c>
      <c r="E23" s="34">
        <f>IF(AND(ISNUMBER(C23),ISNUMBER(D23)),MAX(0,D23-C23),"")</f>
        <v>3.0</v>
      </c>
      <c r="F23" s="17" t="n">
        <v>0.1</v>
      </c>
      <c r="G23" s="34">
        <f>IFERROR($C$6*F23,"")</f>
        <v>25.0</v>
      </c>
      <c r="H23" s="34">
        <f>IFERROR(G23/E23,"")</f>
        <v>8.333333333333334</v>
      </c>
      <c r="I23" s="34">
        <f>IFERROR(H23*'Parámetros'!$B$26,"")</f>
        <v>12.5</v>
      </c>
      <c r="J23" t="str">
        <f>IF(NOT(ISNUMBER(I23)),"",IF(I23&lt;='Parámetros'!$B$9,"Sí","No"))</f>
        <v>Sí</v>
      </c>
    </row>
    <row r="24">
      <c r="A24" t="inlineStr">
        <is>
          <t>Merienda</t>
        </is>
      </c>
      <c r="B24" t="inlineStr">
        <is>
          <t>Lunes</t>
        </is>
      </c>
      <c r="C24" s="16" t="n">
        <v>16.5</v>
      </c>
      <c r="D24" s="16" t="n">
        <v>21</v>
      </c>
      <c r="E24" s="34">
        <f>IF(AND(ISNUMBER(C24),ISNUMBER(D24)),MAX(0,D24-C24),"")</f>
        <v>4.5</v>
      </c>
      <c r="F24" s="17" t="n">
        <v>0.4</v>
      </c>
      <c r="G24" s="34">
        <f>IFERROR($C$6*F24,"")</f>
        <v>100.0</v>
      </c>
      <c r="H24" s="34">
        <f>IFERROR(G24/E24,"")</f>
        <v>22.22222222222222</v>
      </c>
      <c r="I24" s="34">
        <f>IFERROR(H24*'Parámetros'!$B$26,"")</f>
        <v>33.33333333333333</v>
      </c>
      <c r="J24" t="str">
        <f>IF(NOT(ISNUMBER(I24)),"",IF(I24&lt;='Parámetros'!$B$9,"Sí","No"))</f>
        <v>Sí</v>
      </c>
    </row>
    <row r="25">
      <c r="A25" t="inlineStr">
        <is>
          <t>Noche (viernes y sábado)</t>
        </is>
      </c>
      <c r="B25" t="inlineStr">
        <is>
          <t>Lunes</t>
        </is>
      </c>
      <c r="C25" s="16" t="n">
        <v>21</v>
      </c>
      <c r="D25" s="16" t="n">
        <v>21</v>
      </c>
      <c r="E25" s="34">
        <f>IF(AND(ISNUMBER(C25),ISNUMBER(D25)),MAX(0,D25-C25),"")</f>
        <v>0.0</v>
      </c>
      <c r="F25" s="17" t="n">
        <v>0</v>
      </c>
      <c r="G25" s="34">
        <f>IFERROR($C$6*F25,"")</f>
        <v>0.0</v>
      </c>
      <c r="H25" s="34">
        <f>IFERROR(G25/E25,"")</f>
        <v/>
      </c>
      <c r="I25" s="34">
        <f>IFERROR(H25*'Parámetros'!$B$26,"")</f>
        <v/>
      </c>
      <c r="J25">
        <f>IF(NOT(ISNUMBER(I25)),"",IF(I25&lt;='Parámetros'!$B$9,"Sí","No"))</f>
        <v/>
      </c>
    </row>
    <row r="26">
      <c r="A26" s="36" t="inlineStr">
        <is>
          <t>Desayuno</t>
        </is>
      </c>
      <c r="B26" s="36" t="inlineStr">
        <is>
          <t>Martes</t>
        </is>
      </c>
      <c r="C26" s="37" t="n">
        <v>7</v>
      </c>
      <c r="D26" s="37" t="n">
        <v>10</v>
      </c>
      <c r="E26" s="38">
        <f>IF(AND(ISNUMBER(C26),ISNUMBER(D26)),MAX(0,D26-C26),"")</f>
        <v>3.0</v>
      </c>
      <c r="F26" s="39" t="n">
        <v>0.5</v>
      </c>
      <c r="G26" s="38">
        <f>IFERROR($C$7*F26,"")</f>
        <v>125.0</v>
      </c>
      <c r="H26" s="38">
        <f>IFERROR(G26/E26,"")</f>
        <v>41.666666666666664</v>
      </c>
      <c r="I26" s="38">
        <f>IFERROR(H26*'Parámetros'!$B$26,"")</f>
        <v>62.5</v>
      </c>
      <c r="J26" s="36" t="str">
        <f>IF(NOT(ISNUMBER(I26)),"",IF(I26&lt;='Parámetros'!$B$9,"Sí","No"))</f>
        <v>Sí</v>
      </c>
    </row>
    <row r="27">
      <c r="A27" t="inlineStr">
        <is>
          <t>Media mañana</t>
        </is>
      </c>
      <c r="B27" t="inlineStr">
        <is>
          <t>Martes</t>
        </is>
      </c>
      <c r="C27" s="16" t="n">
        <v>10</v>
      </c>
      <c r="D27" s="16" t="n">
        <v>13</v>
      </c>
      <c r="E27" s="34">
        <f>IF(AND(ISNUMBER(C27),ISNUMBER(D27)),MAX(0,D27-C27),"")</f>
        <v>3.0</v>
      </c>
      <c r="F27" s="17" t="n">
        <v>0.1</v>
      </c>
      <c r="G27" s="34">
        <f>IFERROR($C$7*F27,"")</f>
        <v>25.0</v>
      </c>
      <c r="H27" s="34">
        <f>IFERROR(G27/E27,"")</f>
        <v>8.333333333333334</v>
      </c>
      <c r="I27" s="34">
        <f>IFERROR(H27*'Parámetros'!$B$26,"")</f>
        <v>12.5</v>
      </c>
      <c r="J27" t="str">
        <f>IF(NOT(ISNUMBER(I27)),"",IF(I27&lt;='Parámetros'!$B$9,"Sí","No"))</f>
        <v>Sí</v>
      </c>
    </row>
    <row r="28">
      <c r="A28" t="inlineStr">
        <is>
          <t>Merienda</t>
        </is>
      </c>
      <c r="B28" t="inlineStr">
        <is>
          <t>Martes</t>
        </is>
      </c>
      <c r="C28" s="16" t="n">
        <v>16.5</v>
      </c>
      <c r="D28" s="16" t="n">
        <v>21</v>
      </c>
      <c r="E28" s="34">
        <f>IF(AND(ISNUMBER(C28),ISNUMBER(D28)),MAX(0,D28-C28),"")</f>
        <v>4.5</v>
      </c>
      <c r="F28" s="17" t="n">
        <v>0.4</v>
      </c>
      <c r="G28" s="34">
        <f>IFERROR($C$7*F28,"")</f>
        <v>100.0</v>
      </c>
      <c r="H28" s="34">
        <f>IFERROR(G28/E28,"")</f>
        <v>22.22222222222222</v>
      </c>
      <c r="I28" s="34">
        <f>IFERROR(H28*'Parámetros'!$B$26,"")</f>
        <v>33.33333333333333</v>
      </c>
      <c r="J28" t="str">
        <f>IF(NOT(ISNUMBER(I28)),"",IF(I28&lt;='Parámetros'!$B$9,"Sí","No"))</f>
        <v>Sí</v>
      </c>
    </row>
    <row r="29">
      <c r="A29" t="inlineStr">
        <is>
          <t>Noche (viernes y sábado)</t>
        </is>
      </c>
      <c r="B29" t="inlineStr">
        <is>
          <t>Martes</t>
        </is>
      </c>
      <c r="C29" s="16" t="n">
        <v>21</v>
      </c>
      <c r="D29" s="16" t="n">
        <v>21</v>
      </c>
      <c r="E29" s="34">
        <f>IF(AND(ISNUMBER(C29),ISNUMBER(D29)),MAX(0,D29-C29),"")</f>
        <v>0.0</v>
      </c>
      <c r="F29" s="17" t="n">
        <v>0</v>
      </c>
      <c r="G29" s="34">
        <f>IFERROR($C$7*F29,"")</f>
        <v>0.0</v>
      </c>
      <c r="H29" s="34">
        <f>IFERROR(G29/E29,"")</f>
        <v/>
      </c>
      <c r="I29" s="34">
        <f>IFERROR(H29*'Parámetros'!$B$26,"")</f>
        <v/>
      </c>
      <c r="J29">
        <f>IF(NOT(ISNUMBER(I29)),"",IF(I29&lt;='Parámetros'!$B$9,"Sí","No"))</f>
        <v/>
      </c>
    </row>
    <row r="30">
      <c r="A30" s="36" t="inlineStr">
        <is>
          <t>Desayuno</t>
        </is>
      </c>
      <c r="B30" s="36" t="inlineStr">
        <is>
          <t>Miércoles</t>
        </is>
      </c>
      <c r="C30" s="37" t="n">
        <v>7</v>
      </c>
      <c r="D30" s="37" t="n">
        <v>10</v>
      </c>
      <c r="E30" s="38">
        <f>IF(AND(ISNUMBER(C30),ISNUMBER(D30)),MAX(0,D30-C30),"")</f>
        <v>3.0</v>
      </c>
      <c r="F30" s="39" t="n">
        <v>0.5</v>
      </c>
      <c r="G30" s="38">
        <f>IFERROR($C$8*F30,"")</f>
        <v>125.0</v>
      </c>
      <c r="H30" s="38">
        <f>IFERROR(G30/E30,"")</f>
        <v>41.666666666666664</v>
      </c>
      <c r="I30" s="38">
        <f>IFERROR(H30*'Parámetros'!$B$26,"")</f>
        <v>62.5</v>
      </c>
      <c r="J30" s="36" t="str">
        <f>IF(NOT(ISNUMBER(I30)),"",IF(I30&lt;='Parámetros'!$B$9,"Sí","No"))</f>
        <v>Sí</v>
      </c>
    </row>
    <row r="31">
      <c r="A31" t="inlineStr">
        <is>
          <t>Media mañana</t>
        </is>
      </c>
      <c r="B31" t="inlineStr">
        <is>
          <t>Miércoles</t>
        </is>
      </c>
      <c r="C31" s="16" t="n">
        <v>10</v>
      </c>
      <c r="D31" s="16" t="n">
        <v>13</v>
      </c>
      <c r="E31" s="34">
        <f>IF(AND(ISNUMBER(C31),ISNUMBER(D31)),MAX(0,D31-C31),"")</f>
        <v>3.0</v>
      </c>
      <c r="F31" s="17" t="n">
        <v>0.1</v>
      </c>
      <c r="G31" s="34">
        <f>IFERROR($C$8*F31,"")</f>
        <v>25.0</v>
      </c>
      <c r="H31" s="34">
        <f>IFERROR(G31/E31,"")</f>
        <v>8.333333333333334</v>
      </c>
      <c r="I31" s="34">
        <f>IFERROR(H31*'Parámetros'!$B$26,"")</f>
        <v>12.5</v>
      </c>
      <c r="J31" t="str">
        <f>IF(NOT(ISNUMBER(I31)),"",IF(I31&lt;='Parámetros'!$B$9,"Sí","No"))</f>
        <v>Sí</v>
      </c>
    </row>
    <row r="32">
      <c r="A32" t="inlineStr">
        <is>
          <t>Merienda</t>
        </is>
      </c>
      <c r="B32" t="inlineStr">
        <is>
          <t>Miércoles</t>
        </is>
      </c>
      <c r="C32" s="16" t="n">
        <v>16.5</v>
      </c>
      <c r="D32" s="16" t="n">
        <v>21</v>
      </c>
      <c r="E32" s="34">
        <f>IF(AND(ISNUMBER(C32),ISNUMBER(D32)),MAX(0,D32-C32),"")</f>
        <v>4.5</v>
      </c>
      <c r="F32" s="17" t="n">
        <v>0.4</v>
      </c>
      <c r="G32" s="34">
        <f>IFERROR($C$8*F32,"")</f>
        <v>100.0</v>
      </c>
      <c r="H32" s="34">
        <f>IFERROR(G32/E32,"")</f>
        <v>22.22222222222222</v>
      </c>
      <c r="I32" s="34">
        <f>IFERROR(H32*'Parámetros'!$B$26,"")</f>
        <v>33.33333333333333</v>
      </c>
      <c r="J32" t="str">
        <f>IF(NOT(ISNUMBER(I32)),"",IF(I32&lt;='Parámetros'!$B$9,"Sí","No"))</f>
        <v>Sí</v>
      </c>
    </row>
    <row r="33">
      <c r="A33" t="inlineStr">
        <is>
          <t>Noche (viernes y sábado)</t>
        </is>
      </c>
      <c r="B33" t="inlineStr">
        <is>
          <t>Miércoles</t>
        </is>
      </c>
      <c r="C33" s="16" t="n">
        <v>21</v>
      </c>
      <c r="D33" s="16" t="n">
        <v>21</v>
      </c>
      <c r="E33" s="34">
        <f>IF(AND(ISNUMBER(C33),ISNUMBER(D33)),MAX(0,D33-C33),"")</f>
        <v>0.0</v>
      </c>
      <c r="F33" s="17" t="n">
        <v>0</v>
      </c>
      <c r="G33" s="34">
        <f>IFERROR($C$8*F33,"")</f>
        <v>0.0</v>
      </c>
      <c r="H33" s="34">
        <f>IFERROR(G33/E33,"")</f>
        <v/>
      </c>
      <c r="I33" s="34">
        <f>IFERROR(H33*'Parámetros'!$B$26,"")</f>
        <v/>
      </c>
      <c r="J33">
        <f>IF(NOT(ISNUMBER(I33)),"",IF(I33&lt;='Parámetros'!$B$9,"Sí","No"))</f>
        <v/>
      </c>
    </row>
    <row r="34">
      <c r="A34" s="36" t="inlineStr">
        <is>
          <t>Desayuno</t>
        </is>
      </c>
      <c r="B34" s="36" t="inlineStr">
        <is>
          <t>Jueves</t>
        </is>
      </c>
      <c r="C34" s="37" t="n">
        <v>7</v>
      </c>
      <c r="D34" s="37" t="n">
        <v>10</v>
      </c>
      <c r="E34" s="38">
        <f>IF(AND(ISNUMBER(C34),ISNUMBER(D34)),MAX(0,D34-C34),"")</f>
        <v>3.0</v>
      </c>
      <c r="F34" s="39" t="n">
        <v>0.5</v>
      </c>
      <c r="G34" s="38">
        <f>IFERROR($C$9*F34,"")</f>
        <v>125.0</v>
      </c>
      <c r="H34" s="38">
        <f>IFERROR(G34/E34,"")</f>
        <v>41.666666666666664</v>
      </c>
      <c r="I34" s="38">
        <f>IFERROR(H34*'Parámetros'!$B$26,"")</f>
        <v>62.5</v>
      </c>
      <c r="J34" s="36" t="str">
        <f>IF(NOT(ISNUMBER(I34)),"",IF(I34&lt;='Parámetros'!$B$9,"Sí","No"))</f>
        <v>Sí</v>
      </c>
    </row>
    <row r="35">
      <c r="A35" t="inlineStr">
        <is>
          <t>Media mañana</t>
        </is>
      </c>
      <c r="B35" t="inlineStr">
        <is>
          <t>Jueves</t>
        </is>
      </c>
      <c r="C35" s="16" t="n">
        <v>10</v>
      </c>
      <c r="D35" s="16" t="n">
        <v>13</v>
      </c>
      <c r="E35" s="34">
        <f>IF(AND(ISNUMBER(C35),ISNUMBER(D35)),MAX(0,D35-C35),"")</f>
        <v>3.0</v>
      </c>
      <c r="F35" s="17" t="n">
        <v>0.1</v>
      </c>
      <c r="G35" s="34">
        <f>IFERROR($C$9*F35,"")</f>
        <v>25.0</v>
      </c>
      <c r="H35" s="34">
        <f>IFERROR(G35/E35,"")</f>
        <v>8.333333333333334</v>
      </c>
      <c r="I35" s="34">
        <f>IFERROR(H35*'Parámetros'!$B$26,"")</f>
        <v>12.5</v>
      </c>
      <c r="J35" t="str">
        <f>IF(NOT(ISNUMBER(I35)),"",IF(I35&lt;='Parámetros'!$B$9,"Sí","No"))</f>
        <v>Sí</v>
      </c>
    </row>
    <row r="36">
      <c r="A36" t="inlineStr">
        <is>
          <t>Merienda</t>
        </is>
      </c>
      <c r="B36" t="inlineStr">
        <is>
          <t>Jueves</t>
        </is>
      </c>
      <c r="C36" s="16" t="n">
        <v>16.5</v>
      </c>
      <c r="D36" s="16" t="n">
        <v>21</v>
      </c>
      <c r="E36" s="34">
        <f>IF(AND(ISNUMBER(C36),ISNUMBER(D36)),MAX(0,D36-C36),"")</f>
        <v>4.5</v>
      </c>
      <c r="F36" s="17" t="n">
        <v>0.4</v>
      </c>
      <c r="G36" s="34">
        <f>IFERROR($C$9*F36,"")</f>
        <v>100.0</v>
      </c>
      <c r="H36" s="34">
        <f>IFERROR(G36/E36,"")</f>
        <v>22.22222222222222</v>
      </c>
      <c r="I36" s="34">
        <f>IFERROR(H36*'Parámetros'!$B$26,"")</f>
        <v>33.33333333333333</v>
      </c>
      <c r="J36" t="str">
        <f>IF(NOT(ISNUMBER(I36)),"",IF(I36&lt;='Parámetros'!$B$9,"Sí","No"))</f>
        <v>Sí</v>
      </c>
    </row>
    <row r="37">
      <c r="A37" t="inlineStr">
        <is>
          <t>Noche (viernes y sábado)</t>
        </is>
      </c>
      <c r="B37" t="inlineStr">
        <is>
          <t>Jueves</t>
        </is>
      </c>
      <c r="C37" s="16" t="n">
        <v>21</v>
      </c>
      <c r="D37" s="16" t="n">
        <v>21</v>
      </c>
      <c r="E37" s="34">
        <f>IF(AND(ISNUMBER(C37),ISNUMBER(D37)),MAX(0,D37-C37),"")</f>
        <v>0.0</v>
      </c>
      <c r="F37" s="17" t="n">
        <v>0</v>
      </c>
      <c r="G37" s="34">
        <f>IFERROR($C$9*F37,"")</f>
        <v>0.0</v>
      </c>
      <c r="H37" s="34">
        <f>IFERROR(G37/E37,"")</f>
        <v/>
      </c>
      <c r="I37" s="34">
        <f>IFERROR(H37*'Parámetros'!$B$26,"")</f>
        <v/>
      </c>
      <c r="J37">
        <f>IF(NOT(ISNUMBER(I37)),"",IF(I37&lt;='Parámetros'!$B$9,"Sí","No"))</f>
        <v/>
      </c>
    </row>
    <row r="38">
      <c r="A38" s="36" t="inlineStr">
        <is>
          <t>Desayuno</t>
        </is>
      </c>
      <c r="B38" s="36" t="inlineStr">
        <is>
          <t>Viernes</t>
        </is>
      </c>
      <c r="C38" s="37" t="n">
        <v>7</v>
      </c>
      <c r="D38" s="37" t="n">
        <v>10</v>
      </c>
      <c r="E38" s="38">
        <f>IF(AND(ISNUMBER(C38),ISNUMBER(D38)),MAX(0,D38-C38),"")</f>
        <v>3.0</v>
      </c>
      <c r="F38" s="39" t="n">
        <v>0.5</v>
      </c>
      <c r="G38" s="38">
        <f>IFERROR($C$10*F38,"")</f>
        <v>125.0</v>
      </c>
      <c r="H38" s="38">
        <f>IFERROR(G38/E38,"")</f>
        <v>41.666666666666664</v>
      </c>
      <c r="I38" s="38">
        <f>IFERROR(H38*'Parámetros'!$B$26,"")</f>
        <v>62.5</v>
      </c>
      <c r="J38" s="36" t="str">
        <f>IF(NOT(ISNUMBER(I38)),"",IF(I38&lt;='Parámetros'!$B$9,"Sí","No"))</f>
        <v>Sí</v>
      </c>
    </row>
    <row r="39">
      <c r="A39" t="inlineStr">
        <is>
          <t>Media mañana</t>
        </is>
      </c>
      <c r="B39" t="inlineStr">
        <is>
          <t>Viernes</t>
        </is>
      </c>
      <c r="C39" s="16" t="n">
        <v>10</v>
      </c>
      <c r="D39" s="16" t="n">
        <v>13</v>
      </c>
      <c r="E39" s="34">
        <f>IF(AND(ISNUMBER(C39),ISNUMBER(D39)),MAX(0,D39-C39),"")</f>
        <v>3.0</v>
      </c>
      <c r="F39" s="17" t="n">
        <v>0.1</v>
      </c>
      <c r="G39" s="34">
        <f>IFERROR($C$10*F39,"")</f>
        <v>25.0</v>
      </c>
      <c r="H39" s="34">
        <f>IFERROR(G39/E39,"")</f>
        <v>8.333333333333334</v>
      </c>
      <c r="I39" s="34">
        <f>IFERROR(H39*'Parámetros'!$B$26,"")</f>
        <v>12.5</v>
      </c>
      <c r="J39" t="str">
        <f>IF(NOT(ISNUMBER(I39)),"",IF(I39&lt;='Parámetros'!$B$9,"Sí","No"))</f>
        <v>Sí</v>
      </c>
    </row>
    <row r="40">
      <c r="A40" t="inlineStr">
        <is>
          <t>Merienda</t>
        </is>
      </c>
      <c r="B40" t="inlineStr">
        <is>
          <t>Viernes</t>
        </is>
      </c>
      <c r="C40" s="16" t="n">
        <v>16.5</v>
      </c>
      <c r="D40" s="16" t="n">
        <v>21</v>
      </c>
      <c r="E40" s="34">
        <f>IF(AND(ISNUMBER(C40),ISNUMBER(D40)),MAX(0,D40-C40),"")</f>
        <v>4.5</v>
      </c>
      <c r="F40" s="17" t="n">
        <v>0.35</v>
      </c>
      <c r="G40" s="34">
        <f>IFERROR($C$10*F40,"")</f>
        <v>87.5</v>
      </c>
      <c r="H40" s="34">
        <f>IFERROR(G40/E40,"")</f>
        <v>19.444444444444443</v>
      </c>
      <c r="I40" s="34">
        <f>IFERROR(H40*'Parámetros'!$B$26,"")</f>
        <v>29.166666666666664</v>
      </c>
      <c r="J40" t="str">
        <f>IF(NOT(ISNUMBER(I40)),"",IF(I40&lt;='Parámetros'!$B$9,"Sí","No"))</f>
        <v>Sí</v>
      </c>
    </row>
    <row r="41">
      <c r="A41" t="inlineStr">
        <is>
          <t>Noche (viernes y sábado)</t>
        </is>
      </c>
      <c r="B41" t="inlineStr">
        <is>
          <t>Viernes</t>
        </is>
      </c>
      <c r="C41" s="16" t="n">
        <v>21</v>
      </c>
      <c r="D41" s="16" t="n">
        <v>25</v>
      </c>
      <c r="E41" s="34">
        <f>IF(AND(ISNUMBER(C41),ISNUMBER(D41)),MAX(0,D41-C41),"")</f>
        <v>4.0</v>
      </c>
      <c r="F41" s="17" t="n">
        <v>0.05</v>
      </c>
      <c r="G41" s="34">
        <f>IFERROR($C$10*F41,"")</f>
        <v>12.5</v>
      </c>
      <c r="H41" s="34">
        <f>IFERROR(G41/E41,"")</f>
        <v>3.125</v>
      </c>
      <c r="I41" s="34">
        <f>IFERROR(H41*'Parámetros'!$B$26,"")</f>
        <v>4.6875</v>
      </c>
      <c r="J41" t="str">
        <f>IF(NOT(ISNUMBER(I41)),"",IF(I41&lt;='Parámetros'!$B$9,"Sí","No"))</f>
        <v>Sí</v>
      </c>
    </row>
    <row r="42">
      <c r="A42" s="36" t="inlineStr">
        <is>
          <t>Desayuno</t>
        </is>
      </c>
      <c r="B42" s="36" t="inlineStr">
        <is>
          <t>Sábado</t>
        </is>
      </c>
      <c r="C42" s="37" t="n">
        <v>6</v>
      </c>
      <c r="D42" s="37" t="n">
        <v>10</v>
      </c>
      <c r="E42" s="38">
        <f>IF(AND(ISNUMBER(C42),ISNUMBER(D42)),MAX(0,D42-C42),"")</f>
        <v>4.0</v>
      </c>
      <c r="F42" s="39" t="n">
        <v>0.5</v>
      </c>
      <c r="G42" s="38">
        <f>IFERROR($C$11*F42,"")</f>
        <v>200.0</v>
      </c>
      <c r="H42" s="38">
        <f>IFERROR(G42/E42,"")</f>
        <v>50.0</v>
      </c>
      <c r="I42" s="38">
        <f>IFERROR(H42*'Parámetros'!$B$26,"")</f>
        <v>75.0</v>
      </c>
      <c r="J42" s="36" t="str">
        <f>IF(NOT(ISNUMBER(I42)),"",IF(I42&lt;='Parámetros'!$B$9,"Sí","No"))</f>
        <v>Sí</v>
      </c>
    </row>
    <row r="43">
      <c r="A43" t="inlineStr">
        <is>
          <t>Media mañana</t>
        </is>
      </c>
      <c r="B43" t="inlineStr">
        <is>
          <t>Sábado</t>
        </is>
      </c>
      <c r="C43" s="16" t="n">
        <v>10</v>
      </c>
      <c r="D43" s="16" t="n">
        <v>13</v>
      </c>
      <c r="E43" s="34">
        <f>IF(AND(ISNUMBER(C43),ISNUMBER(D43)),MAX(0,D43-C43),"")</f>
        <v>3.0</v>
      </c>
      <c r="F43" s="17" t="n">
        <v>0.1</v>
      </c>
      <c r="G43" s="34">
        <f>IFERROR($C$11*F43,"")</f>
        <v>40.0</v>
      </c>
      <c r="H43" s="34">
        <f>IFERROR(G43/E43,"")</f>
        <v>13.333333333333334</v>
      </c>
      <c r="I43" s="34">
        <f>IFERROR(H43*'Parámetros'!$B$26,"")</f>
        <v>20.0</v>
      </c>
      <c r="J43" t="str">
        <f>IF(NOT(ISNUMBER(I43)),"",IF(I43&lt;='Parámetros'!$B$9,"Sí","No"))</f>
        <v>Sí</v>
      </c>
    </row>
    <row r="44">
      <c r="A44" t="inlineStr">
        <is>
          <t>Merienda</t>
        </is>
      </c>
      <c r="B44" t="inlineStr">
        <is>
          <t>Sábado</t>
        </is>
      </c>
      <c r="C44" s="16" t="n">
        <v>16.5</v>
      </c>
      <c r="D44" s="16" t="n">
        <v>21</v>
      </c>
      <c r="E44" s="34">
        <f>IF(AND(ISNUMBER(C44),ISNUMBER(D44)),MAX(0,D44-C44),"")</f>
        <v>4.5</v>
      </c>
      <c r="F44" s="17" t="n">
        <v>0.35</v>
      </c>
      <c r="G44" s="34">
        <f>IFERROR($C$11*F44,"")</f>
        <v>140.0</v>
      </c>
      <c r="H44" s="34">
        <f>IFERROR(G44/E44,"")</f>
        <v>31.11111111111111</v>
      </c>
      <c r="I44" s="34">
        <f>IFERROR(H44*'Parámetros'!$B$26,"")</f>
        <v>46.666666666666664</v>
      </c>
      <c r="J44" t="str">
        <f>IF(NOT(ISNUMBER(I44)),"",IF(I44&lt;='Parámetros'!$B$9,"Sí","No"))</f>
        <v>Sí</v>
      </c>
    </row>
    <row r="45">
      <c r="A45" t="inlineStr">
        <is>
          <t>Noche (viernes y sábado)</t>
        </is>
      </c>
      <c r="B45" t="inlineStr">
        <is>
          <t>Sábado</t>
        </is>
      </c>
      <c r="C45" s="16" t="n">
        <v>21</v>
      </c>
      <c r="D45" s="16" t="n">
        <v>25</v>
      </c>
      <c r="E45" s="34">
        <f>IF(AND(ISNUMBER(C45),ISNUMBER(D45)),MAX(0,D45-C45),"")</f>
        <v>4.0</v>
      </c>
      <c r="F45" s="17" t="n">
        <v>0.05</v>
      </c>
      <c r="G45" s="34">
        <f>IFERROR($C$11*F45,"")</f>
        <v>20.0</v>
      </c>
      <c r="H45" s="34">
        <f>IFERROR(G45/E45,"")</f>
        <v>5.0</v>
      </c>
      <c r="I45" s="34">
        <f>IFERROR(H45*'Parámetros'!$B$26,"")</f>
        <v>7.5</v>
      </c>
      <c r="J45" t="str">
        <f>IF(NOT(ISNUMBER(I45)),"",IF(I45&lt;='Parámetros'!$B$9,"Sí","No"))</f>
        <v>Sí</v>
      </c>
    </row>
    <row r="46">
      <c r="A46" s="36" t="inlineStr">
        <is>
          <t>Desayuno</t>
        </is>
      </c>
      <c r="B46" s="36" t="inlineStr">
        <is>
          <t>Domingo</t>
        </is>
      </c>
      <c r="C46" s="37" t="n">
        <v>6</v>
      </c>
      <c r="D46" s="37" t="n">
        <v>10</v>
      </c>
      <c r="E46" s="38">
        <f>IF(AND(ISNUMBER(C46),ISNUMBER(D46)),MAX(0,D46-C46),"")</f>
        <v>4.0</v>
      </c>
      <c r="F46" s="39" t="n">
        <v>0.5</v>
      </c>
      <c r="G46" s="38">
        <f>IFERROR($C$12*F46,"")</f>
        <v>200.0</v>
      </c>
      <c r="H46" s="38">
        <f>IFERROR(G46/E46,"")</f>
        <v>50.0</v>
      </c>
      <c r="I46" s="38">
        <f>IFERROR(H46*'Parámetros'!$B$26,"")</f>
        <v>75.0</v>
      </c>
      <c r="J46" s="36" t="str">
        <f>IF(NOT(ISNUMBER(I46)),"",IF(I46&lt;='Parámetros'!$B$9,"Sí","No"))</f>
        <v>Sí</v>
      </c>
    </row>
    <row r="47">
      <c r="A47" t="inlineStr">
        <is>
          <t>Media mañana</t>
        </is>
      </c>
      <c r="B47" t="inlineStr">
        <is>
          <t>Domingo</t>
        </is>
      </c>
      <c r="C47" s="16" t="n">
        <v>10</v>
      </c>
      <c r="D47" s="16" t="n">
        <v>13</v>
      </c>
      <c r="E47" s="34">
        <f>IF(AND(ISNUMBER(C47),ISNUMBER(D47)),MAX(0,D47-C47),"")</f>
        <v>3.0</v>
      </c>
      <c r="F47" s="17" t="n">
        <v>0.1</v>
      </c>
      <c r="G47" s="34">
        <f>IFERROR($C$12*F47,"")</f>
        <v>40.0</v>
      </c>
      <c r="H47" s="34">
        <f>IFERROR(G47/E47,"")</f>
        <v>13.333333333333334</v>
      </c>
      <c r="I47" s="34">
        <f>IFERROR(H47*'Parámetros'!$B$26,"")</f>
        <v>20.0</v>
      </c>
      <c r="J47" t="str">
        <f>IF(NOT(ISNUMBER(I47)),"",IF(I47&lt;='Parámetros'!$B$9,"Sí","No"))</f>
        <v>Sí</v>
      </c>
    </row>
    <row r="48">
      <c r="A48" t="inlineStr">
        <is>
          <t>Merienda</t>
        </is>
      </c>
      <c r="B48" t="inlineStr">
        <is>
          <t>Domingo</t>
        </is>
      </c>
      <c r="C48" s="16" t="n">
        <v>16.5</v>
      </c>
      <c r="D48" s="16" t="n">
        <v>21</v>
      </c>
      <c r="E48" s="34">
        <f>IF(AND(ISNUMBER(C48),ISNUMBER(D48)),MAX(0,D48-C48),"")</f>
        <v>4.5</v>
      </c>
      <c r="F48" s="17" t="n">
        <v>0.4</v>
      </c>
      <c r="G48" s="34">
        <f>IFERROR($C$12*F48,"")</f>
        <v>160.0</v>
      </c>
      <c r="H48" s="34">
        <f>IFERROR(G48/E48,"")</f>
        <v>35.55555555555556</v>
      </c>
      <c r="I48" s="34">
        <f>IFERROR(H48*'Parámetros'!$B$26,"")</f>
        <v>53.333333333333336</v>
      </c>
      <c r="J48" t="str">
        <f>IF(NOT(ISNUMBER(I48)),"",IF(I48&lt;='Parámetros'!$B$9,"Sí","No"))</f>
        <v>Sí</v>
      </c>
    </row>
    <row r="49">
      <c r="A49" t="inlineStr">
        <is>
          <t>Noche (viernes y sábado)</t>
        </is>
      </c>
      <c r="B49" t="inlineStr">
        <is>
          <t>Domingo</t>
        </is>
      </c>
      <c r="C49" s="16" t="n">
        <v>21</v>
      </c>
      <c r="D49" s="16" t="n">
        <v>21</v>
      </c>
      <c r="E49" s="34">
        <f>IF(AND(ISNUMBER(C49),ISNUMBER(D49)),MAX(0,D49-C49),"")</f>
        <v>0.0</v>
      </c>
      <c r="F49" s="17" t="n">
        <v>0</v>
      </c>
      <c r="G49" s="34">
        <f>IFERROR($C$12*F49,"")</f>
        <v>0.0</v>
      </c>
      <c r="H49" s="34">
        <f>IFERROR(G49/E49,"")</f>
        <v/>
      </c>
      <c r="I49" s="34">
        <f>IFERROR(H49*'Parámetros'!$B$26,"")</f>
        <v/>
      </c>
      <c r="J49">
        <f>IF(NOT(ISNUMBER(I49)),"",IF(I49&lt;='Parámetros'!$B$9,"Sí","No"))</f>
        <v/>
      </c>
    </row>
    <row r="50"/>
    <row r="51">
      <c r="A51" s="4" t="inlineStr">
        <is>
          <t>Cada Franja en la Semana (lo que Copia el Libro 8)</t>
        </is>
      </c>
    </row>
    <row r="52" ht="44" customHeight="1">
      <c r="A52" s="9" t="inlineStr">
        <is>
          <t>Franja</t>
        </is>
      </c>
      <c r="B52" s="9" t="inlineStr">
        <is>
          <t>Horas a la semana</t>
        </is>
      </c>
      <c r="C52" s="9" t="inlineStr">
        <is>
          <t>Raciones a la semana (mes medio)</t>
        </is>
      </c>
      <c r="D52" s="9" t="inlineStr">
        <is>
          <t>Parte de las raciones de la semana</t>
        </is>
      </c>
    </row>
    <row r="53">
      <c r="A53" s="25" t="inlineStr">
        <is>
          <t>Desayuno</t>
        </is>
      </c>
      <c r="B53" s="35">
        <f>SUMIF($A$22:$A$49,A53,$E$22:$E$49)</f>
        <v>23.0</v>
      </c>
      <c r="C53" s="27">
        <f>SUMIF($A$22:$A$49,A53,$G$22:$G$49)</f>
        <v>1025.0</v>
      </c>
      <c r="D53" s="19">
        <f>IFERROR(C53/$C$57,"")</f>
        <v>0.5</v>
      </c>
    </row>
    <row r="54">
      <c r="A54" s="25" t="inlineStr">
        <is>
          <t>Media mañana</t>
        </is>
      </c>
      <c r="B54" s="35">
        <f>SUMIF($A$22:$A$49,A54,$E$22:$E$49)</f>
        <v>21.0</v>
      </c>
      <c r="C54" s="27">
        <f>SUMIF($A$22:$A$49,A54,$G$22:$G$49)</f>
        <v>205.0</v>
      </c>
      <c r="D54" s="19">
        <f>IFERROR(C54/$C$57,"")</f>
        <v>0.1</v>
      </c>
    </row>
    <row r="55">
      <c r="A55" s="25" t="inlineStr">
        <is>
          <t>Merienda</t>
        </is>
      </c>
      <c r="B55" s="35">
        <f>SUMIF($A$22:$A$49,A55,$E$22:$E$49)</f>
        <v>31.5</v>
      </c>
      <c r="C55" s="27">
        <f>SUMIF($A$22:$A$49,A55,$G$22:$G$49)</f>
        <v>787.5</v>
      </c>
      <c r="D55" s="19">
        <f>IFERROR(C55/$C$57,"")</f>
        <v>0.38414634146341464</v>
      </c>
    </row>
    <row r="56">
      <c r="A56" s="25" t="inlineStr">
        <is>
          <t>Noche (viernes y sábado)</t>
        </is>
      </c>
      <c r="B56" s="35">
        <f>SUMIF($A$22:$A$49,A56,$E$22:$E$49)</f>
        <v>8.0</v>
      </c>
      <c r="C56" s="27">
        <f>SUMIF($A$22:$A$49,A56,$G$22:$G$49)</f>
        <v>32.5</v>
      </c>
      <c r="D56" s="19">
        <f>IFERROR(C56/$C$57,"")</f>
        <v>0.015853658536585366</v>
      </c>
    </row>
    <row r="57">
      <c r="A57" s="25" t="inlineStr">
        <is>
          <t>TOTAL de la semana</t>
        </is>
      </c>
      <c r="B57" s="35">
        <f>SUM(B53:B56)</f>
        <v>83.5</v>
      </c>
      <c r="C57" s="29">
        <f>SUM(C53:C56)</f>
        <v>2050.0</v>
      </c>
      <c r="D57" s="30">
        <f>SUM(D53:D56)</f>
        <v>1.0</v>
      </c>
    </row>
    <row r="58"/>
    <row r="59" ht="44" customHeight="1">
      <c r="A59" s="40" t="inlineStr">
        <is>
          <t>La hora mínima de apertura es la del ejemplo de Madrid (celdas verdes de «Parámetros», con su nota). Una chocolatería allí no abre antes de las 8:00; una cafetería o bar, desde las 6:00. No se extrapola a otras comunidades: pon la norma de la tuya.</t>
        </is>
      </c>
    </row>
    <row r="60"/>
    <row r="61"/>
    <row r="62">
      <c r="A62" s="41" t="inlineStr">
        <is>
          <t>Listas de validación (no las borres: las usan los desplegables)</t>
        </is>
      </c>
    </row>
    <row r="63">
      <c r="A63" s="25" t="inlineStr">
        <is>
          <t>Tipo de día</t>
        </is>
      </c>
    </row>
    <row r="64">
      <c r="A64" t="inlineStr">
        <is>
          <t>Tipo</t>
        </is>
      </c>
    </row>
    <row r="65">
      <c r="A65" t="inlineStr">
        <is>
          <t>Punta</t>
        </is>
      </c>
    </row>
    <row r="66"/>
    <row r="67"/>
    <row r="68">
      <c r="A68"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8">
    <mergeCell ref="A17:D17"/>
    <mergeCell ref="A18:D18"/>
    <mergeCell ref="K22:M24"/>
    <mergeCell ref="A15:D15"/>
    <mergeCell ref="A59:J59"/>
    <mergeCell ref="G16:J16"/>
    <mergeCell ref="A16:D16"/>
    <mergeCell ref="A14:D14"/>
  </mergeCells>
  <conditionalFormatting sqref="E6:E12">
    <cfRule type="cellIs" priority="1" operator="equal" dxfId="0" stopIfTrue="1">
      <formula>"Cabe también como chocolatería"</formula>
    </cfRule>
    <cfRule type="cellIs" priority="2" operator="equal" dxfId="2" stopIfTrue="1">
      <formula>"Antes de la hora de chocolatería: sólo como cafetería o bar (ejemplo de Madrid)"</formula>
    </cfRule>
    <cfRule type="cellIs" priority="3" operator="equal" dxfId="1" stopIfTrue="1">
      <formula>"Antes de la hora mínima también como cafetería o bar"</formula>
    </cfRule>
  </conditionalFormatting>
  <conditionalFormatting sqref="E17">
    <cfRule type="expression" priority="4" dxfId="1" stopIfTrue="1">
      <formula>=AND(ISNUMBER($E$17),$E$17&gt;0)</formula>
    </cfRule>
  </conditionalFormatting>
  <conditionalFormatting sqref="E18">
    <cfRule type="expression" priority="5" dxfId="1" stopIfTrue="1">
      <formula>=AND(ISNUMBER($E$18),$E$18&gt;0)</formula>
    </cfRule>
  </conditionalFormatting>
  <conditionalFormatting sqref="J22:J49">
    <cfRule type="cellIs" priority="6" operator="equal" dxfId="0" stopIfTrue="1">
      <formula>"Sí"</formula>
    </cfRule>
    <cfRule type="cellIs" priority="7" operator="equal" dxfId="1" stopIfTrue="1">
      <formula>"No"</formula>
    </cfRule>
  </conditionalFormatting>
  <dataValidations count="3">
    <dataValidation sqref="C22 C23 C24 C25 C26 C27 C28 C29 C30 C31 C32 C33 C34 C35 C36 C37 C38 C39 C40 C41 C42 C43 C44 C45 C46 C47 C48 C49 D22 D23 D24 D25 D26 D27 D28 D29 D30 D31 D32 D33 D34 D35 D36 D37 D38 D39 D40 D41 D42 D43 D44 D45 D46 D47 D48 D49" showDropDown="0" showInputMessage="0" showErrorMessage="1" allowBlank="1" errorTitle="Hora no válida" error="Escribe la hora en horas decimales, entre 0 y 30 (16,5 = 16:30; 25 = la 1:00 del día siguiente)." type="decimal" operator="between">
      <formula1>0</formula1>
      <formula2>30</formula2>
    </dataValidation>
    <dataValidation sqref="F22 F23 F24 F25 F26 F27 F28 F29 F30 F31 F32 F33 F34 F35 F36 F37 F38 F39 F40 F41 F42 F43 F44 F45 F46 F47 F48 F49"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6 B7 B8 B9 B10 B11 B12" showDropDown="0" showInputMessage="0" showErrorMessage="1" allowBlank="0" errorTitle="Tipo de día" error="Elige «Tipo» (las raciones del día tipo) o «Punta» (las del día punta)." type="list">
      <formula1>=$A$64:$A$65</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K27"/>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5" customWidth="1" min="3" max="3"/>
    <col width="15" customWidth="1" min="4" max="4"/>
    <col width="16" customWidth="1" min="5" max="5"/>
    <col width="16" customWidth="1" min="6" max="6"/>
    <col width="14" customWidth="1" min="7" max="7"/>
    <col width="15" customWidth="1" min="8" max="8"/>
    <col width="15" customWidth="1" min="9" max="9"/>
    <col width="30" customWidth="1" min="10" max="10"/>
    <col width="50" customWidth="1" min="11" max="11"/>
  </cols>
  <sheetData>
    <row r="1">
      <c r="A1" s="1" t="inlineStr">
        <is>
          <t>Capacidad contra el Pico</t>
        </is>
      </c>
    </row>
    <row r="2">
      <c r="A2" s="2" t="inlineStr">
        <is>
          <t>AI Chef Pro · aichef.pro — Cómo Montar una Churrería-Chocolatería</t>
        </is>
      </c>
    </row>
    <row r="3">
      <c r="A3" s="3" t="inlineStr">
        <is>
          <t>Mes a mes, la hora punta de un día tipo y de un día punta frente a lo que saca la línea en una hora. Se mide en raciones, no en tickets.</t>
        </is>
      </c>
    </row>
    <row r="4"/>
    <row r="5"/>
    <row r="6" ht="58" customHeight="1">
      <c r="A6" s="9" t="inlineStr">
        <is>
          <t>Mes</t>
        </is>
      </c>
      <c r="B6" s="9" t="inlineStr">
        <is>
          <t>Coeficiente</t>
        </is>
      </c>
      <c r="C6" s="9" t="inlineStr">
        <is>
          <t>Raciones de un día tipo</t>
        </is>
      </c>
      <c r="D6" s="9" t="inlineStr">
        <is>
          <t>Raciones de un día punta</t>
        </is>
      </c>
      <c r="E6" s="9" t="inlineStr">
        <is>
          <t>Hora punta de un día tipo (raciones/h)</t>
        </is>
      </c>
      <c r="F6" s="9" t="inlineStr">
        <is>
          <t>Hora punta de un día punta (raciones/h)</t>
        </is>
      </c>
      <c r="G6" s="9" t="inlineStr">
        <is>
          <t>Capacidad de la línea (raciones/h)</t>
        </is>
      </c>
      <c r="H6" s="9" t="inlineStr">
        <is>
          <t>Déficit en un día tipo (raciones/h)</t>
        </is>
      </c>
      <c r="I6" s="9" t="inlineStr">
        <is>
          <t>Déficit en un día punta (raciones/h)</t>
        </is>
      </c>
      <c r="J6" s="9" t="inlineStr">
        <is>
          <t>¿Aguanta la línea?</t>
        </is>
      </c>
    </row>
    <row r="7" ht="48" customHeight="1">
      <c r="A7" t="inlineStr">
        <is>
          <t>Enero</t>
        </is>
      </c>
      <c r="B7" s="31">
        <f>'Peso sobre el Año'!$B$18</f>
        <v>1.25</v>
      </c>
      <c r="C7" s="27">
        <f>'Peso sobre el Año'!G18</f>
        <v>312.5</v>
      </c>
      <c r="D7" s="27">
        <f>'Peso sobre el Año'!H18</f>
        <v>500.0</v>
      </c>
      <c r="E7" s="34">
        <f>IFERROR('Franjas del Día'!$E$14*B7,"")</f>
        <v>78.125</v>
      </c>
      <c r="F7" s="34">
        <f>IFERROR('Franjas del Día'!$E$15*B7,"")</f>
        <v>93.75</v>
      </c>
      <c r="G7" s="34">
        <f>'Parámetros'!$B$9</f>
        <v>122.5513616817965</v>
      </c>
      <c r="H7" s="34">
        <f>IF(AND(ISNUMBER(E7),ISNUMBER(G7)),MAX(0,E7-G7),"")</f>
        <v>0.0</v>
      </c>
      <c r="I7" s="34">
        <f>IF(AND(ISNUMBER(F7),ISNUMBER(G7)),MAX(0,F7-G7),"")</f>
        <v>0.0</v>
      </c>
      <c r="J7" s="42" t="str">
        <f>IF(NOT(AND(ISNUMBER(H7),ISNUMBER(I7))),"",IF(H7&gt;0,"No, tampoco entre semana",IF(I7&gt;0,"No en los días punta","Sí")))</f>
        <v>Sí</v>
      </c>
      <c r="K7" s="11" t="inlineStr">
        <is>
          <t>La hora punta de cada mes es la de un mes medio (hoja «Franjas del Día») por el coeficiente del mes. La capacidad es la del conjunto, la que manda el equipo más lento (libro 1, «Cuello de Botella»).</t>
        </is>
      </c>
    </row>
    <row r="8">
      <c r="A8" t="inlineStr">
        <is>
          <t>Febrero</t>
        </is>
      </c>
      <c r="B8" s="31">
        <f>'Peso sobre el Año'!$B$19</f>
        <v>1.15</v>
      </c>
      <c r="C8" s="27">
        <f>'Peso sobre el Año'!G19</f>
        <v>287.5</v>
      </c>
      <c r="D8" s="27">
        <f>'Peso sobre el Año'!H19</f>
        <v>459.99999999999994</v>
      </c>
      <c r="E8" s="34">
        <f>IFERROR('Franjas del Día'!$E$14*B8,"")</f>
        <v>71.875</v>
      </c>
      <c r="F8" s="34">
        <f>IFERROR('Franjas del Día'!$E$15*B8,"")</f>
        <v>86.25</v>
      </c>
      <c r="G8" s="34">
        <f>'Parámetros'!$B$9</f>
        <v>122.5513616817965</v>
      </c>
      <c r="H8" s="34">
        <f>IF(AND(ISNUMBER(E8),ISNUMBER(G8)),MAX(0,E8-G8),"")</f>
        <v>0.0</v>
      </c>
      <c r="I8" s="34">
        <f>IF(AND(ISNUMBER(F8),ISNUMBER(G8)),MAX(0,F8-G8),"")</f>
        <v>0.0</v>
      </c>
      <c r="J8" s="42" t="str">
        <f>IF(NOT(AND(ISNUMBER(H8),ISNUMBER(I8))),"",IF(H8&gt;0,"No, tampoco entre semana",IF(I8&gt;0,"No en los días punta","Sí")))</f>
        <v>Sí</v>
      </c>
    </row>
    <row r="9">
      <c r="A9" t="inlineStr">
        <is>
          <t>Marzo</t>
        </is>
      </c>
      <c r="B9" s="31">
        <f>'Peso sobre el Año'!$B$20</f>
        <v>1.1</v>
      </c>
      <c r="C9" s="27">
        <f>'Peso sobre el Año'!G20</f>
        <v>275.0</v>
      </c>
      <c r="D9" s="27">
        <f>'Peso sobre el Año'!H20</f>
        <v>440.00000000000006</v>
      </c>
      <c r="E9" s="34">
        <f>IFERROR('Franjas del Día'!$E$14*B9,"")</f>
        <v>68.75</v>
      </c>
      <c r="F9" s="34">
        <f>IFERROR('Franjas del Día'!$E$15*B9,"")</f>
        <v>82.5</v>
      </c>
      <c r="G9" s="34">
        <f>'Parámetros'!$B$9</f>
        <v>122.5513616817965</v>
      </c>
      <c r="H9" s="34">
        <f>IF(AND(ISNUMBER(E9),ISNUMBER(G9)),MAX(0,E9-G9),"")</f>
        <v>0.0</v>
      </c>
      <c r="I9" s="34">
        <f>IF(AND(ISNUMBER(F9),ISNUMBER(G9)),MAX(0,F9-G9),"")</f>
        <v>0.0</v>
      </c>
      <c r="J9" s="42" t="str">
        <f>IF(NOT(AND(ISNUMBER(H9),ISNUMBER(I9))),"",IF(H9&gt;0,"No, tampoco entre semana",IF(I9&gt;0,"No en los días punta","Sí")))</f>
        <v>Sí</v>
      </c>
    </row>
    <row r="10">
      <c r="A10" t="inlineStr">
        <is>
          <t>Abril</t>
        </is>
      </c>
      <c r="B10" s="31">
        <f>'Peso sobre el Año'!$B$21</f>
        <v>0.95</v>
      </c>
      <c r="C10" s="27">
        <f>'Peso sobre el Año'!G21</f>
        <v>237.5</v>
      </c>
      <c r="D10" s="27">
        <f>'Peso sobre el Año'!H21</f>
        <v>380.0</v>
      </c>
      <c r="E10" s="34">
        <f>IFERROR('Franjas del Día'!$E$14*B10,"")</f>
        <v>59.375</v>
      </c>
      <c r="F10" s="34">
        <f>IFERROR('Franjas del Día'!$E$15*B10,"")</f>
        <v>71.25</v>
      </c>
      <c r="G10" s="34">
        <f>'Parámetros'!$B$9</f>
        <v>122.5513616817965</v>
      </c>
      <c r="H10" s="34">
        <f>IF(AND(ISNUMBER(E10),ISNUMBER(G10)),MAX(0,E10-G10),"")</f>
        <v>0.0</v>
      </c>
      <c r="I10" s="34">
        <f>IF(AND(ISNUMBER(F10),ISNUMBER(G10)),MAX(0,F10-G10),"")</f>
        <v>0.0</v>
      </c>
      <c r="J10" s="42" t="str">
        <f>IF(NOT(AND(ISNUMBER(H10),ISNUMBER(I10))),"",IF(H10&gt;0,"No, tampoco entre semana",IF(I10&gt;0,"No en los días punta","Sí")))</f>
        <v>Sí</v>
      </c>
    </row>
    <row r="11">
      <c r="A11" t="inlineStr">
        <is>
          <t>Mayo</t>
        </is>
      </c>
      <c r="B11" s="31">
        <f>'Peso sobre el Año'!$B$22</f>
        <v>0.85</v>
      </c>
      <c r="C11" s="27">
        <f>'Peso sobre el Año'!G22</f>
        <v>212.5</v>
      </c>
      <c r="D11" s="27">
        <f>'Peso sobre el Año'!H22</f>
        <v>340.0</v>
      </c>
      <c r="E11" s="34">
        <f>IFERROR('Franjas del Día'!$E$14*B11,"")</f>
        <v>53.125</v>
      </c>
      <c r="F11" s="34">
        <f>IFERROR('Franjas del Día'!$E$15*B11,"")</f>
        <v>63.75</v>
      </c>
      <c r="G11" s="34">
        <f>'Parámetros'!$B$9</f>
        <v>122.5513616817965</v>
      </c>
      <c r="H11" s="34">
        <f>IF(AND(ISNUMBER(E11),ISNUMBER(G11)),MAX(0,E11-G11),"")</f>
        <v>0.0</v>
      </c>
      <c r="I11" s="34">
        <f>IF(AND(ISNUMBER(F11),ISNUMBER(G11)),MAX(0,F11-G11),"")</f>
        <v>0.0</v>
      </c>
      <c r="J11" s="42" t="str">
        <f>IF(NOT(AND(ISNUMBER(H11),ISNUMBER(I11))),"",IF(H11&gt;0,"No, tampoco entre semana",IF(I11&gt;0,"No en los días punta","Sí")))</f>
        <v>Sí</v>
      </c>
    </row>
    <row r="12">
      <c r="A12" t="inlineStr">
        <is>
          <t>Junio</t>
        </is>
      </c>
      <c r="B12" s="31">
        <f>'Peso sobre el Año'!$B$23</f>
        <v>0.7</v>
      </c>
      <c r="C12" s="27">
        <f>'Peso sobre el Año'!G23</f>
        <v>175.0</v>
      </c>
      <c r="D12" s="27">
        <f>'Peso sobre el Año'!H23</f>
        <v>280.0</v>
      </c>
      <c r="E12" s="34">
        <f>IFERROR('Franjas del Día'!$E$14*B12,"")</f>
        <v>43.75</v>
      </c>
      <c r="F12" s="34">
        <f>IFERROR('Franjas del Día'!$E$15*B12,"")</f>
        <v>52.5</v>
      </c>
      <c r="G12" s="34">
        <f>'Parámetros'!$B$9</f>
        <v>122.5513616817965</v>
      </c>
      <c r="H12" s="34">
        <f>IF(AND(ISNUMBER(E12),ISNUMBER(G12)),MAX(0,E12-G12),"")</f>
        <v>0.0</v>
      </c>
      <c r="I12" s="34">
        <f>IF(AND(ISNUMBER(F12),ISNUMBER(G12)),MAX(0,F12-G12),"")</f>
        <v>0.0</v>
      </c>
      <c r="J12" s="42" t="str">
        <f>IF(NOT(AND(ISNUMBER(H12),ISNUMBER(I12))),"",IF(H12&gt;0,"No, tampoco entre semana",IF(I12&gt;0,"No en los días punta","Sí")))</f>
        <v>Sí</v>
      </c>
    </row>
    <row r="13">
      <c r="A13" t="inlineStr">
        <is>
          <t>Julio</t>
        </is>
      </c>
      <c r="B13" s="31">
        <f>'Peso sobre el Año'!$B$24</f>
        <v>0.55</v>
      </c>
      <c r="C13" s="27">
        <f>'Peso sobre el Año'!G24</f>
        <v>137.5</v>
      </c>
      <c r="D13" s="27">
        <f>'Peso sobre el Año'!H24</f>
        <v>220.00000000000003</v>
      </c>
      <c r="E13" s="34">
        <f>IFERROR('Franjas del Día'!$E$14*B13,"")</f>
        <v>34.375</v>
      </c>
      <c r="F13" s="34">
        <f>IFERROR('Franjas del Día'!$E$15*B13,"")</f>
        <v>41.25</v>
      </c>
      <c r="G13" s="34">
        <f>'Parámetros'!$B$9</f>
        <v>122.5513616817965</v>
      </c>
      <c r="H13" s="34">
        <f>IF(AND(ISNUMBER(E13),ISNUMBER(G13)),MAX(0,E13-G13),"")</f>
        <v>0.0</v>
      </c>
      <c r="I13" s="34">
        <f>IF(AND(ISNUMBER(F13),ISNUMBER(G13)),MAX(0,F13-G13),"")</f>
        <v>0.0</v>
      </c>
      <c r="J13" s="42" t="str">
        <f>IF(NOT(AND(ISNUMBER(H13),ISNUMBER(I13))),"",IF(H13&gt;0,"No, tampoco entre semana",IF(I13&gt;0,"No en los días punta","Sí")))</f>
        <v>Sí</v>
      </c>
    </row>
    <row r="14">
      <c r="A14" t="inlineStr">
        <is>
          <t>Agosto</t>
        </is>
      </c>
      <c r="B14" s="31">
        <f>'Peso sobre el Año'!$B$25</f>
        <v>0.5</v>
      </c>
      <c r="C14" s="27">
        <f>'Peso sobre el Año'!G25</f>
        <v>125.0</v>
      </c>
      <c r="D14" s="27">
        <f>'Peso sobre el Año'!H25</f>
        <v>200.0</v>
      </c>
      <c r="E14" s="34">
        <f>IFERROR('Franjas del Día'!$E$14*B14,"")</f>
        <v>31.25</v>
      </c>
      <c r="F14" s="34">
        <f>IFERROR('Franjas del Día'!$E$15*B14,"")</f>
        <v>37.5</v>
      </c>
      <c r="G14" s="34">
        <f>'Parámetros'!$B$9</f>
        <v>122.5513616817965</v>
      </c>
      <c r="H14" s="34">
        <f>IF(AND(ISNUMBER(E14),ISNUMBER(G14)),MAX(0,E14-G14),"")</f>
        <v>0.0</v>
      </c>
      <c r="I14" s="34">
        <f>IF(AND(ISNUMBER(F14),ISNUMBER(G14)),MAX(0,F14-G14),"")</f>
        <v>0.0</v>
      </c>
      <c r="J14" s="42" t="str">
        <f>IF(NOT(AND(ISNUMBER(H14),ISNUMBER(I14))),"",IF(H14&gt;0,"No, tampoco entre semana",IF(I14&gt;0,"No en los días punta","Sí")))</f>
        <v>Sí</v>
      </c>
    </row>
    <row r="15">
      <c r="A15" t="inlineStr">
        <is>
          <t>Septiembre</t>
        </is>
      </c>
      <c r="B15" s="31">
        <f>'Peso sobre el Año'!$B$26</f>
        <v>0.8</v>
      </c>
      <c r="C15" s="27">
        <f>'Peso sobre el Año'!G26</f>
        <v>200.0</v>
      </c>
      <c r="D15" s="27">
        <f>'Peso sobre el Año'!H26</f>
        <v>320.0</v>
      </c>
      <c r="E15" s="34">
        <f>IFERROR('Franjas del Día'!$E$14*B15,"")</f>
        <v>50.0</v>
      </c>
      <c r="F15" s="34">
        <f>IFERROR('Franjas del Día'!$E$15*B15,"")</f>
        <v>60.0</v>
      </c>
      <c r="G15" s="34">
        <f>'Parámetros'!$B$9</f>
        <v>122.5513616817965</v>
      </c>
      <c r="H15" s="34">
        <f>IF(AND(ISNUMBER(E15),ISNUMBER(G15)),MAX(0,E15-G15),"")</f>
        <v>0.0</v>
      </c>
      <c r="I15" s="34">
        <f>IF(AND(ISNUMBER(F15),ISNUMBER(G15)),MAX(0,F15-G15),"")</f>
        <v>0.0</v>
      </c>
      <c r="J15" s="42" t="str">
        <f>IF(NOT(AND(ISNUMBER(H15),ISNUMBER(I15))),"",IF(H15&gt;0,"No, tampoco entre semana",IF(I15&gt;0,"No en los días punta","Sí")))</f>
        <v>Sí</v>
      </c>
    </row>
    <row r="16">
      <c r="A16" t="inlineStr">
        <is>
          <t>Octubre</t>
        </is>
      </c>
      <c r="B16" s="31">
        <f>'Peso sobre el Año'!$B$27</f>
        <v>1.1</v>
      </c>
      <c r="C16" s="27">
        <f>'Peso sobre el Año'!G27</f>
        <v>275.0</v>
      </c>
      <c r="D16" s="27">
        <f>'Peso sobre el Año'!H27</f>
        <v>440.00000000000006</v>
      </c>
      <c r="E16" s="34">
        <f>IFERROR('Franjas del Día'!$E$14*B16,"")</f>
        <v>68.75</v>
      </c>
      <c r="F16" s="34">
        <f>IFERROR('Franjas del Día'!$E$15*B16,"")</f>
        <v>82.5</v>
      </c>
      <c r="G16" s="34">
        <f>'Parámetros'!$B$9</f>
        <v>122.5513616817965</v>
      </c>
      <c r="H16" s="34">
        <f>IF(AND(ISNUMBER(E16),ISNUMBER(G16)),MAX(0,E16-G16),"")</f>
        <v>0.0</v>
      </c>
      <c r="I16" s="34">
        <f>IF(AND(ISNUMBER(F16),ISNUMBER(G16)),MAX(0,F16-G16),"")</f>
        <v>0.0</v>
      </c>
      <c r="J16" s="42" t="str">
        <f>IF(NOT(AND(ISNUMBER(H16),ISNUMBER(I16))),"",IF(H16&gt;0,"No, tampoco entre semana",IF(I16&gt;0,"No en los días punta","Sí")))</f>
        <v>Sí</v>
      </c>
    </row>
    <row r="17">
      <c r="A17" t="inlineStr">
        <is>
          <t>Noviembre</t>
        </is>
      </c>
      <c r="B17" s="31">
        <f>'Peso sobre el Año'!$B$28</f>
        <v>1.3</v>
      </c>
      <c r="C17" s="27">
        <f>'Peso sobre el Año'!G28</f>
        <v>325.0</v>
      </c>
      <c r="D17" s="27">
        <f>'Peso sobre el Año'!H28</f>
        <v>520.0</v>
      </c>
      <c r="E17" s="34">
        <f>IFERROR('Franjas del Día'!$E$14*B17,"")</f>
        <v>81.25</v>
      </c>
      <c r="F17" s="34">
        <f>IFERROR('Franjas del Día'!$E$15*B17,"")</f>
        <v>97.5</v>
      </c>
      <c r="G17" s="34">
        <f>'Parámetros'!$B$9</f>
        <v>122.5513616817965</v>
      </c>
      <c r="H17" s="34">
        <f>IF(AND(ISNUMBER(E17),ISNUMBER(G17)),MAX(0,E17-G17),"")</f>
        <v>0.0</v>
      </c>
      <c r="I17" s="34">
        <f>IF(AND(ISNUMBER(F17),ISNUMBER(G17)),MAX(0,F17-G17),"")</f>
        <v>0.0</v>
      </c>
      <c r="J17" s="42" t="str">
        <f>IF(NOT(AND(ISNUMBER(H17),ISNUMBER(I17))),"",IF(H17&gt;0,"No, tampoco entre semana",IF(I17&gt;0,"No en los días punta","Sí")))</f>
        <v>Sí</v>
      </c>
    </row>
    <row r="18">
      <c r="A18" t="inlineStr">
        <is>
          <t>Diciembre</t>
        </is>
      </c>
      <c r="B18" s="31">
        <f>'Peso sobre el Año'!$B$29</f>
        <v>1.75</v>
      </c>
      <c r="C18" s="27">
        <f>'Peso sobre el Año'!G29</f>
        <v>437.5</v>
      </c>
      <c r="D18" s="27">
        <f>'Peso sobre el Año'!H29</f>
        <v>700.0</v>
      </c>
      <c r="E18" s="34">
        <f>IFERROR('Franjas del Día'!$E$14*B18,"")</f>
        <v>109.375</v>
      </c>
      <c r="F18" s="34">
        <f>IFERROR('Franjas del Día'!$E$15*B18,"")</f>
        <v>131.25</v>
      </c>
      <c r="G18" s="34">
        <f>'Parámetros'!$B$9</f>
        <v>122.5513616817965</v>
      </c>
      <c r="H18" s="34">
        <f>IF(AND(ISNUMBER(E18),ISNUMBER(G18)),MAX(0,E18-G18),"")</f>
        <v>0.0</v>
      </c>
      <c r="I18" s="34">
        <f>IF(AND(ISNUMBER(F18),ISNUMBER(G18)),MAX(0,F18-G18),"")</f>
        <v>8.698638318203507</v>
      </c>
      <c r="J18" s="42" t="str">
        <f>IF(NOT(AND(ISNUMBER(H18),ISNUMBER(I18))),"",IF(H18&gt;0,"No, tampoco entre semana",IF(I18&gt;0,"No en los días punta","Sí")))</f>
        <v>No en los días punta</v>
      </c>
    </row>
    <row r="19"/>
    <row r="20">
      <c r="A20" s="25" t="inlineStr">
        <is>
          <t>Meses que no aguanta en los días punta</t>
        </is>
      </c>
      <c r="E20" s="23">
        <f>COUNTIF(I7:I18,"&gt;0")</f>
        <v>1.0</v>
      </c>
    </row>
    <row r="21">
      <c r="A21" s="25" t="inlineStr">
        <is>
          <t>Meses que no aguanta ni entre semana</t>
        </is>
      </c>
      <c r="E21" s="23">
        <f>COUNTIF(H7:H18,"&gt;0")</f>
        <v>0.0</v>
      </c>
    </row>
    <row r="22">
      <c r="A22" s="25" t="inlineStr">
        <is>
          <t>Peor déficit de un día punta (raciones/h)</t>
        </is>
      </c>
      <c r="E22" s="32">
        <f>MAX(I7:I18)</f>
        <v>8.698638318203507</v>
      </c>
    </row>
    <row r="23" ht="34" customHeight="1">
      <c r="A23" s="25" t="inlineStr">
        <is>
          <t>¿UNA CHURRERA O DOS?</t>
        </is>
      </c>
      <c r="E23" s="43" t="str">
        <f>IF(OR(NOT(ISNUMBER(E20)),NOT(ISNUMBER(E21)),NOT(ISNUMBER(E22)),NOT(ISNUMBER('Parámetros'!$B$9))),"",IF(E20=0,"Una basta: la línea aguanta la hora punta todos los meses",IF(AND(E21=0,E22&lt;='Parámetros'!$B$36*'Parámetros'!$B$9),"Una, con refuerzo en el pico: masa preparada antes de abrir y una persona más","Necesitas más línea: activa la segunda freidora en el libro 1 y vuelve a copiar la capacidad (X4)")))</f>
        <v>Una, con refuerzo en el pico: masa preparada antes de abrir y una persona más</v>
      </c>
    </row>
    <row r="24"/>
    <row r="25" ht="44" customHeight="1">
      <c r="A25" s="40" t="inlineStr">
        <is>
          <t>Un «No» no quiere decir que no puedas abrir ese mes: quiere decir que en la peor hora se te forma cola. Las palancas, en este orden: masa preparada antes de abrir, una segunda persona en la línea (hoja «Refuerzo por Pico») y, si no basta, más línea: el veredicto de arriba te dice cuándo.</t>
        </is>
      </c>
    </row>
    <row r="26"/>
    <row r="27">
      <c r="A27"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7">
    <mergeCell ref="A23:D23"/>
    <mergeCell ref="K7:K9"/>
    <mergeCell ref="A22:D22"/>
    <mergeCell ref="A20:D20"/>
    <mergeCell ref="A21:D21"/>
    <mergeCell ref="E23:J23"/>
    <mergeCell ref="A25:J25"/>
  </mergeCells>
  <conditionalFormatting sqref="J7:J18">
    <cfRule type="cellIs" priority="1" operator="equal" dxfId="0" stopIfTrue="1">
      <formula>"Sí"</formula>
    </cfRule>
    <cfRule type="cellIs" priority="2" operator="equal" dxfId="2" stopIfTrue="1">
      <formula>"No en los días punta"</formula>
    </cfRule>
    <cfRule type="cellIs" priority="3" operator="equal" dxfId="1" stopIfTrue="1">
      <formula>"No, tampoco entre semana"</formula>
    </cfRule>
  </conditionalFormatting>
  <conditionalFormatting sqref="E21">
    <cfRule type="expression" priority="4" dxfId="1" stopIfTrue="1">
      <formula>=AND(ISNUMBER($E$21),$E$21&gt;0)</formula>
    </cfRule>
  </conditionalFormatting>
  <conditionalFormatting sqref="E23">
    <cfRule type="cellIs" priority="5" operator="equal" dxfId="0" stopIfTrue="1">
      <formula>"Una basta: la línea aguanta la hora punta todos los meses"</formula>
    </cfRule>
    <cfRule type="cellIs" priority="6" operator="equal" dxfId="2" stopIfTrue="1">
      <formula>"Una, con refuerzo en el pico: masa preparada antes de abrir y una persona más"</formula>
    </cfRule>
    <cfRule type="cellIs" priority="7" operator="equal" dxfId="1" stopIfTrue="1">
      <formula>"Necesitas más línea: activa la segunda freidora en el libro 1 y vuelve a copiar la capacidad (X4)"</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I26"/>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5" customWidth="1" min="3" max="3"/>
    <col width="16" customWidth="1" min="4" max="4"/>
    <col width="14" customWidth="1" min="5" max="5"/>
    <col width="17" customWidth="1" min="6" max="6"/>
    <col width="12" customWidth="1" min="7" max="7"/>
    <col width="16" customWidth="1" min="8" max="8"/>
    <col width="52" customWidth="1" min="9" max="9"/>
  </cols>
  <sheetData>
    <row r="1">
      <c r="A1" s="1" t="inlineStr">
        <is>
          <t>Cola del Domingo</t>
        </is>
      </c>
    </row>
    <row r="2">
      <c r="A2" s="2" t="inlineStr">
        <is>
          <t>AI Chef Pro · aichef.pro — Cómo Montar una Churrería-Chocolatería</t>
        </is>
      </c>
    </row>
    <row r="3">
      <c r="A3" s="3" t="inlineStr">
        <is>
          <t>El domingo por la mañana es el día punta del día punta. Mes a mes, las raciones por hora que la línea no llega a servir en esa hora.</t>
        </is>
      </c>
    </row>
    <row r="4"/>
    <row r="5"/>
    <row r="6" ht="58" customHeight="1">
      <c r="A6" s="9" t="inlineStr">
        <is>
          <t>Mes</t>
        </is>
      </c>
      <c r="B6" s="9" t="inlineStr">
        <is>
          <t>Coeficiente</t>
        </is>
      </c>
      <c r="C6" s="9" t="inlineStr">
        <is>
          <t>Raciones del domingo</t>
        </is>
      </c>
      <c r="D6" s="9" t="inlineStr">
        <is>
          <t>Hora punta del domingo (raciones/h)</t>
        </is>
      </c>
      <c r="E6" s="9" t="inlineStr">
        <is>
          <t>Capacidad de la línea (raciones/h)</t>
        </is>
      </c>
      <c r="F6" s="9" t="inlineStr">
        <is>
          <t>COLA: raciones por hora que no llegas a servir</t>
        </is>
      </c>
      <c r="G6" s="9" t="inlineStr">
        <is>
          <t>¿Hay cola?</t>
        </is>
      </c>
      <c r="H6" s="9" t="inlineStr">
        <is>
          <t>Espera al final de la hora punta (minutos)</t>
        </is>
      </c>
      <c r="I6" s="9" t="inlineStr">
        <is>
          <t>Nota</t>
        </is>
      </c>
    </row>
    <row r="7" ht="34" customHeight="1">
      <c r="A7" t="inlineStr">
        <is>
          <t>Enero</t>
        </is>
      </c>
      <c r="B7" s="31">
        <f>'Peso sobre el Año'!$B$18</f>
        <v>1.25</v>
      </c>
      <c r="C7" s="27">
        <f>IFERROR('Franjas del Día'!$C$12*B7,"")</f>
        <v>500.0</v>
      </c>
      <c r="D7" s="34">
        <f>IFERROR('Franjas del Día'!$H$12*B7,"")</f>
        <v>93.75</v>
      </c>
      <c r="E7" s="34">
        <f>'Parámetros'!$B$9</f>
        <v>122.5513616817965</v>
      </c>
      <c r="F7" s="35">
        <f>IF(AND(ISNUMBER(D7),ISNUMBER(E7)),MAX(0,D7-E7),"")</f>
        <v>0.0</v>
      </c>
      <c r="G7" s="25" t="str">
        <f>IF(NOT(ISNUMBER(F7)),"",IF(F7&gt;0,"Sí","No"))</f>
        <v>No</v>
      </c>
      <c r="H7" s="34">
        <f>IFERROR(F7/E7*'Parámetros'!$B$27,"")</f>
        <v>0.0</v>
      </c>
      <c r="I7" s="11" t="inlineStr">
        <is>
          <t>Diciembre y enero son Navidad y Reyes: los domingos y festivos de esas semanas son los de más cola del año.</t>
        </is>
      </c>
    </row>
    <row r="8">
      <c r="A8" t="inlineStr">
        <is>
          <t>Febrero</t>
        </is>
      </c>
      <c r="B8" s="31">
        <f>'Peso sobre el Año'!$B$19</f>
        <v>1.15</v>
      </c>
      <c r="C8" s="27">
        <f>IFERROR('Franjas del Día'!$C$12*B8,"")</f>
        <v>459.99999999999994</v>
      </c>
      <c r="D8" s="34">
        <f>IFERROR('Franjas del Día'!$H$12*B8,"")</f>
        <v>86.25</v>
      </c>
      <c r="E8" s="34">
        <f>'Parámetros'!$B$9</f>
        <v>122.5513616817965</v>
      </c>
      <c r="F8" s="35">
        <f>IF(AND(ISNUMBER(D8),ISNUMBER(E8)),MAX(0,D8-E8),"")</f>
        <v>0.0</v>
      </c>
      <c r="G8" s="25" t="str">
        <f>IF(NOT(ISNUMBER(F8)),"",IF(F8&gt;0,"Sí","No"))</f>
        <v>No</v>
      </c>
      <c r="H8" s="34">
        <f>IFERROR(F8/E8*'Parámetros'!$B$27,"")</f>
        <v>0.0</v>
      </c>
    </row>
    <row r="9">
      <c r="A9" t="inlineStr">
        <is>
          <t>Marzo</t>
        </is>
      </c>
      <c r="B9" s="31">
        <f>'Peso sobre el Año'!$B$20</f>
        <v>1.1</v>
      </c>
      <c r="C9" s="27">
        <f>IFERROR('Franjas del Día'!$C$12*B9,"")</f>
        <v>440.00000000000006</v>
      </c>
      <c r="D9" s="34">
        <f>IFERROR('Franjas del Día'!$H$12*B9,"")</f>
        <v>82.5</v>
      </c>
      <c r="E9" s="34">
        <f>'Parámetros'!$B$9</f>
        <v>122.5513616817965</v>
      </c>
      <c r="F9" s="35">
        <f>IF(AND(ISNUMBER(D9),ISNUMBER(E9)),MAX(0,D9-E9),"")</f>
        <v>0.0</v>
      </c>
      <c r="G9" s="25" t="str">
        <f>IF(NOT(ISNUMBER(F9)),"",IF(F9&gt;0,"Sí","No"))</f>
        <v>No</v>
      </c>
      <c r="H9" s="34">
        <f>IFERROR(F9/E9*'Parámetros'!$B$27,"")</f>
        <v>0.0</v>
      </c>
    </row>
    <row r="10" ht="46" customHeight="1">
      <c r="A10" t="inlineStr">
        <is>
          <t>Abril</t>
        </is>
      </c>
      <c r="B10" s="31">
        <f>'Peso sobre el Año'!$B$21</f>
        <v>0.95</v>
      </c>
      <c r="C10" s="27">
        <f>IFERROR('Franjas del Día'!$C$12*B10,"")</f>
        <v>380.0</v>
      </c>
      <c r="D10" s="34">
        <f>IFERROR('Franjas del Día'!$H$12*B10,"")</f>
        <v>71.25</v>
      </c>
      <c r="E10" s="34">
        <f>'Parámetros'!$B$9</f>
        <v>122.5513616817965</v>
      </c>
      <c r="F10" s="35">
        <f>IF(AND(ISNUMBER(D10),ISNUMBER(E10)),MAX(0,D10-E10),"")</f>
        <v>0.0</v>
      </c>
      <c r="G10" s="25" t="str">
        <f>IF(NOT(ISNUMBER(F10)),"",IF(F10&gt;0,"Sí","No"))</f>
        <v>No</v>
      </c>
      <c r="H10" s="34">
        <f>IFERROR(F10/E10*'Parámetros'!$B$27,"")</f>
        <v>0.0</v>
      </c>
      <c r="I10" s="11" t="inlineStr">
        <is>
          <t>La cola sale de la franja más cargada del domingo (hoja «Franjas del Día», fila del domingo) por el coeficiente del mes, frente a la capacidad de la línea copiada del libro 1.</t>
        </is>
      </c>
    </row>
    <row r="11">
      <c r="A11" t="inlineStr">
        <is>
          <t>Mayo</t>
        </is>
      </c>
      <c r="B11" s="31">
        <f>'Peso sobre el Año'!$B$22</f>
        <v>0.85</v>
      </c>
      <c r="C11" s="27">
        <f>IFERROR('Franjas del Día'!$C$12*B11,"")</f>
        <v>340.0</v>
      </c>
      <c r="D11" s="34">
        <f>IFERROR('Franjas del Día'!$H$12*B11,"")</f>
        <v>63.75</v>
      </c>
      <c r="E11" s="34">
        <f>'Parámetros'!$B$9</f>
        <v>122.5513616817965</v>
      </c>
      <c r="F11" s="35">
        <f>IF(AND(ISNUMBER(D11),ISNUMBER(E11)),MAX(0,D11-E11),"")</f>
        <v>0.0</v>
      </c>
      <c r="G11" s="25" t="str">
        <f>IF(NOT(ISNUMBER(F11)),"",IF(F11&gt;0,"Sí","No"))</f>
        <v>No</v>
      </c>
      <c r="H11" s="34">
        <f>IFERROR(F11/E11*'Parámetros'!$B$27,"")</f>
        <v>0.0</v>
      </c>
    </row>
    <row r="12">
      <c r="A12" t="inlineStr">
        <is>
          <t>Junio</t>
        </is>
      </c>
      <c r="B12" s="31">
        <f>'Peso sobre el Año'!$B$23</f>
        <v>0.7</v>
      </c>
      <c r="C12" s="27">
        <f>IFERROR('Franjas del Día'!$C$12*B12,"")</f>
        <v>280.0</v>
      </c>
      <c r="D12" s="34">
        <f>IFERROR('Franjas del Día'!$H$12*B12,"")</f>
        <v>52.5</v>
      </c>
      <c r="E12" s="34">
        <f>'Parámetros'!$B$9</f>
        <v>122.5513616817965</v>
      </c>
      <c r="F12" s="35">
        <f>IF(AND(ISNUMBER(D12),ISNUMBER(E12)),MAX(0,D12-E12),"")</f>
        <v>0.0</v>
      </c>
      <c r="G12" s="25" t="str">
        <f>IF(NOT(ISNUMBER(F12)),"",IF(F12&gt;0,"Sí","No"))</f>
        <v>No</v>
      </c>
      <c r="H12" s="34">
        <f>IFERROR(F12/E12*'Parámetros'!$B$27,"")</f>
        <v>0.0</v>
      </c>
    </row>
    <row r="13">
      <c r="A13" t="inlineStr">
        <is>
          <t>Julio</t>
        </is>
      </c>
      <c r="B13" s="31">
        <f>'Peso sobre el Año'!$B$24</f>
        <v>0.55</v>
      </c>
      <c r="C13" s="27">
        <f>IFERROR('Franjas del Día'!$C$12*B13,"")</f>
        <v>220.00000000000003</v>
      </c>
      <c r="D13" s="34">
        <f>IFERROR('Franjas del Día'!$H$12*B13,"")</f>
        <v>41.25</v>
      </c>
      <c r="E13" s="34">
        <f>'Parámetros'!$B$9</f>
        <v>122.5513616817965</v>
      </c>
      <c r="F13" s="35">
        <f>IF(AND(ISNUMBER(D13),ISNUMBER(E13)),MAX(0,D13-E13),"")</f>
        <v>0.0</v>
      </c>
      <c r="G13" s="25" t="str">
        <f>IF(NOT(ISNUMBER(F13)),"",IF(F13&gt;0,"Sí","No"))</f>
        <v>No</v>
      </c>
      <c r="H13" s="34">
        <f>IFERROR(F13/E13*'Parámetros'!$B$27,"")</f>
        <v>0.0</v>
      </c>
    </row>
    <row r="14">
      <c r="A14" t="inlineStr">
        <is>
          <t>Agosto</t>
        </is>
      </c>
      <c r="B14" s="31">
        <f>'Peso sobre el Año'!$B$25</f>
        <v>0.5</v>
      </c>
      <c r="C14" s="27">
        <f>IFERROR('Franjas del Día'!$C$12*B14,"")</f>
        <v>200.0</v>
      </c>
      <c r="D14" s="34">
        <f>IFERROR('Franjas del Día'!$H$12*B14,"")</f>
        <v>37.5</v>
      </c>
      <c r="E14" s="34">
        <f>'Parámetros'!$B$9</f>
        <v>122.5513616817965</v>
      </c>
      <c r="F14" s="35">
        <f>IF(AND(ISNUMBER(D14),ISNUMBER(E14)),MAX(0,D14-E14),"")</f>
        <v>0.0</v>
      </c>
      <c r="G14" s="25" t="str">
        <f>IF(NOT(ISNUMBER(F14)),"",IF(F14&gt;0,"Sí","No"))</f>
        <v>No</v>
      </c>
      <c r="H14" s="34">
        <f>IFERROR(F14/E14*'Parámetros'!$B$27,"")</f>
        <v>0.0</v>
      </c>
    </row>
    <row r="15">
      <c r="A15" t="inlineStr">
        <is>
          <t>Septiembre</t>
        </is>
      </c>
      <c r="B15" s="31">
        <f>'Peso sobre el Año'!$B$26</f>
        <v>0.8</v>
      </c>
      <c r="C15" s="27">
        <f>IFERROR('Franjas del Día'!$C$12*B15,"")</f>
        <v>320.0</v>
      </c>
      <c r="D15" s="34">
        <f>IFERROR('Franjas del Día'!$H$12*B15,"")</f>
        <v>60.0</v>
      </c>
      <c r="E15" s="34">
        <f>'Parámetros'!$B$9</f>
        <v>122.5513616817965</v>
      </c>
      <c r="F15" s="35">
        <f>IF(AND(ISNUMBER(D15),ISNUMBER(E15)),MAX(0,D15-E15),"")</f>
        <v>0.0</v>
      </c>
      <c r="G15" s="25" t="str">
        <f>IF(NOT(ISNUMBER(F15)),"",IF(F15&gt;0,"Sí","No"))</f>
        <v>No</v>
      </c>
      <c r="H15" s="34">
        <f>IFERROR(F15/E15*'Parámetros'!$B$27,"")</f>
        <v>0.0</v>
      </c>
    </row>
    <row r="16">
      <c r="A16" t="inlineStr">
        <is>
          <t>Octubre</t>
        </is>
      </c>
      <c r="B16" s="31">
        <f>'Peso sobre el Año'!$B$27</f>
        <v>1.1</v>
      </c>
      <c r="C16" s="27">
        <f>IFERROR('Franjas del Día'!$C$12*B16,"")</f>
        <v>440.00000000000006</v>
      </c>
      <c r="D16" s="34">
        <f>IFERROR('Franjas del Día'!$H$12*B16,"")</f>
        <v>82.5</v>
      </c>
      <c r="E16" s="34">
        <f>'Parámetros'!$B$9</f>
        <v>122.5513616817965</v>
      </c>
      <c r="F16" s="35">
        <f>IF(AND(ISNUMBER(D16),ISNUMBER(E16)),MAX(0,D16-E16),"")</f>
        <v>0.0</v>
      </c>
      <c r="G16" s="25" t="str">
        <f>IF(NOT(ISNUMBER(F16)),"",IF(F16&gt;0,"Sí","No"))</f>
        <v>No</v>
      </c>
      <c r="H16" s="34">
        <f>IFERROR(F16/E16*'Parámetros'!$B$27,"")</f>
        <v>0.0</v>
      </c>
    </row>
    <row r="17">
      <c r="A17" t="inlineStr">
        <is>
          <t>Noviembre</t>
        </is>
      </c>
      <c r="B17" s="31">
        <f>'Peso sobre el Año'!$B$28</f>
        <v>1.3</v>
      </c>
      <c r="C17" s="27">
        <f>IFERROR('Franjas del Día'!$C$12*B17,"")</f>
        <v>520.0</v>
      </c>
      <c r="D17" s="34">
        <f>IFERROR('Franjas del Día'!$H$12*B17,"")</f>
        <v>97.5</v>
      </c>
      <c r="E17" s="34">
        <f>'Parámetros'!$B$9</f>
        <v>122.5513616817965</v>
      </c>
      <c r="F17" s="35">
        <f>IF(AND(ISNUMBER(D17),ISNUMBER(E17)),MAX(0,D17-E17),"")</f>
        <v>0.0</v>
      </c>
      <c r="G17" s="25" t="str">
        <f>IF(NOT(ISNUMBER(F17)),"",IF(F17&gt;0,"Sí","No"))</f>
        <v>No</v>
      </c>
      <c r="H17" s="34">
        <f>IFERROR(F17/E17*'Parámetros'!$B$27,"")</f>
        <v>0.0</v>
      </c>
    </row>
    <row r="18">
      <c r="A18" t="inlineStr">
        <is>
          <t>Diciembre</t>
        </is>
      </c>
      <c r="B18" s="31">
        <f>'Peso sobre el Año'!$B$29</f>
        <v>1.75</v>
      </c>
      <c r="C18" s="27">
        <f>IFERROR('Franjas del Día'!$C$12*B18,"")</f>
        <v>700.0</v>
      </c>
      <c r="D18" s="34">
        <f>IFERROR('Franjas del Día'!$H$12*B18,"")</f>
        <v>131.25</v>
      </c>
      <c r="E18" s="34">
        <f>'Parámetros'!$B$9</f>
        <v>122.5513616817965</v>
      </c>
      <c r="F18" s="35">
        <f>IF(AND(ISNUMBER(D18),ISNUMBER(E18)),MAX(0,D18-E18),"")</f>
        <v>8.698638318203507</v>
      </c>
      <c r="G18" s="25" t="str">
        <f>IF(NOT(ISNUMBER(F18)),"",IF(F18&gt;0,"Sí","No"))</f>
        <v>Sí</v>
      </c>
      <c r="H18" s="34">
        <f>IFERROR(F18/E18*'Parámetros'!$B$27,"")</f>
        <v>4.258771929824546</v>
      </c>
    </row>
    <row r="19"/>
    <row r="20">
      <c r="A20" s="25" t="inlineStr">
        <is>
          <t>Meses con cola el domingo</t>
        </is>
      </c>
      <c r="E20" s="23">
        <f>COUNTIF(G7:G18,"Sí")</f>
        <v>1.0</v>
      </c>
    </row>
    <row r="21">
      <c r="A21" s="25" t="inlineStr">
        <is>
          <t>Peor cola del año (raciones/h)</t>
        </is>
      </c>
      <c r="E21" s="32">
        <f>MAX(F7:F18)</f>
        <v>8.698638318203507</v>
      </c>
    </row>
    <row r="22">
      <c r="A22" s="25" t="inlineStr">
        <is>
          <t>Mes de la peor cola</t>
        </is>
      </c>
      <c r="E22" s="44" t="str">
        <f>IF(NOT(ISNUMBER(E21)),"",IF(E21&gt;0,INDEX(A7:A18,MATCH(E21,F7:F18,0)),"Ninguno"))</f>
        <v>Diciembre</v>
      </c>
    </row>
    <row r="23"/>
    <row r="24" ht="44" customHeight="1">
      <c r="A24" s="40" t="inlineStr">
        <is>
          <t>La cola no se arregla subiendo el precio: se arregla con masa preparada antes de abrir y con una segunda persona en la línea en esas mañanas. Las horas de ese refuerzo están en la hoja «Refuerzo por Pico».</t>
        </is>
      </c>
    </row>
    <row r="25"/>
    <row r="26">
      <c r="A26"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22:D22"/>
    <mergeCell ref="A24:H24"/>
    <mergeCell ref="A20:D20"/>
    <mergeCell ref="A21:D21"/>
  </mergeCells>
  <conditionalFormatting sqref="G7:G18">
    <cfRule type="cellIs" priority="1" operator="equal" dxfId="1" stopIfTrue="1">
      <formula>"Sí"</formula>
    </cfRule>
    <cfRule type="cellIs" priority="2" operator="equal" dxfId="0" stopIfTrue="1">
      <formula>"No"</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29"/>
  <sheetViews>
    <sheetView workbookViewId="0">
      <selection activeCell="A1" sqref="A1"/>
    </sheetView>
  </sheetViews>
  <sheetFormatPr baseColWidth="8" defaultRowHeight="15"/>
  <cols>
    <col width="52" customWidth="1" min="1" max="1"/>
    <col width="16" customWidth="1" min="2" max="2"/>
    <col width="14" customWidth="1" min="3" max="3"/>
    <col width="14" customWidth="1" min="4" max="4"/>
    <col width="56" customWidth="1" min="5" max="5"/>
    <col width="40" customWidth="1" min="11" max="11"/>
    <col width="14" customWidth="1" min="12" max="12"/>
    <col width="44" customWidth="1" min="13" max="13"/>
  </cols>
  <sheetData>
    <row r="1">
      <c r="A1" s="1" t="inlineStr">
        <is>
          <t>Refuerzo por Pico</t>
        </is>
      </c>
    </row>
    <row r="2">
      <c r="A2" s="2" t="inlineStr">
        <is>
          <t>AI Chef Pro · aichef.pro — Cómo Montar una Churrería-Chocolatería</t>
        </is>
      </c>
    </row>
    <row r="3">
      <c r="A3" s="3" t="inlineStr">
        <is>
          <t>Las horas de refuerzo de Navidad y Reyes, por encima del medio refuerzo fijo de los fines de semana (que está en la plantilla del libro 8), y lo que cuestan.</t>
        </is>
      </c>
    </row>
    <row r="4">
      <c r="A4" s="4" t="inlineStr">
        <is>
          <t>El Refuerzo de Navidad y Reyes</t>
        </is>
      </c>
      <c r="K4" s="4" t="inlineStr">
        <is>
          <t>Lo que Copian Otros Libros (No Muevas Estas Celdas)</t>
        </is>
      </c>
    </row>
    <row r="5" ht="28" customHeight="1">
      <c r="A5" s="6" t="inlineStr">
        <is>
          <t>Días punta de Navidad y Reyes con una persona más por la mañana</t>
        </is>
      </c>
      <c r="B5" s="10" t="n">
        <v>8</v>
      </c>
      <c r="C5" t="inlineStr">
        <is>
          <t>días</t>
        </is>
      </c>
      <c r="E5" s="11" t="inlineStr">
        <is>
          <t>supuesto declarado de El Molinete. Días punta de Navidad y Reyes con una persona más en la mañana, por encima del medio refuerzo fijo.</t>
        </is>
      </c>
      <c r="K5" s="18" t="inlineStr">
        <is>
          <t>Horas de refuerzo de Navidad y Reyes al año</t>
        </is>
      </c>
      <c r="L5" s="32">
        <f>B8</f>
        <v>56.0</v>
      </c>
      <c r="M5" s="11" t="inlineStr">
        <is>
          <t>Lo copia: libro 8 (turnos-plantilla-y-madrugada.xlsx, hoja Parámetros, X7)</t>
        </is>
      </c>
    </row>
    <row r="6">
      <c r="A6" t="inlineStr">
        <is>
          <t>Horas de refuerzo cada uno de esos días</t>
        </is>
      </c>
      <c r="B6" s="12" t="n">
        <v>7</v>
      </c>
      <c r="C6" t="inlineStr">
        <is>
          <t>h/día</t>
        </is>
      </c>
      <c r="E6" s="11" t="inlineStr">
        <is>
          <t>supuesto declarado de El Molinete. De 6:00 a 13:00.</t>
        </is>
      </c>
    </row>
    <row r="7">
      <c r="A7" t="inlineStr">
        <is>
          <t>Coste hora de mano de obra (copiado del libro 3)</t>
        </is>
      </c>
      <c r="B7" s="45">
        <f>'Parámetros'!$B$14</f>
        <v>13.24384288441323</v>
      </c>
      <c r="C7" t="inlineStr">
        <is>
          <t>EUR/h</t>
        </is>
      </c>
    </row>
    <row r="8">
      <c r="A8" s="25" t="inlineStr">
        <is>
          <t>HORAS DE REFUERZO AL AÑO</t>
        </is>
      </c>
      <c r="B8" s="32">
        <f>IFERROR(B5*B6,"")</f>
        <v>56.0</v>
      </c>
      <c r="C8" t="inlineStr">
        <is>
          <t>h/año</t>
        </is>
      </c>
      <c r="E8" s="11" t="inlineStr">
        <is>
          <t>Las copia el libro 8 (bloque de la derecha) para el coste de la plantilla.</t>
        </is>
      </c>
    </row>
    <row r="9">
      <c r="A9" s="25" t="inlineStr">
        <is>
          <t>Lo que cuesta ese refuerzo al año</t>
        </is>
      </c>
      <c r="B9" s="46">
        <f>IFERROR(B8*B7,"")</f>
        <v>741.6552015271409</v>
      </c>
      <c r="C9" t="inlineStr">
        <is>
          <t>EUR/año</t>
        </is>
      </c>
    </row>
    <row r="10">
      <c r="A10" t="inlineStr">
        <is>
          <t>Peor cola del domingo del año (hoja «Cola del Domingo»)</t>
        </is>
      </c>
      <c r="B10" s="34">
        <f>'Cola del Domingo'!$E$21</f>
        <v>8.698638318203507</v>
      </c>
      <c r="C10" t="inlineStr">
        <is>
          <t>raciones/h</t>
        </is>
      </c>
    </row>
    <row r="11" ht="30" customHeight="1">
      <c r="A11" s="25" t="inlineStr">
        <is>
          <t>¿Lo pide la cola?</t>
        </is>
      </c>
      <c r="B11" s="20" t="str">
        <f>IF(NOT(ISNUMBER(B10)),"",IF(B10&gt;0,"Hay cola en algún domingo: el refuerzo tiene sentido","No hay cola en ningún domingo: revisa si necesitas el refuerzo"))</f>
        <v>Hay cola en algún domingo: el refuerzo tiene sentido</v>
      </c>
    </row>
    <row r="12"/>
    <row r="13" ht="44" customHeight="1">
      <c r="A13" s="9" t="inlineStr">
        <is>
          <t>Mes</t>
        </is>
      </c>
      <c r="B13" s="9" t="inlineStr">
        <is>
          <t>Cola del domingo (raciones/h)</t>
        </is>
      </c>
      <c r="C13" s="9" t="inlineStr">
        <is>
          <t>¿Hay cola?</t>
        </is>
      </c>
      <c r="D13" s="9" t="inlineStr">
        <is>
          <t>Temporada</t>
        </is>
      </c>
      <c r="E13" s="9" t="inlineStr">
        <is>
          <t>Qué hacer</t>
        </is>
      </c>
    </row>
    <row r="14">
      <c r="A14" t="inlineStr">
        <is>
          <t>Enero</t>
        </is>
      </c>
      <c r="B14" s="34">
        <f>'Cola del Domingo'!F7</f>
        <v>0.0</v>
      </c>
      <c r="C14" t="str">
        <f>'Cola del Domingo'!G7</f>
        <v>No</v>
      </c>
      <c r="D14" t="str">
        <f>'Peso sobre el Año'!C18</f>
        <v>Temporada alta</v>
      </c>
      <c r="E14" t="str">
        <f>IF(C14="Sí","Una persona más en la línea los domingos y festivos por la mañana",IF(D14="Temporada alta","Vigila la cola: estás cerca","Sin refuerzo"))</f>
        <v>Vigila la cola: estás cerca</v>
      </c>
    </row>
    <row r="15">
      <c r="A15" t="inlineStr">
        <is>
          <t>Febrero</t>
        </is>
      </c>
      <c r="B15" s="34">
        <f>'Cola del Domingo'!F8</f>
        <v>0.0</v>
      </c>
      <c r="C15" t="str">
        <f>'Cola del Domingo'!G8</f>
        <v>No</v>
      </c>
      <c r="D15" t="str">
        <f>'Peso sobre el Año'!C19</f>
        <v>Temporada alta</v>
      </c>
      <c r="E15" t="str">
        <f>IF(C15="Sí","Una persona más en la línea los domingos y festivos por la mañana",IF(D15="Temporada alta","Vigila la cola: estás cerca","Sin refuerzo"))</f>
        <v>Vigila la cola: estás cerca</v>
      </c>
    </row>
    <row r="16">
      <c r="A16" t="inlineStr">
        <is>
          <t>Marzo</t>
        </is>
      </c>
      <c r="B16" s="34">
        <f>'Cola del Domingo'!F9</f>
        <v>0.0</v>
      </c>
      <c r="C16" t="str">
        <f>'Cola del Domingo'!G9</f>
        <v>No</v>
      </c>
      <c r="D16" t="str">
        <f>'Peso sobre el Año'!C20</f>
        <v>Temporada alta</v>
      </c>
      <c r="E16" t="str">
        <f>IF(C16="Sí","Una persona más en la línea los domingos y festivos por la mañana",IF(D16="Temporada alta","Vigila la cola: estás cerca","Sin refuerzo"))</f>
        <v>Vigila la cola: estás cerca</v>
      </c>
    </row>
    <row r="17">
      <c r="A17" t="inlineStr">
        <is>
          <t>Abril</t>
        </is>
      </c>
      <c r="B17" s="34">
        <f>'Cola del Domingo'!F10</f>
        <v>0.0</v>
      </c>
      <c r="C17" t="str">
        <f>'Cola del Domingo'!G10</f>
        <v>No</v>
      </c>
      <c r="D17" t="str">
        <f>'Peso sobre el Año'!C21</f>
        <v>Media</v>
      </c>
      <c r="E17" t="str">
        <f>IF(C17="Sí","Una persona más en la línea los domingos y festivos por la mañana",IF(D17="Temporada alta","Vigila la cola: estás cerca","Sin refuerzo"))</f>
        <v>Sin refuerzo</v>
      </c>
    </row>
    <row r="18">
      <c r="A18" t="inlineStr">
        <is>
          <t>Mayo</t>
        </is>
      </c>
      <c r="B18" s="34">
        <f>'Cola del Domingo'!F11</f>
        <v>0.0</v>
      </c>
      <c r="C18" t="str">
        <f>'Cola del Domingo'!G11</f>
        <v>No</v>
      </c>
      <c r="D18" t="str">
        <f>'Peso sobre el Año'!C22</f>
        <v>Media</v>
      </c>
      <c r="E18" t="str">
        <f>IF(C18="Sí","Una persona más en la línea los domingos y festivos por la mañana",IF(D18="Temporada alta","Vigila la cola: estás cerca","Sin refuerzo"))</f>
        <v>Sin refuerzo</v>
      </c>
    </row>
    <row r="19">
      <c r="A19" t="inlineStr">
        <is>
          <t>Junio</t>
        </is>
      </c>
      <c r="B19" s="34">
        <f>'Cola del Domingo'!F12</f>
        <v>0.0</v>
      </c>
      <c r="C19" t="str">
        <f>'Cola del Domingo'!G12</f>
        <v>No</v>
      </c>
      <c r="D19" t="str">
        <f>'Peso sobre el Año'!C23</f>
        <v>Media</v>
      </c>
      <c r="E19" t="str">
        <f>IF(C19="Sí","Una persona más en la línea los domingos y festivos por la mañana",IF(D19="Temporada alta","Vigila la cola: estás cerca","Sin refuerzo"))</f>
        <v>Sin refuerzo</v>
      </c>
    </row>
    <row r="20">
      <c r="A20" t="inlineStr">
        <is>
          <t>Julio</t>
        </is>
      </c>
      <c r="B20" s="34">
        <f>'Cola del Domingo'!F13</f>
        <v>0.0</v>
      </c>
      <c r="C20" t="str">
        <f>'Cola del Domingo'!G13</f>
        <v>No</v>
      </c>
      <c r="D20" t="str">
        <f>'Peso sobre el Año'!C24</f>
        <v>Valle</v>
      </c>
      <c r="E20" t="str">
        <f>IF(C20="Sí","Una persona más en la línea los domingos y festivos por la mañana",IF(D20="Temporada alta","Vigila la cola: estás cerca","Sin refuerzo"))</f>
        <v>Sin refuerzo</v>
      </c>
    </row>
    <row r="21">
      <c r="A21" t="inlineStr">
        <is>
          <t>Agosto</t>
        </is>
      </c>
      <c r="B21" s="34">
        <f>'Cola del Domingo'!F14</f>
        <v>0.0</v>
      </c>
      <c r="C21" t="str">
        <f>'Cola del Domingo'!G14</f>
        <v>No</v>
      </c>
      <c r="D21" t="str">
        <f>'Peso sobre el Año'!C25</f>
        <v>Valle</v>
      </c>
      <c r="E21" t="str">
        <f>IF(C21="Sí","Una persona más en la línea los domingos y festivos por la mañana",IF(D21="Temporada alta","Vigila la cola: estás cerca","Sin refuerzo"))</f>
        <v>Sin refuerzo</v>
      </c>
    </row>
    <row r="22">
      <c r="A22" t="inlineStr">
        <is>
          <t>Septiembre</t>
        </is>
      </c>
      <c r="B22" s="34">
        <f>'Cola del Domingo'!F15</f>
        <v>0.0</v>
      </c>
      <c r="C22" t="str">
        <f>'Cola del Domingo'!G15</f>
        <v>No</v>
      </c>
      <c r="D22" t="str">
        <f>'Peso sobre el Año'!C26</f>
        <v>Media</v>
      </c>
      <c r="E22" t="str">
        <f>IF(C22="Sí","Una persona más en la línea los domingos y festivos por la mañana",IF(D22="Temporada alta","Vigila la cola: estás cerca","Sin refuerzo"))</f>
        <v>Sin refuerzo</v>
      </c>
    </row>
    <row r="23">
      <c r="A23" t="inlineStr">
        <is>
          <t>Octubre</t>
        </is>
      </c>
      <c r="B23" s="34">
        <f>'Cola del Domingo'!F16</f>
        <v>0.0</v>
      </c>
      <c r="C23" t="str">
        <f>'Cola del Domingo'!G16</f>
        <v>No</v>
      </c>
      <c r="D23" t="str">
        <f>'Peso sobre el Año'!C27</f>
        <v>Temporada alta</v>
      </c>
      <c r="E23" t="str">
        <f>IF(C23="Sí","Una persona más en la línea los domingos y festivos por la mañana",IF(D23="Temporada alta","Vigila la cola: estás cerca","Sin refuerzo"))</f>
        <v>Vigila la cola: estás cerca</v>
      </c>
    </row>
    <row r="24">
      <c r="A24" t="inlineStr">
        <is>
          <t>Noviembre</t>
        </is>
      </c>
      <c r="B24" s="34">
        <f>'Cola del Domingo'!F17</f>
        <v>0.0</v>
      </c>
      <c r="C24" t="str">
        <f>'Cola del Domingo'!G17</f>
        <v>No</v>
      </c>
      <c r="D24" t="str">
        <f>'Peso sobre el Año'!C28</f>
        <v>Temporada alta</v>
      </c>
      <c r="E24" t="str">
        <f>IF(C24="Sí","Una persona más en la línea los domingos y festivos por la mañana",IF(D24="Temporada alta","Vigila la cola: estás cerca","Sin refuerzo"))</f>
        <v>Vigila la cola: estás cerca</v>
      </c>
    </row>
    <row r="25">
      <c r="A25" t="inlineStr">
        <is>
          <t>Diciembre</t>
        </is>
      </c>
      <c r="B25" s="34">
        <f>'Cola del Domingo'!F18</f>
        <v>8.698638318203507</v>
      </c>
      <c r="C25" t="str">
        <f>'Cola del Domingo'!G18</f>
        <v>Sí</v>
      </c>
      <c r="D25" t="str">
        <f>'Peso sobre el Año'!C29</f>
        <v>Temporada alta</v>
      </c>
      <c r="E25" t="str">
        <f>IF(C25="Sí","Una persona más en la línea los domingos y festivos por la mañana",IF(D25="Temporada alta","Vigila la cola: estás cerca","Sin refuerzo"))</f>
        <v>Una persona más en la línea los domingos y festivos por la mañana</v>
      </c>
    </row>
    <row r="26"/>
    <row r="27" ht="44" customHeight="1">
      <c r="A27" s="40" t="inlineStr">
        <is>
          <t>El medio refuerzo fijo de los sábados y domingos ya está en la plantilla de El Molinete (libro 8). Aquí sólo van las horas de más de Navidad y Reyes. El coste hora es el del escandallo del libro 3: si el libro 8 te da otro, cuadra los dos.</t>
        </is>
      </c>
    </row>
    <row r="28"/>
    <row r="29">
      <c r="A29"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B11:D11"/>
    <mergeCell ref="A27:E27"/>
  </mergeCells>
  <conditionalFormatting sqref="B11">
    <cfRule type="cellIs" priority="1" operator="equal" dxfId="0" stopIfTrue="1">
      <formula>"Hay cola en algún domingo: el refuerzo tiene sentido"</formula>
    </cfRule>
    <cfRule type="cellIs" priority="2" operator="equal" dxfId="2" stopIfTrue="1">
      <formula>"No hay cola en ningún domingo: revisa si necesitas el refuerzo"</formula>
    </cfRule>
  </conditionalFormatting>
  <conditionalFormatting sqref="C14:C25">
    <cfRule type="cellIs" priority="3" operator="equal" dxfId="1" stopIfTrue="1">
      <formula>"Sí"</formula>
    </cfRule>
    <cfRule type="cellIs" priority="4" operator="equal" dxfId="0" stopIfTrue="1">
      <formula>"No"</formula>
    </cfRule>
  </conditionalFormatting>
  <dataValidations count="2">
    <dataValidation sqref="B5" showDropDown="0" showInputMessage="0" showErrorMessage="1" allowBlank="1" errorTitle="Valor fuera de rango" error="Escribe un valor entre 0 y 60." type="decimal" operator="between">
      <formula1>0</formula1>
      <formula2>60</formula2>
    </dataValidation>
    <dataValidation sqref="B6" showDropDown="0" showInputMessage="0" showErrorMessage="1" allowBlank="1" errorTitle="Valor fuera de rango" error="Escribe un valor entre 0 y 14." type="decimal" operator="between">
      <formula1>0</formula1>
      <formula2>14</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28"/>
  <sheetViews>
    <sheetView workbookViewId="0">
      <selection activeCell="A1" sqref="A1"/>
    </sheetView>
  </sheetViews>
  <sheetFormatPr baseColWidth="8" defaultRowHeight="15"/>
  <cols>
    <col width="58" customWidth="1" min="1" max="1"/>
    <col width="18" customWidth="1" min="2" max="2"/>
    <col width="18" customWidth="1" min="3" max="3"/>
    <col width="18" customWidth="1" min="4" max="4"/>
    <col width="54" customWidth="1" min="5" max="5"/>
    <col width="40" customWidth="1" min="11" max="11"/>
    <col width="14" customWidth="1" min="12" max="12"/>
    <col width="44" customWidth="1" min="13" max="13"/>
  </cols>
  <sheetData>
    <row r="1">
      <c r="A1" s="1" t="inlineStr">
        <is>
          <t>El Verano (Tres Salidas)</t>
        </is>
      </c>
    </row>
    <row r="2">
      <c r="A2" s="2" t="inlineStr">
        <is>
          <t>AI Chef Pro · aichef.pro — Cómo Montar una Churrería-Chocolatería</t>
        </is>
      </c>
    </row>
    <row r="3">
      <c r="A3" s="3" t="inlineStr">
        <is>
          <t>Julio y agosto: cerrar, abrir con carta de verano o salir de ferias. Se comparan por lo que DEJAN en euros; lo que pagas igual en las tres lo resta el libro 6.</t>
        </is>
      </c>
    </row>
    <row r="4">
      <c r="K4" s="4" t="inlineStr">
        <is>
          <t>Lo que Copian Otros Libros (No Muevas Estas Celdas)</t>
        </is>
      </c>
    </row>
    <row r="5" ht="28" customHeight="1">
      <c r="K5" s="18" t="inlineStr">
        <is>
          <t>Contribución de julio y agosto de la salida que eliges</t>
        </is>
      </c>
      <c r="L5" s="47">
        <f>B21</f>
        <v>17368.709057076023</v>
      </c>
      <c r="M5" s="11" t="inlineStr">
        <is>
          <t>Lo copia: libro 6 (plan-financiero-3-anos-churreria.xlsx, hoja 0. Supuestos, X16)</t>
        </is>
      </c>
    </row>
    <row r="6" ht="28" customHeight="1">
      <c r="A6" s="9" t="inlineStr">
        <is>
          <t>Concepto</t>
        </is>
      </c>
      <c r="B6" s="9" t="inlineStr">
        <is>
          <t>Salida 1</t>
        </is>
      </c>
      <c r="C6" s="9" t="inlineStr">
        <is>
          <t>Salida 2</t>
        </is>
      </c>
      <c r="D6" s="9" t="inlineStr">
        <is>
          <t>Salida 3</t>
        </is>
      </c>
      <c r="E6" s="9" t="inlineStr">
        <is>
          <t>Nota</t>
        </is>
      </c>
      <c r="K6" s="18" t="inlineStr">
        <is>
          <t>Contribución de julio y agosto si cierras</t>
        </is>
      </c>
      <c r="L6" s="47">
        <f>B16</f>
        <v>0.0</v>
      </c>
      <c r="M6" s="11" t="inlineStr">
        <is>
          <t>Lo copia: libro 6 (plan-financiero-3-anos-churreria.xlsx, hoja 0. Supuestos, X16 bis)</t>
        </is>
      </c>
    </row>
    <row r="7" ht="28" customHeight="1">
      <c r="A7" s="25" t="inlineStr">
        <is>
          <t>Salida</t>
        </is>
      </c>
      <c r="B7" s="48" t="inlineStr">
        <is>
          <t>Cerrar</t>
        </is>
      </c>
      <c r="C7" s="48" t="inlineStr">
        <is>
          <t>Carta de verano</t>
        </is>
      </c>
      <c r="D7" s="48" t="inlineStr">
        <is>
          <t>Ferias</t>
        </is>
      </c>
      <c r="K7" s="18" t="inlineStr">
        <is>
          <t>Contribución de julio y agosto con carta de verano</t>
        </is>
      </c>
      <c r="L7" s="47">
        <f>C16</f>
        <v>17368.709057076023</v>
      </c>
      <c r="M7" s="11" t="inlineStr">
        <is>
          <t>Lo copia: libro 6 (plan-financiero-3-anos-churreria.xlsx, hoja 0. Supuestos, X16 bis)</t>
        </is>
      </c>
    </row>
    <row r="8" ht="32" customHeight="1">
      <c r="A8" s="49" t="inlineStr">
        <is>
          <t>¿Abre el local en julio y agosto? (1 sí, 0 no)</t>
        </is>
      </c>
      <c r="B8" s="10" t="n">
        <v>0</v>
      </c>
      <c r="C8" s="10" t="n">
        <v>1</v>
      </c>
      <c r="D8" s="10" t="n">
        <v>0</v>
      </c>
      <c r="E8" s="11" t="inlineStr">
        <is>
          <t>Cerrar y salir de ferias dejan el local cerrado; la carta de verano lo abre.</t>
        </is>
      </c>
      <c r="K8" s="18" t="inlineStr">
        <is>
          <t>Contribución de julio y agosto con ferias</t>
        </is>
      </c>
      <c r="L8" s="47">
        <f>D16</f>
        <v>2106.4537437840745</v>
      </c>
      <c r="M8" s="11" t="inlineStr">
        <is>
          <t>Lo copia: libro 6 (plan-financiero-3-anos-churreria.xlsx, hoja 0. Supuestos, X16 bis)</t>
        </is>
      </c>
    </row>
    <row r="9" ht="32" customHeight="1">
      <c r="A9" s="49" t="inlineStr">
        <is>
          <t>¿Sale a las ferias de julio y agosto? (1 sí, 0 no)</t>
        </is>
      </c>
      <c r="B9" s="10" t="n">
        <v>0</v>
      </c>
      <c r="C9" s="10" t="n">
        <v>0</v>
      </c>
      <c r="D9" s="10" t="n">
        <v>1</v>
      </c>
      <c r="E9" s="11" t="inlineStr">
        <is>
          <t>Las de la hoja «Punto Muerto por Evento» cuyo mes es uno de los dos del verano.</t>
        </is>
      </c>
      <c r="K9" s="18" t="inlineStr">
        <is>
          <t>Ventas sin IVA de julio y agosto de la salida que eliges</t>
        </is>
      </c>
      <c r="L9" s="47">
        <f>IFERROR(INDEX($B$12:$D$12,MATCH(B20,$B$7:$D$7,0)),"")</f>
        <v>20737.719545454547</v>
      </c>
      <c r="M9" s="11" t="inlineStr">
        <is>
          <t>Lo copia: libro 6 (plan-financiero-3-anos-churreria.xlsx, hoja 0. Supuestos, X16 ter)</t>
        </is>
      </c>
    </row>
    <row r="10" ht="32" customHeight="1">
      <c r="A10" s="49" t="inlineStr">
        <is>
          <t>Horas de personal extra del local en julio y agosto</t>
        </is>
      </c>
      <c r="B10" s="12" t="n">
        <v>0</v>
      </c>
      <c r="C10" s="12" t="n">
        <v>0</v>
      </c>
      <c r="D10" s="12" t="n">
        <v>0</v>
      </c>
      <c r="E10" s="11" t="inlineStr">
        <is>
          <t>Si la carta de verano necesita a alguien más (heladería, terraza). En El Molinete, ninguna.</t>
        </is>
      </c>
    </row>
    <row r="11" ht="32" customHeight="1">
      <c r="A11" s="49" t="inlineStr">
        <is>
          <t>Raciones que vende el local</t>
        </is>
      </c>
      <c r="B11" s="27">
        <f>IFERROR(B8*'Peso sobre el Año'!$B$35,"")</f>
        <v>0.0</v>
      </c>
      <c r="C11" s="27">
        <f>IFERROR(C8*'Peso sobre el Año'!$B$35,"")</f>
        <v>9397.5</v>
      </c>
      <c r="D11" s="27">
        <f>IFERROR(D8*'Peso sobre el Año'!$B$35,"")</f>
        <v>0.0</v>
      </c>
      <c r="E11" s="11" t="inlineStr">
        <is>
          <t>Las de julio y agosto de «Peso sobre el Año».</t>
        </is>
      </c>
    </row>
    <row r="12" ht="32" customHeight="1">
      <c r="A12" s="49" t="inlineStr">
        <is>
          <t>Ventas del local sin IVA</t>
        </is>
      </c>
      <c r="B12" s="45">
        <f>IFERROR(B11*'Parámetros'!$B$11,"")</f>
        <v>0.0</v>
      </c>
      <c r="C12" s="45">
        <f>IFERROR(C11*'Parámetros'!$B$11,"")</f>
        <v>20737.719545454547</v>
      </c>
      <c r="D12" s="45">
        <f>IFERROR(D11*'Parámetros'!$B$11,"")</f>
        <v>0.0</v>
      </c>
      <c r="E12" s="11" t="inlineStr">
        <is>
          <t>Raciones por el ticket de verano del libro 3.</t>
        </is>
      </c>
    </row>
    <row r="13" ht="32" customHeight="1">
      <c r="A13" s="49" t="inlineStr">
        <is>
          <t>Materia de esas raciones (aceite absorbido incluido)</t>
        </is>
      </c>
      <c r="B13" s="45">
        <f>IFERROR(B11*'Parámetros'!$B$12,"")</f>
        <v>0.0</v>
      </c>
      <c r="C13" s="45">
        <f>IFERROR(C11*'Parámetros'!$B$12,"")</f>
        <v>3369.010488378524</v>
      </c>
      <c r="D13" s="45">
        <f>IFERROR(D11*'Parámetros'!$B$12,"")</f>
        <v>0.0</v>
      </c>
      <c r="E13" s="11" t="inlineStr">
        <is>
          <t>Raciones por la materia de verano del libro 3.</t>
        </is>
      </c>
    </row>
    <row r="14" ht="32" customHeight="1">
      <c r="A14" s="49" t="inlineStr">
        <is>
          <t>Personal extra del local</t>
        </is>
      </c>
      <c r="B14" s="45">
        <f>IFERROR(B10*'Parámetros'!$B$14,"")</f>
        <v>0.0</v>
      </c>
      <c r="C14" s="45">
        <f>IFERROR(C10*'Parámetros'!$B$14,"")</f>
        <v>0.0</v>
      </c>
      <c r="D14" s="45">
        <f>IFERROR(D10*'Parámetros'!$B$14,"")</f>
        <v>0.0</v>
      </c>
      <c r="E14" s="11" t="inlineStr">
        <is>
          <t>Horas extra por el coste hora del libro 3.</t>
        </is>
      </c>
    </row>
    <row r="15" ht="32" customHeight="1">
      <c r="A15" s="49" t="inlineStr">
        <is>
          <t>Lo que dejan las ferias de julio y agosto</t>
        </is>
      </c>
      <c r="B15" s="45">
        <f>IFERROR(B9*'Punto Muerto por Evento'!$B$39,"")</f>
        <v>0.0</v>
      </c>
      <c r="C15" s="45">
        <f>IFERROR(C9*'Punto Muerto por Evento'!$B$39,"")</f>
        <v>0.0</v>
      </c>
      <c r="D15" s="45">
        <f>IFERROR(D9*'Punto Muerto por Evento'!$B$39,"")</f>
        <v>2106.4537437840745</v>
      </c>
      <c r="E15" s="11" t="inlineStr">
        <is>
          <t>Ya descontadas su materia, sus tasas, el desplazamiento, el montaje y su personal.</t>
        </is>
      </c>
    </row>
    <row r="16" ht="32" customHeight="1">
      <c r="A16" s="50" t="inlineStr">
        <is>
          <t>CONTRIBUCIÓN DE JULIO Y AGOSTO</t>
        </is>
      </c>
      <c r="B16" s="47">
        <f>IFERROR(B12-B13-B14+B15,"")</f>
        <v>0.0</v>
      </c>
      <c r="C16" s="47">
        <f>IFERROR(C12-C13-C14+C15,"")</f>
        <v>17368.709057076023</v>
      </c>
      <c r="D16" s="47">
        <f>IFERROR(D12-D13-D14+D15,"")</f>
        <v>2106.4537437840745</v>
      </c>
      <c r="E16" s="11" t="inlineStr">
        <is>
          <t>Ventas menos materia menos personal extra, más lo que dejan las ferias. Cerrar deja cero: lo que pagas aun cerrado lo resta el libro 6.</t>
        </is>
      </c>
    </row>
    <row r="17" ht="32" customHeight="1">
      <c r="A17" s="50" t="inlineStr">
        <is>
          <t>¿La que más deja?</t>
        </is>
      </c>
      <c r="B17" s="25">
        <f>IF(NOT(ISNUMBER(B16)),"",IF(B16=MAX($B$16:$D$16),"La que más deja",""))</f>
        <v/>
      </c>
      <c r="C17" s="25" t="str">
        <f>IF(NOT(ISNUMBER(C16)),"",IF(C16=MAX($B$16:$D$16),"La que más deja",""))</f>
        <v>La que más deja</v>
      </c>
      <c r="D17" s="25">
        <f>IF(NOT(ISNUMBER(D16)),"",IF(D16=MAX($B$16:$D$16),"La que más deja",""))</f>
        <v/>
      </c>
    </row>
    <row r="18"/>
    <row r="19">
      <c r="A19" s="4" t="inlineStr">
        <is>
          <t>La Salida que Eliges (lo que Copia el Libro 6)</t>
        </is>
      </c>
    </row>
    <row r="20">
      <c r="A20" s="25" t="inlineStr">
        <is>
          <t>La salida que eliges</t>
        </is>
      </c>
      <c r="B20" s="5" t="inlineStr">
        <is>
          <t>Carta de verano</t>
        </is>
      </c>
      <c r="E20" s="11" t="inlineStr">
        <is>
          <t>El Molinete elige la carta de verano (decisión 9).</t>
        </is>
      </c>
    </row>
    <row r="21">
      <c r="A21" s="25" t="inlineStr">
        <is>
          <t>CONTRIBUCIÓN DE JULIO Y AGOSTO DE LA SALIDA QUE ELIGES</t>
        </is>
      </c>
      <c r="B21" s="47">
        <f>IFERROR(INDEX($B$16:$D$16,MATCH(B20,$B$7:$D$7,0)),"")</f>
        <v>17368.709057076023</v>
      </c>
      <c r="E21" s="11" t="inlineStr">
        <is>
          <t>La copia el libro 6 (bloque de la derecha, L5): la resta de dos meses de lo que pagas igual la hace él, en «Escenarios».</t>
        </is>
      </c>
    </row>
    <row r="22">
      <c r="A22" t="inlineStr">
        <is>
          <t>La salida que más deja</t>
        </is>
      </c>
      <c r="B22" t="str">
        <f>IFERROR(INDEX($B$7:$D$7,MATCH(MAX($B$16:$D$16),$B$16:$D$16,0)),"")</f>
        <v>Carta de verano</v>
      </c>
    </row>
    <row r="23" ht="30" customHeight="1">
      <c r="A23" s="25" t="inlineStr">
        <is>
          <t>¿Eliges la que más deja?</t>
        </is>
      </c>
      <c r="B23" s="20" t="str">
        <f>IF(OR(B20="",B22=""),"",IF(B20=B22,"Eliges la que más deja en julio y agosto","REVISA: hay otra salida que deja más en julio y agosto"))</f>
        <v>Eliges la que más deja en julio y agosto</v>
      </c>
    </row>
    <row r="24" ht="34" customHeight="1">
      <c r="A24" s="6" t="inlineStr">
        <is>
          <t>Raciones al día del local por debajo de las cuales la carta de verano deja menos que salir de ferias</t>
        </is>
      </c>
      <c r="B24" s="35">
        <f>IFERROR(D16/('Parámetros'!$B$11-'Parámetros'!$B$12)/'Parámetros'!$B$23,"")</f>
        <v>18.382519328627847</v>
      </c>
      <c r="C24" t="inlineStr">
        <is>
          <t>raciones/día</t>
        </is>
      </c>
      <c r="E24" s="11" t="inlineStr">
        <is>
          <t>Lo que dejan las ferias del verano entre lo que deja una ración de carta de verano, repartido entre los días de julio y agosto.</t>
        </is>
      </c>
    </row>
    <row r="25"/>
    <row r="26" ht="46" customHeight="1">
      <c r="A26" s="40" t="inlineStr">
        <is>
          <t>Por qué cerrar deja cero y no un número negativo: lo que pagas igual abras o cierres (el local, la plantilla fija, los seguros, las cuotas) es lo mismo en las tres salidas, así que no cambia cuál gana. El libro 6 enseña cada salida con todo eso restado, en su hoja «Escenarios».</t>
        </is>
      </c>
    </row>
    <row r="27"/>
    <row r="28">
      <c r="A28"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B23:D23"/>
    <mergeCell ref="A26:E26"/>
  </mergeCells>
  <conditionalFormatting sqref="B17:D17">
    <cfRule type="cellIs" priority="1" operator="equal" dxfId="0" stopIfTrue="1">
      <formula>"La que más deja"</formula>
    </cfRule>
  </conditionalFormatting>
  <conditionalFormatting sqref="B23">
    <cfRule type="cellIs" priority="2" operator="equal" dxfId="0" stopIfTrue="1">
      <formula>"Eliges la que más deja en julio y agosto"</formula>
    </cfRule>
    <cfRule type="cellIs" priority="3" operator="equal" dxfId="1" stopIfTrue="1">
      <formula>"REVISA: hay otra salida que deja más en julio y agosto"</formula>
    </cfRule>
  </conditionalFormatting>
  <dataValidations count="5">
    <dataValidation sqref="B10" showDropDown="0" showInputMessage="0" showErrorMessage="1" allowBlank="1" errorTitle="Importe no válido" error="Escribe un número mayor o igual que 0." type="decimal" operator="greaterThanOrEqual">
      <formula1>0</formula1>
    </dataValidation>
    <dataValidation sqref="C10" showDropDown="0" showInputMessage="0" showErrorMessage="1" allowBlank="1" errorTitle="Importe no válido" error="Escribe un número mayor o igual que 0." type="decimal" operator="greaterThanOrEqual">
      <formula1>0</formula1>
    </dataValidation>
    <dataValidation sqref="D10" showDropDown="0" showInputMessage="0" showErrorMessage="1" allowBlank="1" errorTitle="Importe no válido" error="Escribe un número mayor o igual que 0." type="decimal" operator="greaterThanOrEqual">
      <formula1>0</formula1>
    </dataValidation>
    <dataValidation sqref="B8 B9 C8 C9 D8 D9" showDropDown="0" showInputMessage="0" showErrorMessage="1" allowBlank="1" errorTitle="1 o 0" error="Escribe 1 (sí) o 0 (no)." type="decimal" operator="between">
      <formula1>0</formula1>
      <formula2>1</formula2>
    </dataValidation>
    <dataValidation sqref="B20" showDropDown="0" showInputMessage="0" showErrorMessage="1" allowBlank="0" errorTitle="Salida del verano" error="Elige una de las tres salidas de la fila 7." type="list">
      <formula1>=$B$7:$D$7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G52"/>
  <sheetViews>
    <sheetView workbookViewId="0">
      <pane ySplit="5" topLeftCell="A6" activePane="bottomLeft" state="frozen"/>
      <selection pane="bottomLeft" activeCell="A1" sqref="A1"/>
    </sheetView>
  </sheetViews>
  <sheetFormatPr baseColWidth="8" defaultRowHeight="15"/>
  <cols>
    <col width="54" customWidth="1" min="1" max="1"/>
    <col width="17" customWidth="1" min="2" max="2"/>
    <col width="17" customWidth="1" min="3" max="3"/>
    <col width="17" customWidth="1" min="4" max="4"/>
    <col width="17" customWidth="1" min="5" max="5"/>
    <col width="13" customWidth="1" min="6" max="6"/>
    <col width="52" customWidth="1" min="7" max="7"/>
  </cols>
  <sheetData>
    <row r="1">
      <c r="A1" s="1" t="inlineStr">
        <is>
          <t>Punto Muerto por Evento</t>
        </is>
      </c>
    </row>
    <row r="2">
      <c r="A2" s="2" t="inlineStr">
        <is>
          <t>AI Chef Pro · aichef.pro — Cómo Montar una Churrería-Chocolatería</t>
        </is>
      </c>
    </row>
    <row r="3">
      <c r="A3" s="3" t="inlineStr">
        <is>
          <t>Cada feria con sus días, su tasa y su gente: cuántas raciones necesitas para cubrirla y cuánto deja. Los cuatro eventos son EJEMPLOS para enseñar el cálculo, no un caso: pon los tuyos.</t>
        </is>
      </c>
    </row>
    <row r="4"/>
    <row r="5" ht="24" customHeight="1">
      <c r="A5" s="9" t="inlineStr">
        <is>
          <t>Concepto</t>
        </is>
      </c>
      <c r="B5" s="9" t="inlineStr">
        <is>
          <t>E1</t>
        </is>
      </c>
      <c r="C5" s="9" t="inlineStr">
        <is>
          <t>E2</t>
        </is>
      </c>
      <c r="D5" s="9" t="inlineStr">
        <is>
          <t>E3</t>
        </is>
      </c>
      <c r="E5" s="9" t="inlineStr">
        <is>
          <t>E4</t>
        </is>
      </c>
      <c r="F5" s="9" t="inlineStr">
        <is>
          <t>Unidad</t>
        </is>
      </c>
      <c r="G5" s="9" t="inlineStr">
        <is>
          <t>Nota</t>
        </is>
      </c>
    </row>
    <row r="6" ht="44" customHeight="1">
      <c r="A6" s="50" t="inlineStr">
        <is>
          <t>Evento</t>
        </is>
      </c>
      <c r="B6" s="51" t="inlineStr">
        <is>
          <t>Feria local de cinco días (tasa fija)</t>
        </is>
      </c>
      <c r="C6" s="51" t="inlineStr">
        <is>
          <t>Fiestas patronales de tres días (tasa por m² y día)</t>
        </is>
      </c>
      <c r="D6" s="51" t="inlineStr">
        <is>
          <t>Mercado navideño de quince días (tasa fija)</t>
        </is>
      </c>
      <c r="E6" s="51" t="inlineStr">
        <is>
          <t>Romería de dos días (tasa fija)</t>
        </is>
      </c>
      <c r="F6" t="inlineStr"/>
    </row>
    <row r="7" ht="30" customHeight="1">
      <c r="A7" s="49" t="inlineStr">
        <is>
          <t>Mes del evento (1 = enero ... 12 = diciembre)</t>
        </is>
      </c>
      <c r="B7" s="10" t="n">
        <v>8</v>
      </c>
      <c r="C7" s="10" t="n">
        <v>7</v>
      </c>
      <c r="D7" s="10" t="n">
        <v>12</v>
      </c>
      <c r="E7" s="10" t="n">
        <v>5</v>
      </c>
      <c r="F7" t="inlineStr">
        <is>
          <t>mes</t>
        </is>
      </c>
    </row>
    <row r="8" ht="30" customHeight="1">
      <c r="A8" s="49" t="inlineStr">
        <is>
          <t>Días que dura</t>
        </is>
      </c>
      <c r="B8" s="10" t="n">
        <v>5</v>
      </c>
      <c r="C8" s="10" t="n">
        <v>3</v>
      </c>
      <c r="D8" s="10" t="n">
        <v>15</v>
      </c>
      <c r="E8" s="10" t="n">
        <v>2</v>
      </c>
      <c r="F8" t="inlineStr">
        <is>
          <t>días</t>
        </is>
      </c>
    </row>
    <row r="9" ht="30" customHeight="1">
      <c r="A9" s="49" t="inlineStr">
        <is>
          <t>Horas abiertas al día</t>
        </is>
      </c>
      <c r="B9" s="12" t="n">
        <v>10</v>
      </c>
      <c r="C9" s="12" t="n">
        <v>12</v>
      </c>
      <c r="D9" s="12" t="n">
        <v>8</v>
      </c>
      <c r="E9" s="12" t="n">
        <v>14</v>
      </c>
      <c r="F9" t="inlineStr">
        <is>
          <t>h/día</t>
        </is>
      </c>
    </row>
    <row r="10" ht="44" customHeight="1">
      <c r="A10" s="49" t="inlineStr">
        <is>
          <t>Tasa fija por todo el evento (base imponible)</t>
        </is>
      </c>
      <c r="B10" s="14" t="n">
        <v>450</v>
      </c>
      <c r="C10" s="14" t="n">
        <v>0</v>
      </c>
      <c r="D10" s="14" t="n">
        <v>900</v>
      </c>
      <c r="E10" s="14" t="n">
        <v>250</v>
      </c>
      <c r="F10" t="inlineStr">
        <is>
          <t>EUR</t>
        </is>
      </c>
      <c r="G10" s="11" t="inlineStr">
        <is>
          <t>La de tu ayuntamiento o la de la comisión de fiestas. Unas cobran por toda la feria y otras por metro y día: rellena la que te toque y deja la otra a cero.</t>
        </is>
      </c>
    </row>
    <row r="11" ht="30" customHeight="1">
      <c r="A11" s="49" t="inlineStr">
        <is>
          <t>Tasa por m² y día</t>
        </is>
      </c>
      <c r="B11" s="14" t="n">
        <v>0</v>
      </c>
      <c r="C11" s="14" t="n">
        <v>5</v>
      </c>
      <c r="D11" s="14" t="n">
        <v>0</v>
      </c>
      <c r="E11" s="14" t="n">
        <v>0</v>
      </c>
      <c r="F11" t="inlineStr">
        <is>
          <t>EUR/m²·día</t>
        </is>
      </c>
    </row>
    <row r="12" ht="30" customHeight="1">
      <c r="A12" s="49" t="inlineStr">
        <is>
          <t>Metros cuadrados del puesto</t>
        </is>
      </c>
      <c r="B12" s="12" t="n">
        <v>12</v>
      </c>
      <c r="C12" s="12" t="n">
        <v>12</v>
      </c>
      <c r="D12" s="12" t="n">
        <v>9</v>
      </c>
      <c r="E12" s="12" t="n">
        <v>15</v>
      </c>
      <c r="F12" t="inlineStr">
        <is>
          <t>m²</t>
        </is>
      </c>
    </row>
    <row r="13" ht="30" customHeight="1">
      <c r="A13" s="49" t="inlineStr">
        <is>
          <t>Desplazamiento (ida y vuelta, carga incluida)</t>
        </is>
      </c>
      <c r="B13" s="14" t="n">
        <v>120</v>
      </c>
      <c r="C13" s="14" t="n">
        <v>60</v>
      </c>
      <c r="D13" s="14" t="n">
        <v>150</v>
      </c>
      <c r="E13" s="14" t="n">
        <v>90</v>
      </c>
      <c r="F13" t="inlineStr">
        <is>
          <t>EUR</t>
        </is>
      </c>
    </row>
    <row r="14" ht="30" customHeight="1">
      <c r="A14" s="49" t="inlineStr">
        <is>
          <t>Montaje y desmontaje del puesto</t>
        </is>
      </c>
      <c r="B14" s="14" t="n">
        <v>300</v>
      </c>
      <c r="C14" s="14" t="n">
        <v>200</v>
      </c>
      <c r="D14" s="14" t="n">
        <v>400</v>
      </c>
      <c r="E14" s="14" t="n">
        <v>250</v>
      </c>
      <c r="F14" t="inlineStr">
        <is>
          <t>EUR</t>
        </is>
      </c>
    </row>
    <row r="15" ht="30" customHeight="1">
      <c r="A15" s="49" t="inlineStr">
        <is>
          <t>Personas en el puesto a la vez</t>
        </is>
      </c>
      <c r="B15" s="10" t="n">
        <v>2</v>
      </c>
      <c r="C15" s="10" t="n">
        <v>2</v>
      </c>
      <c r="D15" s="10" t="n">
        <v>2</v>
      </c>
      <c r="E15" s="10" t="n">
        <v>3</v>
      </c>
      <c r="F15" t="inlineStr">
        <is>
          <t>personas</t>
        </is>
      </c>
    </row>
    <row r="16" ht="30" customHeight="1">
      <c r="A16" s="49" t="inlineStr">
        <is>
          <t>Horas de personal que contratas sólo para el evento</t>
        </is>
      </c>
      <c r="B16" s="12" t="n">
        <v>50</v>
      </c>
      <c r="C16" s="12" t="n">
        <v>36</v>
      </c>
      <c r="D16" s="12" t="n">
        <v>120</v>
      </c>
      <c r="E16" s="12" t="n">
        <v>56</v>
      </c>
      <c r="F16" t="inlineStr">
        <is>
          <t>h</t>
        </is>
      </c>
    </row>
    <row r="17" ht="30" customHeight="1">
      <c r="A17" s="49" t="inlineStr">
        <is>
          <t>Personas que pasan por delante del puesto en una hora</t>
        </is>
      </c>
      <c r="B17" s="10" t="n">
        <v>250</v>
      </c>
      <c r="C17" s="10" t="n">
        <v>300</v>
      </c>
      <c r="D17" s="10" t="n">
        <v>200</v>
      </c>
      <c r="E17" s="10" t="n">
        <v>400</v>
      </c>
      <c r="F17" t="inlineStr">
        <is>
          <t>personas/h</t>
        </is>
      </c>
      <c r="G17" s="11" t="inlineStr">
        <is>
          <t>Cuéntala tú: una hora, un día normal de la feria, la gente que pasa por delante del sitio que te dan.</t>
        </is>
      </c>
    </row>
    <row r="18" ht="30" customHeight="1">
      <c r="A18" s="49" t="inlineStr">
        <is>
          <t>De ellas, las que compran</t>
        </is>
      </c>
      <c r="B18" s="17" t="n">
        <v>0.06</v>
      </c>
      <c r="C18" s="17" t="n">
        <v>0.05</v>
      </c>
      <c r="D18" s="17" t="n">
        <v>0.07000000000000001</v>
      </c>
      <c r="E18" s="17" t="n">
        <v>0.05</v>
      </c>
      <c r="F18" t="inlineStr">
        <is>
          <t>%</t>
        </is>
      </c>
    </row>
    <row r="19" ht="30" customHeight="1">
      <c r="A19" s="49" t="inlineStr">
        <is>
          <t>Raciones por compra</t>
        </is>
      </c>
      <c r="B19" s="12" t="n">
        <v>1.5</v>
      </c>
      <c r="C19" s="12" t="n">
        <v>1.4</v>
      </c>
      <c r="D19" s="12" t="n">
        <v>1.3</v>
      </c>
      <c r="E19" s="12" t="n">
        <v>1.5</v>
      </c>
      <c r="F19" t="inlineStr">
        <is>
          <t>raciones</t>
        </is>
      </c>
    </row>
    <row r="20" ht="30" customHeight="1">
      <c r="A20" s="49" t="inlineStr">
        <is>
          <t>PVP medio de una ración en la feria (con IVA)</t>
        </is>
      </c>
      <c r="B20" s="14" t="n">
        <v>3</v>
      </c>
      <c r="C20" s="14" t="n">
        <v>3</v>
      </c>
      <c r="D20" s="14" t="n">
        <v>2.8</v>
      </c>
      <c r="E20" s="14" t="n">
        <v>3</v>
      </c>
      <c r="F20" t="inlineStr">
        <is>
          <t>EUR/ración</t>
        </is>
      </c>
      <c r="G20" s="11" t="inlineStr">
        <is>
          <t>Otra carta y otro precio que en la barra del local. Se teclea con IVA, como lo pones en el cartel.</t>
        </is>
      </c>
    </row>
    <row r="21" ht="30" customHeight="1">
      <c r="A21" s="50" t="inlineStr">
        <is>
          <t>¿Vas? (cuenta para el año)</t>
        </is>
      </c>
      <c r="B21" s="5" t="inlineStr">
        <is>
          <t>No</t>
        </is>
      </c>
      <c r="C21" s="5" t="inlineStr">
        <is>
          <t>No</t>
        </is>
      </c>
      <c r="D21" s="5" t="inlineStr">
        <is>
          <t>No</t>
        </is>
      </c>
      <c r="E21" s="5" t="inlineStr">
        <is>
          <t>No</t>
        </is>
      </c>
      <c r="F21" t="inlineStr"/>
      <c r="G21" s="11" t="inlineStr">
        <is>
          <t>«Sí» lo lleva al «Calendario de Ferias» y a la cuenta del año del libro 6 (salvo julio y agosto, que van en «El Verano»).</t>
        </is>
      </c>
    </row>
    <row r="22"/>
    <row r="23">
      <c r="A23" s="4" t="inlineStr">
        <is>
          <t>Lo que Sale de Cada Evento</t>
        </is>
      </c>
    </row>
    <row r="24" ht="28" customHeight="1">
      <c r="A24" s="49" t="inlineStr">
        <is>
          <t>Horas de puesto (personas x días x horas)</t>
        </is>
      </c>
      <c r="B24" s="34">
        <f>IFERROR(B15*B8*B9,"")</f>
        <v>100.0</v>
      </c>
      <c r="C24" s="34">
        <f>IFERROR(C15*C8*C9,"")</f>
        <v>72.0</v>
      </c>
      <c r="D24" s="34">
        <f>IFERROR(D15*D8*D9,"")</f>
        <v>240.0</v>
      </c>
      <c r="E24" s="34">
        <f>IFERROR(E15*E8*E9,"")</f>
        <v>84.0</v>
      </c>
      <c r="F24" t="inlineStr">
        <is>
          <t>h</t>
        </is>
      </c>
    </row>
    <row r="25" ht="28" customHeight="1">
      <c r="A25" s="49" t="inlineStr">
        <is>
          <t>Raciones que esperas vender</t>
        </is>
      </c>
      <c r="B25" s="27">
        <f>IFERROR(B17*B9*B8*B18*B19,"")</f>
        <v>1125.0</v>
      </c>
      <c r="C25" s="27">
        <f>IFERROR(C17*C9*C8*C18*C19,"")</f>
        <v>756.0</v>
      </c>
      <c r="D25" s="27">
        <f>IFERROR(D17*D9*D8*D18*D19,"")</f>
        <v>2184.0000000000005</v>
      </c>
      <c r="E25" s="27">
        <f>IFERROR(E17*E9*E8*E18*E19,"")</f>
        <v>840.0</v>
      </c>
      <c r="F25" t="inlineStr">
        <is>
          <t>raciones</t>
        </is>
      </c>
    </row>
    <row r="26" ht="28" customHeight="1">
      <c r="A26" s="49" t="inlineStr">
        <is>
          <t>Ventas sin IVA</t>
        </is>
      </c>
      <c r="B26" s="45">
        <f>IFERROR(B25*B20/(1+'Parámetros'!$B$34),"")</f>
        <v>3068.181818181818</v>
      </c>
      <c r="C26" s="45">
        <f>IFERROR(C25*C20/(1+'Parámetros'!$B$34),"")</f>
        <v>2061.8181818181815</v>
      </c>
      <c r="D26" s="45">
        <f>IFERROR(D25*D20/(1+'Parámetros'!$B$34),"")</f>
        <v>5559.272727272728</v>
      </c>
      <c r="E26" s="45">
        <f>IFERROR(E25*E20/(1+'Parámetros'!$B$34),"")</f>
        <v>2290.9090909090905</v>
      </c>
      <c r="F26" t="inlineStr">
        <is>
          <t>EUR</t>
        </is>
      </c>
    </row>
    <row r="27" ht="28" customHeight="1">
      <c r="A27" s="49" t="inlineStr">
        <is>
          <t>Materia de esas raciones (la de una ración para llevar, libro 3)</t>
        </is>
      </c>
      <c r="B27" s="45">
        <f>IFERROR(B25*'Parámetros'!$B$13,"")</f>
        <v>343.6457943519061</v>
      </c>
      <c r="C27" s="45">
        <f>IFERROR(C25*'Parámetros'!$B$13,"")</f>
        <v>230.92997380448088</v>
      </c>
      <c r="D27" s="45">
        <f>IFERROR(D25*'Parámetros'!$B$13,"")</f>
        <v>667.1310354351672</v>
      </c>
      <c r="E27" s="45">
        <f>IFERROR(E25*'Parámetros'!$B$13,"")</f>
        <v>256.5888597827566</v>
      </c>
      <c r="F27" t="inlineStr">
        <is>
          <t>EUR</t>
        </is>
      </c>
    </row>
    <row r="28" ht="28" customHeight="1">
      <c r="A28" s="49" t="inlineStr">
        <is>
          <t>Lo que deja cada ración (PVP sin IVA menos materia)</t>
        </is>
      </c>
      <c r="B28" s="52">
        <f>IFERROR(B20/(1+'Parámetros'!$B$34)-'Parámetros'!$B$13,"")</f>
        <v>2.421809798959922</v>
      </c>
      <c r="C28" s="52">
        <f>IFERROR(C20/(1+'Parámetros'!$B$34)-'Parámetros'!$B$13,"")</f>
        <v>2.421809798959922</v>
      </c>
      <c r="D28" s="52">
        <f>IFERROR(D20/(1+'Parámetros'!$B$34)-'Parámetros'!$B$13,"")</f>
        <v>2.2399916171417393</v>
      </c>
      <c r="E28" s="52">
        <f>IFERROR(E20/(1+'Parámetros'!$B$34)-'Parámetros'!$B$13,"")</f>
        <v>2.421809798959922</v>
      </c>
      <c r="F28" t="inlineStr">
        <is>
          <t>EUR/ración</t>
        </is>
      </c>
    </row>
    <row r="29" ht="28" customHeight="1">
      <c r="A29" s="49" t="inlineStr">
        <is>
          <t>Tasa total del puesto</t>
        </is>
      </c>
      <c r="B29" s="45">
        <f>IFERROR(B10+B11*B12*B8,"")</f>
        <v>450.0</v>
      </c>
      <c r="C29" s="45">
        <f>IFERROR(C10+C11*C12*C8,"")</f>
        <v>180.0</v>
      </c>
      <c r="D29" s="45">
        <f>IFERROR(D10+D11*D12*D8,"")</f>
        <v>900.0</v>
      </c>
      <c r="E29" s="45">
        <f>IFERROR(E10+E11*E12*E8,"")</f>
        <v>250.0</v>
      </c>
      <c r="F29" t="inlineStr">
        <is>
          <t>EUR</t>
        </is>
      </c>
    </row>
    <row r="30" ht="44" customHeight="1">
      <c r="A30" s="49" t="inlineStr">
        <is>
          <t>Personal contratado para el evento (al coste hora del libro 3)</t>
        </is>
      </c>
      <c r="B30" s="45">
        <f>IFERROR(B16*'Parámetros'!$B$14,"")</f>
        <v>662.1921442206615</v>
      </c>
      <c r="C30" s="45">
        <f>IFERROR(C16*'Parámetros'!$B$14,"")</f>
        <v>476.77834383887625</v>
      </c>
      <c r="D30" s="45">
        <f>IFERROR(D16*'Parámetros'!$B$14,"")</f>
        <v>1589.2611461295876</v>
      </c>
      <c r="E30" s="45">
        <f>IFERROR(E16*'Parámetros'!$B$14,"")</f>
        <v>741.6552015271409</v>
      </c>
      <c r="F30" t="inlineStr">
        <is>
          <t>EUR</t>
        </is>
      </c>
      <c r="G30" s="11" t="inlineStr">
        <is>
          <t>Sólo el personal que contratas para el evento. Si va gente de la plantilla, su coste ya está en el libro 6, pero esas horas faltan en el local.</t>
        </is>
      </c>
    </row>
    <row r="31" ht="28" customHeight="1">
      <c r="A31" s="49" t="inlineStr">
        <is>
          <t>Lo que cuesta el evento sin la materia</t>
        </is>
      </c>
      <c r="B31" s="46">
        <f>IFERROR(B29+B13+B14+B30,"")</f>
        <v>1532.1921442206615</v>
      </c>
      <c r="C31" s="46">
        <f>IFERROR(C29+C13+C14+C30,"")</f>
        <v>916.7783438388763</v>
      </c>
      <c r="D31" s="46">
        <f>IFERROR(D29+D13+D14+D30,"")</f>
        <v>3039.2611461295874</v>
      </c>
      <c r="E31" s="46">
        <f>IFERROR(E29+E13+E14+E30,"")</f>
        <v>1331.655201527141</v>
      </c>
      <c r="F31" t="inlineStr">
        <is>
          <t>EUR</t>
        </is>
      </c>
    </row>
    <row r="32" ht="34" customHeight="1">
      <c r="A32" s="50" t="inlineStr">
        <is>
          <t>RACIONES PARA CUBRIR EL EVENTO (punto muerto)</t>
        </is>
      </c>
      <c r="B32" s="23">
        <f>IFERROR(B31/B28,"")</f>
        <v>632.664111309931</v>
      </c>
      <c r="C32" s="23">
        <f>IFERROR(C31/C28,"")</f>
        <v>378.55092676253884</v>
      </c>
      <c r="D32" s="23">
        <f>IFERROR(D31/D28,"")</f>
        <v>1356.8180893496947</v>
      </c>
      <c r="E32" s="23">
        <f>IFERROR(E31/E28,"")</f>
        <v>549.85953153672</v>
      </c>
      <c r="F32" t="inlineStr">
        <is>
          <t>raciones</t>
        </is>
      </c>
      <c r="G32" s="11" t="inlineStr">
        <is>
          <t>Lo que cuesta el evento (sin la materia) entre lo que deja cada ración. Si esperas vender menos, el evento no se paga.</t>
        </is>
      </c>
    </row>
    <row r="33" ht="28" customHeight="1">
      <c r="A33" s="49" t="inlineStr">
        <is>
          <t>Raciones por hora para cubrirlo</t>
        </is>
      </c>
      <c r="B33" s="34">
        <f>IFERROR(B32/(B8*B9),"")</f>
        <v>12.65328222619862</v>
      </c>
      <c r="C33" s="34">
        <f>IFERROR(C32/(C8*C9),"")</f>
        <v>10.515303521181634</v>
      </c>
      <c r="D33" s="34">
        <f>IFERROR(D32/(D8*D9),"")</f>
        <v>11.306817411247456</v>
      </c>
      <c r="E33" s="34">
        <f>IFERROR(E32/(E8*E9),"")</f>
        <v>19.637840412025717</v>
      </c>
      <c r="F33" t="inlineStr">
        <is>
          <t>raciones/h</t>
        </is>
      </c>
    </row>
    <row r="34" ht="28" customHeight="1">
      <c r="A34" s="49" t="inlineStr">
        <is>
          <t>Margen de seguridad (lo que esperas sobre el punto muerto)</t>
        </is>
      </c>
      <c r="B34" s="19">
        <f>IFERROR(B25/B32-1,"")</f>
        <v>0.7781947480325502</v>
      </c>
      <c r="C34" s="19">
        <f>IFERROR(C25/C32-1,"")</f>
        <v>0.9970892858868396</v>
      </c>
      <c r="D34" s="19">
        <f>IFERROR(D25/D32-1,"")</f>
        <v>0.6096483509051411</v>
      </c>
      <c r="E34" s="19">
        <f>IFERROR(E25/E32-1,"")</f>
        <v>0.5276628881060037</v>
      </c>
      <c r="F34" t="inlineStr"/>
    </row>
    <row r="35" ht="28" customHeight="1">
      <c r="A35" s="50" t="inlineStr">
        <is>
          <t>LO QUE DEJA EL EVENTO</t>
        </is>
      </c>
      <c r="B35" s="47">
        <f>IFERROR(B26-B27-B31,"")</f>
        <v>1192.3438796092503</v>
      </c>
      <c r="C35" s="47">
        <f>IFERROR(C26-C27-C31,"")</f>
        <v>914.1098641748245</v>
      </c>
      <c r="D35" s="47">
        <f>IFERROR(D26-D27-D31,"")</f>
        <v>1852.8805457079734</v>
      </c>
      <c r="E35" s="47">
        <f>IFERROR(E26-E27-E31,"")</f>
        <v>702.6650295991931</v>
      </c>
      <c r="F35" t="inlineStr">
        <is>
          <t>EUR</t>
        </is>
      </c>
    </row>
    <row r="36" ht="28" customHeight="1">
      <c r="A36" s="50" t="inlineStr">
        <is>
          <t>¿Cubre el evento?</t>
        </is>
      </c>
      <c r="B36" s="25" t="str">
        <f>IF(NOT(ISNUMBER(B35)),"",IF(B35&gt;=0,"Sí","No"))</f>
        <v>Sí</v>
      </c>
      <c r="C36" s="25" t="str">
        <f>IF(NOT(ISNUMBER(C35)),"",IF(C35&gt;=0,"Sí","No"))</f>
        <v>Sí</v>
      </c>
      <c r="D36" s="25" t="str">
        <f>IF(NOT(ISNUMBER(D35)),"",IF(D35&gt;=0,"Sí","No"))</f>
        <v>Sí</v>
      </c>
      <c r="E36" s="25" t="str">
        <f>IF(NOT(ISNUMBER(E35)),"",IF(E35&gt;=0,"Sí","No"))</f>
        <v>Sí</v>
      </c>
      <c r="F36" t="inlineStr"/>
    </row>
    <row r="37" ht="30" customHeight="1">
      <c r="A37" s="50" t="inlineStr">
        <is>
          <t>Orden (1 = el que más deja)</t>
        </is>
      </c>
      <c r="B37" s="29">
        <f>IF(NOT(ISNUMBER(B35)),"",COUNTIF($B$35:$E$35,"&gt;"&amp;B35)+1)</f>
        <v>2.0</v>
      </c>
      <c r="C37" s="29">
        <f>IF(NOT(ISNUMBER(C35)),"",COUNTIF($B$35:$E$35,"&gt;"&amp;C35)+1)</f>
        <v>3.0</v>
      </c>
      <c r="D37" s="29">
        <f>IF(NOT(ISNUMBER(D35)),"",COUNTIF($B$35:$E$35,"&gt;"&amp;D35)+1)</f>
        <v>1.0</v>
      </c>
      <c r="E37" s="29">
        <f>IF(NOT(ISNUMBER(E35)),"",COUNTIF($B$35:$E$35,"&gt;"&amp;E35)+1)</f>
        <v>4.0</v>
      </c>
      <c r="F37" t="inlineStr"/>
      <c r="G37" s="11" t="inlineStr">
        <is>
          <t>Se ordena contando cuántos eventos dejan más que este (COUNTIF): si dos empatan, comparten número.</t>
        </is>
      </c>
    </row>
    <row r="38"/>
    <row r="39" ht="30" customHeight="1">
      <c r="A39" s="50" t="inlineStr">
        <is>
          <t>Lo que dejan los eventos de julio y agosto (salida «Ferias» del verano)</t>
        </is>
      </c>
      <c r="B39" s="47">
        <f>SUMIF($B$7:$E$7,'Parámetros'!$B$21,$B$35:$E$35)+SUMIF($B$7:$E$7,'Parámetros'!$B$22,$B$35:$E$35)</f>
        <v>2106.4537437840745</v>
      </c>
      <c r="G39" s="11" t="inlineStr">
        <is>
          <t>Todos los de esos dos meses, marques «Sí» o no: es la salida «Ferias» de «El Verano (Tres Salidas)».</t>
        </is>
      </c>
    </row>
    <row r="40">
      <c r="A40" t="inlineStr">
        <is>
          <t>Eventos que se cubren</t>
        </is>
      </c>
      <c r="B40" s="29">
        <f>COUNTIF(B36:E36,"Sí")</f>
        <v>4.0</v>
      </c>
    </row>
    <row r="41"/>
    <row r="42" ht="46" customHeight="1">
      <c r="A42" s="40" t="inlineStr">
        <is>
          <t>Lo legal de una feria (autorización municipal, venta ambulante, gas de la caseta y requisitos higiénicos) está en el libro 7, hoja «Ferias y Venta Ambulante». Si vas a vivir de las ferias, el Plan de Negocio Food Truck y el Kit de Tareas Food Truck de aichef.pro son el sitio.</t>
        </is>
      </c>
    </row>
    <row r="43" ht="34" customHeight="1">
      <c r="A43" s="40" t="inlineStr">
        <is>
          <t>La tasa de una feria cambia de un pueblo a otro y de un año a otro: la del «Calendario de Ferias» es el ejemplo de un pueblo pequeño, nunca un orden de magnitud. Pide la tuya por escrito.</t>
        </is>
      </c>
    </row>
    <row r="44"/>
    <row r="45"/>
    <row r="46">
      <c r="A46" s="41" t="inlineStr">
        <is>
          <t>Listas de validación (no las borres: las usan los desplegables)</t>
        </is>
      </c>
    </row>
    <row r="47">
      <c r="A47" s="25" t="inlineStr">
        <is>
          <t>Sí o no</t>
        </is>
      </c>
    </row>
    <row r="48">
      <c r="A48" t="inlineStr">
        <is>
          <t>Sí</t>
        </is>
      </c>
    </row>
    <row r="49">
      <c r="A49" t="inlineStr">
        <is>
          <t>No</t>
        </is>
      </c>
    </row>
    <row r="50"/>
    <row r="51"/>
    <row r="52">
      <c r="A5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43:G43"/>
    <mergeCell ref="A42:G42"/>
  </mergeCells>
  <conditionalFormatting sqref="B36:E36">
    <cfRule type="cellIs" priority="1" operator="equal" dxfId="0" stopIfTrue="1">
      <formula>"Sí"</formula>
    </cfRule>
    <cfRule type="cellIs" priority="2" operator="equal" dxfId="1" stopIfTrue="1">
      <formula>"No"</formula>
    </cfRule>
  </conditionalFormatting>
  <dataValidations count="4">
    <dataValidation sqref="B8 B9 B10 B11 B12 B13 B14 B15 B16 B17 B19 B20 C8 C9 C10 C11 C12 C13 C14 C15 C16 C17 C19 C20 D8 D9 D10 D11 D12 D13 D14 D15 D16 D17 D19 D20 E8 E9 E10 E11 E12 E13 E14 E15 E16 E17 E19 E20" showDropDown="0" showInputMessage="0" showErrorMessage="1" allowBlank="1" errorTitle="Importe no válido" error="Escribe un número mayor o igual que 0." type="decimal" operator="greaterThanOrEqual">
      <formula1>0</formula1>
    </dataValidation>
    <dataValidation sqref="B18 C18 D18 E1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 C7 D7 E7" showDropDown="0" showInputMessage="0" showErrorMessage="1" allowBlank="1" errorTitle="Mes no válido" error="Escribe el número del mes, de 1 (enero) a 12 (diciembre)." type="decimal" operator="between">
      <formula1>1</formula1>
      <formula2>12</formula2>
    </dataValidation>
    <dataValidation sqref="B21 C21 D21 E21" showDropDown="0" showInputMessage="0" showErrorMessage="1" allowBlank="0" errorTitle="¿Vas?" error="Elige «Sí» o «No»." type="list">
      <formula1>=$A$48:$A$49</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M28"/>
  <sheetViews>
    <sheetView workbookViewId="0">
      <pane ySplit="6" topLeftCell="A7" activePane="bottomLeft" state="frozen"/>
      <selection pane="bottomLeft" activeCell="A1" sqref="A1"/>
    </sheetView>
  </sheetViews>
  <sheetFormatPr baseColWidth="8" defaultRowHeight="15"/>
  <cols>
    <col width="9" customWidth="1" min="1" max="1"/>
    <col width="14" customWidth="1" min="2" max="2"/>
    <col width="13" customWidth="1" min="3" max="3"/>
    <col width="13" customWidth="1" min="4" max="4"/>
    <col width="16" customWidth="1" min="5" max="5"/>
    <col width="12" customWidth="1" min="6" max="6"/>
    <col width="17" customWidth="1" min="7" max="7"/>
    <col width="34" customWidth="1" min="8" max="8"/>
    <col width="40" customWidth="1" min="11" max="11"/>
    <col width="14" customWidth="1" min="12" max="12"/>
    <col width="44" customWidth="1" min="13" max="13"/>
  </cols>
  <sheetData>
    <row r="1">
      <c r="A1" s="1" t="inlineStr">
        <is>
          <t>Calendario de Ferias</t>
        </is>
      </c>
    </row>
    <row r="2">
      <c r="A2" s="2" t="inlineStr">
        <is>
          <t>AI Chef Pro · aichef.pro — Cómo Montar una Churrería-Chocolatería</t>
        </is>
      </c>
    </row>
    <row r="3">
      <c r="A3" s="3" t="inlineStr">
        <is>
          <t>Las ferias a las que vas (las marcadas con «Sí»), mes a mes, frente a la temporada del local. Lo que dejan fuera de julio y agosto es la línea de ferias del libro 6.</t>
        </is>
      </c>
    </row>
    <row r="4">
      <c r="K4" s="4" t="inlineStr">
        <is>
          <t>Lo que Copian Otros Libros (No Muevas Estas Celdas)</t>
        </is>
      </c>
    </row>
    <row r="5" ht="28" customHeight="1">
      <c r="K5" s="18" t="inlineStr">
        <is>
          <t>Lo que dejan las ferias del año fuera de julio y agosto</t>
        </is>
      </c>
      <c r="L5" s="47">
        <f>G19</f>
        <v>0.0</v>
      </c>
      <c r="M5" s="11" t="inlineStr">
        <is>
          <t>Lo copia: libro 6 (plan-financiero-3-anos-churreria.xlsx, hoja 0. Supuestos, X14)</t>
        </is>
      </c>
    </row>
    <row r="6" ht="58" customHeight="1">
      <c r="A6" s="9" t="inlineStr">
        <is>
          <t>Nº de mes</t>
        </is>
      </c>
      <c r="B6" s="9" t="inlineStr">
        <is>
          <t>Mes</t>
        </is>
      </c>
      <c r="C6" s="9" t="inlineStr">
        <is>
          <t>Coeficiente del local</t>
        </is>
      </c>
      <c r="D6" s="9" t="inlineStr">
        <is>
          <t>Eventos a los que vas</t>
        </is>
      </c>
      <c r="E6" s="9" t="inlineStr">
        <is>
          <t>Lo que dejan (EUR)</t>
        </is>
      </c>
      <c r="F6" s="9" t="inlineStr">
        <is>
          <t>¿Mes de verano?</t>
        </is>
      </c>
      <c r="G6" s="9" t="inlineStr">
        <is>
          <t>Cuenta para el libro 6 (EUR)</t>
        </is>
      </c>
      <c r="H6" s="9" t="inlineStr">
        <is>
          <t>¿Choca con la temporada alta del local?</t>
        </is>
      </c>
    </row>
    <row r="7">
      <c r="A7" t="n">
        <v>1</v>
      </c>
      <c r="B7" t="inlineStr">
        <is>
          <t>Enero</t>
        </is>
      </c>
      <c r="C7" s="31">
        <f>'Peso sobre el Año'!$B$18</f>
        <v>1.25</v>
      </c>
      <c r="D7" s="27">
        <f>COUNTIFS('Punto Muerto por Evento'!$B$7:$E$7,A7,'Punto Muerto por Evento'!$B$21:$E$21,"Sí")</f>
        <v>0.0</v>
      </c>
      <c r="E7" s="45">
        <f>SUMIFS('Punto Muerto por Evento'!$B$35:$E$35,'Punto Muerto por Evento'!$B$7:$E$7,A7,'Punto Muerto por Evento'!$B$21:$E$21,"Sí")</f>
        <v>0.0</v>
      </c>
      <c r="F7" t="str">
        <f>IF(OR(A7='Parámetros'!$B$21,A7='Parámetros'!$B$22),"Sí","No")</f>
        <v>No</v>
      </c>
      <c r="G7" s="45">
        <f>IF(F7="Sí","",E7)</f>
        <v>0.0</v>
      </c>
      <c r="H7">
        <f>IF(NOT(ISNUMBER(D7)),"",IF(D7=0,"",IF(C7&gt;='Parámetros'!$B$32,"Sí: el local también va a tope","No")))</f>
        <v/>
      </c>
    </row>
    <row r="8">
      <c r="A8" t="n">
        <v>2</v>
      </c>
      <c r="B8" t="inlineStr">
        <is>
          <t>Febrero</t>
        </is>
      </c>
      <c r="C8" s="31">
        <f>'Peso sobre el Año'!$B$19</f>
        <v>1.15</v>
      </c>
      <c r="D8" s="27">
        <f>COUNTIFS('Punto Muerto por Evento'!$B$7:$E$7,A8,'Punto Muerto por Evento'!$B$21:$E$21,"Sí")</f>
        <v>0.0</v>
      </c>
      <c r="E8" s="45">
        <f>SUMIFS('Punto Muerto por Evento'!$B$35:$E$35,'Punto Muerto por Evento'!$B$7:$E$7,A8,'Punto Muerto por Evento'!$B$21:$E$21,"Sí")</f>
        <v>0.0</v>
      </c>
      <c r="F8" t="str">
        <f>IF(OR(A8='Parámetros'!$B$21,A8='Parámetros'!$B$22),"Sí","No")</f>
        <v>No</v>
      </c>
      <c r="G8" s="45">
        <f>IF(F8="Sí","",E8)</f>
        <v>0.0</v>
      </c>
      <c r="H8">
        <f>IF(NOT(ISNUMBER(D8)),"",IF(D8=0,"",IF(C8&gt;='Parámetros'!$B$32,"Sí: el local también va a tope","No")))</f>
        <v/>
      </c>
    </row>
    <row r="9">
      <c r="A9" t="n">
        <v>3</v>
      </c>
      <c r="B9" t="inlineStr">
        <is>
          <t>Marzo</t>
        </is>
      </c>
      <c r="C9" s="31">
        <f>'Peso sobre el Año'!$B$20</f>
        <v>1.1</v>
      </c>
      <c r="D9" s="27">
        <f>COUNTIFS('Punto Muerto por Evento'!$B$7:$E$7,A9,'Punto Muerto por Evento'!$B$21:$E$21,"Sí")</f>
        <v>0.0</v>
      </c>
      <c r="E9" s="45">
        <f>SUMIFS('Punto Muerto por Evento'!$B$35:$E$35,'Punto Muerto por Evento'!$B$7:$E$7,A9,'Punto Muerto por Evento'!$B$21:$E$21,"Sí")</f>
        <v>0.0</v>
      </c>
      <c r="F9" t="str">
        <f>IF(OR(A9='Parámetros'!$B$21,A9='Parámetros'!$B$22),"Sí","No")</f>
        <v>No</v>
      </c>
      <c r="G9" s="45">
        <f>IF(F9="Sí","",E9)</f>
        <v>0.0</v>
      </c>
      <c r="H9">
        <f>IF(NOT(ISNUMBER(D9)),"",IF(D9=0,"",IF(C9&gt;='Parámetros'!$B$32,"Sí: el local también va a tope","No")))</f>
        <v/>
      </c>
    </row>
    <row r="10">
      <c r="A10" t="n">
        <v>4</v>
      </c>
      <c r="B10" t="inlineStr">
        <is>
          <t>Abril</t>
        </is>
      </c>
      <c r="C10" s="31">
        <f>'Peso sobre el Año'!$B$21</f>
        <v>0.95</v>
      </c>
      <c r="D10" s="27">
        <f>COUNTIFS('Punto Muerto por Evento'!$B$7:$E$7,A10,'Punto Muerto por Evento'!$B$21:$E$21,"Sí")</f>
        <v>0.0</v>
      </c>
      <c r="E10" s="45">
        <f>SUMIFS('Punto Muerto por Evento'!$B$35:$E$35,'Punto Muerto por Evento'!$B$7:$E$7,A10,'Punto Muerto por Evento'!$B$21:$E$21,"Sí")</f>
        <v>0.0</v>
      </c>
      <c r="F10" t="str">
        <f>IF(OR(A10='Parámetros'!$B$21,A10='Parámetros'!$B$22),"Sí","No")</f>
        <v>No</v>
      </c>
      <c r="G10" s="45">
        <f>IF(F10="Sí","",E10)</f>
        <v>0.0</v>
      </c>
      <c r="H10">
        <f>IF(NOT(ISNUMBER(D10)),"",IF(D10=0,"",IF(C10&gt;='Parámetros'!$B$32,"Sí: el local también va a tope","No")))</f>
        <v/>
      </c>
    </row>
    <row r="11">
      <c r="A11" t="n">
        <v>5</v>
      </c>
      <c r="B11" t="inlineStr">
        <is>
          <t>Mayo</t>
        </is>
      </c>
      <c r="C11" s="31">
        <f>'Peso sobre el Año'!$B$22</f>
        <v>0.85</v>
      </c>
      <c r="D11" s="27">
        <f>COUNTIFS('Punto Muerto por Evento'!$B$7:$E$7,A11,'Punto Muerto por Evento'!$B$21:$E$21,"Sí")</f>
        <v>0.0</v>
      </c>
      <c r="E11" s="45">
        <f>SUMIFS('Punto Muerto por Evento'!$B$35:$E$35,'Punto Muerto por Evento'!$B$7:$E$7,A11,'Punto Muerto por Evento'!$B$21:$E$21,"Sí")</f>
        <v>0.0</v>
      </c>
      <c r="F11" t="str">
        <f>IF(OR(A11='Parámetros'!$B$21,A11='Parámetros'!$B$22),"Sí","No")</f>
        <v>No</v>
      </c>
      <c r="G11" s="45">
        <f>IF(F11="Sí","",E11)</f>
        <v>0.0</v>
      </c>
      <c r="H11">
        <f>IF(NOT(ISNUMBER(D11)),"",IF(D11=0,"",IF(C11&gt;='Parámetros'!$B$32,"Sí: el local también va a tope","No")))</f>
        <v/>
      </c>
    </row>
    <row r="12">
      <c r="A12" t="n">
        <v>6</v>
      </c>
      <c r="B12" t="inlineStr">
        <is>
          <t>Junio</t>
        </is>
      </c>
      <c r="C12" s="31">
        <f>'Peso sobre el Año'!$B$23</f>
        <v>0.7</v>
      </c>
      <c r="D12" s="27">
        <f>COUNTIFS('Punto Muerto por Evento'!$B$7:$E$7,A12,'Punto Muerto por Evento'!$B$21:$E$21,"Sí")</f>
        <v>0.0</v>
      </c>
      <c r="E12" s="45">
        <f>SUMIFS('Punto Muerto por Evento'!$B$35:$E$35,'Punto Muerto por Evento'!$B$7:$E$7,A12,'Punto Muerto por Evento'!$B$21:$E$21,"Sí")</f>
        <v>0.0</v>
      </c>
      <c r="F12" t="str">
        <f>IF(OR(A12='Parámetros'!$B$21,A12='Parámetros'!$B$22),"Sí","No")</f>
        <v>No</v>
      </c>
      <c r="G12" s="45">
        <f>IF(F12="Sí","",E12)</f>
        <v>0.0</v>
      </c>
      <c r="H12">
        <f>IF(NOT(ISNUMBER(D12)),"",IF(D12=0,"",IF(C12&gt;='Parámetros'!$B$32,"Sí: el local también va a tope","No")))</f>
        <v/>
      </c>
    </row>
    <row r="13">
      <c r="A13" t="n">
        <v>7</v>
      </c>
      <c r="B13" t="inlineStr">
        <is>
          <t>Julio</t>
        </is>
      </c>
      <c r="C13" s="31">
        <f>'Peso sobre el Año'!$B$24</f>
        <v>0.55</v>
      </c>
      <c r="D13" s="27">
        <f>COUNTIFS('Punto Muerto por Evento'!$B$7:$E$7,A13,'Punto Muerto por Evento'!$B$21:$E$21,"Sí")</f>
        <v>0.0</v>
      </c>
      <c r="E13" s="45">
        <f>SUMIFS('Punto Muerto por Evento'!$B$35:$E$35,'Punto Muerto por Evento'!$B$7:$E$7,A13,'Punto Muerto por Evento'!$B$21:$E$21,"Sí")</f>
        <v>0.0</v>
      </c>
      <c r="F13" t="str">
        <f>IF(OR(A13='Parámetros'!$B$21,A13='Parámetros'!$B$22),"Sí","No")</f>
        <v>Sí</v>
      </c>
      <c r="G13" s="45">
        <f>IF(F13="Sí","",E13)</f>
        <v/>
      </c>
      <c r="H13">
        <f>IF(NOT(ISNUMBER(D13)),"",IF(D13=0,"",IF(C13&gt;='Parámetros'!$B$32,"Sí: el local también va a tope","No")))</f>
        <v/>
      </c>
    </row>
    <row r="14">
      <c r="A14" t="n">
        <v>8</v>
      </c>
      <c r="B14" t="inlineStr">
        <is>
          <t>Agosto</t>
        </is>
      </c>
      <c r="C14" s="31">
        <f>'Peso sobre el Año'!$B$25</f>
        <v>0.5</v>
      </c>
      <c r="D14" s="27">
        <f>COUNTIFS('Punto Muerto por Evento'!$B$7:$E$7,A14,'Punto Muerto por Evento'!$B$21:$E$21,"Sí")</f>
        <v>0.0</v>
      </c>
      <c r="E14" s="45">
        <f>SUMIFS('Punto Muerto por Evento'!$B$35:$E$35,'Punto Muerto por Evento'!$B$7:$E$7,A14,'Punto Muerto por Evento'!$B$21:$E$21,"Sí")</f>
        <v>0.0</v>
      </c>
      <c r="F14" t="str">
        <f>IF(OR(A14='Parámetros'!$B$21,A14='Parámetros'!$B$22),"Sí","No")</f>
        <v>Sí</v>
      </c>
      <c r="G14" s="45">
        <f>IF(F14="Sí","",E14)</f>
        <v/>
      </c>
      <c r="H14">
        <f>IF(NOT(ISNUMBER(D14)),"",IF(D14=0,"",IF(C14&gt;='Parámetros'!$B$32,"Sí: el local también va a tope","No")))</f>
        <v/>
      </c>
    </row>
    <row r="15">
      <c r="A15" t="n">
        <v>9</v>
      </c>
      <c r="B15" t="inlineStr">
        <is>
          <t>Septiembre</t>
        </is>
      </c>
      <c r="C15" s="31">
        <f>'Peso sobre el Año'!$B$26</f>
        <v>0.8</v>
      </c>
      <c r="D15" s="27">
        <f>COUNTIFS('Punto Muerto por Evento'!$B$7:$E$7,A15,'Punto Muerto por Evento'!$B$21:$E$21,"Sí")</f>
        <v>0.0</v>
      </c>
      <c r="E15" s="45">
        <f>SUMIFS('Punto Muerto por Evento'!$B$35:$E$35,'Punto Muerto por Evento'!$B$7:$E$7,A15,'Punto Muerto por Evento'!$B$21:$E$21,"Sí")</f>
        <v>0.0</v>
      </c>
      <c r="F15" t="str">
        <f>IF(OR(A15='Parámetros'!$B$21,A15='Parámetros'!$B$22),"Sí","No")</f>
        <v>No</v>
      </c>
      <c r="G15" s="45">
        <f>IF(F15="Sí","",E15)</f>
        <v>0.0</v>
      </c>
      <c r="H15">
        <f>IF(NOT(ISNUMBER(D15)),"",IF(D15=0,"",IF(C15&gt;='Parámetros'!$B$32,"Sí: el local también va a tope","No")))</f>
        <v/>
      </c>
    </row>
    <row r="16">
      <c r="A16" t="n">
        <v>10</v>
      </c>
      <c r="B16" t="inlineStr">
        <is>
          <t>Octubre</t>
        </is>
      </c>
      <c r="C16" s="31">
        <f>'Peso sobre el Año'!$B$27</f>
        <v>1.1</v>
      </c>
      <c r="D16" s="27">
        <f>COUNTIFS('Punto Muerto por Evento'!$B$7:$E$7,A16,'Punto Muerto por Evento'!$B$21:$E$21,"Sí")</f>
        <v>0.0</v>
      </c>
      <c r="E16" s="45">
        <f>SUMIFS('Punto Muerto por Evento'!$B$35:$E$35,'Punto Muerto por Evento'!$B$7:$E$7,A16,'Punto Muerto por Evento'!$B$21:$E$21,"Sí")</f>
        <v>0.0</v>
      </c>
      <c r="F16" t="str">
        <f>IF(OR(A16='Parámetros'!$B$21,A16='Parámetros'!$B$22),"Sí","No")</f>
        <v>No</v>
      </c>
      <c r="G16" s="45">
        <f>IF(F16="Sí","",E16)</f>
        <v>0.0</v>
      </c>
      <c r="H16">
        <f>IF(NOT(ISNUMBER(D16)),"",IF(D16=0,"",IF(C16&gt;='Parámetros'!$B$32,"Sí: el local también va a tope","No")))</f>
        <v/>
      </c>
    </row>
    <row r="17">
      <c r="A17" t="n">
        <v>11</v>
      </c>
      <c r="B17" t="inlineStr">
        <is>
          <t>Noviembre</t>
        </is>
      </c>
      <c r="C17" s="31">
        <f>'Peso sobre el Año'!$B$28</f>
        <v>1.3</v>
      </c>
      <c r="D17" s="27">
        <f>COUNTIFS('Punto Muerto por Evento'!$B$7:$E$7,A17,'Punto Muerto por Evento'!$B$21:$E$21,"Sí")</f>
        <v>0.0</v>
      </c>
      <c r="E17" s="45">
        <f>SUMIFS('Punto Muerto por Evento'!$B$35:$E$35,'Punto Muerto por Evento'!$B$7:$E$7,A17,'Punto Muerto por Evento'!$B$21:$E$21,"Sí")</f>
        <v>0.0</v>
      </c>
      <c r="F17" t="str">
        <f>IF(OR(A17='Parámetros'!$B$21,A17='Parámetros'!$B$22),"Sí","No")</f>
        <v>No</v>
      </c>
      <c r="G17" s="45">
        <f>IF(F17="Sí","",E17)</f>
        <v>0.0</v>
      </c>
      <c r="H17">
        <f>IF(NOT(ISNUMBER(D17)),"",IF(D17=0,"",IF(C17&gt;='Parámetros'!$B$32,"Sí: el local también va a tope","No")))</f>
        <v/>
      </c>
    </row>
    <row r="18">
      <c r="A18" t="n">
        <v>12</v>
      </c>
      <c r="B18" t="inlineStr">
        <is>
          <t>Diciembre</t>
        </is>
      </c>
      <c r="C18" s="31">
        <f>'Peso sobre el Año'!$B$29</f>
        <v>1.75</v>
      </c>
      <c r="D18" s="27">
        <f>COUNTIFS('Punto Muerto por Evento'!$B$7:$E$7,A18,'Punto Muerto por Evento'!$B$21:$E$21,"Sí")</f>
        <v>0.0</v>
      </c>
      <c r="E18" s="45">
        <f>SUMIFS('Punto Muerto por Evento'!$B$35:$E$35,'Punto Muerto por Evento'!$B$7:$E$7,A18,'Punto Muerto por Evento'!$B$21:$E$21,"Sí")</f>
        <v>0.0</v>
      </c>
      <c r="F18" t="str">
        <f>IF(OR(A18='Parámetros'!$B$21,A18='Parámetros'!$B$22),"Sí","No")</f>
        <v>No</v>
      </c>
      <c r="G18" s="45">
        <f>IF(F18="Sí","",E18)</f>
        <v>0.0</v>
      </c>
      <c r="H18">
        <f>IF(NOT(ISNUMBER(D18)),"",IF(D18=0,"",IF(C18&gt;='Parámetros'!$B$32,"Sí: el local también va a tope","No")))</f>
        <v/>
      </c>
    </row>
    <row r="19">
      <c r="B19" s="25" t="inlineStr">
        <is>
          <t>TOTAL</t>
        </is>
      </c>
      <c r="D19" s="29">
        <f>SUM(D7:D18)</f>
        <v>0.0</v>
      </c>
      <c r="E19" s="46">
        <f>SUM(E7:E18)</f>
        <v>0.0</v>
      </c>
      <c r="G19" s="47">
        <f>SUM(G7:G18)</f>
        <v>0.0</v>
      </c>
    </row>
    <row r="20"/>
    <row r="21">
      <c r="A21" s="4" t="inlineStr">
        <is>
          <t>Dos Referencias Reales, para Leer el Orden de las Cosas</t>
        </is>
      </c>
    </row>
    <row r="22" ht="34" customHeight="1">
      <c r="A22" s="7" t="inlineStr">
        <is>
          <t>Fallas de Valencia 2026: 146 puestos de churros autorizados, abiertos 17 días (del 2 al 19 de marzo).</t>
        </is>
      </c>
    </row>
    <row r="23" ht="34" customHeight="1">
      <c r="A23" s="7" t="inlineStr">
        <is>
          <t>Ochavillo del Río (Córdoba): tasa por toda la feria para churrerías con terraza; ejemplo de un pueblo pequeño, nunca un orden de magnitud.</t>
        </is>
      </c>
    </row>
    <row r="24"/>
    <row r="25" ht="46" customHeight="1">
      <c r="A25" s="40" t="inlineStr">
        <is>
          <t>Por qué julio y agosto no cuentan aquí para el libro 6: esos dos meses se valoran en «El Verano (Tres Salidas)», y si eliges salir de ferias su contribución viaja al libro 6 por otra celda. Contarlas también aquí las sumaría dos veces.</t>
        </is>
      </c>
    </row>
    <row r="26" ht="34" customHeight="1">
      <c r="A26" s="40" t="inlineStr">
        <is>
          <t>Una feria que cae en temporada alta saca a gente del local justo cuando más vende: la columna H lo avisa. El Molinete no va a ninguna.</t>
        </is>
      </c>
    </row>
    <row r="27"/>
    <row r="28">
      <c r="A28"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4">
    <mergeCell ref="A23:H23"/>
    <mergeCell ref="A25:H25"/>
    <mergeCell ref="A26:H26"/>
    <mergeCell ref="A22:H22"/>
  </mergeCells>
  <conditionalFormatting sqref="H7:H18">
    <cfRule type="cellIs" priority="1" operator="equal" dxfId="2" stopIfTrue="1">
      <formula>"Sí: el local también va a tope"</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Temporada, Franjas y Ferias</dc:title>
  <dc:subject xmlns:dc="http://purl.org/dc/elements/1.1/">Cómo Montar una Churrería-Chocolatería · Versión 1.0 · octubre 2026</dc:subject>
  <dcterms:created xmlns:dcterms="http://purl.org/dc/terms/" xmlns:xsi="http://www.w3.org/2001/XMLSchema-instance" xsi:type="dcterms:W3CDTF">2026-10-03T09:56:53Z</dcterms:created>
  <dcterms:modified xmlns:dcterms="http://purl.org/dc/terms/" xmlns:xsi="http://www.w3.org/2001/XMLSchema-instance" xsi:type="dcterms:W3CDTF">2026-10-03T09:56:53Z</dcterms:modified>
  <cp:lastModifiedBy>AI Chef Pro</cp:lastModifiedBy>
</cp:coreProperties>
</file>