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Checklist Legal (F1-F6)" sheetId="2" state="visible" r:id="rId2"/>
    <sheet xmlns:r="http://schemas.openxmlformats.org/officeDocument/2006/relationships" name="Árbol IAE y CNAE por Formato" sheetId="3" state="visible" r:id="rId3"/>
    <sheet xmlns:r="http://schemas.openxmlformats.org/officeDocument/2006/relationships" name="Régimen de Apertura y Horario" sheetId="4" state="visible" r:id="rId4"/>
    <sheet xmlns:r="http://schemas.openxmlformats.org/officeDocument/2006/relationships" name="Licencia, Humos y Gas" sheetId="5" state="visible" r:id="rId5"/>
    <sheet xmlns:r="http://schemas.openxmlformats.org/officeDocument/2006/relationships" name="Árbol de Registro Sanitario" sheetId="6" state="visible" r:id="rId6"/>
    <sheet xmlns:r="http://schemas.openxmlformats.org/officeDocument/2006/relationships" name="Ferias y Venta Ambulante" sheetId="7" state="visible" r:id="rId7"/>
    <sheet xmlns:r="http://schemas.openxmlformats.org/officeDocument/2006/relationships" name="Alérgenos y Aceite Compartido" sheetId="8" state="visible" r:id="rId8"/>
    <sheet xmlns:r="http://schemas.openxmlformats.org/officeDocument/2006/relationships" name="PRL de la Fritura" sheetId="9" state="visible" r:id="rId9"/>
    <sheet xmlns:r="http://schemas.openxmlformats.org/officeDocument/2006/relationships" name="Registro de Formación" sheetId="10" state="visible" r:id="rId10"/>
    <sheet xmlns:r="http://schemas.openxmlformats.org/officeDocument/2006/relationships" name="Cronograma y Ruta Crítica" sheetId="11" state="visible" r:id="rId11"/>
  </sheets>
  <definedNames>
    <definedName name="_xlnm.Print_Area" localSheetId="0">'Instrucciones'!$A$1:$C$55</definedName>
    <definedName name="_xlnm.Print_Titles" localSheetId="1">'Checklist Legal (F1-F6)'!$5:$5</definedName>
    <definedName name="_xlnm.Print_Area" localSheetId="1">'Checklist Legal (F1-F6)'!$A$1:$M$96</definedName>
    <definedName name="_xlnm.Print_Area" localSheetId="2">'Árbol IAE y CNAE por Formato'!$A$1:$E$40</definedName>
    <definedName name="_xlnm.Print_Area" localSheetId="3">'Régimen de Apertura y Horario'!$A$1:$E$38</definedName>
    <definedName name="_xlnm.Print_Area" localSheetId="4">'Licencia, Humos y Gas'!$A$1:$E$45</definedName>
    <definedName name="_xlnm.Print_Area" localSheetId="5">'Árbol de Registro Sanitario'!$A$1:$C$30</definedName>
    <definedName name="_xlnm.Print_Area" localSheetId="6">'Ferias y Venta Ambulante'!$A$1:$E$39</definedName>
    <definedName name="_xlnm.Print_Area" localSheetId="7">'Alérgenos y Aceite Compartido'!$A$1:$G$54</definedName>
    <definedName name="_xlnm.Print_Titles" localSheetId="8">'PRL de la Fritura'!$8:$8</definedName>
    <definedName name="_xlnm.Print_Area" localSheetId="8">'PRL de la Fritura'!$A$1:$K$35</definedName>
    <definedName name="_xlnm.Print_Titles" localSheetId="9">'Registro de Formación'!$6:$6</definedName>
    <definedName name="_xlnm.Print_Area" localSheetId="9">'Registro de Formación'!$A$1:$I$32</definedName>
    <definedName name="_xlnm.Print_Titles" localSheetId="10">'Cronograma y Ruta Crítica'!$13:$13</definedName>
    <definedName name="_xlnm.Print_Area" localSheetId="10">'Cronograma y Ruta Crítica'!$A$1:$R$79</definedName>
  </definedNames>
  <calcPr calcId="124519" fullCalcOnLoad="1"/>
</workbook>
</file>

<file path=xl/styles.xml><?xml version="1.0" encoding="utf-8"?>
<styleSheet xmlns="http://schemas.openxmlformats.org/spreadsheetml/2006/main">
  <numFmts count="8">
    <numFmt numFmtId="164" formatCode="yyyy-mm-dd"/>
    <numFmt numFmtId="165" formatCode="dd/mm/yyyy"/>
    <numFmt numFmtId="166" formatCode="#,##0.00 €"/>
    <numFmt numFmtId="167" formatCode="0.0%"/>
    <numFmt numFmtId="168" formatCode="hh:mm"/>
    <numFmt numFmtId="169" formatCode="0.0"/>
    <numFmt numFmtId="170" formatCode="#,##0.0"/>
    <numFmt numFmtId="171" formatCode="#,##0.0;;;"/>
  </numFmts>
  <fonts count="9">
    <font>
      <name val="Calibri"/>
      <family val="2"/>
      <color theme="1"/>
      <sz val="11"/>
      <scheme val="minor"/>
    </font>
    <font>
      <b val="1"/>
      <color rgb="00FFD700"/>
      <sz val="16"/>
    </font>
    <font>
      <sz val="9"/>
    </font>
    <font>
      <i val="1"/>
      <sz val="9"/>
    </font>
    <font>
      <b val="1"/>
      <color theme="1"/>
      <sz val="11"/>
    </font>
    <font>
      <b val="1"/>
      <sz val="12"/>
    </font>
    <font>
      <b val="1"/>
      <color rgb="00FFFFFF"/>
      <sz val="10"/>
    </font>
    <font>
      <color theme="1"/>
      <sz val="11"/>
    </font>
    <font>
      <b val="1"/>
      <sz val="11"/>
    </font>
  </fonts>
  <fills count="5">
    <fill>
      <patternFill/>
    </fill>
    <fill>
      <patternFill patternType="gray125"/>
    </fill>
    <fill>
      <patternFill patternType="solid">
        <fgColor rgb="00E8F5E9"/>
      </patternFill>
    </fill>
    <fill>
      <patternFill patternType="solid">
        <fgColor rgb="002D2D2D"/>
      </patternFill>
    </fill>
    <fill>
      <patternFill patternType="solid">
        <fgColor rgb="00FFF6DC"/>
      </patternFill>
    </fill>
  </fills>
  <borders count="1">
    <border>
      <left/>
      <right/>
      <top/>
      <bottom/>
      <diagonal/>
    </border>
  </borders>
  <cellStyleXfs count="1">
    <xf numFmtId="0" fontId="0" fillId="0" borderId="0"/>
  </cellStyleXfs>
  <cellXfs count="5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Protection="1" pivotButton="0" quotePrefix="0" xfId="0">
      <protection locked="0" hidden="0"/>
    </xf>
    <xf numFmtId="0" fontId="5" fillId="0" borderId="0" pivotButton="0" quotePrefix="0" xfId="0"/>
    <xf numFmtId="0" fontId="3" fillId="0" borderId="0" applyAlignment="1" pivotButton="0" quotePrefix="0" xfId="0">
      <alignment horizontal="general" vertical="top" wrapText="1"/>
    </xf>
    <xf numFmtId="0" fontId="6" fillId="3" borderId="0" applyAlignment="1" pivotButton="0" quotePrefix="0" xfId="0">
      <alignment horizontal="center" vertical="center" wrapText="1"/>
    </xf>
    <xf numFmtId="3" fontId="0" fillId="0" borderId="0" applyAlignment="1" pivotButton="0" quotePrefix="0" xfId="0">
      <alignment horizontal="center" vertical="top"/>
    </xf>
    <xf numFmtId="0" fontId="0" fillId="0" borderId="0" applyAlignment="1" pivotButton="0" quotePrefix="0" xfId="0">
      <alignment horizontal="center" vertical="top"/>
    </xf>
    <xf numFmtId="0" fontId="7" fillId="0" borderId="0" pivotButton="0" quotePrefix="0" xfId="0"/>
    <xf numFmtId="0" fontId="4" fillId="0" borderId="0" pivotButton="0" quotePrefix="0" xfId="0"/>
    <xf numFmtId="0" fontId="4" fillId="0" borderId="0" applyAlignment="1" pivotButton="0" quotePrefix="0" xfId="0">
      <alignment horizontal="general" vertical="top" wrapText="1"/>
    </xf>
    <xf numFmtId="0" fontId="0" fillId="0" borderId="0" applyAlignment="1" pivotButton="0" quotePrefix="0" xfId="0">
      <alignment horizontal="general" vertical="top" wrapText="1"/>
    </xf>
    <xf numFmtId="0" fontId="0" fillId="3" borderId="0" pivotButton="0" quotePrefix="0" xfId="0"/>
    <xf numFmtId="0" fontId="0" fillId="2" borderId="0" applyAlignment="1" applyProtection="1" pivotButton="0" quotePrefix="0" xfId="0">
      <alignment horizontal="center" vertical="top"/>
      <protection locked="0" hidden="0"/>
    </xf>
    <xf numFmtId="0" fontId="0" fillId="2" borderId="0" applyAlignment="1" applyProtection="1" pivotButton="0" quotePrefix="0" xfId="0">
      <alignment horizontal="general" vertical="top" wrapText="1"/>
      <protection locked="0" hidden="0"/>
    </xf>
    <xf numFmtId="3" fontId="0" fillId="2" borderId="0" applyAlignment="1" applyProtection="1" pivotButton="0" quotePrefix="0" xfId="0">
      <alignment horizontal="center" vertical="top"/>
      <protection locked="0" hidden="0"/>
    </xf>
    <xf numFmtId="0" fontId="0" fillId="2" borderId="0" applyProtection="1" pivotButton="0" quotePrefix="0" xfId="0">
      <protection locked="0" hidden="0"/>
    </xf>
    <xf numFmtId="165" fontId="0" fillId="2" borderId="0" applyProtection="1" pivotButton="0" quotePrefix="0" xfId="0">
      <protection locked="0" hidden="0"/>
    </xf>
    <xf numFmtId="0" fontId="8" fillId="4" borderId="0" applyAlignment="1" pivotButton="0" quotePrefix="0" xfId="0">
      <alignment vertical="top" wrapText="1"/>
    </xf>
    <xf numFmtId="0" fontId="0" fillId="0" borderId="0" applyAlignment="1" pivotButton="0" quotePrefix="0" xfId="0">
      <alignment horizontal="center"/>
    </xf>
    <xf numFmtId="0" fontId="7" fillId="0" borderId="0" applyAlignment="1" pivotButton="0" quotePrefix="0" xfId="0">
      <alignment horizontal="general" vertical="top" wrapText="1"/>
    </xf>
    <xf numFmtId="0" fontId="8" fillId="4" borderId="0" pivotButton="0" quotePrefix="0" xfId="0"/>
    <xf numFmtId="3" fontId="8" fillId="4" borderId="0" pivotButton="0" quotePrefix="0" xfId="0"/>
    <xf numFmtId="166" fontId="8" fillId="4" borderId="0" pivotButton="0" quotePrefix="0" xfId="0"/>
    <xf numFmtId="167" fontId="8" fillId="4" borderId="0" pivotButton="0" quotePrefix="0" xfId="0"/>
    <xf numFmtId="0" fontId="3" fillId="4" borderId="0" applyAlignment="1" pivotButton="0" quotePrefix="0" xfId="0">
      <alignment horizontal="general" vertical="top" wrapText="1"/>
    </xf>
    <xf numFmtId="3" fontId="0" fillId="0" borderId="0" applyAlignment="1" pivotButton="0" quotePrefix="0" xfId="0">
      <alignment horizontal="center"/>
    </xf>
    <xf numFmtId="3" fontId="0" fillId="0" borderId="0" pivotButton="0" quotePrefix="0" xfId="0"/>
    <xf numFmtId="166" fontId="0" fillId="0" borderId="0" pivotButton="0" quotePrefix="0" xfId="0"/>
    <xf numFmtId="0" fontId="0" fillId="0" borderId="0" applyProtection="1" pivotButton="0" quotePrefix="0" xfId="0">
      <protection locked="0" hidden="0"/>
    </xf>
    <xf numFmtId="0" fontId="4" fillId="0" borderId="0" applyAlignment="1" pivotButton="0" quotePrefix="0" xfId="0">
      <alignment horizontal="center"/>
    </xf>
    <xf numFmtId="0" fontId="0" fillId="0" borderId="0" applyAlignment="1" pivotButton="0" quotePrefix="0" xfId="0">
      <alignment vertical="top" wrapText="1"/>
    </xf>
    <xf numFmtId="3" fontId="4" fillId="0" borderId="0" applyAlignment="1" pivotButton="0" quotePrefix="0" xfId="0">
      <alignment horizontal="center"/>
    </xf>
    <xf numFmtId="0" fontId="4" fillId="0" borderId="0" applyAlignment="1" pivotButton="0" quotePrefix="0" xfId="0">
      <alignment vertical="top" wrapText="1"/>
    </xf>
    <xf numFmtId="168" fontId="0" fillId="2" borderId="0" applyAlignment="1" applyProtection="1" pivotButton="0" quotePrefix="0" xfId="0">
      <alignment horizontal="center" vertical="top"/>
      <protection locked="0" hidden="0"/>
    </xf>
    <xf numFmtId="168" fontId="4" fillId="0" borderId="0" applyAlignment="1" pivotButton="0" quotePrefix="0" xfId="0">
      <alignment horizontal="center"/>
    </xf>
    <xf numFmtId="165" fontId="0" fillId="2" borderId="0" applyAlignment="1" applyProtection="1" pivotButton="0" quotePrefix="0" xfId="0">
      <alignment horizontal="center" vertical="top"/>
      <protection locked="0" hidden="0"/>
    </xf>
    <xf numFmtId="165" fontId="4" fillId="0" borderId="0" applyAlignment="1" pivotButton="0" quotePrefix="0" xfId="0">
      <alignment horizontal="center"/>
    </xf>
    <xf numFmtId="3" fontId="8" fillId="4" borderId="0" applyAlignment="1" pivotButton="0" quotePrefix="0" xfId="0">
      <alignment horizontal="center"/>
    </xf>
    <xf numFmtId="0" fontId="8" fillId="4" borderId="0" applyAlignment="1" pivotButton="0" quotePrefix="0" xfId="0">
      <alignment horizontal="general" vertical="top" wrapText="1"/>
    </xf>
    <xf numFmtId="0" fontId="8" fillId="4" borderId="0" applyAlignment="1" pivotButton="0" quotePrefix="0" xfId="0">
      <alignment horizontal="center"/>
    </xf>
    <xf numFmtId="0" fontId="0" fillId="2" borderId="0" applyAlignment="1" applyProtection="1" pivotButton="0" quotePrefix="0" xfId="0">
      <alignment vertical="top" wrapText="1"/>
      <protection locked="0" hidden="0"/>
    </xf>
    <xf numFmtId="169" fontId="0" fillId="2" borderId="0" applyAlignment="1" applyProtection="1" pivotButton="0" quotePrefix="0" xfId="0">
      <alignment horizontal="center" vertical="top"/>
      <protection locked="0" hidden="0"/>
    </xf>
    <xf numFmtId="165" fontId="0" fillId="0" borderId="0" pivotButton="0" quotePrefix="0" xfId="0"/>
    <xf numFmtId="3" fontId="4" fillId="0" borderId="0" pivotButton="0" quotePrefix="0" xfId="0"/>
    <xf numFmtId="4" fontId="0" fillId="2" borderId="0" applyAlignment="1" applyProtection="1" pivotButton="0" quotePrefix="0" xfId="0">
      <alignment horizontal="center" vertical="top"/>
      <protection locked="0" hidden="0"/>
    </xf>
    <xf numFmtId="4" fontId="0" fillId="0" borderId="0" applyAlignment="1" pivotButton="0" quotePrefix="0" xfId="0">
      <alignment horizontal="center"/>
    </xf>
    <xf numFmtId="170" fontId="0" fillId="2" borderId="0" applyAlignment="1" applyProtection="1" pivotButton="0" quotePrefix="0" xfId="0">
      <alignment horizontal="center" vertical="top"/>
      <protection locked="0" hidden="0"/>
    </xf>
    <xf numFmtId="170" fontId="0" fillId="0" borderId="0" pivotButton="0" quotePrefix="0" xfId="0"/>
    <xf numFmtId="170" fontId="4" fillId="0" borderId="0" applyAlignment="1" pivotButton="0" quotePrefix="0" xfId="0">
      <alignment horizontal="center"/>
    </xf>
    <xf numFmtId="171" fontId="0" fillId="0" borderId="0" pivotButton="0" quotePrefix="0" xfId="0"/>
    <xf numFmtId="170" fontId="4" fillId="0" borderId="0" pivotButton="0" quotePrefix="0" xfId="0"/>
  </cellXfs>
  <cellStyles count="1">
    <cellStyle name="Normal" xfId="0" builtinId="0" hidden="0"/>
  </cellStyles>
  <dxfs count="4">
    <dxf>
      <font>
        <b val="1"/>
        <color rgb="009C6500"/>
      </font>
      <fill>
        <patternFill patternType="solid">
          <fgColor rgb="00FFEB9C"/>
          <bgColor rgb="00FFEB9C"/>
        </patternFill>
      </fill>
    </dxf>
    <dxf>
      <font>
        <b val="1"/>
        <color rgb="00006100"/>
      </font>
      <fill>
        <patternFill patternType="solid">
          <fgColor rgb="00C6EFCE"/>
          <bgColor rgb="00C6EFCE"/>
        </patternFill>
      </fill>
    </dxf>
    <dxf>
      <font>
        <b val="1"/>
        <color rgb="00595959"/>
      </font>
      <fill>
        <patternFill patternType="solid">
          <fgColor rgb="00F2F2F2"/>
          <bgColor rgb="00F2F2F2"/>
        </patternFill>
      </fill>
    </dxf>
    <dxf>
      <font>
        <b val="1"/>
        <color rgb="009C0006"/>
      </font>
      <fill>
        <patternFill patternType="solid">
          <fgColor rgb="00FFC7CE"/>
          <b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omments/comment1.xml><?xml version="1.0" encoding="utf-8"?>
<comments xmlns="http://schemas.openxmlformats.org/spreadsheetml/2006/main">
  <authors>
    <author>AI Chef Pro</author>
  </authors>
  <commentList>
    <comment ref="C7" authorId="0" shapeId="0">
      <text>
        <t>Verificado el 03-10-2026 · Ley 12/2012, de 26 de diciembre, de medidas urgentes de liberalización del comercio y de determinados servicios (BOE-A-2012-15595), texto consolidado · «Última actualización publicada el 29/09/2022», arts. 2-3 y Anexo · https://www.boe.es/buscar/act.php?id=BOE-A-2012-15595</t>
      </text>
    </comment>
    <comment ref="M7" authorId="0" shapeId="0">
      <text>
        <t>Verificado el 03-10-2026 · Ordenanza 4/2021 de Calidad del Aire y Sostenibilidad de Madrid (OCAS), art. 23.1 (BOCM n.º 90, 16-04-2021) · https://www.bocm.es/boletin/CM_Orden_BOCM/2021/04/16/BOCM-20210416-46.PDF</t>
      </text>
    </comment>
    <comment ref="C8" authorId="0" shapeId="0">
      <text>
        <t>Verificado el 03-10-2026 · Ley 12/2012, de 26 de diciembre, de medidas urgentes de liberalización del comercio y de determinados servicios (BOE-A-2012-15595), texto consolidado · «Última actualización publicada el 29/09/2022», arts. 2-3 y Anexo · https://www.boe.es/buscar/act.php?id=BOE-A-2012-15595</t>
      </text>
    </comment>
    <comment ref="M8" authorId="0" shapeId="0">
      <text>
        <t>Verificado el 12-09-2026 · Ley 12/2012, de 26 de diciembre, de medidas urgentes de liberalización del comercio y de determinados servicios (BOE-A-2012-15595), texto consolidado · «Última modificación: 29... (El encabezado del Anexo dice: «Las siguientes actividades se han identificado con las claves y en...) · https://www.boe.es/buscar/act.php?id=BOE-A-2012-15595</t>
      </text>
    </comment>
    <comment ref="C9" authorId="0" shapeId="0">
      <text>
        <t>Verificado el 03-10-2026 · Ordenanza 4/2021 de Calidad del Aire y Sostenibilidad de Madrid (OCAS), art. 23.1 (BOCM n.º 90, 16-04-2021) · https://www.bocm.es/boletin/CM_Orden_BOCM/2021/04/16/BOCM-20210416-46.PDF</t>
      </text>
    </comment>
    <comment ref="M9" authorId="0" shapeId="0">
      <text>
        <t>Verificado el 03-10-2026 · OCAS Madrid, art. 24.1 y anexo I (BOCM n.º 90, 16-04-2021) · https://www.bocm.es/boletin/CM_Orden_BOCM/2021/04/16/BOCM-20210416-46.PDF</t>
      </text>
    </comment>
    <comment ref="C10" authorId="0" shapeId="0">
      <text>
        <t>Verificado el 03-10-2026 · Código Técnico de la Edificación, DB-SI Seguridad en caso de incendio, SI 1 tabla 2.1 notas (2) y (3) y SI 4 tabla 1.1 (última modificación del DB: RD 164/2025) · https://www.codigotecnico.org/pdf/Documentos/SI/DBSI.pdf</t>
      </text>
    </comment>
    <comment ref="C11" authorId="0" shapeId="0">
      <text>
        <t>Verificado el 12-09-2026 · Real Decreto 919/2006 (BOE-A-2006-15345), ITC-ICG 07, apartados 3.3 y 4.1 · «Última modificación: 03-09-2025» · https://www.boe.es/buscar/act.php?id=BOE-A-2006-15345</t>
      </text>
    </comment>
    <comment ref="M11" authorId="0" shapeId="0">
      <text>
        <t>Verificado el 03-10-2026 · Real Decreto 919/2006, de 28 de julio, Reglamento técnico de distribución y utilización de combustibles gaseosos (BOE-A-2006-15345), texto consolidado · «Última actualización publicada el 03/09/2025», art. 2 · https://www.boe.es/buscar/act.php?id=BOE-A-2006-15345</t>
      </text>
    </comment>
    <comment ref="C12" authorId="0" shapeId="0">
      <text>
        <t>Verificado el 03-10-2026 · Orden de 21 de abril de 2022 de la Consejería de Presidencia, Justicia e Interior (régimen de horarios de espectáculos públicos y establecimientos abiertos al público), art. 3.3, BOCM 29-04-2022 · https://www.bocm.es/boletin/CM_Orden_BOCM/2022/04/29/BOCM-20220429-10.PDF</t>
      </text>
    </comment>
    <comment ref="C16" authorId="0" shapeId="0">
      <text>
        <t>Verificado el 12-09-2026 · Real Decreto 1007/2023 (BOE-A-2023-24840), D.F. cuarta y art. 3.1 del Reglamento · «Última modificación: 03 de diciembre de 2025» · https://www.boe.es/buscar/act.php?id=BOE-A-2023-24840</t>
      </text>
    </comment>
    <comment ref="C17" authorId="0" shapeId="0">
      <text>
        <t>Verificado el 12-09-2026 · Real Decreto 10/2025, de 14 de enero, por el que se aprueba la Clasificación Nacional de Actividades Económicas 2025 (CNAE-2025) (BOE-A-2025-587), texto consolidado · «Última modificación: sin modificaciones» · https://www.boe.es/buscar/act.php?id=BOE-A-2025-587</t>
      </text>
    </comment>
    <comment ref="M17" authorId="0" shapeId="0">
      <text>
        <t>Verificado el 03-10-2026 · Real Decreto 10/2025, de 14 de enero, por el que se aprueba la Clasificación Nacional de Actividades Económicas (CNAE-2025) (BOE-A-2025-587), texto consolidado · https://www.boe.es/buscar/act.php?id=BOE-A-2025-587</t>
      </text>
    </comment>
    <comment ref="C18" authorId="0" shapeId="0">
      <text>
        <t>Verificado el 03-10-2026 · Real Decreto Legislativo 1175/1990, de 28 de septiembre, por el que se aprueban las tarifas y la instrucción del Impuesto sobre Actividades Económicas (BOE-A-1990-23930), texto consolidado · «Última actualización publicada el 21/03/2026», epígrafe 644.6 · https://www.boe.es/buscar/act.php?id=BOE-A-1990-23930</t>
      </text>
    </comment>
    <comment ref="M18" authorId="0" shapeId="0">
      <text>
        <t>Verificado el 03-10-2026 · Real Decreto Legislativo 1175/1990, de 28 de septiembre, por el que se aprueban las tarifas y la instrucción del Impuesto sobre Actividades Económicas (BOE-A-1990-23930), texto... («Los sujetos pasivos matriculados en los epígrafes de estos grupos están facultados para vender, en el propio establ... · https://www.boe.es/buscar/act.php?id=BOE-A-1990-23930</t>
      </text>
    </comment>
    <comment ref="C19" authorId="0" shapeId="0">
      <text>
        <t>Verificado el 03-10-2026 · Ley 12/2012, de 26 de diciembre, de medidas urgentes de liberalización del comercio y de determinados servicios (BOE-A-2012-15595), texto consolidado · «Última actualización publicada el 29/09/2022», arts. 2-3 y Anexo · https://www.boe.es/buscar/act.php?id=BOE-A-2012-15595</t>
      </text>
    </comment>
    <comment ref="C24" authorId="0" shapeId="0">
      <text>
        <t>Verificado el 03-10-2026 · Ley 12/2012, de 26 de diciembre, de medidas urgentes de liberalización del comercio y de determinados servicios (BOE-A-2012-15595), texto consolidado · «Última actualización publicada el 29/09/2022», arts. 2-3 y Anexo · https://www.boe.es/buscar/act.php?id=BOE-A-2012-15595</t>
      </text>
    </comment>
    <comment ref="C25" authorId="0" shapeId="0">
      <text>
        <t>Verificado el 03-10-2026 · Ley 12/2012, de 26 de diciembre, de medidas urgentes de liberalización del comercio y de determinados servicios (BOE-A-2012-15595), texto consolidado · «Última actualización publicada el 29/09/2022», arts. 2-3 y Anexo · https://www.boe.es/buscar/act.php?id=BOE-A-2012-15595</t>
      </text>
    </comment>
    <comment ref="M25" authorId="0" shapeId="0">
      <text>
        <t>Verificado el 12-09-2026 · Ley 12/2012, de 26 de diciembre, de medidas urgentes de liberalización del comercio y de determinados servicios (BOE-A-2012-15595), texto consolidado · «Última modificación: 29... (Enumerados los 55 grupos del Anexo: 435, 439, 442, 452, 454, 474, 491, 495, 615, 641-647, 651-659, 662, 665,...) · https://www.boe.es/buscar/act.php?id=BOE-A-2012-15595</t>
      </text>
    </comment>
    <comment ref="C26" authorId="0" shapeId="0">
      <text>
        <t>Verificado el 12-09-2026 · Real Decreto 919/2006 (BOE-A-2006-15345), ITC-ICG 07, apartados 3.3 y 4.1 · «Última modificación: 03-09-2025» · https://www.boe.es/buscar/act.php?id=BOE-A-2006-15345</t>
      </text>
    </comment>
    <comment ref="C27" authorId="0" shapeId="0">
      <text>
        <t>Verificado el 03-10-2026 · Ley 12/2012, de 26 de diciembre, de medidas urgentes de liberalización del comercio y de determinados servicios (BOE-A-2012-15595), texto consolidado · «Última actualización publicada el 29/09/2022», arts. 2-3 y Anexo · https://www.boe.es/buscar/act.php?id=BOE-A-2012-15595</t>
      </text>
    </comment>
    <comment ref="C31" authorId="0" shapeId="0">
      <text>
        <t>Verificado el 03-10-2026 · Ordenanza 4/2021 de Calidad del Aire y Sostenibilidad de Madrid (OCAS), art. 23.1 (BOCM n.º 90, 16-04-2021) · https://www.bocm.es/boletin/CM_Orden_BOCM/2021/04/16/BOCM-20210416-46.PDF</t>
      </text>
    </comment>
    <comment ref="C32" authorId="0" shapeId="0">
      <text>
        <t>Verificado el 03-10-2026 · Código Técnico de la Edificación, DB-SI Seguridad en caso de incendio, SI 1 tabla 2.1 notas (2) y (3) y SI 4 tabla 1.1 (última modificación del DB: RD 164/2025) · https://www.codigotecnico.org/pdf/Documentos/SI/DBSI.pdf</t>
      </text>
    </comment>
    <comment ref="M32" authorId="0" shapeId="0">
      <text>
        <t>Verificado el 03-10-2026 · Reglamento de instalaciones de protección contra incendios (RD 513/2017, BOE-A-2017-6606), texto consolidado · «Última actualización publicada el 03/09/2025», anexo I · https://www.boe.es/buscar/act.php?id=BOE-A-2017-6606</t>
      </text>
    </comment>
    <comment ref="C34" authorId="0" shapeId="0">
      <text>
        <t>Verificado el 03-10-2026 · Ley 7/2022, de 8 de abril, de residuos y suelos contaminados para una economía circular (BOE-A-2022-5809), texto consolidado · «Última actualización publicada el 02/04/2025», arts. 2.a) y 25.3 · https://www.boe.es/buscar/act.php?id=BOE-A-2022-5809</t>
      </text>
    </comment>
    <comment ref="C38" authorId="0" shapeId="0">
      <text>
        <t>Verificado el 12-09-2026 · Real Decreto 191/2011, de 18 de febrero, sobre Registro General Sanitario de Empresas Alimentarias y Alimentos (BOE-A-2011-4293), texto consolidado · «Última modificación: 21 de... (confirmada directamente hoy en el consolidado del RD 191/2011 (art. 2.2, redacción de la D.F.) · https://www.boe.es/buscar/act.php?id=BOE-A-2011-4293</t>
      </text>
    </comment>
    <comment ref="M38" authorId="0" shapeId="0">
      <text>
        <t>Verificado el 03-10-2026 · Comunidad de Madrid, Guía informativa sobre el Registro General Sanitario de Empresas Alimentarias y Alimentos, revisión 16 (aprobada 11-06-2025), p. 10 · https://www.comunidad.madrid/docs/assets/2025/06/25/guia_informativa_sobre_el_registro_general_sanitario_de_empresas_alimentarias_y_alimentos_11-06-2025_rev_16.pdf</t>
      </text>
    </comment>
    <comment ref="C39" authorId="0" shapeId="0">
      <text>
        <t>Verificado el 12-09-2026 · Real Decreto 1021/2022 (BOE-A-2022-21681), art. 20 · https://www.boe.es/buscar/act.php?id=BOE-A-2022-21681</t>
      </text>
    </comment>
    <comment ref="M39" authorId="0" shapeId="0">
      <text>
        <t>Verificado el 03-10-2026 · Orden de 26 de enero de 1989 por la que se aprueba la Norma de Calidad para los Aceites y Grasas Calentados (BOE-A-1989-2265), texto consolidado · «Última actualización publicada el 29/03/2013», art. 3 · https://www.boe.es/buscar/act.php?id=BOE-A-1989-2265</t>
      </text>
    </comment>
    <comment ref="C40" authorId="0" shapeId="0">
      <text>
        <t>Verificado el 12-09-2026 · Real Decreto 126/2015, de 27 de febrero, por el que se aprueba la norma general relativa a la información alimentaria de los alimentos que se presenten sin envasar para la venta... (Arts.) · https://www.boe.es/buscar/act.php?id=BOE-A-2015-2293</t>
      </text>
    </comment>
    <comment ref="M40" authorId="0" shapeId="0">
      <text>
        <t>Verificado el 12-09-2026 · Reglamento (CE) n.º 852/2004, Anexo II, Capítulo IX, punto 9 (redacción del Rgto. (UE) 2021/382) · consolidado CELEX:02004R0852-20210324 · https://eur-lex.europa.eu/legal-content/ES/TXT/?uri=CELEX:02004R0852-20210324</t>
      </text>
    </comment>
    <comment ref="C41" authorId="0" shapeId="0">
      <text>
        <t>Verificado el 03-10-2026 · Reglamento (UE) 2017/2158 de la Comisión, de 20 de noviembre de 2017, por el que se establecen medidas de mitigación y niveles de referencia para reducir la presencia de acrilamida en los alimentos (DOUE L 304 de 21-11-2017, copia en boe.es/doue), art. 1.2 · https://www.boe.es/doue/2017/304/L00024-00044.pdf</t>
      </text>
    </comment>
    <comment ref="M41" authorId="0" shapeId="0">
      <text>
        <t>Verificado el 03-10-2026 · Reglamento (UE) 2017/2158 de la Comisión, de 20 de noviembre de 2017, por el que se establecen medidas de mitigación y niveles de referencia para reducir la presencia de acrilamida en los alimentos (DOUE L 304 de 21-11-2017, copia en boe.es/doue), art. 2.2-2.3 y anexo II parte A · https://www.boe.es/doue/2017/304/L00024-00044.pdf</t>
      </text>
    </comment>
    <comment ref="C42" authorId="0" shapeId="0">
      <text>
        <t>Verificado el 12-09-2026 · Reglamento (CE) n.º 852/2004, Anexo II, Capítulo XII, y ausencia de obligación en el Real Decreto 1021/2022 (RD 202/2000 derogado por el RD 109/2010) · https://www.boe.es/buscar/act.php?id=BOE-A-2022-21681</t>
      </text>
    </comment>
    <comment ref="C43" authorId="0" shapeId="0">
      <text>
        <t>Verificado el 03-10-2026 · Real Decreto 1055/2003, de 1 de agosto (BOE-A-2003-15599), texto consolidado, apartado 1.11 de la Reglamentación técnico-sanitaria · https://www.boe.es/buscar/act.php?id=BOE-A-2003-15599</t>
      </text>
    </comment>
    <comment ref="M43" authorId="0" shapeId="0">
      <text>
        <t>Verificado el 03-10-2026 · Real Decreto 1055/2003 (BOE-A-2003-15599), texto consolidado, apartados 1.11 y 6.a)-b) y e) de la Reglamentación técnico-sanitaria · https://www.boe.es/buscar/act.php?id=BOE-A-2003-15599</t>
      </text>
    </comment>
    <comment ref="C44" authorId="0" shapeId="0">
      <text>
        <t>Verificado el 03-10-2026 · Ley 7/2022 (BOE-A-2022-5809), art. 55 y anexo IV, partes A y B · https://www.boe.es/buscar/act.php?id=BOE-A-2022-5809</t>
      </text>
    </comment>
    <comment ref="C48" authorId="0" shapeId="0">
      <text>
        <t>Verificado el 03-10-2026 · Convenio colectivo del sector de Hostelería y Actividades Turísticas de la Comunidad de Madrid, código 28002085011981 (BOCM n.º 82, 06-04-2024), arts. 2, 26 y 29, anexo I y tablas 2025 · https://www.bocm.es/boletin/CM_Orden_BOCM/2024/04/06/BOCM-20240406-2.PDF</t>
      </text>
    </comment>
    <comment ref="M48" authorId="0" shapeId="0">
      <text>
        <t>Verificado el 03-10-2026 · Convenio de Hostelería de la Comunidad de Madrid 28002085011981, art. 5 (BOCM n.º 82, 06-04-2024) · CCOO Servicios Madrid, nota de 04-12-2025 · ET art. 86.2-3 · https://www.bocm.es/boletin/CM_Orden_BOCM/2024/04/06/BOCM-20240406-2.PDF</t>
      </text>
    </comment>
    <comment ref="C49" authorId="0" shapeId="0">
      <text>
        <t>Verificado el 03-10-2026 · Estatuto de los Trabajadores, texto refundido (RDLeg 2/2015, BOE-A-2015-11430), texto consolidado · «Última actualización publicada el 04/12/2025», art. 36.1-2 · https://www.boe.es/buscar/act.php?id=BOE-A-2015-11430</t>
      </text>
    </comment>
    <comment ref="M49" authorId="0" shapeId="0">
      <text>
        <t>Verificado el 03-10-2026 · Convenio colectivo de Hostelería y Actividades Turísticas de la Comunidad de Madrid, código 28002085011981 (BOCM n.º 82, 06-04-2024), art. 27 · https://www.bocm.es/boletin/CM_Orden_BOCM/2024/04/06/BOCM-20240406-2.PDF</t>
      </text>
    </comment>
    <comment ref="C50" authorId="0" shapeId="0">
      <text>
        <t>Verificado el 12-09-2026 · Real Decreto Legislativo 2/2015 (Estatuto de los Trabajadores) (BOE-A-2015-11430), art. 34.9 · «Última modificación: 04-12-2025» · https://www.boe.es/buscar/act.php?id=BOE-A-2015-11430</t>
      </text>
    </comment>
    <comment ref="C51" authorId="0" shapeId="0">
      <text>
        <t>Verificado el 12-09-2026 · Real Decreto 126/2026, de 18 de febrero (BOE-A-2026-3815), arts. 1, 3.1 y 4.1 · https://www.boe.es/buscar/act.php?id=BOE-A-2026-3815</t>
      </text>
    </comment>
  </commentList>
</comments>
</file>

<file path=xl/comments/comment2.xml><?xml version="1.0" encoding="utf-8"?>
<comments xmlns="http://schemas.openxmlformats.org/spreadsheetml/2006/main">
  <authors>
    <author>AI Chef Pro</author>
  </authors>
  <commentList>
    <comment ref="B11" authorId="0" shapeId="0">
      <text>
        <t>Verificado el 12-09-2026 · Real Decreto Legislativo 2/2004 (TRLRHL) (BOE-A-2004-4214), art. 82.1.b) y c) · «Última modificación: 03-06-2026» · https://www.boe.es/buscar/act.php?id=BOE-A-2004-4214</t>
      </text>
    </comment>
    <comment ref="D14" authorId="0" shapeId="0">
      <text>
        <t>Verificado el 03-10-2026 · INE, Notas explicativas CNAE-2025 (PDF), clases 56.11, 56.12, 56.30, 47.24 y 10.71 · https://ine.es/daco/daco42/clasificaciones/cnae25/notas_explicativas_CNAE_2025.pdf</t>
      </text>
    </comment>
    <comment ref="A15" authorId="0" shapeId="0">
      <text>
        <t>Verificado el 03-10-2026 · Real Decreto Legislativo 1175/1990, de 28 de septiembre, por el que se aprueban las tarifas y la instrucción del Impuesto sobre Actividades Económicas (BOE-A-1990-23930), epígrafe 676 «Servicios en chocolaterías, heladerías y horchaterías» · https://www.boe.es/buscar/act.php?id=BOE-A-1990-23930</t>
      </text>
    </comment>
    <comment ref="C15" authorId="0" shapeId="0">
      <text>
        <t>Verificado el 03-10-2026 · Real Decreto Legislativo 1175/1990, de 28 de septiembre, por el que se aprueban las tarifas y la instrucción del Impuesto sobre Actividades Económicas (BOE-A-1990-23930), texto... («Los sujetos pasivos matriculados en los epígrafes de estos grupos están facultados para vender, en el propio establ... · https://www.boe.es/buscar/act.php?id=BOE-A-1990-23930</t>
      </text>
    </comment>
    <comment ref="A16" authorId="0" shapeId="0">
      <text>
        <t>Verificado el 03-10-2026 · Real Decreto Legislativo 1175/1990, de 28 de septiembre, por el que se aprueban las tarifas y la instrucción del Impuesto sobre Actividades Económicas (BOE-A-1990-23930), texto consolidado · «Última actualización publicada el 21/03/2026», epígrafe 644.6 · https://www.boe.es/buscar/act.php?id=BOE-A-1990-23930</t>
      </text>
    </comment>
    <comment ref="A17" authorId="0" shapeId="0">
      <text>
        <t>Verificado el 03-10-2026 · Real Decreto Legislativo 1175/1990, de 28 de septiembre, por el que se aprueban las tarifas y la instrucción del Impuesto sobre Actividades Económicas (BOE-A-1990-23930), texto consolidado · «Última actualización publicada el 21/03/2026», epígrafe 663.1 · https://www.boe.es/buscar/act.php?id=BOE-A-1990-23930</t>
      </text>
    </comment>
    <comment ref="C17" authorId="0" shapeId="0">
      <text>
        <t>Verificado el 03-10-2026 · Real Decreto Legislativo 1175/1990, de 28 de septiembre, por el que se aprueban las tarifas y la instrucción del Impuesto sobre Actividades Económicas (BOE-A-1990-23930), texto consolidado · «Última actualización publicada el 21/03/2026», grupo 675 y epígrafe 674.7 · https://www.boe.es/buscar/act.php?id=BOE-A-1990-23930</t>
      </text>
    </comment>
    <comment ref="A18" authorId="0" shapeId="0">
      <text>
        <t>Verificado el 03-10-2026 · Real Decreto Legislativo 1175/1990, de 28 de septiembre, por el que se aprueban las tarifas y la instrucción del Impuesto sobre Actividades Económicas (BOE-A-1990-23930), texto consolidado · «Última actualización publicada el 21/03/2026», epígrafe 419.3 · https://www.boe.es/buscar/act.php?id=BOE-A-1990-23930</t>
      </text>
    </comment>
    <comment ref="B22" authorId="0" shapeId="0">
      <text>
        <t>Verificado el 03-10-2026 · Real Decreto Legislativo 1175/1990, de 28 de septiembre, por el que se aprueban las tarifas y la instrucción del Impuesto sobre Actividades Económicas (BOE-A-1990-23930), texto... («Los sujetos pasivos matriculados en los epígrafes de estos grupos están facultados para vender, en el propio establ... · https://www.boe.es/buscar/act.php?id=BOE-A-1990-23930</t>
      </text>
    </comment>
    <comment ref="B23" authorId="0" shapeId="0">
      <text>
        <t>Verificado el 12-09-2026 · Real Decreto Legislativo 1175/1990, de 28 de septiembre, por el que se aprueban las tarifas y la instrucción del Impuesto sobre Actividades Económicas (BOE-A-1990-23930), texto... (Regla 4.ª, apartado 1 de la Instrucción.) · https://www.boe.es/buscar/act.php?id=BOE-A-1990-23930</t>
      </text>
    </comment>
    <comment ref="B25" authorId="0" shapeId="0">
      <text>
        <t>Verificado el 03-10-2026 · Real Decreto 10/2025, de 14 de enero, por el que se aprueba la Clasificación Nacional de Actividades Económicas (CNAE-2025) (BOE-A-2025-587), texto consolidado · https://www.boe.es/buscar/act.php?id=BOE-A-2025-587</t>
      </text>
    </comment>
    <comment ref="B27" authorId="0" shapeId="0">
      <text>
        <t>Verificado el 12-09-2026 · Real Decreto 10/2025, de 14 de enero, por el que se aprueba la Clasificación Nacional de Actividades Económicas 2025 (CNAE-2025) (BOE-A-2025-587), texto consolidado · «Última modificación: sin modificaciones» · https://www.boe.es/buscar/act.php?id=BOE-A-2025-587</t>
      </text>
    </comment>
  </commentList>
</comments>
</file>

<file path=xl/comments/comment3.xml><?xml version="1.0" encoding="utf-8"?>
<comments xmlns="http://schemas.openxmlformats.org/spreadsheetml/2006/main">
  <authors>
    <author>AI Chef Pro</author>
  </authors>
  <commentList>
    <comment ref="B6" authorId="0" shapeId="0">
      <text>
        <t>Verificado el 03-10-2026 · Ley 12/2012, de 26 de diciembre, de medidas urgentes de liberalización del comercio y de determinados servicios (BOE-A-2012-15595), texto consolidado · «Última actualización publicada el 29/09/2022», arts. 2-3 y Anexo · https://www.boe.es/buscar/act.php?id=BOE-A-2012-15595</t>
      </text>
    </comment>
    <comment ref="A13" authorId="0" shapeId="0">
      <text>
        <t>Verificado el 12-09-2026 · Ley 12/2012, de 26 de diciembre, de medidas urgentes de liberalización del comercio y de determinados servicios (BOE-A-2012-15595), texto consolidado · «Última modificación: 29... (El encabezado del Anexo dice: «Las siguientes actividades se han identificado con las claves y en...) · https://www.boe.es/buscar/act.php?id=BOE-A-2012-15595</t>
      </text>
    </comment>
    <comment ref="B13" authorId="0" shapeId="0">
      <text>
        <t>Verificado el 12-09-2026 · Ley 12/2012, de 26 de diciembre, de medidas urgentes de liberalización del comercio y de determinados servicios (BOE-A-2012-15595), texto consolidado · «Última modificación: 29... (Enumerados los 55 grupos del Anexo: 435, 439, 442, 452, 454, 474, 491, 495, 615, 641-647, 651-659, 662, 665,...) · https://www.boe.es/buscar/act.php?id=BOE-A-2012-15595</t>
      </text>
    </comment>
    <comment ref="B14" authorId="0" shapeId="0">
      <text>
        <t>Verificado el 03-10-2026 · Ley 12/2012, de 26 de diciembre, de medidas urgentes de liberalización del comercio y de determinados servicios (BOE-A-2012-15595), texto consolidado · «Última actualización publicada el 29/09/2022», arts. 2-3 y Anexo · https://www.boe.es/buscar/act.php?id=BOE-A-2012-15595</t>
      </text>
    </comment>
    <comment ref="B19" authorId="0" shapeId="0">
      <text>
        <t>Verificado el 03-10-2026 · Orden de 21 de abril de 2022 de la Consejería de Presidencia, Justicia e Interior (régimen de horarios de espectáculos públicos y establecimientos abiertos al público), art. 3.3, BOCM 29-04-2022 · https://www.bocm.es/boletin/CM_Orden_BOCM/2022/04/29/BOCM-20220429-10.PDF</t>
      </text>
    </comment>
    <comment ref="B20" authorId="0" shapeId="0">
      <text>
        <t>Verificado el 03-10-2026 · Orden de 21 de abril de 2022 de la Consejería de Presidencia, Justicia e Interior (régimen de horarios de espectáculos públicos y establecimientos abiertos al público), art. 3.3, BOCM 29-04-2022 · https://www.bocm.es/boletin/CM_Orden_BOCM/2022/04/29/BOCM-20220429-10.PDF</t>
      </text>
    </comment>
    <comment ref="B25" authorId="0" shapeId="0">
      <text>
        <t>Verificado el 03-10-2026 · Orden de 21 de abril de 2022 de la Consejería de Presidencia, Justicia e Interior (régimen de horarios de espectáculos públicos y establecimientos abiertos al público), art. 3.3, BOCM 29-04-2022 · https://www.bocm.es/boletin/CM_Orden_BOCM/2022/04/29/BOCM-20220429-10.PDF</t>
      </text>
    </comment>
    <comment ref="B27" authorId="0" shapeId="0">
      <text>
        <t>Verificado el 12-09-2026 · Ley 1/2004, de 21 de diciembre, de Horarios Comerciales (BOE-A-2004-21421), texto consolidado · «Última modificación: 17 de octubre de 2014» (Nuevo matiz que la lente no traía: el propio art. 5.1 da libertad plena también a los establecimientos situados «en zonas de...) · https://www.boe.es/buscar/act.php?id=BOE-A-2004-21421</t>
      </text>
    </comment>
  </commentList>
</comments>
</file>

<file path=xl/comments/comment4.xml><?xml version="1.0" encoding="utf-8"?>
<comments xmlns="http://schemas.openxmlformats.org/spreadsheetml/2006/main">
  <authors>
    <author>AI Chef Pro</author>
  </authors>
  <commentList>
    <comment ref="B9" authorId="0" shapeId="0">
      <text>
        <t>Verificado el 03-10-2026 · OCAS Madrid, art. 24.1 y anexo I (BOCM n.º 90, 16-04-2021) · https://www.bocm.es/boletin/CM_Orden_BOCM/2021/04/16/BOCM-20210416-46.PDF</t>
      </text>
    </comment>
    <comment ref="B11" authorId="0" shapeId="0">
      <text>
        <t>Verificado el 12-09-2026 · Real Decreto 919/2006 (BOE-A-2006-15345), ITC-ICG 07, apartados 3.3 y 4.1 · «Última modificación: 03-09-2025» · https://www.boe.es/buscar/act.php?id=BOE-A-2006-15345</t>
      </text>
    </comment>
    <comment ref="B12" authorId="0" shapeId="0">
      <text>
        <t>Verificado el 03-10-2026 · Real Decreto 919/2006, de 28 de julio, Reglamento técnico de distribución y utilización de combustibles gaseosos (BOE-A-2006-15345), texto consolidado · «Última actualización publicada el 03/09/2025», art. 2 · https://www.boe.es/buscar/act.php?id=BOE-A-2006-15345</t>
      </text>
    </comment>
    <comment ref="B16" authorId="0" shapeId="0">
      <text>
        <t>Verificado el 03-10-2026 · Ley 12/2012, de 26 de diciembre, de medidas urgentes de liberalización del comercio y de determinados servicios (BOE-A-2012-15595), texto consolidado · «Última actualización publicada el 29/09/2022», arts. 2-3 y Anexo · https://www.boe.es/buscar/act.php?id=BOE-A-2012-15595</t>
      </text>
    </comment>
    <comment ref="B17" authorId="0" shapeId="0">
      <text>
        <t>Verificado el 03-10-2026 · Ordenanza 4/2021 de Calidad del Aire y Sostenibilidad de Madrid (OCAS), art. 23.1 (BOCM n.º 90, 16-04-2021) · https://www.bocm.es/boletin/CM_Orden_BOCM/2021/04/16/BOCM-20210416-46.PDF</t>
      </text>
    </comment>
    <comment ref="B20" authorId="0" shapeId="0">
      <text>
        <t>Verificado el 03-10-2026 · Reglamento de instalaciones de protección contra incendios (RD 513/2017, BOE-A-2017-6606), texto consolidado · «Última actualización publicada el 03/09/2025», anexo I · https://www.boe.es/buscar/act.php?id=BOE-A-2017-6606</t>
      </text>
    </comment>
    <comment ref="B21" authorId="0" shapeId="0">
      <text>
        <t>Verificado el 03-10-2026 · Código Técnico de la Edificación, DB-SI Seguridad en caso de incendio, SI 1 tabla 2.1 notas (2) y (3) y SI 4 tabla 1.1 (última modificación del DB: RD 164/2025) · https://www.codigotecnico.org/pdf/Documentos/SI/DBSI.pdf</t>
      </text>
    </comment>
  </commentList>
</comments>
</file>

<file path=xl/comments/comment5.xml><?xml version="1.0" encoding="utf-8"?>
<comments xmlns="http://schemas.openxmlformats.org/spreadsheetml/2006/main">
  <authors>
    <author>AI Chef Pro</author>
  </authors>
  <commentList>
    <comment ref="B11" authorId="0" shapeId="0">
      <text>
        <t>Verificado el 03-10-2026 · Comunidad de Madrid, Guía informativa sobre el Registro General Sanitario de Empresas Alimentarias y Alimentos, revisión 16 (aprobada 11-06-2025), p. 10 · https://www.comunidad.madrid/docs/assets/2025/06/25/guia_informativa_sobre_el_registro_general_sanitario_de_empresas_alimentarias_y_alimentos_11-06-2025_rev_16.pdf</t>
      </text>
    </comment>
    <comment ref="B12" authorId="0" shapeId="0">
      <text>
        <t>Verificado el 12-09-2026 · Real Decreto 191/2011, de 18 de febrero, sobre Registro General Sanitario de Empresas Alimentarias y Alimentos (BOE-A-2011-4293), texto consolidado · «Última modificación: 21 de... (confirmada directamente hoy en el consolidado del RD 191/2011 (art. 2.2, redacción de la D.F.) · https://www.boe.es/buscar/act.php?id=BOE-A-2011-4293</t>
      </text>
    </comment>
    <comment ref="B13" authorId="0" shapeId="0">
      <text>
        <t>Verificado el 03-10-2026 · Real Decreto 1021/2022, de 13 de diciembre (BOE-A-2022-21681), texto consolidado, art. 2.2.a) · https://www.boe.es/buscar/act.php?id=BOE-A-2022-21681</t>
      </text>
    </comment>
    <comment ref="B14" authorId="0" shapeId="0">
      <text>
        <t>Verificado el 12-09-2026 · Real Decreto 1021/2022 (BOE-A-2022-21681), art. 20 · https://www.boe.es/buscar/act.php?id=BOE-A-2022-21681</t>
      </text>
    </comment>
  </commentList>
</comments>
</file>

<file path=xl/comments/comment6.xml><?xml version="1.0" encoding="utf-8"?>
<comments xmlns="http://schemas.openxmlformats.org/spreadsheetml/2006/main">
  <authors>
    <author>AI Chef Pro</author>
  </authors>
  <commentList>
    <comment ref="B7" authorId="0" shapeId="0">
      <text>
        <t>Verificado el 03-10-2026 · Ley 7/1996, de 15 de enero, de Ordenación del Comercio Minorista (BOE-A-1996-1072), texto consolidado · «Última actualización publicada el 30/03/2022», arts. 54-55 · https://www.boe.es/buscar/act.php?id=BOE-A-1996-1072</t>
      </text>
    </comment>
    <comment ref="B9" authorId="0" shapeId="0">
      <text>
        <t>Verificado el 03-10-2026 · OCAS Madrid, art. 33.1 (BOCM n.º 90, 16-04-2021) · https://www.bocm.es/boletin/CM_Orden_BOCM/2021/04/16/BOCM-20210416-46.PDF</t>
      </text>
    </comment>
    <comment ref="A14" authorId="0" shapeId="0">
      <text>
        <t>Verificado el 03-10-2026 · Ley 7/1996, de 15 de enero, de Ordenación del Comercio Minorista (BOE-A-1996-1072), texto consolidado · «Última actualización publicada el 30/03/2022», arts. 54-55 · https://www.boe.es/buscar/act.php?id=BOE-A-1996-1072</t>
      </text>
    </comment>
    <comment ref="A15" authorId="0" shapeId="0">
      <text>
        <t>Verificado el 03-10-2026 · Ley 7/1996, de 15 de enero, de Ordenación del Comercio Minorista (BOE-A-1996-1072), texto consolidado · «Última actualización publicada el 30/03/2022», arts. 54-55 · https://www.boe.es/buscar/act.php?id=BOE-A-1996-1072</t>
      </text>
    </comment>
    <comment ref="A16" authorId="0" shapeId="0">
      <text>
        <t>Verificado el 03-10-2026 · Real Decreto 199/2010, de 26 de febrero, por el que se regula el ejercicio de la venta ambulante o no sedentaria (BOE-A-2010-4173), apartado «Fecha de derogación»: 07/08/2021, derogado por el Real Decreto 538/2021 · https://www.boe.es/buscar/doc.php?id=BOE-A-2010-4173</t>
      </text>
    </comment>
    <comment ref="A17" authorId="0" shapeId="0">
      <text>
        <t>Verificado el 03-10-2026 · Ordenanza de venta ambulante de Cehegín (Murcia), borrador definitivo, 2022 · https://transparencia.cehegin.es/storage/uploads/1653657221Def.%20Ord.%20Venta%20Ambulante%20-%20BORRADOR%20DEFINITIVO%20TOTAL.pdf</t>
      </text>
    </comment>
    <comment ref="A18" authorId="0" shapeId="0">
      <text>
        <t>Verificado el 03-10-2026 · Real Decreto Legislativo 1175/1990, de 28 de septiembre, por el que se aprueban las tarifas y la instrucción del Impuesto sobre Actividades Económicas (BOE-A-1990-23930), texto consolidado · «Última actualización publicada el 21/03/2026», epígrafe 663.1 · https://www.boe.es/buscar/act.php?id=BOE-A-1990-23930</t>
      </text>
    </comment>
    <comment ref="D18" authorId="0" shapeId="0">
      <text>
        <t>Verificado el 03-10-2026 · Real Decreto Legislativo 1175/1990, de 28 de septiembre, por el que se aprueban las tarifas y la instrucción del Impuesto sobre Actividades Económicas (BOE-A-1990-23930), texto consolidado · «Última actualización publicada el 21/03/2026», grupo 675 y epígrafe 674.7 · https://www.boe.es/buscar/act.php?id=BOE-A-1990-23930</t>
      </text>
    </comment>
    <comment ref="A19" authorId="0" shapeId="0">
      <text>
        <t>Verificado el 03-10-2026 · Real Decreto 1021/2022, de 13 de diciembre (BOE-A-2022-21681), texto consolidado, art. 2.2.a) · https://www.boe.es/buscar/act.php?id=BOE-A-2022-21681</t>
      </text>
    </comment>
    <comment ref="A20" authorId="0" shapeId="0">
      <text>
        <t>Verificado el 03-10-2026 · Reglamento (CE) n.º 852/2004 relativo a la higiene de los productos alimenticios, anexo II, capítulo III (DOUE L 226 de 25-06-2004, corrección de errores) · https://www.boe.es/doue/2004/226/L00003-00021.pdf</t>
      </text>
    </comment>
    <comment ref="A21" authorId="0" shapeId="0">
      <text>
        <t>Verificado el 03-10-2026 · Real Decreto 919/2006, de 28 de julio, Reglamento técnico de distribución y utilización de combustibles gaseosos (BOE-A-2006-15345), texto consolidado · «Última actualización publicada el 03/09/2025», art. 2 · https://www.boe.es/buscar/act.php?id=BOE-A-2006-15345</t>
      </text>
    </comment>
    <comment ref="A22" authorId="0" shapeId="0">
      <text>
        <t>Verificado el 03-10-2026 · OCAS Madrid, art. 33.1 (BOCM n.º 90, 16-04-2021) · https://www.bocm.es/boletin/CM_Orden_BOCM/2021/04/16/BOCM-20210416-46.PDF</t>
      </text>
    </comment>
    <comment ref="A23" authorId="0" shapeId="0">
      <text>
        <t>Verificado el 03-10-2026 · Ordenanza fiscal de la ELA de Ochavillo del Río (Córdoba), art. 7.C (BOP de Córdoba n.º 144, 28-07-2026) · https://bop.dipucordoba.es/visor-pdf/28-07-2026/BOP-A-2026-2586.pdf</t>
      </text>
    </comment>
    <comment ref="A24" authorId="0" shapeId="0">
      <text>
        <t>Verificado el 12-09-2026 · Real Decreto 126/2015, de 27 de febrero, por el que se aprueba la norma general relativa a la información alimentaria de los alimentos que se presenten sin envasar para la venta... (Arts.) · https://www.boe.es/buscar/act.php?id=BOE-A-2015-2293</t>
      </text>
    </comment>
  </commentList>
</comments>
</file>

<file path=xl/comments/comment7.xml><?xml version="1.0" encoding="utf-8"?>
<comments xmlns="http://schemas.openxmlformats.org/spreadsheetml/2006/main">
  <authors>
    <author>AI Chef Pro</author>
  </authors>
  <commentList>
    <comment ref="B11" authorId="0" shapeId="0">
      <text>
        <t>Verificado el 12-09-2026 · Reglamento (CE) n.º 852/2004, Anexo II, Capítulo IX, punto 9 (redacción del Rgto. (UE) 2021/382) · consolidado CELEX:02004R0852-20210324 · https://eur-lex.europa.eu/legal-content/ES/TXT/?uri=CELEX:02004R0852-20210324</t>
      </text>
    </comment>
    <comment ref="A14" authorId="0" shapeId="0">
      <text>
        <t>Verificado el 12-09-2026 · Real Decreto 126/2015, de 27 de febrero, por el que se aprueba la norma general relativa a la información alimentaria de los alimentos que se presenten sin envasar para la venta... (Arts.) · https://www.boe.es/buscar/act.php?id=BOE-A-2015-2293</t>
      </text>
    </comment>
    <comment ref="B25" authorId="0" shapeId="0">
      <text>
        <t>Verificado el 12-09-2026 · Reglamento de Ejecución (UE) n.º 828/2014, art. 3 y Anexo · https://eur-lex.europa.eu/legal-content/ES/TXT/?uri=CELEX:32014R0828</t>
      </text>
    </comment>
    <comment ref="B31" authorId="0" shapeId="0">
      <text>
        <t>Verificado el 03-10-2026 · Reglamento (UE) 2017/2158 de la Comisión, de 20 de noviembre de 2017, por el que se establecen medidas de mitigación y niveles de referencia para reducir la presencia de acrilamida en los alimentos (DOUE L 304 de 21-11-2017, copia en boe.es/doue), art. 1.2 · https://www.boe.es/doue/2017/304/L00024-00044.pdf</t>
      </text>
    </comment>
    <comment ref="B32" authorId="0" shapeId="0">
      <text>
        <t>Verificado el 03-10-2026 · Recomendación (UE) 2019/1888 de la Comisión, de 10 de noviembre de 2019, sobre el control de la presencia de acrilamida en determinados alimentos (DOUE L 290 de 11-11-2019), anexo · https://boe.es/doue/2019/290/L00031-00033.pdf</t>
      </text>
    </comment>
    <comment ref="B33" authorId="0" shapeId="0">
      <text>
        <t>Verificado el 03-10-2026 · Estudio prospectivo EP 01 18 ACR, informe de resultados de acrilamida en alimentos 2018, Servicio Cántabro de Salud (12-06-2019) · https://www.saludcantabria.es/documents/20117/34415/INFORME%20DE%20RESULTADOS%20DE%20ACRILAMIDA%20EN%20ALIMENTOS%202018.pdf/66dd4553-d19c-75b6-ca53-844f298cb644</t>
      </text>
    </comment>
    <comment ref="B34" authorId="0" shapeId="0">
      <text>
        <t>Verificado el 03-10-2026 · Eurofins, «EU tightens acrylamide regulations: new limit values and expanded product categories in the pipeline» (28-05-2026) · https://www.eurofins.com/en-de/food-testing/news/eu-regulation-on-acrylamide/</t>
      </text>
    </comment>
    <comment ref="B35" authorId="0" shapeId="0">
      <text>
        <t>Verificado el 03-10-2026 · Reglamento (UE) 2017/2158 de la Comisión, de 20 de noviembre de 2017, por el que se establecen medidas de mitigación y niveles de referencia para reducir la presencia de acrilamida en los alimentos (DOUE L 304 de 21-11-2017, copia en boe.es/doue), art. 2.2-2.3 y anexo II parte A · https://www.boe.es/doue/2017/304/L00024-00044.pdf</t>
      </text>
    </comment>
    <comment ref="A39" authorId="0" shapeId="0">
      <text>
        <t>Verificado el 03-10-2026 · Orden de 26 de enero de 1989 por la que se aprueba la Norma de Calidad para los Aceites y Grasas Calentados (BOE-A-1989-2265), texto consolidado · «Última actualización publicada el 29/03/2013», art. 3 · https://www.boe.es/buscar/act.php?id=BOE-A-1989-2265</t>
      </text>
    </comment>
    <comment ref="A40" authorId="0" shapeId="0">
      <text>
        <t>Verificado el 03-10-2026 · Orden de 26 de enero de 1989 por la que se aprueba la Norma de Calidad para los Aceites y Grasas Calentados (BOE-A-1989-2265), texto consolidado · «Última actualización publicada el 29/03/2013», art. 6.3 y anexo 1 · https://www.boe.es/buscar/act.php?id=BOE-A-1989-2265</t>
      </text>
    </comment>
    <comment ref="A41" authorId="0" shapeId="0">
      <text>
        <t>Verificado el 03-10-2026 · Orden de 26 de enero de 1989 por la que se aprueba la Norma de Calidad para los Aceites y Grasas Calentados (BOE-A-1989-2265), texto consolidado, art. 9 (vigente: los arts. 7, 8, 10, 11 y 12 los derogó el Real Decreto 176/2013, art. 46) · https://www.boe.es/buscar/act.php?id=BOE-A-1989-2265</t>
      </text>
    </comment>
    <comment ref="A42" authorId="0" shapeId="0">
      <text>
        <t>Verificado el 03-10-2026 · Ley 7/2022, de 8 de abril, de residuos y suelos contaminados para una economía circular (BOE-A-2022-5809), texto consolidado · «Última actualización publicada el 02/04/2025», arts. 2.a) y 25.3 · https://www.boe.es/buscar/act.php?id=BOE-A-2022-5809</t>
      </text>
    </comment>
  </commentList>
</comments>
</file>

<file path=xl/comments/comment8.xml><?xml version="1.0" encoding="utf-8"?>
<comments xmlns="http://schemas.openxmlformats.org/spreadsheetml/2006/main">
  <authors>
    <author>AI Chef Pro</author>
  </authors>
  <commentList>
    <comment ref="D10" authorId="0" shapeId="0">
      <text>
        <t>Verificado el 03-10-2026 · Reglamento de instalaciones de protección contra incendios (RD 513/2017, BOE-A-2017-6606), texto consolidado · «Última actualización publicada el 03/09/2025», anexo I · https://www.boe.es/buscar/act.php?id=BOE-A-2017-6606</t>
      </text>
    </comment>
    <comment ref="B11" authorId="0" shapeId="0">
      <text>
        <t>Verificado el 03-10-2026 · Ordenanza 4/2021 de Calidad del Aire y Sostenibilidad de Madrid (OCAS), art. 23.1 (BOCM n.º 90, 16-04-2021) · https://www.bocm.es/boletin/CM_Orden_BOCM/2021/04/16/BOCM-20210416-46.PDF</t>
      </text>
    </comment>
    <comment ref="D11" authorId="0" shapeId="0">
      <text>
        <t>Verificado el 03-10-2026 · Código Técnico de la Edificación, DB-SI Seguridad en caso de incendio, SI 1 tabla 2.1 notas (2) y (3) y SI 4 tabla 1.1 (última modificación del DB: RD 164/2025) · https://www.codigotecnico.org/pdf/Documentos/SI/DBSI.pdf</t>
      </text>
    </comment>
    <comment ref="D12" authorId="0" shapeId="0">
      <text>
        <t>Verificado el 12-09-2026 · Real Decreto 919/2006 (BOE-A-2006-15345), ITC-ICG 07, apartados 3.3 y 4.1 · «Última modificación: 03-09-2025» · https://www.boe.es/buscar/act.php?id=BOE-A-2006-15345</t>
      </text>
    </comment>
  </commentList>
</comments>
</file>

<file path=xl/comments/comment9.xml><?xml version="1.0" encoding="utf-8"?>
<comments xmlns="http://schemas.openxmlformats.org/spreadsheetml/2006/main">
  <authors>
    <author>AI Chef Pro</author>
  </authors>
  <commentList>
    <comment ref="E6" authorId="0" shapeId="0">
      <text>
        <t>Verificado el 12-09-2026 · Reglamento (CE) n.º 852/2004, Anexo II, Capítulo XII, y ausencia de obligación en el Real Decreto 1021/2022 (RD 202/2000 derogado por el RD 109/2010) · https://www.boe.es/buscar/act.php?id=BOE-A-2022-21681</t>
      </text>
    </comment>
  </commentList>
</comments>
</file>

<file path=xl/comments/comment10.xml><?xml version="1.0" encoding="utf-8"?>
<comments xmlns="http://schemas.openxmlformats.org/spreadsheetml/2006/main">
  <authors>
    <author>AI Chef Pro</author>
  </authors>
  <commentList>
    <comment ref="B17" authorId="0" shapeId="0">
      <text>
        <t>Verificado el 03-10-2026 · Ley 12/2012, de 26 de diciembre, de medidas urgentes de liberalización del comercio y de determinados servicios (BOE-A-2012-15595), texto consolidado · «Última actualización publicada el 29/09/2022», arts. 2-3 y Anexo · https://www.boe.es/buscar/act.php?id=BOE-A-2012-15595</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sheet1.xml><?xml version="1.0" encoding="utf-8"?>
<worksheet xmlns="http://schemas.openxmlformats.org/spreadsheetml/2006/main">
  <sheetPr>
    <outlinePr summaryBelow="1" summaryRight="1"/>
    <pageSetUpPr fitToPage="1"/>
  </sheetPr>
  <dimension ref="A1:C54"/>
  <sheetViews>
    <sheetView workbookViewId="0">
      <selection pane="bottomLeft" activeCell="A1" sqref="A1"/>
    </sheetView>
  </sheetViews>
  <sheetFormatPr baseColWidth="8" defaultRowHeight="15"/>
  <cols>
    <col width="44" customWidth="1" min="1" max="1"/>
    <col width="44" customWidth="1" min="2" max="2"/>
    <col width="50" customWidth="1" min="3" max="3"/>
  </cols>
  <sheetData>
    <row r="1" ht="26" customHeight="1">
      <c r="A1" s="1" t="inlineStr">
        <is>
          <t>Checklist Legal, Fritura y Licencias</t>
        </is>
      </c>
    </row>
    <row r="2">
      <c r="A2" s="2" t="inlineStr">
        <is>
          <t>AI Chef Pro · aichef.pro — Cómo Montar una Churrería-Chocolatería</t>
        </is>
      </c>
    </row>
    <row r="3">
      <c r="A3" s="3" t="inlineStr">
        <is>
          <t>Para qué sirve: saber qué papel te toca y en qué orden, antes de firmar el local y hasta el día que abres.</t>
        </is>
      </c>
    </row>
    <row r="4"/>
    <row r="5">
      <c r="A5" s="4" t="inlineStr">
        <is>
          <t>Celdas verdes = campos editables</t>
        </is>
      </c>
    </row>
    <row r="6"/>
    <row r="7">
      <c r="A7" s="5" t="inlineStr">
        <is>
          <t>Instrucciones de uso</t>
        </is>
      </c>
    </row>
    <row r="8" ht="58" customHeight="1">
      <c r="A8" s="6" t="inlineStr">
        <is>
          <t>1. «Checklist Legal (F1-F6)»: los 30 trámites en el orden en que hay que hacerlos, en seis fases. LA PRIMERA FILA es «¿la extracción necesita proyecto?»: si sí, licencia de obra y técnico aunque la actividad vaya por declaración responsable. La segunda, si tu actividad está en el Anexo de la Ley 12/2012. Marca el estado, el responsable, lo que te presupuestan y lo que pagas, y las fechas.</t>
        </is>
      </c>
    </row>
    <row r="9" ht="58" customHeight="1">
      <c r="A9" s="6" t="inlineStr">
        <is>
          <t>2. «Árbol IAE y CNAE por Formato»: cinco preguntas y los epígrafes que te tocan (644.6, 676 o 673, 663.1, 675, 419.3), la exención del impuesto y LA PREGUNTA DEL CNAE redactada para tu asesor, con los dos códigos que hoy se comunican y la trampa del 47.81.</t>
        </is>
      </c>
    </row>
    <row r="10" ht="58" customHeight="1">
      <c r="A10" s="6" t="inlineStr">
        <is>
          <t>3. «Régimen de Apertura y Horario»: por qué régimen va tu actividad, qué pasa con las obras y la terraza, y la norma del horario del ejemplo de Madrid. Tu hora de apertura NO se pone aquí: se pone en el libro de temporada y franjas.</t>
        </is>
      </c>
    </row>
    <row r="11" ht="58" customHeight="1">
      <c r="A11" s="6" t="inlineStr">
        <is>
          <t>4. «Licencia, Humos y Gas»: la licencia de obra, la salida de humos del ejemplo de Madrid, el gas (instalación receptora en el local; la bombona pequeña sólo en la feria) y el extintor de clase F, con su lista de papeles.</t>
        </is>
      </c>
    </row>
    <row r="12" ht="58" customHeight="1">
      <c r="A12" s="6" t="inlineStr">
        <is>
          <t>5. «Árbol de Registro Sanitario»: registro autonómico o registro general, según a quién vendas.</t>
        </is>
      </c>
    </row>
    <row r="13" ht="58" customHeight="1">
      <c r="A13" s="6" t="inlineStr">
        <is>
          <t>6. «Ferias y Venta Ambulante»: si vas a ferias, los requisitos del puesto. Los euros de cada evento se calculan en el libro de temporada y ferias.</t>
        </is>
      </c>
    </row>
    <row r="14" ht="58" customHeight="1">
      <c r="A14" s="6" t="inlineStr">
        <is>
          <t>7. «Alérgenos y Aceite Compartido»: qué fríes en la misma freidora, los alérgenos de tu carta por familia, el «sin gluten», la acrilamida y lo que dice la norma del aceite.</t>
        </is>
      </c>
    </row>
    <row r="15" ht="58" customHeight="1">
      <c r="A15" s="6" t="inlineStr">
        <is>
          <t>8. «PRL de la Fritura»: los riesgos de la línea de fritura con su prioridad y su medida.</t>
        </is>
      </c>
    </row>
    <row r="16" ht="58" customHeight="1">
      <c r="A16" s="6" t="inlineStr">
        <is>
          <t>9. «Registro de Formación»: una línea por persona con su formación, su fecha y su caducidad.</t>
        </is>
      </c>
    </row>
    <row r="17" ht="58" customHeight="1">
      <c r="A17" s="6" t="inlineStr">
        <is>
          <t>10. «Cronograma y Ruta Crítica»: catorce hitos, la ruta crítica y el mes en que abres. AQUÍ, y sólo aquí, se pone el plazo de entrega de la maquinaria crítica.</t>
        </is>
      </c>
    </row>
    <row r="18"/>
    <row r="19">
      <c r="A19" s="5" t="inlineStr">
        <is>
          <t>El orden de relleno de los ocho libros</t>
        </is>
      </c>
    </row>
    <row r="20" ht="40" customHeight="1">
      <c r="A20" s="6" t="inlineStr">
        <is>
          <t>Rellena los libros en este orden: cada uno usa cifras de los anteriores, que se copian a mano en su celda verde de cruce. Este libro, el 7, no depende de ninguno: puedes rellenarlo cuando quieras, y conviene empezarlo antes de firmar el local.</t>
        </is>
      </c>
    </row>
    <row r="21" ht="22" customHeight="1">
      <c r="A21" s="7" t="inlineStr">
        <is>
          <t>Paso</t>
        </is>
      </c>
      <c r="B21" s="7" t="inlineStr">
        <is>
          <t>Libro</t>
        </is>
      </c>
      <c r="C21" s="7" t="inlineStr">
        <is>
          <t>Fichero</t>
        </is>
      </c>
    </row>
    <row r="22">
      <c r="A22" s="8" t="n">
        <v>1</v>
      </c>
      <c r="B22" s="9" t="inlineStr">
        <is>
          <t>Libro 3</t>
        </is>
      </c>
      <c r="C22" s="10" t="inlineStr">
        <is>
          <t>carta-de-apertura-y-escandallo-churro.xlsx</t>
        </is>
      </c>
    </row>
    <row r="23">
      <c r="A23" s="8" t="n">
        <v>2</v>
      </c>
      <c r="B23" s="9" t="inlineStr">
        <is>
          <t>Libro 1</t>
        </is>
      </c>
      <c r="C23" s="10" t="inlineStr">
        <is>
          <t>produccion-hora-punta-y-local.xlsx</t>
        </is>
      </c>
    </row>
    <row r="24">
      <c r="A24" s="8" t="n">
        <v>3</v>
      </c>
      <c r="B24" s="9" t="inlineStr">
        <is>
          <t>Libro 4</t>
        </is>
      </c>
      <c r="C24" s="10" t="inlineStr">
        <is>
          <t>aceite-de-fritura-coste-y-cambio.xlsx</t>
        </is>
      </c>
    </row>
    <row r="25">
      <c r="A25" s="8" t="n">
        <v>4</v>
      </c>
      <c r="B25" s="9" t="inlineStr">
        <is>
          <t>Libro 5</t>
        </is>
      </c>
      <c r="C25" s="10" t="inlineStr">
        <is>
          <t>temporada-franjas-y-ferias.xlsx</t>
        </is>
      </c>
    </row>
    <row r="26">
      <c r="A26" s="8" t="n">
        <v>5</v>
      </c>
      <c r="B26" s="9" t="inlineStr">
        <is>
          <t>Libro 8</t>
        </is>
      </c>
      <c r="C26" s="10" t="inlineStr">
        <is>
          <t>turnos-plantilla-y-madrugada.xlsx</t>
        </is>
      </c>
    </row>
    <row r="27">
      <c r="A27" s="8" t="n">
        <v>6</v>
      </c>
      <c r="B27" s="9" t="inlineStr">
        <is>
          <t>Libro 2</t>
        </is>
      </c>
      <c r="C27" s="10" t="inlineStr">
        <is>
          <t>calculadora-capex-churreria.xlsx</t>
        </is>
      </c>
    </row>
    <row r="28">
      <c r="A28" s="8" t="n">
        <v>7</v>
      </c>
      <c r="B28" s="9" t="inlineStr">
        <is>
          <t>Libro 6</t>
        </is>
      </c>
      <c r="C28" s="10" t="inlineStr">
        <is>
          <t>plan-financiero-3-anos-churreria.xlsx</t>
        </is>
      </c>
    </row>
    <row r="29">
      <c r="A29" s="8" t="n">
        <v>8</v>
      </c>
      <c r="B29" s="9" t="inlineStr">
        <is>
          <t>Libro 7</t>
        </is>
      </c>
      <c r="C29" s="11" t="inlineStr">
        <is>
          <t>checklist-legal-fritura-y-licencias.xlsx</t>
        </is>
      </c>
    </row>
    <row r="30"/>
    <row r="31">
      <c r="A31" s="5" t="inlineStr">
        <is>
          <t>Lo que conviene saber antes de empezar</t>
        </is>
      </c>
    </row>
    <row r="32" ht="70" customHeight="1">
      <c r="A32" s="6" t="inlineStr">
        <is>
          <t>LA ACTIVIDAD Y LA OBRA SON DOS PAPELES DISTINTOS. Un despacho de churros para llevar (644.6, hasta 750 metros cuadrados) abre su actividad por declaración responsable, pero si la salida de humos necesita proyecto -casi siempre que el conducto sube a cubierta o cruza fachada o patio-, esa obra va con su licencia y su técnico. Con mesas (676 o 673) la actividad sale del Anexo de la Ley 12/2012 y el modelo lo fija tu ayuntamiento.</t>
        </is>
      </c>
    </row>
    <row r="33" ht="70" customHeight="1">
      <c r="A33" s="6" t="inlineStr">
        <is>
          <t>EL CNAE NO TE LO DA ESTA HOJA, Y NO ES UN OLVIDO: la correspondencia oficial entre el epígrafe del impuesto y el CNAE-2025 no está publicada para la churrería. Lo que sí te da es la pregunta redactada para tu asesor, con el código de 2025 y el de 2009.</t>
        </is>
      </c>
    </row>
    <row r="34" ht="70" customHeight="1">
      <c r="A34" s="6" t="inlineStr">
        <is>
          <t>EL HORARIO DE ESTE LIBRO ES UN EJEMPLO DE MADRID y no se extrapola: allí, una cafetería o bar puede abrir desde las 6:00 y una chocolatería desde las 8:00. Busca la orden de horarios de tu comunidad.</t>
        </is>
      </c>
    </row>
    <row r="35" ht="70" customHeight="1">
      <c r="A35" s="6" t="inlineStr">
        <is>
          <t>LA BOMBONA PEQUEÑA NO TE LIBRA DE NADA EN UN LOCAL. La excepción es para un aparato de utilización móvil, es decir, para el puesto de feria. En un local, gas con instalación receptora e inspección periódica, o freidora eléctrica.</t>
        </is>
      </c>
    </row>
    <row r="36" ht="70" customHeight="1">
      <c r="A36" s="6" t="inlineStr">
        <is>
          <t>EL REGISTRO DE FORMACIÓN ES LO QUE SE ACREDITA. La obligación es del empresario: garantizar la formación de cada persona según su puesto y poder demostrarla.</t>
        </is>
      </c>
    </row>
    <row r="37" ht="70" customHeight="1">
      <c r="A37" s="6" t="inlineStr">
        <is>
          <t>ESTE LIBRO NO ES UN DICTAMEN JURÍDICO NI SUSTITUYE AL PROYECTO TÉCNICO DE LA EXTRACCIÓN. Cada dato normativo lleva en su celda un comentario con la norma, el artículo y el enlace, verificados el 03-10-2026 (o el 12-09-2026 los que vienen de la guía de chocolatería). Contrástalos con tu ayuntamiento y tu comunidad.</t>
        </is>
      </c>
    </row>
    <row r="38"/>
    <row r="39">
      <c r="A39" s="5" t="inlineStr">
        <is>
          <t>Qué hace este libro y qué hace otro (para no teclear dos veces)</t>
        </is>
      </c>
    </row>
    <row r="40" ht="26" customHeight="1">
      <c r="A40" s="7" t="inlineStr">
        <is>
          <t>Producto o libro</t>
        </is>
      </c>
      <c r="B40" s="7" t="inlineStr">
        <is>
          <t>Qué aporta</t>
        </is>
      </c>
      <c r="C40" s="7" t="inlineStr">
        <is>
          <t>Qué NO hace este libro</t>
        </is>
      </c>
    </row>
    <row r="41" ht="56" customHeight="1">
      <c r="A41" s="12" t="inlineStr">
        <is>
          <t>Pack Plantillas APPCC, registro 09 (control del aceite de fritura)</t>
        </is>
      </c>
      <c r="B41" s="13" t="inlineStr">
        <is>
          <t>El registro de las mediciones del aceite y de la retirada del aceite usado.</t>
        </is>
      </c>
      <c r="C41" s="13" t="inlineStr">
        <is>
          <t>Aquí sólo hay una fila que te recuerda llevarlo. El registro es aquel fichero: se cita, no se copia.</t>
        </is>
      </c>
    </row>
    <row r="42" ht="56" customHeight="1">
      <c r="A42" s="12" t="inlineStr">
        <is>
          <t>produccion-hora-punta-y-local.xlsx (libro 1 de esta guía)</t>
        </is>
      </c>
      <c r="B42" s="13" t="inlineStr">
        <is>
          <t>Los kW de tus freidoras, el riesgo de incendio de la cocina, la extinción automática y la distancia de los filtros.</t>
        </is>
      </c>
      <c r="C42" s="13" t="inlineStr">
        <is>
          <t>Este libro no vuelve a calcular la potencia: te dice qué papeles salen de ella.</t>
        </is>
      </c>
    </row>
    <row r="43" ht="56" customHeight="1">
      <c r="A43" s="12" t="inlineStr">
        <is>
          <t>calculadora-capex-churreria.xlsx (libro 2 de esta guía)</t>
        </is>
      </c>
      <c r="B43" s="13" t="inlineStr">
        <is>
          <t>Los euros: proyecto, licencias, obra, extintor y equipamiento, con su IVA.</t>
        </is>
      </c>
      <c r="C43" s="13" t="inlineStr">
        <is>
          <t>Los costes de este checklist son los de los TRÁMITES y se piden, no se suponen.</t>
        </is>
      </c>
    </row>
    <row r="44" ht="56" customHeight="1">
      <c r="A44" s="12" t="inlineStr">
        <is>
          <t>temporada-franjas-y-ferias.xlsx (libro 5 de esta guía)</t>
        </is>
      </c>
      <c r="B44" s="13" t="inlineStr">
        <is>
          <t>Tu hora de apertura por franja, el semáforo de las 8:00 y los euros de cada feria.</t>
        </is>
      </c>
      <c r="C44" s="13" t="inlineStr">
        <is>
          <t>Aquí está la norma del horario y los papeles del puesto; los números, allí.</t>
        </is>
      </c>
    </row>
    <row r="45" ht="56" customHeight="1">
      <c r="A45" s="12" t="inlineStr">
        <is>
          <t>turnos-plantilla-y-madrugada.xlsx (libro 8 de esta guía)</t>
        </is>
      </c>
      <c r="B45" s="13" t="inlineStr">
        <is>
          <t>Las dos figuras de nocturnidad, el convenio y el coste de la plantilla.</t>
        </is>
      </c>
      <c r="C45" s="13" t="inlineStr">
        <is>
          <t>Aquí sólo están las filas del checklist que te recuerdan hacerlo.</t>
        </is>
      </c>
    </row>
    <row r="46" ht="56" customHeight="1">
      <c r="A46" s="12" t="inlineStr">
        <is>
          <t>Plan de Negocio: Food Truck y Tareas: Food Truck</t>
        </is>
      </c>
      <c r="B46" s="13" t="inlineStr">
        <is>
          <t>El caso completo de un puesto móvil, con sus números y sus tareas.</t>
        </is>
      </c>
      <c r="C46" s="13" t="inlineStr">
        <is>
          <t>La caseta de feria es aquí un capítulo de papeles, sin caso cifrado.</t>
        </is>
      </c>
    </row>
    <row r="47"/>
    <row r="48">
      <c r="A48" s="5" t="inlineStr">
        <is>
          <t>Cada cuánto se usa este libro</t>
        </is>
      </c>
    </row>
    <row r="49" ht="70" customHeight="1">
      <c r="A49" s="6" t="inlineStr">
        <is>
          <t>El checklist y el cronograma, UNA VEZ A LA SEMANA desde que decides abrir hasta que abres. Los árboles (impuesto, régimen y registro), una vez al principio y otra CADA VEZ QUE CAMBIES DE FORMATO: el día que empieces a servir churros a la cafetería de al lado o a ir a ferias, cambian tus papeles. El registro de formación, cada vez que entra alguien. La hoja de riesgos, cuando cambies de máquina o de distribución.</t>
        </is>
      </c>
    </row>
    <row r="50"/>
    <row r="51" ht="28" customHeight="1">
      <c r="A51" s="6" t="inlineStr">
        <is>
          <t>Para editar la estructura o una celda que no esté en verde: Revisar &gt; Desproteger hoja (no tiene contraseña).</t>
        </is>
      </c>
    </row>
    <row r="52"/>
    <row r="53">
      <c r="A53" s="13" t="inlineStr">
        <is>
          <t>Diseñado por John Guerrero — chef y consultor gastronómico desde 2010, en cocina desde los 17 años.</t>
        </is>
      </c>
    </row>
    <row r="54">
      <c r="A54" s="13" t="inlineStr">
        <is>
          <t>Versión 1.0 · octubre 2026 · aichef.pro/guia-churreria-chocolateria · info@aichef.pro</t>
        </is>
      </c>
    </row>
  </sheetData>
  <sheetProtection selectLockedCells="0" selectUnlockedCells="0" sheet="1" objects="0" insertRows="0" insertHyperlinks="1" autoFilter="1" scenarios="0" formatColumns="0" deleteColumns="1" insertColumns="1" pivotTables="1" deleteRows="1" formatCells="1" formatRows="0" sort="0"/>
  <mergeCells count="21">
    <mergeCell ref="A37:C37"/>
    <mergeCell ref="A12:C12"/>
    <mergeCell ref="A54:C54"/>
    <mergeCell ref="A33:C33"/>
    <mergeCell ref="A32:C32"/>
    <mergeCell ref="A8:C8"/>
    <mergeCell ref="A14:C14"/>
    <mergeCell ref="A17:C17"/>
    <mergeCell ref="A53:C53"/>
    <mergeCell ref="A35:C35"/>
    <mergeCell ref="A20:C20"/>
    <mergeCell ref="A10:C10"/>
    <mergeCell ref="A13:C13"/>
    <mergeCell ref="A9:C9"/>
    <mergeCell ref="A34:C34"/>
    <mergeCell ref="A15:C15"/>
    <mergeCell ref="A51:C51"/>
    <mergeCell ref="A36:C36"/>
    <mergeCell ref="A11:C11"/>
    <mergeCell ref="A49:C49"/>
    <mergeCell ref="A16:C16"/>
  </mergeCell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M9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3" customWidth="1" min="1" max="1"/>
    <col width="7" customWidth="1" min="2" max="2"/>
    <col width="54" customWidth="1" min="3" max="3"/>
    <col width="20" customWidth="1" min="4" max="4"/>
    <col width="11" customWidth="1" min="5" max="5"/>
    <col width="15" customWidth="1" min="6" max="6"/>
    <col width="14" customWidth="1" min="7" max="7"/>
    <col width="13" customWidth="1" min="8" max="8"/>
    <col width="13" customWidth="1" min="9" max="9"/>
    <col width="12" customWidth="1" min="10" max="10"/>
    <col width="13" customWidth="1" min="11" max="11"/>
    <col width="52" customWidth="1" min="12" max="12"/>
    <col width="80" customWidth="1" min="13" max="13"/>
  </cols>
  <sheetData>
    <row r="1" ht="28" customHeight="1">
      <c r="A1" s="1" t="inlineStr">
        <is>
          <t>Checklist Legal y de Licencias, en Seis Fases</t>
        </is>
      </c>
    </row>
    <row r="2">
      <c r="A2" t="inlineStr">
        <is>
          <t>AI Chef Pro · aichef.pro — Cómo Montar una Churrería-Chocolatería</t>
        </is>
      </c>
    </row>
    <row r="3" ht="26" customHeight="1">
      <c r="A3" s="6" t="inlineStr">
        <is>
          <t>Los trámites en el orden en que hay que hacerlos. Las dos primeras filas son PREGUNTAS: contéstalas antes de firmar el local, porque deciden el resto. Lo que cambia según tu comunidad va marcado en su columna.</t>
        </is>
      </c>
    </row>
    <row r="4"/>
    <row r="5" ht="30" customHeight="1">
      <c r="A5" s="7" t="inlineStr">
        <is>
          <t>Estado</t>
        </is>
      </c>
      <c r="B5" s="7" t="inlineStr">
        <is>
          <t>Fase</t>
        </is>
      </c>
      <c r="C5" s="7" t="inlineStr">
        <is>
          <t>Trámite</t>
        </is>
      </c>
      <c r="D5" s="7" t="inlineStr">
        <is>
          <t>Responsable</t>
        </is>
      </c>
      <c r="E5" s="7" t="inlineStr">
        <is>
          <t>Plazo (días)</t>
        </is>
      </c>
      <c r="F5" s="7" t="inlineStr">
        <is>
          <t>Coste previsto (€)</t>
        </is>
      </c>
      <c r="G5" s="7" t="inlineStr">
        <is>
          <t>Coste real (€)</t>
        </is>
      </c>
      <c r="H5" s="7" t="inlineStr">
        <is>
          <t>Fecha objetivo</t>
        </is>
      </c>
      <c r="I5" s="7" t="inlineStr">
        <is>
          <t>Fecha hecha</t>
        </is>
      </c>
      <c r="J5" s="7" t="inlineStr">
        <is>
          <t>¿Cambia por CCAA?</t>
        </is>
      </c>
      <c r="K5" s="7" t="inlineStr">
        <is>
          <t>Tu respuesta</t>
        </is>
      </c>
      <c r="L5" s="7" t="inlineStr">
        <is>
          <t>Lo que te toca</t>
        </is>
      </c>
      <c r="M5" s="7" t="inlineStr">
        <is>
          <t>Notas y fuente</t>
        </is>
      </c>
    </row>
    <row r="6">
      <c r="A6" s="5" t="inlineStr">
        <is>
          <t>F1 · Antes de firmar: el local, la extracción, el gas y el horario</t>
        </is>
      </c>
      <c r="B6" s="14" t="inlineStr"/>
      <c r="C6" s="14" t="inlineStr"/>
      <c r="D6" s="14" t="inlineStr"/>
      <c r="E6" s="14" t="inlineStr"/>
      <c r="F6" s="14" t="inlineStr"/>
      <c r="G6" s="14" t="inlineStr"/>
      <c r="H6" s="14" t="inlineStr"/>
      <c r="I6" s="14" t="inlineStr"/>
      <c r="J6" s="14" t="inlineStr"/>
      <c r="K6" s="14" t="inlineStr"/>
      <c r="L6" s="14" t="inlineStr"/>
      <c r="M6" s="14" t="inlineStr"/>
    </row>
    <row r="7" ht="66" customHeight="1">
      <c r="A7" s="15" t="inlineStr">
        <is>
          <t>Pendiente</t>
        </is>
      </c>
      <c r="B7" s="9" t="inlineStr">
        <is>
          <t>F1</t>
        </is>
      </c>
      <c r="C7" s="12" t="inlineStr">
        <is>
          <t>¿La extracción necesita proyecto?</t>
        </is>
      </c>
      <c r="D7" s="16" t="inlineStr">
        <is>
          <t>Promotor y técnico</t>
        </is>
      </c>
      <c r="E7" s="17" t="n">
        <v>10</v>
      </c>
      <c r="F7" s="18" t="inlineStr">
        <is>
          <t>A presupuestar</t>
        </is>
      </c>
      <c r="G7" s="18" t="inlineStr">
        <is>
          <t>Sin pagar</t>
        </is>
      </c>
      <c r="H7" s="19" t="n">
        <v>46298</v>
      </c>
      <c r="I7" s="19" t="n">
        <v>46298</v>
      </c>
      <c r="J7" s="15" t="inlineStr">
        <is>
          <t>Sí</t>
        </is>
      </c>
      <c r="K7" s="15" t="inlineStr">
        <is>
          <t>Sí</t>
        </is>
      </c>
      <c r="L7" s="20" t="str">
        <f>IFERROR(IF(K7="Sí","Licencia de obra y técnico: el conducto necesita proyecto, aunque la actividad vaya por declaración responsable",IF(K7="No","Sin obra con proyecto: que tu técnico lo deje por escrito antes de firmar","No firmes el local sin que un técnico mire la salida de humos")),"")</f>
        <v>Licencia de obra y técnico: el conducto necesita proyecto, aunque la actividad vaya por declaración responsable</v>
      </c>
      <c r="M7" s="6" t="inlineStr">
        <is>
          <t>Casi siempre que hay conducto a cubierta, o que cruza fachada o patio: entonces van licencia de obra y técnico, aunque la actividad vaya por declaración responsable (Ley 12/2012, art. 3.3-3.4).  [Fuente: CUN-35 + CUN-23 + CUN-24]</t>
        </is>
      </c>
    </row>
    <row r="8" ht="66" customHeight="1">
      <c r="A8" s="15" t="inlineStr">
        <is>
          <t>Pendiente</t>
        </is>
      </c>
      <c r="B8" s="9" t="inlineStr">
        <is>
          <t>F1</t>
        </is>
      </c>
      <c r="C8" s="12" t="inlineStr">
        <is>
          <t>¿Tu actividad está en el Anexo de la Ley 12/2012?</t>
        </is>
      </c>
      <c r="D8" s="16" t="inlineStr">
        <is>
          <t>Promotor</t>
        </is>
      </c>
      <c r="E8" s="17" t="n">
        <v>5</v>
      </c>
      <c r="F8" s="18" t="inlineStr">
        <is>
          <t>A presupuestar</t>
        </is>
      </c>
      <c r="G8" s="18" t="inlineStr">
        <is>
          <t>Sin pagar</t>
        </is>
      </c>
      <c r="H8" s="19" t="n">
        <v>46298</v>
      </c>
      <c r="I8" s="19" t="n">
        <v>46298</v>
      </c>
      <c r="J8" s="15" t="inlineStr">
        <is>
          <t>No</t>
        </is>
      </c>
      <c r="K8" s="21" t="str">
        <f>IFERROR(IF(OR('Árbol IAE y CNAE por Formato'!$B$6="Sí",'Régimen de Apertura y Horario'!$B$6="Sí"),"No","Sí"),"")</f>
        <v>No</v>
      </c>
      <c r="L8" s="20" t="str">
        <f>IFERROR(IF(K8="Sí","Tu actividad está en el Anexo (644.6, hasta 750 m²): va por declaración responsable; las obras con proyecto, con su licencia aparte","Tu actividad sale del Anexo (con mesas o barra, o más de 750 m²): el modelo, licencia o declaración, lo fija tu ayuntamiento; y las obras con proyecto, con su licencia aparte"),"")</f>
        <v>Tu actividad sale del Anexo (con mesas o barra, o más de 750 m²): el modelo, licencia o declaración, lo fija tu ayuntamiento; y las obras con proyecto, con su licencia aparte</v>
      </c>
      <c r="M8" s="6" t="inlineStr">
        <is>
          <t>La actividad de un despacho para llevar (644.6, hasta 750 m²) va por declaración responsable; con mesas (676 o 673) sale del Anexo y manda tu ayuntamiento.  [Fuente: CUN-35 + CHN-49b + CHN-49c]</t>
        </is>
      </c>
    </row>
    <row r="9" ht="44" customHeight="1">
      <c r="A9" s="15" t="inlineStr">
        <is>
          <t>Pendiente</t>
        </is>
      </c>
      <c r="B9" s="9" t="inlineStr">
        <is>
          <t>F1</t>
        </is>
      </c>
      <c r="C9" s="22" t="inlineStr">
        <is>
          <t>Comprobar la salida de humos del local</t>
        </is>
      </c>
      <c r="D9" s="16" t="inlineStr">
        <is>
          <t>Promotor y técnico</t>
        </is>
      </c>
      <c r="E9" s="17" t="n">
        <v>5</v>
      </c>
      <c r="F9" s="18" t="inlineStr">
        <is>
          <t>A presupuestar</t>
        </is>
      </c>
      <c r="G9" s="18" t="inlineStr">
        <is>
          <t>Sin pagar</t>
        </is>
      </c>
      <c r="H9" s="19" t="n">
        <v>46298</v>
      </c>
      <c r="I9" s="19" t="n">
        <v>46298</v>
      </c>
      <c r="J9" s="15" t="inlineStr">
        <is>
          <t>Sí</t>
        </is>
      </c>
      <c r="M9" s="6" t="inlineStr">
        <is>
          <t>En el ejemplo de Madrid: captación, filtrado y conducto a cubierta, con limpieza al menos una vez al año. Los requisitos de otras ciudades no están verificados.  [Fuente: CUN-23 + CUN-24]</t>
        </is>
      </c>
    </row>
    <row r="10" ht="44" customHeight="1">
      <c r="A10" s="15" t="inlineStr">
        <is>
          <t>Pendiente</t>
        </is>
      </c>
      <c r="B10" s="9" t="inlineStr">
        <is>
          <t>F1</t>
        </is>
      </c>
      <c r="C10" s="22" t="inlineStr">
        <is>
          <t>Comprobar la potencia de la freidora y el riesgo de incendio</t>
        </is>
      </c>
      <c r="D10" s="16" t="inlineStr">
        <is>
          <t>Técnico</t>
        </is>
      </c>
      <c r="E10" s="17" t="n">
        <v>5</v>
      </c>
      <c r="F10" s="18" t="inlineStr">
        <is>
          <t>A presupuestar</t>
        </is>
      </c>
      <c r="G10" s="18" t="inlineStr">
        <is>
          <t>Sin pagar</t>
        </is>
      </c>
      <c r="H10" s="19" t="n">
        <v>46298</v>
      </c>
      <c r="I10" s="19" t="n">
        <v>46298</v>
      </c>
      <c r="J10" s="15" t="inlineStr">
        <is>
          <t>No</t>
        </is>
      </c>
      <c r="M10" s="6" t="inlineStr">
        <is>
          <t>Freidoras a 1 kW por litro; local de riesgo especial desde 20 kW; extinción automática por encima de 50 kW; filtros a 1,20 m del foco con gas o parrilla.  [Fuente: CUN-26]</t>
        </is>
      </c>
    </row>
    <row r="11" ht="44" customHeight="1">
      <c r="A11" s="15" t="inlineStr">
        <is>
          <t>Pendiente</t>
        </is>
      </c>
      <c r="B11" s="9" t="inlineStr">
        <is>
          <t>F1</t>
        </is>
      </c>
      <c r="C11" s="22" t="inlineStr">
        <is>
          <t>Decidir el gas: instalación receptora o freidora eléctrica</t>
        </is>
      </c>
      <c r="D11" s="16" t="inlineStr">
        <is>
          <t>Promotor</t>
        </is>
      </c>
      <c r="E11" s="17" t="n">
        <v>5</v>
      </c>
      <c r="F11" s="18" t="inlineStr">
        <is>
          <t>A presupuestar</t>
        </is>
      </c>
      <c r="G11" s="18" t="inlineStr">
        <is>
          <t>Sin pagar</t>
        </is>
      </c>
      <c r="H11" s="19" t="n">
        <v>46298</v>
      </c>
      <c r="I11" s="19" t="n">
        <v>46298</v>
      </c>
      <c r="J11" s="15" t="inlineStr">
        <is>
          <t>No</t>
        </is>
      </c>
      <c r="M11" s="6" t="inlineStr">
        <is>
          <t>En un local, gas con instalación receptora e inspección cada cinco años, o eléctrico con su potencia. La bombona pequeña sólo vale para un aparato de utilización móvil (feria).  [Fuente: CHN-48 + CUN-28]</t>
        </is>
      </c>
    </row>
    <row r="12" ht="44" customHeight="1">
      <c r="A12" s="15" t="inlineStr">
        <is>
          <t>Pendiente</t>
        </is>
      </c>
      <c r="B12" s="9" t="inlineStr">
        <is>
          <t>F1</t>
        </is>
      </c>
      <c r="C12" s="22" t="inlineStr">
        <is>
          <t>Comprobar el horario que te permite tu clasificación</t>
        </is>
      </c>
      <c r="D12" s="16" t="inlineStr">
        <is>
          <t>Promotor</t>
        </is>
      </c>
      <c r="E12" s="17" t="n">
        <v>3</v>
      </c>
      <c r="F12" s="18" t="inlineStr">
        <is>
          <t>A presupuestar</t>
        </is>
      </c>
      <c r="G12" s="18" t="inlineStr">
        <is>
          <t>Sin pagar</t>
        </is>
      </c>
      <c r="H12" s="19" t="n">
        <v>46298</v>
      </c>
      <c r="I12" s="19" t="n">
        <v>46298</v>
      </c>
      <c r="J12" s="15" t="inlineStr">
        <is>
          <t>Sí</t>
        </is>
      </c>
      <c r="M12" s="6" t="inlineStr">
        <is>
          <t>Ejemplo de Madrid: cafetería o bar desde las 6:00; chocolatería desde las 8:00. Tu hora de apertura se pone en la hoja «Franjas del Día» del libro 5.  [Fuente: CUN-34]</t>
        </is>
      </c>
    </row>
    <row r="13">
      <c r="A13" s="23" t="n"/>
      <c r="B13" s="23" t="n"/>
      <c r="C13" s="23" t="inlineStr">
        <is>
          <t>AVANCE DE LA FASE F1</t>
        </is>
      </c>
      <c r="D13" s="24">
        <f>IFERROR(COUNTIF(A7:A12,"Hecho"),"")</f>
        <v>0.0</v>
      </c>
      <c r="E13" s="24">
        <f>IFERROR(COUNTIF(B7:B12,"F1"),"")</f>
        <v>6.0</v>
      </c>
      <c r="F13" s="25">
        <f>IFERROR(SUMIF(F7:F12,"&gt;=0"),"")</f>
        <v>0.0</v>
      </c>
      <c r="G13" s="25">
        <f>IFERROR(SUMIF(G7:G12,"&gt;=0"),"")</f>
        <v>0.0</v>
      </c>
      <c r="H13" s="23" t="n"/>
      <c r="I13" s="23" t="n"/>
      <c r="J13" s="26">
        <f>IFERROR(IF(E13=0,"",(D13+COUNTIF(A7:A12,"N/A"))/E13),"")</f>
        <v>0.0</v>
      </c>
      <c r="K13" s="23" t="n"/>
      <c r="L13" s="23" t="n"/>
      <c r="M13" s="27" t="inlineStr">
        <is>
          <t>Hechos · trámites de la fase · coste previsto · coste real · % de avance (los «N/A» cuentan como resueltos).</t>
        </is>
      </c>
    </row>
    <row r="14"/>
    <row r="15">
      <c r="A15" s="5" t="inlineStr">
        <is>
          <t>F2 · Sociedad, altas fiscales y proyecto técnico</t>
        </is>
      </c>
      <c r="B15" s="14" t="inlineStr"/>
      <c r="C15" s="14" t="inlineStr"/>
      <c r="D15" s="14" t="inlineStr"/>
      <c r="E15" s="14" t="inlineStr"/>
      <c r="F15" s="14" t="inlineStr"/>
      <c r="G15" s="14" t="inlineStr"/>
      <c r="H15" s="14" t="inlineStr"/>
      <c r="I15" s="14" t="inlineStr"/>
      <c r="J15" s="14" t="inlineStr"/>
      <c r="K15" s="14" t="inlineStr"/>
      <c r="L15" s="14" t="inlineStr"/>
      <c r="M15" s="14" t="inlineStr"/>
    </row>
    <row r="16" ht="44" customHeight="1">
      <c r="A16" s="15" t="inlineStr">
        <is>
          <t>Pendiente</t>
        </is>
      </c>
      <c r="B16" s="9" t="inlineStr">
        <is>
          <t>F2</t>
        </is>
      </c>
      <c r="C16" s="22" t="inlineStr">
        <is>
          <t>Constituir la sociedad o darse de alta como autónomo</t>
        </is>
      </c>
      <c r="D16" s="16" t="inlineStr">
        <is>
          <t>Promotor</t>
        </is>
      </c>
      <c r="E16" s="17" t="n">
        <v>20</v>
      </c>
      <c r="F16" s="18" t="inlineStr">
        <is>
          <t>A presupuestar</t>
        </is>
      </c>
      <c r="G16" s="18" t="inlineStr">
        <is>
          <t>Sin pagar</t>
        </is>
      </c>
      <c r="H16" s="19" t="n">
        <v>46298</v>
      </c>
      <c r="I16" s="19" t="n">
        <v>46298</v>
      </c>
      <c r="J16" s="15" t="inlineStr">
        <is>
          <t>No</t>
        </is>
      </c>
      <c r="M16" s="6" t="inlineStr">
        <is>
          <t>Verifactu: 2027 para sociedades y autónomos, no 2026.  [Fuente: CHN-75]</t>
        </is>
      </c>
    </row>
    <row r="17" ht="44" customHeight="1">
      <c r="A17" s="15" t="inlineStr">
        <is>
          <t>Pendiente</t>
        </is>
      </c>
      <c r="B17" s="9" t="inlineStr">
        <is>
          <t>F2</t>
        </is>
      </c>
      <c r="C17" s="22" t="inlineStr">
        <is>
          <t>Alta censal con doble código CNAE, como pregunta al asesor</t>
        </is>
      </c>
      <c r="D17" s="16" t="inlineStr">
        <is>
          <t>Gestoría</t>
        </is>
      </c>
      <c r="E17" s="17" t="n">
        <v>3</v>
      </c>
      <c r="F17" s="18" t="inlineStr">
        <is>
          <t>A presupuestar</t>
        </is>
      </c>
      <c r="G17" s="18" t="inlineStr">
        <is>
          <t>Sin pagar</t>
        </is>
      </c>
      <c r="H17" s="19" t="n">
        <v>46298</v>
      </c>
      <c r="I17" s="19" t="n">
        <v>46298</v>
      </c>
      <c r="J17" s="15" t="inlineStr">
        <is>
          <t>No</t>
        </is>
      </c>
      <c r="M17" s="6" t="inlineStr">
        <is>
          <t>La correspondencia del IAE con el CNAE-2025 no está publicada: se pregunta, con el código de 2025 y el de 2009. Ojo: el 47.81 de 2025 es de vehículos de motor.  [Fuente: CUN-16 + CHN-74b + CUN-15]</t>
        </is>
      </c>
    </row>
    <row r="18" ht="44" customHeight="1">
      <c r="A18" s="15" t="inlineStr">
        <is>
          <t>Pendiente</t>
        </is>
      </c>
      <c r="B18" s="9" t="inlineStr">
        <is>
          <t>F2</t>
        </is>
      </c>
      <c r="C18" s="22" t="inlineStr">
        <is>
          <t>Alta en el IAE: la sala y la venta al peso</t>
        </is>
      </c>
      <c r="D18" s="16" t="inlineStr">
        <is>
          <t>Gestoría</t>
        </is>
      </c>
      <c r="E18" s="17" t="n">
        <v>3</v>
      </c>
      <c r="F18" s="18" t="inlineStr">
        <is>
          <t>A presupuestar</t>
        </is>
      </c>
      <c r="G18" s="18" t="inlineStr">
        <is>
          <t>Sin pagar</t>
        </is>
      </c>
      <c r="H18" s="19" t="n">
        <v>46298</v>
      </c>
      <c r="I18" s="19" t="n">
        <v>46298</v>
      </c>
      <c r="J18" s="15" t="inlineStr">
        <is>
          <t>No</t>
        </is>
      </c>
      <c r="M18" s="6" t="inlineStr">
        <is>
          <t>Alta sí, pago casi nunca: exención por debajo de un millón de euros de cifra de negocio. Una cuota faculta sólo para su actividad.  [Fuente: CUN-09 + CUN-14 + CHN-73 + CHN-94]</t>
        </is>
      </c>
    </row>
    <row r="19" ht="44" customHeight="1">
      <c r="A19" s="15" t="inlineStr">
        <is>
          <t>Pendiente</t>
        </is>
      </c>
      <c r="B19" s="9" t="inlineStr">
        <is>
          <t>F2</t>
        </is>
      </c>
      <c r="C19" s="22" t="inlineStr">
        <is>
          <t>Encargar el proyecto técnico de actividad y de la extracción</t>
        </is>
      </c>
      <c r="D19" s="16" t="inlineStr">
        <is>
          <t>Ingeniería</t>
        </is>
      </c>
      <c r="E19" s="17" t="n">
        <v>30</v>
      </c>
      <c r="F19" s="18" t="inlineStr">
        <is>
          <t>A presupuestar</t>
        </is>
      </c>
      <c r="G19" s="18" t="inlineStr">
        <is>
          <t>Sin pagar</t>
        </is>
      </c>
      <c r="H19" s="19" t="n">
        <v>46298</v>
      </c>
      <c r="I19" s="19" t="n">
        <v>46298</v>
      </c>
      <c r="J19" s="15" t="inlineStr">
        <is>
          <t>No</t>
        </is>
      </c>
      <c r="M19" s="6" t="inlineStr">
        <is>
          <t>Su coste es un supuesto del libro 2, bloque 8.  [Fuente: CUN-35]</t>
        </is>
      </c>
    </row>
    <row r="20" ht="44" customHeight="1">
      <c r="A20" s="15" t="inlineStr">
        <is>
          <t>Pendiente</t>
        </is>
      </c>
      <c r="B20" s="9" t="inlineStr">
        <is>
          <t>F2</t>
        </is>
      </c>
      <c r="C20" s="22" t="inlineStr">
        <is>
          <t>Firmar el arrendamiento y depositar la fianza</t>
        </is>
      </c>
      <c r="D20" s="16" t="inlineStr">
        <is>
          <t>Promotor</t>
        </is>
      </c>
      <c r="E20" s="17" t="n">
        <v>5</v>
      </c>
      <c r="F20" s="18" t="inlineStr">
        <is>
          <t>A presupuestar</t>
        </is>
      </c>
      <c r="G20" s="18" t="inlineStr">
        <is>
          <t>Sin pagar</t>
        </is>
      </c>
      <c r="H20" s="19" t="n">
        <v>46298</v>
      </c>
      <c r="I20" s="19" t="n">
        <v>46298</v>
      </c>
      <c r="J20" s="15" t="inlineStr">
        <is>
          <t>Sí</t>
        </is>
      </c>
      <c r="M20" s="6" t="inlineStr">
        <is>
          <t>La fianza se deposita en el organismo de tu comunidad.  [Fuente: supuesto]</t>
        </is>
      </c>
    </row>
    <row r="21">
      <c r="A21" s="23" t="n"/>
      <c r="B21" s="23" t="n"/>
      <c r="C21" s="23" t="inlineStr">
        <is>
          <t>AVANCE DE LA FASE F2</t>
        </is>
      </c>
      <c r="D21" s="24">
        <f>IFERROR(COUNTIF(A16:A20,"Hecho"),"")</f>
        <v>0.0</v>
      </c>
      <c r="E21" s="24">
        <f>IFERROR(COUNTIF(B16:B20,"F2"),"")</f>
        <v>5.0</v>
      </c>
      <c r="F21" s="25">
        <f>IFERROR(SUMIF(F16:F20,"&gt;=0"),"")</f>
        <v>0.0</v>
      </c>
      <c r="G21" s="25">
        <f>IFERROR(SUMIF(G16:G20,"&gt;=0"),"")</f>
        <v>0.0</v>
      </c>
      <c r="H21" s="23" t="n"/>
      <c r="I21" s="23" t="n"/>
      <c r="J21" s="26">
        <f>IFERROR(IF(E21=0,"",(D21+COUNTIF(A16:A20,"N/A"))/E21),"")</f>
        <v>0.0</v>
      </c>
      <c r="K21" s="23" t="n"/>
      <c r="L21" s="23" t="n"/>
      <c r="M21" s="27" t="inlineStr">
        <is>
          <t>Hechos · trámites de la fase · coste previsto · coste real · % de avance (los «N/A» cuentan como resueltos).</t>
        </is>
      </c>
    </row>
    <row r="22"/>
    <row r="23">
      <c r="A23" s="5" t="inlineStr">
        <is>
          <t>F3 · Licencias de obra y de actividad, gas y terraza</t>
        </is>
      </c>
      <c r="B23" s="14" t="inlineStr"/>
      <c r="C23" s="14" t="inlineStr"/>
      <c r="D23" s="14" t="inlineStr"/>
      <c r="E23" s="14" t="inlineStr"/>
      <c r="F23" s="14" t="inlineStr"/>
      <c r="G23" s="14" t="inlineStr"/>
      <c r="H23" s="14" t="inlineStr"/>
      <c r="I23" s="14" t="inlineStr"/>
      <c r="J23" s="14" t="inlineStr"/>
      <c r="K23" s="14" t="inlineStr"/>
      <c r="L23" s="14" t="inlineStr"/>
      <c r="M23" s="14" t="inlineStr"/>
    </row>
    <row r="24" ht="44" customHeight="1">
      <c r="A24" s="15" t="inlineStr">
        <is>
          <t>Pendiente</t>
        </is>
      </c>
      <c r="B24" s="9" t="inlineStr">
        <is>
          <t>F3</t>
        </is>
      </c>
      <c r="C24" s="22" t="inlineStr">
        <is>
          <t>Pedir la licencia de obra del conducto, si la primera fila dijo que sí</t>
        </is>
      </c>
      <c r="D24" s="16" t="inlineStr">
        <is>
          <t>Técnico</t>
        </is>
      </c>
      <c r="E24" s="17" t="n">
        <v>60</v>
      </c>
      <c r="F24" s="18" t="inlineStr">
        <is>
          <t>A presupuestar</t>
        </is>
      </c>
      <c r="G24" s="18" t="inlineStr">
        <is>
          <t>Sin pagar</t>
        </is>
      </c>
      <c r="H24" s="19" t="n">
        <v>46298</v>
      </c>
      <c r="I24" s="19" t="n">
        <v>46298</v>
      </c>
      <c r="J24" s="15" t="inlineStr">
        <is>
          <t>Sí</t>
        </is>
      </c>
      <c r="M24" s="6" t="inlineStr">
        <is>
          <t>[Fuente: CUN-35]</t>
        </is>
      </c>
    </row>
    <row r="25" ht="44" customHeight="1">
      <c r="A25" s="15" t="inlineStr">
        <is>
          <t>Pendiente</t>
        </is>
      </c>
      <c r="B25" s="9" t="inlineStr">
        <is>
          <t>F3</t>
        </is>
      </c>
      <c r="C25" s="22" t="inlineStr">
        <is>
          <t>Presentar la declaración responsable o pedir la licencia de actividad</t>
        </is>
      </c>
      <c r="D25" s="16" t="inlineStr">
        <is>
          <t>Técnico</t>
        </is>
      </c>
      <c r="E25" s="17" t="n">
        <v>30</v>
      </c>
      <c r="F25" s="18" t="inlineStr">
        <is>
          <t>A presupuestar</t>
        </is>
      </c>
      <c r="G25" s="18" t="inlineStr">
        <is>
          <t>Sin pagar</t>
        </is>
      </c>
      <c r="H25" s="19" t="n">
        <v>46298</v>
      </c>
      <c r="I25" s="19" t="n">
        <v>46298</v>
      </c>
      <c r="J25" s="15" t="inlineStr">
        <is>
          <t>Sí</t>
        </is>
      </c>
      <c r="M25" s="6" t="inlineStr">
        <is>
          <t>El modelo depende de la segunda fila: nunca «necesitas licencia» o «no la necesitas» sin decir cuál.  [Fuente: CUN-35 + CHN-49c]</t>
        </is>
      </c>
    </row>
    <row r="26" ht="44" customHeight="1">
      <c r="A26" s="15" t="inlineStr">
        <is>
          <t>Pendiente</t>
        </is>
      </c>
      <c r="B26" s="9" t="inlineStr">
        <is>
          <t>F3</t>
        </is>
      </c>
      <c r="C26" s="22" t="inlineStr">
        <is>
          <t>Certificar la instalación receptora de gas</t>
        </is>
      </c>
      <c r="D26" s="16" t="inlineStr">
        <is>
          <t>Instalador</t>
        </is>
      </c>
      <c r="E26" s="17" t="n">
        <v>15</v>
      </c>
      <c r="F26" s="18" t="inlineStr">
        <is>
          <t>A presupuestar</t>
        </is>
      </c>
      <c r="G26" s="18" t="inlineStr">
        <is>
          <t>Sin pagar</t>
        </is>
      </c>
      <c r="H26" s="19" t="n">
        <v>46298</v>
      </c>
      <c r="I26" s="19" t="n">
        <v>46298</v>
      </c>
      <c r="J26" s="15" t="inlineStr">
        <is>
          <t>No</t>
        </is>
      </c>
      <c r="M26" s="6" t="inlineStr">
        <is>
          <t>[Fuente: CHN-48]</t>
        </is>
      </c>
    </row>
    <row r="27" ht="44" customHeight="1">
      <c r="A27" s="15" t="inlineStr">
        <is>
          <t>Pendiente</t>
        </is>
      </c>
      <c r="B27" s="9" t="inlineStr">
        <is>
          <t>F3</t>
        </is>
      </c>
      <c r="C27" s="22" t="inlineStr">
        <is>
          <t>Pedir la autorización de la terraza</t>
        </is>
      </c>
      <c r="D27" s="16" t="inlineStr">
        <is>
          <t>Promotor</t>
        </is>
      </c>
      <c r="E27" s="17" t="n">
        <v>30</v>
      </c>
      <c r="F27" s="18" t="inlineStr">
        <is>
          <t>A presupuestar</t>
        </is>
      </c>
      <c r="G27" s="18" t="inlineStr">
        <is>
          <t>Sin pagar</t>
        </is>
      </c>
      <c r="H27" s="19" t="n">
        <v>46298</v>
      </c>
      <c r="I27" s="19" t="n">
        <v>46298</v>
      </c>
      <c r="J27" s="15" t="inlineStr">
        <is>
          <t>Sí</t>
        </is>
      </c>
      <c r="M27" s="6" t="inlineStr">
        <is>
          <t>La ocupación de la vía pública va aparte (art. 2.2 de la Ley 12/2012).  [Fuente: CUN-35]</t>
        </is>
      </c>
    </row>
    <row r="28">
      <c r="A28" s="23" t="n"/>
      <c r="B28" s="23" t="n"/>
      <c r="C28" s="23" t="inlineStr">
        <is>
          <t>AVANCE DE LA FASE F3</t>
        </is>
      </c>
      <c r="D28" s="24">
        <f>IFERROR(COUNTIF(A24:A27,"Hecho"),"")</f>
        <v>0.0</v>
      </c>
      <c r="E28" s="24">
        <f>IFERROR(COUNTIF(B24:B27,"F3"),"")</f>
        <v>4.0</v>
      </c>
      <c r="F28" s="25">
        <f>IFERROR(SUMIF(F24:F27,"&gt;=0"),"")</f>
        <v>0.0</v>
      </c>
      <c r="G28" s="25">
        <f>IFERROR(SUMIF(G24:G27,"&gt;=0"),"")</f>
        <v>0.0</v>
      </c>
      <c r="H28" s="23" t="n"/>
      <c r="I28" s="23" t="n"/>
      <c r="J28" s="26">
        <f>IFERROR(IF(E28=0,"",(D28+COUNTIF(A24:A27,"N/A"))/E28),"")</f>
        <v>0.0</v>
      </c>
      <c r="K28" s="23" t="n"/>
      <c r="L28" s="23" t="n"/>
      <c r="M28" s="27" t="inlineStr">
        <is>
          <t>Hechos · trámites de la fase · coste previsto · coste real · % de avance (los «N/A» cuentan como resueltos).</t>
        </is>
      </c>
    </row>
    <row r="29"/>
    <row r="30">
      <c r="A30" s="5" t="inlineStr">
        <is>
          <t>F4 · Obra, instalaciones y maquinaria</t>
        </is>
      </c>
      <c r="B30" s="14" t="inlineStr"/>
      <c r="C30" s="14" t="inlineStr"/>
      <c r="D30" s="14" t="inlineStr"/>
      <c r="E30" s="14" t="inlineStr"/>
      <c r="F30" s="14" t="inlineStr"/>
      <c r="G30" s="14" t="inlineStr"/>
      <c r="H30" s="14" t="inlineStr"/>
      <c r="I30" s="14" t="inlineStr"/>
      <c r="J30" s="14" t="inlineStr"/>
      <c r="K30" s="14" t="inlineStr"/>
      <c r="L30" s="14" t="inlineStr"/>
      <c r="M30" s="14" t="inlineStr"/>
    </row>
    <row r="31" ht="44" customHeight="1">
      <c r="A31" s="15" t="inlineStr">
        <is>
          <t>Pendiente</t>
        </is>
      </c>
      <c r="B31" s="9" t="inlineStr">
        <is>
          <t>F4</t>
        </is>
      </c>
      <c r="C31" s="22" t="inlineStr">
        <is>
          <t>Hacer la obra y el conducto</t>
        </is>
      </c>
      <c r="D31" s="16" t="inlineStr">
        <is>
          <t>Promotor</t>
        </is>
      </c>
      <c r="E31" s="17" t="n">
        <v>60</v>
      </c>
      <c r="F31" s="18" t="inlineStr">
        <is>
          <t>A presupuestar</t>
        </is>
      </c>
      <c r="G31" s="18" t="inlineStr">
        <is>
          <t>Sin pagar</t>
        </is>
      </c>
      <c r="H31" s="19" t="n">
        <v>46298</v>
      </c>
      <c r="I31" s="19" t="n">
        <v>46298</v>
      </c>
      <c r="J31" s="15" t="inlineStr">
        <is>
          <t>No</t>
        </is>
      </c>
      <c r="M31" s="6" t="inlineStr">
        <is>
          <t>[Fuente: CUN-23]</t>
        </is>
      </c>
    </row>
    <row r="32" ht="44" customHeight="1">
      <c r="A32" s="15" t="inlineStr">
        <is>
          <t>Pendiente</t>
        </is>
      </c>
      <c r="B32" s="9" t="inlineStr">
        <is>
          <t>F4</t>
        </is>
      </c>
      <c r="C32" s="22" t="inlineStr">
        <is>
          <t>Instalar la campana con los filtros a su distancia y el extintor de clase F</t>
        </is>
      </c>
      <c r="D32" s="16" t="inlineStr">
        <is>
          <t>Instalador</t>
        </is>
      </c>
      <c r="E32" s="17" t="n">
        <v>10</v>
      </c>
      <c r="F32" s="18" t="inlineStr">
        <is>
          <t>A presupuestar</t>
        </is>
      </c>
      <c r="G32" s="18" t="inlineStr">
        <is>
          <t>Sin pagar</t>
        </is>
      </c>
      <c r="H32" s="19" t="n">
        <v>46298</v>
      </c>
      <c r="I32" s="19" t="n">
        <v>46298</v>
      </c>
      <c r="J32" s="15" t="inlineStr">
        <is>
          <t>No</t>
        </is>
      </c>
      <c r="M32" s="6" t="inlineStr">
        <is>
          <t>[Fuente: CUN-26 + CUN-38]</t>
        </is>
      </c>
    </row>
    <row r="33" ht="44" customHeight="1">
      <c r="A33" s="15" t="inlineStr">
        <is>
          <t>Pendiente</t>
        </is>
      </c>
      <c r="B33" s="9" t="inlineStr">
        <is>
          <t>F4</t>
        </is>
      </c>
      <c r="C33" s="22" t="inlineStr">
        <is>
          <t>Pedir la maquinaria crítica con el plazo de entrega por escrito</t>
        </is>
      </c>
      <c r="D33" s="16" t="inlineStr">
        <is>
          <t>Promotor</t>
        </is>
      </c>
      <c r="E33" s="28">
        <f>IFERROR('Cronograma y Ruta Crítica'!$C$6*'Cronograma y Ruta Crítica'!$C$7,"")</f>
        <v>42.0</v>
      </c>
      <c r="F33" s="18" t="inlineStr">
        <is>
          <t>A presupuestar</t>
        </is>
      </c>
      <c r="G33" s="18" t="inlineStr">
        <is>
          <t>Sin pagar</t>
        </is>
      </c>
      <c r="H33" s="19" t="n">
        <v>46298</v>
      </c>
      <c r="I33" s="19" t="n">
        <v>46298</v>
      </c>
      <c r="J33" s="15" t="inlineStr">
        <is>
          <t>No</t>
        </is>
      </c>
      <c r="M33" s="6" t="inlineStr">
        <is>
          <t>El plazo de esta fila sale del plazo de entrega de la maquinaria crítica, que se pone UNA sola vez, en la hoja «Cronograma y Ruta Crítica» (celda C6), en semanas. Pídelo por escrito al proveedor.  [Fuente: supuesto]</t>
        </is>
      </c>
    </row>
    <row r="34" ht="44" customHeight="1">
      <c r="A34" s="15" t="inlineStr">
        <is>
          <t>Pendiente</t>
        </is>
      </c>
      <c r="B34" s="9" t="inlineStr">
        <is>
          <t>F4</t>
        </is>
      </c>
      <c r="C34" s="22" t="inlineStr">
        <is>
          <t>Contratar un gestor autorizado del aceite usado y guardar los justificantes</t>
        </is>
      </c>
      <c r="D34" s="16" t="inlineStr">
        <is>
          <t>Promotor</t>
        </is>
      </c>
      <c r="E34" s="17" t="n">
        <v>5</v>
      </c>
      <c r="F34" s="18" t="inlineStr">
        <is>
          <t>A presupuestar</t>
        </is>
      </c>
      <c r="G34" s="18" t="inlineStr">
        <is>
          <t>Sin pagar</t>
        </is>
      </c>
      <c r="H34" s="19" t="n">
        <v>46298</v>
      </c>
      <c r="I34" s="19" t="n">
        <v>46298</v>
      </c>
      <c r="J34" s="15" t="inlineStr">
        <is>
          <t>No</t>
        </is>
      </c>
      <c r="M34" s="6" t="inlineStr">
        <is>
          <t>La recogida separada del aceite de cocina usado es obligatoria.  [Fuente: CUN-27 + CUS-44h]</t>
        </is>
      </c>
    </row>
    <row r="35">
      <c r="A35" s="23" t="n"/>
      <c r="B35" s="23" t="n"/>
      <c r="C35" s="23" t="inlineStr">
        <is>
          <t>AVANCE DE LA FASE F4</t>
        </is>
      </c>
      <c r="D35" s="24">
        <f>IFERROR(COUNTIF(A31:A34,"Hecho"),"")</f>
        <v>0.0</v>
      </c>
      <c r="E35" s="24">
        <f>IFERROR(COUNTIF(B31:B34,"F4"),"")</f>
        <v>4.0</v>
      </c>
      <c r="F35" s="25">
        <f>IFERROR(SUMIF(F31:F34,"&gt;=0"),"")</f>
        <v>0.0</v>
      </c>
      <c r="G35" s="25">
        <f>IFERROR(SUMIF(G31:G34,"&gt;=0"),"")</f>
        <v>0.0</v>
      </c>
      <c r="H35" s="23" t="n"/>
      <c r="I35" s="23" t="n"/>
      <c r="J35" s="26">
        <f>IFERROR(IF(E35=0,"",(D35+COUNTIF(A31:A34,"N/A"))/E35),"")</f>
        <v>0.0</v>
      </c>
      <c r="K35" s="23" t="n"/>
      <c r="L35" s="23" t="n"/>
      <c r="M35" s="27" t="inlineStr">
        <is>
          <t>Hechos · trámites de la fase · coste previsto · coste real · % de avance (los «N/A» cuentan como resueltos).</t>
        </is>
      </c>
    </row>
    <row r="36"/>
    <row r="37">
      <c r="A37" s="5" t="inlineStr">
        <is>
          <t>F5 · Registro sanitario, autocontrol, aceite, alérgenos y formación</t>
        </is>
      </c>
      <c r="B37" s="14" t="inlineStr"/>
      <c r="C37" s="14" t="inlineStr"/>
      <c r="D37" s="14" t="inlineStr"/>
      <c r="E37" s="14" t="inlineStr"/>
      <c r="F37" s="14" t="inlineStr"/>
      <c r="G37" s="14" t="inlineStr"/>
      <c r="H37" s="14" t="inlineStr"/>
      <c r="I37" s="14" t="inlineStr"/>
      <c r="J37" s="14" t="inlineStr"/>
      <c r="K37" s="14" t="inlineStr"/>
      <c r="L37" s="14" t="inlineStr"/>
      <c r="M37" s="14" t="inlineStr"/>
    </row>
    <row r="38" ht="44" customHeight="1">
      <c r="A38" s="15" t="inlineStr">
        <is>
          <t>Pendiente</t>
        </is>
      </c>
      <c r="B38" s="9" t="inlineStr">
        <is>
          <t>F5</t>
        </is>
      </c>
      <c r="C38" s="22" t="inlineStr">
        <is>
          <t>Comunicar la actividad al registro sanitario autonómico</t>
        </is>
      </c>
      <c r="D38" s="16" t="inlineStr">
        <is>
          <t>Promotor</t>
        </is>
      </c>
      <c r="E38" s="17" t="n">
        <v>15</v>
      </c>
      <c r="F38" s="18" t="inlineStr">
        <is>
          <t>A presupuestar</t>
        </is>
      </c>
      <c r="G38" s="18" t="inlineStr">
        <is>
          <t>Sin pagar</t>
        </is>
      </c>
      <c r="H38" s="19" t="n">
        <v>46298</v>
      </c>
      <c r="I38" s="19" t="n">
        <v>46298</v>
      </c>
      <c r="J38" s="15" t="inlineStr">
        <is>
          <t>Sí</t>
        </is>
      </c>
      <c r="M38" s="6" t="inlineStr">
        <is>
          <t>El minorista queda fuera del registro general; si sirves churros a una cafetería de otro titular, cambia la cosa (actividad restringida).  [Fuente: CHN-39 + CUN-30]</t>
        </is>
      </c>
    </row>
    <row r="39" ht="44" customHeight="1">
      <c r="A39" s="15" t="inlineStr">
        <is>
          <t>Pendiente</t>
        </is>
      </c>
      <c r="B39" s="9" t="inlineStr">
        <is>
          <t>F5</t>
        </is>
      </c>
      <c r="C39" s="22" t="inlineStr">
        <is>
          <t>Plan de autocontrol con responsable y registro del aceite</t>
        </is>
      </c>
      <c r="D39" s="16" t="inlineStr">
        <is>
          <t>Encargado/a</t>
        </is>
      </c>
      <c r="E39" s="17" t="n">
        <v>10</v>
      </c>
      <c r="F39" s="18" t="inlineStr">
        <is>
          <t>A presupuestar</t>
        </is>
      </c>
      <c r="G39" s="18" t="inlineStr">
        <is>
          <t>Sin pagar</t>
        </is>
      </c>
      <c r="H39" s="19" t="n">
        <v>46298</v>
      </c>
      <c r="I39" s="19" t="n">
        <v>46298</v>
      </c>
      <c r="J39" s="15" t="inlineStr">
        <is>
          <t>No</t>
        </is>
      </c>
      <c r="M39" s="6" t="inlineStr">
        <is>
          <t>La norma de aceites alcanza a la churrería; polares por debajo del 25 %; el artículo 9 sigue vivo. El registro se lleva en el Pack APPCC 09.  [Fuente: CHN-32 + CUN-01 + CUN-02 + CUN-03]</t>
        </is>
      </c>
    </row>
    <row r="40" ht="44" customHeight="1">
      <c r="A40" s="15" t="inlineStr">
        <is>
          <t>Pendiente</t>
        </is>
      </c>
      <c r="B40" s="9" t="inlineStr">
        <is>
          <t>F5</t>
        </is>
      </c>
      <c r="C40" s="22" t="inlineStr">
        <is>
          <t>Alérgenos de la carta por escrito y aceite compartido</t>
        </is>
      </c>
      <c r="D40" s="16" t="inlineStr">
        <is>
          <t>Encargado/a</t>
        </is>
      </c>
      <c r="E40" s="17" t="n">
        <v>5</v>
      </c>
      <c r="F40" s="18" t="inlineStr">
        <is>
          <t>A presupuestar</t>
        </is>
      </c>
      <c r="G40" s="18" t="inlineStr">
        <is>
          <t>Sin pagar</t>
        </is>
      </c>
      <c r="H40" s="19" t="n">
        <v>46298</v>
      </c>
      <c r="I40" s="19" t="n">
        <v>46298</v>
      </c>
      <c r="J40" s="15" t="inlineStr">
        <is>
          <t>No</t>
        </is>
      </c>
      <c r="M40" s="6" t="inlineStr">
        <is>
          <t>Gluten siempre; la freidora que fríe otra cosa contamina; «sin gluten» casi nunca se puede decir.  [Fuente: CHN-34 + CHN-33 + CHN-37]</t>
        </is>
      </c>
    </row>
    <row r="41" ht="44" customHeight="1">
      <c r="A41" s="15" t="inlineStr">
        <is>
          <t>Pendiente</t>
        </is>
      </c>
      <c r="B41" s="9" t="inlineStr">
        <is>
          <t>F5</t>
        </is>
      </c>
      <c r="C41" s="22" t="inlineStr">
        <is>
          <t>Acrilamida: buena práctica en el churro, parte A si fríes patatas</t>
        </is>
      </c>
      <c r="D41" s="16" t="inlineStr">
        <is>
          <t>Encargado/a</t>
        </is>
      </c>
      <c r="E41" s="17" t="n">
        <v>5</v>
      </c>
      <c r="F41" s="18" t="inlineStr">
        <is>
          <t>A presupuestar</t>
        </is>
      </c>
      <c r="G41" s="18" t="inlineStr">
        <is>
          <t>Sin pagar</t>
        </is>
      </c>
      <c r="H41" s="19" t="n">
        <v>46298</v>
      </c>
      <c r="I41" s="19" t="n">
        <v>46298</v>
      </c>
      <c r="J41" s="15" t="inlineStr">
        <is>
          <t>No</t>
        </is>
      </c>
      <c r="M41" s="6" t="inlineStr">
        <is>
          <t>El churro no está nombrado en el reglamento; la parte B sólo alcanza a quien sigue las instrucciones de un suministro centralizado (art. 2.3).  [Fuente: CUN-04 + CUN-05 + CUN-06 + CUN-07]</t>
        </is>
      </c>
    </row>
    <row r="42" ht="44" customHeight="1">
      <c r="A42" s="15" t="inlineStr">
        <is>
          <t>Pendiente</t>
        </is>
      </c>
      <c r="B42" s="9" t="inlineStr">
        <is>
          <t>F5</t>
        </is>
      </c>
      <c r="C42" s="22" t="inlineStr">
        <is>
          <t>Registro de formación del personal</t>
        </is>
      </c>
      <c r="D42" s="16" t="inlineStr">
        <is>
          <t>Encargado/a</t>
        </is>
      </c>
      <c r="E42" s="17" t="n">
        <v>5</v>
      </c>
      <c r="F42" s="18" t="inlineStr">
        <is>
          <t>A presupuestar</t>
        </is>
      </c>
      <c r="G42" s="18" t="inlineStr">
        <is>
          <t>Sin pagar</t>
        </is>
      </c>
      <c r="H42" s="19" t="n">
        <v>46298</v>
      </c>
      <c r="I42" s="19" t="n">
        <v>46298</v>
      </c>
      <c r="J42" s="15" t="inlineStr">
        <is>
          <t>No</t>
        </is>
      </c>
      <c r="M42" s="6" t="inlineStr">
        <is>
          <t>[Fuente: CHN-69]</t>
        </is>
      </c>
    </row>
    <row r="43" ht="44" customHeight="1">
      <c r="A43" s="15" t="inlineStr">
        <is>
          <t>Pendiente</t>
        </is>
      </c>
      <c r="B43" s="9" t="inlineStr">
        <is>
          <t>F5</t>
        </is>
      </c>
      <c r="C43" s="22" t="inlineStr">
        <is>
          <t>Denominación del chocolate según la etiqueta del preparado</t>
        </is>
      </c>
      <c r="D43" s="16" t="inlineStr">
        <is>
          <t>Encargado/a</t>
        </is>
      </c>
      <c r="E43" s="17" t="n">
        <v>3</v>
      </c>
      <c r="F43" s="18" t="inlineStr">
        <is>
          <t>A presupuestar</t>
        </is>
      </c>
      <c r="G43" s="18" t="inlineStr">
        <is>
          <t>Sin pagar</t>
        </is>
      </c>
      <c r="H43" s="19" t="n">
        <v>46298</v>
      </c>
      <c r="I43" s="19" t="n">
        <v>46298</v>
      </c>
      <c r="J43" s="15" t="inlineStr">
        <is>
          <t>No</t>
        </is>
      </c>
      <c r="M43" s="6" t="inlineStr">
        <is>
          <t>Qué preparado compras y qué dice su etiqueta; con menos del 35 % de cacao seco total o con grasa vegetal, consulta a tu servicio de consumo antes de imprimir la carta.  [Fuente: CUN-42 + CUN-V06]</t>
        </is>
      </c>
    </row>
    <row r="44" ht="44" customHeight="1">
      <c r="A44" s="15" t="inlineStr">
        <is>
          <t>Pendiente</t>
        </is>
      </c>
      <c r="B44" s="9" t="inlineStr">
        <is>
          <t>F5</t>
        </is>
      </c>
      <c r="C44" s="22" t="inlineStr">
        <is>
          <t>Cobrar aparte el vaso de plástico para llevar</t>
        </is>
      </c>
      <c r="D44" s="16" t="inlineStr">
        <is>
          <t>Encargado/a</t>
        </is>
      </c>
      <c r="E44" s="17" t="n">
        <v>1</v>
      </c>
      <c r="F44" s="18" t="inlineStr">
        <is>
          <t>A presupuestar</t>
        </is>
      </c>
      <c r="G44" s="18" t="inlineStr">
        <is>
          <t>Sin pagar</t>
        </is>
      </c>
      <c r="H44" s="19" t="n">
        <v>46298</v>
      </c>
      <c r="I44" s="19" t="n">
        <v>46298</v>
      </c>
      <c r="J44" s="15" t="inlineStr">
        <is>
          <t>No</t>
        </is>
      </c>
      <c r="M44" s="6" t="inlineStr">
        <is>
          <t>[Fuente: CUN-41]</t>
        </is>
      </c>
    </row>
    <row r="45">
      <c r="A45" s="23" t="n"/>
      <c r="B45" s="23" t="n"/>
      <c r="C45" s="23" t="inlineStr">
        <is>
          <t>AVANCE DE LA FASE F5</t>
        </is>
      </c>
      <c r="D45" s="24">
        <f>IFERROR(COUNTIF(A38:A44,"Hecho"),"")</f>
        <v>0.0</v>
      </c>
      <c r="E45" s="24">
        <f>IFERROR(COUNTIF(B38:B44,"F5"),"")</f>
        <v>7.0</v>
      </c>
      <c r="F45" s="25">
        <f>IFERROR(SUMIF(F38:F44,"&gt;=0"),"")</f>
        <v>0.0</v>
      </c>
      <c r="G45" s="25">
        <f>IFERROR(SUMIF(G38:G44,"&gt;=0"),"")</f>
        <v>0.0</v>
      </c>
      <c r="H45" s="23" t="n"/>
      <c r="I45" s="23" t="n"/>
      <c r="J45" s="26">
        <f>IFERROR(IF(E45=0,"",(D45+COUNTIF(A38:A44,"N/A"))/E45),"")</f>
        <v>0.0</v>
      </c>
      <c r="K45" s="23" t="n"/>
      <c r="L45" s="23" t="n"/>
      <c r="M45" s="27" t="inlineStr">
        <is>
          <t>Hechos · trámites de la fase · coste previsto · coste real · % de avance (los «N/A» cuentan como resueltos).</t>
        </is>
      </c>
    </row>
    <row r="46"/>
    <row r="47">
      <c r="A47" s="5" t="inlineStr">
        <is>
          <t>F6 · Apertura: plantilla, horario y carta</t>
        </is>
      </c>
      <c r="B47" s="14" t="inlineStr"/>
      <c r="C47" s="14" t="inlineStr"/>
      <c r="D47" s="14" t="inlineStr"/>
      <c r="E47" s="14" t="inlineStr"/>
      <c r="F47" s="14" t="inlineStr"/>
      <c r="G47" s="14" t="inlineStr"/>
      <c r="H47" s="14" t="inlineStr"/>
      <c r="I47" s="14" t="inlineStr"/>
      <c r="J47" s="14" t="inlineStr"/>
      <c r="K47" s="14" t="inlineStr"/>
      <c r="L47" s="14" t="inlineStr"/>
      <c r="M47" s="14" t="inlineStr"/>
    </row>
    <row r="48" ht="44" customHeight="1">
      <c r="A48" s="15" t="inlineStr">
        <is>
          <t>Pendiente</t>
        </is>
      </c>
      <c r="B48" s="9" t="inlineStr">
        <is>
          <t>F6</t>
        </is>
      </c>
      <c r="C48" s="22" t="inlineStr">
        <is>
          <t>Contratos, altas y convenio aplicable</t>
        </is>
      </c>
      <c r="D48" s="16" t="inlineStr">
        <is>
          <t>Gestoría</t>
        </is>
      </c>
      <c r="E48" s="17" t="n">
        <v>10</v>
      </c>
      <c r="F48" s="18" t="inlineStr">
        <is>
          <t>A presupuestar</t>
        </is>
      </c>
      <c r="G48" s="18" t="inlineStr">
        <is>
          <t>Sin pagar</t>
        </is>
      </c>
      <c r="H48" s="19" t="n">
        <v>46298</v>
      </c>
      <c r="I48" s="19" t="n">
        <v>46298</v>
      </c>
      <c r="J48" s="15" t="inlineStr">
        <is>
          <t>Sí</t>
        </is>
      </c>
      <c r="M48" s="6" t="inlineStr">
        <is>
          <t>El de Madrid es el ejemplo; busca el tuyo en REGCON.  [Fuente: CUN-39 + CUN-V01 + CHN-93 + CUN-V05]</t>
        </is>
      </c>
    </row>
    <row r="49" ht="44" customHeight="1">
      <c r="A49" s="15" t="inlineStr">
        <is>
          <t>Pendiente</t>
        </is>
      </c>
      <c r="B49" s="9" t="inlineStr">
        <is>
          <t>F6</t>
        </is>
      </c>
      <c r="C49" s="22" t="inlineStr">
        <is>
          <t>Nocturnidad: las dos figuras, persona a persona</t>
        </is>
      </c>
      <c r="D49" s="16" t="inlineStr">
        <is>
          <t>Gestoría</t>
        </is>
      </c>
      <c r="E49" s="17" t="n">
        <v>3</v>
      </c>
      <c r="F49" s="18" t="inlineStr">
        <is>
          <t>A presupuestar</t>
        </is>
      </c>
      <c r="G49" s="18" t="inlineStr">
        <is>
          <t>Sin pagar</t>
        </is>
      </c>
      <c r="H49" s="19" t="n">
        <v>46298</v>
      </c>
      <c r="I49" s="19" t="n">
        <v>46298</v>
      </c>
      <c r="J49" s="15" t="inlineStr">
        <is>
          <t>No</t>
        </is>
      </c>
      <c r="M49" s="6" t="inlineStr">
        <is>
          <t>El trabajador nocturno del Estatuto y el plus del convenio son dos cosas distintas.  [Fuente: CUN-29 + CUN-40]</t>
        </is>
      </c>
    </row>
    <row r="50" ht="44" customHeight="1">
      <c r="A50" s="15" t="inlineStr">
        <is>
          <t>Pendiente</t>
        </is>
      </c>
      <c r="B50" s="9" t="inlineStr">
        <is>
          <t>F6</t>
        </is>
      </c>
      <c r="C50" s="22" t="inlineStr">
        <is>
          <t>Registro diario de jornada</t>
        </is>
      </c>
      <c r="D50" s="16" t="inlineStr">
        <is>
          <t>Encargado/a</t>
        </is>
      </c>
      <c r="E50" s="17" t="n">
        <v>1</v>
      </c>
      <c r="F50" s="18" t="inlineStr">
        <is>
          <t>A presupuestar</t>
        </is>
      </c>
      <c r="G50" s="18" t="inlineStr">
        <is>
          <t>Sin pagar</t>
        </is>
      </c>
      <c r="H50" s="19" t="n">
        <v>46298</v>
      </c>
      <c r="I50" s="19" t="n">
        <v>46298</v>
      </c>
      <c r="J50" s="15" t="inlineStr">
        <is>
          <t>No</t>
        </is>
      </c>
      <c r="M50" s="6" t="inlineStr">
        <is>
          <t>[Fuente: CHN-68]</t>
        </is>
      </c>
    </row>
    <row r="51" ht="44" customHeight="1">
      <c r="A51" s="15" t="inlineStr">
        <is>
          <t>Pendiente</t>
        </is>
      </c>
      <c r="B51" s="9" t="inlineStr">
        <is>
          <t>F6</t>
        </is>
      </c>
      <c r="C51" s="22" t="inlineStr">
        <is>
          <t>Salarios por encima del SMI</t>
        </is>
      </c>
      <c r="D51" s="16" t="inlineStr">
        <is>
          <t>Gestoría</t>
        </is>
      </c>
      <c r="E51" s="17" t="n">
        <v>1</v>
      </c>
      <c r="F51" s="18" t="inlineStr">
        <is>
          <t>A presupuestar</t>
        </is>
      </c>
      <c r="G51" s="18" t="inlineStr">
        <is>
          <t>Sin pagar</t>
        </is>
      </c>
      <c r="H51" s="19" t="n">
        <v>46298</v>
      </c>
      <c r="I51" s="19" t="n">
        <v>46298</v>
      </c>
      <c r="J51" s="15" t="inlineStr">
        <is>
          <t>No</t>
        </is>
      </c>
      <c r="M51" s="6" t="inlineStr">
        <is>
          <t>[Fuente: CHN-67]</t>
        </is>
      </c>
    </row>
    <row r="52">
      <c r="A52" s="23" t="n"/>
      <c r="B52" s="23" t="n"/>
      <c r="C52" s="23" t="inlineStr">
        <is>
          <t>AVANCE DE LA FASE F6</t>
        </is>
      </c>
      <c r="D52" s="24">
        <f>IFERROR(COUNTIF(A48:A51,"Hecho"),"")</f>
        <v>0.0</v>
      </c>
      <c r="E52" s="24">
        <f>IFERROR(COUNTIF(B48:B51,"F6"),"")</f>
        <v>4.0</v>
      </c>
      <c r="F52" s="25">
        <f>IFERROR(SUMIF(F48:F51,"&gt;=0"),"")</f>
        <v>0.0</v>
      </c>
      <c r="G52" s="25">
        <f>IFERROR(SUMIF(G48:G51,"&gt;=0"),"")</f>
        <v>0.0</v>
      </c>
      <c r="H52" s="23" t="n"/>
      <c r="I52" s="23" t="n"/>
      <c r="J52" s="26">
        <f>IFERROR(IF(E52=0,"",(D52+COUNTIF(A48:A51,"N/A"))/E52),"")</f>
        <v>0.0</v>
      </c>
      <c r="K52" s="23" t="n"/>
      <c r="L52" s="23" t="n"/>
      <c r="M52" s="27" t="inlineStr">
        <is>
          <t>Hechos · trámites de la fase · coste previsto · coste real · % de avance (los «N/A» cuentan como resueltos).</t>
        </is>
      </c>
    </row>
    <row r="53"/>
    <row r="54">
      <c r="A54" s="5" t="inlineStr">
        <is>
          <t>RESUMEN DE TODO EL EXPEDIENTE</t>
        </is>
      </c>
      <c r="B54" s="14" t="inlineStr"/>
      <c r="C54" s="14" t="inlineStr"/>
      <c r="D54" s="14" t="inlineStr"/>
      <c r="E54" s="14" t="inlineStr"/>
      <c r="F54" s="14" t="inlineStr"/>
      <c r="G54" s="14" t="inlineStr"/>
      <c r="H54" s="14" t="inlineStr"/>
      <c r="I54" s="14" t="inlineStr"/>
      <c r="J54" s="14" t="inlineStr"/>
      <c r="K54" s="14" t="inlineStr"/>
      <c r="L54" s="14" t="inlineStr"/>
      <c r="M54" s="14" t="inlineStr"/>
    </row>
    <row r="55">
      <c r="C55" t="inlineStr">
        <is>
          <t>Trámites del expediente</t>
        </is>
      </c>
      <c r="D55" s="29">
        <f>IFERROR(COUNTIF(B7:B51,"F*"),"")</f>
        <v>30.0</v>
      </c>
    </row>
    <row r="56">
      <c r="C56" t="inlineStr">
        <is>
          <t>Trámites hechos</t>
        </is>
      </c>
      <c r="D56" s="29">
        <f>IFERROR(COUNTIF(A7:A51,"Hecho"),"")</f>
        <v>0.0</v>
      </c>
    </row>
    <row r="57">
      <c r="C57" t="inlineStr">
        <is>
          <t>Trámites que no te aplican (N/A)</t>
        </is>
      </c>
      <c r="D57" s="29">
        <f>IFERROR(COUNTIF(A7:A51,"N/A"),"")</f>
        <v>0.0</v>
      </c>
    </row>
    <row r="58">
      <c r="C58" s="23" t="inlineStr">
        <is>
          <t>Avance del expediente (%)</t>
        </is>
      </c>
      <c r="D58" s="26">
        <f>IFERROR(IF(D55=0,"",(D56+D57)/D55),"")</f>
        <v>0.0</v>
      </c>
    </row>
    <row r="59">
      <c r="C59" t="inlineStr">
        <is>
          <t>Coste previsto total del checklist (€)</t>
        </is>
      </c>
      <c r="D59" s="30">
        <f>IFERROR(SUMIF(F7:F51,"&gt;=0"),"")</f>
        <v>0.0</v>
      </c>
      <c r="M59" s="6" t="inlineStr">
        <is>
          <t>Sólo los trámites que ya tienen importe. Los euros de la apertura (proyecto, obra, licencias, equipamiento) con su IVA están en calculadora-capex-churreria.xlsx: aquí se controla que cada trámite tenga su importe pedido y su fecha.</t>
        </is>
      </c>
    </row>
    <row r="60">
      <c r="C60" t="inlineStr">
        <is>
          <t>Coste real total del checklist (€)</t>
        </is>
      </c>
      <c r="D60" s="30">
        <f>IFERROR(SUMIF(G7:G51,"&gt;=0"),"")</f>
        <v>0.0</v>
      </c>
      <c r="M60" s="6" t="inlineStr">
        <is>
          <t>Se rellena a medida que pagas. Mientras esté a cero, la desviación no dice nada.</t>
        </is>
      </c>
    </row>
    <row r="61">
      <c r="C61" s="23" t="inlineStr">
        <is>
          <t>Desviación (real menos previsto, €)</t>
        </is>
      </c>
      <c r="D61" s="25">
        <f>IFERROR(D60-D59,"")</f>
        <v>0.0</v>
      </c>
    </row>
    <row r="62">
      <c r="C62" t="inlineStr">
        <is>
          <t>Trámites sin importe (a presupuestar)</t>
        </is>
      </c>
      <c r="D62" s="29">
        <f>IFERROR(COUNTIF(F7:F51,"A presupuestar"),"")</f>
        <v>30.0</v>
      </c>
      <c r="M62" s="6" t="inlineStr">
        <is>
          <t>Dependen de tu ayuntamiento, de tu comunidad, del técnico o del instalador. No se rellenan a ojo: se piden. Mientras no sea cero, tu presupuesto está incompleto.</t>
        </is>
      </c>
    </row>
    <row r="63">
      <c r="C63" t="inlineStr">
        <is>
          <t>Trámites que cambian según tu comunidad autónoma</t>
        </is>
      </c>
      <c r="D63" s="29">
        <f>IFERROR(COUNTIF(J7:J51,"Sí"),"")</f>
        <v>9.0</v>
      </c>
      <c r="M63" s="6" t="inlineStr">
        <is>
          <t>Cada uno de éstos hay que confirmarlo con TU comunidad y TU ayuntamiento.</t>
        </is>
      </c>
    </row>
    <row r="64"/>
    <row r="65">
      <c r="A65" s="5" t="inlineStr">
        <is>
          <t>TU COMUNIDAD Y TU MUNICIPIO</t>
        </is>
      </c>
      <c r="B65" s="14" t="inlineStr"/>
      <c r="C65" s="14" t="inlineStr"/>
      <c r="D65" s="14" t="inlineStr"/>
      <c r="E65" s="14" t="inlineStr"/>
      <c r="F65" s="14" t="inlineStr"/>
      <c r="G65" s="14" t="inlineStr"/>
      <c r="H65" s="14" t="inlineStr"/>
      <c r="I65" s="14" t="inlineStr"/>
      <c r="J65" s="14" t="inlineStr"/>
      <c r="K65" s="14" t="inlineStr"/>
      <c r="L65" s="14" t="inlineStr"/>
      <c r="M65" s="14" t="inlineStr"/>
    </row>
    <row r="66">
      <c r="C66" s="11" t="inlineStr">
        <is>
          <t>¿En qué comunidad autónoma vas a abrir?</t>
        </is>
      </c>
      <c r="D66" s="18" t="inlineStr">
        <is>
          <t>Comunidad de Madrid</t>
        </is>
      </c>
      <c r="E66" s="31" t="n"/>
      <c r="F66" s="31" t="n"/>
    </row>
    <row r="67">
      <c r="C67" s="11" t="inlineStr">
        <is>
          <t>¿En qué municipio?</t>
        </is>
      </c>
      <c r="D67" s="18" t="inlineStr">
        <is>
          <t>Madrid (ejemplo)</t>
        </is>
      </c>
      <c r="E67" s="31" t="n"/>
      <c r="F67" s="31" t="n"/>
      <c r="M67" s="6" t="inlineStr">
        <is>
          <t>Lo pide tu ordenanza de humos, de terrazas y de venta ambulante: cada una es municipal.</t>
        </is>
      </c>
    </row>
    <row r="68" ht="36" customHeight="1">
      <c r="C68" s="11" t="inlineStr">
        <is>
          <t>Lo que vale para ti de los ejemplos del libro</t>
        </is>
      </c>
      <c r="D68" s="20" t="str">
        <f>IFERROR(IF(D66="Comunidad de Madrid","Los ejemplos de humos (ordenanza de Madrid) y de horario (orden de la Comunidad de Madrid) son los de tu comunidad; si tu municipio no es Madrid, busca además su ordenanza de humos","Los ejemplos de humos y de horario de este libro son de Madrid: busca la ordenanza de humos de tu municipio y la orden de horarios de tu comunidad"),"")</f>
        <v>Los ejemplos de humos (ordenanza de Madrid) y de horario (orden de la Comunidad de Madrid) son los de tu comunidad; si tu municipio no es Madrid, busca además su ordenanza de humos</v>
      </c>
    </row>
    <row r="69"/>
    <row r="70" ht="34" customHeight="1">
      <c r="A70" s="6" t="inlineStr">
        <is>
          <t>Los plazos en días son ORIENTATIVOS y casi todos dependen de un tercero: el ayuntamiento, el técnico, el instalador, la comunidad de propietarios. El único que controlas del todo es el de pedir las cosas pronto.</t>
        </is>
      </c>
    </row>
    <row r="71" ht="34" customHeight="1">
      <c r="A71" s="6" t="inlineStr">
        <is>
          <t>Nunca «necesitas licencia» o «no la necesitas» sin decir cuál: la actividad, la obra y la terraza son tres papeles distintos, y las dos primeras filas de esta hoja te dicen cuáles te tocan.</t>
        </is>
      </c>
    </row>
    <row r="72"/>
    <row r="73"/>
    <row r="74">
      <c r="A74" s="5" t="inlineStr">
        <is>
          <t>Listas de validación (no las borres: las usan los desplegables)</t>
        </is>
      </c>
    </row>
    <row r="75">
      <c r="A75" s="11" t="inlineStr">
        <is>
          <t>Estado del trámite</t>
        </is>
      </c>
      <c r="B75" s="11" t="inlineStr">
        <is>
          <t>Sí o No</t>
        </is>
      </c>
      <c r="C75" s="11" t="inlineStr">
        <is>
          <t>Sí, No o No lo sé</t>
        </is>
      </c>
      <c r="D75" s="11" t="inlineStr">
        <is>
          <t>Comunidad autónoma</t>
        </is>
      </c>
    </row>
    <row r="76">
      <c r="A76" t="inlineStr">
        <is>
          <t>Pendiente</t>
        </is>
      </c>
      <c r="B76" t="inlineStr">
        <is>
          <t>Sí</t>
        </is>
      </c>
      <c r="C76" t="inlineStr">
        <is>
          <t>Sí</t>
        </is>
      </c>
      <c r="D76" t="inlineStr">
        <is>
          <t>Andalucía</t>
        </is>
      </c>
    </row>
    <row r="77">
      <c r="A77" t="inlineStr">
        <is>
          <t>Hecho</t>
        </is>
      </c>
      <c r="B77" t="inlineStr">
        <is>
          <t>No</t>
        </is>
      </c>
      <c r="C77" t="inlineStr">
        <is>
          <t>No</t>
        </is>
      </c>
      <c r="D77" t="inlineStr">
        <is>
          <t>Aragón</t>
        </is>
      </c>
    </row>
    <row r="78">
      <c r="A78" t="inlineStr">
        <is>
          <t>N/A</t>
        </is>
      </c>
      <c r="C78" t="inlineStr">
        <is>
          <t>No lo sé</t>
        </is>
      </c>
      <c r="D78" t="inlineStr">
        <is>
          <t>Principado de Asturias</t>
        </is>
      </c>
    </row>
    <row r="79">
      <c r="D79" t="inlineStr">
        <is>
          <t>Illes Balears</t>
        </is>
      </c>
    </row>
    <row r="80">
      <c r="D80" t="inlineStr">
        <is>
          <t>Canarias</t>
        </is>
      </c>
    </row>
    <row r="81">
      <c r="D81" t="inlineStr">
        <is>
          <t>Cantabria</t>
        </is>
      </c>
    </row>
    <row r="82">
      <c r="D82" t="inlineStr">
        <is>
          <t>Castilla-La Mancha</t>
        </is>
      </c>
    </row>
    <row r="83">
      <c r="D83" t="inlineStr">
        <is>
          <t>Castilla y León</t>
        </is>
      </c>
    </row>
    <row r="84">
      <c r="D84" t="inlineStr">
        <is>
          <t>Cataluña</t>
        </is>
      </c>
    </row>
    <row r="85">
      <c r="D85" t="inlineStr">
        <is>
          <t>Comunitat Valenciana</t>
        </is>
      </c>
    </row>
    <row r="86">
      <c r="D86" t="inlineStr">
        <is>
          <t>Extremadura</t>
        </is>
      </c>
    </row>
    <row r="87">
      <c r="D87" t="inlineStr">
        <is>
          <t>Galicia</t>
        </is>
      </c>
    </row>
    <row r="88">
      <c r="D88" t="inlineStr">
        <is>
          <t>Comunidad de Madrid</t>
        </is>
      </c>
    </row>
    <row r="89">
      <c r="D89" t="inlineStr">
        <is>
          <t>Región de Murcia</t>
        </is>
      </c>
    </row>
    <row r="90">
      <c r="D90" t="inlineStr">
        <is>
          <t>Comunidad Foral de Navarra</t>
        </is>
      </c>
    </row>
    <row r="91">
      <c r="D91" t="inlineStr">
        <is>
          <t>País Vasco</t>
        </is>
      </c>
    </row>
    <row r="92">
      <c r="D92" t="inlineStr">
        <is>
          <t>La Rioja</t>
        </is>
      </c>
    </row>
    <row r="93">
      <c r="D93" t="inlineStr">
        <is>
          <t>Ceuta</t>
        </is>
      </c>
    </row>
    <row r="94">
      <c r="D94" t="inlineStr">
        <is>
          <t>Melilla</t>
        </is>
      </c>
    </row>
  </sheetData>
  <sheetProtection selectLockedCells="0" selectUnlockedCells="0" sheet="1" objects="0" insertRows="0" insertHyperlinks="1" autoFilter="1" scenarios="0" formatColumns="0" deleteColumns="1" insertColumns="1" pivotTables="1" deleteRows="1" formatCells="1" formatRows="0" sort="0"/>
  <mergeCells count="6">
    <mergeCell ref="D68:L68"/>
    <mergeCell ref="D67:F67"/>
    <mergeCell ref="A70:M70"/>
    <mergeCell ref="A3:M3"/>
    <mergeCell ref="D66:F66"/>
    <mergeCell ref="A71:M71"/>
  </mergeCells>
  <conditionalFormatting sqref="J13">
    <cfRule type="expression" priority="1" dxfId="0" stopIfTrue="1">
      <formula>=AND(ISNUMBER($J$13),$J$13&lt;1)</formula>
    </cfRule>
  </conditionalFormatting>
  <conditionalFormatting sqref="J21">
    <cfRule type="expression" priority="2" dxfId="0" stopIfTrue="1">
      <formula>=AND(ISNUMBER($J$21),$J$21&lt;1)</formula>
    </cfRule>
  </conditionalFormatting>
  <conditionalFormatting sqref="J28">
    <cfRule type="expression" priority="3" dxfId="0" stopIfTrue="1">
      <formula>=AND(ISNUMBER($J$28),$J$28&lt;1)</formula>
    </cfRule>
  </conditionalFormatting>
  <conditionalFormatting sqref="J35">
    <cfRule type="expression" priority="4" dxfId="0" stopIfTrue="1">
      <formula>=AND(ISNUMBER($J$35),$J$35&lt;1)</formula>
    </cfRule>
  </conditionalFormatting>
  <conditionalFormatting sqref="J45">
    <cfRule type="expression" priority="5" dxfId="0" stopIfTrue="1">
      <formula>=AND(ISNUMBER($J$45),$J$45&lt;1)</formula>
    </cfRule>
  </conditionalFormatting>
  <conditionalFormatting sqref="J52">
    <cfRule type="expression" priority="6" dxfId="0" stopIfTrue="1">
      <formula>=AND(ISNUMBER($J$52),$J$52&lt;1)</formula>
    </cfRule>
  </conditionalFormatting>
  <conditionalFormatting sqref="L7">
    <cfRule type="expression" priority="7" dxfId="0" stopIfTrue="1">
      <formula>=$K$7="Sí"</formula>
    </cfRule>
  </conditionalFormatting>
  <conditionalFormatting sqref="A7:A51">
    <cfRule type="cellIs" priority="8" operator="equal" dxfId="1" stopIfTrue="1">
      <formula>"Hecho"</formula>
    </cfRule>
    <cfRule type="cellIs" priority="9" operator="equal" dxfId="2" stopIfTrue="1">
      <formula>"N/A"</formula>
    </cfRule>
  </conditionalFormatting>
  <conditionalFormatting sqref="D58">
    <cfRule type="expression" priority="10" dxfId="0" stopIfTrue="1">
      <formula>=AND(ISNUMBER($D$58),$D$58&lt;1)</formula>
    </cfRule>
  </conditionalFormatting>
  <conditionalFormatting sqref="D61">
    <cfRule type="expression" priority="11" dxfId="3" stopIfTrue="1">
      <formula>=AND(ISNUMBER($D$61),$D$61&gt;0)</formula>
    </cfRule>
  </conditionalFormatting>
  <conditionalFormatting sqref="D62">
    <cfRule type="expression" priority="12" dxfId="0" stopIfTrue="1">
      <formula>=AND(ISNUMBER($D$62),$D$62&gt;0)</formula>
    </cfRule>
  </conditionalFormatting>
  <dataValidations count="5">
    <dataValidation sqref="K7" showDropDown="0" showInputMessage="0" showErrorMessage="1" allowBlank="0" errorTitle="Contesta Sí, No o No lo sé" error="Si el conducto sube a cubierta o cruza fachada o patio, casi siempre es Sí. El Molinete entra en un local sin salida de humos: Sí." type="list">
      <formula1>=$C$76:$C$78</formula1>
    </dataValidation>
    <dataValidation sqref="A7 A8 A9 A10 A11 A12 A16 A17 A18 A19 A20 A24 A25 A26 A27 A31 A32 A33 A34 A38 A39 A40 A41 A42 A43 A44 A48 A49 A50 A51" showDropDown="0" showInputMessage="0" showErrorMessage="1" allowBlank="0" errorTitle="Marca el estado del trámite" error="Elige Pendiente, Hecho o N/A de la lista del pie de la hoja." type="list">
      <formula1>=$A$76:$A$78</formula1>
    </dataValidation>
    <dataValidation sqref="J7 J8 J9 J10 J11 J12 J16 J17 J18 J19 J20 J24 J25 J26 J27 J31 J32 J33 J34 J38 J39 J40 J41 J42 J43 J44 J48 J49 J50 J51" showDropDown="0" showInputMessage="0" showErrorMessage="1" allowBlank="0" errorTitle="Marca Sí o No" error="Elige «Sí» o «No» de la lista del pie de la hoja." type="list">
      <formula1>=$B$76:$B$77</formula1>
    </dataValidation>
    <dataValidation sqref="H7 H8 H9 H10 H11 H12 H16 H17 H18 H19 H20 H24 H25 H26 H27 H31 H32 H33 H34 H38 H39 H40 H41 H42 H43 H44 H48 H49 H50 H51 I7 I8 I9 I10 I11 I12 I16 I17 I18 I19 I20 I24 I25 I26 I27 I31 I32 I33 I34 I38 I39 I40 I41 I42 I43 I44 I48 I49 I50 I51" showDropDown="0" showInputMessage="0" showErrorMessage="1" allowBlank="1" errorTitle="Fecha no válida" error="Escribe una fecha (dd/mm/aaaa) entre 2020 y 2040." type="date" operator="between">
      <formula1>DATE(2020,1,1)</formula1>
      <formula2>DATE(2040,12,31)</formula2>
    </dataValidation>
    <dataValidation sqref="D66" showDropDown="0" showInputMessage="0" showErrorMessage="1" allowBlank="0" errorTitle="Elige tu comunidad" error="Elige tu comunidad o ciudad autónoma de la lista del pie de la hoja." type="list">
      <formula1>=$D$76:$D$94</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E38"/>
  <sheetViews>
    <sheetView workbookViewId="0">
      <pane ySplit="3" topLeftCell="A4" activePane="bottomLeft" state="frozen"/>
      <selection pane="bottomLeft" activeCell="A1" sqref="A1"/>
    </sheetView>
  </sheetViews>
  <sheetFormatPr baseColWidth="8" defaultRowHeight="15"/>
  <cols>
    <col width="44" customWidth="1" min="1" max="1"/>
    <col width="30" customWidth="1" min="2" max="2"/>
    <col width="40" customWidth="1" min="3" max="3"/>
    <col width="40" customWidth="1" min="4" max="4"/>
    <col width="70" customWidth="1" min="5" max="5"/>
  </cols>
  <sheetData>
    <row r="1" ht="28" customHeight="1">
      <c r="A1" s="1" t="inlineStr">
        <is>
          <t>Árbol IAE y CNAE por Formato</t>
        </is>
      </c>
    </row>
    <row r="2">
      <c r="A2" t="inlineStr">
        <is>
          <t>AI Chef Pro · aichef.pro — Cómo Montar una Churrería-Chocolatería</t>
        </is>
      </c>
    </row>
    <row r="3" ht="26" customHeight="1">
      <c r="A3" s="6" t="inlineStr">
        <is>
          <t>Cinco preguntas y los epígrafes que te tocan. El CNAE no sale como dato: sale como PREGUNTA para tu asesor, con los dos códigos que hoy se comunican.</t>
        </is>
      </c>
    </row>
    <row r="4"/>
    <row r="5">
      <c r="A5" s="5" t="inlineStr">
        <is>
          <t>LAS PREGUNTAS</t>
        </is>
      </c>
      <c r="B5" s="14" t="inlineStr"/>
      <c r="C5" s="14" t="inlineStr"/>
      <c r="D5" s="14" t="inlineStr"/>
      <c r="E5" s="14" t="inlineStr"/>
    </row>
    <row r="6">
      <c r="A6" s="12" t="inlineStr">
        <is>
          <t>¿Tendrás consumo en el local (mesas, barra o terraza)?</t>
        </is>
      </c>
      <c r="B6" s="15" t="inlineStr">
        <is>
          <t>Sí</t>
        </is>
      </c>
      <c r="E6" s="6" t="inlineStr">
        <is>
          <t>El Molinete tiene sala, barra y terraza.</t>
        </is>
      </c>
    </row>
    <row r="7">
      <c r="A7" s="12" t="inlineStr">
        <is>
          <t>¿Venderás para llevar (al peso, por docena o por ración)?</t>
        </is>
      </c>
      <c r="B7" s="15" t="inlineStr">
        <is>
          <t>Sí</t>
        </is>
      </c>
      <c r="E7" s="6" t="inlineStr">
        <is>
          <t>El despacho a calle de El Molinete.</t>
        </is>
      </c>
    </row>
    <row r="8">
      <c r="A8" s="12" t="inlineStr">
        <is>
          <t>¿Irás a ferias, mercados o casetas?</t>
        </is>
      </c>
      <c r="B8" s="15" t="inlineStr">
        <is>
          <t>No</t>
        </is>
      </c>
      <c r="E8" s="6" t="inlineStr">
        <is>
          <t>El Molinete no: en verano elige la carta de verano (decisión 9).</t>
        </is>
      </c>
    </row>
    <row r="9">
      <c r="A9" s="12" t="inlineStr">
        <is>
          <t>¿Servirás churros a otros negocios (cafeterías, bares, hoteles)?</t>
        </is>
      </c>
      <c r="B9" s="15" t="inlineStr">
        <is>
          <t>No</t>
        </is>
      </c>
      <c r="E9" s="6" t="inlineStr">
        <is>
          <t>Si lo haces, cambian tu epígrafe y tu registro sanitario.</t>
        </is>
      </c>
    </row>
    <row r="10">
      <c r="A10" s="12" t="inlineStr">
        <is>
          <t>¿Tu sala irá al epígrafe de chocolatería o al de café-bar?</t>
        </is>
      </c>
      <c r="B10" s="15" t="inlineStr">
        <is>
          <t>Aún no lo sé</t>
        </is>
      </c>
      <c r="E10" s="6" t="inlineStr">
        <is>
          <t>El ejemplo deja la decisión abierta a propósito: El Molinete se presenta como cafetería para abrir a las 6:00 (hoja de régimen), pero el epígrafe del impuesto se decide con el asesor.</t>
        </is>
      </c>
    </row>
    <row r="11">
      <c r="A11" s="12" t="inlineStr">
        <is>
          <t>¿Tu cifra de negocio superará 1.000.000 €?</t>
        </is>
      </c>
      <c r="B11" s="15" t="inlineStr">
        <is>
          <t>No</t>
        </is>
      </c>
    </row>
    <row r="12"/>
    <row r="13">
      <c r="A13" s="5" t="inlineStr">
        <is>
          <t>LOS FORMATOS Y SUS EPÍGRAFES</t>
        </is>
      </c>
      <c r="B13" s="14" t="inlineStr"/>
      <c r="C13" s="14" t="inlineStr"/>
      <c r="D13" s="14" t="inlineStr"/>
      <c r="E13" s="14" t="inlineStr"/>
    </row>
    <row r="14" ht="30" customHeight="1">
      <c r="A14" s="7" t="inlineStr">
        <is>
          <t>Formato</t>
        </is>
      </c>
      <c r="B14" s="7" t="inlineStr">
        <is>
          <t>¿Te toca?</t>
        </is>
      </c>
      <c r="C14" s="7" t="inlineStr">
        <is>
          <t>Epígrafe del impuesto (candidato)</t>
        </is>
      </c>
      <c r="D14" s="7" t="inlineStr">
        <is>
          <t>CNAE para preguntar a tu asesor</t>
        </is>
      </c>
      <c r="E14" s="7" t="inlineStr">
        <is>
          <t>Fuente y nota</t>
        </is>
      </c>
    </row>
    <row r="15" ht="46" customHeight="1">
      <c r="A15" s="12" t="inlineStr">
        <is>
          <t>Local con sala</t>
        </is>
      </c>
      <c r="B15" s="32" t="str">
        <f>IFERROR(IF($B$6="Sí","Sí","No"),"")</f>
        <v>Sí</v>
      </c>
      <c r="C15" s="33" t="str">
        <f>IFERROR(IF($B$10="Chocolatería (676)","676 (chocolatería)",IF($B$10="Café-bar (673)","673 (cafés y bares)","676 (chocolatería) o 673 (cafés y bares), más 644.6 si vendes al peso")),"")</f>
        <v>676 (chocolatería) o 673 (cafés y bares), más 644.6 si vendes al peso</v>
      </c>
      <c r="D15" s="13" t="inlineStr">
        <is>
          <t>56.11 o 56.30 (CNAE-2025), con su código de 2009</t>
        </is>
      </c>
      <c r="E15" s="6" t="inlineStr">
        <is>
          <t>[Fuente: CUN-10 + CUN-14 + CUN-09 + CUN-16] La correspondencia oficial IAE-CNAE no está publicada (CUN-16).</t>
        </is>
      </c>
    </row>
    <row r="16" ht="46" customHeight="1">
      <c r="A16" s="12" t="inlineStr">
        <is>
          <t>Despacho para llevar</t>
        </is>
      </c>
      <c r="B16" s="32" t="str">
        <f>IFERROR(IF($B$7="Sí","Sí","No"),"")</f>
        <v>Sí</v>
      </c>
      <c r="C16" s="33" t="inlineStr">
        <is>
          <t>644.6 (masas fritas y preparados de chocolate)</t>
        </is>
      </c>
      <c r="D16" s="13" t="inlineStr">
        <is>
          <t>47.24 o 56.11, con su código de 2009</t>
        </is>
      </c>
      <c r="E16" s="6" t="inlineStr">
        <is>
          <t>[Fuente: CUN-09 + CUN-16] La correspondencia oficial IAE-CNAE no está publicada (CUN-16).</t>
        </is>
      </c>
    </row>
    <row r="17" ht="46" customHeight="1">
      <c r="A17" s="12" t="inlineStr">
        <is>
          <t>Caseta o feria</t>
        </is>
      </c>
      <c r="B17" s="32" t="str">
        <f>IFERROR(IF($B$8="Sí","Sí","No"),"")</f>
        <v>No</v>
      </c>
      <c r="C17" s="33" t="inlineStr">
        <is>
          <t>663.1; 675 o 674.7 con mesas</t>
        </is>
      </c>
      <c r="D17" s="13" t="inlineStr">
        <is>
          <t>56.12, con su código de 2009 (y nunca el 47.81)</t>
        </is>
      </c>
      <c r="E17" s="6" t="inlineStr">
        <is>
          <t>[Fuente: CUN-11 + CUN-13 + CUN-15]</t>
        </is>
      </c>
    </row>
    <row r="18" ht="46" customHeight="1">
      <c r="A18" s="12" t="inlineStr">
        <is>
          <t>Obrador que sirve a otros</t>
        </is>
      </c>
      <c r="B18" s="32" t="str">
        <f>IFERROR(IF($B$9="Sí","Sí","No"),"")</f>
        <v>No</v>
      </c>
      <c r="C18" s="33" t="inlineStr">
        <is>
          <t>419.3 (industria de masas fritas)</t>
        </is>
      </c>
      <c r="D18" s="13" t="inlineStr">
        <is>
          <t>10.71, con su código de 2009</t>
        </is>
      </c>
      <c r="E18" s="6" t="inlineStr">
        <is>
          <t>[Fuente: CUN-12 + CUN-16] La correspondencia oficial IAE-CNAE no está publicada (CUN-16).</t>
        </is>
      </c>
    </row>
    <row r="19"/>
    <row r="20">
      <c r="A20" s="5" t="inlineStr">
        <is>
          <t>LO QUE SALE</t>
        </is>
      </c>
      <c r="B20" s="14" t="inlineStr"/>
      <c r="C20" s="14" t="inlineStr"/>
      <c r="D20" s="14" t="inlineStr"/>
      <c r="E20" s="14" t="inlineStr"/>
    </row>
    <row r="21">
      <c r="A21" s="11" t="inlineStr">
        <is>
          <t>Formatos que te tocan</t>
        </is>
      </c>
      <c r="B21" s="34">
        <f>IFERROR(COUNTIF(B15:B18,"Sí"),"")</f>
        <v>2.0</v>
      </c>
    </row>
    <row r="22" ht="48" customHeight="1">
      <c r="A22" s="12" t="inlineStr">
        <is>
          <t>¿Necesitas el 644.6 además del epígrafe de la sala?</t>
        </is>
      </c>
      <c r="B22" s="35" t="str">
        <f>IFERROR(IF(AND(B6="Sí",B7="Sí"),IF(B10="Chocolatería (676)","Con mucha probabilidad sí: el 676 no lleva la nota que deja vender en el propio establecimiento, así que la venta para llevar pide además el 644.6 (inferencia: pregúntalo)",IF(B10="Café-bar (673)","Pregúntalo: el 673 deja vender en el propio establecimiento los productos de su servicio, pero la venta al peso para llevar puede ser otra actividad","Pregúntalo: depende de si tu sala va al 676 o al 673")),IF(B7="Sí","Sin sala, el 644.6 es tu epígrafe candidato","No vendes para llevar: no aplica")),"")</f>
        <v>Pregúntalo: depende de si tu sala va al 676 o al 673</v>
      </c>
      <c r="E22" s="6" t="inlineStr">
        <is>
          <t>Una cuota faculta sólo para su actividad: por eso la pregunta.</t>
        </is>
      </c>
    </row>
    <row r="23" ht="48" customHeight="1">
      <c r="A23" s="12" t="inlineStr">
        <is>
          <t>Epígrafes candidatos que llevas a tu asesor</t>
        </is>
      </c>
      <c r="B23" s="35" t="str">
        <f>IFERROR(IF(B15="Sí",C15&amp;". ","")&amp;IF(B16="Sí",C16&amp;". ","")&amp;IF(B17="Sí",C17&amp;". ","")&amp;IF(B18="Sí",C18&amp;". ",""),"")</f>
        <v>676 (chocolatería) o 673 (cafés y bares), más 644.6 si vendes al peso. 644.6 (masas fritas y preparados de chocolate). </v>
      </c>
      <c r="E23" s="6" t="inlineStr">
        <is>
          <t>Una cuota faculta sólo para su actividad: si tienes dos formatos, pregunta si necesitas dos altas.</t>
        </is>
      </c>
    </row>
    <row r="24" ht="48" customHeight="1">
      <c r="A24" s="12" t="inlineStr">
        <is>
          <t>¿Pagas el impuesto?</t>
        </is>
      </c>
      <c r="B24" s="35" t="str">
        <f>IFERROR(IF(B11="Sí","Alta y, con más de un millón de euros de cifra de negocio, la exención no te alcanza: pregúntale a tu asesor","Alta sí, pago no: están exentos los dos primeros años de actividad, todas las personas físicas y las sociedades por debajo de un millón de euros de cifra de negocio"),"")</f>
        <v>Alta sí, pago no: están exentos los dos primeros años de actividad, todas las personas físicas y las sociedades por debajo de un millón de euros de cifra de negocio</v>
      </c>
      <c r="E24" s="6" t="inlineStr">
        <is>
          <t>La nota legal está en la pregunta del millón, más arriba.</t>
        </is>
      </c>
    </row>
    <row r="25" ht="74" customHeight="1">
      <c r="A25" s="12" t="inlineStr">
        <is>
          <t>LA PREGUNTA DEL CNAE, REDACTADA PARA TU ASESOR</t>
        </is>
      </c>
      <c r="B25" s="20" t="str">
        <f>IFERROR("¿Con qué código del CNAE-2025 me doy de alta, y cuál es su equivalente del CNAE-2009, que también hay que comunicar? Mis candidatos: "&amp;IF(B15="Sí",D15&amp;"; ","")&amp;IF(B16="Sí",D16&amp;"; ","")&amp;IF(B17="Sí",D17&amp;"; ","")&amp;IF(B18="Sí",D18&amp;"; ","")&amp;"y sé que el 47.81 del CNAE-2025 es comercio de vehículos de motor.","")</f>
        <v>¿Con qué código del CNAE-2025 me doy de alta, y cuál es su equivalente del CNAE-2009, que también hay que comunicar? Mis candidatos: 56.11 o 56.30 (CNAE-2025), con su código de 2009; 47.24 o 56.11, con su código de 2009; y sé que el 47.81 del CNAE-2025 es comercio de vehículos de motor.</v>
      </c>
      <c r="E25" s="6" t="inlineStr">
        <is>
          <t>Copia esta celda y envíasela. Las notas explicativas del INE describen cada clase por actividad, sin nombrar los churros: por eso se pregunta.</t>
        </is>
      </c>
    </row>
    <row r="26" ht="48" customHeight="1">
      <c r="A26" s="12" t="inlineStr">
        <is>
          <t>La trampa del 47.81</t>
        </is>
      </c>
      <c r="B26" s="33" t="inlineStr">
        <is>
          <t>Quien copie el «4781, puestos de venta de alimentos» del CNAE-2009 se encuentra en el CNAE-2025 con la clase de vehículos de motor. No lo uses.</t>
        </is>
      </c>
      <c r="E26" s="6" t="inlineStr">
        <is>
          <t>La nota legal está en la pregunta de arriba.</t>
        </is>
      </c>
    </row>
    <row r="27" ht="48" customHeight="1">
      <c r="A27" s="12" t="inlineStr">
        <is>
          <t>Dos códigos, no uno</t>
        </is>
      </c>
      <c r="B27" s="33" t="inlineStr">
        <is>
          <t>Al darte de alta comunicas el CNAE-2025 y, además, el CNAE-2009 mientras no entre en vigor la tarifa de primas de accidentes adaptada al de 2025.</t>
        </is>
      </c>
    </row>
    <row r="28" ht="48" customHeight="1">
      <c r="A28" s="12" t="inlineStr">
        <is>
          <t>Una cuota, una actividad</t>
        </is>
      </c>
      <c r="B28" s="33" t="inlineStr">
        <is>
          <t>Cada alta faculta sólo para su actividad. Si haces dos cosas (sala y despacho, o local y feria), pregúntale a tu asesor si son dos altas.</t>
        </is>
      </c>
      <c r="E28" s="6" t="inlineStr">
        <is>
          <t>La nota legal está en «Epígrafes candidatos».</t>
        </is>
      </c>
    </row>
    <row r="29"/>
    <row r="30" ht="44" customHeight="1">
      <c r="A30" s="6" t="inlineStr">
        <is>
          <t>ESTA HOJA NO TE DA TU CNAE NI TU CUOTA, Y NO ES UN OLVIDO. La correspondencia oficial entre el epígrafe del impuesto y el CNAE-2025 no está publicada para la churrería, y la cuota no hace falta: casi nadie la paga. Lo que sí tienes es la pregunta escrita para tu asesor.</t>
        </is>
      </c>
    </row>
    <row r="31" ht="34" customHeight="1">
      <c r="A31" s="6" t="inlineStr">
        <is>
          <t>El obrador que sirve a otros negocios (419.3) queda fuera de este producto: si fabricas para otros dejas de ser minorista. Está aquí sólo para que sepas dónde está la frontera.</t>
        </is>
      </c>
    </row>
    <row r="32"/>
    <row r="33"/>
    <row r="34">
      <c r="A34" s="5" t="inlineStr">
        <is>
          <t>Listas de validación (no las borres: las usan los desplegables)</t>
        </is>
      </c>
    </row>
    <row r="35">
      <c r="A35" s="11" t="inlineStr">
        <is>
          <t>Sí o No</t>
        </is>
      </c>
      <c r="B35" s="11" t="inlineStr">
        <is>
          <t>Tu sala</t>
        </is>
      </c>
    </row>
    <row r="36">
      <c r="A36" t="inlineStr">
        <is>
          <t>Sí</t>
        </is>
      </c>
      <c r="B36" t="inlineStr">
        <is>
          <t>Chocolatería (676)</t>
        </is>
      </c>
    </row>
    <row r="37">
      <c r="A37" t="inlineStr">
        <is>
          <t>No</t>
        </is>
      </c>
      <c r="B37" t="inlineStr">
        <is>
          <t>Café-bar (673)</t>
        </is>
      </c>
    </row>
    <row r="38">
      <c r="B38" t="inlineStr">
        <is>
          <t>Aún no lo sé</t>
        </is>
      </c>
    </row>
  </sheetData>
  <sheetProtection selectLockedCells="0" selectUnlockedCells="0" sheet="1" objects="0" insertRows="0" insertHyperlinks="1" autoFilter="1" scenarios="0" formatColumns="0" deleteColumns="1" insertColumns="1" pivotTables="1" deleteRows="1" formatCells="1" formatRows="0" sort="0"/>
  <mergeCells count="10">
    <mergeCell ref="A30:E30"/>
    <mergeCell ref="B28:D28"/>
    <mergeCell ref="B23:D23"/>
    <mergeCell ref="B22:D22"/>
    <mergeCell ref="B26:D26"/>
    <mergeCell ref="B27:D27"/>
    <mergeCell ref="A31:E31"/>
    <mergeCell ref="B25:D25"/>
    <mergeCell ref="B24:D24"/>
    <mergeCell ref="A3:E3"/>
  </mergeCells>
  <conditionalFormatting sqref="B15:B18">
    <cfRule type="cellIs" priority="1" operator="equal" dxfId="1" stopIfTrue="1">
      <formula>"Sí"</formula>
    </cfRule>
  </conditionalFormatting>
  <dataValidations count="2">
    <dataValidation sqref="B6 B7 B8 B9 B11" showDropDown="0" showInputMessage="0" showErrorMessage="1" allowBlank="0" errorTitle="Contesta Sí o No" error="Elige «Sí» o «No»." type="list">
      <formula1>=$A$36:$A$37</formula1>
    </dataValidation>
    <dataValidation sqref="B10" showDropDown="0" showInputMessage="0" showErrorMessage="1" allowBlank="0" errorTitle="Elige el epígrafe de tu sala" error="Chocolatería (676), café-bar (673) o «Aún no lo sé»." type="list">
      <formula1>=$B$36:$B$38</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fitToPage="1"/>
  </sheetPr>
  <dimension ref="A1:E36"/>
  <sheetViews>
    <sheetView workbookViewId="0">
      <pane ySplit="3" topLeftCell="A4" activePane="bottomLeft" state="frozen"/>
      <selection pane="bottomLeft" activeCell="A1" sqref="A1"/>
    </sheetView>
  </sheetViews>
  <sheetFormatPr baseColWidth="8" defaultRowHeight="15"/>
  <cols>
    <col width="46" customWidth="1" min="1" max="1"/>
    <col width="16" customWidth="1" min="2" max="2"/>
    <col width="16" customWidth="1" min="3" max="3"/>
    <col width="40" customWidth="1" min="4" max="4"/>
    <col width="70" customWidth="1" min="5" max="5"/>
  </cols>
  <sheetData>
    <row r="1" ht="28" customHeight="1">
      <c r="A1" s="1" t="inlineStr">
        <is>
          <t>Régimen de Apertura y Horario</t>
        </is>
      </c>
    </row>
    <row r="2">
      <c r="A2" t="inlineStr">
        <is>
          <t>AI Chef Pro · aichef.pro — Cómo Montar una Churrería-Chocolatería</t>
        </is>
      </c>
    </row>
    <row r="3" ht="26" customHeight="1">
      <c r="A3" s="6" t="inlineStr">
        <is>
          <t>Por qué régimen va tu actividad, qué pasa con la obra y la terraza, y la norma del horario del ejemplo de Madrid. Tu hora de apertura NO se pone aquí.</t>
        </is>
      </c>
    </row>
    <row r="4"/>
    <row r="5">
      <c r="A5" s="5" t="inlineStr">
        <is>
          <t>LO QUE DECIDE TU RÉGIMEN</t>
        </is>
      </c>
      <c r="B5" s="14" t="inlineStr"/>
      <c r="C5" s="14" t="inlineStr"/>
      <c r="D5" s="14" t="inlineStr"/>
      <c r="E5" s="14" t="inlineStr"/>
    </row>
    <row r="6">
      <c r="A6" s="12" t="inlineStr">
        <is>
          <t>¿Tu superficie útil de exposición y venta supera 750 m²?</t>
        </is>
      </c>
      <c r="B6" s="15" t="inlineStr">
        <is>
          <t>No</t>
        </is>
      </c>
    </row>
    <row r="7">
      <c r="A7" s="13" t="inlineStr">
        <is>
          <t>¿Consumo en el local? (del árbol de formatos)</t>
        </is>
      </c>
      <c r="B7" s="21" t="str">
        <f>'Árbol IAE y CNAE por Formato'!$B$6</f>
        <v>Sí</v>
      </c>
    </row>
    <row r="8">
      <c r="A8" s="13" t="inlineStr">
        <is>
          <t>¿Venta para llevar? (del árbol de formatos)</t>
        </is>
      </c>
      <c r="B8" s="21" t="str">
        <f>'Árbol IAE y CNAE por Formato'!$B$7</f>
        <v>Sí</v>
      </c>
    </row>
    <row r="9">
      <c r="A9" s="12" t="inlineStr">
        <is>
          <t>¿Terraza o elementos sobre la vía pública?</t>
        </is>
      </c>
      <c r="B9" s="15" t="inlineStr">
        <is>
          <t>Sí</t>
        </is>
      </c>
      <c r="E9" s="6" t="inlineStr">
        <is>
          <t>El Molinete tiene una terraza de 20 m², aparte de los 75 m² del local.</t>
        </is>
      </c>
    </row>
    <row r="10">
      <c r="A10" s="13" t="inlineStr">
        <is>
          <t>¿La extracción necesita proyecto? (1.ª fila del checklist)</t>
        </is>
      </c>
      <c r="B10" s="21" t="str">
        <f>'Checklist Legal (F1-F6)'!$K$7</f>
        <v>Sí</v>
      </c>
    </row>
    <row r="11"/>
    <row r="12">
      <c r="A12" s="5" t="inlineStr">
        <is>
          <t>TU RÉGIMEN</t>
        </is>
      </c>
      <c r="B12" s="14" t="inlineStr"/>
      <c r="C12" s="14" t="inlineStr"/>
      <c r="D12" s="14" t="inlineStr"/>
      <c r="E12" s="14" t="inlineStr"/>
    </row>
    <row r="13" ht="46" customHeight="1">
      <c r="A13" s="12" t="inlineStr">
        <is>
          <t>Tu actividad</t>
        </is>
      </c>
      <c r="B13" s="20" t="str">
        <f>IFERROR(IF(B7="Sí","Con mesas o barra (676 o 673) tu actividad sale del Anexo de la Ley 12/2012: el modelo, licencia o declaración responsable, lo fija tu ayuntamiento",IF(B6="Sí","Más de 750 m²: sales del Anexo y manda tu ayuntamiento",IF(B8="Sí","Despacho para llevar (644.6, hasta 750 m²): la actividad va por declaración responsable","Sin consumo ni venta para llevar: revisa el árbol de formatos"))),"")</f>
        <v>Con mesas o barra (676 o 673) tu actividad sale del Anexo de la Ley 12/2012: el modelo, licencia o declaración responsable, lo fija tu ayuntamiento</v>
      </c>
    </row>
    <row r="14" ht="46" customHeight="1">
      <c r="A14" s="12" t="inlineStr">
        <is>
          <t>Tus obras</t>
        </is>
      </c>
      <c r="B14" s="35" t="str">
        <f>IFERROR(IF(B10="Sí","Las obras con proyecto, el conducto a cubierta incluido, van con su licencia de obra y su técnico, aparte de la actividad",IF(B10="No","Sin obra con proyecto según tu respuesta: que tu técnico lo confirme por escrito","Pregúntale a un técnico si tu conducto necesita proyecto antes de firmar")),"")</f>
        <v>Las obras con proyecto, el conducto a cubierta incluido, van con su licencia de obra y su técnico, aparte de la actividad</v>
      </c>
    </row>
    <row r="15" ht="46" customHeight="1">
      <c r="A15" s="12" t="inlineStr">
        <is>
          <t>Tu terraza</t>
        </is>
      </c>
      <c r="B15" s="35" t="str">
        <f>IFERROR(IF(B9="Sí","Autorización de la terraza aparte: la ocupación de la vía pública no entra en el régimen de la Ley 12/2012 (art. 2.2)","Sin terraza: nada que pedir"),"")</f>
        <v>Autorización de la terraza aparte: la ocupación de la vía pública no entra en el régimen de la Ley 12/2012 (art. 2.2)</v>
      </c>
    </row>
    <row r="16"/>
    <row r="17">
      <c r="A17" s="5" t="inlineStr">
        <is>
          <t>EL HORARIO: EL EJEMPLO DE MADRID (NO SE EXTRAPOLA)</t>
        </is>
      </c>
      <c r="B17" s="14" t="inlineStr"/>
      <c r="C17" s="14" t="inlineStr"/>
      <c r="D17" s="14" t="inlineStr"/>
      <c r="E17" s="14" t="inlineStr"/>
    </row>
    <row r="18" ht="24" customHeight="1">
      <c r="A18" s="7" t="inlineStr">
        <is>
          <t>Clasificación del establecimiento</t>
        </is>
      </c>
      <c r="B18" s="7" t="inlineStr">
        <is>
          <t>Desde</t>
        </is>
      </c>
      <c r="C18" s="7" t="inlineStr">
        <is>
          <t>Hasta</t>
        </is>
      </c>
      <c r="D18" s="7" t="inlineStr">
        <is>
          <t>Fuente</t>
        </is>
      </c>
      <c r="E18" s="7" t="inlineStr">
        <is>
          <t>Nota</t>
        </is>
      </c>
    </row>
    <row r="19">
      <c r="A19" s="11" t="inlineStr">
        <is>
          <t>Cafetería o bar</t>
        </is>
      </c>
      <c r="B19" s="36" t="n">
        <v>0.25</v>
      </c>
      <c r="C19" s="36" t="n">
        <v>0.08333333333333333</v>
      </c>
      <c r="D19" t="inlineStr">
        <is>
          <t>CUN-34</t>
        </is>
      </c>
      <c r="E19" s="6" t="inlineStr">
        <is>
          <t>Cafeterías, bares y cafés-bares: desde las 6:00 hasta las 2:00.</t>
        </is>
      </c>
    </row>
    <row r="20">
      <c r="A20" s="11" t="inlineStr">
        <is>
          <t>Chocolatería</t>
        </is>
      </c>
      <c r="B20" s="36" t="n">
        <v>0.3333333333333333</v>
      </c>
      <c r="C20" s="36" t="n">
        <v>0.04166666666666666</v>
      </c>
      <c r="D20" t="inlineStr">
        <is>
          <t>CUN-34</t>
        </is>
      </c>
      <c r="E20" s="6" t="inlineStr">
        <is>
          <t>Chocolaterías, heladerías y salones de té: desde las 8:00 hasta la 1:00. No se extrapola a otras comunidades.</t>
        </is>
      </c>
    </row>
    <row r="21"/>
    <row r="22">
      <c r="A22" s="12" t="inlineStr">
        <is>
          <t>¿Cómo te clasificas en el ejemplo de Madrid?</t>
        </is>
      </c>
      <c r="B22" s="18" t="inlineStr">
        <is>
          <t>Cafetería o bar</t>
        </is>
      </c>
      <c r="C22" s="31" t="n"/>
    </row>
    <row r="23">
      <c r="A23" s="11" t="inlineStr">
        <is>
          <t>Hora mínima de apertura de tu clasificación</t>
        </is>
      </c>
      <c r="B23" s="37">
        <f>IFERROR(INDEX(B19:B20,MATCH(B22,A19:A20,0)),"")</f>
        <v>0.25</v>
      </c>
    </row>
    <row r="24">
      <c r="A24" s="11" t="inlineStr">
        <is>
          <t>Hora máxima de cierre de tu clasificación</t>
        </is>
      </c>
      <c r="B24" s="37">
        <f>IFERROR(INDEX(C19:C20,MATCH(B22,A19:A20,0)),"")</f>
        <v>0.08333333333333333</v>
      </c>
    </row>
    <row r="25" ht="46" customHeight="1">
      <c r="A25" s="12" t="inlineStr">
        <is>
          <t>Lo que significa para tu desayuno (decisión 8)</t>
        </is>
      </c>
      <c r="B25" s="35" t="str">
        <f>IFERROR(IF(B22="Chocolatería","Como chocolatería no abres antes de las 8:00 en el ejemplo de Madrid: si tu desayuno empieza antes, clasifícate como cafetería o bar","Como cafetería o bar puedes abrir desde las 6:00 en el ejemplo de Madrid"),"")</f>
        <v>Como cafetería o bar puedes abrir desde las 6:00 en el ejemplo de Madrid</v>
      </c>
    </row>
    <row r="26" ht="34" customHeight="1">
      <c r="A26" s="12" t="inlineStr">
        <is>
          <t>Dónde pones tu hora de apertura</t>
        </is>
      </c>
      <c r="B26" s="13" t="inlineStr">
        <is>
          <t>En temporada-franjas-y-ferias.xlsx, hoja «Franjas del Día»: allí está el semáforo de las 8:00 con tu hora real. Este libro no te pide el horario.</t>
        </is>
      </c>
    </row>
    <row r="27" ht="46" customHeight="1">
      <c r="A27" s="12" t="inlineStr">
        <is>
          <t>Si tienes despacho para llevar</t>
        </is>
      </c>
      <c r="B27" s="35" t="str">
        <f>IFERROR(IF(B8="Sí","Tu despacho es comercio al por menor: la Ley de Horarios Comerciales da libertad horaria a los comercios de menos de 300 m² (inferencia: confírmalo con tu ayuntamiento; la sala sigue el horario de establecimientos públicos de tu comunidad)","No vendes para llevar: no aplica"),"")</f>
        <v>Tu despacho es comercio al por menor: la Ley de Horarios Comerciales da libertad horaria a los comercios de menos de 300 m² (inferencia: confírmalo con tu ayuntamiento; la sala sigue el horario de establecimientos públicos de tu comunidad)</v>
      </c>
    </row>
    <row r="28"/>
    <row r="29" ht="40" customHeight="1">
      <c r="A29" s="6" t="inlineStr">
        <is>
          <t>EL HORARIO DE MADRID ES UN EJEMPLO Y NO SE EXTRAPOLA a otras comunidades: cada una tiene su orden de horarios de establecimientos públicos. Las modificaciones posteriores a la orden de 2022 no se han comprobado.</t>
        </is>
      </c>
    </row>
    <row r="30" ht="30" customHeight="1">
      <c r="A30" s="6" t="inlineStr">
        <is>
          <t>Las horas de la tabla están en verde porque son las de TU comunidad las que valen: sustitúyelas por las de tu orden de horarios.</t>
        </is>
      </c>
    </row>
    <row r="31"/>
    <row r="32"/>
    <row r="33">
      <c r="A33" s="5" t="inlineStr">
        <is>
          <t>Listas de validación (no las borres: las usan los desplegables)</t>
        </is>
      </c>
    </row>
    <row r="34">
      <c r="A34" s="11" t="inlineStr">
        <is>
          <t>Sí o No</t>
        </is>
      </c>
      <c r="B34" s="11" t="inlineStr">
        <is>
          <t>Clasificación</t>
        </is>
      </c>
    </row>
    <row r="35">
      <c r="A35" t="inlineStr">
        <is>
          <t>Sí</t>
        </is>
      </c>
      <c r="B35" t="inlineStr">
        <is>
          <t>Cafetería o bar</t>
        </is>
      </c>
    </row>
    <row r="36">
      <c r="A36" t="inlineStr">
        <is>
          <t>No</t>
        </is>
      </c>
      <c r="B36" t="inlineStr">
        <is>
          <t>Chocolatería</t>
        </is>
      </c>
    </row>
  </sheetData>
  <sheetProtection selectLockedCells="0" selectUnlockedCells="0" sheet="1" objects="0" insertRows="0" insertHyperlinks="1" autoFilter="1" scenarios="0" formatColumns="0" deleteColumns="1" insertColumns="1" pivotTables="1" deleteRows="1" formatCells="1" formatRows="0" sort="0"/>
  <mergeCells count="10">
    <mergeCell ref="A30:E30"/>
    <mergeCell ref="B26:E26"/>
    <mergeCell ref="B27:E27"/>
    <mergeCell ref="A29:E29"/>
    <mergeCell ref="B13:E13"/>
    <mergeCell ref="B15:E15"/>
    <mergeCell ref="B22:C22"/>
    <mergeCell ref="B25:E25"/>
    <mergeCell ref="B14:E14"/>
    <mergeCell ref="A3:E3"/>
  </mergeCells>
  <dataValidations count="2">
    <dataValidation sqref="B6 B9" showDropDown="0" showInputMessage="0" showErrorMessage="1" allowBlank="0" errorTitle="Contesta Sí o No" error="Elige «Sí» o «No»." type="list">
      <formula1>=$A$35:$A$36</formula1>
    </dataValidation>
    <dataValidation sqref="B22" showDropDown="0" showInputMessage="0" showErrorMessage="1" allowBlank="0" errorTitle="Elige tu clasificación" error="Cafetería o bar, o chocolatería." type="list">
      <formula1>=$B$35:$B$36</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E43"/>
  <sheetViews>
    <sheetView workbookViewId="0">
      <pane ySplit="3" topLeftCell="A4" activePane="bottomLeft" state="frozen"/>
      <selection pane="bottomLeft" activeCell="A1" sqref="A1"/>
    </sheetView>
  </sheetViews>
  <sheetFormatPr baseColWidth="8" defaultRowHeight="15"/>
  <cols>
    <col width="50" customWidth="1" min="1" max="1"/>
    <col width="20" customWidth="1" min="2" max="2"/>
    <col width="18" customWidth="1" min="3" max="3"/>
    <col width="22" customWidth="1" min="4" max="4"/>
    <col width="70" customWidth="1" min="5" max="5"/>
  </cols>
  <sheetData>
    <row r="1" ht="28" customHeight="1">
      <c r="A1" s="1" t="inlineStr">
        <is>
          <t>Licencia, Humos y Gas</t>
        </is>
      </c>
    </row>
    <row r="2">
      <c r="A2" t="inlineStr">
        <is>
          <t>AI Chef Pro · aichef.pro — Cómo Montar una Churrería-Chocolatería</t>
        </is>
      </c>
    </row>
    <row r="3" ht="26" customHeight="1">
      <c r="A3" s="6" t="inlineStr">
        <is>
          <t>La licencia de obra del conducto, la salida de humos del ejemplo de Madrid, el gas y el extintor. Los kW y el riesgo de incendio los calcula el libro 1.</t>
        </is>
      </c>
    </row>
    <row r="4"/>
    <row r="5">
      <c r="A5" s="5" t="inlineStr">
        <is>
          <t>TUS RESPUESTAS</t>
        </is>
      </c>
      <c r="B5" s="14" t="inlineStr"/>
      <c r="C5" s="14" t="inlineStr"/>
      <c r="D5" s="14" t="inlineStr"/>
      <c r="E5" s="14" t="inlineStr"/>
    </row>
    <row r="6">
      <c r="A6" s="12" t="inlineStr">
        <is>
          <t>¿Qué formato montas?</t>
        </is>
      </c>
      <c r="B6" s="15" t="inlineStr">
        <is>
          <t>Local con sala</t>
        </is>
      </c>
      <c r="E6" s="6" t="inlineStr">
        <is>
          <t>El de El Molinete: local con sala, terraza y despacho a calle.</t>
        </is>
      </c>
    </row>
    <row r="7">
      <c r="A7" s="12" t="inlineStr">
        <is>
          <t>¿Tu freidora es de gas o eléctrica?</t>
        </is>
      </c>
      <c r="B7" s="15" t="inlineStr">
        <is>
          <t>Gas</t>
        </is>
      </c>
      <c r="E7" s="6" t="inlineStr">
        <is>
          <t>La freidora de El Molinete es de gas (la de 25 L de la dotación).</t>
        </is>
      </c>
    </row>
    <row r="8">
      <c r="A8" s="12" t="inlineStr">
        <is>
          <t>¿El conducto subirá a cubierta o cruzará fachada o patio?</t>
        </is>
      </c>
      <c r="B8" s="15" t="inlineStr">
        <is>
          <t>Sí</t>
        </is>
      </c>
      <c r="E8" s="6" t="inlineStr">
        <is>
          <t>El Molinete entra en un local sin salida de humos.</t>
        </is>
      </c>
    </row>
    <row r="9">
      <c r="A9" s="12" t="inlineStr">
        <is>
          <t>¿Todos tus aparatos son eléctricos y cocinan en su interior sin transmitir olores?</t>
        </is>
      </c>
      <c r="B9" s="15" t="inlineStr">
        <is>
          <t>No</t>
        </is>
      </c>
      <c r="E9" s="6" t="inlineStr">
        <is>
          <t>Sólo así, y sin pasar de 4 kW en conjunto, el ejemplo de Madrid no exige conducto a cubierta. Una freidora de baño abierto no cocina en su interior.</t>
        </is>
      </c>
    </row>
    <row r="10">
      <c r="A10" s="12" t="inlineStr">
        <is>
          <t>¿Tienes un extintor de clase F junto a la freidora?</t>
        </is>
      </c>
      <c r="B10" s="15" t="inlineStr">
        <is>
          <t>No</t>
        </is>
      </c>
      <c r="E10" s="6" t="inlineStr">
        <is>
          <t>Todavía no: es una fila de la fase F4 del checklist.</t>
        </is>
      </c>
    </row>
    <row r="11">
      <c r="A11" s="12" t="inlineStr">
        <is>
          <t>Años entre inspecciones de la instalación receptora de gas</t>
        </is>
      </c>
      <c r="B11" s="17" t="n">
        <v>5</v>
      </c>
    </row>
    <row r="12">
      <c r="A12" s="12" t="inlineStr">
        <is>
          <t>Peso de bombona por debajo del cual no hay instalación receptora (kg, sólo con un aparato de utilización móvil)</t>
        </is>
      </c>
      <c r="B12" s="17" t="n">
        <v>15</v>
      </c>
    </row>
    <row r="13">
      <c r="A13" s="12" t="inlineStr">
        <is>
          <t>Fecha del certificado de tu instalación de gas (o la prevista)</t>
        </is>
      </c>
      <c r="B13" s="38" t="n">
        <v>46298</v>
      </c>
    </row>
    <row r="14"/>
    <row r="15">
      <c r="A15" s="5" t="inlineStr">
        <is>
          <t>LO QUE TE TOCA</t>
        </is>
      </c>
      <c r="B15" s="14" t="inlineStr"/>
      <c r="C15" s="14" t="inlineStr"/>
      <c r="D15" s="14" t="inlineStr"/>
      <c r="E15" s="14" t="inlineStr"/>
    </row>
    <row r="16" ht="46" customHeight="1">
      <c r="A16" s="12" t="inlineStr">
        <is>
          <t>Licencia de obra</t>
        </is>
      </c>
      <c r="B16" s="35" t="str">
        <f>IFERROR(IF(B8="Sí","Licencia de obra y técnico: el conducto necesita proyecto, aunque la actividad vaya por declaración responsable","Sin conducto que suba o cruce: que tu técnico confirme por escrito que no hay obra con proyecto"),"")</f>
        <v>Licencia de obra y técnico: el conducto necesita proyecto, aunque la actividad vaya por declaración responsable</v>
      </c>
    </row>
    <row r="17" ht="46" customHeight="1">
      <c r="A17" s="12" t="inlineStr">
        <is>
          <t>Salida de humos (ejemplo de Madrid)</t>
        </is>
      </c>
      <c r="B17" s="35" t="str">
        <f>IFERROR(IF(B9="Sí","Podrías no necesitar conducto a cubierta si además la potencia conjunta no pasa de 4 kW: compruébalo con tu técnico","Campana con captación, extracción forzada y filtro de grasas, conducto a cubierta y limpieza al menos una vez al año"),"")</f>
        <v>Campana con captación, extracción forzada y filtro de grasas, conducto a cubierta y limpieza al menos una vez al año</v>
      </c>
    </row>
    <row r="18" ht="46" customHeight="1">
      <c r="A18" s="12" t="inlineStr">
        <is>
          <t>Gas</t>
        </is>
      </c>
      <c r="B18" s="35" t="str">
        <f>IFERROR(IF(B7="Eléctrica","Freidora eléctrica: comprueba la potencia contratada con tu comercializadora",IF(B6="Caseta o feria","Bombona de menos de "&amp;B12&amp;" kg conectada a un solo aparato de utilización móvil: no es instalación receptora","Instalación receptora con el certificado del instalador e inspección cada "&amp;B11&amp;" años")),"")</f>
        <v>Instalación receptora con el certificado del instalador e inspección cada 5 años</v>
      </c>
    </row>
    <row r="19">
      <c r="A19" s="11" t="inlineStr">
        <is>
          <t>Próxima inspección de tu instalación de gas</t>
        </is>
      </c>
      <c r="B19" s="39">
        <f>IFERROR(IF(OR(B7="Eléctrica",B6="Caseta o feria"),"",DATE(YEAR(B13)+B11,MONTH(B13),DAY(B13))),"")</f>
        <v>48124.0</v>
      </c>
      <c r="E19" s="6" t="inlineStr">
        <is>
          <t>Vacía si tu freidora es eléctrica o si es un puesto con bombona pequeña.</t>
        </is>
      </c>
    </row>
    <row r="20" ht="46" customHeight="1">
      <c r="A20" s="12" t="inlineStr">
        <is>
          <t>Extintor</t>
        </is>
      </c>
      <c r="B20" s="35" t="str">
        <f>IFERROR(IF(B10="Sí","Tienes el agente adecuado al fuego de aceite: la clase F","Falta: el agente extintor tiene que ser adecuado a la clase de fuego, y el de los aceites y grasas de cocina es la clase F"),"")</f>
        <v>Falta: el agente extintor tiene que ser adecuado a la clase de fuego, y el de los aceites y grasas de cocina es la clase F</v>
      </c>
    </row>
    <row r="21" ht="40" customHeight="1">
      <c r="A21" s="12" t="inlineStr">
        <is>
          <t>Potencia y riesgo de incendio</t>
        </is>
      </c>
      <c r="B21" s="13" t="inlineStr">
        <is>
          <t>Los kW computables, el riesgo de la cocina, la extinción automática y la distancia de los filtros los calcula produccion-hora-punta-y-local.xlsx, hoja «Freidoras, Potencia y Riesgo». Aquí no se vuelven a calcular.</t>
        </is>
      </c>
    </row>
    <row r="22"/>
    <row r="23">
      <c r="A23" s="5" t="inlineStr">
        <is>
          <t>TUS PAPELES DE OBRA, HUMOS Y GAS</t>
        </is>
      </c>
      <c r="B23" s="14" t="inlineStr"/>
      <c r="C23" s="14" t="inlineStr"/>
      <c r="D23" s="14" t="inlineStr"/>
      <c r="E23" s="14" t="inlineStr"/>
    </row>
    <row r="24" ht="24" customHeight="1">
      <c r="A24" s="7" t="inlineStr">
        <is>
          <t>Papel</t>
        </is>
      </c>
      <c r="B24" s="7" t="inlineStr">
        <is>
          <t>¿Te toca?</t>
        </is>
      </c>
      <c r="C24" s="7" t="inlineStr">
        <is>
          <t>Estado</t>
        </is>
      </c>
      <c r="D24" s="7" t="inlineStr">
        <is>
          <t>Fecha objetivo</t>
        </is>
      </c>
      <c r="E24" s="7" t="inlineStr">
        <is>
          <t>Por qué</t>
        </is>
      </c>
    </row>
    <row r="25" ht="30" customHeight="1">
      <c r="A25" s="13" t="inlineStr">
        <is>
          <t>Licencia de obra del conducto y proyecto técnico</t>
        </is>
      </c>
      <c r="B25" s="32" t="str">
        <f>IFERROR(IF(B8="Sí","Sí","No"),"")</f>
        <v>Sí</v>
      </c>
      <c r="C25" s="15" t="inlineStr">
        <is>
          <t>Pendiente</t>
        </is>
      </c>
      <c r="D25" s="19" t="n">
        <v>46298</v>
      </c>
      <c r="E25" s="6" t="inlineStr">
        <is>
          <t>Sale de tu respuesta sobre el conducto.</t>
        </is>
      </c>
    </row>
    <row r="26" ht="30" customHeight="1">
      <c r="A26" s="13" t="inlineStr">
        <is>
          <t>Limpieza anual del conducto y la campana (ejemplo de Madrid)</t>
        </is>
      </c>
      <c r="B26" s="32" t="str">
        <f>IFERROR(IF(B9="Sí","No","Sí"),"")</f>
        <v>Sí</v>
      </c>
      <c r="C26" s="15" t="inlineStr">
        <is>
          <t>Pendiente</t>
        </is>
      </c>
      <c r="D26" s="19" t="n">
        <v>46298</v>
      </c>
      <c r="E26" s="6" t="inlineStr">
        <is>
          <t>Hay conducto salvo que te ampare la excepción de los aparatos eléctricos.</t>
        </is>
      </c>
    </row>
    <row r="27" ht="30" customHeight="1">
      <c r="A27" s="13" t="inlineStr">
        <is>
          <t>Certificado de la instalación receptora de gas</t>
        </is>
      </c>
      <c r="B27" s="32" t="str">
        <f>IFERROR(IF(OR(B7="Eléctrica",B6="Caseta o feria"),"No","Sí"),"")</f>
        <v>Sí</v>
      </c>
      <c r="C27" s="15" t="inlineStr">
        <is>
          <t>Pendiente</t>
        </is>
      </c>
      <c r="D27" s="19" t="n">
        <v>46298</v>
      </c>
      <c r="E27" s="6" t="inlineStr">
        <is>
          <t>Gas en un local o un despacho: instalación receptora.</t>
        </is>
      </c>
    </row>
    <row r="28" ht="30" customHeight="1">
      <c r="A28" s="13" t="inlineStr">
        <is>
          <t>Inspección periódica de la instalación de gas</t>
        </is>
      </c>
      <c r="B28" s="32" t="str">
        <f>IFERROR(IF(OR(B7="Eléctrica",B6="Caseta o feria"),"No","Sí"),"")</f>
        <v>Sí</v>
      </c>
      <c r="C28" s="15" t="inlineStr">
        <is>
          <t>Pendiente</t>
        </is>
      </c>
      <c r="D28" s="19" t="n">
        <v>46298</v>
      </c>
      <c r="E28" s="6" t="inlineStr">
        <is>
          <t>Gas en un local o un despacho: instalación receptora.</t>
        </is>
      </c>
    </row>
    <row r="29" ht="30" customHeight="1">
      <c r="A29" s="13" t="inlineStr">
        <is>
          <t>Extintor de clase F junto a la freidora</t>
        </is>
      </c>
      <c r="B29" s="32" t="str">
        <f>IFERROR(IF(B6="","","Sí"),"")</f>
        <v>Sí</v>
      </c>
      <c r="C29" s="15" t="inlineStr">
        <is>
          <t>Pendiente</t>
        </is>
      </c>
      <c r="D29" s="19" t="n">
        <v>46298</v>
      </c>
      <c r="E29" s="6" t="inlineStr">
        <is>
          <t>Toda freidora: el fuego de aceite es de clase F.</t>
        </is>
      </c>
    </row>
    <row r="30" ht="30" customHeight="1">
      <c r="A30" s="13" t="inlineStr">
        <is>
          <t>Autorización de la terraza</t>
        </is>
      </c>
      <c r="B30" s="32" t="str">
        <f>IFERROR(IF('Régimen de Apertura y Horario'!$B$9="Sí","Sí","No"),"")</f>
        <v>Sí</v>
      </c>
      <c r="C30" s="15" t="inlineStr">
        <is>
          <t>Pendiente</t>
        </is>
      </c>
      <c r="D30" s="19" t="n">
        <v>46298</v>
      </c>
      <c r="E30" s="6" t="inlineStr">
        <is>
          <t>Sale de tu respuesta en la hoja de régimen.</t>
        </is>
      </c>
    </row>
    <row r="31">
      <c r="A31" s="23" t="inlineStr">
        <is>
          <t>Papeles que te tocan</t>
        </is>
      </c>
      <c r="B31" s="40">
        <f>IFERROR(COUNTIF(B25:B30,"Sí"),"")</f>
        <v>6.0</v>
      </c>
    </row>
    <row r="32">
      <c r="A32" s="11" t="inlineStr">
        <is>
          <t>De ellos, hechos</t>
        </is>
      </c>
      <c r="B32" s="34">
        <f>SUMPRODUCT(--(B25:B30="Sí"),--(C25:C30="Hecho"))</f>
        <v>0.0</v>
      </c>
    </row>
    <row r="33">
      <c r="A33" s="11" t="inlineStr">
        <is>
          <t>VEREDICTO</t>
        </is>
      </c>
      <c r="B33" s="23" t="str">
        <f>IFERROR(IF(B31=0,"No te toca ningún papel de esta hoja",IF(B32&lt;B31,"Te faltan papeles de obra, humos o gas: "&amp;(B31-B32)&amp;" pendientes","Papeles de obra, humos y gas en regla")),"")</f>
        <v>Te faltan papeles de obra, humos o gas: 6 pendientes</v>
      </c>
    </row>
    <row r="34"/>
    <row r="35" ht="40" customHeight="1">
      <c r="A35" s="6" t="inlineStr">
        <is>
          <t>Lo que fija el proyecto técnico -caudal, sección y trazado del conducto- no lo fija este libro. Los requisitos de humos son los de la ordenanza de Madrid, el único municipio verificado para este producto: busca la tuya.</t>
        </is>
      </c>
    </row>
    <row r="36" ht="34" customHeight="1">
      <c r="A36" s="6" t="inlineStr">
        <is>
          <t>La bombona pequeña NO sirve para la freidora fija de un local ni de un despacho: la excepción es para un aparato de utilización móvil, es decir, para el puesto de feria.</t>
        </is>
      </c>
    </row>
    <row r="37"/>
    <row r="38"/>
    <row r="39">
      <c r="A39" s="5" t="inlineStr">
        <is>
          <t>Listas de validación (no las borres: las usan los desplegables)</t>
        </is>
      </c>
    </row>
    <row r="40">
      <c r="A40" s="11" t="inlineStr">
        <is>
          <t>Sí o No</t>
        </is>
      </c>
      <c r="B40" s="11" t="inlineStr">
        <is>
          <t>Formato</t>
        </is>
      </c>
      <c r="C40" s="11" t="inlineStr">
        <is>
          <t>Energía</t>
        </is>
      </c>
      <c r="D40" s="11" t="inlineStr">
        <is>
          <t>Estado</t>
        </is>
      </c>
    </row>
    <row r="41">
      <c r="A41" t="inlineStr">
        <is>
          <t>Sí</t>
        </is>
      </c>
      <c r="B41" t="inlineStr">
        <is>
          <t>Local con sala</t>
        </is>
      </c>
      <c r="C41" t="inlineStr">
        <is>
          <t>Gas</t>
        </is>
      </c>
      <c r="D41" t="inlineStr">
        <is>
          <t>Pendiente</t>
        </is>
      </c>
    </row>
    <row r="42">
      <c r="A42" t="inlineStr">
        <is>
          <t>No</t>
        </is>
      </c>
      <c r="B42" t="inlineStr">
        <is>
          <t>Despacho para llevar</t>
        </is>
      </c>
      <c r="C42" t="inlineStr">
        <is>
          <t>Eléctrica</t>
        </is>
      </c>
      <c r="D42" t="inlineStr">
        <is>
          <t>Hecho</t>
        </is>
      </c>
    </row>
    <row r="43">
      <c r="B43" t="inlineStr">
        <is>
          <t>Caseta o feria</t>
        </is>
      </c>
      <c r="D43" t="inlineStr">
        <is>
          <t>N/A</t>
        </is>
      </c>
    </row>
  </sheetData>
  <sheetProtection selectLockedCells="0" selectUnlockedCells="0" sheet="1" objects="0" insertRows="0" insertHyperlinks="1" autoFilter="1" scenarios="0" formatColumns="0" deleteColumns="1" insertColumns="1" pivotTables="1" deleteRows="1" formatCells="1" formatRows="0" sort="0"/>
  <mergeCells count="9">
    <mergeCell ref="B17:E17"/>
    <mergeCell ref="B18:E18"/>
    <mergeCell ref="A35:E35"/>
    <mergeCell ref="B21:E21"/>
    <mergeCell ref="B16:E16"/>
    <mergeCell ref="B33:E33"/>
    <mergeCell ref="A36:E36"/>
    <mergeCell ref="B20:E20"/>
    <mergeCell ref="A3:E3"/>
  </mergeCells>
  <conditionalFormatting sqref="B20">
    <cfRule type="expression" priority="1" dxfId="3" stopIfTrue="1">
      <formula>=$B$10="No"</formula>
    </cfRule>
  </conditionalFormatting>
  <dataValidations count="6">
    <dataValidation sqref="B13" showDropDown="0" showInputMessage="0" showErrorMessage="1" allowBlank="1" errorTitle="Fecha no válida" error="Escribe una fecha (dd/mm/aaaa) entre 2020 y 2040." type="date" operator="between">
      <formula1>DATE(2020,1,1)</formula1>
      <formula2>DATE(2040,12,31)</formula2>
    </dataValidation>
    <dataValidation sqref="B6" showDropDown="0" showInputMessage="0" showErrorMessage="1" allowBlank="0" errorTitle="Elige tu formato" error="Local con sala, despacho para llevar o caseta o feria." type="list">
      <formula1>=$B$41:$B$43</formula1>
    </dataValidation>
    <dataValidation sqref="B7" showDropDown="0" showInputMessage="0" showErrorMessage="1" allowBlank="0" errorTitle="Elige gas o eléctrica" error="Gas o eléctrica." type="list">
      <formula1>=$C$41:$C$42</formula1>
    </dataValidation>
    <dataValidation sqref="B8 B9 B10" showDropDown="0" showInputMessage="0" showErrorMessage="1" allowBlank="0" errorTitle="Contesta Sí o No" error="Elige «Sí» o «No»." type="list">
      <formula1>=$A$41:$A$42</formula1>
    </dataValidation>
    <dataValidation sqref="C25 C26 C27 C28 C29 C30" showDropDown="0" showInputMessage="0" showErrorMessage="1" allowBlank="0" errorTitle="Marca el estado" error="Pendiente, Hecho o N/A." type="list">
      <formula1>=$D$41:$D$43</formula1>
    </dataValidation>
    <dataValidation sqref="D25 D26 D27 D28 D29 D30" showDropDown="0" showInputMessage="0" showErrorMessage="1" allowBlank="1" errorTitle="Fecha no válida" error="Escribe una fecha (dd/mm/aaaa) entre 2020 y 2040." type="date" operator="between">
      <formula1>DATE(2020,1,1)</formula1>
      <formula2>DATE(2040,12,31)</formula2>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fitToPage="1"/>
  </sheetPr>
  <dimension ref="A1:C28"/>
  <sheetViews>
    <sheetView workbookViewId="0">
      <pane ySplit="3" topLeftCell="A4" activePane="bottomLeft" state="frozen"/>
      <selection pane="bottomLeft" activeCell="A1" sqref="A1"/>
    </sheetView>
  </sheetViews>
  <sheetFormatPr baseColWidth="8" defaultRowHeight="15"/>
  <cols>
    <col width="56" customWidth="1" min="1" max="1"/>
    <col width="34" customWidth="1" min="2" max="2"/>
    <col width="90" customWidth="1" min="3" max="3"/>
  </cols>
  <sheetData>
    <row r="1" ht="28" customHeight="1">
      <c r="A1" s="1" t="inlineStr">
        <is>
          <t>¿Registro Autonómico o Registro General?</t>
        </is>
      </c>
    </row>
    <row r="2">
      <c r="A2" t="inlineStr">
        <is>
          <t>AI Chef Pro · aichef.pro — Cómo Montar una Churrería-Chocolatería</t>
        </is>
      </c>
    </row>
    <row r="3" ht="26" customHeight="1">
      <c r="A3" s="6" t="inlineStr">
        <is>
          <t>Tres preguntas y un veredicto. Dos de ellas salen del árbol de formatos: si cambias de formato allí, cambia aquí.</t>
        </is>
      </c>
    </row>
    <row r="4"/>
    <row r="5">
      <c r="A5" s="5" t="inlineStr">
        <is>
          <t>LAS PREGUNTAS</t>
        </is>
      </c>
      <c r="B5" s="14" t="inlineStr"/>
      <c r="C5" s="14" t="inlineStr"/>
    </row>
    <row r="6">
      <c r="A6" s="12" t="inlineStr">
        <is>
          <t>¿Vendes al consumidor final en tu propio establecimiento?</t>
        </is>
      </c>
      <c r="B6" s="15" t="inlineStr">
        <is>
          <t>Sí</t>
        </is>
      </c>
    </row>
    <row r="7">
      <c r="A7" s="13" t="inlineStr">
        <is>
          <t>¿Sirves churros a otros negocios? (del árbol de formatos)</t>
        </is>
      </c>
      <c r="B7" s="21" t="str">
        <f>'Árbol IAE y CNAE por Formato'!$B$9</f>
        <v>No</v>
      </c>
    </row>
    <row r="8">
      <c r="A8" s="13" t="inlineStr">
        <is>
          <t>¿Vendes en un puesto, caseta o vehículo? (del árbol de formatos)</t>
        </is>
      </c>
      <c r="B8" s="21" t="str">
        <f>'Árbol IAE y CNAE por Formato'!$B$8</f>
        <v>No</v>
      </c>
    </row>
    <row r="9"/>
    <row r="10">
      <c r="A10" s="5" t="inlineStr">
        <is>
          <t>EL VEREDICTO</t>
        </is>
      </c>
      <c r="B10" s="14" t="inlineStr"/>
      <c r="C10" s="14" t="inlineStr"/>
    </row>
    <row r="11" ht="46" customHeight="1">
      <c r="A11" s="12" t="inlineStr">
        <is>
          <t>Tu régimen sanitario</t>
        </is>
      </c>
      <c r="B11" s="20" t="str">
        <f>IFERROR(IF(B7="Sí","Sirves a otro negocio: la guía de la Comunidad de Madrid lo pone de ejemplo de actividad restringida. Pregunta a tu comunidad qué inscripción te toca",IF(B6="Sí","Comercio al por menor: excluido del registro general (RGSEAA); te inscribes en el de tu comunidad autónoma","Revísalo: si no vendes al consumidor final, no eres un minorista")),"")</f>
        <v>Comercio al por menor: excluido del registro general (RGSEAA); te inscribes en el de tu comunidad autónoma</v>
      </c>
    </row>
    <row r="12" ht="46" customHeight="1">
      <c r="A12" s="12" t="inlineStr">
        <is>
          <t>El trámite que te toca</t>
        </is>
      </c>
      <c r="B12" s="35" t="str">
        <f>IFERROR(IF(B6="Sí","Comunicación o declaración responsable al registro de tu comunidad autónoma: no habilita por sí sola, y cómo funciona cambia en cada comunidad",""),"")</f>
        <v>Comunicación o declaración responsable al registro de tu comunidad autónoma: no habilita por sí sola, y cómo funciona cambia en cada comunidad</v>
      </c>
    </row>
    <row r="13" ht="46" customHeight="1">
      <c r="A13" s="12" t="inlineStr">
        <is>
          <t>Si vas a ferias</t>
        </is>
      </c>
      <c r="B13" s="35" t="str">
        <f>IFERROR(IF(B8="Sí","El puesto, la caseta o el vehículo también es comercio al por menor: mismo registro autonómico y los requisitos de higiene del puesto (hoja de ferias)","No vas a ferias: nada más"),"")</f>
        <v>No vas a ferias: nada más</v>
      </c>
    </row>
    <row r="14" ht="46" customHeight="1">
      <c r="A14" s="12" t="inlineStr">
        <is>
          <t>El autocontrol</t>
        </is>
      </c>
      <c r="B14" s="33" t="inlineStr">
        <is>
          <t>Plan de autocontrol basado en el APPCC, que puede ser simplificado, con una persona responsable con nombre. Los registros, en el Pack APPCC (el del aceite es el 09).</t>
        </is>
      </c>
    </row>
    <row r="15"/>
    <row r="16">
      <c r="A16" s="5" t="inlineStr">
        <is>
          <t>LOS TRES CASOS, PARA QUE VEAS DÓNDE CAES</t>
        </is>
      </c>
      <c r="B16" s="14" t="inlineStr"/>
      <c r="C16" s="14" t="inlineStr"/>
    </row>
    <row r="17" ht="24" customHeight="1">
      <c r="A17" s="7" t="inlineStr">
        <is>
          <t>Tu situación</t>
        </is>
      </c>
      <c r="B17" s="7" t="inlineStr">
        <is>
          <t>Lo que te toca</t>
        </is>
      </c>
      <c r="C17" s="7" t="inlineStr">
        <is>
          <t>Por qué</t>
        </is>
      </c>
    </row>
    <row r="18" ht="48" customHeight="1">
      <c r="A18" s="13" t="inlineStr">
        <is>
          <t>Vendes al consumidor final en tu local, tu despacho o tu web</t>
        </is>
      </c>
      <c r="B18" s="13" t="inlineStr">
        <is>
          <t>Comunicación o declaración responsable al registro de tu comunidad autónoma</t>
        </is>
      </c>
      <c r="C18" s="13" t="inlineStr">
        <is>
          <t>El comercio al por menor está excluido del registro general (RGSEAA). Tener obrador de masa a la vista no te saca del régimen minorista.</t>
        </is>
      </c>
    </row>
    <row r="19" ht="48" customHeight="1">
      <c r="A19" s="13" t="inlineStr">
        <is>
          <t>Tienes además un puesto de feria o una caseta</t>
        </is>
      </c>
      <c r="B19" s="13" t="inlineStr">
        <is>
          <t>El mismo registro autonómico para el puesto, y los requisitos de higiene del puesto</t>
        </is>
      </c>
      <c r="C19" s="13" t="inlineStr">
        <is>
          <t>El local ambulante o provisional también es comercio al por menor.</t>
        </is>
      </c>
    </row>
    <row r="20" ht="48" customHeight="1">
      <c r="A20" s="13" t="inlineStr">
        <is>
          <t>Sirves churros a una cafetería o un bar de otro titular</t>
        </is>
      </c>
      <c r="B20" s="13" t="inlineStr">
        <is>
          <t>Pregunta a tu comunidad: puede tocarte otra inscripción</t>
        </is>
      </c>
      <c r="C20" s="13" t="inlineStr">
        <is>
          <t>La guía de la Comunidad de Madrid pone de ejemplo de actividad restringida «la churrería o pastelería que sirve a la cafetería».</t>
        </is>
      </c>
    </row>
    <row r="21"/>
    <row r="22" ht="40" customHeight="1">
      <c r="A22" s="6" t="inlineStr">
        <is>
          <t>Si vendes al consumidor final desde tu propio establecimiento, tu sitio es el registro de tu comunidad autónoma, no el estatal. Lo que cambia la cosa es servir a OTRO negocio: el obrador que sirve a otros queda fuera de este producto.</t>
        </is>
      </c>
    </row>
    <row r="23"/>
    <row r="24"/>
    <row r="25">
      <c r="A25" s="5" t="inlineStr">
        <is>
          <t>Listas de validación (no las borres: las usan los desplegables)</t>
        </is>
      </c>
    </row>
    <row r="26">
      <c r="A26" s="11" t="inlineStr">
        <is>
          <t>Sí o No</t>
        </is>
      </c>
    </row>
    <row r="27">
      <c r="A27" t="inlineStr">
        <is>
          <t>Sí</t>
        </is>
      </c>
    </row>
    <row r="28">
      <c r="A28" t="inlineStr">
        <is>
          <t>No</t>
        </is>
      </c>
    </row>
  </sheetData>
  <sheetProtection selectLockedCells="0" selectUnlockedCells="0" sheet="1" objects="0" insertRows="0" insertHyperlinks="1" autoFilter="1" scenarios="0" formatColumns="0" deleteColumns="1" insertColumns="1" pivotTables="1" deleteRows="1" formatCells="1" formatRows="0" sort="0"/>
  <mergeCells count="6">
    <mergeCell ref="B13:C13"/>
    <mergeCell ref="B11:C11"/>
    <mergeCell ref="A22:C22"/>
    <mergeCell ref="B14:C14"/>
    <mergeCell ref="A3:C3"/>
    <mergeCell ref="B12:C12"/>
  </mergeCells>
  <dataValidations count="1">
    <dataValidation sqref="B6" showDropDown="0" showInputMessage="0" showErrorMessage="1" allowBlank="0" errorTitle="Contesta Sí o No" error="Elige «Sí» o «No»." type="list">
      <formula1>=$A$27:$A$28</formula1>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fitToPage="1"/>
  </sheetPr>
  <dimension ref="A1:E37"/>
  <sheetViews>
    <sheetView workbookViewId="0">
      <pane ySplit="3" topLeftCell="A4" activePane="bottomLeft" state="frozen"/>
      <selection pane="bottomLeft" activeCell="A1" sqref="A1"/>
    </sheetView>
  </sheetViews>
  <sheetFormatPr baseColWidth="8" defaultRowHeight="15"/>
  <cols>
    <col width="66" customWidth="1" min="1" max="1"/>
    <col width="14" customWidth="1" min="2" max="2"/>
    <col width="14" customWidth="1" min="3" max="3"/>
    <col width="20" customWidth="1" min="4" max="4"/>
    <col width="70" customWidth="1" min="5" max="5"/>
  </cols>
  <sheetData>
    <row r="1" ht="28" customHeight="1">
      <c r="A1" s="1" t="inlineStr">
        <is>
          <t>Ferias y Venta Ambulante</t>
        </is>
      </c>
    </row>
    <row r="2">
      <c r="A2" t="inlineStr">
        <is>
          <t>AI Chef Pro · aichef.pro — Cómo Montar una Churrería-Chocolatería</t>
        </is>
      </c>
    </row>
    <row r="3" ht="26" customHeight="1">
      <c r="A3" s="6" t="inlineStr">
        <is>
          <t>Los papeles del puesto, la caseta o el remolque. Los euros de cada evento (tasa, afluencia y punto muerto) están en temporada-franjas-y-ferias.xlsx.</t>
        </is>
      </c>
    </row>
    <row r="4"/>
    <row r="5">
      <c r="A5" s="5" t="inlineStr">
        <is>
          <t>TU PUESTO</t>
        </is>
      </c>
      <c r="B5" s="14" t="inlineStr"/>
      <c r="C5" s="14" t="inlineStr"/>
      <c r="D5" s="14" t="inlineStr"/>
      <c r="E5" s="14" t="inlineStr"/>
    </row>
    <row r="6">
      <c r="A6" s="12" t="inlineStr">
        <is>
          <t>¿Vas a ferias? (del árbol de formatos)</t>
        </is>
      </c>
      <c r="B6" s="32" t="str">
        <f>'Árbol IAE y CNAE por Formato'!$B$8</f>
        <v>No</v>
      </c>
    </row>
    <row r="7">
      <c r="A7" s="11" t="inlineStr">
        <is>
          <t>Fecha en que caduca tu autorización municipal</t>
        </is>
      </c>
      <c r="B7" s="19" t="n">
        <v>46477</v>
      </c>
    </row>
    <row r="8">
      <c r="A8" s="11" t="inlineStr">
        <is>
          <t>Fecha de control (ponla en «hoy»)</t>
        </is>
      </c>
      <c r="B8" s="19" t="n">
        <v>46298</v>
      </c>
    </row>
    <row r="9">
      <c r="A9" s="12" t="inlineStr">
        <is>
          <t>Distancia mínima a cualquier hueco si cocinas con aceite en suelo de uso público (m, ejemplo de Madrid)</t>
        </is>
      </c>
      <c r="B9" s="17" t="n">
        <v>15</v>
      </c>
    </row>
    <row r="10">
      <c r="A10" s="11" t="inlineStr">
        <is>
          <t>Estado de tu autorización</t>
        </is>
      </c>
      <c r="B10" s="11" t="str">
        <f>IFERROR(IF(B6&lt;&gt;"Sí","No vas a ferias",IF(B7&lt;B8,"CADUCADA: la autorización no es indefinida ni se renueva sola","Vigente")),"")</f>
        <v>No vas a ferias</v>
      </c>
    </row>
    <row r="11"/>
    <row r="12">
      <c r="A12" s="5" t="inlineStr">
        <is>
          <t>LOS REQUISITOS DEL PUESTO</t>
        </is>
      </c>
      <c r="B12" s="14" t="inlineStr"/>
      <c r="C12" s="14" t="inlineStr"/>
      <c r="D12" s="14" t="inlineStr"/>
      <c r="E12" s="14" t="inlineStr"/>
    </row>
    <row r="13" ht="24" customHeight="1">
      <c r="A13" s="7" t="inlineStr">
        <is>
          <t>Requisito</t>
        </is>
      </c>
      <c r="B13" s="7" t="inlineStr">
        <is>
          <t>¿Te aplica?</t>
        </is>
      </c>
      <c r="C13" s="7" t="inlineStr">
        <is>
          <t>Estado</t>
        </is>
      </c>
      <c r="D13" s="7" t="inlineStr">
        <is>
          <t>Fuente</t>
        </is>
      </c>
      <c r="E13" s="7" t="inlineStr">
        <is>
          <t>Nota</t>
        </is>
      </c>
    </row>
    <row r="14" ht="44" customHeight="1">
      <c r="A14" s="13" t="inlineStr">
        <is>
          <t>Autorización municipal del puesto: con plazo, sin renovación automática y por un procedimiento transparente</t>
        </is>
      </c>
      <c r="B14" s="32" t="str">
        <f>IFERROR(IF($B$6="Sí","Sí","No"),"")</f>
        <v>No</v>
      </c>
      <c r="C14" s="15" t="inlineStr">
        <is>
          <t>Pendiente</t>
        </is>
      </c>
      <c r="D14" t="inlineStr">
        <is>
          <t>CUN-20</t>
        </is>
      </c>
    </row>
    <row r="15" ht="44" customHeight="1">
      <c r="A15" s="13" t="inlineStr">
        <is>
          <t>Tus datos y la autorización, expuestos de forma visible para el público</t>
        </is>
      </c>
      <c r="B15" s="32" t="str">
        <f>IFERROR(IF($B$6="Sí","Sí","No"),"")</f>
        <v>No</v>
      </c>
      <c r="C15" s="15" t="inlineStr">
        <is>
          <t>Pendiente</t>
        </is>
      </c>
      <c r="D15" t="inlineStr">
        <is>
          <t>CUN-20</t>
        </is>
      </c>
    </row>
    <row r="16" ht="44" customHeight="1">
      <c r="A16" s="13" t="inlineStr">
        <is>
          <t>Comprueba qué norma cita tu ordenanza: el real decreto estatal de venta ambulante de 2010 está derogado desde el 7-8-2021</t>
        </is>
      </c>
      <c r="B16" s="32" t="str">
        <f>IFERROR(IF($B$6="Sí","Sí","No"),"")</f>
        <v>No</v>
      </c>
      <c r="C16" s="15" t="inlineStr">
        <is>
          <t>Pendiente</t>
        </is>
      </c>
      <c r="D16" t="inlineStr">
        <is>
          <t>CUN-19</t>
        </is>
      </c>
      <c r="E16" s="6" t="inlineStr">
        <is>
          <t>Lo sustituyó otro real decreto en 2021. Si tu ordenanza cita sus artículos, pregúntale al ayuntamiento qué norma aplica hoy.</t>
        </is>
      </c>
    </row>
    <row r="17" ht="44" customHeight="1">
      <c r="A17" s="13" t="inlineStr">
        <is>
          <t>Ocupación de dominio público o quiosco: el puesto de churros no siempre va como «venta ambulante»; hay ordenanzas que lo excluyen de los puestos desmontables</t>
        </is>
      </c>
      <c r="B17" s="32" t="str">
        <f>IFERROR(IF($B$6="Sí","Sí","No"),"")</f>
        <v>No</v>
      </c>
      <c r="C17" s="15" t="inlineStr">
        <is>
          <t>Pendiente</t>
        </is>
      </c>
      <c r="D17" t="inlineStr">
        <is>
          <t>CUN-36</t>
        </is>
      </c>
    </row>
    <row r="18" ht="44" customHeight="1">
      <c r="A18" s="13" t="inlineStr">
        <is>
          <t>Alta en el IAE del puesto: 663.1, o 675 / 674.7 si pones mesas</t>
        </is>
      </c>
      <c r="B18" s="32" t="str">
        <f>IFERROR(IF($B$6="Sí","Sí","No"),"")</f>
        <v>No</v>
      </c>
      <c r="C18" s="15" t="inlineStr">
        <is>
          <t>Pendiente</t>
        </is>
      </c>
      <c r="D18" t="inlineStr">
        <is>
          <t>CUN-11 + CUN-13</t>
        </is>
      </c>
    </row>
    <row r="19" ht="44" customHeight="1">
      <c r="A19" s="13" t="inlineStr">
        <is>
          <t>Registro sanitario autonómico: el puesto también es comercio al por menor</t>
        </is>
      </c>
      <c r="B19" s="32" t="str">
        <f>IFERROR(IF($B$6="Sí","Sí","No"),"")</f>
        <v>No</v>
      </c>
      <c r="C19" s="15" t="inlineStr">
        <is>
          <t>Pendiente</t>
        </is>
      </c>
      <c r="D19" t="inlineStr">
        <is>
          <t>CUN-21</t>
        </is>
      </c>
    </row>
    <row r="20" ht="44" customHeight="1">
      <c r="A20" s="13" t="inlineStr">
        <is>
          <t>Higiene del puesto: lavado de manos, superficies lisas y lavables, agua potable caliente y fría, y eliminación higiénica de desechos</t>
        </is>
      </c>
      <c r="B20" s="32" t="str">
        <f>IFERROR(IF($B$6="Sí","Sí","No"),"")</f>
        <v>No</v>
      </c>
      <c r="C20" s="15" t="inlineStr">
        <is>
          <t>Pendiente</t>
        </is>
      </c>
      <c r="D20" t="inlineStr">
        <is>
          <t>CUN-22</t>
        </is>
      </c>
    </row>
    <row r="21" ht="44" customHeight="1">
      <c r="A21" s="13" t="inlineStr">
        <is>
          <t>Gas del puesto: la bombona de menos de 15 kg sólo libra de la instalación receptora a un aparato de utilización móvil</t>
        </is>
      </c>
      <c r="B21" s="32" t="str">
        <f>IFERROR(IF($B$6="Sí","Sí","No"),"")</f>
        <v>No</v>
      </c>
      <c r="C21" s="15" t="inlineStr">
        <is>
          <t>Pendiente</t>
        </is>
      </c>
      <c r="D21" t="inlineStr">
        <is>
          <t>CUN-28</t>
        </is>
      </c>
    </row>
    <row r="22" ht="44" customHeight="1">
      <c r="A22" s="13" t="inlineStr">
        <is>
          <t>Ejemplo de Madrid: cocinar en suelo de uso público pide autorización previa y captación y filtrado a la distancia de la celda B8 de cualquier hueco</t>
        </is>
      </c>
      <c r="B22" s="32" t="str">
        <f>IFERROR(IF($B$6="Sí","Sí","No"),"")</f>
        <v>No</v>
      </c>
      <c r="C22" s="15" t="inlineStr">
        <is>
          <t>Pendiente</t>
        </is>
      </c>
      <c r="D22" t="inlineStr">
        <is>
          <t>CUN-25</t>
        </is>
      </c>
    </row>
    <row r="23" ht="44" customHeight="1">
      <c r="A23" s="13" t="inlineStr">
        <is>
          <t>Tasa de la feria: la fija la ordenanza fiscal de cada municipio (el de la nota es un pueblo pequeño, nunca un orden de magnitud)</t>
        </is>
      </c>
      <c r="B23" s="32" t="str">
        <f>IFERROR(IF($B$6="Sí","Sí","No"),"")</f>
        <v>No</v>
      </c>
      <c r="C23" s="15" t="inlineStr">
        <is>
          <t>Pendiente</t>
        </is>
      </c>
      <c r="D23" t="inlineStr">
        <is>
          <t>CUN-37</t>
        </is>
      </c>
      <c r="E23" s="6" t="inlineStr">
        <is>
          <t>Los euros de la tasa de cada evento se ponen en el libro de temporada y ferias, no aquí.</t>
        </is>
      </c>
    </row>
    <row r="24" ht="44" customHeight="1">
      <c r="A24" s="13" t="inlineStr">
        <is>
          <t>Alérgenos por escrito también en el puesto</t>
        </is>
      </c>
      <c r="B24" s="32" t="str">
        <f>IFERROR(IF($B$6="Sí","Sí","No"),"")</f>
        <v>No</v>
      </c>
      <c r="C24" s="15" t="inlineStr">
        <is>
          <t>Pendiente</t>
        </is>
      </c>
      <c r="D24" t="inlineStr">
        <is>
          <t>CHN-34</t>
        </is>
      </c>
    </row>
    <row r="25">
      <c r="A25" s="11" t="inlineStr">
        <is>
          <t>Requisitos que te aplican</t>
        </is>
      </c>
      <c r="B25" s="34">
        <f>IFERROR(COUNTIF(B14:B24,"Sí"),"")</f>
        <v>0.0</v>
      </c>
    </row>
    <row r="26">
      <c r="A26" s="11" t="inlineStr">
        <is>
          <t>De ellos, pendientes</t>
        </is>
      </c>
      <c r="B26" s="34">
        <f>SUMPRODUCT(--(B14:B24="Sí"),--(C14:C24="Pendiente"))</f>
        <v>0.0</v>
      </c>
    </row>
    <row r="27">
      <c r="A27" s="11" t="inlineStr">
        <is>
          <t>VEREDICTO</t>
        </is>
      </c>
      <c r="B27" s="23" t="str">
        <f>IFERROR(IF(B6&lt;&gt;"Sí","No vas a ferias: esta hoja no te aplica. Si algún día vas, cambia la respuesta en el árbol de formatos",IF(B26&gt;0,"Te faltan papeles del puesto: "&amp;B26&amp;" pendientes","Papeles del puesto en regla")),"")</f>
        <v>No vas a ferias: esta hoja no te aplica. Si algún día vas, cambia la respuesta en el árbol de formatos</v>
      </c>
    </row>
    <row r="28"/>
    <row r="29" ht="34" customHeight="1">
      <c r="A29" s="6" t="inlineStr">
        <is>
          <t>La caseta es aquí un capítulo de papeles, sin caso cifrado. El caso completo de un puesto móvil, con sus números y sus tareas, está en el Plan de Negocio Food Truck y en el Kit de Tareas Food Truck.</t>
        </is>
      </c>
    </row>
    <row r="30" ht="34" customHeight="1">
      <c r="A30" s="6" t="inlineStr">
        <is>
          <t>Cada ayuntamiento tiene su ordenanza de venta ambulante, de ocupación de la vía pública y su ordenanza fiscal: los requisitos de esta hoja son la lista de lo que hay que preguntar, no la respuesta de tu municipio.</t>
        </is>
      </c>
    </row>
    <row r="31"/>
    <row r="32"/>
    <row r="33">
      <c r="A33" s="5" t="inlineStr">
        <is>
          <t>Listas de validación (no las borres: las usan los desplegables)</t>
        </is>
      </c>
    </row>
    <row r="34">
      <c r="A34" s="11" t="inlineStr">
        <is>
          <t>Estado</t>
        </is>
      </c>
    </row>
    <row r="35">
      <c r="A35" t="inlineStr">
        <is>
          <t>Pendiente</t>
        </is>
      </c>
    </row>
    <row r="36">
      <c r="A36" t="inlineStr">
        <is>
          <t>Hecho</t>
        </is>
      </c>
    </row>
    <row r="37">
      <c r="A37" t="inlineStr">
        <is>
          <t>N/A</t>
        </is>
      </c>
    </row>
  </sheetData>
  <sheetProtection selectLockedCells="0" selectUnlockedCells="0" sheet="1" objects="0" insertRows="0" insertHyperlinks="1" autoFilter="1" scenarios="0" formatColumns="0" deleteColumns="1" insertColumns="1" pivotTables="1" deleteRows="1" formatCells="1" formatRows="0" sort="0"/>
  <mergeCells count="5">
    <mergeCell ref="A30:E30"/>
    <mergeCell ref="A29:E29"/>
    <mergeCell ref="B27:E27"/>
    <mergeCell ref="B10:E10"/>
    <mergeCell ref="A3:E3"/>
  </mergeCells>
  <conditionalFormatting sqref="B10">
    <cfRule type="expression" priority="1" dxfId="3" stopIfTrue="1">
      <formula>=AND($B$6="Sí",ISNUMBER($B$7),ISNUMBER($B$8),$B$7&lt;$B$8)</formula>
    </cfRule>
  </conditionalFormatting>
  <conditionalFormatting sqref="B26">
    <cfRule type="expression" priority="2" dxfId="0" stopIfTrue="1">
      <formula>=AND(ISNUMBER($B$26),$B$26&gt;0)</formula>
    </cfRule>
  </conditionalFormatting>
  <dataValidations count="2">
    <dataValidation sqref="B7 B8" showDropDown="0" showInputMessage="0" showErrorMessage="1" allowBlank="1" errorTitle="Fecha no válida" error="Escribe una fecha (dd/mm/aaaa) entre 2020 y 2040." type="date" operator="between">
      <formula1>DATE(2020,1,1)</formula1>
      <formula2>DATE(2040,12,31)</formula2>
    </dataValidation>
    <dataValidation sqref="C14 C15 C16 C17 C18 C19 C20 C21 C22 C23 C24" showDropDown="0" showInputMessage="0" showErrorMessage="1" allowBlank="0" errorTitle="Marca el estado" error="Pendiente, Hecho o N/A." type="list">
      <formula1>=$A$35:$A$37</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G52"/>
  <sheetViews>
    <sheetView workbookViewId="0">
      <pane ySplit="14" topLeftCell="A15" activePane="bottomLeft" state="frozen"/>
      <selection pane="bottomLeft" activeCell="A1" sqref="A1"/>
    </sheetView>
  </sheetViews>
  <sheetFormatPr baseColWidth="8" defaultRowHeight="15"/>
  <cols>
    <col width="50" customWidth="1" min="1" max="1"/>
    <col width="16" customWidth="1" min="2" max="2"/>
    <col width="16" customWidth="1" min="3" max="3"/>
    <col width="16" customWidth="1" min="4" max="4"/>
    <col width="16" customWidth="1" min="5" max="5"/>
    <col width="18" customWidth="1" min="6" max="6"/>
    <col width="70" customWidth="1" min="7" max="7"/>
  </cols>
  <sheetData>
    <row r="1" ht="28" customHeight="1">
      <c r="A1" s="1" t="inlineStr">
        <is>
          <t>Alérgenos y Aceite Compartido</t>
        </is>
      </c>
    </row>
    <row r="2">
      <c r="A2" t="inlineStr">
        <is>
          <t>AI Chef Pro · aichef.pro — Cómo Montar una Churrería-Chocolatería</t>
        </is>
      </c>
    </row>
    <row r="3" ht="26" customHeight="1">
      <c r="A3" s="6" t="inlineStr">
        <is>
          <t>Lo que fríes en la misma freidora, los alérgenos de tu carta por familia, el «sin gluten», la acrilamida y lo que dice la norma del aceite.</t>
        </is>
      </c>
    </row>
    <row r="4"/>
    <row r="5">
      <c r="A5" s="5" t="inlineStr">
        <is>
          <t>1. QUÉ FRÍES EN LA FREIDORA DE CHURROS</t>
        </is>
      </c>
      <c r="B5" s="14" t="inlineStr"/>
      <c r="C5" s="14" t="inlineStr"/>
      <c r="D5" s="14" t="inlineStr"/>
      <c r="E5" s="14" t="inlineStr"/>
      <c r="F5" s="14" t="inlineStr"/>
      <c r="G5" s="14" t="inlineStr"/>
    </row>
    <row r="6" ht="24" customHeight="1">
      <c r="A6" s="7" t="inlineStr">
        <is>
          <t>Lo que fríes</t>
        </is>
      </c>
      <c r="B6" s="7" t="inlineStr">
        <is>
          <t>¿En la misma freidora?</t>
        </is>
      </c>
      <c r="G6" s="7" t="inlineStr">
        <is>
          <t>Nota</t>
        </is>
      </c>
    </row>
    <row r="7">
      <c r="A7" s="13" t="inlineStr">
        <is>
          <t>Churros y porras</t>
        </is>
      </c>
      <c r="B7" s="15" t="inlineStr">
        <is>
          <t>Sí</t>
        </is>
      </c>
      <c r="G7" s="6" t="inlineStr">
        <is>
          <t>El Molinete fríe sólo churros y porras en su freidora; los rellenos y la cobertura van después de freír.</t>
        </is>
      </c>
    </row>
    <row r="8">
      <c r="A8" s="13" t="inlineStr">
        <is>
          <t>Churros rellenos o con cobertura</t>
        </is>
      </c>
      <c r="B8" s="15" t="inlineStr">
        <is>
          <t>Sí</t>
        </is>
      </c>
    </row>
    <row r="9">
      <c r="A9" s="13" t="inlineStr">
        <is>
          <t>Patatas fritas de patata fresca</t>
        </is>
      </c>
      <c r="B9" s="15" t="inlineStr">
        <is>
          <t>No</t>
        </is>
      </c>
    </row>
    <row r="10">
      <c r="A10" s="13" t="inlineStr">
        <is>
          <t>Otros fritos (rebozados, empanados, buñuelos de otra masa)</t>
        </is>
      </c>
      <c r="B10" s="15" t="inlineStr">
        <is>
          <t>No</t>
        </is>
      </c>
    </row>
    <row r="11" ht="36" customHeight="1">
      <c r="A11" s="12" t="inlineStr">
        <is>
          <t>¿Tu freidora es dedicada o compartida? (decisión 11)</t>
        </is>
      </c>
      <c r="B11" s="20" t="str">
        <f>IFERROR(IF(COUNTIF(B9:B10,"Sí")&gt;0,"Compartida: el aceite arrastra los alérgenos de todo lo que fríes en él. Freidora aparte, o limpieza antes de cambiar de producto","Dedicada al churro y a la porra: el aceite sólo lleva lo que lleva tu masa"),"")</f>
        <v>Dedicada al churro y a la porra: el aceite sólo lleva lo que lleva tu masa</v>
      </c>
    </row>
    <row r="12"/>
    <row r="13">
      <c r="A13" s="5" t="inlineStr">
        <is>
          <t>2. LOS ALÉRGENOS DE TU CARTA, POR FAMILIA</t>
        </is>
      </c>
      <c r="B13" s="14" t="inlineStr"/>
      <c r="C13" s="14" t="inlineStr"/>
      <c r="D13" s="14" t="inlineStr"/>
      <c r="E13" s="14" t="inlineStr"/>
      <c r="F13" s="14" t="inlineStr"/>
      <c r="G13" s="14" t="inlineStr"/>
    </row>
    <row r="14" ht="24" customHeight="1">
      <c r="A14" s="7" t="inlineStr">
        <is>
          <t>Familia de la carta</t>
        </is>
      </c>
      <c r="B14" s="7" t="inlineStr">
        <is>
          <t>Gluten</t>
        </is>
      </c>
      <c r="C14" s="7" t="inlineStr">
        <is>
          <t>Leche</t>
        </is>
      </c>
      <c r="D14" s="7" t="inlineStr">
        <is>
          <t>Huevo</t>
        </is>
      </c>
      <c r="E14" s="7" t="inlineStr">
        <is>
          <t>Soja</t>
        </is>
      </c>
      <c r="F14" s="7" t="inlineStr">
        <is>
          <t>Frutos de cáscara</t>
        </is>
      </c>
      <c r="G14" s="7" t="inlineStr">
        <is>
          <t>Nota</t>
        </is>
      </c>
    </row>
    <row r="15">
      <c r="A15" s="11" t="inlineStr">
        <is>
          <t>Churros y porras</t>
        </is>
      </c>
      <c r="B15" s="15" t="inlineStr">
        <is>
          <t>Sí</t>
        </is>
      </c>
      <c r="C15" s="15" t="inlineStr">
        <is>
          <t>Revisa la etiqueta</t>
        </is>
      </c>
      <c r="D15" s="15" t="inlineStr">
        <is>
          <t>Revisa la etiqueta</t>
        </is>
      </c>
      <c r="E15" s="15" t="inlineStr">
        <is>
          <t>Revisa la etiqueta</t>
        </is>
      </c>
      <c r="F15" s="15" t="inlineStr">
        <is>
          <t>Revisa la etiqueta</t>
        </is>
      </c>
      <c r="G15" s="6" t="inlineStr">
        <is>
          <t>Gluten siempre en la masa de trigo. Lo demás depende de la etiqueta del mix y del preparado que compres.</t>
        </is>
      </c>
    </row>
    <row r="16">
      <c r="A16" s="11" t="inlineStr">
        <is>
          <t>Rellenos y especiales</t>
        </is>
      </c>
      <c r="B16" s="15" t="inlineStr">
        <is>
          <t>Sí</t>
        </is>
      </c>
      <c r="C16" s="15" t="inlineStr">
        <is>
          <t>Revisa la etiqueta</t>
        </is>
      </c>
      <c r="D16" s="15" t="inlineStr">
        <is>
          <t>Revisa la etiqueta</t>
        </is>
      </c>
      <c r="E16" s="15" t="inlineStr">
        <is>
          <t>Revisa la etiqueta</t>
        </is>
      </c>
      <c r="F16" s="15" t="inlineStr">
        <is>
          <t>Revisa la etiqueta</t>
        </is>
      </c>
    </row>
    <row r="17">
      <c r="A17" s="11" t="inlineStr">
        <is>
          <t>Chocolate a la taza</t>
        </is>
      </c>
      <c r="B17" s="15" t="inlineStr">
        <is>
          <t>Revisa la etiqueta</t>
        </is>
      </c>
      <c r="C17" s="15" t="inlineStr">
        <is>
          <t>Sí</t>
        </is>
      </c>
      <c r="D17" s="15" t="inlineStr">
        <is>
          <t>Revisa la etiqueta</t>
        </is>
      </c>
      <c r="E17" s="15" t="inlineStr">
        <is>
          <t>Revisa la etiqueta</t>
        </is>
      </c>
      <c r="F17" s="15" t="inlineStr">
        <is>
          <t>Revisa la etiqueta</t>
        </is>
      </c>
      <c r="G17" s="6" t="inlineStr">
        <is>
          <t>Leche en la taza: compruébalo en la etiqueta de tu preparado.</t>
        </is>
      </c>
    </row>
    <row r="18">
      <c r="A18" s="11" t="inlineStr">
        <is>
          <t>Cafés y bebidas</t>
        </is>
      </c>
      <c r="B18" s="15" t="inlineStr">
        <is>
          <t>Revisa la etiqueta</t>
        </is>
      </c>
      <c r="C18" s="15" t="inlineStr">
        <is>
          <t>Sí</t>
        </is>
      </c>
      <c r="D18" s="15" t="inlineStr">
        <is>
          <t>Revisa la etiqueta</t>
        </is>
      </c>
      <c r="E18" s="15" t="inlineStr">
        <is>
          <t>Revisa la etiqueta</t>
        </is>
      </c>
      <c r="F18" s="15" t="inlineStr">
        <is>
          <t>Revisa la etiqueta</t>
        </is>
      </c>
    </row>
    <row r="19">
      <c r="A19" s="11" t="inlineStr">
        <is>
          <t>Carta de verano</t>
        </is>
      </c>
      <c r="B19" s="15" t="inlineStr">
        <is>
          <t>Revisa la etiqueta</t>
        </is>
      </c>
      <c r="C19" s="15" t="inlineStr">
        <is>
          <t>Revisa la etiqueta</t>
        </is>
      </c>
      <c r="D19" s="15" t="inlineStr">
        <is>
          <t>Revisa la etiqueta</t>
        </is>
      </c>
      <c r="E19" s="15" t="inlineStr">
        <is>
          <t>Revisa la etiqueta</t>
        </is>
      </c>
      <c r="F19" s="15" t="inlineStr">
        <is>
          <t>Revisa la etiqueta</t>
        </is>
      </c>
    </row>
    <row r="20">
      <c r="A20" s="41" t="inlineStr">
        <is>
          <t>¿Lo declaras por escrito en la carta o el cartel?</t>
        </is>
      </c>
      <c r="B20" s="42" t="str">
        <f>IFERROR(IF(COUNTIF(B15:B19,"Sí")&gt;0,"Sí","No"),"")</f>
        <v>Sí</v>
      </c>
      <c r="C20" s="42" t="str">
        <f>IFERROR(IF(COUNTIF(C15:C19,"Sí")&gt;0,"Sí","No"),"")</f>
        <v>Sí</v>
      </c>
      <c r="D20" s="42" t="str">
        <f>IFERROR(IF(COUNTIF(D15:D19,"Sí")&gt;0,"Sí","No"),"")</f>
        <v>No</v>
      </c>
      <c r="E20" s="42" t="str">
        <f>IFERROR(IF(COUNTIF(E15:E19,"Sí")&gt;0,"Sí","No"),"")</f>
        <v>No</v>
      </c>
      <c r="F20" s="42" t="str">
        <f>IFERROR(IF(COUNTIF(F15:F19,"Sí")&gt;0,"Sí","No"),"")</f>
        <v>No</v>
      </c>
    </row>
    <row r="21">
      <c r="A21" s="11" t="inlineStr">
        <is>
          <t>Casillas pendientes de leer en la etiqueta</t>
        </is>
      </c>
      <c r="B21" s="34">
        <f>IFERROR(COUNTIF(B15:F19,"Revisa la etiqueta"),"")</f>
        <v>21.0</v>
      </c>
      <c r="G21" s="6" t="inlineStr">
        <is>
          <t>Mientras no sea cero, tu carta de alérgenos está incompleta. La matriz por elaboración está en el Pack APPCC.</t>
        </is>
      </c>
    </row>
    <row r="22"/>
    <row r="23">
      <c r="A23" s="5" t="inlineStr">
        <is>
          <t>3. EL «SIN GLUTEN»</t>
        </is>
      </c>
      <c r="B23" s="14" t="inlineStr"/>
      <c r="C23" s="14" t="inlineStr"/>
      <c r="D23" s="14" t="inlineStr"/>
      <c r="E23" s="14" t="inlineStr"/>
      <c r="F23" s="14" t="inlineStr"/>
      <c r="G23" s="14" t="inlineStr"/>
    </row>
    <row r="24">
      <c r="A24" s="11" t="inlineStr">
        <is>
          <t>¿Quieres anunciar algo «sin gluten»?</t>
        </is>
      </c>
      <c r="B24" s="15" t="inlineStr">
        <is>
          <t>No</t>
        </is>
      </c>
    </row>
    <row r="25">
      <c r="A25" s="11" t="inlineStr">
        <is>
          <t>Gluten máximo para decir «sin gluten» (mg/kg)</t>
        </is>
      </c>
      <c r="B25" s="17" t="n">
        <v>20</v>
      </c>
    </row>
    <row r="26" ht="40" customHeight="1">
      <c r="A26" s="11" t="inlineStr">
        <is>
          <t>Lo que significa</t>
        </is>
      </c>
      <c r="B26" s="35" t="str">
        <f>IFERROR(IF(B24="Sí","Casi nunca puedes: con una freidora que fríe churros de trigo el aceite contamina. Necesitarías freidora y elaboración aparte, y un análisis por debajo de "&amp;B25&amp;" mg/kg en el producto tal como lo vendes","No lo anuncias: correcto. «Sin gluten» no es un argumento de carta en una churrería"),"")</f>
        <v>No lo anuncias: correcto. «Sin gluten» no es un argumento de carta en una churrería</v>
      </c>
    </row>
    <row r="27"/>
    <row r="28">
      <c r="A28" s="5" t="inlineStr">
        <is>
          <t>4. LA ACRILAMIDA</t>
        </is>
      </c>
      <c r="B28" s="14" t="inlineStr"/>
      <c r="C28" s="14" t="inlineStr"/>
      <c r="D28" s="14" t="inlineStr"/>
      <c r="E28" s="14" t="inlineStr"/>
      <c r="F28" s="14" t="inlineStr"/>
      <c r="G28" s="14" t="inlineStr"/>
    </row>
    <row r="29" ht="40" customHeight="1">
      <c r="A29" s="12" t="inlineStr">
        <is>
          <t>¿Fríes patatas fritas de patata fresca? (de la tabla 1)</t>
        </is>
      </c>
      <c r="B29" s="35" t="str">
        <f>B9</f>
        <v>No</v>
      </c>
    </row>
    <row r="30" ht="46" customHeight="1">
      <c r="A30" s="12" t="inlineStr">
        <is>
          <t>¿Operas bajo marca o licencia siguiendo las instrucciones de quien te suministra de forma centralizada?</t>
        </is>
      </c>
      <c r="B30" s="43" t="inlineStr">
        <is>
          <t>No</t>
        </is>
      </c>
    </row>
    <row r="31" ht="40" customHeight="1">
      <c r="A31" s="12" t="inlineStr">
        <is>
          <t>El churro</t>
        </is>
      </c>
      <c r="B31" s="33" t="inlineStr">
        <is>
          <t>Buena práctica, no obligación expresa: el churro no está nombrado en la lista del reglamento de la acrilamida, que no define «bollería». No se puede afirmar ni que entre ni que quede fuera.</t>
        </is>
      </c>
    </row>
    <row r="32" ht="40" customHeight="1">
      <c r="A32" s="12" t="inlineStr">
        <is>
          <t>La recomendación de la UE</t>
        </is>
      </c>
      <c r="B32" s="33" t="inlineStr">
        <is>
          <t>Una recomendación de la Comisión, no vinculante, incluye los churros en su lista de alimentos en los que se debe vigilar la acrilamida.</t>
        </is>
      </c>
    </row>
    <row r="33" ht="40" customHeight="1">
      <c r="A33" s="12" t="inlineStr">
        <is>
          <t>Valor de referencia</t>
        </is>
      </c>
      <c r="B33" s="33" t="inlineStr">
        <is>
          <t>Un informe oficial recoge que no hay valor de referencia para las masas fritas como los churros: la autoridad ya mira el churro, pero no fija una obligación.</t>
        </is>
      </c>
    </row>
    <row r="34" ht="40" customHeight="1">
      <c r="A34" s="12" t="inlineStr">
        <is>
          <t>Lo que se mueve</t>
        </is>
      </c>
      <c r="B34" s="33" t="inlineStr">
        <is>
          <t>La Comisión revisa el marco de la acrilamida (estado de consultas). Vuelve a mirarlo en el anexo normativo de la guía antes de cada temporada.</t>
        </is>
      </c>
    </row>
    <row r="35" ht="40" customHeight="1">
      <c r="A35" s="12" t="inlineStr">
        <is>
          <t>Parte A del anexo II</t>
        </is>
      </c>
      <c r="B35" s="35" t="str">
        <f>IFERROR(IF(B29="Sí","Te toca la parte A: las medidas de mitigación de las patatas fritas, porque las fríes","No fríes patatas: la parte A no te alcanza por ellas"),"")</f>
        <v>No fríes patatas: la parte A no te alcanza por ellas</v>
      </c>
    </row>
    <row r="36" ht="40" customHeight="1">
      <c r="A36" s="12" t="inlineStr">
        <is>
          <t>Parte B del anexo II</t>
        </is>
      </c>
      <c r="B36" s="35" t="str">
        <f>IFERROR(IF(AND(B30="Sí",B29="Sí"),"Parte B, además: operas siguiendo las instrucciones de quien te suministra de forma centralizada (art. 2.3)","La parte B no te alcanza: sólo aplica a quien opera bajo marca o licencia siguiendo las instrucciones de un suministro centralizado (art. 2.3)"),"")</f>
        <v>La parte B no te alcanza: sólo aplica a quien opera bajo marca o licencia siguiendo las instrucciones de un suministro centralizado (art. 2.3)</v>
      </c>
    </row>
    <row r="37"/>
    <row r="38">
      <c r="A38" s="5" t="inlineStr">
        <is>
          <t>5. EL ACEITE: LO QUE DICE LA NORMA</t>
        </is>
      </c>
      <c r="B38" s="14" t="inlineStr"/>
      <c r="C38" s="14" t="inlineStr"/>
      <c r="D38" s="14" t="inlineStr"/>
      <c r="E38" s="14" t="inlineStr"/>
      <c r="F38" s="14" t="inlineStr"/>
      <c r="G38" s="14" t="inlineStr"/>
    </row>
    <row r="39" ht="32" customHeight="1">
      <c r="A39" s="13" t="inlineStr">
        <is>
          <t>La norma de calidad de los aceites calentados alcanza a la churrería</t>
        </is>
      </c>
      <c r="G39" t="inlineStr">
        <is>
          <t>[Fuente: CUN-01]</t>
        </is>
      </c>
    </row>
    <row r="40" ht="32" customHeight="1">
      <c r="A40" s="13" t="inlineStr">
        <is>
          <t>Compuestos polares por debajo del 25 %: el medidor de mano te dice cuándo cambiar; el 25 % legal se demuestra en laboratorio</t>
        </is>
      </c>
      <c r="G40" t="inlineStr">
        <is>
          <t>[Fuente: CUN-02]</t>
        </is>
      </c>
    </row>
    <row r="41" ht="32" customHeight="1">
      <c r="A41" s="13" t="inlineStr">
        <is>
          <t>Prohibido añadir sustancias extrañas al aceite y vender el usado para uso alimentario (el artículo 9 sigue vivo)</t>
        </is>
      </c>
      <c r="G41" t="inlineStr">
        <is>
          <t>[Fuente: CUN-03]</t>
        </is>
      </c>
    </row>
    <row r="42" ht="32" customHeight="1">
      <c r="A42" s="13" t="inlineStr">
        <is>
          <t>Recogida separada obligatoria del aceite usado desde el 30-06-2022: contrato con un gestor autorizado y los justificantes guardados</t>
        </is>
      </c>
      <c r="G42" t="inlineStr">
        <is>
          <t>[Fuente: CUN-27]</t>
        </is>
      </c>
    </row>
    <row r="43"/>
    <row r="44" ht="34" customHeight="1">
      <c r="A44" s="6" t="inlineStr">
        <is>
          <t>El registro de las mediciones del aceite y de la retirada del usado se lleva en el Pack APPCC, registro 09: aquí se cita, no se copia. El coste del aceite y cuándo cambiarlo, en aceite-de-fritura-coste-y-cambio.xlsx.</t>
        </is>
      </c>
    </row>
    <row r="45" ht="30" customHeight="1">
      <c r="A45" s="6" t="inlineStr">
        <is>
          <t>Cada casilla de la tabla de alérgenos se rellena con la etiqueta del producto que compras en la mano: el mismo mix de churros cambia de composición entre marcas.</t>
        </is>
      </c>
    </row>
    <row r="46"/>
    <row r="47"/>
    <row r="48">
      <c r="A48" s="5" t="inlineStr">
        <is>
          <t>Listas de validación (no las borres: las usan los desplegables)</t>
        </is>
      </c>
    </row>
    <row r="49">
      <c r="A49" s="11" t="inlineStr">
        <is>
          <t>Sí o No</t>
        </is>
      </c>
      <c r="B49" s="11" t="inlineStr">
        <is>
          <t>Alérgeno</t>
        </is>
      </c>
    </row>
    <row r="50">
      <c r="A50" t="inlineStr">
        <is>
          <t>Sí</t>
        </is>
      </c>
      <c r="B50" t="inlineStr">
        <is>
          <t>Sí</t>
        </is>
      </c>
    </row>
    <row r="51">
      <c r="A51" t="inlineStr">
        <is>
          <t>No</t>
        </is>
      </c>
      <c r="B51" t="inlineStr">
        <is>
          <t>No</t>
        </is>
      </c>
    </row>
    <row r="52">
      <c r="B52" t="inlineStr">
        <is>
          <t>Revisa la etiqueta</t>
        </is>
      </c>
    </row>
  </sheetData>
  <sheetProtection selectLockedCells="0" selectUnlockedCells="0" sheet="1" objects="0" insertRows="0" insertHyperlinks="1" autoFilter="1" scenarios="0" formatColumns="0" deleteColumns="1" insertColumns="1" pivotTables="1" deleteRows="1" formatCells="1" formatRows="0" sort="0"/>
  <mergeCells count="16">
    <mergeCell ref="A41:F41"/>
    <mergeCell ref="B34:G34"/>
    <mergeCell ref="A44:G44"/>
    <mergeCell ref="A42:F42"/>
    <mergeCell ref="B36:G36"/>
    <mergeCell ref="A45:G45"/>
    <mergeCell ref="A3:G3"/>
    <mergeCell ref="B31:G31"/>
    <mergeCell ref="B32:G32"/>
    <mergeCell ref="B35:G35"/>
    <mergeCell ref="B26:G26"/>
    <mergeCell ref="A40:F40"/>
    <mergeCell ref="A39:F39"/>
    <mergeCell ref="B29:G29"/>
    <mergeCell ref="B33:G33"/>
    <mergeCell ref="B11:G11"/>
  </mergeCells>
  <conditionalFormatting sqref="B15:F19">
    <cfRule type="cellIs" priority="1" operator="equal" dxfId="3" stopIfTrue="1">
      <formula>"Sí"</formula>
    </cfRule>
    <cfRule type="cellIs" priority="2" operator="equal" dxfId="0" stopIfTrue="1">
      <formula>"Revisa la etiqueta"</formula>
    </cfRule>
  </conditionalFormatting>
  <conditionalFormatting sqref="B21">
    <cfRule type="expression" priority="3" dxfId="0" stopIfTrue="1">
      <formula>=AND(ISNUMBER($B$21),$B$21&gt;0)</formula>
    </cfRule>
  </conditionalFormatting>
  <dataValidations count="4">
    <dataValidation sqref="B7 B8 B9 B10" showDropDown="0" showInputMessage="0" showErrorMessage="1" allowBlank="0" errorTitle="Contesta Sí o No" error="Elige «Sí» o «No»." type="list">
      <formula1>=$A$50:$A$51</formula1>
    </dataValidation>
    <dataValidation sqref="B15 B16 B17 B18 B19 C15 C16 C17 C18 C19 D15 D16 D17 D18 D19 E15 E16 E17 E18 E19 F15 F16 F17 F18 F19" showDropDown="0" showInputMessage="0" showErrorMessage="1" allowBlank="0" errorTitle="Sí, No o Revisa la etiqueta" error="Si no lo sabes, deja «Revisa la etiqueta» hasta leer la del preparado." type="list">
      <formula1>=$B$50:$B$52</formula1>
    </dataValidation>
    <dataValidation sqref="B24" showDropDown="0" showInputMessage="0" showErrorMessage="1" allowBlank="0" errorTitle="Contesta Sí o No" error="Elige «Sí» o «No»." type="list">
      <formula1>=$A$50:$A$51</formula1>
    </dataValidation>
    <dataValidation sqref="B30" showDropDown="0" showInputMessage="0" showErrorMessage="1" allowBlank="0" errorTitle="Contesta Sí o No" error="Elige «Sí» o «No»." type="list">
      <formula1>=$A$50:$A$51</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fitToPage="1"/>
  </sheetPr>
  <dimension ref="A1:K33"/>
  <sheetViews>
    <sheetView workbookViewId="0">
      <pane xSplit="2" ySplit="8" topLeftCell="C9" activePane="bottomRight" state="frozen"/>
      <selection pane="topRight"/>
      <selection pane="bottomLeft"/>
      <selection pane="bottomRight" activeCell="A1" sqref="A1"/>
    </sheetView>
  </sheetViews>
  <sheetFormatPr baseColWidth="8" defaultRowHeight="15"/>
  <cols>
    <col width="5" customWidth="1" min="1" max="1"/>
    <col width="40" customWidth="1" min="2" max="2"/>
    <col width="16" customWidth="1" min="3" max="3"/>
    <col width="50" customWidth="1" min="4" max="4"/>
    <col width="12" customWidth="1" min="5" max="5"/>
    <col width="12" customWidth="1" min="6" max="6"/>
    <col width="10" customWidth="1" min="7" max="7"/>
    <col width="12" customWidth="1" min="8" max="8"/>
    <col width="12" customWidth="1" min="9" max="9"/>
    <col width="18" customWidth="1" min="10" max="10"/>
    <col width="50" customWidth="1" min="11" max="11"/>
  </cols>
  <sheetData>
    <row r="1" ht="28" customHeight="1">
      <c r="A1" s="1" t="inlineStr">
        <is>
          <t>Riesgos de la Línea de Fritura</t>
        </is>
      </c>
    </row>
    <row r="2">
      <c r="A2" t="inlineStr">
        <is>
          <t>AI Chef Pro · aichef.pro — Cómo Montar una Churrería-Chocolatería</t>
        </is>
      </c>
    </row>
    <row r="3" ht="26" customHeight="1">
      <c r="A3" s="6" t="inlineStr">
        <is>
          <t>Los riesgos de la línea con su probabilidad, su gravedad y su medida. No sustituye a la evaluación de riesgos de tu servicio de prevención: es la lista de lo que tiene que contemplar en la fritura.</t>
        </is>
      </c>
    </row>
    <row r="4"/>
    <row r="5">
      <c r="B5" s="12" t="inlineStr">
        <is>
          <t>Nivel desde el que la prioridad es ALTA (probabilidad por gravedad)</t>
        </is>
      </c>
      <c r="C5" s="17" t="n">
        <v>6</v>
      </c>
      <c r="D5" s="6" t="inlineStr">
        <is>
          <t>Supuesto de la casa: con una escala de 1 a 3, un 6 o un 9 piden medida antes de abrir.</t>
        </is>
      </c>
    </row>
    <row r="6">
      <c r="B6" s="11" t="inlineStr">
        <is>
          <t>Nivel desde el que la prioridad es MEDIA</t>
        </is>
      </c>
      <c r="C6" s="17" t="n">
        <v>3</v>
      </c>
    </row>
    <row r="7"/>
    <row r="8" ht="30" customHeight="1">
      <c r="A8" s="7" t="inlineStr">
        <is>
          <t>Nº</t>
        </is>
      </c>
      <c r="B8" s="7" t="inlineStr">
        <is>
          <t>Riesgo</t>
        </is>
      </c>
      <c r="C8" s="7" t="inlineStr">
        <is>
          <t>Dónde</t>
        </is>
      </c>
      <c r="D8" s="7" t="inlineStr">
        <is>
          <t>Medida</t>
        </is>
      </c>
      <c r="E8" s="7" t="inlineStr">
        <is>
          <t>Probabilidad (1-3)</t>
        </is>
      </c>
      <c r="F8" s="7" t="inlineStr">
        <is>
          <t>Gravedad (1-3)</t>
        </is>
      </c>
      <c r="G8" s="7" t="inlineStr">
        <is>
          <t>Nivel</t>
        </is>
      </c>
      <c r="H8" s="7" t="inlineStr">
        <is>
          <t>Prioridad</t>
        </is>
      </c>
      <c r="I8" s="7" t="inlineStr">
        <is>
          <t>¿Medida puesta?</t>
        </is>
      </c>
      <c r="J8" s="7" t="inlineStr">
        <is>
          <t>Responsable</t>
        </is>
      </c>
      <c r="K8" s="7" t="inlineStr">
        <is>
          <t>Fuente</t>
        </is>
      </c>
    </row>
    <row r="9" ht="40" customHeight="1">
      <c r="A9" s="8" t="n">
        <v>1</v>
      </c>
      <c r="B9" s="13" t="inlineStr">
        <is>
          <t>Quemaduras por salpicadura al cargar la freidora</t>
        </is>
      </c>
      <c r="C9" s="13" t="inlineStr">
        <is>
          <t>Fritura</t>
        </is>
      </c>
      <c r="D9" s="13" t="inlineStr">
        <is>
          <t>Cargar con la cesta o la dosificadora, guantes y delantal resistentes al calor, nada de agua cerca de la cuba</t>
        </is>
      </c>
      <c r="E9" s="17" t="n">
        <v>2</v>
      </c>
      <c r="F9" s="17" t="n">
        <v>3</v>
      </c>
      <c r="G9" s="34">
        <f>IFERROR(E9*F9,"")</f>
        <v>6.0</v>
      </c>
      <c r="H9" s="32" t="str">
        <f>IFERROR(IF(G9&gt;=$C$5,"Alta",IF(G9&gt;=$C$6,"Media","Baja")),"")</f>
        <v>Alta</v>
      </c>
      <c r="I9" s="15" t="inlineStr">
        <is>
          <t>No</t>
        </is>
      </c>
      <c r="J9" s="18" t="inlineStr">
        <is>
          <t>Titular</t>
        </is>
      </c>
      <c r="K9" s="13" t="inlineStr">
        <is>
          <t>[Fuente: supuesto (buena práctica de la casa)]</t>
        </is>
      </c>
    </row>
    <row r="10" ht="40" customHeight="1">
      <c r="A10" s="8" t="n">
        <v>2</v>
      </c>
      <c r="B10" s="13" t="inlineStr">
        <is>
          <t>Fuego del aceite de la cuba</t>
        </is>
      </c>
      <c r="C10" s="13" t="inlineStr">
        <is>
          <t>Fritura</t>
        </is>
      </c>
      <c r="D10" s="13" t="inlineStr">
        <is>
          <t>Extintor de clase F junto a la freidora y tapa de la cuba a mano; nunca agua</t>
        </is>
      </c>
      <c r="E10" s="17" t="n">
        <v>1</v>
      </c>
      <c r="F10" s="17" t="n">
        <v>3</v>
      </c>
      <c r="G10" s="34">
        <f>IFERROR(E10*F10,"")</f>
        <v>3.0</v>
      </c>
      <c r="H10" s="32" t="str">
        <f>IFERROR(IF(G10&gt;=$C$5,"Alta",IF(G10&gt;=$C$6,"Media","Baja")),"")</f>
        <v>Media</v>
      </c>
      <c r="I10" s="15" t="inlineStr">
        <is>
          <t>No</t>
        </is>
      </c>
      <c r="J10" s="18" t="inlineStr">
        <is>
          <t>Titular</t>
        </is>
      </c>
      <c r="K10" s="13" t="inlineStr">
        <is>
          <t>[Fuente: CUN-38]</t>
        </is>
      </c>
    </row>
    <row r="11" ht="40" customHeight="1">
      <c r="A11" s="8" t="n">
        <v>3</v>
      </c>
      <c r="B11" s="13" t="inlineStr">
        <is>
          <t>Fuego en la campana o el conducto por grasa acumulada</t>
        </is>
      </c>
      <c r="C11" s="13" t="inlineStr">
        <is>
          <t>Campana y conducto</t>
        </is>
      </c>
      <c r="D11" s="13" t="inlineStr">
        <is>
          <t>Filtros a su distancia del foco y limpieza del conducto al menos una vez al año (ejemplo de Madrid)</t>
        </is>
      </c>
      <c r="E11" s="17" t="n">
        <v>1</v>
      </c>
      <c r="F11" s="17" t="n">
        <v>3</v>
      </c>
      <c r="G11" s="34">
        <f>IFERROR(E11*F11,"")</f>
        <v>3.0</v>
      </c>
      <c r="H11" s="32" t="str">
        <f>IFERROR(IF(G11&gt;=$C$5,"Alta",IF(G11&gt;=$C$6,"Media","Baja")),"")</f>
        <v>Media</v>
      </c>
      <c r="I11" s="15" t="inlineStr">
        <is>
          <t>No</t>
        </is>
      </c>
      <c r="J11" s="18" t="inlineStr">
        <is>
          <t>Titular</t>
        </is>
      </c>
      <c r="K11" s="13" t="inlineStr">
        <is>
          <t>[Fuente: CUN-26 + CUN-23]</t>
        </is>
      </c>
    </row>
    <row r="12" ht="40" customHeight="1">
      <c r="A12" s="8" t="n">
        <v>4</v>
      </c>
      <c r="B12" s="13" t="inlineStr">
        <is>
          <t>Fuga de gas o mala combustión</t>
        </is>
      </c>
      <c r="C12" s="13" t="inlineStr">
        <is>
          <t>Fritura</t>
        </is>
      </c>
      <c r="D12" s="13" t="inlineStr">
        <is>
          <t>Instalación receptora certificada e inspeccionada, y ventilación</t>
        </is>
      </c>
      <c r="E12" s="17" t="n">
        <v>1</v>
      </c>
      <c r="F12" s="17" t="n">
        <v>3</v>
      </c>
      <c r="G12" s="34">
        <f>IFERROR(E12*F12,"")</f>
        <v>3.0</v>
      </c>
      <c r="H12" s="32" t="str">
        <f>IFERROR(IF(G12&gt;=$C$5,"Alta",IF(G12&gt;=$C$6,"Media","Baja")),"")</f>
        <v>Media</v>
      </c>
      <c r="I12" s="15" t="inlineStr">
        <is>
          <t>No</t>
        </is>
      </c>
      <c r="J12" s="18" t="inlineStr">
        <is>
          <t>Titular</t>
        </is>
      </c>
      <c r="K12" s="13" t="inlineStr">
        <is>
          <t>[Fuente: CHN-48]</t>
        </is>
      </c>
    </row>
    <row r="13" ht="40" customHeight="1">
      <c r="A13" s="8" t="n">
        <v>5</v>
      </c>
      <c r="B13" s="13" t="inlineStr">
        <is>
          <t>Resbalones en suelo con grasa o harina</t>
        </is>
      </c>
      <c r="C13" s="13" t="inlineStr">
        <is>
          <t>Obrador y fritura</t>
        </is>
      </c>
      <c r="D13" s="13" t="inlineStr">
        <is>
          <t>Suelo antideslizante, limpieza durante el turno y calzado cerrado</t>
        </is>
      </c>
      <c r="E13" s="17" t="n">
        <v>2</v>
      </c>
      <c r="F13" s="17" t="n">
        <v>2</v>
      </c>
      <c r="G13" s="34">
        <f>IFERROR(E13*F13,"")</f>
        <v>4.0</v>
      </c>
      <c r="H13" s="32" t="str">
        <f>IFERROR(IF(G13&gt;=$C$5,"Alta",IF(G13&gt;=$C$6,"Media","Baja")),"")</f>
        <v>Media</v>
      </c>
      <c r="I13" s="15" t="inlineStr">
        <is>
          <t>No</t>
        </is>
      </c>
      <c r="J13" s="18" t="inlineStr">
        <is>
          <t>Titular</t>
        </is>
      </c>
      <c r="K13" s="13" t="inlineStr">
        <is>
          <t>[Fuente: supuesto (buena práctica de la casa)]</t>
        </is>
      </c>
    </row>
    <row r="14" ht="40" customHeight="1">
      <c r="A14" s="8" t="n">
        <v>6</v>
      </c>
      <c r="B14" s="13" t="inlineStr">
        <is>
          <t>Sobreesfuerzos con sacos de harina y garrafas de aceite</t>
        </is>
      </c>
      <c r="C14" s="13" t="inlineStr">
        <is>
          <t>Almacén</t>
        </is>
      </c>
      <c r="D14" s="13" t="inlineStr">
        <is>
          <t>Sacos y garrafas a la altura de la cintura, carro, y los pesados entre dos</t>
        </is>
      </c>
      <c r="E14" s="17" t="n">
        <v>2</v>
      </c>
      <c r="F14" s="17" t="n">
        <v>2</v>
      </c>
      <c r="G14" s="34">
        <f>IFERROR(E14*F14,"")</f>
        <v>4.0</v>
      </c>
      <c r="H14" s="32" t="str">
        <f>IFERROR(IF(G14&gt;=$C$5,"Alta",IF(G14&gt;=$C$6,"Media","Baja")),"")</f>
        <v>Media</v>
      </c>
      <c r="I14" s="15" t="inlineStr">
        <is>
          <t>No</t>
        </is>
      </c>
      <c r="J14" s="18" t="inlineStr">
        <is>
          <t>Titular</t>
        </is>
      </c>
      <c r="K14" s="13" t="inlineStr">
        <is>
          <t>[Fuente: supuesto (buena práctica de la casa)]</t>
        </is>
      </c>
    </row>
    <row r="15" ht="40" customHeight="1">
      <c r="A15" s="8" t="n">
        <v>7</v>
      </c>
      <c r="B15" s="13" t="inlineStr">
        <is>
          <t>Cortes y atrapamientos en la amasadora y la dosificadora</t>
        </is>
      </c>
      <c r="C15" s="13" t="inlineStr">
        <is>
          <t>Obrador</t>
        </is>
      </c>
      <c r="D15" s="13" t="inlineStr">
        <is>
          <t>Protecciones puestas y máquina parada antes de limpiarla</t>
        </is>
      </c>
      <c r="E15" s="17" t="n">
        <v>1</v>
      </c>
      <c r="F15" s="17" t="n">
        <v>3</v>
      </c>
      <c r="G15" s="34">
        <f>IFERROR(E15*F15,"")</f>
        <v>3.0</v>
      </c>
      <c r="H15" s="32" t="str">
        <f>IFERROR(IF(G15&gt;=$C$5,"Alta",IF(G15&gt;=$C$6,"Media","Baja")),"")</f>
        <v>Media</v>
      </c>
      <c r="I15" s="15" t="inlineStr">
        <is>
          <t>No</t>
        </is>
      </c>
      <c r="J15" s="18" t="inlineStr">
        <is>
          <t>Titular</t>
        </is>
      </c>
      <c r="K15" s="13" t="inlineStr">
        <is>
          <t>[Fuente: supuesto (buena práctica de la casa)]</t>
        </is>
      </c>
    </row>
    <row r="16" ht="40" customHeight="1">
      <c r="A16" s="8" t="n">
        <v>8</v>
      </c>
      <c r="B16" s="13" t="inlineStr">
        <is>
          <t>Quemaduras al vaciar y filtrar el aceite usado</t>
        </is>
      </c>
      <c r="C16" s="13" t="inlineStr">
        <is>
          <t>Fritura</t>
        </is>
      </c>
      <c r="D16" s="13" t="inlineStr">
        <is>
          <t>Dejar enfriar el aceite antes de vaciarlo y usar un bidón estable</t>
        </is>
      </c>
      <c r="E16" s="17" t="n">
        <v>2</v>
      </c>
      <c r="F16" s="17" t="n">
        <v>2</v>
      </c>
      <c r="G16" s="34">
        <f>IFERROR(E16*F16,"")</f>
        <v>4.0</v>
      </c>
      <c r="H16" s="32" t="str">
        <f>IFERROR(IF(G16&gt;=$C$5,"Alta",IF(G16&gt;=$C$6,"Media","Baja")),"")</f>
        <v>Media</v>
      </c>
      <c r="I16" s="15" t="inlineStr">
        <is>
          <t>No</t>
        </is>
      </c>
      <c r="J16" s="18" t="inlineStr">
        <is>
          <t>Titular</t>
        </is>
      </c>
      <c r="K16" s="13" t="inlineStr">
        <is>
          <t>[Fuente: supuesto (buena práctica de la casa)]</t>
        </is>
      </c>
    </row>
    <row r="17" ht="40" customHeight="1">
      <c r="A17" s="8" t="n">
        <v>9</v>
      </c>
      <c r="B17" s="13" t="inlineStr">
        <is>
          <t>Calor y humo en la zona de fritura</t>
        </is>
      </c>
      <c r="C17" s="13" t="inlineStr">
        <is>
          <t>Fritura</t>
        </is>
      </c>
      <c r="D17" s="13" t="inlineStr">
        <is>
          <t>Campana encendida todo el turno, pausas e hidratación</t>
        </is>
      </c>
      <c r="E17" s="17" t="n">
        <v>2</v>
      </c>
      <c r="F17" s="17" t="n">
        <v>1</v>
      </c>
      <c r="G17" s="34">
        <f>IFERROR(E17*F17,"")</f>
        <v>2.0</v>
      </c>
      <c r="H17" s="32" t="str">
        <f>IFERROR(IF(G17&gt;=$C$5,"Alta",IF(G17&gt;=$C$6,"Media","Baja")),"")</f>
        <v>Baja</v>
      </c>
      <c r="I17" s="15" t="inlineStr">
        <is>
          <t>No</t>
        </is>
      </c>
      <c r="J17" s="18" t="inlineStr">
        <is>
          <t>Titular</t>
        </is>
      </c>
      <c r="K17" s="13" t="inlineStr">
        <is>
          <t>[Fuente: supuesto (buena práctica de la casa)]</t>
        </is>
      </c>
    </row>
    <row r="18" ht="40" customHeight="1">
      <c r="A18" s="8" t="n">
        <v>10</v>
      </c>
      <c r="B18" s="13" t="inlineStr">
        <is>
          <t>Fatiga por madrugada y turnos partidos</t>
        </is>
      </c>
      <c r="C18" s="13" t="inlineStr">
        <is>
          <t>Toda la línea</t>
        </is>
      </c>
      <c r="D18" s="13" t="inlineStr">
        <is>
          <t>Descanso entre jornadas; las dos figuras de nocturnidad, en el libro de turnos</t>
        </is>
      </c>
      <c r="E18" s="17" t="n">
        <v>2</v>
      </c>
      <c r="F18" s="17" t="n">
        <v>2</v>
      </c>
      <c r="G18" s="34">
        <f>IFERROR(E18*F18,"")</f>
        <v>4.0</v>
      </c>
      <c r="H18" s="32" t="str">
        <f>IFERROR(IF(G18&gt;=$C$5,"Alta",IF(G18&gt;=$C$6,"Media","Baja")),"")</f>
        <v>Media</v>
      </c>
      <c r="I18" s="15" t="inlineStr">
        <is>
          <t>No</t>
        </is>
      </c>
      <c r="J18" s="18" t="inlineStr">
        <is>
          <t>Titular</t>
        </is>
      </c>
      <c r="K18" s="13" t="inlineStr">
        <is>
          <t>[Fuente: supuesto (buena práctica de la casa)]</t>
        </is>
      </c>
    </row>
    <row r="19"/>
    <row r="20">
      <c r="B20" s="11" t="inlineStr">
        <is>
          <t>Riesgos de prioridad alta</t>
        </is>
      </c>
      <c r="C20" s="34">
        <f>IFERROR(COUNTIF(H9:H18,"Alta"),"")</f>
        <v>1.0</v>
      </c>
    </row>
    <row r="21">
      <c r="B21" s="11" t="inlineStr">
        <is>
          <t>Riesgos de prioridad media</t>
        </is>
      </c>
      <c r="C21" s="34">
        <f>IFERROR(COUNTIF(H9:H18,"Media"),"")</f>
        <v>8.0</v>
      </c>
    </row>
    <row r="22">
      <c r="B22" s="11" t="inlineStr">
        <is>
          <t>De prioridad alta, sin la medida puesta</t>
        </is>
      </c>
      <c r="C22" s="34">
        <f>SUMPRODUCT(--(H9:H18="Alta"),--(I9:I18="No"))</f>
        <v>1.0</v>
      </c>
    </row>
    <row r="23">
      <c r="B23" s="11" t="inlineStr">
        <is>
          <t>VEREDICTO</t>
        </is>
      </c>
      <c r="C23" s="23" t="str">
        <f>IFERROR(IF(C22&gt;0,"No abras la línea con riesgos altos sin su medida: te faltan "&amp;C22,"Los riesgos altos tienen su medida puesta"),"")</f>
        <v>No abras la línea con riesgos altos sin su medida: te faltan 1</v>
      </c>
    </row>
    <row r="24"/>
    <row r="25" ht="34" customHeight="1">
      <c r="A25" s="6" t="inlineStr">
        <is>
          <t>Las probabilidades y gravedades sembradas son SUPUESTOS de la casa para El Molinete: cámbialas con tu servicio de prevención. La nocturnidad y los descansos de la plantilla se calculan en turnos-plantilla-y-madrugada.xlsx.</t>
        </is>
      </c>
    </row>
    <row r="26" ht="24" customHeight="1">
      <c r="A26" s="6" t="inlineStr">
        <is>
          <t>Nunca agua sobre aceite ardiendo: el extintor de la freidora es de clase F, y la tapa de la cuba, a mano.</t>
        </is>
      </c>
    </row>
    <row r="27"/>
    <row r="28"/>
    <row r="29">
      <c r="A29" s="5" t="inlineStr">
        <is>
          <t>Listas de validación (no las borres: las usan los desplegables)</t>
        </is>
      </c>
    </row>
    <row r="30">
      <c r="A30" s="11" t="inlineStr">
        <is>
          <t>Sí o No</t>
        </is>
      </c>
      <c r="B30" s="11" t="inlineStr">
        <is>
          <t>Escala de 1 a 3</t>
        </is>
      </c>
    </row>
    <row r="31">
      <c r="A31" t="inlineStr">
        <is>
          <t>Sí</t>
        </is>
      </c>
      <c r="B31" t="n">
        <v>1</v>
      </c>
    </row>
    <row r="32">
      <c r="A32" t="inlineStr">
        <is>
          <t>No</t>
        </is>
      </c>
      <c r="B32" t="n">
        <v>2</v>
      </c>
    </row>
    <row r="33">
      <c r="B33" t="n">
        <v>3</v>
      </c>
    </row>
  </sheetData>
  <sheetProtection selectLockedCells="0" selectUnlockedCells="0" sheet="1" objects="0" insertRows="0" insertHyperlinks="1" autoFilter="1" scenarios="0" formatColumns="0" deleteColumns="1" insertColumns="1" pivotTables="1" deleteRows="1" formatCells="1" formatRows="0" sort="0"/>
  <mergeCells count="4">
    <mergeCell ref="A26:K26"/>
    <mergeCell ref="C23:K23"/>
    <mergeCell ref="A25:K25"/>
    <mergeCell ref="A3:K3"/>
  </mergeCells>
  <conditionalFormatting sqref="H9:H18">
    <cfRule type="cellIs" priority="1" operator="equal" dxfId="3" stopIfTrue="1">
      <formula>"Alta"</formula>
    </cfRule>
    <cfRule type="cellIs" priority="2" operator="equal" dxfId="0" stopIfTrue="1">
      <formula>"Media"</formula>
    </cfRule>
    <cfRule type="cellIs" priority="3" operator="equal" dxfId="1" stopIfTrue="1">
      <formula>"Baja"</formula>
    </cfRule>
  </conditionalFormatting>
  <conditionalFormatting sqref="C22">
    <cfRule type="expression" priority="4" dxfId="3" stopIfTrue="1">
      <formula>=AND(ISNUMBER($C$22),$C$22&gt;0)</formula>
    </cfRule>
  </conditionalFormatting>
  <dataValidations count="2">
    <dataValidation sqref="E9 E10 E11 E12 E13 E14 E15 E16 E17 E18 F9 F10 F11 F12 F13 F14 F15 F16 F17 F18" showDropDown="0" showInputMessage="0" showErrorMessage="1" allowBlank="0" errorTitle="De 1 a 3" error="1 = baja, 2 = media, 3 = alta." type="list">
      <formula1>=$B$31:$B$33</formula1>
    </dataValidation>
    <dataValidation sqref="I9 I10 I11 I12 I13 I14 I15 I16 I17 I18" showDropDown="0" showInputMessage="0" showErrorMessage="1" allowBlank="0" errorTitle="Contesta Sí o No" error="Elige «Sí» o «No»." type="list">
      <formula1>=$A$31:$A$32</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fitToPage="1"/>
  </sheetPr>
  <dimension ref="A1:I31"/>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6" customWidth="1" min="1" max="1"/>
    <col width="34" customWidth="1" min="2" max="2"/>
    <col width="28" customWidth="1" min="3" max="3"/>
    <col width="12" customWidth="1" min="4" max="4"/>
    <col width="46" customWidth="1" min="5" max="5"/>
    <col width="16" customWidth="1" min="6" max="6"/>
    <col width="16" customWidth="1" min="7" max="7"/>
    <col width="18" customWidth="1" min="8" max="8"/>
    <col width="60" customWidth="1" min="9" max="9"/>
  </cols>
  <sheetData>
    <row r="1" ht="28" customHeight="1">
      <c r="A1" s="1" t="inlineStr">
        <is>
          <t>Registro de Formación del Personal</t>
        </is>
      </c>
    </row>
    <row r="2">
      <c r="A2" t="inlineStr">
        <is>
          <t>AI Chef Pro · aichef.pro — Cómo Montar una Churrería-Chocolatería</t>
        </is>
      </c>
    </row>
    <row r="3" ht="26" customHeight="1">
      <c r="A3" s="6" t="inlineStr">
        <is>
          <t>Lo que la norma exige es que la EMPRESA garantice la formación de cada persona de acuerdo con su puesto y pueda ACREDITARLA. Eso es esta tabla.</t>
        </is>
      </c>
    </row>
    <row r="4"/>
    <row r="5">
      <c r="A5" s="5" t="inlineStr">
        <is>
          <t>Una línea por persona</t>
        </is>
      </c>
    </row>
    <row r="6" ht="30" customHeight="1">
      <c r="A6" s="7" t="inlineStr">
        <is>
          <t>Nº</t>
        </is>
      </c>
      <c r="B6" s="7" t="inlineStr">
        <is>
          <t>Persona</t>
        </is>
      </c>
      <c r="C6" s="7" t="inlineStr">
        <is>
          <t>Puesto</t>
        </is>
      </c>
      <c r="D6" s="7" t="inlineStr">
        <is>
          <t>Jornada</t>
        </is>
      </c>
      <c r="E6" s="7" t="inlineStr">
        <is>
          <t>Contenido de la formación</t>
        </is>
      </c>
      <c r="F6" s="7" t="inlineStr">
        <is>
          <t>Fecha de la formación</t>
        </is>
      </c>
      <c r="G6" s="7" t="inlineStr">
        <is>
          <t>Caduca el</t>
        </is>
      </c>
      <c r="H6" s="7" t="inlineStr">
        <is>
          <t>Estado</t>
        </is>
      </c>
      <c r="I6" s="7" t="inlineStr">
        <is>
          <t>Notas</t>
        </is>
      </c>
    </row>
    <row r="7" ht="30" customHeight="1">
      <c r="A7" s="8" t="n">
        <v>1</v>
      </c>
      <c r="B7" s="18" t="inlineStr">
        <is>
          <t>Persona 1</t>
        </is>
      </c>
      <c r="C7" s="18" t="inlineStr">
        <is>
          <t>Titular (encargado/a)</t>
        </is>
      </c>
      <c r="D7" s="44" t="n">
        <v>1</v>
      </c>
      <c r="E7" s="16" t="inlineStr">
        <is>
          <t>Responsable del autocontrol: higiene, alérgenos, aceite de fritura y registros</t>
        </is>
      </c>
      <c r="F7" s="19" t="n">
        <v>46298</v>
      </c>
      <c r="G7" s="45">
        <f>IFERROR(IF($B7="(libre: añade aquí a tu persona)","",DATE(YEAR($F7),MONTH($F7)+$C$17,DAY($F7))),"")</f>
        <v>47029.0</v>
      </c>
      <c r="H7" s="11" t="str">
        <f>IFERROR(IF($B7="(libre: añade aquí a tu persona)","",IF($G7&lt;$C$18,"CADUCADA",IF($G7&lt;$C$18+$C$19,"Caduca pronto","Vigente"))),"")</f>
        <v>Vigente</v>
      </c>
      <c r="I7" s="6" t="inlineStr">
        <is>
          <t>Las cinco personas de El Molinete (titular, dos churreros/as, camarero/a y refuerzo). Las filas libres son para tu equipo.</t>
        </is>
      </c>
    </row>
    <row r="8" ht="30" customHeight="1">
      <c r="A8" s="8" t="n">
        <v>2</v>
      </c>
      <c r="B8" s="18" t="inlineStr">
        <is>
          <t>Persona 2</t>
        </is>
      </c>
      <c r="C8" s="18" t="inlineStr">
        <is>
          <t>Churrero/a 1</t>
        </is>
      </c>
      <c r="D8" s="44" t="n">
        <v>1</v>
      </c>
      <c r="E8" s="16" t="inlineStr">
        <is>
          <t>Higiene, alérgenos, aceite de fritura y extintor, en la línea</t>
        </is>
      </c>
      <c r="F8" s="19" t="n">
        <v>46298</v>
      </c>
      <c r="G8" s="45">
        <f>IFERROR(IF($B8="(libre: añade aquí a tu persona)","",DATE(YEAR($F8),MONTH($F8)+$C$17,DAY($F8))),"")</f>
        <v>47029.0</v>
      </c>
      <c r="H8" s="11" t="str">
        <f>IFERROR(IF($B8="(libre: añade aquí a tu persona)","",IF($G8&lt;$C$18,"CADUCADA",IF($G8&lt;$C$18+$C$19,"Caduca pronto","Vigente"))),"")</f>
        <v>Vigente</v>
      </c>
    </row>
    <row r="9" ht="30" customHeight="1">
      <c r="A9" s="8" t="n">
        <v>3</v>
      </c>
      <c r="B9" s="18" t="inlineStr">
        <is>
          <t>Persona 3</t>
        </is>
      </c>
      <c r="C9" s="18" t="inlineStr">
        <is>
          <t>Churrero/a 2</t>
        </is>
      </c>
      <c r="D9" s="44" t="n">
        <v>1</v>
      </c>
      <c r="E9" s="16" t="inlineStr">
        <is>
          <t>Higiene, alérgenos, aceite de fritura y extintor, en la línea</t>
        </is>
      </c>
      <c r="F9" s="19" t="n">
        <v>46298</v>
      </c>
      <c r="G9" s="45">
        <f>IFERROR(IF($B9="(libre: añade aquí a tu persona)","",DATE(YEAR($F9),MONTH($F9)+$C$17,DAY($F9))),"")</f>
        <v>47029.0</v>
      </c>
      <c r="H9" s="11" t="str">
        <f>IFERROR(IF($B9="(libre: añade aquí a tu persona)","",IF($G9&lt;$C$18,"CADUCADA",IF($G9&lt;$C$18+$C$19,"Caduca pronto","Vigente"))),"")</f>
        <v>Vigente</v>
      </c>
    </row>
    <row r="10" ht="30" customHeight="1">
      <c r="A10" s="8" t="n">
        <v>4</v>
      </c>
      <c r="B10" s="18" t="inlineStr">
        <is>
          <t>Persona 4</t>
        </is>
      </c>
      <c r="C10" s="18" t="inlineStr">
        <is>
          <t>Camarero/a de sala</t>
        </is>
      </c>
      <c r="D10" s="44" t="n">
        <v>1</v>
      </c>
      <c r="E10" s="16" t="inlineStr">
        <is>
          <t>Higiene, alérgenos e información al cliente, en la barra y la sala</t>
        </is>
      </c>
      <c r="F10" s="19" t="n">
        <v>46298</v>
      </c>
      <c r="G10" s="45">
        <f>IFERROR(IF($B10="(libre: añade aquí a tu persona)","",DATE(YEAR($F10),MONTH($F10)+$C$17,DAY($F10))),"")</f>
        <v>47029.0</v>
      </c>
      <c r="H10" s="11" t="str">
        <f>IFERROR(IF($B10="(libre: añade aquí a tu persona)","",IF($G10&lt;$C$18,"CADUCADA",IF($G10&lt;$C$18+$C$19,"Caduca pronto","Vigente"))),"")</f>
        <v>Vigente</v>
      </c>
    </row>
    <row r="11" ht="30" customHeight="1">
      <c r="A11" s="8" t="n">
        <v>5</v>
      </c>
      <c r="B11" s="18" t="inlineStr">
        <is>
          <t>Persona 5</t>
        </is>
      </c>
      <c r="C11" s="18" t="inlineStr">
        <is>
          <t>Refuerzo de fin de semana</t>
        </is>
      </c>
      <c r="D11" s="44" t="n">
        <v>0.5</v>
      </c>
      <c r="E11" s="16" t="inlineStr">
        <is>
          <t>Higiene, alérgenos y aceite de fritura, en la línea y la barra</t>
        </is>
      </c>
      <c r="F11" s="19" t="n">
        <v>46298</v>
      </c>
      <c r="G11" s="45">
        <f>IFERROR(IF($B11="(libre: añade aquí a tu persona)","",DATE(YEAR($F11),MONTH($F11)+$C$17,DAY($F11))),"")</f>
        <v>47029.0</v>
      </c>
      <c r="H11" s="11" t="str">
        <f>IFERROR(IF($B11="(libre: añade aquí a tu persona)","",IF($G11&lt;$C$18,"CADUCADA",IF($G11&lt;$C$18+$C$19,"Caduca pronto","Vigente"))),"")</f>
        <v>Vigente</v>
      </c>
    </row>
    <row r="12" ht="30" customHeight="1">
      <c r="A12" s="8" t="n">
        <v>6</v>
      </c>
      <c r="B12" s="18" t="inlineStr">
        <is>
          <t>(libre: añade aquí a tu persona)</t>
        </is>
      </c>
      <c r="C12" s="18" t="inlineStr">
        <is>
          <t>Pendiente</t>
        </is>
      </c>
      <c r="D12" s="44" t="n">
        <v>1</v>
      </c>
      <c r="E12" s="16" t="inlineStr">
        <is>
          <t>Pendiente</t>
        </is>
      </c>
      <c r="F12" s="19" t="n">
        <v>46298</v>
      </c>
      <c r="G12" s="45">
        <f>IFERROR(IF($B12="(libre: añade aquí a tu persona)","",DATE(YEAR($F12),MONTH($F12)+$C$17,DAY($F12))),"")</f>
        <v/>
      </c>
      <c r="H12" s="11">
        <f>IFERROR(IF($B12="(libre: añade aquí a tu persona)","",IF($G12&lt;$C$18,"CADUCADA",IF($G12&lt;$C$18+$C$19,"Caduca pronto","Vigente"))),"")</f>
        <v/>
      </c>
    </row>
    <row r="13" ht="30" customHeight="1">
      <c r="A13" s="8" t="n">
        <v>7</v>
      </c>
      <c r="B13" s="18" t="inlineStr">
        <is>
          <t>(libre: añade aquí a tu persona)</t>
        </is>
      </c>
      <c r="C13" s="18" t="inlineStr">
        <is>
          <t>Pendiente</t>
        </is>
      </c>
      <c r="D13" s="44" t="n">
        <v>1</v>
      </c>
      <c r="E13" s="16" t="inlineStr">
        <is>
          <t>Pendiente</t>
        </is>
      </c>
      <c r="F13" s="19" t="n">
        <v>46298</v>
      </c>
      <c r="G13" s="45">
        <f>IFERROR(IF($B13="(libre: añade aquí a tu persona)","",DATE(YEAR($F13),MONTH($F13)+$C$17,DAY($F13))),"")</f>
        <v/>
      </c>
      <c r="H13" s="11">
        <f>IFERROR(IF($B13="(libre: añade aquí a tu persona)","",IF($G13&lt;$C$18,"CADUCADA",IF($G13&lt;$C$18+$C$19,"Caduca pronto","Vigente"))),"")</f>
        <v/>
      </c>
    </row>
    <row r="14" ht="30" customHeight="1">
      <c r="A14" s="8" t="n">
        <v>8</v>
      </c>
      <c r="B14" s="18" t="inlineStr">
        <is>
          <t>(libre: añade aquí a tu persona)</t>
        </is>
      </c>
      <c r="C14" s="18" t="inlineStr">
        <is>
          <t>Pendiente</t>
        </is>
      </c>
      <c r="D14" s="44" t="n">
        <v>1</v>
      </c>
      <c r="E14" s="16" t="inlineStr">
        <is>
          <t>Pendiente</t>
        </is>
      </c>
      <c r="F14" s="19" t="n">
        <v>46298</v>
      </c>
      <c r="G14" s="45">
        <f>IFERROR(IF($B14="(libre: añade aquí a tu persona)","",DATE(YEAR($F14),MONTH($F14)+$C$17,DAY($F14))),"")</f>
        <v/>
      </c>
      <c r="H14" s="11">
        <f>IFERROR(IF($B14="(libre: añade aquí a tu persona)","",IF($G14&lt;$C$18,"CADUCADA",IF($G14&lt;$C$18+$C$19,"Caduca pronto","Vigente"))),"")</f>
        <v/>
      </c>
    </row>
    <row r="15"/>
    <row r="16">
      <c r="A16" s="5" t="inlineStr">
        <is>
          <t>Parámetros de esta hoja</t>
        </is>
      </c>
    </row>
    <row r="17">
      <c r="A17" s="11" t="inlineStr">
        <is>
          <t>Validez que TÚ fijas (meses)</t>
        </is>
      </c>
      <c r="C17" s="17" t="n">
        <v>24</v>
      </c>
      <c r="I17" s="6" t="inlineStr">
        <is>
          <t>La norma no fija una caducidad: lo que hay es una obligación continua del empresario. Dos años es un criterio de la casa para que el registro no se quede dormido; déjalo escrito en tu plan de autocontrol.</t>
        </is>
      </c>
    </row>
    <row r="18">
      <c r="A18" s="11" t="inlineStr">
        <is>
          <t>Fecha de control</t>
        </is>
      </c>
      <c r="C18" s="38" t="n">
        <v>46298</v>
      </c>
      <c r="I18" s="6" t="inlineStr">
        <is>
          <t>La fecha desde la que se mira si algo ha caducado. Ponla en «hoy» cada vez que revises el registro.</t>
        </is>
      </c>
    </row>
    <row r="19">
      <c r="A19" s="11" t="inlineStr">
        <is>
          <t>Aviso de «caduca pronto» (días antes)</t>
        </is>
      </c>
      <c r="C19" s="17" t="n">
        <v>60</v>
      </c>
      <c r="I19" s="6" t="inlineStr">
        <is>
          <t>Supuesto: dos meses dan tiempo a organizar una sesión sin parar la línea.</t>
        </is>
      </c>
    </row>
    <row r="20"/>
    <row r="21">
      <c r="A21" s="5" t="inlineStr">
        <is>
          <t>Resumen</t>
        </is>
      </c>
    </row>
    <row r="22">
      <c r="B22" s="12" t="inlineStr">
        <is>
          <t>Personas con formación registrada</t>
        </is>
      </c>
      <c r="C22" s="46">
        <f>SUMPRODUCT(--($B$7:$B$14&lt;&gt;"(libre: añade aquí a tu persona)"))</f>
        <v>5.0</v>
      </c>
    </row>
    <row r="23">
      <c r="B23" s="12" t="inlineStr">
        <is>
          <t>Formaciones CADUCADAS</t>
        </is>
      </c>
      <c r="C23" s="46">
        <f>IFERROR(COUNTIF(H7:H14,"CADUCADA"),"")</f>
        <v>0.0</v>
      </c>
    </row>
    <row r="24">
      <c r="B24" s="12" t="inlineStr">
        <is>
          <t>Formaciones que caducan pronto</t>
        </is>
      </c>
      <c r="C24" s="46">
        <f>IFERROR(COUNTIF(H7:H14,"Caduca pronto"),"")</f>
        <v>0.0</v>
      </c>
    </row>
    <row r="25">
      <c r="B25" s="12" t="inlineStr">
        <is>
          <t>VEREDICTO</t>
        </is>
      </c>
      <c r="C25" s="23" t="str">
        <f>IFERROR(IF(C23&gt;0,"Tienes formación caducada: es lo primero que se pide en una inspección",IF(C24&gt;0,"Programa ya las que caducan pronto","Registro al día")),"")</f>
        <v>Registro al día</v>
      </c>
    </row>
    <row r="26"/>
    <row r="27" ht="34" customHeight="1">
      <c r="A27" s="6" t="inlineStr">
        <is>
          <t>Lo que vale ante una inspección es este registro, con el contenido y la fecha de cada formación, no un papel suelto con un sello. La responsabilidad de tenerlo es de la empresa.</t>
        </is>
      </c>
    </row>
    <row r="28"/>
    <row r="29"/>
    <row r="30">
      <c r="A30" s="13" t="inlineStr">
        <is>
          <t>Diseñado por John Guerrero — chef y consultor gastronómico desde 2010, en cocina desde los 17 años.</t>
        </is>
      </c>
    </row>
    <row r="31">
      <c r="A31" s="13" t="inlineStr">
        <is>
          <t>Versión 1.0 · octubre 2026 · aichef.pro/guia-churreria-chocolateria · info@aichef.pro</t>
        </is>
      </c>
    </row>
  </sheetData>
  <sheetProtection selectLockedCells="0" selectUnlockedCells="0" sheet="1" objects="0" insertRows="0" insertHyperlinks="1" autoFilter="1" scenarios="0" formatColumns="0" deleteColumns="1" insertColumns="1" pivotTables="1" deleteRows="1" formatCells="1" formatRows="0" sort="0"/>
  <mergeCells count="8">
    <mergeCell ref="A30:E30"/>
    <mergeCell ref="C25:H25"/>
    <mergeCell ref="A19:B19"/>
    <mergeCell ref="A27:I27"/>
    <mergeCell ref="A3:I3"/>
    <mergeCell ref="A17:B17"/>
    <mergeCell ref="A18:B18"/>
    <mergeCell ref="A31:E31"/>
  </mergeCells>
  <conditionalFormatting sqref="H7:H14">
    <cfRule type="cellIs" priority="1" operator="equal" dxfId="3" stopIfTrue="1">
      <formula>"CADUCADA"</formula>
    </cfRule>
    <cfRule type="cellIs" priority="2" operator="equal" dxfId="0" stopIfTrue="1">
      <formula>"Caduca pronto"</formula>
    </cfRule>
    <cfRule type="cellIs" priority="3" operator="equal" dxfId="1" stopIfTrue="1">
      <formula>"Vigente"</formula>
    </cfRule>
  </conditionalFormatting>
  <conditionalFormatting sqref="C23">
    <cfRule type="expression" priority="4" dxfId="3" stopIfTrue="1">
      <formula>=AND(ISNUMBER($C$23),$C$23&gt;0)</formula>
    </cfRule>
  </conditionalFormatting>
  <conditionalFormatting sqref="C24">
    <cfRule type="expression" priority="5" dxfId="0" stopIfTrue="1">
      <formula>=AND(ISNUMBER($C$24),$C$24&gt;0)</formula>
    </cfRule>
  </conditionalFormatting>
  <dataValidations count="2">
    <dataValidation sqref="F7 F8 F9 F10 F11 F12 F13 F14" showDropDown="0" showInputMessage="0" showErrorMessage="1" allowBlank="1" errorTitle="Fecha no válida" error="Escribe una fecha (dd/mm/aaaa) entre 2020 y 2040." type="date" operator="between">
      <formula1>DATE(2020,1,1)</formula1>
      <formula2>DATE(2040,12,31)</formula2>
    </dataValidation>
    <dataValidation sqref="C18" showDropDown="0" showInputMessage="0" showErrorMessage="1" allowBlank="1" errorTitle="Fecha no válida" error="Escribe una fecha (dd/mm/aaaa) entre 2020 y 2040." type="date" operator="between">
      <formula1>DATE(2020,1,1)</formula1>
      <formula2>DATE(2040,12,31)</formula2>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fitToPage="1"/>
  </sheetPr>
  <dimension ref="A1:R77"/>
  <sheetViews>
    <sheetView workbookViewId="0">
      <pane xSplit="2" ySplit="13" topLeftCell="C14" activePane="bottomRight" state="frozen"/>
      <selection pane="topRight"/>
      <selection pane="bottomLeft"/>
      <selection pane="bottomRight" activeCell="A1" sqref="A1"/>
    </sheetView>
  </sheetViews>
  <sheetFormatPr baseColWidth="8" defaultRowHeight="15"/>
  <cols>
    <col width="8" customWidth="1" min="1" max="1"/>
    <col width="5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4" customWidth="1" min="17" max="17"/>
    <col width="80" customWidth="1" min="18" max="18"/>
  </cols>
  <sheetData>
    <row r="1" ht="28" customHeight="1">
      <c r="A1" s="1" t="inlineStr">
        <is>
          <t>Cronograma y Ruta Crítica de la Apertura</t>
        </is>
      </c>
    </row>
    <row r="2">
      <c r="A2" t="inlineStr">
        <is>
          <t>AI Chef Pro · aichef.pro — Cómo Montar una Churrería-Chocolatería</t>
        </is>
      </c>
    </row>
    <row r="3" ht="26" customHeight="1">
      <c r="A3" s="6" t="inlineStr">
        <is>
          <t>Catorce hitos con su duración y sus dependencias, en MESES y con aritmética de índices. El plazo de entrega de la maquinaria crítica se pone AQUÍ, y sólo aquí.</t>
        </is>
      </c>
    </row>
    <row r="4"/>
    <row r="5">
      <c r="A5" s="11" t="inlineStr">
        <is>
          <t>Mes en que arranca el proyecto (1-12)</t>
        </is>
      </c>
      <c r="C5" s="17" t="n">
        <v>11</v>
      </c>
      <c r="R5" s="6" t="inlineStr">
        <is>
          <t>El mes natural del primer paso. El ejemplo arranca en noviembre para abrir el 1 de septiembre, un mes antes del pico de octubre a marzo.</t>
        </is>
      </c>
    </row>
    <row r="6">
      <c r="A6" s="11" t="inlineStr">
        <is>
          <t>Plazo de entrega de la maquinaria crítica (semanas)</t>
        </is>
      </c>
      <c r="C6" s="17" t="n">
        <v>6</v>
      </c>
      <c r="R6" s="6" t="inlineStr">
        <is>
          <t>FUENTE ÚNICA DEL PAQUETE: ningún otro libro lo pide. Supuesto declarado de El Molinete: ningún distribuidor publica plazos. Pídelo por escrito al proveedor.</t>
        </is>
      </c>
    </row>
    <row r="7">
      <c r="A7" s="11" t="inlineStr">
        <is>
          <t>Días de una semana</t>
        </is>
      </c>
      <c r="C7" s="17" t="n">
        <v>7</v>
      </c>
      <c r="R7" s="6" t="inlineStr">
        <is>
          <t>Constante de conversión en celda, para que no viva dentro de ninguna fórmula.</t>
        </is>
      </c>
    </row>
    <row r="8">
      <c r="A8" s="11" t="inlineStr">
        <is>
          <t>Días de un mes medio</t>
        </is>
      </c>
      <c r="C8" s="47" t="n">
        <v>30.41666666666667</v>
      </c>
      <c r="R8" s="6" t="inlineStr">
        <is>
          <t>Un año de 365 días repartido en 12 meses.</t>
        </is>
      </c>
    </row>
    <row r="9">
      <c r="A9" s="11" t="inlineStr">
        <is>
          <t>Semanas de un mes medio</t>
        </is>
      </c>
      <c r="C9" s="48">
        <f>IFERROR(C8/C7,"")</f>
        <v>4.345238095238096</v>
      </c>
    </row>
    <row r="10">
      <c r="A10" s="11" t="inlineStr">
        <is>
          <t>Valor centinela de la matriz de dependencias (meses)</t>
        </is>
      </c>
      <c r="C10" s="8" t="n">
        <v>999</v>
      </c>
      <c r="R10" s="6" t="inlineStr">
        <is>
          <t>Truco de cálculo, no un dato: las casillas de la matriz que no aplican llevan este número para que MIN trabaje sólo con números. Por eso NO está en verde.</t>
        </is>
      </c>
    </row>
    <row r="11">
      <c r="A11" s="11" t="inlineStr">
        <is>
          <t>Mes en que quieres abrir (1-12)</t>
        </is>
      </c>
      <c r="C11" s="17" t="n">
        <v>9</v>
      </c>
      <c r="R11" s="6" t="inlineStr">
        <is>
          <t>Tu objetivo. El de El Molinete es septiembre: rodaje antes del pico.</t>
        </is>
      </c>
    </row>
    <row r="12"/>
    <row r="13" ht="30" customHeight="1">
      <c r="A13" s="7" t="inlineStr">
        <is>
          <t>Id</t>
        </is>
      </c>
      <c r="B13" s="7" t="inlineStr">
        <is>
          <t>Hito</t>
        </is>
      </c>
      <c r="C13" s="7" t="inlineStr">
        <is>
          <t>Duración (meses)</t>
        </is>
      </c>
      <c r="D13" s="7" t="inlineStr">
        <is>
          <t>Depende de (1)</t>
        </is>
      </c>
      <c r="E13" s="7" t="inlineStr">
        <is>
          <t>Depende de (2)</t>
        </is>
      </c>
      <c r="F13" s="7" t="inlineStr">
        <is>
          <t>Depende de (3)</t>
        </is>
      </c>
      <c r="G13" s="7" t="inlineStr">
        <is>
          <t>Empieza (mes del proyecto)</t>
        </is>
      </c>
      <c r="H13" s="7" t="inlineStr">
        <is>
          <t>Acaba (mes del proyecto)</t>
        </is>
      </c>
      <c r="I13" s="7" t="inlineStr">
        <is>
          <t>Holgura (meses)</t>
        </is>
      </c>
      <c r="J13" s="7" t="inlineStr">
        <is>
          <t>¿Ruta crítica?</t>
        </is>
      </c>
      <c r="K13" s="7" t="inlineStr">
        <is>
          <t>Mes natural de fin</t>
        </is>
      </c>
      <c r="R13" s="7" t="inlineStr">
        <is>
          <t>Notas</t>
        </is>
      </c>
    </row>
    <row r="14" ht="26" customHeight="1">
      <c r="A14" s="9" t="inlineStr">
        <is>
          <t>H1</t>
        </is>
      </c>
      <c r="B14" s="13" t="inlineStr">
        <is>
          <t>Búsqueda y ficha de visita de locales</t>
        </is>
      </c>
      <c r="C14" s="49" t="n">
        <v>2</v>
      </c>
      <c r="D14" s="15" t="inlineStr">
        <is>
          <t>-</t>
        </is>
      </c>
      <c r="E14" s="15" t="inlineStr">
        <is>
          <t>-</t>
        </is>
      </c>
      <c r="F14" s="15" t="inlineStr">
        <is>
          <t>-</t>
        </is>
      </c>
      <c r="G14" s="50">
        <f>IFERROR(MAX(IFERROR(INDEX($H$13:H13,MATCH(D14,$A$13:A13,0)),0),IFERROR(INDEX($H$13:H13,MATCH(E14,$A$13:A13,0)),0),IFERROR(INDEX($H$13:H13,MATCH(F14,$A$13:A13,0)),0)),"")</f>
        <v>0.0</v>
      </c>
      <c r="H14" s="50">
        <f>IFERROR(G14+C14,"")</f>
        <v>2.0</v>
      </c>
      <c r="I14" s="50">
        <f>IFERROR(MIN(MIN(C31:C44),MAX($H$14:$H$27))-H14,"")</f>
        <v>0.0</v>
      </c>
      <c r="J14" t="str">
        <f>IFERROR(IF(ROUND(I14,3)&lt;=0,"Sí","No"),"")</f>
        <v>Sí</v>
      </c>
      <c r="K14" t="str">
        <f>IFERROR(INDEX($B$63:$B$74,ROUNDDOWN(MOD($C$5-1+H14,12),0)+1),"")</f>
        <v>Enero</v>
      </c>
    </row>
    <row r="15" ht="26" customHeight="1">
      <c r="A15" s="9" t="inlineStr">
        <is>
          <t>H2</t>
        </is>
      </c>
      <c r="B15" s="13" t="inlineStr">
        <is>
          <t>Firma del arrendamiento y fianza</t>
        </is>
      </c>
      <c r="C15" s="49" t="n">
        <v>0.5</v>
      </c>
      <c r="D15" s="15" t="inlineStr">
        <is>
          <t>H1</t>
        </is>
      </c>
      <c r="E15" s="15" t="inlineStr">
        <is>
          <t>-</t>
        </is>
      </c>
      <c r="F15" s="15" t="inlineStr">
        <is>
          <t>-</t>
        </is>
      </c>
      <c r="G15" s="50">
        <f>IFERROR(MAX(IFERROR(INDEX($H$13:H14,MATCH(D15,$A$13:A14,0)),0),IFERROR(INDEX($H$13:H14,MATCH(E15,$A$13:A14,0)),0),IFERROR(INDEX($H$13:H14,MATCH(F15,$A$13:A14,0)),0)),"")</f>
        <v>2.0</v>
      </c>
      <c r="H15" s="50">
        <f>IFERROR(G15+C15,"")</f>
        <v>2.5</v>
      </c>
      <c r="I15" s="50">
        <f>IFERROR(MIN(MIN(D31:D44),MAX($H$14:$H$27))-H15,"")</f>
        <v>0.0</v>
      </c>
      <c r="J15" t="str">
        <f>IFERROR(IF(ROUND(I15,3)&lt;=0,"Sí","No"),"")</f>
        <v>Sí</v>
      </c>
      <c r="K15" t="str">
        <f>IFERROR(INDEX($B$63:$B$74,ROUNDDOWN(MOD($C$5-1+H15,12),0)+1),"")</f>
        <v>Enero</v>
      </c>
    </row>
    <row r="16" ht="26" customHeight="1">
      <c r="A16" s="9" t="inlineStr">
        <is>
          <t>H3</t>
        </is>
      </c>
      <c r="B16" s="13" t="inlineStr">
        <is>
          <t>Proyecto técnico de actividad y de la extracción</t>
        </is>
      </c>
      <c r="C16" s="49" t="n">
        <v>1.5</v>
      </c>
      <c r="D16" s="15" t="inlineStr">
        <is>
          <t>H2</t>
        </is>
      </c>
      <c r="E16" s="15" t="inlineStr">
        <is>
          <t>-</t>
        </is>
      </c>
      <c r="F16" s="15" t="inlineStr">
        <is>
          <t>-</t>
        </is>
      </c>
      <c r="G16" s="50">
        <f>IFERROR(MAX(IFERROR(INDEX($H$13:H15,MATCH(D16,$A$13:A15,0)),0),IFERROR(INDEX($H$13:H15,MATCH(E16,$A$13:A15,0)),0),IFERROR(INDEX($H$13:H15,MATCH(F16,$A$13:A15,0)),0)),"")</f>
        <v>2.5</v>
      </c>
      <c r="H16" s="50">
        <f>IFERROR(G16+C16,"")</f>
        <v>4.0</v>
      </c>
      <c r="I16" s="50">
        <f>IFERROR(MIN(MIN(E31:E44),MAX($H$14:$H$27))-H16,"")</f>
        <v>0.0</v>
      </c>
      <c r="J16" t="str">
        <f>IFERROR(IF(ROUND(I16,3)&lt;=0,"Sí","No"),"")</f>
        <v>Sí</v>
      </c>
      <c r="K16" t="str">
        <f>IFERROR(INDEX($B$63:$B$74,ROUNDDOWN(MOD($C$5-1+H16,12),0)+1),"")</f>
        <v>Marzo</v>
      </c>
      <c r="R16" s="6" t="inlineStr">
        <is>
          <t>El proyecto de la extracción es el que decide si hay licencia de obra (1.ª fila del checklist).</t>
        </is>
      </c>
    </row>
    <row r="17" ht="26" customHeight="1">
      <c r="A17" s="9" t="inlineStr">
        <is>
          <t>H4</t>
        </is>
      </c>
      <c r="B17" s="13" t="inlineStr">
        <is>
          <t>Licencia de obra del conducto</t>
        </is>
      </c>
      <c r="C17" s="49" t="n">
        <v>2</v>
      </c>
      <c r="D17" s="15" t="inlineStr">
        <is>
          <t>H3</t>
        </is>
      </c>
      <c r="E17" s="15" t="inlineStr">
        <is>
          <t>-</t>
        </is>
      </c>
      <c r="F17" s="15" t="inlineStr">
        <is>
          <t>-</t>
        </is>
      </c>
      <c r="G17" s="50">
        <f>IFERROR(MAX(IFERROR(INDEX($H$13:H16,MATCH(D17,$A$13:A16,0)),0),IFERROR(INDEX($H$13:H16,MATCH(E17,$A$13:A16,0)),0),IFERROR(INDEX($H$13:H16,MATCH(F17,$A$13:A16,0)),0)),"")</f>
        <v>4.0</v>
      </c>
      <c r="H17" s="50">
        <f>IFERROR(G17+C17,"")</f>
        <v>6.0</v>
      </c>
      <c r="I17" s="50">
        <f>IFERROR(MIN(MIN(F31:F44),MAX($H$14:$H$27))-H17,"")</f>
        <v>0.0</v>
      </c>
      <c r="J17" t="str">
        <f>IFERROR(IF(ROUND(I17,3)&lt;=0,"Sí","No"),"")</f>
        <v>Sí</v>
      </c>
      <c r="K17" t="str">
        <f>IFERROR(INDEX($B$63:$B$74,ROUNDDOWN(MOD($C$5-1+H17,12),0)+1),"")</f>
        <v>Mayo</v>
      </c>
      <c r="R17" s="6" t="inlineStr">
        <is>
          <t>Sólo si la primera fila del checklist dijo que sí. Si no hay obra con proyecto, pon su duración a cero.</t>
        </is>
      </c>
    </row>
    <row r="18" ht="26" customHeight="1">
      <c r="A18" s="9" t="inlineStr">
        <is>
          <t>H5</t>
        </is>
      </c>
      <c r="B18" s="13" t="inlineStr">
        <is>
          <t>Declaración responsable o licencia de actividad</t>
        </is>
      </c>
      <c r="C18" s="49" t="n">
        <v>1</v>
      </c>
      <c r="D18" s="15" t="inlineStr">
        <is>
          <t>H3</t>
        </is>
      </c>
      <c r="E18" s="15" t="inlineStr">
        <is>
          <t>-</t>
        </is>
      </c>
      <c r="F18" s="15" t="inlineStr">
        <is>
          <t>-</t>
        </is>
      </c>
      <c r="G18" s="50">
        <f>IFERROR(MAX(IFERROR(INDEX($H$13:H17,MATCH(D18,$A$13:A17,0)),0),IFERROR(INDEX($H$13:H17,MATCH(E18,$A$13:A17,0)),0),IFERROR(INDEX($H$13:H17,MATCH(F18,$A$13:A17,0)),0)),"")</f>
        <v>4.0</v>
      </c>
      <c r="H18" s="50">
        <f>IFERROR(G18+C18,"")</f>
        <v>5.0</v>
      </c>
      <c r="I18" s="50">
        <f>IFERROR(MIN(MIN(G31:G44),MAX($H$14:$H$27))-H18,"")</f>
        <v>4.0</v>
      </c>
      <c r="J18" t="str">
        <f>IFERROR(IF(ROUND(I18,3)&lt;=0,"Sí","No"),"")</f>
        <v>No</v>
      </c>
      <c r="K18" t="str">
        <f>IFERROR(INDEX($B$63:$B$74,ROUNDDOWN(MOD($C$5-1+H18,12),0)+1),"")</f>
        <v>Abril</v>
      </c>
    </row>
    <row r="19" ht="26" customHeight="1">
      <c r="A19" s="9" t="inlineStr">
        <is>
          <t>H6</t>
        </is>
      </c>
      <c r="B19" s="13" t="inlineStr">
        <is>
          <t>Obra y conducto a cubierta</t>
        </is>
      </c>
      <c r="C19" s="49" t="n">
        <v>2</v>
      </c>
      <c r="D19" s="15" t="inlineStr">
        <is>
          <t>H4</t>
        </is>
      </c>
      <c r="E19" s="15" t="inlineStr">
        <is>
          <t>-</t>
        </is>
      </c>
      <c r="F19" s="15" t="inlineStr">
        <is>
          <t>-</t>
        </is>
      </c>
      <c r="G19" s="50">
        <f>IFERROR(MAX(IFERROR(INDEX($H$13:H18,MATCH(D19,$A$13:A18,0)),0),IFERROR(INDEX($H$13:H18,MATCH(E19,$A$13:A18,0)),0),IFERROR(INDEX($H$13:H18,MATCH(F19,$A$13:A18,0)),0)),"")</f>
        <v>6.0</v>
      </c>
      <c r="H19" s="50">
        <f>IFERROR(G19+C19,"")</f>
        <v>8.0</v>
      </c>
      <c r="I19" s="50">
        <f>IFERROR(MIN(MIN(H31:H44),MAX($H$14:$H$27))-H19,"")</f>
        <v>0.0</v>
      </c>
      <c r="J19" t="str">
        <f>IFERROR(IF(ROUND(I19,3)&lt;=0,"Sí","No"),"")</f>
        <v>Sí</v>
      </c>
      <c r="K19" t="str">
        <f>IFERROR(INDEX($B$63:$B$74,ROUNDDOWN(MOD($C$5-1+H19,12),0)+1),"")</f>
        <v>Julio</v>
      </c>
    </row>
    <row r="20" ht="26" customHeight="1">
      <c r="A20" s="9" t="inlineStr">
        <is>
          <t>H7</t>
        </is>
      </c>
      <c r="B20" s="13" t="inlineStr">
        <is>
          <t>Pedido y entrega de la maquinaria crítica</t>
        </is>
      </c>
      <c r="C20" s="51">
        <f>IFERROR($C$6/$C$9,"")</f>
        <v>1.380821917808219</v>
      </c>
      <c r="D20" s="15" t="inlineStr">
        <is>
          <t>H3</t>
        </is>
      </c>
      <c r="E20" s="15" t="inlineStr">
        <is>
          <t>-</t>
        </is>
      </c>
      <c r="F20" s="15" t="inlineStr">
        <is>
          <t>-</t>
        </is>
      </c>
      <c r="G20" s="50">
        <f>IFERROR(MAX(IFERROR(INDEX($H$13:H19,MATCH(D20,$A$13:A19,0)),0),IFERROR(INDEX($H$13:H19,MATCH(E20,$A$13:A19,0)),0),IFERROR(INDEX($H$13:H19,MATCH(F20,$A$13:A19,0)),0)),"")</f>
        <v>4.0</v>
      </c>
      <c r="H20" s="50">
        <f>IFERROR(G20+C20,"")</f>
        <v>5.380821917808219</v>
      </c>
      <c r="I20" s="50">
        <f>IFERROR(MIN(MIN(I31:I44),MAX($H$14:$H$27))-H20,"")</f>
        <v>3.119178082191781</v>
      </c>
      <c r="J20" t="str">
        <f>IFERROR(IF(ROUND(I20,3)&lt;=0,"Sí","No"),"")</f>
        <v>No</v>
      </c>
      <c r="K20" t="str">
        <f>IFERROR(INDEX($B$63:$B$74,ROUNDDOWN(MOD($C$5-1+H20,12),0)+1),"")</f>
        <v>Abril</v>
      </c>
      <c r="R20" s="6" t="inlineStr">
        <is>
          <t>SU DURACIÓN SALE DEL PLAZO DE ENTREGA (celda C6, en semanas): es la fuente única del paquete. Cámbialo por el que te den por escrito.</t>
        </is>
      </c>
    </row>
    <row r="21" ht="26" customHeight="1">
      <c r="A21" s="9" t="inlineStr">
        <is>
          <t>H8</t>
        </is>
      </c>
      <c r="B21" s="13" t="inlineStr">
        <is>
          <t>Instalación receptora de gas y su certificado</t>
        </is>
      </c>
      <c r="C21" s="49" t="n">
        <v>0.5</v>
      </c>
      <c r="D21" s="15" t="inlineStr">
        <is>
          <t>H6</t>
        </is>
      </c>
      <c r="E21" s="15" t="inlineStr">
        <is>
          <t>-</t>
        </is>
      </c>
      <c r="F21" s="15" t="inlineStr">
        <is>
          <t>-</t>
        </is>
      </c>
      <c r="G21" s="50">
        <f>IFERROR(MAX(IFERROR(INDEX($H$13:H20,MATCH(D21,$A$13:A20,0)),0),IFERROR(INDEX($H$13:H20,MATCH(E21,$A$13:A20,0)),0),IFERROR(INDEX($H$13:H20,MATCH(F21,$A$13:A20,0)),0)),"")</f>
        <v>8.0</v>
      </c>
      <c r="H21" s="50">
        <f>IFERROR(G21+C21,"")</f>
        <v>8.5</v>
      </c>
      <c r="I21" s="50">
        <f>IFERROR(MIN(MIN(J31:J44),MAX($H$14:$H$27))-H21,"")</f>
        <v>0.0</v>
      </c>
      <c r="J21" t="str">
        <f>IFERROR(IF(ROUND(I21,3)&lt;=0,"Sí","No"),"")</f>
        <v>Sí</v>
      </c>
      <c r="K21" t="str">
        <f>IFERROR(INDEX($B$63:$B$74,ROUNDDOWN(MOD($C$5-1+H21,12),0)+1),"")</f>
        <v>Julio</v>
      </c>
    </row>
    <row r="22" ht="26" customHeight="1">
      <c r="A22" s="9" t="inlineStr">
        <is>
          <t>H9</t>
        </is>
      </c>
      <c r="B22" s="13" t="inlineStr">
        <is>
          <t>Montaje y prueba de la línea de fritura</t>
        </is>
      </c>
      <c r="C22" s="49" t="n">
        <v>0.5</v>
      </c>
      <c r="D22" s="15" t="inlineStr">
        <is>
          <t>H7</t>
        </is>
      </c>
      <c r="E22" s="15" t="inlineStr">
        <is>
          <t>H8</t>
        </is>
      </c>
      <c r="F22" s="15" t="inlineStr">
        <is>
          <t>-</t>
        </is>
      </c>
      <c r="G22" s="50">
        <f>IFERROR(MAX(IFERROR(INDEX($H$13:H21,MATCH(D22,$A$13:A21,0)),0),IFERROR(INDEX($H$13:H21,MATCH(E22,$A$13:A21,0)),0),IFERROR(INDEX($H$13:H21,MATCH(F22,$A$13:A21,0)),0)),"")</f>
        <v>8.5</v>
      </c>
      <c r="H22" s="50">
        <f>IFERROR(G22+C22,"")</f>
        <v>9.0</v>
      </c>
      <c r="I22" s="50">
        <f>IFERROR(MIN(MIN(K31:K44),MAX($H$14:$H$27))-H22,"")</f>
        <v>0.0</v>
      </c>
      <c r="J22" t="str">
        <f>IFERROR(IF(ROUND(I22,3)&lt;=0,"Sí","No"),"")</f>
        <v>Sí</v>
      </c>
      <c r="K22" t="str">
        <f>IFERROR(INDEX($B$63:$B$74,ROUNDDOWN(MOD($C$5-1+H22,12),0)+1),"")</f>
        <v>Agosto</v>
      </c>
    </row>
    <row r="23" ht="26" customHeight="1">
      <c r="A23" s="9" t="inlineStr">
        <is>
          <t>H10</t>
        </is>
      </c>
      <c r="B23" s="13" t="inlineStr">
        <is>
          <t>Comunicación al registro sanitario autonómico</t>
        </is>
      </c>
      <c r="C23" s="49" t="n">
        <v>0.5</v>
      </c>
      <c r="D23" s="15" t="inlineStr">
        <is>
          <t>H5</t>
        </is>
      </c>
      <c r="E23" s="15" t="inlineStr">
        <is>
          <t>H9</t>
        </is>
      </c>
      <c r="F23" s="15" t="inlineStr">
        <is>
          <t>-</t>
        </is>
      </c>
      <c r="G23" s="50">
        <f>IFERROR(MAX(IFERROR(INDEX($H$13:H22,MATCH(D23,$A$13:A22,0)),0),IFERROR(INDEX($H$13:H22,MATCH(E23,$A$13:A22,0)),0),IFERROR(INDEX($H$13:H22,MATCH(F23,$A$13:A22,0)),0)),"")</f>
        <v>9.0</v>
      </c>
      <c r="H23" s="50">
        <f>IFERROR(G23+C23,"")</f>
        <v>9.5</v>
      </c>
      <c r="I23" s="50">
        <f>IFERROR(MIN(MIN(L31:L44),MAX($H$14:$H$27))-H23,"")</f>
        <v>0.0</v>
      </c>
      <c r="J23" t="str">
        <f>IFERROR(IF(ROUND(I23,3)&lt;=0,"Sí","No"),"")</f>
        <v>Sí</v>
      </c>
      <c r="K23" t="str">
        <f>IFERROR(INDEX($B$63:$B$74,ROUNDDOWN(MOD($C$5-1+H23,12),0)+1),"")</f>
        <v>Agosto</v>
      </c>
      <c r="R23" s="6" t="inlineStr">
        <is>
          <t>Comunicación o declaración responsable a tu comunidad: preséntala antes de vender.</t>
        </is>
      </c>
    </row>
    <row r="24" ht="26" customHeight="1">
      <c r="A24" s="9" t="inlineStr">
        <is>
          <t>H11</t>
        </is>
      </c>
      <c r="B24" s="13" t="inlineStr">
        <is>
          <t>Autocontrol, registro del aceite, alérgenos y formación</t>
        </is>
      </c>
      <c r="C24" s="49" t="n">
        <v>0.5</v>
      </c>
      <c r="D24" s="15" t="inlineStr">
        <is>
          <t>H9</t>
        </is>
      </c>
      <c r="E24" s="15" t="inlineStr">
        <is>
          <t>-</t>
        </is>
      </c>
      <c r="F24" s="15" t="inlineStr">
        <is>
          <t>-</t>
        </is>
      </c>
      <c r="G24" s="50">
        <f>IFERROR(MAX(IFERROR(INDEX($H$13:H23,MATCH(D24,$A$13:A23,0)),0),IFERROR(INDEX($H$13:H23,MATCH(E24,$A$13:A23,0)),0),IFERROR(INDEX($H$13:H23,MATCH(F24,$A$13:A23,0)),0)),"")</f>
        <v>9.0</v>
      </c>
      <c r="H24" s="50">
        <f>IFERROR(G24+C24,"")</f>
        <v>9.5</v>
      </c>
      <c r="I24" s="50">
        <f>IFERROR(MIN(MIN(M31:M44),MAX($H$14:$H$27))-H24,"")</f>
        <v>0.0</v>
      </c>
      <c r="J24" t="str">
        <f>IFERROR(IF(ROUND(I24,3)&lt;=0,"Sí","No"),"")</f>
        <v>Sí</v>
      </c>
      <c r="K24" t="str">
        <f>IFERROR(INDEX($B$63:$B$74,ROUNDDOWN(MOD($C$5-1+H24,12),0)+1),"")</f>
        <v>Agosto</v>
      </c>
    </row>
    <row r="25" ht="26" customHeight="1">
      <c r="A25" s="9" t="inlineStr">
        <is>
          <t>H12</t>
        </is>
      </c>
      <c r="B25" s="13" t="inlineStr">
        <is>
          <t>Contratación y altas</t>
        </is>
      </c>
      <c r="C25" s="49" t="n">
        <v>0.5</v>
      </c>
      <c r="D25" s="15" t="inlineStr">
        <is>
          <t>H9</t>
        </is>
      </c>
      <c r="E25" s="15" t="inlineStr">
        <is>
          <t>-</t>
        </is>
      </c>
      <c r="F25" s="15" t="inlineStr">
        <is>
          <t>-</t>
        </is>
      </c>
      <c r="G25" s="50">
        <f>IFERROR(MAX(IFERROR(INDEX($H$13:H24,MATCH(D25,$A$13:A24,0)),0),IFERROR(INDEX($H$13:H24,MATCH(E25,$A$13:A24,0)),0),IFERROR(INDEX($H$13:H24,MATCH(F25,$A$13:A24,0)),0)),"")</f>
        <v>9.0</v>
      </c>
      <c r="H25" s="50">
        <f>IFERROR(G25+C25,"")</f>
        <v>9.5</v>
      </c>
      <c r="I25" s="50">
        <f>IFERROR(MIN(MIN(N31:N44),MAX($H$14:$H$27))-H25,"")</f>
        <v>0.0</v>
      </c>
      <c r="J25" t="str">
        <f>IFERROR(IF(ROUND(I25,3)&lt;=0,"Sí","No"),"")</f>
        <v>Sí</v>
      </c>
      <c r="K25" t="str">
        <f>IFERROR(INDEX($B$63:$B$74,ROUNDDOWN(MOD($C$5-1+H25,12),0)+1),"")</f>
        <v>Agosto</v>
      </c>
    </row>
    <row r="26" ht="26" customHeight="1">
      <c r="A26" s="9" t="inlineStr">
        <is>
          <t>H13</t>
        </is>
      </c>
      <c r="B26" s="13" t="inlineStr">
        <is>
          <t>Pruebas de masa y carta de apertura</t>
        </is>
      </c>
      <c r="C26" s="49" t="n">
        <v>0.5</v>
      </c>
      <c r="D26" s="15" t="inlineStr">
        <is>
          <t>H10</t>
        </is>
      </c>
      <c r="E26" s="15" t="inlineStr">
        <is>
          <t>H11</t>
        </is>
      </c>
      <c r="F26" s="15" t="inlineStr">
        <is>
          <t>H12</t>
        </is>
      </c>
      <c r="G26" s="50">
        <f>IFERROR(MAX(IFERROR(INDEX($H$13:H25,MATCH(D26,$A$13:A25,0)),0),IFERROR(INDEX($H$13:H25,MATCH(E26,$A$13:A25,0)),0),IFERROR(INDEX($H$13:H25,MATCH(F26,$A$13:A25,0)),0)),"")</f>
        <v>9.5</v>
      </c>
      <c r="H26" s="50">
        <f>IFERROR(G26+C26,"")</f>
        <v>10.0</v>
      </c>
      <c r="I26" s="50">
        <f>IFERROR(MIN(MIN(O31:O44),MAX($H$14:$H$27))-H26,"")</f>
        <v>0.0</v>
      </c>
      <c r="J26" t="str">
        <f>IFERROR(IF(ROUND(I26,3)&lt;=0,"Sí","No"),"")</f>
        <v>Sí</v>
      </c>
      <c r="K26" t="str">
        <f>IFERROR(INDEX($B$63:$B$74,ROUNDDOWN(MOD($C$5-1+H26,12),0)+1),"")</f>
        <v>Septiembre</v>
      </c>
      <c r="R26" s="6" t="inlineStr">
        <is>
          <t>Las pruebas de masa no son un trámite: son la semana en que descubres si tu línea y tu receta se llevan bien.</t>
        </is>
      </c>
    </row>
    <row r="27" ht="26" customHeight="1">
      <c r="A27" s="9" t="inlineStr">
        <is>
          <t>H14</t>
        </is>
      </c>
      <c r="B27" s="13" t="inlineStr">
        <is>
          <t>Apertura</t>
        </is>
      </c>
      <c r="C27" s="49" t="n">
        <v>0</v>
      </c>
      <c r="D27" s="15" t="inlineStr">
        <is>
          <t>H13</t>
        </is>
      </c>
      <c r="E27" s="15" t="inlineStr">
        <is>
          <t>-</t>
        </is>
      </c>
      <c r="F27" s="15" t="inlineStr">
        <is>
          <t>-</t>
        </is>
      </c>
      <c r="G27" s="50">
        <f>IFERROR(MAX(IFERROR(INDEX($H$13:H26,MATCH(D27,$A$13:A26,0)),0),IFERROR(INDEX($H$13:H26,MATCH(E27,$A$13:A26,0)),0),IFERROR(INDEX($H$13:H26,MATCH(F27,$A$13:A26,0)),0)),"")</f>
        <v>10.0</v>
      </c>
      <c r="H27" s="50">
        <f>IFERROR(G27+C27,"")</f>
        <v>10.0</v>
      </c>
      <c r="I27" s="50">
        <f>IFERROR(MIN(MIN(P31:P44),MAX($H$14:$H$27))-H27,"")</f>
        <v>0.0</v>
      </c>
      <c r="J27" t="str">
        <f>IFERROR(IF(ROUND(I27,3)&lt;=0,"Sí","No"),"")</f>
        <v>Sí</v>
      </c>
      <c r="K27" t="str">
        <f>IFERROR(INDEX($B$63:$B$74,ROUNDDOWN(MOD($C$5-1+H27,12),0)+1),"")</f>
        <v>Septiembre</v>
      </c>
    </row>
    <row r="28"/>
    <row r="29">
      <c r="A29" s="5" t="inlineStr">
        <is>
          <t>MATRIZ DE DEPENDENCIAS: QUÉ HITO BLOQUEA A CUÁL</t>
        </is>
      </c>
      <c r="B29" s="14" t="inlineStr"/>
      <c r="C29" s="14" t="inlineStr"/>
      <c r="D29" s="14" t="inlineStr"/>
      <c r="E29" s="14" t="inlineStr"/>
      <c r="F29" s="14" t="inlineStr"/>
      <c r="G29" s="14" t="inlineStr"/>
      <c r="H29" s="14" t="inlineStr"/>
      <c r="I29" s="14" t="inlineStr"/>
      <c r="J29" s="14" t="inlineStr"/>
      <c r="K29" s="14" t="inlineStr"/>
      <c r="L29" s="14" t="inlineStr"/>
      <c r="M29" s="14" t="inlineStr"/>
      <c r="N29" s="14" t="inlineStr"/>
      <c r="O29" s="14" t="inlineStr"/>
      <c r="P29" s="14" t="inlineStr"/>
      <c r="R29" s="14" t="inlineStr"/>
    </row>
    <row r="30" ht="22" customHeight="1">
      <c r="A30" s="7" t="inlineStr">
        <is>
          <t>Sucesor</t>
        </is>
      </c>
      <c r="B30" s="7" t="inlineStr">
        <is>
          <t>empieza en el mes...</t>
        </is>
      </c>
      <c r="C30" s="7" t="inlineStr">
        <is>
          <t>H1</t>
        </is>
      </c>
      <c r="D30" s="7" t="inlineStr">
        <is>
          <t>H2</t>
        </is>
      </c>
      <c r="E30" s="7" t="inlineStr">
        <is>
          <t>H3</t>
        </is>
      </c>
      <c r="F30" s="7" t="inlineStr">
        <is>
          <t>H4</t>
        </is>
      </c>
      <c r="G30" s="7" t="inlineStr">
        <is>
          <t>H5</t>
        </is>
      </c>
      <c r="H30" s="7" t="inlineStr">
        <is>
          <t>H6</t>
        </is>
      </c>
      <c r="I30" s="7" t="inlineStr">
        <is>
          <t>H7</t>
        </is>
      </c>
      <c r="J30" s="7" t="inlineStr">
        <is>
          <t>H8</t>
        </is>
      </c>
      <c r="K30" s="7" t="inlineStr">
        <is>
          <t>H9</t>
        </is>
      </c>
      <c r="L30" s="7" t="inlineStr">
        <is>
          <t>H10</t>
        </is>
      </c>
      <c r="M30" s="7" t="inlineStr">
        <is>
          <t>H11</t>
        </is>
      </c>
      <c r="N30" s="7" t="inlineStr">
        <is>
          <t>H12</t>
        </is>
      </c>
      <c r="O30" s="7" t="inlineStr">
        <is>
          <t>H13</t>
        </is>
      </c>
      <c r="P30" s="7" t="inlineStr">
        <is>
          <t>H14</t>
        </is>
      </c>
      <c r="R30" s="7" t="inlineStr">
        <is>
          <t>Notas</t>
        </is>
      </c>
    </row>
    <row r="31">
      <c r="A31" s="9" t="inlineStr">
        <is>
          <t>H1</t>
        </is>
      </c>
      <c r="B31" s="50">
        <f>IFERROR(G14,"")</f>
        <v>0.0</v>
      </c>
      <c r="C31" s="52">
        <f>IFERROR(IF(OR($D$14=$A$14,$E$14=$A$14,$F$14=$A$14),$G$14,$C$10),"")</f>
        <v>999.0</v>
      </c>
      <c r="D31" s="52">
        <f>IFERROR(IF(OR($D$14=$A$15,$E$14=$A$15,$F$14=$A$15),$G$14,$C$10),"")</f>
        <v>999.0</v>
      </c>
      <c r="E31" s="52">
        <f>IFERROR(IF(OR($D$14=$A$16,$E$14=$A$16,$F$14=$A$16),$G$14,$C$10),"")</f>
        <v>999.0</v>
      </c>
      <c r="F31" s="52">
        <f>IFERROR(IF(OR($D$14=$A$17,$E$14=$A$17,$F$14=$A$17),$G$14,$C$10),"")</f>
        <v>999.0</v>
      </c>
      <c r="G31" s="52">
        <f>IFERROR(IF(OR($D$14=$A$18,$E$14=$A$18,$F$14=$A$18),$G$14,$C$10),"")</f>
        <v>999.0</v>
      </c>
      <c r="H31" s="52">
        <f>IFERROR(IF(OR($D$14=$A$19,$E$14=$A$19,$F$14=$A$19),$G$14,$C$10),"")</f>
        <v>999.0</v>
      </c>
      <c r="I31" s="52">
        <f>IFERROR(IF(OR($D$14=$A$20,$E$14=$A$20,$F$14=$A$20),$G$14,$C$10),"")</f>
        <v>999.0</v>
      </c>
      <c r="J31" s="52">
        <f>IFERROR(IF(OR($D$14=$A$21,$E$14=$A$21,$F$14=$A$21),$G$14,$C$10),"")</f>
        <v>999.0</v>
      </c>
      <c r="K31" s="52">
        <f>IFERROR(IF(OR($D$14=$A$22,$E$14=$A$22,$F$14=$A$22),$G$14,$C$10),"")</f>
        <v>999.0</v>
      </c>
      <c r="L31" s="52">
        <f>IFERROR(IF(OR($D$14=$A$23,$E$14=$A$23,$F$14=$A$23),$G$14,$C$10),"")</f>
        <v>999.0</v>
      </c>
      <c r="M31" s="52">
        <f>IFERROR(IF(OR($D$14=$A$24,$E$14=$A$24,$F$14=$A$24),$G$14,$C$10),"")</f>
        <v>999.0</v>
      </c>
      <c r="N31" s="52">
        <f>IFERROR(IF(OR($D$14=$A$25,$E$14=$A$25,$F$14=$A$25),$G$14,$C$10),"")</f>
        <v>999.0</v>
      </c>
      <c r="O31" s="52">
        <f>IFERROR(IF(OR($D$14=$A$26,$E$14=$A$26,$F$14=$A$26),$G$14,$C$10),"")</f>
        <v>999.0</v>
      </c>
      <c r="P31" s="52">
        <f>IFERROR(IF(OR($D$14=$A$27,$E$14=$A$27,$F$14=$A$27),$G$14,$C$10),"")</f>
        <v>999.0</v>
      </c>
      <c r="R31" s="6" t="inlineStr">
        <is>
          <t>Se lee por COLUMNAS: en la columna de H3 aparece el mes en que empieza cada hito que depende de H3. Las casillas que parecen vacías llevan el centinela.</t>
        </is>
      </c>
    </row>
    <row r="32">
      <c r="A32" s="9" t="inlineStr">
        <is>
          <t>H2</t>
        </is>
      </c>
      <c r="B32" s="50">
        <f>IFERROR(G15,"")</f>
        <v>2.0</v>
      </c>
      <c r="C32" s="52">
        <f>IFERROR(IF(OR($D$15=$A$14,$E$15=$A$14,$F$15=$A$14),$G$15,$C$10),"")</f>
        <v>2.0</v>
      </c>
      <c r="D32" s="52">
        <f>IFERROR(IF(OR($D$15=$A$15,$E$15=$A$15,$F$15=$A$15),$G$15,$C$10),"")</f>
        <v>999.0</v>
      </c>
      <c r="E32" s="52">
        <f>IFERROR(IF(OR($D$15=$A$16,$E$15=$A$16,$F$15=$A$16),$G$15,$C$10),"")</f>
        <v>999.0</v>
      </c>
      <c r="F32" s="52">
        <f>IFERROR(IF(OR($D$15=$A$17,$E$15=$A$17,$F$15=$A$17),$G$15,$C$10),"")</f>
        <v>999.0</v>
      </c>
      <c r="G32" s="52">
        <f>IFERROR(IF(OR($D$15=$A$18,$E$15=$A$18,$F$15=$A$18),$G$15,$C$10),"")</f>
        <v>999.0</v>
      </c>
      <c r="H32" s="52">
        <f>IFERROR(IF(OR($D$15=$A$19,$E$15=$A$19,$F$15=$A$19),$G$15,$C$10),"")</f>
        <v>999.0</v>
      </c>
      <c r="I32" s="52">
        <f>IFERROR(IF(OR($D$15=$A$20,$E$15=$A$20,$F$15=$A$20),$G$15,$C$10),"")</f>
        <v>999.0</v>
      </c>
      <c r="J32" s="52">
        <f>IFERROR(IF(OR($D$15=$A$21,$E$15=$A$21,$F$15=$A$21),$G$15,$C$10),"")</f>
        <v>999.0</v>
      </c>
      <c r="K32" s="52">
        <f>IFERROR(IF(OR($D$15=$A$22,$E$15=$A$22,$F$15=$A$22),$G$15,$C$10),"")</f>
        <v>999.0</v>
      </c>
      <c r="L32" s="52">
        <f>IFERROR(IF(OR($D$15=$A$23,$E$15=$A$23,$F$15=$A$23),$G$15,$C$10),"")</f>
        <v>999.0</v>
      </c>
      <c r="M32" s="52">
        <f>IFERROR(IF(OR($D$15=$A$24,$E$15=$A$24,$F$15=$A$24),$G$15,$C$10),"")</f>
        <v>999.0</v>
      </c>
      <c r="N32" s="52">
        <f>IFERROR(IF(OR($D$15=$A$25,$E$15=$A$25,$F$15=$A$25),$G$15,$C$10),"")</f>
        <v>999.0</v>
      </c>
      <c r="O32" s="52">
        <f>IFERROR(IF(OR($D$15=$A$26,$E$15=$A$26,$F$15=$A$26),$G$15,$C$10),"")</f>
        <v>999.0</v>
      </c>
      <c r="P32" s="52">
        <f>IFERROR(IF(OR($D$15=$A$27,$E$15=$A$27,$F$15=$A$27),$G$15,$C$10),"")</f>
        <v>999.0</v>
      </c>
    </row>
    <row r="33">
      <c r="A33" s="9" t="inlineStr">
        <is>
          <t>H3</t>
        </is>
      </c>
      <c r="B33" s="50">
        <f>IFERROR(G16,"")</f>
        <v>2.5</v>
      </c>
      <c r="C33" s="52">
        <f>IFERROR(IF(OR($D$16=$A$14,$E$16=$A$14,$F$16=$A$14),$G$16,$C$10),"")</f>
        <v>999.0</v>
      </c>
      <c r="D33" s="52">
        <f>IFERROR(IF(OR($D$16=$A$15,$E$16=$A$15,$F$16=$A$15),$G$16,$C$10),"")</f>
        <v>2.5</v>
      </c>
      <c r="E33" s="52">
        <f>IFERROR(IF(OR($D$16=$A$16,$E$16=$A$16,$F$16=$A$16),$G$16,$C$10),"")</f>
        <v>999.0</v>
      </c>
      <c r="F33" s="52">
        <f>IFERROR(IF(OR($D$16=$A$17,$E$16=$A$17,$F$16=$A$17),$G$16,$C$10),"")</f>
        <v>999.0</v>
      </c>
      <c r="G33" s="52">
        <f>IFERROR(IF(OR($D$16=$A$18,$E$16=$A$18,$F$16=$A$18),$G$16,$C$10),"")</f>
        <v>999.0</v>
      </c>
      <c r="H33" s="52">
        <f>IFERROR(IF(OR($D$16=$A$19,$E$16=$A$19,$F$16=$A$19),$G$16,$C$10),"")</f>
        <v>999.0</v>
      </c>
      <c r="I33" s="52">
        <f>IFERROR(IF(OR($D$16=$A$20,$E$16=$A$20,$F$16=$A$20),$G$16,$C$10),"")</f>
        <v>999.0</v>
      </c>
      <c r="J33" s="52">
        <f>IFERROR(IF(OR($D$16=$A$21,$E$16=$A$21,$F$16=$A$21),$G$16,$C$10),"")</f>
        <v>999.0</v>
      </c>
      <c r="K33" s="52">
        <f>IFERROR(IF(OR($D$16=$A$22,$E$16=$A$22,$F$16=$A$22),$G$16,$C$10),"")</f>
        <v>999.0</v>
      </c>
      <c r="L33" s="52">
        <f>IFERROR(IF(OR($D$16=$A$23,$E$16=$A$23,$F$16=$A$23),$G$16,$C$10),"")</f>
        <v>999.0</v>
      </c>
      <c r="M33" s="52">
        <f>IFERROR(IF(OR($D$16=$A$24,$E$16=$A$24,$F$16=$A$24),$G$16,$C$10),"")</f>
        <v>999.0</v>
      </c>
      <c r="N33" s="52">
        <f>IFERROR(IF(OR($D$16=$A$25,$E$16=$A$25,$F$16=$A$25),$G$16,$C$10),"")</f>
        <v>999.0</v>
      </c>
      <c r="O33" s="52">
        <f>IFERROR(IF(OR($D$16=$A$26,$E$16=$A$26,$F$16=$A$26),$G$16,$C$10),"")</f>
        <v>999.0</v>
      </c>
      <c r="P33" s="52">
        <f>IFERROR(IF(OR($D$16=$A$27,$E$16=$A$27,$F$16=$A$27),$G$16,$C$10),"")</f>
        <v>999.0</v>
      </c>
    </row>
    <row r="34">
      <c r="A34" s="9" t="inlineStr">
        <is>
          <t>H4</t>
        </is>
      </c>
      <c r="B34" s="50">
        <f>IFERROR(G17,"")</f>
        <v>4.0</v>
      </c>
      <c r="C34" s="52">
        <f>IFERROR(IF(OR($D$17=$A$14,$E$17=$A$14,$F$17=$A$14),$G$17,$C$10),"")</f>
        <v>999.0</v>
      </c>
      <c r="D34" s="52">
        <f>IFERROR(IF(OR($D$17=$A$15,$E$17=$A$15,$F$17=$A$15),$G$17,$C$10),"")</f>
        <v>999.0</v>
      </c>
      <c r="E34" s="52">
        <f>IFERROR(IF(OR($D$17=$A$16,$E$17=$A$16,$F$17=$A$16),$G$17,$C$10),"")</f>
        <v>4.0</v>
      </c>
      <c r="F34" s="52">
        <f>IFERROR(IF(OR($D$17=$A$17,$E$17=$A$17,$F$17=$A$17),$G$17,$C$10),"")</f>
        <v>999.0</v>
      </c>
      <c r="G34" s="52">
        <f>IFERROR(IF(OR($D$17=$A$18,$E$17=$A$18,$F$17=$A$18),$G$17,$C$10),"")</f>
        <v>999.0</v>
      </c>
      <c r="H34" s="52">
        <f>IFERROR(IF(OR($D$17=$A$19,$E$17=$A$19,$F$17=$A$19),$G$17,$C$10),"")</f>
        <v>999.0</v>
      </c>
      <c r="I34" s="52">
        <f>IFERROR(IF(OR($D$17=$A$20,$E$17=$A$20,$F$17=$A$20),$G$17,$C$10),"")</f>
        <v>999.0</v>
      </c>
      <c r="J34" s="52">
        <f>IFERROR(IF(OR($D$17=$A$21,$E$17=$A$21,$F$17=$A$21),$G$17,$C$10),"")</f>
        <v>999.0</v>
      </c>
      <c r="K34" s="52">
        <f>IFERROR(IF(OR($D$17=$A$22,$E$17=$A$22,$F$17=$A$22),$G$17,$C$10),"")</f>
        <v>999.0</v>
      </c>
      <c r="L34" s="52">
        <f>IFERROR(IF(OR($D$17=$A$23,$E$17=$A$23,$F$17=$A$23),$G$17,$C$10),"")</f>
        <v>999.0</v>
      </c>
      <c r="M34" s="52">
        <f>IFERROR(IF(OR($D$17=$A$24,$E$17=$A$24,$F$17=$A$24),$G$17,$C$10),"")</f>
        <v>999.0</v>
      </c>
      <c r="N34" s="52">
        <f>IFERROR(IF(OR($D$17=$A$25,$E$17=$A$25,$F$17=$A$25),$G$17,$C$10),"")</f>
        <v>999.0</v>
      </c>
      <c r="O34" s="52">
        <f>IFERROR(IF(OR($D$17=$A$26,$E$17=$A$26,$F$17=$A$26),$G$17,$C$10),"")</f>
        <v>999.0</v>
      </c>
      <c r="P34" s="52">
        <f>IFERROR(IF(OR($D$17=$A$27,$E$17=$A$27,$F$17=$A$27),$G$17,$C$10),"")</f>
        <v>999.0</v>
      </c>
    </row>
    <row r="35">
      <c r="A35" s="9" t="inlineStr">
        <is>
          <t>H5</t>
        </is>
      </c>
      <c r="B35" s="50">
        <f>IFERROR(G18,"")</f>
        <v>4.0</v>
      </c>
      <c r="C35" s="52">
        <f>IFERROR(IF(OR($D$18=$A$14,$E$18=$A$14,$F$18=$A$14),$G$18,$C$10),"")</f>
        <v>999.0</v>
      </c>
      <c r="D35" s="52">
        <f>IFERROR(IF(OR($D$18=$A$15,$E$18=$A$15,$F$18=$A$15),$G$18,$C$10),"")</f>
        <v>999.0</v>
      </c>
      <c r="E35" s="52">
        <f>IFERROR(IF(OR($D$18=$A$16,$E$18=$A$16,$F$18=$A$16),$G$18,$C$10),"")</f>
        <v>4.0</v>
      </c>
      <c r="F35" s="52">
        <f>IFERROR(IF(OR($D$18=$A$17,$E$18=$A$17,$F$18=$A$17),$G$18,$C$10),"")</f>
        <v>999.0</v>
      </c>
      <c r="G35" s="52">
        <f>IFERROR(IF(OR($D$18=$A$18,$E$18=$A$18,$F$18=$A$18),$G$18,$C$10),"")</f>
        <v>999.0</v>
      </c>
      <c r="H35" s="52">
        <f>IFERROR(IF(OR($D$18=$A$19,$E$18=$A$19,$F$18=$A$19),$G$18,$C$10),"")</f>
        <v>999.0</v>
      </c>
      <c r="I35" s="52">
        <f>IFERROR(IF(OR($D$18=$A$20,$E$18=$A$20,$F$18=$A$20),$G$18,$C$10),"")</f>
        <v>999.0</v>
      </c>
      <c r="J35" s="52">
        <f>IFERROR(IF(OR($D$18=$A$21,$E$18=$A$21,$F$18=$A$21),$G$18,$C$10),"")</f>
        <v>999.0</v>
      </c>
      <c r="K35" s="52">
        <f>IFERROR(IF(OR($D$18=$A$22,$E$18=$A$22,$F$18=$A$22),$G$18,$C$10),"")</f>
        <v>999.0</v>
      </c>
      <c r="L35" s="52">
        <f>IFERROR(IF(OR($D$18=$A$23,$E$18=$A$23,$F$18=$A$23),$G$18,$C$10),"")</f>
        <v>999.0</v>
      </c>
      <c r="M35" s="52">
        <f>IFERROR(IF(OR($D$18=$A$24,$E$18=$A$24,$F$18=$A$24),$G$18,$C$10),"")</f>
        <v>999.0</v>
      </c>
      <c r="N35" s="52">
        <f>IFERROR(IF(OR($D$18=$A$25,$E$18=$A$25,$F$18=$A$25),$G$18,$C$10),"")</f>
        <v>999.0</v>
      </c>
      <c r="O35" s="52">
        <f>IFERROR(IF(OR($D$18=$A$26,$E$18=$A$26,$F$18=$A$26),$G$18,$C$10),"")</f>
        <v>999.0</v>
      </c>
      <c r="P35" s="52">
        <f>IFERROR(IF(OR($D$18=$A$27,$E$18=$A$27,$F$18=$A$27),$G$18,$C$10),"")</f>
        <v>999.0</v>
      </c>
    </row>
    <row r="36">
      <c r="A36" s="9" t="inlineStr">
        <is>
          <t>H6</t>
        </is>
      </c>
      <c r="B36" s="50">
        <f>IFERROR(G19,"")</f>
        <v>6.0</v>
      </c>
      <c r="C36" s="52">
        <f>IFERROR(IF(OR($D$19=$A$14,$E$19=$A$14,$F$19=$A$14),$G$19,$C$10),"")</f>
        <v>999.0</v>
      </c>
      <c r="D36" s="52">
        <f>IFERROR(IF(OR($D$19=$A$15,$E$19=$A$15,$F$19=$A$15),$G$19,$C$10),"")</f>
        <v>999.0</v>
      </c>
      <c r="E36" s="52">
        <f>IFERROR(IF(OR($D$19=$A$16,$E$19=$A$16,$F$19=$A$16),$G$19,$C$10),"")</f>
        <v>999.0</v>
      </c>
      <c r="F36" s="52">
        <f>IFERROR(IF(OR($D$19=$A$17,$E$19=$A$17,$F$19=$A$17),$G$19,$C$10),"")</f>
        <v>6.0</v>
      </c>
      <c r="G36" s="52">
        <f>IFERROR(IF(OR($D$19=$A$18,$E$19=$A$18,$F$19=$A$18),$G$19,$C$10),"")</f>
        <v>999.0</v>
      </c>
      <c r="H36" s="52">
        <f>IFERROR(IF(OR($D$19=$A$19,$E$19=$A$19,$F$19=$A$19),$G$19,$C$10),"")</f>
        <v>999.0</v>
      </c>
      <c r="I36" s="52">
        <f>IFERROR(IF(OR($D$19=$A$20,$E$19=$A$20,$F$19=$A$20),$G$19,$C$10),"")</f>
        <v>999.0</v>
      </c>
      <c r="J36" s="52">
        <f>IFERROR(IF(OR($D$19=$A$21,$E$19=$A$21,$F$19=$A$21),$G$19,$C$10),"")</f>
        <v>999.0</v>
      </c>
      <c r="K36" s="52">
        <f>IFERROR(IF(OR($D$19=$A$22,$E$19=$A$22,$F$19=$A$22),$G$19,$C$10),"")</f>
        <v>999.0</v>
      </c>
      <c r="L36" s="52">
        <f>IFERROR(IF(OR($D$19=$A$23,$E$19=$A$23,$F$19=$A$23),$G$19,$C$10),"")</f>
        <v>999.0</v>
      </c>
      <c r="M36" s="52">
        <f>IFERROR(IF(OR($D$19=$A$24,$E$19=$A$24,$F$19=$A$24),$G$19,$C$10),"")</f>
        <v>999.0</v>
      </c>
      <c r="N36" s="52">
        <f>IFERROR(IF(OR($D$19=$A$25,$E$19=$A$25,$F$19=$A$25),$G$19,$C$10),"")</f>
        <v>999.0</v>
      </c>
      <c r="O36" s="52">
        <f>IFERROR(IF(OR($D$19=$A$26,$E$19=$A$26,$F$19=$A$26),$G$19,$C$10),"")</f>
        <v>999.0</v>
      </c>
      <c r="P36" s="52">
        <f>IFERROR(IF(OR($D$19=$A$27,$E$19=$A$27,$F$19=$A$27),$G$19,$C$10),"")</f>
        <v>999.0</v>
      </c>
    </row>
    <row r="37">
      <c r="A37" s="9" t="inlineStr">
        <is>
          <t>H7</t>
        </is>
      </c>
      <c r="B37" s="50">
        <f>IFERROR(G20,"")</f>
        <v>4.0</v>
      </c>
      <c r="C37" s="52">
        <f>IFERROR(IF(OR($D$20=$A$14,$E$20=$A$14,$F$20=$A$14),$G$20,$C$10),"")</f>
        <v>999.0</v>
      </c>
      <c r="D37" s="52">
        <f>IFERROR(IF(OR($D$20=$A$15,$E$20=$A$15,$F$20=$A$15),$G$20,$C$10),"")</f>
        <v>999.0</v>
      </c>
      <c r="E37" s="52">
        <f>IFERROR(IF(OR($D$20=$A$16,$E$20=$A$16,$F$20=$A$16),$G$20,$C$10),"")</f>
        <v>4.0</v>
      </c>
      <c r="F37" s="52">
        <f>IFERROR(IF(OR($D$20=$A$17,$E$20=$A$17,$F$20=$A$17),$G$20,$C$10),"")</f>
        <v>999.0</v>
      </c>
      <c r="G37" s="52">
        <f>IFERROR(IF(OR($D$20=$A$18,$E$20=$A$18,$F$20=$A$18),$G$20,$C$10),"")</f>
        <v>999.0</v>
      </c>
      <c r="H37" s="52">
        <f>IFERROR(IF(OR($D$20=$A$19,$E$20=$A$19,$F$20=$A$19),$G$20,$C$10),"")</f>
        <v>999.0</v>
      </c>
      <c r="I37" s="52">
        <f>IFERROR(IF(OR($D$20=$A$20,$E$20=$A$20,$F$20=$A$20),$G$20,$C$10),"")</f>
        <v>999.0</v>
      </c>
      <c r="J37" s="52">
        <f>IFERROR(IF(OR($D$20=$A$21,$E$20=$A$21,$F$20=$A$21),$G$20,$C$10),"")</f>
        <v>999.0</v>
      </c>
      <c r="K37" s="52">
        <f>IFERROR(IF(OR($D$20=$A$22,$E$20=$A$22,$F$20=$A$22),$G$20,$C$10),"")</f>
        <v>999.0</v>
      </c>
      <c r="L37" s="52">
        <f>IFERROR(IF(OR($D$20=$A$23,$E$20=$A$23,$F$20=$A$23),$G$20,$C$10),"")</f>
        <v>999.0</v>
      </c>
      <c r="M37" s="52">
        <f>IFERROR(IF(OR($D$20=$A$24,$E$20=$A$24,$F$20=$A$24),$G$20,$C$10),"")</f>
        <v>999.0</v>
      </c>
      <c r="N37" s="52">
        <f>IFERROR(IF(OR($D$20=$A$25,$E$20=$A$25,$F$20=$A$25),$G$20,$C$10),"")</f>
        <v>999.0</v>
      </c>
      <c r="O37" s="52">
        <f>IFERROR(IF(OR($D$20=$A$26,$E$20=$A$26,$F$20=$A$26),$G$20,$C$10),"")</f>
        <v>999.0</v>
      </c>
      <c r="P37" s="52">
        <f>IFERROR(IF(OR($D$20=$A$27,$E$20=$A$27,$F$20=$A$27),$G$20,$C$10),"")</f>
        <v>999.0</v>
      </c>
    </row>
    <row r="38">
      <c r="A38" s="9" t="inlineStr">
        <is>
          <t>H8</t>
        </is>
      </c>
      <c r="B38" s="50">
        <f>IFERROR(G21,"")</f>
        <v>8.0</v>
      </c>
      <c r="C38" s="52">
        <f>IFERROR(IF(OR($D$21=$A$14,$E$21=$A$14,$F$21=$A$14),$G$21,$C$10),"")</f>
        <v>999.0</v>
      </c>
      <c r="D38" s="52">
        <f>IFERROR(IF(OR($D$21=$A$15,$E$21=$A$15,$F$21=$A$15),$G$21,$C$10),"")</f>
        <v>999.0</v>
      </c>
      <c r="E38" s="52">
        <f>IFERROR(IF(OR($D$21=$A$16,$E$21=$A$16,$F$21=$A$16),$G$21,$C$10),"")</f>
        <v>999.0</v>
      </c>
      <c r="F38" s="52">
        <f>IFERROR(IF(OR($D$21=$A$17,$E$21=$A$17,$F$21=$A$17),$G$21,$C$10),"")</f>
        <v>999.0</v>
      </c>
      <c r="G38" s="52">
        <f>IFERROR(IF(OR($D$21=$A$18,$E$21=$A$18,$F$21=$A$18),$G$21,$C$10),"")</f>
        <v>999.0</v>
      </c>
      <c r="H38" s="52">
        <f>IFERROR(IF(OR($D$21=$A$19,$E$21=$A$19,$F$21=$A$19),$G$21,$C$10),"")</f>
        <v>8.0</v>
      </c>
      <c r="I38" s="52">
        <f>IFERROR(IF(OR($D$21=$A$20,$E$21=$A$20,$F$21=$A$20),$G$21,$C$10),"")</f>
        <v>999.0</v>
      </c>
      <c r="J38" s="52">
        <f>IFERROR(IF(OR($D$21=$A$21,$E$21=$A$21,$F$21=$A$21),$G$21,$C$10),"")</f>
        <v>999.0</v>
      </c>
      <c r="K38" s="52">
        <f>IFERROR(IF(OR($D$21=$A$22,$E$21=$A$22,$F$21=$A$22),$G$21,$C$10),"")</f>
        <v>999.0</v>
      </c>
      <c r="L38" s="52">
        <f>IFERROR(IF(OR($D$21=$A$23,$E$21=$A$23,$F$21=$A$23),$G$21,$C$10),"")</f>
        <v>999.0</v>
      </c>
      <c r="M38" s="52">
        <f>IFERROR(IF(OR($D$21=$A$24,$E$21=$A$24,$F$21=$A$24),$G$21,$C$10),"")</f>
        <v>999.0</v>
      </c>
      <c r="N38" s="52">
        <f>IFERROR(IF(OR($D$21=$A$25,$E$21=$A$25,$F$21=$A$25),$G$21,$C$10),"")</f>
        <v>999.0</v>
      </c>
      <c r="O38" s="52">
        <f>IFERROR(IF(OR($D$21=$A$26,$E$21=$A$26,$F$21=$A$26),$G$21,$C$10),"")</f>
        <v>999.0</v>
      </c>
      <c r="P38" s="52">
        <f>IFERROR(IF(OR($D$21=$A$27,$E$21=$A$27,$F$21=$A$27),$G$21,$C$10),"")</f>
        <v>999.0</v>
      </c>
    </row>
    <row r="39">
      <c r="A39" s="9" t="inlineStr">
        <is>
          <t>H9</t>
        </is>
      </c>
      <c r="B39" s="50">
        <f>IFERROR(G22,"")</f>
        <v>8.5</v>
      </c>
      <c r="C39" s="52">
        <f>IFERROR(IF(OR($D$22=$A$14,$E$22=$A$14,$F$22=$A$14),$G$22,$C$10),"")</f>
        <v>999.0</v>
      </c>
      <c r="D39" s="52">
        <f>IFERROR(IF(OR($D$22=$A$15,$E$22=$A$15,$F$22=$A$15),$G$22,$C$10),"")</f>
        <v>999.0</v>
      </c>
      <c r="E39" s="52">
        <f>IFERROR(IF(OR($D$22=$A$16,$E$22=$A$16,$F$22=$A$16),$G$22,$C$10),"")</f>
        <v>999.0</v>
      </c>
      <c r="F39" s="52">
        <f>IFERROR(IF(OR($D$22=$A$17,$E$22=$A$17,$F$22=$A$17),$G$22,$C$10),"")</f>
        <v>999.0</v>
      </c>
      <c r="G39" s="52">
        <f>IFERROR(IF(OR($D$22=$A$18,$E$22=$A$18,$F$22=$A$18),$G$22,$C$10),"")</f>
        <v>999.0</v>
      </c>
      <c r="H39" s="52">
        <f>IFERROR(IF(OR($D$22=$A$19,$E$22=$A$19,$F$22=$A$19),$G$22,$C$10),"")</f>
        <v>999.0</v>
      </c>
      <c r="I39" s="52">
        <f>IFERROR(IF(OR($D$22=$A$20,$E$22=$A$20,$F$22=$A$20),$G$22,$C$10),"")</f>
        <v>8.5</v>
      </c>
      <c r="J39" s="52">
        <f>IFERROR(IF(OR($D$22=$A$21,$E$22=$A$21,$F$22=$A$21),$G$22,$C$10),"")</f>
        <v>8.5</v>
      </c>
      <c r="K39" s="52">
        <f>IFERROR(IF(OR($D$22=$A$22,$E$22=$A$22,$F$22=$A$22),$G$22,$C$10),"")</f>
        <v>999.0</v>
      </c>
      <c r="L39" s="52">
        <f>IFERROR(IF(OR($D$22=$A$23,$E$22=$A$23,$F$22=$A$23),$G$22,$C$10),"")</f>
        <v>999.0</v>
      </c>
      <c r="M39" s="52">
        <f>IFERROR(IF(OR($D$22=$A$24,$E$22=$A$24,$F$22=$A$24),$G$22,$C$10),"")</f>
        <v>999.0</v>
      </c>
      <c r="N39" s="52">
        <f>IFERROR(IF(OR($D$22=$A$25,$E$22=$A$25,$F$22=$A$25),$G$22,$C$10),"")</f>
        <v>999.0</v>
      </c>
      <c r="O39" s="52">
        <f>IFERROR(IF(OR($D$22=$A$26,$E$22=$A$26,$F$22=$A$26),$G$22,$C$10),"")</f>
        <v>999.0</v>
      </c>
      <c r="P39" s="52">
        <f>IFERROR(IF(OR($D$22=$A$27,$E$22=$A$27,$F$22=$A$27),$G$22,$C$10),"")</f>
        <v>999.0</v>
      </c>
    </row>
    <row r="40">
      <c r="A40" s="9" t="inlineStr">
        <is>
          <t>H10</t>
        </is>
      </c>
      <c r="B40" s="50">
        <f>IFERROR(G23,"")</f>
        <v>9.0</v>
      </c>
      <c r="C40" s="52">
        <f>IFERROR(IF(OR($D$23=$A$14,$E$23=$A$14,$F$23=$A$14),$G$23,$C$10),"")</f>
        <v>999.0</v>
      </c>
      <c r="D40" s="52">
        <f>IFERROR(IF(OR($D$23=$A$15,$E$23=$A$15,$F$23=$A$15),$G$23,$C$10),"")</f>
        <v>999.0</v>
      </c>
      <c r="E40" s="52">
        <f>IFERROR(IF(OR($D$23=$A$16,$E$23=$A$16,$F$23=$A$16),$G$23,$C$10),"")</f>
        <v>999.0</v>
      </c>
      <c r="F40" s="52">
        <f>IFERROR(IF(OR($D$23=$A$17,$E$23=$A$17,$F$23=$A$17),$G$23,$C$10),"")</f>
        <v>999.0</v>
      </c>
      <c r="G40" s="52">
        <f>IFERROR(IF(OR($D$23=$A$18,$E$23=$A$18,$F$23=$A$18),$G$23,$C$10),"")</f>
        <v>9.0</v>
      </c>
      <c r="H40" s="52">
        <f>IFERROR(IF(OR($D$23=$A$19,$E$23=$A$19,$F$23=$A$19),$G$23,$C$10),"")</f>
        <v>999.0</v>
      </c>
      <c r="I40" s="52">
        <f>IFERROR(IF(OR($D$23=$A$20,$E$23=$A$20,$F$23=$A$20),$G$23,$C$10),"")</f>
        <v>999.0</v>
      </c>
      <c r="J40" s="52">
        <f>IFERROR(IF(OR($D$23=$A$21,$E$23=$A$21,$F$23=$A$21),$G$23,$C$10),"")</f>
        <v>999.0</v>
      </c>
      <c r="K40" s="52">
        <f>IFERROR(IF(OR($D$23=$A$22,$E$23=$A$22,$F$23=$A$22),$G$23,$C$10),"")</f>
        <v>9.0</v>
      </c>
      <c r="L40" s="52">
        <f>IFERROR(IF(OR($D$23=$A$23,$E$23=$A$23,$F$23=$A$23),$G$23,$C$10),"")</f>
        <v>999.0</v>
      </c>
      <c r="M40" s="52">
        <f>IFERROR(IF(OR($D$23=$A$24,$E$23=$A$24,$F$23=$A$24),$G$23,$C$10),"")</f>
        <v>999.0</v>
      </c>
      <c r="N40" s="52">
        <f>IFERROR(IF(OR($D$23=$A$25,$E$23=$A$25,$F$23=$A$25),$G$23,$C$10),"")</f>
        <v>999.0</v>
      </c>
      <c r="O40" s="52">
        <f>IFERROR(IF(OR($D$23=$A$26,$E$23=$A$26,$F$23=$A$26),$G$23,$C$10),"")</f>
        <v>999.0</v>
      </c>
      <c r="P40" s="52">
        <f>IFERROR(IF(OR($D$23=$A$27,$E$23=$A$27,$F$23=$A$27),$G$23,$C$10),"")</f>
        <v>999.0</v>
      </c>
    </row>
    <row r="41">
      <c r="A41" s="9" t="inlineStr">
        <is>
          <t>H11</t>
        </is>
      </c>
      <c r="B41" s="50">
        <f>IFERROR(G24,"")</f>
        <v>9.0</v>
      </c>
      <c r="C41" s="52">
        <f>IFERROR(IF(OR($D$24=$A$14,$E$24=$A$14,$F$24=$A$14),$G$24,$C$10),"")</f>
        <v>999.0</v>
      </c>
      <c r="D41" s="52">
        <f>IFERROR(IF(OR($D$24=$A$15,$E$24=$A$15,$F$24=$A$15),$G$24,$C$10),"")</f>
        <v>999.0</v>
      </c>
      <c r="E41" s="52">
        <f>IFERROR(IF(OR($D$24=$A$16,$E$24=$A$16,$F$24=$A$16),$G$24,$C$10),"")</f>
        <v>999.0</v>
      </c>
      <c r="F41" s="52">
        <f>IFERROR(IF(OR($D$24=$A$17,$E$24=$A$17,$F$24=$A$17),$G$24,$C$10),"")</f>
        <v>999.0</v>
      </c>
      <c r="G41" s="52">
        <f>IFERROR(IF(OR($D$24=$A$18,$E$24=$A$18,$F$24=$A$18),$G$24,$C$10),"")</f>
        <v>999.0</v>
      </c>
      <c r="H41" s="52">
        <f>IFERROR(IF(OR($D$24=$A$19,$E$24=$A$19,$F$24=$A$19),$G$24,$C$10),"")</f>
        <v>999.0</v>
      </c>
      <c r="I41" s="52">
        <f>IFERROR(IF(OR($D$24=$A$20,$E$24=$A$20,$F$24=$A$20),$G$24,$C$10),"")</f>
        <v>999.0</v>
      </c>
      <c r="J41" s="52">
        <f>IFERROR(IF(OR($D$24=$A$21,$E$24=$A$21,$F$24=$A$21),$G$24,$C$10),"")</f>
        <v>999.0</v>
      </c>
      <c r="K41" s="52">
        <f>IFERROR(IF(OR($D$24=$A$22,$E$24=$A$22,$F$24=$A$22),$G$24,$C$10),"")</f>
        <v>9.0</v>
      </c>
      <c r="L41" s="52">
        <f>IFERROR(IF(OR($D$24=$A$23,$E$24=$A$23,$F$24=$A$23),$G$24,$C$10),"")</f>
        <v>999.0</v>
      </c>
      <c r="M41" s="52">
        <f>IFERROR(IF(OR($D$24=$A$24,$E$24=$A$24,$F$24=$A$24),$G$24,$C$10),"")</f>
        <v>999.0</v>
      </c>
      <c r="N41" s="52">
        <f>IFERROR(IF(OR($D$24=$A$25,$E$24=$A$25,$F$24=$A$25),$G$24,$C$10),"")</f>
        <v>999.0</v>
      </c>
      <c r="O41" s="52">
        <f>IFERROR(IF(OR($D$24=$A$26,$E$24=$A$26,$F$24=$A$26),$G$24,$C$10),"")</f>
        <v>999.0</v>
      </c>
      <c r="P41" s="52">
        <f>IFERROR(IF(OR($D$24=$A$27,$E$24=$A$27,$F$24=$A$27),$G$24,$C$10),"")</f>
        <v>999.0</v>
      </c>
    </row>
    <row r="42">
      <c r="A42" s="9" t="inlineStr">
        <is>
          <t>H12</t>
        </is>
      </c>
      <c r="B42" s="50">
        <f>IFERROR(G25,"")</f>
        <v>9.0</v>
      </c>
      <c r="C42" s="52">
        <f>IFERROR(IF(OR($D$25=$A$14,$E$25=$A$14,$F$25=$A$14),$G$25,$C$10),"")</f>
        <v>999.0</v>
      </c>
      <c r="D42" s="52">
        <f>IFERROR(IF(OR($D$25=$A$15,$E$25=$A$15,$F$25=$A$15),$G$25,$C$10),"")</f>
        <v>999.0</v>
      </c>
      <c r="E42" s="52">
        <f>IFERROR(IF(OR($D$25=$A$16,$E$25=$A$16,$F$25=$A$16),$G$25,$C$10),"")</f>
        <v>999.0</v>
      </c>
      <c r="F42" s="52">
        <f>IFERROR(IF(OR($D$25=$A$17,$E$25=$A$17,$F$25=$A$17),$G$25,$C$10),"")</f>
        <v>999.0</v>
      </c>
      <c r="G42" s="52">
        <f>IFERROR(IF(OR($D$25=$A$18,$E$25=$A$18,$F$25=$A$18),$G$25,$C$10),"")</f>
        <v>999.0</v>
      </c>
      <c r="H42" s="52">
        <f>IFERROR(IF(OR($D$25=$A$19,$E$25=$A$19,$F$25=$A$19),$G$25,$C$10),"")</f>
        <v>999.0</v>
      </c>
      <c r="I42" s="52">
        <f>IFERROR(IF(OR($D$25=$A$20,$E$25=$A$20,$F$25=$A$20),$G$25,$C$10),"")</f>
        <v>999.0</v>
      </c>
      <c r="J42" s="52">
        <f>IFERROR(IF(OR($D$25=$A$21,$E$25=$A$21,$F$25=$A$21),$G$25,$C$10),"")</f>
        <v>999.0</v>
      </c>
      <c r="K42" s="52">
        <f>IFERROR(IF(OR($D$25=$A$22,$E$25=$A$22,$F$25=$A$22),$G$25,$C$10),"")</f>
        <v>9.0</v>
      </c>
      <c r="L42" s="52">
        <f>IFERROR(IF(OR($D$25=$A$23,$E$25=$A$23,$F$25=$A$23),$G$25,$C$10),"")</f>
        <v>999.0</v>
      </c>
      <c r="M42" s="52">
        <f>IFERROR(IF(OR($D$25=$A$24,$E$25=$A$24,$F$25=$A$24),$G$25,$C$10),"")</f>
        <v>999.0</v>
      </c>
      <c r="N42" s="52">
        <f>IFERROR(IF(OR($D$25=$A$25,$E$25=$A$25,$F$25=$A$25),$G$25,$C$10),"")</f>
        <v>999.0</v>
      </c>
      <c r="O42" s="52">
        <f>IFERROR(IF(OR($D$25=$A$26,$E$25=$A$26,$F$25=$A$26),$G$25,$C$10),"")</f>
        <v>999.0</v>
      </c>
      <c r="P42" s="52">
        <f>IFERROR(IF(OR($D$25=$A$27,$E$25=$A$27,$F$25=$A$27),$G$25,$C$10),"")</f>
        <v>999.0</v>
      </c>
    </row>
    <row r="43">
      <c r="A43" s="9" t="inlineStr">
        <is>
          <t>H13</t>
        </is>
      </c>
      <c r="B43" s="50">
        <f>IFERROR(G26,"")</f>
        <v>9.5</v>
      </c>
      <c r="C43" s="52">
        <f>IFERROR(IF(OR($D$26=$A$14,$E$26=$A$14,$F$26=$A$14),$G$26,$C$10),"")</f>
        <v>999.0</v>
      </c>
      <c r="D43" s="52">
        <f>IFERROR(IF(OR($D$26=$A$15,$E$26=$A$15,$F$26=$A$15),$G$26,$C$10),"")</f>
        <v>999.0</v>
      </c>
      <c r="E43" s="52">
        <f>IFERROR(IF(OR($D$26=$A$16,$E$26=$A$16,$F$26=$A$16),$G$26,$C$10),"")</f>
        <v>999.0</v>
      </c>
      <c r="F43" s="52">
        <f>IFERROR(IF(OR($D$26=$A$17,$E$26=$A$17,$F$26=$A$17),$G$26,$C$10),"")</f>
        <v>999.0</v>
      </c>
      <c r="G43" s="52">
        <f>IFERROR(IF(OR($D$26=$A$18,$E$26=$A$18,$F$26=$A$18),$G$26,$C$10),"")</f>
        <v>999.0</v>
      </c>
      <c r="H43" s="52">
        <f>IFERROR(IF(OR($D$26=$A$19,$E$26=$A$19,$F$26=$A$19),$G$26,$C$10),"")</f>
        <v>999.0</v>
      </c>
      <c r="I43" s="52">
        <f>IFERROR(IF(OR($D$26=$A$20,$E$26=$A$20,$F$26=$A$20),$G$26,$C$10),"")</f>
        <v>999.0</v>
      </c>
      <c r="J43" s="52">
        <f>IFERROR(IF(OR($D$26=$A$21,$E$26=$A$21,$F$26=$A$21),$G$26,$C$10),"")</f>
        <v>999.0</v>
      </c>
      <c r="K43" s="52">
        <f>IFERROR(IF(OR($D$26=$A$22,$E$26=$A$22,$F$26=$A$22),$G$26,$C$10),"")</f>
        <v>999.0</v>
      </c>
      <c r="L43" s="52">
        <f>IFERROR(IF(OR($D$26=$A$23,$E$26=$A$23,$F$26=$A$23),$G$26,$C$10),"")</f>
        <v>9.5</v>
      </c>
      <c r="M43" s="52">
        <f>IFERROR(IF(OR($D$26=$A$24,$E$26=$A$24,$F$26=$A$24),$G$26,$C$10),"")</f>
        <v>9.5</v>
      </c>
      <c r="N43" s="52">
        <f>IFERROR(IF(OR($D$26=$A$25,$E$26=$A$25,$F$26=$A$25),$G$26,$C$10),"")</f>
        <v>9.5</v>
      </c>
      <c r="O43" s="52">
        <f>IFERROR(IF(OR($D$26=$A$26,$E$26=$A$26,$F$26=$A$26),$G$26,$C$10),"")</f>
        <v>999.0</v>
      </c>
      <c r="P43" s="52">
        <f>IFERROR(IF(OR($D$26=$A$27,$E$26=$A$27,$F$26=$A$27),$G$26,$C$10),"")</f>
        <v>999.0</v>
      </c>
    </row>
    <row r="44">
      <c r="A44" s="9" t="inlineStr">
        <is>
          <t>H14</t>
        </is>
      </c>
      <c r="B44" s="50">
        <f>IFERROR(G27,"")</f>
        <v>10.0</v>
      </c>
      <c r="C44" s="52">
        <f>IFERROR(IF(OR($D$27=$A$14,$E$27=$A$14,$F$27=$A$14),$G$27,$C$10),"")</f>
        <v>999.0</v>
      </c>
      <c r="D44" s="52">
        <f>IFERROR(IF(OR($D$27=$A$15,$E$27=$A$15,$F$27=$A$15),$G$27,$C$10),"")</f>
        <v>999.0</v>
      </c>
      <c r="E44" s="52">
        <f>IFERROR(IF(OR($D$27=$A$16,$E$27=$A$16,$F$27=$A$16),$G$27,$C$10),"")</f>
        <v>999.0</v>
      </c>
      <c r="F44" s="52">
        <f>IFERROR(IF(OR($D$27=$A$17,$E$27=$A$17,$F$27=$A$17),$G$27,$C$10),"")</f>
        <v>999.0</v>
      </c>
      <c r="G44" s="52">
        <f>IFERROR(IF(OR($D$27=$A$18,$E$27=$A$18,$F$27=$A$18),$G$27,$C$10),"")</f>
        <v>999.0</v>
      </c>
      <c r="H44" s="52">
        <f>IFERROR(IF(OR($D$27=$A$19,$E$27=$A$19,$F$27=$A$19),$G$27,$C$10),"")</f>
        <v>999.0</v>
      </c>
      <c r="I44" s="52">
        <f>IFERROR(IF(OR($D$27=$A$20,$E$27=$A$20,$F$27=$A$20),$G$27,$C$10),"")</f>
        <v>999.0</v>
      </c>
      <c r="J44" s="52">
        <f>IFERROR(IF(OR($D$27=$A$21,$E$27=$A$21,$F$27=$A$21),$G$27,$C$10),"")</f>
        <v>999.0</v>
      </c>
      <c r="K44" s="52">
        <f>IFERROR(IF(OR($D$27=$A$22,$E$27=$A$22,$F$27=$A$22),$G$27,$C$10),"")</f>
        <v>999.0</v>
      </c>
      <c r="L44" s="52">
        <f>IFERROR(IF(OR($D$27=$A$23,$E$27=$A$23,$F$27=$A$23),$G$27,$C$10),"")</f>
        <v>999.0</v>
      </c>
      <c r="M44" s="52">
        <f>IFERROR(IF(OR($D$27=$A$24,$E$27=$A$24,$F$27=$A$24),$G$27,$C$10),"")</f>
        <v>999.0</v>
      </c>
      <c r="N44" s="52">
        <f>IFERROR(IF(OR($D$27=$A$25,$E$27=$A$25,$F$27=$A$25),$G$27,$C$10),"")</f>
        <v>999.0</v>
      </c>
      <c r="O44" s="52">
        <f>IFERROR(IF(OR($D$27=$A$26,$E$27=$A$26,$F$27=$A$26),$G$27,$C$10),"")</f>
        <v>10.0</v>
      </c>
      <c r="P44" s="52">
        <f>IFERROR(IF(OR($D$27=$A$27,$E$27=$A$27,$F$27=$A$27),$G$27,$C$10),"")</f>
        <v>999.0</v>
      </c>
    </row>
    <row r="45"/>
    <row r="46">
      <c r="A46" s="5" t="inlineStr">
        <is>
          <t>LO QUE SALE DE TODO ESTO</t>
        </is>
      </c>
      <c r="B46" s="14" t="inlineStr"/>
      <c r="C46" s="14" t="inlineStr"/>
      <c r="D46" s="14" t="inlineStr"/>
      <c r="E46" s="14" t="inlineStr"/>
      <c r="F46" s="14" t="inlineStr"/>
      <c r="G46" s="14" t="inlineStr"/>
      <c r="H46" s="14" t="inlineStr"/>
      <c r="I46" s="14" t="inlineStr"/>
      <c r="J46" s="14" t="inlineStr"/>
      <c r="K46" s="14" t="inlineStr"/>
      <c r="L46" s="14" t="inlineStr"/>
      <c r="M46" s="14" t="inlineStr"/>
      <c r="N46" s="14" t="inlineStr"/>
      <c r="O46" s="14" t="inlineStr"/>
      <c r="P46" s="14" t="inlineStr"/>
      <c r="R46" s="14" t="inlineStr"/>
    </row>
    <row r="47">
      <c r="A47" s="12" t="inlineStr">
        <is>
          <t>Duración total del proyecto (meses)</t>
        </is>
      </c>
      <c r="C47" s="53">
        <f>IFERROR(MAX(H14:H27),"")</f>
        <v>10.0</v>
      </c>
      <c r="R47" s="6" t="inlineStr">
        <is>
          <t>Desde el primer día de búsqueda de local hasta el día que abres.</t>
        </is>
      </c>
    </row>
    <row r="48">
      <c r="A48" s="12" t="inlineStr">
        <is>
          <t>Hitos SIN holgura (ruta crítica)</t>
        </is>
      </c>
      <c r="C48" s="46">
        <f>IFERROR(COUNTIF(J14:J27,"Sí"),"")</f>
        <v>12.0</v>
      </c>
      <c r="R48" s="6" t="inlineStr">
        <is>
          <t>Si uno de éstos se retrasa un día, la apertura se retrasa un día.</t>
        </is>
      </c>
    </row>
    <row r="49">
      <c r="A49" s="12" t="inlineStr">
        <is>
          <t>Mes natural en el que abres (1-12)</t>
        </is>
      </c>
      <c r="C49" s="46">
        <f>IFERROR(ROUNDDOWN(MOD($C$5-1+C47,12),0)+1,"")</f>
        <v>9.0</v>
      </c>
    </row>
    <row r="50">
      <c r="A50" s="12" t="inlineStr">
        <is>
          <t>Nombre de ese mes</t>
        </is>
      </c>
      <c r="C50" s="11" t="str">
        <f>IFERROR(INDEX($B$63:$B$74,C49),"")</f>
        <v>Septiembre</v>
      </c>
    </row>
    <row r="51">
      <c r="A51" s="12" t="inlineStr">
        <is>
          <t>Meses que tienes entre el arranque y tu objetivo</t>
        </is>
      </c>
      <c r="C51" s="53">
        <f>IFERROR(IF(MOD(C11-C5,12)=0,12,MOD(C11-C5,12)),"")</f>
        <v>10.0</v>
      </c>
      <c r="R51" s="6" t="inlineStr">
        <is>
          <t>Si el objetivo cae en el mismo mes del arranque, la hoja entiende que es el del año siguiente (doce meses).</t>
        </is>
      </c>
    </row>
    <row r="52">
      <c r="A52" s="12" t="inlineStr">
        <is>
          <t>Margen entre lo que tienes y lo que necesitas (meses)</t>
        </is>
      </c>
      <c r="C52" s="53">
        <f>IFERROR(C51-C47,"")</f>
        <v>0.0</v>
      </c>
      <c r="R52" s="6" t="inlineStr">
        <is>
          <t>Negativo = no llegas a tu objetivo con esta ruta crítica.</t>
        </is>
      </c>
    </row>
    <row r="53" ht="34" customHeight="1">
      <c r="A53" s="12" t="inlineStr">
        <is>
          <t>¿Llegas a abrir en tu objetivo?</t>
        </is>
      </c>
      <c r="C53" s="20" t="str">
        <f>IFERROR(IF(ROUND(C52,2)&lt;0,"NO LLEGAS: arranca antes, acorta la ruta crítica o mueve el objetivo",IF(ROUND(C52,2)=0,"LLEGAS JUSTO: cualquier retraso en la ruta crítica te mueve la apertura","LLEGAS CON MARGEN")),"")</f>
        <v>LLEGAS JUSTO: cualquier retraso en la ruta crítica te mueve la apertura</v>
      </c>
    </row>
    <row r="54">
      <c r="A54" s="12" t="inlineStr">
        <is>
          <t>¿La maquinaria está en la ruta crítica?</t>
        </is>
      </c>
      <c r="C54" s="11" t="str">
        <f>IFERROR(J20,"")</f>
        <v>No</v>
      </c>
      <c r="R54" s="6" t="inlineStr">
        <is>
          <t>Si dice «Sí», tu fecha de apertura la manda el proveedor, no el papeleo.</t>
        </is>
      </c>
    </row>
    <row r="55">
      <c r="A55" s="12" t="inlineStr">
        <is>
          <t>Holgura de la maquinaria (meses)</t>
        </is>
      </c>
      <c r="C55" s="53">
        <f>IFERROR(I20,"")</f>
        <v>3.119178082191781</v>
      </c>
      <c r="R55" s="6" t="inlineStr">
        <is>
          <t>Lo que puede retrasarse la entrega sin mover la apertura.</t>
        </is>
      </c>
    </row>
    <row r="56"/>
    <row r="57" ht="40" customHeight="1">
      <c r="A57" s="6" t="inlineStr">
        <is>
          <t>LAS DURACIONES SON SUPUESTOS y casi todas dependen de un tercero. Cámbialas por las tuyas en cuanto tengas un plazo por escrito, empezando por el de la maquinaria: es el que más silenciosamente mueve la fecha, porque no falla, sólo llega tarde.</t>
        </is>
      </c>
    </row>
    <row r="58" ht="30" customHeight="1">
      <c r="A58" s="6" t="inlineStr">
        <is>
          <t>La hoja no usa funciones de fecha a propósito: trabaja en meses decimales, así que medio mes es 0,5 y se suma sin discutir con el calendario laboral.</t>
        </is>
      </c>
    </row>
    <row r="59"/>
    <row r="60"/>
    <row r="61">
      <c r="A61" s="5" t="inlineStr">
        <is>
          <t>Listas de validación (no las borres: las usan los desplegables)</t>
        </is>
      </c>
    </row>
    <row r="62">
      <c r="A62" s="11" t="inlineStr">
        <is>
          <t>Hitos y «sin dependencia»</t>
        </is>
      </c>
      <c r="B62" s="11" t="inlineStr">
        <is>
          <t>Meses del año</t>
        </is>
      </c>
    </row>
    <row r="63">
      <c r="A63" t="inlineStr">
        <is>
          <t>-</t>
        </is>
      </c>
      <c r="B63" t="inlineStr">
        <is>
          <t>Enero</t>
        </is>
      </c>
    </row>
    <row r="64">
      <c r="A64" t="inlineStr">
        <is>
          <t>H1</t>
        </is>
      </c>
      <c r="B64" t="inlineStr">
        <is>
          <t>Febrero</t>
        </is>
      </c>
    </row>
    <row r="65">
      <c r="A65" t="inlineStr">
        <is>
          <t>H2</t>
        </is>
      </c>
      <c r="B65" t="inlineStr">
        <is>
          <t>Marzo</t>
        </is>
      </c>
    </row>
    <row r="66">
      <c r="A66" t="inlineStr">
        <is>
          <t>H3</t>
        </is>
      </c>
      <c r="B66" t="inlineStr">
        <is>
          <t>Abril</t>
        </is>
      </c>
    </row>
    <row r="67">
      <c r="A67" t="inlineStr">
        <is>
          <t>H4</t>
        </is>
      </c>
      <c r="B67" t="inlineStr">
        <is>
          <t>Mayo</t>
        </is>
      </c>
    </row>
    <row r="68">
      <c r="A68" t="inlineStr">
        <is>
          <t>H5</t>
        </is>
      </c>
      <c r="B68" t="inlineStr">
        <is>
          <t>Junio</t>
        </is>
      </c>
    </row>
    <row r="69">
      <c r="A69" t="inlineStr">
        <is>
          <t>H6</t>
        </is>
      </c>
      <c r="B69" t="inlineStr">
        <is>
          <t>Julio</t>
        </is>
      </c>
    </row>
    <row r="70">
      <c r="A70" t="inlineStr">
        <is>
          <t>H7</t>
        </is>
      </c>
      <c r="B70" t="inlineStr">
        <is>
          <t>Agosto</t>
        </is>
      </c>
    </row>
    <row r="71">
      <c r="A71" t="inlineStr">
        <is>
          <t>H8</t>
        </is>
      </c>
      <c r="B71" t="inlineStr">
        <is>
          <t>Septiembre</t>
        </is>
      </c>
    </row>
    <row r="72">
      <c r="A72" t="inlineStr">
        <is>
          <t>H9</t>
        </is>
      </c>
      <c r="B72" t="inlineStr">
        <is>
          <t>Octubre</t>
        </is>
      </c>
    </row>
    <row r="73">
      <c r="A73" t="inlineStr">
        <is>
          <t>H10</t>
        </is>
      </c>
      <c r="B73" t="inlineStr">
        <is>
          <t>Noviembre</t>
        </is>
      </c>
    </row>
    <row r="74">
      <c r="A74" t="inlineStr">
        <is>
          <t>H11</t>
        </is>
      </c>
      <c r="B74" t="inlineStr">
        <is>
          <t>Diciembre</t>
        </is>
      </c>
    </row>
    <row r="75">
      <c r="A75" t="inlineStr">
        <is>
          <t>H12</t>
        </is>
      </c>
    </row>
    <row r="76">
      <c r="A76" t="inlineStr">
        <is>
          <t>H13</t>
        </is>
      </c>
    </row>
    <row r="77">
      <c r="A77" t="inlineStr">
        <is>
          <t>H14</t>
        </is>
      </c>
    </row>
  </sheetData>
  <sheetProtection selectLockedCells="0" selectUnlockedCells="0" sheet="1" objects="0" insertRows="0" insertHyperlinks="1" autoFilter="1" scenarios="0" formatColumns="0" deleteColumns="1" insertColumns="1" pivotTables="1" deleteRows="1" formatCells="1" formatRows="0" sort="0"/>
  <mergeCells count="20">
    <mergeCell ref="A48:B48"/>
    <mergeCell ref="A11:B11"/>
    <mergeCell ref="A49:B49"/>
    <mergeCell ref="A51:B51"/>
    <mergeCell ref="A6:B6"/>
    <mergeCell ref="A3:R3"/>
    <mergeCell ref="A54:B54"/>
    <mergeCell ref="A7:B7"/>
    <mergeCell ref="A57:R57"/>
    <mergeCell ref="A55:B55"/>
    <mergeCell ref="A50:B50"/>
    <mergeCell ref="A47:B47"/>
    <mergeCell ref="A5:B5"/>
    <mergeCell ref="A8:B8"/>
    <mergeCell ref="A58:R58"/>
    <mergeCell ref="A53:B53"/>
    <mergeCell ref="A52:B52"/>
    <mergeCell ref="A10:B10"/>
    <mergeCell ref="A9:B9"/>
    <mergeCell ref="C53:P53"/>
  </mergeCells>
  <conditionalFormatting sqref="J14:J27">
    <cfRule type="expression" priority="1" dxfId="0" stopIfTrue="1">
      <formula>=$J14="Sí"</formula>
    </cfRule>
  </conditionalFormatting>
  <conditionalFormatting sqref="C53">
    <cfRule type="cellIs" priority="2" operator="equal" dxfId="3" stopIfTrue="1">
      <formula>"NO LLEGAS: arranca antes, acorta la ruta crítica o mueve el objetivo"</formula>
    </cfRule>
    <cfRule type="cellIs" priority="3" operator="equal" dxfId="0" stopIfTrue="1">
      <formula>"LLEGAS JUSTO: cualquier retraso en la ruta crítica te mueve la apertura"</formula>
    </cfRule>
    <cfRule type="cellIs" priority="4" operator="equal" dxfId="1" stopIfTrue="1">
      <formula>"LLEGAS CON MARGEN"</formula>
    </cfRule>
  </conditionalFormatting>
  <conditionalFormatting sqref="C54">
    <cfRule type="cellIs" priority="5" operator="equal" dxfId="0" stopIfTrue="1">
      <formula>"Sí"</formula>
    </cfRule>
  </conditionalFormatting>
  <dataValidations count="1">
    <dataValidation sqref="D14 D15 D16 D17 D18 D19 D20 D21 D22 D23 D24 D25 D26 D27 E14 E15 E16 E17 E18 E19 E20 E21 E22 E23 E24 E25 E26 E27 F14 F15 F16 F17 F18 F19 F20 F21 F22 F23 F24 F25 F26 F27" showDropDown="0" showInputMessage="0" showErrorMessage="1" allowBlank="0" errorTitle="Elige un hito o «-»" error="Identificador de otro hito MÁS ARRIBA en la tabla, o «-» si no depende de ninguno." type="list">
      <formula1>=$A$63:$A$77</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Checklist Legal, Fritura y Licencias</dc:title>
  <dc:subject xmlns:dc="http://purl.org/dc/elements/1.1/">Cómo Montar una Churrería-Chocolatería · Versión 1.0 · octubre 2026</dc:subject>
  <dcterms:created xmlns:dcterms="http://purl.org/dc/terms/" xmlns:xsi="http://www.w3.org/2001/XMLSchema-instance" xsi:type="dcterms:W3CDTF">2026-10-03T09:57:01Z</dcterms:created>
  <dcterms:modified xmlns:dcterms="http://purl.org/dc/terms/" xmlns:xsi="http://www.w3.org/2001/XMLSchema-instance" xsi:type="dcterms:W3CDTF">2026-10-03T09:57:02Z</dcterms:modified>
  <cp:lastModifiedBy>AI Chef Pro</cp:lastModifiedBy>
</cp:coreProperties>
</file>