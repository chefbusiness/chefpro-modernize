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0. Supuestos" sheetId="2" state="visible" r:id="rId2"/>
    <sheet xmlns:r="http://schemas.openxmlformats.org/officeDocument/2006/relationships" name="Inversión Inicial" sheetId="3" state="visible" r:id="rId3"/>
    <sheet xmlns:r="http://schemas.openxmlformats.org/officeDocument/2006/relationships" name="PyG 3 Años" sheetId="4" state="visible" r:id="rId4"/>
    <sheet xmlns:r="http://schemas.openxmlformats.org/officeDocument/2006/relationships" name="Punto de Equilibrio" sheetId="5" state="visible" r:id="rId5"/>
    <sheet xmlns:r="http://schemas.openxmlformats.org/officeDocument/2006/relationships" name="Escenarios" sheetId="6" state="visible" r:id="rId6"/>
    <sheet xmlns:r="http://schemas.openxmlformats.org/officeDocument/2006/relationships" name="Personal" sheetId="7" state="visible" r:id="rId7"/>
    <sheet xmlns:r="http://schemas.openxmlformats.org/officeDocument/2006/relationships" name="Tesorería 12 meses" sheetId="8" state="visible" r:id="rId8"/>
    <sheet xmlns:r="http://schemas.openxmlformats.org/officeDocument/2006/relationships" name="Financiación" sheetId="9" state="visible" r:id="rId9"/>
    <sheet xmlns:r="http://schemas.openxmlformats.org/officeDocument/2006/relationships" name="Canales y Punto Muerto" sheetId="10" state="visible" r:id="rId10"/>
  </sheets>
  <definedNames>
    <definedName name="_xlnm.Print_Titles" localSheetId="1">'0. Supuestos'!$5:$5</definedName>
    <definedName name="_xlnm.Print_Titles" localSheetId="3">'PyG 3 Años'!$5:$5</definedName>
    <definedName name="_xlnm.Print_Titles" localSheetId="7">'Tesorería 12 meses'!$5:$5</definedName>
    <definedName name="_xlnm.Print_Titles" localSheetId="8">'Financiación'!$27:$27</definedName>
    <definedName name="_xlnm.Print_Titles" localSheetId="9">'Canales y Punto Muerto'!$5:$5</definedName>
  </definedNames>
  <calcPr calcId="124519" fullCalcOnLoad="1"/>
</workbook>
</file>

<file path=xl/styles.xml><?xml version="1.0" encoding="utf-8"?>
<styleSheet xmlns="http://schemas.openxmlformats.org/spreadsheetml/2006/main">
  <numFmts count="5">
    <numFmt numFmtId="164" formatCode="#,##0.00 €"/>
    <numFmt numFmtId="165" formatCode="#,##0.0000 €"/>
    <numFmt numFmtId="166" formatCode="0.0%"/>
    <numFmt numFmtId="167" formatCode="#,##0.0"/>
    <numFmt numFmtId="168" formatCode="0.0000%"/>
  </numFmts>
  <fonts count="13">
    <font>
      <name val="Calibri"/>
      <family val="2"/>
      <color theme="1"/>
      <sz val="11"/>
      <scheme val="minor"/>
    </font>
    <font>
      <b val="1"/>
      <color theme="1"/>
      <sz val="11"/>
    </font>
    <font>
      <b val="1"/>
      <color rgb="00FFD700"/>
      <sz val="16"/>
    </font>
    <font>
      <color rgb="00888888"/>
      <sz val="10"/>
    </font>
    <font>
      <i val="1"/>
      <sz val="9"/>
    </font>
    <font>
      <b val="1"/>
      <color rgb="00FFD700"/>
      <sz val="12"/>
    </font>
    <font>
      <sz val="9"/>
    </font>
    <font>
      <i val="1"/>
      <sz val="8"/>
    </font>
    <font>
      <b val="1"/>
      <color rgb="00FFFFFF"/>
      <sz val="9"/>
    </font>
    <font>
      <sz val="10"/>
    </font>
    <font>
      <color rgb="00888888"/>
      <sz val="8"/>
    </font>
    <font>
      <b val="1"/>
      <sz val="10"/>
    </font>
    <font>
      <b val="1"/>
      <sz val="9"/>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8E1"/>
      </patternFill>
    </fill>
  </fills>
  <borders count="1">
    <border>
      <left/>
      <right/>
      <top/>
      <bottom/>
      <diagonal/>
    </border>
  </borders>
  <cellStyleXfs count="1">
    <xf numFmtId="0" fontId="0" fillId="0" borderId="0"/>
  </cellStyleXfs>
  <cellXfs count="45">
    <xf numFmtId="0" fontId="0"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general" vertical="top" wrapText="1"/>
    </xf>
    <xf numFmtId="0" fontId="5" fillId="0" borderId="0" pivotButton="0" quotePrefix="0" xfId="0"/>
    <xf numFmtId="0" fontId="0" fillId="2" borderId="0" applyProtection="1" pivotButton="0" quotePrefix="0" xfId="0">
      <protection locked="0" hidden="0"/>
    </xf>
    <xf numFmtId="0" fontId="0"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pivotButton="0" quotePrefix="0" xfId="0"/>
    <xf numFmtId="0" fontId="8" fillId="3" borderId="0" applyAlignment="1" pivotButton="0" quotePrefix="0" xfId="0">
      <alignment horizontal="center" vertical="center" wrapText="1"/>
    </xf>
    <xf numFmtId="0" fontId="9" fillId="0" borderId="0" applyAlignment="1" pivotButton="0" quotePrefix="0" xfId="0">
      <alignment horizontal="general" vertical="top" wrapText="1"/>
    </xf>
    <xf numFmtId="164" fontId="0" fillId="2" borderId="0" applyProtection="1" pivotButton="0" quotePrefix="0" xfId="0">
      <protection locked="0" hidden="0"/>
    </xf>
    <xf numFmtId="0" fontId="10" fillId="0" borderId="0" applyAlignment="1" pivotButton="0" quotePrefix="0" xfId="0">
      <alignment horizontal="general" vertical="top" wrapText="1"/>
    </xf>
    <xf numFmtId="165" fontId="0" fillId="2" borderId="0" applyProtection="1" pivotButton="0" quotePrefix="0" xfId="0">
      <protection locked="0" hidden="0"/>
    </xf>
    <xf numFmtId="166" fontId="0" fillId="2" borderId="0" applyProtection="1" pivotButton="0" quotePrefix="0" xfId="0">
      <protection locked="0" hidden="0"/>
    </xf>
    <xf numFmtId="3" fontId="0" fillId="2" borderId="0" applyProtection="1" pivotButton="0" quotePrefix="0" xfId="0">
      <protection locked="0" hidden="0"/>
    </xf>
    <xf numFmtId="4" fontId="0" fillId="2" borderId="0" applyProtection="1" pivotButton="0" quotePrefix="0" xfId="0">
      <protection locked="0" hidden="0"/>
    </xf>
    <xf numFmtId="3" fontId="1" fillId="4" borderId="0" pivotButton="0" quotePrefix="0" xfId="0"/>
    <xf numFmtId="166" fontId="1" fillId="4" borderId="0" pivotButton="0" quotePrefix="0" xfId="0"/>
    <xf numFmtId="10" fontId="0" fillId="2" borderId="0" applyProtection="1" pivotButton="0" quotePrefix="0" xfId="0">
      <protection locked="0" hidden="0"/>
    </xf>
    <xf numFmtId="0" fontId="11" fillId="4" borderId="0" applyAlignment="1" pivotButton="0" quotePrefix="0" xfId="0">
      <alignment horizontal="general" vertical="top" wrapText="1"/>
    </xf>
    <xf numFmtId="164" fontId="11" fillId="4" borderId="0" pivotButton="0" quotePrefix="0" xfId="0"/>
    <xf numFmtId="0" fontId="12" fillId="0" borderId="0" applyAlignment="1" pivotButton="0" quotePrefix="0" xfId="0">
      <alignment horizontal="general" vertical="top" wrapText="1"/>
    </xf>
    <xf numFmtId="166" fontId="0" fillId="0" borderId="0" pivotButton="0" quotePrefix="0" xfId="0"/>
    <xf numFmtId="0" fontId="1" fillId="0" borderId="0" applyAlignment="1" pivotButton="0" quotePrefix="0" xfId="0">
      <alignment vertical="top" wrapText="1"/>
    </xf>
    <xf numFmtId="164" fontId="0" fillId="0" borderId="0" pivotButton="0" quotePrefix="0" xfId="0"/>
    <xf numFmtId="3" fontId="0" fillId="0" borderId="0" pivotButton="0" quotePrefix="0" xfId="0"/>
    <xf numFmtId="0" fontId="11" fillId="0" borderId="0" applyAlignment="1" pivotButton="0" quotePrefix="0" xfId="0">
      <alignment horizontal="general" vertical="top" wrapText="1"/>
    </xf>
    <xf numFmtId="0" fontId="1" fillId="0" borderId="0" pivotButton="0" quotePrefix="0" xfId="0"/>
    <xf numFmtId="165" fontId="0" fillId="0" borderId="0" pivotButton="0" quotePrefix="0" xfId="0"/>
    <xf numFmtId="167" fontId="11" fillId="4" borderId="0" pivotButton="0" quotePrefix="0" xfId="0"/>
    <xf numFmtId="167" fontId="0" fillId="0" borderId="0" pivotButton="0" quotePrefix="0" xfId="0"/>
    <xf numFmtId="164" fontId="1" fillId="0" borderId="0" pivotButton="0" quotePrefix="0" xfId="0"/>
    <xf numFmtId="4" fontId="0" fillId="0" borderId="0" pivotButton="0" quotePrefix="0" xfId="0"/>
    <xf numFmtId="0" fontId="11" fillId="4" borderId="0" pivotButton="0" quotePrefix="0" xfId="0"/>
    <xf numFmtId="3" fontId="11" fillId="4" borderId="0" pivotButton="0" quotePrefix="0" xfId="0"/>
    <xf numFmtId="3" fontId="1" fillId="0" borderId="0" pivotButton="0" quotePrefix="0" xfId="0"/>
    <xf numFmtId="164" fontId="1" fillId="4" borderId="0" pivotButton="0" quotePrefix="0" xfId="0"/>
    <xf numFmtId="167" fontId="1" fillId="0" borderId="0" pivotButton="0" quotePrefix="0" xfId="0"/>
    <xf numFmtId="3" fontId="8" fillId="3" borderId="0" applyAlignment="1" pivotButton="0" quotePrefix="0" xfId="0">
      <alignment horizontal="center" vertical="center" wrapText="1"/>
    </xf>
    <xf numFmtId="10" fontId="0" fillId="0" borderId="0" pivotButton="0" quotePrefix="0" xfId="0"/>
    <xf numFmtId="168" fontId="0" fillId="0" borderId="0" pivotButton="0" quotePrefix="0" xfId="0"/>
    <xf numFmtId="3" fontId="0" fillId="0" borderId="0" applyAlignment="1" pivotButton="0" quotePrefix="0" xfId="0">
      <alignment horizontal="center" vertical="top"/>
    </xf>
    <xf numFmtId="166" fontId="11" fillId="4" borderId="0" pivotButton="0" quotePrefix="0" xfId="0"/>
    <xf numFmtId="165" fontId="11" fillId="4" borderId="0" pivotButton="0" quotePrefix="0" xfId="0"/>
  </cellXfs>
  <cellStyles count="1">
    <cellStyle name="Normal" xfId="0" builtinId="0" hidden="0"/>
  </cellStyles>
  <dxfs count="2">
    <dxf>
      <font>
        <b val="1"/>
        <color rgb="00006100"/>
      </font>
      <fill>
        <patternFill patternType="solid">
          <fgColor rgb="00C6EFCE"/>
          <bgColor rgb="00C6EFCE"/>
        </patternFill>
      </fill>
    </dxf>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AI Chef Pro</author>
  </authors>
  <commentList>
    <comment ref="B8" authorId="0" shapeId="0">
      <text>
        <t>Fuente: CUS-02 · fiabilidad media · https://www.milanuncios.com/otros-traspasos/vallecas-c-de-villacanas-604310907.htm | La renta del local de referencia de 74 m². Nace en el libro 2.</t>
      </text>
    </comment>
    <comment ref="B71" authorId="0" shapeId="0">
      <text>
        <t>Verificado el 03-10-2026 · Ordenanza 4/2021 de Calidad del Aire y Sostenibilidad de Madrid (OCAS), art. 23.1 (BOCM n.º 90, 16-04-2021) · https://www.bocm.es/boletin/CM_Orden_BOCM/2021/04/16/BOCM-20210416-46.PDF</t>
      </text>
    </comment>
    <comment ref="B72" authorId="0" shapeId="0">
      <text>
        <t>Verificado el 12-09-2026 · Real Decreto 919/2006 (BOE-A-2006-15345), ITC-ICG 07, apartados 3.3 y 4.1 · «Última modificación: 03-09-2025» · https://www.boe.es/buscar/act.php?id=BOE-A-2006-15345</t>
      </text>
    </comment>
    <comment ref="B75" authorId="0" shapeId="0">
      <text>
        <t>Verificado el 12-09-2026 · Real Decreto 1007/2023 (BOE-A-2023-24840), D.F. cuarta y art. 3.1 del Reglamento · «Última modificación: 03 de diciembre de 2025» · https://www.boe.es/buscar/act.php?id=BOE-A-2023-24840</t>
      </text>
    </comment>
    <comment ref="B76" authorId="0" shapeId="0">
      <text>
        <t>Fuente: CUS-44h · fiabilidad alta · https://www.reseave.es/</t>
      </text>
    </comment>
  </commentList>
</comments>
</file>

<file path=xl/comments/comment2.xml><?xml version="1.0" encoding="utf-8"?>
<comments xmlns="http://schemas.openxmlformats.org/spreadsheetml/2006/main">
  <authors>
    <author>AI Chef Pro</author>
  </authors>
  <commentList>
    <comment ref="B6" authorId="0" shapeId="0">
      <text>
        <t>Verificado el 12-09-2026 · Real Decreto 126/2026, de 18 de febrero (BOE-A-2026-3815), arts. 1, 3.1 y 4.1 · https://www.boe.es/buscar/act.php?id=BOE-A-2026-3815 · El suelo del SMI se aplica en el libro 8.</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fitToPage="1"/>
  </sheetPr>
  <dimension ref="A1:A53"/>
  <sheetViews>
    <sheetView workbookViewId="0">
      <selection activeCell="A1" sqref="A1"/>
    </sheetView>
  </sheetViews>
  <sheetFormatPr baseColWidth="8" defaultRowHeight="15"/>
  <cols>
    <col width="100" customWidth="1" min="1" max="1"/>
  </cols>
  <sheetData>
    <row r="1">
      <c r="A1" s="1" t="inlineStr">
        <is>
          <t>Plan Financiero a 3 Años</t>
        </is>
      </c>
    </row>
    <row r="2">
      <c r="A2" s="2" t="inlineStr">
        <is>
          <t>AI Chef Pro · aichef.pro — Cómo Montar una Churrería-Chocolatería</t>
        </is>
      </c>
    </row>
    <row r="3">
      <c r="A3" s="3" t="inlineStr">
        <is>
          <t>Para qué sirve: saber si el negocio gana dinero en un año normal, cuánto tienes que poner el día que abres (con el fondo de maniobra), si aguanta el valle del primer año, si aguanta el banco y qué canal paga los fijos.</t>
        </is>
      </c>
    </row>
    <row r="4"/>
    <row r="5">
      <c r="A5" s="4" t="inlineStr">
        <is>
          <t>Instrucciones de Uso</t>
        </is>
      </c>
    </row>
    <row r="6">
      <c r="A6" s="5" t="inlineStr">
        <is>
          <t>Celdas verdes = campos editables</t>
        </is>
      </c>
    </row>
    <row r="7">
      <c r="A7" s="6" t="inlineStr">
        <is>
          <t>Las celdas en crema son resultados que el libro calcula; las blancas con fórmula, también. No escribas encima.</t>
        </is>
      </c>
    </row>
    <row r="8"/>
    <row r="9" ht="58" customHeight="1">
      <c r="A9" s="6" t="inlineStr">
        <is>
          <t>1. Hoja «0. Supuestos». Arriba, las cifras que copias a mano de los libros 2, 3, 4, 5 y 8 (cada celda verde dice de qué celda exacta). Debajo, el calendario, la rampa de arranque, el fondo de maniobra, la financiación, los GASTOS FIJOS de cada mes (nacen aquí) y los escenarios. Al pie, el CUADRE: anota lo que publica hoy cada celda de origen y, si lo que usas se separa, la fila se pone en rojo.</t>
        </is>
      </c>
    </row>
    <row r="10" ht="58" customHeight="1">
      <c r="A10" s="6" t="inlineStr">
        <is>
          <t>2. Hoja «Inversión Inicial». El CAPEX del libro 2 más el fondo de maniobra, que se calcula aquí con los meses de colchón: es la inversión total que le enseñas al banco.</t>
        </is>
      </c>
    </row>
    <row r="11" ht="58" customHeight="1">
      <c r="A11" s="6" t="inlineStr">
        <is>
          <t>3. Hoja «PyG 3 Años». La cuenta de resultados: el año 1 con la rampa de arranque, el año 2 de crucero y el año 3. La primera pregunta es si el año 2 gana dinero, en euros.</t>
        </is>
      </c>
    </row>
    <row r="12" ht="58" customHeight="1">
      <c r="A12" s="6" t="inlineStr">
        <is>
          <t>4. Hoja «Punto de Equilibrio». Cuántas raciones al día pagan los fijos y qué meses del año no llegan.</t>
        </is>
      </c>
    </row>
    <row r="13" ht="58" customHeight="1">
      <c r="A13" s="6" t="inlineStr">
        <is>
          <t>5. Hoja «Escenarios». Tres escenarios de raciones, el verano con los fijos dentro (las tres salidas del libro 5: cerrar, carta de verano y ferias) y el local con sala frente a sólo despacho.</t>
        </is>
      </c>
    </row>
    <row r="14" ht="58" customHeight="1">
      <c r="A14" s="6" t="inlineStr">
        <is>
          <t>6. Hojas «Personal» y «Canales y Punto Muerto». Lo que pesa la plantilla y qué canal (sala, para llevar, ferias) paga los fijos.</t>
        </is>
      </c>
    </row>
    <row r="15" ht="58" customHeight="1">
      <c r="A15" s="6" t="inlineStr">
        <is>
          <t>7. Hojas «Tesorería 12 meses» y «Financiación». El primer año mes a mes con su valle, el cuadro del préstamo y si el negocio genera la cuota todos los años.</t>
        </is>
      </c>
    </row>
    <row r="16"/>
    <row r="17">
      <c r="A17" s="4" t="inlineStr">
        <is>
          <t>Orden de Relleno y Cifras que Viajan</t>
        </is>
      </c>
    </row>
    <row r="18" ht="58" customHeight="1">
      <c r="A18" s="6" t="inlineStr">
        <is>
          <t>Orden de relleno del paquete: 3 (carta-de-apertura-y-escandallo-churro.xlsx), luego 1 (produccion-hora-punta-y-local.xlsx), luego 4 (aceite-de-fritura-coste-y-cambio.xlsx), luego 5 (temporada-franjas-y-ferias.xlsx), luego 8 (turnos-plantilla-y-madrugada.xlsx), luego 2 (calculadora-capex-churreria.xlsx), luego 6 (plan-financiero-3-anos-churreria.xlsx). El libro 7 (checklist-legal-fritura-y-licencias.xlsx) no depende de ninguno: rellénalo cuando quieras. Este es el libro 6 y va el ÚLTIMO de la cadena: rellénalo cuando tengas los otros seis, porque copia sus cifras.</t>
        </is>
      </c>
    </row>
    <row r="19" ht="44" customHeight="1">
      <c r="A19" s="6" t="inlineStr">
        <is>
          <t>Ningún libro se vincula con otro por fórmula. Lo que viene de otro libro tiene en «0. Supuestos» una celda verde para copiarlo a mano, con la celda exacta de origen, y una fila de CUADRE que avisa si se separa de lo que publica el origen. Este libro no pasa ninguna cifra a otro: es el último de la cadena.</t>
        </is>
      </c>
    </row>
    <row r="20" ht="28" customHeight="1">
      <c r="A20" s="7" t="inlineStr">
        <is>
          <t>0. Supuestos!B7 - CAPEX SIN fondo de maniobra. Viene del libro 2: calculadora-capex-churreria.xlsx!Resumen!L5.</t>
        </is>
      </c>
    </row>
    <row r="21" ht="28" customHeight="1">
      <c r="A21" s="7" t="inlineStr">
        <is>
          <t>0. Supuestos!B8 - Renta mensual. Viene del libro 2: calculadora-capex-churreria.xlsx!Parámetros!L5.</t>
        </is>
      </c>
    </row>
    <row r="22" ht="28" customHeight="1">
      <c r="A22" s="7" t="inlineStr">
        <is>
          <t>0. Supuestos!B9 - CAPEX que no se amortiza (fianza, stock inicial y marketing). Viene del libro 2: calculadora-capex-churreria.xlsx!Resumen!L6.</t>
        </is>
      </c>
    </row>
    <row r="23" ht="28" customHeight="1">
      <c r="A23" s="7" t="inlineStr">
        <is>
          <t>0. Supuestos!B11 - Coste de materia por ración en sala (invierno), aceite absorbido incluido. Viene del libro 3: carta-de-apertura-y-escandallo-churro.xlsx!Mix y Ticket Canal y Temporada!L9.</t>
        </is>
      </c>
    </row>
    <row r="24" ht="28" customHeight="1">
      <c r="A24" s="7" t="inlineStr">
        <is>
          <t>0. Supuestos!B12 - Coste de materia por ración para llevar (invierno), aceite absorbido incluido. Viene del libro 3: carta-de-apertura-y-escandallo-churro.xlsx!Mix y Ticket Canal y Temporada!L8.</t>
        </is>
      </c>
    </row>
    <row r="25" ht="28" customHeight="1">
      <c r="A25" s="7" t="inlineStr">
        <is>
          <t>0. Supuestos!B13 - Ticket sin IVA por ración en sala (invierno). Viene del libro 3: carta-de-apertura-y-escandallo-churro.xlsx!Mix y Ticket Canal y Temporada!L10.</t>
        </is>
      </c>
    </row>
    <row r="26" ht="28" customHeight="1">
      <c r="A26" s="7" t="inlineStr">
        <is>
          <t>0. Supuestos!B14 - Ticket sin IVA por ración para llevar (invierno). Viene del libro 3: carta-de-apertura-y-escandallo-churro.xlsx!Mix y Ticket Canal y Temporada!L11.</t>
        </is>
      </c>
    </row>
    <row r="27" ht="28" customHeight="1">
      <c r="A27" s="7" t="inlineStr">
        <is>
          <t>0. Supuestos!B15 - Raciones en sala, en fracción (0,70 = 70 %; el resto, para llevar). Viene del libro 3: carta-de-apertura-y-escandallo-churro.xlsx!Mix y Ticket Canal y Temporada!L12.</t>
        </is>
      </c>
    </row>
    <row r="28" ht="28" customHeight="1">
      <c r="A28" s="7" t="inlineStr">
        <is>
          <t>0. Supuestos!B17 - Renovación de aceite por ración. Viene del libro 4: aceite-de-fritura-coste-y-cambio.xlsx!Consumo y Reposición!L5.</t>
        </is>
      </c>
    </row>
    <row r="29" ht="28" customHeight="1">
      <c r="A29" s="7" t="inlineStr">
        <is>
          <t>0. Supuestos!B19 - Raciones del año. Viene del libro 5: temporada-franjas-y-ferias.xlsx!Peso sobre el Año!L5.</t>
        </is>
      </c>
    </row>
    <row r="30" ht="28" customHeight="1">
      <c r="A30" s="7" t="inlineStr">
        <is>
          <t>0. Supuestos!B20 a B31 - los doce coeficientes del año. Vienen del libro 5: temporada-franjas-y-ferias.xlsx!Peso sobre el Año!L6 a L17.</t>
        </is>
      </c>
    </row>
    <row r="31" ht="28" customHeight="1">
      <c r="A31" s="7" t="inlineStr">
        <is>
          <t>0. Supuestos!B32 - Resultado anual de ferias. Viene del libro 5: temporada-franjas-y-ferias.xlsx!Calendario de Ferias!L5.</t>
        </is>
      </c>
    </row>
    <row r="32" ht="28" customHeight="1">
      <c r="A32" s="7" t="inlineStr">
        <is>
          <t>0. Supuestos!B33 - Contribución de julio y agosto de la salida elegida. Viene del libro 5: temporada-franjas-y-ferias.xlsx!El Verano (Tres Salidas)!L5.</t>
        </is>
      </c>
    </row>
    <row r="33" ht="28" customHeight="1">
      <c r="A33" s="7" t="inlineStr">
        <is>
          <t>0. Supuestos!B34 - Contribución de julio y agosto si cierras. Viene del libro 5: temporada-franjas-y-ferias.xlsx!El Verano (Tres Salidas)!L6.</t>
        </is>
      </c>
    </row>
    <row r="34" ht="28" customHeight="1">
      <c r="A34" s="7" t="inlineStr">
        <is>
          <t>0. Supuestos!B35 - Contribución de julio y agosto con carta de verano. Viene del libro 5: temporada-franjas-y-ferias.xlsx!El Verano (Tres Salidas)!L7.</t>
        </is>
      </c>
    </row>
    <row r="35" ht="28" customHeight="1">
      <c r="A35" s="7" t="inlineStr">
        <is>
          <t>0. Supuestos!B36 - Contribución de julio y agosto con ferias. Viene del libro 5: temporada-franjas-y-ferias.xlsx!El Verano (Tres Salidas)!L8.</t>
        </is>
      </c>
    </row>
    <row r="36" ht="28" customHeight="1">
      <c r="A36" s="7" t="inlineStr">
        <is>
          <t>0. Supuestos!B37 - Ventas sin IVA de julio y agosto de la salida elegida. Viene del libro 5: temporada-franjas-y-ferias.xlsx!El Verano (Tres Salidas)!L9.</t>
        </is>
      </c>
    </row>
    <row r="37" ht="28" customHeight="1">
      <c r="A37" s="7" t="inlineStr">
        <is>
          <t>0. Supuestos!B39 - Coste anual de plantilla. Viene del libro 8: turnos-plantilla-y-madrugada.xlsx!Coste de Plantilla!L5.</t>
        </is>
      </c>
    </row>
    <row r="38"/>
    <row r="39">
      <c r="A39" s="4" t="inlineStr">
        <is>
          <t>Lo que Conviene Saber Antes de Empezar</t>
        </is>
      </c>
    </row>
    <row r="40" ht="60" customHeight="1">
      <c r="A40" s="6" t="inlineStr">
        <is>
          <t>ESTE LIBRO CIERRA EL PAQUETE. No recalcula tu escandallo (libro 3), tu plantilla (libro 8), tu temporada (libro 5) ni tu CAPEX (libro 2): los copia. Lo que es SUYO son los gastos fijos de cada mes, el fondo de maniobra, la rampa del primer año y la deuda.</t>
        </is>
      </c>
    </row>
    <row r="41" ht="60" customHeight="1">
      <c r="A41" s="6" t="inlineStr">
        <is>
          <t>EL FONDO DE MANIOBRA SE CALCULA AQUÍ Y SÓLO AQUÍ. El CAPEX que copias del libro 2 no lo lleva: inversión total = CAPEX + fondo. Si copiaras un total que ya lo incluyera, lo contarías dos veces.</t>
        </is>
      </c>
    </row>
    <row r="42" ht="60" customHeight="1">
      <c r="A42" s="6" t="inlineStr">
        <is>
          <t>LOS VEREDICTOS VAN EN EUROS. «¿Gana dinero?», «¿aguanta el fondo el valle?», «¿aguanta el banco?» y «¿qué canal paga los fijos?» se contestan con euros que sobran o que faltan. El DSCR del préstamo se enseña porque te lo van a pedir, pero no decide nada solo.</t>
        </is>
      </c>
    </row>
    <row r="43" ht="60" customHeight="1">
      <c r="A43" s="6" t="inlineStr">
        <is>
          <t>EL PRÉSTAMO ES UN PUNTO FIJO. Su importe depende del fondo de maniobra, y el fondo depende de los intereses del préstamo. Para no crear una referencia circular, el préstamo es una celda verde: la hoja «Financiación» te dice cuánto pide la estructura y, si no coincide, copias esa cifra en el préstamo y listo.</t>
        </is>
      </c>
    </row>
    <row r="44" ht="60" customHeight="1">
      <c r="A44" s="6" t="inlineStr">
        <is>
          <t>TODO VA SIN IVA. Las ventas, la materia, los fijos y la caja son bases imponibles. El IVA que adelantas al comprar el equipo lo calcula el libro 2 (hoja «IVA y Tesorería») y no entra aquí. Este libro tampoco calcula el impuesto sobre el beneficio (Sociedades o IRPF): depende de tu forma jurídica; el resultado es ANTES de impuestos.</t>
        </is>
      </c>
    </row>
    <row r="45" ht="60" customHeight="1">
      <c r="A45" s="6" t="inlineStr">
        <is>
          <t>LAS VENTAS DE JULIO Y AGOSTO SON LAS DE LA SALIDA QUE ELIGES. Del verano viajan del libro 5 la CONTRIBUCIÓN de las tres salidas (para el resultado y para «Escenarios») y las ventas sin IVA de la que eliges (para las ventas del año). Si cierras o sales de ferias, el local no vende en esos dos meses y sus ventas son cero.</t>
        </is>
      </c>
    </row>
    <row r="46" ht="60" customHeight="1">
      <c r="A46" s="6" t="inlineStr">
        <is>
          <t>LOS SUPUESTOS NO SON DATOS DEL SECTOR. Los gastos fijos, la rampa, los meses de colchón, la financiación y los escenarios son supuestos declarados de El Molinete (o heredados de la guía hermana), sin fuente pública. Pon los tuyos.</t>
        </is>
      </c>
    </row>
    <row r="47"/>
    <row r="48" ht="44" customHeight="1">
      <c r="A48" s="6" t="inlineStr">
        <is>
          <t>Cada cuánto se usa este libro: antes de firmar el local y antes de ir al banco; luego, al cerrar cada trimestre con tus cifras reales (tu TPV y tu gestoría las dan). Si cambia alguna cifra de otro libro, vuelve a copiarla en «0. Supuestos» y mira el CUADRE.</t>
        </is>
      </c>
    </row>
    <row r="49"/>
    <row r="50">
      <c r="A50" s="6" t="inlineStr">
        <is>
          <t>Para editar la estructura o una celda que no esté en verde: Revisar &gt; Desproteger hoja (no tiene contraseña).</t>
        </is>
      </c>
    </row>
    <row r="51"/>
    <row r="52">
      <c r="A52" s="6" t="inlineStr">
        <is>
          <t>Diseñado por John Guerrero — chef y consultor gastronómico desde 2010, en cocina desde los 17 años.</t>
        </is>
      </c>
    </row>
    <row r="53">
      <c r="A53"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125"/>
  <sheetViews>
    <sheetView workbookViewId="0">
      <pane ySplit="5" topLeftCell="A6" activePane="bottomLeft" state="frozen"/>
      <selection pane="bottomLeft" activeCell="A1" sqref="A1"/>
    </sheetView>
  </sheetViews>
  <sheetFormatPr baseColWidth="8" defaultRowHeight="15"/>
  <cols>
    <col width="56" customWidth="1" min="1" max="1"/>
    <col width="17" customWidth="1" min="2" max="2"/>
    <col width="13" customWidth="1" min="3" max="3"/>
    <col width="50" customWidth="1" min="4" max="4"/>
    <col width="66" customWidth="1" min="5" max="5"/>
  </cols>
  <sheetData>
    <row r="1">
      <c r="A1" s="1" t="inlineStr">
        <is>
          <t>Supuestos del Plan Financiero</t>
        </is>
      </c>
    </row>
    <row r="2">
      <c r="A2" s="2" t="inlineStr">
        <is>
          <t>AI Chef Pro · aichef.pro — Cómo Montar una Churrería-Chocolatería</t>
        </is>
      </c>
    </row>
    <row r="3" ht="40" customHeight="1">
      <c r="A3" s="3" t="inlineStr">
        <is>
          <t>Todo lo que el resto de hojas da por sabido vive aquí. Ninguna fórmula de este libro lleva dentro un tipo, un porcentaje, un número de meses ni un umbral.</t>
        </is>
      </c>
    </row>
    <row r="4"/>
    <row r="5" ht="24" customHeight="1">
      <c r="A5" s="9" t="inlineStr">
        <is>
          <t>Supuesto</t>
        </is>
      </c>
      <c r="B5" s="9" t="inlineStr">
        <is>
          <t>Valor</t>
        </is>
      </c>
      <c r="C5" s="9" t="inlineStr">
        <is>
          <t>Unidad</t>
        </is>
      </c>
      <c r="D5" s="9" t="inlineStr">
        <is>
          <t>De dónde sale</t>
        </is>
      </c>
      <c r="E5" s="9" t="inlineStr">
        <is>
          <t>Nota</t>
        </is>
      </c>
    </row>
    <row r="6">
      <c r="A6" s="4" t="inlineStr">
        <is>
          <t>Lo que Copias del Libro 2 (CAPEX y Renta)</t>
        </is>
      </c>
    </row>
    <row r="7" ht="40" customHeight="1">
      <c r="A7" s="10" t="inlineStr">
        <is>
          <t>CAPEX de apertura SIN fondo de maniobra (base imponible)</t>
        </is>
      </c>
      <c r="B7" s="11" t="n">
        <v>86415.65000000001</v>
      </c>
      <c r="C7" t="inlineStr">
        <is>
          <t>€</t>
        </is>
      </c>
      <c r="D7" s="12" t="inlineStr">
        <is>
          <t>cópialo del libro 2: calculadora-capex-churreria.xlsx!Resumen!L5</t>
        </is>
      </c>
      <c r="E7" s="12" t="inlineStr">
        <is>
          <t>El total de los once bloques del libro 2, SIN fondo de maniobra: el fondo se calcula aquí y sólo aquí. Si copias un total que ya lo lleve, lo contarías dos veces.</t>
        </is>
      </c>
    </row>
    <row r="8" ht="40" customHeight="1">
      <c r="A8" s="10" t="inlineStr">
        <is>
          <t>Renta mensual del local (sin IVA)</t>
        </is>
      </c>
      <c r="B8" s="11" t="n">
        <v>910</v>
      </c>
      <c r="C8" t="inlineStr">
        <is>
          <t>€/mes</t>
        </is>
      </c>
      <c r="D8" s="12" t="inlineStr">
        <is>
          <t>cópialo del libro 2: calculadora-capex-churreria.xlsx!Parámetros!L5</t>
        </is>
      </c>
      <c r="E8" s="12" t="inlineStr">
        <is>
          <t>Nace en el libro 2 (con el traspaso y la fianza). Aquí entra en los fijos.</t>
        </is>
      </c>
    </row>
    <row r="9" ht="40" customHeight="1">
      <c r="A9" s="10" t="inlineStr">
        <is>
          <t>Partidas del CAPEX que no se amortizan (fianza, stock inicial y marketing de apertura)</t>
        </is>
      </c>
      <c r="B9" s="11" t="n">
        <v>4668.300000000003</v>
      </c>
      <c r="C9" t="inlineStr">
        <is>
          <t>€</t>
        </is>
      </c>
      <c r="D9" s="12" t="inlineStr">
        <is>
          <t>cópialo del libro 2: calculadora-capex-churreria.xlsx!Resumen!L6</t>
        </is>
      </c>
      <c r="E9" s="12" t="inlineStr">
        <is>
          <t>Son los bloques 9, 10 y 11 de tu CAPEX: la fianza se recupera, el stock se vende y el marketing es gasto del primer año. Nace en el libro 2: si tu CAPEX cambia, cópiala de nuevo.</t>
        </is>
      </c>
    </row>
    <row r="10">
      <c r="A10" s="4" t="inlineStr">
        <is>
          <t>Lo que Copias del Libro 3 (Carta y Escandallo)</t>
        </is>
      </c>
    </row>
    <row r="11" ht="40" customHeight="1">
      <c r="A11" s="10" t="inlineStr">
        <is>
          <t>Coste de materia por ración en sala (invierno, aceite absorbido incluido)</t>
        </is>
      </c>
      <c r="B11" s="13" t="n">
        <v>0.2731486410667722</v>
      </c>
      <c r="C11" t="inlineStr">
        <is>
          <t>€/ración</t>
        </is>
      </c>
      <c r="D11" s="12" t="inlineStr">
        <is>
          <t>cópialo del libro 3: carta-de-apertura-y-escandallo-churro.xlsx!Mix y Ticket Canal y Temporada!L9</t>
        </is>
      </c>
      <c r="E11" s="12" t="inlineStr">
        <is>
          <t>Materia prima más el aceite que se queda en la masa. Sale del escandallo.</t>
        </is>
      </c>
    </row>
    <row r="12" ht="40" customHeight="1">
      <c r="A12" s="10" t="inlineStr">
        <is>
          <t>Coste de materia por ración para llevar (invierno, aceite absorbido incluido)</t>
        </is>
      </c>
      <c r="B12" s="13" t="n">
        <v>0.3054629283128055</v>
      </c>
      <c r="C12" t="inlineStr">
        <is>
          <t>€/ración</t>
        </is>
      </c>
      <c r="D12" s="12" t="inlineStr">
        <is>
          <t>cópialo del libro 3: carta-de-apertura-y-escandallo-churro.xlsx!Mix y Ticket Canal y Temporada!L8</t>
        </is>
      </c>
      <c r="E12" s="12" t="inlineStr">
        <is>
          <t>Con el envase de llevar dentro. Sale del escandallo.</t>
        </is>
      </c>
    </row>
    <row r="13" ht="40" customHeight="1">
      <c r="A13" s="10" t="inlineStr">
        <is>
          <t>Ticket sin IVA por ración en sala (invierno)</t>
        </is>
      </c>
      <c r="B13" s="13" t="n">
        <v>2.148051948051948</v>
      </c>
      <c r="C13" t="inlineStr">
        <is>
          <t>€/ración</t>
        </is>
      </c>
      <c r="D13" s="12" t="inlineStr">
        <is>
          <t>cópialo del libro 3: carta-de-apertura-y-escandallo-churro.xlsx!Mix y Ticket Canal y Temporada!L10</t>
        </is>
      </c>
      <c r="E13" s="12" t="inlineStr">
        <is>
          <t>Base imponible media de una ración de la carta en sala.</t>
        </is>
      </c>
    </row>
    <row r="14" ht="40" customHeight="1">
      <c r="A14" s="10" t="inlineStr">
        <is>
          <t>Ticket sin IVA por ración para llevar (invierno)</t>
        </is>
      </c>
      <c r="B14" s="13" t="n">
        <v>2.192424242424243</v>
      </c>
      <c r="C14" t="inlineStr">
        <is>
          <t>€/ración</t>
        </is>
      </c>
      <c r="D14" s="12" t="inlineStr">
        <is>
          <t>cópialo del libro 3: carta-de-apertura-y-escandallo-churro.xlsx!Mix y Ticket Canal y Temporada!L11</t>
        </is>
      </c>
      <c r="E14" s="12" t="inlineStr">
        <is>
          <t>Base imponible media para llevar, con el vaso cobrado aparte.</t>
        </is>
      </c>
    </row>
    <row r="15" ht="40" customHeight="1">
      <c r="A15" s="10" t="inlineStr">
        <is>
          <t>Raciones que se consumen en sala (el resto, para llevar)</t>
        </is>
      </c>
      <c r="B15" s="14" t="n">
        <v>0.7</v>
      </c>
      <c r="C15" t="inlineStr">
        <is>
          <t>%</t>
        </is>
      </c>
      <c r="D15" s="12" t="inlineStr">
        <is>
          <t>cópialo del libro 3: carta-de-apertura-y-escandallo-churro.xlsx!Mix y Ticket Canal y Temporada!L12</t>
        </is>
      </c>
      <c r="E15" s="12" t="inlineStr">
        <is>
          <t>Se copia tal cual, con el formato de porcentaje (0,70 es el 70 %). Con él se mezclan el ticket y la materia de los dos canales.</t>
        </is>
      </c>
    </row>
    <row r="16">
      <c r="A16" s="4" t="inlineStr">
        <is>
          <t>Lo que Copias del Libro 4 (Aceite de Fritura)</t>
        </is>
      </c>
    </row>
    <row r="17" ht="40" customHeight="1">
      <c r="A17" s="10" t="inlineStr">
        <is>
          <t>Renovación del aceite por ración (el aceite que se tira al cambiar la cuba)</t>
        </is>
      </c>
      <c r="B17" s="13" t="n">
        <v>0.02839837398373984</v>
      </c>
      <c r="C17" t="inlineStr">
        <is>
          <t>€/ración</t>
        </is>
      </c>
      <c r="D17" s="12" t="inlineStr">
        <is>
          <t>cópialo del libro 4: aceite-de-fritura-coste-y-cambio.xlsx!Consumo y Reposición!L5</t>
        </is>
      </c>
      <c r="E17" s="12" t="inlineStr">
        <is>
          <t>Distinto del aceite absorbido, que ya va en la materia: es el descarte al cambiar el aceite.</t>
        </is>
      </c>
    </row>
    <row r="18">
      <c r="A18" s="4" t="inlineStr">
        <is>
          <t>Lo que Copias del Libro 5 (Temporada, Verano y Ferias)</t>
        </is>
      </c>
    </row>
    <row r="19" ht="40" customHeight="1">
      <c r="A19" s="10" t="inlineStr">
        <is>
          <t>Raciones de un año normal</t>
        </is>
      </c>
      <c r="B19" s="15" t="n">
        <v>107400</v>
      </c>
      <c r="C19" t="inlineStr">
        <is>
          <t>raciones</t>
        </is>
      </c>
      <c r="D19" s="12" t="inlineStr">
        <is>
          <t>cópialo del libro 5: temporada-franjas-y-ferias.xlsx!Peso sobre el Año!L5</t>
        </is>
      </c>
      <c r="E19" s="12" t="inlineStr">
        <is>
          <t>Días tipo y días punta por su demanda base. Es un año normal: la rampa del primer año la pone este libro.</t>
        </is>
      </c>
    </row>
    <row r="20" ht="30" customHeight="1">
      <c r="A20" s="10" t="inlineStr">
        <is>
          <t>Coeficiente de enero</t>
        </is>
      </c>
      <c r="B20" s="16" t="n">
        <v>1.25</v>
      </c>
      <c r="C20" t="inlineStr">
        <is>
          <t>coeficiente</t>
        </is>
      </c>
      <c r="D20" s="12" t="inlineStr">
        <is>
          <t>cópialo del libro 5: temporada-franjas-y-ferias.xlsx!Peso sobre el Año!L6</t>
        </is>
      </c>
      <c r="E20" s="12" t="inlineStr">
        <is>
          <t>Reparte las raciones del año: los doce suman 12.</t>
        </is>
      </c>
    </row>
    <row r="21" ht="30" customHeight="1">
      <c r="A21" s="10" t="inlineStr">
        <is>
          <t>Coeficiente de febrero</t>
        </is>
      </c>
      <c r="B21" s="16" t="n">
        <v>1.15</v>
      </c>
      <c r="C21" t="inlineStr">
        <is>
          <t>coeficiente</t>
        </is>
      </c>
      <c r="D21" s="12" t="inlineStr">
        <is>
          <t>cópialo del libro 5: temporada-franjas-y-ferias.xlsx!Peso sobre el Año!L7</t>
        </is>
      </c>
      <c r="E21" s="12" t="inlineStr"/>
    </row>
    <row r="22" ht="30" customHeight="1">
      <c r="A22" s="10" t="inlineStr">
        <is>
          <t>Coeficiente de marzo</t>
        </is>
      </c>
      <c r="B22" s="16" t="n">
        <v>1.1</v>
      </c>
      <c r="C22" t="inlineStr">
        <is>
          <t>coeficiente</t>
        </is>
      </c>
      <c r="D22" s="12" t="inlineStr">
        <is>
          <t>cópialo del libro 5: temporada-franjas-y-ferias.xlsx!Peso sobre el Año!L8</t>
        </is>
      </c>
      <c r="E22" s="12" t="inlineStr"/>
    </row>
    <row r="23" ht="30" customHeight="1">
      <c r="A23" s="10" t="inlineStr">
        <is>
          <t>Coeficiente de abril</t>
        </is>
      </c>
      <c r="B23" s="16" t="n">
        <v>0.95</v>
      </c>
      <c r="C23" t="inlineStr">
        <is>
          <t>coeficiente</t>
        </is>
      </c>
      <c r="D23" s="12" t="inlineStr">
        <is>
          <t>cópialo del libro 5: temporada-franjas-y-ferias.xlsx!Peso sobre el Año!L9</t>
        </is>
      </c>
      <c r="E23" s="12" t="inlineStr"/>
    </row>
    <row r="24" ht="30" customHeight="1">
      <c r="A24" s="10" t="inlineStr">
        <is>
          <t>Coeficiente de mayo</t>
        </is>
      </c>
      <c r="B24" s="16" t="n">
        <v>0.85</v>
      </c>
      <c r="C24" t="inlineStr">
        <is>
          <t>coeficiente</t>
        </is>
      </c>
      <c r="D24" s="12" t="inlineStr">
        <is>
          <t>cópialo del libro 5: temporada-franjas-y-ferias.xlsx!Peso sobre el Año!L10</t>
        </is>
      </c>
      <c r="E24" s="12" t="inlineStr"/>
    </row>
    <row r="25" ht="30" customHeight="1">
      <c r="A25" s="10" t="inlineStr">
        <is>
          <t>Coeficiente de junio</t>
        </is>
      </c>
      <c r="B25" s="16" t="n">
        <v>0.7</v>
      </c>
      <c r="C25" t="inlineStr">
        <is>
          <t>coeficiente</t>
        </is>
      </c>
      <c r="D25" s="12" t="inlineStr">
        <is>
          <t>cópialo del libro 5: temporada-franjas-y-ferias.xlsx!Peso sobre el Año!L11</t>
        </is>
      </c>
      <c r="E25" s="12" t="inlineStr"/>
    </row>
    <row r="26" ht="30" customHeight="1">
      <c r="A26" s="10" t="inlineStr">
        <is>
          <t>Coeficiente de julio</t>
        </is>
      </c>
      <c r="B26" s="16" t="n">
        <v>0.55</v>
      </c>
      <c r="C26" t="inlineStr">
        <is>
          <t>coeficiente</t>
        </is>
      </c>
      <c r="D26" s="12" t="inlineStr">
        <is>
          <t>cópialo del libro 5: temporada-franjas-y-ferias.xlsx!Peso sobre el Año!L12</t>
        </is>
      </c>
      <c r="E26" s="12" t="inlineStr"/>
    </row>
    <row r="27" ht="30" customHeight="1">
      <c r="A27" s="10" t="inlineStr">
        <is>
          <t>Coeficiente de agosto</t>
        </is>
      </c>
      <c r="B27" s="16" t="n">
        <v>0.5</v>
      </c>
      <c r="C27" t="inlineStr">
        <is>
          <t>coeficiente</t>
        </is>
      </c>
      <c r="D27" s="12" t="inlineStr">
        <is>
          <t>cópialo del libro 5: temporada-franjas-y-ferias.xlsx!Peso sobre el Año!L13</t>
        </is>
      </c>
      <c r="E27" s="12" t="inlineStr"/>
    </row>
    <row r="28" ht="30" customHeight="1">
      <c r="A28" s="10" t="inlineStr">
        <is>
          <t>Coeficiente de septiembre</t>
        </is>
      </c>
      <c r="B28" s="16" t="n">
        <v>0.8</v>
      </c>
      <c r="C28" t="inlineStr">
        <is>
          <t>coeficiente</t>
        </is>
      </c>
      <c r="D28" s="12" t="inlineStr">
        <is>
          <t>cópialo del libro 5: temporada-franjas-y-ferias.xlsx!Peso sobre el Año!L14</t>
        </is>
      </c>
      <c r="E28" s="12" t="inlineStr"/>
    </row>
    <row r="29" ht="30" customHeight="1">
      <c r="A29" s="10" t="inlineStr">
        <is>
          <t>Coeficiente de octubre</t>
        </is>
      </c>
      <c r="B29" s="16" t="n">
        <v>1.1</v>
      </c>
      <c r="C29" t="inlineStr">
        <is>
          <t>coeficiente</t>
        </is>
      </c>
      <c r="D29" s="12" t="inlineStr">
        <is>
          <t>cópialo del libro 5: temporada-franjas-y-ferias.xlsx!Peso sobre el Año!L15</t>
        </is>
      </c>
      <c r="E29" s="12" t="inlineStr"/>
    </row>
    <row r="30" ht="30" customHeight="1">
      <c r="A30" s="10" t="inlineStr">
        <is>
          <t>Coeficiente de noviembre</t>
        </is>
      </c>
      <c r="B30" s="16" t="n">
        <v>1.3</v>
      </c>
      <c r="C30" t="inlineStr">
        <is>
          <t>coeficiente</t>
        </is>
      </c>
      <c r="D30" s="12" t="inlineStr">
        <is>
          <t>cópialo del libro 5: temporada-franjas-y-ferias.xlsx!Peso sobre el Año!L16</t>
        </is>
      </c>
      <c r="E30" s="12" t="inlineStr"/>
    </row>
    <row r="31" ht="30" customHeight="1">
      <c r="A31" s="10" t="inlineStr">
        <is>
          <t>Coeficiente de diciembre</t>
        </is>
      </c>
      <c r="B31" s="16" t="n">
        <v>1.75</v>
      </c>
      <c r="C31" t="inlineStr">
        <is>
          <t>coeficiente</t>
        </is>
      </c>
      <c r="D31" s="12" t="inlineStr">
        <is>
          <t>cópialo del libro 5: temporada-franjas-y-ferias.xlsx!Peso sobre el Año!L17</t>
        </is>
      </c>
      <c r="E31" s="12" t="inlineStr"/>
    </row>
    <row r="32" ht="40" customHeight="1">
      <c r="A32" s="10" t="inlineStr">
        <is>
          <t>Resultado anual de ferias (las de fuera de julio y agosto)</t>
        </is>
      </c>
      <c r="B32" s="11" t="n">
        <v>0</v>
      </c>
      <c r="C32" t="inlineStr">
        <is>
          <t>€</t>
        </is>
      </c>
      <c r="D32" s="12" t="inlineStr">
        <is>
          <t>cópialo del libro 5: temporada-franjas-y-ferias.xlsx!Calendario de Ferias!L5</t>
        </is>
      </c>
      <c r="E32" s="12" t="inlineStr">
        <is>
          <t>Una línea de canal. El punto muerto de cada evento vive en el libro 5; las ferias de julio y agosto van en la salida del verano.</t>
        </is>
      </c>
    </row>
    <row r="33" ht="40" customHeight="1">
      <c r="A33" s="10" t="inlineStr">
        <is>
          <t>Contribución de julio y agosto de la salida que eliges</t>
        </is>
      </c>
      <c r="B33" s="11" t="n">
        <v>17368.70905707602</v>
      </c>
      <c r="C33" t="inlineStr">
        <is>
          <t>€</t>
        </is>
      </c>
      <c r="D33" s="12" t="inlineStr">
        <is>
          <t>cópialo del libro 5: temporada-franjas-y-ferias.xlsx!El Verano (Tres Salidas)!L5</t>
        </is>
      </c>
      <c r="E33" s="12" t="inlineStr">
        <is>
          <t>Ventas sin IVA menos materia de julio y agosto de la salida que eliges. Lo que pagas igual en las tres salidas lo resta este libro.</t>
        </is>
      </c>
    </row>
    <row r="34" ht="40" customHeight="1">
      <c r="A34" s="10" t="inlineStr">
        <is>
          <t>Contribución de julio y agosto si cierras</t>
        </is>
      </c>
      <c r="B34" s="11" t="n">
        <v>0</v>
      </c>
      <c r="C34" t="inlineStr">
        <is>
          <t>€</t>
        </is>
      </c>
      <c r="D34" s="12" t="inlineStr">
        <is>
          <t>cópialo del libro 5: temporada-franjas-y-ferias.xlsx!El Verano (Tres Salidas)!L6</t>
        </is>
      </c>
      <c r="E34" s="12" t="inlineStr">
        <is>
          <t>Cerrar deja cero por definición, salvo que cambies las banderas de la salida en el libro 5. Aquí se enseña con los fijos dentro, en «Escenarios».</t>
        </is>
      </c>
    </row>
    <row r="35" ht="40" customHeight="1">
      <c r="A35" s="10" t="inlineStr">
        <is>
          <t>Contribución de julio y agosto con carta de verano</t>
        </is>
      </c>
      <c r="B35" s="11" t="n">
        <v>17368.70905707602</v>
      </c>
      <c r="C35" t="inlineStr">
        <is>
          <t>€</t>
        </is>
      </c>
      <c r="D35" s="12" t="inlineStr">
        <is>
          <t>cópialo del libro 5: temporada-franjas-y-ferias.xlsx!El Verano (Tres Salidas)!L7</t>
        </is>
      </c>
      <c r="E35" s="12" t="inlineStr">
        <is>
          <t>Ventas menos materia de julio y agosto con la carta de verano. Con ella y las dos de al lado, «Escenarios» enseña el verano con fijos de las tres salidas.</t>
        </is>
      </c>
    </row>
    <row r="36" ht="40" customHeight="1">
      <c r="A36" s="10" t="inlineStr">
        <is>
          <t>Contribución de julio y agosto con ferias</t>
        </is>
      </c>
      <c r="B36" s="11" t="n">
        <v>2106.453743784074</v>
      </c>
      <c r="C36" t="inlineStr">
        <is>
          <t>€</t>
        </is>
      </c>
      <c r="D36" s="12" t="inlineStr">
        <is>
          <t>cópialo del libro 5: temporada-franjas-y-ferias.xlsx!El Verano (Tres Salidas)!L8</t>
        </is>
      </c>
      <c r="E36" s="12" t="inlineStr">
        <is>
          <t>Lo que dejan las ferias de julio y agosto, ya con su materia, tasas, desplazamiento, montaje y personal.</t>
        </is>
      </c>
    </row>
    <row r="37" ht="40" customHeight="1">
      <c r="A37" s="10" t="inlineStr">
        <is>
          <t>Ventas sin IVA del local en julio y agosto de la salida que eliges</t>
        </is>
      </c>
      <c r="B37" s="11" t="n">
        <v>20737.71954545454</v>
      </c>
      <c r="C37" t="inlineStr">
        <is>
          <t>€</t>
        </is>
      </c>
      <c r="D37" s="12" t="inlineStr">
        <is>
          <t>cópialo del libro 5: temporada-franjas-y-ferias.xlsx!El Verano (Tres Salidas)!L9</t>
        </is>
      </c>
      <c r="E37" s="12" t="inlineStr">
        <is>
          <t>Las ventas del local de julio y agosto con el ticket de la salida que eliges (carta de verano, cero si cierras o sales de ferias). Valoran el verano de las ventas del año.</t>
        </is>
      </c>
    </row>
    <row r="38">
      <c r="A38" s="4" t="inlineStr">
        <is>
          <t>Lo que Copias del Libro 8 (Plantilla)</t>
        </is>
      </c>
    </row>
    <row r="39" ht="40" customHeight="1">
      <c r="A39" s="10" t="inlineStr">
        <is>
          <t>Coste anual de la plantilla (Seguridad Social, refuerzos y sustituciones incluidos)</t>
        </is>
      </c>
      <c r="B39" s="11" t="n">
        <v>119350.201113611</v>
      </c>
      <c r="C39" t="inlineStr">
        <is>
          <t>€/año</t>
        </is>
      </c>
      <c r="D39" s="12" t="inlineStr">
        <is>
          <t>cópialo del libro 8: turnos-plantilla-y-madrugada.xlsx!Coste de Plantilla!L5</t>
        </is>
      </c>
      <c r="E39" s="12" t="inlineStr">
        <is>
          <t>Con el suelo del SMI y el plus de nocturnidad ya aplicados en el libro 8. El titular va dentro como un puesto más; su cuota de autónomos, en los gastos fijos.</t>
        </is>
      </c>
    </row>
    <row r="40"/>
    <row r="41">
      <c r="A41" s="4" t="inlineStr">
        <is>
          <t>Calendario, Arranque y Crecimiento</t>
        </is>
      </c>
    </row>
    <row r="42" ht="44" customHeight="1">
      <c r="A42" s="10" t="inlineStr">
        <is>
          <t>Días del año</t>
        </is>
      </c>
      <c r="B42" s="15" t="n">
        <v>365</v>
      </c>
      <c r="C42" t="inlineStr">
        <is>
          <t>días</t>
        </is>
      </c>
      <c r="D42" s="12" t="inlineStr">
        <is>
          <t>calendario</t>
        </is>
      </c>
      <c r="E42" s="12" t="inlineStr">
        <is>
          <t>Un año normal.</t>
        </is>
      </c>
    </row>
    <row r="43" ht="44" customHeight="1">
      <c r="A43" s="10" t="inlineStr">
        <is>
          <t>Días al año con el local cerrado</t>
        </is>
      </c>
      <c r="B43" s="15" t="n">
        <v>5</v>
      </c>
      <c r="C43" t="inlineStr">
        <is>
          <t>días</t>
        </is>
      </c>
      <c r="D43" s="12" t="inlineStr">
        <is>
          <t>supuesto declarado de El Molinete</t>
        </is>
      </c>
      <c r="E43" s="12" t="inlineStr">
        <is>
          <t>Cinco días al año con la persiana bajada, todos a la vez, para la limpieza a fondo y la puesta a punto de la línea. Los mismos que pones en «Parámetros» del libro 5.</t>
        </is>
      </c>
    </row>
    <row r="44" ht="44" customHeight="1">
      <c r="A44" s="10" t="inlineStr">
        <is>
          <t>Meses del año (los cuenta la hoja: son los coeficientes)</t>
        </is>
      </c>
      <c r="B44" s="17">
        <f>COUNT('0. Supuestos'!$B$20:$B$31)</f>
        <v>12.0</v>
      </c>
      <c r="C44" t="inlineStr">
        <is>
          <t>meses</t>
        </is>
      </c>
      <c r="D44" s="12" t="inlineStr">
        <is>
          <t>calculado</t>
        </is>
      </c>
      <c r="E44" s="12" t="inlineStr">
        <is>
          <t>Cuenta los doce coeficientes de arriba. Sirve para pasar de año a mes sin escribir un 12 dentro de ninguna fórmula.</t>
        </is>
      </c>
    </row>
    <row r="45" ht="44" customHeight="1">
      <c r="A45" s="10" t="inlineStr">
        <is>
          <t>Mes de apertura (número del mes)</t>
        </is>
      </c>
      <c r="B45" s="15" t="n">
        <v>9</v>
      </c>
      <c r="C45" t="inlineStr">
        <is>
          <t>mes</t>
        </is>
      </c>
      <c r="D45" s="12" t="inlineStr">
        <is>
          <t>supuesto declarado de El Molinete</t>
        </is>
      </c>
      <c r="E45" s="12" t="inlineStr">
        <is>
          <t>Abre el 1 de septiembre: un mes de rodaje antes del pico de octubre a marzo y el valle de verano al final del año 1 (§3.6). El año 1 de este libro son los doce meses que empiezan aquí.</t>
        </is>
      </c>
    </row>
    <row r="46" ht="44" customHeight="1">
      <c r="A46" s="10" t="inlineStr">
        <is>
          <t>Primer mes del verano (número del mes)</t>
        </is>
      </c>
      <c r="B46" s="15" t="n">
        <v>7</v>
      </c>
      <c r="C46" t="inlineStr">
        <is>
          <t>mes</t>
        </is>
      </c>
      <c r="D46" s="12" t="inlineStr">
        <is>
          <t>supuesto declarado de El Molinete</t>
        </is>
      </c>
      <c r="E46" s="12" t="inlineStr">
        <is>
          <t>El valle: julio. Son los meses de la contribución del verano (X16) y los mismos que pones en el libro 5.</t>
        </is>
      </c>
    </row>
    <row r="47" ht="44" customHeight="1">
      <c r="A47" s="10" t="inlineStr">
        <is>
          <t>Segundo mes del verano (número del mes)</t>
        </is>
      </c>
      <c r="B47" s="15" t="n">
        <v>8</v>
      </c>
      <c r="C47" t="inlineStr">
        <is>
          <t>mes</t>
        </is>
      </c>
      <c r="D47" s="12" t="inlineStr">
        <is>
          <t>supuesto declarado de El Molinete</t>
        </is>
      </c>
      <c r="E47" s="12" t="inlineStr">
        <is>
          <t>Agosto.</t>
        </is>
      </c>
    </row>
    <row r="48" ht="44" customHeight="1">
      <c r="A48" s="10" t="inlineStr">
        <is>
          <t>Ventas del primer mes sobre las de un mes normal (rampa)</t>
        </is>
      </c>
      <c r="B48" s="14" t="n">
        <v>0.55</v>
      </c>
      <c r="C48" t="inlineStr"/>
      <c r="D48" s="12" t="inlineStr">
        <is>
          <t>heredado de la Guía de la Chocolatería (supuesto declarado)</t>
        </is>
      </c>
      <c r="E48" s="12" t="inlineStr">
        <is>
          <t>El primer mes vendes el 55 % de lo que venderás cuando el barrio te conozca.</t>
        </is>
      </c>
    </row>
    <row r="49" ht="44" customHeight="1">
      <c r="A49" s="10" t="inlineStr">
        <is>
          <t>Meses hasta vender como un mes normal</t>
        </is>
      </c>
      <c r="B49" s="15" t="n">
        <v>6</v>
      </c>
      <c r="C49" t="inlineStr">
        <is>
          <t>meses</t>
        </is>
      </c>
      <c r="D49" s="12" t="inlineStr">
        <is>
          <t>heredado de la Guía de la Chocolatería (supuesto declarado)</t>
        </is>
      </c>
      <c r="E49" s="12" t="inlineStr">
        <is>
          <t>La rampa sube en línea recta desde el primer mes hasta este.</t>
        </is>
      </c>
    </row>
    <row r="50" ht="44" customHeight="1">
      <c r="A50" s="10" t="inlineStr">
        <is>
          <t>Crecimiento de las raciones en el año 3 sobre el año 2</t>
        </is>
      </c>
      <c r="B50" s="14" t="n">
        <v>0</v>
      </c>
      <c r="C50" t="inlineStr"/>
      <c r="D50" s="12" t="inlineStr">
        <is>
          <t>supuesto declarado de este libro (sin crecimiento)</t>
        </is>
      </c>
      <c r="E50" s="12" t="inlineStr">
        <is>
          <t>A cero: el año 3 repite el año de crucero y sólo cambian los intereses. Si subes precios o ganas clientela, ponlo aquí; si lo hace tu competencia, en negativo.</t>
        </is>
      </c>
    </row>
    <row r="51"/>
    <row r="52">
      <c r="A52" s="4" t="inlineStr">
        <is>
          <t>Fondo de Maniobra, Amortización e Inversión</t>
        </is>
      </c>
    </row>
    <row r="53" ht="44" customHeight="1">
      <c r="A53" s="10" t="inlineStr">
        <is>
          <t>Meses de colchón (fondo de maniobra)</t>
        </is>
      </c>
      <c r="B53" s="15" t="n">
        <v>6</v>
      </c>
      <c r="C53" t="inlineStr">
        <is>
          <t>meses</t>
        </is>
      </c>
      <c r="D53" s="12" t="inlineStr">
        <is>
          <t>heredado de la Guía de la Chocolatería (supuesto declarado)</t>
        </is>
      </c>
      <c r="E53" s="12" t="inlineStr">
        <is>
          <t>Meses de gastos fijos de caja que hay que tener el día que abres. El fondo de maniobra se calcula SÓLO en el libro 6.</t>
        </is>
      </c>
    </row>
    <row r="54" ht="44" customHeight="1">
      <c r="A54" s="10" t="inlineStr">
        <is>
          <t>Años de amortización del inmovilizado</t>
        </is>
      </c>
      <c r="B54" s="15" t="n">
        <v>10</v>
      </c>
      <c r="C54" t="inlineStr">
        <is>
          <t>años</t>
        </is>
      </c>
      <c r="D54" s="12" t="inlineStr">
        <is>
          <t>heredado de la Guía de la Chocolatería (supuesto declarado)</t>
        </is>
      </c>
      <c r="E54" s="12" t="inlineStr">
        <is>
          <t>Vida útil contable del inmovilizado.</t>
        </is>
      </c>
    </row>
    <row r="55" ht="44" customHeight="1">
      <c r="A55" s="10" t="inlineStr">
        <is>
          <t>Año de crucero (el que da los intereses del fondo)</t>
        </is>
      </c>
      <c r="B55" s="15" t="n">
        <v>2</v>
      </c>
      <c r="C55" t="inlineStr">
        <is>
          <t>año</t>
        </is>
      </c>
      <c r="D55" s="12" t="inlineStr">
        <is>
          <t>heredado de la Guía de la Chocolatería (supuesto declarado)</t>
        </is>
      </c>
      <c r="E55" s="12" t="inlineStr">
        <is>
          <t>El año 1 va en rampa y con carencia: la foto de un año normal es el 2.</t>
        </is>
      </c>
    </row>
    <row r="56"/>
    <row r="57">
      <c r="A57" s="4" t="inlineStr">
        <is>
          <t>Financiación</t>
        </is>
      </c>
    </row>
    <row r="58" ht="44" customHeight="1">
      <c r="A58" s="10" t="inlineStr">
        <is>
          <t>Parte de la inversión total que pides al banco</t>
        </is>
      </c>
      <c r="B58" s="14" t="n">
        <v>0.6</v>
      </c>
      <c r="C58" t="inlineStr"/>
      <c r="D58" s="12" t="inlineStr">
        <is>
          <t>heredado de la Guía de la Chocolatería (supuesto declarado)</t>
        </is>
      </c>
      <c r="E58" s="12" t="inlineStr">
        <is>
          <t>La estructura heredada de la hermana: 40 % de fondos propios y 60 % de préstamo.</t>
        </is>
      </c>
    </row>
    <row r="59" ht="44" customHeight="1">
      <c r="A59" s="10" t="inlineStr">
        <is>
          <t>Parte que pones tú (recursos propios)</t>
        </is>
      </c>
      <c r="B59" s="18">
        <f>1-'0. Supuestos'!$B$58</f>
        <v>0.4</v>
      </c>
      <c r="C59" t="inlineStr"/>
      <c r="D59" s="12" t="inlineStr">
        <is>
          <t>heredado de la Guía de la Chocolatería (supuesto declarado)</t>
        </is>
      </c>
      <c r="E59" s="12" t="inlineStr">
        <is>
          <t>Lo que no pides al banco. Se calcula: un solo dato para la estructura.</t>
        </is>
      </c>
    </row>
    <row r="60" ht="44" customHeight="1">
      <c r="A60" s="10" t="inlineStr">
        <is>
          <t>Tipo de interés nominal anual</t>
        </is>
      </c>
      <c r="B60" s="19" t="n">
        <v>0.062</v>
      </c>
      <c r="C60" t="inlineStr"/>
      <c r="D60" s="12" t="inlineStr">
        <is>
          <t>heredado de la Guía de la Chocolatería (supuesto declarado)</t>
        </is>
      </c>
      <c r="E60" s="12" t="inlineStr">
        <is>
          <t>Pide la oferta por escrito: con la TAE delante, no sólo el nominal.</t>
        </is>
      </c>
    </row>
    <row r="61" ht="44" customHeight="1">
      <c r="A61" s="10" t="inlineStr">
        <is>
          <t>Plazo del préstamo (meses)</t>
        </is>
      </c>
      <c r="B61" s="15" t="n">
        <v>84</v>
      </c>
      <c r="C61" t="inlineStr">
        <is>
          <t>meses</t>
        </is>
      </c>
      <c r="D61" s="12" t="inlineStr">
        <is>
          <t>heredado de la Guía de la Chocolatería (supuesto declarado)</t>
        </is>
      </c>
      <c r="E61" s="12" t="inlineStr">
        <is>
          <t>El cuadro de «Financiación» tiene 84 filas: más plazo no cabe.</t>
        </is>
      </c>
    </row>
    <row r="62" ht="44" customHeight="1">
      <c r="A62" s="10" t="inlineStr">
        <is>
          <t>Carencia de principal (meses en que sólo pagas intereses)</t>
        </is>
      </c>
      <c r="B62" s="15" t="n">
        <v>6</v>
      </c>
      <c r="C62" t="inlineStr">
        <is>
          <t>meses</t>
        </is>
      </c>
      <c r="D62" s="12" t="inlineStr">
        <is>
          <t>heredado de la Guía de la Chocolatería (supuesto declarado)</t>
        </is>
      </c>
      <c r="E62" s="12" t="inlineStr">
        <is>
          <t>Es lo que hace que la cuota no se coma la caja en la rampa del primer año. Es lo primero que hay que negociar.</t>
        </is>
      </c>
    </row>
    <row r="63" ht="44" customHeight="1">
      <c r="A63" s="10" t="inlineStr">
        <is>
          <t>Préstamo bancario que pides (punto fijo)</t>
        </is>
      </c>
      <c r="B63" s="11" t="n">
        <v>99300</v>
      </c>
      <c r="C63" t="inlineStr">
        <is>
          <t>€</t>
        </is>
      </c>
      <c r="D63" s="12" t="inlineStr">
        <is>
          <t>calculado</t>
        </is>
      </c>
      <c r="E63" s="12" t="inlineStr">
        <is>
          <t>El 60 % de la inversión total, redondeado. Como la inversión lleva el fondo y el fondo lleva los intereses, la hoja «Financiación» te dice si esta cifra sigue siendo la que pide la estructura; si no, copia la suya aquí.</t>
        </is>
      </c>
    </row>
    <row r="64" ht="44" customHeight="1">
      <c r="A64" s="10" t="inlineStr">
        <is>
          <t>Redondeo del préstamo (múltiplo de)</t>
        </is>
      </c>
      <c r="B64" s="11" t="n">
        <v>100</v>
      </c>
      <c r="C64" t="inlineStr">
        <is>
          <t>€</t>
        </is>
      </c>
      <c r="D64" s="12" t="inlineStr">
        <is>
          <t>calculado (redondeado a centenas)</t>
        </is>
      </c>
      <c r="E64" s="12" t="inlineStr">
        <is>
          <t>Los bancos conceden cifras redondas.</t>
        </is>
      </c>
    </row>
    <row r="65" ht="44" customHeight="1">
      <c r="A65" s="10" t="inlineStr">
        <is>
          <t>Tolerancia del cierre del cuadro y del punto fijo</t>
        </is>
      </c>
      <c r="B65" s="11" t="n">
        <v>0.01</v>
      </c>
      <c r="C65" t="inlineStr">
        <is>
          <t>€</t>
        </is>
      </c>
      <c r="D65" s="12" t="inlineStr">
        <is>
          <t>heredado de la Guía de la Chocolatería (tolerancia de cierre del cuadro)</t>
        </is>
      </c>
      <c r="E65" s="12" t="inlineStr">
        <is>
          <t>Por debajo de esta diferencia, dos importes se dan por iguales.</t>
        </is>
      </c>
    </row>
    <row r="66"/>
    <row r="67">
      <c r="A67" s="4" t="inlineStr">
        <is>
          <t>Gastos Fijos Mensuales (Nacen Sólo Aquí, sin IVA)</t>
        </is>
      </c>
    </row>
    <row r="68" ht="44" customHeight="1">
      <c r="A68" s="10" t="inlineStr">
        <is>
          <t>Suministros: gas de la freidora</t>
        </is>
      </c>
      <c r="B68" s="11" t="n">
        <v>170</v>
      </c>
      <c r="C68" t="inlineStr">
        <is>
          <t>€/mes</t>
        </is>
      </c>
      <c r="D68" s="12" t="inlineStr">
        <is>
          <t>supuesto declarado de El Molinete</t>
        </is>
      </c>
      <c r="E68" s="12" t="inlineStr">
        <is>
          <t>Una freidora de gas de 25 L encendida dos turnos al día. Pide la simulación a la comercializadora con la potencia del proyecto.</t>
        </is>
      </c>
    </row>
    <row r="69" ht="44" customHeight="1">
      <c r="A69" s="10" t="inlineStr">
        <is>
          <t>Suministros: electricidad</t>
        </is>
      </c>
      <c r="B69" s="11" t="n">
        <v>320</v>
      </c>
      <c r="C69" t="inlineStr">
        <is>
          <t>€/mes</t>
        </is>
      </c>
      <c r="D69" s="12" t="inlineStr">
        <is>
          <t>supuesto declarado de El Molinete</t>
        </is>
      </c>
      <c r="E69" s="12" t="inlineStr">
        <is>
          <t>Chocolateras, cafetera, extracción, frío y luz, con la potencia contratada.</t>
        </is>
      </c>
    </row>
    <row r="70" ht="44" customHeight="1">
      <c r="A70" s="10" t="inlineStr">
        <is>
          <t>Suministros: agua</t>
        </is>
      </c>
      <c r="B70" s="11" t="n">
        <v>45</v>
      </c>
      <c r="C70" t="inlineStr">
        <is>
          <t>€/mes</t>
        </is>
      </c>
      <c r="D70" s="12" t="inlineStr">
        <is>
          <t>supuesto declarado de El Molinete</t>
        </is>
      </c>
      <c r="E70" s="12" t="inlineStr">
        <is>
          <t>Supuesto, sin fuente pública; pon el tuyo.</t>
        </is>
      </c>
    </row>
    <row r="71" ht="44" customHeight="1">
      <c r="A71" s="10" t="inlineStr">
        <is>
          <t>Limpieza de conductos y campana</t>
        </is>
      </c>
      <c r="B71" s="11" t="n">
        <v>60</v>
      </c>
      <c r="C71" t="inlineStr">
        <is>
          <t>€/mes</t>
        </is>
      </c>
      <c r="D71" s="12" t="inlineStr">
        <is>
          <t>supuesto declarado de El Molinete + CUN-23</t>
        </is>
      </c>
      <c r="E71" s="12" t="inlineStr">
        <is>
          <t>Dos limpiezas al año prorrateadas. En el ejemplo de Madrid la ordenanza pide al menos una al año.</t>
        </is>
      </c>
    </row>
    <row r="72" ht="44" customHeight="1">
      <c r="A72" s="10" t="inlineStr">
        <is>
          <t>Mantenimiento de equipos y revisión del gas</t>
        </is>
      </c>
      <c r="B72" s="11" t="n">
        <v>90</v>
      </c>
      <c r="C72" t="inlineStr">
        <is>
          <t>€/mes</t>
        </is>
      </c>
      <c r="D72" s="12" t="inlineStr">
        <is>
          <t>supuesto declarado de El Molinete + CHN-48</t>
        </is>
      </c>
      <c r="E72" s="12" t="inlineStr">
        <is>
          <t>Incluye la parte de la inspección periódica de la instalación receptora de gas, cada cinco años.</t>
        </is>
      </c>
    </row>
    <row r="73" ht="44" customHeight="1">
      <c r="A73" s="10" t="inlineStr">
        <is>
          <t>Seguros (multirriesgo y responsabilidad civil)</t>
        </is>
      </c>
      <c r="B73" s="11" t="n">
        <v>75</v>
      </c>
      <c r="C73" t="inlineStr">
        <is>
          <t>€/mes</t>
        </is>
      </c>
      <c r="D73" s="12" t="inlineStr">
        <is>
          <t>supuesto declarado de El Molinete</t>
        </is>
      </c>
      <c r="E73" s="12" t="inlineStr">
        <is>
          <t>El seguro de responsabilidad civil va sin cifra con fuente, como en la hermana.</t>
        </is>
      </c>
    </row>
    <row r="74" ht="44" customHeight="1">
      <c r="A74" s="10" t="inlineStr">
        <is>
          <t>Asesoría laboral, fiscal y contable</t>
        </is>
      </c>
      <c r="B74" s="11" t="n">
        <v>190</v>
      </c>
      <c r="C74" t="inlineStr">
        <is>
          <t>€/mes</t>
        </is>
      </c>
      <c r="D74" s="12" t="inlineStr">
        <is>
          <t>supuesto declarado de El Molinete</t>
        </is>
      </c>
      <c r="E74" s="12" t="inlineStr">
        <is>
          <t>Cuatro nóminas y la contabilidad.</t>
        </is>
      </c>
    </row>
    <row r="75" ht="44" customHeight="1">
      <c r="A75" s="10" t="inlineStr">
        <is>
          <t>TPV, facturación y comisiones del datáfono</t>
        </is>
      </c>
      <c r="B75" s="11" t="n">
        <v>110</v>
      </c>
      <c r="C75" t="inlineStr">
        <is>
          <t>€/mes</t>
        </is>
      </c>
      <c r="D75" s="12" t="inlineStr">
        <is>
          <t>supuesto declarado de El Molinete + CHN-75</t>
        </is>
      </c>
      <c r="E75" s="12" t="inlineStr">
        <is>
          <t>Con Verifactu en el horizonte: 2027, no 2026.</t>
        </is>
      </c>
    </row>
    <row r="76" ht="44" customHeight="1">
      <c r="A76" s="10" t="inlineStr">
        <is>
          <t>Gestor de aceite usado</t>
        </is>
      </c>
      <c r="B76" s="11" t="n">
        <v>0</v>
      </c>
      <c r="C76" t="inlineStr">
        <is>
          <t>€/mes</t>
        </is>
      </c>
      <c r="D76" s="12" t="inlineStr">
        <is>
          <t>supuesto declarado de El Molinete + CUS-44h</t>
        </is>
      </c>
      <c r="E76" s="12" t="inlineStr">
        <is>
          <t>La recogida no cuesta: el gestor de ejemplo recoge gratis o con valoración. Lo que cuesta es no guardar los justificantes (CUN-27).</t>
        </is>
      </c>
    </row>
    <row r="77" ht="44" customHeight="1">
      <c r="A77" s="10" t="inlineStr">
        <is>
          <t>Telefonía e internet</t>
        </is>
      </c>
      <c r="B77" s="11" t="n">
        <v>50</v>
      </c>
      <c r="C77" t="inlineStr">
        <is>
          <t>€/mes</t>
        </is>
      </c>
      <c r="D77" s="12" t="inlineStr">
        <is>
          <t>supuesto declarado de El Molinete</t>
        </is>
      </c>
      <c r="E77" s="12" t="inlineStr">
        <is>
          <t>Supuesto, sin fuente pública; pon el tuyo.</t>
        </is>
      </c>
    </row>
    <row r="78" ht="44" customHeight="1">
      <c r="A78" s="10" t="inlineStr">
        <is>
          <t>Limpieza, papel y consumibles</t>
        </is>
      </c>
      <c r="B78" s="11" t="n">
        <v>160</v>
      </c>
      <c r="C78" t="inlineStr">
        <is>
          <t>€/mes</t>
        </is>
      </c>
      <c r="D78" s="12" t="inlineStr">
        <is>
          <t>supuesto declarado de El Molinete</t>
        </is>
      </c>
      <c r="E78" s="12" t="inlineStr">
        <is>
          <t>Supuesto, sin fuente pública; pon el tuyo.</t>
        </is>
      </c>
    </row>
    <row r="79" ht="44" customHeight="1">
      <c r="A79" s="10" t="inlineStr">
        <is>
          <t>Publicidad y redes</t>
        </is>
      </c>
      <c r="B79" s="11" t="n">
        <v>120</v>
      </c>
      <c r="C79" t="inlineStr">
        <is>
          <t>€/mes</t>
        </is>
      </c>
      <c r="D79" s="12" t="inlineStr">
        <is>
          <t>supuesto declarado de El Molinete</t>
        </is>
      </c>
      <c r="E79" s="12" t="inlineStr">
        <is>
          <t>Supuesto, sin fuente pública; pon el tuyo.</t>
        </is>
      </c>
    </row>
    <row r="80" ht="44" customHeight="1">
      <c r="A80" s="10" t="inlineStr">
        <is>
          <t>Tasas municipales de basuras y terraza</t>
        </is>
      </c>
      <c r="B80" s="11" t="n">
        <v>60</v>
      </c>
      <c r="C80" t="inlineStr">
        <is>
          <t>€/mes</t>
        </is>
      </c>
      <c r="D80" s="12" t="inlineStr">
        <is>
          <t>supuesto declarado de El Molinete</t>
        </is>
      </c>
      <c r="E80" s="12" t="inlineStr">
        <is>
          <t>La terraza paga su propia tasa por ocupar la vía pública.</t>
        </is>
      </c>
    </row>
    <row r="81" ht="44" customHeight="1">
      <c r="A81" s="10" t="inlineStr">
        <is>
          <t>Cuota de autónomos del titular</t>
        </is>
      </c>
      <c r="B81" s="11" t="n">
        <v>320</v>
      </c>
      <c r="C81" t="inlineStr">
        <is>
          <t>€/mes</t>
        </is>
      </c>
      <c r="D81" s="12" t="inlineStr">
        <is>
          <t>heredado de la Guía de la Chocolatería (supuesto declarado)</t>
        </is>
      </c>
      <c r="E81" s="12" t="inlineStr">
        <is>
          <t>Su retribución ya va en el coste de plantilla: aquí sólo su cuota.</t>
        </is>
      </c>
    </row>
    <row r="82" ht="44" customHeight="1">
      <c r="A82" s="10" t="inlineStr">
        <is>
          <t>Otros gastos de estructura</t>
        </is>
      </c>
      <c r="B82" s="11" t="n">
        <v>100</v>
      </c>
      <c r="C82" t="inlineStr">
        <is>
          <t>€/mes</t>
        </is>
      </c>
      <c r="D82" s="12" t="inlineStr">
        <is>
          <t>supuesto declarado de El Molinete</t>
        </is>
      </c>
      <c r="E82" s="12" t="inlineStr">
        <is>
          <t>Supuesto, sin fuente pública; pon el tuyo.</t>
        </is>
      </c>
    </row>
    <row r="83" ht="44" customHeight="1">
      <c r="A83" s="20" t="inlineStr">
        <is>
          <t>TOTAL GASTOS FIJOS DEL MES (sin renta ni plantilla)</t>
        </is>
      </c>
      <c r="B83" s="21">
        <f>SUM(B68:B82)</f>
        <v>1870.0</v>
      </c>
      <c r="C83" t="inlineStr">
        <is>
          <t>€/mes</t>
        </is>
      </c>
      <c r="D83" s="12" t="inlineStr">
        <is>
          <t>calculado</t>
        </is>
      </c>
      <c r="E83" s="12" t="inlineStr">
        <is>
          <t>La renta llega del libro 2 y la plantilla del libro 8: no están aquí.</t>
        </is>
      </c>
    </row>
    <row r="84"/>
    <row r="85">
      <c r="A85" s="4" t="inlineStr">
        <is>
          <t>Escenarios</t>
        </is>
      </c>
    </row>
    <row r="86" ht="44" customHeight="1">
      <c r="A86" s="10" t="inlineStr">
        <is>
          <t>Escenario pesimista: raciones sobre el año normal</t>
        </is>
      </c>
      <c r="B86" s="14" t="n">
        <v>-0.15</v>
      </c>
      <c r="C86" t="inlineStr"/>
      <c r="D86" s="12" t="inlineStr">
        <is>
          <t>supuesto declarado de este libro</t>
        </is>
      </c>
      <c r="E86" s="12" t="inlineStr">
        <is>
          <t>Un año entero yendo mal (un invierno templado, una obra en la calle), no un mal día.</t>
        </is>
      </c>
    </row>
    <row r="87" ht="44" customHeight="1">
      <c r="A87" s="10" t="inlineStr">
        <is>
          <t>Escenario optimista: raciones sobre el año normal</t>
        </is>
      </c>
      <c r="B87" s="14" t="n">
        <v>0.1</v>
      </c>
      <c r="C87" t="inlineStr"/>
      <c r="D87" s="12" t="inlineStr">
        <is>
          <t>supuesto declarado de este libro</t>
        </is>
      </c>
      <c r="E87" s="12" t="inlineStr">
        <is>
          <t>Más clientela con la misma plantilla.</t>
        </is>
      </c>
    </row>
    <row r="88" ht="44" customHeight="1">
      <c r="A88" s="10" t="inlineStr">
        <is>
          <t>Ahorro de fijos al año si montas sólo despacho (sin sala)</t>
        </is>
      </c>
      <c r="B88" s="11" t="n">
        <v>0</v>
      </c>
      <c r="C88" t="inlineStr">
        <is>
          <t>€/año</t>
        </is>
      </c>
      <c r="D88" s="12" t="inlineStr">
        <is>
          <t>supuesto declarado de este libro</t>
        </is>
      </c>
      <c r="E88" s="12" t="inlineStr">
        <is>
          <t>A cero, «Escenarios» enseña lo que pierdes si el mismo local vende sólo para llevar. Sin sala te ahorras parte de la plantilla, de la renta y de la limpieza: pon aquí ese ahorro.</t>
        </is>
      </c>
    </row>
    <row r="89"/>
    <row r="90">
      <c r="A90" s="4" t="inlineStr">
        <is>
          <t>Tolerancia de las Filas de CUADRE</t>
        </is>
      </c>
    </row>
    <row r="91" ht="44" customHeight="1">
      <c r="A91" s="10" t="inlineStr">
        <is>
          <t>Tolerancia de las filas de CUADRE</t>
        </is>
      </c>
      <c r="B91" s="14" t="n">
        <v>0.02</v>
      </c>
      <c r="C91" t="inlineStr"/>
      <c r="D91" s="12" t="inlineStr">
        <is>
          <t>heredado de la Guía de la Chocolatería (tolerancia de las filas de CUADRE)</t>
        </is>
      </c>
      <c r="E91" s="12" t="inlineStr">
        <is>
          <t>Por encima de esta desviación, la fila de CUADRE avisa de que lo que has copiado no es lo que publica el libro de origen.</t>
        </is>
      </c>
    </row>
    <row r="92"/>
    <row r="93">
      <c r="A93" s="4" t="inlineStr">
        <is>
          <t>Cuadre de lo que Has Copiado</t>
        </is>
      </c>
    </row>
    <row r="94" ht="36" customHeight="1">
      <c r="A94" s="9" t="inlineStr">
        <is>
          <t>Cuadre</t>
        </is>
      </c>
      <c r="B94" s="9" t="inlineStr">
        <is>
          <t>Lo que publica hoy la celda de origen (anótalo)</t>
        </is>
      </c>
      <c r="C94" s="9" t="inlineStr">
        <is>
          <t>Desviación</t>
        </is>
      </c>
      <c r="D94" s="9" t="inlineStr">
        <is>
          <t>Veredicto</t>
        </is>
      </c>
      <c r="E94" s="9" t="inlineStr">
        <is>
          <t>Si no cuadra</t>
        </is>
      </c>
    </row>
    <row r="95" ht="40" customHeight="1">
      <c r="A95" s="22" t="inlineStr">
        <is>
          <t>CUADRE · CAPEX de apertura SIN fondo de maniobra (base imponible) (X10)</t>
        </is>
      </c>
      <c r="B95" s="11" t="n">
        <v>86415.65000000001</v>
      </c>
      <c r="C95" s="23">
        <f>IFERROR(IF(B95=0,ABS('0. Supuestos'!$B$7-B95),ABS('0. Supuestos'!$B$7-B95)/ABS(B95)),"")</f>
        <v>0.0</v>
      </c>
      <c r="D95" s="24" t="str">
        <f>IF(NOT(ISNUMBER(C95)),"",IF(C95&lt;='0. Supuestos'!$B$91,"CUADRA","REVISA: no es lo que publica el libro 2"))</f>
        <v>CUADRA</v>
      </c>
      <c r="E95" s="12" t="inlineStr">
        <is>
          <t>Vuelve a copiar la cifra de su celda de origen (libro 2, calculadora-capex-churreria.xlsx!Resumen!L5) en la fila 7, o anota aquí lo que publica hoy.</t>
        </is>
      </c>
    </row>
    <row r="96" ht="40" customHeight="1">
      <c r="A96" s="22" t="inlineStr">
        <is>
          <t>CUADRE · Coste de materia por ración en sala (invierno, aceite absorbido incluido) (X11)</t>
        </is>
      </c>
      <c r="B96" s="13" t="n">
        <v>0.2731486410667722</v>
      </c>
      <c r="C96" s="23">
        <f>IFERROR(IF(B96=0,ABS('0. Supuestos'!$B$11-B96),ABS('0. Supuestos'!$B$11-B96)/ABS(B96)),"")</f>
        <v>0.0</v>
      </c>
      <c r="D96" s="24" t="str">
        <f>IF(NOT(ISNUMBER(C96)),"",IF(C96&lt;='0. Supuestos'!$B$91,"CUADRA","REVISA: no es lo que publica el libro 3"))</f>
        <v>CUADRA</v>
      </c>
      <c r="E96" s="12" t="inlineStr">
        <is>
          <t>Vuelve a copiar la cifra de su celda de origen (libro 3, carta-de-apertura-y-escandallo-churro.xlsx!Mix y Ticket Canal y Temporada!L9) en la fila 11, o anota aquí lo que publica hoy.</t>
        </is>
      </c>
    </row>
    <row r="97" ht="40" customHeight="1">
      <c r="A97" s="22" t="inlineStr">
        <is>
          <t>CUADRE · Coste de materia por ración para llevar (invierno, aceite absorbido incluido) (X11)</t>
        </is>
      </c>
      <c r="B97" s="13" t="n">
        <v>0.3054629283128055</v>
      </c>
      <c r="C97" s="23">
        <f>IFERROR(IF(B97=0,ABS('0. Supuestos'!$B$12-B97),ABS('0. Supuestos'!$B$12-B97)/ABS(B97)),"")</f>
        <v>0.0</v>
      </c>
      <c r="D97" s="24" t="str">
        <f>IF(NOT(ISNUMBER(C97)),"",IF(C97&lt;='0. Supuestos'!$B$91,"CUADRA","REVISA: no es lo que publica el libro 3"))</f>
        <v>CUADRA</v>
      </c>
      <c r="E97" s="12" t="inlineStr">
        <is>
          <t>Vuelve a copiar la cifra de su celda de origen (libro 3, carta-de-apertura-y-escandallo-churro.xlsx!Mix y Ticket Canal y Temporada!L8) en la fila 12, o anota aquí lo que publica hoy.</t>
        </is>
      </c>
    </row>
    <row r="98" ht="40" customHeight="1">
      <c r="A98" s="22" t="inlineStr">
        <is>
          <t>CUADRE · Ticket sin IVA por ración en sala (invierno) (X11)</t>
        </is>
      </c>
      <c r="B98" s="13" t="n">
        <v>2.148051948051948</v>
      </c>
      <c r="C98" s="23">
        <f>IFERROR(IF(B98=0,ABS('0. Supuestos'!$B$13-B98),ABS('0. Supuestos'!$B$13-B98)/ABS(B98)),"")</f>
        <v>0.0</v>
      </c>
      <c r="D98" s="24" t="str">
        <f>IF(NOT(ISNUMBER(C98)),"",IF(C98&lt;='0. Supuestos'!$B$91,"CUADRA","REVISA: no es lo que publica el libro 3"))</f>
        <v>CUADRA</v>
      </c>
      <c r="E98" s="12" t="inlineStr">
        <is>
          <t>Vuelve a copiar la cifra de su celda de origen (libro 3, carta-de-apertura-y-escandallo-churro.xlsx!Mix y Ticket Canal y Temporada!L10) en la fila 13, o anota aquí lo que publica hoy.</t>
        </is>
      </c>
    </row>
    <row r="99" ht="40" customHeight="1">
      <c r="A99" s="22" t="inlineStr">
        <is>
          <t>CUADRE · Ticket sin IVA por ración para llevar (invierno) (X11)</t>
        </is>
      </c>
      <c r="B99" s="13" t="n">
        <v>2.192424242424243</v>
      </c>
      <c r="C99" s="23">
        <f>IFERROR(IF(B99=0,ABS('0. Supuestos'!$B$14-B99),ABS('0. Supuestos'!$B$14-B99)/ABS(B99)),"")</f>
        <v>0.0</v>
      </c>
      <c r="D99" s="24" t="str">
        <f>IF(NOT(ISNUMBER(C99)),"",IF(C99&lt;='0. Supuestos'!$B$91,"CUADRA","REVISA: no es lo que publica el libro 3"))</f>
        <v>CUADRA</v>
      </c>
      <c r="E99" s="12" t="inlineStr">
        <is>
          <t>Vuelve a copiar la cifra de su celda de origen (libro 3, carta-de-apertura-y-escandallo-churro.xlsx!Mix y Ticket Canal y Temporada!L11) en la fila 14, o anota aquí lo que publica hoy.</t>
        </is>
      </c>
    </row>
    <row r="100" ht="40" customHeight="1">
      <c r="A100" s="22" t="inlineStr">
        <is>
          <t>CUADRE · Raciones que se consumen en sala (el resto, para llevar) (X11)</t>
        </is>
      </c>
      <c r="B100" s="14" t="n">
        <v>0.7</v>
      </c>
      <c r="C100" s="23">
        <f>IFERROR(IF(B100=0,ABS('0. Supuestos'!$B$15-B100),ABS('0. Supuestos'!$B$15-B100)/ABS(B100)),"")</f>
        <v>0.0</v>
      </c>
      <c r="D100" s="24" t="str">
        <f>IF(NOT(ISNUMBER(C100)),"",IF(C100&lt;='0. Supuestos'!$B$91,"CUADRA","REVISA: no es lo que publica el libro 3"))</f>
        <v>CUADRA</v>
      </c>
      <c r="E100" s="12" t="inlineStr">
        <is>
          <t>Vuelve a copiar la cifra de su celda de origen (libro 3, carta-de-apertura-y-escandallo-churro.xlsx!Mix y Ticket Canal y Temporada!L12) en la fila 15, o anota aquí lo que publica hoy.</t>
        </is>
      </c>
    </row>
    <row r="101" ht="40" customHeight="1">
      <c r="A101" s="22" t="inlineStr">
        <is>
          <t>CUADRE · Renovación del aceite por ración (el aceite que se tira al cambiar la cuba) (X12)</t>
        </is>
      </c>
      <c r="B101" s="13" t="n">
        <v>0.02839837398373984</v>
      </c>
      <c r="C101" s="23">
        <f>IFERROR(IF(B101=0,ABS('0. Supuestos'!$B$17-B101),ABS('0. Supuestos'!$B$17-B101)/ABS(B101)),"")</f>
        <v>0.0</v>
      </c>
      <c r="D101" s="24" t="str">
        <f>IF(NOT(ISNUMBER(C101)),"",IF(C101&lt;='0. Supuestos'!$B$91,"CUADRA","REVISA: no es lo que publica el libro 4"))</f>
        <v>CUADRA</v>
      </c>
      <c r="E101" s="12" t="inlineStr">
        <is>
          <t>Vuelve a copiar la cifra de su celda de origen (libro 4, aceite-de-fritura-coste-y-cambio.xlsx!Consumo y Reposición!L5) en la fila 17, o anota aquí lo que publica hoy.</t>
        </is>
      </c>
    </row>
    <row r="102" ht="40" customHeight="1">
      <c r="A102" s="22" t="inlineStr">
        <is>
          <t>CUADRE · Raciones de un año normal (X13)</t>
        </is>
      </c>
      <c r="B102" s="15" t="n">
        <v>107400</v>
      </c>
      <c r="C102" s="23">
        <f>IFERROR(IF(B102=0,ABS('0. Supuestos'!$B$19-B102),ABS('0. Supuestos'!$B$19-B102)/ABS(B102)),"")</f>
        <v>0.0</v>
      </c>
      <c r="D102" s="24" t="str">
        <f>IF(NOT(ISNUMBER(C102)),"",IF(C102&lt;='0. Supuestos'!$B$91,"CUADRA","REVISA: no es lo que publica el libro 5"))</f>
        <v>CUADRA</v>
      </c>
      <c r="E102" s="12" t="inlineStr">
        <is>
          <t>Vuelve a copiar la cifra de su celda de origen (libro 5, temporada-franjas-y-ferias.xlsx!Peso sobre el Año!L5) en la fila 19, o anota aquí lo que publica hoy.</t>
        </is>
      </c>
    </row>
    <row r="103" ht="40" customHeight="1">
      <c r="A103" s="22" t="inlineStr">
        <is>
          <t>CUADRE · Coeficiente de enero (X13)</t>
        </is>
      </c>
      <c r="B103" s="16" t="n">
        <v>1.25</v>
      </c>
      <c r="C103" s="23">
        <f>IFERROR(IF(B103=0,ABS('0. Supuestos'!$B$20-B103),ABS('0. Supuestos'!$B$20-B103)/ABS(B103)),"")</f>
        <v>0.0</v>
      </c>
      <c r="D103" s="24" t="str">
        <f>IF(NOT(ISNUMBER(C103)),"",IF(C103&lt;='0. Supuestos'!$B$91,"CUADRA","REVISA: no es lo que publica el libro 5"))</f>
        <v>CUADRA</v>
      </c>
      <c r="E103" s="12" t="inlineStr">
        <is>
          <t>Vuelve a copiar la cifra de su celda de origen (libro 5, temporada-franjas-y-ferias.xlsx!Peso sobre el Año!L6) en la fila 20, o anota aquí lo que publica hoy.</t>
        </is>
      </c>
    </row>
    <row r="104" ht="40" customHeight="1">
      <c r="A104" s="22" t="inlineStr">
        <is>
          <t>CUADRE · Coeficiente de febrero (X13)</t>
        </is>
      </c>
      <c r="B104" s="16" t="n">
        <v>1.15</v>
      </c>
      <c r="C104" s="23">
        <f>IFERROR(IF(B104=0,ABS('0. Supuestos'!$B$21-B104),ABS('0. Supuestos'!$B$21-B104)/ABS(B104)),"")</f>
        <v>0.0</v>
      </c>
      <c r="D104" s="24" t="str">
        <f>IF(NOT(ISNUMBER(C104)),"",IF(C104&lt;='0. Supuestos'!$B$91,"CUADRA","REVISA: no es lo que publica el libro 5"))</f>
        <v>CUADRA</v>
      </c>
      <c r="E104" s="12" t="inlineStr">
        <is>
          <t>Vuelve a copiar la cifra de su celda de origen (libro 5, temporada-franjas-y-ferias.xlsx!Peso sobre el Año!L7) en la fila 21, o anota aquí lo que publica hoy.</t>
        </is>
      </c>
    </row>
    <row r="105" ht="40" customHeight="1">
      <c r="A105" s="22" t="inlineStr">
        <is>
          <t>CUADRE · Coeficiente de marzo (X13)</t>
        </is>
      </c>
      <c r="B105" s="16" t="n">
        <v>1.1</v>
      </c>
      <c r="C105" s="23">
        <f>IFERROR(IF(B105=0,ABS('0. Supuestos'!$B$22-B105),ABS('0. Supuestos'!$B$22-B105)/ABS(B105)),"")</f>
        <v>0.0</v>
      </c>
      <c r="D105" s="24" t="str">
        <f>IF(NOT(ISNUMBER(C105)),"",IF(C105&lt;='0. Supuestos'!$B$91,"CUADRA","REVISA: no es lo que publica el libro 5"))</f>
        <v>CUADRA</v>
      </c>
      <c r="E105" s="12" t="inlineStr">
        <is>
          <t>Vuelve a copiar la cifra de su celda de origen (libro 5, temporada-franjas-y-ferias.xlsx!Peso sobre el Año!L8) en la fila 22, o anota aquí lo que publica hoy.</t>
        </is>
      </c>
    </row>
    <row r="106" ht="40" customHeight="1">
      <c r="A106" s="22" t="inlineStr">
        <is>
          <t>CUADRE · Coeficiente de abril (X13)</t>
        </is>
      </c>
      <c r="B106" s="16" t="n">
        <v>0.95</v>
      </c>
      <c r="C106" s="23">
        <f>IFERROR(IF(B106=0,ABS('0. Supuestos'!$B$23-B106),ABS('0. Supuestos'!$B$23-B106)/ABS(B106)),"")</f>
        <v>0.0</v>
      </c>
      <c r="D106" s="24" t="str">
        <f>IF(NOT(ISNUMBER(C106)),"",IF(C106&lt;='0. Supuestos'!$B$91,"CUADRA","REVISA: no es lo que publica el libro 5"))</f>
        <v>CUADRA</v>
      </c>
      <c r="E106" s="12" t="inlineStr">
        <is>
          <t>Vuelve a copiar la cifra de su celda de origen (libro 5, temporada-franjas-y-ferias.xlsx!Peso sobre el Año!L9) en la fila 23, o anota aquí lo que publica hoy.</t>
        </is>
      </c>
    </row>
    <row r="107" ht="40" customHeight="1">
      <c r="A107" s="22" t="inlineStr">
        <is>
          <t>CUADRE · Coeficiente de mayo (X13)</t>
        </is>
      </c>
      <c r="B107" s="16" t="n">
        <v>0.85</v>
      </c>
      <c r="C107" s="23">
        <f>IFERROR(IF(B107=0,ABS('0. Supuestos'!$B$24-B107),ABS('0. Supuestos'!$B$24-B107)/ABS(B107)),"")</f>
        <v>0.0</v>
      </c>
      <c r="D107" s="24" t="str">
        <f>IF(NOT(ISNUMBER(C107)),"",IF(C107&lt;='0. Supuestos'!$B$91,"CUADRA","REVISA: no es lo que publica el libro 5"))</f>
        <v>CUADRA</v>
      </c>
      <c r="E107" s="12" t="inlineStr">
        <is>
          <t>Vuelve a copiar la cifra de su celda de origen (libro 5, temporada-franjas-y-ferias.xlsx!Peso sobre el Año!L10) en la fila 24, o anota aquí lo que publica hoy.</t>
        </is>
      </c>
    </row>
    <row r="108" ht="40" customHeight="1">
      <c r="A108" s="22" t="inlineStr">
        <is>
          <t>CUADRE · Coeficiente de junio (X13)</t>
        </is>
      </c>
      <c r="B108" s="16" t="n">
        <v>0.7</v>
      </c>
      <c r="C108" s="23">
        <f>IFERROR(IF(B108=0,ABS('0. Supuestos'!$B$25-B108),ABS('0. Supuestos'!$B$25-B108)/ABS(B108)),"")</f>
        <v>0.0</v>
      </c>
      <c r="D108" s="24" t="str">
        <f>IF(NOT(ISNUMBER(C108)),"",IF(C108&lt;='0. Supuestos'!$B$91,"CUADRA","REVISA: no es lo que publica el libro 5"))</f>
        <v>CUADRA</v>
      </c>
      <c r="E108" s="12" t="inlineStr">
        <is>
          <t>Vuelve a copiar la cifra de su celda de origen (libro 5, temporada-franjas-y-ferias.xlsx!Peso sobre el Año!L11) en la fila 25, o anota aquí lo que publica hoy.</t>
        </is>
      </c>
    </row>
    <row r="109" ht="40" customHeight="1">
      <c r="A109" s="22" t="inlineStr">
        <is>
          <t>CUADRE · Coeficiente de julio (X13)</t>
        </is>
      </c>
      <c r="B109" s="16" t="n">
        <v>0.55</v>
      </c>
      <c r="C109" s="23">
        <f>IFERROR(IF(B109=0,ABS('0. Supuestos'!$B$26-B109),ABS('0. Supuestos'!$B$26-B109)/ABS(B109)),"")</f>
        <v>0.0</v>
      </c>
      <c r="D109" s="24" t="str">
        <f>IF(NOT(ISNUMBER(C109)),"",IF(C109&lt;='0. Supuestos'!$B$91,"CUADRA","REVISA: no es lo que publica el libro 5"))</f>
        <v>CUADRA</v>
      </c>
      <c r="E109" s="12" t="inlineStr">
        <is>
          <t>Vuelve a copiar la cifra de su celda de origen (libro 5, temporada-franjas-y-ferias.xlsx!Peso sobre el Año!L12) en la fila 26, o anota aquí lo que publica hoy.</t>
        </is>
      </c>
    </row>
    <row r="110" ht="40" customHeight="1">
      <c r="A110" s="22" t="inlineStr">
        <is>
          <t>CUADRE · Coeficiente de agosto (X13)</t>
        </is>
      </c>
      <c r="B110" s="16" t="n">
        <v>0.5</v>
      </c>
      <c r="C110" s="23">
        <f>IFERROR(IF(B110=0,ABS('0. Supuestos'!$B$27-B110),ABS('0. Supuestos'!$B$27-B110)/ABS(B110)),"")</f>
        <v>0.0</v>
      </c>
      <c r="D110" s="24" t="str">
        <f>IF(NOT(ISNUMBER(C110)),"",IF(C110&lt;='0. Supuestos'!$B$91,"CUADRA","REVISA: no es lo que publica el libro 5"))</f>
        <v>CUADRA</v>
      </c>
      <c r="E110" s="12" t="inlineStr">
        <is>
          <t>Vuelve a copiar la cifra de su celda de origen (libro 5, temporada-franjas-y-ferias.xlsx!Peso sobre el Año!L13) en la fila 27, o anota aquí lo que publica hoy.</t>
        </is>
      </c>
    </row>
    <row r="111" ht="40" customHeight="1">
      <c r="A111" s="22" t="inlineStr">
        <is>
          <t>CUADRE · Coeficiente de septiembre (X13)</t>
        </is>
      </c>
      <c r="B111" s="16" t="n">
        <v>0.8</v>
      </c>
      <c r="C111" s="23">
        <f>IFERROR(IF(B111=0,ABS('0. Supuestos'!$B$28-B111),ABS('0. Supuestos'!$B$28-B111)/ABS(B111)),"")</f>
        <v>0.0</v>
      </c>
      <c r="D111" s="24" t="str">
        <f>IF(NOT(ISNUMBER(C111)),"",IF(C111&lt;='0. Supuestos'!$B$91,"CUADRA","REVISA: no es lo que publica el libro 5"))</f>
        <v>CUADRA</v>
      </c>
      <c r="E111" s="12" t="inlineStr">
        <is>
          <t>Vuelve a copiar la cifra de su celda de origen (libro 5, temporada-franjas-y-ferias.xlsx!Peso sobre el Año!L14) en la fila 28, o anota aquí lo que publica hoy.</t>
        </is>
      </c>
    </row>
    <row r="112" ht="40" customHeight="1">
      <c r="A112" s="22" t="inlineStr">
        <is>
          <t>CUADRE · Coeficiente de octubre (X13)</t>
        </is>
      </c>
      <c r="B112" s="16" t="n">
        <v>1.1</v>
      </c>
      <c r="C112" s="23">
        <f>IFERROR(IF(B112=0,ABS('0. Supuestos'!$B$29-B112),ABS('0. Supuestos'!$B$29-B112)/ABS(B112)),"")</f>
        <v>0.0</v>
      </c>
      <c r="D112" s="24" t="str">
        <f>IF(NOT(ISNUMBER(C112)),"",IF(C112&lt;='0. Supuestos'!$B$91,"CUADRA","REVISA: no es lo que publica el libro 5"))</f>
        <v>CUADRA</v>
      </c>
      <c r="E112" s="12" t="inlineStr">
        <is>
          <t>Vuelve a copiar la cifra de su celda de origen (libro 5, temporada-franjas-y-ferias.xlsx!Peso sobre el Año!L15) en la fila 29, o anota aquí lo que publica hoy.</t>
        </is>
      </c>
    </row>
    <row r="113" ht="40" customHeight="1">
      <c r="A113" s="22" t="inlineStr">
        <is>
          <t>CUADRE · Coeficiente de noviembre (X13)</t>
        </is>
      </c>
      <c r="B113" s="16" t="n">
        <v>1.3</v>
      </c>
      <c r="C113" s="23">
        <f>IFERROR(IF(B113=0,ABS('0. Supuestos'!$B$30-B113),ABS('0. Supuestos'!$B$30-B113)/ABS(B113)),"")</f>
        <v>0.0</v>
      </c>
      <c r="D113" s="24" t="str">
        <f>IF(NOT(ISNUMBER(C113)),"",IF(C113&lt;='0. Supuestos'!$B$91,"CUADRA","REVISA: no es lo que publica el libro 5"))</f>
        <v>CUADRA</v>
      </c>
      <c r="E113" s="12" t="inlineStr">
        <is>
          <t>Vuelve a copiar la cifra de su celda de origen (libro 5, temporada-franjas-y-ferias.xlsx!Peso sobre el Año!L16) en la fila 30, o anota aquí lo que publica hoy.</t>
        </is>
      </c>
    </row>
    <row r="114" ht="40" customHeight="1">
      <c r="A114" s="22" t="inlineStr">
        <is>
          <t>CUADRE · Coeficiente de diciembre (X13)</t>
        </is>
      </c>
      <c r="B114" s="16" t="n">
        <v>1.75</v>
      </c>
      <c r="C114" s="23">
        <f>IFERROR(IF(B114=0,ABS('0. Supuestos'!$B$31-B114),ABS('0. Supuestos'!$B$31-B114)/ABS(B114)),"")</f>
        <v>0.0</v>
      </c>
      <c r="D114" s="24" t="str">
        <f>IF(NOT(ISNUMBER(C114)),"",IF(C114&lt;='0. Supuestos'!$B$91,"CUADRA","REVISA: no es lo que publica el libro 5"))</f>
        <v>CUADRA</v>
      </c>
      <c r="E114" s="12" t="inlineStr">
        <is>
          <t>Vuelve a copiar la cifra de su celda de origen (libro 5, temporada-franjas-y-ferias.xlsx!Peso sobre el Año!L17) en la fila 31, o anota aquí lo que publica hoy.</t>
        </is>
      </c>
    </row>
    <row r="115" ht="40" customHeight="1">
      <c r="A115" s="22" t="inlineStr">
        <is>
          <t>CUADRE · Resultado anual de ferias (las de fuera de julio y agosto) (X14)</t>
        </is>
      </c>
      <c r="B115" s="11" t="n">
        <v>0</v>
      </c>
      <c r="C115" s="23">
        <f>IFERROR(IF(B115=0,ABS('0. Supuestos'!$B$32-B115),ABS('0. Supuestos'!$B$32-B115)/ABS(B115)),"")</f>
        <v>0.0</v>
      </c>
      <c r="D115" s="24" t="str">
        <f>IF(NOT(ISNUMBER(C115)),"",IF(C115&lt;='0. Supuestos'!$B$91,"CUADRA","REVISA: no es lo que publica el libro 5"))</f>
        <v>CUADRA</v>
      </c>
      <c r="E115" s="12" t="inlineStr">
        <is>
          <t>Vuelve a copiar la cifra de su celda de origen (libro 5, temporada-franjas-y-ferias.xlsx!Calendario de Ferias!L5) en la fila 32, o anota aquí lo que publica hoy.</t>
        </is>
      </c>
    </row>
    <row r="116" ht="40" customHeight="1">
      <c r="A116" s="22" t="inlineStr">
        <is>
          <t>CUADRE · Coste anual de la plantilla (Seguridad Social, refuerzos y sustituciones incluidos) (X15)</t>
        </is>
      </c>
      <c r="B116" s="11" t="n">
        <v>119350.201113611</v>
      </c>
      <c r="C116" s="23">
        <f>IFERROR(IF(B116=0,ABS('0. Supuestos'!$B$39-B116),ABS('0. Supuestos'!$B$39-B116)/ABS(B116)),"")</f>
        <v>0.0</v>
      </c>
      <c r="D116" s="24" t="str">
        <f>IF(NOT(ISNUMBER(C116)),"",IF(C116&lt;='0. Supuestos'!$B$91,"CUADRA","REVISA: no es lo que publica el libro 8"))</f>
        <v>CUADRA</v>
      </c>
      <c r="E116" s="12" t="inlineStr">
        <is>
          <t>Vuelve a copiar la cifra de su celda de origen (libro 8, turnos-plantilla-y-madrugada.xlsx!Coste de Plantilla!L5) en la fila 39, o anota aquí lo que publica hoy.</t>
        </is>
      </c>
    </row>
    <row r="117" ht="40" customHeight="1">
      <c r="A117" s="22" t="inlineStr">
        <is>
          <t>CUADRE · Contribución de julio y agosto de la salida que eliges (X16)</t>
        </is>
      </c>
      <c r="B117" s="11" t="n">
        <v>17368.70905707602</v>
      </c>
      <c r="C117" s="23">
        <f>IFERROR(IF(B117=0,ABS('0. Supuestos'!$B$33-B117),ABS('0. Supuestos'!$B$33-B117)/ABS(B117)),"")</f>
        <v>0.0</v>
      </c>
      <c r="D117" s="24" t="str">
        <f>IF(NOT(ISNUMBER(C117)),"",IF(C117&lt;='0. Supuestos'!$B$91,"CUADRA","REVISA: no es lo que publica el libro 5"))</f>
        <v>CUADRA</v>
      </c>
      <c r="E117" s="12" t="inlineStr">
        <is>
          <t>Vuelve a copiar la cifra de su celda de origen (libro 5, temporada-franjas-y-ferias.xlsx!El Verano (Tres Salidas)!L5) en la fila 33, o anota aquí lo que publica hoy.</t>
        </is>
      </c>
    </row>
    <row r="118" ht="40" customHeight="1">
      <c r="A118" s="22" t="inlineStr">
        <is>
          <t>CUADRE · Renta mensual del local (sin IVA) (X18)</t>
        </is>
      </c>
      <c r="B118" s="11" t="n">
        <v>910</v>
      </c>
      <c r="C118" s="23">
        <f>IFERROR(IF(B118=0,ABS('0. Supuestos'!$B$8-B118),ABS('0. Supuestos'!$B$8-B118)/ABS(B118)),"")</f>
        <v>0.0</v>
      </c>
      <c r="D118" s="24" t="str">
        <f>IF(NOT(ISNUMBER(C118)),"",IF(C118&lt;='0. Supuestos'!$B$91,"CUADRA","REVISA: no es lo que publica el libro 2"))</f>
        <v>CUADRA</v>
      </c>
      <c r="E118" s="12" t="inlineStr">
        <is>
          <t>Vuelve a copiar la cifra de su celda de origen (libro 2, calculadora-capex-churreria.xlsx!Parámetros!L5) en la fila 8, o anota aquí lo que publica hoy.</t>
        </is>
      </c>
    </row>
    <row r="119" ht="40" customHeight="1">
      <c r="A119" s="22" t="inlineStr">
        <is>
          <t>CUADRE · Partidas del CAPEX que no se amortizan (fianza, stock inicial y marketing de apertura) (X10 bis)</t>
        </is>
      </c>
      <c r="B119" s="11" t="n">
        <v>4668.300000000003</v>
      </c>
      <c r="C119" s="23">
        <f>IFERROR(IF(B119=0,ABS('0. Supuestos'!$B$9-B119),ABS('0. Supuestos'!$B$9-B119)/ABS(B119)),"")</f>
        <v>0.0</v>
      </c>
      <c r="D119" s="24" t="str">
        <f>IF(NOT(ISNUMBER(C119)),"",IF(C119&lt;='0. Supuestos'!$B$91,"CUADRA","REVISA: no es lo que publica el libro 2"))</f>
        <v>CUADRA</v>
      </c>
      <c r="E119" s="12" t="inlineStr">
        <is>
          <t>Vuelve a copiar la cifra de su celda de origen (libro 2, calculadora-capex-churreria.xlsx!Resumen!L6) en la fila 9, o anota aquí lo que publica hoy.</t>
        </is>
      </c>
    </row>
    <row r="120" ht="40" customHeight="1">
      <c r="A120" s="22" t="inlineStr">
        <is>
          <t>CUADRE · Contribución de julio y agosto si cierras (X16 bis)</t>
        </is>
      </c>
      <c r="B120" s="11" t="n">
        <v>0</v>
      </c>
      <c r="C120" s="23">
        <f>IFERROR(IF(B120=0,ABS('0. Supuestos'!$B$34-B120),ABS('0. Supuestos'!$B$34-B120)/ABS(B120)),"")</f>
        <v>0.0</v>
      </c>
      <c r="D120" s="24" t="str">
        <f>IF(NOT(ISNUMBER(C120)),"",IF(C120&lt;='0. Supuestos'!$B$91,"CUADRA","REVISA: no es lo que publica el libro 5"))</f>
        <v>CUADRA</v>
      </c>
      <c r="E120" s="12" t="inlineStr">
        <is>
          <t>Vuelve a copiar la cifra de su celda de origen (libro 5, temporada-franjas-y-ferias.xlsx!El Verano (Tres Salidas)!L6) en la fila 34, o anota aquí lo que publica hoy.</t>
        </is>
      </c>
    </row>
    <row r="121" ht="40" customHeight="1">
      <c r="A121" s="22" t="inlineStr">
        <is>
          <t>CUADRE · Contribución de julio y agosto con carta de verano (X16 bis)</t>
        </is>
      </c>
      <c r="B121" s="11" t="n">
        <v>17368.70905707602</v>
      </c>
      <c r="C121" s="23">
        <f>IFERROR(IF(B121=0,ABS('0. Supuestos'!$B$35-B121),ABS('0. Supuestos'!$B$35-B121)/ABS(B121)),"")</f>
        <v>0.0</v>
      </c>
      <c r="D121" s="24" t="str">
        <f>IF(NOT(ISNUMBER(C121)),"",IF(C121&lt;='0. Supuestos'!$B$91,"CUADRA","REVISA: no es lo que publica el libro 5"))</f>
        <v>CUADRA</v>
      </c>
      <c r="E121" s="12" t="inlineStr">
        <is>
          <t>Vuelve a copiar la cifra de su celda de origen (libro 5, temporada-franjas-y-ferias.xlsx!El Verano (Tres Salidas)!L7) en la fila 35, o anota aquí lo que publica hoy.</t>
        </is>
      </c>
    </row>
    <row r="122" ht="40" customHeight="1">
      <c r="A122" s="22" t="inlineStr">
        <is>
          <t>CUADRE · Contribución de julio y agosto con ferias (X16 bis)</t>
        </is>
      </c>
      <c r="B122" s="11" t="n">
        <v>2106.453743784074</v>
      </c>
      <c r="C122" s="23">
        <f>IFERROR(IF(B122=0,ABS('0. Supuestos'!$B$36-B122),ABS('0. Supuestos'!$B$36-B122)/ABS(B122)),"")</f>
        <v>0.0</v>
      </c>
      <c r="D122" s="24" t="str">
        <f>IF(NOT(ISNUMBER(C122)),"",IF(C122&lt;='0. Supuestos'!$B$91,"CUADRA","REVISA: no es lo que publica el libro 5"))</f>
        <v>CUADRA</v>
      </c>
      <c r="E122" s="12" t="inlineStr">
        <is>
          <t>Vuelve a copiar la cifra de su celda de origen (libro 5, temporada-franjas-y-ferias.xlsx!El Verano (Tres Salidas)!L8) en la fila 36, o anota aquí lo que publica hoy.</t>
        </is>
      </c>
    </row>
    <row r="123" ht="40" customHeight="1">
      <c r="A123" s="22" t="inlineStr">
        <is>
          <t>CUADRE · Ventas sin IVA del local en julio y agosto de la salida que eliges (X16 ter)</t>
        </is>
      </c>
      <c r="B123" s="11" t="n">
        <v>20737.71954545454</v>
      </c>
      <c r="C123" s="23">
        <f>IFERROR(IF(B123=0,ABS('0. Supuestos'!$B$37-B123),ABS('0. Supuestos'!$B$37-B123)/ABS(B123)),"")</f>
        <v>0.0</v>
      </c>
      <c r="D123" s="24" t="str">
        <f>IF(NOT(ISNUMBER(C123)),"",IF(C123&lt;='0. Supuestos'!$B$91,"CUADRA","REVISA: no es lo que publica el libro 5"))</f>
        <v>CUADRA</v>
      </c>
      <c r="E123" s="12" t="inlineStr">
        <is>
          <t>Vuelve a copiar la cifra de su celda de origen (libro 5, temporada-franjas-y-ferias.xlsx!El Verano (Tres Salidas)!L9) en la fila 37, o anota aquí lo que publica hoy.</t>
        </is>
      </c>
    </row>
    <row r="124"/>
    <row r="125">
      <c r="A125"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1">
    <mergeCell ref="A3:E3"/>
  </mergeCells>
  <conditionalFormatting sqref="D95">
    <cfRule type="cellIs" priority="1" operator="equal" dxfId="0" stopIfTrue="1">
      <formula>"CUADRA"</formula>
    </cfRule>
    <cfRule type="cellIs" priority="2" operator="equal" dxfId="1" stopIfTrue="1">
      <formula>"REVISA: no es lo que publica el libro 2"</formula>
    </cfRule>
  </conditionalFormatting>
  <conditionalFormatting sqref="D96">
    <cfRule type="cellIs" priority="3" operator="equal" dxfId="0" stopIfTrue="1">
      <formula>"CUADRA"</formula>
    </cfRule>
    <cfRule type="cellIs" priority="4" operator="equal" dxfId="1" stopIfTrue="1">
      <formula>"REVISA: no es lo que publica el libro 3"</formula>
    </cfRule>
  </conditionalFormatting>
  <conditionalFormatting sqref="D97">
    <cfRule type="cellIs" priority="5" operator="equal" dxfId="0" stopIfTrue="1">
      <formula>"CUADRA"</formula>
    </cfRule>
    <cfRule type="cellIs" priority="6" operator="equal" dxfId="1" stopIfTrue="1">
      <formula>"REVISA: no es lo que publica el libro 3"</formula>
    </cfRule>
  </conditionalFormatting>
  <conditionalFormatting sqref="D98">
    <cfRule type="cellIs" priority="7" operator="equal" dxfId="0" stopIfTrue="1">
      <formula>"CUADRA"</formula>
    </cfRule>
    <cfRule type="cellIs" priority="8" operator="equal" dxfId="1" stopIfTrue="1">
      <formula>"REVISA: no es lo que publica el libro 3"</formula>
    </cfRule>
  </conditionalFormatting>
  <conditionalFormatting sqref="D99">
    <cfRule type="cellIs" priority="9" operator="equal" dxfId="0" stopIfTrue="1">
      <formula>"CUADRA"</formula>
    </cfRule>
    <cfRule type="cellIs" priority="10" operator="equal" dxfId="1" stopIfTrue="1">
      <formula>"REVISA: no es lo que publica el libro 3"</formula>
    </cfRule>
  </conditionalFormatting>
  <conditionalFormatting sqref="D100">
    <cfRule type="cellIs" priority="11" operator="equal" dxfId="0" stopIfTrue="1">
      <formula>"CUADRA"</formula>
    </cfRule>
    <cfRule type="cellIs" priority="12" operator="equal" dxfId="1" stopIfTrue="1">
      <formula>"REVISA: no es lo que publica el libro 3"</formula>
    </cfRule>
  </conditionalFormatting>
  <conditionalFormatting sqref="D101">
    <cfRule type="cellIs" priority="13" operator="equal" dxfId="0" stopIfTrue="1">
      <formula>"CUADRA"</formula>
    </cfRule>
    <cfRule type="cellIs" priority="14" operator="equal" dxfId="1" stopIfTrue="1">
      <formula>"REVISA: no es lo que publica el libro 4"</formula>
    </cfRule>
  </conditionalFormatting>
  <conditionalFormatting sqref="D102">
    <cfRule type="cellIs" priority="15" operator="equal" dxfId="0" stopIfTrue="1">
      <formula>"CUADRA"</formula>
    </cfRule>
    <cfRule type="cellIs" priority="16" operator="equal" dxfId="1" stopIfTrue="1">
      <formula>"REVISA: no es lo que publica el libro 5"</formula>
    </cfRule>
  </conditionalFormatting>
  <conditionalFormatting sqref="D103">
    <cfRule type="cellIs" priority="17" operator="equal" dxfId="0" stopIfTrue="1">
      <formula>"CUADRA"</formula>
    </cfRule>
    <cfRule type="cellIs" priority="18" operator="equal" dxfId="1" stopIfTrue="1">
      <formula>"REVISA: no es lo que publica el libro 5"</formula>
    </cfRule>
  </conditionalFormatting>
  <conditionalFormatting sqref="D104">
    <cfRule type="cellIs" priority="19" operator="equal" dxfId="0" stopIfTrue="1">
      <formula>"CUADRA"</formula>
    </cfRule>
    <cfRule type="cellIs" priority="20" operator="equal" dxfId="1" stopIfTrue="1">
      <formula>"REVISA: no es lo que publica el libro 5"</formula>
    </cfRule>
  </conditionalFormatting>
  <conditionalFormatting sqref="D105">
    <cfRule type="cellIs" priority="21" operator="equal" dxfId="0" stopIfTrue="1">
      <formula>"CUADRA"</formula>
    </cfRule>
    <cfRule type="cellIs" priority="22" operator="equal" dxfId="1" stopIfTrue="1">
      <formula>"REVISA: no es lo que publica el libro 5"</formula>
    </cfRule>
  </conditionalFormatting>
  <conditionalFormatting sqref="D106">
    <cfRule type="cellIs" priority="23" operator="equal" dxfId="0" stopIfTrue="1">
      <formula>"CUADRA"</formula>
    </cfRule>
    <cfRule type="cellIs" priority="24" operator="equal" dxfId="1" stopIfTrue="1">
      <formula>"REVISA: no es lo que publica el libro 5"</formula>
    </cfRule>
  </conditionalFormatting>
  <conditionalFormatting sqref="D107">
    <cfRule type="cellIs" priority="25" operator="equal" dxfId="0" stopIfTrue="1">
      <formula>"CUADRA"</formula>
    </cfRule>
    <cfRule type="cellIs" priority="26" operator="equal" dxfId="1" stopIfTrue="1">
      <formula>"REVISA: no es lo que publica el libro 5"</formula>
    </cfRule>
  </conditionalFormatting>
  <conditionalFormatting sqref="D108">
    <cfRule type="cellIs" priority="27" operator="equal" dxfId="0" stopIfTrue="1">
      <formula>"CUADRA"</formula>
    </cfRule>
    <cfRule type="cellIs" priority="28" operator="equal" dxfId="1" stopIfTrue="1">
      <formula>"REVISA: no es lo que publica el libro 5"</formula>
    </cfRule>
  </conditionalFormatting>
  <conditionalFormatting sqref="D109">
    <cfRule type="cellIs" priority="29" operator="equal" dxfId="0" stopIfTrue="1">
      <formula>"CUADRA"</formula>
    </cfRule>
    <cfRule type="cellIs" priority="30" operator="equal" dxfId="1" stopIfTrue="1">
      <formula>"REVISA: no es lo que publica el libro 5"</formula>
    </cfRule>
  </conditionalFormatting>
  <conditionalFormatting sqref="D110">
    <cfRule type="cellIs" priority="31" operator="equal" dxfId="0" stopIfTrue="1">
      <formula>"CUADRA"</formula>
    </cfRule>
    <cfRule type="cellIs" priority="32" operator="equal" dxfId="1" stopIfTrue="1">
      <formula>"REVISA: no es lo que publica el libro 5"</formula>
    </cfRule>
  </conditionalFormatting>
  <conditionalFormatting sqref="D111">
    <cfRule type="cellIs" priority="33" operator="equal" dxfId="0" stopIfTrue="1">
      <formula>"CUADRA"</formula>
    </cfRule>
    <cfRule type="cellIs" priority="34" operator="equal" dxfId="1" stopIfTrue="1">
      <formula>"REVISA: no es lo que publica el libro 5"</formula>
    </cfRule>
  </conditionalFormatting>
  <conditionalFormatting sqref="D112">
    <cfRule type="cellIs" priority="35" operator="equal" dxfId="0" stopIfTrue="1">
      <formula>"CUADRA"</formula>
    </cfRule>
    <cfRule type="cellIs" priority="36" operator="equal" dxfId="1" stopIfTrue="1">
      <formula>"REVISA: no es lo que publica el libro 5"</formula>
    </cfRule>
  </conditionalFormatting>
  <conditionalFormatting sqref="D113">
    <cfRule type="cellIs" priority="37" operator="equal" dxfId="0" stopIfTrue="1">
      <formula>"CUADRA"</formula>
    </cfRule>
    <cfRule type="cellIs" priority="38" operator="equal" dxfId="1" stopIfTrue="1">
      <formula>"REVISA: no es lo que publica el libro 5"</formula>
    </cfRule>
  </conditionalFormatting>
  <conditionalFormatting sqref="D114">
    <cfRule type="cellIs" priority="39" operator="equal" dxfId="0" stopIfTrue="1">
      <formula>"CUADRA"</formula>
    </cfRule>
    <cfRule type="cellIs" priority="40" operator="equal" dxfId="1" stopIfTrue="1">
      <formula>"REVISA: no es lo que publica el libro 5"</formula>
    </cfRule>
  </conditionalFormatting>
  <conditionalFormatting sqref="D115">
    <cfRule type="cellIs" priority="41" operator="equal" dxfId="0" stopIfTrue="1">
      <formula>"CUADRA"</formula>
    </cfRule>
    <cfRule type="cellIs" priority="42" operator="equal" dxfId="1" stopIfTrue="1">
      <formula>"REVISA: no es lo que publica el libro 5"</formula>
    </cfRule>
  </conditionalFormatting>
  <conditionalFormatting sqref="D116">
    <cfRule type="cellIs" priority="43" operator="equal" dxfId="0" stopIfTrue="1">
      <formula>"CUADRA"</formula>
    </cfRule>
    <cfRule type="cellIs" priority="44" operator="equal" dxfId="1" stopIfTrue="1">
      <formula>"REVISA: no es lo que publica el libro 8"</formula>
    </cfRule>
  </conditionalFormatting>
  <conditionalFormatting sqref="D117">
    <cfRule type="cellIs" priority="45" operator="equal" dxfId="0" stopIfTrue="1">
      <formula>"CUADRA"</formula>
    </cfRule>
    <cfRule type="cellIs" priority="46" operator="equal" dxfId="1" stopIfTrue="1">
      <formula>"REVISA: no es lo que publica el libro 5"</formula>
    </cfRule>
  </conditionalFormatting>
  <conditionalFormatting sqref="D118">
    <cfRule type="cellIs" priority="47" operator="equal" dxfId="0" stopIfTrue="1">
      <formula>"CUADRA"</formula>
    </cfRule>
    <cfRule type="cellIs" priority="48" operator="equal" dxfId="1" stopIfTrue="1">
      <formula>"REVISA: no es lo que publica el libro 2"</formula>
    </cfRule>
  </conditionalFormatting>
  <conditionalFormatting sqref="D119">
    <cfRule type="cellIs" priority="49" operator="equal" dxfId="0" stopIfTrue="1">
      <formula>"CUADRA"</formula>
    </cfRule>
    <cfRule type="cellIs" priority="50" operator="equal" dxfId="1" stopIfTrue="1">
      <formula>"REVISA: no es lo que publica el libro 2"</formula>
    </cfRule>
  </conditionalFormatting>
  <conditionalFormatting sqref="D120">
    <cfRule type="cellIs" priority="51" operator="equal" dxfId="0" stopIfTrue="1">
      <formula>"CUADRA"</formula>
    </cfRule>
    <cfRule type="cellIs" priority="52" operator="equal" dxfId="1" stopIfTrue="1">
      <formula>"REVISA: no es lo que publica el libro 5"</formula>
    </cfRule>
  </conditionalFormatting>
  <conditionalFormatting sqref="D121">
    <cfRule type="cellIs" priority="53" operator="equal" dxfId="0" stopIfTrue="1">
      <formula>"CUADRA"</formula>
    </cfRule>
    <cfRule type="cellIs" priority="54" operator="equal" dxfId="1" stopIfTrue="1">
      <formula>"REVISA: no es lo que publica el libro 5"</formula>
    </cfRule>
  </conditionalFormatting>
  <conditionalFormatting sqref="D122">
    <cfRule type="cellIs" priority="55" operator="equal" dxfId="0" stopIfTrue="1">
      <formula>"CUADRA"</formula>
    </cfRule>
    <cfRule type="cellIs" priority="56" operator="equal" dxfId="1" stopIfTrue="1">
      <formula>"REVISA: no es lo que publica el libro 5"</formula>
    </cfRule>
  </conditionalFormatting>
  <conditionalFormatting sqref="D123">
    <cfRule type="cellIs" priority="57" operator="equal" dxfId="0" stopIfTrue="1">
      <formula>"CUADRA"</formula>
    </cfRule>
    <cfRule type="cellIs" priority="58" operator="equal" dxfId="1" stopIfTrue="1">
      <formula>"REVISA: no es lo que publica el libro 5"</formula>
    </cfRule>
  </conditionalFormatting>
  <dataValidations count="95">
    <dataValidation sqref="B7" showDropDown="0" showInputMessage="0" showErrorMessage="1" allowBlank="1" errorTitle="Importe no válido" error="Escribe un número mayor o igual que 0." type="decimal" operator="greaterThanOrEqual">
      <formula1>0</formula1>
    </dataValidation>
    <dataValidation sqref="B11" showDropDown="0" showInputMessage="0" showErrorMessage="1" allowBlank="1" errorTitle="Importe no válido" error="Escribe un número mayor o igual que 0." type="decimal" operator="greaterThanOrEqual">
      <formula1>0</formula1>
    </dataValidation>
    <dataValidation sqref="B12" showDropDown="0" showInputMessage="0" showErrorMessage="1" allowBlank="1" errorTitle="Importe no válido" error="Escribe un número mayor o igual que 0." type="decimal" operator="greaterThanOrEqual">
      <formula1>0</formula1>
    </dataValidation>
    <dataValidation sqref="B13" showDropDown="0" showInputMessage="0" showErrorMessage="1" allowBlank="1" errorTitle="Importe no válido" error="Escribe un número mayor o igual que 0." type="decimal" operator="greaterThanOrEqual">
      <formula1>0</formula1>
    </dataValidation>
    <dataValidation sqref="B14" showDropDown="0" showInputMessage="0" showErrorMessage="1" allowBlank="1" errorTitle="Importe no válido" error="Escribe un número mayor o igual que 0." type="decimal" operator="greaterThanOrEqual">
      <formula1>0</formula1>
    </dataValidation>
    <dataValidation sqref="B15"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17" showDropDown="0" showInputMessage="0" showErrorMessage="1" allowBlank="1" errorTitle="Importe no válido" error="Escribe un número mayor o igual que 0." type="decimal" operator="greaterThanOrEqual">
      <formula1>0</formula1>
    </dataValidation>
    <dataValidation sqref="B19" showDropDown="0" showInputMessage="0" showErrorMessage="1" allowBlank="1" errorTitle="Importe no válido" error="Escribe un número mayor o igual que 0." type="decimal" operator="greaterThanOrEqual">
      <formula1>0</formula1>
    </dataValidation>
    <dataValidation sqref="B20" showDropDown="0" showInputMessage="0" showErrorMessage="1" allowBlank="1" errorTitle="Importe no válido" error="Escribe un número mayor o igual que 0." type="decimal" operator="greaterThanOrEqual">
      <formula1>0</formula1>
    </dataValidation>
    <dataValidation sqref="B21" showDropDown="0" showInputMessage="0" showErrorMessage="1" allowBlank="1" errorTitle="Importe no válido" error="Escribe un número mayor o igual que 0." type="decimal" operator="greaterThanOrEqual">
      <formula1>0</formula1>
    </dataValidation>
    <dataValidation sqref="B22" showDropDown="0" showInputMessage="0" showErrorMessage="1" allowBlank="1" errorTitle="Importe no válido" error="Escribe un número mayor o igual que 0." type="decimal" operator="greaterThanOrEqual">
      <formula1>0</formula1>
    </dataValidation>
    <dataValidation sqref="B23" showDropDown="0" showInputMessage="0" showErrorMessage="1" allowBlank="1" errorTitle="Importe no válido" error="Escribe un número mayor o igual que 0." type="decimal" operator="greaterThanOrEqual">
      <formula1>0</formula1>
    </dataValidation>
    <dataValidation sqref="B24" showDropDown="0" showInputMessage="0" showErrorMessage="1" allowBlank="1" errorTitle="Importe no válido" error="Escribe un número mayor o igual que 0." type="decimal" operator="greaterThanOrEqual">
      <formula1>0</formula1>
    </dataValidation>
    <dataValidation sqref="B25" showDropDown="0" showInputMessage="0" showErrorMessage="1" allowBlank="1" errorTitle="Importe no válido" error="Escribe un número mayor o igual que 0." type="decimal" operator="greaterThanOrEqual">
      <formula1>0</formula1>
    </dataValidation>
    <dataValidation sqref="B26" showDropDown="0" showInputMessage="0" showErrorMessage="1" allowBlank="1" errorTitle="Importe no válido" error="Escribe un número mayor o igual que 0." type="decimal" operator="greaterThanOrEqual">
      <formula1>0</formula1>
    </dataValidation>
    <dataValidation sqref="B27" showDropDown="0" showInputMessage="0" showErrorMessage="1" allowBlank="1" errorTitle="Importe no válido" error="Escribe un número mayor o igual que 0." type="decimal" operator="greaterThanOrEqual">
      <formula1>0</formula1>
    </dataValidation>
    <dataValidation sqref="B28" showDropDown="0" showInputMessage="0" showErrorMessage="1" allowBlank="1" errorTitle="Importe no válido" error="Escribe un número mayor o igual que 0." type="decimal" operator="greaterThanOrEqual">
      <formula1>0</formula1>
    </dataValidation>
    <dataValidation sqref="B29" showDropDown="0" showInputMessage="0" showErrorMessage="1" allowBlank="1" errorTitle="Importe no válido" error="Escribe un número mayor o igual que 0." type="decimal" operator="greaterThanOrEqual">
      <formula1>0</formula1>
    </dataValidation>
    <dataValidation sqref="B30" showDropDown="0" showInputMessage="0" showErrorMessage="1" allowBlank="1" errorTitle="Importe no válido" error="Escribe un número mayor o igual que 0." type="decimal" operator="greaterThanOrEqual">
      <formula1>0</formula1>
    </dataValidation>
    <dataValidation sqref="B31" showDropDown="0" showInputMessage="0" showErrorMessage="1" allowBlank="1" errorTitle="Importe no válido" error="Escribe un número mayor o igual que 0." type="decimal" operator="greaterThanOrEqual">
      <formula1>0</formula1>
    </dataValidation>
    <dataValidation sqref="B32" showDropDown="0" showInputMessage="0" showErrorMessage="1" allowBlank="1" errorTitle="Importe no válido" error="Escribe un importe: puede ser negativo si pierde dinero." type="decimal" operator="greaterThanOrEqual">
      <formula1>-1000000000</formula1>
    </dataValidation>
    <dataValidation sqref="B39" showDropDown="0" showInputMessage="0" showErrorMessage="1" allowBlank="1" errorTitle="Importe no válido" error="Escribe un número mayor o igual que 0." type="decimal" operator="greaterThanOrEqual">
      <formula1>0</formula1>
    </dataValidation>
    <dataValidation sqref="B33" showDropDown="0" showInputMessage="0" showErrorMessage="1" allowBlank="1" errorTitle="Importe no válido" error="Escribe un importe: puede ser negativo si pierde dinero." type="decimal" operator="greaterThanOrEqual">
      <formula1>-1000000000</formula1>
    </dataValidation>
    <dataValidation sqref="B8" showDropDown="0" showInputMessage="0" showErrorMessage="1" allowBlank="1" errorTitle="Importe no válido" error="Escribe un número mayor o igual que 0." type="decimal" operator="greaterThanOrEqual">
      <formula1>0</formula1>
    </dataValidation>
    <dataValidation sqref="B9" showDropDown="0" showInputMessage="0" showErrorMessage="1" allowBlank="1" errorTitle="Importe no válido" error="Escribe un número mayor o igual que 0." type="decimal" operator="greaterThanOrEqual">
      <formula1>0</formula1>
    </dataValidation>
    <dataValidation sqref="B34" showDropDown="0" showInputMessage="0" showErrorMessage="1" allowBlank="1" errorTitle="Importe no válido" error="Escribe un importe: puede ser negativo si pierde dinero." type="decimal" operator="greaterThanOrEqual">
      <formula1>-1000000000</formula1>
    </dataValidation>
    <dataValidation sqref="B35" showDropDown="0" showInputMessage="0" showErrorMessage="1" allowBlank="1" errorTitle="Importe no válido" error="Escribe un importe: puede ser negativo si pierde dinero." type="decimal" operator="greaterThanOrEqual">
      <formula1>-1000000000</formula1>
    </dataValidation>
    <dataValidation sqref="B36" showDropDown="0" showInputMessage="0" showErrorMessage="1" allowBlank="1" errorTitle="Importe no válido" error="Escribe un importe: puede ser negativo si pierde dinero." type="decimal" operator="greaterThanOrEqual">
      <formula1>-1000000000</formula1>
    </dataValidation>
    <dataValidation sqref="B37" showDropDown="0" showInputMessage="0" showErrorMessage="1" allowBlank="1" errorTitle="Importe no válido" error="Escribe un número mayor o igual que 0." type="decimal" operator="greaterThanOrEqual">
      <formula1>0</formula1>
    </dataValidation>
    <dataValidation sqref="B42" showDropDown="0" showInputMessage="0" showErrorMessage="1" allowBlank="1" errorTitle="Valor fuera de rango" error="Escribe un valor entre 1 y 366." type="decimal" operator="between">
      <formula1>1</formula1>
      <formula2>366</formula2>
    </dataValidation>
    <dataValidation sqref="B43" showDropDown="0" showInputMessage="0" showErrorMessage="1" allowBlank="1" errorTitle="Valor fuera de rango" error="Escribe un valor entre 0 y 365." type="decimal" operator="between">
      <formula1>0</formula1>
      <formula2>365</formula2>
    </dataValidation>
    <dataValidation sqref="B45" showDropDown="0" showInputMessage="0" showErrorMessage="1" allowBlank="1" errorTitle="Valor fuera de rango" error="Escribe un valor entre 1 y 12." type="decimal" operator="between">
      <formula1>1</formula1>
      <formula2>12</formula2>
    </dataValidation>
    <dataValidation sqref="B46" showDropDown="0" showInputMessage="0" showErrorMessage="1" allowBlank="1" errorTitle="Valor fuera de rango" error="Escribe un valor entre 1 y 12." type="decimal" operator="between">
      <formula1>1</formula1>
      <formula2>12</formula2>
    </dataValidation>
    <dataValidation sqref="B47" showDropDown="0" showInputMessage="0" showErrorMessage="1" allowBlank="1" errorTitle="Valor fuera de rango" error="Escribe un valor entre 1 y 12." type="decimal" operator="between">
      <formula1>1</formula1>
      <formula2>12</formula2>
    </dataValidation>
    <dataValidation sqref="B48"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49" showDropDown="0" showInputMessage="0" showErrorMessage="1" allowBlank="1" errorTitle="Valor fuera de rango" error="Escribe un valor entre 1 y 12." type="decimal" operator="between">
      <formula1>1</formula1>
      <formula2>12</formula2>
    </dataValidation>
    <dataValidation sqref="B50" showDropDown="0" showInputMessage="0" showErrorMessage="1" allowBlank="1" errorTitle="Valor fuera de rango" error="Escribe un valor entre -1 y 1." type="decimal" operator="between">
      <formula1>-1</formula1>
      <formula2>1</formula2>
    </dataValidation>
    <dataValidation sqref="B53" showDropDown="0" showInputMessage="0" showErrorMessage="1" allowBlank="1" errorTitle="Valor fuera de rango" error="Escribe un valor entre 0 y 24." type="decimal" operator="between">
      <formula1>0</formula1>
      <formula2>24</formula2>
    </dataValidation>
    <dataValidation sqref="B54" showDropDown="0" showInputMessage="0" showErrorMessage="1" allowBlank="1" errorTitle="Valor fuera de rango" error="Escribe un valor entre 1 y 50." type="decimal" operator="between">
      <formula1>1</formula1>
      <formula2>50</formula2>
    </dataValidation>
    <dataValidation sqref="B55" showDropDown="0" showInputMessage="0" showErrorMessage="1" allowBlank="1" errorTitle="Valor fuera de rango" error="Escribe un valor entre 1 y 7." type="decimal" operator="between">
      <formula1>1</formula1>
      <formula2>7</formula2>
    </dataValidation>
    <dataValidation sqref="B58"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60"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61" showDropDown="0" showInputMessage="0" showErrorMessage="1" allowBlank="1" errorTitle="Valor fuera de rango" error="Escribe un valor entre 1 y 84." type="decimal" operator="between">
      <formula1>1</formula1>
      <formula2>84</formula2>
    </dataValidation>
    <dataValidation sqref="B62" showDropDown="0" showInputMessage="0" showErrorMessage="1" allowBlank="1" errorTitle="Valor fuera de rango" error="Escribe un valor entre 0 y 84." type="decimal" operator="between">
      <formula1>0</formula1>
      <formula2>84</formula2>
    </dataValidation>
    <dataValidation sqref="B63" showDropDown="0" showInputMessage="0" showErrorMessage="1" allowBlank="1" errorTitle="Importe no válido" error="Escribe un número mayor o igual que 0." type="decimal" operator="greaterThanOrEqual">
      <formula1>0</formula1>
    </dataValidation>
    <dataValidation sqref="B64" showDropDown="0" showInputMessage="0" showErrorMessage="1" allowBlank="1" errorTitle="Importe no válido" error="Escribe un número mayor o igual que 1." type="decimal" operator="greaterThanOrEqual">
      <formula1>1</formula1>
    </dataValidation>
    <dataValidation sqref="B65" showDropDown="0" showInputMessage="0" showErrorMessage="1" allowBlank="1" errorTitle="Importe no válido" error="Escribe un número mayor o igual que 0." type="decimal" operator="greaterThanOrEqual">
      <formula1>0</formula1>
    </dataValidation>
    <dataValidation sqref="B68" showDropDown="0" showInputMessage="0" showErrorMessage="1" allowBlank="1" errorTitle="Importe no válido" error="Escribe un número mayor o igual que 0." type="decimal" operator="greaterThanOrEqual">
      <formula1>0</formula1>
    </dataValidation>
    <dataValidation sqref="B69" showDropDown="0" showInputMessage="0" showErrorMessage="1" allowBlank="1" errorTitle="Importe no válido" error="Escribe un número mayor o igual que 0." type="decimal" operator="greaterThanOrEqual">
      <formula1>0</formula1>
    </dataValidation>
    <dataValidation sqref="B70" showDropDown="0" showInputMessage="0" showErrorMessage="1" allowBlank="1" errorTitle="Importe no válido" error="Escribe un número mayor o igual que 0." type="decimal" operator="greaterThanOrEqual">
      <formula1>0</formula1>
    </dataValidation>
    <dataValidation sqref="B71" showDropDown="0" showInputMessage="0" showErrorMessage="1" allowBlank="1" errorTitle="Importe no válido" error="Escribe un número mayor o igual que 0." type="decimal" operator="greaterThanOrEqual">
      <formula1>0</formula1>
    </dataValidation>
    <dataValidation sqref="B72" showDropDown="0" showInputMessage="0" showErrorMessage="1" allowBlank="1" errorTitle="Importe no válido" error="Escribe un número mayor o igual que 0." type="decimal" operator="greaterThanOrEqual">
      <formula1>0</formula1>
    </dataValidation>
    <dataValidation sqref="B73" showDropDown="0" showInputMessage="0" showErrorMessage="1" allowBlank="1" errorTitle="Importe no válido" error="Escribe un número mayor o igual que 0." type="decimal" operator="greaterThanOrEqual">
      <formula1>0</formula1>
    </dataValidation>
    <dataValidation sqref="B74" showDropDown="0" showInputMessage="0" showErrorMessage="1" allowBlank="1" errorTitle="Importe no válido" error="Escribe un número mayor o igual que 0." type="decimal" operator="greaterThanOrEqual">
      <formula1>0</formula1>
    </dataValidation>
    <dataValidation sqref="B75" showDropDown="0" showInputMessage="0" showErrorMessage="1" allowBlank="1" errorTitle="Importe no válido" error="Escribe un número mayor o igual que 0." type="decimal" operator="greaterThanOrEqual">
      <formula1>0</formula1>
    </dataValidation>
    <dataValidation sqref="B76" showDropDown="0" showInputMessage="0" showErrorMessage="1" allowBlank="1" errorTitle="Importe no válido" error="Escribe un número mayor o igual que 0." type="decimal" operator="greaterThanOrEqual">
      <formula1>0</formula1>
    </dataValidation>
    <dataValidation sqref="B77" showDropDown="0" showInputMessage="0" showErrorMessage="1" allowBlank="1" errorTitle="Importe no válido" error="Escribe un número mayor o igual que 0." type="decimal" operator="greaterThanOrEqual">
      <formula1>0</formula1>
    </dataValidation>
    <dataValidation sqref="B78" showDropDown="0" showInputMessage="0" showErrorMessage="1" allowBlank="1" errorTitle="Importe no válido" error="Escribe un número mayor o igual que 0." type="decimal" operator="greaterThanOrEqual">
      <formula1>0</formula1>
    </dataValidation>
    <dataValidation sqref="B79" showDropDown="0" showInputMessage="0" showErrorMessage="1" allowBlank="1" errorTitle="Importe no válido" error="Escribe un número mayor o igual que 0." type="decimal" operator="greaterThanOrEqual">
      <formula1>0</formula1>
    </dataValidation>
    <dataValidation sqref="B80" showDropDown="0" showInputMessage="0" showErrorMessage="1" allowBlank="1" errorTitle="Importe no válido" error="Escribe un número mayor o igual que 0." type="decimal" operator="greaterThanOrEqual">
      <formula1>0</formula1>
    </dataValidation>
    <dataValidation sqref="B81" showDropDown="0" showInputMessage="0" showErrorMessage="1" allowBlank="1" errorTitle="Importe no válido" error="Escribe un número mayor o igual que 0." type="decimal" operator="greaterThanOrEqual">
      <formula1>0</formula1>
    </dataValidation>
    <dataValidation sqref="B82" showDropDown="0" showInputMessage="0" showErrorMessage="1" allowBlank="1" errorTitle="Importe no válido" error="Escribe un número mayor o igual que 0." type="decimal" operator="greaterThanOrEqual">
      <formula1>0</formula1>
    </dataValidation>
    <dataValidation sqref="B86" showDropDown="0" showInputMessage="0" showErrorMessage="1" allowBlank="1" errorTitle="Valor fuera de rango" error="Escribe un valor entre -1 y 1." type="decimal" operator="between">
      <formula1>-1</formula1>
      <formula2>1</formula2>
    </dataValidation>
    <dataValidation sqref="B87" showDropDown="0" showInputMessage="0" showErrorMessage="1" allowBlank="1" errorTitle="Valor fuera de rango" error="Escribe un valor entre -1 y 1." type="decimal" operator="between">
      <formula1>-1</formula1>
      <formula2>1</formula2>
    </dataValidation>
    <dataValidation sqref="B88" showDropDown="0" showInputMessage="0" showErrorMessage="1" allowBlank="1" errorTitle="Importe no válido" error="Escribe un número mayor o igual que 0." type="decimal" operator="greaterThanOrEqual">
      <formula1>0</formula1>
    </dataValidation>
    <dataValidation sqref="B91"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95" showDropDown="0" showInputMessage="0" showErrorMessage="1" allowBlank="1" errorTitle="Importe no válido" error="Escribe un número mayor o igual que -1000000000." type="decimal" operator="greaterThanOrEqual">
      <formula1>-1000000000</formula1>
    </dataValidation>
    <dataValidation sqref="B96" showDropDown="0" showInputMessage="0" showErrorMessage="1" allowBlank="1" errorTitle="Importe no válido" error="Escribe un número mayor o igual que -1000000000." type="decimal" operator="greaterThanOrEqual">
      <formula1>-1000000000</formula1>
    </dataValidation>
    <dataValidation sqref="B97" showDropDown="0" showInputMessage="0" showErrorMessage="1" allowBlank="1" errorTitle="Importe no válido" error="Escribe un número mayor o igual que -1000000000." type="decimal" operator="greaterThanOrEqual">
      <formula1>-1000000000</formula1>
    </dataValidation>
    <dataValidation sqref="B98" showDropDown="0" showInputMessage="0" showErrorMessage="1" allowBlank="1" errorTitle="Importe no válido" error="Escribe un número mayor o igual que -1000000000." type="decimal" operator="greaterThanOrEqual">
      <formula1>-1000000000</formula1>
    </dataValidation>
    <dataValidation sqref="B99" showDropDown="0" showInputMessage="0" showErrorMessage="1" allowBlank="1" errorTitle="Importe no válido" error="Escribe un número mayor o igual que -1000000000." type="decimal" operator="greaterThanOrEqual">
      <formula1>-1000000000</formula1>
    </dataValidation>
    <dataValidation sqref="B100" showDropDown="0" showInputMessage="0" showErrorMessage="1" allowBlank="1" errorTitle="Importe no válido" error="Escribe un número mayor o igual que -1000000000." type="decimal" operator="greaterThanOrEqual">
      <formula1>-1000000000</formula1>
    </dataValidation>
    <dataValidation sqref="B101" showDropDown="0" showInputMessage="0" showErrorMessage="1" allowBlank="1" errorTitle="Importe no válido" error="Escribe un número mayor o igual que -1000000000." type="decimal" operator="greaterThanOrEqual">
      <formula1>-1000000000</formula1>
    </dataValidation>
    <dataValidation sqref="B102" showDropDown="0" showInputMessage="0" showErrorMessage="1" allowBlank="1" errorTitle="Importe no válido" error="Escribe un número mayor o igual que -1000000000." type="decimal" operator="greaterThanOrEqual">
      <formula1>-1000000000</formula1>
    </dataValidation>
    <dataValidation sqref="B103" showDropDown="0" showInputMessage="0" showErrorMessage="1" allowBlank="1" errorTitle="Importe no válido" error="Escribe un número mayor o igual que -1000000000." type="decimal" operator="greaterThanOrEqual">
      <formula1>-1000000000</formula1>
    </dataValidation>
    <dataValidation sqref="B104" showDropDown="0" showInputMessage="0" showErrorMessage="1" allowBlank="1" errorTitle="Importe no válido" error="Escribe un número mayor o igual que -1000000000." type="decimal" operator="greaterThanOrEqual">
      <formula1>-1000000000</formula1>
    </dataValidation>
    <dataValidation sqref="B105" showDropDown="0" showInputMessage="0" showErrorMessage="1" allowBlank="1" errorTitle="Importe no válido" error="Escribe un número mayor o igual que -1000000000." type="decimal" operator="greaterThanOrEqual">
      <formula1>-1000000000</formula1>
    </dataValidation>
    <dataValidation sqref="B106" showDropDown="0" showInputMessage="0" showErrorMessage="1" allowBlank="1" errorTitle="Importe no válido" error="Escribe un número mayor o igual que -1000000000." type="decimal" operator="greaterThanOrEqual">
      <formula1>-1000000000</formula1>
    </dataValidation>
    <dataValidation sqref="B107" showDropDown="0" showInputMessage="0" showErrorMessage="1" allowBlank="1" errorTitle="Importe no válido" error="Escribe un número mayor o igual que -1000000000." type="decimal" operator="greaterThanOrEqual">
      <formula1>-1000000000</formula1>
    </dataValidation>
    <dataValidation sqref="B108" showDropDown="0" showInputMessage="0" showErrorMessage="1" allowBlank="1" errorTitle="Importe no válido" error="Escribe un número mayor o igual que -1000000000." type="decimal" operator="greaterThanOrEqual">
      <formula1>-1000000000</formula1>
    </dataValidation>
    <dataValidation sqref="B109" showDropDown="0" showInputMessage="0" showErrorMessage="1" allowBlank="1" errorTitle="Importe no válido" error="Escribe un número mayor o igual que -1000000000." type="decimal" operator="greaterThanOrEqual">
      <formula1>-1000000000</formula1>
    </dataValidation>
    <dataValidation sqref="B110" showDropDown="0" showInputMessage="0" showErrorMessage="1" allowBlank="1" errorTitle="Importe no válido" error="Escribe un número mayor o igual que -1000000000." type="decimal" operator="greaterThanOrEqual">
      <formula1>-1000000000</formula1>
    </dataValidation>
    <dataValidation sqref="B111" showDropDown="0" showInputMessage="0" showErrorMessage="1" allowBlank="1" errorTitle="Importe no válido" error="Escribe un número mayor o igual que -1000000000." type="decimal" operator="greaterThanOrEqual">
      <formula1>-1000000000</formula1>
    </dataValidation>
    <dataValidation sqref="B112" showDropDown="0" showInputMessage="0" showErrorMessage="1" allowBlank="1" errorTitle="Importe no válido" error="Escribe un número mayor o igual que -1000000000." type="decimal" operator="greaterThanOrEqual">
      <formula1>-1000000000</formula1>
    </dataValidation>
    <dataValidation sqref="B113" showDropDown="0" showInputMessage="0" showErrorMessage="1" allowBlank="1" errorTitle="Importe no válido" error="Escribe un número mayor o igual que -1000000000." type="decimal" operator="greaterThanOrEqual">
      <formula1>-1000000000</formula1>
    </dataValidation>
    <dataValidation sqref="B114" showDropDown="0" showInputMessage="0" showErrorMessage="1" allowBlank="1" errorTitle="Importe no válido" error="Escribe un número mayor o igual que -1000000000." type="decimal" operator="greaterThanOrEqual">
      <formula1>-1000000000</formula1>
    </dataValidation>
    <dataValidation sqref="B115" showDropDown="0" showInputMessage="0" showErrorMessage="1" allowBlank="1" errorTitle="Importe no válido" error="Escribe un número mayor o igual que -1000000000." type="decimal" operator="greaterThanOrEqual">
      <formula1>-1000000000</formula1>
    </dataValidation>
    <dataValidation sqref="B116" showDropDown="0" showInputMessage="0" showErrorMessage="1" allowBlank="1" errorTitle="Importe no válido" error="Escribe un número mayor o igual que -1000000000." type="decimal" operator="greaterThanOrEqual">
      <formula1>-1000000000</formula1>
    </dataValidation>
    <dataValidation sqref="B117" showDropDown="0" showInputMessage="0" showErrorMessage="1" allowBlank="1" errorTitle="Importe no válido" error="Escribe un número mayor o igual que -1000000000." type="decimal" operator="greaterThanOrEqual">
      <formula1>-1000000000</formula1>
    </dataValidation>
    <dataValidation sqref="B118" showDropDown="0" showInputMessage="0" showErrorMessage="1" allowBlank="1" errorTitle="Importe no válido" error="Escribe un número mayor o igual que -1000000000." type="decimal" operator="greaterThanOrEqual">
      <formula1>-1000000000</formula1>
    </dataValidation>
    <dataValidation sqref="B119" showDropDown="0" showInputMessage="0" showErrorMessage="1" allowBlank="1" errorTitle="Importe no válido" error="Escribe un número mayor o igual que -1000000000." type="decimal" operator="greaterThanOrEqual">
      <formula1>-1000000000</formula1>
    </dataValidation>
    <dataValidation sqref="B120" showDropDown="0" showInputMessage="0" showErrorMessage="1" allowBlank="1" errorTitle="Importe no válido" error="Escribe un número mayor o igual que -1000000000." type="decimal" operator="greaterThanOrEqual">
      <formula1>-1000000000</formula1>
    </dataValidation>
    <dataValidation sqref="B121" showDropDown="0" showInputMessage="0" showErrorMessage="1" allowBlank="1" errorTitle="Importe no válido" error="Escribe un número mayor o igual que -1000000000." type="decimal" operator="greaterThanOrEqual">
      <formula1>-1000000000</formula1>
    </dataValidation>
    <dataValidation sqref="B122" showDropDown="0" showInputMessage="0" showErrorMessage="1" allowBlank="1" errorTitle="Importe no válido" error="Escribe un número mayor o igual que -1000000000." type="decimal" operator="greaterThanOrEqual">
      <formula1>-1000000000</formula1>
    </dataValidation>
    <dataValidation sqref="B123" showDropDown="0" showInputMessage="0" showErrorMessage="1" allowBlank="1" errorTitle="Importe no válido" error="Escribe un número mayor o igual que -1000000000." type="decimal" operator="greaterThanOrEqual">
      <formula1>-1000000000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C28"/>
  <sheetViews>
    <sheetView workbookViewId="0">
      <pane ySplit="4" topLeftCell="A5" activePane="bottomLeft" state="frozen"/>
      <selection pane="bottomLeft" activeCell="A1" sqref="A1"/>
    </sheetView>
  </sheetViews>
  <sheetFormatPr baseColWidth="8" defaultRowHeight="15"/>
  <cols>
    <col width="60" customWidth="1" min="1" max="1"/>
    <col width="18" customWidth="1" min="2" max="2"/>
    <col width="80" customWidth="1" min="3" max="3"/>
  </cols>
  <sheetData>
    <row r="1">
      <c r="A1" s="1" t="inlineStr">
        <is>
          <t>Inversión Inicial: CAPEX y Fondo de Maniobra</t>
        </is>
      </c>
    </row>
    <row r="2">
      <c r="A2" s="2" t="inlineStr">
        <is>
          <t>AI Chef Pro · aichef.pro — Cómo Montar una Churrería-Chocolatería</t>
        </is>
      </c>
    </row>
    <row r="3" ht="40" customHeight="1">
      <c r="A3" s="3" t="inlineStr">
        <is>
          <t>El CAPEX llega del libro 2 SIN fondo de maniobra; el fondo se calcula aquí, con los fijos de caja de un mes y los meses de colchón. Inversión total = CAPEX + fondo. Todo sin IVA.</t>
        </is>
      </c>
    </row>
    <row r="4"/>
    <row r="5">
      <c r="A5" s="4" t="inlineStr">
        <is>
          <t>CAPEX (del Libro 2, sin Fondo de Maniobra)</t>
        </is>
      </c>
    </row>
    <row r="6" ht="30" customHeight="1">
      <c r="A6" s="10" t="inlineStr">
        <is>
          <t>CAPEX de apertura (copiado del libro 2)</t>
        </is>
      </c>
      <c r="B6" s="25">
        <f>'0. Supuestos'!$B$7</f>
        <v>86415.65000000001</v>
      </c>
      <c r="C6" s="12" t="inlineStr">
        <is>
          <t>Los once bloques del libro 2: obra, extracción, fritura, chocolate, barra, control, TPV, licencias, fianza, stock y marketing.</t>
        </is>
      </c>
    </row>
    <row r="7" ht="30" customHeight="1">
      <c r="A7" s="10" t="inlineStr">
        <is>
          <t>De él, lo que no se amortiza (fianza, stock y marketing)</t>
        </is>
      </c>
      <c r="B7" s="25">
        <f>'0. Supuestos'!$B$9</f>
        <v>4668.300000000003</v>
      </c>
      <c r="C7" s="12" t="inlineStr">
        <is>
          <t>Se pone en «0. Supuestos».</t>
        </is>
      </c>
    </row>
    <row r="8" ht="30" customHeight="1">
      <c r="A8" s="10" t="inlineStr">
        <is>
          <t>CAPEX que se amortiza</t>
        </is>
      </c>
      <c r="B8" s="25">
        <f>B6-B7</f>
        <v>81747.35</v>
      </c>
    </row>
    <row r="9" ht="30" customHeight="1">
      <c r="A9" s="10" t="inlineStr">
        <is>
          <t>Años de amortización</t>
        </is>
      </c>
      <c r="B9" s="26">
        <f>'0. Supuestos'!$B$54</f>
        <v>10.0</v>
      </c>
    </row>
    <row r="10" ht="30" customHeight="1">
      <c r="A10" s="20" t="inlineStr">
        <is>
          <t>Amortización anual</t>
        </is>
      </c>
      <c r="B10" s="21">
        <f>IFERROR(B8/B9,"")</f>
        <v>8174.735000000001</v>
      </c>
      <c r="C10" s="12" t="inlineStr">
        <is>
          <t>Es un coste del P&amp;L pero no sale de la caja.</t>
        </is>
      </c>
    </row>
    <row r="11"/>
    <row r="12">
      <c r="A12" s="4" t="inlineStr">
        <is>
          <t>Fondo de Maniobra (Se Calcula Aquí y Sólo Aquí)</t>
        </is>
      </c>
    </row>
    <row r="13" ht="30" customHeight="1">
      <c r="A13" s="10" t="inlineStr">
        <is>
          <t>Plantilla de un mes</t>
        </is>
      </c>
      <c r="B13" s="25">
        <f>IFERROR('0. Supuestos'!$B$39/'0. Supuestos'!$B$44,"")</f>
        <v>9945.850092800916</v>
      </c>
      <c r="C13" s="12" t="inlineStr">
        <is>
          <t>El coste anual del libro 8 entre los meses del año.</t>
        </is>
      </c>
    </row>
    <row r="14" ht="30" customHeight="1">
      <c r="A14" s="10" t="inlineStr">
        <is>
          <t>Renta del mes</t>
        </is>
      </c>
      <c r="B14" s="25">
        <f>'0. Supuestos'!$B$8</f>
        <v>910.0</v>
      </c>
    </row>
    <row r="15" ht="30" customHeight="1">
      <c r="A15" s="10" t="inlineStr">
        <is>
          <t>Gastos fijos del mes</t>
        </is>
      </c>
      <c r="B15" s="25">
        <f>'0. Supuestos'!$B$83</f>
        <v>1870.0</v>
      </c>
    </row>
    <row r="16" ht="30" customHeight="1">
      <c r="A16" s="10" t="inlineStr">
        <is>
          <t>Intereses de un mes del año de crucero</t>
        </is>
      </c>
      <c r="B16" s="25">
        <f>IFERROR(INDEX('Financiación'!$B$117:$B$123,'0. Supuestos'!$B$55)/'0. Supuestos'!$B$44,"")</f>
        <v>449.56322917604666</v>
      </c>
      <c r="C16" s="12" t="inlineStr">
        <is>
          <t>Los del año de crucero de «Financiación», no los de la carencia: con los del año 1 el fondo saldría distinto según cuándo lo mires.</t>
        </is>
      </c>
    </row>
    <row r="17" ht="30" customHeight="1">
      <c r="A17" s="20" t="inlineStr">
        <is>
          <t>Fijos de caja de un mes</t>
        </is>
      </c>
      <c r="B17" s="21">
        <f>SUM(B13:B16)</f>
        <v>13175.413321976963</v>
      </c>
      <c r="C17" s="12" t="inlineStr">
        <is>
          <t>La amortización no está: no es caja.</t>
        </is>
      </c>
    </row>
    <row r="18" ht="30" customHeight="1">
      <c r="A18" s="10" t="inlineStr">
        <is>
          <t>Meses de colchón</t>
        </is>
      </c>
      <c r="B18" s="26">
        <f>'0. Supuestos'!$B$53</f>
        <v>6.0</v>
      </c>
    </row>
    <row r="19" ht="30" customHeight="1">
      <c r="A19" s="20" t="inlineStr">
        <is>
          <t>FONDO DE MANIOBRA</t>
        </is>
      </c>
      <c r="B19" s="21">
        <f>B17*B18</f>
        <v>79052.47993186177</v>
      </c>
      <c r="C19" s="12" t="inlineStr">
        <is>
          <t>Lo que tiene que haber en la cuenta el día que abres para pagar los fijos mientras el negocio arranca y en el valle del verano.</t>
        </is>
      </c>
    </row>
    <row r="20"/>
    <row r="21">
      <c r="A21" s="4" t="inlineStr">
        <is>
          <t>Inversión Total</t>
        </is>
      </c>
    </row>
    <row r="22" ht="30" customHeight="1">
      <c r="A22" s="10" t="inlineStr">
        <is>
          <t>CAPEX sin fondo</t>
        </is>
      </c>
      <c r="B22" s="25">
        <f>B6</f>
        <v>86415.65000000001</v>
      </c>
    </row>
    <row r="23" ht="30" customHeight="1">
      <c r="A23" s="10" t="inlineStr">
        <is>
          <t>Fondo de maniobra</t>
        </is>
      </c>
      <c r="B23" s="25">
        <f>B19</f>
        <v>79052.47993186177</v>
      </c>
    </row>
    <row r="24" ht="30" customHeight="1">
      <c r="A24" s="20" t="inlineStr">
        <is>
          <t>INVERSIÓN TOTAL (CAPEX + fondo)</t>
        </is>
      </c>
      <c r="B24" s="21">
        <f>B22+B23</f>
        <v>165468.12993186177</v>
      </c>
      <c r="C24" s="12" t="inlineStr">
        <is>
          <t>Es la cifra que le enseñas al banco.</t>
        </is>
      </c>
    </row>
    <row r="25" ht="30" customHeight="1">
      <c r="A25" s="10" t="inlineStr">
        <is>
          <t>De ella, préstamo bancario</t>
        </is>
      </c>
      <c r="B25" s="25">
        <f>'0. Supuestos'!$B$63</f>
        <v>99300.0</v>
      </c>
    </row>
    <row r="26" ht="30" customHeight="1">
      <c r="A26" s="10" t="inlineStr">
        <is>
          <t>De ella, lo que pones tú</t>
        </is>
      </c>
      <c r="B26" s="25">
        <f>B24-B25</f>
        <v>66168.12993186177</v>
      </c>
    </row>
    <row r="27"/>
    <row r="28" ht="44" customHeight="1">
      <c r="A28" s="3" t="inlineStr">
        <is>
          <t>El IVA que adelantas al comprar el equipo y pagar la obra NO está aquí: lo calcula el libro 2 en su hoja «IVA y Tesorería» y Hacienda te lo devuelve después. Cuéntalo con tu banco aparte, porque el día que abres sí sale de la cuenta.</t>
        </is>
      </c>
    </row>
  </sheetData>
  <sheetProtection selectLockedCells="0" selectUnlockedCells="0" sheet="1" objects="0" insertRows="0" insertHyperlinks="1" autoFilter="1" scenarios="0" formatColumns="0" deleteColumns="1" insertColumns="1" pivotTables="1" deleteRows="1" formatCells="1" formatRows="0" sort="0"/>
  <mergeCells count="2">
    <mergeCell ref="A28:C28"/>
    <mergeCell ref="A3:C3"/>
  </mergeCells>
  <conditionalFormatting sqref="B26">
    <cfRule type="expression" priority="1" dxfId="1" stopIfTrue="1">
      <formula>=AND(ISNUMBER($B$26),$B$26&lt;0)</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34"/>
  <sheetViews>
    <sheetView workbookViewId="0">
      <pane ySplit="5" topLeftCell="A6" activePane="bottomLeft" state="frozen"/>
      <selection pane="bottomLeft" activeCell="A1" sqref="A1"/>
    </sheetView>
  </sheetViews>
  <sheetFormatPr baseColWidth="8" defaultRowHeight="15"/>
  <cols>
    <col width="62" customWidth="1" min="1" max="1"/>
    <col width="16" customWidth="1" min="2" max="2"/>
    <col width="16" customWidth="1" min="3" max="3"/>
    <col width="16" customWidth="1" min="4" max="4"/>
    <col width="70" customWidth="1" min="5" max="5"/>
  </cols>
  <sheetData>
    <row r="1">
      <c r="A1" s="1" t="inlineStr">
        <is>
          <t>Cuenta de Resultados a 3 Años</t>
        </is>
      </c>
    </row>
    <row r="2">
      <c r="A2" s="2" t="inlineStr">
        <is>
          <t>AI Chef Pro · aichef.pro — Cómo Montar una Churrería-Chocolatería</t>
        </is>
      </c>
    </row>
    <row r="3" ht="40" customHeight="1">
      <c r="A3" s="3" t="inlineStr">
        <is>
          <t>Año 1 con la rampa de arranque (suma la hoja de Tesorería), año 2 de crucero (un año normal) y año 3. Formato de contribución: lo que deja cada ración menos los fijos. Sin IVA y antes de impuestos.</t>
        </is>
      </c>
    </row>
    <row r="4"/>
    <row r="5" ht="30" customHeight="1">
      <c r="A5" s="9" t="inlineStr">
        <is>
          <t>Concepto</t>
        </is>
      </c>
      <c r="B5" s="9" t="inlineStr">
        <is>
          <t>Año 1 (con rampa)</t>
        </is>
      </c>
      <c r="C5" s="9" t="inlineStr">
        <is>
          <t>Año 2 (crucero)</t>
        </is>
      </c>
      <c r="D5" s="9" t="inlineStr">
        <is>
          <t>Año 3</t>
        </is>
      </c>
      <c r="E5" s="9" t="inlineStr">
        <is>
          <t>Notas</t>
        </is>
      </c>
    </row>
    <row r="6">
      <c r="A6" s="4" t="inlineStr">
        <is>
          <t>Raciones y Contribución</t>
        </is>
      </c>
    </row>
    <row r="7" ht="30" customHeight="1">
      <c r="A7" s="10" t="inlineStr">
        <is>
          <t>Raciones del año</t>
        </is>
      </c>
      <c r="B7" s="26">
        <f>'Tesorería 12 meses'!$N$11</f>
        <v>93666.225</v>
      </c>
      <c r="C7" s="26">
        <f>'0. Supuestos'!$B$19</f>
        <v>107400.0</v>
      </c>
      <c r="D7" s="26">
        <f>C7*(1+'0. Supuestos'!$B$50)</f>
        <v>107400.0</v>
      </c>
      <c r="E7" s="12" t="inlineStr">
        <is>
          <t>Año 2: las del libro 5. Año 1: con la rampa. Año 3: con el crecimiento de «0. Supuestos».</t>
        </is>
      </c>
    </row>
    <row r="8" ht="30" customHeight="1">
      <c r="A8" s="10" t="inlineStr">
        <is>
          <t>De ellas, raciones de la carta de invierno (fuera de julio y agosto)</t>
        </is>
      </c>
      <c r="B8" s="26">
        <f>SUMIF('Tesorería 12 meses'!$B$9:$M$9,0,'Tesorería 12 meses'!$B$11:$M$11)</f>
        <v>84268.725</v>
      </c>
      <c r="C8" s="26">
        <f>IFERROR('0. Supuestos'!$B$19*(SUM('0. Supuestos'!$B$20:$B$31)-INDEX('0. Supuestos'!$B$20:$B$31,'0. Supuestos'!$B$46)-INDEX('0. Supuestos'!$B$20:$B$31,'0. Supuestos'!$B$47))/'0. Supuestos'!$B$44,"")</f>
        <v>98002.5</v>
      </c>
      <c r="D8" s="26">
        <f>C8*(1+'0. Supuestos'!$B$50)</f>
        <v>98002.5</v>
      </c>
    </row>
    <row r="9" ht="30" customHeight="1">
      <c r="A9" s="10" t="inlineStr">
        <is>
          <t>Ventas sin IVA de la carta de invierno</t>
        </is>
      </c>
      <c r="B9" s="25">
        <f>'Tesorería 12 meses'!$N$13</f>
        <v>182135.35789772728</v>
      </c>
      <c r="C9" s="25">
        <f>C8*'Canales y Punto Muerto'!$D$8</f>
        <v>211819.0397727273</v>
      </c>
      <c r="D9" s="25">
        <f>D8*'Canales y Punto Muerto'!$D$8</f>
        <v>211819.0397727273</v>
      </c>
      <c r="E9" s="12" t="inlineStr">
        <is>
          <t>Raciones por el ticket medio de la mezcla sala / para llevar (hoja «Canales»).</t>
        </is>
      </c>
    </row>
    <row r="10" ht="30" customHeight="1">
      <c r="A10" s="10" t="inlineStr">
        <is>
          <t>Materia de la carta de invierno (aceite absorbido incluido)</t>
        </is>
      </c>
      <c r="B10" s="25">
        <f>'Tesorería 12 meses'!$N$15</f>
        <v>23834.812853831638</v>
      </c>
      <c r="C10" s="25">
        <f>C8*'Canales y Punto Muerto'!$E$8</f>
        <v>27719.313976895162</v>
      </c>
      <c r="D10" s="25">
        <f>D8*'Canales y Punto Muerto'!$E$8</f>
        <v>27719.313976895162</v>
      </c>
      <c r="E10" s="12" t="inlineStr">
        <is>
          <t>El margen sale del escandallo del libro 3, nunca de un porcentaje del sector.</t>
        </is>
      </c>
    </row>
    <row r="11" ht="30" customHeight="1">
      <c r="A11" s="10" t="inlineStr">
        <is>
          <t>Contribución de la carta de invierno</t>
        </is>
      </c>
      <c r="B11" s="25">
        <f>B9-B10</f>
        <v>158300.54504389566</v>
      </c>
      <c r="C11" s="25">
        <f>C9-C10</f>
        <v>184099.72579583214</v>
      </c>
      <c r="D11" s="25">
        <f>D9-D10</f>
        <v>184099.72579583214</v>
      </c>
    </row>
    <row r="12" ht="30" customHeight="1">
      <c r="A12" s="10" t="inlineStr">
        <is>
          <t>Contribución de julio y agosto (la salida que eliges en el libro 5)</t>
        </is>
      </c>
      <c r="B12" s="25">
        <f>'Tesorería 12 meses'!$N$17</f>
        <v>17368.70905707602</v>
      </c>
      <c r="C12" s="25">
        <f>'0. Supuestos'!$B$33</f>
        <v>17368.70905707602</v>
      </c>
      <c r="D12" s="25">
        <f>C12*(1+'0. Supuestos'!$B$50)</f>
        <v>17368.70905707602</v>
      </c>
      <c r="E12" s="12" t="inlineStr">
        <is>
          <t>Si cierras en verano, es cero: los fijos de esos dos meses se pagan igual (hoja «Escenarios»).</t>
        </is>
      </c>
    </row>
    <row r="13" ht="30" customHeight="1">
      <c r="A13" s="10" t="inlineStr">
        <is>
          <t>Renovación del aceite (se resta)</t>
        </is>
      </c>
      <c r="B13" s="25">
        <f>'Tesorería 12 meses'!$N$18</f>
        <v>2659.968487195122</v>
      </c>
      <c r="C13" s="25">
        <f>C7*'0. Supuestos'!$B$17</f>
        <v>3049.985365853659</v>
      </c>
      <c r="D13" s="25">
        <f>D7*'0. Supuestos'!$B$17</f>
        <v>3049.985365853659</v>
      </c>
      <c r="E13" s="12" t="inlineStr">
        <is>
          <t>El aceite que se tira al cambiar la cuba (libro 4). El absorbido ya va en la materia.</t>
        </is>
      </c>
    </row>
    <row r="14" ht="30" customHeight="1">
      <c r="A14" s="10" t="inlineStr">
        <is>
          <t>Ferias (resultado del año, libro 5)</t>
        </is>
      </c>
      <c r="B14" s="25">
        <f>'Tesorería 12 meses'!$N$19</f>
        <v>0.0</v>
      </c>
      <c r="C14" s="25">
        <f>'0. Supuestos'!$B$32</f>
        <v>0.0</v>
      </c>
      <c r="D14" s="25">
        <f>'0. Supuestos'!$B$32</f>
        <v>0.0</v>
      </c>
    </row>
    <row r="15" ht="30" customHeight="1">
      <c r="A15" s="20" t="inlineStr">
        <is>
          <t>CONTRIBUCIÓN DEL AÑO</t>
        </is>
      </c>
      <c r="B15" s="21">
        <f>B11+B12-B13+B14</f>
        <v>173009.28561377656</v>
      </c>
      <c r="C15" s="21">
        <f>C11+C12-C13+C14</f>
        <v>198418.44948705452</v>
      </c>
      <c r="D15" s="21">
        <f>D11+D12-D13+D14</f>
        <v>198418.44948705452</v>
      </c>
    </row>
    <row r="16">
      <c r="A16" s="4" t="inlineStr">
        <is>
          <t>Costes Fijos</t>
        </is>
      </c>
    </row>
    <row r="17" ht="30" customHeight="1">
      <c r="A17" s="10" t="inlineStr">
        <is>
          <t>Plantilla (libro 8)</t>
        </is>
      </c>
      <c r="B17" s="25">
        <f>'0. Supuestos'!$B$39</f>
        <v>119350.201113611</v>
      </c>
      <c r="C17" s="25">
        <f>'0. Supuestos'!$B$39</f>
        <v>119350.201113611</v>
      </c>
      <c r="D17" s="25">
        <f>'0. Supuestos'!$B$39</f>
        <v>119350.201113611</v>
      </c>
      <c r="E17" s="12" t="inlineStr">
        <is>
          <t>La misma los tres años: se contrata desde el primer día.</t>
        </is>
      </c>
    </row>
    <row r="18" ht="30" customHeight="1">
      <c r="A18" s="10" t="inlineStr">
        <is>
          <t>Renta del local (libro 2)</t>
        </is>
      </c>
      <c r="B18" s="25">
        <f>'0. Supuestos'!$B$8*'0. Supuestos'!$B$44</f>
        <v>10920.0</v>
      </c>
      <c r="C18" s="25">
        <f>'0. Supuestos'!$B$8*'0. Supuestos'!$B$44</f>
        <v>10920.0</v>
      </c>
      <c r="D18" s="25">
        <f>'0. Supuestos'!$B$8*'0. Supuestos'!$B$44</f>
        <v>10920.0</v>
      </c>
    </row>
    <row r="19" ht="30" customHeight="1">
      <c r="A19" s="10" t="inlineStr">
        <is>
          <t>Gastos fijos (suministros, seguros, asesoría, TPV, cuota de autónomos...)</t>
        </is>
      </c>
      <c r="B19" s="25">
        <f>'0. Supuestos'!$B$83*'0. Supuestos'!$B$44</f>
        <v>22440.0</v>
      </c>
      <c r="C19" s="25">
        <f>'0. Supuestos'!$B$83*'0. Supuestos'!$B$44</f>
        <v>22440.0</v>
      </c>
      <c r="D19" s="25">
        <f>'0. Supuestos'!$B$83*'0. Supuestos'!$B$44</f>
        <v>22440.0</v>
      </c>
      <c r="E19" s="12" t="inlineStr">
        <is>
          <t>Los de «0. Supuestos», que nacen en este libro.</t>
        </is>
      </c>
    </row>
    <row r="20" ht="30" customHeight="1">
      <c r="A20" s="10" t="inlineStr">
        <is>
          <t>Amortización del inmovilizado</t>
        </is>
      </c>
      <c r="B20" s="25">
        <f>'Inversión Inicial'!$B$10</f>
        <v>8174.735000000001</v>
      </c>
      <c r="C20" s="25">
        <f>'Inversión Inicial'!$B$10</f>
        <v>8174.735000000001</v>
      </c>
      <c r="D20" s="25">
        <f>'Inversión Inicial'!$B$10</f>
        <v>8174.735000000001</v>
      </c>
      <c r="E20" s="12" t="inlineStr">
        <is>
          <t>No sale de la caja.</t>
        </is>
      </c>
    </row>
    <row r="21" ht="30" customHeight="1">
      <c r="A21" s="10" t="inlineStr">
        <is>
          <t>Intereses del préstamo</t>
        </is>
      </c>
      <c r="B21" s="25">
        <f>'Financiación'!$B$117</f>
        <v>6075.678474934056</v>
      </c>
      <c r="C21" s="25">
        <f>'Financiación'!$B$118</f>
        <v>5394.75875011256</v>
      </c>
      <c r="D21" s="25">
        <f>'Financiación'!$B$119</f>
        <v>4552.342042557509</v>
      </c>
      <c r="E21" s="12" t="inlineStr">
        <is>
          <t>Los de cada año del cuadro de «Financiación».</t>
        </is>
      </c>
    </row>
    <row r="22" ht="30" customHeight="1">
      <c r="A22" s="20" t="inlineStr">
        <is>
          <t>TOTAL COSTES FIJOS</t>
        </is>
      </c>
      <c r="B22" s="21">
        <f>SUM(B17:B21)</f>
        <v>166960.61458854502</v>
      </c>
      <c r="C22" s="21">
        <f>SUM(C17:C21)</f>
        <v>166279.69486372353</v>
      </c>
      <c r="D22" s="21">
        <f>SUM(D17:D21)</f>
        <v>165437.2781561685</v>
      </c>
    </row>
    <row r="23" ht="30" customHeight="1">
      <c r="A23" s="20" t="inlineStr">
        <is>
          <t>RESULTADO ANTES DE IMPUESTOS</t>
        </is>
      </c>
      <c r="B23" s="21">
        <f>B15-B22</f>
        <v>6048.671025231539</v>
      </c>
      <c r="C23" s="21">
        <f>C15-C22</f>
        <v>32138.754623330984</v>
      </c>
      <c r="D23" s="21">
        <f>D15-D22</f>
        <v>32981.17133088602</v>
      </c>
      <c r="E23" s="12" t="inlineStr">
        <is>
          <t>En euros. Sin Impuesto de Sociedades ni IRPF: dependen de tu forma jurídica.</t>
        </is>
      </c>
    </row>
    <row r="24">
      <c r="A24" s="27" t="inlineStr">
        <is>
          <t>¿Gana dinero?</t>
        </is>
      </c>
      <c r="B24" s="28" t="str">
        <f>IF(NOT(ISNUMBER(B23)),"",IF(B23&gt;=0,"Gana dinero","Pierde dinero"))</f>
        <v>Gana dinero</v>
      </c>
      <c r="C24" s="28" t="str">
        <f>IF(NOT(ISNUMBER(C23)),"",IF(C23&gt;=0,"Gana dinero","Pierde dinero"))</f>
        <v>Gana dinero</v>
      </c>
      <c r="D24" s="28" t="str">
        <f>IF(NOT(ISNUMBER(D23)),"",IF(D23&gt;=0,"Gana dinero","Pierde dinero"))</f>
        <v>Gana dinero</v>
      </c>
    </row>
    <row r="25"/>
    <row r="26">
      <c r="A26" s="4" t="inlineStr">
        <is>
          <t>Ventas y Lecturas por Ración</t>
        </is>
      </c>
    </row>
    <row r="27" ht="30" customHeight="1">
      <c r="A27" s="10" t="inlineStr">
        <is>
          <t>Ventas sin IVA de julio y agosto (la salida que eliges en el libro 5)</t>
        </is>
      </c>
      <c r="B27" s="25">
        <f>'Tesorería 12 meses'!$N$14</f>
        <v>20737.71954545454</v>
      </c>
      <c r="C27" s="25">
        <f>'0. Supuestos'!$B$37</f>
        <v>20737.71954545454</v>
      </c>
      <c r="D27" s="25">
        <f>C27*(1+'0. Supuestos'!$B$50)</f>
        <v>20737.71954545454</v>
      </c>
      <c r="E27" s="12" t="inlineStr">
        <is>
          <t>Con el ticket de la salida elegida (libro 5, X16 ter): cero si cierras o sales de ferias, cuyas ventas están en su contribución. El resultado cuenta con la contribución, no con estas ventas.</t>
        </is>
      </c>
    </row>
    <row r="28" ht="30" customHeight="1">
      <c r="A28" s="20" t="inlineStr">
        <is>
          <t>VENTAS SIN IVA DEL AÑO (con el verano de la salida elegida)</t>
        </is>
      </c>
      <c r="B28" s="21">
        <f>B9+B27</f>
        <v>202873.07744318183</v>
      </c>
      <c r="C28" s="21">
        <f>C9+C27</f>
        <v>232556.75931818184</v>
      </c>
      <c r="D28" s="21">
        <f>D9+D27</f>
        <v>232556.75931818184</v>
      </c>
    </row>
    <row r="29" ht="30" customHeight="1">
      <c r="A29" s="10" t="inlineStr">
        <is>
          <t>Resultado sobre ventas</t>
        </is>
      </c>
      <c r="B29" s="23">
        <f>IFERROR(B23/B28,"")</f>
        <v>0.029815050382550515</v>
      </c>
      <c r="C29" s="23">
        <f>IFERROR(C23/C28,"")</f>
        <v>0.13819746507285588</v>
      </c>
      <c r="D29" s="23">
        <f>IFERROR(D23/D28,"")</f>
        <v>0.14181987841411872</v>
      </c>
      <c r="E29" s="12" t="inlineStr">
        <is>
          <t>Información, no veredicto: el veredicto es el resultado en euros.</t>
        </is>
      </c>
    </row>
    <row r="30" ht="30" customHeight="1">
      <c r="A30" s="10" t="inlineStr">
        <is>
          <t>Contribución por ración</t>
        </is>
      </c>
      <c r="B30" s="29">
        <f>IFERROR(B15/B7,"")</f>
        <v>1.8470829331893812</v>
      </c>
      <c r="C30" s="29">
        <f>IFERROR(C15/C7,"")</f>
        <v>1.8474715967137292</v>
      </c>
      <c r="D30" s="29">
        <f>IFERROR(D15/D7,"")</f>
        <v>1.8474715967137292</v>
      </c>
    </row>
    <row r="31" ht="30" customHeight="1">
      <c r="A31" s="10" t="inlineStr">
        <is>
          <t>Resultado por ración</t>
        </is>
      </c>
      <c r="B31" s="29">
        <f>IFERROR(B23/B7,"")</f>
        <v>0.06457686348768234</v>
      </c>
      <c r="C31" s="29">
        <f>IFERROR(C23/C7,"")</f>
        <v>0.2992435253568993</v>
      </c>
      <c r="D31" s="29">
        <f>IFERROR(D23/D7,"")</f>
        <v>0.30708725633972084</v>
      </c>
    </row>
    <row r="32" ht="30" customHeight="1">
      <c r="A32" s="10" t="inlineStr">
        <is>
          <t>Caja que genera el negocio antes de la deuda (resultado + amortización + intereses)</t>
        </is>
      </c>
      <c r="B32" s="25">
        <f>B23+B20+B21</f>
        <v>20299.084500165594</v>
      </c>
      <c r="C32" s="25">
        <f>C23+C20+C21</f>
        <v>45708.248373443545</v>
      </c>
      <c r="D32" s="25">
        <f>D23+D20+D21</f>
        <v>45708.24837344353</v>
      </c>
      <c r="E32" s="12" t="inlineStr">
        <is>
          <t>Con ella se paga la cuota del préstamo (hoja «Financiación»).</t>
        </is>
      </c>
    </row>
    <row r="33"/>
    <row r="34" ht="44" customHeight="1">
      <c r="A34" s="3" t="inlineStr">
        <is>
          <t>El año 2 es el de crucero: un año entero sin la rampa del arranque. Es el que se cita en el resumen del plan de negocio y el que decide si el negocio funciona. El año 1 suele salir peor por la rampa y por la carencia; el año 3 repite el 2 salvo que pongas crecimiento.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E3"/>
    <mergeCell ref="A34:E34"/>
  </mergeCells>
  <conditionalFormatting sqref="B23:D23">
    <cfRule type="expression" priority="1" dxfId="1" stopIfTrue="1">
      <formula>=AND(ISNUMBER(B23),B23&lt;0)</formula>
    </cfRule>
  </conditionalFormatting>
  <conditionalFormatting sqref="B24:D24">
    <cfRule type="cellIs" priority="2" operator="equal" dxfId="0" stopIfTrue="1">
      <formula>"Gana dinero"</formula>
    </cfRule>
    <cfRule type="cellIs" priority="3" operator="equal" dxfId="1" stopIfTrue="1">
      <formula>"Pierde dinero"</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I38"/>
  <sheetViews>
    <sheetView workbookViewId="0">
      <selection activeCell="A1" sqref="A1"/>
    </sheetView>
  </sheetViews>
  <sheetFormatPr baseColWidth="8" defaultRowHeight="15"/>
  <cols>
    <col width="58" customWidth="1" min="1" max="1"/>
    <col width="16" customWidth="1" min="2" max="2"/>
    <col width="14" customWidth="1" min="3" max="3"/>
    <col width="14" customWidth="1" min="4" max="4"/>
    <col width="14" customWidth="1" min="5" max="5"/>
    <col width="16" customWidth="1" min="6" max="6"/>
    <col width="15" customWidth="1" min="7" max="7"/>
    <col width="16" customWidth="1" min="8" max="8"/>
    <col width="16" customWidth="1" min="9" max="9"/>
  </cols>
  <sheetData>
    <row r="1">
      <c r="A1" s="1" t="inlineStr">
        <is>
          <t>Punto de Equilibrio en Raciones al Día</t>
        </is>
      </c>
    </row>
    <row r="2">
      <c r="A2" s="2" t="inlineStr">
        <is>
          <t>AI Chef Pro · aichef.pro — Cómo Montar una Churrería-Chocolatería</t>
        </is>
      </c>
    </row>
    <row r="3" ht="40" customHeight="1">
      <c r="A3" s="3" t="inlineStr">
        <is>
          <t>Cuántas raciones al día pagan los fijos del año de crucero, con la contribución media por ración de tu carta, y qué meses no llegan.</t>
        </is>
      </c>
    </row>
    <row r="4"/>
    <row r="5">
      <c r="A5" s="4" t="inlineStr">
        <is>
          <t>Año de Crucero</t>
        </is>
      </c>
    </row>
    <row r="6" ht="30" customHeight="1">
      <c r="A6" s="10" t="inlineStr">
        <is>
          <t>Fijos del año (con amortización e intereses)</t>
        </is>
      </c>
      <c r="B6" s="25">
        <f>'PyG 3 Años'!$C$22</f>
        <v>166279.69486372353</v>
      </c>
    </row>
    <row r="7" ht="30" customHeight="1">
      <c r="A7" s="10" t="inlineStr">
        <is>
          <t>Contribución del año</t>
        </is>
      </c>
      <c r="B7" s="25">
        <f>'PyG 3 Años'!$C$15</f>
        <v>198418.44948705452</v>
      </c>
    </row>
    <row r="8" ht="30" customHeight="1">
      <c r="A8" s="10" t="inlineStr">
        <is>
          <t>Raciones del año</t>
        </is>
      </c>
      <c r="B8" s="26">
        <f>'PyG 3 Años'!$C$7</f>
        <v>107400.0</v>
      </c>
    </row>
    <row r="9" ht="30" customHeight="1">
      <c r="A9" s="10" t="inlineStr">
        <is>
          <t>Contribución media por ración</t>
        </is>
      </c>
      <c r="B9" s="29">
        <f>IFERROR(B7/B8,"")</f>
        <v>1.8474715967137292</v>
      </c>
      <c r="C9" s="12" t="inlineStr">
        <is>
          <t>Mezcla la carta de invierno, el verano, las ferias y el aceite.</t>
        </is>
      </c>
    </row>
    <row r="10" ht="30" customHeight="1">
      <c r="A10" s="10" t="inlineStr">
        <is>
          <t>Días de apertura al año</t>
        </is>
      </c>
      <c r="B10" s="26">
        <f>('0. Supuestos'!$B$42-'0. Supuestos'!$B$43)</f>
        <v>360.0</v>
      </c>
    </row>
    <row r="11" ht="30" customHeight="1">
      <c r="A11" s="10" t="inlineStr">
        <is>
          <t>Raciones al año que pagan los fijos</t>
        </is>
      </c>
      <c r="B11" s="26">
        <f>IFERROR(B6/B9,"")</f>
        <v>90003.92490986103</v>
      </c>
    </row>
    <row r="12" ht="30" customHeight="1">
      <c r="A12" s="20" t="inlineStr">
        <is>
          <t>PUNTO DE EQUILIBRIO: raciones al día</t>
        </is>
      </c>
      <c r="B12" s="30">
        <f>IFERROR(B11/B10,"")</f>
        <v>250.01090252739175</v>
      </c>
    </row>
    <row r="13" ht="30" customHeight="1">
      <c r="A13" s="10" t="inlineStr">
        <is>
          <t>Raciones al día que prevés vender (media del año)</t>
        </is>
      </c>
      <c r="B13" s="31">
        <f>IFERROR(B8/B10,"")</f>
        <v>298.3333333333333</v>
      </c>
    </row>
    <row r="14" ht="30" customHeight="1">
      <c r="A14" s="10" t="inlineStr">
        <is>
          <t>Margen de seguridad (raciones al día por encima del equilibrio)</t>
        </is>
      </c>
      <c r="B14" s="31">
        <f>B13-B12</f>
        <v>48.322430805941565</v>
      </c>
    </row>
    <row r="15" ht="30" customHeight="1">
      <c r="A15" s="27" t="inlineStr">
        <is>
          <t>Lo que te sobra (o falta) al año, en euros</t>
        </is>
      </c>
      <c r="B15" s="32">
        <f>B7-B6</f>
        <v>32138.754623330984</v>
      </c>
      <c r="C15" s="12" t="inlineStr">
        <is>
          <t>Es el resultado antes de impuestos del año de crucero.</t>
        </is>
      </c>
    </row>
    <row r="16" ht="30" customHeight="1">
      <c r="A16" s="27" t="inlineStr">
        <is>
          <t>Veredicto</t>
        </is>
      </c>
      <c r="B16" s="28" t="str">
        <f>IF(NOT(ISNUMBER(B15)),"",IF(B15&gt;=0,"Por encima del punto de equilibrio","Por debajo del punto de equilibrio"))</f>
        <v>Por encima del punto de equilibrio</v>
      </c>
    </row>
    <row r="17" ht="30" customHeight="1">
      <c r="A17" s="10" t="inlineStr">
        <is>
          <t>Contribución que necesitas cada mes para pagar los fijos</t>
        </is>
      </c>
      <c r="B17" s="25">
        <f>IFERROR(B6/'0. Supuestos'!$B$44,"")</f>
        <v>13856.641238643628</v>
      </c>
    </row>
    <row r="18" ht="30" customHeight="1">
      <c r="A18" s="10" t="inlineStr">
        <is>
          <t>Ventas sin IVA al mes en el punto de equilibrio (estimación)</t>
        </is>
      </c>
      <c r="B18" s="25">
        <f>IFERROR(B11/'0. Supuestos'!$B$44*'PyG 3 Años'!$C$28/'PyG 3 Años'!$C$7,"")</f>
        <v>16240.705387146387</v>
      </c>
      <c r="C18" s="12" t="inlineStr">
        <is>
          <t>Con las ventas del año de «PyG 3 Años», que estiman julio y agosto con el ticket de invierno.</t>
        </is>
      </c>
    </row>
    <row r="19" ht="30" customHeight="1">
      <c r="A19" s="10" t="inlineStr">
        <is>
          <t>Punto de equilibrio de caja: raciones al día (sin la amortización)</t>
        </is>
      </c>
      <c r="B19" s="31">
        <f>IFERROR((B6-'PyG 3 Años'!$C$20)/B9/B10,"")</f>
        <v>237.7197272462051</v>
      </c>
      <c r="C19" s="12" t="inlineStr">
        <is>
          <t>Lo que necesitas para no perder caja, aunque contablemente pierdas dinero.</t>
        </is>
      </c>
    </row>
    <row r="20"/>
    <row r="21">
      <c r="A21" s="4" t="inlineStr">
        <is>
          <t>Mes a Mes del Año de Crucero</t>
        </is>
      </c>
    </row>
    <row r="22" ht="36" customHeight="1">
      <c r="A22" s="9" t="inlineStr">
        <is>
          <t>Mes</t>
        </is>
      </c>
      <c r="B22" s="9" t="inlineStr">
        <is>
          <t>Número del mes</t>
        </is>
      </c>
      <c r="C22" s="9" t="inlineStr">
        <is>
          <t>Coeficiente</t>
        </is>
      </c>
      <c r="D22" s="9" t="inlineStr">
        <is>
          <t>Raciones del mes</t>
        </is>
      </c>
      <c r="E22" s="9" t="inlineStr">
        <is>
          <t>Raciones al día</t>
        </is>
      </c>
      <c r="F22" s="9" t="inlineStr">
        <is>
          <t>Contribución del mes</t>
        </is>
      </c>
      <c r="G22" s="9" t="inlineStr">
        <is>
          <t>Fijos del mes</t>
        </is>
      </c>
      <c r="H22" s="9" t="inlineStr">
        <is>
          <t>Resultado del mes</t>
        </is>
      </c>
      <c r="I22" s="9" t="inlineStr">
        <is>
          <t>¿Paga sus fijos?</t>
        </is>
      </c>
    </row>
    <row r="23">
      <c r="A23" t="inlineStr">
        <is>
          <t>Enero</t>
        </is>
      </c>
      <c r="B23" s="26" t="n">
        <v>1</v>
      </c>
      <c r="C23" s="33">
        <f>'0. Supuestos'!$B$20</f>
        <v>1.25</v>
      </c>
      <c r="D23" s="26">
        <f>IFERROR('0. Supuestos'!$B$19*C23/'0. Supuestos'!$B$44,"")</f>
        <v>11187.5</v>
      </c>
      <c r="E23" s="31">
        <f>IFERROR(D23/($B$10/'0. Supuestos'!$B$44),"")</f>
        <v>372.9166666666667</v>
      </c>
      <c r="F23" s="25">
        <f>IFERROR(IF(OR(B23='0. Supuestos'!$B$46,B23='0. Supuestos'!$B$47),IF(INDEX('0. Supuestos'!$B$20:$B$31,'0. Supuestos'!$B$46)+INDEX('0. Supuestos'!$B$20:$B$31,'0. Supuestos'!$B$47)&gt;0,'0. Supuestos'!$B$33*C23/(INDEX('0. Supuestos'!$B$20:$B$31,'0. Supuestos'!$B$46)+INDEX('0. Supuestos'!$B$20:$B$31,'0. Supuestos'!$B$47)),0),D23*('Canales y Punto Muerto'!$D$8-'Canales y Punto Muerto'!$E$8))-D23*'0. Supuestos'!$B$17+'0. Supuestos'!$B$32/'0. Supuestos'!$B$44,"")</f>
        <v>20698.24362437108</v>
      </c>
      <c r="G23" s="25">
        <f>IFERROR($B$6/'0. Supuestos'!$B$44,"")</f>
        <v>13856.641238643628</v>
      </c>
      <c r="H23" s="32">
        <f>F23-G23</f>
        <v>6841.602385727452</v>
      </c>
      <c r="I23" t="str">
        <f>IF(NOT(ISNUMBER(H23)),"",IF(H23&gt;=0,"Sí","No"))</f>
        <v>Sí</v>
      </c>
    </row>
    <row r="24">
      <c r="A24" t="inlineStr">
        <is>
          <t>Febrero</t>
        </is>
      </c>
      <c r="B24" s="26" t="n">
        <v>2</v>
      </c>
      <c r="C24" s="33">
        <f>'0. Supuestos'!$B$21</f>
        <v>1.15</v>
      </c>
      <c r="D24" s="26">
        <f>IFERROR('0. Supuestos'!$B$19*C24/'0. Supuestos'!$B$44,"")</f>
        <v>10292.499999999998</v>
      </c>
      <c r="E24" s="31">
        <f>IFERROR(D24/($B$10/'0. Supuestos'!$B$44),"")</f>
        <v>343.08333333333326</v>
      </c>
      <c r="F24" s="25">
        <f>IFERROR(IF(OR(B24='0. Supuestos'!$B$46,B24='0. Supuestos'!$B$47),IF(INDEX('0. Supuestos'!$B$20:$B$31,'0. Supuestos'!$B$46)+INDEX('0. Supuestos'!$B$20:$B$31,'0. Supuestos'!$B$47)&gt;0,'0. Supuestos'!$B$33*C24/(INDEX('0. Supuestos'!$B$20:$B$31,'0. Supuestos'!$B$46)+INDEX('0. Supuestos'!$B$20:$B$31,'0. Supuestos'!$B$47)),0),D24*('Canales y Punto Muerto'!$D$8-'Canales y Punto Muerto'!$E$8))-D24*'0. Supuestos'!$B$17+'0. Supuestos'!$B$32/'0. Supuestos'!$B$44,"")</f>
        <v>19042.384134421394</v>
      </c>
      <c r="G24" s="25">
        <f>IFERROR($B$6/'0. Supuestos'!$B$44,"")</f>
        <v>13856.641238643628</v>
      </c>
      <c r="H24" s="32">
        <f>F24-G24</f>
        <v>5185.7428957777665</v>
      </c>
      <c r="I24" t="str">
        <f>IF(NOT(ISNUMBER(H24)),"",IF(H24&gt;=0,"Sí","No"))</f>
        <v>Sí</v>
      </c>
    </row>
    <row r="25">
      <c r="A25" t="inlineStr">
        <is>
          <t>Marzo</t>
        </is>
      </c>
      <c r="B25" s="26" t="n">
        <v>3</v>
      </c>
      <c r="C25" s="33">
        <f>'0. Supuestos'!$B$22</f>
        <v>1.1</v>
      </c>
      <c r="D25" s="26">
        <f>IFERROR('0. Supuestos'!$B$19*C25/'0. Supuestos'!$B$44,"")</f>
        <v>9845.000000000002</v>
      </c>
      <c r="E25" s="31">
        <f>IFERROR(D25/($B$10/'0. Supuestos'!$B$44),"")</f>
        <v>328.16666666666674</v>
      </c>
      <c r="F25" s="25">
        <f>IFERROR(IF(OR(B25='0. Supuestos'!$B$46,B25='0. Supuestos'!$B$47),IF(INDEX('0. Supuestos'!$B$20:$B$31,'0. Supuestos'!$B$46)+INDEX('0. Supuestos'!$B$20:$B$31,'0. Supuestos'!$B$47)&gt;0,'0. Supuestos'!$B$33*C25/(INDEX('0. Supuestos'!$B$20:$B$31,'0. Supuestos'!$B$46)+INDEX('0. Supuestos'!$B$20:$B$31,'0. Supuestos'!$B$47)),0),D25*('Canales y Punto Muerto'!$D$8-'Canales y Punto Muerto'!$E$8))-D25*'0. Supuestos'!$B$17+'0. Supuestos'!$B$32/'0. Supuestos'!$B$44,"")</f>
        <v>18214.454389446553</v>
      </c>
      <c r="G25" s="25">
        <f>IFERROR($B$6/'0. Supuestos'!$B$44,"")</f>
        <v>13856.641238643628</v>
      </c>
      <c r="H25" s="32">
        <f>F25-G25</f>
        <v>4357.8131508029255</v>
      </c>
      <c r="I25" t="str">
        <f>IF(NOT(ISNUMBER(H25)),"",IF(H25&gt;=0,"Sí","No"))</f>
        <v>Sí</v>
      </c>
    </row>
    <row r="26">
      <c r="A26" t="inlineStr">
        <is>
          <t>Abril</t>
        </is>
      </c>
      <c r="B26" s="26" t="n">
        <v>4</v>
      </c>
      <c r="C26" s="33">
        <f>'0. Supuestos'!$B$23</f>
        <v>0.95</v>
      </c>
      <c r="D26" s="26">
        <f>IFERROR('0. Supuestos'!$B$19*C26/'0. Supuestos'!$B$44,"")</f>
        <v>8502.5</v>
      </c>
      <c r="E26" s="31">
        <f>IFERROR(D26/($B$10/'0. Supuestos'!$B$44),"")</f>
        <v>283.4166666666667</v>
      </c>
      <c r="F26" s="25">
        <f>IFERROR(IF(OR(B26='0. Supuestos'!$B$46,B26='0. Supuestos'!$B$47),IF(INDEX('0. Supuestos'!$B$20:$B$31,'0. Supuestos'!$B$46)+INDEX('0. Supuestos'!$B$20:$B$31,'0. Supuestos'!$B$47)&gt;0,'0. Supuestos'!$B$33*C26/(INDEX('0. Supuestos'!$B$20:$B$31,'0. Supuestos'!$B$46)+INDEX('0. Supuestos'!$B$20:$B$31,'0. Supuestos'!$B$47)),0),D26*('Canales y Punto Muerto'!$D$8-'Canales y Punto Muerto'!$E$8))-D26*'0. Supuestos'!$B$17+'0. Supuestos'!$B$32/'0. Supuestos'!$B$44,"")</f>
        <v>15730.665154522023</v>
      </c>
      <c r="G26" s="25">
        <f>IFERROR($B$6/'0. Supuestos'!$B$44,"")</f>
        <v>13856.641238643628</v>
      </c>
      <c r="H26" s="32">
        <f>F26-G26</f>
        <v>1874.0239158783952</v>
      </c>
      <c r="I26" t="str">
        <f>IF(NOT(ISNUMBER(H26)),"",IF(H26&gt;=0,"Sí","No"))</f>
        <v>Sí</v>
      </c>
    </row>
    <row r="27">
      <c r="A27" t="inlineStr">
        <is>
          <t>Mayo</t>
        </is>
      </c>
      <c r="B27" s="26" t="n">
        <v>5</v>
      </c>
      <c r="C27" s="33">
        <f>'0. Supuestos'!$B$24</f>
        <v>0.85</v>
      </c>
      <c r="D27" s="26">
        <f>IFERROR('0. Supuestos'!$B$19*C27/'0. Supuestos'!$B$44,"")</f>
        <v>7607.5</v>
      </c>
      <c r="E27" s="31">
        <f>IFERROR(D27/($B$10/'0. Supuestos'!$B$44),"")</f>
        <v>253.58333333333334</v>
      </c>
      <c r="F27" s="25">
        <f>IFERROR(IF(OR(B27='0. Supuestos'!$B$46,B27='0. Supuestos'!$B$47),IF(INDEX('0. Supuestos'!$B$20:$B$31,'0. Supuestos'!$B$46)+INDEX('0. Supuestos'!$B$20:$B$31,'0. Supuestos'!$B$47)&gt;0,'0. Supuestos'!$B$33*C27/(INDEX('0. Supuestos'!$B$20:$B$31,'0. Supuestos'!$B$46)+INDEX('0. Supuestos'!$B$20:$B$31,'0. Supuestos'!$B$47)),0),D27*('Canales y Punto Muerto'!$D$8-'Canales y Punto Muerto'!$E$8))-D27*'0. Supuestos'!$B$17+'0. Supuestos'!$B$32/'0. Supuestos'!$B$44,"")</f>
        <v>14074.805664572335</v>
      </c>
      <c r="G27" s="25">
        <f>IFERROR($B$6/'0. Supuestos'!$B$44,"")</f>
        <v>13856.641238643628</v>
      </c>
      <c r="H27" s="32">
        <f>F27-G27</f>
        <v>218.16442592870771</v>
      </c>
      <c r="I27" t="str">
        <f>IF(NOT(ISNUMBER(H27)),"",IF(H27&gt;=0,"Sí","No"))</f>
        <v>Sí</v>
      </c>
    </row>
    <row r="28">
      <c r="A28" t="inlineStr">
        <is>
          <t>Junio</t>
        </is>
      </c>
      <c r="B28" s="26" t="n">
        <v>6</v>
      </c>
      <c r="C28" s="33">
        <f>'0. Supuestos'!$B$25</f>
        <v>0.7</v>
      </c>
      <c r="D28" s="26">
        <f>IFERROR('0. Supuestos'!$B$19*C28/'0. Supuestos'!$B$44,"")</f>
        <v>6265.0</v>
      </c>
      <c r="E28" s="31">
        <f>IFERROR(D28/($B$10/'0. Supuestos'!$B$44),"")</f>
        <v>208.83333333333334</v>
      </c>
      <c r="F28" s="25">
        <f>IFERROR(IF(OR(B28='0. Supuestos'!$B$46,B28='0. Supuestos'!$B$47),IF(INDEX('0. Supuestos'!$B$20:$B$31,'0. Supuestos'!$B$46)+INDEX('0. Supuestos'!$B$20:$B$31,'0. Supuestos'!$B$47)&gt;0,'0. Supuestos'!$B$33*C28/(INDEX('0. Supuestos'!$B$20:$B$31,'0. Supuestos'!$B$46)+INDEX('0. Supuestos'!$B$20:$B$31,'0. Supuestos'!$B$47)),0),D28*('Canales y Punto Muerto'!$D$8-'Canales y Punto Muerto'!$E$8))-D28*'0. Supuestos'!$B$17+'0. Supuestos'!$B$32/'0. Supuestos'!$B$44,"")</f>
        <v>11591.016429647805</v>
      </c>
      <c r="G28" s="25">
        <f>IFERROR($B$6/'0. Supuestos'!$B$44,"")</f>
        <v>13856.641238643628</v>
      </c>
      <c r="H28" s="32">
        <f>F28-G28</f>
        <v>-2265.6248089958226</v>
      </c>
      <c r="I28" t="str">
        <f>IF(NOT(ISNUMBER(H28)),"",IF(H28&gt;=0,"Sí","No"))</f>
        <v>No</v>
      </c>
    </row>
    <row r="29">
      <c r="A29" t="inlineStr">
        <is>
          <t>Julio</t>
        </is>
      </c>
      <c r="B29" s="26" t="n">
        <v>7</v>
      </c>
      <c r="C29" s="33">
        <f>'0. Supuestos'!$B$26</f>
        <v>0.55</v>
      </c>
      <c r="D29" s="26">
        <f>IFERROR('0. Supuestos'!$B$19*C29/'0. Supuestos'!$B$44,"")</f>
        <v>4922.500000000001</v>
      </c>
      <c r="E29" s="31">
        <f>IFERROR(D29/($B$10/'0. Supuestos'!$B$44),"")</f>
        <v>164.08333333333337</v>
      </c>
      <c r="F29" s="25">
        <f>IFERROR(IF(OR(B29='0. Supuestos'!$B$46,B29='0. Supuestos'!$B$47),IF(INDEX('0. Supuestos'!$B$20:$B$31,'0. Supuestos'!$B$46)+INDEX('0. Supuestos'!$B$20:$B$31,'0. Supuestos'!$B$47)&gt;0,'0. Supuestos'!$B$33*C29/(INDEX('0. Supuestos'!$B$20:$B$31,'0. Supuestos'!$B$46)+INDEX('0. Supuestos'!$B$20:$B$31,'0. Supuestos'!$B$47)),0),D29*('Canales y Punto Muerto'!$D$8-'Canales y Punto Muerto'!$E$8))-D29*'0. Supuestos'!$B$17+'0. Supuestos'!$B$32/'0. Supuestos'!$B$44,"")</f>
        <v>8958.104224438193</v>
      </c>
      <c r="G29" s="25">
        <f>IFERROR($B$6/'0. Supuestos'!$B$44,"")</f>
        <v>13856.641238643628</v>
      </c>
      <c r="H29" s="32">
        <f>F29-G29</f>
        <v>-4898.537014205434</v>
      </c>
      <c r="I29" t="str">
        <f>IF(NOT(ISNUMBER(H29)),"",IF(H29&gt;=0,"Sí","No"))</f>
        <v>No</v>
      </c>
    </row>
    <row r="30">
      <c r="A30" t="inlineStr">
        <is>
          <t>Agosto</t>
        </is>
      </c>
      <c r="B30" s="26" t="n">
        <v>8</v>
      </c>
      <c r="C30" s="33">
        <f>'0. Supuestos'!$B$27</f>
        <v>0.5</v>
      </c>
      <c r="D30" s="26">
        <f>IFERROR('0. Supuestos'!$B$19*C30/'0. Supuestos'!$B$44,"")</f>
        <v>4475.0</v>
      </c>
      <c r="E30" s="31">
        <f>IFERROR(D30/($B$10/'0. Supuestos'!$B$44),"")</f>
        <v>149.16666666666666</v>
      </c>
      <c r="F30" s="25">
        <f>IFERROR(IF(OR(B30='0. Supuestos'!$B$46,B30='0. Supuestos'!$B$47),IF(INDEX('0. Supuestos'!$B$20:$B$31,'0. Supuestos'!$B$46)+INDEX('0. Supuestos'!$B$20:$B$31,'0. Supuestos'!$B$47)&gt;0,'0. Supuestos'!$B$33*C30/(INDEX('0. Supuestos'!$B$20:$B$31,'0. Supuestos'!$B$46)+INDEX('0. Supuestos'!$B$20:$B$31,'0. Supuestos'!$B$47)),0),D30*('Canales y Punto Muerto'!$D$8-'Canales y Punto Muerto'!$E$8))-D30*'0. Supuestos'!$B$17+'0. Supuestos'!$B$32/'0. Supuestos'!$B$44,"")</f>
        <v>8143.73111312563</v>
      </c>
      <c r="G30" s="25">
        <f>IFERROR($B$6/'0. Supuestos'!$B$44,"")</f>
        <v>13856.641238643628</v>
      </c>
      <c r="H30" s="32">
        <f>F30-G30</f>
        <v>-5712.910125517998</v>
      </c>
      <c r="I30" t="str">
        <f>IF(NOT(ISNUMBER(H30)),"",IF(H30&gt;=0,"Sí","No"))</f>
        <v>No</v>
      </c>
    </row>
    <row r="31">
      <c r="A31" t="inlineStr">
        <is>
          <t>Septiembre</t>
        </is>
      </c>
      <c r="B31" s="26" t="n">
        <v>9</v>
      </c>
      <c r="C31" s="33">
        <f>'0. Supuestos'!$B$28</f>
        <v>0.8</v>
      </c>
      <c r="D31" s="26">
        <f>IFERROR('0. Supuestos'!$B$19*C31/'0. Supuestos'!$B$44,"")</f>
        <v>7160.0</v>
      </c>
      <c r="E31" s="31">
        <f>IFERROR(D31/($B$10/'0. Supuestos'!$B$44),"")</f>
        <v>238.66666666666666</v>
      </c>
      <c r="F31" s="25">
        <f>IFERROR(IF(OR(B31='0. Supuestos'!$B$46,B31='0. Supuestos'!$B$47),IF(INDEX('0. Supuestos'!$B$20:$B$31,'0. Supuestos'!$B$46)+INDEX('0. Supuestos'!$B$20:$B$31,'0. Supuestos'!$B$47)&gt;0,'0. Supuestos'!$B$33*C31/(INDEX('0. Supuestos'!$B$20:$B$31,'0. Supuestos'!$B$46)+INDEX('0. Supuestos'!$B$20:$B$31,'0. Supuestos'!$B$47)),0),D31*('Canales y Punto Muerto'!$D$8-'Canales y Punto Muerto'!$E$8))-D31*'0. Supuestos'!$B$17+'0. Supuestos'!$B$32/'0. Supuestos'!$B$44,"")</f>
        <v>13246.875919597493</v>
      </c>
      <c r="G31" s="25">
        <f>IFERROR($B$6/'0. Supuestos'!$B$44,"")</f>
        <v>13856.641238643628</v>
      </c>
      <c r="H31" s="32">
        <f>F31-G31</f>
        <v>-609.7653190461351</v>
      </c>
      <c r="I31" t="str">
        <f>IF(NOT(ISNUMBER(H31)),"",IF(H31&gt;=0,"Sí","No"))</f>
        <v>No</v>
      </c>
    </row>
    <row r="32">
      <c r="A32" t="inlineStr">
        <is>
          <t>Octubre</t>
        </is>
      </c>
      <c r="B32" s="26" t="n">
        <v>10</v>
      </c>
      <c r="C32" s="33">
        <f>'0. Supuestos'!$B$29</f>
        <v>1.1</v>
      </c>
      <c r="D32" s="26">
        <f>IFERROR('0. Supuestos'!$B$19*C32/'0. Supuestos'!$B$44,"")</f>
        <v>9845.000000000002</v>
      </c>
      <c r="E32" s="31">
        <f>IFERROR(D32/($B$10/'0. Supuestos'!$B$44),"")</f>
        <v>328.16666666666674</v>
      </c>
      <c r="F32" s="25">
        <f>IFERROR(IF(OR(B32='0. Supuestos'!$B$46,B32='0. Supuestos'!$B$47),IF(INDEX('0. Supuestos'!$B$20:$B$31,'0. Supuestos'!$B$46)+INDEX('0. Supuestos'!$B$20:$B$31,'0. Supuestos'!$B$47)&gt;0,'0. Supuestos'!$B$33*C32/(INDEX('0. Supuestos'!$B$20:$B$31,'0. Supuestos'!$B$46)+INDEX('0. Supuestos'!$B$20:$B$31,'0. Supuestos'!$B$47)),0),D32*('Canales y Punto Muerto'!$D$8-'Canales y Punto Muerto'!$E$8))-D32*'0. Supuestos'!$B$17+'0. Supuestos'!$B$32/'0. Supuestos'!$B$44,"")</f>
        <v>18214.454389446553</v>
      </c>
      <c r="G32" s="25">
        <f>IFERROR($B$6/'0. Supuestos'!$B$44,"")</f>
        <v>13856.641238643628</v>
      </c>
      <c r="H32" s="32">
        <f>F32-G32</f>
        <v>4357.8131508029255</v>
      </c>
      <c r="I32" t="str">
        <f>IF(NOT(ISNUMBER(H32)),"",IF(H32&gt;=0,"Sí","No"))</f>
        <v>Sí</v>
      </c>
    </row>
    <row r="33">
      <c r="A33" t="inlineStr">
        <is>
          <t>Noviembre</t>
        </is>
      </c>
      <c r="B33" s="26" t="n">
        <v>11</v>
      </c>
      <c r="C33" s="33">
        <f>'0. Supuestos'!$B$30</f>
        <v>1.3</v>
      </c>
      <c r="D33" s="26">
        <f>IFERROR('0. Supuestos'!$B$19*C33/'0. Supuestos'!$B$44,"")</f>
        <v>11635.0</v>
      </c>
      <c r="E33" s="31">
        <f>IFERROR(D33/($B$10/'0. Supuestos'!$B$44),"")</f>
        <v>387.8333333333333</v>
      </c>
      <c r="F33" s="25">
        <f>IFERROR(IF(OR(B33='0. Supuestos'!$B$46,B33='0. Supuestos'!$B$47),IF(INDEX('0. Supuestos'!$B$20:$B$31,'0. Supuestos'!$B$46)+INDEX('0. Supuestos'!$B$20:$B$31,'0. Supuestos'!$B$47)&gt;0,'0. Supuestos'!$B$33*C33/(INDEX('0. Supuestos'!$B$20:$B$31,'0. Supuestos'!$B$46)+INDEX('0. Supuestos'!$B$20:$B$31,'0. Supuestos'!$B$47)),0),D33*('Canales y Punto Muerto'!$D$8-'Canales y Punto Muerto'!$E$8))-D33*'0. Supuestos'!$B$17+'0. Supuestos'!$B$32/'0. Supuestos'!$B$44,"")</f>
        <v>21526.173369345925</v>
      </c>
      <c r="G33" s="25">
        <f>IFERROR($B$6/'0. Supuestos'!$B$44,"")</f>
        <v>13856.641238643628</v>
      </c>
      <c r="H33" s="32">
        <f>F33-G33</f>
        <v>7669.532130702297</v>
      </c>
      <c r="I33" t="str">
        <f>IF(NOT(ISNUMBER(H33)),"",IF(H33&gt;=0,"Sí","No"))</f>
        <v>Sí</v>
      </c>
    </row>
    <row r="34">
      <c r="A34" t="inlineStr">
        <is>
          <t>Diciembre</t>
        </is>
      </c>
      <c r="B34" s="26" t="n">
        <v>12</v>
      </c>
      <c r="C34" s="33">
        <f>'0. Supuestos'!$B$31</f>
        <v>1.75</v>
      </c>
      <c r="D34" s="26">
        <f>IFERROR('0. Supuestos'!$B$19*C34/'0. Supuestos'!$B$44,"")</f>
        <v>15662.5</v>
      </c>
      <c r="E34" s="31">
        <f>IFERROR(D34/($B$10/'0. Supuestos'!$B$44),"")</f>
        <v>522.0833333333334</v>
      </c>
      <c r="F34" s="25">
        <f>IFERROR(IF(OR(B34='0. Supuestos'!$B$46,B34='0. Supuestos'!$B$47),IF(INDEX('0. Supuestos'!$B$20:$B$31,'0. Supuestos'!$B$46)+INDEX('0. Supuestos'!$B$20:$B$31,'0. Supuestos'!$B$47)&gt;0,'0. Supuestos'!$B$33*C34/(INDEX('0. Supuestos'!$B$20:$B$31,'0. Supuestos'!$B$46)+INDEX('0. Supuestos'!$B$20:$B$31,'0. Supuestos'!$B$47)),0),D34*('Canales y Punto Muerto'!$D$8-'Canales y Punto Muerto'!$E$8))-D34*'0. Supuestos'!$B$17+'0. Supuestos'!$B$32/'0. Supuestos'!$B$44,"")</f>
        <v>28977.541074119516</v>
      </c>
      <c r="G34" s="25">
        <f>IFERROR($B$6/'0. Supuestos'!$B$44,"")</f>
        <v>13856.641238643628</v>
      </c>
      <c r="H34" s="32">
        <f>F34-G34</f>
        <v>15120.899835475888</v>
      </c>
      <c r="I34" t="str">
        <f>IF(NOT(ISNUMBER(H34)),"",IF(H34&gt;=0,"Sí","No"))</f>
        <v>Sí</v>
      </c>
    </row>
    <row r="35">
      <c r="A35" s="20" t="inlineStr">
        <is>
          <t>TOTAL DEL AÑO</t>
        </is>
      </c>
      <c r="B35" s="34" t="n"/>
      <c r="C35" s="34" t="n"/>
      <c r="D35" s="35">
        <f>SUM(D23:D34)</f>
        <v>107400.0</v>
      </c>
      <c r="E35" s="34" t="n"/>
      <c r="F35" s="21">
        <f>SUM(F23:F34)</f>
        <v>198418.4494870545</v>
      </c>
      <c r="G35" s="21">
        <f>SUM(G23:G34)</f>
        <v>166279.69486372353</v>
      </c>
      <c r="H35" s="21">
        <f>SUM(H23:H34)</f>
        <v>32138.75462333097</v>
      </c>
      <c r="I35" s="34" t="n"/>
    </row>
    <row r="36">
      <c r="A36" s="10" t="inlineStr">
        <is>
          <t>Meses que no pagan sus fijos</t>
        </is>
      </c>
      <c r="B36" s="36">
        <f>COUNTIF(H23:H34,"&lt;0")</f>
        <v>4.0</v>
      </c>
    </row>
    <row r="37"/>
    <row r="38" ht="44" customHeight="1">
      <c r="A38" s="3" t="inlineStr">
        <is>
          <t>Los meses que no pagan sus fijos los pagan los meses buenos: por eso el fondo de maniobra tiene que llegar vivo al primer verano. El punto de equilibrio en raciones al día usa la contribución media de todo el año; en un mes concreto, mira su fila.</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8:I38"/>
    <mergeCell ref="A3:I3"/>
  </mergeCells>
  <conditionalFormatting sqref="B14">
    <cfRule type="expression" priority="1" dxfId="1" stopIfTrue="1">
      <formula>=AND(ISNUMBER($B$14),$B$14&lt;0)</formula>
    </cfRule>
  </conditionalFormatting>
  <conditionalFormatting sqref="B15">
    <cfRule type="expression" priority="2" dxfId="1" stopIfTrue="1">
      <formula>=AND(ISNUMBER($B$15),$B$15&lt;0)</formula>
    </cfRule>
  </conditionalFormatting>
  <conditionalFormatting sqref="B16">
    <cfRule type="cellIs" priority="3" operator="equal" dxfId="0" stopIfTrue="1">
      <formula>"Por encima del punto de equilibrio"</formula>
    </cfRule>
    <cfRule type="cellIs" priority="4" operator="equal" dxfId="1" stopIfTrue="1">
      <formula>"Por debajo del punto de equilibrio"</formula>
    </cfRule>
  </conditionalFormatting>
  <conditionalFormatting sqref="H23:H34">
    <cfRule type="expression" priority="5" dxfId="1" stopIfTrue="1">
      <formula>=AND(ISNUMBER(H23),H23&lt;0)</formula>
    </cfRule>
  </conditionalFormatting>
  <conditionalFormatting sqref="I23:I34">
    <cfRule type="cellIs" priority="6" operator="equal" dxfId="0" stopIfTrue="1">
      <formula>"Sí"</formula>
    </cfRule>
    <cfRule type="cellIs" priority="7" operator="equal" dxfId="1" stopIfTrue="1">
      <formula>"No"</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43"/>
  <sheetViews>
    <sheetView workbookViewId="0">
      <selection activeCell="A1" sqref="A1"/>
    </sheetView>
  </sheetViews>
  <sheetFormatPr baseColWidth="8" defaultRowHeight="15"/>
  <cols>
    <col width="58" customWidth="1" min="1" max="1"/>
    <col width="17" customWidth="1" min="2" max="2"/>
    <col width="17" customWidth="1" min="3" max="3"/>
    <col width="17" customWidth="1" min="4" max="4"/>
    <col width="70" customWidth="1" min="5" max="5"/>
  </cols>
  <sheetData>
    <row r="1">
      <c r="A1" s="1" t="inlineStr">
        <is>
          <t>Escenarios: Raciones, Verano y Formato</t>
        </is>
      </c>
    </row>
    <row r="2">
      <c r="A2" s="2" t="inlineStr">
        <is>
          <t>AI Chef Pro · aichef.pro — Cómo Montar una Churrería-Chocolatería</t>
        </is>
      </c>
    </row>
    <row r="3" ht="40" customHeight="1">
      <c r="A3" s="3" t="inlineStr">
        <is>
          <t>Tres escenarios de raciones sobre el año de crucero, el verano con sus fijos dentro y el mismo local con sala o sólo despacho. Todo en euros.</t>
        </is>
      </c>
    </row>
    <row r="4"/>
    <row r="5" ht="30" customHeight="1">
      <c r="A5" s="9" t="inlineStr">
        <is>
          <t>Métrica</t>
        </is>
      </c>
      <c r="B5" s="9" t="inlineStr">
        <is>
          <t>Pesimista</t>
        </is>
      </c>
      <c r="C5" s="9" t="inlineStr">
        <is>
          <t>Base (año de crucero)</t>
        </is>
      </c>
      <c r="D5" s="9" t="inlineStr">
        <is>
          <t>Optimista</t>
        </is>
      </c>
      <c r="E5" s="9" t="inlineStr">
        <is>
          <t>Notas</t>
        </is>
      </c>
    </row>
    <row r="6">
      <c r="A6" s="10" t="inlineStr">
        <is>
          <t>Raciones sobre el año normal</t>
        </is>
      </c>
      <c r="B6" s="23">
        <f>'0. Supuestos'!$B$86</f>
        <v>-0.15</v>
      </c>
      <c r="C6" s="23" t="n">
        <v>0</v>
      </c>
      <c r="D6" s="23">
        <f>'0. Supuestos'!$B$87</f>
        <v>0.1</v>
      </c>
      <c r="E6" s="12" t="inlineStr">
        <is>
          <t>Se cambian en «0. Supuestos». La base no se mueve: es el año de crucero.</t>
        </is>
      </c>
    </row>
    <row r="7" ht="30" customHeight="1">
      <c r="A7" s="10" t="inlineStr">
        <is>
          <t>Raciones del año</t>
        </is>
      </c>
      <c r="B7" s="26">
        <f>'PyG 3 Años'!$C$7*(1+B6)</f>
        <v>91290.0</v>
      </c>
      <c r="C7" s="26">
        <f>'PyG 3 Años'!$C$7*(1+C6)</f>
        <v>107400.0</v>
      </c>
      <c r="D7" s="26">
        <f>'PyG 3 Años'!$C$7*(1+D6)</f>
        <v>118140.00000000001</v>
      </c>
    </row>
    <row r="8" ht="30" customHeight="1">
      <c r="A8" s="10" t="inlineStr">
        <is>
          <t>Contribución que depende de las raciones</t>
        </is>
      </c>
      <c r="B8" s="25">
        <f>('PyG 3 Años'!$C$15-'PyG 3 Años'!$C$14)*(1+B6)</f>
        <v>168655.68206399633</v>
      </c>
      <c r="C8" s="25">
        <f>('PyG 3 Años'!$C$15-'PyG 3 Años'!$C$14)*(1+C6)</f>
        <v>198418.44948705452</v>
      </c>
      <c r="D8" s="25">
        <f>('PyG 3 Años'!$C$15-'PyG 3 Años'!$C$14)*(1+D6)</f>
        <v>218260.29443575998</v>
      </c>
      <c r="E8" s="12" t="inlineStr">
        <is>
          <t>Carta, verano y aceite se mueven con las raciones; las ferias, no.</t>
        </is>
      </c>
    </row>
    <row r="9"/>
    <row r="10" ht="30" customHeight="1">
      <c r="A10" s="20" t="inlineStr">
        <is>
          <t>CONTRIBUCIÓN DEL AÑO</t>
        </is>
      </c>
      <c r="B10" s="21">
        <f>B8+B24</f>
        <v>170762.1358077804</v>
      </c>
      <c r="C10" s="21">
        <f>C8+C24</f>
        <v>226131.73196434177</v>
      </c>
      <c r="D10" s="21">
        <f>D8+D24</f>
        <v>192653.4657022568</v>
      </c>
    </row>
    <row r="11" ht="30" customHeight="1">
      <c r="A11" s="10" t="inlineStr">
        <is>
          <t>Fijos del año (los mismos en los tres)</t>
        </is>
      </c>
      <c r="B11" s="25">
        <f>'PyG 3 Años'!$C$22</f>
        <v>166279.69486372353</v>
      </c>
      <c r="C11" s="25">
        <f>'PyG 3 Años'!$C$22</f>
        <v>166279.69486372353</v>
      </c>
      <c r="D11" s="25">
        <f>'PyG 3 Años'!$C$22</f>
        <v>166279.69486372353</v>
      </c>
      <c r="E11" s="12" t="inlineStr">
        <is>
          <t>Si en el pesimista no aguantas, el ajuste es la plantilla o la renta, no las raciones.</t>
        </is>
      </c>
    </row>
    <row r="12" ht="30" customHeight="1">
      <c r="A12" s="20" t="inlineStr">
        <is>
          <t>RESULTADO ANTES DE IMPUESTOS</t>
        </is>
      </c>
      <c r="B12" s="21">
        <f>B10-B11</f>
        <v>4482.440944056871</v>
      </c>
      <c r="C12" s="21">
        <f>C10-C11</f>
        <v>59852.03710061824</v>
      </c>
      <c r="D12" s="21">
        <f>D10-D11</f>
        <v>26373.770838533266</v>
      </c>
    </row>
    <row r="13" ht="30" customHeight="1">
      <c r="A13" s="20" t="inlineStr">
        <is>
          <t>¿Gana dinero?</t>
        </is>
      </c>
      <c r="B13" s="34" t="str">
        <f>IF(NOT(ISNUMBER(B12)),"",IF(B12&gt;=0,"Gana dinero","Pierde dinero"))</f>
        <v>Gana dinero</v>
      </c>
      <c r="C13" s="34" t="str">
        <f>IF(NOT(ISNUMBER(C12)),"",IF(C12&gt;=0,"Gana dinero","Pierde dinero"))</f>
        <v>Gana dinero</v>
      </c>
      <c r="D13" s="34" t="str">
        <f>IF(NOT(ISNUMBER(D12)),"",IF(D12&gt;=0,"Gana dinero","Pierde dinero"))</f>
        <v>Gana dinero</v>
      </c>
    </row>
    <row r="14" ht="30" customHeight="1">
      <c r="A14" s="10" t="inlineStr">
        <is>
          <t>Raciones al día que pagan los fijos</t>
        </is>
      </c>
      <c r="B14" s="31">
        <f>IFERROR(IF(B10&lt;=0,"",B11/(B10/B7)/'Punto de Equilibrio'!$B$10),"")</f>
        <v>246.92686753846147</v>
      </c>
      <c r="C14" s="31">
        <f>IFERROR(IF(C10&lt;=0,"",C11/(C10/C7)/'Punto de Equilibrio'!$B$10),"")</f>
        <v>219.371139129499</v>
      </c>
      <c r="D14" s="31">
        <f>IFERROR(IF(D10&lt;=0,"",D11/(D10/D7)/'Punto de Equilibrio'!$B$10),"")</f>
        <v>283.24148231058473</v>
      </c>
    </row>
    <row r="15" ht="30" customHeight="1">
      <c r="A15" s="10" t="inlineStr">
        <is>
          <t>Raciones al día que vendes</t>
        </is>
      </c>
      <c r="B15" s="31">
        <f>IFERROR(B7/'Punto de Equilibrio'!$B$10,"")</f>
        <v>253.58333333333334</v>
      </c>
      <c r="C15" s="31">
        <f>IFERROR(C7/'Punto de Equilibrio'!$B$10,"")</f>
        <v>298.3333333333333</v>
      </c>
      <c r="D15" s="31">
        <f>IFERROR(D7/'Punto de Equilibrio'!$B$10,"")</f>
        <v>328.1666666666667</v>
      </c>
    </row>
    <row r="16" ht="30" customHeight="1">
      <c r="A16" s="10" t="inlineStr">
        <is>
          <t>Margen de seguridad (raciones al día)</t>
        </is>
      </c>
      <c r="B16" s="31">
        <f>IFERROR(B15-B14,"")</f>
        <v>6.6564657948718775</v>
      </c>
      <c r="C16" s="31">
        <f>IFERROR(C15-C14,"")</f>
        <v>78.96219420383431</v>
      </c>
      <c r="D16" s="31">
        <f>IFERROR(D15-D14,"")</f>
        <v>44.92518435608196</v>
      </c>
    </row>
    <row r="17"/>
    <row r="18">
      <c r="A18" s="4" t="inlineStr">
        <is>
          <t>El Verano con los Fijos Dentro (Julio y Agosto)</t>
        </is>
      </c>
    </row>
    <row r="19" ht="36" customHeight="1">
      <c r="A19" s="9" t="inlineStr">
        <is>
          <t>Salida del verano</t>
        </is>
      </c>
      <c r="B19" s="9" t="inlineStr">
        <is>
          <t>Contribución de julio y agosto</t>
        </is>
      </c>
      <c r="C19" s="9" t="inlineStr">
        <is>
          <t>Fijos de esos dos meses</t>
        </is>
      </c>
      <c r="D19" s="9" t="inlineStr">
        <is>
          <t>Resultado con fijos</t>
        </is>
      </c>
      <c r="E19" s="9" t="inlineStr">
        <is>
          <t>Notas</t>
        </is>
      </c>
    </row>
    <row r="20">
      <c r="A20" s="10" t="inlineStr">
        <is>
          <t>Meses del verano</t>
        </is>
      </c>
      <c r="B20" s="26">
        <f>COUNT('0. Supuestos'!$B$46:$B$47)</f>
        <v>2.0</v>
      </c>
    </row>
    <row r="21">
      <c r="A21" s="10" t="inlineStr">
        <is>
          <t>Fijos de esos meses (los mismos en las tres salidas)</t>
        </is>
      </c>
      <c r="B21" s="32">
        <f>IFERROR('PyG 3 Años'!$C$22*B20/'0. Supuestos'!$B$44,"")</f>
        <v>27713.282477287255</v>
      </c>
      <c r="E21" s="12" t="inlineStr">
        <is>
          <t>Plantilla, renta, gastos fijos, amortización e intereses de dos meses del año de crucero. Se pagan abras o cierres.</t>
        </is>
      </c>
    </row>
    <row r="22" ht="30" customHeight="1">
      <c r="A22" s="10" t="inlineStr">
        <is>
          <t>Cerrar en julio y agosto</t>
        </is>
      </c>
      <c r="B22" s="25">
        <f>'0. Supuestos'!$B$34</f>
        <v>0.0</v>
      </c>
      <c r="C22" s="25">
        <f>$B$21</f>
        <v>27713.282477287255</v>
      </c>
      <c r="D22" s="32">
        <f>B22-C22</f>
        <v>-27713.282477287255</v>
      </c>
      <c r="E22" s="12" t="inlineStr">
        <is>
          <t>Contribución cero por definición: no vendes, pero pagas los fijos.</t>
        </is>
      </c>
    </row>
    <row r="23" ht="30" customHeight="1">
      <c r="A23" s="10" t="inlineStr">
        <is>
          <t>Abrir con la carta de verano</t>
        </is>
      </c>
      <c r="B23" s="25">
        <f>'0. Supuestos'!$B$35</f>
        <v>17368.70905707602</v>
      </c>
      <c r="C23" s="25">
        <f>$B$21</f>
        <v>27713.282477287255</v>
      </c>
      <c r="D23" s="32">
        <f>B23-C23</f>
        <v>-10344.573420211236</v>
      </c>
      <c r="E23" s="12" t="inlineStr">
        <is>
          <t>Ventas menos materia de julio y agosto, del libro 5.</t>
        </is>
      </c>
    </row>
    <row r="24" ht="30" customHeight="1">
      <c r="A24" s="10" t="inlineStr">
        <is>
          <t>Salir de ferias en julio y agosto</t>
        </is>
      </c>
      <c r="B24" s="25">
        <f>'0. Supuestos'!$B$36</f>
        <v>2106.453743784074</v>
      </c>
      <c r="C24" s="25">
        <f>$B$21</f>
        <v>27713.282477287255</v>
      </c>
      <c r="D24" s="32">
        <f>B24-C24</f>
        <v>-25606.828733503182</v>
      </c>
      <c r="E24" s="12" t="inlineStr">
        <is>
          <t>Lo que dejan las ferias de esos dos meses, del libro 5.</t>
        </is>
      </c>
    </row>
    <row r="25" ht="30" customHeight="1">
      <c r="A25" s="10" t="inlineStr">
        <is>
          <t>La salida que eliges en el libro 5 (su contribución, X16)</t>
        </is>
      </c>
      <c r="B25" s="25">
        <f>'0. Supuestos'!$B$33</f>
        <v>17368.70905707602</v>
      </c>
      <c r="C25" s="25">
        <f>$B$21</f>
        <v>27713.282477287255</v>
      </c>
      <c r="D25" s="32">
        <f>B25-C25</f>
        <v>-10344.573420211236</v>
      </c>
      <c r="E25" s="12" t="inlineStr">
        <is>
          <t>En El Molinete, la carta de verano. Es una de las tres de arriba.</t>
        </is>
      </c>
    </row>
    <row r="26">
      <c r="A26" s="27" t="inlineStr">
        <is>
          <t>Lo que te deja la salida elegida frente a cerrar</t>
        </is>
      </c>
      <c r="B26" s="37">
        <f>D25-D22</f>
        <v>17368.70905707602</v>
      </c>
    </row>
    <row r="27" ht="44" customHeight="1">
      <c r="A27" s="3" t="inlineStr">
        <is>
          <t>Un verano con resultado negativo es lo normal en una churrería: lo que decide es cuánto menos negativo es abrir que cerrar. Las tres salidas se enseñan aquí con la misma regla: su contribución (la copias del libro 5) menos los «Fijos de esos meses». El libro 5, en «El Verano (Tres Salidas)», compara las tres sin fijos y elige la que más deja.</t>
        </is>
      </c>
    </row>
    <row r="28"/>
    <row r="29">
      <c r="A29" s="4" t="inlineStr">
        <is>
          <t>Local con Sala o Sólo Despacho para Llevar</t>
        </is>
      </c>
    </row>
    <row r="30" ht="36" customHeight="1">
      <c r="A30" s="9" t="inlineStr">
        <is>
          <t>Métrica</t>
        </is>
      </c>
      <c r="B30" s="9" t="inlineStr">
        <is>
          <t>Local con sala (el caso)</t>
        </is>
      </c>
      <c r="C30" s="9" t="inlineStr">
        <is>
          <t>Sólo despacho para llevar</t>
        </is>
      </c>
      <c r="D30" s="9" t="inlineStr"/>
      <c r="E30" s="9" t="inlineStr">
        <is>
          <t>Notas</t>
        </is>
      </c>
    </row>
    <row r="31">
      <c r="A31" s="10" t="inlineStr">
        <is>
          <t>Parte de las raciones que conservas</t>
        </is>
      </c>
      <c r="B31" s="23">
        <f>'Canales y Punto Muerto'!$B$6+'Canales y Punto Muerto'!$B$7</f>
        <v>1.0</v>
      </c>
      <c r="C31" s="23">
        <f>'Canales y Punto Muerto'!$B$7</f>
        <v>0.30000000000000004</v>
      </c>
      <c r="E31" s="12" t="inlineStr">
        <is>
          <t>Sin sala, el mismo local vende sólo la parte que ya se llevaban.</t>
        </is>
      </c>
    </row>
    <row r="32">
      <c r="A32" s="10" t="inlineStr">
        <is>
          <t>Raciones del año</t>
        </is>
      </c>
      <c r="B32" s="26">
        <f>'PyG 3 Años'!$C$7</f>
        <v>107400.0</v>
      </c>
      <c r="C32" s="26">
        <f>'PyG 3 Años'!$C$7*'Canales y Punto Muerto'!$B$7</f>
        <v>32220.000000000004</v>
      </c>
    </row>
    <row r="33">
      <c r="A33" s="10" t="inlineStr">
        <is>
          <t>Contribución de la carta de invierno</t>
        </is>
      </c>
      <c r="B33" s="25">
        <f>'Canales y Punto Muerto'!$G$8</f>
        <v>184099.72579583214</v>
      </c>
      <c r="C33" s="25">
        <f>'Canales y Punto Muerto'!$G$7</f>
        <v>55478.07785586184</v>
      </c>
    </row>
    <row r="34">
      <c r="A34" s="10" t="inlineStr">
        <is>
          <t>Contribución de julio y agosto</t>
        </is>
      </c>
      <c r="B34" s="25">
        <f>'PyG 3 Años'!$C$12</f>
        <v>17368.70905707602</v>
      </c>
      <c r="C34" s="25">
        <f>'PyG 3 Años'!$C$12*'Canales y Punto Muerto'!$B$7</f>
        <v>5210.612717122806</v>
      </c>
      <c r="E34" s="12" t="inlineStr">
        <is>
          <t>En el despacho, la parte para llevar del verano.</t>
        </is>
      </c>
    </row>
    <row r="35">
      <c r="A35" s="10" t="inlineStr">
        <is>
          <t>Renovación del aceite (se resta)</t>
        </is>
      </c>
      <c r="B35" s="25">
        <f>'PyG 3 Años'!$C$13</f>
        <v>3049.985365853659</v>
      </c>
      <c r="C35" s="25">
        <f>'PyG 3 Años'!$C$13*'Canales y Punto Muerto'!$B$7</f>
        <v>914.9956097560978</v>
      </c>
    </row>
    <row r="36">
      <c r="A36" s="10" t="inlineStr">
        <is>
          <t>Ferias</t>
        </is>
      </c>
      <c r="B36" s="25">
        <f>'PyG 3 Años'!$C$14</f>
        <v>0.0</v>
      </c>
      <c r="C36" s="25">
        <f>'PyG 3 Años'!$C$14</f>
        <v>0.0</v>
      </c>
      <c r="E36" s="12" t="inlineStr">
        <is>
          <t>Las ferias no dependen de tener sala.</t>
        </is>
      </c>
    </row>
    <row r="37">
      <c r="A37" s="20" t="inlineStr">
        <is>
          <t>CONTRIBUCIÓN DEL AÑO</t>
        </is>
      </c>
      <c r="B37" s="21">
        <f>B33+B34-B35+B36</f>
        <v>198418.44948705452</v>
      </c>
      <c r="C37" s="21">
        <f>C33+C34-C35+C36</f>
        <v>59773.69496322855</v>
      </c>
    </row>
    <row r="38">
      <c r="A38" s="10" t="inlineStr">
        <is>
          <t>Fijos del año</t>
        </is>
      </c>
      <c r="B38" s="25">
        <f>'PyG 3 Años'!$C$22</f>
        <v>166279.69486372353</v>
      </c>
      <c r="C38" s="25">
        <f>'PyG 3 Años'!$C$22-'0. Supuestos'!$B$88</f>
        <v>166279.69486372353</v>
      </c>
      <c r="E38" s="12" t="inlineStr">
        <is>
          <t>El despacho resta el ahorro que pongas en «0. Supuestos» (a cero, los mismos fijos).</t>
        </is>
      </c>
    </row>
    <row r="39">
      <c r="A39" s="20" t="inlineStr">
        <is>
          <t>RESULTADO ANTES DE IMPUESTOS</t>
        </is>
      </c>
      <c r="B39" s="21">
        <f>B37-B38</f>
        <v>32138.754623330984</v>
      </c>
      <c r="C39" s="21">
        <f>C37-C38</f>
        <v>-106505.999900495</v>
      </c>
    </row>
    <row r="40">
      <c r="A40" s="27" t="inlineStr">
        <is>
          <t>¿Gana dinero?</t>
        </is>
      </c>
      <c r="B40" s="28" t="str">
        <f>IF(NOT(ISNUMBER(B39)),"",IF(B39&gt;=0,"Gana dinero","Pierde dinero"))</f>
        <v>Gana dinero</v>
      </c>
      <c r="C40" s="28" t="str">
        <f>IF(NOT(ISNUMBER(C39)),"",IF(C39&gt;=0,"Gana dinero","Pierde dinero"))</f>
        <v>Pierde dinero</v>
      </c>
    </row>
    <row r="41">
      <c r="A41" s="10" t="inlineStr">
        <is>
          <t>Ahorro de fijos al año que necesitaría el despacho para no perder dinero</t>
        </is>
      </c>
      <c r="C41" s="37">
        <f>MAX(0,C38-C37)</f>
        <v>106505.999900495</v>
      </c>
      <c r="E41" s="12" t="inlineStr">
        <is>
          <t>Si un despacho más pequeño (menos renta, menos plantilla) no consigue ahorrarte esto, la sala es la que paga el negocio.</t>
        </is>
      </c>
    </row>
    <row r="42"/>
    <row r="43" ht="44" customHeight="1">
      <c r="A43" s="3" t="inlineStr">
        <is>
          <t>El despacho de esta hoja es el MISMO local vendiendo sólo para llevar. Un despacho de verdad es otro local, con otra renta y otro CAPEX (libro 2, «Variante del Formato»): para estudiarlo, haz una copia de este libro con sus cifras.</t>
        </is>
      </c>
    </row>
  </sheetData>
  <sheetProtection selectLockedCells="0" selectUnlockedCells="0" sheet="1" objects="0" insertRows="0" insertHyperlinks="1" autoFilter="1" scenarios="0" formatColumns="0" deleteColumns="1" insertColumns="1" pivotTables="1" deleteRows="1" formatCells="1" formatRows="0" sort="0"/>
  <mergeCells count="3">
    <mergeCell ref="A3:E3"/>
    <mergeCell ref="A27:E27"/>
    <mergeCell ref="A43:E43"/>
  </mergeCells>
  <conditionalFormatting sqref="B12:D12">
    <cfRule type="expression" priority="1" dxfId="1" stopIfTrue="1">
      <formula>=AND(ISNUMBER(B12),B12&lt;0)</formula>
    </cfRule>
  </conditionalFormatting>
  <conditionalFormatting sqref="B13:D13">
    <cfRule type="cellIs" priority="2" operator="equal" dxfId="0" stopIfTrue="1">
      <formula>"Gana dinero"</formula>
    </cfRule>
    <cfRule type="cellIs" priority="3" operator="equal" dxfId="1" stopIfTrue="1">
      <formula>"Pierde dinero"</formula>
    </cfRule>
  </conditionalFormatting>
  <conditionalFormatting sqref="D22:D25">
    <cfRule type="expression" priority="4" dxfId="1" stopIfTrue="1">
      <formula>=AND(ISNUMBER(D22),D22&lt;0)</formula>
    </cfRule>
  </conditionalFormatting>
  <conditionalFormatting sqref="B39:C39">
    <cfRule type="expression" priority="5" dxfId="1" stopIfTrue="1">
      <formula>=AND(ISNUMBER(B39),B39&lt;0)</formula>
    </cfRule>
  </conditionalFormatting>
  <conditionalFormatting sqref="B40:C40">
    <cfRule type="cellIs" priority="6" operator="equal" dxfId="0" stopIfTrue="1">
      <formula>"Gana dinero"</formula>
    </cfRule>
    <cfRule type="cellIs" priority="7" operator="equal" dxfId="1" stopIfTrue="1">
      <formula>"Pierde dinero"</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C16"/>
  <sheetViews>
    <sheetView workbookViewId="0">
      <selection activeCell="A1" sqref="A1"/>
    </sheetView>
  </sheetViews>
  <sheetFormatPr baseColWidth="8" defaultRowHeight="15"/>
  <cols>
    <col width="62" customWidth="1" min="1" max="1"/>
    <col width="18" customWidth="1" min="2" max="2"/>
    <col width="76" customWidth="1" min="3" max="3"/>
  </cols>
  <sheetData>
    <row r="1">
      <c r="A1" s="1" t="inlineStr">
        <is>
          <t>Personal: Lo que Pesa la Plantilla</t>
        </is>
      </c>
    </row>
    <row r="2">
      <c r="A2" s="2" t="inlineStr">
        <is>
          <t>AI Chef Pro · aichef.pro — Cómo Montar una Churrería-Chocolatería</t>
        </is>
      </c>
    </row>
    <row r="3" ht="40" customHeight="1">
      <c r="A3" s="3" t="inlineStr">
        <is>
          <t>El coste de la plantilla llega del libro 8, que es donde viven el convenio, el suelo del SMI y las dos figuras de nocturnidad. Aquí sólo se mide lo que pesa en el negocio.</t>
        </is>
      </c>
    </row>
    <row r="4"/>
    <row r="5">
      <c r="A5" s="4" t="inlineStr">
        <is>
          <t>Año de Crucero</t>
        </is>
      </c>
    </row>
    <row r="6" ht="30" customHeight="1">
      <c r="A6" s="10" t="inlineStr">
        <is>
          <t>Coste anual de la plantilla (libro 8)</t>
        </is>
      </c>
      <c r="B6" s="25">
        <f>'0. Supuestos'!$B$39</f>
        <v>119350.201113611</v>
      </c>
      <c r="C6" s="12" t="inlineStr">
        <is>
          <t>Con la Seguridad Social de empresa, el refuerzo de Navidad y Reyes y las sustituciones de vacaciones. Coste por puesto = el mayor entre su salario y el SMI.</t>
        </is>
      </c>
    </row>
    <row r="7" ht="30" customHeight="1">
      <c r="A7" s="10" t="inlineStr">
        <is>
          <t>Cuota de autónomos del titular (de los gastos fijos)</t>
        </is>
      </c>
      <c r="B7" s="25">
        <f>'0. Supuestos'!$B$81*'0. Supuestos'!$B$44</f>
        <v>3840.0</v>
      </c>
      <c r="C7" s="12" t="inlineStr">
        <is>
          <t>El titular está en la plantilla como un puesto más: aquí sólo va su cuota.</t>
        </is>
      </c>
    </row>
    <row r="8" ht="30" customHeight="1">
      <c r="A8" s="20" t="inlineStr">
        <is>
          <t>COSTE TOTAL DE LAS PERSONAS</t>
        </is>
      </c>
      <c r="B8" s="21">
        <f>B6+B7</f>
        <v>123190.201113611</v>
      </c>
    </row>
    <row r="9" ht="30" customHeight="1">
      <c r="A9" s="10" t="inlineStr">
        <is>
          <t>Al mes</t>
        </is>
      </c>
      <c r="B9" s="25">
        <f>IFERROR(B8/'0. Supuestos'!$B$44,"")</f>
        <v>10265.850092800916</v>
      </c>
    </row>
    <row r="10" ht="30" customHeight="1">
      <c r="A10" s="10" t="inlineStr">
        <is>
          <t>Por ración vendida</t>
        </is>
      </c>
      <c r="B10" s="29">
        <f>IFERROR(B8/'PyG 3 Años'!$C$7,"")</f>
        <v>1.1470223567375326</v>
      </c>
    </row>
    <row r="11" ht="30" customHeight="1">
      <c r="A11" s="10" t="inlineStr">
        <is>
          <t>Sobre las ventas del año (estimación)</t>
        </is>
      </c>
      <c r="B11" s="23">
        <f>IFERROR(B8/'PyG 3 Años'!$C$28,"")</f>
        <v>0.5297210086465962</v>
      </c>
      <c r="C11" s="12" t="inlineStr">
        <is>
          <t>Información, no veredicto.</t>
        </is>
      </c>
    </row>
    <row r="12" ht="30" customHeight="1">
      <c r="A12" s="10" t="inlineStr">
        <is>
          <t>Sobre la contribución del año</t>
        </is>
      </c>
      <c r="B12" s="23">
        <f>IFERROR(B8/'PyG 3 Años'!$C$15,"")</f>
        <v>0.6208606177100902</v>
      </c>
      <c r="C12" s="12" t="inlineStr">
        <is>
          <t>Qué parte de lo que deja la carta se va en personas.</t>
        </is>
      </c>
    </row>
    <row r="13" ht="30" customHeight="1">
      <c r="A13" s="27" t="inlineStr">
        <is>
          <t>Raciones al día que hacen falta sólo para pagar a las personas</t>
        </is>
      </c>
      <c r="B13" s="38">
        <f>IFERROR(B8/'Punto de Equilibrio'!$B$9/'Punto de Equilibrio'!$B$10,"")</f>
        <v>185.22341761684356</v>
      </c>
    </row>
    <row r="14"/>
    <row r="15">
      <c r="A15" s="4" t="inlineStr">
        <is>
          <t>Lo que Este Libro No Hace</t>
        </is>
      </c>
    </row>
    <row r="16" ht="58" customHeight="1">
      <c r="A16" s="3" t="inlineStr">
        <is>
          <t>No reproduce el cuadrante semanal por empleado ni las nóminas: el libro 8 calcula las horas por franja, las dos figuras de nocturnidad (el trabajador nocturno del Estatuto y el plus del convenio) y el coste anual por puesto. Para el cuadrante semana a semana, el Kit de Gestión de Personal de aichef.pro.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16:C16"/>
    <mergeCell ref="A3:C3"/>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N5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5" customWidth="1" min="14" max="14"/>
  </cols>
  <sheetData>
    <row r="1">
      <c r="A1" s="1" t="inlineStr">
        <is>
          <t>Tesorería del Primer Año, Mes a Mes</t>
        </is>
      </c>
    </row>
    <row r="2">
      <c r="A2" s="2" t="inlineStr">
        <is>
          <t>AI Chef Pro · aichef.pro — Cómo Montar una Churrería-Chocolatería</t>
        </is>
      </c>
    </row>
    <row r="3" ht="40" customHeight="1">
      <c r="A3" s="3" t="inlineStr">
        <is>
          <t>Los doce meses que empiezan el mes de apertura, con la rampa de arranque. Flujos sin IVA. El valle es el saldo más bajo: si baja de cero, el fondo de maniobra no aguanta.</t>
        </is>
      </c>
    </row>
    <row r="4"/>
    <row r="5" ht="24" customHeight="1">
      <c r="A5" s="9" t="inlineStr">
        <is>
          <t>Mes de explotación</t>
        </is>
      </c>
      <c r="B5" s="39" t="n">
        <v>1</v>
      </c>
      <c r="C5" s="39" t="n">
        <v>2</v>
      </c>
      <c r="D5" s="39" t="n">
        <v>3</v>
      </c>
      <c r="E5" s="39" t="n">
        <v>4</v>
      </c>
      <c r="F5" s="39" t="n">
        <v>5</v>
      </c>
      <c r="G5" s="39" t="n">
        <v>6</v>
      </c>
      <c r="H5" s="39" t="n">
        <v>7</v>
      </c>
      <c r="I5" s="39" t="n">
        <v>8</v>
      </c>
      <c r="J5" s="39" t="n">
        <v>9</v>
      </c>
      <c r="K5" s="39" t="n">
        <v>10</v>
      </c>
      <c r="L5" s="39" t="n">
        <v>11</v>
      </c>
      <c r="M5" s="39" t="n">
        <v>12</v>
      </c>
      <c r="N5" s="9" t="inlineStr">
        <is>
          <t>Año 1</t>
        </is>
      </c>
    </row>
    <row r="6">
      <c r="A6" s="10" t="inlineStr">
        <is>
          <t>Mes del calendario (número)</t>
        </is>
      </c>
      <c r="B6" s="26">
        <f>MOD('0. Supuestos'!$B$45+B5-1-1,'0. Supuestos'!$B$44)+1</f>
        <v>9.0</v>
      </c>
      <c r="C6" s="26">
        <f>MOD('0. Supuestos'!$B$45+C5-1-1,'0. Supuestos'!$B$44)+1</f>
        <v>10.0</v>
      </c>
      <c r="D6" s="26">
        <f>MOD('0. Supuestos'!$B$45+D5-1-1,'0. Supuestos'!$B$44)+1</f>
        <v>11.0</v>
      </c>
      <c r="E6" s="26">
        <f>MOD('0. Supuestos'!$B$45+E5-1-1,'0. Supuestos'!$B$44)+1</f>
        <v>12.0</v>
      </c>
      <c r="F6" s="26">
        <f>MOD('0. Supuestos'!$B$45+F5-1-1,'0. Supuestos'!$B$44)+1</f>
        <v>1.0</v>
      </c>
      <c r="G6" s="26">
        <f>MOD('0. Supuestos'!$B$45+G5-1-1,'0. Supuestos'!$B$44)+1</f>
        <v>2.0</v>
      </c>
      <c r="H6" s="26">
        <f>MOD('0. Supuestos'!$B$45+H5-1-1,'0. Supuestos'!$B$44)+1</f>
        <v>3.0</v>
      </c>
      <c r="I6" s="26">
        <f>MOD('0. Supuestos'!$B$45+I5-1-1,'0. Supuestos'!$B$44)+1</f>
        <v>4.0</v>
      </c>
      <c r="J6" s="26">
        <f>MOD('0. Supuestos'!$B$45+J5-1-1,'0. Supuestos'!$B$44)+1</f>
        <v>5.0</v>
      </c>
      <c r="K6" s="26">
        <f>MOD('0. Supuestos'!$B$45+K5-1-1,'0. Supuestos'!$B$44)+1</f>
        <v>6.0</v>
      </c>
      <c r="L6" s="26">
        <f>MOD('0. Supuestos'!$B$45+L5-1-1,'0. Supuestos'!$B$44)+1</f>
        <v>7.0</v>
      </c>
      <c r="M6" s="26">
        <f>MOD('0. Supuestos'!$B$45+M5-1-1,'0. Supuestos'!$B$44)+1</f>
        <v>8.0</v>
      </c>
    </row>
    <row r="7">
      <c r="A7" s="10" t="inlineStr">
        <is>
          <t>Mes</t>
        </is>
      </c>
      <c r="B7" t="str">
        <f>INDEX('Tesorería 12 meses'!$B$42:$B$53,B6)</f>
        <v>Septiembre</v>
      </c>
      <c r="C7" t="str">
        <f>INDEX('Tesorería 12 meses'!$B$42:$B$53,C6)</f>
        <v>Octubre</v>
      </c>
      <c r="D7" t="str">
        <f>INDEX('Tesorería 12 meses'!$B$42:$B$53,D6)</f>
        <v>Noviembre</v>
      </c>
      <c r="E7" t="str">
        <f>INDEX('Tesorería 12 meses'!$B$42:$B$53,E6)</f>
        <v>Diciembre</v>
      </c>
      <c r="F7" t="str">
        <f>INDEX('Tesorería 12 meses'!$B$42:$B$53,F6)</f>
        <v>Enero</v>
      </c>
      <c r="G7" t="str">
        <f>INDEX('Tesorería 12 meses'!$B$42:$B$53,G6)</f>
        <v>Febrero</v>
      </c>
      <c r="H7" t="str">
        <f>INDEX('Tesorería 12 meses'!$B$42:$B$53,H6)</f>
        <v>Marzo</v>
      </c>
      <c r="I7" t="str">
        <f>INDEX('Tesorería 12 meses'!$B$42:$B$53,I6)</f>
        <v>Abril</v>
      </c>
      <c r="J7" t="str">
        <f>INDEX('Tesorería 12 meses'!$B$42:$B$53,J6)</f>
        <v>Mayo</v>
      </c>
      <c r="K7" t="str">
        <f>INDEX('Tesorería 12 meses'!$B$42:$B$53,K6)</f>
        <v>Junio</v>
      </c>
      <c r="L7" t="str">
        <f>INDEX('Tesorería 12 meses'!$B$42:$B$53,L6)</f>
        <v>Julio</v>
      </c>
      <c r="M7" t="str">
        <f>INDEX('Tesorería 12 meses'!$B$42:$B$53,M6)</f>
        <v>Agosto</v>
      </c>
    </row>
    <row r="8">
      <c r="A8" s="10" t="inlineStr">
        <is>
          <t>Coeficiente del mes</t>
        </is>
      </c>
      <c r="B8" s="33">
        <f>INDEX('Tesorería 12 meses'!$C$42:$C$53,B6)</f>
        <v>0.8</v>
      </c>
      <c r="C8" s="33">
        <f>INDEX('Tesorería 12 meses'!$C$42:$C$53,C6)</f>
        <v>1.1</v>
      </c>
      <c r="D8" s="33">
        <f>INDEX('Tesorería 12 meses'!$C$42:$C$53,D6)</f>
        <v>1.3</v>
      </c>
      <c r="E8" s="33">
        <f>INDEX('Tesorería 12 meses'!$C$42:$C$53,E6)</f>
        <v>1.75</v>
      </c>
      <c r="F8" s="33">
        <f>INDEX('Tesorería 12 meses'!$C$42:$C$53,F6)</f>
        <v>1.25</v>
      </c>
      <c r="G8" s="33">
        <f>INDEX('Tesorería 12 meses'!$C$42:$C$53,G6)</f>
        <v>1.15</v>
      </c>
      <c r="H8" s="33">
        <f>INDEX('Tesorería 12 meses'!$C$42:$C$53,H6)</f>
        <v>1.1</v>
      </c>
      <c r="I8" s="33">
        <f>INDEX('Tesorería 12 meses'!$C$42:$C$53,I6)</f>
        <v>0.95</v>
      </c>
      <c r="J8" s="33">
        <f>INDEX('Tesorería 12 meses'!$C$42:$C$53,J6)</f>
        <v>0.85</v>
      </c>
      <c r="K8" s="33">
        <f>INDEX('Tesorería 12 meses'!$C$42:$C$53,K6)</f>
        <v>0.7</v>
      </c>
      <c r="L8" s="33">
        <f>INDEX('Tesorería 12 meses'!$C$42:$C$53,L6)</f>
        <v>0.55</v>
      </c>
      <c r="M8" s="33">
        <f>INDEX('Tesorería 12 meses'!$C$42:$C$53,M6)</f>
        <v>0.5</v>
      </c>
    </row>
    <row r="9">
      <c r="A9" s="10" t="inlineStr">
        <is>
          <t>¿Julio o agosto? (1 sí, 0 no)</t>
        </is>
      </c>
      <c r="B9" s="26">
        <f>IF(OR(B6='0. Supuestos'!$B$46,B6='0. Supuestos'!$B$47),1,0)</f>
        <v>0.0</v>
      </c>
      <c r="C9" s="26">
        <f>IF(OR(C6='0. Supuestos'!$B$46,C6='0. Supuestos'!$B$47),1,0)</f>
        <v>0.0</v>
      </c>
      <c r="D9" s="26">
        <f>IF(OR(D6='0. Supuestos'!$B$46,D6='0. Supuestos'!$B$47),1,0)</f>
        <v>0.0</v>
      </c>
      <c r="E9" s="26">
        <f>IF(OR(E6='0. Supuestos'!$B$46,E6='0. Supuestos'!$B$47),1,0)</f>
        <v>0.0</v>
      </c>
      <c r="F9" s="26">
        <f>IF(OR(F6='0. Supuestos'!$B$46,F6='0. Supuestos'!$B$47),1,0)</f>
        <v>0.0</v>
      </c>
      <c r="G9" s="26">
        <f>IF(OR(G6='0. Supuestos'!$B$46,G6='0. Supuestos'!$B$47),1,0)</f>
        <v>0.0</v>
      </c>
      <c r="H9" s="26">
        <f>IF(OR(H6='0. Supuestos'!$B$46,H6='0. Supuestos'!$B$47),1,0)</f>
        <v>0.0</v>
      </c>
      <c r="I9" s="26">
        <f>IF(OR(I6='0. Supuestos'!$B$46,I6='0. Supuestos'!$B$47),1,0)</f>
        <v>0.0</v>
      </c>
      <c r="J9" s="26">
        <f>IF(OR(J6='0. Supuestos'!$B$46,J6='0. Supuestos'!$B$47),1,0)</f>
        <v>0.0</v>
      </c>
      <c r="K9" s="26">
        <f>IF(OR(K6='0. Supuestos'!$B$46,K6='0. Supuestos'!$B$47),1,0)</f>
        <v>0.0</v>
      </c>
      <c r="L9" s="26">
        <f>IF(OR(L6='0. Supuestos'!$B$46,L6='0. Supuestos'!$B$47),1,0)</f>
        <v>1.0</v>
      </c>
      <c r="M9" s="26">
        <f>IF(OR(M6='0. Supuestos'!$B$46,M6='0. Supuestos'!$B$47),1,0)</f>
        <v>1.0</v>
      </c>
    </row>
    <row r="10">
      <c r="A10" s="10" t="inlineStr">
        <is>
          <t>Rampa de arranque</t>
        </is>
      </c>
      <c r="B10" s="23">
        <f>IFERROR(MIN(1,'0. Supuestos'!$B$48+(1-'0. Supuestos'!$B$48)*(B5-1)/('0. Supuestos'!$B$49-1)),1)</f>
        <v>0.55</v>
      </c>
      <c r="C10" s="23">
        <f>IFERROR(MIN(1,'0. Supuestos'!$B$48+(1-'0. Supuestos'!$B$48)*(C5-1)/('0. Supuestos'!$B$49-1)),1)</f>
        <v>0.64</v>
      </c>
      <c r="D10" s="23">
        <f>IFERROR(MIN(1,'0. Supuestos'!$B$48+(1-'0. Supuestos'!$B$48)*(D5-1)/('0. Supuestos'!$B$49-1)),1)</f>
        <v>0.73</v>
      </c>
      <c r="E10" s="23">
        <f>IFERROR(MIN(1,'0. Supuestos'!$B$48+(1-'0. Supuestos'!$B$48)*(E5-1)/('0. Supuestos'!$B$49-1)),1)</f>
        <v>0.8200000000000001</v>
      </c>
      <c r="F10" s="23">
        <f>IFERROR(MIN(1,'0. Supuestos'!$B$48+(1-'0. Supuestos'!$B$48)*(F5-1)/('0. Supuestos'!$B$49-1)),1)</f>
        <v>0.91</v>
      </c>
      <c r="G10" s="23">
        <f>IFERROR(MIN(1,'0. Supuestos'!$B$48+(1-'0. Supuestos'!$B$48)*(G5-1)/('0. Supuestos'!$B$49-1)),1)</f>
        <v>1.0</v>
      </c>
      <c r="H10" s="23">
        <f>IFERROR(MIN(1,'0. Supuestos'!$B$48+(1-'0. Supuestos'!$B$48)*(H5-1)/('0. Supuestos'!$B$49-1)),1)</f>
        <v>1.0</v>
      </c>
      <c r="I10" s="23">
        <f>IFERROR(MIN(1,'0. Supuestos'!$B$48+(1-'0. Supuestos'!$B$48)*(I5-1)/('0. Supuestos'!$B$49-1)),1)</f>
        <v>1.0</v>
      </c>
      <c r="J10" s="23">
        <f>IFERROR(MIN(1,'0. Supuestos'!$B$48+(1-'0. Supuestos'!$B$48)*(J5-1)/('0. Supuestos'!$B$49-1)),1)</f>
        <v>1.0</v>
      </c>
      <c r="K10" s="23">
        <f>IFERROR(MIN(1,'0. Supuestos'!$B$48+(1-'0. Supuestos'!$B$48)*(K5-1)/('0. Supuestos'!$B$49-1)),1)</f>
        <v>1.0</v>
      </c>
      <c r="L10" s="23">
        <f>IFERROR(MIN(1,'0. Supuestos'!$B$48+(1-'0. Supuestos'!$B$48)*(L5-1)/('0. Supuestos'!$B$49-1)),1)</f>
        <v>1.0</v>
      </c>
      <c r="M10" s="23">
        <f>IFERROR(MIN(1,'0. Supuestos'!$B$48+(1-'0. Supuestos'!$B$48)*(M5-1)/('0. Supuestos'!$B$49-1)),1)</f>
        <v>1.0</v>
      </c>
    </row>
    <row r="11">
      <c r="A11" s="10" t="inlineStr">
        <is>
          <t>Raciones del mes</t>
        </is>
      </c>
      <c r="B11" s="26">
        <f>IFERROR('0. Supuestos'!$B$19*B8/'0. Supuestos'!$B$44*B10,"")</f>
        <v>3938.0000000000005</v>
      </c>
      <c r="C11" s="26">
        <f>IFERROR('0. Supuestos'!$B$19*C8/'0. Supuestos'!$B$44*C10,"")</f>
        <v>6300.800000000001</v>
      </c>
      <c r="D11" s="26">
        <f>IFERROR('0. Supuestos'!$B$19*D8/'0. Supuestos'!$B$44*D10,"")</f>
        <v>8493.55</v>
      </c>
      <c r="E11" s="26">
        <f>IFERROR('0. Supuestos'!$B$19*E8/'0. Supuestos'!$B$44*E10,"")</f>
        <v>12843.250000000002</v>
      </c>
      <c r="F11" s="26">
        <f>IFERROR('0. Supuestos'!$B$19*F8/'0. Supuestos'!$B$44*F10,"")</f>
        <v>10180.625</v>
      </c>
      <c r="G11" s="26">
        <f>IFERROR('0. Supuestos'!$B$19*G8/'0. Supuestos'!$B$44*G10,"")</f>
        <v>10292.499999999998</v>
      </c>
      <c r="H11" s="26">
        <f>IFERROR('0. Supuestos'!$B$19*H8/'0. Supuestos'!$B$44*H10,"")</f>
        <v>9845.000000000002</v>
      </c>
      <c r="I11" s="26">
        <f>IFERROR('0. Supuestos'!$B$19*I8/'0. Supuestos'!$B$44*I10,"")</f>
        <v>8502.5</v>
      </c>
      <c r="J11" s="26">
        <f>IFERROR('0. Supuestos'!$B$19*J8/'0. Supuestos'!$B$44*J10,"")</f>
        <v>7607.5</v>
      </c>
      <c r="K11" s="26">
        <f>IFERROR('0. Supuestos'!$B$19*K8/'0. Supuestos'!$B$44*K10,"")</f>
        <v>6265.0</v>
      </c>
      <c r="L11" s="26">
        <f>IFERROR('0. Supuestos'!$B$19*L8/'0. Supuestos'!$B$44*L10,"")</f>
        <v>4922.500000000001</v>
      </c>
      <c r="M11" s="26">
        <f>IFERROR('0. Supuestos'!$B$19*M8/'0. Supuestos'!$B$44*M10,"")</f>
        <v>4475.0</v>
      </c>
      <c r="N11" s="17">
        <f>SUM(B11:M11)</f>
        <v>93666.225</v>
      </c>
    </row>
    <row r="12">
      <c r="A12" s="4" t="inlineStr">
        <is>
          <t>Lo que Entra: Contribución</t>
        </is>
      </c>
    </row>
    <row r="13">
      <c r="A13" s="10" t="inlineStr">
        <is>
          <t>Ventas sin IVA de la carta de invierno</t>
        </is>
      </c>
      <c r="B13" s="25">
        <f>IF(B9=1,0,B11*'Canales y Punto Muerto'!$D$8)</f>
        <v>8511.450000000003</v>
      </c>
      <c r="C13" s="25">
        <f>IF(C9=1,0,C11*'Canales y Punto Muerto'!$D$8)</f>
        <v>13618.320000000003</v>
      </c>
      <c r="D13" s="25">
        <f>IF(D9=1,0,D11*'Canales y Punto Muerto'!$D$8)</f>
        <v>18357.650113636366</v>
      </c>
      <c r="E13" s="25">
        <f>IF(E9=1,0,E11*'Canales y Punto Muerto'!$D$8)</f>
        <v>27758.93352272728</v>
      </c>
      <c r="F13" s="25">
        <f>IF(F9=1,0,F11*'Canales y Punto Muerto'!$D$8)</f>
        <v>22004.032670454548</v>
      </c>
      <c r="G13" s="25">
        <f>IF(G9=1,0,G11*'Canales y Punto Muerto'!$D$8)</f>
        <v>22245.835227272724</v>
      </c>
      <c r="H13" s="25">
        <f>IF(H9=1,0,H11*'Canales y Punto Muerto'!$D$8)</f>
        <v>21278.625000000007</v>
      </c>
      <c r="I13" s="25">
        <f>IF(I9=1,0,I11*'Canales y Punto Muerto'!$D$8)</f>
        <v>18376.99431818182</v>
      </c>
      <c r="J13" s="25">
        <f>IF(J9=1,0,J11*'Canales y Punto Muerto'!$D$8)</f>
        <v>16442.573863636364</v>
      </c>
      <c r="K13" s="25">
        <f>IF(K9=1,0,K11*'Canales y Punto Muerto'!$D$8)</f>
        <v>13540.943181818184</v>
      </c>
      <c r="L13" s="25">
        <f>IF(L9=1,0,L11*'Canales y Punto Muerto'!$D$8)</f>
        <v>0.0</v>
      </c>
      <c r="M13" s="25">
        <f>IF(M9=1,0,M11*'Canales y Punto Muerto'!$D$8)</f>
        <v>0.0</v>
      </c>
      <c r="N13" s="37">
        <f>SUM(B13:M13)</f>
        <v>182135.35789772728</v>
      </c>
    </row>
    <row r="14">
      <c r="A14" s="10" t="inlineStr">
        <is>
          <t>Ventas sin IVA de julio y agosto (salida elegida, libro 5)</t>
        </is>
      </c>
      <c r="B14" s="25">
        <f>IFERROR(IF(B9=1,IF(INDEX('0. Supuestos'!$B$20:$B$31,'0. Supuestos'!$B$46)+INDEX('0. Supuestos'!$B$20:$B$31,'0. Supuestos'!$B$47)&gt;0,'0. Supuestos'!$B$37*B8/(INDEX('0. Supuestos'!$B$20:$B$31,'0. Supuestos'!$B$46)+INDEX('0. Supuestos'!$B$20:$B$31,'0. Supuestos'!$B$47))*B10,0),0),"")</f>
        <v>0.0</v>
      </c>
      <c r="C14" s="25">
        <f>IFERROR(IF(C9=1,IF(INDEX('0. Supuestos'!$B$20:$B$31,'0. Supuestos'!$B$46)+INDEX('0. Supuestos'!$B$20:$B$31,'0. Supuestos'!$B$47)&gt;0,'0. Supuestos'!$B$37*C8/(INDEX('0. Supuestos'!$B$20:$B$31,'0. Supuestos'!$B$46)+INDEX('0. Supuestos'!$B$20:$B$31,'0. Supuestos'!$B$47))*C10,0),0),"")</f>
        <v>0.0</v>
      </c>
      <c r="D14" s="25">
        <f>IFERROR(IF(D9=1,IF(INDEX('0. Supuestos'!$B$20:$B$31,'0. Supuestos'!$B$46)+INDEX('0. Supuestos'!$B$20:$B$31,'0. Supuestos'!$B$47)&gt;0,'0. Supuestos'!$B$37*D8/(INDEX('0. Supuestos'!$B$20:$B$31,'0. Supuestos'!$B$46)+INDEX('0. Supuestos'!$B$20:$B$31,'0. Supuestos'!$B$47))*D10,0),0),"")</f>
        <v>0.0</v>
      </c>
      <c r="E14" s="25">
        <f>IFERROR(IF(E9=1,IF(INDEX('0. Supuestos'!$B$20:$B$31,'0. Supuestos'!$B$46)+INDEX('0. Supuestos'!$B$20:$B$31,'0. Supuestos'!$B$47)&gt;0,'0. Supuestos'!$B$37*E8/(INDEX('0. Supuestos'!$B$20:$B$31,'0. Supuestos'!$B$46)+INDEX('0. Supuestos'!$B$20:$B$31,'0. Supuestos'!$B$47))*E10,0),0),"")</f>
        <v>0.0</v>
      </c>
      <c r="F14" s="25">
        <f>IFERROR(IF(F9=1,IF(INDEX('0. Supuestos'!$B$20:$B$31,'0. Supuestos'!$B$46)+INDEX('0. Supuestos'!$B$20:$B$31,'0. Supuestos'!$B$47)&gt;0,'0. Supuestos'!$B$37*F8/(INDEX('0. Supuestos'!$B$20:$B$31,'0. Supuestos'!$B$46)+INDEX('0. Supuestos'!$B$20:$B$31,'0. Supuestos'!$B$47))*F10,0),0),"")</f>
        <v>0.0</v>
      </c>
      <c r="G14" s="25">
        <f>IFERROR(IF(G9=1,IF(INDEX('0. Supuestos'!$B$20:$B$31,'0. Supuestos'!$B$46)+INDEX('0. Supuestos'!$B$20:$B$31,'0. Supuestos'!$B$47)&gt;0,'0. Supuestos'!$B$37*G8/(INDEX('0. Supuestos'!$B$20:$B$31,'0. Supuestos'!$B$46)+INDEX('0. Supuestos'!$B$20:$B$31,'0. Supuestos'!$B$47))*G10,0),0),"")</f>
        <v>0.0</v>
      </c>
      <c r="H14" s="25">
        <f>IFERROR(IF(H9=1,IF(INDEX('0. Supuestos'!$B$20:$B$31,'0. Supuestos'!$B$46)+INDEX('0. Supuestos'!$B$20:$B$31,'0. Supuestos'!$B$47)&gt;0,'0. Supuestos'!$B$37*H8/(INDEX('0. Supuestos'!$B$20:$B$31,'0. Supuestos'!$B$46)+INDEX('0. Supuestos'!$B$20:$B$31,'0. Supuestos'!$B$47))*H10,0),0),"")</f>
        <v>0.0</v>
      </c>
      <c r="I14" s="25">
        <f>IFERROR(IF(I9=1,IF(INDEX('0. Supuestos'!$B$20:$B$31,'0. Supuestos'!$B$46)+INDEX('0. Supuestos'!$B$20:$B$31,'0. Supuestos'!$B$47)&gt;0,'0. Supuestos'!$B$37*I8/(INDEX('0. Supuestos'!$B$20:$B$31,'0. Supuestos'!$B$46)+INDEX('0. Supuestos'!$B$20:$B$31,'0. Supuestos'!$B$47))*I10,0),0),"")</f>
        <v>0.0</v>
      </c>
      <c r="J14" s="25">
        <f>IFERROR(IF(J9=1,IF(INDEX('0. Supuestos'!$B$20:$B$31,'0. Supuestos'!$B$46)+INDEX('0. Supuestos'!$B$20:$B$31,'0. Supuestos'!$B$47)&gt;0,'0. Supuestos'!$B$37*J8/(INDEX('0. Supuestos'!$B$20:$B$31,'0. Supuestos'!$B$46)+INDEX('0. Supuestos'!$B$20:$B$31,'0. Supuestos'!$B$47))*J10,0),0),"")</f>
        <v>0.0</v>
      </c>
      <c r="K14" s="25">
        <f>IFERROR(IF(K9=1,IF(INDEX('0. Supuestos'!$B$20:$B$31,'0. Supuestos'!$B$46)+INDEX('0. Supuestos'!$B$20:$B$31,'0. Supuestos'!$B$47)&gt;0,'0. Supuestos'!$B$37*K8/(INDEX('0. Supuestos'!$B$20:$B$31,'0. Supuestos'!$B$46)+INDEX('0. Supuestos'!$B$20:$B$31,'0. Supuestos'!$B$47))*K10,0),0),"")</f>
        <v>0.0</v>
      </c>
      <c r="L14" s="25">
        <f>IFERROR(IF(L9=1,IF(INDEX('0. Supuestos'!$B$20:$B$31,'0. Supuestos'!$B$46)+INDEX('0. Supuestos'!$B$20:$B$31,'0. Supuestos'!$B$47)&gt;0,'0. Supuestos'!$B$37*L8/(INDEX('0. Supuestos'!$B$20:$B$31,'0. Supuestos'!$B$46)+INDEX('0. Supuestos'!$B$20:$B$31,'0. Supuestos'!$B$47))*L10,0),0),"")</f>
        <v>10862.614999999998</v>
      </c>
      <c r="M14" s="25">
        <f>IFERROR(IF(M9=1,IF(INDEX('0. Supuestos'!$B$20:$B$31,'0. Supuestos'!$B$46)+INDEX('0. Supuestos'!$B$20:$B$31,'0. Supuestos'!$B$47)&gt;0,'0. Supuestos'!$B$37*M8/(INDEX('0. Supuestos'!$B$20:$B$31,'0. Supuestos'!$B$46)+INDEX('0. Supuestos'!$B$20:$B$31,'0. Supuestos'!$B$47))*M10,0),0),"")</f>
        <v>9875.104545454542</v>
      </c>
      <c r="N14" s="37">
        <f>SUM(B14:M14)</f>
        <v>20737.71954545454</v>
      </c>
    </row>
    <row r="15">
      <c r="A15" s="10" t="inlineStr">
        <is>
          <t>Materia de la carta de invierno</t>
        </is>
      </c>
      <c r="B15" s="25">
        <f>IF(B9=1,0,B11*'Canales y Punto Muerto'!$E$8)</f>
        <v>1113.835447473413</v>
      </c>
      <c r="C15" s="25">
        <f>IF(C9=1,0,C11*'Canales y Punto Muerto'!$E$8)</f>
        <v>1782.1367159574609</v>
      </c>
      <c r="D15" s="25">
        <f>IF(D9=1,0,D11*'Canales y Punto Muerto'!$E$8)</f>
        <v>2402.3405446642473</v>
      </c>
      <c r="E15" s="25">
        <f>IF(E9=1,0,E11*'Canales y Punto Muerto'!$E$8)</f>
        <v>3632.622425282608</v>
      </c>
      <c r="F15" s="25">
        <f>IF(F9=1,0,F11*'Canales y Punto Muerto'!$E$8)</f>
        <v>2879.5177761386526</v>
      </c>
      <c r="G15" s="25">
        <f>IF(G9=1,0,G11*'Canales y Punto Muerto'!$E$8)</f>
        <v>2911.1608286236924</v>
      </c>
      <c r="H15" s="25">
        <f>IF(H9=1,0,H11*'Canales y Punto Muerto'!$E$8)</f>
        <v>2784.588618683533</v>
      </c>
      <c r="I15" s="25">
        <f>IF(I9=1,0,I11*'Canales y Punto Muerto'!$E$8)</f>
        <v>2404.8719888630503</v>
      </c>
      <c r="J15" s="25">
        <f>IF(J9=1,0,J11*'Canales y Punto Muerto'!$E$8)</f>
        <v>2151.7275689827293</v>
      </c>
      <c r="K15" s="25">
        <f>IF(K9=1,0,K11*'Canales y Punto Muerto'!$E$8)</f>
        <v>1772.0109391622477</v>
      </c>
      <c r="L15" s="25">
        <f>IF(L9=1,0,L11*'Canales y Punto Muerto'!$E$8)</f>
        <v>0.0</v>
      </c>
      <c r="M15" s="25">
        <f>IF(M9=1,0,M11*'Canales y Punto Muerto'!$E$8)</f>
        <v>0.0</v>
      </c>
      <c r="N15" s="37">
        <f>SUM(B15:M15)</f>
        <v>23834.812853831638</v>
      </c>
    </row>
    <row r="16">
      <c r="A16" s="10" t="inlineStr">
        <is>
          <t>Contribución de la carta de invierno</t>
        </is>
      </c>
      <c r="B16" s="25">
        <f>B13-B15</f>
        <v>7397.614552526589</v>
      </c>
      <c r="C16" s="25">
        <f>C13-C15</f>
        <v>11836.183284042543</v>
      </c>
      <c r="D16" s="25">
        <f>D13-D15</f>
        <v>15955.30956897212</v>
      </c>
      <c r="E16" s="25">
        <f>E13-E15</f>
        <v>24126.31109744467</v>
      </c>
      <c r="F16" s="25">
        <f>F13-F15</f>
        <v>19124.514894315897</v>
      </c>
      <c r="G16" s="25">
        <f>G13-G15</f>
        <v>19334.674398649033</v>
      </c>
      <c r="H16" s="25">
        <f>H13-H15</f>
        <v>18494.036381316473</v>
      </c>
      <c r="I16" s="25">
        <f>I13-I15</f>
        <v>15972.122329318769</v>
      </c>
      <c r="J16" s="25">
        <f>J13-J15</f>
        <v>14290.846294653635</v>
      </c>
      <c r="K16" s="25">
        <f>K13-K15</f>
        <v>11768.932242655936</v>
      </c>
      <c r="L16" s="25">
        <f>L13-L15</f>
        <v>0.0</v>
      </c>
      <c r="M16" s="25">
        <f>M13-M15</f>
        <v>0.0</v>
      </c>
      <c r="N16" s="37">
        <f>SUM(B16:M16)</f>
        <v>158300.54504389566</v>
      </c>
    </row>
    <row r="17">
      <c r="A17" s="10" t="inlineStr">
        <is>
          <t>Contribución de julio y agosto (salida elegida, libro 5)</t>
        </is>
      </c>
      <c r="B17" s="25">
        <f>IFERROR(IF(B9=1,IF(INDEX('0. Supuestos'!$B$20:$B$31,'0. Supuestos'!$B$46)+INDEX('0. Supuestos'!$B$20:$B$31,'0. Supuestos'!$B$47)&gt;0,'0. Supuestos'!$B$33*B8/(INDEX('0. Supuestos'!$B$20:$B$31,'0. Supuestos'!$B$46)+INDEX('0. Supuestos'!$B$20:$B$31,'0. Supuestos'!$B$47))*B10,0),0),"")</f>
        <v>0.0</v>
      </c>
      <c r="C17" s="25">
        <f>IFERROR(IF(C9=1,IF(INDEX('0. Supuestos'!$B$20:$B$31,'0. Supuestos'!$B$46)+INDEX('0. Supuestos'!$B$20:$B$31,'0. Supuestos'!$B$47)&gt;0,'0. Supuestos'!$B$33*C8/(INDEX('0. Supuestos'!$B$20:$B$31,'0. Supuestos'!$B$46)+INDEX('0. Supuestos'!$B$20:$B$31,'0. Supuestos'!$B$47))*C10,0),0),"")</f>
        <v>0.0</v>
      </c>
      <c r="D17" s="25">
        <f>IFERROR(IF(D9=1,IF(INDEX('0. Supuestos'!$B$20:$B$31,'0. Supuestos'!$B$46)+INDEX('0. Supuestos'!$B$20:$B$31,'0. Supuestos'!$B$47)&gt;0,'0. Supuestos'!$B$33*D8/(INDEX('0. Supuestos'!$B$20:$B$31,'0. Supuestos'!$B$46)+INDEX('0. Supuestos'!$B$20:$B$31,'0. Supuestos'!$B$47))*D10,0),0),"")</f>
        <v>0.0</v>
      </c>
      <c r="E17" s="25">
        <f>IFERROR(IF(E9=1,IF(INDEX('0. Supuestos'!$B$20:$B$31,'0. Supuestos'!$B$46)+INDEX('0. Supuestos'!$B$20:$B$31,'0. Supuestos'!$B$47)&gt;0,'0. Supuestos'!$B$33*E8/(INDEX('0. Supuestos'!$B$20:$B$31,'0. Supuestos'!$B$46)+INDEX('0. Supuestos'!$B$20:$B$31,'0. Supuestos'!$B$47))*E10,0),0),"")</f>
        <v>0.0</v>
      </c>
      <c r="F17" s="25">
        <f>IFERROR(IF(F9=1,IF(INDEX('0. Supuestos'!$B$20:$B$31,'0. Supuestos'!$B$46)+INDEX('0. Supuestos'!$B$20:$B$31,'0. Supuestos'!$B$47)&gt;0,'0. Supuestos'!$B$33*F8/(INDEX('0. Supuestos'!$B$20:$B$31,'0. Supuestos'!$B$46)+INDEX('0. Supuestos'!$B$20:$B$31,'0. Supuestos'!$B$47))*F10,0),0),"")</f>
        <v>0.0</v>
      </c>
      <c r="G17" s="25">
        <f>IFERROR(IF(G9=1,IF(INDEX('0. Supuestos'!$B$20:$B$31,'0. Supuestos'!$B$46)+INDEX('0. Supuestos'!$B$20:$B$31,'0. Supuestos'!$B$47)&gt;0,'0. Supuestos'!$B$33*G8/(INDEX('0. Supuestos'!$B$20:$B$31,'0. Supuestos'!$B$46)+INDEX('0. Supuestos'!$B$20:$B$31,'0. Supuestos'!$B$47))*G10,0),0),"")</f>
        <v>0.0</v>
      </c>
      <c r="H17" s="25">
        <f>IFERROR(IF(H9=1,IF(INDEX('0. Supuestos'!$B$20:$B$31,'0. Supuestos'!$B$46)+INDEX('0. Supuestos'!$B$20:$B$31,'0. Supuestos'!$B$47)&gt;0,'0. Supuestos'!$B$33*H8/(INDEX('0. Supuestos'!$B$20:$B$31,'0. Supuestos'!$B$46)+INDEX('0. Supuestos'!$B$20:$B$31,'0. Supuestos'!$B$47))*H10,0),0),"")</f>
        <v>0.0</v>
      </c>
      <c r="I17" s="25">
        <f>IFERROR(IF(I9=1,IF(INDEX('0. Supuestos'!$B$20:$B$31,'0. Supuestos'!$B$46)+INDEX('0. Supuestos'!$B$20:$B$31,'0. Supuestos'!$B$47)&gt;0,'0. Supuestos'!$B$33*I8/(INDEX('0. Supuestos'!$B$20:$B$31,'0. Supuestos'!$B$46)+INDEX('0. Supuestos'!$B$20:$B$31,'0. Supuestos'!$B$47))*I10,0),0),"")</f>
        <v>0.0</v>
      </c>
      <c r="J17" s="25">
        <f>IFERROR(IF(J9=1,IF(INDEX('0. Supuestos'!$B$20:$B$31,'0. Supuestos'!$B$46)+INDEX('0. Supuestos'!$B$20:$B$31,'0. Supuestos'!$B$47)&gt;0,'0. Supuestos'!$B$33*J8/(INDEX('0. Supuestos'!$B$20:$B$31,'0. Supuestos'!$B$46)+INDEX('0. Supuestos'!$B$20:$B$31,'0. Supuestos'!$B$47))*J10,0),0),"")</f>
        <v>0.0</v>
      </c>
      <c r="K17" s="25">
        <f>IFERROR(IF(K9=1,IF(INDEX('0. Supuestos'!$B$20:$B$31,'0. Supuestos'!$B$46)+INDEX('0. Supuestos'!$B$20:$B$31,'0. Supuestos'!$B$47)&gt;0,'0. Supuestos'!$B$33*K8/(INDEX('0. Supuestos'!$B$20:$B$31,'0. Supuestos'!$B$46)+INDEX('0. Supuestos'!$B$20:$B$31,'0. Supuestos'!$B$47))*K10,0),0),"")</f>
        <v>0.0</v>
      </c>
      <c r="L17" s="25">
        <f>IFERROR(IF(L9=1,IF(INDEX('0. Supuestos'!$B$20:$B$31,'0. Supuestos'!$B$46)+INDEX('0. Supuestos'!$B$20:$B$31,'0. Supuestos'!$B$47)&gt;0,'0. Supuestos'!$B$33*L8/(INDEX('0. Supuestos'!$B$20:$B$31,'0. Supuestos'!$B$46)+INDEX('0. Supuestos'!$B$20:$B$31,'0. Supuestos'!$B$47))*L10,0),0),"")</f>
        <v>9097.895220373153</v>
      </c>
      <c r="M17" s="25">
        <f>IFERROR(IF(M9=1,IF(INDEX('0. Supuestos'!$B$20:$B$31,'0. Supuestos'!$B$46)+INDEX('0. Supuestos'!$B$20:$B$31,'0. Supuestos'!$B$47)&gt;0,'0. Supuestos'!$B$33*M8/(INDEX('0. Supuestos'!$B$20:$B$31,'0. Supuestos'!$B$46)+INDEX('0. Supuestos'!$B$20:$B$31,'0. Supuestos'!$B$47))*M10,0),0),"")</f>
        <v>8270.813836702866</v>
      </c>
      <c r="N17" s="37">
        <f>SUM(B17:M17)</f>
        <v>17368.70905707602</v>
      </c>
    </row>
    <row r="18">
      <c r="A18" s="10" t="inlineStr">
        <is>
          <t>Renovación del aceite</t>
        </is>
      </c>
      <c r="B18" s="25">
        <f>B11*'0. Supuestos'!$B$17</f>
        <v>111.8327967479675</v>
      </c>
      <c r="C18" s="25">
        <f>C11*'0. Supuestos'!$B$17</f>
        <v>178.932474796748</v>
      </c>
      <c r="D18" s="25">
        <f>D11*'0. Supuestos'!$B$17</f>
        <v>241.20300934959351</v>
      </c>
      <c r="E18" s="25">
        <f>E11*'0. Supuestos'!$B$17</f>
        <v>364.7274166666668</v>
      </c>
      <c r="F18" s="25">
        <f>F11*'0. Supuestos'!$B$17</f>
        <v>289.11319613821144</v>
      </c>
      <c r="G18" s="25">
        <f>G11*'0. Supuestos'!$B$17</f>
        <v>292.29026422764224</v>
      </c>
      <c r="H18" s="25">
        <f>H11*'0. Supuestos'!$B$17</f>
        <v>279.5819918699188</v>
      </c>
      <c r="I18" s="25">
        <f>I11*'0. Supuestos'!$B$17</f>
        <v>241.457174796748</v>
      </c>
      <c r="J18" s="25">
        <f>J11*'0. Supuestos'!$B$17</f>
        <v>216.04063008130083</v>
      </c>
      <c r="K18" s="25">
        <f>K11*'0. Supuestos'!$B$17</f>
        <v>177.9158130081301</v>
      </c>
      <c r="L18" s="25">
        <f>L11*'0. Supuestos'!$B$17</f>
        <v>139.7909959349594</v>
      </c>
      <c r="M18" s="25">
        <f>M11*'0. Supuestos'!$B$17</f>
        <v>127.08272357723578</v>
      </c>
      <c r="N18" s="37">
        <f>SUM(B18:M18)</f>
        <v>2659.968487195122</v>
      </c>
    </row>
    <row r="19">
      <c r="A19" s="10" t="inlineStr">
        <is>
          <t>Ferias (resultado del año repartido)</t>
        </is>
      </c>
      <c r="B19" s="25">
        <f>IFERROR('0. Supuestos'!$B$32/'0. Supuestos'!$B$44,"")</f>
        <v>0.0</v>
      </c>
      <c r="C19" s="25">
        <f>IFERROR('0. Supuestos'!$B$32/'0. Supuestos'!$B$44,"")</f>
        <v>0.0</v>
      </c>
      <c r="D19" s="25">
        <f>IFERROR('0. Supuestos'!$B$32/'0. Supuestos'!$B$44,"")</f>
        <v>0.0</v>
      </c>
      <c r="E19" s="25">
        <f>IFERROR('0. Supuestos'!$B$32/'0. Supuestos'!$B$44,"")</f>
        <v>0.0</v>
      </c>
      <c r="F19" s="25">
        <f>IFERROR('0. Supuestos'!$B$32/'0. Supuestos'!$B$44,"")</f>
        <v>0.0</v>
      </c>
      <c r="G19" s="25">
        <f>IFERROR('0. Supuestos'!$B$32/'0. Supuestos'!$B$44,"")</f>
        <v>0.0</v>
      </c>
      <c r="H19" s="25">
        <f>IFERROR('0. Supuestos'!$B$32/'0. Supuestos'!$B$44,"")</f>
        <v>0.0</v>
      </c>
      <c r="I19" s="25">
        <f>IFERROR('0. Supuestos'!$B$32/'0. Supuestos'!$B$44,"")</f>
        <v>0.0</v>
      </c>
      <c r="J19" s="25">
        <f>IFERROR('0. Supuestos'!$B$32/'0. Supuestos'!$B$44,"")</f>
        <v>0.0</v>
      </c>
      <c r="K19" s="25">
        <f>IFERROR('0. Supuestos'!$B$32/'0. Supuestos'!$B$44,"")</f>
        <v>0.0</v>
      </c>
      <c r="L19" s="25">
        <f>IFERROR('0. Supuestos'!$B$32/'0. Supuestos'!$B$44,"")</f>
        <v>0.0</v>
      </c>
      <c r="M19" s="25">
        <f>IFERROR('0. Supuestos'!$B$32/'0. Supuestos'!$B$44,"")</f>
        <v>0.0</v>
      </c>
      <c r="N19" s="37">
        <f>SUM(B19:M19)</f>
        <v>0.0</v>
      </c>
    </row>
    <row r="20">
      <c r="A20" s="20" t="inlineStr">
        <is>
          <t>CONTRIBUCIÓN DEL MES</t>
        </is>
      </c>
      <c r="B20" s="32">
        <f>B16+B17-B18+B19</f>
        <v>7285.781755778622</v>
      </c>
      <c r="C20" s="32">
        <f>C16+C17-C18+C19</f>
        <v>11657.250809245796</v>
      </c>
      <c r="D20" s="32">
        <f>D16+D17-D18+D19</f>
        <v>15714.106559622525</v>
      </c>
      <c r="E20" s="32">
        <f>E16+E17-E18+E19</f>
        <v>23761.583680778003</v>
      </c>
      <c r="F20" s="32">
        <f>F16+F17-F18+F19</f>
        <v>18835.401698177684</v>
      </c>
      <c r="G20" s="32">
        <f>G16+G17-G18+G19</f>
        <v>19042.38413442139</v>
      </c>
      <c r="H20" s="32">
        <f>H16+H17-H18+H19</f>
        <v>18214.454389446553</v>
      </c>
      <c r="I20" s="32">
        <f>I16+I17-I18+I19</f>
        <v>15730.665154522021</v>
      </c>
      <c r="J20" s="32">
        <f>J16+J17-J18+J19</f>
        <v>14074.805664572334</v>
      </c>
      <c r="K20" s="32">
        <f>K16+K17-K18+K19</f>
        <v>11591.016429647805</v>
      </c>
      <c r="L20" s="32">
        <f>L16+L17-L18+L19</f>
        <v>8958.104224438193</v>
      </c>
      <c r="M20" s="32">
        <f>M16+M17-M18+M19</f>
        <v>8143.73111312563</v>
      </c>
      <c r="N20" s="37">
        <f>SUM(B20:M20)</f>
        <v>173009.28561377656</v>
      </c>
    </row>
    <row r="21">
      <c r="A21" s="4" t="inlineStr">
        <is>
          <t>Lo que Sale: Fijos y Deuda</t>
        </is>
      </c>
    </row>
    <row r="22">
      <c r="A22" s="10" t="inlineStr">
        <is>
          <t>Plantilla</t>
        </is>
      </c>
      <c r="B22" s="25">
        <f>IFERROR('0. Supuestos'!$B$39/'0. Supuestos'!$B$44,"")</f>
        <v>9945.850092800916</v>
      </c>
      <c r="C22" s="25">
        <f>IFERROR('0. Supuestos'!$B$39/'0. Supuestos'!$B$44,"")</f>
        <v>9945.850092800916</v>
      </c>
      <c r="D22" s="25">
        <f>IFERROR('0. Supuestos'!$B$39/'0. Supuestos'!$B$44,"")</f>
        <v>9945.850092800916</v>
      </c>
      <c r="E22" s="25">
        <f>IFERROR('0. Supuestos'!$B$39/'0. Supuestos'!$B$44,"")</f>
        <v>9945.850092800916</v>
      </c>
      <c r="F22" s="25">
        <f>IFERROR('0. Supuestos'!$B$39/'0. Supuestos'!$B$44,"")</f>
        <v>9945.850092800916</v>
      </c>
      <c r="G22" s="25">
        <f>IFERROR('0. Supuestos'!$B$39/'0. Supuestos'!$B$44,"")</f>
        <v>9945.850092800916</v>
      </c>
      <c r="H22" s="25">
        <f>IFERROR('0. Supuestos'!$B$39/'0. Supuestos'!$B$44,"")</f>
        <v>9945.850092800916</v>
      </c>
      <c r="I22" s="25">
        <f>IFERROR('0. Supuestos'!$B$39/'0. Supuestos'!$B$44,"")</f>
        <v>9945.850092800916</v>
      </c>
      <c r="J22" s="25">
        <f>IFERROR('0. Supuestos'!$B$39/'0. Supuestos'!$B$44,"")</f>
        <v>9945.850092800916</v>
      </c>
      <c r="K22" s="25">
        <f>IFERROR('0. Supuestos'!$B$39/'0. Supuestos'!$B$44,"")</f>
        <v>9945.850092800916</v>
      </c>
      <c r="L22" s="25">
        <f>IFERROR('0. Supuestos'!$B$39/'0. Supuestos'!$B$44,"")</f>
        <v>9945.850092800916</v>
      </c>
      <c r="M22" s="25">
        <f>IFERROR('0. Supuestos'!$B$39/'0. Supuestos'!$B$44,"")</f>
        <v>9945.850092800916</v>
      </c>
      <c r="N22" s="37">
        <f>SUM(B22:M22)</f>
        <v>119350.201113611</v>
      </c>
    </row>
    <row r="23">
      <c r="A23" s="10" t="inlineStr">
        <is>
          <t>Renta</t>
        </is>
      </c>
      <c r="B23" s="25">
        <f>'0. Supuestos'!$B$8</f>
        <v>910.0</v>
      </c>
      <c r="C23" s="25">
        <f>'0. Supuestos'!$B$8</f>
        <v>910.0</v>
      </c>
      <c r="D23" s="25">
        <f>'0. Supuestos'!$B$8</f>
        <v>910.0</v>
      </c>
      <c r="E23" s="25">
        <f>'0. Supuestos'!$B$8</f>
        <v>910.0</v>
      </c>
      <c r="F23" s="25">
        <f>'0. Supuestos'!$B$8</f>
        <v>910.0</v>
      </c>
      <c r="G23" s="25">
        <f>'0. Supuestos'!$B$8</f>
        <v>910.0</v>
      </c>
      <c r="H23" s="25">
        <f>'0. Supuestos'!$B$8</f>
        <v>910.0</v>
      </c>
      <c r="I23" s="25">
        <f>'0. Supuestos'!$B$8</f>
        <v>910.0</v>
      </c>
      <c r="J23" s="25">
        <f>'0. Supuestos'!$B$8</f>
        <v>910.0</v>
      </c>
      <c r="K23" s="25">
        <f>'0. Supuestos'!$B$8</f>
        <v>910.0</v>
      </c>
      <c r="L23" s="25">
        <f>'0. Supuestos'!$B$8</f>
        <v>910.0</v>
      </c>
      <c r="M23" s="25">
        <f>'0. Supuestos'!$B$8</f>
        <v>910.0</v>
      </c>
      <c r="N23" s="37">
        <f>SUM(B23:M23)</f>
        <v>10920.0</v>
      </c>
    </row>
    <row r="24">
      <c r="A24" s="10" t="inlineStr">
        <is>
          <t>Gastos fijos</t>
        </is>
      </c>
      <c r="B24" s="25">
        <f>'0. Supuestos'!$B$83</f>
        <v>1870.0</v>
      </c>
      <c r="C24" s="25">
        <f>'0. Supuestos'!$B$83</f>
        <v>1870.0</v>
      </c>
      <c r="D24" s="25">
        <f>'0. Supuestos'!$B$83</f>
        <v>1870.0</v>
      </c>
      <c r="E24" s="25">
        <f>'0. Supuestos'!$B$83</f>
        <v>1870.0</v>
      </c>
      <c r="F24" s="25">
        <f>'0. Supuestos'!$B$83</f>
        <v>1870.0</v>
      </c>
      <c r="G24" s="25">
        <f>'0. Supuestos'!$B$83</f>
        <v>1870.0</v>
      </c>
      <c r="H24" s="25">
        <f>'0. Supuestos'!$B$83</f>
        <v>1870.0</v>
      </c>
      <c r="I24" s="25">
        <f>'0. Supuestos'!$B$83</f>
        <v>1870.0</v>
      </c>
      <c r="J24" s="25">
        <f>'0. Supuestos'!$B$83</f>
        <v>1870.0</v>
      </c>
      <c r="K24" s="25">
        <f>'0. Supuestos'!$B$83</f>
        <v>1870.0</v>
      </c>
      <c r="L24" s="25">
        <f>'0. Supuestos'!$B$83</f>
        <v>1870.0</v>
      </c>
      <c r="M24" s="25">
        <f>'0. Supuestos'!$B$83</f>
        <v>1870.0</v>
      </c>
      <c r="N24" s="37">
        <f>SUM(B24:M24)</f>
        <v>22440.0</v>
      </c>
    </row>
    <row r="25">
      <c r="A25" s="10" t="inlineStr">
        <is>
          <t>Intereses del préstamo</t>
        </is>
      </c>
      <c r="B25" s="25">
        <f>INDEX('Financiación'!$C$28:$C$111,B5)</f>
        <v>513.05</v>
      </c>
      <c r="C25" s="25">
        <f>INDEX('Financiación'!$C$28:$C$111,C5)</f>
        <v>513.05</v>
      </c>
      <c r="D25" s="25">
        <f>INDEX('Financiación'!$C$28:$C$111,D5)</f>
        <v>513.05</v>
      </c>
      <c r="E25" s="25">
        <f>INDEX('Financiación'!$C$28:$C$111,E5)</f>
        <v>513.05</v>
      </c>
      <c r="F25" s="25">
        <f>INDEX('Financiación'!$C$28:$C$111,F5)</f>
        <v>513.05</v>
      </c>
      <c r="G25" s="25">
        <f>INDEX('Financiación'!$C$28:$C$111,G5)</f>
        <v>513.05</v>
      </c>
      <c r="H25" s="25">
        <f>INDEX('Financiación'!$C$28:$C$111,H5)</f>
        <v>513.05</v>
      </c>
      <c r="I25" s="25">
        <f>INDEX('Financiación'!$C$28:$C$111,I5)</f>
        <v>507.69228369170844</v>
      </c>
      <c r="J25" s="25">
        <f>INDEX('Financiación'!$C$28:$C$111,J5)</f>
        <v>502.3068858491575</v>
      </c>
      <c r="K25" s="25">
        <f>INDEX('Financiación'!$C$28:$C$111,K5)</f>
        <v>496.8936634510866</v>
      </c>
      <c r="L25" s="25">
        <f>INDEX('Financiación'!$C$28:$C$111,L5)</f>
        <v>491.45247273729234</v>
      </c>
      <c r="M25" s="25">
        <f>INDEX('Financiación'!$C$28:$C$111,M5)</f>
        <v>485.9831692048102</v>
      </c>
      <c r="N25" s="37">
        <f>SUM(B25:M25)</f>
        <v>6075.678474934056</v>
      </c>
    </row>
    <row r="26">
      <c r="A26" s="10" t="inlineStr">
        <is>
          <t>Devolución de principal</t>
        </is>
      </c>
      <c r="B26" s="25">
        <f>INDEX('Financiación'!$D$28:$D$111,B5)</f>
        <v>0.0</v>
      </c>
      <c r="C26" s="25">
        <f>INDEX('Financiación'!$D$28:$D$111,C5)</f>
        <v>0.0</v>
      </c>
      <c r="D26" s="25">
        <f>INDEX('Financiación'!$D$28:$D$111,D5)</f>
        <v>0.0</v>
      </c>
      <c r="E26" s="25">
        <f>INDEX('Financiación'!$D$28:$D$111,E5)</f>
        <v>0.0</v>
      </c>
      <c r="F26" s="25">
        <f>INDEX('Financiación'!$D$28:$D$111,F5)</f>
        <v>0.0</v>
      </c>
      <c r="G26" s="25">
        <f>INDEX('Financiación'!$D$28:$D$111,G5)</f>
        <v>0.0</v>
      </c>
      <c r="H26" s="25">
        <f>INDEX('Financiación'!$D$28:$D$111,H5)</f>
        <v>1036.977349991906</v>
      </c>
      <c r="I26" s="25">
        <f>INDEX('Financiación'!$D$28:$D$111,I5)</f>
        <v>1042.3350663001975</v>
      </c>
      <c r="J26" s="25">
        <f>INDEX('Financiación'!$D$28:$D$111,J5)</f>
        <v>1047.7204641427486</v>
      </c>
      <c r="K26" s="25">
        <f>INDEX('Financiación'!$D$28:$D$111,K5)</f>
        <v>1053.1336865408193</v>
      </c>
      <c r="L26" s="25">
        <f>INDEX('Financiación'!$D$28:$D$111,L5)</f>
        <v>1058.5748772546137</v>
      </c>
      <c r="M26" s="25">
        <f>INDEX('Financiación'!$D$28:$D$111,M5)</f>
        <v>1064.0441807870957</v>
      </c>
      <c r="N26" s="37">
        <f>SUM(B26:M26)</f>
        <v>6302.785625017381</v>
      </c>
    </row>
    <row r="27">
      <c r="A27" s="20" t="inlineStr">
        <is>
          <t>TOTAL PAGOS FIJOS</t>
        </is>
      </c>
      <c r="B27" s="32">
        <f>SUM(B22:B26)</f>
        <v>13238.900092800915</v>
      </c>
      <c r="C27" s="32">
        <f>SUM(C22:C26)</f>
        <v>13238.900092800915</v>
      </c>
      <c r="D27" s="32">
        <f>SUM(D22:D26)</f>
        <v>13238.900092800915</v>
      </c>
      <c r="E27" s="32">
        <f>SUM(E22:E26)</f>
        <v>13238.900092800915</v>
      </c>
      <c r="F27" s="32">
        <f>SUM(F22:F26)</f>
        <v>13238.900092800915</v>
      </c>
      <c r="G27" s="32">
        <f>SUM(G22:G26)</f>
        <v>13238.900092800915</v>
      </c>
      <c r="H27" s="32">
        <f>SUM(H22:H26)</f>
        <v>14275.877442792822</v>
      </c>
      <c r="I27" s="32">
        <f>SUM(I22:I26)</f>
        <v>14275.877442792822</v>
      </c>
      <c r="J27" s="32">
        <f>SUM(J22:J26)</f>
        <v>14275.877442792822</v>
      </c>
      <c r="K27" s="32">
        <f>SUM(K22:K26)</f>
        <v>14275.877442792822</v>
      </c>
      <c r="L27" s="32">
        <f>SUM(L22:L26)</f>
        <v>14275.877442792822</v>
      </c>
      <c r="M27" s="32">
        <f>SUM(M22:M26)</f>
        <v>14275.877442792822</v>
      </c>
      <c r="N27" s="37">
        <f>SUM(B27:M27)</f>
        <v>165088.6652135624</v>
      </c>
    </row>
    <row r="28">
      <c r="A28" s="20" t="inlineStr">
        <is>
          <t>FLUJO DEL MES</t>
        </is>
      </c>
      <c r="B28" s="32">
        <f>B20-B27</f>
        <v>-5953.118337022293</v>
      </c>
      <c r="C28" s="32">
        <f>C20-C27</f>
        <v>-1581.6492835551198</v>
      </c>
      <c r="D28" s="32">
        <f>D20-D27</f>
        <v>2475.20646682161</v>
      </c>
      <c r="E28" s="32">
        <f>E20-E27</f>
        <v>10522.683587977088</v>
      </c>
      <c r="F28" s="32">
        <f>F20-F27</f>
        <v>5596.501605376769</v>
      </c>
      <c r="G28" s="32">
        <f>G20-G27</f>
        <v>5803.484041620475</v>
      </c>
      <c r="H28" s="32">
        <f>H20-H27</f>
        <v>3938.5769466537313</v>
      </c>
      <c r="I28" s="32">
        <f>I20-I27</f>
        <v>1454.7877117291991</v>
      </c>
      <c r="J28" s="32">
        <f>J20-J27</f>
        <v>-201.07177822048834</v>
      </c>
      <c r="K28" s="32">
        <f>K20-K27</f>
        <v>-2684.861013145017</v>
      </c>
      <c r="L28" s="32">
        <f>L20-L27</f>
        <v>-5317.773218354629</v>
      </c>
      <c r="M28" s="32">
        <f>M20-M27</f>
        <v>-6132.146329667192</v>
      </c>
      <c r="N28" s="37">
        <f>SUM(B28:M28)</f>
        <v>7920.620400214129</v>
      </c>
    </row>
    <row r="29">
      <c r="A29" s="20" t="inlineStr">
        <is>
          <t>SALDO DE CAJA AL CIERRE DEL MES</t>
        </is>
      </c>
      <c r="B29" s="32">
        <f>$B$32+B28</f>
        <v>73099.36159483946</v>
      </c>
      <c r="C29" s="32">
        <f>B29+C28</f>
        <v>71517.71231128434</v>
      </c>
      <c r="D29" s="32">
        <f>C29+D28</f>
        <v>73992.91877810594</v>
      </c>
      <c r="E29" s="32">
        <f>D29+E28</f>
        <v>84515.60236608304</v>
      </c>
      <c r="F29" s="32">
        <f>E29+F28</f>
        <v>90112.10397145982</v>
      </c>
      <c r="G29" s="32">
        <f>F29+G28</f>
        <v>95915.5880130803</v>
      </c>
      <c r="H29" s="32">
        <f>G29+H28</f>
        <v>99854.16495973403</v>
      </c>
      <c r="I29" s="32">
        <f>H29+I28</f>
        <v>101308.95267146322</v>
      </c>
      <c r="J29" s="32">
        <f>I29+J28</f>
        <v>101107.88089324273</v>
      </c>
      <c r="K29" s="32">
        <f>J29+K28</f>
        <v>98423.01988009772</v>
      </c>
      <c r="L29" s="32">
        <f>K29+L28</f>
        <v>93105.24666174309</v>
      </c>
      <c r="M29" s="32">
        <f>L29+M28</f>
        <v>86973.1003320759</v>
      </c>
    </row>
    <row r="30"/>
    <row r="31">
      <c r="A31" s="4" t="inlineStr">
        <is>
          <t>El Valle y el Fondo de Maniobra</t>
        </is>
      </c>
    </row>
    <row r="32">
      <c r="A32" s="10" t="inlineStr">
        <is>
          <t>Saldo el día que abres (lo que pones tú + préstamo - CAPEX)</t>
        </is>
      </c>
      <c r="B32" s="32">
        <f>'Financiación'!$B$6+'Financiación'!$B$7-'0. Supuestos'!$B$7</f>
        <v>79052.47993186176</v>
      </c>
    </row>
    <row r="33">
      <c r="A33" s="10" t="inlineStr">
        <is>
          <t>De él, fondo de maniobra (hoja «Inversión Inicial»)</t>
        </is>
      </c>
      <c r="B33" s="25">
        <f>'Inversión Inicial'!$B$19</f>
        <v>79052.47993186177</v>
      </c>
    </row>
    <row r="34">
      <c r="A34" s="27" t="inlineStr">
        <is>
          <t>Saldo más bajo del año (el valle)</t>
        </is>
      </c>
      <c r="B34" s="37">
        <f>MIN(B29:M29)</f>
        <v>71517.71231128434</v>
      </c>
    </row>
    <row r="35">
      <c r="A35" s="10" t="inlineStr">
        <is>
          <t>Mes del valle</t>
        </is>
      </c>
      <c r="B35" t="str">
        <f>IFERROR(INDEX(B7:M7,MATCH(B34,B29:M29,0)),"")</f>
        <v>Octubre</v>
      </c>
    </row>
    <row r="36">
      <c r="A36" s="27" t="inlineStr">
        <is>
          <t>¿Aguanta el fondo el valle?</t>
        </is>
      </c>
      <c r="B36" s="28" t="str">
        <f>IF(NOT(ISNUMBER(B34)),"",IF(B34&gt;=0,"Aguanta: el saldo no baja de cero","No aguanta: el saldo se pone en negativo"))</f>
        <v>Aguanta: el saldo no baja de cero</v>
      </c>
    </row>
    <row r="37">
      <c r="A37" s="10" t="inlineStr">
        <is>
          <t>Caja que se come el arranque hasta el valle</t>
        </is>
      </c>
      <c r="B37" s="25">
        <f>B32-B34</f>
        <v>7534.767620577419</v>
      </c>
    </row>
    <row r="38" ht="44" customHeight="1">
      <c r="A38" s="3" t="inlineStr">
        <is>
          <t>En negativo, el valle dice cuántos euros te faltan en el peor mes: sube los meses de colchón, negocia más carencia o abre en otro mes. Ningún cobro se aplaza: en una churrería se cobra al momento. El IVA de la explotación se liquida cada trimestre y no está aquí.</t>
        </is>
      </c>
    </row>
    <row r="39"/>
    <row r="40">
      <c r="A40" s="4" t="inlineStr">
        <is>
          <t>Calendario (lo Usan las Filas de Arriba)</t>
        </is>
      </c>
    </row>
    <row r="41" ht="30" customHeight="1">
      <c r="A41" s="9" t="inlineStr">
        <is>
          <t>Número del mes</t>
        </is>
      </c>
      <c r="B41" s="9" t="inlineStr">
        <is>
          <t>Mes</t>
        </is>
      </c>
      <c r="C41" s="9" t="inlineStr">
        <is>
          <t>Coeficiente (de «0. Supuestos»)</t>
        </is>
      </c>
    </row>
    <row r="42">
      <c r="A42" s="26" t="n">
        <v>1</v>
      </c>
      <c r="B42" t="inlineStr">
        <is>
          <t>Enero</t>
        </is>
      </c>
      <c r="C42" s="33">
        <f>'0. Supuestos'!$B$20</f>
        <v>1.25</v>
      </c>
    </row>
    <row r="43">
      <c r="A43" s="26" t="n">
        <v>2</v>
      </c>
      <c r="B43" t="inlineStr">
        <is>
          <t>Febrero</t>
        </is>
      </c>
      <c r="C43" s="33">
        <f>'0. Supuestos'!$B$21</f>
        <v>1.15</v>
      </c>
    </row>
    <row r="44">
      <c r="A44" s="26" t="n">
        <v>3</v>
      </c>
      <c r="B44" t="inlineStr">
        <is>
          <t>Marzo</t>
        </is>
      </c>
      <c r="C44" s="33">
        <f>'0. Supuestos'!$B$22</f>
        <v>1.1</v>
      </c>
    </row>
    <row r="45">
      <c r="A45" s="26" t="n">
        <v>4</v>
      </c>
      <c r="B45" t="inlineStr">
        <is>
          <t>Abril</t>
        </is>
      </c>
      <c r="C45" s="33">
        <f>'0. Supuestos'!$B$23</f>
        <v>0.95</v>
      </c>
    </row>
    <row r="46">
      <c r="A46" s="26" t="n">
        <v>5</v>
      </c>
      <c r="B46" t="inlineStr">
        <is>
          <t>Mayo</t>
        </is>
      </c>
      <c r="C46" s="33">
        <f>'0. Supuestos'!$B$24</f>
        <v>0.85</v>
      </c>
    </row>
    <row r="47">
      <c r="A47" s="26" t="n">
        <v>6</v>
      </c>
      <c r="B47" t="inlineStr">
        <is>
          <t>Junio</t>
        </is>
      </c>
      <c r="C47" s="33">
        <f>'0. Supuestos'!$B$25</f>
        <v>0.7</v>
      </c>
    </row>
    <row r="48">
      <c r="A48" s="26" t="n">
        <v>7</v>
      </c>
      <c r="B48" t="inlineStr">
        <is>
          <t>Julio</t>
        </is>
      </c>
      <c r="C48" s="33">
        <f>'0. Supuestos'!$B$26</f>
        <v>0.55</v>
      </c>
    </row>
    <row r="49">
      <c r="A49" s="26" t="n">
        <v>8</v>
      </c>
      <c r="B49" t="inlineStr">
        <is>
          <t>Agosto</t>
        </is>
      </c>
      <c r="C49" s="33">
        <f>'0. Supuestos'!$B$27</f>
        <v>0.5</v>
      </c>
    </row>
    <row r="50">
      <c r="A50" s="26" t="n">
        <v>9</v>
      </c>
      <c r="B50" t="inlineStr">
        <is>
          <t>Septiembre</t>
        </is>
      </c>
      <c r="C50" s="33">
        <f>'0. Supuestos'!$B$28</f>
        <v>0.8</v>
      </c>
    </row>
    <row r="51">
      <c r="A51" s="26" t="n">
        <v>10</v>
      </c>
      <c r="B51" t="inlineStr">
        <is>
          <t>Octubre</t>
        </is>
      </c>
      <c r="C51" s="33">
        <f>'0. Supuestos'!$B$29</f>
        <v>1.1</v>
      </c>
    </row>
    <row r="52">
      <c r="A52" s="26" t="n">
        <v>11</v>
      </c>
      <c r="B52" t="inlineStr">
        <is>
          <t>Noviembre</t>
        </is>
      </c>
      <c r="C52" s="33">
        <f>'0. Supuestos'!$B$30</f>
        <v>1.3</v>
      </c>
    </row>
    <row r="53">
      <c r="A53" s="26" t="n">
        <v>12</v>
      </c>
      <c r="B53" t="inlineStr">
        <is>
          <t>Diciembre</t>
        </is>
      </c>
      <c r="C53" s="33">
        <f>'0. Supuestos'!$B$31</f>
        <v>1.75</v>
      </c>
    </row>
  </sheetData>
  <sheetProtection selectLockedCells="0" selectUnlockedCells="0" sheet="1" objects="0" insertRows="0" insertHyperlinks="1" autoFilter="1" scenarios="0" formatColumns="0" deleteColumns="1" insertColumns="1" pivotTables="1" deleteRows="1" formatCells="1" formatRows="0" sort="0"/>
  <mergeCells count="2">
    <mergeCell ref="A3:N3"/>
    <mergeCell ref="A38:N38"/>
  </mergeCells>
  <conditionalFormatting sqref="B29:M29">
    <cfRule type="expression" priority="1" dxfId="1" stopIfTrue="1">
      <formula>=AND(ISNUMBER(B29),B29&lt;0)</formula>
    </cfRule>
  </conditionalFormatting>
  <conditionalFormatting sqref="B36">
    <cfRule type="cellIs" priority="2" operator="equal" dxfId="0" stopIfTrue="1">
      <formula>"Aguanta: el saldo no baja de cero"</formula>
    </cfRule>
    <cfRule type="cellIs" priority="3" operator="equal" dxfId="1" stopIfTrue="1">
      <formula>"No aguanta: el saldo se pone en negativo"</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129"/>
  <sheetViews>
    <sheetView workbookViewId="0">
      <pane ySplit="27" topLeftCell="A28" activePane="bottomLeft" state="frozen"/>
      <selection pane="bottomLeft" activeCell="A1" sqref="A1"/>
    </sheetView>
  </sheetViews>
  <sheetFormatPr baseColWidth="8" defaultRowHeight="15"/>
  <cols>
    <col width="56" customWidth="1" min="1" max="1"/>
    <col width="17" customWidth="1" min="2" max="2"/>
    <col width="15" customWidth="1" min="3" max="3"/>
    <col width="17" customWidth="1" min="4" max="4"/>
    <col width="17" customWidth="1" min="5" max="5"/>
    <col width="17" customWidth="1" min="6" max="6"/>
    <col width="12" customWidth="1" min="7" max="7"/>
    <col width="70" customWidth="1" min="8" max="8"/>
  </cols>
  <sheetData>
    <row r="1">
      <c r="A1" s="1" t="inlineStr">
        <is>
          <t>Financiación: De Dónde Sale y Cuánto Cuesta Devolverlo</t>
        </is>
      </c>
    </row>
    <row r="2">
      <c r="A2" s="2" t="inlineStr">
        <is>
          <t>AI Chef Pro · aichef.pro — Cómo Montar una Churrería-Chocolatería</t>
        </is>
      </c>
    </row>
    <row r="3" ht="40" customHeight="1">
      <c r="A3" s="3" t="inlineStr">
        <is>
          <t>El cuadro de amortización es MENSUAL (84 filas) porque la carencia son seis meses. La cuota es la anualidad del sistema francés escrita a mano: la función PMT está prohibida en esta familia. La lectura de si aguanta el banco va en euros.</t>
        </is>
      </c>
    </row>
    <row r="4"/>
    <row r="5">
      <c r="A5" s="4" t="inlineStr">
        <is>
          <t>Origen de los Fondos</t>
        </is>
      </c>
    </row>
    <row r="6" ht="30" customHeight="1">
      <c r="A6" s="10" t="inlineStr">
        <is>
          <t>Lo que pones tú (recursos propios)</t>
        </is>
      </c>
      <c r="B6" s="25">
        <f>B11-B7</f>
        <v>66168.12993186177</v>
      </c>
      <c r="H6" s="12" t="inlineStr">
        <is>
          <t>La inversión total menos el préstamo. Un banco quiere verte arriesgar lo tuyo.</t>
        </is>
      </c>
    </row>
    <row r="7" ht="30" customHeight="1">
      <c r="A7" s="10" t="inlineStr">
        <is>
          <t>Préstamo bancario</t>
        </is>
      </c>
      <c r="B7" s="25">
        <f>'0. Supuestos'!$B$63</f>
        <v>99300.0</v>
      </c>
    </row>
    <row r="8" ht="30" customHeight="1">
      <c r="A8" s="20" t="inlineStr">
        <is>
          <t>TOTAL ORIGEN DE LOS FONDOS</t>
        </is>
      </c>
      <c r="B8" s="21">
        <f>B6+B7</f>
        <v>165468.12993186177</v>
      </c>
    </row>
    <row r="9" ht="30" customHeight="1">
      <c r="A9" s="10" t="inlineStr">
        <is>
          <t>Parte que pones tú, en %</t>
        </is>
      </c>
      <c r="B9" s="23">
        <f>IFERROR(B6/B8,"")</f>
        <v>0.399884436713639</v>
      </c>
    </row>
    <row r="10">
      <c r="A10" s="4" t="inlineStr">
        <is>
          <t>Usos</t>
        </is>
      </c>
    </row>
    <row r="11" ht="30" customHeight="1">
      <c r="A11" s="10" t="inlineStr">
        <is>
          <t>Inversión total (CAPEX + fondo de maniobra)</t>
        </is>
      </c>
      <c r="B11" s="25">
        <f>'Inversión Inicial'!$B$24</f>
        <v>165468.12993186177</v>
      </c>
    </row>
    <row r="12" ht="30" customHeight="1">
      <c r="A12" s="10" t="inlineStr">
        <is>
          <t>Lo que pondrías tú con la estructura de «0. Supuestos»</t>
        </is>
      </c>
      <c r="B12" s="25">
        <f>B11*'0. Supuestos'!$B$59</f>
        <v>66187.2519727447</v>
      </c>
    </row>
    <row r="13" ht="30" customHeight="1">
      <c r="A13" s="10" t="inlineStr">
        <is>
          <t>Diferencia (lo que pones tú de verdad menos lo de la estructura)</t>
        </is>
      </c>
      <c r="B13" s="25">
        <f>B6-B12</f>
        <v>-19.122040882939473</v>
      </c>
      <c r="H13" s="12" t="inlineStr">
        <is>
          <t>Sale de redondear el préstamo: unos cientos de euros arriba o abajo.</t>
        </is>
      </c>
    </row>
    <row r="14">
      <c r="A14" s="4" t="inlineStr">
        <is>
          <t>El Préstamo como Punto Fijo</t>
        </is>
      </c>
    </row>
    <row r="15" ht="30" customHeight="1">
      <c r="A15" s="10" t="inlineStr">
        <is>
          <t>Préstamo que pide la estructura (redondeado)</t>
        </is>
      </c>
      <c r="B15" s="25">
        <f>IFERROR(ROUND('0. Supuestos'!$B$58*B11/'0. Supuestos'!$B$64,0)*'0. Supuestos'!$B$64,"")</f>
        <v>99300.0</v>
      </c>
      <c r="H15" s="12" t="inlineStr">
        <is>
          <t>El porcentaje de préstamo por la inversión total, redondeado. La inversión lleva el fondo, y el fondo los intereses de este mismo préstamo: por eso el préstamo es una celda verde y aquí se comprueba.</t>
        </is>
      </c>
    </row>
    <row r="16" ht="30" customHeight="1">
      <c r="A16" s="27" t="inlineStr">
        <is>
          <t>Comprobación del punto fijo</t>
        </is>
      </c>
      <c r="B16" s="24" t="str">
        <f>IF(NOT(ISNUMBER(B15)),"",IF(ABS(B15-B7)&lt;='0. Supuestos'!$B$65,"Cerrado: el préstamo es el que pide la estructura","REVISA: copia la cifra de la fila 15 en el préstamo de «0. Supuestos»"))</f>
        <v>Cerrado: el préstamo es el que pide la estructura</v>
      </c>
      <c r="H16" s="12" t="inlineStr">
        <is>
          <t>Si cambias el CAPEX, los fijos o los meses de colchón, el préstamo que pide la estructura cambia: copia la cifra nueva y esta fila vuelve a decir «Cerrado». A la segunda vez se queda quieta.</t>
        </is>
      </c>
    </row>
    <row r="17">
      <c r="A17" s="4" t="inlineStr">
        <is>
          <t>Condiciones del Préstamo</t>
        </is>
      </c>
    </row>
    <row r="18" ht="30" customHeight="1">
      <c r="A18" s="10" t="inlineStr">
        <is>
          <t>Importe del principal</t>
        </is>
      </c>
      <c r="B18" s="25">
        <f>IF('0. Supuestos'!$B$63=0,"",'0. Supuestos'!$B$63)</f>
        <v>99300.0</v>
      </c>
    </row>
    <row r="19" ht="30" customHeight="1">
      <c r="A19" s="10" t="inlineStr">
        <is>
          <t>Tipo de interés nominal anual</t>
        </is>
      </c>
      <c r="B19" s="40">
        <f>'0. Supuestos'!$B$60</f>
        <v>0.062</v>
      </c>
    </row>
    <row r="20" ht="30" customHeight="1">
      <c r="A20" s="10" t="inlineStr">
        <is>
          <t>Tipo mensual</t>
        </is>
      </c>
      <c r="B20" s="41">
        <f>IFERROR(B19/'0. Supuestos'!$B$44,"")</f>
        <v>0.005166666666666667</v>
      </c>
    </row>
    <row r="21" ht="30" customHeight="1">
      <c r="A21" s="10" t="inlineStr">
        <is>
          <t>Plazo total (meses)</t>
        </is>
      </c>
      <c r="B21" s="26">
        <f>'0. Supuestos'!$B$61</f>
        <v>84.0</v>
      </c>
    </row>
    <row r="22" ht="30" customHeight="1">
      <c r="A22" s="10" t="inlineStr">
        <is>
          <t>Carencia de principal aplicada (meses)</t>
        </is>
      </c>
      <c r="B22" s="26">
        <f>IF('0. Supuestos'!$B$62&gt;='0. Supuestos'!$B$61,'0. Supuestos'!$B$61-1,'0. Supuestos'!$B$62)</f>
        <v>6.0</v>
      </c>
      <c r="H22" s="12" t="inlineStr">
        <is>
          <t>Una carencia igual o mayor que el plazo no existe: la hoja la recorta.</t>
        </is>
      </c>
    </row>
    <row r="23" ht="30" customHeight="1">
      <c r="A23" s="10" t="inlineStr">
        <is>
          <t>Meses de amortización</t>
        </is>
      </c>
      <c r="B23" s="26">
        <f>B21-B22</f>
        <v>78.0</v>
      </c>
    </row>
    <row r="24" ht="30" customHeight="1">
      <c r="A24" s="20" t="inlineStr">
        <is>
          <t>Cuota mensual durante la amortización</t>
        </is>
      </c>
      <c r="B24" s="21">
        <f>IFERROR(IF(B23&lt;=0,"",IF(B20=0,B18/B23,B18*B20/(1-(1+B20)^(-B23)))),"")</f>
        <v>1550.027349991906</v>
      </c>
    </row>
    <row r="25" ht="30" customHeight="1">
      <c r="A25" s="3" t="inlineStr">
        <is>
          <t>Sistema francés: capital por tipo mensual dividido entre uno menos (uno más el tipo) elevado a menos el número de cuotas. Con el tipo a cero es el principal entre los meses de amortización.</t>
        </is>
      </c>
    </row>
    <row r="26"/>
    <row r="27" ht="30" customHeight="1">
      <c r="A27" s="9" t="inlineStr">
        <is>
          <t>Mes</t>
        </is>
      </c>
      <c r="B27" s="9" t="inlineStr">
        <is>
          <t>Capital pendiente</t>
        </is>
      </c>
      <c r="C27" s="9" t="inlineStr">
        <is>
          <t>Intereses</t>
        </is>
      </c>
      <c r="D27" s="9" t="inlineStr">
        <is>
          <t>Devolución de principal</t>
        </is>
      </c>
      <c r="E27" s="9" t="inlineStr">
        <is>
          <t>Cuota total</t>
        </is>
      </c>
      <c r="F27" s="9" t="inlineStr">
        <is>
          <t>Capital al cierre</t>
        </is>
      </c>
      <c r="G27" s="9" t="inlineStr"/>
      <c r="H27" s="9" t="inlineStr">
        <is>
          <t>Notas</t>
        </is>
      </c>
    </row>
    <row r="28">
      <c r="A28" s="42" t="n">
        <v>1</v>
      </c>
      <c r="B28" s="25">
        <f>IF($B$18="","",$B$18)</f>
        <v>99300.0</v>
      </c>
      <c r="C28" s="25">
        <f>IF(OR(A28&gt;$B$21,B28=""),"",B28*$B$20)</f>
        <v>513.05</v>
      </c>
      <c r="D28" s="25">
        <f>IF(OR(A28&gt;$B$21,B28=""),"",IF(A28&lt;=$B$22,0,MIN(B28,$B$24-C28)))</f>
        <v>0.0</v>
      </c>
      <c r="E28" s="25">
        <f>IF(C28="","",C28+D28)</f>
        <v>513.05</v>
      </c>
      <c r="F28" s="25">
        <f>IF(D28="","",B28-D28)</f>
        <v>99300.0</v>
      </c>
      <c r="H28" s="12" t="inlineStr">
        <is>
          <t>Durante la carencia la devolución de principal vale cero y sólo se pagan intereses.</t>
        </is>
      </c>
    </row>
    <row r="29">
      <c r="A29" s="42" t="n">
        <v>2</v>
      </c>
      <c r="B29" s="25">
        <f>IF(OR(A29&gt;$B$21,F28=""),"",F28)</f>
        <v>99300.0</v>
      </c>
      <c r="C29" s="25">
        <f>IF(OR(A29&gt;$B$21,B29=""),"",B29*$B$20)</f>
        <v>513.05</v>
      </c>
      <c r="D29" s="25">
        <f>IF(OR(A29&gt;$B$21,B29=""),"",IF(A29&lt;=$B$22,0,MIN(B29,$B$24-C29)))</f>
        <v>0.0</v>
      </c>
      <c r="E29" s="25">
        <f>IF(C29="","",C29+D29)</f>
        <v>513.05</v>
      </c>
      <c r="F29" s="25">
        <f>IF(D29="","",B29-D29)</f>
        <v>99300.0</v>
      </c>
    </row>
    <row r="30">
      <c r="A30" s="42" t="n">
        <v>3</v>
      </c>
      <c r="B30" s="25">
        <f>IF(OR(A30&gt;$B$21,F29=""),"",F29)</f>
        <v>99300.0</v>
      </c>
      <c r="C30" s="25">
        <f>IF(OR(A30&gt;$B$21,B30=""),"",B30*$B$20)</f>
        <v>513.05</v>
      </c>
      <c r="D30" s="25">
        <f>IF(OR(A30&gt;$B$21,B30=""),"",IF(A30&lt;=$B$22,0,MIN(B30,$B$24-C30)))</f>
        <v>0.0</v>
      </c>
      <c r="E30" s="25">
        <f>IF(C30="","",C30+D30)</f>
        <v>513.05</v>
      </c>
      <c r="F30" s="25">
        <f>IF(D30="","",B30-D30)</f>
        <v>99300.0</v>
      </c>
    </row>
    <row r="31">
      <c r="A31" s="42" t="n">
        <v>4</v>
      </c>
      <c r="B31" s="25">
        <f>IF(OR(A31&gt;$B$21,F30=""),"",F30)</f>
        <v>99300.0</v>
      </c>
      <c r="C31" s="25">
        <f>IF(OR(A31&gt;$B$21,B31=""),"",B31*$B$20)</f>
        <v>513.05</v>
      </c>
      <c r="D31" s="25">
        <f>IF(OR(A31&gt;$B$21,B31=""),"",IF(A31&lt;=$B$22,0,MIN(B31,$B$24-C31)))</f>
        <v>0.0</v>
      </c>
      <c r="E31" s="25">
        <f>IF(C31="","",C31+D31)</f>
        <v>513.05</v>
      </c>
      <c r="F31" s="25">
        <f>IF(D31="","",B31-D31)</f>
        <v>99300.0</v>
      </c>
    </row>
    <row r="32">
      <c r="A32" s="42" t="n">
        <v>5</v>
      </c>
      <c r="B32" s="25">
        <f>IF(OR(A32&gt;$B$21,F31=""),"",F31)</f>
        <v>99300.0</v>
      </c>
      <c r="C32" s="25">
        <f>IF(OR(A32&gt;$B$21,B32=""),"",B32*$B$20)</f>
        <v>513.05</v>
      </c>
      <c r="D32" s="25">
        <f>IF(OR(A32&gt;$B$21,B32=""),"",IF(A32&lt;=$B$22,0,MIN(B32,$B$24-C32)))</f>
        <v>0.0</v>
      </c>
      <c r="E32" s="25">
        <f>IF(C32="","",C32+D32)</f>
        <v>513.05</v>
      </c>
      <c r="F32" s="25">
        <f>IF(D32="","",B32-D32)</f>
        <v>99300.0</v>
      </c>
    </row>
    <row r="33">
      <c r="A33" s="42" t="n">
        <v>6</v>
      </c>
      <c r="B33" s="25">
        <f>IF(OR(A33&gt;$B$21,F32=""),"",F32)</f>
        <v>99300.0</v>
      </c>
      <c r="C33" s="25">
        <f>IF(OR(A33&gt;$B$21,B33=""),"",B33*$B$20)</f>
        <v>513.05</v>
      </c>
      <c r="D33" s="25">
        <f>IF(OR(A33&gt;$B$21,B33=""),"",IF(A33&lt;=$B$22,0,MIN(B33,$B$24-C33)))</f>
        <v>0.0</v>
      </c>
      <c r="E33" s="25">
        <f>IF(C33="","",C33+D33)</f>
        <v>513.05</v>
      </c>
      <c r="F33" s="25">
        <f>IF(D33="","",B33-D33)</f>
        <v>99300.0</v>
      </c>
    </row>
    <row r="34">
      <c r="A34" s="42" t="n">
        <v>7</v>
      </c>
      <c r="B34" s="25">
        <f>IF(OR(A34&gt;$B$21,F33=""),"",F33)</f>
        <v>99300.0</v>
      </c>
      <c r="C34" s="25">
        <f>IF(OR(A34&gt;$B$21,B34=""),"",B34*$B$20)</f>
        <v>513.05</v>
      </c>
      <c r="D34" s="25">
        <f>IF(OR(A34&gt;$B$21,B34=""),"",IF(A34&lt;=$B$22,0,MIN(B34,$B$24-C34)))</f>
        <v>1036.977349991906</v>
      </c>
      <c r="E34" s="25">
        <f>IF(C34="","",C34+D34)</f>
        <v>1550.027349991906</v>
      </c>
      <c r="F34" s="25">
        <f>IF(D34="","",B34-D34)</f>
        <v>98263.02265000809</v>
      </c>
    </row>
    <row r="35">
      <c r="A35" s="42" t="n">
        <v>8</v>
      </c>
      <c r="B35" s="25">
        <f>IF(OR(A35&gt;$B$21,F34=""),"",F34)</f>
        <v>98263.02265000809</v>
      </c>
      <c r="C35" s="25">
        <f>IF(OR(A35&gt;$B$21,B35=""),"",B35*$B$20)</f>
        <v>507.69228369170844</v>
      </c>
      <c r="D35" s="25">
        <f>IF(OR(A35&gt;$B$21,B35=""),"",IF(A35&lt;=$B$22,0,MIN(B35,$B$24-C35)))</f>
        <v>1042.3350663001975</v>
      </c>
      <c r="E35" s="25">
        <f>IF(C35="","",C35+D35)</f>
        <v>1550.0273499919058</v>
      </c>
      <c r="F35" s="25">
        <f>IF(D35="","",B35-D35)</f>
        <v>97220.6875837079</v>
      </c>
    </row>
    <row r="36">
      <c r="A36" s="42" t="n">
        <v>9</v>
      </c>
      <c r="B36" s="25">
        <f>IF(OR(A36&gt;$B$21,F35=""),"",F35)</f>
        <v>97220.6875837079</v>
      </c>
      <c r="C36" s="25">
        <f>IF(OR(A36&gt;$B$21,B36=""),"",B36*$B$20)</f>
        <v>502.3068858491575</v>
      </c>
      <c r="D36" s="25">
        <f>IF(OR(A36&gt;$B$21,B36=""),"",IF(A36&lt;=$B$22,0,MIN(B36,$B$24-C36)))</f>
        <v>1047.7204641427486</v>
      </c>
      <c r="E36" s="25">
        <f>IF(C36="","",C36+D36)</f>
        <v>1550.027349991906</v>
      </c>
      <c r="F36" s="25">
        <f>IF(D36="","",B36-D36)</f>
        <v>96172.96711956515</v>
      </c>
    </row>
    <row r="37">
      <c r="A37" s="42" t="n">
        <v>10</v>
      </c>
      <c r="B37" s="25">
        <f>IF(OR(A37&gt;$B$21,F36=""),"",F36)</f>
        <v>96172.96711956515</v>
      </c>
      <c r="C37" s="25">
        <f>IF(OR(A37&gt;$B$21,B37=""),"",B37*$B$20)</f>
        <v>496.8936634510866</v>
      </c>
      <c r="D37" s="25">
        <f>IF(OR(A37&gt;$B$21,B37=""),"",IF(A37&lt;=$B$22,0,MIN(B37,$B$24-C37)))</f>
        <v>1053.1336865408193</v>
      </c>
      <c r="E37" s="25">
        <f>IF(C37="","",C37+D37)</f>
        <v>1550.0273499919058</v>
      </c>
      <c r="F37" s="25">
        <f>IF(D37="","",B37-D37)</f>
        <v>95119.83343302432</v>
      </c>
    </row>
    <row r="38">
      <c r="A38" s="42" t="n">
        <v>11</v>
      </c>
      <c r="B38" s="25">
        <f>IF(OR(A38&gt;$B$21,F37=""),"",F37)</f>
        <v>95119.83343302432</v>
      </c>
      <c r="C38" s="25">
        <f>IF(OR(A38&gt;$B$21,B38=""),"",B38*$B$20)</f>
        <v>491.45247273729234</v>
      </c>
      <c r="D38" s="25">
        <f>IF(OR(A38&gt;$B$21,B38=""),"",IF(A38&lt;=$B$22,0,MIN(B38,$B$24-C38)))</f>
        <v>1058.5748772546137</v>
      </c>
      <c r="E38" s="25">
        <f>IF(C38="","",C38+D38)</f>
        <v>1550.027349991906</v>
      </c>
      <c r="F38" s="25">
        <f>IF(D38="","",B38-D38)</f>
        <v>94061.25855576972</v>
      </c>
    </row>
    <row r="39">
      <c r="A39" s="42" t="n">
        <v>12</v>
      </c>
      <c r="B39" s="25">
        <f>IF(OR(A39&gt;$B$21,F38=""),"",F38)</f>
        <v>94061.25855576972</v>
      </c>
      <c r="C39" s="25">
        <f>IF(OR(A39&gt;$B$21,B39=""),"",B39*$B$20)</f>
        <v>485.9831692048102</v>
      </c>
      <c r="D39" s="25">
        <f>IF(OR(A39&gt;$B$21,B39=""),"",IF(A39&lt;=$B$22,0,MIN(B39,$B$24-C39)))</f>
        <v>1064.0441807870957</v>
      </c>
      <c r="E39" s="25">
        <f>IF(C39="","",C39+D39)</f>
        <v>1550.0273499919058</v>
      </c>
      <c r="F39" s="25">
        <f>IF(D39="","",B39-D39)</f>
        <v>92997.21437498262</v>
      </c>
    </row>
    <row r="40">
      <c r="A40" s="42" t="n">
        <v>13</v>
      </c>
      <c r="B40" s="25">
        <f>IF(OR(A40&gt;$B$21,F39=""),"",F39)</f>
        <v>92997.21437498262</v>
      </c>
      <c r="C40" s="25">
        <f>IF(OR(A40&gt;$B$21,B40=""),"",B40*$B$20)</f>
        <v>480.48560760407685</v>
      </c>
      <c r="D40" s="25">
        <f>IF(OR(A40&gt;$B$21,B40=""),"",IF(A40&lt;=$B$22,0,MIN(B40,$B$24-C40)))</f>
        <v>1069.5417423878291</v>
      </c>
      <c r="E40" s="25">
        <f>IF(C40="","",C40+D40)</f>
        <v>1550.027349991906</v>
      </c>
      <c r="F40" s="25">
        <f>IF(D40="","",B40-D40)</f>
        <v>91927.6726325948</v>
      </c>
    </row>
    <row r="41">
      <c r="A41" s="42" t="n">
        <v>14</v>
      </c>
      <c r="B41" s="25">
        <f>IF(OR(A41&gt;$B$21,F40=""),"",F40)</f>
        <v>91927.6726325948</v>
      </c>
      <c r="C41" s="25">
        <f>IF(OR(A41&gt;$B$21,B41=""),"",B41*$B$20)</f>
        <v>474.95964193507314</v>
      </c>
      <c r="D41" s="25">
        <f>IF(OR(A41&gt;$B$21,B41=""),"",IF(A41&lt;=$B$22,0,MIN(B41,$B$24-C41)))</f>
        <v>1075.067708056833</v>
      </c>
      <c r="E41" s="25">
        <f>IF(C41="","",C41+D41)</f>
        <v>1550.0273499919062</v>
      </c>
      <c r="F41" s="25">
        <f>IF(D41="","",B41-D41)</f>
        <v>90852.60492453797</v>
      </c>
    </row>
    <row r="42">
      <c r="A42" s="42" t="n">
        <v>15</v>
      </c>
      <c r="B42" s="25">
        <f>IF(OR(A42&gt;$B$21,F41=""),"",F41)</f>
        <v>90852.60492453797</v>
      </c>
      <c r="C42" s="25">
        <f>IF(OR(A42&gt;$B$21,B42=""),"",B42*$B$20)</f>
        <v>469.4051254434462</v>
      </c>
      <c r="D42" s="25">
        <f>IF(OR(A42&gt;$B$21,B42=""),"",IF(A42&lt;=$B$22,0,MIN(B42,$B$24-C42)))</f>
        <v>1080.6222245484598</v>
      </c>
      <c r="E42" s="25">
        <f>IF(C42="","",C42+D42)</f>
        <v>1550.027349991906</v>
      </c>
      <c r="F42" s="25">
        <f>IF(D42="","",B42-D42)</f>
        <v>89771.98269998952</v>
      </c>
    </row>
    <row r="43">
      <c r="A43" s="42" t="n">
        <v>16</v>
      </c>
      <c r="B43" s="25">
        <f>IF(OR(A43&gt;$B$21,F42=""),"",F42)</f>
        <v>89771.98269998952</v>
      </c>
      <c r="C43" s="25">
        <f>IF(OR(A43&gt;$B$21,B43=""),"",B43*$B$20)</f>
        <v>463.8219106166125</v>
      </c>
      <c r="D43" s="25">
        <f>IF(OR(A43&gt;$B$21,B43=""),"",IF(A43&lt;=$B$22,0,MIN(B43,$B$24-C43)))</f>
        <v>1086.2054393752935</v>
      </c>
      <c r="E43" s="25">
        <f>IF(C43="","",C43+D43)</f>
        <v>1550.027349991906</v>
      </c>
      <c r="F43" s="25">
        <f>IF(D43="","",B43-D43)</f>
        <v>88685.77726061422</v>
      </c>
    </row>
    <row r="44">
      <c r="A44" s="42" t="n">
        <v>17</v>
      </c>
      <c r="B44" s="25">
        <f>IF(OR(A44&gt;$B$21,F43=""),"",F43)</f>
        <v>88685.77726061422</v>
      </c>
      <c r="C44" s="25">
        <f>IF(OR(A44&gt;$B$21,B44=""),"",B44*$B$20)</f>
        <v>458.20984917984015</v>
      </c>
      <c r="D44" s="25">
        <f>IF(OR(A44&gt;$B$21,B44=""),"",IF(A44&lt;=$B$22,0,MIN(B44,$B$24-C44)))</f>
        <v>1091.8175008120659</v>
      </c>
      <c r="E44" s="25">
        <f>IF(C44="","",C44+D44)</f>
        <v>1550.027349991906</v>
      </c>
      <c r="F44" s="25">
        <f>IF(D44="","",B44-D44)</f>
        <v>87593.95975980216</v>
      </c>
    </row>
    <row r="45">
      <c r="A45" s="42" t="n">
        <v>18</v>
      </c>
      <c r="B45" s="25">
        <f>IF(OR(A45&gt;$B$21,F44=""),"",F44)</f>
        <v>87593.95975980216</v>
      </c>
      <c r="C45" s="25">
        <f>IF(OR(A45&gt;$B$21,B45=""),"",B45*$B$20)</f>
        <v>452.5687920923112</v>
      </c>
      <c r="D45" s="25">
        <f>IF(OR(A45&gt;$B$21,B45=""),"",IF(A45&lt;=$B$22,0,MIN(B45,$B$24-C45)))</f>
        <v>1097.4585578995948</v>
      </c>
      <c r="E45" s="25">
        <f>IF(C45="","",C45+D45)</f>
        <v>1550.027349991906</v>
      </c>
      <c r="F45" s="25">
        <f>IF(D45="","",B45-D45)</f>
        <v>86496.50120190257</v>
      </c>
    </row>
    <row r="46">
      <c r="A46" s="42" t="n">
        <v>19</v>
      </c>
      <c r="B46" s="25">
        <f>IF(OR(A46&gt;$B$21,F45=""),"",F45)</f>
        <v>86496.50120190257</v>
      </c>
      <c r="C46" s="25">
        <f>IF(OR(A46&gt;$B$21,B46=""),"",B46*$B$20)</f>
        <v>446.8985895431633</v>
      </c>
      <c r="D46" s="25">
        <f>IF(OR(A46&gt;$B$21,B46=""),"",IF(A46&lt;=$B$22,0,MIN(B46,$B$24-C46)))</f>
        <v>1103.1287604487427</v>
      </c>
      <c r="E46" s="25">
        <f>IF(C46="","",C46+D46)</f>
        <v>1550.027349991906</v>
      </c>
      <c r="F46" s="25">
        <f>IF(D46="","",B46-D46)</f>
        <v>85393.37244145383</v>
      </c>
    </row>
    <row r="47">
      <c r="A47" s="42" t="n">
        <v>20</v>
      </c>
      <c r="B47" s="25">
        <f>IF(OR(A47&gt;$B$21,F46=""),"",F46)</f>
        <v>85393.37244145383</v>
      </c>
      <c r="C47" s="25">
        <f>IF(OR(A47&gt;$B$21,B47=""),"",B47*$B$20)</f>
        <v>441.1990909475115</v>
      </c>
      <c r="D47" s="25">
        <f>IF(OR(A47&gt;$B$21,B47=""),"",IF(A47&lt;=$B$22,0,MIN(B47,$B$24-C47)))</f>
        <v>1108.8282590443946</v>
      </c>
      <c r="E47" s="25">
        <f>IF(C47="","",C47+D47)</f>
        <v>1550.027349991906</v>
      </c>
      <c r="F47" s="25">
        <f>IF(D47="","",B47-D47)</f>
        <v>84284.54418240943</v>
      </c>
    </row>
    <row r="48">
      <c r="A48" s="42" t="n">
        <v>21</v>
      </c>
      <c r="B48" s="25">
        <f>IF(OR(A48&gt;$B$21,F47=""),"",F47)</f>
        <v>84284.54418240943</v>
      </c>
      <c r="C48" s="25">
        <f>IF(OR(A48&gt;$B$21,B48=""),"",B48*$B$20)</f>
        <v>435.4701449424487</v>
      </c>
      <c r="D48" s="25">
        <f>IF(OR(A48&gt;$B$21,B48=""),"",IF(A48&lt;=$B$22,0,MIN(B48,$B$24-C48)))</f>
        <v>1114.5572050494573</v>
      </c>
      <c r="E48" s="25">
        <f>IF(C48="","",C48+D48)</f>
        <v>1550.027349991906</v>
      </c>
      <c r="F48" s="25">
        <f>IF(D48="","",B48-D48)</f>
        <v>83169.98697735998</v>
      </c>
    </row>
    <row r="49">
      <c r="A49" s="42" t="n">
        <v>22</v>
      </c>
      <c r="B49" s="25">
        <f>IF(OR(A49&gt;$B$21,F48=""),"",F48)</f>
        <v>83169.98697735998</v>
      </c>
      <c r="C49" s="25">
        <f>IF(OR(A49&gt;$B$21,B49=""),"",B49*$B$20)</f>
        <v>429.71159938302657</v>
      </c>
      <c r="D49" s="25">
        <f>IF(OR(A49&gt;$B$21,B49=""),"",IF(A49&lt;=$B$22,0,MIN(B49,$B$24-C49)))</f>
        <v>1120.3157506088794</v>
      </c>
      <c r="E49" s="25">
        <f>IF(C49="","",C49+D49)</f>
        <v>1550.027349991906</v>
      </c>
      <c r="F49" s="25">
        <f>IF(D49="","",B49-D49)</f>
        <v>82049.6712267511</v>
      </c>
    </row>
    <row r="50">
      <c r="A50" s="42" t="n">
        <v>23</v>
      </c>
      <c r="B50" s="25">
        <f>IF(OR(A50&gt;$B$21,F49=""),"",F49)</f>
        <v>82049.6712267511</v>
      </c>
      <c r="C50" s="25">
        <f>IF(OR(A50&gt;$B$21,B50=""),"",B50*$B$20)</f>
        <v>423.923301338214</v>
      </c>
      <c r="D50" s="25">
        <f>IF(OR(A50&gt;$B$21,B50=""),"",IF(A50&lt;=$B$22,0,MIN(B50,$B$24-C50)))</f>
        <v>1126.104048653692</v>
      </c>
      <c r="E50" s="25">
        <f>IF(C50="","",C50+D50)</f>
        <v>1550.027349991906</v>
      </c>
      <c r="F50" s="25">
        <f>IF(D50="","",B50-D50)</f>
        <v>80923.56717809741</v>
      </c>
    </row>
    <row r="51">
      <c r="A51" s="42" t="n">
        <v>24</v>
      </c>
      <c r="B51" s="25">
        <f>IF(OR(A51&gt;$B$21,F50=""),"",F50)</f>
        <v>80923.56717809741</v>
      </c>
      <c r="C51" s="25">
        <f>IF(OR(A51&gt;$B$21,B51=""),"",B51*$B$20)</f>
        <v>418.1050970868366</v>
      </c>
      <c r="D51" s="25">
        <f>IF(OR(A51&gt;$B$21,B51=""),"",IF(A51&lt;=$B$22,0,MIN(B51,$B$24-C51)))</f>
        <v>1131.9222529050694</v>
      </c>
      <c r="E51" s="25">
        <f>IF(C51="","",C51+D51)</f>
        <v>1550.027349991906</v>
      </c>
      <c r="F51" s="25">
        <f>IF(D51="","",B51-D51)</f>
        <v>79791.64492519233</v>
      </c>
    </row>
    <row r="52">
      <c r="A52" s="42" t="n">
        <v>25</v>
      </c>
      <c r="B52" s="25">
        <f>IF(OR(A52&gt;$B$21,F51=""),"",F51)</f>
        <v>79791.64492519233</v>
      </c>
      <c r="C52" s="25">
        <f>IF(OR(A52&gt;$B$21,B52=""),"",B52*$B$20)</f>
        <v>412.2568321134937</v>
      </c>
      <c r="D52" s="25">
        <f>IF(OR(A52&gt;$B$21,B52=""),"",IF(A52&lt;=$B$22,0,MIN(B52,$B$24-C52)))</f>
        <v>1137.7705178784122</v>
      </c>
      <c r="E52" s="25">
        <f>IF(C52="","",C52+D52)</f>
        <v>1550.0273499919058</v>
      </c>
      <c r="F52" s="25">
        <f>IF(D52="","",B52-D52)</f>
        <v>78653.87440731392</v>
      </c>
    </row>
    <row r="53">
      <c r="A53" s="42" t="n">
        <v>26</v>
      </c>
      <c r="B53" s="25">
        <f>IF(OR(A53&gt;$B$21,F52=""),"",F52)</f>
        <v>78653.87440731392</v>
      </c>
      <c r="C53" s="25">
        <f>IF(OR(A53&gt;$B$21,B53=""),"",B53*$B$20)</f>
        <v>406.37835110445525</v>
      </c>
      <c r="D53" s="25">
        <f>IF(OR(A53&gt;$B$21,B53=""),"",IF(A53&lt;=$B$22,0,MIN(B53,$B$24-C53)))</f>
        <v>1143.6489988874507</v>
      </c>
      <c r="E53" s="25">
        <f>IF(C53="","",C53+D53)</f>
        <v>1550.027349991906</v>
      </c>
      <c r="F53" s="25">
        <f>IF(D53="","",B53-D53)</f>
        <v>77510.22540842647</v>
      </c>
    </row>
    <row r="54">
      <c r="A54" s="42" t="n">
        <v>27</v>
      </c>
      <c r="B54" s="25">
        <f>IF(OR(A54&gt;$B$21,F53=""),"",F53)</f>
        <v>77510.22540842647</v>
      </c>
      <c r="C54" s="25">
        <f>IF(OR(A54&gt;$B$21,B54=""),"",B54*$B$20)</f>
        <v>400.4694979435368</v>
      </c>
      <c r="D54" s="25">
        <f>IF(OR(A54&gt;$B$21,B54=""),"",IF(A54&lt;=$B$22,0,MIN(B54,$B$24-C54)))</f>
        <v>1149.557852048369</v>
      </c>
      <c r="E54" s="25">
        <f>IF(C54="","",C54+D54)</f>
        <v>1550.0273499919058</v>
      </c>
      <c r="F54" s="25">
        <f>IF(D54="","",B54-D54)</f>
        <v>76360.6675563781</v>
      </c>
    </row>
    <row r="55">
      <c r="A55" s="42" t="n">
        <v>28</v>
      </c>
      <c r="B55" s="25">
        <f>IF(OR(A55&gt;$B$21,F54=""),"",F54)</f>
        <v>76360.6675563781</v>
      </c>
      <c r="C55" s="25">
        <f>IF(OR(A55&gt;$B$21,B55=""),"",B55*$B$20)</f>
        <v>394.53011570795354</v>
      </c>
      <c r="D55" s="25">
        <f>IF(OR(A55&gt;$B$21,B55=""),"",IF(A55&lt;=$B$22,0,MIN(B55,$B$24-C55)))</f>
        <v>1155.4972342839524</v>
      </c>
      <c r="E55" s="25">
        <f>IF(C55="","",C55+D55)</f>
        <v>1550.0273499919058</v>
      </c>
      <c r="F55" s="25">
        <f>IF(D55="","",B55-D55)</f>
        <v>75205.17032209416</v>
      </c>
    </row>
    <row r="56">
      <c r="A56" s="42" t="n">
        <v>29</v>
      </c>
      <c r="B56" s="25">
        <f>IF(OR(A56&gt;$B$21,F55=""),"",F55)</f>
        <v>75205.17032209416</v>
      </c>
      <c r="C56" s="25">
        <f>IF(OR(A56&gt;$B$21,B56=""),"",B56*$B$20)</f>
        <v>388.56004666415316</v>
      </c>
      <c r="D56" s="25">
        <f>IF(OR(A56&gt;$B$21,B56=""),"",IF(A56&lt;=$B$22,0,MIN(B56,$B$24-C56)))</f>
        <v>1161.467303327753</v>
      </c>
      <c r="E56" s="25">
        <f>IF(C56="","",C56+D56)</f>
        <v>1550.027349991906</v>
      </c>
      <c r="F56" s="25">
        <f>IF(D56="","",B56-D56)</f>
        <v>74043.7030187664</v>
      </c>
    </row>
    <row r="57">
      <c r="A57" s="42" t="n">
        <v>30</v>
      </c>
      <c r="B57" s="25">
        <f>IF(OR(A57&gt;$B$21,F56=""),"",F56)</f>
        <v>74043.7030187664</v>
      </c>
      <c r="C57" s="25">
        <f>IF(OR(A57&gt;$B$21,B57=""),"",B57*$B$20)</f>
        <v>382.55913226362645</v>
      </c>
      <c r="D57" s="25">
        <f>IF(OR(A57&gt;$B$21,B57=""),"",IF(A57&lt;=$B$22,0,MIN(B57,$B$24-C57)))</f>
        <v>1167.4682177282796</v>
      </c>
      <c r="E57" s="25">
        <f>IF(C57="","",C57+D57)</f>
        <v>1550.027349991906</v>
      </c>
      <c r="F57" s="25">
        <f>IF(D57="","",B57-D57)</f>
        <v>72876.23480103812</v>
      </c>
    </row>
    <row r="58">
      <c r="A58" s="42" t="n">
        <v>31</v>
      </c>
      <c r="B58" s="25">
        <f>IF(OR(A58&gt;$B$21,F57=""),"",F57)</f>
        <v>72876.23480103812</v>
      </c>
      <c r="C58" s="25">
        <f>IF(OR(A58&gt;$B$21,B58=""),"",B58*$B$20)</f>
        <v>376.527213138697</v>
      </c>
      <c r="D58" s="25">
        <f>IF(OR(A58&gt;$B$21,B58=""),"",IF(A58&lt;=$B$22,0,MIN(B58,$B$24-C58)))</f>
        <v>1173.500136853209</v>
      </c>
      <c r="E58" s="25">
        <f>IF(C58="","",C58+D58)</f>
        <v>1550.0273499919058</v>
      </c>
      <c r="F58" s="25">
        <f>IF(D58="","",B58-D58)</f>
        <v>71702.73466418491</v>
      </c>
    </row>
    <row r="59">
      <c r="A59" s="42" t="n">
        <v>32</v>
      </c>
      <c r="B59" s="25">
        <f>IF(OR(A59&gt;$B$21,F58=""),"",F58)</f>
        <v>71702.73466418491</v>
      </c>
      <c r="C59" s="25">
        <f>IF(OR(A59&gt;$B$21,B59=""),"",B59*$B$20)</f>
        <v>370.4641290982887</v>
      </c>
      <c r="D59" s="25">
        <f>IF(OR(A59&gt;$B$21,B59=""),"",IF(A59&lt;=$B$22,0,MIN(B59,$B$24-C59)))</f>
        <v>1179.5632208936172</v>
      </c>
      <c r="E59" s="25">
        <f>IF(C59="","",C59+D59)</f>
        <v>1550.0273499919058</v>
      </c>
      <c r="F59" s="25">
        <f>IF(D59="","",B59-D59)</f>
        <v>70523.1714432913</v>
      </c>
    </row>
    <row r="60">
      <c r="A60" s="42" t="n">
        <v>33</v>
      </c>
      <c r="B60" s="25">
        <f>IF(OR(A60&gt;$B$21,F59=""),"",F59)</f>
        <v>70523.1714432913</v>
      </c>
      <c r="C60" s="25">
        <f>IF(OR(A60&gt;$B$21,B60=""),"",B60*$B$20)</f>
        <v>364.3697191236717</v>
      </c>
      <c r="D60" s="25">
        <f>IF(OR(A60&gt;$B$21,B60=""),"",IF(A60&lt;=$B$22,0,MIN(B60,$B$24-C60)))</f>
        <v>1185.6576308682343</v>
      </c>
      <c r="E60" s="25">
        <f>IF(C60="","",C60+D60)</f>
        <v>1550.027349991906</v>
      </c>
      <c r="F60" s="25">
        <f>IF(D60="","",B60-D60)</f>
        <v>69337.51381242307</v>
      </c>
    </row>
    <row r="61">
      <c r="A61" s="42" t="n">
        <v>34</v>
      </c>
      <c r="B61" s="25">
        <f>IF(OR(A61&gt;$B$21,F60=""),"",F60)</f>
        <v>69337.51381242307</v>
      </c>
      <c r="C61" s="25">
        <f>IF(OR(A61&gt;$B$21,B61=""),"",B61*$B$20)</f>
        <v>358.24382136418586</v>
      </c>
      <c r="D61" s="25">
        <f>IF(OR(A61&gt;$B$21,B61=""),"",IF(A61&lt;=$B$22,0,MIN(B61,$B$24-C61)))</f>
        <v>1191.7835286277202</v>
      </c>
      <c r="E61" s="25">
        <f>IF(C61="","",C61+D61)</f>
        <v>1550.027349991906</v>
      </c>
      <c r="F61" s="25">
        <f>IF(D61="","",B61-D61)</f>
        <v>68145.73028379535</v>
      </c>
    </row>
    <row r="62">
      <c r="A62" s="42" t="n">
        <v>35</v>
      </c>
      <c r="B62" s="25">
        <f>IF(OR(A62&gt;$B$21,F61=""),"",F61)</f>
        <v>68145.73028379535</v>
      </c>
      <c r="C62" s="25">
        <f>IF(OR(A62&gt;$B$21,B62=""),"",B62*$B$20)</f>
        <v>352.0862731329426</v>
      </c>
      <c r="D62" s="25">
        <f>IF(OR(A62&gt;$B$21,B62=""),"",IF(A62&lt;=$B$22,0,MIN(B62,$B$24-C62)))</f>
        <v>1197.9410768589635</v>
      </c>
      <c r="E62" s="25">
        <f>IF(C62="","",C62+D62)</f>
        <v>1550.027349991906</v>
      </c>
      <c r="F62" s="25">
        <f>IF(D62="","",B62-D62)</f>
        <v>66947.78920693639</v>
      </c>
    </row>
    <row r="63">
      <c r="A63" s="42" t="n">
        <v>36</v>
      </c>
      <c r="B63" s="25">
        <f>IF(OR(A63&gt;$B$21,F62=""),"",F62)</f>
        <v>66947.78920693639</v>
      </c>
      <c r="C63" s="25">
        <f>IF(OR(A63&gt;$B$21,B63=""),"",B63*$B$20)</f>
        <v>345.89691090250466</v>
      </c>
      <c r="D63" s="25">
        <f>IF(OR(A63&gt;$B$21,B63=""),"",IF(A63&lt;=$B$22,0,MIN(B63,$B$24-C63)))</f>
        <v>1204.1304390894013</v>
      </c>
      <c r="E63" s="25">
        <f>IF(C63="","",C63+D63)</f>
        <v>1550.027349991906</v>
      </c>
      <c r="F63" s="25">
        <f>IF(D63="","",B63-D63)</f>
        <v>65743.65876784698</v>
      </c>
    </row>
    <row r="64">
      <c r="A64" s="42" t="n">
        <v>37</v>
      </c>
      <c r="B64" s="25">
        <f>IF(OR(A64&gt;$B$21,F63=""),"",F63)</f>
        <v>65743.65876784698</v>
      </c>
      <c r="C64" s="25">
        <f>IF(OR(A64&gt;$B$21,B64=""),"",B64*$B$20)</f>
        <v>339.67557030054274</v>
      </c>
      <c r="D64" s="25">
        <f>IF(OR(A64&gt;$B$21,B64=""),"",IF(A64&lt;=$B$22,0,MIN(B64,$B$24-C64)))</f>
        <v>1210.3517796913634</v>
      </c>
      <c r="E64" s="25">
        <f>IF(C64="","",C64+D64)</f>
        <v>1550.0273499919062</v>
      </c>
      <c r="F64" s="25">
        <f>IF(D64="","",B64-D64)</f>
        <v>64533.306988155615</v>
      </c>
    </row>
    <row r="65">
      <c r="A65" s="42" t="n">
        <v>38</v>
      </c>
      <c r="B65" s="25">
        <f>IF(OR(A65&gt;$B$21,F64=""),"",F64)</f>
        <v>64533.306988155615</v>
      </c>
      <c r="C65" s="25">
        <f>IF(OR(A65&gt;$B$21,B65=""),"",B65*$B$20)</f>
        <v>333.42208610547067</v>
      </c>
      <c r="D65" s="25">
        <f>IF(OR(A65&gt;$B$21,B65=""),"",IF(A65&lt;=$B$22,0,MIN(B65,$B$24-C65)))</f>
        <v>1216.6052638864353</v>
      </c>
      <c r="E65" s="25">
        <f>IF(C65="","",C65+D65)</f>
        <v>1550.027349991906</v>
      </c>
      <c r="F65" s="25">
        <f>IF(D65="","",B65-D65)</f>
        <v>63316.70172426918</v>
      </c>
    </row>
    <row r="66">
      <c r="A66" s="42" t="n">
        <v>39</v>
      </c>
      <c r="B66" s="25">
        <f>IF(OR(A66&gt;$B$21,F65=""),"",F65)</f>
        <v>63316.70172426918</v>
      </c>
      <c r="C66" s="25">
        <f>IF(OR(A66&gt;$B$21,B66=""),"",B66*$B$20)</f>
        <v>327.13629224205744</v>
      </c>
      <c r="D66" s="25">
        <f>IF(OR(A66&gt;$B$21,B66=""),"",IF(A66&lt;=$B$22,0,MIN(B66,$B$24-C66)))</f>
        <v>1222.8910577498486</v>
      </c>
      <c r="E66" s="25">
        <f>IF(C66="","",C66+D66)</f>
        <v>1550.027349991906</v>
      </c>
      <c r="F66" s="25">
        <f>IF(D66="","",B66-D66)</f>
        <v>62093.81066651933</v>
      </c>
    </row>
    <row r="67">
      <c r="A67" s="42" t="n">
        <v>40</v>
      </c>
      <c r="B67" s="25">
        <f>IF(OR(A67&gt;$B$21,F66=""),"",F66)</f>
        <v>62093.81066651933</v>
      </c>
      <c r="C67" s="25">
        <f>IF(OR(A67&gt;$B$21,B67=""),"",B67*$B$20)</f>
        <v>320.81802177701655</v>
      </c>
      <c r="D67" s="25">
        <f>IF(OR(A67&gt;$B$21,B67=""),"",IF(A67&lt;=$B$22,0,MIN(B67,$B$24-C67)))</f>
        <v>1229.2093282148894</v>
      </c>
      <c r="E67" s="25">
        <f>IF(C67="","",C67+D67)</f>
        <v>1550.027349991906</v>
      </c>
      <c r="F67" s="25">
        <f>IF(D67="","",B67-D67)</f>
        <v>60864.60133830444</v>
      </c>
    </row>
    <row r="68">
      <c r="A68" s="42" t="n">
        <v>41</v>
      </c>
      <c r="B68" s="25">
        <f>IF(OR(A68&gt;$B$21,F67=""),"",F67)</f>
        <v>60864.60133830444</v>
      </c>
      <c r="C68" s="25">
        <f>IF(OR(A68&gt;$B$21,B68=""),"",B68*$B$20)</f>
        <v>314.4671069145729</v>
      </c>
      <c r="D68" s="25">
        <f>IF(OR(A68&gt;$B$21,B68=""),"",IF(A68&lt;=$B$22,0,MIN(B68,$B$24-C68)))</f>
        <v>1235.560243077333</v>
      </c>
      <c r="E68" s="25">
        <f>IF(C68="","",C68+D68)</f>
        <v>1550.027349991906</v>
      </c>
      <c r="F68" s="25">
        <f>IF(D68="","",B68-D68)</f>
        <v>59629.041095227105</v>
      </c>
    </row>
    <row r="69">
      <c r="A69" s="42" t="n">
        <v>42</v>
      </c>
      <c r="B69" s="25">
        <f>IF(OR(A69&gt;$B$21,F68=""),"",F68)</f>
        <v>59629.041095227105</v>
      </c>
      <c r="C69" s="25">
        <f>IF(OR(A69&gt;$B$21,B69=""),"",B69*$B$20)</f>
        <v>308.0833789920067</v>
      </c>
      <c r="D69" s="25">
        <f>IF(OR(A69&gt;$B$21,B69=""),"",IF(A69&lt;=$B$22,0,MIN(B69,$B$24-C69)))</f>
        <v>1241.9439709998992</v>
      </c>
      <c r="E69" s="25">
        <f>IF(C69="","",C69+D69)</f>
        <v>1550.0273499919058</v>
      </c>
      <c r="F69" s="25">
        <f>IF(D69="","",B69-D69)</f>
        <v>58387.097124227206</v>
      </c>
    </row>
    <row r="70">
      <c r="A70" s="42" t="n">
        <v>43</v>
      </c>
      <c r="B70" s="25">
        <f>IF(OR(A70&gt;$B$21,F69=""),"",F69)</f>
        <v>58387.097124227206</v>
      </c>
      <c r="C70" s="25">
        <f>IF(OR(A70&gt;$B$21,B70=""),"",B70*$B$20)</f>
        <v>301.6666684751739</v>
      </c>
      <c r="D70" s="25">
        <f>IF(OR(A70&gt;$B$21,B70=""),"",IF(A70&lt;=$B$22,0,MIN(B70,$B$24-C70)))</f>
        <v>1248.3606815167323</v>
      </c>
      <c r="E70" s="25">
        <f>IF(C70="","",C70+D70)</f>
        <v>1550.0273499919062</v>
      </c>
      <c r="F70" s="25">
        <f>IF(D70="","",B70-D70)</f>
        <v>57138.73644271048</v>
      </c>
    </row>
    <row r="71">
      <c r="A71" s="42" t="n">
        <v>44</v>
      </c>
      <c r="B71" s="25">
        <f>IF(OR(A71&gt;$B$21,F70=""),"",F70)</f>
        <v>57138.73644271048</v>
      </c>
      <c r="C71" s="25">
        <f>IF(OR(A71&gt;$B$21,B71=""),"",B71*$B$20)</f>
        <v>295.21680495400415</v>
      </c>
      <c r="D71" s="25">
        <f>IF(OR(A71&gt;$B$21,B71=""),"",IF(A71&lt;=$B$22,0,MIN(B71,$B$24-C71)))</f>
        <v>1254.8105450379019</v>
      </c>
      <c r="E71" s="25">
        <f>IF(C71="","",C71+D71)</f>
        <v>1550.027349991906</v>
      </c>
      <c r="F71" s="25">
        <f>IF(D71="","",B71-D71)</f>
        <v>55883.925897672576</v>
      </c>
    </row>
    <row r="72">
      <c r="A72" s="42" t="n">
        <v>45</v>
      </c>
      <c r="B72" s="25">
        <f>IF(OR(A72&gt;$B$21,F71=""),"",F71)</f>
        <v>55883.925897672576</v>
      </c>
      <c r="C72" s="25">
        <f>IF(OR(A72&gt;$B$21,B72=""),"",B72*$B$20)</f>
        <v>288.733617137975</v>
      </c>
      <c r="D72" s="25">
        <f>IF(OR(A72&gt;$B$21,B72=""),"",IF(A72&lt;=$B$22,0,MIN(B72,$B$24-C72)))</f>
        <v>1261.293732853931</v>
      </c>
      <c r="E72" s="25">
        <f>IF(C72="","",C72+D72)</f>
        <v>1550.027349991906</v>
      </c>
      <c r="F72" s="25">
        <f>IF(D72="","",B72-D72)</f>
        <v>54622.63216481864</v>
      </c>
    </row>
    <row r="73">
      <c r="A73" s="42" t="n">
        <v>46</v>
      </c>
      <c r="B73" s="25">
        <f>IF(OR(A73&gt;$B$21,F72=""),"",F72)</f>
        <v>54622.63216481864</v>
      </c>
      <c r="C73" s="25">
        <f>IF(OR(A73&gt;$B$21,B73=""),"",B73*$B$20)</f>
        <v>282.216932851563</v>
      </c>
      <c r="D73" s="25">
        <f>IF(OR(A73&gt;$B$21,B73=""),"",IF(A73&lt;=$B$22,0,MIN(B73,$B$24-C73)))</f>
        <v>1267.810417140343</v>
      </c>
      <c r="E73" s="25">
        <f>IF(C73="","",C73+D73)</f>
        <v>1550.0273499919058</v>
      </c>
      <c r="F73" s="25">
        <f>IF(D73="","",B73-D73)</f>
        <v>53354.8217476783</v>
      </c>
    </row>
    <row r="74">
      <c r="A74" s="42" t="n">
        <v>47</v>
      </c>
      <c r="B74" s="25">
        <f>IF(OR(A74&gt;$B$21,F73=""),"",F73)</f>
        <v>53354.8217476783</v>
      </c>
      <c r="C74" s="25">
        <f>IF(OR(A74&gt;$B$21,B74=""),"",B74*$B$20)</f>
        <v>275.66657902967125</v>
      </c>
      <c r="D74" s="25">
        <f>IF(OR(A74&gt;$B$21,B74=""),"",IF(A74&lt;=$B$22,0,MIN(B74,$B$24-C74)))</f>
        <v>1274.3607709622347</v>
      </c>
      <c r="E74" s="25">
        <f>IF(C74="","",C74+D74)</f>
        <v>1550.027349991906</v>
      </c>
      <c r="F74" s="25">
        <f>IF(D74="","",B74-D74)</f>
        <v>52080.460976716065</v>
      </c>
    </row>
    <row r="75">
      <c r="A75" s="42" t="n">
        <v>48</v>
      </c>
      <c r="B75" s="25">
        <f>IF(OR(A75&gt;$B$21,F74=""),"",F74)</f>
        <v>52080.460976716065</v>
      </c>
      <c r="C75" s="25">
        <f>IF(OR(A75&gt;$B$21,B75=""),"",B75*$B$20)</f>
        <v>269.082381713033</v>
      </c>
      <c r="D75" s="25">
        <f>IF(OR(A75&gt;$B$21,B75=""),"",IF(A75&lt;=$B$22,0,MIN(B75,$B$24-C75)))</f>
        <v>1280.9449682788731</v>
      </c>
      <c r="E75" s="25">
        <f>IF(C75="","",C75+D75)</f>
        <v>1550.0273499919062</v>
      </c>
      <c r="F75" s="25">
        <f>IF(D75="","",B75-D75)</f>
        <v>50799.51600843719</v>
      </c>
    </row>
    <row r="76">
      <c r="A76" s="42" t="n">
        <v>49</v>
      </c>
      <c r="B76" s="25">
        <f>IF(OR(A76&gt;$B$21,F75=""),"",F75)</f>
        <v>50799.51600843719</v>
      </c>
      <c r="C76" s="25">
        <f>IF(OR(A76&gt;$B$21,B76=""),"",B76*$B$20)</f>
        <v>262.4641660435921</v>
      </c>
      <c r="D76" s="25">
        <f>IF(OR(A76&gt;$B$21,B76=""),"",IF(A76&lt;=$B$22,0,MIN(B76,$B$24-C76)))</f>
        <v>1287.563183948314</v>
      </c>
      <c r="E76" s="25">
        <f>IF(C76="","",C76+D76)</f>
        <v>1550.027349991906</v>
      </c>
      <c r="F76" s="25">
        <f>IF(D76="","",B76-D76)</f>
        <v>49511.95282448888</v>
      </c>
    </row>
    <row r="77">
      <c r="A77" s="42" t="n">
        <v>50</v>
      </c>
      <c r="B77" s="25">
        <f>IF(OR(A77&gt;$B$21,F76=""),"",F76)</f>
        <v>49511.95282448888</v>
      </c>
      <c r="C77" s="25">
        <f>IF(OR(A77&gt;$B$21,B77=""),"",B77*$B$20)</f>
        <v>255.8117562598592</v>
      </c>
      <c r="D77" s="25">
        <f>IF(OR(A77&gt;$B$21,B77=""),"",IF(A77&lt;=$B$22,0,MIN(B77,$B$24-C77)))</f>
        <v>1294.2155937320467</v>
      </c>
      <c r="E77" s="25">
        <f>IF(C77="","",C77+D77)</f>
        <v>1550.027349991906</v>
      </c>
      <c r="F77" s="25">
        <f>IF(D77="","",B77-D77)</f>
        <v>48217.73723075683</v>
      </c>
    </row>
    <row r="78">
      <c r="A78" s="42" t="n">
        <v>51</v>
      </c>
      <c r="B78" s="25">
        <f>IF(OR(A78&gt;$B$21,F77=""),"",F77)</f>
        <v>48217.73723075683</v>
      </c>
      <c r="C78" s="25">
        <f>IF(OR(A78&gt;$B$21,B78=""),"",B78*$B$20)</f>
        <v>249.12497569224362</v>
      </c>
      <c r="D78" s="25">
        <f>IF(OR(A78&gt;$B$21,B78=""),"",IF(A78&lt;=$B$22,0,MIN(B78,$B$24-C78)))</f>
        <v>1300.9023742996624</v>
      </c>
      <c r="E78" s="25">
        <f>IF(C78="","",C78+D78)</f>
        <v>1550.027349991906</v>
      </c>
      <c r="F78" s="25">
        <f>IF(D78="","",B78-D78)</f>
        <v>46916.834856457164</v>
      </c>
    </row>
    <row r="79">
      <c r="A79" s="42" t="n">
        <v>52</v>
      </c>
      <c r="B79" s="25">
        <f>IF(OR(A79&gt;$B$21,F78=""),"",F78)</f>
        <v>46916.834856457164</v>
      </c>
      <c r="C79" s="25">
        <f>IF(OR(A79&gt;$B$21,B79=""),"",B79*$B$20)</f>
        <v>242.40364675836202</v>
      </c>
      <c r="D79" s="25">
        <f>IF(OR(A79&gt;$B$21,B79=""),"",IF(A79&lt;=$B$22,0,MIN(B79,$B$24-C79)))</f>
        <v>1307.623703233544</v>
      </c>
      <c r="E79" s="25">
        <f>IF(C79="","",C79+D79)</f>
        <v>1550.0273499919058</v>
      </c>
      <c r="F79" s="25">
        <f>IF(D79="","",B79-D79)</f>
        <v>45609.21115322362</v>
      </c>
    </row>
    <row r="80">
      <c r="A80" s="42" t="n">
        <v>53</v>
      </c>
      <c r="B80" s="25">
        <f>IF(OR(A80&gt;$B$21,F79=""),"",F79)</f>
        <v>45609.21115322362</v>
      </c>
      <c r="C80" s="25">
        <f>IF(OR(A80&gt;$B$21,B80=""),"",B80*$B$20)</f>
        <v>235.64759095832204</v>
      </c>
      <c r="D80" s="25">
        <f>IF(OR(A80&gt;$B$21,B80=""),"",IF(A80&lt;=$B$22,0,MIN(B80,$B$24-C80)))</f>
        <v>1314.379759033584</v>
      </c>
      <c r="E80" s="25">
        <f>IF(C80="","",C80+D80)</f>
        <v>1550.027349991906</v>
      </c>
      <c r="F80" s="25">
        <f>IF(D80="","",B80-D80)</f>
        <v>44294.83139419004</v>
      </c>
    </row>
    <row r="81">
      <c r="A81" s="42" t="n">
        <v>54</v>
      </c>
      <c r="B81" s="25">
        <f>IF(OR(A81&gt;$B$21,F80=""),"",F80)</f>
        <v>44294.83139419004</v>
      </c>
      <c r="C81" s="25">
        <f>IF(OR(A81&gt;$B$21,B81=""),"",B81*$B$20)</f>
        <v>228.85662886998188</v>
      </c>
      <c r="D81" s="25">
        <f>IF(OR(A81&gt;$B$21,B81=""),"",IF(A81&lt;=$B$22,0,MIN(B81,$B$24-C81)))</f>
        <v>1321.170721121924</v>
      </c>
      <c r="E81" s="25">
        <f>IF(C81="","",C81+D81)</f>
        <v>1550.027349991906</v>
      </c>
      <c r="F81" s="25">
        <f>IF(D81="","",B81-D81)</f>
        <v>42973.660673068116</v>
      </c>
    </row>
    <row r="82">
      <c r="A82" s="42" t="n">
        <v>55</v>
      </c>
      <c r="B82" s="25">
        <f>IF(OR(A82&gt;$B$21,F81=""),"",F81)</f>
        <v>42973.660673068116</v>
      </c>
      <c r="C82" s="25">
        <f>IF(OR(A82&gt;$B$21,B82=""),"",B82*$B$20)</f>
        <v>222.03058014418525</v>
      </c>
      <c r="D82" s="25">
        <f>IF(OR(A82&gt;$B$21,B82=""),"",IF(A82&lt;=$B$22,0,MIN(B82,$B$24-C82)))</f>
        <v>1327.9967698477208</v>
      </c>
      <c r="E82" s="25">
        <f>IF(C82="","",C82+D82)</f>
        <v>1550.027349991906</v>
      </c>
      <c r="F82" s="25">
        <f>IF(D82="","",B82-D82)</f>
        <v>41645.6639032204</v>
      </c>
    </row>
    <row r="83">
      <c r="A83" s="42" t="n">
        <v>56</v>
      </c>
      <c r="B83" s="25">
        <f>IF(OR(A83&gt;$B$21,F82=""),"",F82)</f>
        <v>41645.6639032204</v>
      </c>
      <c r="C83" s="25">
        <f>IF(OR(A83&gt;$B$21,B83=""),"",B83*$B$20)</f>
        <v>215.16926349997206</v>
      </c>
      <c r="D83" s="25">
        <f>IF(OR(A83&gt;$B$21,B83=""),"",IF(A83&lt;=$B$22,0,MIN(B83,$B$24-C83)))</f>
        <v>1334.858086491934</v>
      </c>
      <c r="E83" s="25">
        <f>IF(C83="","",C83+D83)</f>
        <v>1550.027349991906</v>
      </c>
      <c r="F83" s="25">
        <f>IF(D83="","",B83-D83)</f>
        <v>40310.80581672846</v>
      </c>
    </row>
    <row r="84">
      <c r="A84" s="42" t="n">
        <v>57</v>
      </c>
      <c r="B84" s="25">
        <f>IF(OR(A84&gt;$B$21,F83=""),"",F83)</f>
        <v>40310.80581672846</v>
      </c>
      <c r="C84" s="25">
        <f>IF(OR(A84&gt;$B$21,B84=""),"",B84*$B$20)</f>
        <v>208.27249671976372</v>
      </c>
      <c r="D84" s="25">
        <f>IF(OR(A84&gt;$B$21,B84=""),"",IF(A84&lt;=$B$22,0,MIN(B84,$B$24-C84)))</f>
        <v>1341.7548532721423</v>
      </c>
      <c r="E84" s="25">
        <f>IF(C84="","",C84+D84)</f>
        <v>1550.027349991906</v>
      </c>
      <c r="F84" s="25">
        <f>IF(D84="","",B84-D84)</f>
        <v>38969.05096345632</v>
      </c>
    </row>
    <row r="85">
      <c r="A85" s="42" t="n">
        <v>58</v>
      </c>
      <c r="B85" s="25">
        <f>IF(OR(A85&gt;$B$21,F84=""),"",F84)</f>
        <v>38969.05096345632</v>
      </c>
      <c r="C85" s="25">
        <f>IF(OR(A85&gt;$B$21,B85=""),"",B85*$B$20)</f>
        <v>201.34009664452432</v>
      </c>
      <c r="D85" s="25">
        <f>IF(OR(A85&gt;$B$21,B85=""),"",IF(A85&lt;=$B$22,0,MIN(B85,$B$24-C85)))</f>
        <v>1348.6872533473818</v>
      </c>
      <c r="E85" s="25">
        <f>IF(C85="","",C85+D85)</f>
        <v>1550.027349991906</v>
      </c>
      <c r="F85" s="25">
        <f>IF(D85="","",B85-D85)</f>
        <v>37620.36371010894</v>
      </c>
    </row>
    <row r="86">
      <c r="A86" s="42" t="n">
        <v>59</v>
      </c>
      <c r="B86" s="25">
        <f>IF(OR(A86&gt;$B$21,F85=""),"",F85)</f>
        <v>37620.36371010894</v>
      </c>
      <c r="C86" s="25">
        <f>IF(OR(A86&gt;$B$21,B86=""),"",B86*$B$20)</f>
        <v>194.37187916889619</v>
      </c>
      <c r="D86" s="25">
        <f>IF(OR(A86&gt;$B$21,B86=""),"",IF(A86&lt;=$B$22,0,MIN(B86,$B$24-C86)))</f>
        <v>1355.6554708230099</v>
      </c>
      <c r="E86" s="25">
        <f>IF(C86="","",C86+D86)</f>
        <v>1550.027349991906</v>
      </c>
      <c r="F86" s="25">
        <f>IF(D86="","",B86-D86)</f>
        <v>36264.70823928593</v>
      </c>
    </row>
    <row r="87">
      <c r="A87" s="42" t="n">
        <v>60</v>
      </c>
      <c r="B87" s="25">
        <f>IF(OR(A87&gt;$B$21,F86=""),"",F86)</f>
        <v>36264.70823928593</v>
      </c>
      <c r="C87" s="25">
        <f>IF(OR(A87&gt;$B$21,B87=""),"",B87*$B$20)</f>
        <v>187.36765923631063</v>
      </c>
      <c r="D87" s="25">
        <f>IF(OR(A87&gt;$B$21,B87=""),"",IF(A87&lt;=$B$22,0,MIN(B87,$B$24-C87)))</f>
        <v>1362.6596907555954</v>
      </c>
      <c r="E87" s="25">
        <f>IF(C87="","",C87+D87)</f>
        <v>1550.027349991906</v>
      </c>
      <c r="F87" s="25">
        <f>IF(D87="","",B87-D87)</f>
        <v>34902.048548530336</v>
      </c>
    </row>
    <row r="88">
      <c r="A88" s="42" t="n">
        <v>61</v>
      </c>
      <c r="B88" s="25">
        <f>IF(OR(A88&gt;$B$21,F87=""),"",F87)</f>
        <v>34902.048548530336</v>
      </c>
      <c r="C88" s="25">
        <f>IF(OR(A88&gt;$B$21,B88=""),"",B88*$B$20)</f>
        <v>180.3272508340734</v>
      </c>
      <c r="D88" s="25">
        <f>IF(OR(A88&gt;$B$21,B88=""),"",IF(A88&lt;=$B$22,0,MIN(B88,$B$24-C88)))</f>
        <v>1369.7000991578327</v>
      </c>
      <c r="E88" s="25">
        <f>IF(C88="","",C88+D88)</f>
        <v>1550.027349991906</v>
      </c>
      <c r="F88" s="25">
        <f>IF(D88="","",B88-D88)</f>
        <v>33532.348449372505</v>
      </c>
    </row>
    <row r="89">
      <c r="A89" s="42" t="n">
        <v>62</v>
      </c>
      <c r="B89" s="25">
        <f>IF(OR(A89&gt;$B$21,F88=""),"",F88)</f>
        <v>33532.348449372505</v>
      </c>
      <c r="C89" s="25">
        <f>IF(OR(A89&gt;$B$21,B89=""),"",B89*$B$20)</f>
        <v>173.25046698842462</v>
      </c>
      <c r="D89" s="25">
        <f>IF(OR(A89&gt;$B$21,B89=""),"",IF(A89&lt;=$B$22,0,MIN(B89,$B$24-C89)))</f>
        <v>1376.7768830034813</v>
      </c>
      <c r="E89" s="25">
        <f>IF(C89="","",C89+D89)</f>
        <v>1550.027349991906</v>
      </c>
      <c r="F89" s="25">
        <f>IF(D89="","",B89-D89)</f>
        <v>32155.571566369024</v>
      </c>
    </row>
    <row r="90">
      <c r="A90" s="42" t="n">
        <v>63</v>
      </c>
      <c r="B90" s="25">
        <f>IF(OR(A90&gt;$B$21,F89=""),"",F89)</f>
        <v>32155.571566369024</v>
      </c>
      <c r="C90" s="25">
        <f>IF(OR(A90&gt;$B$21,B90=""),"",B90*$B$20)</f>
        <v>166.1371197595733</v>
      </c>
      <c r="D90" s="25">
        <f>IF(OR(A90&gt;$B$21,B90=""),"",IF(A90&lt;=$B$22,0,MIN(B90,$B$24-C90)))</f>
        <v>1383.8902302323327</v>
      </c>
      <c r="E90" s="25">
        <f>IF(C90="","",C90+D90)</f>
        <v>1550.027349991906</v>
      </c>
      <c r="F90" s="25">
        <f>IF(D90="","",B90-D90)</f>
        <v>30771.68133613669</v>
      </c>
    </row>
    <row r="91">
      <c r="A91" s="42" t="n">
        <v>64</v>
      </c>
      <c r="B91" s="25">
        <f>IF(OR(A91&gt;$B$21,F90=""),"",F90)</f>
        <v>30771.68133613669</v>
      </c>
      <c r="C91" s="25">
        <f>IF(OR(A91&gt;$B$21,B91=""),"",B91*$B$20)</f>
        <v>158.98702023670623</v>
      </c>
      <c r="D91" s="25">
        <f>IF(OR(A91&gt;$B$21,B91=""),"",IF(A91&lt;=$B$22,0,MIN(B91,$B$24-C91)))</f>
        <v>1391.0403297551998</v>
      </c>
      <c r="E91" s="25">
        <f>IF(C91="","",C91+D91)</f>
        <v>1550.027349991906</v>
      </c>
      <c r="F91" s="25">
        <f>IF(D91="","",B91-D91)</f>
        <v>29380.64100638149</v>
      </c>
    </row>
    <row r="92">
      <c r="A92" s="42" t="n">
        <v>65</v>
      </c>
      <c r="B92" s="25">
        <f>IF(OR(A92&gt;$B$21,F91=""),"",F91)</f>
        <v>29380.64100638149</v>
      </c>
      <c r="C92" s="25">
        <f>IF(OR(A92&gt;$B$21,B92=""),"",B92*$B$20)</f>
        <v>151.79997853297104</v>
      </c>
      <c r="D92" s="25">
        <f>IF(OR(A92&gt;$B$21,B92=""),"",IF(A92&lt;=$B$22,0,MIN(B92,$B$24-C92)))</f>
        <v>1398.227371458935</v>
      </c>
      <c r="E92" s="25">
        <f>IF(C92="","",C92+D92)</f>
        <v>1550.027349991906</v>
      </c>
      <c r="F92" s="25">
        <f>IF(D92="","",B92-D92)</f>
        <v>27982.413634922556</v>
      </c>
    </row>
    <row r="93">
      <c r="A93" s="42" t="n">
        <v>66</v>
      </c>
      <c r="B93" s="25">
        <f>IF(OR(A93&gt;$B$21,F92=""),"",F92)</f>
        <v>27982.413634922556</v>
      </c>
      <c r="C93" s="25">
        <f>IF(OR(A93&gt;$B$21,B93=""),"",B93*$B$20)</f>
        <v>144.5758037804332</v>
      </c>
      <c r="D93" s="25">
        <f>IF(OR(A93&gt;$B$21,B93=""),"",IF(A93&lt;=$B$22,0,MIN(B93,$B$24-C93)))</f>
        <v>1405.4515462114728</v>
      </c>
      <c r="E93" s="25">
        <f>IF(C93="","",C93+D93)</f>
        <v>1550.027349991906</v>
      </c>
      <c r="F93" s="25">
        <f>IF(D93="","",B93-D93)</f>
        <v>26576.962088711083</v>
      </c>
    </row>
    <row r="94">
      <c r="A94" s="42" t="n">
        <v>67</v>
      </c>
      <c r="B94" s="25">
        <f>IF(OR(A94&gt;$B$21,F93=""),"",F93)</f>
        <v>26576.962088711083</v>
      </c>
      <c r="C94" s="25">
        <f>IF(OR(A94&gt;$B$21,B94=""),"",B94*$B$20)</f>
        <v>137.31430412500725</v>
      </c>
      <c r="D94" s="25">
        <f>IF(OR(A94&gt;$B$21,B94=""),"",IF(A94&lt;=$B$22,0,MIN(B94,$B$24-C94)))</f>
        <v>1412.7130458668987</v>
      </c>
      <c r="E94" s="25">
        <f>IF(C94="","",C94+D94)</f>
        <v>1550.027349991906</v>
      </c>
      <c r="F94" s="25">
        <f>IF(D94="","",B94-D94)</f>
        <v>25164.249042844185</v>
      </c>
    </row>
    <row r="95">
      <c r="A95" s="42" t="n">
        <v>68</v>
      </c>
      <c r="B95" s="25">
        <f>IF(OR(A95&gt;$B$21,F94=""),"",F94)</f>
        <v>25164.249042844185</v>
      </c>
      <c r="C95" s="25">
        <f>IF(OR(A95&gt;$B$21,B95=""),"",B95*$B$20)</f>
        <v>130.01528672136163</v>
      </c>
      <c r="D95" s="25">
        <f>IF(OR(A95&gt;$B$21,B95=""),"",IF(A95&lt;=$B$22,0,MIN(B95,$B$24-C95)))</f>
        <v>1420.0120632705443</v>
      </c>
      <c r="E95" s="25">
        <f>IF(C95="","",C95+D95)</f>
        <v>1550.027349991906</v>
      </c>
      <c r="F95" s="25">
        <f>IF(D95="","",B95-D95)</f>
        <v>23744.23697957364</v>
      </c>
    </row>
    <row r="96">
      <c r="A96" s="42" t="n">
        <v>69</v>
      </c>
      <c r="B96" s="25">
        <f>IF(OR(A96&gt;$B$21,F95=""),"",F95)</f>
        <v>23744.23697957364</v>
      </c>
      <c r="C96" s="25">
        <f>IF(OR(A96&gt;$B$21,B96=""),"",B96*$B$20)</f>
        <v>122.67855772779714</v>
      </c>
      <c r="D96" s="25">
        <f>IF(OR(A96&gt;$B$21,B96=""),"",IF(A96&lt;=$B$22,0,MIN(B96,$B$24-C96)))</f>
        <v>1427.3487922641089</v>
      </c>
      <c r="E96" s="25">
        <f>IF(C96="","",C96+D96)</f>
        <v>1550.027349991906</v>
      </c>
      <c r="F96" s="25">
        <f>IF(D96="","",B96-D96)</f>
        <v>22316.88818730953</v>
      </c>
    </row>
    <row r="97">
      <c r="A97" s="42" t="n">
        <v>70</v>
      </c>
      <c r="B97" s="25">
        <f>IF(OR(A97&gt;$B$21,F96=""),"",F96)</f>
        <v>22316.88818730953</v>
      </c>
      <c r="C97" s="25">
        <f>IF(OR(A97&gt;$B$21,B97=""),"",B97*$B$20)</f>
        <v>115.30392230109923</v>
      </c>
      <c r="D97" s="25">
        <f>IF(OR(A97&gt;$B$21,B97=""),"",IF(A97&lt;=$B$22,0,MIN(B97,$B$24-C97)))</f>
        <v>1434.7234276908068</v>
      </c>
      <c r="E97" s="25">
        <f>IF(C97="","",C97+D97)</f>
        <v>1550.027349991906</v>
      </c>
      <c r="F97" s="25">
        <f>IF(D97="","",B97-D97)</f>
        <v>20882.164759618725</v>
      </c>
    </row>
    <row r="98">
      <c r="A98" s="42" t="n">
        <v>71</v>
      </c>
      <c r="B98" s="25">
        <f>IF(OR(A98&gt;$B$21,F97=""),"",F97)</f>
        <v>20882.164759618725</v>
      </c>
      <c r="C98" s="25">
        <f>IF(OR(A98&gt;$B$21,B98=""),"",B98*$B$20)</f>
        <v>107.89118459136341</v>
      </c>
      <c r="D98" s="25">
        <f>IF(OR(A98&gt;$B$21,B98=""),"",IF(A98&lt;=$B$22,0,MIN(B98,$B$24-C98)))</f>
        <v>1442.1361654005427</v>
      </c>
      <c r="E98" s="25">
        <f>IF(C98="","",C98+D98)</f>
        <v>1550.0273499919062</v>
      </c>
      <c r="F98" s="25">
        <f>IF(D98="","",B98-D98)</f>
        <v>19440.028594218184</v>
      </c>
    </row>
    <row r="99">
      <c r="A99" s="42" t="n">
        <v>72</v>
      </c>
      <c r="B99" s="25">
        <f>IF(OR(A99&gt;$B$21,F98=""),"",F98)</f>
        <v>19440.028594218184</v>
      </c>
      <c r="C99" s="25">
        <f>IF(OR(A99&gt;$B$21,B99=""),"",B99*$B$20)</f>
        <v>100.44014773679395</v>
      </c>
      <c r="D99" s="25">
        <f>IF(OR(A99&gt;$B$21,B99=""),"",IF(A99&lt;=$B$22,0,MIN(B99,$B$24-C99)))</f>
        <v>1449.587202255112</v>
      </c>
      <c r="E99" s="25">
        <f>IF(C99="","",C99+D99)</f>
        <v>1550.027349991906</v>
      </c>
      <c r="F99" s="25">
        <f>IF(D99="","",B99-D99)</f>
        <v>17990.44139196307</v>
      </c>
    </row>
    <row r="100">
      <c r="A100" s="42" t="n">
        <v>73</v>
      </c>
      <c r="B100" s="25">
        <f>IF(OR(A100&gt;$B$21,F99=""),"",F99)</f>
        <v>17990.44139196307</v>
      </c>
      <c r="C100" s="25">
        <f>IF(OR(A100&gt;$B$21,B100=""),"",B100*$B$20)</f>
        <v>92.95061385847588</v>
      </c>
      <c r="D100" s="25">
        <f>IF(OR(A100&gt;$B$21,B100=""),"",IF(A100&lt;=$B$22,0,MIN(B100,$B$24-C100)))</f>
        <v>1457.0767361334301</v>
      </c>
      <c r="E100" s="25">
        <f>IF(C100="","",C100+D100)</f>
        <v>1550.027349991906</v>
      </c>
      <c r="F100" s="25">
        <f>IF(D100="","",B100-D100)</f>
        <v>16533.364655829642</v>
      </c>
    </row>
    <row r="101">
      <c r="A101" s="42" t="n">
        <v>74</v>
      </c>
      <c r="B101" s="25">
        <f>IF(OR(A101&gt;$B$21,F100=""),"",F100)</f>
        <v>16533.364655829642</v>
      </c>
      <c r="C101" s="25">
        <f>IF(OR(A101&gt;$B$21,B101=""),"",B101*$B$20)</f>
        <v>85.42238405511982</v>
      </c>
      <c r="D101" s="25">
        <f>IF(OR(A101&gt;$B$21,B101=""),"",IF(A101&lt;=$B$22,0,MIN(B101,$B$24-C101)))</f>
        <v>1464.6049659367861</v>
      </c>
      <c r="E101" s="25">
        <f>IF(C101="","",C101+D101)</f>
        <v>1550.027349991906</v>
      </c>
      <c r="F101" s="25">
        <f>IF(D101="","",B101-D101)</f>
        <v>15068.759689892857</v>
      </c>
    </row>
    <row r="102">
      <c r="A102" s="42" t="n">
        <v>75</v>
      </c>
      <c r="B102" s="25">
        <f>IF(OR(A102&gt;$B$21,F101=""),"",F101)</f>
        <v>15068.759689892857</v>
      </c>
      <c r="C102" s="25">
        <f>IF(OR(A102&gt;$B$21,B102=""),"",B102*$B$20)</f>
        <v>77.85525839777976</v>
      </c>
      <c r="D102" s="25">
        <f>IF(OR(A102&gt;$B$21,B102=""),"",IF(A102&lt;=$B$22,0,MIN(B102,$B$24-C102)))</f>
        <v>1472.1720915941262</v>
      </c>
      <c r="E102" s="25">
        <f>IF(C102="","",C102+D102)</f>
        <v>1550.027349991906</v>
      </c>
      <c r="F102" s="25">
        <f>IF(D102="","",B102-D102)</f>
        <v>13596.58759829873</v>
      </c>
    </row>
    <row r="103">
      <c r="A103" s="42" t="n">
        <v>76</v>
      </c>
      <c r="B103" s="25">
        <f>IF(OR(A103&gt;$B$21,F102=""),"",F102)</f>
        <v>13596.58759829873</v>
      </c>
      <c r="C103" s="25">
        <f>IF(OR(A103&gt;$B$21,B103=""),"",B103*$B$20)</f>
        <v>70.24903592454345</v>
      </c>
      <c r="D103" s="25">
        <f>IF(OR(A103&gt;$B$21,B103=""),"",IF(A103&lt;=$B$22,0,MIN(B103,$B$24-C103)))</f>
        <v>1479.7783140673625</v>
      </c>
      <c r="E103" s="25">
        <f>IF(C103="","",C103+D103)</f>
        <v>1550.027349991906</v>
      </c>
      <c r="F103" s="25">
        <f>IF(D103="","",B103-D103)</f>
        <v>12116.809284231369</v>
      </c>
    </row>
    <row r="104">
      <c r="A104" s="42" t="n">
        <v>77</v>
      </c>
      <c r="B104" s="25">
        <f>IF(OR(A104&gt;$B$21,F103=""),"",F103)</f>
        <v>12116.809284231369</v>
      </c>
      <c r="C104" s="25">
        <f>IF(OR(A104&gt;$B$21,B104=""),"",B104*$B$20)</f>
        <v>62.6035146351954</v>
      </c>
      <c r="D104" s="25">
        <f>IF(OR(A104&gt;$B$21,B104=""),"",IF(A104&lt;=$B$22,0,MIN(B104,$B$24-C104)))</f>
        <v>1487.4238353567107</v>
      </c>
      <c r="E104" s="25">
        <f>IF(C104="","",C104+D104)</f>
        <v>1550.027349991906</v>
      </c>
      <c r="F104" s="25">
        <f>IF(D104="","",B104-D104)</f>
        <v>10629.385448874658</v>
      </c>
    </row>
    <row r="105">
      <c r="A105" s="42" t="n">
        <v>78</v>
      </c>
      <c r="B105" s="25">
        <f>IF(OR(A105&gt;$B$21,F104=""),"",F104)</f>
        <v>10629.385448874658</v>
      </c>
      <c r="C105" s="25">
        <f>IF(OR(A105&gt;$B$21,B105=""),"",B105*$B$20)</f>
        <v>54.9184914858524</v>
      </c>
      <c r="D105" s="25">
        <f>IF(OR(A105&gt;$B$21,B105=""),"",IF(A105&lt;=$B$22,0,MIN(B105,$B$24-C105)))</f>
        <v>1495.1088585060536</v>
      </c>
      <c r="E105" s="25">
        <f>IF(C105="","",C105+D105)</f>
        <v>1550.027349991906</v>
      </c>
      <c r="F105" s="25">
        <f>IF(D105="","",B105-D105)</f>
        <v>9134.276590368605</v>
      </c>
    </row>
    <row r="106">
      <c r="A106" s="42" t="n">
        <v>79</v>
      </c>
      <c r="B106" s="25">
        <f>IF(OR(A106&gt;$B$21,F105=""),"",F105)</f>
        <v>9134.276590368605</v>
      </c>
      <c r="C106" s="25">
        <f>IF(OR(A106&gt;$B$21,B106=""),"",B106*$B$20)</f>
        <v>47.193762383571126</v>
      </c>
      <c r="D106" s="25">
        <f>IF(OR(A106&gt;$B$21,B106=""),"",IF(A106&lt;=$B$22,0,MIN(B106,$B$24-C106)))</f>
        <v>1502.833587608335</v>
      </c>
      <c r="E106" s="25">
        <f>IF(C106="","",C106+D106)</f>
        <v>1550.027349991906</v>
      </c>
      <c r="F106" s="25">
        <f>IF(D106="","",B106-D106)</f>
        <v>7631.44300276027</v>
      </c>
    </row>
    <row r="107">
      <c r="A107" s="42" t="n">
        <v>80</v>
      </c>
      <c r="B107" s="25">
        <f>IF(OR(A107&gt;$B$21,F106=""),"",F106)</f>
        <v>7631.44300276027</v>
      </c>
      <c r="C107" s="25">
        <f>IF(OR(A107&gt;$B$21,B107=""),"",B107*$B$20)</f>
        <v>39.42912218092806</v>
      </c>
      <c r="D107" s="25">
        <f>IF(OR(A107&gt;$B$21,B107=""),"",IF(A107&lt;=$B$22,0,MIN(B107,$B$24-C107)))</f>
        <v>1510.598227810978</v>
      </c>
      <c r="E107" s="25">
        <f>IF(C107="","",C107+D107)</f>
        <v>1550.027349991906</v>
      </c>
      <c r="F107" s="25">
        <f>IF(D107="","",B107-D107)</f>
        <v>6120.8447749492925</v>
      </c>
    </row>
    <row r="108">
      <c r="A108" s="42" t="n">
        <v>81</v>
      </c>
      <c r="B108" s="25">
        <f>IF(OR(A108&gt;$B$21,F107=""),"",F107)</f>
        <v>6120.8447749492925</v>
      </c>
      <c r="C108" s="25">
        <f>IF(OR(A108&gt;$B$21,B108=""),"",B108*$B$20)</f>
        <v>31.624364670571346</v>
      </c>
      <c r="D108" s="25">
        <f>IF(OR(A108&gt;$B$21,B108=""),"",IF(A108&lt;=$B$22,0,MIN(B108,$B$24-C108)))</f>
        <v>1518.4029853213347</v>
      </c>
      <c r="E108" s="25">
        <f>IF(C108="","",C108+D108)</f>
        <v>1550.027349991906</v>
      </c>
      <c r="F108" s="25">
        <f>IF(D108="","",B108-D108)</f>
        <v>4602.441789627957</v>
      </c>
    </row>
    <row r="109">
      <c r="A109" s="42" t="n">
        <v>82</v>
      </c>
      <c r="B109" s="25">
        <f>IF(OR(A109&gt;$B$21,F108=""),"",F108)</f>
        <v>4602.441789627957</v>
      </c>
      <c r="C109" s="25">
        <f>IF(OR(A109&gt;$B$21,B109=""),"",B109*$B$20)</f>
        <v>23.779282579744446</v>
      </c>
      <c r="D109" s="25">
        <f>IF(OR(A109&gt;$B$21,B109=""),"",IF(A109&lt;=$B$22,0,MIN(B109,$B$24-C109)))</f>
        <v>1526.2480674121616</v>
      </c>
      <c r="E109" s="25">
        <f>IF(C109="","",C109+D109)</f>
        <v>1550.027349991906</v>
      </c>
      <c r="F109" s="25">
        <f>IF(D109="","",B109-D109)</f>
        <v>3076.193722215796</v>
      </c>
    </row>
    <row r="110">
      <c r="A110" s="42" t="n">
        <v>83</v>
      </c>
      <c r="B110" s="25">
        <f>IF(OR(A110&gt;$B$21,F109=""),"",F109)</f>
        <v>3076.193722215796</v>
      </c>
      <c r="C110" s="25">
        <f>IF(OR(A110&gt;$B$21,B110=""),"",B110*$B$20)</f>
        <v>15.89366756478161</v>
      </c>
      <c r="D110" s="25">
        <f>IF(OR(A110&gt;$B$21,B110=""),"",IF(A110&lt;=$B$22,0,MIN(B110,$B$24-C110)))</f>
        <v>1534.1336824271243</v>
      </c>
      <c r="E110" s="25">
        <f>IF(C110="","",C110+D110)</f>
        <v>1550.027349991906</v>
      </c>
      <c r="F110" s="25">
        <f>IF(D110="","",B110-D110)</f>
        <v>1542.0600397886715</v>
      </c>
    </row>
    <row r="111">
      <c r="A111" s="42" t="n">
        <v>84</v>
      </c>
      <c r="B111" s="25">
        <f>IF(OR(A111&gt;$B$21,F110=""),"",F110)</f>
        <v>1542.0600397886715</v>
      </c>
      <c r="C111" s="25">
        <f>IF(OR(A111&gt;$B$21,B111=""),"",B111*$B$20)</f>
        <v>7.967310205574803</v>
      </c>
      <c r="D111" s="25">
        <f>IF(OR(A111&gt;$B$21,B111=""),"",IF(A111&lt;=$B$22,0,MIN(B111,$B$24-C111)))</f>
        <v>1542.0600397863311</v>
      </c>
      <c r="E111" s="25">
        <f>IF(C111="","",C111+D111)</f>
        <v>1550.027349991906</v>
      </c>
      <c r="F111" s="25">
        <f>IF(D111="","",B111-D111)</f>
        <v>2.3403572413371876e-09</v>
      </c>
    </row>
    <row r="112">
      <c r="A112" s="10" t="inlineStr">
        <is>
          <t>Capital pendiente al vencimiento</t>
        </is>
      </c>
      <c r="B112" s="25">
        <f>IF($B$18="","",ROUND($B$18-SUM(D28:D111),2))</f>
        <v>0.0</v>
      </c>
    </row>
    <row r="113">
      <c r="A113" s="10" t="inlineStr">
        <is>
          <t>¿Cierra el cuadro de amortización?</t>
        </is>
      </c>
      <c r="B113" t="str">
        <f>IF(B112="","",IF(ABS(B112)&lt;='0. Supuestos'!$B$65,"Sí","No: revisa el plazo"))</f>
        <v>Sí</v>
      </c>
    </row>
    <row r="114"/>
    <row r="115">
      <c r="A115" s="4" t="inlineStr">
        <is>
          <t>Resumen por Año: ¿Genera el Negocio la Cuota?</t>
        </is>
      </c>
    </row>
    <row r="116" ht="48" customHeight="1">
      <c r="A116" s="9" t="inlineStr">
        <is>
          <t>Año</t>
        </is>
      </c>
      <c r="B116" s="9" t="inlineStr">
        <is>
          <t>Intereses</t>
        </is>
      </c>
      <c r="C116" s="9" t="inlineStr">
        <is>
          <t>Devolución de principal</t>
        </is>
      </c>
      <c r="D116" s="9" t="inlineStr">
        <is>
          <t>Servicio de la deuda (cuota)</t>
        </is>
      </c>
      <c r="E116" s="9" t="inlineStr">
        <is>
          <t>Caja que deja el negocio antes de la deuda</t>
        </is>
      </c>
      <c r="F116" s="9" t="inlineStr">
        <is>
          <t>Lo que sobra (o falta) tras pagar al banco</t>
        </is>
      </c>
      <c r="G116" s="9" t="inlineStr">
        <is>
          <t>DSCR</t>
        </is>
      </c>
      <c r="H116" s="9" t="inlineStr">
        <is>
          <t>Notas</t>
        </is>
      </c>
    </row>
    <row r="117" ht="60" customHeight="1">
      <c r="A117" s="42" t="n">
        <v>1</v>
      </c>
      <c r="B117" s="25">
        <f>SUM(C28:C39)</f>
        <v>6075.678474934056</v>
      </c>
      <c r="C117" s="25">
        <f>SUM(D28:D39)</f>
        <v>6302.785625017381</v>
      </c>
      <c r="D117" s="25">
        <f>B117+C117</f>
        <v>12378.464099951438</v>
      </c>
      <c r="E117" s="25">
        <f>'PyG 3 Años'!B23+'PyG 3 Años'!B20+'PyG 3 Años'!B21</f>
        <v>20299.084500165594</v>
      </c>
      <c r="F117" s="32">
        <f>E117-D117</f>
        <v>7920.620400214157</v>
      </c>
      <c r="G117" s="33">
        <f>IFERROR(IF(D117=0,"",E117/D117),"")</f>
        <v>1.6398710160047425</v>
      </c>
      <c r="H117" s="12" t="inlineStr">
        <is>
          <t>La caja que deja el negocio es el resultado antes de impuestos más la amortización (que no se paga) y más los intereses (que son parte de la cuota). Del año 4 en adelante se repite el año 3: este libro no proyecta más lejos.</t>
        </is>
      </c>
    </row>
    <row r="118">
      <c r="A118" s="42" t="n">
        <v>2</v>
      </c>
      <c r="B118" s="25">
        <f>SUM(C40:C51)</f>
        <v>5394.75875011256</v>
      </c>
      <c r="C118" s="25">
        <f>SUM(D40:D51)</f>
        <v>13205.56944979031</v>
      </c>
      <c r="D118" s="25">
        <f>B118+C118</f>
        <v>18600.32819990287</v>
      </c>
      <c r="E118" s="25">
        <f>'PyG 3 Años'!C23+'PyG 3 Años'!C20+'PyG 3 Años'!C21</f>
        <v>45708.248373443545</v>
      </c>
      <c r="F118" s="32">
        <f>E118-D118</f>
        <v>27107.920173540675</v>
      </c>
      <c r="G118" s="33">
        <f>IFERROR(IF(D118=0,"",E118/D118),"")</f>
        <v>2.4573893472311004</v>
      </c>
    </row>
    <row r="119">
      <c r="A119" s="42" t="n">
        <v>3</v>
      </c>
      <c r="B119" s="25">
        <f>SUM(C52:C63)</f>
        <v>4552.342042557509</v>
      </c>
      <c r="C119" s="25">
        <f>SUM(D52:D63)</f>
        <v>14047.986157345364</v>
      </c>
      <c r="D119" s="25">
        <f>B119+C119</f>
        <v>18600.328199902873</v>
      </c>
      <c r="E119" s="25">
        <f>'PyG 3 Años'!D23+'PyG 3 Años'!D20+'PyG 3 Años'!D21</f>
        <v>45708.24837344353</v>
      </c>
      <c r="F119" s="32">
        <f>E119-D119</f>
        <v>27107.920173540657</v>
      </c>
      <c r="G119" s="33">
        <f>IFERROR(IF(D119=0,"",E119/D119),"")</f>
        <v>2.4573893472310995</v>
      </c>
    </row>
    <row r="120">
      <c r="A120" s="42" t="n">
        <v>4</v>
      </c>
      <c r="B120" s="25">
        <f>SUM(C64:C75)</f>
        <v>3656.1854404930873</v>
      </c>
      <c r="C120" s="25">
        <f>SUM(D64:D75)</f>
        <v>14944.142759409784</v>
      </c>
      <c r="D120" s="25">
        <f>B120+C120</f>
        <v>18600.32819990287</v>
      </c>
      <c r="E120" s="25">
        <f>'PyG 3 Años'!D23+'PyG 3 Años'!D20+'PyG 3 Años'!D21</f>
        <v>45708.24837344353</v>
      </c>
      <c r="F120" s="32">
        <f>E120-D120</f>
        <v>27107.92017354066</v>
      </c>
      <c r="G120" s="33">
        <f>IFERROR(IF(D120=0,"",E120/D120),"")</f>
        <v>2.4573893472311</v>
      </c>
    </row>
    <row r="121">
      <c r="A121" s="42" t="n">
        <v>5</v>
      </c>
      <c r="B121" s="25">
        <f>SUM(C76:C87)</f>
        <v>2702.8607399960133</v>
      </c>
      <c r="C121" s="25">
        <f>SUM(D76:D87)</f>
        <v>15897.467459906862</v>
      </c>
      <c r="D121" s="25">
        <f>B121+C121</f>
        <v>18600.328199902877</v>
      </c>
      <c r="E121" s="25">
        <f>'PyG 3 Años'!D23+'PyG 3 Años'!D20+'PyG 3 Años'!D21</f>
        <v>45708.24837344353</v>
      </c>
      <c r="F121" s="32">
        <f>E121-D121</f>
        <v>27107.920173540653</v>
      </c>
      <c r="G121" s="33">
        <f>IFERROR(IF(D121=0,"",E121/D121),"")</f>
        <v>2.457389347231099</v>
      </c>
    </row>
    <row r="122">
      <c r="A122" s="42" t="n">
        <v>6</v>
      </c>
      <c r="B122" s="25">
        <f>SUM(C88:C99)</f>
        <v>1688.7210433356047</v>
      </c>
      <c r="C122" s="25">
        <f>SUM(D88:D99)</f>
        <v>16911.60715656727</v>
      </c>
      <c r="D122" s="25">
        <f>B122+C122</f>
        <v>18600.328199902873</v>
      </c>
      <c r="E122" s="25">
        <f>'PyG 3 Años'!D23+'PyG 3 Años'!D20+'PyG 3 Años'!D21</f>
        <v>45708.24837344353</v>
      </c>
      <c r="F122" s="32">
        <f>E122-D122</f>
        <v>27107.920173540657</v>
      </c>
      <c r="G122" s="33">
        <f>IFERROR(IF(D122=0,"",E122/D122),"")</f>
        <v>2.4573893472310995</v>
      </c>
    </row>
    <row r="123">
      <c r="A123" s="42" t="n">
        <v>7</v>
      </c>
      <c r="B123" s="25">
        <f>SUM(C100:C111)</f>
        <v>609.8868079421379</v>
      </c>
      <c r="C123" s="25">
        <f>SUM(D100:D111)</f>
        <v>17990.441391960736</v>
      </c>
      <c r="D123" s="25">
        <f>B123+C123</f>
        <v>18600.328199902873</v>
      </c>
      <c r="E123" s="25">
        <f>'PyG 3 Años'!D23+'PyG 3 Años'!D20+'PyG 3 Años'!D21</f>
        <v>45708.24837344353</v>
      </c>
      <c r="F123" s="32">
        <f>E123-D123</f>
        <v>27107.920173540657</v>
      </c>
      <c r="G123" s="33">
        <f>IFERROR(IF(D123=0,"",E123/D123),"")</f>
        <v>2.4573893472310995</v>
      </c>
    </row>
    <row r="124">
      <c r="A124" s="27" t="inlineStr">
        <is>
          <t>Lo que sobra en el peor año del préstamo</t>
        </is>
      </c>
      <c r="B124" s="37">
        <f>MIN(F117:F123)</f>
        <v>7920.620400214157</v>
      </c>
    </row>
    <row r="125">
      <c r="A125" s="27" t="inlineStr">
        <is>
          <t>¿Aguanta el banco?</t>
        </is>
      </c>
      <c r="B125" s="28" t="str">
        <f>IF(NOT(ISNUMBER(B124)),"",IF(B124&gt;=0,"Aguanta: en el peor año te sobra dinero después de pagar la cuota","No aguanta: hay un año en que el negocio no genera la cuota"))</f>
        <v>Aguanta: en el peor año te sobra dinero después de pagar la cuota</v>
      </c>
    </row>
    <row r="126">
      <c r="A126" s="10" t="inlineStr">
        <is>
          <t>Año del peor margen</t>
        </is>
      </c>
      <c r="B126" s="26">
        <f>IFERROR(MATCH(B124,F117:F123,0),"")</f>
        <v>1.0</v>
      </c>
    </row>
    <row r="127">
      <c r="A127" s="10" t="inlineStr">
        <is>
          <t>DSCR más bajo (información para el banco)</t>
        </is>
      </c>
      <c r="B127" s="33">
        <f>IF(COUNT(G117:G123)=0,"",MIN(G117:G123))</f>
        <v>1.6398710160047425</v>
      </c>
      <c r="H127" s="12" t="inlineStr">
        <is>
          <t>Caja antes de la deuda entre la cuota. Te lo van a pedir, pero la lectura que decide es la de los euros: un ratio alto sobre una cuota pequeña puede seguir dejando pocos euros.</t>
        </is>
      </c>
    </row>
    <row r="128"/>
    <row r="129" ht="30" customHeight="1">
      <c r="A129" s="3" t="inlineStr">
        <is>
          <t>El año de la carencia sale holgado porque casi no devuelves principal. Mira el año 2 y el año 3, con la cuota completa.</t>
        </is>
      </c>
    </row>
  </sheetData>
  <sheetProtection selectLockedCells="0" selectUnlockedCells="0" sheet="1" objects="0" insertRows="0" insertHyperlinks="1" autoFilter="1" scenarios="0" formatColumns="0" deleteColumns="1" insertColumns="1" pivotTables="1" deleteRows="1" formatCells="1" formatRows="0" sort="0"/>
  <mergeCells count="3">
    <mergeCell ref="A25:H25"/>
    <mergeCell ref="A129:H129"/>
    <mergeCell ref="A3:H3"/>
  </mergeCells>
  <conditionalFormatting sqref="B16">
    <cfRule type="cellIs" priority="1" operator="equal" dxfId="0" stopIfTrue="1">
      <formula>"Cerrado: el préstamo es el que pide la estructura"</formula>
    </cfRule>
    <cfRule type="cellIs" priority="2" operator="equal" dxfId="1" stopIfTrue="1">
      <formula>"REVISA: copia la cifra de la fila 15 en el préstamo de «0. Supuestos»"</formula>
    </cfRule>
  </conditionalFormatting>
  <conditionalFormatting sqref="F117:F123">
    <cfRule type="expression" priority="3" dxfId="1" stopIfTrue="1">
      <formula>=AND(ISNUMBER(F117),F117&lt;0)</formula>
    </cfRule>
  </conditionalFormatting>
  <conditionalFormatting sqref="B124">
    <cfRule type="expression" priority="4" dxfId="1" stopIfTrue="1">
      <formula>=AND(ISNUMBER($B$124),$B$124&lt;0)</formula>
    </cfRule>
  </conditionalFormatting>
  <conditionalFormatting sqref="B125">
    <cfRule type="cellIs" priority="5" operator="equal" dxfId="0" stopIfTrue="1">
      <formula>"Aguanta: en el peor año te sobra dinero después de pagar la cuota"</formula>
    </cfRule>
    <cfRule type="cellIs" priority="6" operator="equal" dxfId="1" stopIfTrue="1">
      <formula>"No aguanta: hay un año en que el negocio no genera la cuota"</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H23"/>
  <sheetViews>
    <sheetView workbookViewId="0">
      <pane ySplit="5" topLeftCell="A6" activePane="bottomLeft" state="frozen"/>
      <selection pane="bottomLeft" activeCell="A1" sqref="A1"/>
    </sheetView>
  </sheetViews>
  <sheetFormatPr baseColWidth="8" defaultRowHeight="15"/>
  <cols>
    <col width="44" customWidth="1" min="1" max="1"/>
    <col width="13" customWidth="1" min="2" max="2"/>
    <col width="16" customWidth="1" min="3" max="3"/>
    <col width="14" customWidth="1" min="4" max="4"/>
    <col width="16" customWidth="1" min="5" max="5"/>
    <col width="14" customWidth="1" min="6" max="6"/>
    <col width="16" customWidth="1" min="7" max="7"/>
    <col width="13" customWidth="1" min="8" max="8"/>
  </cols>
  <sheetData>
    <row r="1">
      <c r="A1" s="1" t="inlineStr">
        <is>
          <t>Canales y Punto Muerto: Sala, para Llevar y Ferias</t>
        </is>
      </c>
    </row>
    <row r="2">
      <c r="A2" s="2" t="inlineStr">
        <is>
          <t>AI Chef Pro · aichef.pro — Cómo Montar una Churrería-Chocolatería</t>
        </is>
      </c>
    </row>
    <row r="3" ht="40" customHeight="1">
      <c r="A3" s="3" t="inlineStr">
        <is>
          <t>Lo que deja cada canal en el año de crucero y si alguno paga los fijos él solo. Las raciones de la carta de invierno son las de los meses fuera de julio y agosto; el verano entra con su contribución (libro 5).</t>
        </is>
      </c>
    </row>
    <row r="4"/>
    <row r="5" ht="48" customHeight="1">
      <c r="A5" s="9" t="inlineStr">
        <is>
          <t>Canal</t>
        </is>
      </c>
      <c r="B5" s="9" t="inlineStr">
        <is>
          <t>Parte de las raciones</t>
        </is>
      </c>
      <c r="C5" s="9" t="inlineStr">
        <is>
          <t>Raciones de la carta de invierno (año de crucero)</t>
        </is>
      </c>
      <c r="D5" s="9" t="inlineStr">
        <is>
          <t>Ticket sin IVA por ración</t>
        </is>
      </c>
      <c r="E5" s="9" t="inlineStr">
        <is>
          <t>Materia por ración (aceite absorbido incluido)</t>
        </is>
      </c>
      <c r="F5" s="9" t="inlineStr">
        <is>
          <t>Contribución por ración</t>
        </is>
      </c>
      <c r="G5" s="9" t="inlineStr">
        <is>
          <t>Contribución del año</t>
        </is>
      </c>
      <c r="H5" s="9" t="inlineStr">
        <is>
          <t>Peso sobre la contribución</t>
        </is>
      </c>
    </row>
    <row r="6">
      <c r="A6" s="10" t="inlineStr">
        <is>
          <t>Sala (barra, mesas y terraza)</t>
        </is>
      </c>
      <c r="B6" s="23">
        <f>'0. Supuestos'!$B$15</f>
        <v>0.7</v>
      </c>
      <c r="C6" s="26">
        <f>'PyG 3 Años'!$C$8*B6</f>
        <v>68601.75</v>
      </c>
      <c r="D6" s="29">
        <f>'0. Supuestos'!$B$13</f>
        <v>2.148051948051948</v>
      </c>
      <c r="E6" s="29">
        <f>'0. Supuestos'!$B$11</f>
        <v>0.2731486410667722</v>
      </c>
      <c r="F6" s="29">
        <f>D6-E6</f>
        <v>1.874903306985176</v>
      </c>
      <c r="G6" s="25">
        <f>C6*F6</f>
        <v>128621.6479399703</v>
      </c>
      <c r="H6" s="23">
        <f>IFERROR(G6/$G$12,"")</f>
        <v>0.6482343162769347</v>
      </c>
    </row>
    <row r="7">
      <c r="A7" s="10" t="inlineStr">
        <is>
          <t>Para llevar (despacho a calle)</t>
        </is>
      </c>
      <c r="B7" s="23">
        <f>1-B6</f>
        <v>0.30000000000000004</v>
      </c>
      <c r="C7" s="26">
        <f>'PyG 3 Años'!$C$8*B7</f>
        <v>29400.750000000004</v>
      </c>
      <c r="D7" s="29">
        <f>'0. Supuestos'!$B$14</f>
        <v>2.192424242424243</v>
      </c>
      <c r="E7" s="29">
        <f>'0. Supuestos'!$B$12</f>
        <v>0.3054629283128055</v>
      </c>
      <c r="F7" s="29">
        <f>D7-E7</f>
        <v>1.8869613141114372</v>
      </c>
      <c r="G7" s="25">
        <f>C7*F7</f>
        <v>55478.07785586184</v>
      </c>
      <c r="H7" s="23">
        <f>IFERROR(G7/$G$12,"")</f>
        <v>0.2796014080307659</v>
      </c>
    </row>
    <row r="8">
      <c r="A8" s="20" t="inlineStr">
        <is>
          <t>Carta de invierno: los dos canales juntos (la mezcla)</t>
        </is>
      </c>
      <c r="B8" s="43">
        <f>B6+B7</f>
        <v>1.0</v>
      </c>
      <c r="C8" s="35">
        <f>C6+C7</f>
        <v>98002.5</v>
      </c>
      <c r="D8" s="44">
        <f>B6*D6+B7*D7</f>
        <v>2.1613636363636366</v>
      </c>
      <c r="E8" s="44">
        <f>B6*E6+B7*E7</f>
        <v>0.28284292724058224</v>
      </c>
      <c r="F8" s="44">
        <f>D8-E8</f>
        <v>1.8785207091230545</v>
      </c>
      <c r="G8" s="21">
        <f>G6+G7</f>
        <v>184099.72579583214</v>
      </c>
      <c r="H8" s="43">
        <f>IFERROR(G8/$G$12,"")</f>
        <v>0.9278357243077007</v>
      </c>
    </row>
    <row r="9">
      <c r="A9" s="10" t="inlineStr">
        <is>
          <t>Julio y agosto: la salida que eliges en el libro 5</t>
        </is>
      </c>
      <c r="G9" s="25">
        <f>'0. Supuestos'!$B$33</f>
        <v>17368.70905707602</v>
      </c>
      <c r="H9" s="23">
        <f>IFERROR(G9/$G$12,"")</f>
        <v>0.08753575638745838</v>
      </c>
    </row>
    <row r="10">
      <c r="A10" s="10" t="inlineStr">
        <is>
          <t>Ferias (resultado del año, libro 5)</t>
        </is>
      </c>
      <c r="G10" s="25">
        <f>'0. Supuestos'!$B$32</f>
        <v>0.0</v>
      </c>
      <c r="H10" s="23">
        <f>IFERROR(G10/$G$12,"")</f>
        <v>0.0</v>
      </c>
    </row>
    <row r="11">
      <c r="A11" s="10" t="inlineStr">
        <is>
          <t>Renovación del aceite (todas las raciones del año, en negativo)</t>
        </is>
      </c>
      <c r="G11" s="25">
        <f>-'0. Supuestos'!$B$19*'0. Supuestos'!$B$17</f>
        <v>-3049.985365853659</v>
      </c>
      <c r="H11" s="23">
        <f>IFERROR(G11/$G$12,"")</f>
        <v>-0.015371480695159097</v>
      </c>
    </row>
    <row r="12">
      <c r="A12" s="20" t="inlineStr">
        <is>
          <t>CONTRIBUCIÓN DEL AÑO DE CRUCERO</t>
        </is>
      </c>
      <c r="G12" s="21">
        <f>SUM(G8:G11)</f>
        <v>198418.44948705452</v>
      </c>
    </row>
    <row r="13"/>
    <row r="14">
      <c r="A14" s="4" t="inlineStr">
        <is>
          <t>¿Qué Canal Paga los Fijos?</t>
        </is>
      </c>
    </row>
    <row r="15">
      <c r="A15" s="10" t="inlineStr">
        <is>
          <t>Fijos del año de crucero (los del P&amp;L)</t>
        </is>
      </c>
      <c r="B15" s="32">
        <f>'PyG 3 Años'!$C$22</f>
        <v>166279.69486372353</v>
      </c>
    </row>
    <row r="16" ht="48" customHeight="1">
      <c r="A16" s="9" t="inlineStr">
        <is>
          <t>Si sólo tuvieras...</t>
        </is>
      </c>
      <c r="B16" s="9" t="inlineStr">
        <is>
          <t>Contribución del año</t>
        </is>
      </c>
      <c r="C16" s="9" t="inlineStr">
        <is>
          <t>Menos los fijos del año</t>
        </is>
      </c>
      <c r="D16" s="9" t="inlineStr">
        <is>
          <t>Lectura en euros</t>
        </is>
      </c>
      <c r="E16" s="9" t="inlineStr">
        <is>
          <t>Raciones al día de equilibrio si todas fueran de este canal</t>
        </is>
      </c>
    </row>
    <row r="17" ht="30" customHeight="1">
      <c r="A17" s="10" t="inlineStr">
        <is>
          <t>La sala</t>
        </is>
      </c>
      <c r="B17" s="25">
        <f>G6</f>
        <v>128621.6479399703</v>
      </c>
      <c r="C17" s="32">
        <f>B17-$B$15</f>
        <v>-37658.04692375324</v>
      </c>
      <c r="D17" t="str">
        <f>IF(NOT(ISNUMBER(C17)),"",IF(C17&gt;=0,"Paga los fijos","No llega a los fijos"))</f>
        <v>No llega a los fijos</v>
      </c>
      <c r="E17" s="31">
        <f>IFERROR(IF(F6-'0. Supuestos'!$B$17&lt;=0,"",$B$15/(F6-'0. Supuestos'!$B$17)/'Punto de Equilibrio'!$B$10),"")</f>
        <v>250.14178572344042</v>
      </c>
    </row>
    <row r="18" ht="30" customHeight="1">
      <c r="A18" s="10" t="inlineStr">
        <is>
          <t>El para llevar</t>
        </is>
      </c>
      <c r="B18" s="25">
        <f>G7</f>
        <v>55478.07785586184</v>
      </c>
      <c r="C18" s="32">
        <f>B18-$B$15</f>
        <v>-110801.6170078617</v>
      </c>
      <c r="D18" t="str">
        <f>IF(NOT(ISNUMBER(C18)),"",IF(C18&gt;=0,"Paga los fijos","No llega a los fijos"))</f>
        <v>No llega a los fijos</v>
      </c>
      <c r="E18" s="31">
        <f>IFERROR(IF(F7-'0. Supuestos'!$B$17&lt;=0,"",$B$15/(F7-'0. Supuestos'!$B$17)/'Punto de Equilibrio'!$B$10),"")</f>
        <v>248.51891282002305</v>
      </c>
    </row>
    <row r="19" ht="30" customHeight="1">
      <c r="A19" s="10" t="inlineStr">
        <is>
          <t>Sala y para llevar (la carta de invierno entera)</t>
        </is>
      </c>
      <c r="B19" s="25">
        <f>G8</f>
        <v>184099.72579583214</v>
      </c>
      <c r="C19" s="32">
        <f>B19-$B$15</f>
        <v>17820.03093210861</v>
      </c>
      <c r="D19" t="str">
        <f>IF(NOT(ISNUMBER(C19)),"",IF(C19&gt;=0,"Paga los fijos","No llega a los fijos"))</f>
        <v>Paga los fijos</v>
      </c>
      <c r="E19" s="31">
        <f>IFERROR(IF(F8-'0. Supuestos'!$B$17&lt;=0,"",$B$15/(F8-'0. Supuestos'!$B$17)/'Punto de Equilibrio'!$B$10),"")</f>
        <v>249.65270269727364</v>
      </c>
    </row>
    <row r="20" ht="30" customHeight="1">
      <c r="A20" s="10" t="inlineStr">
        <is>
          <t>Todo el negocio (con el verano, las ferias y el aceite)</t>
        </is>
      </c>
      <c r="B20" s="25">
        <f>G12</f>
        <v>198418.44948705452</v>
      </c>
      <c r="C20" s="32">
        <f>B20-$B$15</f>
        <v>32138.754623330984</v>
      </c>
      <c r="D20" t="str">
        <f>IF(NOT(ISNUMBER(C20)),"",IF(C20&gt;=0,"Paga los fijos","No llega a los fijos"))</f>
        <v>Paga los fijos</v>
      </c>
      <c r="E20" s="31">
        <f>'Punto de Equilibrio'!$B$12</f>
        <v>250.01090252739175</v>
      </c>
    </row>
    <row r="21">
      <c r="A21" s="10" t="inlineStr">
        <is>
          <t>El canal que más deja</t>
        </is>
      </c>
      <c r="B21" s="28" t="str">
        <f>IF(G6&gt;=G7,A6,A7)</f>
        <v>Sala (barra, mesas y terraza)</v>
      </c>
    </row>
    <row r="22"/>
    <row r="23" ht="44" customHeight="1">
      <c r="A23" s="3" t="inlineStr">
        <is>
          <t>Las ferias tienen su propio punto muerto, evento a evento, en el libro 5 (hoja «Punto Muerto por Evento»): aquí entra sólo su resultado del año. Las raciones al día de equilibrio de un canal suponen que todas tus raciones fueran de ese canal, con la renovación del aceite descontada.</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H3"/>
    <mergeCell ref="A23:H23"/>
  </mergeCells>
  <conditionalFormatting sqref="C17">
    <cfRule type="expression" priority="1" dxfId="1" stopIfTrue="1">
      <formula>=AND(ISNUMBER($C$17),$C$17&lt;0)</formula>
    </cfRule>
  </conditionalFormatting>
  <conditionalFormatting sqref="D17">
    <cfRule type="cellIs" priority="2" operator="equal" dxfId="0" stopIfTrue="1">
      <formula>"Paga los fijos"</formula>
    </cfRule>
    <cfRule type="cellIs" priority="3" operator="equal" dxfId="1" stopIfTrue="1">
      <formula>"No llega a los fijos"</formula>
    </cfRule>
  </conditionalFormatting>
  <conditionalFormatting sqref="C18">
    <cfRule type="expression" priority="4" dxfId="1" stopIfTrue="1">
      <formula>=AND(ISNUMBER($C$18),$C$18&lt;0)</formula>
    </cfRule>
  </conditionalFormatting>
  <conditionalFormatting sqref="D18">
    <cfRule type="cellIs" priority="5" operator="equal" dxfId="0" stopIfTrue="1">
      <formula>"Paga los fijos"</formula>
    </cfRule>
    <cfRule type="cellIs" priority="6" operator="equal" dxfId="1" stopIfTrue="1">
      <formula>"No llega a los fijos"</formula>
    </cfRule>
  </conditionalFormatting>
  <conditionalFormatting sqref="C19">
    <cfRule type="expression" priority="7" dxfId="1" stopIfTrue="1">
      <formula>=AND(ISNUMBER($C$19),$C$19&lt;0)</formula>
    </cfRule>
  </conditionalFormatting>
  <conditionalFormatting sqref="D19">
    <cfRule type="cellIs" priority="8" operator="equal" dxfId="0" stopIfTrue="1">
      <formula>"Paga los fijos"</formula>
    </cfRule>
    <cfRule type="cellIs" priority="9" operator="equal" dxfId="1" stopIfTrue="1">
      <formula>"No llega a los fijos"</formula>
    </cfRule>
  </conditionalFormatting>
  <conditionalFormatting sqref="C20">
    <cfRule type="expression" priority="10" dxfId="1" stopIfTrue="1">
      <formula>=AND(ISNUMBER($C$20),$C$20&lt;0)</formula>
    </cfRule>
  </conditionalFormatting>
  <conditionalFormatting sqref="D20">
    <cfRule type="cellIs" priority="11" operator="equal" dxfId="0" stopIfTrue="1">
      <formula>"Paga los fijos"</formula>
    </cfRule>
    <cfRule type="cellIs" priority="12" operator="equal" dxfId="1" stopIfTrue="1">
      <formula>"No llega a los fijos"</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 Financiero a 3 Años</dc:title>
  <dc:subject xmlns:dc="http://purl.org/dc/elements/1.1/">Cómo Montar una Churrería-Chocolatería · Versión 1.0 · octubre 2026</dc:subject>
  <dcterms:created xmlns:dcterms="http://purl.org/dc/terms/" xmlns:xsi="http://www.w3.org/2001/XMLSchema-instance" xsi:type="dcterms:W3CDTF">2026-10-03T08:38:17Z</dcterms:created>
  <dcterms:modified xmlns:dcterms="http://purl.org/dc/terms/" xmlns:xsi="http://www.w3.org/2001/XMLSchema-instance" xsi:type="dcterms:W3CDTF">2026-10-03T08:38:18Z</dcterms:modified>
  <cp:lastModifiedBy>AI Chef Pro</cp:lastModifiedBy>
</cp:coreProperties>
</file>